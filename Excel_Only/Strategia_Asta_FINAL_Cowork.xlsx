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salva\Projects\FantaWarRoom\Excel_Only\"/>
    </mc:Choice>
  </mc:AlternateContent>
  <xr:revisionPtr revIDLastSave="0" documentId="13_ncr:1_{A06F66DB-4DBD-4A0F-8C10-12D2D6374E4C}" xr6:coauthVersionLast="47" xr6:coauthVersionMax="47" xr10:uidLastSave="{00000000-0000-0000-0000-000000000000}"/>
  <bookViews>
    <workbookView xWindow="-120" yWindow="-120" windowWidth="29040" windowHeight="15840" tabRatio="500" firstSheet="13" activeTab="13" xr2:uid="{00000000-000D-0000-FFFF-FFFF00000000}"/>
  </bookViews>
  <sheets>
    <sheet name="Guida" sheetId="1" r:id="rId1"/>
    <sheet name="Dashboard Asta" sheetId="2" r:id="rId2"/>
    <sheet name="Decisione Live" sheetId="3" r:id="rId3"/>
    <sheet name="Output Utente" sheetId="4" r:id="rId4"/>
    <sheet name="Stato Asta" sheetId="5" r:id="rId5"/>
    <sheet name="Info Lega" sheetId="6" r:id="rId6"/>
    <sheet name="Info Strategia" sheetId="7" r:id="rId7"/>
    <sheet name="Parametri Modello" sheetId="8" r:id="rId8"/>
    <sheet name="Pressione Competitiva" sheetId="9" r:id="rId9"/>
    <sheet name="TeamDetail" sheetId="10" r:id="rId10"/>
    <sheet name="Giocatori Da Chiamare" sheetId="11" r:id="rId11"/>
    <sheet name="Giocatori Liberi" sheetId="12" r:id="rId12"/>
    <sheet name="La Mia Rosa" sheetId="13" r:id="rId13"/>
    <sheet name="Input Giocatori 2026_27" sheetId="14" r:id="rId14"/>
    <sheet name="Input Statistiche 2025_26" sheetId="15" r:id="rId15"/>
    <sheet name="Validazione Dati" sheetId="16" r:id="rId16"/>
    <sheet name="Analisi Asta Reale 2025" sheetId="17" r:id="rId17"/>
    <sheet name="Simulazioni" sheetId="18" r:id="rId18"/>
  </sheets>
  <definedNames>
    <definedName name="_xlnm._FilterDatabase" localSheetId="11" hidden="1">'Giocatori Liberi'!$A$3:$N$494</definedName>
    <definedName name="_xlnm._FilterDatabase" localSheetId="12" hidden="1">'La Mia Rosa'!$A$3:$L$494</definedName>
    <definedName name="_xlnm._FilterDatabase" localSheetId="3" hidden="1">'Output Utente'!$A$1:$R$492</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6" i="13" l="1"/>
  <c r="R16" i="13"/>
  <c r="T15" i="13"/>
  <c r="R15" i="13"/>
  <c r="B20" i="2" s="1"/>
  <c r="T14" i="13"/>
  <c r="R14" i="13"/>
  <c r="T13" i="13"/>
  <c r="R13" i="13"/>
  <c r="B18" i="2" s="1"/>
  <c r="O11" i="13"/>
  <c r="O10" i="13"/>
  <c r="O9" i="13"/>
  <c r="O8" i="13"/>
  <c r="R7" i="13"/>
  <c r="O7" i="13"/>
  <c r="R6" i="13"/>
  <c r="O5" i="13"/>
  <c r="O4" i="13"/>
  <c r="S3" i="13"/>
  <c r="O3" i="13"/>
  <c r="S2" i="13"/>
  <c r="A14" i="2" s="1"/>
  <c r="C17" i="10"/>
  <c r="F17" i="10" s="1"/>
  <c r="C16" i="10"/>
  <c r="F16" i="10" s="1"/>
  <c r="C15" i="10"/>
  <c r="F15" i="10" s="1"/>
  <c r="C14" i="10"/>
  <c r="F14" i="10" s="1"/>
  <c r="C13" i="10"/>
  <c r="F13" i="10" s="1"/>
  <c r="C12" i="10"/>
  <c r="F12" i="10" s="1"/>
  <c r="C11" i="10"/>
  <c r="F11" i="10" s="1"/>
  <c r="C10" i="10"/>
  <c r="F10" i="10" s="1"/>
  <c r="C9" i="10"/>
  <c r="F9" i="10" s="1"/>
  <c r="C8" i="10"/>
  <c r="F8" i="10" s="1"/>
  <c r="C7" i="10"/>
  <c r="F7" i="10" s="1"/>
  <c r="C6" i="10"/>
  <c r="F6" i="10" s="1"/>
  <c r="C5" i="10"/>
  <c r="F5" i="10" s="1"/>
  <c r="C4" i="10"/>
  <c r="F4" i="10" s="1"/>
  <c r="C3" i="10"/>
  <c r="F3" i="10" s="1"/>
  <c r="C2" i="10"/>
  <c r="F2" i="10" s="1"/>
  <c r="B57" i="8"/>
  <c r="S13" i="13" s="1"/>
  <c r="B44" i="8"/>
  <c r="C35" i="8"/>
  <c r="B35" i="8"/>
  <c r="B42" i="8" s="1"/>
  <c r="C34" i="8"/>
  <c r="B34" i="8"/>
  <c r="B41" i="8" s="1"/>
  <c r="C33" i="8"/>
  <c r="B33" i="8"/>
  <c r="B40" i="8" s="1"/>
  <c r="C32" i="8"/>
  <c r="B32" i="8"/>
  <c r="B39" i="8" s="1"/>
  <c r="B4" i="7"/>
  <c r="B60" i="8" s="1"/>
  <c r="B3" i="7"/>
  <c r="B75" i="8" s="1"/>
  <c r="B2" i="7"/>
  <c r="B74" i="8" s="1"/>
  <c r="D24" i="6"/>
  <c r="D17" i="10" s="1"/>
  <c r="D23" i="6"/>
  <c r="D16" i="10" s="1"/>
  <c r="D22" i="6"/>
  <c r="D15" i="10" s="1"/>
  <c r="D21" i="6"/>
  <c r="D14" i="10" s="1"/>
  <c r="D20" i="6"/>
  <c r="D13" i="10" s="1"/>
  <c r="D19" i="6"/>
  <c r="D12" i="10" s="1"/>
  <c r="D18" i="6"/>
  <c r="D11" i="10" s="1"/>
  <c r="D17" i="6"/>
  <c r="D10" i="10" s="1"/>
  <c r="D16" i="6"/>
  <c r="D9" i="10" s="1"/>
  <c r="D15" i="6"/>
  <c r="D8" i="10" s="1"/>
  <c r="D14" i="6"/>
  <c r="D7" i="10" s="1"/>
  <c r="D13" i="6"/>
  <c r="D6" i="10" s="1"/>
  <c r="D12" i="6"/>
  <c r="D5" i="10" s="1"/>
  <c r="D11" i="6"/>
  <c r="D4" i="10" s="1"/>
  <c r="D10" i="6"/>
  <c r="D9" i="6"/>
  <c r="D2" i="10" s="1"/>
  <c r="H12" i="5"/>
  <c r="H11" i="5"/>
  <c r="H10" i="5"/>
  <c r="H9" i="5"/>
  <c r="C6" i="5"/>
  <c r="C4" i="5"/>
  <c r="C3" i="5"/>
  <c r="A4" i="2" s="1"/>
  <c r="AJ492" i="4"/>
  <c r="AH492" i="4"/>
  <c r="AI492" i="4" s="1"/>
  <c r="AC492" i="4"/>
  <c r="X492" i="4"/>
  <c r="Y492" i="4" s="1"/>
  <c r="W492" i="4"/>
  <c r="T492" i="4"/>
  <c r="S492" i="4"/>
  <c r="R492" i="4"/>
  <c r="O492" i="4"/>
  <c r="N492" i="4"/>
  <c r="Q492" i="4" s="1"/>
  <c r="L492" i="4"/>
  <c r="K492" i="4"/>
  <c r="I492" i="4"/>
  <c r="AD492" i="4" s="1"/>
  <c r="E492" i="4"/>
  <c r="AJ491" i="4"/>
  <c r="AH491" i="4"/>
  <c r="AI491" i="4" s="1"/>
  <c r="AC491" i="4"/>
  <c r="X491" i="4"/>
  <c r="Y491" i="4" s="1"/>
  <c r="W491" i="4"/>
  <c r="T491" i="4"/>
  <c r="S491" i="4"/>
  <c r="R491" i="4"/>
  <c r="Q491" i="4"/>
  <c r="O491" i="4"/>
  <c r="N491" i="4"/>
  <c r="AK491" i="4" s="1"/>
  <c r="AL491" i="4" s="1"/>
  <c r="L491" i="4"/>
  <c r="K491" i="4"/>
  <c r="J491" i="4"/>
  <c r="I491" i="4"/>
  <c r="AD491" i="4" s="1"/>
  <c r="E491" i="4"/>
  <c r="AJ490" i="4"/>
  <c r="AH490" i="4"/>
  <c r="AI490" i="4" s="1"/>
  <c r="AC490" i="4"/>
  <c r="X490" i="4"/>
  <c r="Y490" i="4" s="1"/>
  <c r="W490" i="4"/>
  <c r="T490" i="4"/>
  <c r="S490" i="4"/>
  <c r="R490" i="4"/>
  <c r="O490" i="4"/>
  <c r="N490" i="4"/>
  <c r="Q490" i="4" s="1"/>
  <c r="L490" i="4"/>
  <c r="K490" i="4"/>
  <c r="I490" i="4"/>
  <c r="AD490" i="4" s="1"/>
  <c r="E490" i="4"/>
  <c r="AJ489" i="4"/>
  <c r="AH489" i="4"/>
  <c r="AI489" i="4" s="1"/>
  <c r="AC489" i="4"/>
  <c r="X489" i="4"/>
  <c r="Y489" i="4" s="1"/>
  <c r="W489" i="4"/>
  <c r="T489" i="4"/>
  <c r="S489" i="4"/>
  <c r="R489" i="4"/>
  <c r="O489" i="4"/>
  <c r="N489" i="4"/>
  <c r="AK489" i="4" s="1"/>
  <c r="AL489" i="4" s="1"/>
  <c r="L489" i="4"/>
  <c r="K489" i="4"/>
  <c r="I489" i="4"/>
  <c r="AD489" i="4" s="1"/>
  <c r="E489" i="4"/>
  <c r="AJ488" i="4"/>
  <c r="AH488" i="4"/>
  <c r="AI488" i="4" s="1"/>
  <c r="AC488" i="4"/>
  <c r="X488" i="4"/>
  <c r="Y488" i="4" s="1"/>
  <c r="W488" i="4"/>
  <c r="T488" i="4"/>
  <c r="S488" i="4"/>
  <c r="R488" i="4"/>
  <c r="O488" i="4"/>
  <c r="N488" i="4"/>
  <c r="Q488" i="4" s="1"/>
  <c r="L488" i="4"/>
  <c r="K488" i="4"/>
  <c r="I488" i="4"/>
  <c r="AD488" i="4" s="1"/>
  <c r="E488" i="4"/>
  <c r="AJ487" i="4"/>
  <c r="AH487" i="4"/>
  <c r="AI487" i="4" s="1"/>
  <c r="AC487" i="4"/>
  <c r="X487" i="4"/>
  <c r="Y487" i="4" s="1"/>
  <c r="W487" i="4"/>
  <c r="T487" i="4"/>
  <c r="S487" i="4"/>
  <c r="R487" i="4"/>
  <c r="O487" i="4"/>
  <c r="N487" i="4"/>
  <c r="AK487" i="4" s="1"/>
  <c r="AL487" i="4" s="1"/>
  <c r="L487" i="4"/>
  <c r="K487" i="4"/>
  <c r="I487" i="4"/>
  <c r="AD487" i="4" s="1"/>
  <c r="E487" i="4"/>
  <c r="AJ486" i="4"/>
  <c r="AH486" i="4"/>
  <c r="AI486" i="4" s="1"/>
  <c r="AC486" i="4"/>
  <c r="X486" i="4"/>
  <c r="Y486" i="4" s="1"/>
  <c r="W486" i="4"/>
  <c r="T486" i="4"/>
  <c r="S486" i="4"/>
  <c r="R486" i="4"/>
  <c r="O486" i="4"/>
  <c r="N486" i="4"/>
  <c r="Q486" i="4" s="1"/>
  <c r="L486" i="4"/>
  <c r="K486" i="4"/>
  <c r="I486" i="4"/>
  <c r="J486" i="4" s="1"/>
  <c r="E486" i="4"/>
  <c r="AJ485" i="4"/>
  <c r="AH485" i="4"/>
  <c r="AI485" i="4" s="1"/>
  <c r="AC485" i="4"/>
  <c r="X485" i="4"/>
  <c r="Y485" i="4" s="1"/>
  <c r="W485" i="4"/>
  <c r="T485" i="4"/>
  <c r="S485" i="4"/>
  <c r="R485" i="4"/>
  <c r="O485" i="4"/>
  <c r="N485" i="4"/>
  <c r="L485" i="4"/>
  <c r="K485" i="4"/>
  <c r="I485" i="4"/>
  <c r="E485" i="4"/>
  <c r="AJ484" i="4"/>
  <c r="AH484" i="4"/>
  <c r="AI484" i="4" s="1"/>
  <c r="AC484" i="4"/>
  <c r="X484" i="4"/>
  <c r="Y484" i="4" s="1"/>
  <c r="W484" i="4"/>
  <c r="T484" i="4"/>
  <c r="S484" i="4"/>
  <c r="R484" i="4"/>
  <c r="O484" i="4"/>
  <c r="N484" i="4"/>
  <c r="Q484" i="4" s="1"/>
  <c r="L484" i="4"/>
  <c r="K484" i="4"/>
  <c r="J484" i="4"/>
  <c r="I484" i="4"/>
  <c r="AD484" i="4" s="1"/>
  <c r="E484" i="4"/>
  <c r="AJ483" i="4"/>
  <c r="AH483" i="4"/>
  <c r="AI483" i="4" s="1"/>
  <c r="AC483" i="4"/>
  <c r="X483" i="4"/>
  <c r="Y483" i="4" s="1"/>
  <c r="W483" i="4"/>
  <c r="T483" i="4"/>
  <c r="S483" i="4"/>
  <c r="R483" i="4"/>
  <c r="O483" i="4"/>
  <c r="N483" i="4"/>
  <c r="L483" i="4"/>
  <c r="K483" i="4"/>
  <c r="I483" i="4"/>
  <c r="E483" i="4"/>
  <c r="AJ482" i="4"/>
  <c r="AH482" i="4"/>
  <c r="AI482" i="4" s="1"/>
  <c r="AC482" i="4"/>
  <c r="X482" i="4"/>
  <c r="Y482" i="4" s="1"/>
  <c r="W482" i="4"/>
  <c r="T482" i="4"/>
  <c r="S482" i="4"/>
  <c r="R482" i="4"/>
  <c r="O482" i="4"/>
  <c r="N482" i="4"/>
  <c r="Q482" i="4" s="1"/>
  <c r="L482" i="4"/>
  <c r="K482" i="4"/>
  <c r="I482" i="4"/>
  <c r="AD482" i="4" s="1"/>
  <c r="E482" i="4"/>
  <c r="AJ481" i="4"/>
  <c r="AH481" i="4"/>
  <c r="AI481" i="4" s="1"/>
  <c r="AC481" i="4"/>
  <c r="X481" i="4"/>
  <c r="Y481" i="4" s="1"/>
  <c r="W481" i="4"/>
  <c r="T481" i="4"/>
  <c r="S481" i="4"/>
  <c r="R481" i="4"/>
  <c r="O481" i="4"/>
  <c r="N481" i="4"/>
  <c r="AK481" i="4" s="1"/>
  <c r="AL481" i="4" s="1"/>
  <c r="L481" i="4"/>
  <c r="K481" i="4"/>
  <c r="I481" i="4"/>
  <c r="AD481" i="4" s="1"/>
  <c r="E481" i="4"/>
  <c r="AJ480" i="4"/>
  <c r="AH480" i="4"/>
  <c r="AI480" i="4" s="1"/>
  <c r="AC480" i="4"/>
  <c r="X480" i="4"/>
  <c r="Y480" i="4" s="1"/>
  <c r="W480" i="4"/>
  <c r="T480" i="4"/>
  <c r="S480" i="4"/>
  <c r="R480" i="4"/>
  <c r="O480" i="4"/>
  <c r="N480" i="4"/>
  <c r="L480" i="4"/>
  <c r="K480" i="4"/>
  <c r="I480" i="4"/>
  <c r="AD480" i="4" s="1"/>
  <c r="E480" i="4"/>
  <c r="AJ479" i="4"/>
  <c r="AH479" i="4"/>
  <c r="AI479" i="4" s="1"/>
  <c r="AC479" i="4"/>
  <c r="X479" i="4"/>
  <c r="Y479" i="4" s="1"/>
  <c r="W479" i="4"/>
  <c r="T479" i="4"/>
  <c r="S479" i="4"/>
  <c r="R479" i="4"/>
  <c r="O479" i="4"/>
  <c r="N479" i="4"/>
  <c r="AK479" i="4" s="1"/>
  <c r="AL479" i="4" s="1"/>
  <c r="L479" i="4"/>
  <c r="K479" i="4"/>
  <c r="I479" i="4"/>
  <c r="AD479" i="4" s="1"/>
  <c r="E479" i="4"/>
  <c r="AJ478" i="4"/>
  <c r="AH478" i="4"/>
  <c r="AI478" i="4" s="1"/>
  <c r="AC478" i="4"/>
  <c r="X478" i="4"/>
  <c r="Y478" i="4" s="1"/>
  <c r="W478" i="4"/>
  <c r="T478" i="4"/>
  <c r="S478" i="4"/>
  <c r="R478" i="4"/>
  <c r="O478" i="4"/>
  <c r="N478" i="4"/>
  <c r="AK478" i="4" s="1"/>
  <c r="AL478" i="4" s="1"/>
  <c r="L478" i="4"/>
  <c r="K478" i="4"/>
  <c r="I478" i="4"/>
  <c r="AD478" i="4" s="1"/>
  <c r="E478" i="4"/>
  <c r="AJ477" i="4"/>
  <c r="AH477" i="4"/>
  <c r="AI477" i="4" s="1"/>
  <c r="AC477" i="4"/>
  <c r="X477" i="4"/>
  <c r="Y477" i="4" s="1"/>
  <c r="W477" i="4"/>
  <c r="T477" i="4"/>
  <c r="S477" i="4"/>
  <c r="R477" i="4"/>
  <c r="O477" i="4"/>
  <c r="N477" i="4"/>
  <c r="AK477" i="4" s="1"/>
  <c r="AL477" i="4" s="1"/>
  <c r="L477" i="4"/>
  <c r="K477" i="4"/>
  <c r="I477" i="4"/>
  <c r="AD477" i="4" s="1"/>
  <c r="E477" i="4"/>
  <c r="AJ476" i="4"/>
  <c r="AH476" i="4"/>
  <c r="AI476" i="4" s="1"/>
  <c r="AC476" i="4"/>
  <c r="X476" i="4"/>
  <c r="Y476" i="4" s="1"/>
  <c r="W476" i="4"/>
  <c r="T476" i="4"/>
  <c r="S476" i="4"/>
  <c r="R476" i="4"/>
  <c r="Q476" i="4"/>
  <c r="O476" i="4"/>
  <c r="N476" i="4"/>
  <c r="AK476" i="4" s="1"/>
  <c r="AL476" i="4" s="1"/>
  <c r="L476" i="4"/>
  <c r="K476" i="4"/>
  <c r="I476" i="4"/>
  <c r="AD476" i="4" s="1"/>
  <c r="E476" i="4"/>
  <c r="AJ475" i="4"/>
  <c r="AH475" i="4"/>
  <c r="AI475" i="4" s="1"/>
  <c r="AC475" i="4"/>
  <c r="X475" i="4"/>
  <c r="Y475" i="4" s="1"/>
  <c r="W475" i="4"/>
  <c r="T475" i="4"/>
  <c r="S475" i="4"/>
  <c r="R475" i="4"/>
  <c r="O475" i="4"/>
  <c r="N475" i="4"/>
  <c r="L475" i="4"/>
  <c r="K475" i="4"/>
  <c r="J475" i="4"/>
  <c r="I475" i="4"/>
  <c r="AD475" i="4" s="1"/>
  <c r="E475" i="4"/>
  <c r="AJ474" i="4"/>
  <c r="AH474" i="4"/>
  <c r="AI474" i="4" s="1"/>
  <c r="AC474" i="4"/>
  <c r="X474" i="4"/>
  <c r="Y474" i="4" s="1"/>
  <c r="W474" i="4"/>
  <c r="T474" i="4"/>
  <c r="S474" i="4"/>
  <c r="R474" i="4"/>
  <c r="O474" i="4"/>
  <c r="N474" i="4"/>
  <c r="AK474" i="4" s="1"/>
  <c r="AL474" i="4" s="1"/>
  <c r="L474" i="4"/>
  <c r="K474" i="4"/>
  <c r="I474" i="4"/>
  <c r="E474" i="4"/>
  <c r="AJ473" i="4"/>
  <c r="AH473" i="4"/>
  <c r="AI473" i="4" s="1"/>
  <c r="AC473" i="4"/>
  <c r="X473" i="4"/>
  <c r="Y473" i="4" s="1"/>
  <c r="W473" i="4"/>
  <c r="T473" i="4"/>
  <c r="S473" i="4"/>
  <c r="R473" i="4"/>
  <c r="O473" i="4"/>
  <c r="N473" i="4"/>
  <c r="Q473" i="4" s="1"/>
  <c r="L473" i="4"/>
  <c r="K473" i="4"/>
  <c r="I473" i="4"/>
  <c r="AD473" i="4" s="1"/>
  <c r="E473" i="4"/>
  <c r="AJ472" i="4"/>
  <c r="AH472" i="4"/>
  <c r="AI472" i="4" s="1"/>
  <c r="AC472" i="4"/>
  <c r="X472" i="4"/>
  <c r="Y472" i="4" s="1"/>
  <c r="W472" i="4"/>
  <c r="T472" i="4"/>
  <c r="S472" i="4"/>
  <c r="R472" i="4"/>
  <c r="O472" i="4"/>
  <c r="N472" i="4"/>
  <c r="AK472" i="4" s="1"/>
  <c r="AL472" i="4" s="1"/>
  <c r="L472" i="4"/>
  <c r="K472" i="4"/>
  <c r="I472" i="4"/>
  <c r="J472" i="4" s="1"/>
  <c r="E472" i="4"/>
  <c r="AJ471" i="4"/>
  <c r="AH471" i="4"/>
  <c r="AI471" i="4" s="1"/>
  <c r="AC471" i="4"/>
  <c r="X471" i="4"/>
  <c r="Y471" i="4" s="1"/>
  <c r="W471" i="4"/>
  <c r="T471" i="4"/>
  <c r="S471" i="4"/>
  <c r="R471" i="4"/>
  <c r="O471" i="4"/>
  <c r="N471" i="4"/>
  <c r="L471" i="4"/>
  <c r="K471" i="4"/>
  <c r="I471" i="4"/>
  <c r="E471" i="4"/>
  <c r="AJ470" i="4"/>
  <c r="AH470" i="4"/>
  <c r="AI470" i="4" s="1"/>
  <c r="AD470" i="4"/>
  <c r="AC470" i="4"/>
  <c r="X470" i="4"/>
  <c r="Y470" i="4" s="1"/>
  <c r="W470" i="4"/>
  <c r="T470" i="4"/>
  <c r="S470" i="4"/>
  <c r="R470" i="4"/>
  <c r="O470" i="4"/>
  <c r="N470" i="4"/>
  <c r="AK470" i="4" s="1"/>
  <c r="AL470" i="4" s="1"/>
  <c r="L470" i="4"/>
  <c r="K470" i="4"/>
  <c r="I470" i="4"/>
  <c r="J470" i="4" s="1"/>
  <c r="E470" i="4"/>
  <c r="AJ469" i="4"/>
  <c r="AH469" i="4"/>
  <c r="AI469" i="4" s="1"/>
  <c r="AC469" i="4"/>
  <c r="X469" i="4"/>
  <c r="Y469" i="4" s="1"/>
  <c r="W469" i="4"/>
  <c r="T469" i="4"/>
  <c r="S469" i="4"/>
  <c r="R469" i="4"/>
  <c r="O469" i="4"/>
  <c r="N469" i="4"/>
  <c r="Q469" i="4" s="1"/>
  <c r="L469" i="4"/>
  <c r="K469" i="4"/>
  <c r="I469" i="4"/>
  <c r="AD469" i="4" s="1"/>
  <c r="E469" i="4"/>
  <c r="AJ468" i="4"/>
  <c r="AH468" i="4"/>
  <c r="AI468" i="4" s="1"/>
  <c r="AC468" i="4"/>
  <c r="X468" i="4"/>
  <c r="Y468" i="4" s="1"/>
  <c r="W468" i="4"/>
  <c r="T468" i="4"/>
  <c r="S468" i="4"/>
  <c r="R468" i="4"/>
  <c r="Q468" i="4"/>
  <c r="O468" i="4"/>
  <c r="N468" i="4"/>
  <c r="AK468" i="4" s="1"/>
  <c r="AL468" i="4" s="1"/>
  <c r="L468" i="4"/>
  <c r="K468" i="4"/>
  <c r="I468" i="4"/>
  <c r="AD468" i="4" s="1"/>
  <c r="E468" i="4"/>
  <c r="AJ467" i="4"/>
  <c r="AH467" i="4"/>
  <c r="AI467" i="4" s="1"/>
  <c r="AC467" i="4"/>
  <c r="X467" i="4"/>
  <c r="Y467" i="4" s="1"/>
  <c r="W467" i="4"/>
  <c r="T467" i="4"/>
  <c r="S467" i="4"/>
  <c r="R467" i="4"/>
  <c r="O467" i="4"/>
  <c r="N467" i="4"/>
  <c r="Q467" i="4" s="1"/>
  <c r="L467" i="4"/>
  <c r="K467" i="4"/>
  <c r="I467" i="4"/>
  <c r="AD467" i="4" s="1"/>
  <c r="E467" i="4"/>
  <c r="AJ466" i="4"/>
  <c r="AH466" i="4"/>
  <c r="AI466" i="4" s="1"/>
  <c r="AC466" i="4"/>
  <c r="X466" i="4"/>
  <c r="Y466" i="4" s="1"/>
  <c r="W466" i="4"/>
  <c r="T466" i="4"/>
  <c r="S466" i="4"/>
  <c r="R466" i="4"/>
  <c r="O466" i="4"/>
  <c r="N466" i="4"/>
  <c r="L466" i="4"/>
  <c r="K466" i="4"/>
  <c r="I466" i="4"/>
  <c r="J466" i="4" s="1"/>
  <c r="E466" i="4"/>
  <c r="AJ465" i="4"/>
  <c r="AH465" i="4"/>
  <c r="AI465" i="4" s="1"/>
  <c r="AC465" i="4"/>
  <c r="X465" i="4"/>
  <c r="Y465" i="4" s="1"/>
  <c r="W465" i="4"/>
  <c r="T465" i="4"/>
  <c r="S465" i="4"/>
  <c r="R465" i="4"/>
  <c r="O465" i="4"/>
  <c r="N465" i="4"/>
  <c r="Q465" i="4" s="1"/>
  <c r="L465" i="4"/>
  <c r="K465" i="4"/>
  <c r="I465" i="4"/>
  <c r="AD465" i="4" s="1"/>
  <c r="E465" i="4"/>
  <c r="AJ464" i="4"/>
  <c r="AH464" i="4"/>
  <c r="AI464" i="4" s="1"/>
  <c r="AC464" i="4"/>
  <c r="X464" i="4"/>
  <c r="Y464" i="4" s="1"/>
  <c r="W464" i="4"/>
  <c r="T464" i="4"/>
  <c r="S464" i="4"/>
  <c r="R464" i="4"/>
  <c r="O464" i="4"/>
  <c r="N464" i="4"/>
  <c r="AK464" i="4" s="1"/>
  <c r="AL464" i="4" s="1"/>
  <c r="L464" i="4"/>
  <c r="K464" i="4"/>
  <c r="I464" i="4"/>
  <c r="AD464" i="4" s="1"/>
  <c r="E464" i="4"/>
  <c r="AJ463" i="4"/>
  <c r="AH463" i="4"/>
  <c r="AI463" i="4" s="1"/>
  <c r="AC463" i="4"/>
  <c r="Y463" i="4"/>
  <c r="X463" i="4"/>
  <c r="W463" i="4"/>
  <c r="T463" i="4"/>
  <c r="S463" i="4"/>
  <c r="R463" i="4"/>
  <c r="O463" i="4"/>
  <c r="N463" i="4"/>
  <c r="L463" i="4"/>
  <c r="K463" i="4"/>
  <c r="I463" i="4"/>
  <c r="J463" i="4" s="1"/>
  <c r="E463" i="4"/>
  <c r="AJ462" i="4"/>
  <c r="AH462" i="4"/>
  <c r="AI462" i="4" s="1"/>
  <c r="AC462" i="4"/>
  <c r="X462" i="4"/>
  <c r="Y462" i="4" s="1"/>
  <c r="W462" i="4"/>
  <c r="T462" i="4"/>
  <c r="S462" i="4"/>
  <c r="R462" i="4"/>
  <c r="O462" i="4"/>
  <c r="N462" i="4"/>
  <c r="Q462" i="4" s="1"/>
  <c r="L462" i="4"/>
  <c r="K462" i="4"/>
  <c r="I462" i="4"/>
  <c r="AD462" i="4" s="1"/>
  <c r="E462" i="4"/>
  <c r="AJ461" i="4"/>
  <c r="AH461" i="4"/>
  <c r="AI461" i="4" s="1"/>
  <c r="AC461" i="4"/>
  <c r="X461" i="4"/>
  <c r="Y461" i="4" s="1"/>
  <c r="W461" i="4"/>
  <c r="T461" i="4"/>
  <c r="S461" i="4"/>
  <c r="R461" i="4"/>
  <c r="Q461" i="4"/>
  <c r="O461" i="4"/>
  <c r="N461" i="4"/>
  <c r="AK461" i="4" s="1"/>
  <c r="AL461" i="4" s="1"/>
  <c r="L461" i="4"/>
  <c r="K461" i="4"/>
  <c r="I461" i="4"/>
  <c r="AD461" i="4" s="1"/>
  <c r="E461" i="4"/>
  <c r="AJ460" i="4"/>
  <c r="AH460" i="4"/>
  <c r="AI460" i="4" s="1"/>
  <c r="AD460" i="4"/>
  <c r="AC460" i="4"/>
  <c r="X460" i="4"/>
  <c r="Y460" i="4" s="1"/>
  <c r="W460" i="4"/>
  <c r="T460" i="4"/>
  <c r="S460" i="4"/>
  <c r="R460" i="4"/>
  <c r="Q460" i="4"/>
  <c r="O460" i="4"/>
  <c r="N460" i="4"/>
  <c r="AK460" i="4" s="1"/>
  <c r="AL460" i="4" s="1"/>
  <c r="L460" i="4"/>
  <c r="K460" i="4"/>
  <c r="J460" i="4"/>
  <c r="I460" i="4"/>
  <c r="E460" i="4"/>
  <c r="AJ459" i="4"/>
  <c r="AH459" i="4"/>
  <c r="AI459" i="4" s="1"/>
  <c r="AC459" i="4"/>
  <c r="X459" i="4"/>
  <c r="Y459" i="4" s="1"/>
  <c r="W459" i="4"/>
  <c r="T459" i="4"/>
  <c r="S459" i="4"/>
  <c r="R459" i="4"/>
  <c r="O459" i="4"/>
  <c r="N459" i="4"/>
  <c r="Q459" i="4" s="1"/>
  <c r="L459" i="4"/>
  <c r="K459" i="4"/>
  <c r="I459" i="4"/>
  <c r="AD459" i="4" s="1"/>
  <c r="E459" i="4"/>
  <c r="AJ458" i="4"/>
  <c r="AH458" i="4"/>
  <c r="AI458" i="4" s="1"/>
  <c r="AC458" i="4"/>
  <c r="X458" i="4"/>
  <c r="Y458" i="4" s="1"/>
  <c r="W458" i="4"/>
  <c r="T458" i="4"/>
  <c r="S458" i="4"/>
  <c r="R458" i="4"/>
  <c r="O458" i="4"/>
  <c r="N458" i="4"/>
  <c r="AK458" i="4" s="1"/>
  <c r="AL458" i="4" s="1"/>
  <c r="L458" i="4"/>
  <c r="K458" i="4"/>
  <c r="I458" i="4"/>
  <c r="AD458" i="4" s="1"/>
  <c r="E458" i="4"/>
  <c r="AJ457" i="4"/>
  <c r="AH457" i="4"/>
  <c r="AI457" i="4" s="1"/>
  <c r="AC457" i="4"/>
  <c r="X457" i="4"/>
  <c r="Y457" i="4" s="1"/>
  <c r="W457" i="4"/>
  <c r="T457" i="4"/>
  <c r="S457" i="4"/>
  <c r="R457" i="4"/>
  <c r="O457" i="4"/>
  <c r="N457" i="4"/>
  <c r="Q457" i="4" s="1"/>
  <c r="L457" i="4"/>
  <c r="K457" i="4"/>
  <c r="I457" i="4"/>
  <c r="AD457" i="4" s="1"/>
  <c r="E457" i="4"/>
  <c r="AJ456" i="4"/>
  <c r="AH456" i="4"/>
  <c r="AI456" i="4" s="1"/>
  <c r="AC456" i="4"/>
  <c r="X456" i="4"/>
  <c r="Y456" i="4" s="1"/>
  <c r="W456" i="4"/>
  <c r="T456" i="4"/>
  <c r="S456" i="4"/>
  <c r="R456" i="4"/>
  <c r="O456" i="4"/>
  <c r="N456" i="4"/>
  <c r="AK456" i="4" s="1"/>
  <c r="AL456" i="4" s="1"/>
  <c r="L456" i="4"/>
  <c r="K456" i="4"/>
  <c r="I456" i="4"/>
  <c r="AD456" i="4" s="1"/>
  <c r="E456" i="4"/>
  <c r="AJ455" i="4"/>
  <c r="AH455" i="4"/>
  <c r="AI455" i="4" s="1"/>
  <c r="AD455" i="4"/>
  <c r="AC455" i="4"/>
  <c r="X455" i="4"/>
  <c r="Y455" i="4" s="1"/>
  <c r="W455" i="4"/>
  <c r="T455" i="4"/>
  <c r="S455" i="4"/>
  <c r="R455" i="4"/>
  <c r="O455" i="4"/>
  <c r="N455" i="4"/>
  <c r="AK455" i="4" s="1"/>
  <c r="AL455" i="4" s="1"/>
  <c r="L455" i="4"/>
  <c r="K455" i="4"/>
  <c r="J455" i="4"/>
  <c r="I455" i="4"/>
  <c r="E455" i="4"/>
  <c r="AJ454" i="4"/>
  <c r="AH454" i="4"/>
  <c r="AI454" i="4" s="1"/>
  <c r="AC454" i="4"/>
  <c r="X454" i="4"/>
  <c r="Y454" i="4" s="1"/>
  <c r="W454" i="4"/>
  <c r="T454" i="4"/>
  <c r="S454" i="4"/>
  <c r="R454" i="4"/>
  <c r="O454" i="4"/>
  <c r="N454" i="4"/>
  <c r="Q454" i="4" s="1"/>
  <c r="L454" i="4"/>
  <c r="K454" i="4"/>
  <c r="I454" i="4"/>
  <c r="AD454" i="4" s="1"/>
  <c r="E454" i="4"/>
  <c r="AJ453" i="4"/>
  <c r="AH453" i="4"/>
  <c r="AI453" i="4" s="1"/>
  <c r="AC453" i="4"/>
  <c r="X453" i="4"/>
  <c r="Y453" i="4" s="1"/>
  <c r="W453" i="4"/>
  <c r="T453" i="4"/>
  <c r="S453" i="4"/>
  <c r="R453" i="4"/>
  <c r="O453" i="4"/>
  <c r="N453" i="4"/>
  <c r="AK453" i="4" s="1"/>
  <c r="AL453" i="4" s="1"/>
  <c r="L453" i="4"/>
  <c r="K453" i="4"/>
  <c r="I453" i="4"/>
  <c r="AD453" i="4" s="1"/>
  <c r="E453" i="4"/>
  <c r="AJ452" i="4"/>
  <c r="AH452" i="4"/>
  <c r="AI452" i="4" s="1"/>
  <c r="AC452" i="4"/>
  <c r="X452" i="4"/>
  <c r="Y452" i="4" s="1"/>
  <c r="W452" i="4"/>
  <c r="T452" i="4"/>
  <c r="S452" i="4"/>
  <c r="R452" i="4"/>
  <c r="O452" i="4"/>
  <c r="N452" i="4"/>
  <c r="L452" i="4"/>
  <c r="K452" i="4"/>
  <c r="I452" i="4"/>
  <c r="E452" i="4"/>
  <c r="AJ451" i="4"/>
  <c r="AH451" i="4"/>
  <c r="AI451" i="4" s="1"/>
  <c r="AC451" i="4"/>
  <c r="X451" i="4"/>
  <c r="Y451" i="4" s="1"/>
  <c r="W451" i="4"/>
  <c r="T451" i="4"/>
  <c r="S451" i="4"/>
  <c r="R451" i="4"/>
  <c r="O451" i="4"/>
  <c r="N451" i="4"/>
  <c r="Q451" i="4" s="1"/>
  <c r="L451" i="4"/>
  <c r="K451" i="4"/>
  <c r="I451" i="4"/>
  <c r="AD451" i="4" s="1"/>
  <c r="E451" i="4"/>
  <c r="AJ450" i="4"/>
  <c r="AH450" i="4"/>
  <c r="AI450" i="4" s="1"/>
  <c r="AD450" i="4"/>
  <c r="AC450" i="4"/>
  <c r="X450" i="4"/>
  <c r="Y450" i="4" s="1"/>
  <c r="W450" i="4"/>
  <c r="T450" i="4"/>
  <c r="S450" i="4"/>
  <c r="R450" i="4"/>
  <c r="O450" i="4"/>
  <c r="N450" i="4"/>
  <c r="AK450" i="4" s="1"/>
  <c r="AL450" i="4" s="1"/>
  <c r="L450" i="4"/>
  <c r="K450" i="4"/>
  <c r="J450" i="4"/>
  <c r="I450" i="4"/>
  <c r="E450" i="4"/>
  <c r="AJ449" i="4"/>
  <c r="AH449" i="4"/>
  <c r="AI449" i="4" s="1"/>
  <c r="AC449" i="4"/>
  <c r="X449" i="4"/>
  <c r="Y449" i="4" s="1"/>
  <c r="W449" i="4"/>
  <c r="T449" i="4"/>
  <c r="S449" i="4"/>
  <c r="R449" i="4"/>
  <c r="O449" i="4"/>
  <c r="N449" i="4"/>
  <c r="Q449" i="4" s="1"/>
  <c r="L449" i="4"/>
  <c r="K449" i="4"/>
  <c r="I449" i="4"/>
  <c r="AD449" i="4" s="1"/>
  <c r="E449" i="4"/>
  <c r="AJ448" i="4"/>
  <c r="AH448" i="4"/>
  <c r="AI448" i="4" s="1"/>
  <c r="AC448" i="4"/>
  <c r="X448" i="4"/>
  <c r="Y448" i="4" s="1"/>
  <c r="W448" i="4"/>
  <c r="T448" i="4"/>
  <c r="S448" i="4"/>
  <c r="R448" i="4"/>
  <c r="O448" i="4"/>
  <c r="N448" i="4"/>
  <c r="AK448" i="4" s="1"/>
  <c r="AL448" i="4" s="1"/>
  <c r="L448" i="4"/>
  <c r="K448" i="4"/>
  <c r="I448" i="4"/>
  <c r="AD448" i="4" s="1"/>
  <c r="E448" i="4"/>
  <c r="AJ447" i="4"/>
  <c r="AH447" i="4"/>
  <c r="AI447" i="4" s="1"/>
  <c r="AC447" i="4"/>
  <c r="X447" i="4"/>
  <c r="Y447" i="4" s="1"/>
  <c r="W447" i="4"/>
  <c r="T447" i="4"/>
  <c r="S447" i="4"/>
  <c r="R447" i="4"/>
  <c r="O447" i="4"/>
  <c r="N447" i="4"/>
  <c r="Q447" i="4" s="1"/>
  <c r="L447" i="4"/>
  <c r="K447" i="4"/>
  <c r="I447" i="4"/>
  <c r="AD447" i="4" s="1"/>
  <c r="E447" i="4"/>
  <c r="AJ446" i="4"/>
  <c r="AH446" i="4"/>
  <c r="AI446" i="4" s="1"/>
  <c r="AC446" i="4"/>
  <c r="X446" i="4"/>
  <c r="Y446" i="4" s="1"/>
  <c r="W446" i="4"/>
  <c r="T446" i="4"/>
  <c r="S446" i="4"/>
  <c r="R446" i="4"/>
  <c r="O446" i="4"/>
  <c r="N446" i="4"/>
  <c r="Q446" i="4" s="1"/>
  <c r="L446" i="4"/>
  <c r="K446" i="4"/>
  <c r="I446" i="4"/>
  <c r="AD446" i="4" s="1"/>
  <c r="E446" i="4"/>
  <c r="AJ445" i="4"/>
  <c r="AH445" i="4"/>
  <c r="AI445" i="4" s="1"/>
  <c r="AC445" i="4"/>
  <c r="X445" i="4"/>
  <c r="Y445" i="4" s="1"/>
  <c r="W445" i="4"/>
  <c r="T445" i="4"/>
  <c r="S445" i="4"/>
  <c r="R445" i="4"/>
  <c r="O445" i="4"/>
  <c r="N445" i="4"/>
  <c r="AK445" i="4" s="1"/>
  <c r="AL445" i="4" s="1"/>
  <c r="L445" i="4"/>
  <c r="K445" i="4"/>
  <c r="I445" i="4"/>
  <c r="AD445" i="4" s="1"/>
  <c r="E445" i="4"/>
  <c r="AJ444" i="4"/>
  <c r="AH444" i="4"/>
  <c r="AI444" i="4" s="1"/>
  <c r="AC444" i="4"/>
  <c r="X444" i="4"/>
  <c r="Y444" i="4" s="1"/>
  <c r="W444" i="4"/>
  <c r="T444" i="4"/>
  <c r="S444" i="4"/>
  <c r="R444" i="4"/>
  <c r="O444" i="4"/>
  <c r="N444" i="4"/>
  <c r="AK444" i="4" s="1"/>
  <c r="AL444" i="4" s="1"/>
  <c r="L444" i="4"/>
  <c r="K444" i="4"/>
  <c r="I444" i="4"/>
  <c r="AD444" i="4" s="1"/>
  <c r="E444" i="4"/>
  <c r="AJ443" i="4"/>
  <c r="AH443" i="4"/>
  <c r="AI443" i="4" s="1"/>
  <c r="AC443" i="4"/>
  <c r="Y443" i="4"/>
  <c r="X443" i="4"/>
  <c r="W443" i="4"/>
  <c r="T443" i="4"/>
  <c r="S443" i="4"/>
  <c r="R443" i="4"/>
  <c r="O443" i="4"/>
  <c r="N443" i="4"/>
  <c r="Q443" i="4" s="1"/>
  <c r="L443" i="4"/>
  <c r="K443" i="4"/>
  <c r="I443" i="4"/>
  <c r="AD443" i="4" s="1"/>
  <c r="E443" i="4"/>
  <c r="AJ442" i="4"/>
  <c r="AH442" i="4"/>
  <c r="AI442" i="4" s="1"/>
  <c r="AC442" i="4"/>
  <c r="X442" i="4"/>
  <c r="Y442" i="4" s="1"/>
  <c r="W442" i="4"/>
  <c r="T442" i="4"/>
  <c r="S442" i="4"/>
  <c r="R442" i="4"/>
  <c r="O442" i="4"/>
  <c r="N442" i="4"/>
  <c r="AK442" i="4" s="1"/>
  <c r="AL442" i="4" s="1"/>
  <c r="L442" i="4"/>
  <c r="K442" i="4"/>
  <c r="I442" i="4"/>
  <c r="AD442" i="4" s="1"/>
  <c r="E442" i="4"/>
  <c r="AJ441" i="4"/>
  <c r="AH441" i="4"/>
  <c r="AI441" i="4" s="1"/>
  <c r="AC441" i="4"/>
  <c r="X441" i="4"/>
  <c r="Y441" i="4" s="1"/>
  <c r="W441" i="4"/>
  <c r="T441" i="4"/>
  <c r="S441" i="4"/>
  <c r="R441" i="4"/>
  <c r="O441" i="4"/>
  <c r="N441" i="4"/>
  <c r="Q441" i="4" s="1"/>
  <c r="L441" i="4"/>
  <c r="K441" i="4"/>
  <c r="I441" i="4"/>
  <c r="AD441" i="4" s="1"/>
  <c r="E441" i="4"/>
  <c r="AJ440" i="4"/>
  <c r="AH440" i="4"/>
  <c r="AI440" i="4" s="1"/>
  <c r="AC440" i="4"/>
  <c r="X440" i="4"/>
  <c r="Y440" i="4" s="1"/>
  <c r="W440" i="4"/>
  <c r="T440" i="4"/>
  <c r="S440" i="4"/>
  <c r="R440" i="4"/>
  <c r="Q440" i="4"/>
  <c r="O440" i="4"/>
  <c r="N440" i="4"/>
  <c r="AK440" i="4" s="1"/>
  <c r="AL440" i="4" s="1"/>
  <c r="L440" i="4"/>
  <c r="K440" i="4"/>
  <c r="I440" i="4"/>
  <c r="AD440" i="4" s="1"/>
  <c r="E440" i="4"/>
  <c r="AJ439" i="4"/>
  <c r="AH439" i="4"/>
  <c r="AI439" i="4" s="1"/>
  <c r="AC439" i="4"/>
  <c r="X439" i="4"/>
  <c r="Y439" i="4" s="1"/>
  <c r="W439" i="4"/>
  <c r="T439" i="4"/>
  <c r="S439" i="4"/>
  <c r="R439" i="4"/>
  <c r="O439" i="4"/>
  <c r="N439" i="4"/>
  <c r="Q439" i="4" s="1"/>
  <c r="L439" i="4"/>
  <c r="K439" i="4"/>
  <c r="I439" i="4"/>
  <c r="AD439" i="4" s="1"/>
  <c r="E439" i="4"/>
  <c r="AJ438" i="4"/>
  <c r="AH438" i="4"/>
  <c r="AI438" i="4" s="1"/>
  <c r="AC438" i="4"/>
  <c r="X438" i="4"/>
  <c r="Y438" i="4" s="1"/>
  <c r="W438" i="4"/>
  <c r="T438" i="4"/>
  <c r="S438" i="4"/>
  <c r="R438" i="4"/>
  <c r="O438" i="4"/>
  <c r="N438" i="4"/>
  <c r="Q438" i="4" s="1"/>
  <c r="L438" i="4"/>
  <c r="K438" i="4"/>
  <c r="I438" i="4"/>
  <c r="AD438" i="4" s="1"/>
  <c r="E438" i="4"/>
  <c r="AJ437" i="4"/>
  <c r="AH437" i="4"/>
  <c r="AI437" i="4" s="1"/>
  <c r="AC437" i="4"/>
  <c r="X437" i="4"/>
  <c r="Y437" i="4" s="1"/>
  <c r="W437" i="4"/>
  <c r="T437" i="4"/>
  <c r="S437" i="4"/>
  <c r="R437" i="4"/>
  <c r="Q437" i="4"/>
  <c r="O437" i="4"/>
  <c r="N437" i="4"/>
  <c r="AK437" i="4" s="1"/>
  <c r="AL437" i="4" s="1"/>
  <c r="L437" i="4"/>
  <c r="K437" i="4"/>
  <c r="I437" i="4"/>
  <c r="AD437" i="4" s="1"/>
  <c r="E437" i="4"/>
  <c r="AJ436" i="4"/>
  <c r="AH436" i="4"/>
  <c r="AI436" i="4" s="1"/>
  <c r="AC436" i="4"/>
  <c r="X436" i="4"/>
  <c r="Y436" i="4" s="1"/>
  <c r="W436" i="4"/>
  <c r="T436" i="4"/>
  <c r="S436" i="4"/>
  <c r="R436" i="4"/>
  <c r="O436" i="4"/>
  <c r="N436" i="4"/>
  <c r="AK436" i="4" s="1"/>
  <c r="AL436" i="4" s="1"/>
  <c r="L436" i="4"/>
  <c r="K436" i="4"/>
  <c r="I436" i="4"/>
  <c r="AD436" i="4" s="1"/>
  <c r="E436" i="4"/>
  <c r="AJ435" i="4"/>
  <c r="AH435" i="4"/>
  <c r="AI435" i="4" s="1"/>
  <c r="AC435" i="4"/>
  <c r="X435" i="4"/>
  <c r="Y435" i="4" s="1"/>
  <c r="W435" i="4"/>
  <c r="T435" i="4"/>
  <c r="S435" i="4"/>
  <c r="R435" i="4"/>
  <c r="O435" i="4"/>
  <c r="N435" i="4"/>
  <c r="Q435" i="4" s="1"/>
  <c r="L435" i="4"/>
  <c r="K435" i="4"/>
  <c r="I435" i="4"/>
  <c r="AD435" i="4" s="1"/>
  <c r="E435" i="4"/>
  <c r="AJ434" i="4"/>
  <c r="AH434" i="4"/>
  <c r="AI434" i="4" s="1"/>
  <c r="AC434" i="4"/>
  <c r="X434" i="4"/>
  <c r="Y434" i="4" s="1"/>
  <c r="W434" i="4"/>
  <c r="T434" i="4"/>
  <c r="S434" i="4"/>
  <c r="R434" i="4"/>
  <c r="O434" i="4"/>
  <c r="N434" i="4"/>
  <c r="AK434" i="4" s="1"/>
  <c r="AL434" i="4" s="1"/>
  <c r="L434" i="4"/>
  <c r="K434" i="4"/>
  <c r="I434" i="4"/>
  <c r="AD434" i="4" s="1"/>
  <c r="E434" i="4"/>
  <c r="AJ433" i="4"/>
  <c r="AH433" i="4"/>
  <c r="AI433" i="4" s="1"/>
  <c r="AD433" i="4"/>
  <c r="AC433" i="4"/>
  <c r="X433" i="4"/>
  <c r="Y433" i="4" s="1"/>
  <c r="W433" i="4"/>
  <c r="T433" i="4"/>
  <c r="S433" i="4"/>
  <c r="R433" i="4"/>
  <c r="O433" i="4"/>
  <c r="N433" i="4"/>
  <c r="Q433" i="4" s="1"/>
  <c r="L433" i="4"/>
  <c r="K433" i="4"/>
  <c r="J433" i="4"/>
  <c r="I433" i="4"/>
  <c r="E433" i="4"/>
  <c r="AJ432" i="4"/>
  <c r="AH432" i="4"/>
  <c r="AI432" i="4" s="1"/>
  <c r="AC432" i="4"/>
  <c r="X432" i="4"/>
  <c r="Y432" i="4" s="1"/>
  <c r="W432" i="4"/>
  <c r="T432" i="4"/>
  <c r="S432" i="4"/>
  <c r="R432" i="4"/>
  <c r="O432" i="4"/>
  <c r="N432" i="4"/>
  <c r="Q432" i="4" s="1"/>
  <c r="L432" i="4"/>
  <c r="K432" i="4"/>
  <c r="I432" i="4"/>
  <c r="AD432" i="4" s="1"/>
  <c r="E432" i="4"/>
  <c r="AJ431" i="4"/>
  <c r="AH431" i="4"/>
  <c r="AI431" i="4" s="1"/>
  <c r="AC431" i="4"/>
  <c r="X431" i="4"/>
  <c r="Y431" i="4" s="1"/>
  <c r="W431" i="4"/>
  <c r="T431" i="4"/>
  <c r="S431" i="4"/>
  <c r="R431" i="4"/>
  <c r="Q431" i="4"/>
  <c r="O431" i="4"/>
  <c r="N431" i="4"/>
  <c r="AK431" i="4" s="1"/>
  <c r="AL431" i="4" s="1"/>
  <c r="L431" i="4"/>
  <c r="K431" i="4"/>
  <c r="I431" i="4"/>
  <c r="J431" i="4" s="1"/>
  <c r="E431" i="4"/>
  <c r="AJ430" i="4"/>
  <c r="AH430" i="4"/>
  <c r="AI430" i="4" s="1"/>
  <c r="AC430" i="4"/>
  <c r="X430" i="4"/>
  <c r="Y430" i="4" s="1"/>
  <c r="W430" i="4"/>
  <c r="T430" i="4"/>
  <c r="S430" i="4"/>
  <c r="R430" i="4"/>
  <c r="O430" i="4"/>
  <c r="N430" i="4"/>
  <c r="Q430" i="4" s="1"/>
  <c r="L430" i="4"/>
  <c r="K430" i="4"/>
  <c r="I430" i="4"/>
  <c r="AD430" i="4" s="1"/>
  <c r="E430" i="4"/>
  <c r="AJ429" i="4"/>
  <c r="AH429" i="4"/>
  <c r="AI429" i="4" s="1"/>
  <c r="AC429" i="4"/>
  <c r="X429" i="4"/>
  <c r="Y429" i="4" s="1"/>
  <c r="W429" i="4"/>
  <c r="T429" i="4"/>
  <c r="S429" i="4"/>
  <c r="R429" i="4"/>
  <c r="O429" i="4"/>
  <c r="N429" i="4"/>
  <c r="Q429" i="4" s="1"/>
  <c r="L429" i="4"/>
  <c r="K429" i="4"/>
  <c r="I429" i="4"/>
  <c r="AD429" i="4" s="1"/>
  <c r="E429" i="4"/>
  <c r="AJ428" i="4"/>
  <c r="AH428" i="4"/>
  <c r="AI428" i="4" s="1"/>
  <c r="AC428" i="4"/>
  <c r="X428" i="4"/>
  <c r="Y428" i="4" s="1"/>
  <c r="W428" i="4"/>
  <c r="T428" i="4"/>
  <c r="S428" i="4"/>
  <c r="R428" i="4"/>
  <c r="Q428" i="4"/>
  <c r="O428" i="4"/>
  <c r="N428" i="4"/>
  <c r="AK428" i="4" s="1"/>
  <c r="AL428" i="4" s="1"/>
  <c r="L428" i="4"/>
  <c r="K428" i="4"/>
  <c r="I428" i="4"/>
  <c r="AD428" i="4" s="1"/>
  <c r="E428" i="4"/>
  <c r="AJ427" i="4"/>
  <c r="AH427" i="4"/>
  <c r="AI427" i="4" s="1"/>
  <c r="AC427" i="4"/>
  <c r="X427" i="4"/>
  <c r="Y427" i="4" s="1"/>
  <c r="W427" i="4"/>
  <c r="T427" i="4"/>
  <c r="S427" i="4"/>
  <c r="R427" i="4"/>
  <c r="O427" i="4"/>
  <c r="N427" i="4"/>
  <c r="Q427" i="4" s="1"/>
  <c r="L427" i="4"/>
  <c r="K427" i="4"/>
  <c r="J427" i="4"/>
  <c r="I427" i="4"/>
  <c r="AD427" i="4" s="1"/>
  <c r="E427" i="4"/>
  <c r="AJ426" i="4"/>
  <c r="AH426" i="4"/>
  <c r="AI426" i="4" s="1"/>
  <c r="AC426" i="4"/>
  <c r="X426" i="4"/>
  <c r="Y426" i="4" s="1"/>
  <c r="W426" i="4"/>
  <c r="T426" i="4"/>
  <c r="S426" i="4"/>
  <c r="R426" i="4"/>
  <c r="O426" i="4"/>
  <c r="N426" i="4"/>
  <c r="L426" i="4"/>
  <c r="K426" i="4"/>
  <c r="I426" i="4"/>
  <c r="E426" i="4"/>
  <c r="AJ425" i="4"/>
  <c r="AH425" i="4"/>
  <c r="AI425" i="4" s="1"/>
  <c r="AD425" i="4"/>
  <c r="AC425" i="4"/>
  <c r="X425" i="4"/>
  <c r="Y425" i="4" s="1"/>
  <c r="W425" i="4"/>
  <c r="T425" i="4"/>
  <c r="S425" i="4"/>
  <c r="R425" i="4"/>
  <c r="Q425" i="4"/>
  <c r="O425" i="4"/>
  <c r="N425" i="4"/>
  <c r="AK425" i="4" s="1"/>
  <c r="AL425" i="4" s="1"/>
  <c r="L425" i="4"/>
  <c r="K425" i="4"/>
  <c r="J425" i="4"/>
  <c r="I425" i="4"/>
  <c r="E425" i="4"/>
  <c r="AJ424" i="4"/>
  <c r="AH424" i="4"/>
  <c r="AI424" i="4" s="1"/>
  <c r="AC424" i="4"/>
  <c r="X424" i="4"/>
  <c r="Y424" i="4" s="1"/>
  <c r="W424" i="4"/>
  <c r="T424" i="4"/>
  <c r="S424" i="4"/>
  <c r="R424" i="4"/>
  <c r="O424" i="4"/>
  <c r="N424" i="4"/>
  <c r="Q424" i="4" s="1"/>
  <c r="L424" i="4"/>
  <c r="K424" i="4"/>
  <c r="I424" i="4"/>
  <c r="E424" i="4"/>
  <c r="AJ423" i="4"/>
  <c r="AH423" i="4"/>
  <c r="AI423" i="4" s="1"/>
  <c r="AC423" i="4"/>
  <c r="X423" i="4"/>
  <c r="Y423" i="4" s="1"/>
  <c r="W423" i="4"/>
  <c r="T423" i="4"/>
  <c r="S423" i="4"/>
  <c r="R423" i="4"/>
  <c r="O423" i="4"/>
  <c r="N423" i="4"/>
  <c r="AK423" i="4" s="1"/>
  <c r="AL423" i="4" s="1"/>
  <c r="L423" i="4"/>
  <c r="K423" i="4"/>
  <c r="I423" i="4"/>
  <c r="AD423" i="4" s="1"/>
  <c r="E423" i="4"/>
  <c r="AJ422" i="4"/>
  <c r="AH422" i="4"/>
  <c r="AI422" i="4" s="1"/>
  <c r="AC422" i="4"/>
  <c r="X422" i="4"/>
  <c r="Y422" i="4" s="1"/>
  <c r="W422" i="4"/>
  <c r="T422" i="4"/>
  <c r="S422" i="4"/>
  <c r="R422" i="4"/>
  <c r="O422" i="4"/>
  <c r="N422" i="4"/>
  <c r="Q422" i="4" s="1"/>
  <c r="L422" i="4"/>
  <c r="K422" i="4"/>
  <c r="I422" i="4"/>
  <c r="J422" i="4" s="1"/>
  <c r="E422" i="4"/>
  <c r="AJ421" i="4"/>
  <c r="AH421" i="4"/>
  <c r="AI421" i="4" s="1"/>
  <c r="AC421" i="4"/>
  <c r="X421" i="4"/>
  <c r="Y421" i="4" s="1"/>
  <c r="W421" i="4"/>
  <c r="T421" i="4"/>
  <c r="S421" i="4"/>
  <c r="R421" i="4"/>
  <c r="O421" i="4"/>
  <c r="N421" i="4"/>
  <c r="AK421" i="4" s="1"/>
  <c r="AL421" i="4" s="1"/>
  <c r="L421" i="4"/>
  <c r="K421" i="4"/>
  <c r="I421" i="4"/>
  <c r="AD421" i="4" s="1"/>
  <c r="E421" i="4"/>
  <c r="AJ420" i="4"/>
  <c r="AH420" i="4"/>
  <c r="AI420" i="4" s="1"/>
  <c r="AC420" i="4"/>
  <c r="X420" i="4"/>
  <c r="Y420" i="4" s="1"/>
  <c r="W420" i="4"/>
  <c r="T420" i="4"/>
  <c r="S420" i="4"/>
  <c r="R420" i="4"/>
  <c r="O420" i="4"/>
  <c r="N420" i="4"/>
  <c r="Q420" i="4" s="1"/>
  <c r="L420" i="4"/>
  <c r="K420" i="4"/>
  <c r="I420" i="4"/>
  <c r="J420" i="4" s="1"/>
  <c r="E420" i="4"/>
  <c r="AJ419" i="4"/>
  <c r="AH419" i="4"/>
  <c r="AI419" i="4" s="1"/>
  <c r="AD419" i="4"/>
  <c r="AC419" i="4"/>
  <c r="X419" i="4"/>
  <c r="Y419" i="4" s="1"/>
  <c r="W419" i="4"/>
  <c r="T419" i="4"/>
  <c r="S419" i="4"/>
  <c r="R419" i="4"/>
  <c r="Q419" i="4"/>
  <c r="O419" i="4"/>
  <c r="N419" i="4"/>
  <c r="AK419" i="4" s="1"/>
  <c r="AL419" i="4" s="1"/>
  <c r="L419" i="4"/>
  <c r="K419" i="4"/>
  <c r="J419" i="4"/>
  <c r="I419" i="4"/>
  <c r="E419" i="4"/>
  <c r="AJ418" i="4"/>
  <c r="AH418" i="4"/>
  <c r="AI418" i="4" s="1"/>
  <c r="AC418" i="4"/>
  <c r="X418" i="4"/>
  <c r="Y418" i="4" s="1"/>
  <c r="W418" i="4"/>
  <c r="T418" i="4"/>
  <c r="S418" i="4"/>
  <c r="R418" i="4"/>
  <c r="O418" i="4"/>
  <c r="N418" i="4"/>
  <c r="Q418" i="4" s="1"/>
  <c r="L418" i="4"/>
  <c r="K418" i="4"/>
  <c r="I418" i="4"/>
  <c r="E418" i="4"/>
  <c r="AJ417" i="4"/>
  <c r="AH417" i="4"/>
  <c r="AI417" i="4" s="1"/>
  <c r="AD417" i="4"/>
  <c r="AC417" i="4"/>
  <c r="X417" i="4"/>
  <c r="Y417" i="4" s="1"/>
  <c r="W417" i="4"/>
  <c r="T417" i="4"/>
  <c r="S417" i="4"/>
  <c r="R417" i="4"/>
  <c r="Q417" i="4"/>
  <c r="O417" i="4"/>
  <c r="N417" i="4"/>
  <c r="AK417" i="4" s="1"/>
  <c r="AL417" i="4" s="1"/>
  <c r="L417" i="4"/>
  <c r="K417" i="4"/>
  <c r="J417" i="4"/>
  <c r="I417" i="4"/>
  <c r="E417" i="4"/>
  <c r="AJ416" i="4"/>
  <c r="AH416" i="4"/>
  <c r="AI416" i="4" s="1"/>
  <c r="AC416" i="4"/>
  <c r="X416" i="4"/>
  <c r="Y416" i="4" s="1"/>
  <c r="W416" i="4"/>
  <c r="T416" i="4"/>
  <c r="S416" i="4"/>
  <c r="R416" i="4"/>
  <c r="O416" i="4"/>
  <c r="N416" i="4"/>
  <c r="L416" i="4"/>
  <c r="K416" i="4"/>
  <c r="I416" i="4"/>
  <c r="E416" i="4"/>
  <c r="AJ415" i="4"/>
  <c r="AH415" i="4"/>
  <c r="AI415" i="4" s="1"/>
  <c r="AC415" i="4"/>
  <c r="X415" i="4"/>
  <c r="Y415" i="4" s="1"/>
  <c r="W415" i="4"/>
  <c r="T415" i="4"/>
  <c r="S415" i="4"/>
  <c r="R415" i="4"/>
  <c r="O415" i="4"/>
  <c r="N415" i="4"/>
  <c r="Q415" i="4" s="1"/>
  <c r="L415" i="4"/>
  <c r="K415" i="4"/>
  <c r="J415" i="4"/>
  <c r="I415" i="4"/>
  <c r="AD415" i="4" s="1"/>
  <c r="E415" i="4"/>
  <c r="AJ414" i="4"/>
  <c r="AH414" i="4"/>
  <c r="AI414" i="4" s="1"/>
  <c r="AC414" i="4"/>
  <c r="X414" i="4"/>
  <c r="Y414" i="4" s="1"/>
  <c r="W414" i="4"/>
  <c r="T414" i="4"/>
  <c r="S414" i="4"/>
  <c r="R414" i="4"/>
  <c r="O414" i="4"/>
  <c r="N414" i="4"/>
  <c r="L414" i="4"/>
  <c r="K414" i="4"/>
  <c r="I414" i="4"/>
  <c r="E414" i="4"/>
  <c r="AJ413" i="4"/>
  <c r="AH413" i="4"/>
  <c r="AI413" i="4" s="1"/>
  <c r="AC413" i="4"/>
  <c r="X413" i="4"/>
  <c r="Y413" i="4" s="1"/>
  <c r="W413" i="4"/>
  <c r="T413" i="4"/>
  <c r="S413" i="4"/>
  <c r="R413" i="4"/>
  <c r="O413" i="4"/>
  <c r="N413" i="4"/>
  <c r="Q413" i="4" s="1"/>
  <c r="L413" i="4"/>
  <c r="K413" i="4"/>
  <c r="J413" i="4"/>
  <c r="I413" i="4"/>
  <c r="AD413" i="4" s="1"/>
  <c r="E413" i="4"/>
  <c r="AJ412" i="4"/>
  <c r="AH412" i="4"/>
  <c r="AI412" i="4" s="1"/>
  <c r="AC412" i="4"/>
  <c r="X412" i="4"/>
  <c r="Y412" i="4" s="1"/>
  <c r="W412" i="4"/>
  <c r="T412" i="4"/>
  <c r="S412" i="4"/>
  <c r="R412" i="4"/>
  <c r="O412" i="4"/>
  <c r="N412" i="4"/>
  <c r="L412" i="4"/>
  <c r="K412" i="4"/>
  <c r="I412" i="4"/>
  <c r="AD412" i="4" s="1"/>
  <c r="E412" i="4"/>
  <c r="AJ411" i="4"/>
  <c r="AH411" i="4"/>
  <c r="AI411" i="4" s="1"/>
  <c r="AC411" i="4"/>
  <c r="X411" i="4"/>
  <c r="Y411" i="4" s="1"/>
  <c r="W411" i="4"/>
  <c r="T411" i="4"/>
  <c r="S411" i="4"/>
  <c r="R411" i="4"/>
  <c r="O411" i="4"/>
  <c r="N411" i="4"/>
  <c r="L411" i="4"/>
  <c r="K411" i="4"/>
  <c r="I411" i="4"/>
  <c r="AD411" i="4" s="1"/>
  <c r="E411" i="4"/>
  <c r="AJ410" i="4"/>
  <c r="AH410" i="4"/>
  <c r="AI410" i="4" s="1"/>
  <c r="AC410" i="4"/>
  <c r="X410" i="4"/>
  <c r="Y410" i="4" s="1"/>
  <c r="W410" i="4"/>
  <c r="T410" i="4"/>
  <c r="S410" i="4"/>
  <c r="R410" i="4"/>
  <c r="O410" i="4"/>
  <c r="N410" i="4"/>
  <c r="L410" i="4"/>
  <c r="K410" i="4"/>
  <c r="I410" i="4"/>
  <c r="AD410" i="4" s="1"/>
  <c r="E410" i="4"/>
  <c r="AJ409" i="4"/>
  <c r="AH409" i="4"/>
  <c r="AI409" i="4" s="1"/>
  <c r="AC409" i="4"/>
  <c r="X409" i="4"/>
  <c r="Y409" i="4" s="1"/>
  <c r="W409" i="4"/>
  <c r="T409" i="4"/>
  <c r="S409" i="4"/>
  <c r="R409" i="4"/>
  <c r="O409" i="4"/>
  <c r="N409" i="4"/>
  <c r="AK409" i="4" s="1"/>
  <c r="AL409" i="4" s="1"/>
  <c r="L409" i="4"/>
  <c r="K409" i="4"/>
  <c r="I409" i="4"/>
  <c r="AD409" i="4" s="1"/>
  <c r="E409" i="4"/>
  <c r="AJ408" i="4"/>
  <c r="AH408" i="4"/>
  <c r="AI408" i="4" s="1"/>
  <c r="AC408" i="4"/>
  <c r="X408" i="4"/>
  <c r="Y408" i="4" s="1"/>
  <c r="W408" i="4"/>
  <c r="T408" i="4"/>
  <c r="S408" i="4"/>
  <c r="R408" i="4"/>
  <c r="O408" i="4"/>
  <c r="N408" i="4"/>
  <c r="Q408" i="4" s="1"/>
  <c r="L408" i="4"/>
  <c r="K408" i="4"/>
  <c r="I408" i="4"/>
  <c r="J408" i="4" s="1"/>
  <c r="E408" i="4"/>
  <c r="AJ407" i="4"/>
  <c r="AH407" i="4"/>
  <c r="AI407" i="4" s="1"/>
  <c r="AD407" i="4"/>
  <c r="AC407" i="4"/>
  <c r="X407" i="4"/>
  <c r="Y407" i="4" s="1"/>
  <c r="W407" i="4"/>
  <c r="T407" i="4"/>
  <c r="S407" i="4"/>
  <c r="R407" i="4"/>
  <c r="O407" i="4"/>
  <c r="N407" i="4"/>
  <c r="AK407" i="4" s="1"/>
  <c r="AL407" i="4" s="1"/>
  <c r="L407" i="4"/>
  <c r="K407" i="4"/>
  <c r="J407" i="4"/>
  <c r="I407" i="4"/>
  <c r="E407" i="4"/>
  <c r="AJ406" i="4"/>
  <c r="AH406" i="4"/>
  <c r="AI406" i="4" s="1"/>
  <c r="AC406" i="4"/>
  <c r="X406" i="4"/>
  <c r="Y406" i="4" s="1"/>
  <c r="W406" i="4"/>
  <c r="T406" i="4"/>
  <c r="S406" i="4"/>
  <c r="R406" i="4"/>
  <c r="O406" i="4"/>
  <c r="N406" i="4"/>
  <c r="Q406" i="4" s="1"/>
  <c r="L406" i="4"/>
  <c r="K406" i="4"/>
  <c r="I406" i="4"/>
  <c r="AD406" i="4" s="1"/>
  <c r="E406" i="4"/>
  <c r="AJ405" i="4"/>
  <c r="AH405" i="4"/>
  <c r="AI405" i="4" s="1"/>
  <c r="AD405" i="4"/>
  <c r="AC405" i="4"/>
  <c r="X405" i="4"/>
  <c r="Y405" i="4" s="1"/>
  <c r="W405" i="4"/>
  <c r="T405" i="4"/>
  <c r="S405" i="4"/>
  <c r="R405" i="4"/>
  <c r="O405" i="4"/>
  <c r="N405" i="4"/>
  <c r="AK405" i="4" s="1"/>
  <c r="AL405" i="4" s="1"/>
  <c r="L405" i="4"/>
  <c r="K405" i="4"/>
  <c r="J405" i="4"/>
  <c r="I405" i="4"/>
  <c r="E405" i="4"/>
  <c r="AJ404" i="4"/>
  <c r="AH404" i="4"/>
  <c r="AI404" i="4" s="1"/>
  <c r="AC404" i="4"/>
  <c r="X404" i="4"/>
  <c r="Y404" i="4" s="1"/>
  <c r="W404" i="4"/>
  <c r="T404" i="4"/>
  <c r="S404" i="4"/>
  <c r="R404" i="4"/>
  <c r="O404" i="4"/>
  <c r="N404" i="4"/>
  <c r="Q404" i="4" s="1"/>
  <c r="L404" i="4"/>
  <c r="K404" i="4"/>
  <c r="I404" i="4"/>
  <c r="AD404" i="4" s="1"/>
  <c r="E404" i="4"/>
  <c r="AJ403" i="4"/>
  <c r="AH403" i="4"/>
  <c r="AI403" i="4" s="1"/>
  <c r="AC403" i="4"/>
  <c r="X403" i="4"/>
  <c r="Y403" i="4" s="1"/>
  <c r="W403" i="4"/>
  <c r="T403" i="4"/>
  <c r="S403" i="4"/>
  <c r="R403" i="4"/>
  <c r="O403" i="4"/>
  <c r="N403" i="4"/>
  <c r="L403" i="4"/>
  <c r="K403" i="4"/>
  <c r="J403" i="4"/>
  <c r="I403" i="4"/>
  <c r="AD403" i="4" s="1"/>
  <c r="E403" i="4"/>
  <c r="AJ402" i="4"/>
  <c r="AH402" i="4"/>
  <c r="AI402" i="4" s="1"/>
  <c r="AC402" i="4"/>
  <c r="X402" i="4"/>
  <c r="Y402" i="4" s="1"/>
  <c r="W402" i="4"/>
  <c r="T402" i="4"/>
  <c r="S402" i="4"/>
  <c r="R402" i="4"/>
  <c r="O402" i="4"/>
  <c r="N402" i="4"/>
  <c r="L402" i="4"/>
  <c r="K402" i="4"/>
  <c r="I402" i="4"/>
  <c r="AD402" i="4" s="1"/>
  <c r="E402" i="4"/>
  <c r="AJ401" i="4"/>
  <c r="AH401" i="4"/>
  <c r="AI401" i="4" s="1"/>
  <c r="AC401" i="4"/>
  <c r="X401" i="4"/>
  <c r="Y401" i="4" s="1"/>
  <c r="W401" i="4"/>
  <c r="T401" i="4"/>
  <c r="S401" i="4"/>
  <c r="R401" i="4"/>
  <c r="O401" i="4"/>
  <c r="N401" i="4"/>
  <c r="L401" i="4"/>
  <c r="K401" i="4"/>
  <c r="I401" i="4"/>
  <c r="AD401" i="4" s="1"/>
  <c r="E401" i="4"/>
  <c r="AJ400" i="4"/>
  <c r="AH400" i="4"/>
  <c r="AI400" i="4" s="1"/>
  <c r="AC400" i="4"/>
  <c r="X400" i="4"/>
  <c r="Y400" i="4" s="1"/>
  <c r="W400" i="4"/>
  <c r="T400" i="4"/>
  <c r="S400" i="4"/>
  <c r="R400" i="4"/>
  <c r="O400" i="4"/>
  <c r="N400" i="4"/>
  <c r="L400" i="4"/>
  <c r="K400" i="4"/>
  <c r="I400" i="4"/>
  <c r="E400" i="4"/>
  <c r="AJ399" i="4"/>
  <c r="AH399" i="4"/>
  <c r="AI399" i="4" s="1"/>
  <c r="AC399" i="4"/>
  <c r="X399" i="4"/>
  <c r="Y399" i="4" s="1"/>
  <c r="W399" i="4"/>
  <c r="T399" i="4"/>
  <c r="S399" i="4"/>
  <c r="R399" i="4"/>
  <c r="O399" i="4"/>
  <c r="N399" i="4"/>
  <c r="L399" i="4"/>
  <c r="K399" i="4"/>
  <c r="J399" i="4"/>
  <c r="I399" i="4"/>
  <c r="AD399" i="4" s="1"/>
  <c r="E399" i="4"/>
  <c r="AJ398" i="4"/>
  <c r="AH398" i="4"/>
  <c r="AI398" i="4" s="1"/>
  <c r="AC398" i="4"/>
  <c r="X398" i="4"/>
  <c r="Y398" i="4" s="1"/>
  <c r="W398" i="4"/>
  <c r="T398" i="4"/>
  <c r="S398" i="4"/>
  <c r="R398" i="4"/>
  <c r="O398" i="4"/>
  <c r="N398" i="4"/>
  <c r="L398" i="4"/>
  <c r="K398" i="4"/>
  <c r="I398" i="4"/>
  <c r="AD398" i="4" s="1"/>
  <c r="E398" i="4"/>
  <c r="AJ397" i="4"/>
  <c r="AH397" i="4"/>
  <c r="AI397" i="4" s="1"/>
  <c r="AC397" i="4"/>
  <c r="X397" i="4"/>
  <c r="Y397" i="4" s="1"/>
  <c r="W397" i="4"/>
  <c r="T397" i="4"/>
  <c r="S397" i="4"/>
  <c r="R397" i="4"/>
  <c r="O397" i="4"/>
  <c r="N397" i="4"/>
  <c r="L397" i="4"/>
  <c r="K397" i="4"/>
  <c r="I397" i="4"/>
  <c r="AD397" i="4" s="1"/>
  <c r="E397" i="4"/>
  <c r="AJ396" i="4"/>
  <c r="AH396" i="4"/>
  <c r="AI396" i="4" s="1"/>
  <c r="AC396" i="4"/>
  <c r="X396" i="4"/>
  <c r="Y396" i="4" s="1"/>
  <c r="W396" i="4"/>
  <c r="T396" i="4"/>
  <c r="S396" i="4"/>
  <c r="R396" i="4"/>
  <c r="O396" i="4"/>
  <c r="N396" i="4"/>
  <c r="AK396" i="4" s="1"/>
  <c r="AL396" i="4" s="1"/>
  <c r="L396" i="4"/>
  <c r="K396" i="4"/>
  <c r="I396" i="4"/>
  <c r="AD396" i="4" s="1"/>
  <c r="E396" i="4"/>
  <c r="AJ395" i="4"/>
  <c r="AH395" i="4"/>
  <c r="AI395" i="4" s="1"/>
  <c r="AC395" i="4"/>
  <c r="X395" i="4"/>
  <c r="Y395" i="4" s="1"/>
  <c r="W395" i="4"/>
  <c r="T395" i="4"/>
  <c r="S395" i="4"/>
  <c r="R395" i="4"/>
  <c r="O395" i="4"/>
  <c r="N395" i="4"/>
  <c r="AK395" i="4" s="1"/>
  <c r="AL395" i="4" s="1"/>
  <c r="L395" i="4"/>
  <c r="K395" i="4"/>
  <c r="I395" i="4"/>
  <c r="E395" i="4"/>
  <c r="AJ394" i="4"/>
  <c r="AH394" i="4"/>
  <c r="AI394" i="4" s="1"/>
  <c r="AC394" i="4"/>
  <c r="X394" i="4"/>
  <c r="Y394" i="4" s="1"/>
  <c r="W394" i="4"/>
  <c r="T394" i="4"/>
  <c r="S394" i="4"/>
  <c r="R394" i="4"/>
  <c r="O394" i="4"/>
  <c r="N394" i="4"/>
  <c r="L394" i="4"/>
  <c r="K394" i="4"/>
  <c r="I394" i="4"/>
  <c r="AD394" i="4" s="1"/>
  <c r="E394" i="4"/>
  <c r="AJ393" i="4"/>
  <c r="AH393" i="4"/>
  <c r="AI393" i="4" s="1"/>
  <c r="AC393" i="4"/>
  <c r="X393" i="4"/>
  <c r="Y393" i="4" s="1"/>
  <c r="W393" i="4"/>
  <c r="T393" i="4"/>
  <c r="S393" i="4"/>
  <c r="R393" i="4"/>
  <c r="O393" i="4"/>
  <c r="N393" i="4"/>
  <c r="L393" i="4"/>
  <c r="K393" i="4"/>
  <c r="I393" i="4"/>
  <c r="AD393" i="4" s="1"/>
  <c r="E393" i="4"/>
  <c r="AJ392" i="4"/>
  <c r="AH392" i="4"/>
  <c r="AI392" i="4" s="1"/>
  <c r="AC392" i="4"/>
  <c r="X392" i="4"/>
  <c r="Y392" i="4" s="1"/>
  <c r="W392" i="4"/>
  <c r="T392" i="4"/>
  <c r="S392" i="4"/>
  <c r="R392" i="4"/>
  <c r="O392" i="4"/>
  <c r="N392" i="4"/>
  <c r="L392" i="4"/>
  <c r="K392" i="4"/>
  <c r="J392" i="4"/>
  <c r="I392" i="4"/>
  <c r="AD392" i="4" s="1"/>
  <c r="E392" i="4"/>
  <c r="AJ391" i="4"/>
  <c r="AI391" i="4"/>
  <c r="AH391" i="4"/>
  <c r="AC391" i="4"/>
  <c r="X391" i="4"/>
  <c r="Y391" i="4" s="1"/>
  <c r="W391" i="4"/>
  <c r="T391" i="4"/>
  <c r="S391" i="4"/>
  <c r="R391" i="4"/>
  <c r="O391" i="4"/>
  <c r="N391" i="4"/>
  <c r="L391" i="4"/>
  <c r="K391" i="4"/>
  <c r="I391" i="4"/>
  <c r="AD391" i="4" s="1"/>
  <c r="E391" i="4"/>
  <c r="AJ390" i="4"/>
  <c r="AH390" i="4"/>
  <c r="AI390" i="4" s="1"/>
  <c r="AC390" i="4"/>
  <c r="X390" i="4"/>
  <c r="Y390" i="4" s="1"/>
  <c r="W390" i="4"/>
  <c r="T390" i="4"/>
  <c r="S390" i="4"/>
  <c r="R390" i="4"/>
  <c r="O390" i="4"/>
  <c r="N390" i="4"/>
  <c r="L390" i="4"/>
  <c r="K390" i="4"/>
  <c r="J390" i="4"/>
  <c r="I390" i="4"/>
  <c r="AD390" i="4" s="1"/>
  <c r="E390" i="4"/>
  <c r="AJ389" i="4"/>
  <c r="AI389" i="4"/>
  <c r="AH389" i="4"/>
  <c r="AC389" i="4"/>
  <c r="X389" i="4"/>
  <c r="Y389" i="4" s="1"/>
  <c r="W389" i="4"/>
  <c r="Z389" i="4" s="1"/>
  <c r="T389" i="4"/>
  <c r="S389" i="4"/>
  <c r="R389" i="4"/>
  <c r="O389" i="4"/>
  <c r="N389" i="4"/>
  <c r="L389" i="4"/>
  <c r="K389" i="4"/>
  <c r="J389" i="4"/>
  <c r="I389" i="4"/>
  <c r="AD389" i="4" s="1"/>
  <c r="E389" i="4"/>
  <c r="AJ388" i="4"/>
  <c r="AI388" i="4"/>
  <c r="AH388" i="4"/>
  <c r="AC388" i="4"/>
  <c r="X388" i="4"/>
  <c r="Y388" i="4" s="1"/>
  <c r="W388" i="4"/>
  <c r="T388" i="4"/>
  <c r="S388" i="4"/>
  <c r="R388" i="4"/>
  <c r="O388" i="4"/>
  <c r="N388" i="4"/>
  <c r="Q388" i="4" s="1"/>
  <c r="L388" i="4"/>
  <c r="K388" i="4"/>
  <c r="J388" i="4"/>
  <c r="I388" i="4"/>
  <c r="AD388" i="4" s="1"/>
  <c r="E388" i="4"/>
  <c r="AJ387" i="4"/>
  <c r="AI387" i="4"/>
  <c r="AH387" i="4"/>
  <c r="AC387" i="4"/>
  <c r="X387" i="4"/>
  <c r="Y387" i="4" s="1"/>
  <c r="W387" i="4"/>
  <c r="Z387" i="4" s="1"/>
  <c r="T387" i="4"/>
  <c r="S387" i="4"/>
  <c r="R387" i="4"/>
  <c r="O387" i="4"/>
  <c r="N387" i="4"/>
  <c r="L387" i="4"/>
  <c r="K387" i="4"/>
  <c r="J387" i="4"/>
  <c r="I387" i="4"/>
  <c r="AD387" i="4" s="1"/>
  <c r="E387" i="4"/>
  <c r="AJ386" i="4"/>
  <c r="AI386" i="4"/>
  <c r="AH386" i="4"/>
  <c r="AC386" i="4"/>
  <c r="X386" i="4"/>
  <c r="Y386" i="4" s="1"/>
  <c r="W386" i="4"/>
  <c r="T386" i="4"/>
  <c r="S386" i="4"/>
  <c r="R386" i="4"/>
  <c r="O386" i="4"/>
  <c r="N386" i="4"/>
  <c r="L386" i="4"/>
  <c r="K386" i="4"/>
  <c r="J386" i="4"/>
  <c r="I386" i="4"/>
  <c r="AD386" i="4" s="1"/>
  <c r="E386" i="4"/>
  <c r="AJ385" i="4"/>
  <c r="AI385" i="4"/>
  <c r="AH385" i="4"/>
  <c r="AC385" i="4"/>
  <c r="X385" i="4"/>
  <c r="Y385" i="4" s="1"/>
  <c r="W385" i="4"/>
  <c r="Z385" i="4" s="1"/>
  <c r="T385" i="4"/>
  <c r="S385" i="4"/>
  <c r="R385" i="4"/>
  <c r="O385" i="4"/>
  <c r="N385" i="4"/>
  <c r="L385" i="4"/>
  <c r="K385" i="4"/>
  <c r="J385" i="4"/>
  <c r="I385" i="4"/>
  <c r="AD385" i="4" s="1"/>
  <c r="E385" i="4"/>
  <c r="AJ384" i="4"/>
  <c r="AI384" i="4"/>
  <c r="AH384" i="4"/>
  <c r="AC384" i="4"/>
  <c r="X384" i="4"/>
  <c r="Y384" i="4" s="1"/>
  <c r="W384" i="4"/>
  <c r="T384" i="4"/>
  <c r="S384" i="4"/>
  <c r="R384" i="4"/>
  <c r="O384" i="4"/>
  <c r="N384" i="4"/>
  <c r="L384" i="4"/>
  <c r="K384" i="4"/>
  <c r="J384" i="4"/>
  <c r="I384" i="4"/>
  <c r="AD384" i="4" s="1"/>
  <c r="E384" i="4"/>
  <c r="AJ383" i="4"/>
  <c r="AI383" i="4"/>
  <c r="AH383" i="4"/>
  <c r="AC383" i="4"/>
  <c r="X383" i="4"/>
  <c r="Y383" i="4" s="1"/>
  <c r="W383" i="4"/>
  <c r="T383" i="4"/>
  <c r="S383" i="4"/>
  <c r="R383" i="4"/>
  <c r="O383" i="4"/>
  <c r="N383" i="4"/>
  <c r="L383" i="4"/>
  <c r="K383" i="4"/>
  <c r="J383" i="4"/>
  <c r="I383" i="4"/>
  <c r="AD383" i="4" s="1"/>
  <c r="E383" i="4"/>
  <c r="AJ382" i="4"/>
  <c r="AI382" i="4"/>
  <c r="AH382" i="4"/>
  <c r="AC382" i="4"/>
  <c r="X382" i="4"/>
  <c r="Y382" i="4" s="1"/>
  <c r="W382" i="4"/>
  <c r="T382" i="4"/>
  <c r="S382" i="4"/>
  <c r="R382" i="4"/>
  <c r="O382" i="4"/>
  <c r="N382" i="4"/>
  <c r="L382" i="4"/>
  <c r="K382" i="4"/>
  <c r="J382" i="4"/>
  <c r="I382" i="4"/>
  <c r="AD382" i="4" s="1"/>
  <c r="E382" i="4"/>
  <c r="AJ381" i="4"/>
  <c r="AI381" i="4"/>
  <c r="AH381" i="4"/>
  <c r="AC381" i="4"/>
  <c r="X381" i="4"/>
  <c r="Y381" i="4" s="1"/>
  <c r="W381" i="4"/>
  <c r="T381" i="4"/>
  <c r="S381" i="4"/>
  <c r="R381" i="4"/>
  <c r="O381" i="4"/>
  <c r="N381" i="4"/>
  <c r="L381" i="4"/>
  <c r="K381" i="4"/>
  <c r="J381" i="4"/>
  <c r="I381" i="4"/>
  <c r="AD381" i="4" s="1"/>
  <c r="E381" i="4"/>
  <c r="AJ380" i="4"/>
  <c r="AI380" i="4"/>
  <c r="AH380" i="4"/>
  <c r="AC380" i="4"/>
  <c r="X380" i="4"/>
  <c r="Y380" i="4" s="1"/>
  <c r="W380" i="4"/>
  <c r="T380" i="4"/>
  <c r="S380" i="4"/>
  <c r="R380" i="4"/>
  <c r="O380" i="4"/>
  <c r="N380" i="4"/>
  <c r="L380" i="4"/>
  <c r="K380" i="4"/>
  <c r="J380" i="4"/>
  <c r="I380" i="4"/>
  <c r="AD380" i="4" s="1"/>
  <c r="E380" i="4"/>
  <c r="AJ379" i="4"/>
  <c r="AI379" i="4"/>
  <c r="AH379" i="4"/>
  <c r="AC379" i="4"/>
  <c r="X379" i="4"/>
  <c r="Y379" i="4" s="1"/>
  <c r="W379" i="4"/>
  <c r="T379" i="4"/>
  <c r="S379" i="4"/>
  <c r="R379" i="4"/>
  <c r="O379" i="4"/>
  <c r="N379" i="4"/>
  <c r="L379" i="4"/>
  <c r="K379" i="4"/>
  <c r="J379" i="4"/>
  <c r="I379" i="4"/>
  <c r="AD379" i="4" s="1"/>
  <c r="E379" i="4"/>
  <c r="AJ378" i="4"/>
  <c r="AI378" i="4"/>
  <c r="AH378" i="4"/>
  <c r="AC378" i="4"/>
  <c r="X378" i="4"/>
  <c r="Y378" i="4" s="1"/>
  <c r="W378" i="4"/>
  <c r="T378" i="4"/>
  <c r="S378" i="4"/>
  <c r="R378" i="4"/>
  <c r="O378" i="4"/>
  <c r="N378" i="4"/>
  <c r="L378" i="4"/>
  <c r="K378" i="4"/>
  <c r="J378" i="4"/>
  <c r="I378" i="4"/>
  <c r="AD378" i="4" s="1"/>
  <c r="E378" i="4"/>
  <c r="AJ377" i="4"/>
  <c r="AI377" i="4"/>
  <c r="AH377" i="4"/>
  <c r="AC377" i="4"/>
  <c r="X377" i="4"/>
  <c r="Y377" i="4" s="1"/>
  <c r="W377" i="4"/>
  <c r="T377" i="4"/>
  <c r="S377" i="4"/>
  <c r="R377" i="4"/>
  <c r="O377" i="4"/>
  <c r="N377" i="4"/>
  <c r="L377" i="4"/>
  <c r="K377" i="4"/>
  <c r="J377" i="4"/>
  <c r="I377" i="4"/>
  <c r="AD377" i="4" s="1"/>
  <c r="E377" i="4"/>
  <c r="AJ376" i="4"/>
  <c r="AI376" i="4"/>
  <c r="AH376" i="4"/>
  <c r="AC376" i="4"/>
  <c r="X376" i="4"/>
  <c r="Y376" i="4" s="1"/>
  <c r="W376" i="4"/>
  <c r="T376" i="4"/>
  <c r="S376" i="4"/>
  <c r="R376" i="4"/>
  <c r="O376" i="4"/>
  <c r="N376" i="4"/>
  <c r="L376" i="4"/>
  <c r="K376" i="4"/>
  <c r="J376" i="4"/>
  <c r="I376" i="4"/>
  <c r="AD376" i="4" s="1"/>
  <c r="E376" i="4"/>
  <c r="AJ375" i="4"/>
  <c r="AI375" i="4"/>
  <c r="AH375" i="4"/>
  <c r="AC375" i="4"/>
  <c r="X375" i="4"/>
  <c r="Y375" i="4" s="1"/>
  <c r="W375" i="4"/>
  <c r="T375" i="4"/>
  <c r="S375" i="4"/>
  <c r="R375" i="4"/>
  <c r="O375" i="4"/>
  <c r="N375" i="4"/>
  <c r="L375" i="4"/>
  <c r="K375" i="4"/>
  <c r="J375" i="4"/>
  <c r="I375" i="4"/>
  <c r="AD375" i="4" s="1"/>
  <c r="E375" i="4"/>
  <c r="AJ374" i="4"/>
  <c r="AI374" i="4"/>
  <c r="AH374" i="4"/>
  <c r="AC374" i="4"/>
  <c r="X374" i="4"/>
  <c r="Y374" i="4" s="1"/>
  <c r="W374" i="4"/>
  <c r="T374" i="4"/>
  <c r="S374" i="4"/>
  <c r="R374" i="4"/>
  <c r="O374" i="4"/>
  <c r="N374" i="4"/>
  <c r="L374" i="4"/>
  <c r="K374" i="4"/>
  <c r="J374" i="4"/>
  <c r="I374" i="4"/>
  <c r="AD374" i="4" s="1"/>
  <c r="E374" i="4"/>
  <c r="AJ373" i="4"/>
  <c r="AI373" i="4"/>
  <c r="AH373" i="4"/>
  <c r="AC373" i="4"/>
  <c r="X373" i="4"/>
  <c r="Y373" i="4" s="1"/>
  <c r="W373" i="4"/>
  <c r="T373" i="4"/>
  <c r="S373" i="4"/>
  <c r="R373" i="4"/>
  <c r="O373" i="4"/>
  <c r="N373" i="4"/>
  <c r="L373" i="4"/>
  <c r="K373" i="4"/>
  <c r="J373" i="4"/>
  <c r="I373" i="4"/>
  <c r="AD373" i="4" s="1"/>
  <c r="E373" i="4"/>
  <c r="AJ372" i="4"/>
  <c r="AI372" i="4"/>
  <c r="AH372" i="4"/>
  <c r="AC372" i="4"/>
  <c r="X372" i="4"/>
  <c r="Y372" i="4" s="1"/>
  <c r="W372" i="4"/>
  <c r="T372" i="4"/>
  <c r="S372" i="4"/>
  <c r="R372" i="4"/>
  <c r="O372" i="4"/>
  <c r="N372" i="4"/>
  <c r="L372" i="4"/>
  <c r="K372" i="4"/>
  <c r="J372" i="4"/>
  <c r="I372" i="4"/>
  <c r="AD372" i="4" s="1"/>
  <c r="E372" i="4"/>
  <c r="AJ371" i="4"/>
  <c r="AI371" i="4"/>
  <c r="AH371" i="4"/>
  <c r="AC371" i="4"/>
  <c r="X371" i="4"/>
  <c r="Y371" i="4" s="1"/>
  <c r="W371" i="4"/>
  <c r="T371" i="4"/>
  <c r="S371" i="4"/>
  <c r="R371" i="4"/>
  <c r="O371" i="4"/>
  <c r="N371" i="4"/>
  <c r="L371" i="4"/>
  <c r="K371" i="4"/>
  <c r="J371" i="4"/>
  <c r="I371" i="4"/>
  <c r="AD371" i="4" s="1"/>
  <c r="E371" i="4"/>
  <c r="AJ370" i="4"/>
  <c r="AI370" i="4"/>
  <c r="AH370" i="4"/>
  <c r="AC370" i="4"/>
  <c r="X370" i="4"/>
  <c r="Y370" i="4" s="1"/>
  <c r="W370" i="4"/>
  <c r="T370" i="4"/>
  <c r="S370" i="4"/>
  <c r="R370" i="4"/>
  <c r="O370" i="4"/>
  <c r="N370" i="4"/>
  <c r="L370" i="4"/>
  <c r="K370" i="4"/>
  <c r="J370" i="4"/>
  <c r="I370" i="4"/>
  <c r="AD370" i="4" s="1"/>
  <c r="E370" i="4"/>
  <c r="AJ369" i="4"/>
  <c r="AI369" i="4"/>
  <c r="AH369" i="4"/>
  <c r="AC369" i="4"/>
  <c r="X369" i="4"/>
  <c r="Y369" i="4" s="1"/>
  <c r="W369" i="4"/>
  <c r="T369" i="4"/>
  <c r="S369" i="4"/>
  <c r="R369" i="4"/>
  <c r="O369" i="4"/>
  <c r="N369" i="4"/>
  <c r="L369" i="4"/>
  <c r="K369" i="4"/>
  <c r="J369" i="4"/>
  <c r="I369" i="4"/>
  <c r="AD369" i="4" s="1"/>
  <c r="E369" i="4"/>
  <c r="AJ368" i="4"/>
  <c r="AI368" i="4"/>
  <c r="AH368" i="4"/>
  <c r="AC368" i="4"/>
  <c r="X368" i="4"/>
  <c r="Y368" i="4" s="1"/>
  <c r="W368" i="4"/>
  <c r="T368" i="4"/>
  <c r="S368" i="4"/>
  <c r="R368" i="4"/>
  <c r="O368" i="4"/>
  <c r="N368" i="4"/>
  <c r="L368" i="4"/>
  <c r="K368" i="4"/>
  <c r="J368" i="4"/>
  <c r="I368" i="4"/>
  <c r="AD368" i="4" s="1"/>
  <c r="E368" i="4"/>
  <c r="AJ367" i="4"/>
  <c r="AI367" i="4"/>
  <c r="AH367" i="4"/>
  <c r="AC367" i="4"/>
  <c r="X367" i="4"/>
  <c r="Y367" i="4" s="1"/>
  <c r="W367" i="4"/>
  <c r="T367" i="4"/>
  <c r="S367" i="4"/>
  <c r="R367" i="4"/>
  <c r="O367" i="4"/>
  <c r="N367" i="4"/>
  <c r="L367" i="4"/>
  <c r="K367" i="4"/>
  <c r="J367" i="4"/>
  <c r="I367" i="4"/>
  <c r="AD367" i="4" s="1"/>
  <c r="E367" i="4"/>
  <c r="AJ366" i="4"/>
  <c r="AI366" i="4"/>
  <c r="AH366" i="4"/>
  <c r="AC366" i="4"/>
  <c r="X366" i="4"/>
  <c r="Y366" i="4" s="1"/>
  <c r="W366" i="4"/>
  <c r="T366" i="4"/>
  <c r="S366" i="4"/>
  <c r="R366" i="4"/>
  <c r="O366" i="4"/>
  <c r="N366" i="4"/>
  <c r="L366" i="4"/>
  <c r="K366" i="4"/>
  <c r="J366" i="4"/>
  <c r="I366" i="4"/>
  <c r="AD366" i="4" s="1"/>
  <c r="E366" i="4"/>
  <c r="AJ365" i="4"/>
  <c r="AI365" i="4"/>
  <c r="AH365" i="4"/>
  <c r="AC365" i="4"/>
  <c r="X365" i="4"/>
  <c r="Y365" i="4" s="1"/>
  <c r="W365" i="4"/>
  <c r="T365" i="4"/>
  <c r="S365" i="4"/>
  <c r="R365" i="4"/>
  <c r="O365" i="4"/>
  <c r="N365" i="4"/>
  <c r="L365" i="4"/>
  <c r="K365" i="4"/>
  <c r="J365" i="4"/>
  <c r="I365" i="4"/>
  <c r="AD365" i="4" s="1"/>
  <c r="E365" i="4"/>
  <c r="AJ364" i="4"/>
  <c r="AI364" i="4"/>
  <c r="AH364" i="4"/>
  <c r="AC364" i="4"/>
  <c r="X364" i="4"/>
  <c r="Y364" i="4" s="1"/>
  <c r="W364" i="4"/>
  <c r="T364" i="4"/>
  <c r="S364" i="4"/>
  <c r="R364" i="4"/>
  <c r="O364" i="4"/>
  <c r="N364" i="4"/>
  <c r="L364" i="4"/>
  <c r="K364" i="4"/>
  <c r="J364" i="4"/>
  <c r="I364" i="4"/>
  <c r="AD364" i="4" s="1"/>
  <c r="E364" i="4"/>
  <c r="AJ363" i="4"/>
  <c r="AI363" i="4"/>
  <c r="AH363" i="4"/>
  <c r="AC363" i="4"/>
  <c r="X363" i="4"/>
  <c r="Y363" i="4" s="1"/>
  <c r="W363" i="4"/>
  <c r="T363" i="4"/>
  <c r="S363" i="4"/>
  <c r="R363" i="4"/>
  <c r="O363" i="4"/>
  <c r="N363" i="4"/>
  <c r="L363" i="4"/>
  <c r="K363" i="4"/>
  <c r="J363" i="4"/>
  <c r="I363" i="4"/>
  <c r="AD363" i="4" s="1"/>
  <c r="E363" i="4"/>
  <c r="AJ362" i="4"/>
  <c r="AI362" i="4"/>
  <c r="AH362" i="4"/>
  <c r="AC362" i="4"/>
  <c r="X362" i="4"/>
  <c r="Y362" i="4" s="1"/>
  <c r="W362" i="4"/>
  <c r="T362" i="4"/>
  <c r="S362" i="4"/>
  <c r="R362" i="4"/>
  <c r="O362" i="4"/>
  <c r="N362" i="4"/>
  <c r="L362" i="4"/>
  <c r="K362" i="4"/>
  <c r="J362" i="4"/>
  <c r="I362" i="4"/>
  <c r="AD362" i="4" s="1"/>
  <c r="E362" i="4"/>
  <c r="AJ361" i="4"/>
  <c r="AI361" i="4"/>
  <c r="AH361" i="4"/>
  <c r="AC361" i="4"/>
  <c r="X361" i="4"/>
  <c r="Y361" i="4" s="1"/>
  <c r="W361" i="4"/>
  <c r="T361" i="4"/>
  <c r="S361" i="4"/>
  <c r="R361" i="4"/>
  <c r="O361" i="4"/>
  <c r="N361" i="4"/>
  <c r="L361" i="4"/>
  <c r="K361" i="4"/>
  <c r="J361" i="4"/>
  <c r="I361" i="4"/>
  <c r="AD361" i="4" s="1"/>
  <c r="E361" i="4"/>
  <c r="AJ360" i="4"/>
  <c r="AI360" i="4"/>
  <c r="AH360" i="4"/>
  <c r="AC360" i="4"/>
  <c r="X360" i="4"/>
  <c r="Y360" i="4" s="1"/>
  <c r="W360" i="4"/>
  <c r="T360" i="4"/>
  <c r="S360" i="4"/>
  <c r="R360" i="4"/>
  <c r="O360" i="4"/>
  <c r="N360" i="4"/>
  <c r="L360" i="4"/>
  <c r="K360" i="4"/>
  <c r="J360" i="4"/>
  <c r="I360" i="4"/>
  <c r="AD360" i="4" s="1"/>
  <c r="E360" i="4"/>
  <c r="AJ359" i="4"/>
  <c r="AI359" i="4"/>
  <c r="AH359" i="4"/>
  <c r="AC359" i="4"/>
  <c r="X359" i="4"/>
  <c r="Y359" i="4" s="1"/>
  <c r="W359" i="4"/>
  <c r="T359" i="4"/>
  <c r="S359" i="4"/>
  <c r="R359" i="4"/>
  <c r="O359" i="4"/>
  <c r="N359" i="4"/>
  <c r="L359" i="4"/>
  <c r="K359" i="4"/>
  <c r="J359" i="4"/>
  <c r="I359" i="4"/>
  <c r="AD359" i="4" s="1"/>
  <c r="E359" i="4"/>
  <c r="AJ358" i="4"/>
  <c r="AI358" i="4"/>
  <c r="AH358" i="4"/>
  <c r="AC358" i="4"/>
  <c r="X358" i="4"/>
  <c r="Y358" i="4" s="1"/>
  <c r="W358" i="4"/>
  <c r="T358" i="4"/>
  <c r="S358" i="4"/>
  <c r="R358" i="4"/>
  <c r="O358" i="4"/>
  <c r="N358" i="4"/>
  <c r="L358" i="4"/>
  <c r="K358" i="4"/>
  <c r="J358" i="4"/>
  <c r="I358" i="4"/>
  <c r="AD358" i="4" s="1"/>
  <c r="E358" i="4"/>
  <c r="AJ357" i="4"/>
  <c r="AI357" i="4"/>
  <c r="AH357" i="4"/>
  <c r="AC357" i="4"/>
  <c r="X357" i="4"/>
  <c r="Y357" i="4" s="1"/>
  <c r="W357" i="4"/>
  <c r="T357" i="4"/>
  <c r="S357" i="4"/>
  <c r="R357" i="4"/>
  <c r="O357" i="4"/>
  <c r="N357" i="4"/>
  <c r="L357" i="4"/>
  <c r="K357" i="4"/>
  <c r="J357" i="4"/>
  <c r="I357" i="4"/>
  <c r="AD357" i="4" s="1"/>
  <c r="E357" i="4"/>
  <c r="AJ356" i="4"/>
  <c r="AI356" i="4"/>
  <c r="AH356" i="4"/>
  <c r="AC356" i="4"/>
  <c r="X356" i="4"/>
  <c r="Y356" i="4" s="1"/>
  <c r="W356" i="4"/>
  <c r="T356" i="4"/>
  <c r="S356" i="4"/>
  <c r="R356" i="4"/>
  <c r="O356" i="4"/>
  <c r="N356" i="4"/>
  <c r="L356" i="4"/>
  <c r="K356" i="4"/>
  <c r="J356" i="4"/>
  <c r="I356" i="4"/>
  <c r="AD356" i="4" s="1"/>
  <c r="E356" i="4"/>
  <c r="AJ355" i="4"/>
  <c r="AI355" i="4"/>
  <c r="AH355" i="4"/>
  <c r="AC355" i="4"/>
  <c r="X355" i="4"/>
  <c r="Y355" i="4" s="1"/>
  <c r="W355" i="4"/>
  <c r="T355" i="4"/>
  <c r="S355" i="4"/>
  <c r="R355" i="4"/>
  <c r="O355" i="4"/>
  <c r="N355" i="4"/>
  <c r="L355" i="4"/>
  <c r="K355" i="4"/>
  <c r="J355" i="4"/>
  <c r="I355" i="4"/>
  <c r="AD355" i="4" s="1"/>
  <c r="E355" i="4"/>
  <c r="AJ354" i="4"/>
  <c r="AI354" i="4"/>
  <c r="AH354" i="4"/>
  <c r="AC354" i="4"/>
  <c r="X354" i="4"/>
  <c r="Y354" i="4" s="1"/>
  <c r="W354" i="4"/>
  <c r="T354" i="4"/>
  <c r="S354" i="4"/>
  <c r="R354" i="4"/>
  <c r="O354" i="4"/>
  <c r="N354" i="4"/>
  <c r="L354" i="4"/>
  <c r="K354" i="4"/>
  <c r="J354" i="4"/>
  <c r="I354" i="4"/>
  <c r="AD354" i="4" s="1"/>
  <c r="E354" i="4"/>
  <c r="AJ353" i="4"/>
  <c r="AI353" i="4"/>
  <c r="AH353" i="4"/>
  <c r="AC353" i="4"/>
  <c r="X353" i="4"/>
  <c r="Y353" i="4" s="1"/>
  <c r="W353" i="4"/>
  <c r="T353" i="4"/>
  <c r="S353" i="4"/>
  <c r="R353" i="4"/>
  <c r="O353" i="4"/>
  <c r="N353" i="4"/>
  <c r="L353" i="4"/>
  <c r="K353" i="4"/>
  <c r="J353" i="4"/>
  <c r="I353" i="4"/>
  <c r="AD353" i="4" s="1"/>
  <c r="E353" i="4"/>
  <c r="AJ352" i="4"/>
  <c r="AI352" i="4"/>
  <c r="AH352" i="4"/>
  <c r="AC352" i="4"/>
  <c r="X352" i="4"/>
  <c r="Y352" i="4" s="1"/>
  <c r="W352" i="4"/>
  <c r="T352" i="4"/>
  <c r="S352" i="4"/>
  <c r="R352" i="4"/>
  <c r="O352" i="4"/>
  <c r="N352" i="4"/>
  <c r="L352" i="4"/>
  <c r="K352" i="4"/>
  <c r="J352" i="4"/>
  <c r="I352" i="4"/>
  <c r="AD352" i="4" s="1"/>
  <c r="E352" i="4"/>
  <c r="AJ351" i="4"/>
  <c r="AI351" i="4"/>
  <c r="AH351" i="4"/>
  <c r="AC351" i="4"/>
  <c r="X351" i="4"/>
  <c r="Y351" i="4" s="1"/>
  <c r="W351" i="4"/>
  <c r="T351" i="4"/>
  <c r="S351" i="4"/>
  <c r="R351" i="4"/>
  <c r="O351" i="4"/>
  <c r="N351" i="4"/>
  <c r="L351" i="4"/>
  <c r="K351" i="4"/>
  <c r="J351" i="4"/>
  <c r="I351" i="4"/>
  <c r="AD351" i="4" s="1"/>
  <c r="E351" i="4"/>
  <c r="AK350" i="4"/>
  <c r="AL350" i="4" s="1"/>
  <c r="AJ350" i="4"/>
  <c r="AH350" i="4"/>
  <c r="AI350" i="4" s="1"/>
  <c r="AC350" i="4"/>
  <c r="X350" i="4"/>
  <c r="Y350" i="4" s="1"/>
  <c r="W350" i="4"/>
  <c r="T350" i="4"/>
  <c r="S350" i="4"/>
  <c r="R350" i="4"/>
  <c r="O350" i="4"/>
  <c r="N350" i="4"/>
  <c r="Q350" i="4" s="1"/>
  <c r="L350" i="4"/>
  <c r="K350" i="4"/>
  <c r="I350" i="4"/>
  <c r="AD350" i="4" s="1"/>
  <c r="E350" i="4"/>
  <c r="AJ349" i="4"/>
  <c r="AH349" i="4"/>
  <c r="AI349" i="4" s="1"/>
  <c r="AC349" i="4"/>
  <c r="X349" i="4"/>
  <c r="Y349" i="4" s="1"/>
  <c r="W349" i="4"/>
  <c r="T349" i="4"/>
  <c r="S349" i="4"/>
  <c r="R349" i="4"/>
  <c r="O349" i="4"/>
  <c r="N349" i="4"/>
  <c r="L349" i="4"/>
  <c r="K349" i="4"/>
  <c r="I349" i="4"/>
  <c r="AD349" i="4" s="1"/>
  <c r="E349" i="4"/>
  <c r="AJ348" i="4"/>
  <c r="AH348" i="4"/>
  <c r="AI348" i="4" s="1"/>
  <c r="AC348" i="4"/>
  <c r="X348" i="4"/>
  <c r="Y348" i="4" s="1"/>
  <c r="W348" i="4"/>
  <c r="T348" i="4"/>
  <c r="S348" i="4"/>
  <c r="R348" i="4"/>
  <c r="O348" i="4"/>
  <c r="N348" i="4"/>
  <c r="L348" i="4"/>
  <c r="K348" i="4"/>
  <c r="I348" i="4"/>
  <c r="AD348" i="4" s="1"/>
  <c r="E348" i="4"/>
  <c r="AJ347" i="4"/>
  <c r="AH347" i="4"/>
  <c r="AI347" i="4" s="1"/>
  <c r="AC347" i="4"/>
  <c r="X347" i="4"/>
  <c r="Y347" i="4" s="1"/>
  <c r="W347" i="4"/>
  <c r="T347" i="4"/>
  <c r="S347" i="4"/>
  <c r="R347" i="4"/>
  <c r="O347" i="4"/>
  <c r="N347" i="4"/>
  <c r="L347" i="4"/>
  <c r="K347" i="4"/>
  <c r="I347" i="4"/>
  <c r="AD347" i="4" s="1"/>
  <c r="E347" i="4"/>
  <c r="AJ346" i="4"/>
  <c r="AH346" i="4"/>
  <c r="AI346" i="4" s="1"/>
  <c r="AC346" i="4"/>
  <c r="X346" i="4"/>
  <c r="Y346" i="4" s="1"/>
  <c r="W346" i="4"/>
  <c r="T346" i="4"/>
  <c r="S346" i="4"/>
  <c r="R346" i="4"/>
  <c r="O346" i="4"/>
  <c r="N346" i="4"/>
  <c r="L346" i="4"/>
  <c r="K346" i="4"/>
  <c r="I346" i="4"/>
  <c r="AD346" i="4" s="1"/>
  <c r="E346" i="4"/>
  <c r="AJ345" i="4"/>
  <c r="AH345" i="4"/>
  <c r="AI345" i="4" s="1"/>
  <c r="AC345" i="4"/>
  <c r="X345" i="4"/>
  <c r="Y345" i="4" s="1"/>
  <c r="W345" i="4"/>
  <c r="T345" i="4"/>
  <c r="S345" i="4"/>
  <c r="R345" i="4"/>
  <c r="O345" i="4"/>
  <c r="N345" i="4"/>
  <c r="L345" i="4"/>
  <c r="K345" i="4"/>
  <c r="I345" i="4"/>
  <c r="AD345" i="4" s="1"/>
  <c r="E345" i="4"/>
  <c r="AJ344" i="4"/>
  <c r="AH344" i="4"/>
  <c r="AI344" i="4" s="1"/>
  <c r="AC344" i="4"/>
  <c r="X344" i="4"/>
  <c r="Y344" i="4" s="1"/>
  <c r="W344" i="4"/>
  <c r="T344" i="4"/>
  <c r="S344" i="4"/>
  <c r="R344" i="4"/>
  <c r="O344" i="4"/>
  <c r="N344" i="4"/>
  <c r="L344" i="4"/>
  <c r="K344" i="4"/>
  <c r="I344" i="4"/>
  <c r="AD344" i="4" s="1"/>
  <c r="E344" i="4"/>
  <c r="AJ343" i="4"/>
  <c r="AH343" i="4"/>
  <c r="AI343" i="4" s="1"/>
  <c r="AC343" i="4"/>
  <c r="X343" i="4"/>
  <c r="Y343" i="4" s="1"/>
  <c r="W343" i="4"/>
  <c r="T343" i="4"/>
  <c r="S343" i="4"/>
  <c r="R343" i="4"/>
  <c r="O343" i="4"/>
  <c r="N343" i="4"/>
  <c r="L343" i="4"/>
  <c r="K343" i="4"/>
  <c r="I343" i="4"/>
  <c r="AD343" i="4" s="1"/>
  <c r="E343" i="4"/>
  <c r="AJ342" i="4"/>
  <c r="AH342" i="4"/>
  <c r="AI342" i="4" s="1"/>
  <c r="AC342" i="4"/>
  <c r="X342" i="4"/>
  <c r="Y342" i="4" s="1"/>
  <c r="W342" i="4"/>
  <c r="T342" i="4"/>
  <c r="S342" i="4"/>
  <c r="R342" i="4"/>
  <c r="O342" i="4"/>
  <c r="N342" i="4"/>
  <c r="L342" i="4"/>
  <c r="K342" i="4"/>
  <c r="I342" i="4"/>
  <c r="AD342" i="4" s="1"/>
  <c r="E342" i="4"/>
  <c r="AJ341" i="4"/>
  <c r="AH341" i="4"/>
  <c r="AI341" i="4" s="1"/>
  <c r="AC341" i="4"/>
  <c r="X341" i="4"/>
  <c r="Y341" i="4" s="1"/>
  <c r="W341" i="4"/>
  <c r="T341" i="4"/>
  <c r="S341" i="4"/>
  <c r="R341" i="4"/>
  <c r="O341" i="4"/>
  <c r="N341" i="4"/>
  <c r="L341" i="4"/>
  <c r="K341" i="4"/>
  <c r="I341" i="4"/>
  <c r="AD341" i="4" s="1"/>
  <c r="E341" i="4"/>
  <c r="AJ340" i="4"/>
  <c r="AH340" i="4"/>
  <c r="AI340" i="4" s="1"/>
  <c r="AC340" i="4"/>
  <c r="X340" i="4"/>
  <c r="Y340" i="4" s="1"/>
  <c r="W340" i="4"/>
  <c r="T340" i="4"/>
  <c r="S340" i="4"/>
  <c r="R340" i="4"/>
  <c r="O340" i="4"/>
  <c r="N340" i="4"/>
  <c r="L340" i="4"/>
  <c r="K340" i="4"/>
  <c r="I340" i="4"/>
  <c r="AD340" i="4" s="1"/>
  <c r="E340" i="4"/>
  <c r="AJ339" i="4"/>
  <c r="AI339" i="4"/>
  <c r="AH339" i="4"/>
  <c r="AC339" i="4"/>
  <c r="X339" i="4"/>
  <c r="Y339" i="4" s="1"/>
  <c r="W339" i="4"/>
  <c r="T339" i="4"/>
  <c r="S339" i="4"/>
  <c r="R339" i="4"/>
  <c r="O339" i="4"/>
  <c r="N339" i="4"/>
  <c r="L339" i="4"/>
  <c r="K339" i="4"/>
  <c r="I339" i="4"/>
  <c r="AD339" i="4" s="1"/>
  <c r="E339" i="4"/>
  <c r="AJ338" i="4"/>
  <c r="AH338" i="4"/>
  <c r="AI338" i="4" s="1"/>
  <c r="AC338" i="4"/>
  <c r="X338" i="4"/>
  <c r="Y338" i="4" s="1"/>
  <c r="W338" i="4"/>
  <c r="T338" i="4"/>
  <c r="S338" i="4"/>
  <c r="R338" i="4"/>
  <c r="O338" i="4"/>
  <c r="N338" i="4"/>
  <c r="L338" i="4"/>
  <c r="K338" i="4"/>
  <c r="I338" i="4"/>
  <c r="AD338" i="4" s="1"/>
  <c r="E338" i="4"/>
  <c r="AJ337" i="4"/>
  <c r="AH337" i="4"/>
  <c r="AI337" i="4" s="1"/>
  <c r="AC337" i="4"/>
  <c r="X337" i="4"/>
  <c r="Y337" i="4" s="1"/>
  <c r="Z337" i="4" s="1"/>
  <c r="W337" i="4"/>
  <c r="T337" i="4"/>
  <c r="S337" i="4"/>
  <c r="R337" i="4"/>
  <c r="O337" i="4"/>
  <c r="N337" i="4"/>
  <c r="L337" i="4"/>
  <c r="K337" i="4"/>
  <c r="I337" i="4"/>
  <c r="AD337" i="4" s="1"/>
  <c r="E337" i="4"/>
  <c r="AJ336" i="4"/>
  <c r="AI336" i="4"/>
  <c r="AH336" i="4"/>
  <c r="AC336" i="4"/>
  <c r="X336" i="4"/>
  <c r="Y336" i="4" s="1"/>
  <c r="W336" i="4"/>
  <c r="Z336" i="4" s="1"/>
  <c r="T336" i="4"/>
  <c r="S336" i="4"/>
  <c r="R336" i="4"/>
  <c r="O336" i="4"/>
  <c r="N336" i="4"/>
  <c r="L336" i="4"/>
  <c r="K336" i="4"/>
  <c r="I336" i="4"/>
  <c r="AD336" i="4" s="1"/>
  <c r="E336" i="4"/>
  <c r="AJ335" i="4"/>
  <c r="AH335" i="4"/>
  <c r="AI335" i="4" s="1"/>
  <c r="AC335" i="4"/>
  <c r="X335" i="4"/>
  <c r="Y335" i="4" s="1"/>
  <c r="W335" i="4"/>
  <c r="T335" i="4"/>
  <c r="S335" i="4"/>
  <c r="R335" i="4"/>
  <c r="O335" i="4"/>
  <c r="N335" i="4"/>
  <c r="L335" i="4"/>
  <c r="K335" i="4"/>
  <c r="I335" i="4"/>
  <c r="AD335" i="4" s="1"/>
  <c r="E335" i="4"/>
  <c r="AJ334" i="4"/>
  <c r="AH334" i="4"/>
  <c r="AI334" i="4" s="1"/>
  <c r="AC334" i="4"/>
  <c r="X334" i="4"/>
  <c r="Y334" i="4" s="1"/>
  <c r="W334" i="4"/>
  <c r="T334" i="4"/>
  <c r="S334" i="4"/>
  <c r="R334" i="4"/>
  <c r="O334" i="4"/>
  <c r="N334" i="4"/>
  <c r="L334" i="4"/>
  <c r="K334" i="4"/>
  <c r="I334" i="4"/>
  <c r="AD334" i="4" s="1"/>
  <c r="E334" i="4"/>
  <c r="AJ333" i="4"/>
  <c r="AH333" i="4"/>
  <c r="AI333" i="4" s="1"/>
  <c r="AC333" i="4"/>
  <c r="X333" i="4"/>
  <c r="Y333" i="4" s="1"/>
  <c r="W333" i="4"/>
  <c r="T333" i="4"/>
  <c r="S333" i="4"/>
  <c r="R333" i="4"/>
  <c r="O333" i="4"/>
  <c r="N333" i="4"/>
  <c r="L333" i="4"/>
  <c r="K333" i="4"/>
  <c r="I333" i="4"/>
  <c r="AD333" i="4" s="1"/>
  <c r="E333" i="4"/>
  <c r="AJ332" i="4"/>
  <c r="AH332" i="4"/>
  <c r="AI332" i="4" s="1"/>
  <c r="AC332" i="4"/>
  <c r="X332" i="4"/>
  <c r="Y332" i="4" s="1"/>
  <c r="W332" i="4"/>
  <c r="T332" i="4"/>
  <c r="S332" i="4"/>
  <c r="R332" i="4"/>
  <c r="O332" i="4"/>
  <c r="N332" i="4"/>
  <c r="L332" i="4"/>
  <c r="K332" i="4"/>
  <c r="I332" i="4"/>
  <c r="AD332" i="4" s="1"/>
  <c r="E332" i="4"/>
  <c r="AJ331" i="4"/>
  <c r="AH331" i="4"/>
  <c r="AI331" i="4" s="1"/>
  <c r="AC331" i="4"/>
  <c r="X331" i="4"/>
  <c r="Y331" i="4" s="1"/>
  <c r="W331" i="4"/>
  <c r="T331" i="4"/>
  <c r="S331" i="4"/>
  <c r="R331" i="4"/>
  <c r="O331" i="4"/>
  <c r="N331" i="4"/>
  <c r="L331" i="4"/>
  <c r="K331" i="4"/>
  <c r="I331" i="4"/>
  <c r="AD331" i="4" s="1"/>
  <c r="E331" i="4"/>
  <c r="AJ330" i="4"/>
  <c r="AH330" i="4"/>
  <c r="AI330" i="4" s="1"/>
  <c r="AC330" i="4"/>
  <c r="X330" i="4"/>
  <c r="Y330" i="4" s="1"/>
  <c r="W330" i="4"/>
  <c r="T330" i="4"/>
  <c r="S330" i="4"/>
  <c r="R330" i="4"/>
  <c r="O330" i="4"/>
  <c r="N330" i="4"/>
  <c r="L330" i="4"/>
  <c r="K330" i="4"/>
  <c r="I330" i="4"/>
  <c r="AD330" i="4" s="1"/>
  <c r="E330" i="4"/>
  <c r="AJ329" i="4"/>
  <c r="AH329" i="4"/>
  <c r="AI329" i="4" s="1"/>
  <c r="AC329" i="4"/>
  <c r="X329" i="4"/>
  <c r="Y329" i="4" s="1"/>
  <c r="W329" i="4"/>
  <c r="T329" i="4"/>
  <c r="S329" i="4"/>
  <c r="R329" i="4"/>
  <c r="O329" i="4"/>
  <c r="N329" i="4"/>
  <c r="L329" i="4"/>
  <c r="K329" i="4"/>
  <c r="I329" i="4"/>
  <c r="AD329" i="4" s="1"/>
  <c r="E329" i="4"/>
  <c r="AJ328" i="4"/>
  <c r="AH328" i="4"/>
  <c r="AI328" i="4" s="1"/>
  <c r="AC328" i="4"/>
  <c r="X328" i="4"/>
  <c r="Y328" i="4" s="1"/>
  <c r="W328" i="4"/>
  <c r="T328" i="4"/>
  <c r="S328" i="4"/>
  <c r="R328" i="4"/>
  <c r="O328" i="4"/>
  <c r="N328" i="4"/>
  <c r="L328" i="4"/>
  <c r="K328" i="4"/>
  <c r="I328" i="4"/>
  <c r="AD328" i="4" s="1"/>
  <c r="E328" i="4"/>
  <c r="AJ327" i="4"/>
  <c r="AH327" i="4"/>
  <c r="AI327" i="4" s="1"/>
  <c r="AC327" i="4"/>
  <c r="X327" i="4"/>
  <c r="Y327" i="4" s="1"/>
  <c r="W327" i="4"/>
  <c r="T327" i="4"/>
  <c r="S327" i="4"/>
  <c r="R327" i="4"/>
  <c r="O327" i="4"/>
  <c r="N327" i="4"/>
  <c r="L327" i="4"/>
  <c r="K327" i="4"/>
  <c r="I327" i="4"/>
  <c r="AD327" i="4" s="1"/>
  <c r="E327" i="4"/>
  <c r="AJ326" i="4"/>
  <c r="AH326" i="4"/>
  <c r="AI326" i="4" s="1"/>
  <c r="AC326" i="4"/>
  <c r="X326" i="4"/>
  <c r="Y326" i="4" s="1"/>
  <c r="W326" i="4"/>
  <c r="T326" i="4"/>
  <c r="S326" i="4"/>
  <c r="R326" i="4"/>
  <c r="O326" i="4"/>
  <c r="N326" i="4"/>
  <c r="L326" i="4"/>
  <c r="K326" i="4"/>
  <c r="I326" i="4"/>
  <c r="AD326" i="4" s="1"/>
  <c r="E326" i="4"/>
  <c r="AJ325" i="4"/>
  <c r="AI325" i="4"/>
  <c r="AH325" i="4"/>
  <c r="AC325" i="4"/>
  <c r="X325" i="4"/>
  <c r="Y325" i="4" s="1"/>
  <c r="W325" i="4"/>
  <c r="T325" i="4"/>
  <c r="S325" i="4"/>
  <c r="R325" i="4"/>
  <c r="O325" i="4"/>
  <c r="N325" i="4"/>
  <c r="L325" i="4"/>
  <c r="K325" i="4"/>
  <c r="I325" i="4"/>
  <c r="AD325" i="4" s="1"/>
  <c r="E325" i="4"/>
  <c r="AJ324" i="4"/>
  <c r="AH324" i="4"/>
  <c r="AI324" i="4" s="1"/>
  <c r="AC324" i="4"/>
  <c r="X324" i="4"/>
  <c r="Y324" i="4" s="1"/>
  <c r="W324" i="4"/>
  <c r="T324" i="4"/>
  <c r="S324" i="4"/>
  <c r="R324" i="4"/>
  <c r="O324" i="4"/>
  <c r="N324" i="4"/>
  <c r="L324" i="4"/>
  <c r="K324" i="4"/>
  <c r="I324" i="4"/>
  <c r="AD324" i="4" s="1"/>
  <c r="E324" i="4"/>
  <c r="AJ323" i="4"/>
  <c r="AH323" i="4"/>
  <c r="AI323" i="4" s="1"/>
  <c r="AC323" i="4"/>
  <c r="X323" i="4"/>
  <c r="Y323" i="4" s="1"/>
  <c r="W323" i="4"/>
  <c r="T323" i="4"/>
  <c r="S323" i="4"/>
  <c r="R323" i="4"/>
  <c r="O323" i="4"/>
  <c r="N323" i="4"/>
  <c r="L323" i="4"/>
  <c r="K323" i="4"/>
  <c r="I323" i="4"/>
  <c r="AD323" i="4" s="1"/>
  <c r="E323" i="4"/>
  <c r="AJ322" i="4"/>
  <c r="AH322" i="4"/>
  <c r="AI322" i="4" s="1"/>
  <c r="AC322" i="4"/>
  <c r="X322" i="4"/>
  <c r="Y322" i="4" s="1"/>
  <c r="W322" i="4"/>
  <c r="T322" i="4"/>
  <c r="S322" i="4"/>
  <c r="R322" i="4"/>
  <c r="O322" i="4"/>
  <c r="N322" i="4"/>
  <c r="L322" i="4"/>
  <c r="K322" i="4"/>
  <c r="I322" i="4"/>
  <c r="AD322" i="4" s="1"/>
  <c r="E322" i="4"/>
  <c r="AJ321" i="4"/>
  <c r="AH321" i="4"/>
  <c r="AI321" i="4" s="1"/>
  <c r="AC321" i="4"/>
  <c r="X321" i="4"/>
  <c r="Y321" i="4" s="1"/>
  <c r="W321" i="4"/>
  <c r="T321" i="4"/>
  <c r="S321" i="4"/>
  <c r="R321" i="4"/>
  <c r="O321" i="4"/>
  <c r="N321" i="4"/>
  <c r="L321" i="4"/>
  <c r="K321" i="4"/>
  <c r="I321" i="4"/>
  <c r="AD321" i="4" s="1"/>
  <c r="E321" i="4"/>
  <c r="AJ320" i="4"/>
  <c r="AH320" i="4"/>
  <c r="AI320" i="4" s="1"/>
  <c r="AC320" i="4"/>
  <c r="X320" i="4"/>
  <c r="Y320" i="4" s="1"/>
  <c r="W320" i="4"/>
  <c r="T320" i="4"/>
  <c r="S320" i="4"/>
  <c r="R320" i="4"/>
  <c r="O320" i="4"/>
  <c r="N320" i="4"/>
  <c r="L320" i="4"/>
  <c r="K320" i="4"/>
  <c r="I320" i="4"/>
  <c r="AD320" i="4" s="1"/>
  <c r="E320" i="4"/>
  <c r="AJ319" i="4"/>
  <c r="AH319" i="4"/>
  <c r="AI319" i="4" s="1"/>
  <c r="AC319" i="4"/>
  <c r="X319" i="4"/>
  <c r="Y319" i="4" s="1"/>
  <c r="W319" i="4"/>
  <c r="T319" i="4"/>
  <c r="S319" i="4"/>
  <c r="R319" i="4"/>
  <c r="O319" i="4"/>
  <c r="N319" i="4"/>
  <c r="L319" i="4"/>
  <c r="K319" i="4"/>
  <c r="I319" i="4"/>
  <c r="AD319" i="4" s="1"/>
  <c r="E319" i="4"/>
  <c r="AJ318" i="4"/>
  <c r="AH318" i="4"/>
  <c r="AI318" i="4" s="1"/>
  <c r="AC318" i="4"/>
  <c r="X318" i="4"/>
  <c r="Y318" i="4" s="1"/>
  <c r="W318" i="4"/>
  <c r="T318" i="4"/>
  <c r="S318" i="4"/>
  <c r="R318" i="4"/>
  <c r="O318" i="4"/>
  <c r="N318" i="4"/>
  <c r="L318" i="4"/>
  <c r="K318" i="4"/>
  <c r="I318" i="4"/>
  <c r="AD318" i="4" s="1"/>
  <c r="E318" i="4"/>
  <c r="AJ317" i="4"/>
  <c r="AH317" i="4"/>
  <c r="AI317" i="4" s="1"/>
  <c r="AC317" i="4"/>
  <c r="X317" i="4"/>
  <c r="Y317" i="4" s="1"/>
  <c r="W317" i="4"/>
  <c r="T317" i="4"/>
  <c r="S317" i="4"/>
  <c r="R317" i="4"/>
  <c r="O317" i="4"/>
  <c r="N317" i="4"/>
  <c r="L317" i="4"/>
  <c r="K317" i="4"/>
  <c r="I317" i="4"/>
  <c r="AD317" i="4" s="1"/>
  <c r="E317" i="4"/>
  <c r="AJ316" i="4"/>
  <c r="AH316" i="4"/>
  <c r="AI316" i="4" s="1"/>
  <c r="AC316" i="4"/>
  <c r="X316" i="4"/>
  <c r="Y316" i="4" s="1"/>
  <c r="W316" i="4"/>
  <c r="T316" i="4"/>
  <c r="S316" i="4"/>
  <c r="R316" i="4"/>
  <c r="O316" i="4"/>
  <c r="N316" i="4"/>
  <c r="L316" i="4"/>
  <c r="K316" i="4"/>
  <c r="I316" i="4"/>
  <c r="AD316" i="4" s="1"/>
  <c r="E316" i="4"/>
  <c r="AJ315" i="4"/>
  <c r="AH315" i="4"/>
  <c r="AI315" i="4" s="1"/>
  <c r="AC315" i="4"/>
  <c r="X315" i="4"/>
  <c r="Y315" i="4" s="1"/>
  <c r="W315" i="4"/>
  <c r="T315" i="4"/>
  <c r="S315" i="4"/>
  <c r="R315" i="4"/>
  <c r="O315" i="4"/>
  <c r="N315" i="4"/>
  <c r="L315" i="4"/>
  <c r="K315" i="4"/>
  <c r="I315" i="4"/>
  <c r="AD315" i="4" s="1"/>
  <c r="E315" i="4"/>
  <c r="AJ314" i="4"/>
  <c r="AH314" i="4"/>
  <c r="AI314" i="4" s="1"/>
  <c r="AC314" i="4"/>
  <c r="X314" i="4"/>
  <c r="Y314" i="4" s="1"/>
  <c r="W314" i="4"/>
  <c r="T314" i="4"/>
  <c r="S314" i="4"/>
  <c r="R314" i="4"/>
  <c r="O314" i="4"/>
  <c r="N314" i="4"/>
  <c r="L314" i="4"/>
  <c r="K314" i="4"/>
  <c r="I314" i="4"/>
  <c r="AD314" i="4" s="1"/>
  <c r="E314" i="4"/>
  <c r="AJ313" i="4"/>
  <c r="AH313" i="4"/>
  <c r="AI313" i="4" s="1"/>
  <c r="AC313" i="4"/>
  <c r="X313" i="4"/>
  <c r="Y313" i="4" s="1"/>
  <c r="W313" i="4"/>
  <c r="T313" i="4"/>
  <c r="S313" i="4"/>
  <c r="R313" i="4"/>
  <c r="O313" i="4"/>
  <c r="N313" i="4"/>
  <c r="L313" i="4"/>
  <c r="K313" i="4"/>
  <c r="I313" i="4"/>
  <c r="AD313" i="4" s="1"/>
  <c r="E313" i="4"/>
  <c r="AJ312" i="4"/>
  <c r="AH312" i="4"/>
  <c r="AI312" i="4" s="1"/>
  <c r="AC312" i="4"/>
  <c r="X312" i="4"/>
  <c r="Y312" i="4" s="1"/>
  <c r="W312" i="4"/>
  <c r="T312" i="4"/>
  <c r="S312" i="4"/>
  <c r="R312" i="4"/>
  <c r="O312" i="4"/>
  <c r="N312" i="4"/>
  <c r="L312" i="4"/>
  <c r="K312" i="4"/>
  <c r="I312" i="4"/>
  <c r="AD312" i="4" s="1"/>
  <c r="E312" i="4"/>
  <c r="AJ311" i="4"/>
  <c r="AH311" i="4"/>
  <c r="AI311" i="4" s="1"/>
  <c r="AC311" i="4"/>
  <c r="X311" i="4"/>
  <c r="Y311" i="4" s="1"/>
  <c r="W311" i="4"/>
  <c r="T311" i="4"/>
  <c r="S311" i="4"/>
  <c r="R311" i="4"/>
  <c r="O311" i="4"/>
  <c r="N311" i="4"/>
  <c r="L311" i="4"/>
  <c r="K311" i="4"/>
  <c r="I311" i="4"/>
  <c r="AD311" i="4" s="1"/>
  <c r="E311" i="4"/>
  <c r="AJ310" i="4"/>
  <c r="AH310" i="4"/>
  <c r="AI310" i="4" s="1"/>
  <c r="AC310" i="4"/>
  <c r="X310" i="4"/>
  <c r="Y310" i="4" s="1"/>
  <c r="W310" i="4"/>
  <c r="T310" i="4"/>
  <c r="S310" i="4"/>
  <c r="R310" i="4"/>
  <c r="O310" i="4"/>
  <c r="N310" i="4"/>
  <c r="L310" i="4"/>
  <c r="K310" i="4"/>
  <c r="I310" i="4"/>
  <c r="AD310" i="4" s="1"/>
  <c r="E310" i="4"/>
  <c r="AJ309" i="4"/>
  <c r="AH309" i="4"/>
  <c r="AI309" i="4" s="1"/>
  <c r="AC309" i="4"/>
  <c r="X309" i="4"/>
  <c r="Y309" i="4" s="1"/>
  <c r="W309" i="4"/>
  <c r="T309" i="4"/>
  <c r="S309" i="4"/>
  <c r="R309" i="4"/>
  <c r="O309" i="4"/>
  <c r="N309" i="4"/>
  <c r="L309" i="4"/>
  <c r="K309" i="4"/>
  <c r="I309" i="4"/>
  <c r="AD309" i="4" s="1"/>
  <c r="E309" i="4"/>
  <c r="AJ308" i="4"/>
  <c r="AH308" i="4"/>
  <c r="AI308" i="4" s="1"/>
  <c r="AC308" i="4"/>
  <c r="X308" i="4"/>
  <c r="Y308" i="4" s="1"/>
  <c r="W308" i="4"/>
  <c r="T308" i="4"/>
  <c r="S308" i="4"/>
  <c r="R308" i="4"/>
  <c r="O308" i="4"/>
  <c r="N308" i="4"/>
  <c r="L308" i="4"/>
  <c r="K308" i="4"/>
  <c r="I308" i="4"/>
  <c r="AD308" i="4" s="1"/>
  <c r="E308" i="4"/>
  <c r="AJ307" i="4"/>
  <c r="AI307" i="4"/>
  <c r="AH307" i="4"/>
  <c r="AC307" i="4"/>
  <c r="X307" i="4"/>
  <c r="Y307" i="4" s="1"/>
  <c r="W307" i="4"/>
  <c r="T307" i="4"/>
  <c r="S307" i="4"/>
  <c r="R307" i="4"/>
  <c r="O307" i="4"/>
  <c r="N307" i="4"/>
  <c r="L307" i="4"/>
  <c r="K307" i="4"/>
  <c r="I307" i="4"/>
  <c r="AD307" i="4" s="1"/>
  <c r="E307" i="4"/>
  <c r="AJ306" i="4"/>
  <c r="AH306" i="4"/>
  <c r="AI306" i="4" s="1"/>
  <c r="AC306" i="4"/>
  <c r="X306" i="4"/>
  <c r="Y306" i="4" s="1"/>
  <c r="W306" i="4"/>
  <c r="T306" i="4"/>
  <c r="S306" i="4"/>
  <c r="R306" i="4"/>
  <c r="O306" i="4"/>
  <c r="N306" i="4"/>
  <c r="L306" i="4"/>
  <c r="K306" i="4"/>
  <c r="I306" i="4"/>
  <c r="AD306" i="4" s="1"/>
  <c r="E306" i="4"/>
  <c r="AJ305" i="4"/>
  <c r="AH305" i="4"/>
  <c r="AI305" i="4" s="1"/>
  <c r="AC305" i="4"/>
  <c r="X305" i="4"/>
  <c r="Y305" i="4" s="1"/>
  <c r="Z305" i="4" s="1"/>
  <c r="W305" i="4"/>
  <c r="T305" i="4"/>
  <c r="S305" i="4"/>
  <c r="R305" i="4"/>
  <c r="O305" i="4"/>
  <c r="N305" i="4"/>
  <c r="L305" i="4"/>
  <c r="K305" i="4"/>
  <c r="I305" i="4"/>
  <c r="AD305" i="4" s="1"/>
  <c r="E305" i="4"/>
  <c r="AJ304" i="4"/>
  <c r="AI304" i="4"/>
  <c r="AH304" i="4"/>
  <c r="AC304" i="4"/>
  <c r="X304" i="4"/>
  <c r="Y304" i="4" s="1"/>
  <c r="W304" i="4"/>
  <c r="Z304" i="4" s="1"/>
  <c r="T304" i="4"/>
  <c r="S304" i="4"/>
  <c r="R304" i="4"/>
  <c r="O304" i="4"/>
  <c r="N304" i="4"/>
  <c r="L304" i="4"/>
  <c r="K304" i="4"/>
  <c r="I304" i="4"/>
  <c r="AD304" i="4" s="1"/>
  <c r="E304" i="4"/>
  <c r="AJ303" i="4"/>
  <c r="AH303" i="4"/>
  <c r="AI303" i="4" s="1"/>
  <c r="AC303" i="4"/>
  <c r="X303" i="4"/>
  <c r="Y303" i="4" s="1"/>
  <c r="W303" i="4"/>
  <c r="T303" i="4"/>
  <c r="S303" i="4"/>
  <c r="R303" i="4"/>
  <c r="O303" i="4"/>
  <c r="N303" i="4"/>
  <c r="L303" i="4"/>
  <c r="K303" i="4"/>
  <c r="I303" i="4"/>
  <c r="AD303" i="4" s="1"/>
  <c r="E303" i="4"/>
  <c r="AJ302" i="4"/>
  <c r="AH302" i="4"/>
  <c r="AI302" i="4" s="1"/>
  <c r="AC302" i="4"/>
  <c r="X302" i="4"/>
  <c r="Y302" i="4" s="1"/>
  <c r="W302" i="4"/>
  <c r="T302" i="4"/>
  <c r="S302" i="4"/>
  <c r="R302" i="4"/>
  <c r="O302" i="4"/>
  <c r="N302" i="4"/>
  <c r="L302" i="4"/>
  <c r="K302" i="4"/>
  <c r="I302" i="4"/>
  <c r="AD302" i="4" s="1"/>
  <c r="E302" i="4"/>
  <c r="AJ301" i="4"/>
  <c r="AH301" i="4"/>
  <c r="AI301" i="4" s="1"/>
  <c r="AC301" i="4"/>
  <c r="X301" i="4"/>
  <c r="Y301" i="4" s="1"/>
  <c r="W301" i="4"/>
  <c r="T301" i="4"/>
  <c r="S301" i="4"/>
  <c r="R301" i="4"/>
  <c r="O301" i="4"/>
  <c r="N301" i="4"/>
  <c r="L301" i="4"/>
  <c r="K301" i="4"/>
  <c r="I301" i="4"/>
  <c r="AD301" i="4" s="1"/>
  <c r="E301" i="4"/>
  <c r="AJ300" i="4"/>
  <c r="AH300" i="4"/>
  <c r="AI300" i="4" s="1"/>
  <c r="AC300" i="4"/>
  <c r="X300" i="4"/>
  <c r="Y300" i="4" s="1"/>
  <c r="W300" i="4"/>
  <c r="T300" i="4"/>
  <c r="S300" i="4"/>
  <c r="R300" i="4"/>
  <c r="O300" i="4"/>
  <c r="N300" i="4"/>
  <c r="L300" i="4"/>
  <c r="K300" i="4"/>
  <c r="I300" i="4"/>
  <c r="E300" i="4"/>
  <c r="AJ299" i="4"/>
  <c r="AH299" i="4"/>
  <c r="AI299" i="4" s="1"/>
  <c r="AC299" i="4"/>
  <c r="X299" i="4"/>
  <c r="Y299" i="4" s="1"/>
  <c r="W299" i="4"/>
  <c r="T299" i="4"/>
  <c r="S299" i="4"/>
  <c r="R299" i="4"/>
  <c r="O299" i="4"/>
  <c r="N299" i="4"/>
  <c r="L299" i="4"/>
  <c r="K299" i="4"/>
  <c r="I299" i="4"/>
  <c r="AD299" i="4" s="1"/>
  <c r="E299" i="4"/>
  <c r="AJ298" i="4"/>
  <c r="AH298" i="4"/>
  <c r="AI298" i="4" s="1"/>
  <c r="AC298" i="4"/>
  <c r="X298" i="4"/>
  <c r="Y298" i="4" s="1"/>
  <c r="W298" i="4"/>
  <c r="T298" i="4"/>
  <c r="S298" i="4"/>
  <c r="R298" i="4"/>
  <c r="O298" i="4"/>
  <c r="N298" i="4"/>
  <c r="L298" i="4"/>
  <c r="K298" i="4"/>
  <c r="I298" i="4"/>
  <c r="E298" i="4"/>
  <c r="AJ297" i="4"/>
  <c r="AH297" i="4"/>
  <c r="AI297" i="4" s="1"/>
  <c r="AC297" i="4"/>
  <c r="X297" i="4"/>
  <c r="Y297" i="4" s="1"/>
  <c r="W297" i="4"/>
  <c r="T297" i="4"/>
  <c r="S297" i="4"/>
  <c r="R297" i="4"/>
  <c r="O297" i="4"/>
  <c r="N297" i="4"/>
  <c r="L297" i="4"/>
  <c r="K297" i="4"/>
  <c r="I297" i="4"/>
  <c r="E297" i="4"/>
  <c r="AJ296" i="4"/>
  <c r="AH296" i="4"/>
  <c r="AI296" i="4" s="1"/>
  <c r="AC296" i="4"/>
  <c r="X296" i="4"/>
  <c r="Y296" i="4" s="1"/>
  <c r="W296" i="4"/>
  <c r="T296" i="4"/>
  <c r="S296" i="4"/>
  <c r="R296" i="4"/>
  <c r="O296" i="4"/>
  <c r="N296" i="4"/>
  <c r="L296" i="4"/>
  <c r="K296" i="4"/>
  <c r="I296" i="4"/>
  <c r="E296" i="4"/>
  <c r="AJ295" i="4"/>
  <c r="AH295" i="4"/>
  <c r="AI295" i="4" s="1"/>
  <c r="AC295" i="4"/>
  <c r="X295" i="4"/>
  <c r="Y295" i="4" s="1"/>
  <c r="W295" i="4"/>
  <c r="T295" i="4"/>
  <c r="S295" i="4"/>
  <c r="R295" i="4"/>
  <c r="O295" i="4"/>
  <c r="N295" i="4"/>
  <c r="L295" i="4"/>
  <c r="K295" i="4"/>
  <c r="I295" i="4"/>
  <c r="E295" i="4"/>
  <c r="AJ294" i="4"/>
  <c r="AH294" i="4"/>
  <c r="AI294" i="4" s="1"/>
  <c r="AC294" i="4"/>
  <c r="X294" i="4"/>
  <c r="Y294" i="4" s="1"/>
  <c r="W294" i="4"/>
  <c r="T294" i="4"/>
  <c r="S294" i="4"/>
  <c r="R294" i="4"/>
  <c r="O294" i="4"/>
  <c r="N294" i="4"/>
  <c r="L294" i="4"/>
  <c r="K294" i="4"/>
  <c r="I294" i="4"/>
  <c r="E294" i="4"/>
  <c r="AJ293" i="4"/>
  <c r="AI293" i="4"/>
  <c r="AH293" i="4"/>
  <c r="AC293" i="4"/>
  <c r="X293" i="4"/>
  <c r="Y293" i="4" s="1"/>
  <c r="W293" i="4"/>
  <c r="T293" i="4"/>
  <c r="S293" i="4"/>
  <c r="R293" i="4"/>
  <c r="O293" i="4"/>
  <c r="N293" i="4"/>
  <c r="L293" i="4"/>
  <c r="K293" i="4"/>
  <c r="I293" i="4"/>
  <c r="E293" i="4"/>
  <c r="AJ292" i="4"/>
  <c r="AH292" i="4"/>
  <c r="AI292" i="4" s="1"/>
  <c r="AC292" i="4"/>
  <c r="X292" i="4"/>
  <c r="Y292" i="4" s="1"/>
  <c r="W292" i="4"/>
  <c r="T292" i="4"/>
  <c r="S292" i="4"/>
  <c r="R292" i="4"/>
  <c r="O292" i="4"/>
  <c r="N292" i="4"/>
  <c r="L292" i="4"/>
  <c r="K292" i="4"/>
  <c r="I292" i="4"/>
  <c r="E292" i="4"/>
  <c r="AJ291" i="4"/>
  <c r="AH291" i="4"/>
  <c r="AI291" i="4" s="1"/>
  <c r="AC291" i="4"/>
  <c r="X291" i="4"/>
  <c r="Y291" i="4" s="1"/>
  <c r="W291" i="4"/>
  <c r="T291" i="4"/>
  <c r="S291" i="4"/>
  <c r="R291" i="4"/>
  <c r="O291" i="4"/>
  <c r="N291" i="4"/>
  <c r="L291" i="4"/>
  <c r="K291" i="4"/>
  <c r="I291" i="4"/>
  <c r="E291" i="4"/>
  <c r="AJ290" i="4"/>
  <c r="AH290" i="4"/>
  <c r="AI290" i="4" s="1"/>
  <c r="AC290" i="4"/>
  <c r="X290" i="4"/>
  <c r="Y290" i="4" s="1"/>
  <c r="W290" i="4"/>
  <c r="T290" i="4"/>
  <c r="S290" i="4"/>
  <c r="R290" i="4"/>
  <c r="O290" i="4"/>
  <c r="N290" i="4"/>
  <c r="L290" i="4"/>
  <c r="K290" i="4"/>
  <c r="I290" i="4"/>
  <c r="E290" i="4"/>
  <c r="AJ289" i="4"/>
  <c r="AH289" i="4"/>
  <c r="AI289" i="4" s="1"/>
  <c r="AC289" i="4"/>
  <c r="X289" i="4"/>
  <c r="Y289" i="4" s="1"/>
  <c r="W289" i="4"/>
  <c r="T289" i="4"/>
  <c r="S289" i="4"/>
  <c r="R289" i="4"/>
  <c r="O289" i="4"/>
  <c r="N289" i="4"/>
  <c r="L289" i="4"/>
  <c r="K289" i="4"/>
  <c r="I289" i="4"/>
  <c r="E289" i="4"/>
  <c r="AJ288" i="4"/>
  <c r="AH288" i="4"/>
  <c r="AI288" i="4" s="1"/>
  <c r="AC288" i="4"/>
  <c r="X288" i="4"/>
  <c r="Y288" i="4" s="1"/>
  <c r="W288" i="4"/>
  <c r="T288" i="4"/>
  <c r="S288" i="4"/>
  <c r="R288" i="4"/>
  <c r="O288" i="4"/>
  <c r="N288" i="4"/>
  <c r="L288" i="4"/>
  <c r="K288" i="4"/>
  <c r="I288" i="4"/>
  <c r="E288" i="4"/>
  <c r="AJ287" i="4"/>
  <c r="AH287" i="4"/>
  <c r="AI287" i="4" s="1"/>
  <c r="AC287" i="4"/>
  <c r="X287" i="4"/>
  <c r="Y287" i="4" s="1"/>
  <c r="W287" i="4"/>
  <c r="T287" i="4"/>
  <c r="S287" i="4"/>
  <c r="R287" i="4"/>
  <c r="O287" i="4"/>
  <c r="N287" i="4"/>
  <c r="L287" i="4"/>
  <c r="K287" i="4"/>
  <c r="I287" i="4"/>
  <c r="E287" i="4"/>
  <c r="AJ286" i="4"/>
  <c r="AH286" i="4"/>
  <c r="AI286" i="4" s="1"/>
  <c r="AC286" i="4"/>
  <c r="X286" i="4"/>
  <c r="Y286" i="4" s="1"/>
  <c r="W286" i="4"/>
  <c r="T286" i="4"/>
  <c r="S286" i="4"/>
  <c r="R286" i="4"/>
  <c r="O286" i="4"/>
  <c r="N286" i="4"/>
  <c r="L286" i="4"/>
  <c r="K286" i="4"/>
  <c r="I286" i="4"/>
  <c r="E286" i="4"/>
  <c r="AJ285" i="4"/>
  <c r="AH285" i="4"/>
  <c r="AI285" i="4" s="1"/>
  <c r="AC285" i="4"/>
  <c r="X285" i="4"/>
  <c r="Y285" i="4" s="1"/>
  <c r="W285" i="4"/>
  <c r="T285" i="4"/>
  <c r="S285" i="4"/>
  <c r="R285" i="4"/>
  <c r="O285" i="4"/>
  <c r="N285" i="4"/>
  <c r="L285" i="4"/>
  <c r="K285" i="4"/>
  <c r="I285" i="4"/>
  <c r="E285" i="4"/>
  <c r="AJ284" i="4"/>
  <c r="AH284" i="4"/>
  <c r="AI284" i="4" s="1"/>
  <c r="AC284" i="4"/>
  <c r="X284" i="4"/>
  <c r="Y284" i="4" s="1"/>
  <c r="W284" i="4"/>
  <c r="T284" i="4"/>
  <c r="S284" i="4"/>
  <c r="R284" i="4"/>
  <c r="O284" i="4"/>
  <c r="N284" i="4"/>
  <c r="L284" i="4"/>
  <c r="K284" i="4"/>
  <c r="I284" i="4"/>
  <c r="E284" i="4"/>
  <c r="AJ283" i="4"/>
  <c r="AH283" i="4"/>
  <c r="AI283" i="4" s="1"/>
  <c r="AC283" i="4"/>
  <c r="X283" i="4"/>
  <c r="Y283" i="4" s="1"/>
  <c r="W283" i="4"/>
  <c r="T283" i="4"/>
  <c r="S283" i="4"/>
  <c r="R283" i="4"/>
  <c r="O283" i="4"/>
  <c r="N283" i="4"/>
  <c r="L283" i="4"/>
  <c r="K283" i="4"/>
  <c r="I283" i="4"/>
  <c r="E283" i="4"/>
  <c r="AJ282" i="4"/>
  <c r="AH282" i="4"/>
  <c r="AI282" i="4" s="1"/>
  <c r="AC282" i="4"/>
  <c r="X282" i="4"/>
  <c r="Y282" i="4" s="1"/>
  <c r="W282" i="4"/>
  <c r="T282" i="4"/>
  <c r="S282" i="4"/>
  <c r="R282" i="4"/>
  <c r="O282" i="4"/>
  <c r="N282" i="4"/>
  <c r="L282" i="4"/>
  <c r="K282" i="4"/>
  <c r="I282" i="4"/>
  <c r="E282" i="4"/>
  <c r="AJ281" i="4"/>
  <c r="AH281" i="4"/>
  <c r="AI281" i="4" s="1"/>
  <c r="AC281" i="4"/>
  <c r="X281" i="4"/>
  <c r="Y281" i="4" s="1"/>
  <c r="W281" i="4"/>
  <c r="T281" i="4"/>
  <c r="S281" i="4"/>
  <c r="R281" i="4"/>
  <c r="O281" i="4"/>
  <c r="N281" i="4"/>
  <c r="L281" i="4"/>
  <c r="K281" i="4"/>
  <c r="I281" i="4"/>
  <c r="E281" i="4"/>
  <c r="AJ280" i="4"/>
  <c r="AH280" i="4"/>
  <c r="AI280" i="4" s="1"/>
  <c r="AC280" i="4"/>
  <c r="X280" i="4"/>
  <c r="Y280" i="4" s="1"/>
  <c r="W280" i="4"/>
  <c r="T280" i="4"/>
  <c r="S280" i="4"/>
  <c r="R280" i="4"/>
  <c r="O280" i="4"/>
  <c r="N280" i="4"/>
  <c r="L280" i="4"/>
  <c r="K280" i="4"/>
  <c r="I280" i="4"/>
  <c r="E280" i="4"/>
  <c r="AJ279" i="4"/>
  <c r="AH279" i="4"/>
  <c r="AI279" i="4" s="1"/>
  <c r="AC279" i="4"/>
  <c r="X279" i="4"/>
  <c r="Y279" i="4" s="1"/>
  <c r="W279" i="4"/>
  <c r="T279" i="4"/>
  <c r="S279" i="4"/>
  <c r="R279" i="4"/>
  <c r="O279" i="4"/>
  <c r="N279" i="4"/>
  <c r="L279" i="4"/>
  <c r="K279" i="4"/>
  <c r="I279" i="4"/>
  <c r="E279" i="4"/>
  <c r="AJ278" i="4"/>
  <c r="AH278" i="4"/>
  <c r="AI278" i="4" s="1"/>
  <c r="AC278" i="4"/>
  <c r="X278" i="4"/>
  <c r="Y278" i="4" s="1"/>
  <c r="W278" i="4"/>
  <c r="T278" i="4"/>
  <c r="S278" i="4"/>
  <c r="R278" i="4"/>
  <c r="O278" i="4"/>
  <c r="N278" i="4"/>
  <c r="L278" i="4"/>
  <c r="K278" i="4"/>
  <c r="I278" i="4"/>
  <c r="E278" i="4"/>
  <c r="AJ277" i="4"/>
  <c r="AI277" i="4"/>
  <c r="AH277" i="4"/>
  <c r="AC277" i="4"/>
  <c r="X277" i="4"/>
  <c r="Y277" i="4" s="1"/>
  <c r="W277" i="4"/>
  <c r="T277" i="4"/>
  <c r="S277" i="4"/>
  <c r="R277" i="4"/>
  <c r="O277" i="4"/>
  <c r="N277" i="4"/>
  <c r="L277" i="4"/>
  <c r="K277" i="4"/>
  <c r="I277" i="4"/>
  <c r="E277" i="4"/>
  <c r="AJ276" i="4"/>
  <c r="AH276" i="4"/>
  <c r="AI276" i="4" s="1"/>
  <c r="AC276" i="4"/>
  <c r="X276" i="4"/>
  <c r="Y276" i="4" s="1"/>
  <c r="W276" i="4"/>
  <c r="T276" i="4"/>
  <c r="S276" i="4"/>
  <c r="R276" i="4"/>
  <c r="O276" i="4"/>
  <c r="N276" i="4"/>
  <c r="L276" i="4"/>
  <c r="K276" i="4"/>
  <c r="I276" i="4"/>
  <c r="E276" i="4"/>
  <c r="AJ275" i="4"/>
  <c r="AH275" i="4"/>
  <c r="AI275" i="4" s="1"/>
  <c r="AC275" i="4"/>
  <c r="X275" i="4"/>
  <c r="Y275" i="4" s="1"/>
  <c r="W275" i="4"/>
  <c r="T275" i="4"/>
  <c r="S275" i="4"/>
  <c r="R275" i="4"/>
  <c r="O275" i="4"/>
  <c r="N275" i="4"/>
  <c r="L275" i="4"/>
  <c r="K275" i="4"/>
  <c r="I275" i="4"/>
  <c r="E275" i="4"/>
  <c r="AJ274" i="4"/>
  <c r="AH274" i="4"/>
  <c r="AI274" i="4" s="1"/>
  <c r="AC274" i="4"/>
  <c r="X274" i="4"/>
  <c r="Y274" i="4" s="1"/>
  <c r="W274" i="4"/>
  <c r="T274" i="4"/>
  <c r="S274" i="4"/>
  <c r="R274" i="4"/>
  <c r="O274" i="4"/>
  <c r="N274" i="4"/>
  <c r="L274" i="4"/>
  <c r="K274" i="4"/>
  <c r="I274" i="4"/>
  <c r="E274" i="4"/>
  <c r="AJ273" i="4"/>
  <c r="AH273" i="4"/>
  <c r="AI273" i="4" s="1"/>
  <c r="AC273" i="4"/>
  <c r="X273" i="4"/>
  <c r="Y273" i="4" s="1"/>
  <c r="W273" i="4"/>
  <c r="T273" i="4"/>
  <c r="S273" i="4"/>
  <c r="R273" i="4"/>
  <c r="O273" i="4"/>
  <c r="N273" i="4"/>
  <c r="L273" i="4"/>
  <c r="K273" i="4"/>
  <c r="I273" i="4"/>
  <c r="E273" i="4"/>
  <c r="AJ272" i="4"/>
  <c r="AH272" i="4"/>
  <c r="AI272" i="4" s="1"/>
  <c r="AC272" i="4"/>
  <c r="X272" i="4"/>
  <c r="Y272" i="4" s="1"/>
  <c r="W272" i="4"/>
  <c r="T272" i="4"/>
  <c r="S272" i="4"/>
  <c r="R272" i="4"/>
  <c r="O272" i="4"/>
  <c r="N272" i="4"/>
  <c r="L272" i="4"/>
  <c r="K272" i="4"/>
  <c r="I272" i="4"/>
  <c r="E272" i="4"/>
  <c r="AJ271" i="4"/>
  <c r="AH271" i="4"/>
  <c r="AI271" i="4" s="1"/>
  <c r="AC271" i="4"/>
  <c r="X271" i="4"/>
  <c r="Y271" i="4" s="1"/>
  <c r="W271" i="4"/>
  <c r="T271" i="4"/>
  <c r="S271" i="4"/>
  <c r="R271" i="4"/>
  <c r="O271" i="4"/>
  <c r="N271" i="4"/>
  <c r="L271" i="4"/>
  <c r="K271" i="4"/>
  <c r="I271" i="4"/>
  <c r="E271" i="4"/>
  <c r="AJ270" i="4"/>
  <c r="AH270" i="4"/>
  <c r="AI270" i="4" s="1"/>
  <c r="AC270" i="4"/>
  <c r="X270" i="4"/>
  <c r="Y270" i="4" s="1"/>
  <c r="W270" i="4"/>
  <c r="T270" i="4"/>
  <c r="S270" i="4"/>
  <c r="R270" i="4"/>
  <c r="O270" i="4"/>
  <c r="N270" i="4"/>
  <c r="L270" i="4"/>
  <c r="K270" i="4"/>
  <c r="I270" i="4"/>
  <c r="E270" i="4"/>
  <c r="AJ269" i="4"/>
  <c r="AH269" i="4"/>
  <c r="AI269" i="4" s="1"/>
  <c r="AC269" i="4"/>
  <c r="X269" i="4"/>
  <c r="Y269" i="4" s="1"/>
  <c r="Z269" i="4" s="1"/>
  <c r="W269" i="4"/>
  <c r="T269" i="4"/>
  <c r="S269" i="4"/>
  <c r="R269" i="4"/>
  <c r="O269" i="4"/>
  <c r="N269" i="4"/>
  <c r="L269" i="4"/>
  <c r="K269" i="4"/>
  <c r="I269" i="4"/>
  <c r="E269" i="4"/>
  <c r="AJ268" i="4"/>
  <c r="AI268" i="4"/>
  <c r="AH268" i="4"/>
  <c r="AC268" i="4"/>
  <c r="X268" i="4"/>
  <c r="Y268" i="4" s="1"/>
  <c r="W268" i="4"/>
  <c r="T268" i="4"/>
  <c r="S268" i="4"/>
  <c r="R268" i="4"/>
  <c r="O268" i="4"/>
  <c r="N268" i="4"/>
  <c r="L268" i="4"/>
  <c r="K268" i="4"/>
  <c r="I268" i="4"/>
  <c r="E268" i="4"/>
  <c r="AJ267" i="4"/>
  <c r="AH267" i="4"/>
  <c r="AI267" i="4" s="1"/>
  <c r="AC267" i="4"/>
  <c r="X267" i="4"/>
  <c r="Y267" i="4" s="1"/>
  <c r="W267" i="4"/>
  <c r="T267" i="4"/>
  <c r="S267" i="4"/>
  <c r="R267" i="4"/>
  <c r="O267" i="4"/>
  <c r="N267" i="4"/>
  <c r="L267" i="4"/>
  <c r="K267" i="4"/>
  <c r="I267" i="4"/>
  <c r="E267" i="4"/>
  <c r="AJ266" i="4"/>
  <c r="AH266" i="4"/>
  <c r="AI266" i="4" s="1"/>
  <c r="AC266" i="4"/>
  <c r="X266" i="4"/>
  <c r="Y266" i="4" s="1"/>
  <c r="W266" i="4"/>
  <c r="T266" i="4"/>
  <c r="S266" i="4"/>
  <c r="R266" i="4"/>
  <c r="O266" i="4"/>
  <c r="N266" i="4"/>
  <c r="L266" i="4"/>
  <c r="K266" i="4"/>
  <c r="I266" i="4"/>
  <c r="E266" i="4"/>
  <c r="AJ265" i="4"/>
  <c r="AH265" i="4"/>
  <c r="AI265" i="4" s="1"/>
  <c r="AC265" i="4"/>
  <c r="X265" i="4"/>
  <c r="Y265" i="4" s="1"/>
  <c r="W265" i="4"/>
  <c r="T265" i="4"/>
  <c r="S265" i="4"/>
  <c r="R265" i="4"/>
  <c r="O265" i="4"/>
  <c r="N265" i="4"/>
  <c r="L265" i="4"/>
  <c r="K265" i="4"/>
  <c r="I265" i="4"/>
  <c r="E265" i="4"/>
  <c r="AJ264" i="4"/>
  <c r="AH264" i="4"/>
  <c r="AI264" i="4" s="1"/>
  <c r="AC264" i="4"/>
  <c r="X264" i="4"/>
  <c r="Y264" i="4" s="1"/>
  <c r="W264" i="4"/>
  <c r="T264" i="4"/>
  <c r="S264" i="4"/>
  <c r="R264" i="4"/>
  <c r="O264" i="4"/>
  <c r="N264" i="4"/>
  <c r="L264" i="4"/>
  <c r="K264" i="4"/>
  <c r="I264" i="4"/>
  <c r="E264" i="4"/>
  <c r="AJ263" i="4"/>
  <c r="AH263" i="4"/>
  <c r="AI263" i="4" s="1"/>
  <c r="AC263" i="4"/>
  <c r="X263" i="4"/>
  <c r="Y263" i="4" s="1"/>
  <c r="W263" i="4"/>
  <c r="T263" i="4"/>
  <c r="S263" i="4"/>
  <c r="R263" i="4"/>
  <c r="O263" i="4"/>
  <c r="N263" i="4"/>
  <c r="L263" i="4"/>
  <c r="K263" i="4"/>
  <c r="I263" i="4"/>
  <c r="E263" i="4"/>
  <c r="AJ262" i="4"/>
  <c r="AH262" i="4"/>
  <c r="AI262" i="4" s="1"/>
  <c r="AC262" i="4"/>
  <c r="X262" i="4"/>
  <c r="Y262" i="4" s="1"/>
  <c r="W262" i="4"/>
  <c r="T262" i="4"/>
  <c r="S262" i="4"/>
  <c r="R262" i="4"/>
  <c r="O262" i="4"/>
  <c r="N262" i="4"/>
  <c r="L262" i="4"/>
  <c r="K262" i="4"/>
  <c r="I262" i="4"/>
  <c r="E262" i="4"/>
  <c r="AJ261" i="4"/>
  <c r="AH261" i="4"/>
  <c r="AI261" i="4" s="1"/>
  <c r="AC261" i="4"/>
  <c r="X261" i="4"/>
  <c r="Y261" i="4" s="1"/>
  <c r="W261" i="4"/>
  <c r="T261" i="4"/>
  <c r="S261" i="4"/>
  <c r="R261" i="4"/>
  <c r="O261" i="4"/>
  <c r="N261" i="4"/>
  <c r="L261" i="4"/>
  <c r="K261" i="4"/>
  <c r="I261" i="4"/>
  <c r="E261" i="4"/>
  <c r="AJ260" i="4"/>
  <c r="AH260" i="4"/>
  <c r="AI260" i="4" s="1"/>
  <c r="AC260" i="4"/>
  <c r="X260" i="4"/>
  <c r="Y260" i="4" s="1"/>
  <c r="W260" i="4"/>
  <c r="T260" i="4"/>
  <c r="S260" i="4"/>
  <c r="R260" i="4"/>
  <c r="O260" i="4"/>
  <c r="N260" i="4"/>
  <c r="L260" i="4"/>
  <c r="K260" i="4"/>
  <c r="I260" i="4"/>
  <c r="E260" i="4"/>
  <c r="AJ259" i="4"/>
  <c r="AH259" i="4"/>
  <c r="AI259" i="4" s="1"/>
  <c r="AC259" i="4"/>
  <c r="X259" i="4"/>
  <c r="Y259" i="4" s="1"/>
  <c r="W259" i="4"/>
  <c r="T259" i="4"/>
  <c r="S259" i="4"/>
  <c r="R259" i="4"/>
  <c r="O259" i="4"/>
  <c r="N259" i="4"/>
  <c r="L259" i="4"/>
  <c r="K259" i="4"/>
  <c r="I259" i="4"/>
  <c r="E259" i="4"/>
  <c r="AJ258" i="4"/>
  <c r="AH258" i="4"/>
  <c r="AI258" i="4" s="1"/>
  <c r="AC258" i="4"/>
  <c r="X258" i="4"/>
  <c r="Y258" i="4" s="1"/>
  <c r="W258" i="4"/>
  <c r="T258" i="4"/>
  <c r="S258" i="4"/>
  <c r="R258" i="4"/>
  <c r="O258" i="4"/>
  <c r="N258" i="4"/>
  <c r="L258" i="4"/>
  <c r="K258" i="4"/>
  <c r="I258" i="4"/>
  <c r="E258" i="4"/>
  <c r="AJ257" i="4"/>
  <c r="AH257" i="4"/>
  <c r="AI257" i="4" s="1"/>
  <c r="AC257" i="4"/>
  <c r="X257" i="4"/>
  <c r="Y257" i="4" s="1"/>
  <c r="W257" i="4"/>
  <c r="T257" i="4"/>
  <c r="S257" i="4"/>
  <c r="R257" i="4"/>
  <c r="O257" i="4"/>
  <c r="N257" i="4"/>
  <c r="L257" i="4"/>
  <c r="K257" i="4"/>
  <c r="I257" i="4"/>
  <c r="E257" i="4"/>
  <c r="AJ256" i="4"/>
  <c r="AH256" i="4"/>
  <c r="AI256" i="4" s="1"/>
  <c r="AC256" i="4"/>
  <c r="X256" i="4"/>
  <c r="Y256" i="4" s="1"/>
  <c r="W256" i="4"/>
  <c r="T256" i="4"/>
  <c r="S256" i="4"/>
  <c r="R256" i="4"/>
  <c r="O256" i="4"/>
  <c r="N256" i="4"/>
  <c r="L256" i="4"/>
  <c r="K256" i="4"/>
  <c r="I256" i="4"/>
  <c r="E256" i="4"/>
  <c r="AJ255" i="4"/>
  <c r="AH255" i="4"/>
  <c r="AI255" i="4" s="1"/>
  <c r="AC255" i="4"/>
  <c r="X255" i="4"/>
  <c r="Y255" i="4" s="1"/>
  <c r="W255" i="4"/>
  <c r="T255" i="4"/>
  <c r="S255" i="4"/>
  <c r="R255" i="4"/>
  <c r="O255" i="4"/>
  <c r="N255" i="4"/>
  <c r="L255" i="4"/>
  <c r="K255" i="4"/>
  <c r="I255" i="4"/>
  <c r="E255" i="4"/>
  <c r="AJ254" i="4"/>
  <c r="AH254" i="4"/>
  <c r="AI254" i="4" s="1"/>
  <c r="AC254" i="4"/>
  <c r="X254" i="4"/>
  <c r="Y254" i="4" s="1"/>
  <c r="W254" i="4"/>
  <c r="T254" i="4"/>
  <c r="S254" i="4"/>
  <c r="R254" i="4"/>
  <c r="O254" i="4"/>
  <c r="N254" i="4"/>
  <c r="L254" i="4"/>
  <c r="K254" i="4"/>
  <c r="I254" i="4"/>
  <c r="E254" i="4"/>
  <c r="AJ253" i="4"/>
  <c r="AH253" i="4"/>
  <c r="AI253" i="4" s="1"/>
  <c r="AC253" i="4"/>
  <c r="X253" i="4"/>
  <c r="Y253" i="4" s="1"/>
  <c r="W253" i="4"/>
  <c r="T253" i="4"/>
  <c r="S253" i="4"/>
  <c r="R253" i="4"/>
  <c r="O253" i="4"/>
  <c r="N253" i="4"/>
  <c r="L253" i="4"/>
  <c r="K253" i="4"/>
  <c r="I253" i="4"/>
  <c r="E253" i="4"/>
  <c r="AJ252" i="4"/>
  <c r="AI252" i="4"/>
  <c r="AH252" i="4"/>
  <c r="AC252" i="4"/>
  <c r="X252" i="4"/>
  <c r="Y252" i="4" s="1"/>
  <c r="W252" i="4"/>
  <c r="T252" i="4"/>
  <c r="S252" i="4"/>
  <c r="R252" i="4"/>
  <c r="O252" i="4"/>
  <c r="N252" i="4"/>
  <c r="L252" i="4"/>
  <c r="K252" i="4"/>
  <c r="I252" i="4"/>
  <c r="E252" i="4"/>
  <c r="AJ251" i="4"/>
  <c r="AH251" i="4"/>
  <c r="AI251" i="4" s="1"/>
  <c r="AC251" i="4"/>
  <c r="X251" i="4"/>
  <c r="Y251" i="4" s="1"/>
  <c r="W251" i="4"/>
  <c r="T251" i="4"/>
  <c r="S251" i="4"/>
  <c r="R251" i="4"/>
  <c r="O251" i="4"/>
  <c r="N251" i="4"/>
  <c r="L251" i="4"/>
  <c r="K251" i="4"/>
  <c r="I251" i="4"/>
  <c r="E251" i="4"/>
  <c r="AJ250" i="4"/>
  <c r="AH250" i="4"/>
  <c r="AI250" i="4" s="1"/>
  <c r="AC250" i="4"/>
  <c r="X250" i="4"/>
  <c r="Y250" i="4" s="1"/>
  <c r="W250" i="4"/>
  <c r="T250" i="4"/>
  <c r="S250" i="4"/>
  <c r="R250" i="4"/>
  <c r="O250" i="4"/>
  <c r="N250" i="4"/>
  <c r="L250" i="4"/>
  <c r="K250" i="4"/>
  <c r="I250" i="4"/>
  <c r="E250" i="4"/>
  <c r="AJ249" i="4"/>
  <c r="AH249" i="4"/>
  <c r="AI249" i="4" s="1"/>
  <c r="AC249" i="4"/>
  <c r="X249" i="4"/>
  <c r="Y249" i="4" s="1"/>
  <c r="W249" i="4"/>
  <c r="T249" i="4"/>
  <c r="S249" i="4"/>
  <c r="R249" i="4"/>
  <c r="O249" i="4"/>
  <c r="N249" i="4"/>
  <c r="L249" i="4"/>
  <c r="K249" i="4"/>
  <c r="I249" i="4"/>
  <c r="E249" i="4"/>
  <c r="AJ248" i="4"/>
  <c r="AH248" i="4"/>
  <c r="AI248" i="4" s="1"/>
  <c r="AC248" i="4"/>
  <c r="X248" i="4"/>
  <c r="Y248" i="4" s="1"/>
  <c r="W248" i="4"/>
  <c r="T248" i="4"/>
  <c r="S248" i="4"/>
  <c r="R248" i="4"/>
  <c r="O248" i="4"/>
  <c r="N248" i="4"/>
  <c r="L248" i="4"/>
  <c r="K248" i="4"/>
  <c r="I248" i="4"/>
  <c r="E248" i="4"/>
  <c r="AJ247" i="4"/>
  <c r="AH247" i="4"/>
  <c r="AI247" i="4" s="1"/>
  <c r="AC247" i="4"/>
  <c r="X247" i="4"/>
  <c r="Y247" i="4" s="1"/>
  <c r="W247" i="4"/>
  <c r="T247" i="4"/>
  <c r="S247" i="4"/>
  <c r="R247" i="4"/>
  <c r="O247" i="4"/>
  <c r="N247" i="4"/>
  <c r="L247" i="4"/>
  <c r="K247" i="4"/>
  <c r="I247" i="4"/>
  <c r="E247" i="4"/>
  <c r="AJ246" i="4"/>
  <c r="AH246" i="4"/>
  <c r="AI246" i="4" s="1"/>
  <c r="AC246" i="4"/>
  <c r="X246" i="4"/>
  <c r="Y246" i="4" s="1"/>
  <c r="W246" i="4"/>
  <c r="T246" i="4"/>
  <c r="S246" i="4"/>
  <c r="R246" i="4"/>
  <c r="O246" i="4"/>
  <c r="N246" i="4"/>
  <c r="L246" i="4"/>
  <c r="K246" i="4"/>
  <c r="I246" i="4"/>
  <c r="E246" i="4"/>
  <c r="AJ245" i="4"/>
  <c r="AH245" i="4"/>
  <c r="AI245" i="4" s="1"/>
  <c r="AC245" i="4"/>
  <c r="X245" i="4"/>
  <c r="Y245" i="4" s="1"/>
  <c r="W245" i="4"/>
  <c r="T245" i="4"/>
  <c r="S245" i="4"/>
  <c r="R245" i="4"/>
  <c r="O245" i="4"/>
  <c r="N245" i="4"/>
  <c r="L245" i="4"/>
  <c r="K245" i="4"/>
  <c r="I245" i="4"/>
  <c r="E245" i="4"/>
  <c r="AJ244" i="4"/>
  <c r="AH244" i="4"/>
  <c r="AI244" i="4" s="1"/>
  <c r="AC244" i="4"/>
  <c r="X244" i="4"/>
  <c r="Y244" i="4" s="1"/>
  <c r="W244" i="4"/>
  <c r="T244" i="4"/>
  <c r="S244" i="4"/>
  <c r="R244" i="4"/>
  <c r="O244" i="4"/>
  <c r="N244" i="4"/>
  <c r="L244" i="4"/>
  <c r="K244" i="4"/>
  <c r="I244" i="4"/>
  <c r="E244" i="4"/>
  <c r="AJ243" i="4"/>
  <c r="AH243" i="4"/>
  <c r="AI243" i="4" s="1"/>
  <c r="AC243" i="4"/>
  <c r="X243" i="4"/>
  <c r="Y243" i="4" s="1"/>
  <c r="W243" i="4"/>
  <c r="T243" i="4"/>
  <c r="S243" i="4"/>
  <c r="R243" i="4"/>
  <c r="O243" i="4"/>
  <c r="N243" i="4"/>
  <c r="L243" i="4"/>
  <c r="K243" i="4"/>
  <c r="I243" i="4"/>
  <c r="E243" i="4"/>
  <c r="AJ242" i="4"/>
  <c r="AH242" i="4"/>
  <c r="AI242" i="4" s="1"/>
  <c r="AC242" i="4"/>
  <c r="X242" i="4"/>
  <c r="Y242" i="4" s="1"/>
  <c r="W242" i="4"/>
  <c r="T242" i="4"/>
  <c r="S242" i="4"/>
  <c r="R242" i="4"/>
  <c r="O242" i="4"/>
  <c r="N242" i="4"/>
  <c r="L242" i="4"/>
  <c r="K242" i="4"/>
  <c r="I242" i="4"/>
  <c r="E242" i="4"/>
  <c r="AJ241" i="4"/>
  <c r="AH241" i="4"/>
  <c r="AI241" i="4" s="1"/>
  <c r="AC241" i="4"/>
  <c r="X241" i="4"/>
  <c r="Y241" i="4" s="1"/>
  <c r="W241" i="4"/>
  <c r="T241" i="4"/>
  <c r="S241" i="4"/>
  <c r="R241" i="4"/>
  <c r="O241" i="4"/>
  <c r="N241" i="4"/>
  <c r="L241" i="4"/>
  <c r="K241" i="4"/>
  <c r="I241" i="4"/>
  <c r="E241" i="4"/>
  <c r="AJ240" i="4"/>
  <c r="AH240" i="4"/>
  <c r="AI240" i="4" s="1"/>
  <c r="AC240" i="4"/>
  <c r="X240" i="4"/>
  <c r="Y240" i="4" s="1"/>
  <c r="W240" i="4"/>
  <c r="T240" i="4"/>
  <c r="S240" i="4"/>
  <c r="R240" i="4"/>
  <c r="O240" i="4"/>
  <c r="N240" i="4"/>
  <c r="L240" i="4"/>
  <c r="K240" i="4"/>
  <c r="I240" i="4"/>
  <c r="E240" i="4"/>
  <c r="AJ239" i="4"/>
  <c r="AH239" i="4"/>
  <c r="AI239" i="4" s="1"/>
  <c r="AC239" i="4"/>
  <c r="X239" i="4"/>
  <c r="Y239" i="4" s="1"/>
  <c r="W239" i="4"/>
  <c r="T239" i="4"/>
  <c r="S239" i="4"/>
  <c r="R239" i="4"/>
  <c r="O239" i="4"/>
  <c r="N239" i="4"/>
  <c r="L239" i="4"/>
  <c r="K239" i="4"/>
  <c r="I239" i="4"/>
  <c r="E239" i="4"/>
  <c r="AJ238" i="4"/>
  <c r="AH238" i="4"/>
  <c r="AI238" i="4" s="1"/>
  <c r="AC238" i="4"/>
  <c r="X238" i="4"/>
  <c r="Y238" i="4" s="1"/>
  <c r="W238" i="4"/>
  <c r="T238" i="4"/>
  <c r="S238" i="4"/>
  <c r="R238" i="4"/>
  <c r="O238" i="4"/>
  <c r="N238" i="4"/>
  <c r="L238" i="4"/>
  <c r="K238" i="4"/>
  <c r="I238" i="4"/>
  <c r="E238" i="4"/>
  <c r="AJ237" i="4"/>
  <c r="AH237" i="4"/>
  <c r="AI237" i="4" s="1"/>
  <c r="AC237" i="4"/>
  <c r="X237" i="4"/>
  <c r="Y237" i="4" s="1"/>
  <c r="W237" i="4"/>
  <c r="T237" i="4"/>
  <c r="S237" i="4"/>
  <c r="R237" i="4"/>
  <c r="O237" i="4"/>
  <c r="N237" i="4"/>
  <c r="L237" i="4"/>
  <c r="K237" i="4"/>
  <c r="I237" i="4"/>
  <c r="E237" i="4"/>
  <c r="AJ236" i="4"/>
  <c r="AH236" i="4"/>
  <c r="AI236" i="4" s="1"/>
  <c r="AC236" i="4"/>
  <c r="X236" i="4"/>
  <c r="Y236" i="4" s="1"/>
  <c r="W236" i="4"/>
  <c r="T236" i="4"/>
  <c r="S236" i="4"/>
  <c r="R236" i="4"/>
  <c r="O236" i="4"/>
  <c r="N236" i="4"/>
  <c r="L236" i="4"/>
  <c r="K236" i="4"/>
  <c r="I236" i="4"/>
  <c r="E236" i="4"/>
  <c r="AJ235" i="4"/>
  <c r="AH235" i="4"/>
  <c r="AI235" i="4" s="1"/>
  <c r="AC235" i="4"/>
  <c r="X235" i="4"/>
  <c r="Y235" i="4" s="1"/>
  <c r="W235" i="4"/>
  <c r="T235" i="4"/>
  <c r="S235" i="4"/>
  <c r="R235" i="4"/>
  <c r="O235" i="4"/>
  <c r="N235" i="4"/>
  <c r="L235" i="4"/>
  <c r="K235" i="4"/>
  <c r="I235" i="4"/>
  <c r="E235" i="4"/>
  <c r="AJ234" i="4"/>
  <c r="AH234" i="4"/>
  <c r="AI234" i="4" s="1"/>
  <c r="AC234" i="4"/>
  <c r="X234" i="4"/>
  <c r="Y234" i="4" s="1"/>
  <c r="W234" i="4"/>
  <c r="T234" i="4"/>
  <c r="S234" i="4"/>
  <c r="R234" i="4"/>
  <c r="O234" i="4"/>
  <c r="N234" i="4"/>
  <c r="L234" i="4"/>
  <c r="K234" i="4"/>
  <c r="I234" i="4"/>
  <c r="E234" i="4"/>
  <c r="AJ233" i="4"/>
  <c r="AH233" i="4"/>
  <c r="AI233" i="4" s="1"/>
  <c r="AC233" i="4"/>
  <c r="X233" i="4"/>
  <c r="Y233" i="4" s="1"/>
  <c r="W233" i="4"/>
  <c r="T233" i="4"/>
  <c r="S233" i="4"/>
  <c r="R233" i="4"/>
  <c r="O233" i="4"/>
  <c r="N233" i="4"/>
  <c r="L233" i="4"/>
  <c r="K233" i="4"/>
  <c r="I233" i="4"/>
  <c r="E233" i="4"/>
  <c r="AJ232" i="4"/>
  <c r="AH232" i="4"/>
  <c r="AI232" i="4" s="1"/>
  <c r="AC232" i="4"/>
  <c r="X232" i="4"/>
  <c r="Y232" i="4" s="1"/>
  <c r="W232" i="4"/>
  <c r="T232" i="4"/>
  <c r="S232" i="4"/>
  <c r="R232" i="4"/>
  <c r="O232" i="4"/>
  <c r="N232" i="4"/>
  <c r="L232" i="4"/>
  <c r="K232" i="4"/>
  <c r="I232" i="4"/>
  <c r="E232" i="4"/>
  <c r="AJ231" i="4"/>
  <c r="AH231" i="4"/>
  <c r="AI231" i="4" s="1"/>
  <c r="AC231" i="4"/>
  <c r="X231" i="4"/>
  <c r="Y231" i="4" s="1"/>
  <c r="W231" i="4"/>
  <c r="T231" i="4"/>
  <c r="S231" i="4"/>
  <c r="R231" i="4"/>
  <c r="O231" i="4"/>
  <c r="N231" i="4"/>
  <c r="L231" i="4"/>
  <c r="K231" i="4"/>
  <c r="I231" i="4"/>
  <c r="E231" i="4"/>
  <c r="AJ230" i="4"/>
  <c r="AH230" i="4"/>
  <c r="AI230" i="4" s="1"/>
  <c r="AC230" i="4"/>
  <c r="X230" i="4"/>
  <c r="Y230" i="4" s="1"/>
  <c r="W230" i="4"/>
  <c r="T230" i="4"/>
  <c r="S230" i="4"/>
  <c r="R230" i="4"/>
  <c r="O230" i="4"/>
  <c r="N230" i="4"/>
  <c r="L230" i="4"/>
  <c r="K230" i="4"/>
  <c r="I230" i="4"/>
  <c r="E230" i="4"/>
  <c r="AJ229" i="4"/>
  <c r="AH229" i="4"/>
  <c r="AI229" i="4" s="1"/>
  <c r="AC229" i="4"/>
  <c r="X229" i="4"/>
  <c r="Y229" i="4" s="1"/>
  <c r="W229" i="4"/>
  <c r="T229" i="4"/>
  <c r="S229" i="4"/>
  <c r="R229" i="4"/>
  <c r="O229" i="4"/>
  <c r="N229" i="4"/>
  <c r="L229" i="4"/>
  <c r="K229" i="4"/>
  <c r="I229" i="4"/>
  <c r="E229" i="4"/>
  <c r="AJ228" i="4"/>
  <c r="AH228" i="4"/>
  <c r="AI228" i="4" s="1"/>
  <c r="AC228" i="4"/>
  <c r="X228" i="4"/>
  <c r="Y228" i="4" s="1"/>
  <c r="W228" i="4"/>
  <c r="T228" i="4"/>
  <c r="S228" i="4"/>
  <c r="R228" i="4"/>
  <c r="O228" i="4"/>
  <c r="N228" i="4"/>
  <c r="L228" i="4"/>
  <c r="K228" i="4"/>
  <c r="I228" i="4"/>
  <c r="E228" i="4"/>
  <c r="AJ227" i="4"/>
  <c r="AH227" i="4"/>
  <c r="AI227" i="4" s="1"/>
  <c r="AC227" i="4"/>
  <c r="X227" i="4"/>
  <c r="Y227" i="4" s="1"/>
  <c r="W227" i="4"/>
  <c r="T227" i="4"/>
  <c r="S227" i="4"/>
  <c r="R227" i="4"/>
  <c r="O227" i="4"/>
  <c r="N227" i="4"/>
  <c r="L227" i="4"/>
  <c r="K227" i="4"/>
  <c r="I227" i="4"/>
  <c r="E227" i="4"/>
  <c r="AJ226" i="4"/>
  <c r="AH226" i="4"/>
  <c r="AI226" i="4" s="1"/>
  <c r="AC226" i="4"/>
  <c r="X226" i="4"/>
  <c r="Y226" i="4" s="1"/>
  <c r="W226" i="4"/>
  <c r="T226" i="4"/>
  <c r="S226" i="4"/>
  <c r="R226" i="4"/>
  <c r="O226" i="4"/>
  <c r="N226" i="4"/>
  <c r="L226" i="4"/>
  <c r="K226" i="4"/>
  <c r="I226" i="4"/>
  <c r="E226" i="4"/>
  <c r="AJ225" i="4"/>
  <c r="AH225" i="4"/>
  <c r="AI225" i="4" s="1"/>
  <c r="AC225" i="4"/>
  <c r="X225" i="4"/>
  <c r="Y225" i="4" s="1"/>
  <c r="W225" i="4"/>
  <c r="T225" i="4"/>
  <c r="S225" i="4"/>
  <c r="R225" i="4"/>
  <c r="O225" i="4"/>
  <c r="N225" i="4"/>
  <c r="L225" i="4"/>
  <c r="K225" i="4"/>
  <c r="I225" i="4"/>
  <c r="E225" i="4"/>
  <c r="AJ224" i="4"/>
  <c r="AI224" i="4"/>
  <c r="AH224" i="4"/>
  <c r="AC224" i="4"/>
  <c r="X224" i="4"/>
  <c r="Y224" i="4" s="1"/>
  <c r="W224" i="4"/>
  <c r="T224" i="4"/>
  <c r="S224" i="4"/>
  <c r="R224" i="4"/>
  <c r="O224" i="4"/>
  <c r="N224" i="4"/>
  <c r="L224" i="4"/>
  <c r="K224" i="4"/>
  <c r="I224" i="4"/>
  <c r="E224" i="4"/>
  <c r="AJ223" i="4"/>
  <c r="AH223" i="4"/>
  <c r="AI223" i="4" s="1"/>
  <c r="AC223" i="4"/>
  <c r="X223" i="4"/>
  <c r="Y223" i="4" s="1"/>
  <c r="W223" i="4"/>
  <c r="T223" i="4"/>
  <c r="S223" i="4"/>
  <c r="R223" i="4"/>
  <c r="O223" i="4"/>
  <c r="N223" i="4"/>
  <c r="L223" i="4"/>
  <c r="K223" i="4"/>
  <c r="I223" i="4"/>
  <c r="E223" i="4"/>
  <c r="AJ222" i="4"/>
  <c r="AH222" i="4"/>
  <c r="AI222" i="4" s="1"/>
  <c r="AC222" i="4"/>
  <c r="X222" i="4"/>
  <c r="Y222" i="4" s="1"/>
  <c r="W222" i="4"/>
  <c r="T222" i="4"/>
  <c r="S222" i="4"/>
  <c r="R222" i="4"/>
  <c r="O222" i="4"/>
  <c r="N222" i="4"/>
  <c r="L222" i="4"/>
  <c r="K222" i="4"/>
  <c r="I222" i="4"/>
  <c r="E222" i="4"/>
  <c r="AJ221" i="4"/>
  <c r="AH221" i="4"/>
  <c r="AI221" i="4" s="1"/>
  <c r="AC221" i="4"/>
  <c r="X221" i="4"/>
  <c r="Y221" i="4" s="1"/>
  <c r="W221" i="4"/>
  <c r="T221" i="4"/>
  <c r="S221" i="4"/>
  <c r="R221" i="4"/>
  <c r="O221" i="4"/>
  <c r="N221" i="4"/>
  <c r="L221" i="4"/>
  <c r="K221" i="4"/>
  <c r="I221" i="4"/>
  <c r="E221" i="4"/>
  <c r="AJ220" i="4"/>
  <c r="AH220" i="4"/>
  <c r="AI220" i="4" s="1"/>
  <c r="AC220" i="4"/>
  <c r="X220" i="4"/>
  <c r="Y220" i="4" s="1"/>
  <c r="W220" i="4"/>
  <c r="T220" i="4"/>
  <c r="S220" i="4"/>
  <c r="R220" i="4"/>
  <c r="O220" i="4"/>
  <c r="N220" i="4"/>
  <c r="L220" i="4"/>
  <c r="K220" i="4"/>
  <c r="I220" i="4"/>
  <c r="E220" i="4"/>
  <c r="AJ219" i="4"/>
  <c r="AH219" i="4"/>
  <c r="AI219" i="4" s="1"/>
  <c r="AC219" i="4"/>
  <c r="X219" i="4"/>
  <c r="Y219" i="4" s="1"/>
  <c r="W219" i="4"/>
  <c r="T219" i="4"/>
  <c r="S219" i="4"/>
  <c r="R219" i="4"/>
  <c r="O219" i="4"/>
  <c r="N219" i="4"/>
  <c r="L219" i="4"/>
  <c r="K219" i="4"/>
  <c r="I219" i="4"/>
  <c r="E219" i="4"/>
  <c r="AJ218" i="4"/>
  <c r="AH218" i="4"/>
  <c r="AI218" i="4" s="1"/>
  <c r="AC218" i="4"/>
  <c r="X218" i="4"/>
  <c r="Y218" i="4" s="1"/>
  <c r="W218" i="4"/>
  <c r="T218" i="4"/>
  <c r="S218" i="4"/>
  <c r="R218" i="4"/>
  <c r="O218" i="4"/>
  <c r="N218" i="4"/>
  <c r="L218" i="4"/>
  <c r="K218" i="4"/>
  <c r="I218" i="4"/>
  <c r="E218" i="4"/>
  <c r="AJ217" i="4"/>
  <c r="AH217" i="4"/>
  <c r="AI217" i="4" s="1"/>
  <c r="AC217" i="4"/>
  <c r="X217" i="4"/>
  <c r="Y217" i="4" s="1"/>
  <c r="W217" i="4"/>
  <c r="T217" i="4"/>
  <c r="S217" i="4"/>
  <c r="R217" i="4"/>
  <c r="O217" i="4"/>
  <c r="N217" i="4"/>
  <c r="L217" i="4"/>
  <c r="K217" i="4"/>
  <c r="I217" i="4"/>
  <c r="E217" i="4"/>
  <c r="AJ216" i="4"/>
  <c r="AH216" i="4"/>
  <c r="AI216" i="4" s="1"/>
  <c r="AC216" i="4"/>
  <c r="X216" i="4"/>
  <c r="Y216" i="4" s="1"/>
  <c r="W216" i="4"/>
  <c r="T216" i="4"/>
  <c r="S216" i="4"/>
  <c r="R216" i="4"/>
  <c r="O216" i="4"/>
  <c r="N216" i="4"/>
  <c r="L216" i="4"/>
  <c r="K216" i="4"/>
  <c r="I216" i="4"/>
  <c r="E216" i="4"/>
  <c r="AJ215" i="4"/>
  <c r="AH215" i="4"/>
  <c r="AI215" i="4" s="1"/>
  <c r="AC215" i="4"/>
  <c r="X215" i="4"/>
  <c r="Y215" i="4" s="1"/>
  <c r="W215" i="4"/>
  <c r="T215" i="4"/>
  <c r="S215" i="4"/>
  <c r="R215" i="4"/>
  <c r="O215" i="4"/>
  <c r="N215" i="4"/>
  <c r="L215" i="4"/>
  <c r="K215" i="4"/>
  <c r="I215" i="4"/>
  <c r="E215" i="4"/>
  <c r="AJ214" i="4"/>
  <c r="AH214" i="4"/>
  <c r="AI214" i="4" s="1"/>
  <c r="AC214" i="4"/>
  <c r="X214" i="4"/>
  <c r="Y214" i="4" s="1"/>
  <c r="W214" i="4"/>
  <c r="T214" i="4"/>
  <c r="S214" i="4"/>
  <c r="R214" i="4"/>
  <c r="O214" i="4"/>
  <c r="N214" i="4"/>
  <c r="L214" i="4"/>
  <c r="K214" i="4"/>
  <c r="I214" i="4"/>
  <c r="E214" i="4"/>
  <c r="AJ213" i="4"/>
  <c r="AH213" i="4"/>
  <c r="AI213" i="4" s="1"/>
  <c r="AC213" i="4"/>
  <c r="X213" i="4"/>
  <c r="Y213" i="4" s="1"/>
  <c r="W213" i="4"/>
  <c r="T213" i="4"/>
  <c r="S213" i="4"/>
  <c r="R213" i="4"/>
  <c r="O213" i="4"/>
  <c r="N213" i="4"/>
  <c r="L213" i="4"/>
  <c r="K213" i="4"/>
  <c r="I213" i="4"/>
  <c r="E213" i="4"/>
  <c r="AJ212" i="4"/>
  <c r="AH212" i="4"/>
  <c r="AI212" i="4" s="1"/>
  <c r="AC212" i="4"/>
  <c r="X212" i="4"/>
  <c r="Y212" i="4" s="1"/>
  <c r="W212" i="4"/>
  <c r="T212" i="4"/>
  <c r="S212" i="4"/>
  <c r="R212" i="4"/>
  <c r="O212" i="4"/>
  <c r="N212" i="4"/>
  <c r="L212" i="4"/>
  <c r="K212" i="4"/>
  <c r="I212" i="4"/>
  <c r="E212" i="4"/>
  <c r="AJ211" i="4"/>
  <c r="AH211" i="4"/>
  <c r="AI211" i="4" s="1"/>
  <c r="AC211" i="4"/>
  <c r="X211" i="4"/>
  <c r="Y211" i="4" s="1"/>
  <c r="W211" i="4"/>
  <c r="T211" i="4"/>
  <c r="S211" i="4"/>
  <c r="R211" i="4"/>
  <c r="O211" i="4"/>
  <c r="N211" i="4"/>
  <c r="L211" i="4"/>
  <c r="K211" i="4"/>
  <c r="I211" i="4"/>
  <c r="E211" i="4"/>
  <c r="AJ210" i="4"/>
  <c r="AH210" i="4"/>
  <c r="AI210" i="4" s="1"/>
  <c r="AC210" i="4"/>
  <c r="X210" i="4"/>
  <c r="Y210" i="4" s="1"/>
  <c r="W210" i="4"/>
  <c r="T210" i="4"/>
  <c r="S210" i="4"/>
  <c r="R210" i="4"/>
  <c r="O210" i="4"/>
  <c r="N210" i="4"/>
  <c r="L210" i="4"/>
  <c r="K210" i="4"/>
  <c r="I210" i="4"/>
  <c r="E210" i="4"/>
  <c r="AJ209" i="4"/>
  <c r="AH209" i="4"/>
  <c r="AI209" i="4" s="1"/>
  <c r="AC209" i="4"/>
  <c r="X209" i="4"/>
  <c r="Y209" i="4" s="1"/>
  <c r="W209" i="4"/>
  <c r="T209" i="4"/>
  <c r="S209" i="4"/>
  <c r="R209" i="4"/>
  <c r="O209" i="4"/>
  <c r="N209" i="4"/>
  <c r="L209" i="4"/>
  <c r="K209" i="4"/>
  <c r="I209" i="4"/>
  <c r="E209" i="4"/>
  <c r="AJ208" i="4"/>
  <c r="AH208" i="4"/>
  <c r="AI208" i="4" s="1"/>
  <c r="AC208" i="4"/>
  <c r="X208" i="4"/>
  <c r="Y208" i="4" s="1"/>
  <c r="W208" i="4"/>
  <c r="T208" i="4"/>
  <c r="S208" i="4"/>
  <c r="R208" i="4"/>
  <c r="O208" i="4"/>
  <c r="N208" i="4"/>
  <c r="L208" i="4"/>
  <c r="K208" i="4"/>
  <c r="I208" i="4"/>
  <c r="E208" i="4"/>
  <c r="AJ207" i="4"/>
  <c r="AH207" i="4"/>
  <c r="AI207" i="4" s="1"/>
  <c r="AC207" i="4"/>
  <c r="X207" i="4"/>
  <c r="Y207" i="4" s="1"/>
  <c r="W207" i="4"/>
  <c r="T207" i="4"/>
  <c r="S207" i="4"/>
  <c r="R207" i="4"/>
  <c r="O207" i="4"/>
  <c r="N207" i="4"/>
  <c r="L207" i="4"/>
  <c r="K207" i="4"/>
  <c r="I207" i="4"/>
  <c r="E207" i="4"/>
  <c r="AJ206" i="4"/>
  <c r="AH206" i="4"/>
  <c r="AI206" i="4" s="1"/>
  <c r="AC206" i="4"/>
  <c r="X206" i="4"/>
  <c r="Y206" i="4" s="1"/>
  <c r="W206" i="4"/>
  <c r="T206" i="4"/>
  <c r="S206" i="4"/>
  <c r="R206" i="4"/>
  <c r="O206" i="4"/>
  <c r="N206" i="4"/>
  <c r="L206" i="4"/>
  <c r="K206" i="4"/>
  <c r="I206" i="4"/>
  <c r="E206" i="4"/>
  <c r="AJ205" i="4"/>
  <c r="AH205" i="4"/>
  <c r="AI205" i="4" s="1"/>
  <c r="AC205" i="4"/>
  <c r="X205" i="4"/>
  <c r="Y205" i="4" s="1"/>
  <c r="Z205" i="4" s="1"/>
  <c r="W205" i="4"/>
  <c r="T205" i="4"/>
  <c r="S205" i="4"/>
  <c r="R205" i="4"/>
  <c r="O205" i="4"/>
  <c r="N205" i="4"/>
  <c r="L205" i="4"/>
  <c r="K205" i="4"/>
  <c r="I205" i="4"/>
  <c r="E205" i="4"/>
  <c r="AJ204" i="4"/>
  <c r="AI204" i="4"/>
  <c r="AH204" i="4"/>
  <c r="AC204" i="4"/>
  <c r="X204" i="4"/>
  <c r="Y204" i="4" s="1"/>
  <c r="W204" i="4"/>
  <c r="T204" i="4"/>
  <c r="S204" i="4"/>
  <c r="R204" i="4"/>
  <c r="O204" i="4"/>
  <c r="N204" i="4"/>
  <c r="L204" i="4"/>
  <c r="K204" i="4"/>
  <c r="I204" i="4"/>
  <c r="E204" i="4"/>
  <c r="AJ203" i="4"/>
  <c r="AH203" i="4"/>
  <c r="AI203" i="4" s="1"/>
  <c r="AC203" i="4"/>
  <c r="X203" i="4"/>
  <c r="Y203" i="4" s="1"/>
  <c r="W203" i="4"/>
  <c r="T203" i="4"/>
  <c r="S203" i="4"/>
  <c r="R203" i="4"/>
  <c r="O203" i="4"/>
  <c r="N203" i="4"/>
  <c r="L203" i="4"/>
  <c r="K203" i="4"/>
  <c r="I203" i="4"/>
  <c r="E203" i="4"/>
  <c r="AJ202" i="4"/>
  <c r="AH202" i="4"/>
  <c r="AI202" i="4" s="1"/>
  <c r="AC202" i="4"/>
  <c r="X202" i="4"/>
  <c r="Y202" i="4" s="1"/>
  <c r="W202" i="4"/>
  <c r="T202" i="4"/>
  <c r="S202" i="4"/>
  <c r="R202" i="4"/>
  <c r="O202" i="4"/>
  <c r="N202" i="4"/>
  <c r="L202" i="4"/>
  <c r="K202" i="4"/>
  <c r="I202" i="4"/>
  <c r="E202" i="4"/>
  <c r="AJ201" i="4"/>
  <c r="AH201" i="4"/>
  <c r="AI201" i="4" s="1"/>
  <c r="AC201" i="4"/>
  <c r="X201" i="4"/>
  <c r="Y201" i="4" s="1"/>
  <c r="W201" i="4"/>
  <c r="T201" i="4"/>
  <c r="S201" i="4"/>
  <c r="R201" i="4"/>
  <c r="O201" i="4"/>
  <c r="N201" i="4"/>
  <c r="L201" i="4"/>
  <c r="K201" i="4"/>
  <c r="I201" i="4"/>
  <c r="E201" i="4"/>
  <c r="AJ200" i="4"/>
  <c r="AH200" i="4"/>
  <c r="AI200" i="4" s="1"/>
  <c r="AC200" i="4"/>
  <c r="X200" i="4"/>
  <c r="Y200" i="4" s="1"/>
  <c r="W200" i="4"/>
  <c r="T200" i="4"/>
  <c r="S200" i="4"/>
  <c r="R200" i="4"/>
  <c r="O200" i="4"/>
  <c r="N200" i="4"/>
  <c r="L200" i="4"/>
  <c r="K200" i="4"/>
  <c r="I200" i="4"/>
  <c r="E200" i="4"/>
  <c r="AJ199" i="4"/>
  <c r="AH199" i="4"/>
  <c r="AI199" i="4" s="1"/>
  <c r="AC199" i="4"/>
  <c r="X199" i="4"/>
  <c r="Y199" i="4" s="1"/>
  <c r="W199" i="4"/>
  <c r="T199" i="4"/>
  <c r="S199" i="4"/>
  <c r="R199" i="4"/>
  <c r="O199" i="4"/>
  <c r="N199" i="4"/>
  <c r="L199" i="4"/>
  <c r="K199" i="4"/>
  <c r="I199" i="4"/>
  <c r="E199" i="4"/>
  <c r="AJ198" i="4"/>
  <c r="AH198" i="4"/>
  <c r="AI198" i="4" s="1"/>
  <c r="AC198" i="4"/>
  <c r="X198" i="4"/>
  <c r="Y198" i="4" s="1"/>
  <c r="W198" i="4"/>
  <c r="T198" i="4"/>
  <c r="S198" i="4"/>
  <c r="R198" i="4"/>
  <c r="O198" i="4"/>
  <c r="N198" i="4"/>
  <c r="L198" i="4"/>
  <c r="K198" i="4"/>
  <c r="I198" i="4"/>
  <c r="E198" i="4"/>
  <c r="AJ197" i="4"/>
  <c r="AH197" i="4"/>
  <c r="AI197" i="4" s="1"/>
  <c r="AC197" i="4"/>
  <c r="X197" i="4"/>
  <c r="Y197" i="4" s="1"/>
  <c r="W197" i="4"/>
  <c r="T197" i="4"/>
  <c r="S197" i="4"/>
  <c r="R197" i="4"/>
  <c r="O197" i="4"/>
  <c r="N197" i="4"/>
  <c r="L197" i="4"/>
  <c r="K197" i="4"/>
  <c r="I197" i="4"/>
  <c r="E197" i="4"/>
  <c r="AJ196" i="4"/>
  <c r="AH196" i="4"/>
  <c r="AI196" i="4" s="1"/>
  <c r="AC196" i="4"/>
  <c r="X196" i="4"/>
  <c r="Y196" i="4" s="1"/>
  <c r="W196" i="4"/>
  <c r="T196" i="4"/>
  <c r="S196" i="4"/>
  <c r="R196" i="4"/>
  <c r="O196" i="4"/>
  <c r="N196" i="4"/>
  <c r="L196" i="4"/>
  <c r="K196" i="4"/>
  <c r="I196" i="4"/>
  <c r="E196" i="4"/>
  <c r="AJ195" i="4"/>
  <c r="AH195" i="4"/>
  <c r="AI195" i="4" s="1"/>
  <c r="AC195" i="4"/>
  <c r="X195" i="4"/>
  <c r="Y195" i="4" s="1"/>
  <c r="W195" i="4"/>
  <c r="T195" i="4"/>
  <c r="S195" i="4"/>
  <c r="R195" i="4"/>
  <c r="O195" i="4"/>
  <c r="N195" i="4"/>
  <c r="L195" i="4"/>
  <c r="K195" i="4"/>
  <c r="I195" i="4"/>
  <c r="E195" i="4"/>
  <c r="AJ194" i="4"/>
  <c r="AH194" i="4"/>
  <c r="AI194" i="4" s="1"/>
  <c r="AC194" i="4"/>
  <c r="X194" i="4"/>
  <c r="Y194" i="4" s="1"/>
  <c r="W194" i="4"/>
  <c r="T194" i="4"/>
  <c r="S194" i="4"/>
  <c r="R194" i="4"/>
  <c r="O194" i="4"/>
  <c r="N194" i="4"/>
  <c r="L194" i="4"/>
  <c r="K194" i="4"/>
  <c r="I194" i="4"/>
  <c r="E194" i="4"/>
  <c r="AJ193" i="4"/>
  <c r="AH193" i="4"/>
  <c r="AI193" i="4" s="1"/>
  <c r="AC193" i="4"/>
  <c r="X193" i="4"/>
  <c r="Y193" i="4" s="1"/>
  <c r="W193" i="4"/>
  <c r="T193" i="4"/>
  <c r="S193" i="4"/>
  <c r="R193" i="4"/>
  <c r="O193" i="4"/>
  <c r="N193" i="4"/>
  <c r="L193" i="4"/>
  <c r="K193" i="4"/>
  <c r="I193" i="4"/>
  <c r="E193" i="4"/>
  <c r="AJ192" i="4"/>
  <c r="AH192" i="4"/>
  <c r="AI192" i="4" s="1"/>
  <c r="AC192" i="4"/>
  <c r="X192" i="4"/>
  <c r="Y192" i="4" s="1"/>
  <c r="W192" i="4"/>
  <c r="T192" i="4"/>
  <c r="S192" i="4"/>
  <c r="R192" i="4"/>
  <c r="O192" i="4"/>
  <c r="N192" i="4"/>
  <c r="L192" i="4"/>
  <c r="K192" i="4"/>
  <c r="I192" i="4"/>
  <c r="E192" i="4"/>
  <c r="AJ191" i="4"/>
  <c r="AH191" i="4"/>
  <c r="AI191" i="4" s="1"/>
  <c r="AC191" i="4"/>
  <c r="X191" i="4"/>
  <c r="Y191" i="4" s="1"/>
  <c r="W191" i="4"/>
  <c r="T191" i="4"/>
  <c r="S191" i="4"/>
  <c r="R191" i="4"/>
  <c r="O191" i="4"/>
  <c r="N191" i="4"/>
  <c r="L191" i="4"/>
  <c r="K191" i="4"/>
  <c r="I191" i="4"/>
  <c r="E191" i="4"/>
  <c r="AJ190" i="4"/>
  <c r="AH190" i="4"/>
  <c r="AI190" i="4" s="1"/>
  <c r="AC190" i="4"/>
  <c r="X190" i="4"/>
  <c r="Y190" i="4" s="1"/>
  <c r="W190" i="4"/>
  <c r="T190" i="4"/>
  <c r="S190" i="4"/>
  <c r="R190" i="4"/>
  <c r="O190" i="4"/>
  <c r="N190" i="4"/>
  <c r="L190" i="4"/>
  <c r="K190" i="4"/>
  <c r="I190" i="4"/>
  <c r="E190" i="4"/>
  <c r="AJ189" i="4"/>
  <c r="AH189" i="4"/>
  <c r="AI189" i="4" s="1"/>
  <c r="AC189" i="4"/>
  <c r="X189" i="4"/>
  <c r="Y189" i="4" s="1"/>
  <c r="Z189" i="4" s="1"/>
  <c r="W189" i="4"/>
  <c r="T189" i="4"/>
  <c r="S189" i="4"/>
  <c r="R189" i="4"/>
  <c r="O189" i="4"/>
  <c r="N189" i="4"/>
  <c r="L189" i="4"/>
  <c r="K189" i="4"/>
  <c r="I189" i="4"/>
  <c r="E189" i="4"/>
  <c r="AJ188" i="4"/>
  <c r="AI188" i="4"/>
  <c r="AH188" i="4"/>
  <c r="AC188" i="4"/>
  <c r="X188" i="4"/>
  <c r="Y188" i="4" s="1"/>
  <c r="W188" i="4"/>
  <c r="T188" i="4"/>
  <c r="S188" i="4"/>
  <c r="R188" i="4"/>
  <c r="O188" i="4"/>
  <c r="N188" i="4"/>
  <c r="L188" i="4"/>
  <c r="K188" i="4"/>
  <c r="I188" i="4"/>
  <c r="E188" i="4"/>
  <c r="AJ187" i="4"/>
  <c r="AH187" i="4"/>
  <c r="AI187" i="4" s="1"/>
  <c r="AC187" i="4"/>
  <c r="X187" i="4"/>
  <c r="Y187" i="4" s="1"/>
  <c r="W187" i="4"/>
  <c r="T187" i="4"/>
  <c r="S187" i="4"/>
  <c r="R187" i="4"/>
  <c r="O187" i="4"/>
  <c r="N187" i="4"/>
  <c r="L187" i="4"/>
  <c r="K187" i="4"/>
  <c r="I187" i="4"/>
  <c r="E187" i="4"/>
  <c r="AJ186" i="4"/>
  <c r="AH186" i="4"/>
  <c r="AI186" i="4" s="1"/>
  <c r="AC186" i="4"/>
  <c r="X186" i="4"/>
  <c r="Y186" i="4" s="1"/>
  <c r="W186" i="4"/>
  <c r="T186" i="4"/>
  <c r="S186" i="4"/>
  <c r="R186" i="4"/>
  <c r="O186" i="4"/>
  <c r="N186" i="4"/>
  <c r="L186" i="4"/>
  <c r="K186" i="4"/>
  <c r="I186" i="4"/>
  <c r="E186" i="4"/>
  <c r="AJ185" i="4"/>
  <c r="AH185" i="4"/>
  <c r="AI185" i="4" s="1"/>
  <c r="AC185" i="4"/>
  <c r="X185" i="4"/>
  <c r="Y185" i="4" s="1"/>
  <c r="W185" i="4"/>
  <c r="T185" i="4"/>
  <c r="S185" i="4"/>
  <c r="R185" i="4"/>
  <c r="O185" i="4"/>
  <c r="N185" i="4"/>
  <c r="L185" i="4"/>
  <c r="K185" i="4"/>
  <c r="I185" i="4"/>
  <c r="E185" i="4"/>
  <c r="AJ184" i="4"/>
  <c r="AH184" i="4"/>
  <c r="AI184" i="4" s="1"/>
  <c r="AC184" i="4"/>
  <c r="X184" i="4"/>
  <c r="Y184" i="4" s="1"/>
  <c r="W184" i="4"/>
  <c r="T184" i="4"/>
  <c r="S184" i="4"/>
  <c r="R184" i="4"/>
  <c r="O184" i="4"/>
  <c r="N184" i="4"/>
  <c r="L184" i="4"/>
  <c r="K184" i="4"/>
  <c r="I184" i="4"/>
  <c r="E184" i="4"/>
  <c r="AJ183" i="4"/>
  <c r="AH183" i="4"/>
  <c r="AI183" i="4" s="1"/>
  <c r="AC183" i="4"/>
  <c r="X183" i="4"/>
  <c r="Y183" i="4" s="1"/>
  <c r="W183" i="4"/>
  <c r="T183" i="4"/>
  <c r="S183" i="4"/>
  <c r="R183" i="4"/>
  <c r="O183" i="4"/>
  <c r="N183" i="4"/>
  <c r="L183" i="4"/>
  <c r="K183" i="4"/>
  <c r="I183" i="4"/>
  <c r="E183" i="4"/>
  <c r="AJ182" i="4"/>
  <c r="AH182" i="4"/>
  <c r="AI182" i="4" s="1"/>
  <c r="AC182" i="4"/>
  <c r="X182" i="4"/>
  <c r="Y182" i="4" s="1"/>
  <c r="W182" i="4"/>
  <c r="T182" i="4"/>
  <c r="S182" i="4"/>
  <c r="R182" i="4"/>
  <c r="O182" i="4"/>
  <c r="N182" i="4"/>
  <c r="L182" i="4"/>
  <c r="K182" i="4"/>
  <c r="I182" i="4"/>
  <c r="E182" i="4"/>
  <c r="AJ181" i="4"/>
  <c r="AH181" i="4"/>
  <c r="AI181" i="4" s="1"/>
  <c r="AC181" i="4"/>
  <c r="X181" i="4"/>
  <c r="Y181" i="4" s="1"/>
  <c r="Z181" i="4" s="1"/>
  <c r="W181" i="4"/>
  <c r="T181" i="4"/>
  <c r="S181" i="4"/>
  <c r="R181" i="4"/>
  <c r="O181" i="4"/>
  <c r="N181" i="4"/>
  <c r="L181" i="4"/>
  <c r="K181" i="4"/>
  <c r="I181" i="4"/>
  <c r="E181" i="4"/>
  <c r="AJ180" i="4"/>
  <c r="AI180" i="4"/>
  <c r="AH180" i="4"/>
  <c r="AC180" i="4"/>
  <c r="X180" i="4"/>
  <c r="Y180" i="4" s="1"/>
  <c r="W180" i="4"/>
  <c r="T180" i="4"/>
  <c r="S180" i="4"/>
  <c r="R180" i="4"/>
  <c r="O180" i="4"/>
  <c r="N180" i="4"/>
  <c r="L180" i="4"/>
  <c r="K180" i="4"/>
  <c r="I180" i="4"/>
  <c r="E180" i="4"/>
  <c r="AJ179" i="4"/>
  <c r="AH179" i="4"/>
  <c r="AI179" i="4" s="1"/>
  <c r="AC179" i="4"/>
  <c r="X179" i="4"/>
  <c r="Y179" i="4" s="1"/>
  <c r="W179" i="4"/>
  <c r="T179" i="4"/>
  <c r="S179" i="4"/>
  <c r="R179" i="4"/>
  <c r="O179" i="4"/>
  <c r="N179" i="4"/>
  <c r="L179" i="4"/>
  <c r="K179" i="4"/>
  <c r="I179" i="4"/>
  <c r="E179" i="4"/>
  <c r="AJ178" i="4"/>
  <c r="AH178" i="4"/>
  <c r="AI178" i="4" s="1"/>
  <c r="AC178" i="4"/>
  <c r="X178" i="4"/>
  <c r="Y178" i="4" s="1"/>
  <c r="W178" i="4"/>
  <c r="T178" i="4"/>
  <c r="S178" i="4"/>
  <c r="R178" i="4"/>
  <c r="O178" i="4"/>
  <c r="N178" i="4"/>
  <c r="L178" i="4"/>
  <c r="K178" i="4"/>
  <c r="I178" i="4"/>
  <c r="E178" i="4"/>
  <c r="AJ177" i="4"/>
  <c r="AH177" i="4"/>
  <c r="AI177" i="4" s="1"/>
  <c r="AC177" i="4"/>
  <c r="X177" i="4"/>
  <c r="Y177" i="4" s="1"/>
  <c r="W177" i="4"/>
  <c r="T177" i="4"/>
  <c r="S177" i="4"/>
  <c r="R177" i="4"/>
  <c r="O177" i="4"/>
  <c r="N177" i="4"/>
  <c r="L177" i="4"/>
  <c r="K177" i="4"/>
  <c r="I177" i="4"/>
  <c r="E177" i="4"/>
  <c r="AJ176" i="4"/>
  <c r="AH176" i="4"/>
  <c r="AI176" i="4" s="1"/>
  <c r="AC176" i="4"/>
  <c r="X176" i="4"/>
  <c r="Y176" i="4" s="1"/>
  <c r="W176" i="4"/>
  <c r="T176" i="4"/>
  <c r="S176" i="4"/>
  <c r="R176" i="4"/>
  <c r="O176" i="4"/>
  <c r="N176" i="4"/>
  <c r="L176" i="4"/>
  <c r="K176" i="4"/>
  <c r="I176" i="4"/>
  <c r="E176" i="4"/>
  <c r="AJ175" i="4"/>
  <c r="AH175" i="4"/>
  <c r="AI175" i="4" s="1"/>
  <c r="AC175" i="4"/>
  <c r="X175" i="4"/>
  <c r="Y175" i="4" s="1"/>
  <c r="W175" i="4"/>
  <c r="T175" i="4"/>
  <c r="S175" i="4"/>
  <c r="R175" i="4"/>
  <c r="O175" i="4"/>
  <c r="N175" i="4"/>
  <c r="L175" i="4"/>
  <c r="K175" i="4"/>
  <c r="I175" i="4"/>
  <c r="E175" i="4"/>
  <c r="AJ174" i="4"/>
  <c r="AH174" i="4"/>
  <c r="AI174" i="4" s="1"/>
  <c r="AC174" i="4"/>
  <c r="X174" i="4"/>
  <c r="Y174" i="4" s="1"/>
  <c r="W174" i="4"/>
  <c r="T174" i="4"/>
  <c r="S174" i="4"/>
  <c r="R174" i="4"/>
  <c r="O174" i="4"/>
  <c r="N174" i="4"/>
  <c r="L174" i="4"/>
  <c r="K174" i="4"/>
  <c r="I174" i="4"/>
  <c r="E174" i="4"/>
  <c r="AJ173" i="4"/>
  <c r="AH173" i="4"/>
  <c r="AI173" i="4" s="1"/>
  <c r="AC173" i="4"/>
  <c r="X173" i="4"/>
  <c r="Y173" i="4" s="1"/>
  <c r="W173" i="4"/>
  <c r="T173" i="4"/>
  <c r="S173" i="4"/>
  <c r="R173" i="4"/>
  <c r="O173" i="4"/>
  <c r="N173" i="4"/>
  <c r="L173" i="4"/>
  <c r="K173" i="4"/>
  <c r="I173" i="4"/>
  <c r="E173" i="4"/>
  <c r="AJ172" i="4"/>
  <c r="AH172" i="4"/>
  <c r="AI172" i="4" s="1"/>
  <c r="AC172" i="4"/>
  <c r="X172" i="4"/>
  <c r="Y172" i="4" s="1"/>
  <c r="W172" i="4"/>
  <c r="T172" i="4"/>
  <c r="S172" i="4"/>
  <c r="R172" i="4"/>
  <c r="O172" i="4"/>
  <c r="N172" i="4"/>
  <c r="L172" i="4"/>
  <c r="K172" i="4"/>
  <c r="I172" i="4"/>
  <c r="E172" i="4"/>
  <c r="AJ171" i="4"/>
  <c r="AH171" i="4"/>
  <c r="AI171" i="4" s="1"/>
  <c r="AC171" i="4"/>
  <c r="X171" i="4"/>
  <c r="Y171" i="4" s="1"/>
  <c r="W171" i="4"/>
  <c r="T171" i="4"/>
  <c r="S171" i="4"/>
  <c r="R171" i="4"/>
  <c r="O171" i="4"/>
  <c r="N171" i="4"/>
  <c r="L171" i="4"/>
  <c r="K171" i="4"/>
  <c r="I171" i="4"/>
  <c r="E171" i="4"/>
  <c r="AJ170" i="4"/>
  <c r="AH170" i="4"/>
  <c r="AI170" i="4" s="1"/>
  <c r="AC170" i="4"/>
  <c r="X170" i="4"/>
  <c r="Y170" i="4" s="1"/>
  <c r="W170" i="4"/>
  <c r="T170" i="4"/>
  <c r="S170" i="4"/>
  <c r="R170" i="4"/>
  <c r="O170" i="4"/>
  <c r="N170" i="4"/>
  <c r="L170" i="4"/>
  <c r="K170" i="4"/>
  <c r="I170" i="4"/>
  <c r="E170" i="4"/>
  <c r="AJ169" i="4"/>
  <c r="AH169" i="4"/>
  <c r="AI169" i="4" s="1"/>
  <c r="AC169" i="4"/>
  <c r="X169" i="4"/>
  <c r="Y169" i="4" s="1"/>
  <c r="W169" i="4"/>
  <c r="T169" i="4"/>
  <c r="S169" i="4"/>
  <c r="R169" i="4"/>
  <c r="O169" i="4"/>
  <c r="N169" i="4"/>
  <c r="L169" i="4"/>
  <c r="K169" i="4"/>
  <c r="I169" i="4"/>
  <c r="E169" i="4"/>
  <c r="AJ168" i="4"/>
  <c r="AH168" i="4"/>
  <c r="AI168" i="4" s="1"/>
  <c r="AC168" i="4"/>
  <c r="X168" i="4"/>
  <c r="Y168" i="4" s="1"/>
  <c r="W168" i="4"/>
  <c r="T168" i="4"/>
  <c r="S168" i="4"/>
  <c r="R168" i="4"/>
  <c r="O168" i="4"/>
  <c r="N168" i="4"/>
  <c r="L168" i="4"/>
  <c r="K168" i="4"/>
  <c r="I168" i="4"/>
  <c r="E168" i="4"/>
  <c r="AJ167" i="4"/>
  <c r="AH167" i="4"/>
  <c r="AI167" i="4" s="1"/>
  <c r="AC167" i="4"/>
  <c r="X167" i="4"/>
  <c r="Y167" i="4" s="1"/>
  <c r="W167" i="4"/>
  <c r="T167" i="4"/>
  <c r="S167" i="4"/>
  <c r="R167" i="4"/>
  <c r="O167" i="4"/>
  <c r="N167" i="4"/>
  <c r="L167" i="4"/>
  <c r="K167" i="4"/>
  <c r="I167" i="4"/>
  <c r="E167" i="4"/>
  <c r="AJ166" i="4"/>
  <c r="AH166" i="4"/>
  <c r="AI166" i="4" s="1"/>
  <c r="AC166" i="4"/>
  <c r="X166" i="4"/>
  <c r="Y166" i="4" s="1"/>
  <c r="W166" i="4"/>
  <c r="T166" i="4"/>
  <c r="S166" i="4"/>
  <c r="R166" i="4"/>
  <c r="O166" i="4"/>
  <c r="N166" i="4"/>
  <c r="L166" i="4"/>
  <c r="K166" i="4"/>
  <c r="I166" i="4"/>
  <c r="E166" i="4"/>
  <c r="AJ165" i="4"/>
  <c r="AH165" i="4"/>
  <c r="AI165" i="4" s="1"/>
  <c r="AC165" i="4"/>
  <c r="X165" i="4"/>
  <c r="Y165" i="4" s="1"/>
  <c r="W165" i="4"/>
  <c r="T165" i="4"/>
  <c r="S165" i="4"/>
  <c r="R165" i="4"/>
  <c r="O165" i="4"/>
  <c r="N165" i="4"/>
  <c r="L165" i="4"/>
  <c r="K165" i="4"/>
  <c r="I165" i="4"/>
  <c r="E165" i="4"/>
  <c r="AJ164" i="4"/>
  <c r="AH164" i="4"/>
  <c r="AI164" i="4" s="1"/>
  <c r="AC164" i="4"/>
  <c r="X164" i="4"/>
  <c r="Y164" i="4" s="1"/>
  <c r="W164" i="4"/>
  <c r="T164" i="4"/>
  <c r="S164" i="4"/>
  <c r="R164" i="4"/>
  <c r="O164" i="4"/>
  <c r="N164" i="4"/>
  <c r="L164" i="4"/>
  <c r="K164" i="4"/>
  <c r="I164" i="4"/>
  <c r="E164" i="4"/>
  <c r="AJ163" i="4"/>
  <c r="AH163" i="4"/>
  <c r="AI163" i="4" s="1"/>
  <c r="AC163" i="4"/>
  <c r="X163" i="4"/>
  <c r="Y163" i="4" s="1"/>
  <c r="W163" i="4"/>
  <c r="T163" i="4"/>
  <c r="S163" i="4"/>
  <c r="R163" i="4"/>
  <c r="O163" i="4"/>
  <c r="N163" i="4"/>
  <c r="L163" i="4"/>
  <c r="K163" i="4"/>
  <c r="I163" i="4"/>
  <c r="E163" i="4"/>
  <c r="AJ162" i="4"/>
  <c r="AH162" i="4"/>
  <c r="AI162" i="4" s="1"/>
  <c r="AC162" i="4"/>
  <c r="X162" i="4"/>
  <c r="Y162" i="4" s="1"/>
  <c r="W162" i="4"/>
  <c r="T162" i="4"/>
  <c r="S162" i="4"/>
  <c r="R162" i="4"/>
  <c r="O162" i="4"/>
  <c r="N162" i="4"/>
  <c r="L162" i="4"/>
  <c r="K162" i="4"/>
  <c r="I162" i="4"/>
  <c r="E162" i="4"/>
  <c r="AJ161" i="4"/>
  <c r="AH161" i="4"/>
  <c r="AI161" i="4" s="1"/>
  <c r="AC161" i="4"/>
  <c r="X161" i="4"/>
  <c r="Y161" i="4" s="1"/>
  <c r="Z161" i="4" s="1"/>
  <c r="W161" i="4"/>
  <c r="T161" i="4"/>
  <c r="S161" i="4"/>
  <c r="R161" i="4"/>
  <c r="O161" i="4"/>
  <c r="N161" i="4"/>
  <c r="L161" i="4"/>
  <c r="K161" i="4"/>
  <c r="I161" i="4"/>
  <c r="E161" i="4"/>
  <c r="AJ160" i="4"/>
  <c r="AI160" i="4"/>
  <c r="AH160" i="4"/>
  <c r="AC160" i="4"/>
  <c r="X160" i="4"/>
  <c r="Y160" i="4" s="1"/>
  <c r="W160" i="4"/>
  <c r="T160" i="4"/>
  <c r="S160" i="4"/>
  <c r="R160" i="4"/>
  <c r="O160" i="4"/>
  <c r="N160" i="4"/>
  <c r="L160" i="4"/>
  <c r="K160" i="4"/>
  <c r="I160" i="4"/>
  <c r="E160" i="4"/>
  <c r="AJ159" i="4"/>
  <c r="AH159" i="4"/>
  <c r="AI159" i="4" s="1"/>
  <c r="AC159" i="4"/>
  <c r="X159" i="4"/>
  <c r="Y159" i="4" s="1"/>
  <c r="W159" i="4"/>
  <c r="T159" i="4"/>
  <c r="S159" i="4"/>
  <c r="R159" i="4"/>
  <c r="O159" i="4"/>
  <c r="N159" i="4"/>
  <c r="L159" i="4"/>
  <c r="K159" i="4"/>
  <c r="I159" i="4"/>
  <c r="E159" i="4"/>
  <c r="AJ158" i="4"/>
  <c r="AH158" i="4"/>
  <c r="AI158" i="4" s="1"/>
  <c r="AC158" i="4"/>
  <c r="X158" i="4"/>
  <c r="Y158" i="4" s="1"/>
  <c r="W158" i="4"/>
  <c r="T158" i="4"/>
  <c r="S158" i="4"/>
  <c r="R158" i="4"/>
  <c r="O158" i="4"/>
  <c r="N158" i="4"/>
  <c r="L158" i="4"/>
  <c r="K158" i="4"/>
  <c r="I158" i="4"/>
  <c r="E158" i="4"/>
  <c r="AJ157" i="4"/>
  <c r="AH157" i="4"/>
  <c r="AI157" i="4" s="1"/>
  <c r="AC157" i="4"/>
  <c r="X157" i="4"/>
  <c r="Y157" i="4" s="1"/>
  <c r="W157" i="4"/>
  <c r="T157" i="4"/>
  <c r="S157" i="4"/>
  <c r="R157" i="4"/>
  <c r="O157" i="4"/>
  <c r="N157" i="4"/>
  <c r="L157" i="4"/>
  <c r="K157" i="4"/>
  <c r="I157" i="4"/>
  <c r="E157" i="4"/>
  <c r="AJ156" i="4"/>
  <c r="AH156" i="4"/>
  <c r="AI156" i="4" s="1"/>
  <c r="AC156" i="4"/>
  <c r="X156" i="4"/>
  <c r="Y156" i="4" s="1"/>
  <c r="W156" i="4"/>
  <c r="T156" i="4"/>
  <c r="S156" i="4"/>
  <c r="R156" i="4"/>
  <c r="O156" i="4"/>
  <c r="N156" i="4"/>
  <c r="L156" i="4"/>
  <c r="K156" i="4"/>
  <c r="I156" i="4"/>
  <c r="E156" i="4"/>
  <c r="AJ155" i="4"/>
  <c r="AH155" i="4"/>
  <c r="AI155" i="4" s="1"/>
  <c r="AC155" i="4"/>
  <c r="X155" i="4"/>
  <c r="Y155" i="4" s="1"/>
  <c r="W155" i="4"/>
  <c r="T155" i="4"/>
  <c r="S155" i="4"/>
  <c r="R155" i="4"/>
  <c r="O155" i="4"/>
  <c r="N155" i="4"/>
  <c r="L155" i="4"/>
  <c r="K155" i="4"/>
  <c r="I155" i="4"/>
  <c r="E155" i="4"/>
  <c r="AJ154" i="4"/>
  <c r="AH154" i="4"/>
  <c r="AI154" i="4" s="1"/>
  <c r="AC154" i="4"/>
  <c r="X154" i="4"/>
  <c r="Y154" i="4" s="1"/>
  <c r="W154" i="4"/>
  <c r="T154" i="4"/>
  <c r="S154" i="4"/>
  <c r="R154" i="4"/>
  <c r="O154" i="4"/>
  <c r="N154" i="4"/>
  <c r="L154" i="4"/>
  <c r="K154" i="4"/>
  <c r="I154" i="4"/>
  <c r="E154" i="4"/>
  <c r="AJ153" i="4"/>
  <c r="AH153" i="4"/>
  <c r="AI153" i="4" s="1"/>
  <c r="AC153" i="4"/>
  <c r="X153" i="4"/>
  <c r="Y153" i="4" s="1"/>
  <c r="W153" i="4"/>
  <c r="T153" i="4"/>
  <c r="S153" i="4"/>
  <c r="R153" i="4"/>
  <c r="O153" i="4"/>
  <c r="N153" i="4"/>
  <c r="L153" i="4"/>
  <c r="K153" i="4"/>
  <c r="I153" i="4"/>
  <c r="E153" i="4"/>
  <c r="AJ152" i="4"/>
  <c r="AH152" i="4"/>
  <c r="AI152" i="4" s="1"/>
  <c r="AC152" i="4"/>
  <c r="X152" i="4"/>
  <c r="Y152" i="4" s="1"/>
  <c r="W152" i="4"/>
  <c r="T152" i="4"/>
  <c r="S152" i="4"/>
  <c r="R152" i="4"/>
  <c r="O152" i="4"/>
  <c r="N152" i="4"/>
  <c r="L152" i="4"/>
  <c r="K152" i="4"/>
  <c r="I152" i="4"/>
  <c r="E152" i="4"/>
  <c r="AJ151" i="4"/>
  <c r="AH151" i="4"/>
  <c r="AI151" i="4" s="1"/>
  <c r="AC151" i="4"/>
  <c r="X151" i="4"/>
  <c r="Y151" i="4" s="1"/>
  <c r="W151" i="4"/>
  <c r="T151" i="4"/>
  <c r="S151" i="4"/>
  <c r="R151" i="4"/>
  <c r="O151" i="4"/>
  <c r="N151" i="4"/>
  <c r="L151" i="4"/>
  <c r="K151" i="4"/>
  <c r="I151" i="4"/>
  <c r="E151" i="4"/>
  <c r="AJ150" i="4"/>
  <c r="AH150" i="4"/>
  <c r="AI150" i="4" s="1"/>
  <c r="AC150" i="4"/>
  <c r="X150" i="4"/>
  <c r="Y150" i="4" s="1"/>
  <c r="W150" i="4"/>
  <c r="T150" i="4"/>
  <c r="S150" i="4"/>
  <c r="R150" i="4"/>
  <c r="O150" i="4"/>
  <c r="N150" i="4"/>
  <c r="L150" i="4"/>
  <c r="K150" i="4"/>
  <c r="I150" i="4"/>
  <c r="E150" i="4"/>
  <c r="AJ149" i="4"/>
  <c r="AH149" i="4"/>
  <c r="AI149" i="4" s="1"/>
  <c r="AC149" i="4"/>
  <c r="X149" i="4"/>
  <c r="Y149" i="4" s="1"/>
  <c r="Z149" i="4" s="1"/>
  <c r="W149" i="4"/>
  <c r="T149" i="4"/>
  <c r="S149" i="4"/>
  <c r="R149" i="4"/>
  <c r="O149" i="4"/>
  <c r="N149" i="4"/>
  <c r="L149" i="4"/>
  <c r="K149" i="4"/>
  <c r="I149" i="4"/>
  <c r="E149" i="4"/>
  <c r="AJ148" i="4"/>
  <c r="AI148" i="4"/>
  <c r="AH148" i="4"/>
  <c r="AC148" i="4"/>
  <c r="X148" i="4"/>
  <c r="Y148" i="4" s="1"/>
  <c r="W148" i="4"/>
  <c r="T148" i="4"/>
  <c r="S148" i="4"/>
  <c r="R148" i="4"/>
  <c r="O148" i="4"/>
  <c r="N148" i="4"/>
  <c r="L148" i="4"/>
  <c r="K148" i="4"/>
  <c r="I148" i="4"/>
  <c r="E148" i="4"/>
  <c r="AJ147" i="4"/>
  <c r="AH147" i="4"/>
  <c r="AI147" i="4" s="1"/>
  <c r="AC147" i="4"/>
  <c r="X147" i="4"/>
  <c r="Y147" i="4" s="1"/>
  <c r="W147" i="4"/>
  <c r="T147" i="4"/>
  <c r="S147" i="4"/>
  <c r="R147" i="4"/>
  <c r="O147" i="4"/>
  <c r="N147" i="4"/>
  <c r="L147" i="4"/>
  <c r="K147" i="4"/>
  <c r="I147" i="4"/>
  <c r="E147" i="4"/>
  <c r="AJ146" i="4"/>
  <c r="AH146" i="4"/>
  <c r="AI146" i="4" s="1"/>
  <c r="AC146" i="4"/>
  <c r="X146" i="4"/>
  <c r="Y146" i="4" s="1"/>
  <c r="W146" i="4"/>
  <c r="T146" i="4"/>
  <c r="S146" i="4"/>
  <c r="R146" i="4"/>
  <c r="O146" i="4"/>
  <c r="N146" i="4"/>
  <c r="L146" i="4"/>
  <c r="K146" i="4"/>
  <c r="I146" i="4"/>
  <c r="E146" i="4"/>
  <c r="AJ145" i="4"/>
  <c r="AH145" i="4"/>
  <c r="AI145" i="4" s="1"/>
  <c r="AC145" i="4"/>
  <c r="X145" i="4"/>
  <c r="Y145" i="4" s="1"/>
  <c r="W145" i="4"/>
  <c r="T145" i="4"/>
  <c r="S145" i="4"/>
  <c r="R145" i="4"/>
  <c r="O145" i="4"/>
  <c r="N145" i="4"/>
  <c r="L145" i="4"/>
  <c r="K145" i="4"/>
  <c r="I145" i="4"/>
  <c r="E145" i="4"/>
  <c r="AJ144" i="4"/>
  <c r="AH144" i="4"/>
  <c r="AI144" i="4" s="1"/>
  <c r="AC144" i="4"/>
  <c r="X144" i="4"/>
  <c r="Y144" i="4" s="1"/>
  <c r="W144" i="4"/>
  <c r="T144" i="4"/>
  <c r="S144" i="4"/>
  <c r="R144" i="4"/>
  <c r="O144" i="4"/>
  <c r="N144" i="4"/>
  <c r="L144" i="4"/>
  <c r="K144" i="4"/>
  <c r="I144" i="4"/>
  <c r="E144" i="4"/>
  <c r="AJ143" i="4"/>
  <c r="AH143" i="4"/>
  <c r="AI143" i="4" s="1"/>
  <c r="AC143" i="4"/>
  <c r="X143" i="4"/>
  <c r="Y143" i="4" s="1"/>
  <c r="W143" i="4"/>
  <c r="T143" i="4"/>
  <c r="S143" i="4"/>
  <c r="R143" i="4"/>
  <c r="O143" i="4"/>
  <c r="N143" i="4"/>
  <c r="L143" i="4"/>
  <c r="K143" i="4"/>
  <c r="I143" i="4"/>
  <c r="E143" i="4"/>
  <c r="AJ142" i="4"/>
  <c r="AH142" i="4"/>
  <c r="AI142" i="4" s="1"/>
  <c r="AC142" i="4"/>
  <c r="X142" i="4"/>
  <c r="Y142" i="4" s="1"/>
  <c r="W142" i="4"/>
  <c r="T142" i="4"/>
  <c r="S142" i="4"/>
  <c r="R142" i="4"/>
  <c r="O142" i="4"/>
  <c r="N142" i="4"/>
  <c r="L142" i="4"/>
  <c r="K142" i="4"/>
  <c r="I142" i="4"/>
  <c r="E142" i="4"/>
  <c r="AJ141" i="4"/>
  <c r="AH141" i="4"/>
  <c r="AI141" i="4" s="1"/>
  <c r="AC141" i="4"/>
  <c r="X141" i="4"/>
  <c r="Y141" i="4" s="1"/>
  <c r="W141" i="4"/>
  <c r="T141" i="4"/>
  <c r="S141" i="4"/>
  <c r="R141" i="4"/>
  <c r="O141" i="4"/>
  <c r="N141" i="4"/>
  <c r="L141" i="4"/>
  <c r="K141" i="4"/>
  <c r="I141" i="4"/>
  <c r="E141" i="4"/>
  <c r="AJ140" i="4"/>
  <c r="AH140" i="4"/>
  <c r="AI140" i="4" s="1"/>
  <c r="AC140" i="4"/>
  <c r="X140" i="4"/>
  <c r="Y140" i="4" s="1"/>
  <c r="W140" i="4"/>
  <c r="T140" i="4"/>
  <c r="S140" i="4"/>
  <c r="R140" i="4"/>
  <c r="O140" i="4"/>
  <c r="N140" i="4"/>
  <c r="L140" i="4"/>
  <c r="K140" i="4"/>
  <c r="I140" i="4"/>
  <c r="E140" i="4"/>
  <c r="AJ139" i="4"/>
  <c r="AH139" i="4"/>
  <c r="AI139" i="4" s="1"/>
  <c r="AC139" i="4"/>
  <c r="X139" i="4"/>
  <c r="Y139" i="4" s="1"/>
  <c r="W139" i="4"/>
  <c r="T139" i="4"/>
  <c r="S139" i="4"/>
  <c r="R139" i="4"/>
  <c r="O139" i="4"/>
  <c r="N139" i="4"/>
  <c r="L139" i="4"/>
  <c r="K139" i="4"/>
  <c r="I139" i="4"/>
  <c r="E139" i="4"/>
  <c r="AJ138" i="4"/>
  <c r="AH138" i="4"/>
  <c r="AI138" i="4" s="1"/>
  <c r="AC138" i="4"/>
  <c r="X138" i="4"/>
  <c r="Y138" i="4" s="1"/>
  <c r="W138" i="4"/>
  <c r="T138" i="4"/>
  <c r="S138" i="4"/>
  <c r="R138" i="4"/>
  <c r="O138" i="4"/>
  <c r="N138" i="4"/>
  <c r="L138" i="4"/>
  <c r="K138" i="4"/>
  <c r="I138" i="4"/>
  <c r="E138" i="4"/>
  <c r="AJ137" i="4"/>
  <c r="AH137" i="4"/>
  <c r="AI137" i="4" s="1"/>
  <c r="AC137" i="4"/>
  <c r="X137" i="4"/>
  <c r="Y137" i="4" s="1"/>
  <c r="W137" i="4"/>
  <c r="Z137" i="4" s="1"/>
  <c r="T137" i="4"/>
  <c r="S137" i="4"/>
  <c r="R137" i="4"/>
  <c r="O137" i="4"/>
  <c r="N137" i="4"/>
  <c r="L137" i="4"/>
  <c r="K137" i="4"/>
  <c r="I137" i="4"/>
  <c r="AD137" i="4" s="1"/>
  <c r="E137" i="4"/>
  <c r="AJ136" i="4"/>
  <c r="AH136" i="4"/>
  <c r="AI136" i="4" s="1"/>
  <c r="AC136" i="4"/>
  <c r="X136" i="4"/>
  <c r="Y136" i="4" s="1"/>
  <c r="W136" i="4"/>
  <c r="T136" i="4"/>
  <c r="S136" i="4"/>
  <c r="R136" i="4"/>
  <c r="O136" i="4"/>
  <c r="N136" i="4"/>
  <c r="L136" i="4"/>
  <c r="K136" i="4"/>
  <c r="I136" i="4"/>
  <c r="AD136" i="4" s="1"/>
  <c r="E136" i="4"/>
  <c r="AJ135" i="4"/>
  <c r="AH135" i="4"/>
  <c r="AI135" i="4" s="1"/>
  <c r="AC135" i="4"/>
  <c r="X135" i="4"/>
  <c r="Y135" i="4" s="1"/>
  <c r="W135" i="4"/>
  <c r="T135" i="4"/>
  <c r="S135" i="4"/>
  <c r="R135" i="4"/>
  <c r="O135" i="4"/>
  <c r="N135" i="4"/>
  <c r="L135" i="4"/>
  <c r="K135" i="4"/>
  <c r="I135" i="4"/>
  <c r="AD135" i="4" s="1"/>
  <c r="E135" i="4"/>
  <c r="AJ134" i="4"/>
  <c r="AH134" i="4"/>
  <c r="AI134" i="4" s="1"/>
  <c r="AC134" i="4"/>
  <c r="X134" i="4"/>
  <c r="Y134" i="4" s="1"/>
  <c r="W134" i="4"/>
  <c r="T134" i="4"/>
  <c r="S134" i="4"/>
  <c r="R134" i="4"/>
  <c r="O134" i="4"/>
  <c r="N134" i="4"/>
  <c r="L134" i="4"/>
  <c r="K134" i="4"/>
  <c r="I134" i="4"/>
  <c r="AD134" i="4" s="1"/>
  <c r="E134" i="4"/>
  <c r="AJ133" i="4"/>
  <c r="AH133" i="4"/>
  <c r="AI133" i="4" s="1"/>
  <c r="AC133" i="4"/>
  <c r="X133" i="4"/>
  <c r="Y133" i="4" s="1"/>
  <c r="W133" i="4"/>
  <c r="T133" i="4"/>
  <c r="S133" i="4"/>
  <c r="R133" i="4"/>
  <c r="O133" i="4"/>
  <c r="N133" i="4"/>
  <c r="L133" i="4"/>
  <c r="K133" i="4"/>
  <c r="I133" i="4"/>
  <c r="AD133" i="4" s="1"/>
  <c r="E133" i="4"/>
  <c r="AJ132" i="4"/>
  <c r="AH132" i="4"/>
  <c r="AI132" i="4" s="1"/>
  <c r="AC132" i="4"/>
  <c r="X132" i="4"/>
  <c r="Y132" i="4" s="1"/>
  <c r="W132" i="4"/>
  <c r="T132" i="4"/>
  <c r="S132" i="4"/>
  <c r="R132" i="4"/>
  <c r="O132" i="4"/>
  <c r="N132" i="4"/>
  <c r="L132" i="4"/>
  <c r="K132" i="4"/>
  <c r="I132" i="4"/>
  <c r="AD132" i="4" s="1"/>
  <c r="E132" i="4"/>
  <c r="AJ131" i="4"/>
  <c r="AH131" i="4"/>
  <c r="AI131" i="4" s="1"/>
  <c r="AC131" i="4"/>
  <c r="X131" i="4"/>
  <c r="Y131" i="4" s="1"/>
  <c r="Z131" i="4" s="1"/>
  <c r="W131" i="4"/>
  <c r="T131" i="4"/>
  <c r="S131" i="4"/>
  <c r="R131" i="4"/>
  <c r="O131" i="4"/>
  <c r="N131" i="4"/>
  <c r="L131" i="4"/>
  <c r="K131" i="4"/>
  <c r="I131" i="4"/>
  <c r="E131" i="4"/>
  <c r="AJ130" i="4"/>
  <c r="AH130" i="4"/>
  <c r="AI130" i="4" s="1"/>
  <c r="AC130" i="4"/>
  <c r="X130" i="4"/>
  <c r="Y130" i="4" s="1"/>
  <c r="W130" i="4"/>
  <c r="Z130" i="4" s="1"/>
  <c r="T130" i="4"/>
  <c r="S130" i="4"/>
  <c r="R130" i="4"/>
  <c r="O130" i="4"/>
  <c r="N130" i="4"/>
  <c r="L130" i="4"/>
  <c r="K130" i="4"/>
  <c r="I130" i="4"/>
  <c r="E130" i="4"/>
  <c r="AJ129" i="4"/>
  <c r="AH129" i="4"/>
  <c r="AI129" i="4" s="1"/>
  <c r="AC129" i="4"/>
  <c r="X129" i="4"/>
  <c r="Y129" i="4" s="1"/>
  <c r="W129" i="4"/>
  <c r="T129" i="4"/>
  <c r="S129" i="4"/>
  <c r="R129" i="4"/>
  <c r="O129" i="4"/>
  <c r="N129" i="4"/>
  <c r="L129" i="4"/>
  <c r="K129" i="4"/>
  <c r="I129" i="4"/>
  <c r="AD129" i="4" s="1"/>
  <c r="E129" i="4"/>
  <c r="AJ128" i="4"/>
  <c r="AH128" i="4"/>
  <c r="AI128" i="4" s="1"/>
  <c r="AC128" i="4"/>
  <c r="X128" i="4"/>
  <c r="Y128" i="4" s="1"/>
  <c r="W128" i="4"/>
  <c r="Z128" i="4" s="1"/>
  <c r="T128" i="4"/>
  <c r="S128" i="4"/>
  <c r="R128" i="4"/>
  <c r="O128" i="4"/>
  <c r="N128" i="4"/>
  <c r="L128" i="4"/>
  <c r="K128" i="4"/>
  <c r="I128" i="4"/>
  <c r="AD128" i="4" s="1"/>
  <c r="E128" i="4"/>
  <c r="AJ127" i="4"/>
  <c r="AH127" i="4"/>
  <c r="AI127" i="4" s="1"/>
  <c r="AC127" i="4"/>
  <c r="X127" i="4"/>
  <c r="Y127" i="4" s="1"/>
  <c r="W127" i="4"/>
  <c r="T127" i="4"/>
  <c r="S127" i="4"/>
  <c r="R127" i="4"/>
  <c r="O127" i="4"/>
  <c r="N127" i="4"/>
  <c r="L127" i="4"/>
  <c r="K127" i="4"/>
  <c r="I127" i="4"/>
  <c r="AD127" i="4" s="1"/>
  <c r="E127" i="4"/>
  <c r="AJ126" i="4"/>
  <c r="AH126" i="4"/>
  <c r="AI126" i="4" s="1"/>
  <c r="AC126" i="4"/>
  <c r="X126" i="4"/>
  <c r="Y126" i="4" s="1"/>
  <c r="W126" i="4"/>
  <c r="T126" i="4"/>
  <c r="S126" i="4"/>
  <c r="R126" i="4"/>
  <c r="O126" i="4"/>
  <c r="N126" i="4"/>
  <c r="L126" i="4"/>
  <c r="K126" i="4"/>
  <c r="I126" i="4"/>
  <c r="AD126" i="4" s="1"/>
  <c r="E126" i="4"/>
  <c r="AJ125" i="4"/>
  <c r="AH125" i="4"/>
  <c r="AI125" i="4" s="1"/>
  <c r="AC125" i="4"/>
  <c r="Z125" i="4"/>
  <c r="X125" i="4"/>
  <c r="Y125" i="4" s="1"/>
  <c r="W125" i="4"/>
  <c r="T125" i="4"/>
  <c r="S125" i="4"/>
  <c r="R125" i="4"/>
  <c r="O125" i="4"/>
  <c r="N125" i="4"/>
  <c r="L125" i="4"/>
  <c r="K125" i="4"/>
  <c r="I125" i="4"/>
  <c r="E125" i="4"/>
  <c r="AJ124" i="4"/>
  <c r="AH124" i="4"/>
  <c r="AI124" i="4" s="1"/>
  <c r="AC124" i="4"/>
  <c r="X124" i="4"/>
  <c r="Y124" i="4" s="1"/>
  <c r="W124" i="4"/>
  <c r="T124" i="4"/>
  <c r="S124" i="4"/>
  <c r="R124" i="4"/>
  <c r="O124" i="4"/>
  <c r="N124" i="4"/>
  <c r="L124" i="4"/>
  <c r="K124" i="4"/>
  <c r="I124" i="4"/>
  <c r="E124" i="4"/>
  <c r="AJ123" i="4"/>
  <c r="AH123" i="4"/>
  <c r="AI123" i="4" s="1"/>
  <c r="AC123" i="4"/>
  <c r="X123" i="4"/>
  <c r="Y123" i="4" s="1"/>
  <c r="W123" i="4"/>
  <c r="Z123" i="4" s="1"/>
  <c r="T123" i="4"/>
  <c r="S123" i="4"/>
  <c r="R123" i="4"/>
  <c r="O123" i="4"/>
  <c r="N123" i="4"/>
  <c r="L123" i="4"/>
  <c r="K123" i="4"/>
  <c r="I123" i="4"/>
  <c r="E123" i="4"/>
  <c r="AJ122" i="4"/>
  <c r="AH122" i="4"/>
  <c r="AI122" i="4" s="1"/>
  <c r="AC122" i="4"/>
  <c r="X122" i="4"/>
  <c r="Y122" i="4" s="1"/>
  <c r="W122" i="4"/>
  <c r="T122" i="4"/>
  <c r="S122" i="4"/>
  <c r="R122" i="4"/>
  <c r="O122" i="4"/>
  <c r="N122" i="4"/>
  <c r="L122" i="4"/>
  <c r="K122" i="4"/>
  <c r="I122" i="4"/>
  <c r="E122" i="4"/>
  <c r="AJ121" i="4"/>
  <c r="AH121" i="4"/>
  <c r="AI121" i="4" s="1"/>
  <c r="AC121" i="4"/>
  <c r="X121" i="4"/>
  <c r="Y121" i="4" s="1"/>
  <c r="W121" i="4"/>
  <c r="Z121" i="4" s="1"/>
  <c r="T121" i="4"/>
  <c r="S121" i="4"/>
  <c r="R121" i="4"/>
  <c r="O121" i="4"/>
  <c r="N121" i="4"/>
  <c r="L121" i="4"/>
  <c r="K121" i="4"/>
  <c r="I121" i="4"/>
  <c r="E121" i="4"/>
  <c r="AJ120" i="4"/>
  <c r="AH120" i="4"/>
  <c r="AI120" i="4" s="1"/>
  <c r="AC120" i="4"/>
  <c r="X120" i="4"/>
  <c r="Y120" i="4" s="1"/>
  <c r="W120" i="4"/>
  <c r="T120" i="4"/>
  <c r="S120" i="4"/>
  <c r="R120" i="4"/>
  <c r="O120" i="4"/>
  <c r="N120" i="4"/>
  <c r="L120" i="4"/>
  <c r="K120" i="4"/>
  <c r="I120" i="4"/>
  <c r="E120" i="4"/>
  <c r="AJ119" i="4"/>
  <c r="AH119" i="4"/>
  <c r="AI119" i="4" s="1"/>
  <c r="AC119" i="4"/>
  <c r="X119" i="4"/>
  <c r="Y119" i="4" s="1"/>
  <c r="W119" i="4"/>
  <c r="Z119" i="4" s="1"/>
  <c r="T119" i="4"/>
  <c r="S119" i="4"/>
  <c r="R119" i="4"/>
  <c r="O119" i="4"/>
  <c r="N119" i="4"/>
  <c r="L119" i="4"/>
  <c r="K119" i="4"/>
  <c r="I119" i="4"/>
  <c r="AD119" i="4" s="1"/>
  <c r="E119" i="4"/>
  <c r="AJ118" i="4"/>
  <c r="AH118" i="4"/>
  <c r="AI118" i="4" s="1"/>
  <c r="AC118" i="4"/>
  <c r="X118" i="4"/>
  <c r="Y118" i="4" s="1"/>
  <c r="W118" i="4"/>
  <c r="Z118" i="4" s="1"/>
  <c r="T118" i="4"/>
  <c r="S118" i="4"/>
  <c r="R118" i="4"/>
  <c r="O118" i="4"/>
  <c r="N118" i="4"/>
  <c r="L118" i="4"/>
  <c r="K118" i="4"/>
  <c r="I118" i="4"/>
  <c r="AD118" i="4" s="1"/>
  <c r="E118" i="4"/>
  <c r="AJ117" i="4"/>
  <c r="AH117" i="4"/>
  <c r="AI117" i="4" s="1"/>
  <c r="AC117" i="4"/>
  <c r="X117" i="4"/>
  <c r="Y117" i="4" s="1"/>
  <c r="W117" i="4"/>
  <c r="T117" i="4"/>
  <c r="S117" i="4"/>
  <c r="R117" i="4"/>
  <c r="O117" i="4"/>
  <c r="N117" i="4"/>
  <c r="L117" i="4"/>
  <c r="K117" i="4"/>
  <c r="I117" i="4"/>
  <c r="E117" i="4"/>
  <c r="AJ116" i="4"/>
  <c r="AH116" i="4"/>
  <c r="AI116" i="4" s="1"/>
  <c r="AC116" i="4"/>
  <c r="X116" i="4"/>
  <c r="Y116" i="4" s="1"/>
  <c r="W116" i="4"/>
  <c r="T116" i="4"/>
  <c r="S116" i="4"/>
  <c r="R116" i="4"/>
  <c r="O116" i="4"/>
  <c r="N116" i="4"/>
  <c r="L116" i="4"/>
  <c r="K116" i="4"/>
  <c r="I116" i="4"/>
  <c r="E116" i="4"/>
  <c r="AJ115" i="4"/>
  <c r="AH115" i="4"/>
  <c r="AI115" i="4" s="1"/>
  <c r="AC115" i="4"/>
  <c r="X115" i="4"/>
  <c r="Y115" i="4" s="1"/>
  <c r="W115" i="4"/>
  <c r="T115" i="4"/>
  <c r="S115" i="4"/>
  <c r="R115" i="4"/>
  <c r="O115" i="4"/>
  <c r="N115" i="4"/>
  <c r="L115" i="4"/>
  <c r="K115" i="4"/>
  <c r="I115" i="4"/>
  <c r="E115" i="4"/>
  <c r="AJ114" i="4"/>
  <c r="AH114" i="4"/>
  <c r="AI114" i="4" s="1"/>
  <c r="AC114" i="4"/>
  <c r="X114" i="4"/>
  <c r="Y114" i="4" s="1"/>
  <c r="W114" i="4"/>
  <c r="Z114" i="4" s="1"/>
  <c r="T114" i="4"/>
  <c r="S114" i="4"/>
  <c r="R114" i="4"/>
  <c r="O114" i="4"/>
  <c r="N114" i="4"/>
  <c r="L114" i="4"/>
  <c r="K114" i="4"/>
  <c r="I114" i="4"/>
  <c r="E114" i="4"/>
  <c r="AJ113" i="4"/>
  <c r="AH113" i="4"/>
  <c r="AI113" i="4" s="1"/>
  <c r="AC113" i="4"/>
  <c r="X113" i="4"/>
  <c r="Y113" i="4" s="1"/>
  <c r="W113" i="4"/>
  <c r="T113" i="4"/>
  <c r="S113" i="4"/>
  <c r="R113" i="4"/>
  <c r="O113" i="4"/>
  <c r="N113" i="4"/>
  <c r="L113" i="4"/>
  <c r="K113" i="4"/>
  <c r="I113" i="4"/>
  <c r="E113" i="4"/>
  <c r="AJ112" i="4"/>
  <c r="AH112" i="4"/>
  <c r="AI112" i="4" s="1"/>
  <c r="AC112" i="4"/>
  <c r="X112" i="4"/>
  <c r="Y112" i="4" s="1"/>
  <c r="W112" i="4"/>
  <c r="T112" i="4"/>
  <c r="S112" i="4"/>
  <c r="R112" i="4"/>
  <c r="O112" i="4"/>
  <c r="N112" i="4"/>
  <c r="L112" i="4"/>
  <c r="K112" i="4"/>
  <c r="I112" i="4"/>
  <c r="E112" i="4"/>
  <c r="AJ111" i="4"/>
  <c r="AH111" i="4"/>
  <c r="AI111" i="4" s="1"/>
  <c r="AC111" i="4"/>
  <c r="X111" i="4"/>
  <c r="Y111" i="4" s="1"/>
  <c r="W111" i="4"/>
  <c r="T111" i="4"/>
  <c r="S111" i="4"/>
  <c r="R111" i="4"/>
  <c r="O111" i="4"/>
  <c r="N111" i="4"/>
  <c r="L111" i="4"/>
  <c r="K111" i="4"/>
  <c r="I111" i="4"/>
  <c r="E111" i="4"/>
  <c r="AJ110" i="4"/>
  <c r="AH110" i="4"/>
  <c r="AI110" i="4" s="1"/>
  <c r="AC110" i="4"/>
  <c r="X110" i="4"/>
  <c r="Y110" i="4" s="1"/>
  <c r="W110" i="4"/>
  <c r="T110" i="4"/>
  <c r="S110" i="4"/>
  <c r="R110" i="4"/>
  <c r="O110" i="4"/>
  <c r="N110" i="4"/>
  <c r="L110" i="4"/>
  <c r="K110" i="4"/>
  <c r="I110" i="4"/>
  <c r="E110" i="4"/>
  <c r="AJ109" i="4"/>
  <c r="AH109" i="4"/>
  <c r="AI109" i="4" s="1"/>
  <c r="AC109" i="4"/>
  <c r="X109" i="4"/>
  <c r="Y109" i="4" s="1"/>
  <c r="W109" i="4"/>
  <c r="T109" i="4"/>
  <c r="S109" i="4"/>
  <c r="R109" i="4"/>
  <c r="O109" i="4"/>
  <c r="N109" i="4"/>
  <c r="L109" i="4"/>
  <c r="K109" i="4"/>
  <c r="I109" i="4"/>
  <c r="AD109" i="4" s="1"/>
  <c r="E109" i="4"/>
  <c r="AJ108" i="4"/>
  <c r="AH108" i="4"/>
  <c r="AI108" i="4" s="1"/>
  <c r="AC108" i="4"/>
  <c r="X108" i="4"/>
  <c r="Y108" i="4" s="1"/>
  <c r="W108" i="4"/>
  <c r="T108" i="4"/>
  <c r="S108" i="4"/>
  <c r="R108" i="4"/>
  <c r="O108" i="4"/>
  <c r="N108" i="4"/>
  <c r="L108" i="4"/>
  <c r="K108" i="4"/>
  <c r="I108" i="4"/>
  <c r="AD108" i="4" s="1"/>
  <c r="E108" i="4"/>
  <c r="AJ107" i="4"/>
  <c r="AH107" i="4"/>
  <c r="AI107" i="4" s="1"/>
  <c r="AC107" i="4"/>
  <c r="X107" i="4"/>
  <c r="Y107" i="4" s="1"/>
  <c r="W107" i="4"/>
  <c r="Z107" i="4" s="1"/>
  <c r="T107" i="4"/>
  <c r="S107" i="4"/>
  <c r="R107" i="4"/>
  <c r="O107" i="4"/>
  <c r="N107" i="4"/>
  <c r="L107" i="4"/>
  <c r="K107" i="4"/>
  <c r="I107" i="4"/>
  <c r="E107" i="4"/>
  <c r="AJ106" i="4"/>
  <c r="AH106" i="4"/>
  <c r="AI106" i="4" s="1"/>
  <c r="AC106" i="4"/>
  <c r="X106" i="4"/>
  <c r="Y106" i="4" s="1"/>
  <c r="W106" i="4"/>
  <c r="T106" i="4"/>
  <c r="S106" i="4"/>
  <c r="R106" i="4"/>
  <c r="O106" i="4"/>
  <c r="N106" i="4"/>
  <c r="L106" i="4"/>
  <c r="K106" i="4"/>
  <c r="I106" i="4"/>
  <c r="E106" i="4"/>
  <c r="AJ105" i="4"/>
  <c r="AH105" i="4"/>
  <c r="AI105" i="4" s="1"/>
  <c r="AC105" i="4"/>
  <c r="X105" i="4"/>
  <c r="Y105" i="4" s="1"/>
  <c r="W105" i="4"/>
  <c r="T105" i="4"/>
  <c r="S105" i="4"/>
  <c r="R105" i="4"/>
  <c r="O105" i="4"/>
  <c r="N105" i="4"/>
  <c r="L105" i="4"/>
  <c r="K105" i="4"/>
  <c r="I105" i="4"/>
  <c r="AD105" i="4" s="1"/>
  <c r="E105" i="4"/>
  <c r="AJ104" i="4"/>
  <c r="AH104" i="4"/>
  <c r="AI104" i="4" s="1"/>
  <c r="AC104" i="4"/>
  <c r="X104" i="4"/>
  <c r="Y104" i="4" s="1"/>
  <c r="W104" i="4"/>
  <c r="T104" i="4"/>
  <c r="S104" i="4"/>
  <c r="R104" i="4"/>
  <c r="O104" i="4"/>
  <c r="N104" i="4"/>
  <c r="L104" i="4"/>
  <c r="K104" i="4"/>
  <c r="I104" i="4"/>
  <c r="AD104" i="4" s="1"/>
  <c r="E104" i="4"/>
  <c r="AJ103" i="4"/>
  <c r="AH103" i="4"/>
  <c r="AI103" i="4" s="1"/>
  <c r="AC103" i="4"/>
  <c r="X103" i="4"/>
  <c r="Y103" i="4" s="1"/>
  <c r="W103" i="4"/>
  <c r="T103" i="4"/>
  <c r="S103" i="4"/>
  <c r="R103" i="4"/>
  <c r="O103" i="4"/>
  <c r="N103" i="4"/>
  <c r="L103" i="4"/>
  <c r="K103" i="4"/>
  <c r="I103" i="4"/>
  <c r="AD103" i="4" s="1"/>
  <c r="E103" i="4"/>
  <c r="AJ102" i="4"/>
  <c r="AH102" i="4"/>
  <c r="AI102" i="4" s="1"/>
  <c r="AC102" i="4"/>
  <c r="X102" i="4"/>
  <c r="Y102" i="4" s="1"/>
  <c r="W102" i="4"/>
  <c r="T102" i="4"/>
  <c r="S102" i="4"/>
  <c r="R102" i="4"/>
  <c r="O102" i="4"/>
  <c r="N102" i="4"/>
  <c r="L102" i="4"/>
  <c r="K102" i="4"/>
  <c r="I102" i="4"/>
  <c r="AD102" i="4" s="1"/>
  <c r="E102" i="4"/>
  <c r="AJ101" i="4"/>
  <c r="AH101" i="4"/>
  <c r="AI101" i="4" s="1"/>
  <c r="AC101" i="4"/>
  <c r="X101" i="4"/>
  <c r="Y101" i="4" s="1"/>
  <c r="W101" i="4"/>
  <c r="T101" i="4"/>
  <c r="S101" i="4"/>
  <c r="R101" i="4"/>
  <c r="O101" i="4"/>
  <c r="N101" i="4"/>
  <c r="L101" i="4"/>
  <c r="K101" i="4"/>
  <c r="I101" i="4"/>
  <c r="AD101" i="4" s="1"/>
  <c r="E101" i="4"/>
  <c r="AJ100" i="4"/>
  <c r="AH100" i="4"/>
  <c r="AI100" i="4" s="1"/>
  <c r="AC100" i="4"/>
  <c r="X100" i="4"/>
  <c r="Y100" i="4" s="1"/>
  <c r="W100" i="4"/>
  <c r="T100" i="4"/>
  <c r="S100" i="4"/>
  <c r="R100" i="4"/>
  <c r="O100" i="4"/>
  <c r="N100" i="4"/>
  <c r="L100" i="4"/>
  <c r="K100" i="4"/>
  <c r="I100" i="4"/>
  <c r="AD100" i="4" s="1"/>
  <c r="E100" i="4"/>
  <c r="AJ99" i="4"/>
  <c r="AH99" i="4"/>
  <c r="AI99" i="4" s="1"/>
  <c r="AC99" i="4"/>
  <c r="X99" i="4"/>
  <c r="Y99" i="4" s="1"/>
  <c r="W99" i="4"/>
  <c r="Z99" i="4" s="1"/>
  <c r="T99" i="4"/>
  <c r="S99" i="4"/>
  <c r="R99" i="4"/>
  <c r="O99" i="4"/>
  <c r="N99" i="4"/>
  <c r="L99" i="4"/>
  <c r="K99" i="4"/>
  <c r="I99" i="4"/>
  <c r="E99" i="4"/>
  <c r="AJ98" i="4"/>
  <c r="AH98" i="4"/>
  <c r="AI98" i="4" s="1"/>
  <c r="AC98" i="4"/>
  <c r="X98" i="4"/>
  <c r="Y98" i="4" s="1"/>
  <c r="W98" i="4"/>
  <c r="T98" i="4"/>
  <c r="S98" i="4"/>
  <c r="R98" i="4"/>
  <c r="O98" i="4"/>
  <c r="N98" i="4"/>
  <c r="L98" i="4"/>
  <c r="K98" i="4"/>
  <c r="I98" i="4"/>
  <c r="E98" i="4"/>
  <c r="AJ97" i="4"/>
  <c r="AH97" i="4"/>
  <c r="AI97" i="4" s="1"/>
  <c r="AC97" i="4"/>
  <c r="X97" i="4"/>
  <c r="Y97" i="4" s="1"/>
  <c r="W97" i="4"/>
  <c r="Z97" i="4" s="1"/>
  <c r="T97" i="4"/>
  <c r="S97" i="4"/>
  <c r="R97" i="4"/>
  <c r="O97" i="4"/>
  <c r="N97" i="4"/>
  <c r="L97" i="4"/>
  <c r="K97" i="4"/>
  <c r="I97" i="4"/>
  <c r="E97" i="4"/>
  <c r="AJ96" i="4"/>
  <c r="AH96" i="4"/>
  <c r="AI96" i="4" s="1"/>
  <c r="AC96" i="4"/>
  <c r="X96" i="4"/>
  <c r="Y96" i="4" s="1"/>
  <c r="W96" i="4"/>
  <c r="Z96" i="4" s="1"/>
  <c r="T96" i="4"/>
  <c r="S96" i="4"/>
  <c r="R96" i="4"/>
  <c r="O96" i="4"/>
  <c r="N96" i="4"/>
  <c r="L96" i="4"/>
  <c r="K96" i="4"/>
  <c r="I96" i="4"/>
  <c r="E96" i="4"/>
  <c r="AJ95" i="4"/>
  <c r="AH95" i="4"/>
  <c r="AI95" i="4" s="1"/>
  <c r="AC95" i="4"/>
  <c r="X95" i="4"/>
  <c r="Y95" i="4" s="1"/>
  <c r="W95" i="4"/>
  <c r="T95" i="4"/>
  <c r="S95" i="4"/>
  <c r="R95" i="4"/>
  <c r="O95" i="4"/>
  <c r="N95" i="4"/>
  <c r="L95" i="4"/>
  <c r="K95" i="4"/>
  <c r="I95" i="4"/>
  <c r="AD95" i="4" s="1"/>
  <c r="E95" i="4"/>
  <c r="AJ94" i="4"/>
  <c r="AH94" i="4"/>
  <c r="AI94" i="4" s="1"/>
  <c r="AC94" i="4"/>
  <c r="X94" i="4"/>
  <c r="Y94" i="4" s="1"/>
  <c r="W94" i="4"/>
  <c r="T94" i="4"/>
  <c r="S94" i="4"/>
  <c r="R94" i="4"/>
  <c r="O94" i="4"/>
  <c r="N94" i="4"/>
  <c r="L94" i="4"/>
  <c r="K94" i="4"/>
  <c r="I94" i="4"/>
  <c r="AD94" i="4" s="1"/>
  <c r="E94" i="4"/>
  <c r="AJ93" i="4"/>
  <c r="AH93" i="4"/>
  <c r="AI93" i="4" s="1"/>
  <c r="AC93" i="4"/>
  <c r="X93" i="4"/>
  <c r="Y93" i="4" s="1"/>
  <c r="W93" i="4"/>
  <c r="T93" i="4"/>
  <c r="S93" i="4"/>
  <c r="R93" i="4"/>
  <c r="O93" i="4"/>
  <c r="N93" i="4"/>
  <c r="L93" i="4"/>
  <c r="K93" i="4"/>
  <c r="I93" i="4"/>
  <c r="AD93" i="4" s="1"/>
  <c r="E93" i="4"/>
  <c r="AJ92" i="4"/>
  <c r="AH92" i="4"/>
  <c r="AI92" i="4" s="1"/>
  <c r="AC92" i="4"/>
  <c r="X92" i="4"/>
  <c r="Y92" i="4" s="1"/>
  <c r="W92" i="4"/>
  <c r="T92" i="4"/>
  <c r="S92" i="4"/>
  <c r="R92" i="4"/>
  <c r="O92" i="4"/>
  <c r="N92" i="4"/>
  <c r="L92" i="4"/>
  <c r="K92" i="4"/>
  <c r="I92" i="4"/>
  <c r="AD92" i="4" s="1"/>
  <c r="E92" i="4"/>
  <c r="AJ91" i="4"/>
  <c r="AH91" i="4"/>
  <c r="AI91" i="4" s="1"/>
  <c r="AC91" i="4"/>
  <c r="X91" i="4"/>
  <c r="Y91" i="4" s="1"/>
  <c r="W91" i="4"/>
  <c r="T91" i="4"/>
  <c r="S91" i="4"/>
  <c r="R91" i="4"/>
  <c r="O91" i="4"/>
  <c r="N91" i="4"/>
  <c r="L91" i="4"/>
  <c r="K91" i="4"/>
  <c r="I91" i="4"/>
  <c r="E91" i="4"/>
  <c r="AJ90" i="4"/>
  <c r="AH90" i="4"/>
  <c r="AI90" i="4" s="1"/>
  <c r="AC90" i="4"/>
  <c r="X90" i="4"/>
  <c r="Y90" i="4" s="1"/>
  <c r="W90" i="4"/>
  <c r="T90" i="4"/>
  <c r="S90" i="4"/>
  <c r="R90" i="4"/>
  <c r="O90" i="4"/>
  <c r="N90" i="4"/>
  <c r="L90" i="4"/>
  <c r="K90" i="4"/>
  <c r="I90" i="4"/>
  <c r="E90" i="4"/>
  <c r="AJ89" i="4"/>
  <c r="AH89" i="4"/>
  <c r="AI89" i="4" s="1"/>
  <c r="AC89" i="4"/>
  <c r="X89" i="4"/>
  <c r="Y89" i="4" s="1"/>
  <c r="W89" i="4"/>
  <c r="T89" i="4"/>
  <c r="S89" i="4"/>
  <c r="R89" i="4"/>
  <c r="O89" i="4"/>
  <c r="N89" i="4"/>
  <c r="L89" i="4"/>
  <c r="K89" i="4"/>
  <c r="I89" i="4"/>
  <c r="AD89" i="4" s="1"/>
  <c r="E89" i="4"/>
  <c r="AJ88" i="4"/>
  <c r="AH88" i="4"/>
  <c r="AI88" i="4" s="1"/>
  <c r="AC88" i="4"/>
  <c r="X88" i="4"/>
  <c r="Y88" i="4" s="1"/>
  <c r="W88" i="4"/>
  <c r="T88" i="4"/>
  <c r="S88" i="4"/>
  <c r="R88" i="4"/>
  <c r="O88" i="4"/>
  <c r="N88" i="4"/>
  <c r="L88" i="4"/>
  <c r="K88" i="4"/>
  <c r="I88" i="4"/>
  <c r="AD88" i="4" s="1"/>
  <c r="E88" i="4"/>
  <c r="AJ87" i="4"/>
  <c r="AH87" i="4"/>
  <c r="AI87" i="4" s="1"/>
  <c r="AC87" i="4"/>
  <c r="X87" i="4"/>
  <c r="Y87" i="4" s="1"/>
  <c r="W87" i="4"/>
  <c r="T87" i="4"/>
  <c r="S87" i="4"/>
  <c r="R87" i="4"/>
  <c r="O87" i="4"/>
  <c r="N87" i="4"/>
  <c r="L87" i="4"/>
  <c r="K87" i="4"/>
  <c r="I87" i="4"/>
  <c r="AD87" i="4" s="1"/>
  <c r="E87" i="4"/>
  <c r="AJ86" i="4"/>
  <c r="AH86" i="4"/>
  <c r="AI86" i="4" s="1"/>
  <c r="AC86" i="4"/>
  <c r="X86" i="4"/>
  <c r="Y86" i="4" s="1"/>
  <c r="W86" i="4"/>
  <c r="T86" i="4"/>
  <c r="S86" i="4"/>
  <c r="R86" i="4"/>
  <c r="O86" i="4"/>
  <c r="N86" i="4"/>
  <c r="L86" i="4"/>
  <c r="K86" i="4"/>
  <c r="I86" i="4"/>
  <c r="AD86" i="4" s="1"/>
  <c r="E86" i="4"/>
  <c r="AJ85" i="4"/>
  <c r="AH85" i="4"/>
  <c r="AI85" i="4" s="1"/>
  <c r="AC85" i="4"/>
  <c r="X85" i="4"/>
  <c r="Y85" i="4" s="1"/>
  <c r="W85" i="4"/>
  <c r="T85" i="4"/>
  <c r="S85" i="4"/>
  <c r="R85" i="4"/>
  <c r="O85" i="4"/>
  <c r="N85" i="4"/>
  <c r="L85" i="4"/>
  <c r="K85" i="4"/>
  <c r="I85" i="4"/>
  <c r="AD85" i="4" s="1"/>
  <c r="E85" i="4"/>
  <c r="AJ84" i="4"/>
  <c r="AH84" i="4"/>
  <c r="AI84" i="4" s="1"/>
  <c r="AC84" i="4"/>
  <c r="X84" i="4"/>
  <c r="Y84" i="4" s="1"/>
  <c r="W84" i="4"/>
  <c r="T84" i="4"/>
  <c r="S84" i="4"/>
  <c r="R84" i="4"/>
  <c r="O84" i="4"/>
  <c r="N84" i="4"/>
  <c r="L84" i="4"/>
  <c r="K84" i="4"/>
  <c r="I84" i="4"/>
  <c r="AD84" i="4" s="1"/>
  <c r="E84" i="4"/>
  <c r="AJ83" i="4"/>
  <c r="AH83" i="4"/>
  <c r="AI83" i="4" s="1"/>
  <c r="AC83" i="4"/>
  <c r="X83" i="4"/>
  <c r="Y83" i="4" s="1"/>
  <c r="Z83" i="4" s="1"/>
  <c r="W83" i="4"/>
  <c r="T83" i="4"/>
  <c r="S83" i="4"/>
  <c r="R83" i="4"/>
  <c r="O83" i="4"/>
  <c r="N83" i="4"/>
  <c r="L83" i="4"/>
  <c r="K83" i="4"/>
  <c r="I83" i="4"/>
  <c r="E83" i="4"/>
  <c r="AJ82" i="4"/>
  <c r="AH82" i="4"/>
  <c r="AI82" i="4" s="1"/>
  <c r="AC82" i="4"/>
  <c r="X82" i="4"/>
  <c r="Y82" i="4" s="1"/>
  <c r="W82" i="4"/>
  <c r="Z82" i="4" s="1"/>
  <c r="T82" i="4"/>
  <c r="S82" i="4"/>
  <c r="R82" i="4"/>
  <c r="O82" i="4"/>
  <c r="N82" i="4"/>
  <c r="L82" i="4"/>
  <c r="K82" i="4"/>
  <c r="I82" i="4"/>
  <c r="E82" i="4"/>
  <c r="AJ81" i="4"/>
  <c r="AH81" i="4"/>
  <c r="AI81" i="4" s="1"/>
  <c r="AC81" i="4"/>
  <c r="X81" i="4"/>
  <c r="Y81" i="4" s="1"/>
  <c r="W81" i="4"/>
  <c r="T81" i="4"/>
  <c r="S81" i="4"/>
  <c r="R81" i="4"/>
  <c r="O81" i="4"/>
  <c r="N81" i="4"/>
  <c r="L81" i="4"/>
  <c r="K81" i="4"/>
  <c r="I81" i="4"/>
  <c r="AD81" i="4" s="1"/>
  <c r="E81" i="4"/>
  <c r="AJ80" i="4"/>
  <c r="AH80" i="4"/>
  <c r="AI80" i="4" s="1"/>
  <c r="AC80" i="4"/>
  <c r="X80" i="4"/>
  <c r="Y80" i="4" s="1"/>
  <c r="W80" i="4"/>
  <c r="T80" i="4"/>
  <c r="S80" i="4"/>
  <c r="R80" i="4"/>
  <c r="O80" i="4"/>
  <c r="N80" i="4"/>
  <c r="L80" i="4"/>
  <c r="K80" i="4"/>
  <c r="I80" i="4"/>
  <c r="AD80" i="4" s="1"/>
  <c r="E80" i="4"/>
  <c r="AJ79" i="4"/>
  <c r="AH79" i="4"/>
  <c r="AI79" i="4" s="1"/>
  <c r="AC79" i="4"/>
  <c r="X79" i="4"/>
  <c r="Y79" i="4" s="1"/>
  <c r="W79" i="4"/>
  <c r="T79" i="4"/>
  <c r="S79" i="4"/>
  <c r="R79" i="4"/>
  <c r="O79" i="4"/>
  <c r="N79" i="4"/>
  <c r="L79" i="4"/>
  <c r="K79" i="4"/>
  <c r="I79" i="4"/>
  <c r="AD79" i="4" s="1"/>
  <c r="E79" i="4"/>
  <c r="AJ78" i="4"/>
  <c r="AH78" i="4"/>
  <c r="AI78" i="4" s="1"/>
  <c r="AC78" i="4"/>
  <c r="X78" i="4"/>
  <c r="Y78" i="4" s="1"/>
  <c r="W78" i="4"/>
  <c r="T78" i="4"/>
  <c r="S78" i="4"/>
  <c r="R78" i="4"/>
  <c r="O78" i="4"/>
  <c r="N78" i="4"/>
  <c r="L78" i="4"/>
  <c r="K78" i="4"/>
  <c r="I78" i="4"/>
  <c r="AD78" i="4" s="1"/>
  <c r="E78" i="4"/>
  <c r="AJ77" i="4"/>
  <c r="AH77" i="4"/>
  <c r="AI77" i="4" s="1"/>
  <c r="AC77" i="4"/>
  <c r="X77" i="4"/>
  <c r="Y77" i="4" s="1"/>
  <c r="Z77" i="4" s="1"/>
  <c r="W77" i="4"/>
  <c r="T77" i="4"/>
  <c r="S77" i="4"/>
  <c r="R77" i="4"/>
  <c r="O77" i="4"/>
  <c r="N77" i="4"/>
  <c r="L77" i="4"/>
  <c r="K77" i="4"/>
  <c r="I77" i="4"/>
  <c r="AD77" i="4" s="1"/>
  <c r="E77" i="4"/>
  <c r="AJ76" i="4"/>
  <c r="AH76" i="4"/>
  <c r="AI76" i="4" s="1"/>
  <c r="AC76" i="4"/>
  <c r="X76" i="4"/>
  <c r="Y76" i="4" s="1"/>
  <c r="W76" i="4"/>
  <c r="T76" i="4"/>
  <c r="S76" i="4"/>
  <c r="R76" i="4"/>
  <c r="O76" i="4"/>
  <c r="N76" i="4"/>
  <c r="L76" i="4"/>
  <c r="K76" i="4"/>
  <c r="I76" i="4"/>
  <c r="AD76" i="4" s="1"/>
  <c r="E76" i="4"/>
  <c r="AJ75" i="4"/>
  <c r="AH75" i="4"/>
  <c r="AI75" i="4" s="1"/>
  <c r="AC75" i="4"/>
  <c r="Z75" i="4"/>
  <c r="X75" i="4"/>
  <c r="Y75" i="4" s="1"/>
  <c r="W75" i="4"/>
  <c r="T75" i="4"/>
  <c r="S75" i="4"/>
  <c r="R75" i="4"/>
  <c r="O75" i="4"/>
  <c r="N75" i="4"/>
  <c r="L75" i="4"/>
  <c r="K75" i="4"/>
  <c r="I75" i="4"/>
  <c r="E75" i="4"/>
  <c r="AJ74" i="4"/>
  <c r="AH74" i="4"/>
  <c r="AI74" i="4" s="1"/>
  <c r="AC74" i="4"/>
  <c r="X74" i="4"/>
  <c r="Y74" i="4" s="1"/>
  <c r="W74" i="4"/>
  <c r="T74" i="4"/>
  <c r="S74" i="4"/>
  <c r="R74" i="4"/>
  <c r="O74" i="4"/>
  <c r="N74" i="4"/>
  <c r="L74" i="4"/>
  <c r="K74" i="4"/>
  <c r="I74" i="4"/>
  <c r="E74" i="4"/>
  <c r="AJ73" i="4"/>
  <c r="AH73" i="4"/>
  <c r="AI73" i="4" s="1"/>
  <c r="AC73" i="4"/>
  <c r="X73" i="4"/>
  <c r="Y73" i="4" s="1"/>
  <c r="W73" i="4"/>
  <c r="T73" i="4"/>
  <c r="S73" i="4"/>
  <c r="R73" i="4"/>
  <c r="O73" i="4"/>
  <c r="N73" i="4"/>
  <c r="L73" i="4"/>
  <c r="K73" i="4"/>
  <c r="I73" i="4"/>
  <c r="E73" i="4"/>
  <c r="AJ72" i="4"/>
  <c r="AH72" i="4"/>
  <c r="AI72" i="4" s="1"/>
  <c r="AC72" i="4"/>
  <c r="X72" i="4"/>
  <c r="Y72" i="4" s="1"/>
  <c r="W72" i="4"/>
  <c r="T72" i="4"/>
  <c r="S72" i="4"/>
  <c r="R72" i="4"/>
  <c r="O72" i="4"/>
  <c r="N72" i="4"/>
  <c r="L72" i="4"/>
  <c r="K72" i="4"/>
  <c r="I72" i="4"/>
  <c r="E72" i="4"/>
  <c r="AJ71" i="4"/>
  <c r="AH71" i="4"/>
  <c r="AI71" i="4" s="1"/>
  <c r="AC71" i="4"/>
  <c r="X71" i="4"/>
  <c r="Y71" i="4" s="1"/>
  <c r="W71" i="4"/>
  <c r="T71" i="4"/>
  <c r="S71" i="4"/>
  <c r="R71" i="4"/>
  <c r="O71" i="4"/>
  <c r="N71" i="4"/>
  <c r="L71" i="4"/>
  <c r="K71" i="4"/>
  <c r="I71" i="4"/>
  <c r="E71" i="4"/>
  <c r="AJ70" i="4"/>
  <c r="AH70" i="4"/>
  <c r="AI70" i="4" s="1"/>
  <c r="AC70" i="4"/>
  <c r="X70" i="4"/>
  <c r="Y70" i="4" s="1"/>
  <c r="W70" i="4"/>
  <c r="T70" i="4"/>
  <c r="S70" i="4"/>
  <c r="R70" i="4"/>
  <c r="O70" i="4"/>
  <c r="N70" i="4"/>
  <c r="L70" i="4"/>
  <c r="K70" i="4"/>
  <c r="I70" i="4"/>
  <c r="E70" i="4"/>
  <c r="AJ69" i="4"/>
  <c r="AH69" i="4"/>
  <c r="AI69" i="4" s="1"/>
  <c r="AC69" i="4"/>
  <c r="X69" i="4"/>
  <c r="Y69" i="4" s="1"/>
  <c r="W69" i="4"/>
  <c r="T69" i="4"/>
  <c r="S69" i="4"/>
  <c r="R69" i="4"/>
  <c r="O69" i="4"/>
  <c r="N69" i="4"/>
  <c r="L69" i="4"/>
  <c r="K69" i="4"/>
  <c r="I69" i="4"/>
  <c r="AD69" i="4" s="1"/>
  <c r="E69" i="4"/>
  <c r="AJ68" i="4"/>
  <c r="AH68" i="4"/>
  <c r="AI68" i="4" s="1"/>
  <c r="AC68" i="4"/>
  <c r="X68" i="4"/>
  <c r="Y68" i="4" s="1"/>
  <c r="W68" i="4"/>
  <c r="T68" i="4"/>
  <c r="S68" i="4"/>
  <c r="R68" i="4"/>
  <c r="O68" i="4"/>
  <c r="N68" i="4"/>
  <c r="L68" i="4"/>
  <c r="K68" i="4"/>
  <c r="I68" i="4"/>
  <c r="AD68" i="4" s="1"/>
  <c r="E68" i="4"/>
  <c r="AJ67" i="4"/>
  <c r="AH67" i="4"/>
  <c r="AI67" i="4" s="1"/>
  <c r="AC67" i="4"/>
  <c r="X67" i="4"/>
  <c r="Y67" i="4" s="1"/>
  <c r="W67" i="4"/>
  <c r="Z67" i="4" s="1"/>
  <c r="T67" i="4"/>
  <c r="S67" i="4"/>
  <c r="R67" i="4"/>
  <c r="O67" i="4"/>
  <c r="N67" i="4"/>
  <c r="L67" i="4"/>
  <c r="K67" i="4"/>
  <c r="I67" i="4"/>
  <c r="AD67" i="4" s="1"/>
  <c r="E67" i="4"/>
  <c r="AJ66" i="4"/>
  <c r="AH66" i="4"/>
  <c r="AI66" i="4" s="1"/>
  <c r="AC66" i="4"/>
  <c r="X66" i="4"/>
  <c r="Y66" i="4" s="1"/>
  <c r="W66" i="4"/>
  <c r="T66" i="4"/>
  <c r="S66" i="4"/>
  <c r="R66" i="4"/>
  <c r="O66" i="4"/>
  <c r="N66" i="4"/>
  <c r="L66" i="4"/>
  <c r="K66" i="4"/>
  <c r="I66" i="4"/>
  <c r="AD66" i="4" s="1"/>
  <c r="E66" i="4"/>
  <c r="AJ65" i="4"/>
  <c r="AH65" i="4"/>
  <c r="AI65" i="4" s="1"/>
  <c r="AC65" i="4"/>
  <c r="X65" i="4"/>
  <c r="Y65" i="4" s="1"/>
  <c r="W65" i="4"/>
  <c r="Z65" i="4" s="1"/>
  <c r="T65" i="4"/>
  <c r="S65" i="4"/>
  <c r="R65" i="4"/>
  <c r="O65" i="4"/>
  <c r="N65" i="4"/>
  <c r="L65" i="4"/>
  <c r="K65" i="4"/>
  <c r="I65" i="4"/>
  <c r="AD65" i="4" s="1"/>
  <c r="E65" i="4"/>
  <c r="AJ64" i="4"/>
  <c r="AH64" i="4"/>
  <c r="AI64" i="4" s="1"/>
  <c r="AC64" i="4"/>
  <c r="X64" i="4"/>
  <c r="Y64" i="4" s="1"/>
  <c r="W64" i="4"/>
  <c r="T64" i="4"/>
  <c r="S64" i="4"/>
  <c r="R64" i="4"/>
  <c r="O64" i="4"/>
  <c r="N64" i="4"/>
  <c r="L64" i="4"/>
  <c r="K64" i="4"/>
  <c r="I64" i="4"/>
  <c r="AD64" i="4" s="1"/>
  <c r="E64" i="4"/>
  <c r="AJ63" i="4"/>
  <c r="AH63" i="4"/>
  <c r="AI63" i="4" s="1"/>
  <c r="AC63" i="4"/>
  <c r="X63" i="4"/>
  <c r="Y63" i="4" s="1"/>
  <c r="W63" i="4"/>
  <c r="Z63" i="4" s="1"/>
  <c r="T63" i="4"/>
  <c r="S63" i="4"/>
  <c r="R63" i="4"/>
  <c r="O63" i="4"/>
  <c r="N63" i="4"/>
  <c r="L63" i="4"/>
  <c r="K63" i="4"/>
  <c r="I63" i="4"/>
  <c r="AD63" i="4" s="1"/>
  <c r="E63" i="4"/>
  <c r="AJ62" i="4"/>
  <c r="AH62" i="4"/>
  <c r="AI62" i="4" s="1"/>
  <c r="AC62" i="4"/>
  <c r="X62" i="4"/>
  <c r="Y62" i="4" s="1"/>
  <c r="W62" i="4"/>
  <c r="T62" i="4"/>
  <c r="S62" i="4"/>
  <c r="R62" i="4"/>
  <c r="O62" i="4"/>
  <c r="N62" i="4"/>
  <c r="L62" i="4"/>
  <c r="K62" i="4"/>
  <c r="I62" i="4"/>
  <c r="AD62" i="4" s="1"/>
  <c r="E62" i="4"/>
  <c r="AJ61" i="4"/>
  <c r="AH61" i="4"/>
  <c r="AI61" i="4" s="1"/>
  <c r="AC61" i="4"/>
  <c r="X61" i="4"/>
  <c r="Y61" i="4" s="1"/>
  <c r="W61" i="4"/>
  <c r="Z61" i="4" s="1"/>
  <c r="T61" i="4"/>
  <c r="S61" i="4"/>
  <c r="R61" i="4"/>
  <c r="O61" i="4"/>
  <c r="N61" i="4"/>
  <c r="L61" i="4"/>
  <c r="K61" i="4"/>
  <c r="I61" i="4"/>
  <c r="E61" i="4"/>
  <c r="AJ60" i="4"/>
  <c r="AH60" i="4"/>
  <c r="AI60" i="4" s="1"/>
  <c r="AC60" i="4"/>
  <c r="X60" i="4"/>
  <c r="Y60" i="4" s="1"/>
  <c r="W60" i="4"/>
  <c r="T60" i="4"/>
  <c r="S60" i="4"/>
  <c r="R60" i="4"/>
  <c r="O60" i="4"/>
  <c r="N60" i="4"/>
  <c r="L60" i="4"/>
  <c r="K60" i="4"/>
  <c r="I60" i="4"/>
  <c r="E60" i="4"/>
  <c r="AJ59" i="4"/>
  <c r="AH59" i="4"/>
  <c r="AI59" i="4" s="1"/>
  <c r="AC59" i="4"/>
  <c r="X59" i="4"/>
  <c r="Y59" i="4" s="1"/>
  <c r="W59" i="4"/>
  <c r="Z59" i="4" s="1"/>
  <c r="T59" i="4"/>
  <c r="S59" i="4"/>
  <c r="R59" i="4"/>
  <c r="O59" i="4"/>
  <c r="N59" i="4"/>
  <c r="L59" i="4"/>
  <c r="K59" i="4"/>
  <c r="I59" i="4"/>
  <c r="AD59" i="4" s="1"/>
  <c r="E59" i="4"/>
  <c r="AJ58" i="4"/>
  <c r="AH58" i="4"/>
  <c r="AI58" i="4" s="1"/>
  <c r="AC58" i="4"/>
  <c r="X58" i="4"/>
  <c r="Y58" i="4" s="1"/>
  <c r="W58" i="4"/>
  <c r="T58" i="4"/>
  <c r="S58" i="4"/>
  <c r="R58" i="4"/>
  <c r="O58" i="4"/>
  <c r="N58" i="4"/>
  <c r="L58" i="4"/>
  <c r="K58" i="4"/>
  <c r="I58" i="4"/>
  <c r="AD58" i="4" s="1"/>
  <c r="E58" i="4"/>
  <c r="AJ57" i="4"/>
  <c r="AH57" i="4"/>
  <c r="AI57" i="4" s="1"/>
  <c r="AC57" i="4"/>
  <c r="X57" i="4"/>
  <c r="Y57" i="4" s="1"/>
  <c r="W57" i="4"/>
  <c r="T57" i="4"/>
  <c r="S57" i="4"/>
  <c r="R57" i="4"/>
  <c r="O57" i="4"/>
  <c r="N57" i="4"/>
  <c r="L57" i="4"/>
  <c r="K57" i="4"/>
  <c r="I57" i="4"/>
  <c r="AD57" i="4" s="1"/>
  <c r="E57" i="4"/>
  <c r="AJ56" i="4"/>
  <c r="AH56" i="4"/>
  <c r="AI56" i="4" s="1"/>
  <c r="AC56" i="4"/>
  <c r="X56" i="4"/>
  <c r="Y56" i="4" s="1"/>
  <c r="W56" i="4"/>
  <c r="T56" i="4"/>
  <c r="S56" i="4"/>
  <c r="R56" i="4"/>
  <c r="O56" i="4"/>
  <c r="N56" i="4"/>
  <c r="L56" i="4"/>
  <c r="K56" i="4"/>
  <c r="I56" i="4"/>
  <c r="AD56" i="4" s="1"/>
  <c r="E56" i="4"/>
  <c r="AJ55" i="4"/>
  <c r="AH55" i="4"/>
  <c r="AI55" i="4" s="1"/>
  <c r="AC55" i="4"/>
  <c r="X55" i="4"/>
  <c r="Y55" i="4" s="1"/>
  <c r="W55" i="4"/>
  <c r="Z55" i="4" s="1"/>
  <c r="T55" i="4"/>
  <c r="S55" i="4"/>
  <c r="R55" i="4"/>
  <c r="O55" i="4"/>
  <c r="N55" i="4"/>
  <c r="L55" i="4"/>
  <c r="K55" i="4"/>
  <c r="I55" i="4"/>
  <c r="AD55" i="4" s="1"/>
  <c r="E55" i="4"/>
  <c r="AJ54" i="4"/>
  <c r="AH54" i="4"/>
  <c r="AI54" i="4" s="1"/>
  <c r="AC54" i="4"/>
  <c r="X54" i="4"/>
  <c r="Y54" i="4" s="1"/>
  <c r="W54" i="4"/>
  <c r="Z54" i="4" s="1"/>
  <c r="T54" i="4"/>
  <c r="S54" i="4"/>
  <c r="R54" i="4"/>
  <c r="O54" i="4"/>
  <c r="N54" i="4"/>
  <c r="L54" i="4"/>
  <c r="K54" i="4"/>
  <c r="I54" i="4"/>
  <c r="AD54" i="4" s="1"/>
  <c r="E54" i="4"/>
  <c r="AJ53" i="4"/>
  <c r="AH53" i="4"/>
  <c r="AI53" i="4" s="1"/>
  <c r="AC53" i="4"/>
  <c r="X53" i="4"/>
  <c r="Y53" i="4" s="1"/>
  <c r="W53" i="4"/>
  <c r="T53" i="4"/>
  <c r="S53" i="4"/>
  <c r="R53" i="4"/>
  <c r="O53" i="4"/>
  <c r="N53" i="4"/>
  <c r="L53" i="4"/>
  <c r="K53" i="4"/>
  <c r="I53" i="4"/>
  <c r="E53" i="4"/>
  <c r="AJ52" i="4"/>
  <c r="AH52" i="4"/>
  <c r="AI52" i="4" s="1"/>
  <c r="AC52" i="4"/>
  <c r="X52" i="4"/>
  <c r="Y52" i="4" s="1"/>
  <c r="W52" i="4"/>
  <c r="T52" i="4"/>
  <c r="S52" i="4"/>
  <c r="R52" i="4"/>
  <c r="O52" i="4"/>
  <c r="N52" i="4"/>
  <c r="L52" i="4"/>
  <c r="K52" i="4"/>
  <c r="I52" i="4"/>
  <c r="E52" i="4"/>
  <c r="AJ51" i="4"/>
  <c r="AH51" i="4"/>
  <c r="AI51" i="4" s="1"/>
  <c r="AC51" i="4"/>
  <c r="X51" i="4"/>
  <c r="Y51" i="4" s="1"/>
  <c r="W51" i="4"/>
  <c r="T51" i="4"/>
  <c r="S51" i="4"/>
  <c r="R51" i="4"/>
  <c r="O51" i="4"/>
  <c r="N51" i="4"/>
  <c r="L51" i="4"/>
  <c r="K51" i="4"/>
  <c r="I51" i="4"/>
  <c r="E51" i="4"/>
  <c r="AJ50" i="4"/>
  <c r="AH50" i="4"/>
  <c r="AI50" i="4" s="1"/>
  <c r="AC50" i="4"/>
  <c r="X50" i="4"/>
  <c r="Y50" i="4" s="1"/>
  <c r="W50" i="4"/>
  <c r="T50" i="4"/>
  <c r="S50" i="4"/>
  <c r="R50" i="4"/>
  <c r="O50" i="4"/>
  <c r="N50" i="4"/>
  <c r="L50" i="4"/>
  <c r="K50" i="4"/>
  <c r="I50" i="4"/>
  <c r="AD50" i="4" s="1"/>
  <c r="E50" i="4"/>
  <c r="AJ49" i="4"/>
  <c r="AH49" i="4"/>
  <c r="AI49" i="4" s="1"/>
  <c r="AC49" i="4"/>
  <c r="X49" i="4"/>
  <c r="Y49" i="4" s="1"/>
  <c r="W49" i="4"/>
  <c r="T49" i="4"/>
  <c r="S49" i="4"/>
  <c r="R49" i="4"/>
  <c r="O49" i="4"/>
  <c r="N49" i="4"/>
  <c r="L49" i="4"/>
  <c r="K49" i="4"/>
  <c r="I49" i="4"/>
  <c r="AD49" i="4" s="1"/>
  <c r="E49" i="4"/>
  <c r="AJ48" i="4"/>
  <c r="AH48" i="4"/>
  <c r="AI48" i="4" s="1"/>
  <c r="AC48" i="4"/>
  <c r="X48" i="4"/>
  <c r="Y48" i="4" s="1"/>
  <c r="Z48" i="4" s="1"/>
  <c r="W48" i="4"/>
  <c r="T48" i="4"/>
  <c r="S48" i="4"/>
  <c r="R48" i="4"/>
  <c r="O48" i="4"/>
  <c r="N48" i="4"/>
  <c r="L48" i="4"/>
  <c r="K48" i="4"/>
  <c r="I48" i="4"/>
  <c r="AD48" i="4" s="1"/>
  <c r="E48" i="4"/>
  <c r="AJ47" i="4"/>
  <c r="AH47" i="4"/>
  <c r="AI47" i="4" s="1"/>
  <c r="AC47" i="4"/>
  <c r="X47" i="4"/>
  <c r="Y47" i="4" s="1"/>
  <c r="W47" i="4"/>
  <c r="T47" i="4"/>
  <c r="S47" i="4"/>
  <c r="R47" i="4"/>
  <c r="O47" i="4"/>
  <c r="N47" i="4"/>
  <c r="L47" i="4"/>
  <c r="K47" i="4"/>
  <c r="I47" i="4"/>
  <c r="AD47" i="4" s="1"/>
  <c r="E47" i="4"/>
  <c r="AJ46" i="4"/>
  <c r="AH46" i="4"/>
  <c r="AI46" i="4" s="1"/>
  <c r="AC46" i="4"/>
  <c r="X46" i="4"/>
  <c r="Y46" i="4" s="1"/>
  <c r="W46" i="4"/>
  <c r="T46" i="4"/>
  <c r="S46" i="4"/>
  <c r="R46" i="4"/>
  <c r="O46" i="4"/>
  <c r="N46" i="4"/>
  <c r="L46" i="4"/>
  <c r="K46" i="4"/>
  <c r="I46" i="4"/>
  <c r="AD46" i="4" s="1"/>
  <c r="E46" i="4"/>
  <c r="AJ45" i="4"/>
  <c r="AI45" i="4"/>
  <c r="AH45" i="4"/>
  <c r="AC45" i="4"/>
  <c r="X45" i="4"/>
  <c r="Y45" i="4" s="1"/>
  <c r="W45" i="4"/>
  <c r="T45" i="4"/>
  <c r="S45" i="4"/>
  <c r="R45" i="4"/>
  <c r="O45" i="4"/>
  <c r="N45" i="4"/>
  <c r="L45" i="4"/>
  <c r="K45" i="4"/>
  <c r="I45" i="4"/>
  <c r="AD45" i="4" s="1"/>
  <c r="E45" i="4"/>
  <c r="AJ44" i="4"/>
  <c r="AH44" i="4"/>
  <c r="AI44" i="4" s="1"/>
  <c r="AC44" i="4"/>
  <c r="X44" i="4"/>
  <c r="Y44" i="4" s="1"/>
  <c r="W44" i="4"/>
  <c r="T44" i="4"/>
  <c r="S44" i="4"/>
  <c r="R44" i="4"/>
  <c r="O44" i="4"/>
  <c r="N44" i="4"/>
  <c r="L44" i="4"/>
  <c r="K44" i="4"/>
  <c r="I44" i="4"/>
  <c r="AD44" i="4" s="1"/>
  <c r="E44" i="4"/>
  <c r="AJ43" i="4"/>
  <c r="AH43" i="4"/>
  <c r="AI43" i="4" s="1"/>
  <c r="AC43" i="4"/>
  <c r="X43" i="4"/>
  <c r="Y43" i="4" s="1"/>
  <c r="Z43" i="4" s="1"/>
  <c r="W43" i="4"/>
  <c r="T43" i="4"/>
  <c r="S43" i="4"/>
  <c r="R43" i="4"/>
  <c r="O43" i="4"/>
  <c r="N43" i="4"/>
  <c r="L43" i="4"/>
  <c r="K43" i="4"/>
  <c r="I43" i="4"/>
  <c r="AD43" i="4" s="1"/>
  <c r="E43" i="4"/>
  <c r="AJ42" i="4"/>
  <c r="AH42" i="4"/>
  <c r="AI42" i="4" s="1"/>
  <c r="AC42" i="4"/>
  <c r="X42" i="4"/>
  <c r="Y42" i="4" s="1"/>
  <c r="W42" i="4"/>
  <c r="T42" i="4"/>
  <c r="S42" i="4"/>
  <c r="R42" i="4"/>
  <c r="O42" i="4"/>
  <c r="N42" i="4"/>
  <c r="L42" i="4"/>
  <c r="K42" i="4"/>
  <c r="I42" i="4"/>
  <c r="AD42" i="4" s="1"/>
  <c r="E42" i="4"/>
  <c r="AJ41" i="4"/>
  <c r="AH41" i="4"/>
  <c r="AI41" i="4" s="1"/>
  <c r="AC41" i="4"/>
  <c r="X41" i="4"/>
  <c r="Y41" i="4" s="1"/>
  <c r="Z41" i="4" s="1"/>
  <c r="W41" i="4"/>
  <c r="T41" i="4"/>
  <c r="S41" i="4"/>
  <c r="R41" i="4"/>
  <c r="O41" i="4"/>
  <c r="N41" i="4"/>
  <c r="L41" i="4"/>
  <c r="K41" i="4"/>
  <c r="I41" i="4"/>
  <c r="AD41" i="4" s="1"/>
  <c r="E41" i="4"/>
  <c r="AJ40" i="4"/>
  <c r="AI40" i="4"/>
  <c r="AH40" i="4"/>
  <c r="AC40" i="4"/>
  <c r="X40" i="4"/>
  <c r="Y40" i="4" s="1"/>
  <c r="W40" i="4"/>
  <c r="T40" i="4"/>
  <c r="S40" i="4"/>
  <c r="R40" i="4"/>
  <c r="O40" i="4"/>
  <c r="N40" i="4"/>
  <c r="L40" i="4"/>
  <c r="K40" i="4"/>
  <c r="I40" i="4"/>
  <c r="AD40" i="4" s="1"/>
  <c r="E40" i="4"/>
  <c r="AJ39" i="4"/>
  <c r="AH39" i="4"/>
  <c r="AI39" i="4" s="1"/>
  <c r="AC39" i="4"/>
  <c r="X39" i="4"/>
  <c r="Y39" i="4" s="1"/>
  <c r="Z39" i="4" s="1"/>
  <c r="W39" i="4"/>
  <c r="T39" i="4"/>
  <c r="S39" i="4"/>
  <c r="R39" i="4"/>
  <c r="O39" i="4"/>
  <c r="N39" i="4"/>
  <c r="L39" i="4"/>
  <c r="K39" i="4"/>
  <c r="I39" i="4"/>
  <c r="AD39" i="4" s="1"/>
  <c r="E39" i="4"/>
  <c r="AJ38" i="4"/>
  <c r="AH38" i="4"/>
  <c r="AI38" i="4" s="1"/>
  <c r="AC38" i="4"/>
  <c r="X38" i="4"/>
  <c r="Y38" i="4" s="1"/>
  <c r="W38" i="4"/>
  <c r="T38" i="4"/>
  <c r="S38" i="4"/>
  <c r="R38" i="4"/>
  <c r="O38" i="4"/>
  <c r="N38" i="4"/>
  <c r="L38" i="4"/>
  <c r="K38" i="4"/>
  <c r="I38" i="4"/>
  <c r="AD38" i="4" s="1"/>
  <c r="E38" i="4"/>
  <c r="AJ37" i="4"/>
  <c r="AH37" i="4"/>
  <c r="AI37" i="4" s="1"/>
  <c r="AC37" i="4"/>
  <c r="X37" i="4"/>
  <c r="Y37" i="4" s="1"/>
  <c r="W37" i="4"/>
  <c r="T37" i="4"/>
  <c r="S37" i="4"/>
  <c r="R37" i="4"/>
  <c r="O37" i="4"/>
  <c r="N37" i="4"/>
  <c r="L37" i="4"/>
  <c r="K37" i="4"/>
  <c r="I37" i="4"/>
  <c r="AD37" i="4" s="1"/>
  <c r="E37" i="4"/>
  <c r="AJ36" i="4"/>
  <c r="AH36" i="4"/>
  <c r="AI36" i="4" s="1"/>
  <c r="AC36" i="4"/>
  <c r="X36" i="4"/>
  <c r="Y36" i="4" s="1"/>
  <c r="W36" i="4"/>
  <c r="T36" i="4"/>
  <c r="S36" i="4"/>
  <c r="R36" i="4"/>
  <c r="O36" i="4"/>
  <c r="N36" i="4"/>
  <c r="L36" i="4"/>
  <c r="K36" i="4"/>
  <c r="I36" i="4"/>
  <c r="AD36" i="4" s="1"/>
  <c r="E36" i="4"/>
  <c r="AJ35" i="4"/>
  <c r="AH35" i="4"/>
  <c r="AI35" i="4" s="1"/>
  <c r="AC35" i="4"/>
  <c r="X35" i="4"/>
  <c r="Y35" i="4" s="1"/>
  <c r="W35" i="4"/>
  <c r="T35" i="4"/>
  <c r="S35" i="4"/>
  <c r="R35" i="4"/>
  <c r="O35" i="4"/>
  <c r="N35" i="4"/>
  <c r="L35" i="4"/>
  <c r="K35" i="4"/>
  <c r="I35" i="4"/>
  <c r="AD35" i="4" s="1"/>
  <c r="E35" i="4"/>
  <c r="AJ34" i="4"/>
  <c r="AH34" i="4"/>
  <c r="AI34" i="4" s="1"/>
  <c r="AC34" i="4"/>
  <c r="X34" i="4"/>
  <c r="Y34" i="4" s="1"/>
  <c r="W34" i="4"/>
  <c r="T34" i="4"/>
  <c r="S34" i="4"/>
  <c r="R34" i="4"/>
  <c r="O34" i="4"/>
  <c r="N34" i="4"/>
  <c r="L34" i="4"/>
  <c r="K34" i="4"/>
  <c r="I34" i="4"/>
  <c r="AD34" i="4" s="1"/>
  <c r="E34" i="4"/>
  <c r="AJ33" i="4"/>
  <c r="AH33" i="4"/>
  <c r="AI33" i="4" s="1"/>
  <c r="AC33" i="4"/>
  <c r="X33" i="4"/>
  <c r="Y33" i="4" s="1"/>
  <c r="Z33" i="4" s="1"/>
  <c r="W33" i="4"/>
  <c r="T33" i="4"/>
  <c r="S33" i="4"/>
  <c r="R33" i="4"/>
  <c r="O33" i="4"/>
  <c r="N33" i="4"/>
  <c r="L33" i="4"/>
  <c r="K33" i="4"/>
  <c r="I33" i="4"/>
  <c r="AD33" i="4" s="1"/>
  <c r="E33" i="4"/>
  <c r="AJ32" i="4"/>
  <c r="AI32" i="4"/>
  <c r="AH32" i="4"/>
  <c r="AC32" i="4"/>
  <c r="X32" i="4"/>
  <c r="Y32" i="4" s="1"/>
  <c r="W32" i="4"/>
  <c r="T32" i="4"/>
  <c r="S32" i="4"/>
  <c r="R32" i="4"/>
  <c r="O32" i="4"/>
  <c r="N32" i="4"/>
  <c r="L32" i="4"/>
  <c r="K32" i="4"/>
  <c r="I32" i="4"/>
  <c r="AD32" i="4" s="1"/>
  <c r="E32" i="4"/>
  <c r="AJ31" i="4"/>
  <c r="AH31" i="4"/>
  <c r="AI31" i="4" s="1"/>
  <c r="AC31" i="4"/>
  <c r="X31" i="4"/>
  <c r="Y31" i="4" s="1"/>
  <c r="W31" i="4"/>
  <c r="T31" i="4"/>
  <c r="S31" i="4"/>
  <c r="R31" i="4"/>
  <c r="O31" i="4"/>
  <c r="N31" i="4"/>
  <c r="L31" i="4"/>
  <c r="K31" i="4"/>
  <c r="I31" i="4"/>
  <c r="AD31" i="4" s="1"/>
  <c r="E31" i="4"/>
  <c r="AJ30" i="4"/>
  <c r="AH30" i="4"/>
  <c r="AI30" i="4" s="1"/>
  <c r="AC30" i="4"/>
  <c r="X30" i="4"/>
  <c r="Y30" i="4" s="1"/>
  <c r="W30" i="4"/>
  <c r="T30" i="4"/>
  <c r="S30" i="4"/>
  <c r="R30" i="4"/>
  <c r="O30" i="4"/>
  <c r="N30" i="4"/>
  <c r="L30" i="4"/>
  <c r="K30" i="4"/>
  <c r="I30" i="4"/>
  <c r="AD30" i="4" s="1"/>
  <c r="E30" i="4"/>
  <c r="AJ29" i="4"/>
  <c r="AH29" i="4"/>
  <c r="AI29" i="4" s="1"/>
  <c r="AC29" i="4"/>
  <c r="X29" i="4"/>
  <c r="Y29" i="4" s="1"/>
  <c r="W29" i="4"/>
  <c r="T29" i="4"/>
  <c r="S29" i="4"/>
  <c r="R29" i="4"/>
  <c r="O29" i="4"/>
  <c r="N29" i="4"/>
  <c r="L29" i="4"/>
  <c r="K29" i="4"/>
  <c r="I29" i="4"/>
  <c r="AD29" i="4" s="1"/>
  <c r="E29" i="4"/>
  <c r="AJ28" i="4"/>
  <c r="AH28" i="4"/>
  <c r="AI28" i="4" s="1"/>
  <c r="AC28" i="4"/>
  <c r="X28" i="4"/>
  <c r="Y28" i="4" s="1"/>
  <c r="Z28" i="4" s="1"/>
  <c r="W28" i="4"/>
  <c r="T28" i="4"/>
  <c r="S28" i="4"/>
  <c r="R28" i="4"/>
  <c r="O28" i="4"/>
  <c r="N28" i="4"/>
  <c r="L28" i="4"/>
  <c r="K28" i="4"/>
  <c r="I28" i="4"/>
  <c r="AD28" i="4" s="1"/>
  <c r="E28" i="4"/>
  <c r="AJ27" i="4"/>
  <c r="AH27" i="4"/>
  <c r="AI27" i="4" s="1"/>
  <c r="AC27" i="4"/>
  <c r="X27" i="4"/>
  <c r="Y27" i="4" s="1"/>
  <c r="W27" i="4"/>
  <c r="T27" i="4"/>
  <c r="S27" i="4"/>
  <c r="R27" i="4"/>
  <c r="O27" i="4"/>
  <c r="N27" i="4"/>
  <c r="L27" i="4"/>
  <c r="K27" i="4"/>
  <c r="I27" i="4"/>
  <c r="AD27" i="4" s="1"/>
  <c r="E27" i="4"/>
  <c r="AJ26" i="4"/>
  <c r="AH26" i="4"/>
  <c r="AI26" i="4" s="1"/>
  <c r="AC26" i="4"/>
  <c r="X26" i="4"/>
  <c r="Y26" i="4" s="1"/>
  <c r="W26" i="4"/>
  <c r="T26" i="4"/>
  <c r="S26" i="4"/>
  <c r="R26" i="4"/>
  <c r="O26" i="4"/>
  <c r="N26" i="4"/>
  <c r="L26" i="4"/>
  <c r="K26" i="4"/>
  <c r="I26" i="4"/>
  <c r="AD26" i="4" s="1"/>
  <c r="E26" i="4"/>
  <c r="AJ25" i="4"/>
  <c r="AH25" i="4"/>
  <c r="AI25" i="4" s="1"/>
  <c r="AC25" i="4"/>
  <c r="X25" i="4"/>
  <c r="Y25" i="4" s="1"/>
  <c r="W25" i="4"/>
  <c r="T25" i="4"/>
  <c r="S25" i="4"/>
  <c r="R25" i="4"/>
  <c r="O25" i="4"/>
  <c r="N25" i="4"/>
  <c r="L25" i="4"/>
  <c r="K25" i="4"/>
  <c r="I25" i="4"/>
  <c r="AD25" i="4" s="1"/>
  <c r="E25" i="4"/>
  <c r="AJ24" i="4"/>
  <c r="AH24" i="4"/>
  <c r="AI24" i="4" s="1"/>
  <c r="AC24" i="4"/>
  <c r="X24" i="4"/>
  <c r="Y24" i="4" s="1"/>
  <c r="W24" i="4"/>
  <c r="T24" i="4"/>
  <c r="S24" i="4"/>
  <c r="R24" i="4"/>
  <c r="O24" i="4"/>
  <c r="N24" i="4"/>
  <c r="L24" i="4"/>
  <c r="K24" i="4"/>
  <c r="I24" i="4"/>
  <c r="AD24" i="4" s="1"/>
  <c r="E24" i="4"/>
  <c r="AJ23" i="4"/>
  <c r="AH23" i="4"/>
  <c r="AI23" i="4" s="1"/>
  <c r="AC23" i="4"/>
  <c r="X23" i="4"/>
  <c r="Y23" i="4" s="1"/>
  <c r="W23" i="4"/>
  <c r="T23" i="4"/>
  <c r="S23" i="4"/>
  <c r="R23" i="4"/>
  <c r="O23" i="4"/>
  <c r="N23" i="4"/>
  <c r="L23" i="4"/>
  <c r="K23" i="4"/>
  <c r="I23" i="4"/>
  <c r="AD23" i="4" s="1"/>
  <c r="E23" i="4"/>
  <c r="AJ22" i="4"/>
  <c r="AH22" i="4"/>
  <c r="AI22" i="4" s="1"/>
  <c r="AC22" i="4"/>
  <c r="X22" i="4"/>
  <c r="Y22" i="4" s="1"/>
  <c r="W22" i="4"/>
  <c r="T22" i="4"/>
  <c r="S22" i="4"/>
  <c r="R22" i="4"/>
  <c r="O22" i="4"/>
  <c r="N22" i="4"/>
  <c r="L22" i="4"/>
  <c r="K22" i="4"/>
  <c r="I22" i="4"/>
  <c r="AD22" i="4" s="1"/>
  <c r="E22" i="4"/>
  <c r="AJ21" i="4"/>
  <c r="AH21" i="4"/>
  <c r="AI21" i="4" s="1"/>
  <c r="AC21" i="4"/>
  <c r="X21" i="4"/>
  <c r="Y21" i="4" s="1"/>
  <c r="W21" i="4"/>
  <c r="T21" i="4"/>
  <c r="S21" i="4"/>
  <c r="R21" i="4"/>
  <c r="O21" i="4"/>
  <c r="N21" i="4"/>
  <c r="L21" i="4"/>
  <c r="K21" i="4"/>
  <c r="I21" i="4"/>
  <c r="AD21" i="4" s="1"/>
  <c r="E21" i="4"/>
  <c r="AJ20" i="4"/>
  <c r="AH20" i="4"/>
  <c r="AI20" i="4" s="1"/>
  <c r="AC20" i="4"/>
  <c r="X20" i="4"/>
  <c r="Y20" i="4" s="1"/>
  <c r="Z20" i="4" s="1"/>
  <c r="W20" i="4"/>
  <c r="T20" i="4"/>
  <c r="S20" i="4"/>
  <c r="R20" i="4"/>
  <c r="O20" i="4"/>
  <c r="N20" i="4"/>
  <c r="L20" i="4"/>
  <c r="K20" i="4"/>
  <c r="I20" i="4"/>
  <c r="AD20" i="4" s="1"/>
  <c r="E20" i="4"/>
  <c r="AJ19" i="4"/>
  <c r="AH19" i="4"/>
  <c r="AI19" i="4" s="1"/>
  <c r="AC19" i="4"/>
  <c r="X19" i="4"/>
  <c r="Y19" i="4" s="1"/>
  <c r="W19" i="4"/>
  <c r="T19" i="4"/>
  <c r="S19" i="4"/>
  <c r="R19" i="4"/>
  <c r="O19" i="4"/>
  <c r="N19" i="4"/>
  <c r="L19" i="4"/>
  <c r="K19" i="4"/>
  <c r="I19" i="4"/>
  <c r="AD19" i="4" s="1"/>
  <c r="E19" i="4"/>
  <c r="AJ18" i="4"/>
  <c r="AH18" i="4"/>
  <c r="AI18" i="4" s="1"/>
  <c r="AC18" i="4"/>
  <c r="X18" i="4"/>
  <c r="Y18" i="4" s="1"/>
  <c r="W18" i="4"/>
  <c r="T18" i="4"/>
  <c r="S18" i="4"/>
  <c r="R18" i="4"/>
  <c r="O18" i="4"/>
  <c r="N18" i="4"/>
  <c r="L18" i="4"/>
  <c r="K18" i="4"/>
  <c r="I18" i="4"/>
  <c r="AD18" i="4" s="1"/>
  <c r="E18" i="4"/>
  <c r="AJ17" i="4"/>
  <c r="AH17" i="4"/>
  <c r="AI17" i="4" s="1"/>
  <c r="AC17" i="4"/>
  <c r="X17" i="4"/>
  <c r="Y17" i="4" s="1"/>
  <c r="W17" i="4"/>
  <c r="T17" i="4"/>
  <c r="S17" i="4"/>
  <c r="R17" i="4"/>
  <c r="O17" i="4"/>
  <c r="N17" i="4"/>
  <c r="L17" i="4"/>
  <c r="K17" i="4"/>
  <c r="I17" i="4"/>
  <c r="AD17" i="4" s="1"/>
  <c r="E17" i="4"/>
  <c r="AJ16" i="4"/>
  <c r="AH16" i="4"/>
  <c r="AI16" i="4" s="1"/>
  <c r="AC16" i="4"/>
  <c r="X16" i="4"/>
  <c r="Y16" i="4" s="1"/>
  <c r="W16" i="4"/>
  <c r="T16" i="4"/>
  <c r="S16" i="4"/>
  <c r="R16" i="4"/>
  <c r="O16" i="4"/>
  <c r="N16" i="4"/>
  <c r="L16" i="4"/>
  <c r="K16" i="4"/>
  <c r="I16" i="4"/>
  <c r="AD16" i="4" s="1"/>
  <c r="E16" i="4"/>
  <c r="AJ15" i="4"/>
  <c r="AH15" i="4"/>
  <c r="AI15" i="4" s="1"/>
  <c r="AC15" i="4"/>
  <c r="X15" i="4"/>
  <c r="Y15" i="4" s="1"/>
  <c r="W15" i="4"/>
  <c r="T15" i="4"/>
  <c r="S15" i="4"/>
  <c r="R15" i="4"/>
  <c r="O15" i="4"/>
  <c r="N15" i="4"/>
  <c r="L15" i="4"/>
  <c r="K15" i="4"/>
  <c r="I15" i="4"/>
  <c r="AD15" i="4" s="1"/>
  <c r="E15" i="4"/>
  <c r="AJ14" i="4"/>
  <c r="AH14" i="4"/>
  <c r="AI14" i="4" s="1"/>
  <c r="AC14" i="4"/>
  <c r="X14" i="4"/>
  <c r="Y14" i="4" s="1"/>
  <c r="W14" i="4"/>
  <c r="T14" i="4"/>
  <c r="S14" i="4"/>
  <c r="R14" i="4"/>
  <c r="O14" i="4"/>
  <c r="N14" i="4"/>
  <c r="L14" i="4"/>
  <c r="K14" i="4"/>
  <c r="I14" i="4"/>
  <c r="AD14" i="4" s="1"/>
  <c r="E14" i="4"/>
  <c r="AJ13" i="4"/>
  <c r="AI13" i="4"/>
  <c r="AH13" i="4"/>
  <c r="AC13" i="4"/>
  <c r="X13" i="4"/>
  <c r="Y13" i="4" s="1"/>
  <c r="W13" i="4"/>
  <c r="T13" i="4"/>
  <c r="S13" i="4"/>
  <c r="R13" i="4"/>
  <c r="O13" i="4"/>
  <c r="N13" i="4"/>
  <c r="L13" i="4"/>
  <c r="K13" i="4"/>
  <c r="I13" i="4"/>
  <c r="AD13" i="4" s="1"/>
  <c r="E13" i="4"/>
  <c r="AJ12" i="4"/>
  <c r="AH12" i="4"/>
  <c r="AI12" i="4" s="1"/>
  <c r="AC12" i="4"/>
  <c r="X12" i="4"/>
  <c r="Y12" i="4" s="1"/>
  <c r="W12" i="4"/>
  <c r="T12" i="4"/>
  <c r="S12" i="4"/>
  <c r="R12" i="4"/>
  <c r="O12" i="4"/>
  <c r="N12" i="4"/>
  <c r="L12" i="4"/>
  <c r="K12" i="4"/>
  <c r="I12" i="4"/>
  <c r="AD12" i="4" s="1"/>
  <c r="E12" i="4"/>
  <c r="AJ11" i="4"/>
  <c r="AH11" i="4"/>
  <c r="AI11" i="4" s="1"/>
  <c r="AC11" i="4"/>
  <c r="X11" i="4"/>
  <c r="Y11" i="4" s="1"/>
  <c r="W11" i="4"/>
  <c r="T11" i="4"/>
  <c r="S11" i="4"/>
  <c r="R11" i="4"/>
  <c r="O11" i="4"/>
  <c r="N11" i="4"/>
  <c r="L11" i="4"/>
  <c r="K11" i="4"/>
  <c r="I11" i="4"/>
  <c r="AD11" i="4" s="1"/>
  <c r="E11" i="4"/>
  <c r="AJ10" i="4"/>
  <c r="AH10" i="4"/>
  <c r="AI10" i="4" s="1"/>
  <c r="AC10" i="4"/>
  <c r="X10" i="4"/>
  <c r="Y10" i="4" s="1"/>
  <c r="W10" i="4"/>
  <c r="T10" i="4"/>
  <c r="S10" i="4"/>
  <c r="R10" i="4"/>
  <c r="O10" i="4"/>
  <c r="N10" i="4"/>
  <c r="L10" i="4"/>
  <c r="K10" i="4"/>
  <c r="I10" i="4"/>
  <c r="AD10" i="4" s="1"/>
  <c r="E10" i="4"/>
  <c r="AJ9" i="4"/>
  <c r="AH9" i="4"/>
  <c r="AI9" i="4" s="1"/>
  <c r="AC9" i="4"/>
  <c r="X9" i="4"/>
  <c r="Y9" i="4" s="1"/>
  <c r="Z9" i="4" s="1"/>
  <c r="W9" i="4"/>
  <c r="T9" i="4"/>
  <c r="S9" i="4"/>
  <c r="R9" i="4"/>
  <c r="O9" i="4"/>
  <c r="N9" i="4"/>
  <c r="L9" i="4"/>
  <c r="K9" i="4"/>
  <c r="I9" i="4"/>
  <c r="AD9" i="4" s="1"/>
  <c r="E9" i="4"/>
  <c r="AJ8" i="4"/>
  <c r="AI8" i="4"/>
  <c r="AH8" i="4"/>
  <c r="AC8" i="4"/>
  <c r="X8" i="4"/>
  <c r="Y8" i="4" s="1"/>
  <c r="W8" i="4"/>
  <c r="T8" i="4"/>
  <c r="S8" i="4"/>
  <c r="R8" i="4"/>
  <c r="O8" i="4"/>
  <c r="N8" i="4"/>
  <c r="L8" i="4"/>
  <c r="K8" i="4"/>
  <c r="I8" i="4"/>
  <c r="AD8" i="4" s="1"/>
  <c r="E8" i="4"/>
  <c r="AJ7" i="4"/>
  <c r="AH7" i="4"/>
  <c r="AI7" i="4" s="1"/>
  <c r="AC7" i="4"/>
  <c r="X7" i="4"/>
  <c r="Y7" i="4" s="1"/>
  <c r="W7" i="4"/>
  <c r="T7" i="4"/>
  <c r="S7" i="4"/>
  <c r="R7" i="4"/>
  <c r="O7" i="4"/>
  <c r="N7" i="4"/>
  <c r="L7" i="4"/>
  <c r="K7" i="4"/>
  <c r="I7" i="4"/>
  <c r="AD7" i="4" s="1"/>
  <c r="E7" i="4"/>
  <c r="AJ6" i="4"/>
  <c r="AH6" i="4"/>
  <c r="AI6" i="4" s="1"/>
  <c r="AC6" i="4"/>
  <c r="X6" i="4"/>
  <c r="Y6" i="4" s="1"/>
  <c r="W6" i="4"/>
  <c r="T6" i="4"/>
  <c r="S6" i="4"/>
  <c r="R6" i="4"/>
  <c r="O6" i="4"/>
  <c r="N6" i="4"/>
  <c r="L6" i="4"/>
  <c r="K6" i="4"/>
  <c r="I6" i="4"/>
  <c r="AD6" i="4" s="1"/>
  <c r="E6" i="4"/>
  <c r="AJ5" i="4"/>
  <c r="AH5" i="4"/>
  <c r="AI5" i="4" s="1"/>
  <c r="AC5" i="4"/>
  <c r="X5" i="4"/>
  <c r="Y5" i="4" s="1"/>
  <c r="W5" i="4"/>
  <c r="T5" i="4"/>
  <c r="S5" i="4"/>
  <c r="R5" i="4"/>
  <c r="O5" i="4"/>
  <c r="N5" i="4"/>
  <c r="L5" i="4"/>
  <c r="K5" i="4"/>
  <c r="I5" i="4"/>
  <c r="AD5" i="4" s="1"/>
  <c r="E5" i="4"/>
  <c r="AJ4" i="4"/>
  <c r="AH4" i="4"/>
  <c r="AI4" i="4" s="1"/>
  <c r="AC4" i="4"/>
  <c r="X4" i="4"/>
  <c r="Y4" i="4" s="1"/>
  <c r="Z4" i="4" s="1"/>
  <c r="W4" i="4"/>
  <c r="T4" i="4"/>
  <c r="S4" i="4"/>
  <c r="R4" i="4"/>
  <c r="O4" i="4"/>
  <c r="N4" i="4"/>
  <c r="L4" i="4"/>
  <c r="K4" i="4"/>
  <c r="I4" i="4"/>
  <c r="AD4" i="4" s="1"/>
  <c r="E4" i="4"/>
  <c r="AJ3" i="4"/>
  <c r="AH3" i="4"/>
  <c r="AI3" i="4" s="1"/>
  <c r="AC3" i="4"/>
  <c r="X3" i="4"/>
  <c r="Y3" i="4" s="1"/>
  <c r="W3" i="4"/>
  <c r="T3" i="4"/>
  <c r="S3" i="4"/>
  <c r="R3" i="4"/>
  <c r="O3" i="4"/>
  <c r="N3" i="4"/>
  <c r="L3" i="4"/>
  <c r="K3" i="4"/>
  <c r="I3" i="4"/>
  <c r="AD3" i="4" s="1"/>
  <c r="E3" i="4"/>
  <c r="AJ2" i="4"/>
  <c r="AH2" i="4"/>
  <c r="AI2" i="4" s="1"/>
  <c r="AC2" i="4"/>
  <c r="X2" i="4"/>
  <c r="Y2" i="4" s="1"/>
  <c r="W2" i="4"/>
  <c r="T2" i="4"/>
  <c r="S2" i="4"/>
  <c r="R2" i="4"/>
  <c r="O2" i="4"/>
  <c r="N2" i="4"/>
  <c r="L2" i="4"/>
  <c r="K2" i="4"/>
  <c r="I2" i="4"/>
  <c r="AD2" i="4" s="1"/>
  <c r="E2" i="4"/>
  <c r="B29" i="3"/>
  <c r="B28" i="3"/>
  <c r="B27" i="3"/>
  <c r="B26" i="3"/>
  <c r="B25" i="3"/>
  <c r="B18" i="3"/>
  <c r="B17" i="3"/>
  <c r="B16" i="3"/>
  <c r="B15" i="3"/>
  <c r="B14" i="3"/>
  <c r="B13" i="3"/>
  <c r="B10" i="3"/>
  <c r="B9" i="3"/>
  <c r="B8" i="3"/>
  <c r="B7" i="3"/>
  <c r="B6" i="3"/>
  <c r="B31" i="3" s="1"/>
  <c r="D21" i="2"/>
  <c r="B21" i="2"/>
  <c r="D20" i="2"/>
  <c r="D19" i="2"/>
  <c r="B19" i="2"/>
  <c r="D18" i="2"/>
  <c r="C18" i="2"/>
  <c r="G14" i="2"/>
  <c r="E14" i="2"/>
  <c r="C14" i="2"/>
  <c r="G4" i="2"/>
  <c r="D4" i="2"/>
  <c r="AD112" i="4" l="1"/>
  <c r="J112" i="4"/>
  <c r="AD395" i="4"/>
  <c r="J395" i="4"/>
  <c r="AK414" i="4"/>
  <c r="AL414" i="4" s="1"/>
  <c r="Q414" i="4"/>
  <c r="AK452" i="4"/>
  <c r="AL452" i="4" s="1"/>
  <c r="Q452" i="4"/>
  <c r="AD471" i="4"/>
  <c r="J471" i="4"/>
  <c r="V10" i="4"/>
  <c r="Z36" i="4"/>
  <c r="J54" i="4"/>
  <c r="J55" i="4"/>
  <c r="AD414" i="4"/>
  <c r="J414" i="4"/>
  <c r="AD418" i="4"/>
  <c r="J418" i="4"/>
  <c r="AD452" i="4"/>
  <c r="J452" i="4"/>
  <c r="AK483" i="4"/>
  <c r="AL483" i="4" s="1"/>
  <c r="Q483" i="4"/>
  <c r="AD424" i="4"/>
  <c r="J424" i="4"/>
  <c r="AK463" i="4"/>
  <c r="AL463" i="4" s="1"/>
  <c r="Q463" i="4"/>
  <c r="Z11" i="4"/>
  <c r="Z15" i="4"/>
  <c r="AD111" i="4"/>
  <c r="J111" i="4"/>
  <c r="AD113" i="4"/>
  <c r="J113" i="4"/>
  <c r="AD416" i="4"/>
  <c r="J416" i="4"/>
  <c r="J474" i="4"/>
  <c r="AD474" i="4"/>
  <c r="AD483" i="4"/>
  <c r="J483" i="4"/>
  <c r="AK485" i="4"/>
  <c r="AL485" i="4" s="1"/>
  <c r="Q485" i="4"/>
  <c r="AD110" i="4"/>
  <c r="J110" i="4"/>
  <c r="V43" i="4"/>
  <c r="P43" i="4"/>
  <c r="Z58" i="4"/>
  <c r="Z64" i="4"/>
  <c r="Z66" i="4"/>
  <c r="Z74" i="4"/>
  <c r="AD400" i="4"/>
  <c r="J400" i="4"/>
  <c r="AD426" i="4"/>
  <c r="J426" i="4"/>
  <c r="AK466" i="4"/>
  <c r="AL466" i="4" s="1"/>
  <c r="Q466" i="4"/>
  <c r="AK471" i="4"/>
  <c r="AL471" i="4" s="1"/>
  <c r="Q471" i="4"/>
  <c r="AK480" i="4"/>
  <c r="AL480" i="4" s="1"/>
  <c r="Q480" i="4"/>
  <c r="AD485" i="4"/>
  <c r="J485" i="4"/>
  <c r="Z209" i="4"/>
  <c r="Z312" i="4"/>
  <c r="Z316" i="4"/>
  <c r="AK433" i="4"/>
  <c r="AL433" i="4" s="1"/>
  <c r="Z491" i="4"/>
  <c r="Z101" i="4"/>
  <c r="Z173" i="4"/>
  <c r="Z193" i="4"/>
  <c r="Z213" i="4"/>
  <c r="Z261" i="4"/>
  <c r="V55" i="4"/>
  <c r="Z7" i="4"/>
  <c r="Z12" i="4"/>
  <c r="Z19" i="4"/>
  <c r="Z23" i="4"/>
  <c r="Z31" i="4"/>
  <c r="Z44" i="4"/>
  <c r="Z47" i="4"/>
  <c r="Z49" i="4"/>
  <c r="Z51" i="4"/>
  <c r="Z69" i="4"/>
  <c r="J78" i="4"/>
  <c r="J79" i="4"/>
  <c r="J80" i="4"/>
  <c r="J81" i="4"/>
  <c r="J86" i="4"/>
  <c r="Z86" i="4"/>
  <c r="J87" i="4"/>
  <c r="Z87" i="4"/>
  <c r="J88" i="4"/>
  <c r="Z88" i="4"/>
  <c r="J89" i="4"/>
  <c r="Z89" i="4"/>
  <c r="Z91" i="4"/>
  <c r="J94" i="4"/>
  <c r="Z94" i="4"/>
  <c r="J95" i="4"/>
  <c r="Z95" i="4"/>
  <c r="Z106" i="4"/>
  <c r="Z109" i="4"/>
  <c r="Z133" i="4"/>
  <c r="J134" i="4"/>
  <c r="Z145" i="4"/>
  <c r="Z177" i="4"/>
  <c r="Z197" i="4"/>
  <c r="J404" i="4"/>
  <c r="Q405" i="4"/>
  <c r="J406" i="4"/>
  <c r="Q407" i="4"/>
  <c r="J412" i="4"/>
  <c r="J428" i="4"/>
  <c r="J432" i="4"/>
  <c r="J437" i="4"/>
  <c r="Q450" i="4"/>
  <c r="Q455" i="4"/>
  <c r="Q458" i="4"/>
  <c r="J468" i="4"/>
  <c r="J477" i="4"/>
  <c r="Z479" i="4"/>
  <c r="V42" i="4"/>
  <c r="V260" i="4"/>
  <c r="Z25" i="4"/>
  <c r="Z35" i="4"/>
  <c r="J64" i="4"/>
  <c r="V64" i="4"/>
  <c r="J66" i="4"/>
  <c r="AD97" i="4"/>
  <c r="J97" i="4"/>
  <c r="J135" i="4"/>
  <c r="Z3" i="4"/>
  <c r="V34" i="4"/>
  <c r="Z53" i="4"/>
  <c r="J62" i="4"/>
  <c r="J63" i="4"/>
  <c r="J65" i="4"/>
  <c r="J67" i="4"/>
  <c r="Z85" i="4"/>
  <c r="Z17" i="4"/>
  <c r="V26" i="4"/>
  <c r="Z27" i="4"/>
  <c r="AD71" i="4"/>
  <c r="J71" i="4"/>
  <c r="AD73" i="4"/>
  <c r="J73" i="4"/>
  <c r="Z165" i="4"/>
  <c r="Q3" i="4"/>
  <c r="V18" i="4"/>
  <c r="V47" i="4"/>
  <c r="V49" i="4"/>
  <c r="AD51" i="4"/>
  <c r="J51" i="4"/>
  <c r="Z78" i="4"/>
  <c r="Z79" i="4"/>
  <c r="Z80" i="4"/>
  <c r="Z81" i="4"/>
  <c r="AD96" i="4"/>
  <c r="J96" i="4"/>
  <c r="Z98" i="4"/>
  <c r="Z110" i="4"/>
  <c r="Z111" i="4"/>
  <c r="Z112" i="4"/>
  <c r="Z113" i="4"/>
  <c r="Z115" i="4"/>
  <c r="J118" i="4"/>
  <c r="J119" i="4"/>
  <c r="AD70" i="4"/>
  <c r="J70" i="4"/>
  <c r="AD72" i="4"/>
  <c r="J72" i="4"/>
  <c r="Z390" i="4"/>
  <c r="AD408" i="4"/>
  <c r="AD420" i="4"/>
  <c r="AK447" i="4"/>
  <c r="AL447" i="4" s="1"/>
  <c r="AD472" i="4"/>
  <c r="AD486" i="4"/>
  <c r="Z277" i="4"/>
  <c r="J394" i="4"/>
  <c r="J398" i="4"/>
  <c r="J402" i="4"/>
  <c r="J409" i="4"/>
  <c r="J411" i="4"/>
  <c r="J421" i="4"/>
  <c r="AD422" i="4"/>
  <c r="AK430" i="4"/>
  <c r="AL430" i="4" s="1"/>
  <c r="AK439" i="4"/>
  <c r="AL439" i="4" s="1"/>
  <c r="J442" i="4"/>
  <c r="J444" i="4"/>
  <c r="J447" i="4"/>
  <c r="J453" i="4"/>
  <c r="AD463" i="4"/>
  <c r="Z466" i="4"/>
  <c r="AD466" i="4"/>
  <c r="AK467" i="4"/>
  <c r="AL467" i="4" s="1"/>
  <c r="J487" i="4"/>
  <c r="J489" i="4"/>
  <c r="Z153" i="4"/>
  <c r="Z169" i="4"/>
  <c r="Z185" i="4"/>
  <c r="Z201" i="4"/>
  <c r="Z217" i="4"/>
  <c r="Z257" i="4"/>
  <c r="Z265" i="4"/>
  <c r="Z273" i="4"/>
  <c r="Z289" i="4"/>
  <c r="Z320" i="4"/>
  <c r="Z321" i="4"/>
  <c r="Z328" i="4"/>
  <c r="Z333" i="4"/>
  <c r="J342" i="4"/>
  <c r="J343" i="4"/>
  <c r="J344" i="4"/>
  <c r="J345" i="4"/>
  <c r="J393" i="4"/>
  <c r="J397" i="4"/>
  <c r="J401" i="4"/>
  <c r="Q409" i="4"/>
  <c r="J410" i="4"/>
  <c r="Q421" i="4"/>
  <c r="J423" i="4"/>
  <c r="J430" i="4"/>
  <c r="J434" i="4"/>
  <c r="J436" i="4"/>
  <c r="J439" i="4"/>
  <c r="Q442" i="4"/>
  <c r="Q444" i="4"/>
  <c r="J445" i="4"/>
  <c r="Q453" i="4"/>
  <c r="J456" i="4"/>
  <c r="J464" i="4"/>
  <c r="J467" i="4"/>
  <c r="Q487" i="4"/>
  <c r="J488" i="4"/>
  <c r="Q489" i="4"/>
  <c r="Z117" i="4"/>
  <c r="V17" i="4"/>
  <c r="V23" i="4"/>
  <c r="V31" i="4"/>
  <c r="V39" i="4"/>
  <c r="E32" i="8"/>
  <c r="V48" i="4"/>
  <c r="Z50" i="4"/>
  <c r="Z70" i="4"/>
  <c r="Z71" i="4"/>
  <c r="Z72" i="4"/>
  <c r="Z73" i="4"/>
  <c r="Z90" i="4"/>
  <c r="Z93" i="4"/>
  <c r="J102" i="4"/>
  <c r="Z102" i="4"/>
  <c r="J103" i="4"/>
  <c r="Z103" i="4"/>
  <c r="J104" i="4"/>
  <c r="Z104" i="4"/>
  <c r="J105" i="4"/>
  <c r="Z105" i="4"/>
  <c r="Z120" i="4"/>
  <c r="Z122" i="4"/>
  <c r="J126" i="4"/>
  <c r="J127" i="4"/>
  <c r="Z129" i="4"/>
  <c r="Z136" i="4"/>
  <c r="Z138" i="4"/>
  <c r="Z141" i="4"/>
  <c r="Z157" i="4"/>
  <c r="Z300" i="4"/>
  <c r="Z332" i="4"/>
  <c r="Q423" i="4"/>
  <c r="AD431" i="4"/>
  <c r="Q434" i="4"/>
  <c r="Q436" i="4"/>
  <c r="Q445" i="4"/>
  <c r="Q448" i="4"/>
  <c r="Q456" i="4"/>
  <c r="Q464" i="4"/>
  <c r="Q470" i="4"/>
  <c r="Z470" i="4"/>
  <c r="Q474" i="4"/>
  <c r="Z474" i="4"/>
  <c r="Q478" i="4"/>
  <c r="Z478" i="4"/>
  <c r="O6" i="13"/>
  <c r="B22" i="8"/>
  <c r="Q4" i="4"/>
  <c r="V14" i="4"/>
  <c r="V16" i="4"/>
  <c r="P16" i="4"/>
  <c r="P17" i="4"/>
  <c r="Q19" i="4"/>
  <c r="Q20" i="4"/>
  <c r="P30" i="4"/>
  <c r="V32" i="4"/>
  <c r="P32" i="4"/>
  <c r="P33" i="4"/>
  <c r="V46" i="4"/>
  <c r="AD74" i="4"/>
  <c r="J74" i="4"/>
  <c r="V78" i="4"/>
  <c r="V79" i="4"/>
  <c r="V80" i="4"/>
  <c r="V81" i="4"/>
  <c r="AD83" i="4"/>
  <c r="J83" i="4"/>
  <c r="AD90" i="4"/>
  <c r="J90" i="4"/>
  <c r="V94" i="4"/>
  <c r="V95" i="4"/>
  <c r="B21" i="3"/>
  <c r="P2" i="4"/>
  <c r="V2" i="4"/>
  <c r="V4" i="4"/>
  <c r="P4" i="4"/>
  <c r="P5" i="4"/>
  <c r="V5" i="4"/>
  <c r="V292" i="4"/>
  <c r="B20" i="8"/>
  <c r="E34" i="8"/>
  <c r="Q8" i="4"/>
  <c r="Q13" i="4"/>
  <c r="Z13" i="4"/>
  <c r="P15" i="4"/>
  <c r="V15" i="4"/>
  <c r="Z16" i="4"/>
  <c r="P18" i="4"/>
  <c r="V20" i="4"/>
  <c r="P20" i="4"/>
  <c r="P21" i="4"/>
  <c r="V21" i="4"/>
  <c r="Q23" i="4"/>
  <c r="Q24" i="4"/>
  <c r="Q29" i="4"/>
  <c r="Z29" i="4"/>
  <c r="P31" i="4"/>
  <c r="Z32" i="4"/>
  <c r="P34" i="4"/>
  <c r="V36" i="4"/>
  <c r="P36" i="4"/>
  <c r="P37" i="4"/>
  <c r="V37" i="4"/>
  <c r="Q39" i="4"/>
  <c r="Q40" i="4"/>
  <c r="Q45" i="4"/>
  <c r="Z45" i="4"/>
  <c r="P47" i="4"/>
  <c r="AD52" i="4"/>
  <c r="J52" i="4"/>
  <c r="J56" i="4"/>
  <c r="V56" i="4"/>
  <c r="Z56" i="4"/>
  <c r="J57" i="4"/>
  <c r="P49" i="4"/>
  <c r="Z57" i="4"/>
  <c r="J58" i="4"/>
  <c r="V58" i="4"/>
  <c r="J59" i="4"/>
  <c r="V59" i="4"/>
  <c r="AD117" i="4"/>
  <c r="J117" i="4"/>
  <c r="V118" i="4"/>
  <c r="V119" i="4"/>
  <c r="AD121" i="4"/>
  <c r="J121" i="4"/>
  <c r="AD123" i="4"/>
  <c r="J123" i="4"/>
  <c r="Q9" i="4"/>
  <c r="P11" i="4"/>
  <c r="V11" i="4"/>
  <c r="P14" i="4"/>
  <c r="Q25" i="4"/>
  <c r="P27" i="4"/>
  <c r="V27" i="4"/>
  <c r="V30" i="4"/>
  <c r="V33" i="4"/>
  <c r="Q35" i="4"/>
  <c r="Q36" i="4"/>
  <c r="P46" i="4"/>
  <c r="V54" i="4"/>
  <c r="V65" i="4"/>
  <c r="V111" i="4"/>
  <c r="V112" i="4"/>
  <c r="V113" i="4"/>
  <c r="AD115" i="4"/>
  <c r="J115" i="4"/>
  <c r="P6" i="4"/>
  <c r="V6" i="4"/>
  <c r="V296" i="4"/>
  <c r="B21" i="8"/>
  <c r="V8" i="4"/>
  <c r="P8" i="4"/>
  <c r="P9" i="4"/>
  <c r="V9" i="4"/>
  <c r="Q12" i="4"/>
  <c r="Q17" i="4"/>
  <c r="P22" i="4"/>
  <c r="P25" i="4"/>
  <c r="V25" i="4"/>
  <c r="Q27" i="4"/>
  <c r="Q28" i="4"/>
  <c r="Q33" i="4"/>
  <c r="P35" i="4"/>
  <c r="V35" i="4"/>
  <c r="P38" i="4"/>
  <c r="V38" i="4"/>
  <c r="V40" i="4"/>
  <c r="P40" i="4"/>
  <c r="P41" i="4"/>
  <c r="V41" i="4"/>
  <c r="Q43" i="4"/>
  <c r="Q44" i="4"/>
  <c r="Q49" i="4"/>
  <c r="V51" i="4"/>
  <c r="AD61" i="4"/>
  <c r="J61" i="4"/>
  <c r="V70" i="4"/>
  <c r="V71" i="4"/>
  <c r="V72" i="4"/>
  <c r="V73" i="4"/>
  <c r="AD75" i="4"/>
  <c r="J75" i="4"/>
  <c r="AD82" i="4"/>
  <c r="J82" i="4"/>
  <c r="V86" i="4"/>
  <c r="V87" i="4"/>
  <c r="V88" i="4"/>
  <c r="V89" i="4"/>
  <c r="AD91" i="4"/>
  <c r="J91" i="4"/>
  <c r="AD98" i="4"/>
  <c r="J98" i="4"/>
  <c r="V102" i="4"/>
  <c r="V103" i="4"/>
  <c r="V104" i="4"/>
  <c r="V105" i="4"/>
  <c r="AD107" i="4"/>
  <c r="J107" i="4"/>
  <c r="AD114" i="4"/>
  <c r="J114" i="4"/>
  <c r="AD60" i="4"/>
  <c r="J60" i="4"/>
  <c r="V66" i="4"/>
  <c r="V96" i="4"/>
  <c r="V97" i="4"/>
  <c r="AD99" i="4"/>
  <c r="J99" i="4"/>
  <c r="AD106" i="4"/>
  <c r="J106" i="4"/>
  <c r="V110" i="4"/>
  <c r="AD124" i="4"/>
  <c r="J124" i="4"/>
  <c r="P3" i="4"/>
  <c r="V3" i="4"/>
  <c r="Q11" i="4"/>
  <c r="P19" i="4"/>
  <c r="V19" i="4"/>
  <c r="V22" i="4"/>
  <c r="V24" i="4"/>
  <c r="P24" i="4"/>
  <c r="Q5" i="4"/>
  <c r="Z5" i="4"/>
  <c r="P7" i="4"/>
  <c r="V7" i="4"/>
  <c r="Z8" i="4"/>
  <c r="P10" i="4"/>
  <c r="V12" i="4"/>
  <c r="P12" i="4"/>
  <c r="P13" i="4"/>
  <c r="V13" i="4"/>
  <c r="Q15" i="4"/>
  <c r="Q16" i="4"/>
  <c r="Q21" i="4"/>
  <c r="Z21" i="4"/>
  <c r="P23" i="4"/>
  <c r="Z24" i="4"/>
  <c r="P26" i="4"/>
  <c r="V28" i="4"/>
  <c r="P28" i="4"/>
  <c r="P29" i="4"/>
  <c r="V29" i="4"/>
  <c r="Q31" i="4"/>
  <c r="Q32" i="4"/>
  <c r="Q37" i="4"/>
  <c r="Z37" i="4"/>
  <c r="P39" i="4"/>
  <c r="Z40" i="4"/>
  <c r="P42" i="4"/>
  <c r="V44" i="4"/>
  <c r="P44" i="4"/>
  <c r="P45" i="4"/>
  <c r="V45" i="4"/>
  <c r="Q47" i="4"/>
  <c r="Q48" i="4"/>
  <c r="AD53" i="4"/>
  <c r="J53" i="4"/>
  <c r="V62" i="4"/>
  <c r="Z62" i="4"/>
  <c r="V63" i="4"/>
  <c r="AD120" i="4"/>
  <c r="J120" i="4"/>
  <c r="AD122" i="4"/>
  <c r="J122" i="4"/>
  <c r="V126" i="4"/>
  <c r="Z126" i="4"/>
  <c r="V127" i="4"/>
  <c r="Z127" i="4"/>
  <c r="J128" i="4"/>
  <c r="V128" i="4"/>
  <c r="J129" i="4"/>
  <c r="V129" i="4"/>
  <c r="AD131" i="4"/>
  <c r="J131" i="4"/>
  <c r="AD138" i="4"/>
  <c r="J138" i="4"/>
  <c r="Z144" i="4"/>
  <c r="V74" i="4"/>
  <c r="V83" i="4"/>
  <c r="V90" i="4"/>
  <c r="V98" i="4"/>
  <c r="V107" i="4"/>
  <c r="V115" i="4"/>
  <c r="V120" i="4"/>
  <c r="V67" i="4"/>
  <c r="V75" i="4"/>
  <c r="V82" i="4"/>
  <c r="V91" i="4"/>
  <c r="V99" i="4"/>
  <c r="V106" i="4"/>
  <c r="V114" i="4"/>
  <c r="AD116" i="4"/>
  <c r="J116" i="4"/>
  <c r="V121" i="4"/>
  <c r="V122" i="4"/>
  <c r="V123" i="4"/>
  <c r="AF123" i="4" s="1"/>
  <c r="Z2" i="4"/>
  <c r="E33" i="8"/>
  <c r="Z6" i="4"/>
  <c r="Q10" i="4"/>
  <c r="Z10" i="4"/>
  <c r="Q14" i="4"/>
  <c r="Z14" i="4"/>
  <c r="Q18" i="4"/>
  <c r="Z18" i="4"/>
  <c r="Q22" i="4"/>
  <c r="Z22" i="4"/>
  <c r="Q26" i="4"/>
  <c r="Z26" i="4"/>
  <c r="Q30" i="4"/>
  <c r="Z30" i="4"/>
  <c r="Q34" i="4"/>
  <c r="Z34" i="4"/>
  <c r="Q38" i="4"/>
  <c r="Z38" i="4"/>
  <c r="B19" i="8"/>
  <c r="Q42" i="4"/>
  <c r="Z42" i="4"/>
  <c r="Q46" i="4"/>
  <c r="Z46" i="4"/>
  <c r="V52" i="4"/>
  <c r="Z52" i="4"/>
  <c r="P195" i="4"/>
  <c r="V60" i="4"/>
  <c r="Z60" i="4"/>
  <c r="V61" i="4"/>
  <c r="J68" i="4"/>
  <c r="V68" i="4"/>
  <c r="Z68" i="4"/>
  <c r="J69" i="4"/>
  <c r="V69" i="4"/>
  <c r="J76" i="4"/>
  <c r="V76" i="4"/>
  <c r="Z76" i="4"/>
  <c r="J77" i="4"/>
  <c r="V77" i="4"/>
  <c r="J84" i="4"/>
  <c r="V84" i="4"/>
  <c r="Z84" i="4"/>
  <c r="J85" i="4"/>
  <c r="V85" i="4"/>
  <c r="J92" i="4"/>
  <c r="V92" i="4"/>
  <c r="Z92" i="4"/>
  <c r="J93" i="4"/>
  <c r="V93" i="4"/>
  <c r="J100" i="4"/>
  <c r="V100" i="4"/>
  <c r="Z100" i="4"/>
  <c r="J101" i="4"/>
  <c r="V101" i="4"/>
  <c r="J108" i="4"/>
  <c r="V108" i="4"/>
  <c r="Z108" i="4"/>
  <c r="J109" i="4"/>
  <c r="V109" i="4"/>
  <c r="AD125" i="4"/>
  <c r="J125" i="4"/>
  <c r="AD130" i="4"/>
  <c r="J130" i="4"/>
  <c r="V134" i="4"/>
  <c r="Z134" i="4"/>
  <c r="V135" i="4"/>
  <c r="Z135" i="4"/>
  <c r="J136" i="4"/>
  <c r="V136" i="4"/>
  <c r="J137" i="4"/>
  <c r="V137" i="4"/>
  <c r="Z140" i="4"/>
  <c r="Z148" i="4"/>
  <c r="Z152" i="4"/>
  <c r="Z156" i="4"/>
  <c r="Z160" i="4"/>
  <c r="Z164" i="4"/>
  <c r="Z168" i="4"/>
  <c r="Z172" i="4"/>
  <c r="Z176" i="4"/>
  <c r="Z180" i="4"/>
  <c r="Z184" i="4"/>
  <c r="Z188" i="4"/>
  <c r="Z192" i="4"/>
  <c r="Z196" i="4"/>
  <c r="Z200" i="4"/>
  <c r="Z204" i="4"/>
  <c r="Z208" i="4"/>
  <c r="Z212" i="4"/>
  <c r="Z216" i="4"/>
  <c r="Z220" i="4"/>
  <c r="Z224" i="4"/>
  <c r="Z228" i="4"/>
  <c r="Z285" i="4"/>
  <c r="Z301" i="4"/>
  <c r="Z317" i="4"/>
  <c r="V130" i="4"/>
  <c r="V131" i="4"/>
  <c r="V138" i="4"/>
  <c r="Z139" i="4"/>
  <c r="Z143" i="4"/>
  <c r="Z147" i="4"/>
  <c r="Z151" i="4"/>
  <c r="Z155" i="4"/>
  <c r="Z159" i="4"/>
  <c r="Z163" i="4"/>
  <c r="Z167" i="4"/>
  <c r="Z171" i="4"/>
  <c r="Z175" i="4"/>
  <c r="Z179" i="4"/>
  <c r="Z183" i="4"/>
  <c r="Z187" i="4"/>
  <c r="Z191" i="4"/>
  <c r="Z195" i="4"/>
  <c r="Z199" i="4"/>
  <c r="Z203" i="4"/>
  <c r="Z207" i="4"/>
  <c r="Z211" i="4"/>
  <c r="Z215" i="4"/>
  <c r="Z219" i="4"/>
  <c r="Z255" i="4"/>
  <c r="Z259" i="4"/>
  <c r="Z263" i="4"/>
  <c r="Z267" i="4"/>
  <c r="Z281" i="4"/>
  <c r="Z297" i="4"/>
  <c r="Z313" i="4"/>
  <c r="Z329" i="4"/>
  <c r="V116" i="4"/>
  <c r="Z116" i="4"/>
  <c r="V117" i="4"/>
  <c r="V124" i="4"/>
  <c r="Z124" i="4"/>
  <c r="V125" i="4"/>
  <c r="J132" i="4"/>
  <c r="V132" i="4"/>
  <c r="Z132" i="4"/>
  <c r="J133" i="4"/>
  <c r="V133" i="4"/>
  <c r="Z142" i="4"/>
  <c r="Z146" i="4"/>
  <c r="Z150" i="4"/>
  <c r="Z154" i="4"/>
  <c r="Z158" i="4"/>
  <c r="Z162" i="4"/>
  <c r="Z166" i="4"/>
  <c r="Z170" i="4"/>
  <c r="Z174" i="4"/>
  <c r="Z178" i="4"/>
  <c r="Z182" i="4"/>
  <c r="Z186" i="4"/>
  <c r="Z190" i="4"/>
  <c r="Z194" i="4"/>
  <c r="Z198" i="4"/>
  <c r="Z202" i="4"/>
  <c r="Z206" i="4"/>
  <c r="Z210" i="4"/>
  <c r="Z214" i="4"/>
  <c r="Z218" i="4"/>
  <c r="Z222" i="4"/>
  <c r="Z226" i="4"/>
  <c r="Z230" i="4"/>
  <c r="Z293" i="4"/>
  <c r="Z308" i="4"/>
  <c r="Z309" i="4"/>
  <c r="Z324" i="4"/>
  <c r="Z325" i="4"/>
  <c r="Z340" i="4"/>
  <c r="Z271" i="4"/>
  <c r="Z275" i="4"/>
  <c r="Z279" i="4"/>
  <c r="Z283" i="4"/>
  <c r="Z287" i="4"/>
  <c r="Z291" i="4"/>
  <c r="Z295" i="4"/>
  <c r="Z298" i="4"/>
  <c r="Z299" i="4"/>
  <c r="Z302" i="4"/>
  <c r="Z303" i="4"/>
  <c r="Z306" i="4"/>
  <c r="Z307" i="4"/>
  <c r="Z310" i="4"/>
  <c r="Z311" i="4"/>
  <c r="Z314" i="4"/>
  <c r="Z315" i="4"/>
  <c r="Z318" i="4"/>
  <c r="Z319" i="4"/>
  <c r="Z322" i="4"/>
  <c r="Z323" i="4"/>
  <c r="Z326" i="4"/>
  <c r="Z327" i="4"/>
  <c r="Z330" i="4"/>
  <c r="Z331" i="4"/>
  <c r="Z334" i="4"/>
  <c r="Z335" i="4"/>
  <c r="Z338" i="4"/>
  <c r="Z339" i="4"/>
  <c r="Q396" i="4"/>
  <c r="J458" i="4"/>
  <c r="J461" i="4"/>
  <c r="Q472" i="4"/>
  <c r="J476" i="4"/>
  <c r="Q477" i="4"/>
  <c r="Q479" i="4"/>
  <c r="Q481" i="4"/>
  <c r="AK482" i="4"/>
  <c r="AL482" i="4" s="1"/>
  <c r="Z483" i="4"/>
  <c r="AK484" i="4"/>
  <c r="AL484" i="4" s="1"/>
  <c r="AK486" i="4"/>
  <c r="AL486" i="4" s="1"/>
  <c r="Z487" i="4"/>
  <c r="AK488" i="4"/>
  <c r="AL488" i="4" s="1"/>
  <c r="AK490" i="4"/>
  <c r="AL490" i="4" s="1"/>
  <c r="AK492" i="4"/>
  <c r="AL492" i="4" s="1"/>
  <c r="D33" i="8"/>
  <c r="E10" i="5" s="1"/>
  <c r="G8" i="2" s="1"/>
  <c r="Z341" i="4"/>
  <c r="Z342" i="4"/>
  <c r="Z343" i="4"/>
  <c r="Z345" i="4"/>
  <c r="J346" i="4"/>
  <c r="Z346" i="4"/>
  <c r="J347" i="4"/>
  <c r="Z347" i="4"/>
  <c r="J348" i="4"/>
  <c r="J349" i="4"/>
  <c r="Z349" i="4"/>
  <c r="J350" i="4"/>
  <c r="Z350" i="4"/>
  <c r="Q395" i="4"/>
  <c r="AK404" i="4"/>
  <c r="AL404" i="4" s="1"/>
  <c r="AK406" i="4"/>
  <c r="AL406" i="4" s="1"/>
  <c r="AK408" i="4"/>
  <c r="AL408" i="4" s="1"/>
  <c r="AK413" i="4"/>
  <c r="AL413" i="4" s="1"/>
  <c r="AK415" i="4"/>
  <c r="AL415" i="4" s="1"/>
  <c r="AK418" i="4"/>
  <c r="AL418" i="4" s="1"/>
  <c r="AK420" i="4"/>
  <c r="AL420" i="4" s="1"/>
  <c r="AK422" i="4"/>
  <c r="AL422" i="4" s="1"/>
  <c r="AK424" i="4"/>
  <c r="AL424" i="4" s="1"/>
  <c r="AK427" i="4"/>
  <c r="AL427" i="4" s="1"/>
  <c r="AK429" i="4"/>
  <c r="AL429" i="4" s="1"/>
  <c r="AK438" i="4"/>
  <c r="AL438" i="4" s="1"/>
  <c r="AK441" i="4"/>
  <c r="AL441" i="4" s="1"/>
  <c r="AK446" i="4"/>
  <c r="AL446" i="4" s="1"/>
  <c r="AK449" i="4"/>
  <c r="AL449" i="4" s="1"/>
  <c r="AK454" i="4"/>
  <c r="AL454" i="4" s="1"/>
  <c r="AK457" i="4"/>
  <c r="AL457" i="4" s="1"/>
  <c r="AK462" i="4"/>
  <c r="AL462" i="4" s="1"/>
  <c r="AK465" i="4"/>
  <c r="AL465" i="4" s="1"/>
  <c r="AK469" i="4"/>
  <c r="AL469" i="4" s="1"/>
  <c r="AK473" i="4"/>
  <c r="AL473" i="4" s="1"/>
  <c r="J478" i="4"/>
  <c r="J480" i="4"/>
  <c r="J482" i="4"/>
  <c r="J490" i="4"/>
  <c r="J492" i="4"/>
  <c r="D32" i="8"/>
  <c r="E9" i="5" s="1"/>
  <c r="G7" i="2" s="1"/>
  <c r="R8" i="13"/>
  <c r="I14" i="2" s="1"/>
  <c r="Z351" i="4"/>
  <c r="Z353" i="4"/>
  <c r="Z354" i="4"/>
  <c r="Z355" i="4"/>
  <c r="Z357" i="4"/>
  <c r="Z358" i="4"/>
  <c r="Z359" i="4"/>
  <c r="Z361" i="4"/>
  <c r="Z362" i="4"/>
  <c r="Z363" i="4"/>
  <c r="Z365" i="4"/>
  <c r="Z366" i="4"/>
  <c r="Z367" i="4"/>
  <c r="Z369" i="4"/>
  <c r="Z370" i="4"/>
  <c r="Z371" i="4"/>
  <c r="Z373" i="4"/>
  <c r="Z374" i="4"/>
  <c r="Z375" i="4"/>
  <c r="Z377" i="4"/>
  <c r="Z379" i="4"/>
  <c r="Z381" i="4"/>
  <c r="Z383" i="4"/>
  <c r="J429" i="4"/>
  <c r="AK432" i="4"/>
  <c r="AL432" i="4" s="1"/>
  <c r="J435" i="4"/>
  <c r="AK435" i="4"/>
  <c r="AL435" i="4" s="1"/>
  <c r="J438" i="4"/>
  <c r="J441" i="4"/>
  <c r="J443" i="4"/>
  <c r="AK443" i="4"/>
  <c r="AL443" i="4" s="1"/>
  <c r="J446" i="4"/>
  <c r="J449" i="4"/>
  <c r="J451" i="4"/>
  <c r="AK451" i="4"/>
  <c r="AL451" i="4" s="1"/>
  <c r="J454" i="4"/>
  <c r="J457" i="4"/>
  <c r="J459" i="4"/>
  <c r="AK459" i="4"/>
  <c r="AL459" i="4" s="1"/>
  <c r="J462" i="4"/>
  <c r="J465" i="4"/>
  <c r="J469" i="4"/>
  <c r="J473" i="4"/>
  <c r="Z482" i="4"/>
  <c r="Z486" i="4"/>
  <c r="Z490" i="4"/>
  <c r="J391" i="4"/>
  <c r="Z391" i="4"/>
  <c r="J396" i="4"/>
  <c r="J440" i="4"/>
  <c r="J448" i="4"/>
  <c r="J479" i="4"/>
  <c r="J481" i="4"/>
  <c r="C57" i="8"/>
  <c r="AF58" i="4" s="1"/>
  <c r="AF82" i="4"/>
  <c r="AF69" i="4"/>
  <c r="E35" i="8"/>
  <c r="Q426" i="4"/>
  <c r="Q416" i="4"/>
  <c r="Q412" i="4"/>
  <c r="Q411" i="4"/>
  <c r="Q410" i="4"/>
  <c r="Q403" i="4"/>
  <c r="Q402" i="4"/>
  <c r="Q401" i="4"/>
  <c r="Q400" i="4"/>
  <c r="Q399" i="4"/>
  <c r="Q398" i="4"/>
  <c r="Q397" i="4"/>
  <c r="Q394" i="4"/>
  <c r="Q393" i="4"/>
  <c r="Q475" i="4"/>
  <c r="X494" i="13"/>
  <c r="K494" i="13"/>
  <c r="G494" i="13"/>
  <c r="C494" i="13"/>
  <c r="V493" i="13"/>
  <c r="I493" i="13"/>
  <c r="X492" i="13"/>
  <c r="K492" i="13"/>
  <c r="G492" i="13"/>
  <c r="C492" i="13"/>
  <c r="V491" i="13"/>
  <c r="I491" i="13"/>
  <c r="X490" i="13"/>
  <c r="K490" i="13"/>
  <c r="G490" i="13"/>
  <c r="C490" i="13"/>
  <c r="V489" i="13"/>
  <c r="I489" i="13"/>
  <c r="X488" i="13"/>
  <c r="K488" i="13"/>
  <c r="G488" i="13"/>
  <c r="C488" i="13"/>
  <c r="V487" i="13"/>
  <c r="I487" i="13"/>
  <c r="X486" i="13"/>
  <c r="K486" i="13"/>
  <c r="G486" i="13"/>
  <c r="C486" i="13"/>
  <c r="V485" i="13"/>
  <c r="I485" i="13"/>
  <c r="X484" i="13"/>
  <c r="K484" i="13"/>
  <c r="G484" i="13"/>
  <c r="C484" i="13"/>
  <c r="V483" i="13"/>
  <c r="I483" i="13"/>
  <c r="X482" i="13"/>
  <c r="K482" i="13"/>
  <c r="G482" i="13"/>
  <c r="C482" i="13"/>
  <c r="V481" i="13"/>
  <c r="I481" i="13"/>
  <c r="X480" i="13"/>
  <c r="K480" i="13"/>
  <c r="G480" i="13"/>
  <c r="C480" i="13"/>
  <c r="V479" i="13"/>
  <c r="I479" i="13"/>
  <c r="X478" i="13"/>
  <c r="K478" i="13"/>
  <c r="G478" i="13"/>
  <c r="C478" i="13"/>
  <c r="V477" i="13"/>
  <c r="I477" i="13"/>
  <c r="X476" i="13"/>
  <c r="K476" i="13"/>
  <c r="G476" i="13"/>
  <c r="C476" i="13"/>
  <c r="V475" i="13"/>
  <c r="I475" i="13"/>
  <c r="X474" i="13"/>
  <c r="K474" i="13"/>
  <c r="G474" i="13"/>
  <c r="C474" i="13"/>
  <c r="V473" i="13"/>
  <c r="I473" i="13"/>
  <c r="X472" i="13"/>
  <c r="K472" i="13"/>
  <c r="G472" i="13"/>
  <c r="C472" i="13"/>
  <c r="V471" i="13"/>
  <c r="I471" i="13"/>
  <c r="X470" i="13"/>
  <c r="I494" i="13"/>
  <c r="D494" i="13"/>
  <c r="L493" i="13"/>
  <c r="G493" i="13"/>
  <c r="W493" i="13" s="1"/>
  <c r="B493" i="13"/>
  <c r="E493" i="13" s="1"/>
  <c r="J492" i="13"/>
  <c r="H491" i="13"/>
  <c r="C491" i="13"/>
  <c r="L490" i="13"/>
  <c r="F490" i="13"/>
  <c r="X489" i="13"/>
  <c r="J489" i="13"/>
  <c r="D489" i="13"/>
  <c r="V488" i="13"/>
  <c r="H488" i="13"/>
  <c r="B488" i="13"/>
  <c r="E488" i="13" s="1"/>
  <c r="K487" i="13"/>
  <c r="F487" i="13"/>
  <c r="I486" i="13"/>
  <c r="D486" i="13"/>
  <c r="L485" i="13"/>
  <c r="G485" i="13"/>
  <c r="B485" i="13"/>
  <c r="E485" i="13" s="1"/>
  <c r="J484" i="13"/>
  <c r="H483" i="13"/>
  <c r="C483" i="13"/>
  <c r="L482" i="13"/>
  <c r="F482" i="13"/>
  <c r="X481" i="13"/>
  <c r="J481" i="13"/>
  <c r="D481" i="13"/>
  <c r="V480" i="13"/>
  <c r="H480" i="13"/>
  <c r="B480" i="13"/>
  <c r="E480" i="13" s="1"/>
  <c r="K479" i="13"/>
  <c r="F479" i="13"/>
  <c r="I478" i="13"/>
  <c r="V494" i="13"/>
  <c r="H494" i="13"/>
  <c r="B494" i="13"/>
  <c r="E494" i="13" s="1"/>
  <c r="K493" i="13"/>
  <c r="F493" i="13"/>
  <c r="I492" i="13"/>
  <c r="D492" i="13"/>
  <c r="L491" i="13"/>
  <c r="G491" i="13"/>
  <c r="W491" i="13" s="1"/>
  <c r="B491" i="13"/>
  <c r="E491" i="13" s="1"/>
  <c r="J490" i="13"/>
  <c r="H489" i="13"/>
  <c r="C489" i="13"/>
  <c r="L488" i="13"/>
  <c r="F488" i="13"/>
  <c r="X487" i="13"/>
  <c r="J487" i="13"/>
  <c r="D487" i="13"/>
  <c r="V486" i="13"/>
  <c r="H486" i="13"/>
  <c r="B486" i="13"/>
  <c r="E486" i="13" s="1"/>
  <c r="K485" i="13"/>
  <c r="F485" i="13"/>
  <c r="I484" i="13"/>
  <c r="D484" i="13"/>
  <c r="L483" i="13"/>
  <c r="G483" i="13"/>
  <c r="B483" i="13"/>
  <c r="E483" i="13" s="1"/>
  <c r="J482" i="13"/>
  <c r="H481" i="13"/>
  <c r="C481" i="13"/>
  <c r="L480" i="13"/>
  <c r="F480" i="13"/>
  <c r="X479" i="13"/>
  <c r="J479" i="13"/>
  <c r="D479" i="13"/>
  <c r="V478" i="13"/>
  <c r="H478" i="13"/>
  <c r="B478" i="13"/>
  <c r="E478" i="13" s="1"/>
  <c r="K477" i="13"/>
  <c r="F477" i="13"/>
  <c r="I476" i="13"/>
  <c r="D476" i="13"/>
  <c r="L475" i="13"/>
  <c r="G475" i="13"/>
  <c r="W475" i="13" s="1"/>
  <c r="B475" i="13"/>
  <c r="E475" i="13" s="1"/>
  <c r="J474" i="13"/>
  <c r="H473" i="13"/>
  <c r="C473" i="13"/>
  <c r="L472" i="13"/>
  <c r="F472" i="13"/>
  <c r="X471" i="13"/>
  <c r="J471" i="13"/>
  <c r="D471" i="13"/>
  <c r="V470" i="13"/>
  <c r="I470" i="13"/>
  <c r="X469" i="13"/>
  <c r="K469" i="13"/>
  <c r="G469" i="13"/>
  <c r="C469" i="13"/>
  <c r="V468" i="13"/>
  <c r="I468" i="13"/>
  <c r="X467" i="13"/>
  <c r="K467" i="13"/>
  <c r="G467" i="13"/>
  <c r="C467" i="13"/>
  <c r="V466" i="13"/>
  <c r="I466" i="13"/>
  <c r="X465" i="13"/>
  <c r="K465" i="13"/>
  <c r="G465" i="13"/>
  <c r="C465" i="13"/>
  <c r="V464" i="13"/>
  <c r="L494" i="13"/>
  <c r="X493" i="13"/>
  <c r="D493" i="13"/>
  <c r="H492" i="13"/>
  <c r="K491" i="13"/>
  <c r="D490" i="13"/>
  <c r="G489" i="13"/>
  <c r="J488" i="13"/>
  <c r="C487" i="13"/>
  <c r="F486" i="13"/>
  <c r="J485" i="13"/>
  <c r="V484" i="13"/>
  <c r="B484" i="13"/>
  <c r="E484" i="13" s="1"/>
  <c r="F483" i="13"/>
  <c r="I482" i="13"/>
  <c r="L481" i="13"/>
  <c r="B481" i="13"/>
  <c r="E481" i="13" s="1"/>
  <c r="H479" i="13"/>
  <c r="L478" i="13"/>
  <c r="D478" i="13"/>
  <c r="J477" i="13"/>
  <c r="C477" i="13"/>
  <c r="J476" i="13"/>
  <c r="B476" i="13"/>
  <c r="E476" i="13" s="1"/>
  <c r="J475" i="13"/>
  <c r="C475" i="13"/>
  <c r="I474" i="13"/>
  <c r="B474" i="13"/>
  <c r="E474" i="13" s="1"/>
  <c r="J473" i="13"/>
  <c r="B473" i="13"/>
  <c r="E473" i="13" s="1"/>
  <c r="I472" i="13"/>
  <c r="B472" i="13"/>
  <c r="E472" i="13" s="1"/>
  <c r="H471" i="13"/>
  <c r="B471" i="13"/>
  <c r="E471" i="13" s="1"/>
  <c r="J470" i="13"/>
  <c r="D470" i="13"/>
  <c r="V469" i="13"/>
  <c r="H469" i="13"/>
  <c r="B469" i="13"/>
  <c r="E469" i="13" s="1"/>
  <c r="K468" i="13"/>
  <c r="F468" i="13"/>
  <c r="I467" i="13"/>
  <c r="D467" i="13"/>
  <c r="L466" i="13"/>
  <c r="G466" i="13"/>
  <c r="B466" i="13"/>
  <c r="E466" i="13" s="1"/>
  <c r="J465" i="13"/>
  <c r="I464" i="13"/>
  <c r="X463" i="13"/>
  <c r="K463" i="13"/>
  <c r="G463" i="13"/>
  <c r="C463" i="13"/>
  <c r="V462" i="13"/>
  <c r="I462" i="13"/>
  <c r="X461" i="13"/>
  <c r="K461" i="13"/>
  <c r="G461" i="13"/>
  <c r="C461" i="13"/>
  <c r="V460" i="13"/>
  <c r="I460" i="13"/>
  <c r="X459" i="13"/>
  <c r="K459" i="13"/>
  <c r="G459" i="13"/>
  <c r="C459" i="13"/>
  <c r="V458" i="13"/>
  <c r="I458" i="13"/>
  <c r="X457" i="13"/>
  <c r="K457" i="13"/>
  <c r="G457" i="13"/>
  <c r="C457" i="13"/>
  <c r="V456" i="13"/>
  <c r="I456" i="13"/>
  <c r="X455" i="13"/>
  <c r="K455" i="13"/>
  <c r="G455" i="13"/>
  <c r="C455" i="13"/>
  <c r="V454" i="13"/>
  <c r="I454" i="13"/>
  <c r="X453" i="13"/>
  <c r="K453" i="13"/>
  <c r="G453" i="13"/>
  <c r="C453" i="13"/>
  <c r="V452" i="13"/>
  <c r="I452" i="13"/>
  <c r="X451" i="13"/>
  <c r="K451" i="13"/>
  <c r="G451" i="13"/>
  <c r="C451" i="13"/>
  <c r="V450" i="13"/>
  <c r="I450" i="13"/>
  <c r="X449" i="13"/>
  <c r="K449" i="13"/>
  <c r="G449" i="13"/>
  <c r="C449" i="13"/>
  <c r="V448" i="13"/>
  <c r="I448" i="13"/>
  <c r="X447" i="13"/>
  <c r="K447" i="13"/>
  <c r="G447" i="13"/>
  <c r="C447" i="13"/>
  <c r="V446" i="13"/>
  <c r="I446" i="13"/>
  <c r="X445" i="13"/>
  <c r="K445" i="13"/>
  <c r="G445" i="13"/>
  <c r="C445" i="13"/>
  <c r="V444" i="13"/>
  <c r="I444" i="13"/>
  <c r="X443" i="13"/>
  <c r="K443" i="13"/>
  <c r="G443" i="13"/>
  <c r="C443" i="13"/>
  <c r="V442" i="13"/>
  <c r="I442" i="13"/>
  <c r="X441" i="13"/>
  <c r="K441" i="13"/>
  <c r="G441" i="13"/>
  <c r="C441" i="13"/>
  <c r="V440" i="13"/>
  <c r="I440" i="13"/>
  <c r="X439" i="13"/>
  <c r="K439" i="13"/>
  <c r="G439" i="13"/>
  <c r="C439" i="13"/>
  <c r="V438" i="13"/>
  <c r="I438" i="13"/>
  <c r="X437" i="13"/>
  <c r="K437" i="13"/>
  <c r="G437" i="13"/>
  <c r="C437" i="13"/>
  <c r="V436" i="13"/>
  <c r="I436" i="13"/>
  <c r="X435" i="13"/>
  <c r="K435" i="13"/>
  <c r="G435" i="13"/>
  <c r="C435" i="13"/>
  <c r="V434" i="13"/>
  <c r="I434" i="13"/>
  <c r="X433" i="13"/>
  <c r="K433" i="13"/>
  <c r="G433" i="13"/>
  <c r="C433" i="13"/>
  <c r="V432" i="13"/>
  <c r="I432" i="13"/>
  <c r="X431" i="13"/>
  <c r="K431" i="13"/>
  <c r="G431" i="13"/>
  <c r="J494" i="13"/>
  <c r="C493" i="13"/>
  <c r="F492" i="13"/>
  <c r="J491" i="13"/>
  <c r="V490" i="13"/>
  <c r="B490" i="13"/>
  <c r="E490" i="13" s="1"/>
  <c r="F489" i="13"/>
  <c r="I488" i="13"/>
  <c r="L487" i="13"/>
  <c r="B487" i="13"/>
  <c r="E487" i="13" s="1"/>
  <c r="H485" i="13"/>
  <c r="L484" i="13"/>
  <c r="X483" i="13"/>
  <c r="D483" i="13"/>
  <c r="H482" i="13"/>
  <c r="K481" i="13"/>
  <c r="D480" i="13"/>
  <c r="G479" i="13"/>
  <c r="J478" i="13"/>
  <c r="X477" i="13"/>
  <c r="H477" i="13"/>
  <c r="B477" i="13"/>
  <c r="E477" i="13" s="1"/>
  <c r="H476" i="13"/>
  <c r="X475" i="13"/>
  <c r="H475" i="13"/>
  <c r="H474" i="13"/>
  <c r="X473" i="13"/>
  <c r="G473" i="13"/>
  <c r="H472" i="13"/>
  <c r="G471" i="13"/>
  <c r="H470" i="13"/>
  <c r="C470" i="13"/>
  <c r="L469" i="13"/>
  <c r="F469" i="13"/>
  <c r="X468" i="13"/>
  <c r="J468" i="13"/>
  <c r="D468" i="13"/>
  <c r="V467" i="13"/>
  <c r="H467" i="13"/>
  <c r="B467" i="13"/>
  <c r="E467" i="13" s="1"/>
  <c r="K466" i="13"/>
  <c r="F466" i="13"/>
  <c r="I465" i="13"/>
  <c r="D465" i="13"/>
  <c r="L464" i="13"/>
  <c r="H464" i="13"/>
  <c r="D464" i="13"/>
  <c r="J463" i="13"/>
  <c r="F463" i="13"/>
  <c r="B463" i="13"/>
  <c r="E463" i="13" s="1"/>
  <c r="L462" i="13"/>
  <c r="H462" i="13"/>
  <c r="D462" i="13"/>
  <c r="J461" i="13"/>
  <c r="F461" i="13"/>
  <c r="B461" i="13"/>
  <c r="E461" i="13" s="1"/>
  <c r="L460" i="13"/>
  <c r="H460" i="13"/>
  <c r="D460" i="13"/>
  <c r="J459" i="13"/>
  <c r="F459" i="13"/>
  <c r="B459" i="13"/>
  <c r="E459" i="13" s="1"/>
  <c r="L458" i="13"/>
  <c r="H458" i="13"/>
  <c r="D458" i="13"/>
  <c r="J457" i="13"/>
  <c r="F457" i="13"/>
  <c r="B457" i="13"/>
  <c r="E457" i="13" s="1"/>
  <c r="L456" i="13"/>
  <c r="H456" i="13"/>
  <c r="D456" i="13"/>
  <c r="J455" i="13"/>
  <c r="F455" i="13"/>
  <c r="B455" i="13"/>
  <c r="E455" i="13" s="1"/>
  <c r="L454" i="13"/>
  <c r="H454" i="13"/>
  <c r="D454" i="13"/>
  <c r="J453" i="13"/>
  <c r="F453" i="13"/>
  <c r="B453" i="13"/>
  <c r="E453" i="13" s="1"/>
  <c r="L452" i="13"/>
  <c r="H452" i="13"/>
  <c r="D452" i="13"/>
  <c r="J451" i="13"/>
  <c r="F451" i="13"/>
  <c r="B451" i="13"/>
  <c r="E451" i="13" s="1"/>
  <c r="L450" i="13"/>
  <c r="H450" i="13"/>
  <c r="D450" i="13"/>
  <c r="J449" i="13"/>
  <c r="F449" i="13"/>
  <c r="B449" i="13"/>
  <c r="E449" i="13" s="1"/>
  <c r="L448" i="13"/>
  <c r="H448" i="13"/>
  <c r="D448" i="13"/>
  <c r="J447" i="13"/>
  <c r="F447" i="13"/>
  <c r="B447" i="13"/>
  <c r="E447" i="13" s="1"/>
  <c r="L446" i="13"/>
  <c r="H446" i="13"/>
  <c r="D446" i="13"/>
  <c r="J445" i="13"/>
  <c r="F445" i="13"/>
  <c r="B445" i="13"/>
  <c r="E445" i="13" s="1"/>
  <c r="L444" i="13"/>
  <c r="H444" i="13"/>
  <c r="D444" i="13"/>
  <c r="J443" i="13"/>
  <c r="F443" i="13"/>
  <c r="B443" i="13"/>
  <c r="E443" i="13" s="1"/>
  <c r="L442" i="13"/>
  <c r="H442" i="13"/>
  <c r="D442" i="13"/>
  <c r="J441" i="13"/>
  <c r="F441" i="13"/>
  <c r="B441" i="13"/>
  <c r="E441" i="13" s="1"/>
  <c r="L440" i="13"/>
  <c r="H440" i="13"/>
  <c r="D440" i="13"/>
  <c r="J439" i="13"/>
  <c r="F439" i="13"/>
  <c r="B439" i="13"/>
  <c r="E439" i="13" s="1"/>
  <c r="L438" i="13"/>
  <c r="H438" i="13"/>
  <c r="D438" i="13"/>
  <c r="J437" i="13"/>
  <c r="F437" i="13"/>
  <c r="B437" i="13"/>
  <c r="E437" i="13" s="1"/>
  <c r="L436" i="13"/>
  <c r="H436" i="13"/>
  <c r="D436" i="13"/>
  <c r="J435" i="13"/>
  <c r="F435" i="13"/>
  <c r="B435" i="13"/>
  <c r="E435" i="13" s="1"/>
  <c r="L434" i="13"/>
  <c r="H434" i="13"/>
  <c r="D434" i="13"/>
  <c r="J433" i="13"/>
  <c r="F433" i="13"/>
  <c r="B433" i="13"/>
  <c r="E433" i="13" s="1"/>
  <c r="L432" i="13"/>
  <c r="H432" i="13"/>
  <c r="D432" i="13"/>
  <c r="J431" i="13"/>
  <c r="F431" i="13"/>
  <c r="F494" i="13"/>
  <c r="V492" i="13"/>
  <c r="F491" i="13"/>
  <c r="L489" i="13"/>
  <c r="L486" i="13"/>
  <c r="D485" i="13"/>
  <c r="K483" i="13"/>
  <c r="D482" i="13"/>
  <c r="J480" i="13"/>
  <c r="C479" i="13"/>
  <c r="V476" i="13"/>
  <c r="V474" i="13"/>
  <c r="L473" i="13"/>
  <c r="V472" i="13"/>
  <c r="L471" i="13"/>
  <c r="L470" i="13"/>
  <c r="B470" i="13"/>
  <c r="E470" i="13" s="1"/>
  <c r="H468" i="13"/>
  <c r="L467" i="13"/>
  <c r="X466" i="13"/>
  <c r="D466" i="13"/>
  <c r="H465" i="13"/>
  <c r="K464" i="13"/>
  <c r="C464" i="13"/>
  <c r="I463" i="13"/>
  <c r="X462" i="13"/>
  <c r="G462" i="13"/>
  <c r="V461" i="13"/>
  <c r="K460" i="13"/>
  <c r="C460" i="13"/>
  <c r="I459" i="13"/>
  <c r="X458" i="13"/>
  <c r="G458" i="13"/>
  <c r="W458" i="13" s="1"/>
  <c r="V457" i="13"/>
  <c r="K456" i="13"/>
  <c r="C456" i="13"/>
  <c r="I455" i="13"/>
  <c r="X454" i="13"/>
  <c r="G454" i="13"/>
  <c r="V453" i="13"/>
  <c r="K452" i="13"/>
  <c r="C452" i="13"/>
  <c r="I451" i="13"/>
  <c r="X450" i="13"/>
  <c r="G450" i="13"/>
  <c r="W450" i="13" s="1"/>
  <c r="V449" i="13"/>
  <c r="K448" i="13"/>
  <c r="C448" i="13"/>
  <c r="I447" i="13"/>
  <c r="X446" i="13"/>
  <c r="G446" i="13"/>
  <c r="V445" i="13"/>
  <c r="K444" i="13"/>
  <c r="C444" i="13"/>
  <c r="I443" i="13"/>
  <c r="X442" i="13"/>
  <c r="G442" i="13"/>
  <c r="W442" i="13" s="1"/>
  <c r="V441" i="13"/>
  <c r="K440" i="13"/>
  <c r="C440" i="13"/>
  <c r="I439" i="13"/>
  <c r="X438" i="13"/>
  <c r="G438" i="13"/>
  <c r="V437" i="13"/>
  <c r="K436" i="13"/>
  <c r="C436" i="13"/>
  <c r="I435" i="13"/>
  <c r="X434" i="13"/>
  <c r="G434" i="13"/>
  <c r="W434" i="13" s="1"/>
  <c r="V433" i="13"/>
  <c r="K432" i="13"/>
  <c r="C432" i="13"/>
  <c r="I431" i="13"/>
  <c r="C431" i="13"/>
  <c r="V430" i="13"/>
  <c r="I430" i="13"/>
  <c r="X429" i="13"/>
  <c r="K429" i="13"/>
  <c r="G429" i="13"/>
  <c r="C429" i="13"/>
  <c r="V428" i="13"/>
  <c r="I428" i="13"/>
  <c r="X427" i="13"/>
  <c r="K427" i="13"/>
  <c r="G427" i="13"/>
  <c r="C427" i="13"/>
  <c r="V426" i="13"/>
  <c r="I426" i="13"/>
  <c r="X425" i="13"/>
  <c r="K425" i="13"/>
  <c r="G425" i="13"/>
  <c r="C425" i="13"/>
  <c r="V424" i="13"/>
  <c r="I424" i="13"/>
  <c r="X423" i="13"/>
  <c r="K423" i="13"/>
  <c r="G423" i="13"/>
  <c r="C423" i="13"/>
  <c r="V422" i="13"/>
  <c r="I422" i="13"/>
  <c r="X421" i="13"/>
  <c r="K421" i="13"/>
  <c r="G421" i="13"/>
  <c r="C421" i="13"/>
  <c r="V420" i="13"/>
  <c r="I420" i="13"/>
  <c r="X419" i="13"/>
  <c r="K419" i="13"/>
  <c r="G419" i="13"/>
  <c r="C419" i="13"/>
  <c r="V418" i="13"/>
  <c r="I418" i="13"/>
  <c r="X417" i="13"/>
  <c r="K417" i="13"/>
  <c r="G417" i="13"/>
  <c r="C417" i="13"/>
  <c r="V416" i="13"/>
  <c r="I416" i="13"/>
  <c r="X415" i="13"/>
  <c r="K415" i="13"/>
  <c r="G415" i="13"/>
  <c r="C415" i="13"/>
  <c r="V414" i="13"/>
  <c r="I414" i="13"/>
  <c r="X413" i="13"/>
  <c r="K413" i="13"/>
  <c r="G413" i="13"/>
  <c r="C413" i="13"/>
  <c r="V412" i="13"/>
  <c r="I412" i="13"/>
  <c r="X411" i="13"/>
  <c r="K411" i="13"/>
  <c r="G411" i="13"/>
  <c r="C411" i="13"/>
  <c r="V410" i="13"/>
  <c r="I410" i="13"/>
  <c r="X409" i="13"/>
  <c r="K409" i="13"/>
  <c r="G409" i="13"/>
  <c r="C409" i="13"/>
  <c r="V408" i="13"/>
  <c r="I408" i="13"/>
  <c r="X407" i="13"/>
  <c r="K407" i="13"/>
  <c r="G407" i="13"/>
  <c r="C407" i="13"/>
  <c r="L492" i="13"/>
  <c r="D491" i="13"/>
  <c r="K489" i="13"/>
  <c r="D488" i="13"/>
  <c r="J486" i="13"/>
  <c r="C485" i="13"/>
  <c r="J483" i="13"/>
  <c r="B482" i="13"/>
  <c r="E482" i="13" s="1"/>
  <c r="I480" i="13"/>
  <c r="B479" i="13"/>
  <c r="E479" i="13" s="1"/>
  <c r="L477" i="13"/>
  <c r="L476" i="13"/>
  <c r="K475" i="13"/>
  <c r="L474" i="13"/>
  <c r="K473" i="13"/>
  <c r="J472" i="13"/>
  <c r="K471" i="13"/>
  <c r="K470" i="13"/>
  <c r="D469" i="13"/>
  <c r="G468" i="13"/>
  <c r="J467" i="13"/>
  <c r="C466" i="13"/>
  <c r="F465" i="13"/>
  <c r="J464" i="13"/>
  <c r="B464" i="13"/>
  <c r="E464" i="13" s="1"/>
  <c r="H463" i="13"/>
  <c r="F462" i="13"/>
  <c r="L461" i="13"/>
  <c r="D461" i="13"/>
  <c r="J460" i="13"/>
  <c r="B460" i="13"/>
  <c r="E460" i="13" s="1"/>
  <c r="H459" i="13"/>
  <c r="F458" i="13"/>
  <c r="L457" i="13"/>
  <c r="D457" i="13"/>
  <c r="J456" i="13"/>
  <c r="B456" i="13"/>
  <c r="E456" i="13" s="1"/>
  <c r="H455" i="13"/>
  <c r="F454" i="13"/>
  <c r="L453" i="13"/>
  <c r="D453" i="13"/>
  <c r="J452" i="13"/>
  <c r="B452" i="13"/>
  <c r="E452" i="13" s="1"/>
  <c r="H451" i="13"/>
  <c r="F450" i="13"/>
  <c r="L449" i="13"/>
  <c r="D449" i="13"/>
  <c r="J448" i="13"/>
  <c r="B448" i="13"/>
  <c r="E448" i="13" s="1"/>
  <c r="H447" i="13"/>
  <c r="F446" i="13"/>
  <c r="L445" i="13"/>
  <c r="D445" i="13"/>
  <c r="J444" i="13"/>
  <c r="B444" i="13"/>
  <c r="E444" i="13" s="1"/>
  <c r="H443" i="13"/>
  <c r="F442" i="13"/>
  <c r="L441" i="13"/>
  <c r="D441" i="13"/>
  <c r="J440" i="13"/>
  <c r="B440" i="13"/>
  <c r="E440" i="13" s="1"/>
  <c r="H439" i="13"/>
  <c r="F438" i="13"/>
  <c r="L437" i="13"/>
  <c r="D437" i="13"/>
  <c r="J436" i="13"/>
  <c r="B436" i="13"/>
  <c r="E436" i="13" s="1"/>
  <c r="H435" i="13"/>
  <c r="F434" i="13"/>
  <c r="L433" i="13"/>
  <c r="D433" i="13"/>
  <c r="J432" i="13"/>
  <c r="B432" i="13"/>
  <c r="E432" i="13" s="1"/>
  <c r="H431" i="13"/>
  <c r="B431" i="13"/>
  <c r="E431" i="13" s="1"/>
  <c r="L430" i="13"/>
  <c r="H430" i="13"/>
  <c r="D430" i="13"/>
  <c r="J429" i="13"/>
  <c r="F429" i="13"/>
  <c r="B429" i="13"/>
  <c r="E429" i="13" s="1"/>
  <c r="L428" i="13"/>
  <c r="H428" i="13"/>
  <c r="D428" i="13"/>
  <c r="J427" i="13"/>
  <c r="F427" i="13"/>
  <c r="B427" i="13"/>
  <c r="E427" i="13" s="1"/>
  <c r="L426" i="13"/>
  <c r="H426" i="13"/>
  <c r="D426" i="13"/>
  <c r="J425" i="13"/>
  <c r="F425" i="13"/>
  <c r="B425" i="13"/>
  <c r="E425" i="13" s="1"/>
  <c r="L424" i="13"/>
  <c r="H424" i="13"/>
  <c r="D424" i="13"/>
  <c r="J423" i="13"/>
  <c r="F423" i="13"/>
  <c r="B423" i="13"/>
  <c r="E423" i="13" s="1"/>
  <c r="L422" i="13"/>
  <c r="H422" i="13"/>
  <c r="D422" i="13"/>
  <c r="J421" i="13"/>
  <c r="F421" i="13"/>
  <c r="B421" i="13"/>
  <c r="E421" i="13" s="1"/>
  <c r="L420" i="13"/>
  <c r="H420" i="13"/>
  <c r="D420" i="13"/>
  <c r="J419" i="13"/>
  <c r="F419" i="13"/>
  <c r="B419" i="13"/>
  <c r="E419" i="13" s="1"/>
  <c r="L418" i="13"/>
  <c r="H418" i="13"/>
  <c r="D418" i="13"/>
  <c r="J417" i="13"/>
  <c r="F417" i="13"/>
  <c r="B417" i="13"/>
  <c r="E417" i="13" s="1"/>
  <c r="L416" i="13"/>
  <c r="H416" i="13"/>
  <c r="D416" i="13"/>
  <c r="J415" i="13"/>
  <c r="F415" i="13"/>
  <c r="B415" i="13"/>
  <c r="E415" i="13" s="1"/>
  <c r="L414" i="13"/>
  <c r="H414" i="13"/>
  <c r="D414" i="13"/>
  <c r="J413" i="13"/>
  <c r="F413" i="13"/>
  <c r="B413" i="13"/>
  <c r="E413" i="13" s="1"/>
  <c r="L412" i="13"/>
  <c r="H412" i="13"/>
  <c r="D412" i="13"/>
  <c r="J411" i="13"/>
  <c r="F411" i="13"/>
  <c r="B411" i="13"/>
  <c r="E411" i="13" s="1"/>
  <c r="L410" i="13"/>
  <c r="H410" i="13"/>
  <c r="D410" i="13"/>
  <c r="J409" i="13"/>
  <c r="F409" i="13"/>
  <c r="B409" i="13"/>
  <c r="E409" i="13" s="1"/>
  <c r="L408" i="13"/>
  <c r="H408" i="13"/>
  <c r="D408" i="13"/>
  <c r="J407" i="13"/>
  <c r="F407" i="13"/>
  <c r="B407" i="13"/>
  <c r="E407" i="13" s="1"/>
  <c r="J493" i="13"/>
  <c r="I490" i="13"/>
  <c r="H487" i="13"/>
  <c r="H484" i="13"/>
  <c r="G481" i="13"/>
  <c r="W481" i="13" s="1"/>
  <c r="F478" i="13"/>
  <c r="F476" i="13"/>
  <c r="F474" i="13"/>
  <c r="G470" i="13"/>
  <c r="W470" i="13" s="1"/>
  <c r="F467" i="13"/>
  <c r="V465" i="13"/>
  <c r="G464" i="13"/>
  <c r="C462" i="13"/>
  <c r="X460" i="13"/>
  <c r="V459" i="13"/>
  <c r="K458" i="13"/>
  <c r="I457" i="13"/>
  <c r="G456" i="13"/>
  <c r="W456" i="13" s="1"/>
  <c r="C454" i="13"/>
  <c r="X452" i="13"/>
  <c r="V451" i="13"/>
  <c r="K450" i="13"/>
  <c r="I449" i="13"/>
  <c r="G448" i="13"/>
  <c r="C446" i="13"/>
  <c r="X444" i="13"/>
  <c r="V443" i="13"/>
  <c r="K442" i="13"/>
  <c r="I441" i="13"/>
  <c r="G440" i="13"/>
  <c r="W440" i="13" s="1"/>
  <c r="C438" i="13"/>
  <c r="X436" i="13"/>
  <c r="V435" i="13"/>
  <c r="K434" i="13"/>
  <c r="I433" i="13"/>
  <c r="G432" i="13"/>
  <c r="K430" i="13"/>
  <c r="C430" i="13"/>
  <c r="I429" i="13"/>
  <c r="X428" i="13"/>
  <c r="G428" i="13"/>
  <c r="V427" i="13"/>
  <c r="K426" i="13"/>
  <c r="C426" i="13"/>
  <c r="I425" i="13"/>
  <c r="X424" i="13"/>
  <c r="G424" i="13"/>
  <c r="V423" i="13"/>
  <c r="K422" i="13"/>
  <c r="C422" i="13"/>
  <c r="I421" i="13"/>
  <c r="X420" i="13"/>
  <c r="G420" i="13"/>
  <c r="V419" i="13"/>
  <c r="K418" i="13"/>
  <c r="C418" i="13"/>
  <c r="I417" i="13"/>
  <c r="X416" i="13"/>
  <c r="G416" i="13"/>
  <c r="V415" i="13"/>
  <c r="K414" i="13"/>
  <c r="C414" i="13"/>
  <c r="I413" i="13"/>
  <c r="X412" i="13"/>
  <c r="G412" i="13"/>
  <c r="V411" i="13"/>
  <c r="K410" i="13"/>
  <c r="C410" i="13"/>
  <c r="I409" i="13"/>
  <c r="X408" i="13"/>
  <c r="G408" i="13"/>
  <c r="V407" i="13"/>
  <c r="V406" i="13"/>
  <c r="I406" i="13"/>
  <c r="X405" i="13"/>
  <c r="K405" i="13"/>
  <c r="G405" i="13"/>
  <c r="C405" i="13"/>
  <c r="V404" i="13"/>
  <c r="I404" i="13"/>
  <c r="X403" i="13"/>
  <c r="K403" i="13"/>
  <c r="G403" i="13"/>
  <c r="C403" i="13"/>
  <c r="V402" i="13"/>
  <c r="I402" i="13"/>
  <c r="X401" i="13"/>
  <c r="K401" i="13"/>
  <c r="G401" i="13"/>
  <c r="C401" i="13"/>
  <c r="V400" i="13"/>
  <c r="I400" i="13"/>
  <c r="X399" i="13"/>
  <c r="K399" i="13"/>
  <c r="G399" i="13"/>
  <c r="C399" i="13"/>
  <c r="V398" i="13"/>
  <c r="I398" i="13"/>
  <c r="X397" i="13"/>
  <c r="K397" i="13"/>
  <c r="G397" i="13"/>
  <c r="C397" i="13"/>
  <c r="V396" i="13"/>
  <c r="I396" i="13"/>
  <c r="X395" i="13"/>
  <c r="K395" i="13"/>
  <c r="G395" i="13"/>
  <c r="C395" i="13"/>
  <c r="V394" i="13"/>
  <c r="I394" i="13"/>
  <c r="X393" i="13"/>
  <c r="K393" i="13"/>
  <c r="G393" i="13"/>
  <c r="C393" i="13"/>
  <c r="V392" i="13"/>
  <c r="I392" i="13"/>
  <c r="X391" i="13"/>
  <c r="K391" i="13"/>
  <c r="G391" i="13"/>
  <c r="C391" i="13"/>
  <c r="V390" i="13"/>
  <c r="I390" i="13"/>
  <c r="X389" i="13"/>
  <c r="K389" i="13"/>
  <c r="G389" i="13"/>
  <c r="C389" i="13"/>
  <c r="V388" i="13"/>
  <c r="I388" i="13"/>
  <c r="X387" i="13"/>
  <c r="K387" i="13"/>
  <c r="G387" i="13"/>
  <c r="C387" i="13"/>
  <c r="V386" i="13"/>
  <c r="I386" i="13"/>
  <c r="X385" i="13"/>
  <c r="K385" i="13"/>
  <c r="G385" i="13"/>
  <c r="C385" i="13"/>
  <c r="V384" i="13"/>
  <c r="I384" i="13"/>
  <c r="X383" i="13"/>
  <c r="K383" i="13"/>
  <c r="G383" i="13"/>
  <c r="C383" i="13"/>
  <c r="V382" i="13"/>
  <c r="I382" i="13"/>
  <c r="X381" i="13"/>
  <c r="K381" i="13"/>
  <c r="G381" i="13"/>
  <c r="C381" i="13"/>
  <c r="V380" i="13"/>
  <c r="I380" i="13"/>
  <c r="X379" i="13"/>
  <c r="K379" i="13"/>
  <c r="G379" i="13"/>
  <c r="C379" i="13"/>
  <c r="V378" i="13"/>
  <c r="I378" i="13"/>
  <c r="X377" i="13"/>
  <c r="K377" i="13"/>
  <c r="G377" i="13"/>
  <c r="C377" i="13"/>
  <c r="V376" i="13"/>
  <c r="I376" i="13"/>
  <c r="X375" i="13"/>
  <c r="K375" i="13"/>
  <c r="G375" i="13"/>
  <c r="C375" i="13"/>
  <c r="V374" i="13"/>
  <c r="I374" i="13"/>
  <c r="X373" i="13"/>
  <c r="K373" i="13"/>
  <c r="G373" i="13"/>
  <c r="C373" i="13"/>
  <c r="V372" i="13"/>
  <c r="I372" i="13"/>
  <c r="X371" i="13"/>
  <c r="K371" i="13"/>
  <c r="G371" i="13"/>
  <c r="C371" i="13"/>
  <c r="V370" i="13"/>
  <c r="I370" i="13"/>
  <c r="X369" i="13"/>
  <c r="K369" i="13"/>
  <c r="G369" i="13"/>
  <c r="C369" i="13"/>
  <c r="V368" i="13"/>
  <c r="I368" i="13"/>
  <c r="X367" i="13"/>
  <c r="K367" i="13"/>
  <c r="G367" i="13"/>
  <c r="C367" i="13"/>
  <c r="V366" i="13"/>
  <c r="I366" i="13"/>
  <c r="X365" i="13"/>
  <c r="K365" i="13"/>
  <c r="G365" i="13"/>
  <c r="C365" i="13"/>
  <c r="V364" i="13"/>
  <c r="I364" i="13"/>
  <c r="X363" i="13"/>
  <c r="K363" i="13"/>
  <c r="G363" i="13"/>
  <c r="C363" i="13"/>
  <c r="V362" i="13"/>
  <c r="I362" i="13"/>
  <c r="X361" i="13"/>
  <c r="K361" i="13"/>
  <c r="G361" i="13"/>
  <c r="C361" i="13"/>
  <c r="V360" i="13"/>
  <c r="I360" i="13"/>
  <c r="X359" i="13"/>
  <c r="K359" i="13"/>
  <c r="G359" i="13"/>
  <c r="C359" i="13"/>
  <c r="V358" i="13"/>
  <c r="I358" i="13"/>
  <c r="X357" i="13"/>
  <c r="K357" i="13"/>
  <c r="G357" i="13"/>
  <c r="C357" i="13"/>
  <c r="V356" i="13"/>
  <c r="I356" i="13"/>
  <c r="X355" i="13"/>
  <c r="K355" i="13"/>
  <c r="G355" i="13"/>
  <c r="C355" i="13"/>
  <c r="V354" i="13"/>
  <c r="I354" i="13"/>
  <c r="X353" i="13"/>
  <c r="K353" i="13"/>
  <c r="G353" i="13"/>
  <c r="C353" i="13"/>
  <c r="V352" i="13"/>
  <c r="I352" i="13"/>
  <c r="X351" i="13"/>
  <c r="K351" i="13"/>
  <c r="G351" i="13"/>
  <c r="C351" i="13"/>
  <c r="V350" i="13"/>
  <c r="I350" i="13"/>
  <c r="X349" i="13"/>
  <c r="K349" i="13"/>
  <c r="G349" i="13"/>
  <c r="C349" i="13"/>
  <c r="V348" i="13"/>
  <c r="I348" i="13"/>
  <c r="X347" i="13"/>
  <c r="K347" i="13"/>
  <c r="G347" i="13"/>
  <c r="C347" i="13"/>
  <c r="V346" i="13"/>
  <c r="I346" i="13"/>
  <c r="X345" i="13"/>
  <c r="K345" i="13"/>
  <c r="G345" i="13"/>
  <c r="C345" i="13"/>
  <c r="V344" i="13"/>
  <c r="I344" i="13"/>
  <c r="X343" i="13"/>
  <c r="K343" i="13"/>
  <c r="G343" i="13"/>
  <c r="C343" i="13"/>
  <c r="V342" i="13"/>
  <c r="I342" i="13"/>
  <c r="X341" i="13"/>
  <c r="K341" i="13"/>
  <c r="G341" i="13"/>
  <c r="C341" i="13"/>
  <c r="V340" i="13"/>
  <c r="I340" i="13"/>
  <c r="X339" i="13"/>
  <c r="K339" i="13"/>
  <c r="G339" i="13"/>
  <c r="C339" i="13"/>
  <c r="V338" i="13"/>
  <c r="I338" i="13"/>
  <c r="X337" i="13"/>
  <c r="K337" i="13"/>
  <c r="G337" i="13"/>
  <c r="C337" i="13"/>
  <c r="V336" i="13"/>
  <c r="I336" i="13"/>
  <c r="X335" i="13"/>
  <c r="K335" i="13"/>
  <c r="G335" i="13"/>
  <c r="C335" i="13"/>
  <c r="V334" i="13"/>
  <c r="I334" i="13"/>
  <c r="X333" i="13"/>
  <c r="H493" i="13"/>
  <c r="H490" i="13"/>
  <c r="G487" i="13"/>
  <c r="W487" i="13" s="1"/>
  <c r="F484" i="13"/>
  <c r="F481" i="13"/>
  <c r="D474" i="13"/>
  <c r="D472" i="13"/>
  <c r="F470" i="13"/>
  <c r="L468" i="13"/>
  <c r="L465" i="13"/>
  <c r="F464" i="13"/>
  <c r="D463" i="13"/>
  <c r="B462" i="13"/>
  <c r="E462" i="13" s="1"/>
  <c r="L459" i="13"/>
  <c r="J458" i="13"/>
  <c r="H457" i="13"/>
  <c r="F456" i="13"/>
  <c r="D455" i="13"/>
  <c r="B454" i="13"/>
  <c r="E454" i="13" s="1"/>
  <c r="L451" i="13"/>
  <c r="J450" i="13"/>
  <c r="H449" i="13"/>
  <c r="F448" i="13"/>
  <c r="D447" i="13"/>
  <c r="B446" i="13"/>
  <c r="E446" i="13" s="1"/>
  <c r="L443" i="13"/>
  <c r="J442" i="13"/>
  <c r="H441" i="13"/>
  <c r="F440" i="13"/>
  <c r="D439" i="13"/>
  <c r="B438" i="13"/>
  <c r="E438" i="13" s="1"/>
  <c r="L435" i="13"/>
  <c r="J434" i="13"/>
  <c r="H433" i="13"/>
  <c r="F432" i="13"/>
  <c r="D431" i="13"/>
  <c r="J430" i="13"/>
  <c r="B430" i="13"/>
  <c r="E430" i="13" s="1"/>
  <c r="H429" i="13"/>
  <c r="F428" i="13"/>
  <c r="L427" i="13"/>
  <c r="D427" i="13"/>
  <c r="J426" i="13"/>
  <c r="B426" i="13"/>
  <c r="E426" i="13" s="1"/>
  <c r="H425" i="13"/>
  <c r="F424" i="13"/>
  <c r="L423" i="13"/>
  <c r="D423" i="13"/>
  <c r="J422" i="13"/>
  <c r="B422" i="13"/>
  <c r="E422" i="13" s="1"/>
  <c r="H421" i="13"/>
  <c r="F420" i="13"/>
  <c r="L419" i="13"/>
  <c r="D419" i="13"/>
  <c r="J418" i="13"/>
  <c r="B418" i="13"/>
  <c r="E418" i="13" s="1"/>
  <c r="H417" i="13"/>
  <c r="F416" i="13"/>
  <c r="L415" i="13"/>
  <c r="D415" i="13"/>
  <c r="J414" i="13"/>
  <c r="B414" i="13"/>
  <c r="E414" i="13" s="1"/>
  <c r="H413" i="13"/>
  <c r="F412" i="13"/>
  <c r="L411" i="13"/>
  <c r="D411" i="13"/>
  <c r="J410" i="13"/>
  <c r="B410" i="13"/>
  <c r="E410" i="13" s="1"/>
  <c r="H409" i="13"/>
  <c r="F408" i="13"/>
  <c r="L407" i="13"/>
  <c r="D407" i="13"/>
  <c r="L406" i="13"/>
  <c r="H406" i="13"/>
  <c r="D406" i="13"/>
  <c r="J405" i="13"/>
  <c r="F405" i="13"/>
  <c r="B405" i="13"/>
  <c r="E405" i="13" s="1"/>
  <c r="L404" i="13"/>
  <c r="H404" i="13"/>
  <c r="D404" i="13"/>
  <c r="J403" i="13"/>
  <c r="F403" i="13"/>
  <c r="B403" i="13"/>
  <c r="E403" i="13" s="1"/>
  <c r="L402" i="13"/>
  <c r="H402" i="13"/>
  <c r="D402" i="13"/>
  <c r="J401" i="13"/>
  <c r="F401" i="13"/>
  <c r="B401" i="13"/>
  <c r="E401" i="13" s="1"/>
  <c r="L400" i="13"/>
  <c r="H400" i="13"/>
  <c r="D400" i="13"/>
  <c r="J399" i="13"/>
  <c r="F399" i="13"/>
  <c r="B399" i="13"/>
  <c r="E399" i="13" s="1"/>
  <c r="L398" i="13"/>
  <c r="H398" i="13"/>
  <c r="D398" i="13"/>
  <c r="J397" i="13"/>
  <c r="F397" i="13"/>
  <c r="B397" i="13"/>
  <c r="E397" i="13" s="1"/>
  <c r="L396" i="13"/>
  <c r="H396" i="13"/>
  <c r="D396" i="13"/>
  <c r="J395" i="13"/>
  <c r="F395" i="13"/>
  <c r="B395" i="13"/>
  <c r="E395" i="13" s="1"/>
  <c r="L394" i="13"/>
  <c r="H394" i="13"/>
  <c r="D394" i="13"/>
  <c r="J393" i="13"/>
  <c r="F393" i="13"/>
  <c r="B393" i="13"/>
  <c r="E393" i="13" s="1"/>
  <c r="L392" i="13"/>
  <c r="H392" i="13"/>
  <c r="D392" i="13"/>
  <c r="J391" i="13"/>
  <c r="F391" i="13"/>
  <c r="B391" i="13"/>
  <c r="E391" i="13" s="1"/>
  <c r="L390" i="13"/>
  <c r="H390" i="13"/>
  <c r="D390" i="13"/>
  <c r="J389" i="13"/>
  <c r="F389" i="13"/>
  <c r="B389" i="13"/>
  <c r="E389" i="13" s="1"/>
  <c r="L388" i="13"/>
  <c r="H388" i="13"/>
  <c r="D388" i="13"/>
  <c r="J387" i="13"/>
  <c r="F387" i="13"/>
  <c r="B387" i="13"/>
  <c r="E387" i="13" s="1"/>
  <c r="L386" i="13"/>
  <c r="H386" i="13"/>
  <c r="D386" i="13"/>
  <c r="J385" i="13"/>
  <c r="F385" i="13"/>
  <c r="B385" i="13"/>
  <c r="E385" i="13" s="1"/>
  <c r="L384" i="13"/>
  <c r="H384" i="13"/>
  <c r="D384" i="13"/>
  <c r="J383" i="13"/>
  <c r="F383" i="13"/>
  <c r="B383" i="13"/>
  <c r="E383" i="13" s="1"/>
  <c r="L382" i="13"/>
  <c r="H382" i="13"/>
  <c r="D382" i="13"/>
  <c r="J381" i="13"/>
  <c r="F381" i="13"/>
  <c r="B381" i="13"/>
  <c r="E381" i="13" s="1"/>
  <c r="L380" i="13"/>
  <c r="H380" i="13"/>
  <c r="D380" i="13"/>
  <c r="J379" i="13"/>
  <c r="F379" i="13"/>
  <c r="B379" i="13"/>
  <c r="E379" i="13" s="1"/>
  <c r="L378" i="13"/>
  <c r="H378" i="13"/>
  <c r="D378" i="13"/>
  <c r="J377" i="13"/>
  <c r="F377" i="13"/>
  <c r="B377" i="13"/>
  <c r="E377" i="13" s="1"/>
  <c r="L376" i="13"/>
  <c r="H376" i="13"/>
  <c r="D376" i="13"/>
  <c r="J375" i="13"/>
  <c r="F375" i="13"/>
  <c r="B375" i="13"/>
  <c r="E375" i="13" s="1"/>
  <c r="L374" i="13"/>
  <c r="H374" i="13"/>
  <c r="D374" i="13"/>
  <c r="J373" i="13"/>
  <c r="F373" i="13"/>
  <c r="B373" i="13"/>
  <c r="E373" i="13" s="1"/>
  <c r="L372" i="13"/>
  <c r="H372" i="13"/>
  <c r="D372" i="13"/>
  <c r="J371" i="13"/>
  <c r="F371" i="13"/>
  <c r="B371" i="13"/>
  <c r="E371" i="13" s="1"/>
  <c r="L370" i="13"/>
  <c r="H370" i="13"/>
  <c r="D370" i="13"/>
  <c r="J369" i="13"/>
  <c r="F369" i="13"/>
  <c r="B369" i="13"/>
  <c r="E369" i="13" s="1"/>
  <c r="L368" i="13"/>
  <c r="H368" i="13"/>
  <c r="D368" i="13"/>
  <c r="J367" i="13"/>
  <c r="F367" i="13"/>
  <c r="B367" i="13"/>
  <c r="E367" i="13" s="1"/>
  <c r="L366" i="13"/>
  <c r="H366" i="13"/>
  <c r="D366" i="13"/>
  <c r="J365" i="13"/>
  <c r="F365" i="13"/>
  <c r="B365" i="13"/>
  <c r="E365" i="13" s="1"/>
  <c r="L364" i="13"/>
  <c r="H364" i="13"/>
  <c r="D364" i="13"/>
  <c r="J363" i="13"/>
  <c r="F363" i="13"/>
  <c r="B363" i="13"/>
  <c r="E363" i="13" s="1"/>
  <c r="L362" i="13"/>
  <c r="H362" i="13"/>
  <c r="D362" i="13"/>
  <c r="J361" i="13"/>
  <c r="F361" i="13"/>
  <c r="B361" i="13"/>
  <c r="E361" i="13" s="1"/>
  <c r="L360" i="13"/>
  <c r="H360" i="13"/>
  <c r="D360" i="13"/>
  <c r="J359" i="13"/>
  <c r="F359" i="13"/>
  <c r="B359" i="13"/>
  <c r="E359" i="13" s="1"/>
  <c r="L358" i="13"/>
  <c r="H358" i="13"/>
  <c r="D358" i="13"/>
  <c r="J357" i="13"/>
  <c r="F357" i="13"/>
  <c r="B357" i="13"/>
  <c r="E357" i="13" s="1"/>
  <c r="L356" i="13"/>
  <c r="H356" i="13"/>
  <c r="D356" i="13"/>
  <c r="J355" i="13"/>
  <c r="F355" i="13"/>
  <c r="B355" i="13"/>
  <c r="E355" i="13" s="1"/>
  <c r="L354" i="13"/>
  <c r="H354" i="13"/>
  <c r="D354" i="13"/>
  <c r="J353" i="13"/>
  <c r="F353" i="13"/>
  <c r="B353" i="13"/>
  <c r="E353" i="13" s="1"/>
  <c r="L352" i="13"/>
  <c r="H352" i="13"/>
  <c r="D352" i="13"/>
  <c r="J351" i="13"/>
  <c r="F351" i="13"/>
  <c r="B351" i="13"/>
  <c r="E351" i="13" s="1"/>
  <c r="L350" i="13"/>
  <c r="H350" i="13"/>
  <c r="D350" i="13"/>
  <c r="J349" i="13"/>
  <c r="F349" i="13"/>
  <c r="B349" i="13"/>
  <c r="E349" i="13" s="1"/>
  <c r="L348" i="13"/>
  <c r="H348" i="13"/>
  <c r="D348" i="13"/>
  <c r="J347" i="13"/>
  <c r="F347" i="13"/>
  <c r="B347" i="13"/>
  <c r="E347" i="13" s="1"/>
  <c r="L346" i="13"/>
  <c r="H346" i="13"/>
  <c r="D346" i="13"/>
  <c r="J345" i="13"/>
  <c r="F345" i="13"/>
  <c r="B345" i="13"/>
  <c r="E345" i="13" s="1"/>
  <c r="L344" i="13"/>
  <c r="H344" i="13"/>
  <c r="D344" i="13"/>
  <c r="J343" i="13"/>
  <c r="F343" i="13"/>
  <c r="B343" i="13"/>
  <c r="E343" i="13" s="1"/>
  <c r="L342" i="13"/>
  <c r="H342" i="13"/>
  <c r="D342" i="13"/>
  <c r="J341" i="13"/>
  <c r="F341" i="13"/>
  <c r="B341" i="13"/>
  <c r="E341" i="13" s="1"/>
  <c r="L340" i="13"/>
  <c r="H340" i="13"/>
  <c r="D340" i="13"/>
  <c r="J339" i="13"/>
  <c r="F339" i="13"/>
  <c r="B339" i="13"/>
  <c r="E339" i="13" s="1"/>
  <c r="L338" i="13"/>
  <c r="H338" i="13"/>
  <c r="D338" i="13"/>
  <c r="J337" i="13"/>
  <c r="F337" i="13"/>
  <c r="B337" i="13"/>
  <c r="E337" i="13" s="1"/>
  <c r="L336" i="13"/>
  <c r="H336" i="13"/>
  <c r="D336" i="13"/>
  <c r="J335" i="13"/>
  <c r="F335" i="13"/>
  <c r="B335" i="13"/>
  <c r="E335" i="13" s="1"/>
  <c r="L334" i="13"/>
  <c r="H334" i="13"/>
  <c r="D334" i="13"/>
  <c r="B492" i="13"/>
  <c r="E492" i="13" s="1"/>
  <c r="X485" i="13"/>
  <c r="F475" i="13"/>
  <c r="F471" i="13"/>
  <c r="C468" i="13"/>
  <c r="B465" i="13"/>
  <c r="E465" i="13" s="1"/>
  <c r="K462" i="13"/>
  <c r="G460" i="13"/>
  <c r="W460" i="13" s="1"/>
  <c r="C458" i="13"/>
  <c r="V455" i="13"/>
  <c r="I453" i="13"/>
  <c r="X448" i="13"/>
  <c r="K446" i="13"/>
  <c r="G444" i="13"/>
  <c r="C442" i="13"/>
  <c r="V439" i="13"/>
  <c r="I437" i="13"/>
  <c r="X432" i="13"/>
  <c r="X430" i="13"/>
  <c r="V429" i="13"/>
  <c r="K428" i="13"/>
  <c r="I427" i="13"/>
  <c r="G426" i="13"/>
  <c r="C424" i="13"/>
  <c r="X422" i="13"/>
  <c r="V421" i="13"/>
  <c r="K420" i="13"/>
  <c r="I419" i="13"/>
  <c r="G418" i="13"/>
  <c r="C416" i="13"/>
  <c r="X414" i="13"/>
  <c r="V413" i="13"/>
  <c r="K412" i="13"/>
  <c r="I411" i="13"/>
  <c r="G410" i="13"/>
  <c r="C408" i="13"/>
  <c r="X406" i="13"/>
  <c r="G406" i="13"/>
  <c r="W406" i="13" s="1"/>
  <c r="V405" i="13"/>
  <c r="K404" i="13"/>
  <c r="C404" i="13"/>
  <c r="I403" i="13"/>
  <c r="X402" i="13"/>
  <c r="G402" i="13"/>
  <c r="V401" i="13"/>
  <c r="K400" i="13"/>
  <c r="C400" i="13"/>
  <c r="I399" i="13"/>
  <c r="X398" i="13"/>
  <c r="G398" i="13"/>
  <c r="W398" i="13" s="1"/>
  <c r="V397" i="13"/>
  <c r="K396" i="13"/>
  <c r="C396" i="13"/>
  <c r="I395" i="13"/>
  <c r="X394" i="13"/>
  <c r="G394" i="13"/>
  <c r="V393" i="13"/>
  <c r="K392" i="13"/>
  <c r="C392" i="13"/>
  <c r="I391" i="13"/>
  <c r="X390" i="13"/>
  <c r="G390" i="13"/>
  <c r="W390" i="13" s="1"/>
  <c r="V389" i="13"/>
  <c r="K388" i="13"/>
  <c r="C388" i="13"/>
  <c r="I387" i="13"/>
  <c r="X386" i="13"/>
  <c r="G386" i="13"/>
  <c r="V385" i="13"/>
  <c r="K384" i="13"/>
  <c r="C384" i="13"/>
  <c r="I383" i="13"/>
  <c r="X382" i="13"/>
  <c r="G382" i="13"/>
  <c r="W382" i="13" s="1"/>
  <c r="V381" i="13"/>
  <c r="K380" i="13"/>
  <c r="C380" i="13"/>
  <c r="I379" i="13"/>
  <c r="X378" i="13"/>
  <c r="G378" i="13"/>
  <c r="V377" i="13"/>
  <c r="K376" i="13"/>
  <c r="C376" i="13"/>
  <c r="I375" i="13"/>
  <c r="X374" i="13"/>
  <c r="G374" i="13"/>
  <c r="W374" i="13" s="1"/>
  <c r="V373" i="13"/>
  <c r="K372" i="13"/>
  <c r="C372" i="13"/>
  <c r="I371" i="13"/>
  <c r="X370" i="13"/>
  <c r="G370" i="13"/>
  <c r="V369" i="13"/>
  <c r="K368" i="13"/>
  <c r="C368" i="13"/>
  <c r="I367" i="13"/>
  <c r="X366" i="13"/>
  <c r="G366" i="13"/>
  <c r="W366" i="13" s="1"/>
  <c r="V365" i="13"/>
  <c r="K364" i="13"/>
  <c r="C364" i="13"/>
  <c r="I363" i="13"/>
  <c r="X362" i="13"/>
  <c r="G362" i="13"/>
  <c r="V361" i="13"/>
  <c r="K360" i="13"/>
  <c r="C360" i="13"/>
  <c r="I359" i="13"/>
  <c r="X358" i="13"/>
  <c r="G358" i="13"/>
  <c r="W358" i="13" s="1"/>
  <c r="V357" i="13"/>
  <c r="K356" i="13"/>
  <c r="C356" i="13"/>
  <c r="I355" i="13"/>
  <c r="X354" i="13"/>
  <c r="G354" i="13"/>
  <c r="V353" i="13"/>
  <c r="K352" i="13"/>
  <c r="C352" i="13"/>
  <c r="I351" i="13"/>
  <c r="X350" i="13"/>
  <c r="G350" i="13"/>
  <c r="W350" i="13" s="1"/>
  <c r="V349" i="13"/>
  <c r="K348" i="13"/>
  <c r="C348" i="13"/>
  <c r="I347" i="13"/>
  <c r="X346" i="13"/>
  <c r="G346" i="13"/>
  <c r="V345" i="13"/>
  <c r="K344" i="13"/>
  <c r="C344" i="13"/>
  <c r="I343" i="13"/>
  <c r="X342" i="13"/>
  <c r="G342" i="13"/>
  <c r="W342" i="13" s="1"/>
  <c r="V341" i="13"/>
  <c r="K340" i="13"/>
  <c r="C340" i="13"/>
  <c r="I339" i="13"/>
  <c r="X338" i="13"/>
  <c r="G338" i="13"/>
  <c r="V337" i="13"/>
  <c r="K336" i="13"/>
  <c r="C336" i="13"/>
  <c r="I335" i="13"/>
  <c r="X334" i="13"/>
  <c r="G334" i="13"/>
  <c r="W334" i="13" s="1"/>
  <c r="V333" i="13"/>
  <c r="I333" i="13"/>
  <c r="X332" i="13"/>
  <c r="K332" i="13"/>
  <c r="G332" i="13"/>
  <c r="C332" i="13"/>
  <c r="V331" i="13"/>
  <c r="I331" i="13"/>
  <c r="X330" i="13"/>
  <c r="K330" i="13"/>
  <c r="G330" i="13"/>
  <c r="C330" i="13"/>
  <c r="V329" i="13"/>
  <c r="I329" i="13"/>
  <c r="X328" i="13"/>
  <c r="K328" i="13"/>
  <c r="G328" i="13"/>
  <c r="C328" i="13"/>
  <c r="V327" i="13"/>
  <c r="I327" i="13"/>
  <c r="X326" i="13"/>
  <c r="K326" i="13"/>
  <c r="G326" i="13"/>
  <c r="C326" i="13"/>
  <c r="V325" i="13"/>
  <c r="I325" i="13"/>
  <c r="X324" i="13"/>
  <c r="K324" i="13"/>
  <c r="G324" i="13"/>
  <c r="C324" i="13"/>
  <c r="V323" i="13"/>
  <c r="I323" i="13"/>
  <c r="X322" i="13"/>
  <c r="K322" i="13"/>
  <c r="G322" i="13"/>
  <c r="C322" i="13"/>
  <c r="V321" i="13"/>
  <c r="I321" i="13"/>
  <c r="X320" i="13"/>
  <c r="K320" i="13"/>
  <c r="G320" i="13"/>
  <c r="C320" i="13"/>
  <c r="V319" i="13"/>
  <c r="I319" i="13"/>
  <c r="X318" i="13"/>
  <c r="K318" i="13"/>
  <c r="G318" i="13"/>
  <c r="C318" i="13"/>
  <c r="V317" i="13"/>
  <c r="I317" i="13"/>
  <c r="X316" i="13"/>
  <c r="K316" i="13"/>
  <c r="G316" i="13"/>
  <c r="C316" i="13"/>
  <c r="V315" i="13"/>
  <c r="I315" i="13"/>
  <c r="X314" i="13"/>
  <c r="K314" i="13"/>
  <c r="G314" i="13"/>
  <c r="C314" i="13"/>
  <c r="V313" i="13"/>
  <c r="I313" i="13"/>
  <c r="X312" i="13"/>
  <c r="K312" i="13"/>
  <c r="G312" i="13"/>
  <c r="C312" i="13"/>
  <c r="V311" i="13"/>
  <c r="I311" i="13"/>
  <c r="X310" i="13"/>
  <c r="K310" i="13"/>
  <c r="G310" i="13"/>
  <c r="C310" i="13"/>
  <c r="V309" i="13"/>
  <c r="I309" i="13"/>
  <c r="X308" i="13"/>
  <c r="K308" i="13"/>
  <c r="G308" i="13"/>
  <c r="C308" i="13"/>
  <c r="V307" i="13"/>
  <c r="I307" i="13"/>
  <c r="X306" i="13"/>
  <c r="K306" i="13"/>
  <c r="G306" i="13"/>
  <c r="C306" i="13"/>
  <c r="V305" i="13"/>
  <c r="I305" i="13"/>
  <c r="X304" i="13"/>
  <c r="K304" i="13"/>
  <c r="G304" i="13"/>
  <c r="C304" i="13"/>
  <c r="V303" i="13"/>
  <c r="I303" i="13"/>
  <c r="X302" i="13"/>
  <c r="K302" i="13"/>
  <c r="G302" i="13"/>
  <c r="C302" i="13"/>
  <c r="V301" i="13"/>
  <c r="I301" i="13"/>
  <c r="X300" i="13"/>
  <c r="K300" i="13"/>
  <c r="G300" i="13"/>
  <c r="C300" i="13"/>
  <c r="V299" i="13"/>
  <c r="I299" i="13"/>
  <c r="X298" i="13"/>
  <c r="K298" i="13"/>
  <c r="G298" i="13"/>
  <c r="C298" i="13"/>
  <c r="V297" i="13"/>
  <c r="I297" i="13"/>
  <c r="X296" i="13"/>
  <c r="K296" i="13"/>
  <c r="G296" i="13"/>
  <c r="C296" i="13"/>
  <c r="V295" i="13"/>
  <c r="I295" i="13"/>
  <c r="X294" i="13"/>
  <c r="K294" i="13"/>
  <c r="G294" i="13"/>
  <c r="C294" i="13"/>
  <c r="V293" i="13"/>
  <c r="I293" i="13"/>
  <c r="X292" i="13"/>
  <c r="K292" i="13"/>
  <c r="G292" i="13"/>
  <c r="C292" i="13"/>
  <c r="V291" i="13"/>
  <c r="I291" i="13"/>
  <c r="X290" i="13"/>
  <c r="K290" i="13"/>
  <c r="G290" i="13"/>
  <c r="C290" i="13"/>
  <c r="V289" i="13"/>
  <c r="I289" i="13"/>
  <c r="X288" i="13"/>
  <c r="K288" i="13"/>
  <c r="G288" i="13"/>
  <c r="C288" i="13"/>
  <c r="V287" i="13"/>
  <c r="I287" i="13"/>
  <c r="X286" i="13"/>
  <c r="K286" i="13"/>
  <c r="G286" i="13"/>
  <c r="C286" i="13"/>
  <c r="V285" i="13"/>
  <c r="I285" i="13"/>
  <c r="X491" i="13"/>
  <c r="L479" i="13"/>
  <c r="D475" i="13"/>
  <c r="C471" i="13"/>
  <c r="B468" i="13"/>
  <c r="E468" i="13" s="1"/>
  <c r="X464" i="13"/>
  <c r="J462" i="13"/>
  <c r="F460" i="13"/>
  <c r="B458" i="13"/>
  <c r="E458" i="13" s="1"/>
  <c r="L455" i="13"/>
  <c r="H453" i="13"/>
  <c r="D451" i="13"/>
  <c r="J446" i="13"/>
  <c r="F444" i="13"/>
  <c r="B442" i="13"/>
  <c r="E442" i="13" s="1"/>
  <c r="L439" i="13"/>
  <c r="H437" i="13"/>
  <c r="D435" i="13"/>
  <c r="L429" i="13"/>
  <c r="J428" i="13"/>
  <c r="H427" i="13"/>
  <c r="F426" i="13"/>
  <c r="D425" i="13"/>
  <c r="B424" i="13"/>
  <c r="E424" i="13" s="1"/>
  <c r="L421" i="13"/>
  <c r="J420" i="13"/>
  <c r="H419" i="13"/>
  <c r="F418" i="13"/>
  <c r="D417" i="13"/>
  <c r="B416" i="13"/>
  <c r="E416" i="13" s="1"/>
  <c r="L413" i="13"/>
  <c r="J412" i="13"/>
  <c r="H411" i="13"/>
  <c r="F410" i="13"/>
  <c r="D409" i="13"/>
  <c r="B408" i="13"/>
  <c r="E408" i="13" s="1"/>
  <c r="F406" i="13"/>
  <c r="L405" i="13"/>
  <c r="D405" i="13"/>
  <c r="J404" i="13"/>
  <c r="B404" i="13"/>
  <c r="E404" i="13" s="1"/>
  <c r="H403" i="13"/>
  <c r="F402" i="13"/>
  <c r="L401" i="13"/>
  <c r="D401" i="13"/>
  <c r="J400" i="13"/>
  <c r="B400" i="13"/>
  <c r="E400" i="13" s="1"/>
  <c r="H399" i="13"/>
  <c r="F398" i="13"/>
  <c r="L397" i="13"/>
  <c r="D397" i="13"/>
  <c r="J396" i="13"/>
  <c r="B396" i="13"/>
  <c r="E396" i="13" s="1"/>
  <c r="H395" i="13"/>
  <c r="F394" i="13"/>
  <c r="L393" i="13"/>
  <c r="D393" i="13"/>
  <c r="J392" i="13"/>
  <c r="B392" i="13"/>
  <c r="E392" i="13" s="1"/>
  <c r="H391" i="13"/>
  <c r="F390" i="13"/>
  <c r="L389" i="13"/>
  <c r="D389" i="13"/>
  <c r="J388" i="13"/>
  <c r="B388" i="13"/>
  <c r="E388" i="13" s="1"/>
  <c r="H387" i="13"/>
  <c r="F386" i="13"/>
  <c r="L385" i="13"/>
  <c r="D385" i="13"/>
  <c r="J384" i="13"/>
  <c r="B384" i="13"/>
  <c r="E384" i="13" s="1"/>
  <c r="H383" i="13"/>
  <c r="F382" i="13"/>
  <c r="L381" i="13"/>
  <c r="D381" i="13"/>
  <c r="J380" i="13"/>
  <c r="B380" i="13"/>
  <c r="E380" i="13" s="1"/>
  <c r="H379" i="13"/>
  <c r="F378" i="13"/>
  <c r="L377" i="13"/>
  <c r="D377" i="13"/>
  <c r="J376" i="13"/>
  <c r="B376" i="13"/>
  <c r="E376" i="13" s="1"/>
  <c r="H375" i="13"/>
  <c r="F374" i="13"/>
  <c r="L373" i="13"/>
  <c r="D373" i="13"/>
  <c r="J372" i="13"/>
  <c r="B372" i="13"/>
  <c r="E372" i="13" s="1"/>
  <c r="H371" i="13"/>
  <c r="F370" i="13"/>
  <c r="L369" i="13"/>
  <c r="D369" i="13"/>
  <c r="J368" i="13"/>
  <c r="B368" i="13"/>
  <c r="E368" i="13" s="1"/>
  <c r="H367" i="13"/>
  <c r="F366" i="13"/>
  <c r="L365" i="13"/>
  <c r="D365" i="13"/>
  <c r="J364" i="13"/>
  <c r="B364" i="13"/>
  <c r="E364" i="13" s="1"/>
  <c r="H363" i="13"/>
  <c r="F362" i="13"/>
  <c r="L361" i="13"/>
  <c r="D361" i="13"/>
  <c r="J360" i="13"/>
  <c r="B360" i="13"/>
  <c r="E360" i="13" s="1"/>
  <c r="H359" i="13"/>
  <c r="F358" i="13"/>
  <c r="L357" i="13"/>
  <c r="D357" i="13"/>
  <c r="J356" i="13"/>
  <c r="B356" i="13"/>
  <c r="E356" i="13" s="1"/>
  <c r="H355" i="13"/>
  <c r="F354" i="13"/>
  <c r="L353" i="13"/>
  <c r="D353" i="13"/>
  <c r="J352" i="13"/>
  <c r="B352" i="13"/>
  <c r="E352" i="13" s="1"/>
  <c r="H351" i="13"/>
  <c r="F350" i="13"/>
  <c r="L349" i="13"/>
  <c r="D349" i="13"/>
  <c r="J348" i="13"/>
  <c r="B348" i="13"/>
  <c r="E348" i="13" s="1"/>
  <c r="H347" i="13"/>
  <c r="F346" i="13"/>
  <c r="L345" i="13"/>
  <c r="D345" i="13"/>
  <c r="J344" i="13"/>
  <c r="B344" i="13"/>
  <c r="E344" i="13" s="1"/>
  <c r="H343" i="13"/>
  <c r="F342" i="13"/>
  <c r="L341" i="13"/>
  <c r="D341" i="13"/>
  <c r="J340" i="13"/>
  <c r="B340" i="13"/>
  <c r="E340" i="13" s="1"/>
  <c r="H339" i="13"/>
  <c r="F338" i="13"/>
  <c r="L337" i="13"/>
  <c r="D337" i="13"/>
  <c r="J336" i="13"/>
  <c r="B336" i="13"/>
  <c r="E336" i="13" s="1"/>
  <c r="H335" i="13"/>
  <c r="F334" i="13"/>
  <c r="L333" i="13"/>
  <c r="H333" i="13"/>
  <c r="D333" i="13"/>
  <c r="J332" i="13"/>
  <c r="F332" i="13"/>
  <c r="B332" i="13"/>
  <c r="E332" i="13" s="1"/>
  <c r="L331" i="13"/>
  <c r="H331" i="13"/>
  <c r="D331" i="13"/>
  <c r="J330" i="13"/>
  <c r="F330" i="13"/>
  <c r="B330" i="13"/>
  <c r="E330" i="13" s="1"/>
  <c r="L329" i="13"/>
  <c r="H329" i="13"/>
  <c r="D329" i="13"/>
  <c r="J328" i="13"/>
  <c r="F328" i="13"/>
  <c r="B328" i="13"/>
  <c r="E328" i="13" s="1"/>
  <c r="L327" i="13"/>
  <c r="H327" i="13"/>
  <c r="D327" i="13"/>
  <c r="J326" i="13"/>
  <c r="F326" i="13"/>
  <c r="B326" i="13"/>
  <c r="E326" i="13" s="1"/>
  <c r="L325" i="13"/>
  <c r="H325" i="13"/>
  <c r="D325" i="13"/>
  <c r="J324" i="13"/>
  <c r="F324" i="13"/>
  <c r="B324" i="13"/>
  <c r="E324" i="13" s="1"/>
  <c r="L323" i="13"/>
  <c r="H323" i="13"/>
  <c r="D323" i="13"/>
  <c r="J322" i="13"/>
  <c r="F322" i="13"/>
  <c r="B322" i="13"/>
  <c r="E322" i="13" s="1"/>
  <c r="L321" i="13"/>
  <c r="H321" i="13"/>
  <c r="D321" i="13"/>
  <c r="J320" i="13"/>
  <c r="F320" i="13"/>
  <c r="B320" i="13"/>
  <c r="E320" i="13" s="1"/>
  <c r="L319" i="13"/>
  <c r="H319" i="13"/>
  <c r="D319" i="13"/>
  <c r="J318" i="13"/>
  <c r="F318" i="13"/>
  <c r="B318" i="13"/>
  <c r="E318" i="13" s="1"/>
  <c r="L317" i="13"/>
  <c r="H317" i="13"/>
  <c r="D317" i="13"/>
  <c r="J316" i="13"/>
  <c r="F316" i="13"/>
  <c r="B316" i="13"/>
  <c r="E316" i="13" s="1"/>
  <c r="L315" i="13"/>
  <c r="H315" i="13"/>
  <c r="D315" i="13"/>
  <c r="J314" i="13"/>
  <c r="F314" i="13"/>
  <c r="B314" i="13"/>
  <c r="E314" i="13" s="1"/>
  <c r="L313" i="13"/>
  <c r="H313" i="13"/>
  <c r="D313" i="13"/>
  <c r="J312" i="13"/>
  <c r="F312" i="13"/>
  <c r="B312" i="13"/>
  <c r="E312" i="13" s="1"/>
  <c r="L311" i="13"/>
  <c r="H311" i="13"/>
  <c r="D311" i="13"/>
  <c r="J310" i="13"/>
  <c r="F310" i="13"/>
  <c r="B310" i="13"/>
  <c r="E310" i="13" s="1"/>
  <c r="L309" i="13"/>
  <c r="H309" i="13"/>
  <c r="D309" i="13"/>
  <c r="J308" i="13"/>
  <c r="F308" i="13"/>
  <c r="B308" i="13"/>
  <c r="E308" i="13" s="1"/>
  <c r="L307" i="13"/>
  <c r="H307" i="13"/>
  <c r="D307" i="13"/>
  <c r="J306" i="13"/>
  <c r="F306" i="13"/>
  <c r="B306" i="13"/>
  <c r="E306" i="13" s="1"/>
  <c r="L305" i="13"/>
  <c r="H305" i="13"/>
  <c r="D305" i="13"/>
  <c r="J304" i="13"/>
  <c r="F304" i="13"/>
  <c r="B304" i="13"/>
  <c r="E304" i="13" s="1"/>
  <c r="L303" i="13"/>
  <c r="H303" i="13"/>
  <c r="D303" i="13"/>
  <c r="J302" i="13"/>
  <c r="F302" i="13"/>
  <c r="B302" i="13"/>
  <c r="E302" i="13" s="1"/>
  <c r="L301" i="13"/>
  <c r="H301" i="13"/>
  <c r="D301" i="13"/>
  <c r="J300" i="13"/>
  <c r="F300" i="13"/>
  <c r="B300" i="13"/>
  <c r="E300" i="13" s="1"/>
  <c r="L299" i="13"/>
  <c r="H299" i="13"/>
  <c r="D299" i="13"/>
  <c r="J298" i="13"/>
  <c r="F298" i="13"/>
  <c r="B298" i="13"/>
  <c r="E298" i="13" s="1"/>
  <c r="L297" i="13"/>
  <c r="H297" i="13"/>
  <c r="D297" i="13"/>
  <c r="J296" i="13"/>
  <c r="F296" i="13"/>
  <c r="B296" i="13"/>
  <c r="E296" i="13" s="1"/>
  <c r="L295" i="13"/>
  <c r="H295" i="13"/>
  <c r="D295" i="13"/>
  <c r="J294" i="13"/>
  <c r="F294" i="13"/>
  <c r="B294" i="13"/>
  <c r="E294" i="13" s="1"/>
  <c r="L293" i="13"/>
  <c r="H293" i="13"/>
  <c r="D293" i="13"/>
  <c r="J292" i="13"/>
  <c r="F292" i="13"/>
  <c r="B292" i="13"/>
  <c r="E292" i="13" s="1"/>
  <c r="L291" i="13"/>
  <c r="H291" i="13"/>
  <c r="D291" i="13"/>
  <c r="J290" i="13"/>
  <c r="F290" i="13"/>
  <c r="B290" i="13"/>
  <c r="E290" i="13" s="1"/>
  <c r="L289" i="13"/>
  <c r="H289" i="13"/>
  <c r="D289" i="13"/>
  <c r="J288" i="13"/>
  <c r="F288" i="13"/>
  <c r="B288" i="13"/>
  <c r="E288" i="13" s="1"/>
  <c r="L287" i="13"/>
  <c r="H287" i="13"/>
  <c r="D287" i="13"/>
  <c r="J286" i="13"/>
  <c r="F286" i="13"/>
  <c r="B286" i="13"/>
  <c r="E286" i="13" s="1"/>
  <c r="L285" i="13"/>
  <c r="H285" i="13"/>
  <c r="D285" i="13"/>
  <c r="B489" i="13"/>
  <c r="E489" i="13" s="1"/>
  <c r="G477" i="13"/>
  <c r="W477" i="13" s="1"/>
  <c r="J469" i="13"/>
  <c r="V463" i="13"/>
  <c r="K454" i="13"/>
  <c r="C450" i="13"/>
  <c r="I445" i="13"/>
  <c r="X440" i="13"/>
  <c r="G436" i="13"/>
  <c r="W436" i="13" s="1"/>
  <c r="V431" i="13"/>
  <c r="X426" i="13"/>
  <c r="K424" i="13"/>
  <c r="G422" i="13"/>
  <c r="W422" i="13" s="1"/>
  <c r="C420" i="13"/>
  <c r="V417" i="13"/>
  <c r="I415" i="13"/>
  <c r="X410" i="13"/>
  <c r="K408" i="13"/>
  <c r="K406" i="13"/>
  <c r="I405" i="13"/>
  <c r="G404" i="13"/>
  <c r="W404" i="13" s="1"/>
  <c r="C402" i="13"/>
  <c r="X400" i="13"/>
  <c r="V399" i="13"/>
  <c r="K398" i="13"/>
  <c r="I397" i="13"/>
  <c r="G396" i="13"/>
  <c r="C394" i="13"/>
  <c r="X392" i="13"/>
  <c r="V391" i="13"/>
  <c r="K390" i="13"/>
  <c r="I389" i="13"/>
  <c r="G388" i="13"/>
  <c r="W388" i="13" s="1"/>
  <c r="C386" i="13"/>
  <c r="X384" i="13"/>
  <c r="V383" i="13"/>
  <c r="K382" i="13"/>
  <c r="I381" i="13"/>
  <c r="G380" i="13"/>
  <c r="C378" i="13"/>
  <c r="X376" i="13"/>
  <c r="V375" i="13"/>
  <c r="K374" i="13"/>
  <c r="I373" i="13"/>
  <c r="G372" i="13"/>
  <c r="W372" i="13" s="1"/>
  <c r="C370" i="13"/>
  <c r="X368" i="13"/>
  <c r="V367" i="13"/>
  <c r="K366" i="13"/>
  <c r="I365" i="13"/>
  <c r="G364" i="13"/>
  <c r="C362" i="13"/>
  <c r="X360" i="13"/>
  <c r="V359" i="13"/>
  <c r="K358" i="13"/>
  <c r="I357" i="13"/>
  <c r="G356" i="13"/>
  <c r="W356" i="13" s="1"/>
  <c r="C354" i="13"/>
  <c r="X352" i="13"/>
  <c r="V351" i="13"/>
  <c r="K350" i="13"/>
  <c r="I349" i="13"/>
  <c r="G348" i="13"/>
  <c r="C346" i="13"/>
  <c r="X344" i="13"/>
  <c r="V343" i="13"/>
  <c r="K342" i="13"/>
  <c r="I341" i="13"/>
  <c r="G340" i="13"/>
  <c r="W340" i="13" s="1"/>
  <c r="C338" i="13"/>
  <c r="X336" i="13"/>
  <c r="V335" i="13"/>
  <c r="K334" i="13"/>
  <c r="K333" i="13"/>
  <c r="C333" i="13"/>
  <c r="I332" i="13"/>
  <c r="X331" i="13"/>
  <c r="G331" i="13"/>
  <c r="V330" i="13"/>
  <c r="K329" i="13"/>
  <c r="C329" i="13"/>
  <c r="I328" i="13"/>
  <c r="X327" i="13"/>
  <c r="G327" i="13"/>
  <c r="V326" i="13"/>
  <c r="K325" i="13"/>
  <c r="C325" i="13"/>
  <c r="I324" i="13"/>
  <c r="X323" i="13"/>
  <c r="G323" i="13"/>
  <c r="V322" i="13"/>
  <c r="K321" i="13"/>
  <c r="C321" i="13"/>
  <c r="I320" i="13"/>
  <c r="X319" i="13"/>
  <c r="G319" i="13"/>
  <c r="V318" i="13"/>
  <c r="K317" i="13"/>
  <c r="C317" i="13"/>
  <c r="I316" i="13"/>
  <c r="X315" i="13"/>
  <c r="G315" i="13"/>
  <c r="V314" i="13"/>
  <c r="K313" i="13"/>
  <c r="C313" i="13"/>
  <c r="I312" i="13"/>
  <c r="X311" i="13"/>
  <c r="G311" i="13"/>
  <c r="V310" i="13"/>
  <c r="K309" i="13"/>
  <c r="C309" i="13"/>
  <c r="I308" i="13"/>
  <c r="X307" i="13"/>
  <c r="G307" i="13"/>
  <c r="V306" i="13"/>
  <c r="K305" i="13"/>
  <c r="C305" i="13"/>
  <c r="I304" i="13"/>
  <c r="X303" i="13"/>
  <c r="G303" i="13"/>
  <c r="V302" i="13"/>
  <c r="K301" i="13"/>
  <c r="C301" i="13"/>
  <c r="I300" i="13"/>
  <c r="X299" i="13"/>
  <c r="G299" i="13"/>
  <c r="V298" i="13"/>
  <c r="K297" i="13"/>
  <c r="C297" i="13"/>
  <c r="I296" i="13"/>
  <c r="X295" i="13"/>
  <c r="G295" i="13"/>
  <c r="V294" i="13"/>
  <c r="K293" i="13"/>
  <c r="C293" i="13"/>
  <c r="I292" i="13"/>
  <c r="X291" i="13"/>
  <c r="G291" i="13"/>
  <c r="V290" i="13"/>
  <c r="K289" i="13"/>
  <c r="C289" i="13"/>
  <c r="I288" i="13"/>
  <c r="X287" i="13"/>
  <c r="G287" i="13"/>
  <c r="V286" i="13"/>
  <c r="K285" i="13"/>
  <c r="C285" i="13"/>
  <c r="V284" i="13"/>
  <c r="I284" i="13"/>
  <c r="X283" i="13"/>
  <c r="K283" i="13"/>
  <c r="G283" i="13"/>
  <c r="C283" i="13"/>
  <c r="V282" i="13"/>
  <c r="I282" i="13"/>
  <c r="X281" i="13"/>
  <c r="K281" i="13"/>
  <c r="G281" i="13"/>
  <c r="C281" i="13"/>
  <c r="V280" i="13"/>
  <c r="I280" i="13"/>
  <c r="X279" i="13"/>
  <c r="K279" i="13"/>
  <c r="G279" i="13"/>
  <c r="C279" i="13"/>
  <c r="V278" i="13"/>
  <c r="I278" i="13"/>
  <c r="X277" i="13"/>
  <c r="K277" i="13"/>
  <c r="G277" i="13"/>
  <c r="C277" i="13"/>
  <c r="V276" i="13"/>
  <c r="I276" i="13"/>
  <c r="X275" i="13"/>
  <c r="K275" i="13"/>
  <c r="G275" i="13"/>
  <c r="C275" i="13"/>
  <c r="V274" i="13"/>
  <c r="I274" i="13"/>
  <c r="X273" i="13"/>
  <c r="K273" i="13"/>
  <c r="G273" i="13"/>
  <c r="C273" i="13"/>
  <c r="V272" i="13"/>
  <c r="I272" i="13"/>
  <c r="X271" i="13"/>
  <c r="K271" i="13"/>
  <c r="G271" i="13"/>
  <c r="C271" i="13"/>
  <c r="V270" i="13"/>
  <c r="I270" i="13"/>
  <c r="X269" i="13"/>
  <c r="K269" i="13"/>
  <c r="G269" i="13"/>
  <c r="C269" i="13"/>
  <c r="V268" i="13"/>
  <c r="I268" i="13"/>
  <c r="X267" i="13"/>
  <c r="K267" i="13"/>
  <c r="G267" i="13"/>
  <c r="C267" i="13"/>
  <c r="V266" i="13"/>
  <c r="I266" i="13"/>
  <c r="X265" i="13"/>
  <c r="K265" i="13"/>
  <c r="G265" i="13"/>
  <c r="C265" i="13"/>
  <c r="V264" i="13"/>
  <c r="I264" i="13"/>
  <c r="X263" i="13"/>
  <c r="K263" i="13"/>
  <c r="G263" i="13"/>
  <c r="C263" i="13"/>
  <c r="V262" i="13"/>
  <c r="I262" i="13"/>
  <c r="X261" i="13"/>
  <c r="K261" i="13"/>
  <c r="G261" i="13"/>
  <c r="C261" i="13"/>
  <c r="V260" i="13"/>
  <c r="I260" i="13"/>
  <c r="X259" i="13"/>
  <c r="K259" i="13"/>
  <c r="G259" i="13"/>
  <c r="C259" i="13"/>
  <c r="V258" i="13"/>
  <c r="I258" i="13"/>
  <c r="X257" i="13"/>
  <c r="K257" i="13"/>
  <c r="G257" i="13"/>
  <c r="C257" i="13"/>
  <c r="V256" i="13"/>
  <c r="I256" i="13"/>
  <c r="X255" i="13"/>
  <c r="K255" i="13"/>
  <c r="G255" i="13"/>
  <c r="C255" i="13"/>
  <c r="V254" i="13"/>
  <c r="I254" i="13"/>
  <c r="X253" i="13"/>
  <c r="K253" i="13"/>
  <c r="G253" i="13"/>
  <c r="C253" i="13"/>
  <c r="V252" i="13"/>
  <c r="I252" i="13"/>
  <c r="X251" i="13"/>
  <c r="K251" i="13"/>
  <c r="G251" i="13"/>
  <c r="C251" i="13"/>
  <c r="V250" i="13"/>
  <c r="I250" i="13"/>
  <c r="X249" i="13"/>
  <c r="K249" i="13"/>
  <c r="G249" i="13"/>
  <c r="C249" i="13"/>
  <c r="V248" i="13"/>
  <c r="I248" i="13"/>
  <c r="X247" i="13"/>
  <c r="K247" i="13"/>
  <c r="G247" i="13"/>
  <c r="C247" i="13"/>
  <c r="V246" i="13"/>
  <c r="I246" i="13"/>
  <c r="X245" i="13"/>
  <c r="K245" i="13"/>
  <c r="G245" i="13"/>
  <c r="C245" i="13"/>
  <c r="V244" i="13"/>
  <c r="I244" i="13"/>
  <c r="X243" i="13"/>
  <c r="K243" i="13"/>
  <c r="G243" i="13"/>
  <c r="C243" i="13"/>
  <c r="V242" i="13"/>
  <c r="I242" i="13"/>
  <c r="X241" i="13"/>
  <c r="K241" i="13"/>
  <c r="G241" i="13"/>
  <c r="C241" i="13"/>
  <c r="V240" i="13"/>
  <c r="I240" i="13"/>
  <c r="X239" i="13"/>
  <c r="K239" i="13"/>
  <c r="G239" i="13"/>
  <c r="C239" i="13"/>
  <c r="V238" i="13"/>
  <c r="I238" i="13"/>
  <c r="X237" i="13"/>
  <c r="K237" i="13"/>
  <c r="G237" i="13"/>
  <c r="C237" i="13"/>
  <c r="V236" i="13"/>
  <c r="I236" i="13"/>
  <c r="X235" i="13"/>
  <c r="K235" i="13"/>
  <c r="G235" i="13"/>
  <c r="C235" i="13"/>
  <c r="V234" i="13"/>
  <c r="I234" i="13"/>
  <c r="X233" i="13"/>
  <c r="K233" i="13"/>
  <c r="G233" i="13"/>
  <c r="C233" i="13"/>
  <c r="V232" i="13"/>
  <c r="I232" i="13"/>
  <c r="X231" i="13"/>
  <c r="K231" i="13"/>
  <c r="G231" i="13"/>
  <c r="C231" i="13"/>
  <c r="V230" i="13"/>
  <c r="I230" i="13"/>
  <c r="X229" i="13"/>
  <c r="K229" i="13"/>
  <c r="G229" i="13"/>
  <c r="C229" i="13"/>
  <c r="V228" i="13"/>
  <c r="I228" i="13"/>
  <c r="X227" i="13"/>
  <c r="K227" i="13"/>
  <c r="G227" i="13"/>
  <c r="C227" i="13"/>
  <c r="V226" i="13"/>
  <c r="I226" i="13"/>
  <c r="X225" i="13"/>
  <c r="K225" i="13"/>
  <c r="G225" i="13"/>
  <c r="C225" i="13"/>
  <c r="V224" i="13"/>
  <c r="I224" i="13"/>
  <c r="X223" i="13"/>
  <c r="K223" i="13"/>
  <c r="G223" i="13"/>
  <c r="C223" i="13"/>
  <c r="V222" i="13"/>
  <c r="I222" i="13"/>
  <c r="X221" i="13"/>
  <c r="K221" i="13"/>
  <c r="G221" i="13"/>
  <c r="C221" i="13"/>
  <c r="V220" i="13"/>
  <c r="I220" i="13"/>
  <c r="X219" i="13"/>
  <c r="K219" i="13"/>
  <c r="G219" i="13"/>
  <c r="C219" i="13"/>
  <c r="V218" i="13"/>
  <c r="I218" i="13"/>
  <c r="X217" i="13"/>
  <c r="K217" i="13"/>
  <c r="G217" i="13"/>
  <c r="C217" i="13"/>
  <c r="V216" i="13"/>
  <c r="I216" i="13"/>
  <c r="X215" i="13"/>
  <c r="K215" i="13"/>
  <c r="G215" i="13"/>
  <c r="C215" i="13"/>
  <c r="V214" i="13"/>
  <c r="I214" i="13"/>
  <c r="X213" i="13"/>
  <c r="K213" i="13"/>
  <c r="G213" i="13"/>
  <c r="C213" i="13"/>
  <c r="V212" i="13"/>
  <c r="I212" i="13"/>
  <c r="X211" i="13"/>
  <c r="K211" i="13"/>
  <c r="G211" i="13"/>
  <c r="C211" i="13"/>
  <c r="V210" i="13"/>
  <c r="I210" i="13"/>
  <c r="X209" i="13"/>
  <c r="K209" i="13"/>
  <c r="G209" i="13"/>
  <c r="C209" i="13"/>
  <c r="V208" i="13"/>
  <c r="I208" i="13"/>
  <c r="X207" i="13"/>
  <c r="K207" i="13"/>
  <c r="G207" i="13"/>
  <c r="C207" i="13"/>
  <c r="V206" i="13"/>
  <c r="I206" i="13"/>
  <c r="X205" i="13"/>
  <c r="K205" i="13"/>
  <c r="G205" i="13"/>
  <c r="C205" i="13"/>
  <c r="V204" i="13"/>
  <c r="I204" i="13"/>
  <c r="X203" i="13"/>
  <c r="K203" i="13"/>
  <c r="G203" i="13"/>
  <c r="C203" i="13"/>
  <c r="V202" i="13"/>
  <c r="I202" i="13"/>
  <c r="X201" i="13"/>
  <c r="K201" i="13"/>
  <c r="G201" i="13"/>
  <c r="C201" i="13"/>
  <c r="V200" i="13"/>
  <c r="I200" i="13"/>
  <c r="X199" i="13"/>
  <c r="K199" i="13"/>
  <c r="G199" i="13"/>
  <c r="C199" i="13"/>
  <c r="V198" i="13"/>
  <c r="I198" i="13"/>
  <c r="X197" i="13"/>
  <c r="K197" i="13"/>
  <c r="G197" i="13"/>
  <c r="C197" i="13"/>
  <c r="V196" i="13"/>
  <c r="I196" i="13"/>
  <c r="X195" i="13"/>
  <c r="K195" i="13"/>
  <c r="G195" i="13"/>
  <c r="C195" i="13"/>
  <c r="V194" i="13"/>
  <c r="I194" i="13"/>
  <c r="X193" i="13"/>
  <c r="K193" i="13"/>
  <c r="G193" i="13"/>
  <c r="C193" i="13"/>
  <c r="V192" i="13"/>
  <c r="I192" i="13"/>
  <c r="X191" i="13"/>
  <c r="K191" i="13"/>
  <c r="G191" i="13"/>
  <c r="C191" i="13"/>
  <c r="V190" i="13"/>
  <c r="I190" i="13"/>
  <c r="X189" i="13"/>
  <c r="K189" i="13"/>
  <c r="G189" i="13"/>
  <c r="C189" i="13"/>
  <c r="V188" i="13"/>
  <c r="I188" i="13"/>
  <c r="X187" i="13"/>
  <c r="K187" i="13"/>
  <c r="G187" i="13"/>
  <c r="C187" i="13"/>
  <c r="V186" i="13"/>
  <c r="I186" i="13"/>
  <c r="X185" i="13"/>
  <c r="K185" i="13"/>
  <c r="G185" i="13"/>
  <c r="C185" i="13"/>
  <c r="V184" i="13"/>
  <c r="I184" i="13"/>
  <c r="X183" i="13"/>
  <c r="K183" i="13"/>
  <c r="G183" i="13"/>
  <c r="C183" i="13"/>
  <c r="V182" i="13"/>
  <c r="I182" i="13"/>
  <c r="X181" i="13"/>
  <c r="K181" i="13"/>
  <c r="G181" i="13"/>
  <c r="C181" i="13"/>
  <c r="V180" i="13"/>
  <c r="I180" i="13"/>
  <c r="X179" i="13"/>
  <c r="K179" i="13"/>
  <c r="G179" i="13"/>
  <c r="C179" i="13"/>
  <c r="V178" i="13"/>
  <c r="I178" i="13"/>
  <c r="X177" i="13"/>
  <c r="K177" i="13"/>
  <c r="G177" i="13"/>
  <c r="C177" i="13"/>
  <c r="V176" i="13"/>
  <c r="I176" i="13"/>
  <c r="X175" i="13"/>
  <c r="K175" i="13"/>
  <c r="G175" i="13"/>
  <c r="C175" i="13"/>
  <c r="V174" i="13"/>
  <c r="I174" i="13"/>
  <c r="X173" i="13"/>
  <c r="K173" i="13"/>
  <c r="G173" i="13"/>
  <c r="C173" i="13"/>
  <c r="V172" i="13"/>
  <c r="I172" i="13"/>
  <c r="X171" i="13"/>
  <c r="K171" i="13"/>
  <c r="G171" i="13"/>
  <c r="C171" i="13"/>
  <c r="V170" i="13"/>
  <c r="I170" i="13"/>
  <c r="X169" i="13"/>
  <c r="K169" i="13"/>
  <c r="G169" i="13"/>
  <c r="C169" i="13"/>
  <c r="V168" i="13"/>
  <c r="I168" i="13"/>
  <c r="X167" i="13"/>
  <c r="K167" i="13"/>
  <c r="G167" i="13"/>
  <c r="C167" i="13"/>
  <c r="V166" i="13"/>
  <c r="I166" i="13"/>
  <c r="X165" i="13"/>
  <c r="K165" i="13"/>
  <c r="G165" i="13"/>
  <c r="C165" i="13"/>
  <c r="V164" i="13"/>
  <c r="I164" i="13"/>
  <c r="X163" i="13"/>
  <c r="K163" i="13"/>
  <c r="G163" i="13"/>
  <c r="C163" i="13"/>
  <c r="V162" i="13"/>
  <c r="I162" i="13"/>
  <c r="X161" i="13"/>
  <c r="K161" i="13"/>
  <c r="G161" i="13"/>
  <c r="C161" i="13"/>
  <c r="V160" i="13"/>
  <c r="I160" i="13"/>
  <c r="X159" i="13"/>
  <c r="K159" i="13"/>
  <c r="G159" i="13"/>
  <c r="C159" i="13"/>
  <c r="V158" i="13"/>
  <c r="I158" i="13"/>
  <c r="X157" i="13"/>
  <c r="K157" i="13"/>
  <c r="G157" i="13"/>
  <c r="C157" i="13"/>
  <c r="V156" i="13"/>
  <c r="I156" i="13"/>
  <c r="X155" i="13"/>
  <c r="K155" i="13"/>
  <c r="G155" i="13"/>
  <c r="C155" i="13"/>
  <c r="V154" i="13"/>
  <c r="I154" i="13"/>
  <c r="X153" i="13"/>
  <c r="K153" i="13"/>
  <c r="G153" i="13"/>
  <c r="C153" i="13"/>
  <c r="V152" i="13"/>
  <c r="I152" i="13"/>
  <c r="X151" i="13"/>
  <c r="K151" i="13"/>
  <c r="G151" i="13"/>
  <c r="C151" i="13"/>
  <c r="V150" i="13"/>
  <c r="I150" i="13"/>
  <c r="X149" i="13"/>
  <c r="K149" i="13"/>
  <c r="G149" i="13"/>
  <c r="C149" i="13"/>
  <c r="V148" i="13"/>
  <c r="I148" i="13"/>
  <c r="X147" i="13"/>
  <c r="K147" i="13"/>
  <c r="G147" i="13"/>
  <c r="C147" i="13"/>
  <c r="V146" i="13"/>
  <c r="I146" i="13"/>
  <c r="X145" i="13"/>
  <c r="K145" i="13"/>
  <c r="G145" i="13"/>
  <c r="C145" i="13"/>
  <c r="V144" i="13"/>
  <c r="I144" i="13"/>
  <c r="X143" i="13"/>
  <c r="K143" i="13"/>
  <c r="G143" i="13"/>
  <c r="C143" i="13"/>
  <c r="V142" i="13"/>
  <c r="I142" i="13"/>
  <c r="X141" i="13"/>
  <c r="K141" i="13"/>
  <c r="G141" i="13"/>
  <c r="C141" i="13"/>
  <c r="V140" i="13"/>
  <c r="I140" i="13"/>
  <c r="X139" i="13"/>
  <c r="K139" i="13"/>
  <c r="G139" i="13"/>
  <c r="C139" i="13"/>
  <c r="D477" i="13"/>
  <c r="I469" i="13"/>
  <c r="L463" i="13"/>
  <c r="D459" i="13"/>
  <c r="J454" i="13"/>
  <c r="B450" i="13"/>
  <c r="E450" i="13" s="1"/>
  <c r="H445" i="13"/>
  <c r="F436" i="13"/>
  <c r="L431" i="13"/>
  <c r="D429" i="13"/>
  <c r="J424" i="13"/>
  <c r="F422" i="13"/>
  <c r="B420" i="13"/>
  <c r="E420" i="13" s="1"/>
  <c r="L417" i="13"/>
  <c r="H415" i="13"/>
  <c r="D413" i="13"/>
  <c r="J408" i="13"/>
  <c r="J406" i="13"/>
  <c r="H405" i="13"/>
  <c r="F404" i="13"/>
  <c r="D403" i="13"/>
  <c r="B402" i="13"/>
  <c r="E402" i="13" s="1"/>
  <c r="L399" i="13"/>
  <c r="J398" i="13"/>
  <c r="H397" i="13"/>
  <c r="F396" i="13"/>
  <c r="D395" i="13"/>
  <c r="B394" i="13"/>
  <c r="E394" i="13" s="1"/>
  <c r="L391" i="13"/>
  <c r="J390" i="13"/>
  <c r="H389" i="13"/>
  <c r="F388" i="13"/>
  <c r="D387" i="13"/>
  <c r="B386" i="13"/>
  <c r="E386" i="13" s="1"/>
  <c r="L383" i="13"/>
  <c r="J382" i="13"/>
  <c r="H381" i="13"/>
  <c r="F380" i="13"/>
  <c r="D379" i="13"/>
  <c r="B378" i="13"/>
  <c r="E378" i="13" s="1"/>
  <c r="L375" i="13"/>
  <c r="J374" i="13"/>
  <c r="H373" i="13"/>
  <c r="F372" i="13"/>
  <c r="D371" i="13"/>
  <c r="B370" i="13"/>
  <c r="E370" i="13" s="1"/>
  <c r="L367" i="13"/>
  <c r="J366" i="13"/>
  <c r="H365" i="13"/>
  <c r="F364" i="13"/>
  <c r="D363" i="13"/>
  <c r="B362" i="13"/>
  <c r="E362" i="13" s="1"/>
  <c r="L359" i="13"/>
  <c r="J358" i="13"/>
  <c r="H357" i="13"/>
  <c r="F356" i="13"/>
  <c r="D355" i="13"/>
  <c r="B354" i="13"/>
  <c r="E354" i="13" s="1"/>
  <c r="L351" i="13"/>
  <c r="J350" i="13"/>
  <c r="H349" i="13"/>
  <c r="F348" i="13"/>
  <c r="D347" i="13"/>
  <c r="B346" i="13"/>
  <c r="E346" i="13" s="1"/>
  <c r="L343" i="13"/>
  <c r="J342" i="13"/>
  <c r="H341" i="13"/>
  <c r="F340" i="13"/>
  <c r="D339" i="13"/>
  <c r="B338" i="13"/>
  <c r="E338" i="13" s="1"/>
  <c r="L335" i="13"/>
  <c r="J334" i="13"/>
  <c r="J333" i="13"/>
  <c r="B333" i="13"/>
  <c r="E333" i="13" s="1"/>
  <c r="H332" i="13"/>
  <c r="F331" i="13"/>
  <c r="L330" i="13"/>
  <c r="D330" i="13"/>
  <c r="J329" i="13"/>
  <c r="B329" i="13"/>
  <c r="E329" i="13" s="1"/>
  <c r="H328" i="13"/>
  <c r="F327" i="13"/>
  <c r="L326" i="13"/>
  <c r="D326" i="13"/>
  <c r="J325" i="13"/>
  <c r="B325" i="13"/>
  <c r="E325" i="13" s="1"/>
  <c r="H324" i="13"/>
  <c r="F323" i="13"/>
  <c r="L322" i="13"/>
  <c r="D322" i="13"/>
  <c r="J321" i="13"/>
  <c r="B321" i="13"/>
  <c r="E321" i="13" s="1"/>
  <c r="H320" i="13"/>
  <c r="F319" i="13"/>
  <c r="L318" i="13"/>
  <c r="D318" i="13"/>
  <c r="J317" i="13"/>
  <c r="B317" i="13"/>
  <c r="E317" i="13" s="1"/>
  <c r="H316" i="13"/>
  <c r="F315" i="13"/>
  <c r="L314" i="13"/>
  <c r="D314" i="13"/>
  <c r="J313" i="13"/>
  <c r="B313" i="13"/>
  <c r="E313" i="13" s="1"/>
  <c r="H312" i="13"/>
  <c r="F311" i="13"/>
  <c r="L310" i="13"/>
  <c r="D310" i="13"/>
  <c r="J309" i="13"/>
  <c r="B309" i="13"/>
  <c r="E309" i="13" s="1"/>
  <c r="H308" i="13"/>
  <c r="F307" i="13"/>
  <c r="L306" i="13"/>
  <c r="D306" i="13"/>
  <c r="J305" i="13"/>
  <c r="B305" i="13"/>
  <c r="E305" i="13" s="1"/>
  <c r="H304" i="13"/>
  <c r="F303" i="13"/>
  <c r="L302" i="13"/>
  <c r="D302" i="13"/>
  <c r="J301" i="13"/>
  <c r="B301" i="13"/>
  <c r="E301" i="13" s="1"/>
  <c r="H300" i="13"/>
  <c r="F299" i="13"/>
  <c r="L298" i="13"/>
  <c r="D298" i="13"/>
  <c r="J297" i="13"/>
  <c r="B297" i="13"/>
  <c r="E297" i="13" s="1"/>
  <c r="H296" i="13"/>
  <c r="F295" i="13"/>
  <c r="L294" i="13"/>
  <c r="D294" i="13"/>
  <c r="J293" i="13"/>
  <c r="B293" i="13"/>
  <c r="E293" i="13" s="1"/>
  <c r="H292" i="13"/>
  <c r="F291" i="13"/>
  <c r="L290" i="13"/>
  <c r="D290" i="13"/>
  <c r="J289" i="13"/>
  <c r="B289" i="13"/>
  <c r="E289" i="13" s="1"/>
  <c r="H288" i="13"/>
  <c r="F287" i="13"/>
  <c r="L286" i="13"/>
  <c r="D286" i="13"/>
  <c r="J285" i="13"/>
  <c r="B285" i="13"/>
  <c r="E285" i="13" s="1"/>
  <c r="L284" i="13"/>
  <c r="H284" i="13"/>
  <c r="D284" i="13"/>
  <c r="J283" i="13"/>
  <c r="F283" i="13"/>
  <c r="B283" i="13"/>
  <c r="E283" i="13" s="1"/>
  <c r="L282" i="13"/>
  <c r="H282" i="13"/>
  <c r="D282" i="13"/>
  <c r="J281" i="13"/>
  <c r="F281" i="13"/>
  <c r="B281" i="13"/>
  <c r="E281" i="13" s="1"/>
  <c r="L280" i="13"/>
  <c r="H280" i="13"/>
  <c r="D280" i="13"/>
  <c r="J279" i="13"/>
  <c r="F279" i="13"/>
  <c r="B279" i="13"/>
  <c r="E279" i="13" s="1"/>
  <c r="L278" i="13"/>
  <c r="H278" i="13"/>
  <c r="D278" i="13"/>
  <c r="J277" i="13"/>
  <c r="F277" i="13"/>
  <c r="B277" i="13"/>
  <c r="E277" i="13" s="1"/>
  <c r="L276" i="13"/>
  <c r="H276" i="13"/>
  <c r="D276" i="13"/>
  <c r="J275" i="13"/>
  <c r="F275" i="13"/>
  <c r="B275" i="13"/>
  <c r="E275" i="13" s="1"/>
  <c r="L274" i="13"/>
  <c r="H274" i="13"/>
  <c r="D274" i="13"/>
  <c r="J273" i="13"/>
  <c r="F273" i="13"/>
  <c r="B273" i="13"/>
  <c r="E273" i="13" s="1"/>
  <c r="L272" i="13"/>
  <c r="H272" i="13"/>
  <c r="D272" i="13"/>
  <c r="J271" i="13"/>
  <c r="F271" i="13"/>
  <c r="B271" i="13"/>
  <c r="E271" i="13" s="1"/>
  <c r="L270" i="13"/>
  <c r="H270" i="13"/>
  <c r="D270" i="13"/>
  <c r="J269" i="13"/>
  <c r="F269" i="13"/>
  <c r="B269" i="13"/>
  <c r="E269" i="13" s="1"/>
  <c r="L268" i="13"/>
  <c r="H268" i="13"/>
  <c r="D268" i="13"/>
  <c r="J267" i="13"/>
  <c r="F267" i="13"/>
  <c r="B267" i="13"/>
  <c r="E267" i="13" s="1"/>
  <c r="L266" i="13"/>
  <c r="H266" i="13"/>
  <c r="D266" i="13"/>
  <c r="J265" i="13"/>
  <c r="F265" i="13"/>
  <c r="B265" i="13"/>
  <c r="E265" i="13" s="1"/>
  <c r="L264" i="13"/>
  <c r="H264" i="13"/>
  <c r="D264" i="13"/>
  <c r="J263" i="13"/>
  <c r="F263" i="13"/>
  <c r="B263" i="13"/>
  <c r="E263" i="13" s="1"/>
  <c r="L262" i="13"/>
  <c r="H262" i="13"/>
  <c r="D262" i="13"/>
  <c r="J261" i="13"/>
  <c r="F261" i="13"/>
  <c r="B261" i="13"/>
  <c r="E261" i="13" s="1"/>
  <c r="L260" i="13"/>
  <c r="H260" i="13"/>
  <c r="D260" i="13"/>
  <c r="J259" i="13"/>
  <c r="F259" i="13"/>
  <c r="B259" i="13"/>
  <c r="E259" i="13" s="1"/>
  <c r="L258" i="13"/>
  <c r="H258" i="13"/>
  <c r="D258" i="13"/>
  <c r="J257" i="13"/>
  <c r="F257" i="13"/>
  <c r="B257" i="13"/>
  <c r="E257" i="13" s="1"/>
  <c r="L256" i="13"/>
  <c r="H256" i="13"/>
  <c r="D256" i="13"/>
  <c r="J255" i="13"/>
  <c r="F255" i="13"/>
  <c r="B255" i="13"/>
  <c r="E255" i="13" s="1"/>
  <c r="L254" i="13"/>
  <c r="H254" i="13"/>
  <c r="D254" i="13"/>
  <c r="J253" i="13"/>
  <c r="F253" i="13"/>
  <c r="B253" i="13"/>
  <c r="E253" i="13" s="1"/>
  <c r="L252" i="13"/>
  <c r="H252" i="13"/>
  <c r="D252" i="13"/>
  <c r="J251" i="13"/>
  <c r="F251" i="13"/>
  <c r="B251" i="13"/>
  <c r="E251" i="13" s="1"/>
  <c r="L250" i="13"/>
  <c r="H250" i="13"/>
  <c r="D250" i="13"/>
  <c r="J249" i="13"/>
  <c r="F249" i="13"/>
  <c r="B249" i="13"/>
  <c r="E249" i="13" s="1"/>
  <c r="L248" i="13"/>
  <c r="H248" i="13"/>
  <c r="D248" i="13"/>
  <c r="J247" i="13"/>
  <c r="F247" i="13"/>
  <c r="B247" i="13"/>
  <c r="E247" i="13" s="1"/>
  <c r="L246" i="13"/>
  <c r="H246" i="13"/>
  <c r="D246" i="13"/>
  <c r="J245" i="13"/>
  <c r="F245" i="13"/>
  <c r="B245" i="13"/>
  <c r="E245" i="13" s="1"/>
  <c r="L244" i="13"/>
  <c r="H244" i="13"/>
  <c r="D244" i="13"/>
  <c r="J243" i="13"/>
  <c r="F243" i="13"/>
  <c r="B243" i="13"/>
  <c r="E243" i="13" s="1"/>
  <c r="L242" i="13"/>
  <c r="H242" i="13"/>
  <c r="D242" i="13"/>
  <c r="J241" i="13"/>
  <c r="F241" i="13"/>
  <c r="B241" i="13"/>
  <c r="E241" i="13" s="1"/>
  <c r="L240" i="13"/>
  <c r="H240" i="13"/>
  <c r="D240" i="13"/>
  <c r="J239" i="13"/>
  <c r="F239" i="13"/>
  <c r="B239" i="13"/>
  <c r="E239" i="13" s="1"/>
  <c r="L238" i="13"/>
  <c r="H238" i="13"/>
  <c r="D238" i="13"/>
  <c r="J237" i="13"/>
  <c r="F237" i="13"/>
  <c r="B237" i="13"/>
  <c r="E237" i="13" s="1"/>
  <c r="L236" i="13"/>
  <c r="H236" i="13"/>
  <c r="D236" i="13"/>
  <c r="J235" i="13"/>
  <c r="F235" i="13"/>
  <c r="B235" i="13"/>
  <c r="E235" i="13" s="1"/>
  <c r="L234" i="13"/>
  <c r="H234" i="13"/>
  <c r="D234" i="13"/>
  <c r="J233" i="13"/>
  <c r="F233" i="13"/>
  <c r="B233" i="13"/>
  <c r="E233" i="13" s="1"/>
  <c r="L232" i="13"/>
  <c r="H232" i="13"/>
  <c r="D232" i="13"/>
  <c r="J231" i="13"/>
  <c r="F231" i="13"/>
  <c r="B231" i="13"/>
  <c r="E231" i="13" s="1"/>
  <c r="L230" i="13"/>
  <c r="H230" i="13"/>
  <c r="D230" i="13"/>
  <c r="J229" i="13"/>
  <c r="F229" i="13"/>
  <c r="B229" i="13"/>
  <c r="E229" i="13" s="1"/>
  <c r="L228" i="13"/>
  <c r="H228" i="13"/>
  <c r="D228" i="13"/>
  <c r="J227" i="13"/>
  <c r="F227" i="13"/>
  <c r="B227" i="13"/>
  <c r="E227" i="13" s="1"/>
  <c r="L226" i="13"/>
  <c r="H226" i="13"/>
  <c r="D226" i="13"/>
  <c r="J225" i="13"/>
  <c r="F225" i="13"/>
  <c r="B225" i="13"/>
  <c r="E225" i="13" s="1"/>
  <c r="L224" i="13"/>
  <c r="H224" i="13"/>
  <c r="D224" i="13"/>
  <c r="J223" i="13"/>
  <c r="F223" i="13"/>
  <c r="B223" i="13"/>
  <c r="E223" i="13" s="1"/>
  <c r="L222" i="13"/>
  <c r="H222" i="13"/>
  <c r="D222" i="13"/>
  <c r="J221" i="13"/>
  <c r="F221" i="13"/>
  <c r="B221" i="13"/>
  <c r="E221" i="13" s="1"/>
  <c r="L220" i="13"/>
  <c r="H220" i="13"/>
  <c r="D220" i="13"/>
  <c r="J219" i="13"/>
  <c r="F219" i="13"/>
  <c r="B219" i="13"/>
  <c r="E219" i="13" s="1"/>
  <c r="L218" i="13"/>
  <c r="H218" i="13"/>
  <c r="D218" i="13"/>
  <c r="J217" i="13"/>
  <c r="F217" i="13"/>
  <c r="B217" i="13"/>
  <c r="E217" i="13" s="1"/>
  <c r="L216" i="13"/>
  <c r="H216" i="13"/>
  <c r="D216" i="13"/>
  <c r="J215" i="13"/>
  <c r="F215" i="13"/>
  <c r="B215" i="13"/>
  <c r="E215" i="13" s="1"/>
  <c r="L214" i="13"/>
  <c r="H214" i="13"/>
  <c r="D214" i="13"/>
  <c r="J213" i="13"/>
  <c r="F213" i="13"/>
  <c r="B213" i="13"/>
  <c r="E213" i="13" s="1"/>
  <c r="L212" i="13"/>
  <c r="H212" i="13"/>
  <c r="D212" i="13"/>
  <c r="J211" i="13"/>
  <c r="F211" i="13"/>
  <c r="B211" i="13"/>
  <c r="E211" i="13" s="1"/>
  <c r="L210" i="13"/>
  <c r="H210" i="13"/>
  <c r="D210" i="13"/>
  <c r="J209" i="13"/>
  <c r="F209" i="13"/>
  <c r="B209" i="13"/>
  <c r="E209" i="13" s="1"/>
  <c r="L208" i="13"/>
  <c r="H208" i="13"/>
  <c r="D208" i="13"/>
  <c r="J207" i="13"/>
  <c r="F207" i="13"/>
  <c r="B207" i="13"/>
  <c r="E207" i="13" s="1"/>
  <c r="L206" i="13"/>
  <c r="H206" i="13"/>
  <c r="D206" i="13"/>
  <c r="J205" i="13"/>
  <c r="F205" i="13"/>
  <c r="B205" i="13"/>
  <c r="E205" i="13" s="1"/>
  <c r="L204" i="13"/>
  <c r="H204" i="13"/>
  <c r="D204" i="13"/>
  <c r="J203" i="13"/>
  <c r="F203" i="13"/>
  <c r="B203" i="13"/>
  <c r="E203" i="13" s="1"/>
  <c r="L202" i="13"/>
  <c r="H202" i="13"/>
  <c r="D202" i="13"/>
  <c r="J201" i="13"/>
  <c r="F201" i="13"/>
  <c r="B201" i="13"/>
  <c r="E201" i="13" s="1"/>
  <c r="L200" i="13"/>
  <c r="H200" i="13"/>
  <c r="D200" i="13"/>
  <c r="J199" i="13"/>
  <c r="F199" i="13"/>
  <c r="B199" i="13"/>
  <c r="E199" i="13" s="1"/>
  <c r="L198" i="13"/>
  <c r="H198" i="13"/>
  <c r="D198" i="13"/>
  <c r="J197" i="13"/>
  <c r="F197" i="13"/>
  <c r="B197" i="13"/>
  <c r="E197" i="13" s="1"/>
  <c r="L196" i="13"/>
  <c r="H196" i="13"/>
  <c r="D196" i="13"/>
  <c r="J195" i="13"/>
  <c r="F195" i="13"/>
  <c r="B195" i="13"/>
  <c r="E195" i="13" s="1"/>
  <c r="L194" i="13"/>
  <c r="H194" i="13"/>
  <c r="D194" i="13"/>
  <c r="J193" i="13"/>
  <c r="F193" i="13"/>
  <c r="B193" i="13"/>
  <c r="E193" i="13" s="1"/>
  <c r="L192" i="13"/>
  <c r="H192" i="13"/>
  <c r="D192" i="13"/>
  <c r="J191" i="13"/>
  <c r="F191" i="13"/>
  <c r="B191" i="13"/>
  <c r="E191" i="13" s="1"/>
  <c r="L190" i="13"/>
  <c r="H190" i="13"/>
  <c r="D190" i="13"/>
  <c r="J189" i="13"/>
  <c r="F189" i="13"/>
  <c r="B189" i="13"/>
  <c r="E189" i="13" s="1"/>
  <c r="L188" i="13"/>
  <c r="H188" i="13"/>
  <c r="D188" i="13"/>
  <c r="J187" i="13"/>
  <c r="F187" i="13"/>
  <c r="B187" i="13"/>
  <c r="E187" i="13" s="1"/>
  <c r="L186" i="13"/>
  <c r="H186" i="13"/>
  <c r="D186" i="13"/>
  <c r="J185" i="13"/>
  <c r="F185" i="13"/>
  <c r="B185" i="13"/>
  <c r="E185" i="13" s="1"/>
  <c r="L184" i="13"/>
  <c r="H184" i="13"/>
  <c r="D184" i="13"/>
  <c r="J183" i="13"/>
  <c r="F183" i="13"/>
  <c r="B183" i="13"/>
  <c r="E183" i="13" s="1"/>
  <c r="L182" i="13"/>
  <c r="H182" i="13"/>
  <c r="D182" i="13"/>
  <c r="J181" i="13"/>
  <c r="F181" i="13"/>
  <c r="B181" i="13"/>
  <c r="E181" i="13" s="1"/>
  <c r="L180" i="13"/>
  <c r="H180" i="13"/>
  <c r="D180" i="13"/>
  <c r="J179" i="13"/>
  <c r="F179" i="13"/>
  <c r="B179" i="13"/>
  <c r="E179" i="13" s="1"/>
  <c r="L178" i="13"/>
  <c r="H178" i="13"/>
  <c r="D178" i="13"/>
  <c r="J177" i="13"/>
  <c r="F177" i="13"/>
  <c r="B177" i="13"/>
  <c r="E177" i="13" s="1"/>
  <c r="L176" i="13"/>
  <c r="H176" i="13"/>
  <c r="D176" i="13"/>
  <c r="J175" i="13"/>
  <c r="F175" i="13"/>
  <c r="B175" i="13"/>
  <c r="E175" i="13" s="1"/>
  <c r="L174" i="13"/>
  <c r="H174" i="13"/>
  <c r="D174" i="13"/>
  <c r="J173" i="13"/>
  <c r="F173" i="13"/>
  <c r="B173" i="13"/>
  <c r="E173" i="13" s="1"/>
  <c r="L172" i="13"/>
  <c r="H172" i="13"/>
  <c r="D172" i="13"/>
  <c r="J171" i="13"/>
  <c r="F171" i="13"/>
  <c r="B171" i="13"/>
  <c r="E171" i="13" s="1"/>
  <c r="L170" i="13"/>
  <c r="H170" i="13"/>
  <c r="D170" i="13"/>
  <c r="J169" i="13"/>
  <c r="F169" i="13"/>
  <c r="B169" i="13"/>
  <c r="E169" i="13" s="1"/>
  <c r="L168" i="13"/>
  <c r="H168" i="13"/>
  <c r="D168" i="13"/>
  <c r="J167" i="13"/>
  <c r="F167" i="13"/>
  <c r="B167" i="13"/>
  <c r="E167" i="13" s="1"/>
  <c r="L166" i="13"/>
  <c r="H166" i="13"/>
  <c r="D166" i="13"/>
  <c r="J165" i="13"/>
  <c r="F165" i="13"/>
  <c r="B165" i="13"/>
  <c r="E165" i="13" s="1"/>
  <c r="L164" i="13"/>
  <c r="H164" i="13"/>
  <c r="D164" i="13"/>
  <c r="J163" i="13"/>
  <c r="F163" i="13"/>
  <c r="B163" i="13"/>
  <c r="E163" i="13" s="1"/>
  <c r="L162" i="13"/>
  <c r="H162" i="13"/>
  <c r="D162" i="13"/>
  <c r="J161" i="13"/>
  <c r="F161" i="13"/>
  <c r="B161" i="13"/>
  <c r="E161" i="13" s="1"/>
  <c r="L160" i="13"/>
  <c r="H160" i="13"/>
  <c r="D160" i="13"/>
  <c r="J159" i="13"/>
  <c r="F159" i="13"/>
  <c r="B159" i="13"/>
  <c r="E159" i="13" s="1"/>
  <c r="L158" i="13"/>
  <c r="H158" i="13"/>
  <c r="D158" i="13"/>
  <c r="J157" i="13"/>
  <c r="F157" i="13"/>
  <c r="B157" i="13"/>
  <c r="E157" i="13" s="1"/>
  <c r="L156" i="13"/>
  <c r="H156" i="13"/>
  <c r="D156" i="13"/>
  <c r="J155" i="13"/>
  <c r="F155" i="13"/>
  <c r="B155" i="13"/>
  <c r="E155" i="13" s="1"/>
  <c r="L154" i="13"/>
  <c r="J466" i="13"/>
  <c r="X456" i="13"/>
  <c r="V447" i="13"/>
  <c r="K438" i="13"/>
  <c r="G430" i="13"/>
  <c r="W430" i="13" s="1"/>
  <c r="V425" i="13"/>
  <c r="K416" i="13"/>
  <c r="C412" i="13"/>
  <c r="I407" i="13"/>
  <c r="X404" i="13"/>
  <c r="K402" i="13"/>
  <c r="G400" i="13"/>
  <c r="W400" i="13" s="1"/>
  <c r="C398" i="13"/>
  <c r="V395" i="13"/>
  <c r="I393" i="13"/>
  <c r="X388" i="13"/>
  <c r="K386" i="13"/>
  <c r="G384" i="13"/>
  <c r="W384" i="13" s="1"/>
  <c r="C382" i="13"/>
  <c r="V379" i="13"/>
  <c r="I377" i="13"/>
  <c r="X372" i="13"/>
  <c r="K370" i="13"/>
  <c r="G368" i="13"/>
  <c r="W368" i="13" s="1"/>
  <c r="C366" i="13"/>
  <c r="V363" i="13"/>
  <c r="I361" i="13"/>
  <c r="X356" i="13"/>
  <c r="K354" i="13"/>
  <c r="G352" i="13"/>
  <c r="W352" i="13" s="1"/>
  <c r="C350" i="13"/>
  <c r="V347" i="13"/>
  <c r="I345" i="13"/>
  <c r="X340" i="13"/>
  <c r="K338" i="13"/>
  <c r="G336" i="13"/>
  <c r="W336" i="13" s="1"/>
  <c r="C334" i="13"/>
  <c r="V332" i="13"/>
  <c r="K331" i="13"/>
  <c r="I330" i="13"/>
  <c r="G329" i="13"/>
  <c r="W329" i="13" s="1"/>
  <c r="C327" i="13"/>
  <c r="X325" i="13"/>
  <c r="V324" i="13"/>
  <c r="K323" i="13"/>
  <c r="I322" i="13"/>
  <c r="G321" i="13"/>
  <c r="C319" i="13"/>
  <c r="X317" i="13"/>
  <c r="V316" i="13"/>
  <c r="K315" i="13"/>
  <c r="I314" i="13"/>
  <c r="G313" i="13"/>
  <c r="W313" i="13" s="1"/>
  <c r="C311" i="13"/>
  <c r="X309" i="13"/>
  <c r="V308" i="13"/>
  <c r="K307" i="13"/>
  <c r="I306" i="13"/>
  <c r="G305" i="13"/>
  <c r="C303" i="13"/>
  <c r="X301" i="13"/>
  <c r="V300" i="13"/>
  <c r="K299" i="13"/>
  <c r="I298" i="13"/>
  <c r="G297" i="13"/>
  <c r="W297" i="13" s="1"/>
  <c r="C295" i="13"/>
  <c r="X293" i="13"/>
  <c r="V292" i="13"/>
  <c r="K291" i="13"/>
  <c r="I290" i="13"/>
  <c r="G289" i="13"/>
  <c r="C287" i="13"/>
  <c r="X285" i="13"/>
  <c r="X284" i="13"/>
  <c r="G284" i="13"/>
  <c r="V283" i="13"/>
  <c r="K282" i="13"/>
  <c r="C282" i="13"/>
  <c r="I281" i="13"/>
  <c r="X280" i="13"/>
  <c r="G280" i="13"/>
  <c r="V279" i="13"/>
  <c r="K278" i="13"/>
  <c r="C278" i="13"/>
  <c r="I277" i="13"/>
  <c r="X276" i="13"/>
  <c r="G276" i="13"/>
  <c r="V275" i="13"/>
  <c r="K274" i="13"/>
  <c r="C274" i="13"/>
  <c r="I273" i="13"/>
  <c r="X272" i="13"/>
  <c r="G272" i="13"/>
  <c r="V271" i="13"/>
  <c r="K270" i="13"/>
  <c r="C270" i="13"/>
  <c r="I269" i="13"/>
  <c r="X268" i="13"/>
  <c r="G268" i="13"/>
  <c r="V267" i="13"/>
  <c r="K266" i="13"/>
  <c r="C266" i="13"/>
  <c r="I265" i="13"/>
  <c r="X264" i="13"/>
  <c r="G264" i="13"/>
  <c r="V263" i="13"/>
  <c r="K262" i="13"/>
  <c r="C262" i="13"/>
  <c r="I261" i="13"/>
  <c r="X260" i="13"/>
  <c r="G260" i="13"/>
  <c r="V259" i="13"/>
  <c r="K258" i="13"/>
  <c r="C258" i="13"/>
  <c r="I257" i="13"/>
  <c r="X256" i="13"/>
  <c r="G256" i="13"/>
  <c r="V255" i="13"/>
  <c r="K254" i="13"/>
  <c r="C254" i="13"/>
  <c r="I253" i="13"/>
  <c r="X252" i="13"/>
  <c r="G252" i="13"/>
  <c r="V251" i="13"/>
  <c r="K250" i="13"/>
  <c r="C250" i="13"/>
  <c r="I249" i="13"/>
  <c r="X248" i="13"/>
  <c r="G248" i="13"/>
  <c r="V247" i="13"/>
  <c r="K246" i="13"/>
  <c r="C246" i="13"/>
  <c r="I245" i="13"/>
  <c r="X244" i="13"/>
  <c r="G244" i="13"/>
  <c r="V243" i="13"/>
  <c r="K242" i="13"/>
  <c r="C242" i="13"/>
  <c r="I241" i="13"/>
  <c r="X240" i="13"/>
  <c r="G240" i="13"/>
  <c r="V239" i="13"/>
  <c r="K238" i="13"/>
  <c r="C238" i="13"/>
  <c r="I237" i="13"/>
  <c r="X236" i="13"/>
  <c r="G236" i="13"/>
  <c r="V235" i="13"/>
  <c r="K234" i="13"/>
  <c r="C234" i="13"/>
  <c r="I233" i="13"/>
  <c r="X232" i="13"/>
  <c r="G232" i="13"/>
  <c r="V231" i="13"/>
  <c r="K230" i="13"/>
  <c r="C230" i="13"/>
  <c r="I229" i="13"/>
  <c r="X228" i="13"/>
  <c r="G228" i="13"/>
  <c r="V227" i="13"/>
  <c r="K226" i="13"/>
  <c r="C226" i="13"/>
  <c r="I225" i="13"/>
  <c r="X224" i="13"/>
  <c r="G224" i="13"/>
  <c r="V223" i="13"/>
  <c r="K222" i="13"/>
  <c r="C222" i="13"/>
  <c r="I221" i="13"/>
  <c r="X220" i="13"/>
  <c r="G220" i="13"/>
  <c r="V219" i="13"/>
  <c r="K218" i="13"/>
  <c r="C218" i="13"/>
  <c r="I217" i="13"/>
  <c r="X216" i="13"/>
  <c r="G216" i="13"/>
  <c r="V215" i="13"/>
  <c r="K214" i="13"/>
  <c r="C214" i="13"/>
  <c r="I213" i="13"/>
  <c r="X212" i="13"/>
  <c r="G212" i="13"/>
  <c r="V211" i="13"/>
  <c r="K210" i="13"/>
  <c r="C210" i="13"/>
  <c r="I209" i="13"/>
  <c r="X208" i="13"/>
  <c r="G208" i="13"/>
  <c r="V207" i="13"/>
  <c r="K206" i="13"/>
  <c r="C206" i="13"/>
  <c r="I205" i="13"/>
  <c r="X204" i="13"/>
  <c r="G204" i="13"/>
  <c r="V203" i="13"/>
  <c r="K202" i="13"/>
  <c r="C202" i="13"/>
  <c r="I201" i="13"/>
  <c r="X200" i="13"/>
  <c r="G200" i="13"/>
  <c r="V199" i="13"/>
  <c r="K198" i="13"/>
  <c r="C198" i="13"/>
  <c r="I197" i="13"/>
  <c r="X196" i="13"/>
  <c r="G196" i="13"/>
  <c r="V195" i="13"/>
  <c r="K194" i="13"/>
  <c r="C194" i="13"/>
  <c r="I193" i="13"/>
  <c r="X192" i="13"/>
  <c r="G192" i="13"/>
  <c r="V191" i="13"/>
  <c r="K190" i="13"/>
  <c r="C190" i="13"/>
  <c r="I189" i="13"/>
  <c r="X188" i="13"/>
  <c r="G188" i="13"/>
  <c r="V187" i="13"/>
  <c r="K186" i="13"/>
  <c r="C186" i="13"/>
  <c r="I185" i="13"/>
  <c r="X184" i="13"/>
  <c r="G184" i="13"/>
  <c r="V183" i="13"/>
  <c r="K182" i="13"/>
  <c r="C182" i="13"/>
  <c r="I181" i="13"/>
  <c r="X180" i="13"/>
  <c r="G180" i="13"/>
  <c r="V179" i="13"/>
  <c r="K178" i="13"/>
  <c r="C178" i="13"/>
  <c r="I177" i="13"/>
  <c r="X176" i="13"/>
  <c r="G176" i="13"/>
  <c r="V175" i="13"/>
  <c r="K174" i="13"/>
  <c r="C174" i="13"/>
  <c r="I173" i="13"/>
  <c r="X172" i="13"/>
  <c r="G172" i="13"/>
  <c r="V171" i="13"/>
  <c r="K170" i="13"/>
  <c r="C170" i="13"/>
  <c r="I169" i="13"/>
  <c r="X168" i="13"/>
  <c r="G168" i="13"/>
  <c r="V167" i="13"/>
  <c r="K166" i="13"/>
  <c r="C166" i="13"/>
  <c r="I165" i="13"/>
  <c r="X164" i="13"/>
  <c r="G164" i="13"/>
  <c r="V163" i="13"/>
  <c r="K162" i="13"/>
  <c r="C162" i="13"/>
  <c r="I161" i="13"/>
  <c r="X160" i="13"/>
  <c r="G160" i="13"/>
  <c r="V159" i="13"/>
  <c r="K158" i="13"/>
  <c r="C158" i="13"/>
  <c r="I157" i="13"/>
  <c r="X156" i="13"/>
  <c r="G156" i="13"/>
  <c r="V155" i="13"/>
  <c r="K154" i="13"/>
  <c r="F154" i="13"/>
  <c r="I153" i="13"/>
  <c r="D153" i="13"/>
  <c r="L152" i="13"/>
  <c r="G152" i="13"/>
  <c r="W152" i="13" s="1"/>
  <c r="B152" i="13"/>
  <c r="E152" i="13" s="1"/>
  <c r="J151" i="13"/>
  <c r="H150" i="13"/>
  <c r="C150" i="13"/>
  <c r="L149" i="13"/>
  <c r="F149" i="13"/>
  <c r="X148" i="13"/>
  <c r="J148" i="13"/>
  <c r="D148" i="13"/>
  <c r="V147" i="13"/>
  <c r="H147" i="13"/>
  <c r="B147" i="13"/>
  <c r="E147" i="13" s="1"/>
  <c r="K146" i="13"/>
  <c r="F146" i="13"/>
  <c r="I145" i="13"/>
  <c r="D145" i="13"/>
  <c r="L144" i="13"/>
  <c r="G144" i="13"/>
  <c r="B144" i="13"/>
  <c r="E144" i="13" s="1"/>
  <c r="J143" i="13"/>
  <c r="H142" i="13"/>
  <c r="C142" i="13"/>
  <c r="L141" i="13"/>
  <c r="F141" i="13"/>
  <c r="X140" i="13"/>
  <c r="J140" i="13"/>
  <c r="D140" i="13"/>
  <c r="V139" i="13"/>
  <c r="H139" i="13"/>
  <c r="B139" i="13"/>
  <c r="E139" i="13" s="1"/>
  <c r="L138" i="13"/>
  <c r="H138" i="13"/>
  <c r="D138" i="13"/>
  <c r="J137" i="13"/>
  <c r="F137" i="13"/>
  <c r="B137" i="13"/>
  <c r="E137" i="13" s="1"/>
  <c r="L136" i="13"/>
  <c r="H136" i="13"/>
  <c r="D136" i="13"/>
  <c r="J135" i="13"/>
  <c r="F135" i="13"/>
  <c r="B135" i="13"/>
  <c r="E135" i="13" s="1"/>
  <c r="L134" i="13"/>
  <c r="H134" i="13"/>
  <c r="D134" i="13"/>
  <c r="J133" i="13"/>
  <c r="F133" i="13"/>
  <c r="B133" i="13"/>
  <c r="E133" i="13" s="1"/>
  <c r="L132" i="13"/>
  <c r="H132" i="13"/>
  <c r="D132" i="13"/>
  <c r="J131" i="13"/>
  <c r="F131" i="13"/>
  <c r="B131" i="13"/>
  <c r="E131" i="13" s="1"/>
  <c r="L130" i="13"/>
  <c r="H130" i="13"/>
  <c r="D130" i="13"/>
  <c r="J129" i="13"/>
  <c r="F129" i="13"/>
  <c r="B129" i="13"/>
  <c r="E129" i="13" s="1"/>
  <c r="L128" i="13"/>
  <c r="H128" i="13"/>
  <c r="D128" i="13"/>
  <c r="J127" i="13"/>
  <c r="F127" i="13"/>
  <c r="B127" i="13"/>
  <c r="E127" i="13" s="1"/>
  <c r="L126" i="13"/>
  <c r="H126" i="13"/>
  <c r="D126" i="13"/>
  <c r="J125" i="13"/>
  <c r="F125" i="13"/>
  <c r="B125" i="13"/>
  <c r="E125" i="13" s="1"/>
  <c r="L124" i="13"/>
  <c r="H124" i="13"/>
  <c r="D124" i="13"/>
  <c r="J123" i="13"/>
  <c r="F123" i="13"/>
  <c r="B123" i="13"/>
  <c r="E123" i="13" s="1"/>
  <c r="L122" i="13"/>
  <c r="H122" i="13"/>
  <c r="D122" i="13"/>
  <c r="J121" i="13"/>
  <c r="F121" i="13"/>
  <c r="B121" i="13"/>
  <c r="E121" i="13" s="1"/>
  <c r="L120" i="13"/>
  <c r="H120" i="13"/>
  <c r="D120" i="13"/>
  <c r="J119" i="13"/>
  <c r="F119" i="13"/>
  <c r="B119" i="13"/>
  <c r="E119" i="13" s="1"/>
  <c r="L118" i="13"/>
  <c r="H118" i="13"/>
  <c r="D118" i="13"/>
  <c r="J117" i="13"/>
  <c r="F117" i="13"/>
  <c r="B117" i="13"/>
  <c r="E117" i="13" s="1"/>
  <c r="L116" i="13"/>
  <c r="H116" i="13"/>
  <c r="D116" i="13"/>
  <c r="J115" i="13"/>
  <c r="F115" i="13"/>
  <c r="B115" i="13"/>
  <c r="E115" i="13" s="1"/>
  <c r="L114" i="13"/>
  <c r="H114" i="13"/>
  <c r="D114" i="13"/>
  <c r="J113" i="13"/>
  <c r="F113" i="13"/>
  <c r="B113" i="13"/>
  <c r="E113" i="13" s="1"/>
  <c r="L112" i="13"/>
  <c r="H112" i="13"/>
  <c r="D112" i="13"/>
  <c r="J111" i="13"/>
  <c r="F111" i="13"/>
  <c r="B111" i="13"/>
  <c r="E111" i="13" s="1"/>
  <c r="L110" i="13"/>
  <c r="H110" i="13"/>
  <c r="D110" i="13"/>
  <c r="J109" i="13"/>
  <c r="F109" i="13"/>
  <c r="B109" i="13"/>
  <c r="E109" i="13" s="1"/>
  <c r="L108" i="13"/>
  <c r="H108" i="13"/>
  <c r="D108" i="13"/>
  <c r="J107" i="13"/>
  <c r="F107" i="13"/>
  <c r="B107" i="13"/>
  <c r="E107" i="13" s="1"/>
  <c r="L106" i="13"/>
  <c r="H106" i="13"/>
  <c r="D106" i="13"/>
  <c r="J105" i="13"/>
  <c r="F105" i="13"/>
  <c r="B105" i="13"/>
  <c r="E105" i="13" s="1"/>
  <c r="L104" i="13"/>
  <c r="H104" i="13"/>
  <c r="D104" i="13"/>
  <c r="J103" i="13"/>
  <c r="F103" i="13"/>
  <c r="B103" i="13"/>
  <c r="E103" i="13" s="1"/>
  <c r="L102" i="13"/>
  <c r="H102" i="13"/>
  <c r="D102" i="13"/>
  <c r="J101" i="13"/>
  <c r="F101" i="13"/>
  <c r="B101" i="13"/>
  <c r="E101" i="13" s="1"/>
  <c r="L100" i="13"/>
  <c r="H100" i="13"/>
  <c r="D100" i="13"/>
  <c r="J99" i="13"/>
  <c r="F99" i="13"/>
  <c r="B99" i="13"/>
  <c r="E99" i="13" s="1"/>
  <c r="L98" i="13"/>
  <c r="H98" i="13"/>
  <c r="D98" i="13"/>
  <c r="J97" i="13"/>
  <c r="F97" i="13"/>
  <c r="B97" i="13"/>
  <c r="E97" i="13" s="1"/>
  <c r="L96" i="13"/>
  <c r="H96" i="13"/>
  <c r="D96" i="13"/>
  <c r="J95" i="13"/>
  <c r="F95" i="13"/>
  <c r="B95" i="13"/>
  <c r="E95" i="13" s="1"/>
  <c r="L94" i="13"/>
  <c r="H94" i="13"/>
  <c r="D94" i="13"/>
  <c r="J93" i="13"/>
  <c r="F93" i="13"/>
  <c r="B93" i="13"/>
  <c r="E93" i="13" s="1"/>
  <c r="L92" i="13"/>
  <c r="H92" i="13"/>
  <c r="D92" i="13"/>
  <c r="J91" i="13"/>
  <c r="F91" i="13"/>
  <c r="B91" i="13"/>
  <c r="E91" i="13" s="1"/>
  <c r="L90" i="13"/>
  <c r="H90" i="13"/>
  <c r="D90" i="13"/>
  <c r="J89" i="13"/>
  <c r="F89" i="13"/>
  <c r="B89" i="13"/>
  <c r="E89" i="13" s="1"/>
  <c r="L88" i="13"/>
  <c r="H88" i="13"/>
  <c r="D88" i="13"/>
  <c r="J87" i="13"/>
  <c r="F87" i="13"/>
  <c r="B87" i="13"/>
  <c r="E87" i="13" s="1"/>
  <c r="L86" i="13"/>
  <c r="H86" i="13"/>
  <c r="D86" i="13"/>
  <c r="J85" i="13"/>
  <c r="F85" i="13"/>
  <c r="B85" i="13"/>
  <c r="E85" i="13" s="1"/>
  <c r="L84" i="13"/>
  <c r="H84" i="13"/>
  <c r="D84" i="13"/>
  <c r="J83" i="13"/>
  <c r="F83" i="13"/>
  <c r="B83" i="13"/>
  <c r="E83" i="13" s="1"/>
  <c r="L82" i="13"/>
  <c r="H82" i="13"/>
  <c r="D82" i="13"/>
  <c r="J81" i="13"/>
  <c r="F81" i="13"/>
  <c r="B81" i="13"/>
  <c r="E81" i="13" s="1"/>
  <c r="L80" i="13"/>
  <c r="H80" i="13"/>
  <c r="D80" i="13"/>
  <c r="J79" i="13"/>
  <c r="F79" i="13"/>
  <c r="B79" i="13"/>
  <c r="E79" i="13" s="1"/>
  <c r="L78" i="13"/>
  <c r="H78" i="13"/>
  <c r="D78" i="13"/>
  <c r="J77" i="13"/>
  <c r="F77" i="13"/>
  <c r="B77" i="13"/>
  <c r="E77" i="13" s="1"/>
  <c r="L76" i="13"/>
  <c r="H76" i="13"/>
  <c r="D76" i="13"/>
  <c r="J75" i="13"/>
  <c r="F75" i="13"/>
  <c r="B75" i="13"/>
  <c r="E75" i="13" s="1"/>
  <c r="L74" i="13"/>
  <c r="H74" i="13"/>
  <c r="D74" i="13"/>
  <c r="J73" i="13"/>
  <c r="F73" i="13"/>
  <c r="B73" i="13"/>
  <c r="E73" i="13" s="1"/>
  <c r="L72" i="13"/>
  <c r="H72" i="13"/>
  <c r="D72" i="13"/>
  <c r="J71" i="13"/>
  <c r="F71" i="13"/>
  <c r="B71" i="13"/>
  <c r="E71" i="13" s="1"/>
  <c r="L70" i="13"/>
  <c r="H70" i="13"/>
  <c r="D70" i="13"/>
  <c r="J69" i="13"/>
  <c r="F69" i="13"/>
  <c r="B69" i="13"/>
  <c r="E69" i="13" s="1"/>
  <c r="L68" i="13"/>
  <c r="H68" i="13"/>
  <c r="D68" i="13"/>
  <c r="J67" i="13"/>
  <c r="F67" i="13"/>
  <c r="B67" i="13"/>
  <c r="E67" i="13" s="1"/>
  <c r="L66" i="13"/>
  <c r="H66" i="13"/>
  <c r="D66" i="13"/>
  <c r="J65" i="13"/>
  <c r="F65" i="13"/>
  <c r="B65" i="13"/>
  <c r="E65" i="13" s="1"/>
  <c r="L64" i="13"/>
  <c r="H64" i="13"/>
  <c r="D64" i="13"/>
  <c r="J63" i="13"/>
  <c r="F63" i="13"/>
  <c r="B63" i="13"/>
  <c r="E63" i="13" s="1"/>
  <c r="V482" i="13"/>
  <c r="H466" i="13"/>
  <c r="L447" i="13"/>
  <c r="J438" i="13"/>
  <c r="F430" i="13"/>
  <c r="L425" i="13"/>
  <c r="D421" i="13"/>
  <c r="J416" i="13"/>
  <c r="B412" i="13"/>
  <c r="E412" i="13" s="1"/>
  <c r="H407" i="13"/>
  <c r="J402" i="13"/>
  <c r="F400" i="13"/>
  <c r="B398" i="13"/>
  <c r="E398" i="13" s="1"/>
  <c r="L395" i="13"/>
  <c r="H393" i="13"/>
  <c r="D391" i="13"/>
  <c r="J386" i="13"/>
  <c r="F384" i="13"/>
  <c r="B382" i="13"/>
  <c r="E382" i="13" s="1"/>
  <c r="L379" i="13"/>
  <c r="H377" i="13"/>
  <c r="D375" i="13"/>
  <c r="J370" i="13"/>
  <c r="F368" i="13"/>
  <c r="B366" i="13"/>
  <c r="E366" i="13" s="1"/>
  <c r="L363" i="13"/>
  <c r="H361" i="13"/>
  <c r="D359" i="13"/>
  <c r="J354" i="13"/>
  <c r="F352" i="13"/>
  <c r="B350" i="13"/>
  <c r="E350" i="13" s="1"/>
  <c r="L347" i="13"/>
  <c r="H345" i="13"/>
  <c r="D343" i="13"/>
  <c r="J338" i="13"/>
  <c r="F336" i="13"/>
  <c r="B334" i="13"/>
  <c r="E334" i="13" s="1"/>
  <c r="L332" i="13"/>
  <c r="J331" i="13"/>
  <c r="H330" i="13"/>
  <c r="F329" i="13"/>
  <c r="D328" i="13"/>
  <c r="B327" i="13"/>
  <c r="E327" i="13" s="1"/>
  <c r="L324" i="13"/>
  <c r="J323" i="13"/>
  <c r="H322" i="13"/>
  <c r="F321" i="13"/>
  <c r="D320" i="13"/>
  <c r="B319" i="13"/>
  <c r="E319" i="13" s="1"/>
  <c r="L316" i="13"/>
  <c r="J315" i="13"/>
  <c r="H314" i="13"/>
  <c r="F313" i="13"/>
  <c r="D312" i="13"/>
  <c r="B311" i="13"/>
  <c r="E311" i="13" s="1"/>
  <c r="L308" i="13"/>
  <c r="J307" i="13"/>
  <c r="H306" i="13"/>
  <c r="F305" i="13"/>
  <c r="D304" i="13"/>
  <c r="B303" i="13"/>
  <c r="E303" i="13" s="1"/>
  <c r="L300" i="13"/>
  <c r="J299" i="13"/>
  <c r="H298" i="13"/>
  <c r="F297" i="13"/>
  <c r="D296" i="13"/>
  <c r="B295" i="13"/>
  <c r="E295" i="13" s="1"/>
  <c r="L292" i="13"/>
  <c r="J291" i="13"/>
  <c r="H290" i="13"/>
  <c r="F289" i="13"/>
  <c r="D288" i="13"/>
  <c r="B287" i="13"/>
  <c r="E287" i="13" s="1"/>
  <c r="F284" i="13"/>
  <c r="L283" i="13"/>
  <c r="D283" i="13"/>
  <c r="J282" i="13"/>
  <c r="B282" i="13"/>
  <c r="E282" i="13" s="1"/>
  <c r="H281" i="13"/>
  <c r="F280" i="13"/>
  <c r="L279" i="13"/>
  <c r="D279" i="13"/>
  <c r="J278" i="13"/>
  <c r="B278" i="13"/>
  <c r="E278" i="13" s="1"/>
  <c r="H277" i="13"/>
  <c r="F276" i="13"/>
  <c r="L275" i="13"/>
  <c r="D275" i="13"/>
  <c r="J274" i="13"/>
  <c r="B274" i="13"/>
  <c r="E274" i="13" s="1"/>
  <c r="H273" i="13"/>
  <c r="F272" i="13"/>
  <c r="L271" i="13"/>
  <c r="D271" i="13"/>
  <c r="J270" i="13"/>
  <c r="B270" i="13"/>
  <c r="E270" i="13" s="1"/>
  <c r="H269" i="13"/>
  <c r="F268" i="13"/>
  <c r="L267" i="13"/>
  <c r="D267" i="13"/>
  <c r="J266" i="13"/>
  <c r="B266" i="13"/>
  <c r="E266" i="13" s="1"/>
  <c r="H265" i="13"/>
  <c r="F264" i="13"/>
  <c r="L263" i="13"/>
  <c r="D263" i="13"/>
  <c r="J262" i="13"/>
  <c r="B262" i="13"/>
  <c r="E262" i="13" s="1"/>
  <c r="H261" i="13"/>
  <c r="F260" i="13"/>
  <c r="L259" i="13"/>
  <c r="D259" i="13"/>
  <c r="J258" i="13"/>
  <c r="B258" i="13"/>
  <c r="E258" i="13" s="1"/>
  <c r="H257" i="13"/>
  <c r="F256" i="13"/>
  <c r="L255" i="13"/>
  <c r="D255" i="13"/>
  <c r="J254" i="13"/>
  <c r="B254" i="13"/>
  <c r="E254" i="13" s="1"/>
  <c r="H253" i="13"/>
  <c r="F252" i="13"/>
  <c r="L251" i="13"/>
  <c r="D251" i="13"/>
  <c r="J250" i="13"/>
  <c r="B250" i="13"/>
  <c r="E250" i="13" s="1"/>
  <c r="H249" i="13"/>
  <c r="F248" i="13"/>
  <c r="L247" i="13"/>
  <c r="D247" i="13"/>
  <c r="J246" i="13"/>
  <c r="B246" i="13"/>
  <c r="E246" i="13" s="1"/>
  <c r="H245" i="13"/>
  <c r="F244" i="13"/>
  <c r="L243" i="13"/>
  <c r="D243" i="13"/>
  <c r="J242" i="13"/>
  <c r="B242" i="13"/>
  <c r="E242" i="13" s="1"/>
  <c r="H241" i="13"/>
  <c r="F240" i="13"/>
  <c r="L239" i="13"/>
  <c r="D239" i="13"/>
  <c r="J238" i="13"/>
  <c r="B238" i="13"/>
  <c r="E238" i="13" s="1"/>
  <c r="H237" i="13"/>
  <c r="F236" i="13"/>
  <c r="L235" i="13"/>
  <c r="D235" i="13"/>
  <c r="J234" i="13"/>
  <c r="B234" i="13"/>
  <c r="E234" i="13" s="1"/>
  <c r="H233" i="13"/>
  <c r="F232" i="13"/>
  <c r="L231" i="13"/>
  <c r="D231" i="13"/>
  <c r="J230" i="13"/>
  <c r="B230" i="13"/>
  <c r="E230" i="13" s="1"/>
  <c r="H229" i="13"/>
  <c r="F228" i="13"/>
  <c r="L227" i="13"/>
  <c r="D227" i="13"/>
  <c r="J226" i="13"/>
  <c r="B226" i="13"/>
  <c r="E226" i="13" s="1"/>
  <c r="H225" i="13"/>
  <c r="F224" i="13"/>
  <c r="L223" i="13"/>
  <c r="D223" i="13"/>
  <c r="J222" i="13"/>
  <c r="B222" i="13"/>
  <c r="E222" i="13" s="1"/>
  <c r="H221" i="13"/>
  <c r="F220" i="13"/>
  <c r="L219" i="13"/>
  <c r="D219" i="13"/>
  <c r="J218" i="13"/>
  <c r="B218" i="13"/>
  <c r="E218" i="13" s="1"/>
  <c r="H217" i="13"/>
  <c r="F216" i="13"/>
  <c r="L215" i="13"/>
  <c r="D215" i="13"/>
  <c r="J214" i="13"/>
  <c r="B214" i="13"/>
  <c r="E214" i="13" s="1"/>
  <c r="H213" i="13"/>
  <c r="F212" i="13"/>
  <c r="L211" i="13"/>
  <c r="D211" i="13"/>
  <c r="J210" i="13"/>
  <c r="B210" i="13"/>
  <c r="E210" i="13" s="1"/>
  <c r="H209" i="13"/>
  <c r="F208" i="13"/>
  <c r="L207" i="13"/>
  <c r="D207" i="13"/>
  <c r="J206" i="13"/>
  <c r="B206" i="13"/>
  <c r="E206" i="13" s="1"/>
  <c r="H205" i="13"/>
  <c r="F204" i="13"/>
  <c r="L203" i="13"/>
  <c r="D203" i="13"/>
  <c r="J202" i="13"/>
  <c r="B202" i="13"/>
  <c r="E202" i="13" s="1"/>
  <c r="H201" i="13"/>
  <c r="F200" i="13"/>
  <c r="L199" i="13"/>
  <c r="D199" i="13"/>
  <c r="J198" i="13"/>
  <c r="B198" i="13"/>
  <c r="E198" i="13" s="1"/>
  <c r="H197" i="13"/>
  <c r="F196" i="13"/>
  <c r="L195" i="13"/>
  <c r="D195" i="13"/>
  <c r="J194" i="13"/>
  <c r="B194" i="13"/>
  <c r="E194" i="13" s="1"/>
  <c r="H193" i="13"/>
  <c r="F192" i="13"/>
  <c r="L191" i="13"/>
  <c r="D191" i="13"/>
  <c r="J190" i="13"/>
  <c r="B190" i="13"/>
  <c r="E190" i="13" s="1"/>
  <c r="H189" i="13"/>
  <c r="F188" i="13"/>
  <c r="L187" i="13"/>
  <c r="D187" i="13"/>
  <c r="J186" i="13"/>
  <c r="B186" i="13"/>
  <c r="E186" i="13" s="1"/>
  <c r="H185" i="13"/>
  <c r="F184" i="13"/>
  <c r="L183" i="13"/>
  <c r="D183" i="13"/>
  <c r="J182" i="13"/>
  <c r="B182" i="13"/>
  <c r="E182" i="13" s="1"/>
  <c r="H181" i="13"/>
  <c r="F180" i="13"/>
  <c r="L179" i="13"/>
  <c r="D179" i="13"/>
  <c r="J178" i="13"/>
  <c r="B178" i="13"/>
  <c r="E178" i="13" s="1"/>
  <c r="H177" i="13"/>
  <c r="F176" i="13"/>
  <c r="L175" i="13"/>
  <c r="D175" i="13"/>
  <c r="J174" i="13"/>
  <c r="B174" i="13"/>
  <c r="E174" i="13" s="1"/>
  <c r="H173" i="13"/>
  <c r="F172" i="13"/>
  <c r="L171" i="13"/>
  <c r="D171" i="13"/>
  <c r="J170" i="13"/>
  <c r="B170" i="13"/>
  <c r="E170" i="13" s="1"/>
  <c r="H169" i="13"/>
  <c r="F168" i="13"/>
  <c r="L167" i="13"/>
  <c r="D167" i="13"/>
  <c r="J166" i="13"/>
  <c r="B166" i="13"/>
  <c r="E166" i="13" s="1"/>
  <c r="H165" i="13"/>
  <c r="F164" i="13"/>
  <c r="L163" i="13"/>
  <c r="D163" i="13"/>
  <c r="J162" i="13"/>
  <c r="B162" i="13"/>
  <c r="E162" i="13" s="1"/>
  <c r="H161" i="13"/>
  <c r="F160" i="13"/>
  <c r="L159" i="13"/>
  <c r="D159" i="13"/>
  <c r="J158" i="13"/>
  <c r="B158" i="13"/>
  <c r="E158" i="13" s="1"/>
  <c r="H157" i="13"/>
  <c r="F156" i="13"/>
  <c r="L155" i="13"/>
  <c r="D155" i="13"/>
  <c r="J154" i="13"/>
  <c r="D154" i="13"/>
  <c r="V153" i="13"/>
  <c r="H153" i="13"/>
  <c r="B153" i="13"/>
  <c r="E153" i="13" s="1"/>
  <c r="K152" i="13"/>
  <c r="F152" i="13"/>
  <c r="I151" i="13"/>
  <c r="D151" i="13"/>
  <c r="L150" i="13"/>
  <c r="G150" i="13"/>
  <c r="B150" i="13"/>
  <c r="E150" i="13" s="1"/>
  <c r="J149" i="13"/>
  <c r="H148" i="13"/>
  <c r="C148" i="13"/>
  <c r="L147" i="13"/>
  <c r="F147" i="13"/>
  <c r="X146" i="13"/>
  <c r="J146" i="13"/>
  <c r="D146" i="13"/>
  <c r="V145" i="13"/>
  <c r="H145" i="13"/>
  <c r="B145" i="13"/>
  <c r="E145" i="13" s="1"/>
  <c r="K144" i="13"/>
  <c r="F144" i="13"/>
  <c r="I143" i="13"/>
  <c r="D143" i="13"/>
  <c r="L142" i="13"/>
  <c r="G142" i="13"/>
  <c r="W142" i="13" s="1"/>
  <c r="B142" i="13"/>
  <c r="E142" i="13" s="1"/>
  <c r="J141" i="13"/>
  <c r="H140" i="13"/>
  <c r="C140" i="13"/>
  <c r="L139" i="13"/>
  <c r="F139" i="13"/>
  <c r="X138" i="13"/>
  <c r="K138" i="13"/>
  <c r="G138" i="13"/>
  <c r="W138" i="13" s="1"/>
  <c r="C138" i="13"/>
  <c r="V137" i="13"/>
  <c r="I137" i="13"/>
  <c r="X136" i="13"/>
  <c r="K136" i="13"/>
  <c r="G136" i="13"/>
  <c r="C136" i="13"/>
  <c r="V135" i="13"/>
  <c r="I135" i="13"/>
  <c r="X134" i="13"/>
  <c r="K134" i="13"/>
  <c r="G134" i="13"/>
  <c r="C134" i="13"/>
  <c r="V133" i="13"/>
  <c r="I133" i="13"/>
  <c r="X132" i="13"/>
  <c r="K132" i="13"/>
  <c r="G132" i="13"/>
  <c r="C132" i="13"/>
  <c r="V131" i="13"/>
  <c r="I131" i="13"/>
  <c r="X130" i="13"/>
  <c r="K130" i="13"/>
  <c r="G130" i="13"/>
  <c r="W130" i="13" s="1"/>
  <c r="C130" i="13"/>
  <c r="V129" i="13"/>
  <c r="I129" i="13"/>
  <c r="X128" i="13"/>
  <c r="K128" i="13"/>
  <c r="G128" i="13"/>
  <c r="C128" i="13"/>
  <c r="V127" i="13"/>
  <c r="I127" i="13"/>
  <c r="X126" i="13"/>
  <c r="K126" i="13"/>
  <c r="G126" i="13"/>
  <c r="C126" i="13"/>
  <c r="V125" i="13"/>
  <c r="I125" i="13"/>
  <c r="X124" i="13"/>
  <c r="K124" i="13"/>
  <c r="G124" i="13"/>
  <c r="C124" i="13"/>
  <c r="V123" i="13"/>
  <c r="I123" i="13"/>
  <c r="X122" i="13"/>
  <c r="K122" i="13"/>
  <c r="G122" i="13"/>
  <c r="C122" i="13"/>
  <c r="V121" i="13"/>
  <c r="I121" i="13"/>
  <c r="X120" i="13"/>
  <c r="K120" i="13"/>
  <c r="G120" i="13"/>
  <c r="C120" i="13"/>
  <c r="V119" i="13"/>
  <c r="I119" i="13"/>
  <c r="X118" i="13"/>
  <c r="K118" i="13"/>
  <c r="G118" i="13"/>
  <c r="C118" i="13"/>
  <c r="V117" i="13"/>
  <c r="I117" i="13"/>
  <c r="X116" i="13"/>
  <c r="K116" i="13"/>
  <c r="G116" i="13"/>
  <c r="C116" i="13"/>
  <c r="V115" i="13"/>
  <c r="I115" i="13"/>
  <c r="X114" i="13"/>
  <c r="K114" i="13"/>
  <c r="G114" i="13"/>
  <c r="C114" i="13"/>
  <c r="V113" i="13"/>
  <c r="I113" i="13"/>
  <c r="X112" i="13"/>
  <c r="K112" i="13"/>
  <c r="G112" i="13"/>
  <c r="C112" i="13"/>
  <c r="V111" i="13"/>
  <c r="I111" i="13"/>
  <c r="X110" i="13"/>
  <c r="K110" i="13"/>
  <c r="G110" i="13"/>
  <c r="C110" i="13"/>
  <c r="V109" i="13"/>
  <c r="I109" i="13"/>
  <c r="X108" i="13"/>
  <c r="K108" i="13"/>
  <c r="G108" i="13"/>
  <c r="C108" i="13"/>
  <c r="V107" i="13"/>
  <c r="I107" i="13"/>
  <c r="X106" i="13"/>
  <c r="K106" i="13"/>
  <c r="G106" i="13"/>
  <c r="C106" i="13"/>
  <c r="V105" i="13"/>
  <c r="I105" i="13"/>
  <c r="X104" i="13"/>
  <c r="K104" i="13"/>
  <c r="G104" i="13"/>
  <c r="C104" i="13"/>
  <c r="V103" i="13"/>
  <c r="I103" i="13"/>
  <c r="X102" i="13"/>
  <c r="K102" i="13"/>
  <c r="G102" i="13"/>
  <c r="C102" i="13"/>
  <c r="V101" i="13"/>
  <c r="I101" i="13"/>
  <c r="X100" i="13"/>
  <c r="K100" i="13"/>
  <c r="G100" i="13"/>
  <c r="C100" i="13"/>
  <c r="V99" i="13"/>
  <c r="I99" i="13"/>
  <c r="X98" i="13"/>
  <c r="K98" i="13"/>
  <c r="G98" i="13"/>
  <c r="C98" i="13"/>
  <c r="V97" i="13"/>
  <c r="I97" i="13"/>
  <c r="X96" i="13"/>
  <c r="K96" i="13"/>
  <c r="G96" i="13"/>
  <c r="C96" i="13"/>
  <c r="V95" i="13"/>
  <c r="I95" i="13"/>
  <c r="X94" i="13"/>
  <c r="K94" i="13"/>
  <c r="G94" i="13"/>
  <c r="C94" i="13"/>
  <c r="V93" i="13"/>
  <c r="I93" i="13"/>
  <c r="X92" i="13"/>
  <c r="K92" i="13"/>
  <c r="G92" i="13"/>
  <c r="C92" i="13"/>
  <c r="V91" i="13"/>
  <c r="I91" i="13"/>
  <c r="X90" i="13"/>
  <c r="K90" i="13"/>
  <c r="G90" i="13"/>
  <c r="C90" i="13"/>
  <c r="V89" i="13"/>
  <c r="I89" i="13"/>
  <c r="X88" i="13"/>
  <c r="K88" i="13"/>
  <c r="G88" i="13"/>
  <c r="C88" i="13"/>
  <c r="V87" i="13"/>
  <c r="I87" i="13"/>
  <c r="X86" i="13"/>
  <c r="K86" i="13"/>
  <c r="G86" i="13"/>
  <c r="C86" i="13"/>
  <c r="V85" i="13"/>
  <c r="I85" i="13"/>
  <c r="X84" i="13"/>
  <c r="K84" i="13"/>
  <c r="G84" i="13"/>
  <c r="C84" i="13"/>
  <c r="V83" i="13"/>
  <c r="I83" i="13"/>
  <c r="X82" i="13"/>
  <c r="K82" i="13"/>
  <c r="G82" i="13"/>
  <c r="C82" i="13"/>
  <c r="V81" i="13"/>
  <c r="I81" i="13"/>
  <c r="X80" i="13"/>
  <c r="K80" i="13"/>
  <c r="G80" i="13"/>
  <c r="C80" i="13"/>
  <c r="V79" i="13"/>
  <c r="I79" i="13"/>
  <c r="X78" i="13"/>
  <c r="K78" i="13"/>
  <c r="G78" i="13"/>
  <c r="C78" i="13"/>
  <c r="V77" i="13"/>
  <c r="I77" i="13"/>
  <c r="X76" i="13"/>
  <c r="K76" i="13"/>
  <c r="G76" i="13"/>
  <c r="C76" i="13"/>
  <c r="V75" i="13"/>
  <c r="I75" i="13"/>
  <c r="X74" i="13"/>
  <c r="K74" i="13"/>
  <c r="G74" i="13"/>
  <c r="C74" i="13"/>
  <c r="V73" i="13"/>
  <c r="I73" i="13"/>
  <c r="X72" i="13"/>
  <c r="K72" i="13"/>
  <c r="G72" i="13"/>
  <c r="C72" i="13"/>
  <c r="V71" i="13"/>
  <c r="I71" i="13"/>
  <c r="X70" i="13"/>
  <c r="K70" i="13"/>
  <c r="G70" i="13"/>
  <c r="C70" i="13"/>
  <c r="V69" i="13"/>
  <c r="I69" i="13"/>
  <c r="X68" i="13"/>
  <c r="K68" i="13"/>
  <c r="G68" i="13"/>
  <c r="C68" i="13"/>
  <c r="V67" i="13"/>
  <c r="I67" i="13"/>
  <c r="X66" i="13"/>
  <c r="K66" i="13"/>
  <c r="G66" i="13"/>
  <c r="C66" i="13"/>
  <c r="V65" i="13"/>
  <c r="I65" i="13"/>
  <c r="X64" i="13"/>
  <c r="K64" i="13"/>
  <c r="G64" i="13"/>
  <c r="C64" i="13"/>
  <c r="V63" i="13"/>
  <c r="I63" i="13"/>
  <c r="X62" i="13"/>
  <c r="K62" i="13"/>
  <c r="G62" i="13"/>
  <c r="C62" i="13"/>
  <c r="V61" i="13"/>
  <c r="I61" i="13"/>
  <c r="X60" i="13"/>
  <c r="K60" i="13"/>
  <c r="G60" i="13"/>
  <c r="C60" i="13"/>
  <c r="V59" i="13"/>
  <c r="I59" i="13"/>
  <c r="X58" i="13"/>
  <c r="K58" i="13"/>
  <c r="G58" i="13"/>
  <c r="C58" i="13"/>
  <c r="V57" i="13"/>
  <c r="F473" i="13"/>
  <c r="I461" i="13"/>
  <c r="G452" i="13"/>
  <c r="W452" i="13" s="1"/>
  <c r="C434" i="13"/>
  <c r="C428" i="13"/>
  <c r="I423" i="13"/>
  <c r="X418" i="13"/>
  <c r="G414" i="13"/>
  <c r="W414" i="13" s="1"/>
  <c r="V409" i="13"/>
  <c r="C406" i="13"/>
  <c r="V403" i="13"/>
  <c r="I401" i="13"/>
  <c r="X396" i="13"/>
  <c r="K394" i="13"/>
  <c r="G392" i="13"/>
  <c r="W392" i="13" s="1"/>
  <c r="C390" i="13"/>
  <c r="V387" i="13"/>
  <c r="I385" i="13"/>
  <c r="X380" i="13"/>
  <c r="K378" i="13"/>
  <c r="G376" i="13"/>
  <c r="W376" i="13" s="1"/>
  <c r="C374" i="13"/>
  <c r="V371" i="13"/>
  <c r="I369" i="13"/>
  <c r="X364" i="13"/>
  <c r="K362" i="13"/>
  <c r="G360" i="13"/>
  <c r="W360" i="13" s="1"/>
  <c r="C358" i="13"/>
  <c r="V355" i="13"/>
  <c r="I353" i="13"/>
  <c r="X348" i="13"/>
  <c r="K346" i="13"/>
  <c r="G344" i="13"/>
  <c r="W344" i="13" s="1"/>
  <c r="C342" i="13"/>
  <c r="V339" i="13"/>
  <c r="I337" i="13"/>
  <c r="G333" i="13"/>
  <c r="W333" i="13" s="1"/>
  <c r="C331" i="13"/>
  <c r="X329" i="13"/>
  <c r="V328" i="13"/>
  <c r="K327" i="13"/>
  <c r="I326" i="13"/>
  <c r="G325" i="13"/>
  <c r="C323" i="13"/>
  <c r="X321" i="13"/>
  <c r="V320" i="13"/>
  <c r="K319" i="13"/>
  <c r="I318" i="13"/>
  <c r="G317" i="13"/>
  <c r="W317" i="13" s="1"/>
  <c r="C315" i="13"/>
  <c r="X313" i="13"/>
  <c r="V312" i="13"/>
  <c r="K311" i="13"/>
  <c r="I310" i="13"/>
  <c r="G309" i="13"/>
  <c r="C307" i="13"/>
  <c r="X305" i="13"/>
  <c r="V304" i="13"/>
  <c r="K303" i="13"/>
  <c r="I302" i="13"/>
  <c r="G301" i="13"/>
  <c r="W301" i="13" s="1"/>
  <c r="C299" i="13"/>
  <c r="X297" i="13"/>
  <c r="V296" i="13"/>
  <c r="K295" i="13"/>
  <c r="I294" i="13"/>
  <c r="G293" i="13"/>
  <c r="C291" i="13"/>
  <c r="X289" i="13"/>
  <c r="V288" i="13"/>
  <c r="K287" i="13"/>
  <c r="I286" i="13"/>
  <c r="G285" i="13"/>
  <c r="W285" i="13" s="1"/>
  <c r="D473" i="13"/>
  <c r="B434" i="13"/>
  <c r="E434" i="13" s="1"/>
  <c r="F414" i="13"/>
  <c r="H401" i="13"/>
  <c r="F392" i="13"/>
  <c r="D383" i="13"/>
  <c r="B374" i="13"/>
  <c r="E374" i="13" s="1"/>
  <c r="L355" i="13"/>
  <c r="J346" i="13"/>
  <c r="H337" i="13"/>
  <c r="B331" i="13"/>
  <c r="E331" i="13" s="1"/>
  <c r="H326" i="13"/>
  <c r="F317" i="13"/>
  <c r="L312" i="13"/>
  <c r="D308" i="13"/>
  <c r="J303" i="13"/>
  <c r="B299" i="13"/>
  <c r="E299" i="13" s="1"/>
  <c r="H294" i="13"/>
  <c r="F285" i="13"/>
  <c r="B284" i="13"/>
  <c r="E284" i="13" s="1"/>
  <c r="L281" i="13"/>
  <c r="J280" i="13"/>
  <c r="H279" i="13"/>
  <c r="F278" i="13"/>
  <c r="D277" i="13"/>
  <c r="B276" i="13"/>
  <c r="E276" i="13" s="1"/>
  <c r="L273" i="13"/>
  <c r="J272" i="13"/>
  <c r="H271" i="13"/>
  <c r="F270" i="13"/>
  <c r="D269" i="13"/>
  <c r="B268" i="13"/>
  <c r="E268" i="13" s="1"/>
  <c r="L265" i="13"/>
  <c r="J264" i="13"/>
  <c r="H263" i="13"/>
  <c r="F262" i="13"/>
  <c r="D261" i="13"/>
  <c r="B260" i="13"/>
  <c r="E260" i="13" s="1"/>
  <c r="L257" i="13"/>
  <c r="J256" i="13"/>
  <c r="H255" i="13"/>
  <c r="F254" i="13"/>
  <c r="D253" i="13"/>
  <c r="B252" i="13"/>
  <c r="E252" i="13" s="1"/>
  <c r="L249" i="13"/>
  <c r="J248" i="13"/>
  <c r="H247" i="13"/>
  <c r="F246" i="13"/>
  <c r="D245" i="13"/>
  <c r="B244" i="13"/>
  <c r="E244" i="13" s="1"/>
  <c r="L241" i="13"/>
  <c r="J240" i="13"/>
  <c r="H239" i="13"/>
  <c r="F238" i="13"/>
  <c r="D237" i="13"/>
  <c r="B236" i="13"/>
  <c r="E236" i="13" s="1"/>
  <c r="L233" i="13"/>
  <c r="J232" i="13"/>
  <c r="H231" i="13"/>
  <c r="F230" i="13"/>
  <c r="D229" i="13"/>
  <c r="B228" i="13"/>
  <c r="E228" i="13" s="1"/>
  <c r="L225" i="13"/>
  <c r="J224" i="13"/>
  <c r="H223" i="13"/>
  <c r="F222" i="13"/>
  <c r="D221" i="13"/>
  <c r="B220" i="13"/>
  <c r="E220" i="13" s="1"/>
  <c r="L217" i="13"/>
  <c r="J216" i="13"/>
  <c r="H215" i="13"/>
  <c r="F214" i="13"/>
  <c r="D213" i="13"/>
  <c r="B212" i="13"/>
  <c r="E212" i="13" s="1"/>
  <c r="L209" i="13"/>
  <c r="J208" i="13"/>
  <c r="H207" i="13"/>
  <c r="F206" i="13"/>
  <c r="D205" i="13"/>
  <c r="B204" i="13"/>
  <c r="E204" i="13" s="1"/>
  <c r="L201" i="13"/>
  <c r="J200" i="13"/>
  <c r="H199" i="13"/>
  <c r="F198" i="13"/>
  <c r="D197" i="13"/>
  <c r="B196" i="13"/>
  <c r="E196" i="13" s="1"/>
  <c r="L193" i="13"/>
  <c r="J192" i="13"/>
  <c r="H191" i="13"/>
  <c r="F190" i="13"/>
  <c r="D189" i="13"/>
  <c r="B188" i="13"/>
  <c r="E188" i="13" s="1"/>
  <c r="L185" i="13"/>
  <c r="J184" i="13"/>
  <c r="H183" i="13"/>
  <c r="F182" i="13"/>
  <c r="D181" i="13"/>
  <c r="B180" i="13"/>
  <c r="E180" i="13" s="1"/>
  <c r="L177" i="13"/>
  <c r="J176" i="13"/>
  <c r="H175" i="13"/>
  <c r="F174" i="13"/>
  <c r="D173" i="13"/>
  <c r="B172" i="13"/>
  <c r="E172" i="13" s="1"/>
  <c r="L169" i="13"/>
  <c r="J168" i="13"/>
  <c r="H167" i="13"/>
  <c r="F166" i="13"/>
  <c r="D165" i="13"/>
  <c r="B164" i="13"/>
  <c r="E164" i="13" s="1"/>
  <c r="L161" i="13"/>
  <c r="J160" i="13"/>
  <c r="H159" i="13"/>
  <c r="F158" i="13"/>
  <c r="D157" i="13"/>
  <c r="B156" i="13"/>
  <c r="E156" i="13" s="1"/>
  <c r="B154" i="13"/>
  <c r="E154" i="13" s="1"/>
  <c r="H152" i="13"/>
  <c r="L151" i="13"/>
  <c r="X150" i="13"/>
  <c r="D150" i="13"/>
  <c r="H149" i="13"/>
  <c r="K148" i="13"/>
  <c r="D147" i="13"/>
  <c r="G146" i="13"/>
  <c r="W146" i="13" s="1"/>
  <c r="J145" i="13"/>
  <c r="C144" i="13"/>
  <c r="F143" i="13"/>
  <c r="J142" i="13"/>
  <c r="V141" i="13"/>
  <c r="B141" i="13"/>
  <c r="E141" i="13" s="1"/>
  <c r="F140" i="13"/>
  <c r="I139" i="13"/>
  <c r="V138" i="13"/>
  <c r="K137" i="13"/>
  <c r="C137" i="13"/>
  <c r="I136" i="13"/>
  <c r="X135" i="13"/>
  <c r="G135" i="13"/>
  <c r="V134" i="13"/>
  <c r="K133" i="13"/>
  <c r="C133" i="13"/>
  <c r="I132" i="13"/>
  <c r="X131" i="13"/>
  <c r="G131" i="13"/>
  <c r="W131" i="13" s="1"/>
  <c r="V130" i="13"/>
  <c r="H461" i="13"/>
  <c r="B428" i="13"/>
  <c r="E428" i="13" s="1"/>
  <c r="L409" i="13"/>
  <c r="D399" i="13"/>
  <c r="B390" i="13"/>
  <c r="E390" i="13" s="1"/>
  <c r="L371" i="13"/>
  <c r="J362" i="13"/>
  <c r="H353" i="13"/>
  <c r="F344" i="13"/>
  <c r="D335" i="13"/>
  <c r="F325" i="13"/>
  <c r="L320" i="13"/>
  <c r="D316" i="13"/>
  <c r="J311" i="13"/>
  <c r="B307" i="13"/>
  <c r="E307" i="13" s="1"/>
  <c r="H302" i="13"/>
  <c r="F293" i="13"/>
  <c r="L288" i="13"/>
  <c r="K284" i="13"/>
  <c r="I283" i="13"/>
  <c r="G282" i="13"/>
  <c r="W282" i="13" s="1"/>
  <c r="C280" i="13"/>
  <c r="X278" i="13"/>
  <c r="V277" i="13"/>
  <c r="K276" i="13"/>
  <c r="I275" i="13"/>
  <c r="G274" i="13"/>
  <c r="W274" i="13" s="1"/>
  <c r="C272" i="13"/>
  <c r="X270" i="13"/>
  <c r="V269" i="13"/>
  <c r="K268" i="13"/>
  <c r="I267" i="13"/>
  <c r="G266" i="13"/>
  <c r="W266" i="13" s="1"/>
  <c r="C264" i="13"/>
  <c r="X262" i="13"/>
  <c r="V261" i="13"/>
  <c r="K260" i="13"/>
  <c r="I259" i="13"/>
  <c r="G258" i="13"/>
  <c r="W258" i="13" s="1"/>
  <c r="C256" i="13"/>
  <c r="X254" i="13"/>
  <c r="V253" i="13"/>
  <c r="K252" i="13"/>
  <c r="I251" i="13"/>
  <c r="G250" i="13"/>
  <c r="W250" i="13" s="1"/>
  <c r="C248" i="13"/>
  <c r="X246" i="13"/>
  <c r="V245" i="13"/>
  <c r="K244" i="13"/>
  <c r="I243" i="13"/>
  <c r="G242" i="13"/>
  <c r="W242" i="13" s="1"/>
  <c r="C240" i="13"/>
  <c r="X238" i="13"/>
  <c r="V237" i="13"/>
  <c r="K236" i="13"/>
  <c r="I235" i="13"/>
  <c r="G234" i="13"/>
  <c r="W234" i="13" s="1"/>
  <c r="C232" i="13"/>
  <c r="X230" i="13"/>
  <c r="V229" i="13"/>
  <c r="K228" i="13"/>
  <c r="I227" i="13"/>
  <c r="G226" i="13"/>
  <c r="W226" i="13" s="1"/>
  <c r="C224" i="13"/>
  <c r="X222" i="13"/>
  <c r="V221" i="13"/>
  <c r="K220" i="13"/>
  <c r="I219" i="13"/>
  <c r="G218" i="13"/>
  <c r="W218" i="13" s="1"/>
  <c r="C216" i="13"/>
  <c r="X214" i="13"/>
  <c r="V213" i="13"/>
  <c r="K212" i="13"/>
  <c r="I211" i="13"/>
  <c r="G210" i="13"/>
  <c r="W210" i="13" s="1"/>
  <c r="C208" i="13"/>
  <c r="X206" i="13"/>
  <c r="V205" i="13"/>
  <c r="K204" i="13"/>
  <c r="I203" i="13"/>
  <c r="G202" i="13"/>
  <c r="W202" i="13" s="1"/>
  <c r="C200" i="13"/>
  <c r="X198" i="13"/>
  <c r="V197" i="13"/>
  <c r="K196" i="13"/>
  <c r="I195" i="13"/>
  <c r="G194" i="13"/>
  <c r="W194" i="13" s="1"/>
  <c r="C192" i="13"/>
  <c r="X190" i="13"/>
  <c r="V189" i="13"/>
  <c r="K188" i="13"/>
  <c r="I187" i="13"/>
  <c r="G186" i="13"/>
  <c r="W186" i="13" s="1"/>
  <c r="C184" i="13"/>
  <c r="X182" i="13"/>
  <c r="V181" i="13"/>
  <c r="K180" i="13"/>
  <c r="I179" i="13"/>
  <c r="G178" i="13"/>
  <c r="W178" i="13" s="1"/>
  <c r="C176" i="13"/>
  <c r="X174" i="13"/>
  <c r="V173" i="13"/>
  <c r="K172" i="13"/>
  <c r="I171" i="13"/>
  <c r="G170" i="13"/>
  <c r="W170" i="13" s="1"/>
  <c r="C168" i="13"/>
  <c r="X166" i="13"/>
  <c r="V165" i="13"/>
  <c r="K164" i="13"/>
  <c r="I163" i="13"/>
  <c r="G162" i="13"/>
  <c r="W162" i="13" s="1"/>
  <c r="C160" i="13"/>
  <c r="X158" i="13"/>
  <c r="V157" i="13"/>
  <c r="K156" i="13"/>
  <c r="I155" i="13"/>
  <c r="H154" i="13"/>
  <c r="L153" i="13"/>
  <c r="X152" i="13"/>
  <c r="D152" i="13"/>
  <c r="H151" i="13"/>
  <c r="K150" i="13"/>
  <c r="D149" i="13"/>
  <c r="G148" i="13"/>
  <c r="J147" i="13"/>
  <c r="C146" i="13"/>
  <c r="F145" i="13"/>
  <c r="J144" i="13"/>
  <c r="V143" i="13"/>
  <c r="B143" i="13"/>
  <c r="E143" i="13" s="1"/>
  <c r="F142" i="13"/>
  <c r="I141" i="13"/>
  <c r="L140" i="13"/>
  <c r="B140" i="13"/>
  <c r="E140" i="13" s="1"/>
  <c r="J138" i="13"/>
  <c r="B138" i="13"/>
  <c r="E138" i="13" s="1"/>
  <c r="H137" i="13"/>
  <c r="F136" i="13"/>
  <c r="L135" i="13"/>
  <c r="D135" i="13"/>
  <c r="J134" i="13"/>
  <c r="B134" i="13"/>
  <c r="E134" i="13" s="1"/>
  <c r="H133" i="13"/>
  <c r="F132" i="13"/>
  <c r="F452" i="13"/>
  <c r="H423" i="13"/>
  <c r="B406" i="13"/>
  <c r="E406" i="13" s="1"/>
  <c r="L387" i="13"/>
  <c r="J378" i="13"/>
  <c r="H369" i="13"/>
  <c r="F360" i="13"/>
  <c r="D351" i="13"/>
  <c r="B342" i="13"/>
  <c r="E342" i="13" s="1"/>
  <c r="F333" i="13"/>
  <c r="L328" i="13"/>
  <c r="D324" i="13"/>
  <c r="J319" i="13"/>
  <c r="B315" i="13"/>
  <c r="E315" i="13" s="1"/>
  <c r="H310" i="13"/>
  <c r="F301" i="13"/>
  <c r="L296" i="13"/>
  <c r="D292" i="13"/>
  <c r="J287" i="13"/>
  <c r="J284" i="13"/>
  <c r="H283" i="13"/>
  <c r="F282" i="13"/>
  <c r="D281" i="13"/>
  <c r="B280" i="13"/>
  <c r="E280" i="13" s="1"/>
  <c r="L277" i="13"/>
  <c r="J276" i="13"/>
  <c r="H275" i="13"/>
  <c r="F274" i="13"/>
  <c r="D273" i="13"/>
  <c r="B272" i="13"/>
  <c r="E272" i="13" s="1"/>
  <c r="L269" i="13"/>
  <c r="J268" i="13"/>
  <c r="H267" i="13"/>
  <c r="F266" i="13"/>
  <c r="D265" i="13"/>
  <c r="B264" i="13"/>
  <c r="E264" i="13" s="1"/>
  <c r="L261" i="13"/>
  <c r="J260" i="13"/>
  <c r="H259" i="13"/>
  <c r="F258" i="13"/>
  <c r="D257" i="13"/>
  <c r="B256" i="13"/>
  <c r="E256" i="13" s="1"/>
  <c r="L253" i="13"/>
  <c r="J252" i="13"/>
  <c r="H251" i="13"/>
  <c r="F250" i="13"/>
  <c r="D249" i="13"/>
  <c r="B248" i="13"/>
  <c r="E248" i="13" s="1"/>
  <c r="L245" i="13"/>
  <c r="J244" i="13"/>
  <c r="H243" i="13"/>
  <c r="F242" i="13"/>
  <c r="D241" i="13"/>
  <c r="B240" i="13"/>
  <c r="E240" i="13" s="1"/>
  <c r="L237" i="13"/>
  <c r="J236" i="13"/>
  <c r="H235" i="13"/>
  <c r="F234" i="13"/>
  <c r="D233" i="13"/>
  <c r="B232" i="13"/>
  <c r="E232" i="13" s="1"/>
  <c r="L229" i="13"/>
  <c r="J228" i="13"/>
  <c r="H227" i="13"/>
  <c r="F226" i="13"/>
  <c r="D225" i="13"/>
  <c r="B224" i="13"/>
  <c r="E224" i="13" s="1"/>
  <c r="L221" i="13"/>
  <c r="J220" i="13"/>
  <c r="H219" i="13"/>
  <c r="F218" i="13"/>
  <c r="D217" i="13"/>
  <c r="B216" i="13"/>
  <c r="E216" i="13" s="1"/>
  <c r="L213" i="13"/>
  <c r="J212" i="13"/>
  <c r="H211" i="13"/>
  <c r="F210" i="13"/>
  <c r="D209" i="13"/>
  <c r="B208" i="13"/>
  <c r="E208" i="13" s="1"/>
  <c r="L205" i="13"/>
  <c r="J204" i="13"/>
  <c r="H203" i="13"/>
  <c r="F202" i="13"/>
  <c r="D201" i="13"/>
  <c r="B200" i="13"/>
  <c r="E200" i="13" s="1"/>
  <c r="L197" i="13"/>
  <c r="J196" i="13"/>
  <c r="H195" i="13"/>
  <c r="F194" i="13"/>
  <c r="D193" i="13"/>
  <c r="B192" i="13"/>
  <c r="E192" i="13" s="1"/>
  <c r="L189" i="13"/>
  <c r="J188" i="13"/>
  <c r="H187" i="13"/>
  <c r="F186" i="13"/>
  <c r="D185" i="13"/>
  <c r="B184" i="13"/>
  <c r="E184" i="13" s="1"/>
  <c r="L181" i="13"/>
  <c r="J180" i="13"/>
  <c r="H179" i="13"/>
  <c r="F178" i="13"/>
  <c r="D177" i="13"/>
  <c r="B176" i="13"/>
  <c r="E176" i="13" s="1"/>
  <c r="L173" i="13"/>
  <c r="J172" i="13"/>
  <c r="H171" i="13"/>
  <c r="F170" i="13"/>
  <c r="D169" i="13"/>
  <c r="B168" i="13"/>
  <c r="E168" i="13" s="1"/>
  <c r="L165" i="13"/>
  <c r="J164" i="13"/>
  <c r="H163" i="13"/>
  <c r="F162" i="13"/>
  <c r="D161" i="13"/>
  <c r="B160" i="13"/>
  <c r="E160" i="13" s="1"/>
  <c r="L157" i="13"/>
  <c r="J156" i="13"/>
  <c r="H155" i="13"/>
  <c r="G154" i="13"/>
  <c r="W154" i="13" s="1"/>
  <c r="J153" i="13"/>
  <c r="C152" i="13"/>
  <c r="F151" i="13"/>
  <c r="J150" i="13"/>
  <c r="V149" i="13"/>
  <c r="B149" i="13"/>
  <c r="E149" i="13" s="1"/>
  <c r="F148" i="13"/>
  <c r="I147" i="13"/>
  <c r="L146" i="13"/>
  <c r="B146" i="13"/>
  <c r="E146" i="13" s="1"/>
  <c r="H144" i="13"/>
  <c r="L143" i="13"/>
  <c r="X142" i="13"/>
  <c r="D142" i="13"/>
  <c r="H141" i="13"/>
  <c r="K140" i="13"/>
  <c r="D139" i="13"/>
  <c r="I138" i="13"/>
  <c r="X137" i="13"/>
  <c r="G137" i="13"/>
  <c r="V136" i="13"/>
  <c r="K135" i="13"/>
  <c r="C135" i="13"/>
  <c r="I134" i="13"/>
  <c r="X133" i="13"/>
  <c r="G133" i="13"/>
  <c r="V132" i="13"/>
  <c r="K131" i="13"/>
  <c r="C131" i="13"/>
  <c r="D443" i="13"/>
  <c r="H385" i="13"/>
  <c r="B323" i="13"/>
  <c r="E323" i="13" s="1"/>
  <c r="L304" i="13"/>
  <c r="H286" i="13"/>
  <c r="K280" i="13"/>
  <c r="C276" i="13"/>
  <c r="I271" i="13"/>
  <c r="X266" i="13"/>
  <c r="G262" i="13"/>
  <c r="W262" i="13" s="1"/>
  <c r="V257" i="13"/>
  <c r="K248" i="13"/>
  <c r="C244" i="13"/>
  <c r="I239" i="13"/>
  <c r="X234" i="13"/>
  <c r="G230" i="13"/>
  <c r="W230" i="13" s="1"/>
  <c r="V225" i="13"/>
  <c r="K216" i="13"/>
  <c r="C212" i="13"/>
  <c r="I207" i="13"/>
  <c r="X202" i="13"/>
  <c r="G198" i="13"/>
  <c r="W198" i="13" s="1"/>
  <c r="V193" i="13"/>
  <c r="K184" i="13"/>
  <c r="C180" i="13"/>
  <c r="I175" i="13"/>
  <c r="X170" i="13"/>
  <c r="G166" i="13"/>
  <c r="W166" i="13" s="1"/>
  <c r="V161" i="13"/>
  <c r="F153" i="13"/>
  <c r="F150" i="13"/>
  <c r="D144" i="13"/>
  <c r="D141" i="13"/>
  <c r="F138" i="13"/>
  <c r="B136" i="13"/>
  <c r="E136" i="13" s="1"/>
  <c r="L133" i="13"/>
  <c r="L131" i="13"/>
  <c r="J130" i="13"/>
  <c r="X129" i="13"/>
  <c r="G129" i="13"/>
  <c r="V128" i="13"/>
  <c r="K127" i="13"/>
  <c r="C127" i="13"/>
  <c r="I126" i="13"/>
  <c r="X125" i="13"/>
  <c r="G125" i="13"/>
  <c r="W125" i="13" s="1"/>
  <c r="V124" i="13"/>
  <c r="K123" i="13"/>
  <c r="C123" i="13"/>
  <c r="I122" i="13"/>
  <c r="X121" i="13"/>
  <c r="G121" i="13"/>
  <c r="V120" i="13"/>
  <c r="K119" i="13"/>
  <c r="C119" i="13"/>
  <c r="I118" i="13"/>
  <c r="X117" i="13"/>
  <c r="G117" i="13"/>
  <c r="W117" i="13" s="1"/>
  <c r="V116" i="13"/>
  <c r="K115" i="13"/>
  <c r="C115" i="13"/>
  <c r="I114" i="13"/>
  <c r="X113" i="13"/>
  <c r="G113" i="13"/>
  <c r="V112" i="13"/>
  <c r="K111" i="13"/>
  <c r="C111" i="13"/>
  <c r="I110" i="13"/>
  <c r="X109" i="13"/>
  <c r="G109" i="13"/>
  <c r="W109" i="13" s="1"/>
  <c r="V108" i="13"/>
  <c r="K107" i="13"/>
  <c r="C107" i="13"/>
  <c r="I106" i="13"/>
  <c r="X105" i="13"/>
  <c r="G105" i="13"/>
  <c r="V104" i="13"/>
  <c r="K103" i="13"/>
  <c r="C103" i="13"/>
  <c r="I102" i="13"/>
  <c r="X101" i="13"/>
  <c r="G101" i="13"/>
  <c r="W101" i="13" s="1"/>
  <c r="V100" i="13"/>
  <c r="K99" i="13"/>
  <c r="C99" i="13"/>
  <c r="I98" i="13"/>
  <c r="X97" i="13"/>
  <c r="G97" i="13"/>
  <c r="V96" i="13"/>
  <c r="K95" i="13"/>
  <c r="C95" i="13"/>
  <c r="I94" i="13"/>
  <c r="X93" i="13"/>
  <c r="G93" i="13"/>
  <c r="W93" i="13" s="1"/>
  <c r="V92" i="13"/>
  <c r="K91" i="13"/>
  <c r="C91" i="13"/>
  <c r="I90" i="13"/>
  <c r="X89" i="13"/>
  <c r="G89" i="13"/>
  <c r="V88" i="13"/>
  <c r="K87" i="13"/>
  <c r="C87" i="13"/>
  <c r="I86" i="13"/>
  <c r="X85" i="13"/>
  <c r="G85" i="13"/>
  <c r="W85" i="13" s="1"/>
  <c r="V84" i="13"/>
  <c r="K83" i="13"/>
  <c r="C83" i="13"/>
  <c r="I82" i="13"/>
  <c r="X81" i="13"/>
  <c r="G81" i="13"/>
  <c r="V80" i="13"/>
  <c r="K79" i="13"/>
  <c r="C79" i="13"/>
  <c r="I78" i="13"/>
  <c r="X77" i="13"/>
  <c r="G77" i="13"/>
  <c r="W77" i="13" s="1"/>
  <c r="V76" i="13"/>
  <c r="K75" i="13"/>
  <c r="C75" i="13"/>
  <c r="I74" i="13"/>
  <c r="X73" i="13"/>
  <c r="G73" i="13"/>
  <c r="V72" i="13"/>
  <c r="K71" i="13"/>
  <c r="C71" i="13"/>
  <c r="I70" i="13"/>
  <c r="X69" i="13"/>
  <c r="G69" i="13"/>
  <c r="W69" i="13" s="1"/>
  <c r="V68" i="13"/>
  <c r="K67" i="13"/>
  <c r="C67" i="13"/>
  <c r="I66" i="13"/>
  <c r="X65" i="13"/>
  <c r="G65" i="13"/>
  <c r="V64" i="13"/>
  <c r="K63" i="13"/>
  <c r="C63" i="13"/>
  <c r="J62" i="13"/>
  <c r="H61" i="13"/>
  <c r="C61" i="13"/>
  <c r="L60" i="13"/>
  <c r="F60" i="13"/>
  <c r="X59" i="13"/>
  <c r="J59" i="13"/>
  <c r="D59" i="13"/>
  <c r="V58" i="13"/>
  <c r="H58" i="13"/>
  <c r="B58" i="13"/>
  <c r="E58" i="13" s="1"/>
  <c r="K57" i="13"/>
  <c r="G57" i="13"/>
  <c r="C57" i="13"/>
  <c r="V56" i="13"/>
  <c r="I56" i="13"/>
  <c r="X55" i="13"/>
  <c r="K55" i="13"/>
  <c r="G55" i="13"/>
  <c r="C55" i="13"/>
  <c r="V54" i="13"/>
  <c r="I54" i="13"/>
  <c r="X53" i="13"/>
  <c r="K53" i="13"/>
  <c r="G53" i="13"/>
  <c r="C53" i="13"/>
  <c r="V52" i="13"/>
  <c r="I52" i="13"/>
  <c r="X51" i="13"/>
  <c r="K51" i="13"/>
  <c r="G51" i="13"/>
  <c r="C51" i="13"/>
  <c r="V50" i="13"/>
  <c r="I50" i="13"/>
  <c r="X49" i="13"/>
  <c r="K49" i="13"/>
  <c r="G49" i="13"/>
  <c r="C49" i="13"/>
  <c r="V48" i="13"/>
  <c r="I48" i="13"/>
  <c r="X47" i="13"/>
  <c r="K47" i="13"/>
  <c r="G47" i="13"/>
  <c r="C47" i="13"/>
  <c r="V46" i="13"/>
  <c r="I46" i="13"/>
  <c r="X45" i="13"/>
  <c r="K45" i="13"/>
  <c r="G45" i="13"/>
  <c r="C45" i="13"/>
  <c r="V44" i="13"/>
  <c r="I44" i="13"/>
  <c r="X43" i="13"/>
  <c r="K43" i="13"/>
  <c r="G43" i="13"/>
  <c r="C43" i="13"/>
  <c r="V42" i="13"/>
  <c r="I42" i="13"/>
  <c r="X41" i="13"/>
  <c r="K41" i="13"/>
  <c r="G41" i="13"/>
  <c r="C41" i="13"/>
  <c r="V40" i="13"/>
  <c r="I40" i="13"/>
  <c r="X39" i="13"/>
  <c r="K39" i="13"/>
  <c r="G39" i="13"/>
  <c r="C39" i="13"/>
  <c r="V38" i="13"/>
  <c r="I38" i="13"/>
  <c r="X37" i="13"/>
  <c r="K37" i="13"/>
  <c r="G37" i="13"/>
  <c r="C37" i="13"/>
  <c r="V36" i="13"/>
  <c r="I36" i="13"/>
  <c r="X35" i="13"/>
  <c r="K35" i="13"/>
  <c r="G35" i="13"/>
  <c r="C35" i="13"/>
  <c r="V34" i="13"/>
  <c r="I34" i="13"/>
  <c r="X33" i="13"/>
  <c r="K33" i="13"/>
  <c r="G33" i="13"/>
  <c r="C33" i="13"/>
  <c r="V32" i="13"/>
  <c r="I32" i="13"/>
  <c r="X31" i="13"/>
  <c r="K31" i="13"/>
  <c r="G31" i="13"/>
  <c r="C31" i="13"/>
  <c r="V30" i="13"/>
  <c r="I30" i="13"/>
  <c r="X29" i="13"/>
  <c r="K29" i="13"/>
  <c r="G29" i="13"/>
  <c r="C29" i="13"/>
  <c r="V28" i="13"/>
  <c r="I28" i="13"/>
  <c r="X27" i="13"/>
  <c r="K27" i="13"/>
  <c r="G27" i="13"/>
  <c r="C27" i="13"/>
  <c r="V26" i="13"/>
  <c r="I26" i="13"/>
  <c r="X25" i="13"/>
  <c r="K25" i="13"/>
  <c r="G25" i="13"/>
  <c r="C25" i="13"/>
  <c r="V24" i="13"/>
  <c r="I24" i="13"/>
  <c r="X23" i="13"/>
  <c r="K23" i="13"/>
  <c r="G23" i="13"/>
  <c r="C23" i="13"/>
  <c r="V22" i="13"/>
  <c r="I22" i="13"/>
  <c r="X21" i="13"/>
  <c r="K21" i="13"/>
  <c r="G21" i="13"/>
  <c r="C21" i="13"/>
  <c r="V20" i="13"/>
  <c r="I20" i="13"/>
  <c r="X19" i="13"/>
  <c r="K19" i="13"/>
  <c r="G19" i="13"/>
  <c r="C19" i="13"/>
  <c r="V18" i="13"/>
  <c r="I18" i="13"/>
  <c r="X17" i="13"/>
  <c r="K17" i="13"/>
  <c r="G17" i="13"/>
  <c r="C17" i="13"/>
  <c r="V16" i="13"/>
  <c r="F376" i="13"/>
  <c r="L339" i="13"/>
  <c r="H318" i="13"/>
  <c r="D300" i="13"/>
  <c r="C284" i="13"/>
  <c r="I279" i="13"/>
  <c r="X274" i="13"/>
  <c r="G270" i="13"/>
  <c r="W270" i="13" s="1"/>
  <c r="V265" i="13"/>
  <c r="K256" i="13"/>
  <c r="C252" i="13"/>
  <c r="I247" i="13"/>
  <c r="X242" i="13"/>
  <c r="G238" i="13"/>
  <c r="W238" i="13" s="1"/>
  <c r="V233" i="13"/>
  <c r="K224" i="13"/>
  <c r="C220" i="13"/>
  <c r="I215" i="13"/>
  <c r="X210" i="13"/>
  <c r="G206" i="13"/>
  <c r="W206" i="13" s="1"/>
  <c r="V201" i="13"/>
  <c r="K192" i="13"/>
  <c r="C188" i="13"/>
  <c r="I183" i="13"/>
  <c r="X178" i="13"/>
  <c r="G174" i="13"/>
  <c r="W174" i="13" s="1"/>
  <c r="V169" i="13"/>
  <c r="K160" i="13"/>
  <c r="C156" i="13"/>
  <c r="J152" i="13"/>
  <c r="I149" i="13"/>
  <c r="H146" i="13"/>
  <c r="H143" i="13"/>
  <c r="G140" i="13"/>
  <c r="W140" i="13" s="1"/>
  <c r="L137" i="13"/>
  <c r="H135" i="13"/>
  <c r="D133" i="13"/>
  <c r="H131" i="13"/>
  <c r="I130" i="13"/>
  <c r="L129" i="13"/>
  <c r="D129" i="13"/>
  <c r="J128" i="13"/>
  <c r="B128" i="13"/>
  <c r="E128" i="13" s="1"/>
  <c r="H127" i="13"/>
  <c r="F126" i="13"/>
  <c r="L125" i="13"/>
  <c r="D125" i="13"/>
  <c r="J124" i="13"/>
  <c r="B124" i="13"/>
  <c r="E124" i="13" s="1"/>
  <c r="H123" i="13"/>
  <c r="F122" i="13"/>
  <c r="L121" i="13"/>
  <c r="D121" i="13"/>
  <c r="J120" i="13"/>
  <c r="B120" i="13"/>
  <c r="E120" i="13" s="1"/>
  <c r="H119" i="13"/>
  <c r="F118" i="13"/>
  <c r="L117" i="13"/>
  <c r="D117" i="13"/>
  <c r="J116" i="13"/>
  <c r="B116" i="13"/>
  <c r="E116" i="13" s="1"/>
  <c r="H115" i="13"/>
  <c r="F114" i="13"/>
  <c r="L113" i="13"/>
  <c r="D113" i="13"/>
  <c r="J112" i="13"/>
  <c r="B112" i="13"/>
  <c r="E112" i="13" s="1"/>
  <c r="H111" i="13"/>
  <c r="F110" i="13"/>
  <c r="L109" i="13"/>
  <c r="D109" i="13"/>
  <c r="J108" i="13"/>
  <c r="B108" i="13"/>
  <c r="E108" i="13" s="1"/>
  <c r="H107" i="13"/>
  <c r="F106" i="13"/>
  <c r="L105" i="13"/>
  <c r="D105" i="13"/>
  <c r="J104" i="13"/>
  <c r="B104" i="13"/>
  <c r="E104" i="13" s="1"/>
  <c r="H103" i="13"/>
  <c r="F102" i="13"/>
  <c r="L101" i="13"/>
  <c r="D101" i="13"/>
  <c r="J100" i="13"/>
  <c r="B100" i="13"/>
  <c r="E100" i="13" s="1"/>
  <c r="H99" i="13"/>
  <c r="F98" i="13"/>
  <c r="L97" i="13"/>
  <c r="D97" i="13"/>
  <c r="J96" i="13"/>
  <c r="B96" i="13"/>
  <c r="E96" i="13" s="1"/>
  <c r="H95" i="13"/>
  <c r="F94" i="13"/>
  <c r="L93" i="13"/>
  <c r="D93" i="13"/>
  <c r="J92" i="13"/>
  <c r="B92" i="13"/>
  <c r="E92" i="13" s="1"/>
  <c r="H91" i="13"/>
  <c r="F90" i="13"/>
  <c r="L89" i="13"/>
  <c r="D89" i="13"/>
  <c r="J88" i="13"/>
  <c r="B88" i="13"/>
  <c r="E88" i="13" s="1"/>
  <c r="H87" i="13"/>
  <c r="F86" i="13"/>
  <c r="L85" i="13"/>
  <c r="D85" i="13"/>
  <c r="J84" i="13"/>
  <c r="B84" i="13"/>
  <c r="E84" i="13" s="1"/>
  <c r="H83" i="13"/>
  <c r="F82" i="13"/>
  <c r="L81" i="13"/>
  <c r="D81" i="13"/>
  <c r="J80" i="13"/>
  <c r="B80" i="13"/>
  <c r="E80" i="13" s="1"/>
  <c r="H79" i="13"/>
  <c r="F78" i="13"/>
  <c r="L77" i="13"/>
  <c r="D77" i="13"/>
  <c r="J76" i="13"/>
  <c r="B76" i="13"/>
  <c r="E76" i="13" s="1"/>
  <c r="H75" i="13"/>
  <c r="F74" i="13"/>
  <c r="L73" i="13"/>
  <c r="D73" i="13"/>
  <c r="J72" i="13"/>
  <c r="B72" i="13"/>
  <c r="E72" i="13" s="1"/>
  <c r="H71" i="13"/>
  <c r="F70" i="13"/>
  <c r="L69" i="13"/>
  <c r="D69" i="13"/>
  <c r="J68" i="13"/>
  <c r="B68" i="13"/>
  <c r="E68" i="13" s="1"/>
  <c r="H67" i="13"/>
  <c r="F66" i="13"/>
  <c r="L65" i="13"/>
  <c r="D65" i="13"/>
  <c r="J64" i="13"/>
  <c r="B64" i="13"/>
  <c r="E64" i="13" s="1"/>
  <c r="H63" i="13"/>
  <c r="I62" i="13"/>
  <c r="D62" i="13"/>
  <c r="L61" i="13"/>
  <c r="G61" i="13"/>
  <c r="W61" i="13" s="1"/>
  <c r="B61" i="13"/>
  <c r="E61" i="13" s="1"/>
  <c r="J60" i="13"/>
  <c r="H59" i="13"/>
  <c r="C59" i="13"/>
  <c r="L58" i="13"/>
  <c r="F58" i="13"/>
  <c r="X57" i="13"/>
  <c r="J57" i="13"/>
  <c r="F57" i="13"/>
  <c r="B57" i="13"/>
  <c r="E57" i="13" s="1"/>
  <c r="L56" i="13"/>
  <c r="H56" i="13"/>
  <c r="D56" i="13"/>
  <c r="J55" i="13"/>
  <c r="F55" i="13"/>
  <c r="B55" i="13"/>
  <c r="E55" i="13" s="1"/>
  <c r="L54" i="13"/>
  <c r="H54" i="13"/>
  <c r="D54" i="13"/>
  <c r="J53" i="13"/>
  <c r="F53" i="13"/>
  <c r="B53" i="13"/>
  <c r="E53" i="13" s="1"/>
  <c r="L52" i="13"/>
  <c r="H52" i="13"/>
  <c r="D52" i="13"/>
  <c r="J51" i="13"/>
  <c r="F51" i="13"/>
  <c r="B51" i="13"/>
  <c r="E51" i="13" s="1"/>
  <c r="L50" i="13"/>
  <c r="H50" i="13"/>
  <c r="D50" i="13"/>
  <c r="J49" i="13"/>
  <c r="F49" i="13"/>
  <c r="B49" i="13"/>
  <c r="E49" i="13" s="1"/>
  <c r="L48" i="13"/>
  <c r="H48" i="13"/>
  <c r="D48" i="13"/>
  <c r="J47" i="13"/>
  <c r="F47" i="13"/>
  <c r="B47" i="13"/>
  <c r="E47" i="13" s="1"/>
  <c r="L46" i="13"/>
  <c r="H46" i="13"/>
  <c r="D46" i="13"/>
  <c r="J45" i="13"/>
  <c r="F45" i="13"/>
  <c r="B45" i="13"/>
  <c r="E45" i="13" s="1"/>
  <c r="L44" i="13"/>
  <c r="H44" i="13"/>
  <c r="D44" i="13"/>
  <c r="J43" i="13"/>
  <c r="F43" i="13"/>
  <c r="B43" i="13"/>
  <c r="E43" i="13" s="1"/>
  <c r="L42" i="13"/>
  <c r="H42" i="13"/>
  <c r="D42" i="13"/>
  <c r="J41" i="13"/>
  <c r="F41" i="13"/>
  <c r="B41" i="13"/>
  <c r="E41" i="13" s="1"/>
  <c r="L40" i="13"/>
  <c r="H40" i="13"/>
  <c r="D40" i="13"/>
  <c r="J39" i="13"/>
  <c r="F39" i="13"/>
  <c r="B39" i="13"/>
  <c r="E39" i="13" s="1"/>
  <c r="L38" i="13"/>
  <c r="H38" i="13"/>
  <c r="D38" i="13"/>
  <c r="J37" i="13"/>
  <c r="F37" i="13"/>
  <c r="B37" i="13"/>
  <c r="E37" i="13" s="1"/>
  <c r="L36" i="13"/>
  <c r="H36" i="13"/>
  <c r="D36" i="13"/>
  <c r="J35" i="13"/>
  <c r="F35" i="13"/>
  <c r="B35" i="13"/>
  <c r="E35" i="13" s="1"/>
  <c r="L34" i="13"/>
  <c r="H34" i="13"/>
  <c r="D34" i="13"/>
  <c r="J33" i="13"/>
  <c r="F33" i="13"/>
  <c r="B33" i="13"/>
  <c r="E33" i="13" s="1"/>
  <c r="L32" i="13"/>
  <c r="H32" i="13"/>
  <c r="D32" i="13"/>
  <c r="J31" i="13"/>
  <c r="F31" i="13"/>
  <c r="B31" i="13"/>
  <c r="E31" i="13" s="1"/>
  <c r="L30" i="13"/>
  <c r="H30" i="13"/>
  <c r="D30" i="13"/>
  <c r="J29" i="13"/>
  <c r="F29" i="13"/>
  <c r="B29" i="13"/>
  <c r="E29" i="13" s="1"/>
  <c r="L28" i="13"/>
  <c r="H28" i="13"/>
  <c r="D28" i="13"/>
  <c r="J27" i="13"/>
  <c r="F27" i="13"/>
  <c r="B27" i="13"/>
  <c r="E27" i="13" s="1"/>
  <c r="L26" i="13"/>
  <c r="H26" i="13"/>
  <c r="D26" i="13"/>
  <c r="J25" i="13"/>
  <c r="F25" i="13"/>
  <c r="B25" i="13"/>
  <c r="E25" i="13" s="1"/>
  <c r="L24" i="13"/>
  <c r="H24" i="13"/>
  <c r="D24" i="13"/>
  <c r="J23" i="13"/>
  <c r="F23" i="13"/>
  <c r="B23" i="13"/>
  <c r="E23" i="13" s="1"/>
  <c r="L22" i="13"/>
  <c r="H22" i="13"/>
  <c r="D22" i="13"/>
  <c r="J21" i="13"/>
  <c r="F21" i="13"/>
  <c r="B21" i="13"/>
  <c r="E21" i="13" s="1"/>
  <c r="L20" i="13"/>
  <c r="H20" i="13"/>
  <c r="D20" i="13"/>
  <c r="J19" i="13"/>
  <c r="F19" i="13"/>
  <c r="B19" i="13"/>
  <c r="E19" i="13" s="1"/>
  <c r="L18" i="13"/>
  <c r="H18" i="13"/>
  <c r="D18" i="13"/>
  <c r="J17" i="13"/>
  <c r="F17" i="13"/>
  <c r="B17" i="13"/>
  <c r="E17" i="13" s="1"/>
  <c r="L16" i="13"/>
  <c r="H16" i="13"/>
  <c r="D16" i="13"/>
  <c r="J15" i="13"/>
  <c r="F15" i="13"/>
  <c r="B15" i="13"/>
  <c r="E15" i="13" s="1"/>
  <c r="L14" i="13"/>
  <c r="H14" i="13"/>
  <c r="D14" i="13"/>
  <c r="J13" i="13"/>
  <c r="F13" i="13"/>
  <c r="B13" i="13"/>
  <c r="E13" i="13" s="1"/>
  <c r="I12" i="13"/>
  <c r="X11" i="13"/>
  <c r="L11" i="13"/>
  <c r="H11" i="13"/>
  <c r="D11" i="13"/>
  <c r="K10" i="13"/>
  <c r="G10" i="13"/>
  <c r="C10" i="13"/>
  <c r="V9" i="13"/>
  <c r="J9" i="13"/>
  <c r="F9" i="13"/>
  <c r="B9" i="13"/>
  <c r="E9" i="13" s="1"/>
  <c r="J8" i="13"/>
  <c r="F8" i="13"/>
  <c r="B8" i="13"/>
  <c r="E8" i="13" s="1"/>
  <c r="L403" i="13"/>
  <c r="D367" i="13"/>
  <c r="D332" i="13"/>
  <c r="J295" i="13"/>
  <c r="X282" i="13"/>
  <c r="G278" i="13"/>
  <c r="W278" i="13" s="1"/>
  <c r="V273" i="13"/>
  <c r="K264" i="13"/>
  <c r="C260" i="13"/>
  <c r="I255" i="13"/>
  <c r="X250" i="13"/>
  <c r="G246" i="13"/>
  <c r="W246" i="13" s="1"/>
  <c r="V241" i="13"/>
  <c r="K232" i="13"/>
  <c r="C228" i="13"/>
  <c r="I223" i="13"/>
  <c r="X218" i="13"/>
  <c r="G214" i="13"/>
  <c r="W214" i="13" s="1"/>
  <c r="V209" i="13"/>
  <c r="K200" i="13"/>
  <c r="C196" i="13"/>
  <c r="I191" i="13"/>
  <c r="X186" i="13"/>
  <c r="G182" i="13"/>
  <c r="W182" i="13" s="1"/>
  <c r="V177" i="13"/>
  <c r="K168" i="13"/>
  <c r="C164" i="13"/>
  <c r="I159" i="13"/>
  <c r="X154" i="13"/>
  <c r="V151" i="13"/>
  <c r="L148" i="13"/>
  <c r="L145" i="13"/>
  <c r="K142" i="13"/>
  <c r="J139" i="13"/>
  <c r="D137" i="13"/>
  <c r="J132" i="13"/>
  <c r="D131" i="13"/>
  <c r="F130" i="13"/>
  <c r="K129" i="13"/>
  <c r="C129" i="13"/>
  <c r="I128" i="13"/>
  <c r="X127" i="13"/>
  <c r="G127" i="13"/>
  <c r="V126" i="13"/>
  <c r="K125" i="13"/>
  <c r="C125" i="13"/>
  <c r="I124" i="13"/>
  <c r="X123" i="13"/>
  <c r="G123" i="13"/>
  <c r="W123" i="13" s="1"/>
  <c r="V122" i="13"/>
  <c r="K121" i="13"/>
  <c r="C121" i="13"/>
  <c r="I120" i="13"/>
  <c r="X119" i="13"/>
  <c r="G119" i="13"/>
  <c r="V118" i="13"/>
  <c r="K117" i="13"/>
  <c r="C117" i="13"/>
  <c r="I116" i="13"/>
  <c r="X115" i="13"/>
  <c r="G115" i="13"/>
  <c r="W115" i="13" s="1"/>
  <c r="V114" i="13"/>
  <c r="K113" i="13"/>
  <c r="C113" i="13"/>
  <c r="I112" i="13"/>
  <c r="X111" i="13"/>
  <c r="G111" i="13"/>
  <c r="V110" i="13"/>
  <c r="K109" i="13"/>
  <c r="C109" i="13"/>
  <c r="I108" i="13"/>
  <c r="X107" i="13"/>
  <c r="G107" i="13"/>
  <c r="W107" i="13" s="1"/>
  <c r="V106" i="13"/>
  <c r="K105" i="13"/>
  <c r="C105" i="13"/>
  <c r="I104" i="13"/>
  <c r="X103" i="13"/>
  <c r="G103" i="13"/>
  <c r="V102" i="13"/>
  <c r="K101" i="13"/>
  <c r="C101" i="13"/>
  <c r="I100" i="13"/>
  <c r="X99" i="13"/>
  <c r="G99" i="13"/>
  <c r="W99" i="13" s="1"/>
  <c r="V98" i="13"/>
  <c r="K97" i="13"/>
  <c r="C97" i="13"/>
  <c r="I96" i="13"/>
  <c r="X95" i="13"/>
  <c r="G95" i="13"/>
  <c r="V94" i="13"/>
  <c r="K93" i="13"/>
  <c r="C93" i="13"/>
  <c r="I92" i="13"/>
  <c r="X91" i="13"/>
  <c r="G91" i="13"/>
  <c r="W91" i="13" s="1"/>
  <c r="V90" i="13"/>
  <c r="K89" i="13"/>
  <c r="C89" i="13"/>
  <c r="I88" i="13"/>
  <c r="X87" i="13"/>
  <c r="G87" i="13"/>
  <c r="V86" i="13"/>
  <c r="K85" i="13"/>
  <c r="C85" i="13"/>
  <c r="I84" i="13"/>
  <c r="X83" i="13"/>
  <c r="G83" i="13"/>
  <c r="W83" i="13" s="1"/>
  <c r="V82" i="13"/>
  <c r="K81" i="13"/>
  <c r="C81" i="13"/>
  <c r="I80" i="13"/>
  <c r="X79" i="13"/>
  <c r="G79" i="13"/>
  <c r="V78" i="13"/>
  <c r="K77" i="13"/>
  <c r="C77" i="13"/>
  <c r="I76" i="13"/>
  <c r="X75" i="13"/>
  <c r="G75" i="13"/>
  <c r="W75" i="13" s="1"/>
  <c r="V74" i="13"/>
  <c r="K73" i="13"/>
  <c r="C73" i="13"/>
  <c r="I72" i="13"/>
  <c r="X71" i="13"/>
  <c r="G71" i="13"/>
  <c r="V70" i="13"/>
  <c r="K69" i="13"/>
  <c r="C69" i="13"/>
  <c r="I68" i="13"/>
  <c r="X67" i="13"/>
  <c r="G67" i="13"/>
  <c r="W67" i="13" s="1"/>
  <c r="V66" i="13"/>
  <c r="K65" i="13"/>
  <c r="C65" i="13"/>
  <c r="I64" i="13"/>
  <c r="X63" i="13"/>
  <c r="G63" i="13"/>
  <c r="V62" i="13"/>
  <c r="H62" i="13"/>
  <c r="B62" i="13"/>
  <c r="E62" i="13" s="1"/>
  <c r="K61" i="13"/>
  <c r="F61" i="13"/>
  <c r="I60" i="13"/>
  <c r="D60" i="13"/>
  <c r="L59" i="13"/>
  <c r="G59" i="13"/>
  <c r="B59" i="13"/>
  <c r="E59" i="13" s="1"/>
  <c r="J58" i="13"/>
  <c r="I57" i="13"/>
  <c r="X56" i="13"/>
  <c r="K56" i="13"/>
  <c r="G56" i="13"/>
  <c r="C56" i="13"/>
  <c r="V55" i="13"/>
  <c r="I55" i="13"/>
  <c r="X54" i="13"/>
  <c r="K54" i="13"/>
  <c r="G54" i="13"/>
  <c r="C54" i="13"/>
  <c r="V53" i="13"/>
  <c r="I53" i="13"/>
  <c r="X52" i="13"/>
  <c r="K52" i="13"/>
  <c r="G52" i="13"/>
  <c r="C52" i="13"/>
  <c r="V51" i="13"/>
  <c r="I51" i="13"/>
  <c r="X50" i="13"/>
  <c r="K50" i="13"/>
  <c r="G50" i="13"/>
  <c r="C50" i="13"/>
  <c r="V49" i="13"/>
  <c r="I49" i="13"/>
  <c r="X48" i="13"/>
  <c r="K48" i="13"/>
  <c r="G48" i="13"/>
  <c r="C48" i="13"/>
  <c r="V47" i="13"/>
  <c r="I47" i="13"/>
  <c r="X46" i="13"/>
  <c r="K46" i="13"/>
  <c r="G46" i="13"/>
  <c r="C46" i="13"/>
  <c r="V45" i="13"/>
  <c r="I45" i="13"/>
  <c r="X44" i="13"/>
  <c r="K44" i="13"/>
  <c r="G44" i="13"/>
  <c r="C44" i="13"/>
  <c r="V43" i="13"/>
  <c r="I43" i="13"/>
  <c r="X42" i="13"/>
  <c r="K42" i="13"/>
  <c r="G42" i="13"/>
  <c r="C42" i="13"/>
  <c r="V41" i="13"/>
  <c r="I41" i="13"/>
  <c r="X40" i="13"/>
  <c r="K40" i="13"/>
  <c r="G40" i="13"/>
  <c r="C40" i="13"/>
  <c r="V39" i="13"/>
  <c r="I39" i="13"/>
  <c r="X38" i="13"/>
  <c r="K38" i="13"/>
  <c r="G38" i="13"/>
  <c r="C38" i="13"/>
  <c r="V37" i="13"/>
  <c r="I37" i="13"/>
  <c r="X36" i="13"/>
  <c r="K36" i="13"/>
  <c r="G36" i="13"/>
  <c r="C36" i="13"/>
  <c r="V35" i="13"/>
  <c r="I35" i="13"/>
  <c r="X34" i="13"/>
  <c r="K34" i="13"/>
  <c r="G34" i="13"/>
  <c r="C34" i="13"/>
  <c r="V33" i="13"/>
  <c r="I33" i="13"/>
  <c r="X32" i="13"/>
  <c r="K32" i="13"/>
  <c r="G32" i="13"/>
  <c r="C32" i="13"/>
  <c r="V31" i="13"/>
  <c r="I31" i="13"/>
  <c r="X30" i="13"/>
  <c r="K30" i="13"/>
  <c r="G30" i="13"/>
  <c r="C30" i="13"/>
  <c r="V29" i="13"/>
  <c r="I29" i="13"/>
  <c r="X28" i="13"/>
  <c r="K28" i="13"/>
  <c r="G28" i="13"/>
  <c r="C28" i="13"/>
  <c r="V27" i="13"/>
  <c r="I27" i="13"/>
  <c r="X26" i="13"/>
  <c r="K26" i="13"/>
  <c r="G26" i="13"/>
  <c r="C26" i="13"/>
  <c r="V25" i="13"/>
  <c r="I25" i="13"/>
  <c r="X24" i="13"/>
  <c r="K24" i="13"/>
  <c r="G24" i="13"/>
  <c r="C24" i="13"/>
  <c r="V23" i="13"/>
  <c r="I23" i="13"/>
  <c r="X22" i="13"/>
  <c r="K22" i="13"/>
  <c r="G22" i="13"/>
  <c r="C22" i="13"/>
  <c r="V21" i="13"/>
  <c r="I21" i="13"/>
  <c r="X20" i="13"/>
  <c r="K20" i="13"/>
  <c r="G20" i="13"/>
  <c r="C20" i="13"/>
  <c r="V19" i="13"/>
  <c r="I19" i="13"/>
  <c r="X18" i="13"/>
  <c r="K18" i="13"/>
  <c r="G18" i="13"/>
  <c r="C18" i="13"/>
  <c r="V17" i="13"/>
  <c r="I17" i="13"/>
  <c r="X16" i="13"/>
  <c r="J394" i="13"/>
  <c r="B358" i="13"/>
  <c r="E358" i="13" s="1"/>
  <c r="J327" i="13"/>
  <c r="F309" i="13"/>
  <c r="B291" i="13"/>
  <c r="E291" i="13" s="1"/>
  <c r="V281" i="13"/>
  <c r="K272" i="13"/>
  <c r="C268" i="13"/>
  <c r="I263" i="13"/>
  <c r="X258" i="13"/>
  <c r="G254" i="13"/>
  <c r="W254" i="13" s="1"/>
  <c r="V249" i="13"/>
  <c r="K240" i="13"/>
  <c r="C236" i="13"/>
  <c r="I231" i="13"/>
  <c r="X226" i="13"/>
  <c r="G222" i="13"/>
  <c r="W222" i="13" s="1"/>
  <c r="V217" i="13"/>
  <c r="K208" i="13"/>
  <c r="C204" i="13"/>
  <c r="I199" i="13"/>
  <c r="X194" i="13"/>
  <c r="G190" i="13"/>
  <c r="W190" i="13" s="1"/>
  <c r="V185" i="13"/>
  <c r="K176" i="13"/>
  <c r="C172" i="13"/>
  <c r="I167" i="13"/>
  <c r="X162" i="13"/>
  <c r="G158" i="13"/>
  <c r="W158" i="13" s="1"/>
  <c r="C154" i="13"/>
  <c r="B151" i="13"/>
  <c r="E151" i="13" s="1"/>
  <c r="B148" i="13"/>
  <c r="E148" i="13" s="1"/>
  <c r="X144" i="13"/>
  <c r="J136" i="13"/>
  <c r="F134" i="13"/>
  <c r="B132" i="13"/>
  <c r="E132" i="13" s="1"/>
  <c r="B130" i="13"/>
  <c r="E130" i="13" s="1"/>
  <c r="H129" i="13"/>
  <c r="F128" i="13"/>
  <c r="L127" i="13"/>
  <c r="D127" i="13"/>
  <c r="J126" i="13"/>
  <c r="B126" i="13"/>
  <c r="E126" i="13" s="1"/>
  <c r="H125" i="13"/>
  <c r="F124" i="13"/>
  <c r="L123" i="13"/>
  <c r="D123" i="13"/>
  <c r="J122" i="13"/>
  <c r="B122" i="13"/>
  <c r="E122" i="13" s="1"/>
  <c r="H121" i="13"/>
  <c r="F120" i="13"/>
  <c r="L119" i="13"/>
  <c r="D119" i="13"/>
  <c r="J118" i="13"/>
  <c r="B118" i="13"/>
  <c r="E118" i="13" s="1"/>
  <c r="H117" i="13"/>
  <c r="F116" i="13"/>
  <c r="L115" i="13"/>
  <c r="D115" i="13"/>
  <c r="J114" i="13"/>
  <c r="B114" i="13"/>
  <c r="E114" i="13" s="1"/>
  <c r="H113" i="13"/>
  <c r="F112" i="13"/>
  <c r="L111" i="13"/>
  <c r="D111" i="13"/>
  <c r="J110" i="13"/>
  <c r="B110" i="13"/>
  <c r="E110" i="13" s="1"/>
  <c r="H109" i="13"/>
  <c r="F108" i="13"/>
  <c r="L107" i="13"/>
  <c r="D107" i="13"/>
  <c r="J106" i="13"/>
  <c r="B106" i="13"/>
  <c r="E106" i="13" s="1"/>
  <c r="L103" i="13"/>
  <c r="H101" i="13"/>
  <c r="D99" i="13"/>
  <c r="J94" i="13"/>
  <c r="F92" i="13"/>
  <c r="B90" i="13"/>
  <c r="E90" i="13" s="1"/>
  <c r="L87" i="13"/>
  <c r="H85" i="13"/>
  <c r="D83" i="13"/>
  <c r="J78" i="13"/>
  <c r="F76" i="13"/>
  <c r="B74" i="13"/>
  <c r="E74" i="13" s="1"/>
  <c r="L71" i="13"/>
  <c r="H69" i="13"/>
  <c r="D67" i="13"/>
  <c r="L62" i="13"/>
  <c r="D61" i="13"/>
  <c r="K59" i="13"/>
  <c r="D58" i="13"/>
  <c r="L55" i="13"/>
  <c r="J54" i="13"/>
  <c r="H53" i="13"/>
  <c r="F52" i="13"/>
  <c r="D51" i="13"/>
  <c r="B50" i="13"/>
  <c r="E50" i="13" s="1"/>
  <c r="L47" i="13"/>
  <c r="J46" i="13"/>
  <c r="H45" i="13"/>
  <c r="F44" i="13"/>
  <c r="D43" i="13"/>
  <c r="B42" i="13"/>
  <c r="E42" i="13" s="1"/>
  <c r="L39" i="13"/>
  <c r="J38" i="13"/>
  <c r="H37" i="13"/>
  <c r="F36" i="13"/>
  <c r="D35" i="13"/>
  <c r="B34" i="13"/>
  <c r="E34" i="13" s="1"/>
  <c r="L31" i="13"/>
  <c r="J30" i="13"/>
  <c r="H29" i="13"/>
  <c r="F28" i="13"/>
  <c r="D27" i="13"/>
  <c r="B26" i="13"/>
  <c r="E26" i="13" s="1"/>
  <c r="L23" i="13"/>
  <c r="J22" i="13"/>
  <c r="H21" i="13"/>
  <c r="F20" i="13"/>
  <c r="D19" i="13"/>
  <c r="B18" i="13"/>
  <c r="E18" i="13" s="1"/>
  <c r="K16" i="13"/>
  <c r="F16" i="13"/>
  <c r="X15" i="13"/>
  <c r="H15" i="13"/>
  <c r="C15" i="13"/>
  <c r="J14" i="13"/>
  <c r="V13" i="13"/>
  <c r="L13" i="13"/>
  <c r="G13" i="13"/>
  <c r="X12" i="13"/>
  <c r="K12" i="13"/>
  <c r="F12" i="13"/>
  <c r="J11" i="13"/>
  <c r="V10" i="13"/>
  <c r="I10" i="13"/>
  <c r="D10" i="13"/>
  <c r="H9" i="13"/>
  <c r="C9" i="13"/>
  <c r="H8" i="13"/>
  <c r="C8" i="13"/>
  <c r="J7" i="13"/>
  <c r="F7" i="13"/>
  <c r="B7" i="13"/>
  <c r="E7" i="13" s="1"/>
  <c r="J6" i="13"/>
  <c r="F6" i="13"/>
  <c r="B6" i="13"/>
  <c r="E6" i="13" s="1"/>
  <c r="I5" i="13"/>
  <c r="X4" i="13"/>
  <c r="L4" i="13"/>
  <c r="H4" i="13"/>
  <c r="D4" i="13"/>
  <c r="H105" i="13"/>
  <c r="D103" i="13"/>
  <c r="J98" i="13"/>
  <c r="F96" i="13"/>
  <c r="B94" i="13"/>
  <c r="E94" i="13" s="1"/>
  <c r="L91" i="13"/>
  <c r="H89" i="13"/>
  <c r="D87" i="13"/>
  <c r="J82" i="13"/>
  <c r="F80" i="13"/>
  <c r="B78" i="13"/>
  <c r="E78" i="13" s="1"/>
  <c r="L75" i="13"/>
  <c r="H73" i="13"/>
  <c r="D71" i="13"/>
  <c r="J66" i="13"/>
  <c r="F64" i="13"/>
  <c r="F62" i="13"/>
  <c r="V60" i="13"/>
  <c r="F59" i="13"/>
  <c r="L57" i="13"/>
  <c r="J56" i="13"/>
  <c r="H55" i="13"/>
  <c r="F54" i="13"/>
  <c r="D53" i="13"/>
  <c r="B52" i="13"/>
  <c r="E52" i="13" s="1"/>
  <c r="L49" i="13"/>
  <c r="J48" i="13"/>
  <c r="H47" i="13"/>
  <c r="F46" i="13"/>
  <c r="D45" i="13"/>
  <c r="B44" i="13"/>
  <c r="E44" i="13" s="1"/>
  <c r="L41" i="13"/>
  <c r="J40" i="13"/>
  <c r="H39" i="13"/>
  <c r="F38" i="13"/>
  <c r="D37" i="13"/>
  <c r="B36" i="13"/>
  <c r="E36" i="13" s="1"/>
  <c r="L33" i="13"/>
  <c r="J32" i="13"/>
  <c r="H31" i="13"/>
  <c r="F30" i="13"/>
  <c r="D29" i="13"/>
  <c r="B28" i="13"/>
  <c r="E28" i="13" s="1"/>
  <c r="L25" i="13"/>
  <c r="J24" i="13"/>
  <c r="H23" i="13"/>
  <c r="F22" i="13"/>
  <c r="D21" i="13"/>
  <c r="B20" i="13"/>
  <c r="E20" i="13" s="1"/>
  <c r="L17" i="13"/>
  <c r="J16" i="13"/>
  <c r="V15" i="13"/>
  <c r="L15" i="13"/>
  <c r="G15" i="13"/>
  <c r="X14" i="13"/>
  <c r="I14" i="13"/>
  <c r="C14" i="13"/>
  <c r="K13" i="13"/>
  <c r="J12" i="13"/>
  <c r="D12" i="13"/>
  <c r="V11" i="13"/>
  <c r="I11" i="13"/>
  <c r="C11" i="13"/>
  <c r="H10" i="13"/>
  <c r="B10" i="13"/>
  <c r="E10" i="13" s="1"/>
  <c r="L9" i="13"/>
  <c r="G9" i="13"/>
  <c r="X8" i="13"/>
  <c r="L8" i="13"/>
  <c r="G8" i="13"/>
  <c r="X7" i="13"/>
  <c r="I7" i="13"/>
  <c r="X6" i="13"/>
  <c r="I6" i="13"/>
  <c r="X5" i="13"/>
  <c r="L5" i="13"/>
  <c r="H5" i="13"/>
  <c r="D5" i="13"/>
  <c r="K4" i="13"/>
  <c r="G4" i="13"/>
  <c r="C4" i="13"/>
  <c r="J102" i="13"/>
  <c r="F100" i="13"/>
  <c r="B98" i="13"/>
  <c r="E98" i="13" s="1"/>
  <c r="L95" i="13"/>
  <c r="H93" i="13"/>
  <c r="D91" i="13"/>
  <c r="J86" i="13"/>
  <c r="F84" i="13"/>
  <c r="B82" i="13"/>
  <c r="E82" i="13" s="1"/>
  <c r="L79" i="13"/>
  <c r="H77" i="13"/>
  <c r="D75" i="13"/>
  <c r="J70" i="13"/>
  <c r="F68" i="13"/>
  <c r="B66" i="13"/>
  <c r="E66" i="13" s="1"/>
  <c r="L63" i="13"/>
  <c r="X61" i="13"/>
  <c r="H60" i="13"/>
  <c r="H57" i="13"/>
  <c r="F56" i="13"/>
  <c r="D55" i="13"/>
  <c r="B54" i="13"/>
  <c r="E54" i="13" s="1"/>
  <c r="L51" i="13"/>
  <c r="J50" i="13"/>
  <c r="H49" i="13"/>
  <c r="F48" i="13"/>
  <c r="D47" i="13"/>
  <c r="B46" i="13"/>
  <c r="E46" i="13" s="1"/>
  <c r="L43" i="13"/>
  <c r="J42" i="13"/>
  <c r="H41" i="13"/>
  <c r="F40" i="13"/>
  <c r="D39" i="13"/>
  <c r="B38" i="13"/>
  <c r="E38" i="13" s="1"/>
  <c r="L35" i="13"/>
  <c r="J34" i="13"/>
  <c r="H33" i="13"/>
  <c r="F32" i="13"/>
  <c r="D31" i="13"/>
  <c r="B30" i="13"/>
  <c r="E30" i="13" s="1"/>
  <c r="L27" i="13"/>
  <c r="J26" i="13"/>
  <c r="H25" i="13"/>
  <c r="F24" i="13"/>
  <c r="D23" i="13"/>
  <c r="B22" i="13"/>
  <c r="E22" i="13" s="1"/>
  <c r="L19" i="13"/>
  <c r="J18" i="13"/>
  <c r="H17" i="13"/>
  <c r="I16" i="13"/>
  <c r="C16" i="13"/>
  <c r="K15" i="13"/>
  <c r="G14" i="13"/>
  <c r="B14" i="13"/>
  <c r="E14" i="13" s="1"/>
  <c r="I13" i="13"/>
  <c r="D13" i="13"/>
  <c r="V12" i="13"/>
  <c r="H12" i="13"/>
  <c r="C12" i="13"/>
  <c r="G11" i="13"/>
  <c r="W11" i="13" s="1"/>
  <c r="B11" i="13"/>
  <c r="E11" i="13" s="1"/>
  <c r="L10" i="13"/>
  <c r="F10" i="13"/>
  <c r="X9" i="13"/>
  <c r="K9" i="13"/>
  <c r="K8" i="13"/>
  <c r="L7" i="13"/>
  <c r="H7" i="13"/>
  <c r="D7" i="13"/>
  <c r="L6" i="13"/>
  <c r="H6" i="13"/>
  <c r="D6" i="13"/>
  <c r="K5" i="13"/>
  <c r="G5" i="13"/>
  <c r="C5" i="13"/>
  <c r="V4" i="13"/>
  <c r="J4" i="13"/>
  <c r="F4" i="13"/>
  <c r="B4" i="13"/>
  <c r="E4" i="13" s="1"/>
  <c r="F104" i="13"/>
  <c r="B102" i="13"/>
  <c r="E102" i="13" s="1"/>
  <c r="L99" i="13"/>
  <c r="H97" i="13"/>
  <c r="D95" i="13"/>
  <c r="J90" i="13"/>
  <c r="F88" i="13"/>
  <c r="B86" i="13"/>
  <c r="E86" i="13" s="1"/>
  <c r="L83" i="13"/>
  <c r="H81" i="13"/>
  <c r="D79" i="13"/>
  <c r="J74" i="13"/>
  <c r="F72" i="13"/>
  <c r="B70" i="13"/>
  <c r="E70" i="13" s="1"/>
  <c r="L67" i="13"/>
  <c r="H65" i="13"/>
  <c r="D63" i="13"/>
  <c r="J61" i="13"/>
  <c r="B60" i="13"/>
  <c r="E60" i="13" s="1"/>
  <c r="I58" i="13"/>
  <c r="D57" i="13"/>
  <c r="B56" i="13"/>
  <c r="E56" i="13" s="1"/>
  <c r="L53" i="13"/>
  <c r="J52" i="13"/>
  <c r="H51" i="13"/>
  <c r="F50" i="13"/>
  <c r="D49" i="13"/>
  <c r="B48" i="13"/>
  <c r="E48" i="13" s="1"/>
  <c r="L45" i="13"/>
  <c r="J44" i="13"/>
  <c r="H43" i="13"/>
  <c r="F42" i="13"/>
  <c r="D41" i="13"/>
  <c r="B40" i="13"/>
  <c r="E40" i="13" s="1"/>
  <c r="L37" i="13"/>
  <c r="J36" i="13"/>
  <c r="H35" i="13"/>
  <c r="F34" i="13"/>
  <c r="D33" i="13"/>
  <c r="B32" i="13"/>
  <c r="E32" i="13" s="1"/>
  <c r="L29" i="13"/>
  <c r="J28" i="13"/>
  <c r="H27" i="13"/>
  <c r="F26" i="13"/>
  <c r="D25" i="13"/>
  <c r="B24" i="13"/>
  <c r="E24" i="13" s="1"/>
  <c r="L21" i="13"/>
  <c r="J20" i="13"/>
  <c r="H19" i="13"/>
  <c r="F18" i="13"/>
  <c r="D17" i="13"/>
  <c r="G16" i="13"/>
  <c r="B16" i="13"/>
  <c r="E16" i="13" s="1"/>
  <c r="I15" i="13"/>
  <c r="D15" i="13"/>
  <c r="V14" i="13"/>
  <c r="K14" i="13"/>
  <c r="F14" i="13"/>
  <c r="X13" i="13"/>
  <c r="H13" i="13"/>
  <c r="C13" i="13"/>
  <c r="L12" i="13"/>
  <c r="G12" i="13"/>
  <c r="B12" i="13"/>
  <c r="E12" i="13" s="1"/>
  <c r="K11" i="13"/>
  <c r="F11" i="13"/>
  <c r="X10" i="13"/>
  <c r="J10" i="13"/>
  <c r="I9" i="13"/>
  <c r="D9" i="13"/>
  <c r="V8" i="13"/>
  <c r="I8" i="13"/>
  <c r="D8" i="13"/>
  <c r="V7" i="13"/>
  <c r="K7" i="13"/>
  <c r="G7" i="13"/>
  <c r="C7" i="13"/>
  <c r="V6" i="13"/>
  <c r="K6" i="13"/>
  <c r="G6" i="13"/>
  <c r="C6" i="13"/>
  <c r="V5" i="13"/>
  <c r="J5" i="13"/>
  <c r="F5" i="13"/>
  <c r="B5" i="13"/>
  <c r="E5" i="13" s="1"/>
  <c r="I4" i="13"/>
  <c r="P140" i="4"/>
  <c r="V140" i="4"/>
  <c r="P150" i="4"/>
  <c r="V150" i="4"/>
  <c r="Q151" i="4"/>
  <c r="P152" i="4"/>
  <c r="Q153" i="4"/>
  <c r="V156" i="4"/>
  <c r="Q157" i="4"/>
  <c r="V164" i="4"/>
  <c r="Q165" i="4"/>
  <c r="P166" i="4"/>
  <c r="V166" i="4"/>
  <c r="Q167" i="4"/>
  <c r="V168" i="4"/>
  <c r="Q169" i="4"/>
  <c r="P170" i="4"/>
  <c r="V170" i="4"/>
  <c r="Q171" i="4"/>
  <c r="V174" i="4"/>
  <c r="Q175" i="4"/>
  <c r="P176" i="4"/>
  <c r="P178" i="4"/>
  <c r="Q179" i="4"/>
  <c r="V180" i="4"/>
  <c r="Q181" i="4"/>
  <c r="P182" i="4"/>
  <c r="P184" i="4"/>
  <c r="P186" i="4"/>
  <c r="V188" i="4"/>
  <c r="Q189" i="4"/>
  <c r="V190" i="4"/>
  <c r="P192" i="4"/>
  <c r="P194" i="4"/>
  <c r="Q195" i="4"/>
  <c r="V196" i="4"/>
  <c r="P198" i="4"/>
  <c r="Q199" i="4"/>
  <c r="V200" i="4"/>
  <c r="Q201" i="4"/>
  <c r="V202" i="4"/>
  <c r="Q203" i="4"/>
  <c r="P204" i="4"/>
  <c r="P206" i="4"/>
  <c r="V208" i="4"/>
  <c r="Q209" i="4"/>
  <c r="V210" i="4"/>
  <c r="P212" i="4"/>
  <c r="V214" i="4"/>
  <c r="Q215" i="4"/>
  <c r="V216" i="4"/>
  <c r="Q217" i="4"/>
  <c r="P218" i="4"/>
  <c r="Q221" i="4"/>
  <c r="P222" i="4"/>
  <c r="V222" i="4"/>
  <c r="Q223" i="4"/>
  <c r="P224" i="4"/>
  <c r="V224" i="4"/>
  <c r="Q225" i="4"/>
  <c r="P226" i="4"/>
  <c r="V226" i="4"/>
  <c r="Q227" i="4"/>
  <c r="P228" i="4"/>
  <c r="V228" i="4"/>
  <c r="Q229" i="4"/>
  <c r="P230" i="4"/>
  <c r="V230" i="4"/>
  <c r="Q231" i="4"/>
  <c r="P232" i="4"/>
  <c r="V232" i="4"/>
  <c r="Q233" i="4"/>
  <c r="P234" i="4"/>
  <c r="V234" i="4"/>
  <c r="Q235" i="4"/>
  <c r="P236" i="4"/>
  <c r="V236" i="4"/>
  <c r="Q237" i="4"/>
  <c r="P238" i="4"/>
  <c r="V238" i="4"/>
  <c r="Q239" i="4"/>
  <c r="P240" i="4"/>
  <c r="V240" i="4"/>
  <c r="Q241" i="4"/>
  <c r="P242" i="4"/>
  <c r="V242" i="4"/>
  <c r="Q243" i="4"/>
  <c r="P244" i="4"/>
  <c r="V244" i="4"/>
  <c r="Q245" i="4"/>
  <c r="P246" i="4"/>
  <c r="V246" i="4"/>
  <c r="Q247" i="4"/>
  <c r="P248" i="4"/>
  <c r="V248" i="4"/>
  <c r="Q249" i="4"/>
  <c r="P250" i="4"/>
  <c r="V250" i="4"/>
  <c r="Q251" i="4"/>
  <c r="P252" i="4"/>
  <c r="V252" i="4"/>
  <c r="Q253" i="4"/>
  <c r="P254" i="4"/>
  <c r="V254" i="4"/>
  <c r="Q255" i="4"/>
  <c r="P256" i="4"/>
  <c r="V256" i="4"/>
  <c r="Q257" i="4"/>
  <c r="P258" i="4"/>
  <c r="V258" i="4"/>
  <c r="Q259" i="4"/>
  <c r="P260" i="4"/>
  <c r="Q261" i="4"/>
  <c r="P262" i="4"/>
  <c r="V262" i="4"/>
  <c r="Q263" i="4"/>
  <c r="P264" i="4"/>
  <c r="V264" i="4"/>
  <c r="Q265" i="4"/>
  <c r="P266" i="4"/>
  <c r="V266" i="4"/>
  <c r="Q267" i="4"/>
  <c r="P268" i="4"/>
  <c r="V268" i="4"/>
  <c r="Q269" i="4"/>
  <c r="P270" i="4"/>
  <c r="V270" i="4"/>
  <c r="Q271" i="4"/>
  <c r="P272" i="4"/>
  <c r="V272" i="4"/>
  <c r="Q273" i="4"/>
  <c r="P274" i="4"/>
  <c r="V274" i="4"/>
  <c r="Q275" i="4"/>
  <c r="P276" i="4"/>
  <c r="V276" i="4"/>
  <c r="Q277" i="4"/>
  <c r="P278" i="4"/>
  <c r="V278" i="4"/>
  <c r="Q279" i="4"/>
  <c r="P280" i="4"/>
  <c r="V280" i="4"/>
  <c r="Q281" i="4"/>
  <c r="P282" i="4"/>
  <c r="V282" i="4"/>
  <c r="Q283" i="4"/>
  <c r="P284" i="4"/>
  <c r="V284" i="4"/>
  <c r="Q285" i="4"/>
  <c r="P286" i="4"/>
  <c r="V286" i="4"/>
  <c r="Q287" i="4"/>
  <c r="P288" i="4"/>
  <c r="V288" i="4"/>
  <c r="Q289" i="4"/>
  <c r="P290" i="4"/>
  <c r="V290" i="4"/>
  <c r="Q291" i="4"/>
  <c r="P292" i="4"/>
  <c r="Q293" i="4"/>
  <c r="P294" i="4"/>
  <c r="V294" i="4"/>
  <c r="Q295" i="4"/>
  <c r="P296" i="4"/>
  <c r="Q297" i="4"/>
  <c r="Q298" i="4"/>
  <c r="Q139" i="4"/>
  <c r="Q141" i="4"/>
  <c r="P142" i="4"/>
  <c r="V142" i="4"/>
  <c r="Q143" i="4"/>
  <c r="P144" i="4"/>
  <c r="V144" i="4"/>
  <c r="Q145" i="4"/>
  <c r="P146" i="4"/>
  <c r="V146" i="4"/>
  <c r="Q147" i="4"/>
  <c r="P148" i="4"/>
  <c r="V148" i="4"/>
  <c r="Q149" i="4"/>
  <c r="V152" i="4"/>
  <c r="P154" i="4"/>
  <c r="V154" i="4"/>
  <c r="Q155" i="4"/>
  <c r="P156" i="4"/>
  <c r="P158" i="4"/>
  <c r="V158" i="4"/>
  <c r="Q159" i="4"/>
  <c r="P160" i="4"/>
  <c r="V160" i="4"/>
  <c r="Q161" i="4"/>
  <c r="P162" i="4"/>
  <c r="V162" i="4"/>
  <c r="Q163" i="4"/>
  <c r="P164" i="4"/>
  <c r="P168" i="4"/>
  <c r="P172" i="4"/>
  <c r="V172" i="4"/>
  <c r="Q173" i="4"/>
  <c r="P174" i="4"/>
  <c r="V176" i="4"/>
  <c r="Q177" i="4"/>
  <c r="V178" i="4"/>
  <c r="P180" i="4"/>
  <c r="V182" i="4"/>
  <c r="Q183" i="4"/>
  <c r="V184" i="4"/>
  <c r="Q185" i="4"/>
  <c r="V186" i="4"/>
  <c r="Q187" i="4"/>
  <c r="P188" i="4"/>
  <c r="P190" i="4"/>
  <c r="Q191" i="4"/>
  <c r="V192" i="4"/>
  <c r="Q193" i="4"/>
  <c r="V194" i="4"/>
  <c r="P196" i="4"/>
  <c r="Q197" i="4"/>
  <c r="V198" i="4"/>
  <c r="P200" i="4"/>
  <c r="P202" i="4"/>
  <c r="V204" i="4"/>
  <c r="Q205" i="4"/>
  <c r="V206" i="4"/>
  <c r="Q207" i="4"/>
  <c r="P208" i="4"/>
  <c r="P210" i="4"/>
  <c r="Q211" i="4"/>
  <c r="V212" i="4"/>
  <c r="Q213" i="4"/>
  <c r="P214" i="4"/>
  <c r="P216" i="4"/>
  <c r="V218" i="4"/>
  <c r="Q219" i="4"/>
  <c r="P220" i="4"/>
  <c r="V220" i="4"/>
  <c r="B22" i="3"/>
  <c r="J2" i="4"/>
  <c r="P490" i="4"/>
  <c r="P489" i="4"/>
  <c r="P433" i="4"/>
  <c r="P492" i="4"/>
  <c r="P488" i="4"/>
  <c r="P440" i="4"/>
  <c r="P491" i="4"/>
  <c r="V339" i="4"/>
  <c r="P339" i="4"/>
  <c r="V337" i="4"/>
  <c r="P337" i="4"/>
  <c r="V327" i="4"/>
  <c r="P327" i="4"/>
  <c r="V325" i="4"/>
  <c r="P325" i="4"/>
  <c r="P371" i="4"/>
  <c r="V340" i="4"/>
  <c r="P340" i="4"/>
  <c r="V338" i="4"/>
  <c r="P338" i="4"/>
  <c r="V328" i="4"/>
  <c r="P328" i="4"/>
  <c r="V326" i="4"/>
  <c r="P326" i="4"/>
  <c r="V324" i="4"/>
  <c r="P324" i="4"/>
  <c r="V302" i="4"/>
  <c r="P302" i="4"/>
  <c r="J3" i="4"/>
  <c r="J4" i="4"/>
  <c r="J5" i="4"/>
  <c r="J6" i="4"/>
  <c r="P482" i="4"/>
  <c r="P478" i="4"/>
  <c r="P438" i="4"/>
  <c r="P434" i="4"/>
  <c r="P481" i="4"/>
  <c r="P477" i="4"/>
  <c r="P437" i="4"/>
  <c r="P480" i="4"/>
  <c r="P476" i="4"/>
  <c r="P436" i="4"/>
  <c r="P479" i="4"/>
  <c r="P475" i="4"/>
  <c r="P435" i="4"/>
  <c r="V333" i="4"/>
  <c r="P333" i="4"/>
  <c r="V331" i="4"/>
  <c r="P331" i="4"/>
  <c r="V329" i="4"/>
  <c r="P329" i="4"/>
  <c r="V317" i="4"/>
  <c r="P317" i="4"/>
  <c r="V315" i="4"/>
  <c r="P315" i="4"/>
  <c r="V313" i="4"/>
  <c r="P313" i="4"/>
  <c r="V311" i="4"/>
  <c r="P311" i="4"/>
  <c r="V309" i="4"/>
  <c r="P309" i="4"/>
  <c r="V307" i="4"/>
  <c r="P307" i="4"/>
  <c r="V305" i="4"/>
  <c r="P305" i="4"/>
  <c r="P363" i="4"/>
  <c r="P359" i="4"/>
  <c r="P347" i="4"/>
  <c r="V334" i="4"/>
  <c r="P334" i="4"/>
  <c r="V332" i="4"/>
  <c r="P332" i="4"/>
  <c r="V330" i="4"/>
  <c r="P330" i="4"/>
  <c r="V316" i="4"/>
  <c r="P316" i="4"/>
  <c r="V314" i="4"/>
  <c r="P314" i="4"/>
  <c r="V312" i="4"/>
  <c r="P312" i="4"/>
  <c r="V310" i="4"/>
  <c r="P310" i="4"/>
  <c r="V308" i="4"/>
  <c r="P308" i="4"/>
  <c r="V306" i="4"/>
  <c r="P306" i="4"/>
  <c r="J7" i="4"/>
  <c r="P486" i="4"/>
  <c r="P485" i="4"/>
  <c r="P432" i="4"/>
  <c r="P431" i="4"/>
  <c r="P430" i="4"/>
  <c r="P484" i="4"/>
  <c r="P487" i="4"/>
  <c r="P483" i="4"/>
  <c r="P439" i="4"/>
  <c r="V335" i="4"/>
  <c r="P335" i="4"/>
  <c r="V323" i="4"/>
  <c r="P323" i="4"/>
  <c r="V321" i="4"/>
  <c r="P321" i="4"/>
  <c r="V319" i="4"/>
  <c r="P319" i="4"/>
  <c r="V301" i="4"/>
  <c r="P301" i="4"/>
  <c r="P375" i="4"/>
  <c r="P367" i="4"/>
  <c r="P355" i="4"/>
  <c r="P351" i="4"/>
  <c r="V336" i="4"/>
  <c r="P336" i="4"/>
  <c r="V322" i="4"/>
  <c r="P322" i="4"/>
  <c r="V320" i="4"/>
  <c r="P320" i="4"/>
  <c r="V318" i="4"/>
  <c r="P318" i="4"/>
  <c r="V300" i="4"/>
  <c r="P300" i="4"/>
  <c r="V298" i="4"/>
  <c r="P298"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P474" i="4"/>
  <c r="P470" i="4"/>
  <c r="P466" i="4"/>
  <c r="P462" i="4"/>
  <c r="P458" i="4"/>
  <c r="P454" i="4"/>
  <c r="P450" i="4"/>
  <c r="P446" i="4"/>
  <c r="P442" i="4"/>
  <c r="P473" i="4"/>
  <c r="P469" i="4"/>
  <c r="P465" i="4"/>
  <c r="P461" i="4"/>
  <c r="P457" i="4"/>
  <c r="P453" i="4"/>
  <c r="P449" i="4"/>
  <c r="P445" i="4"/>
  <c r="P441" i="4"/>
  <c r="P472" i="4"/>
  <c r="P468" i="4"/>
  <c r="P464" i="4"/>
  <c r="P460" i="4"/>
  <c r="P456" i="4"/>
  <c r="P452" i="4"/>
  <c r="P448" i="4"/>
  <c r="P444" i="4"/>
  <c r="P471" i="4"/>
  <c r="P467" i="4"/>
  <c r="P463" i="4"/>
  <c r="P459" i="4"/>
  <c r="P455" i="4"/>
  <c r="P451" i="4"/>
  <c r="P447" i="4"/>
  <c r="P443" i="4"/>
  <c r="V303" i="4"/>
  <c r="P303" i="4"/>
  <c r="P343" i="4"/>
  <c r="V304" i="4"/>
  <c r="P304" i="4"/>
  <c r="AF41" i="4"/>
  <c r="J42" i="4"/>
  <c r="J43" i="4"/>
  <c r="AF43" i="4"/>
  <c r="J44" i="4"/>
  <c r="J45" i="4"/>
  <c r="J46" i="4"/>
  <c r="J47" i="4"/>
  <c r="J48" i="4"/>
  <c r="J49" i="4"/>
  <c r="J50" i="4"/>
  <c r="P51" i="4"/>
  <c r="Q52" i="4"/>
  <c r="P53" i="4"/>
  <c r="V53" i="4"/>
  <c r="Q54" i="4"/>
  <c r="P55" i="4"/>
  <c r="Q56" i="4"/>
  <c r="P57" i="4"/>
  <c r="V57" i="4"/>
  <c r="Q58" i="4"/>
  <c r="P59" i="4"/>
  <c r="Q60" i="4"/>
  <c r="P61" i="4"/>
  <c r="Q62" i="4"/>
  <c r="P63" i="4"/>
  <c r="Q64" i="4"/>
  <c r="P65" i="4"/>
  <c r="Q66" i="4"/>
  <c r="P67" i="4"/>
  <c r="Q68" i="4"/>
  <c r="P69" i="4"/>
  <c r="Q70" i="4"/>
  <c r="P71" i="4"/>
  <c r="Q72" i="4"/>
  <c r="P73" i="4"/>
  <c r="Q74" i="4"/>
  <c r="P75" i="4"/>
  <c r="Q76" i="4"/>
  <c r="P77" i="4"/>
  <c r="Q78" i="4"/>
  <c r="P79" i="4"/>
  <c r="Q80" i="4"/>
  <c r="P81" i="4"/>
  <c r="Q82" i="4"/>
  <c r="P83" i="4"/>
  <c r="Q84" i="4"/>
  <c r="P85" i="4"/>
  <c r="Q86" i="4"/>
  <c r="P87" i="4"/>
  <c r="Q88" i="4"/>
  <c r="P89" i="4"/>
  <c r="Q90" i="4"/>
  <c r="P91" i="4"/>
  <c r="Q92" i="4"/>
  <c r="P93" i="4"/>
  <c r="Q94" i="4"/>
  <c r="P95" i="4"/>
  <c r="Q96" i="4"/>
  <c r="P97" i="4"/>
  <c r="Q98" i="4"/>
  <c r="P99" i="4"/>
  <c r="Q100" i="4"/>
  <c r="P101" i="4"/>
  <c r="Q102" i="4"/>
  <c r="P103" i="4"/>
  <c r="Q104" i="4"/>
  <c r="P105" i="4"/>
  <c r="Q106" i="4"/>
  <c r="P107" i="4"/>
  <c r="Q108" i="4"/>
  <c r="P109" i="4"/>
  <c r="Q110" i="4"/>
  <c r="P111" i="4"/>
  <c r="Q112" i="4"/>
  <c r="P113" i="4"/>
  <c r="Q114" i="4"/>
  <c r="P115" i="4"/>
  <c r="Q116" i="4"/>
  <c r="P117" i="4"/>
  <c r="Q118" i="4"/>
  <c r="P119" i="4"/>
  <c r="Q120" i="4"/>
  <c r="P121" i="4"/>
  <c r="Q122" i="4"/>
  <c r="P123" i="4"/>
  <c r="Q124" i="4"/>
  <c r="P125" i="4"/>
  <c r="Q126" i="4"/>
  <c r="P127" i="4"/>
  <c r="Q128" i="4"/>
  <c r="P129" i="4"/>
  <c r="Q130" i="4"/>
  <c r="P131" i="4"/>
  <c r="Q132" i="4"/>
  <c r="P133" i="4"/>
  <c r="Q134" i="4"/>
  <c r="P135" i="4"/>
  <c r="Q136" i="4"/>
  <c r="P137" i="4"/>
  <c r="Q138" i="4"/>
  <c r="J139" i="4"/>
  <c r="AD139" i="4"/>
  <c r="J141" i="4"/>
  <c r="AD141" i="4"/>
  <c r="J143" i="4"/>
  <c r="AD143" i="4"/>
  <c r="J145" i="4"/>
  <c r="AD145" i="4"/>
  <c r="J147" i="4"/>
  <c r="AD147" i="4"/>
  <c r="J149" i="4"/>
  <c r="AD149" i="4"/>
  <c r="J151" i="4"/>
  <c r="AD151" i="4"/>
  <c r="J153" i="4"/>
  <c r="AD153" i="4"/>
  <c r="J155" i="4"/>
  <c r="AD155" i="4"/>
  <c r="J157" i="4"/>
  <c r="AD157" i="4"/>
  <c r="J159" i="4"/>
  <c r="AD159" i="4"/>
  <c r="J161" i="4"/>
  <c r="AD161" i="4"/>
  <c r="J163" i="4"/>
  <c r="AD163" i="4"/>
  <c r="J165" i="4"/>
  <c r="AD165" i="4"/>
  <c r="J167" i="4"/>
  <c r="AD167" i="4"/>
  <c r="J169" i="4"/>
  <c r="AD169" i="4"/>
  <c r="J171" i="4"/>
  <c r="AD171" i="4"/>
  <c r="J173" i="4"/>
  <c r="AD173" i="4"/>
  <c r="J175" i="4"/>
  <c r="AD175" i="4"/>
  <c r="J177" i="4"/>
  <c r="AD177" i="4"/>
  <c r="J179" i="4"/>
  <c r="AD179" i="4"/>
  <c r="J181" i="4"/>
  <c r="AD181" i="4"/>
  <c r="J183" i="4"/>
  <c r="AD183" i="4"/>
  <c r="J185" i="4"/>
  <c r="AD185" i="4"/>
  <c r="J187" i="4"/>
  <c r="AD187" i="4"/>
  <c r="J189" i="4"/>
  <c r="AD189" i="4"/>
  <c r="J191" i="4"/>
  <c r="AD191" i="4"/>
  <c r="J193" i="4"/>
  <c r="AD193" i="4"/>
  <c r="J195" i="4"/>
  <c r="AD195" i="4"/>
  <c r="J197" i="4"/>
  <c r="AD197" i="4"/>
  <c r="J199" i="4"/>
  <c r="AD199" i="4"/>
  <c r="J201" i="4"/>
  <c r="AD201" i="4"/>
  <c r="J203" i="4"/>
  <c r="AD203" i="4"/>
  <c r="J205" i="4"/>
  <c r="AD205" i="4"/>
  <c r="J207" i="4"/>
  <c r="AD207" i="4"/>
  <c r="J209" i="4"/>
  <c r="AD209" i="4"/>
  <c r="J211" i="4"/>
  <c r="AD211" i="4"/>
  <c r="J213" i="4"/>
  <c r="AD213" i="4"/>
  <c r="J215" i="4"/>
  <c r="AD215" i="4"/>
  <c r="J217" i="4"/>
  <c r="AD217" i="4"/>
  <c r="J219" i="4"/>
  <c r="AD219" i="4"/>
  <c r="AD221" i="4"/>
  <c r="J221" i="4"/>
  <c r="AD223" i="4"/>
  <c r="J223" i="4"/>
  <c r="AD225" i="4"/>
  <c r="J225" i="4"/>
  <c r="AD227" i="4"/>
  <c r="J227" i="4"/>
  <c r="AD229" i="4"/>
  <c r="J229" i="4"/>
  <c r="AD231" i="4"/>
  <c r="J231" i="4"/>
  <c r="Z232" i="4"/>
  <c r="AD233" i="4"/>
  <c r="J233" i="4"/>
  <c r="Z234" i="4"/>
  <c r="AD235" i="4"/>
  <c r="J235" i="4"/>
  <c r="Z236" i="4"/>
  <c r="AD237" i="4"/>
  <c r="J237" i="4"/>
  <c r="Z238" i="4"/>
  <c r="AD239" i="4"/>
  <c r="J239" i="4"/>
  <c r="Z240" i="4"/>
  <c r="AD241" i="4"/>
  <c r="J241" i="4"/>
  <c r="Z242" i="4"/>
  <c r="AD243" i="4"/>
  <c r="J243" i="4"/>
  <c r="Z244" i="4"/>
  <c r="AD245" i="4"/>
  <c r="J245" i="4"/>
  <c r="Z246" i="4"/>
  <c r="AD247" i="4"/>
  <c r="J247" i="4"/>
  <c r="Z248" i="4"/>
  <c r="AD249" i="4"/>
  <c r="J249" i="4"/>
  <c r="Z250" i="4"/>
  <c r="AD251" i="4"/>
  <c r="J251" i="4"/>
  <c r="Z252" i="4"/>
  <c r="AD253" i="4"/>
  <c r="J253" i="4"/>
  <c r="Z254" i="4"/>
  <c r="AD255" i="4"/>
  <c r="J255" i="4"/>
  <c r="Z256" i="4"/>
  <c r="AD257" i="4"/>
  <c r="J257" i="4"/>
  <c r="Z258" i="4"/>
  <c r="AD259" i="4"/>
  <c r="J259" i="4"/>
  <c r="Z260" i="4"/>
  <c r="AD261" i="4"/>
  <c r="J261" i="4"/>
  <c r="Z262" i="4"/>
  <c r="AD263" i="4"/>
  <c r="J263" i="4"/>
  <c r="Z264" i="4"/>
  <c r="AD265" i="4"/>
  <c r="J265" i="4"/>
  <c r="Z266" i="4"/>
  <c r="AD267" i="4"/>
  <c r="J267" i="4"/>
  <c r="Z268" i="4"/>
  <c r="AD269" i="4"/>
  <c r="J269" i="4"/>
  <c r="Z270" i="4"/>
  <c r="AD271" i="4"/>
  <c r="J271" i="4"/>
  <c r="Z272" i="4"/>
  <c r="AD273" i="4"/>
  <c r="J273" i="4"/>
  <c r="Z274" i="4"/>
  <c r="AD275" i="4"/>
  <c r="J275" i="4"/>
  <c r="Z276" i="4"/>
  <c r="AD277" i="4"/>
  <c r="J277" i="4"/>
  <c r="Z278" i="4"/>
  <c r="AD279" i="4"/>
  <c r="J279" i="4"/>
  <c r="Z280" i="4"/>
  <c r="AD281" i="4"/>
  <c r="J281" i="4"/>
  <c r="Z282" i="4"/>
  <c r="AD283" i="4"/>
  <c r="J283" i="4"/>
  <c r="Z284" i="4"/>
  <c r="AD285" i="4"/>
  <c r="J285" i="4"/>
  <c r="Z286" i="4"/>
  <c r="AD287" i="4"/>
  <c r="J287" i="4"/>
  <c r="Z288" i="4"/>
  <c r="AD289" i="4"/>
  <c r="J289" i="4"/>
  <c r="Z290" i="4"/>
  <c r="AD291" i="4"/>
  <c r="J291" i="4"/>
  <c r="Z292" i="4"/>
  <c r="AD293" i="4"/>
  <c r="J293" i="4"/>
  <c r="Z294" i="4"/>
  <c r="AD295" i="4"/>
  <c r="J295" i="4"/>
  <c r="Z296" i="4"/>
  <c r="AD297" i="4"/>
  <c r="J297" i="4"/>
  <c r="AD298" i="4"/>
  <c r="J298" i="4"/>
  <c r="Q300" i="4"/>
  <c r="V143" i="4"/>
  <c r="Q144" i="4"/>
  <c r="V151" i="4"/>
  <c r="Q152" i="4"/>
  <c r="P153" i="4"/>
  <c r="V153" i="4"/>
  <c r="Q154" i="4"/>
  <c r="P155" i="4"/>
  <c r="P157" i="4"/>
  <c r="V157" i="4"/>
  <c r="Q158" i="4"/>
  <c r="P159" i="4"/>
  <c r="V159" i="4"/>
  <c r="Q160" i="4"/>
  <c r="P161" i="4"/>
  <c r="V161" i="4"/>
  <c r="Q162" i="4"/>
  <c r="P163" i="4"/>
  <c r="V165" i="4"/>
  <c r="Q166" i="4"/>
  <c r="V167" i="4"/>
  <c r="Q168" i="4"/>
  <c r="P169" i="4"/>
  <c r="V173" i="4"/>
  <c r="Q174" i="4"/>
  <c r="V175" i="4"/>
  <c r="Q176" i="4"/>
  <c r="V177" i="4"/>
  <c r="Q178" i="4"/>
  <c r="P179" i="4"/>
  <c r="V179" i="4"/>
  <c r="Q180" i="4"/>
  <c r="P183" i="4"/>
  <c r="V183" i="4"/>
  <c r="Q184" i="4"/>
  <c r="V189" i="4"/>
  <c r="Q190" i="4"/>
  <c r="V191" i="4"/>
  <c r="Q192" i="4"/>
  <c r="P193" i="4"/>
  <c r="Q194" i="4"/>
  <c r="Q196" i="4"/>
  <c r="P197" i="4"/>
  <c r="V197" i="4"/>
  <c r="Q198" i="4"/>
  <c r="P199" i="4"/>
  <c r="V199" i="4"/>
  <c r="Q200" i="4"/>
  <c r="P201" i="4"/>
  <c r="V201" i="4"/>
  <c r="Q202" i="4"/>
  <c r="P203" i="4"/>
  <c r="V203" i="4"/>
  <c r="Q204" i="4"/>
  <c r="P205" i="4"/>
  <c r="V205" i="4"/>
  <c r="Q206" i="4"/>
  <c r="P207" i="4"/>
  <c r="V207" i="4"/>
  <c r="Q208" i="4"/>
  <c r="P209" i="4"/>
  <c r="V209" i="4"/>
  <c r="Q210" i="4"/>
  <c r="P211" i="4"/>
  <c r="V211" i="4"/>
  <c r="Q212" i="4"/>
  <c r="P213" i="4"/>
  <c r="V213" i="4"/>
  <c r="Q214" i="4"/>
  <c r="P215" i="4"/>
  <c r="V215" i="4"/>
  <c r="Q216" i="4"/>
  <c r="P217" i="4"/>
  <c r="V217" i="4"/>
  <c r="Q218" i="4"/>
  <c r="P219" i="4"/>
  <c r="V219" i="4"/>
  <c r="Q220" i="4"/>
  <c r="P221" i="4"/>
  <c r="V221" i="4"/>
  <c r="Q222" i="4"/>
  <c r="P223" i="4"/>
  <c r="V223" i="4"/>
  <c r="Q224" i="4"/>
  <c r="P225" i="4"/>
  <c r="V225" i="4"/>
  <c r="Q226" i="4"/>
  <c r="P227" i="4"/>
  <c r="V227" i="4"/>
  <c r="Q228" i="4"/>
  <c r="P229" i="4"/>
  <c r="V229" i="4"/>
  <c r="Q230" i="4"/>
  <c r="P231" i="4"/>
  <c r="V231" i="4"/>
  <c r="Q232" i="4"/>
  <c r="P233" i="4"/>
  <c r="V233" i="4"/>
  <c r="Q234" i="4"/>
  <c r="P235" i="4"/>
  <c r="V235" i="4"/>
  <c r="Q236" i="4"/>
  <c r="P237" i="4"/>
  <c r="V237" i="4"/>
  <c r="Q238" i="4"/>
  <c r="P239" i="4"/>
  <c r="V239" i="4"/>
  <c r="Q240" i="4"/>
  <c r="P241" i="4"/>
  <c r="V241" i="4"/>
  <c r="Q242" i="4"/>
  <c r="P243" i="4"/>
  <c r="V243" i="4"/>
  <c r="Q244" i="4"/>
  <c r="P245" i="4"/>
  <c r="V245" i="4"/>
  <c r="Q246" i="4"/>
  <c r="P247" i="4"/>
  <c r="V247" i="4"/>
  <c r="Q248" i="4"/>
  <c r="P249" i="4"/>
  <c r="V249" i="4"/>
  <c r="Q250" i="4"/>
  <c r="P251" i="4"/>
  <c r="V251" i="4"/>
  <c r="Q252" i="4"/>
  <c r="P253" i="4"/>
  <c r="V253" i="4"/>
  <c r="Q254" i="4"/>
  <c r="P255" i="4"/>
  <c r="V255" i="4"/>
  <c r="Q256" i="4"/>
  <c r="P257" i="4"/>
  <c r="V257" i="4"/>
  <c r="Q258" i="4"/>
  <c r="P259" i="4"/>
  <c r="V259" i="4"/>
  <c r="Q260" i="4"/>
  <c r="P261" i="4"/>
  <c r="V261" i="4"/>
  <c r="Q262" i="4"/>
  <c r="P263" i="4"/>
  <c r="V263" i="4"/>
  <c r="Q264" i="4"/>
  <c r="P265" i="4"/>
  <c r="V265" i="4"/>
  <c r="Q266" i="4"/>
  <c r="P267" i="4"/>
  <c r="V267" i="4"/>
  <c r="Q268" i="4"/>
  <c r="P269" i="4"/>
  <c r="V269" i="4"/>
  <c r="Q270" i="4"/>
  <c r="P271" i="4"/>
  <c r="V271" i="4"/>
  <c r="Q272" i="4"/>
  <c r="P273" i="4"/>
  <c r="V273" i="4"/>
  <c r="Q274" i="4"/>
  <c r="P275" i="4"/>
  <c r="V275" i="4"/>
  <c r="Q276" i="4"/>
  <c r="P277" i="4"/>
  <c r="V277" i="4"/>
  <c r="Q278" i="4"/>
  <c r="P279" i="4"/>
  <c r="V279" i="4"/>
  <c r="Q280" i="4"/>
  <c r="P281" i="4"/>
  <c r="V281" i="4"/>
  <c r="Q282" i="4"/>
  <c r="P283" i="4"/>
  <c r="V283" i="4"/>
  <c r="Q284" i="4"/>
  <c r="P285" i="4"/>
  <c r="V285" i="4"/>
  <c r="Q286" i="4"/>
  <c r="P287" i="4"/>
  <c r="V287" i="4"/>
  <c r="Q288" i="4"/>
  <c r="P289" i="4"/>
  <c r="V289" i="4"/>
  <c r="Q290" i="4"/>
  <c r="P291" i="4"/>
  <c r="V291" i="4"/>
  <c r="Q292" i="4"/>
  <c r="P293" i="4"/>
  <c r="V293" i="4"/>
  <c r="Q294" i="4"/>
  <c r="P295" i="4"/>
  <c r="V295" i="4"/>
  <c r="Q296" i="4"/>
  <c r="P297" i="4"/>
  <c r="V297" i="4"/>
  <c r="AD300" i="4"/>
  <c r="J300" i="4"/>
  <c r="P48" i="4"/>
  <c r="P50" i="4"/>
  <c r="P139" i="4"/>
  <c r="V139" i="4"/>
  <c r="Q140" i="4"/>
  <c r="P141" i="4"/>
  <c r="V141" i="4"/>
  <c r="Q142" i="4"/>
  <c r="P143" i="4"/>
  <c r="P145" i="4"/>
  <c r="V145" i="4"/>
  <c r="Q146" i="4"/>
  <c r="P147" i="4"/>
  <c r="V147" i="4"/>
  <c r="Q148" i="4"/>
  <c r="P149" i="4"/>
  <c r="V149" i="4"/>
  <c r="Q150" i="4"/>
  <c r="P151" i="4"/>
  <c r="V155" i="4"/>
  <c r="Q156" i="4"/>
  <c r="V163" i="4"/>
  <c r="Q164" i="4"/>
  <c r="P165" i="4"/>
  <c r="P167" i="4"/>
  <c r="V169" i="4"/>
  <c r="Q170" i="4"/>
  <c r="P171" i="4"/>
  <c r="V171" i="4"/>
  <c r="Q172" i="4"/>
  <c r="P173" i="4"/>
  <c r="P175" i="4"/>
  <c r="P177" i="4"/>
  <c r="P181" i="4"/>
  <c r="V181" i="4"/>
  <c r="Q182" i="4"/>
  <c r="P185" i="4"/>
  <c r="V185" i="4"/>
  <c r="Q186" i="4"/>
  <c r="P187" i="4"/>
  <c r="V187" i="4"/>
  <c r="Q188" i="4"/>
  <c r="P189" i="4"/>
  <c r="P191" i="4"/>
  <c r="V193" i="4"/>
  <c r="V195" i="4"/>
  <c r="Q2" i="4"/>
  <c r="Q6" i="4"/>
  <c r="Q7" i="4"/>
  <c r="Q41" i="4"/>
  <c r="Q50" i="4"/>
  <c r="V50" i="4"/>
  <c r="Q51" i="4"/>
  <c r="P52" i="4"/>
  <c r="Q53" i="4"/>
  <c r="P54" i="4"/>
  <c r="Q55" i="4"/>
  <c r="P56" i="4"/>
  <c r="Q57" i="4"/>
  <c r="P58" i="4"/>
  <c r="Q59" i="4"/>
  <c r="P60" i="4"/>
  <c r="Q61" i="4"/>
  <c r="P62" i="4"/>
  <c r="Q63" i="4"/>
  <c r="P64" i="4"/>
  <c r="Q65" i="4"/>
  <c r="P66" i="4"/>
  <c r="Q67" i="4"/>
  <c r="P68" i="4"/>
  <c r="Q69" i="4"/>
  <c r="P70" i="4"/>
  <c r="Q71" i="4"/>
  <c r="P72" i="4"/>
  <c r="Q73" i="4"/>
  <c r="P74" i="4"/>
  <c r="Q75" i="4"/>
  <c r="P76" i="4"/>
  <c r="Q77" i="4"/>
  <c r="P78" i="4"/>
  <c r="Q79" i="4"/>
  <c r="P80" i="4"/>
  <c r="Q81" i="4"/>
  <c r="P82" i="4"/>
  <c r="Q83" i="4"/>
  <c r="P84" i="4"/>
  <c r="Q85" i="4"/>
  <c r="P86" i="4"/>
  <c r="Q87" i="4"/>
  <c r="P88" i="4"/>
  <c r="Q89" i="4"/>
  <c r="P90" i="4"/>
  <c r="Q91" i="4"/>
  <c r="P92" i="4"/>
  <c r="Q93" i="4"/>
  <c r="P94" i="4"/>
  <c r="Q95" i="4"/>
  <c r="P96" i="4"/>
  <c r="Q97" i="4"/>
  <c r="P98" i="4"/>
  <c r="Q99" i="4"/>
  <c r="P100" i="4"/>
  <c r="Q101" i="4"/>
  <c r="P102" i="4"/>
  <c r="Q103" i="4"/>
  <c r="P104" i="4"/>
  <c r="Q105" i="4"/>
  <c r="P106" i="4"/>
  <c r="Q107" i="4"/>
  <c r="P108" i="4"/>
  <c r="Q109" i="4"/>
  <c r="P110" i="4"/>
  <c r="Q111" i="4"/>
  <c r="P112" i="4"/>
  <c r="Q113" i="4"/>
  <c r="P114" i="4"/>
  <c r="Q115" i="4"/>
  <c r="P116" i="4"/>
  <c r="Q117" i="4"/>
  <c r="P118" i="4"/>
  <c r="Q119" i="4"/>
  <c r="P120" i="4"/>
  <c r="Q121" i="4"/>
  <c r="P122" i="4"/>
  <c r="Q123" i="4"/>
  <c r="P124" i="4"/>
  <c r="Q125" i="4"/>
  <c r="P126" i="4"/>
  <c r="Q127" i="4"/>
  <c r="P128" i="4"/>
  <c r="Q129" i="4"/>
  <c r="P130" i="4"/>
  <c r="Q131" i="4"/>
  <c r="P132" i="4"/>
  <c r="Q133" i="4"/>
  <c r="P134" i="4"/>
  <c r="Q135" i="4"/>
  <c r="P136" i="4"/>
  <c r="Q137" i="4"/>
  <c r="P138" i="4"/>
  <c r="J140" i="4"/>
  <c r="AD140" i="4"/>
  <c r="J142" i="4"/>
  <c r="AD142" i="4"/>
  <c r="J144" i="4"/>
  <c r="AD144" i="4"/>
  <c r="J146" i="4"/>
  <c r="AD146" i="4"/>
  <c r="J148" i="4"/>
  <c r="AD148" i="4"/>
  <c r="J150" i="4"/>
  <c r="AD150" i="4"/>
  <c r="J152" i="4"/>
  <c r="AD152" i="4"/>
  <c r="J154" i="4"/>
  <c r="AD154" i="4"/>
  <c r="J156" i="4"/>
  <c r="AD156" i="4"/>
  <c r="J158" i="4"/>
  <c r="AD158" i="4"/>
  <c r="J160" i="4"/>
  <c r="AD160" i="4"/>
  <c r="J162" i="4"/>
  <c r="AD162" i="4"/>
  <c r="J164" i="4"/>
  <c r="AD164" i="4"/>
  <c r="J166" i="4"/>
  <c r="AD166" i="4"/>
  <c r="J168" i="4"/>
  <c r="AD168" i="4"/>
  <c r="J170" i="4"/>
  <c r="AD170" i="4"/>
  <c r="J172" i="4"/>
  <c r="AD172" i="4"/>
  <c r="J174" i="4"/>
  <c r="AD174" i="4"/>
  <c r="J176" i="4"/>
  <c r="AD176" i="4"/>
  <c r="J178" i="4"/>
  <c r="AD178" i="4"/>
  <c r="J180" i="4"/>
  <c r="AD180" i="4"/>
  <c r="J182" i="4"/>
  <c r="AD182" i="4"/>
  <c r="J184" i="4"/>
  <c r="AD184" i="4"/>
  <c r="J186" i="4"/>
  <c r="AD186" i="4"/>
  <c r="J188" i="4"/>
  <c r="AD188" i="4"/>
  <c r="J190" i="4"/>
  <c r="AD190" i="4"/>
  <c r="J192" i="4"/>
  <c r="AD192" i="4"/>
  <c r="J194" i="4"/>
  <c r="AD194" i="4"/>
  <c r="J196" i="4"/>
  <c r="AD196" i="4"/>
  <c r="J198" i="4"/>
  <c r="AD198" i="4"/>
  <c r="J200" i="4"/>
  <c r="AD200" i="4"/>
  <c r="J202" i="4"/>
  <c r="AD202" i="4"/>
  <c r="J204" i="4"/>
  <c r="AD204" i="4"/>
  <c r="J206" i="4"/>
  <c r="AD206" i="4"/>
  <c r="J208" i="4"/>
  <c r="AD208" i="4"/>
  <c r="J210" i="4"/>
  <c r="AD210" i="4"/>
  <c r="J212" i="4"/>
  <c r="AD212" i="4"/>
  <c r="J214" i="4"/>
  <c r="AD214" i="4"/>
  <c r="J216" i="4"/>
  <c r="AD216" i="4"/>
  <c r="J218" i="4"/>
  <c r="AD218" i="4"/>
  <c r="AD220" i="4"/>
  <c r="J220" i="4"/>
  <c r="Z221" i="4"/>
  <c r="AD222" i="4"/>
  <c r="J222" i="4"/>
  <c r="Z223" i="4"/>
  <c r="AD224" i="4"/>
  <c r="J224" i="4"/>
  <c r="Z225" i="4"/>
  <c r="AD226" i="4"/>
  <c r="J226" i="4"/>
  <c r="Z227" i="4"/>
  <c r="AD228" i="4"/>
  <c r="J228" i="4"/>
  <c r="Z229" i="4"/>
  <c r="AD230" i="4"/>
  <c r="J230" i="4"/>
  <c r="Z231" i="4"/>
  <c r="AD232" i="4"/>
  <c r="J232" i="4"/>
  <c r="Z233" i="4"/>
  <c r="AD234" i="4"/>
  <c r="J234" i="4"/>
  <c r="Z235" i="4"/>
  <c r="AD236" i="4"/>
  <c r="J236" i="4"/>
  <c r="Z237" i="4"/>
  <c r="AD238" i="4"/>
  <c r="J238" i="4"/>
  <c r="Z239" i="4"/>
  <c r="AD240" i="4"/>
  <c r="J240" i="4"/>
  <c r="Z241" i="4"/>
  <c r="AD242" i="4"/>
  <c r="J242" i="4"/>
  <c r="Z243" i="4"/>
  <c r="AD244" i="4"/>
  <c r="J244" i="4"/>
  <c r="Z245" i="4"/>
  <c r="AD246" i="4"/>
  <c r="J246" i="4"/>
  <c r="Z247" i="4"/>
  <c r="AD248" i="4"/>
  <c r="J248" i="4"/>
  <c r="Z249" i="4"/>
  <c r="AD250" i="4"/>
  <c r="J250" i="4"/>
  <c r="Z251" i="4"/>
  <c r="AD252" i="4"/>
  <c r="J252" i="4"/>
  <c r="Z253" i="4"/>
  <c r="AD254" i="4"/>
  <c r="J254" i="4"/>
  <c r="AD256" i="4"/>
  <c r="J256" i="4"/>
  <c r="AD258" i="4"/>
  <c r="J258" i="4"/>
  <c r="AD260" i="4"/>
  <c r="J260" i="4"/>
  <c r="AD262" i="4"/>
  <c r="J262" i="4"/>
  <c r="AD264" i="4"/>
  <c r="J264" i="4"/>
  <c r="AD266" i="4"/>
  <c r="J266" i="4"/>
  <c r="AD268" i="4"/>
  <c r="J268" i="4"/>
  <c r="AD270" i="4"/>
  <c r="J270" i="4"/>
  <c r="AD272" i="4"/>
  <c r="J272" i="4"/>
  <c r="AD274" i="4"/>
  <c r="J274" i="4"/>
  <c r="AD276" i="4"/>
  <c r="J276" i="4"/>
  <c r="AD278" i="4"/>
  <c r="J278" i="4"/>
  <c r="AD280" i="4"/>
  <c r="J280" i="4"/>
  <c r="AD282" i="4"/>
  <c r="J282" i="4"/>
  <c r="AD284" i="4"/>
  <c r="J284" i="4"/>
  <c r="AD286" i="4"/>
  <c r="J286" i="4"/>
  <c r="AD288" i="4"/>
  <c r="J288" i="4"/>
  <c r="AD290" i="4"/>
  <c r="J290" i="4"/>
  <c r="AD292" i="4"/>
  <c r="J292" i="4"/>
  <c r="AD294" i="4"/>
  <c r="J294" i="4"/>
  <c r="AD296" i="4"/>
  <c r="J296" i="4"/>
  <c r="P299" i="4"/>
  <c r="V299" i="4"/>
  <c r="Q299" i="4"/>
  <c r="Q301" i="4"/>
  <c r="Q303" i="4"/>
  <c r="Q305" i="4"/>
  <c r="Q307" i="4"/>
  <c r="Q309" i="4"/>
  <c r="Q311" i="4"/>
  <c r="Q313" i="4"/>
  <c r="Q315" i="4"/>
  <c r="Q317" i="4"/>
  <c r="Q319" i="4"/>
  <c r="Q321" i="4"/>
  <c r="Q323" i="4"/>
  <c r="Q325" i="4"/>
  <c r="Q327" i="4"/>
  <c r="Q329" i="4"/>
  <c r="Q331" i="4"/>
  <c r="Q333" i="4"/>
  <c r="Q335" i="4"/>
  <c r="Q337" i="4"/>
  <c r="Q339" i="4"/>
  <c r="Q341" i="4"/>
  <c r="V342" i="4"/>
  <c r="Q345" i="4"/>
  <c r="V346" i="4"/>
  <c r="Q349" i="4"/>
  <c r="V350" i="4"/>
  <c r="Q353" i="4"/>
  <c r="V354" i="4"/>
  <c r="Q357" i="4"/>
  <c r="V358" i="4"/>
  <c r="Q361" i="4"/>
  <c r="V362" i="4"/>
  <c r="Q365" i="4"/>
  <c r="V366" i="4"/>
  <c r="Q369" i="4"/>
  <c r="V370" i="4"/>
  <c r="Q373" i="4"/>
  <c r="V374" i="4"/>
  <c r="Q378" i="4"/>
  <c r="P379" i="4"/>
  <c r="V379" i="4"/>
  <c r="Q382" i="4"/>
  <c r="P383" i="4"/>
  <c r="V383" i="4"/>
  <c r="Q386" i="4"/>
  <c r="P387" i="4"/>
  <c r="V387" i="4"/>
  <c r="Q390" i="4"/>
  <c r="Q391" i="4"/>
  <c r="Q392" i="4"/>
  <c r="V395" i="4"/>
  <c r="P395" i="4"/>
  <c r="V396" i="4"/>
  <c r="P396" i="4"/>
  <c r="V397" i="4"/>
  <c r="P397" i="4"/>
  <c r="V401" i="4"/>
  <c r="P401" i="4"/>
  <c r="V407" i="4"/>
  <c r="P407" i="4"/>
  <c r="J299" i="4"/>
  <c r="J301" i="4"/>
  <c r="J303" i="4"/>
  <c r="J305" i="4"/>
  <c r="J307" i="4"/>
  <c r="J309" i="4"/>
  <c r="J311" i="4"/>
  <c r="J313" i="4"/>
  <c r="J315" i="4"/>
  <c r="J317" i="4"/>
  <c r="J319" i="4"/>
  <c r="J321" i="4"/>
  <c r="J323" i="4"/>
  <c r="J325" i="4"/>
  <c r="J327" i="4"/>
  <c r="J329" i="4"/>
  <c r="J331" i="4"/>
  <c r="J333" i="4"/>
  <c r="J335" i="4"/>
  <c r="J337" i="4"/>
  <c r="J339" i="4"/>
  <c r="J341" i="4"/>
  <c r="V341" i="4"/>
  <c r="P342" i="4"/>
  <c r="Q344" i="4"/>
  <c r="V345" i="4"/>
  <c r="P346" i="4"/>
  <c r="Q348" i="4"/>
  <c r="V349" i="4"/>
  <c r="P350" i="4"/>
  <c r="Q352" i="4"/>
  <c r="V353" i="4"/>
  <c r="P354" i="4"/>
  <c r="Q356" i="4"/>
  <c r="V357" i="4"/>
  <c r="P358" i="4"/>
  <c r="Q360" i="4"/>
  <c r="V361" i="4"/>
  <c r="P362" i="4"/>
  <c r="Q364" i="4"/>
  <c r="V365" i="4"/>
  <c r="P366" i="4"/>
  <c r="Q368" i="4"/>
  <c r="V369" i="4"/>
  <c r="P370" i="4"/>
  <c r="Q372" i="4"/>
  <c r="V373" i="4"/>
  <c r="P374" i="4"/>
  <c r="Q376" i="4"/>
  <c r="Q377" i="4"/>
  <c r="P378" i="4"/>
  <c r="V378" i="4"/>
  <c r="Z378" i="4"/>
  <c r="Q381" i="4"/>
  <c r="P382" i="4"/>
  <c r="V382" i="4"/>
  <c r="Z382" i="4"/>
  <c r="Q385" i="4"/>
  <c r="P386" i="4"/>
  <c r="V386" i="4"/>
  <c r="Z386" i="4"/>
  <c r="Q389" i="4"/>
  <c r="P390" i="4"/>
  <c r="V390" i="4"/>
  <c r="P391" i="4"/>
  <c r="V391" i="4"/>
  <c r="V392" i="4"/>
  <c r="P392" i="4"/>
  <c r="V398" i="4"/>
  <c r="P398" i="4"/>
  <c r="V402" i="4"/>
  <c r="P402" i="4"/>
  <c r="V406" i="4"/>
  <c r="P406" i="4"/>
  <c r="V410" i="4"/>
  <c r="P410" i="4"/>
  <c r="Q302" i="4"/>
  <c r="Q304" i="4"/>
  <c r="Q306" i="4"/>
  <c r="Q308" i="4"/>
  <c r="Q310" i="4"/>
  <c r="Q312" i="4"/>
  <c r="Q314" i="4"/>
  <c r="Q316" i="4"/>
  <c r="Q318" i="4"/>
  <c r="Q320" i="4"/>
  <c r="Q322" i="4"/>
  <c r="Q324" i="4"/>
  <c r="Q326" i="4"/>
  <c r="Q328" i="4"/>
  <c r="Q330" i="4"/>
  <c r="Q332" i="4"/>
  <c r="Q334" i="4"/>
  <c r="Q336" i="4"/>
  <c r="Q338" i="4"/>
  <c r="Q340" i="4"/>
  <c r="P341" i="4"/>
  <c r="Q343" i="4"/>
  <c r="V344" i="4"/>
  <c r="P345" i="4"/>
  <c r="Q347" i="4"/>
  <c r="V348" i="4"/>
  <c r="P349" i="4"/>
  <c r="Q351" i="4"/>
  <c r="V352" i="4"/>
  <c r="P353" i="4"/>
  <c r="Q355" i="4"/>
  <c r="V356" i="4"/>
  <c r="P357" i="4"/>
  <c r="Q359" i="4"/>
  <c r="V360" i="4"/>
  <c r="P361" i="4"/>
  <c r="Q363" i="4"/>
  <c r="V364" i="4"/>
  <c r="P365" i="4"/>
  <c r="Q367" i="4"/>
  <c r="V368" i="4"/>
  <c r="P369" i="4"/>
  <c r="Q371" i="4"/>
  <c r="V372" i="4"/>
  <c r="P373" i="4"/>
  <c r="Q375" i="4"/>
  <c r="V376" i="4"/>
  <c r="P377" i="4"/>
  <c r="V377" i="4"/>
  <c r="Q380" i="4"/>
  <c r="P381" i="4"/>
  <c r="V381" i="4"/>
  <c r="Q384" i="4"/>
  <c r="P385" i="4"/>
  <c r="V385" i="4"/>
  <c r="P389" i="4"/>
  <c r="V389" i="4"/>
  <c r="V393" i="4"/>
  <c r="P393" i="4"/>
  <c r="V399" i="4"/>
  <c r="P399" i="4"/>
  <c r="V403" i="4"/>
  <c r="P403" i="4"/>
  <c r="V405" i="4"/>
  <c r="P405" i="4"/>
  <c r="V409" i="4"/>
  <c r="P409" i="4"/>
  <c r="V411" i="4"/>
  <c r="P411" i="4"/>
  <c r="J302" i="4"/>
  <c r="J304" i="4"/>
  <c r="J306" i="4"/>
  <c r="J308" i="4"/>
  <c r="J310" i="4"/>
  <c r="J312" i="4"/>
  <c r="J314" i="4"/>
  <c r="J316" i="4"/>
  <c r="J318" i="4"/>
  <c r="J320" i="4"/>
  <c r="J322" i="4"/>
  <c r="J324" i="4"/>
  <c r="J326" i="4"/>
  <c r="J328" i="4"/>
  <c r="J330" i="4"/>
  <c r="J332" i="4"/>
  <c r="J334" i="4"/>
  <c r="J336" i="4"/>
  <c r="J338" i="4"/>
  <c r="J340" i="4"/>
  <c r="Q342" i="4"/>
  <c r="V343" i="4"/>
  <c r="P344" i="4"/>
  <c r="Z344" i="4"/>
  <c r="Q346" i="4"/>
  <c r="V347" i="4"/>
  <c r="P348" i="4"/>
  <c r="Z348" i="4"/>
  <c r="V351" i="4"/>
  <c r="P352" i="4"/>
  <c r="Z352" i="4"/>
  <c r="Q354" i="4"/>
  <c r="V355" i="4"/>
  <c r="P356" i="4"/>
  <c r="Z356" i="4"/>
  <c r="Q358" i="4"/>
  <c r="V359" i="4"/>
  <c r="P360" i="4"/>
  <c r="Z360" i="4"/>
  <c r="Q362" i="4"/>
  <c r="V363" i="4"/>
  <c r="P364" i="4"/>
  <c r="Z364" i="4"/>
  <c r="Q366" i="4"/>
  <c r="V367" i="4"/>
  <c r="P368" i="4"/>
  <c r="Z368" i="4"/>
  <c r="Q370" i="4"/>
  <c r="V371" i="4"/>
  <c r="P372" i="4"/>
  <c r="Z372" i="4"/>
  <c r="Q374" i="4"/>
  <c r="V375" i="4"/>
  <c r="P376" i="4"/>
  <c r="Z376" i="4"/>
  <c r="Q379" i="4"/>
  <c r="P380" i="4"/>
  <c r="V380" i="4"/>
  <c r="Z380" i="4"/>
  <c r="Q383" i="4"/>
  <c r="P384" i="4"/>
  <c r="V384" i="4"/>
  <c r="Z384" i="4"/>
  <c r="Q387" i="4"/>
  <c r="P388" i="4"/>
  <c r="V388" i="4"/>
  <c r="Z388" i="4"/>
  <c r="V394" i="4"/>
  <c r="P394" i="4"/>
  <c r="V400" i="4"/>
  <c r="P400" i="4"/>
  <c r="V404" i="4"/>
  <c r="P404" i="4"/>
  <c r="V408" i="4"/>
  <c r="P408" i="4"/>
  <c r="Z392" i="4"/>
  <c r="Z393" i="4"/>
  <c r="Z394" i="4"/>
  <c r="Z395" i="4"/>
  <c r="Z396" i="4"/>
  <c r="Z397" i="4"/>
  <c r="Z398" i="4"/>
  <c r="Z399" i="4"/>
  <c r="Z400" i="4"/>
  <c r="Z401" i="4"/>
  <c r="Z402" i="4"/>
  <c r="Z403" i="4"/>
  <c r="Z404" i="4"/>
  <c r="Z405" i="4"/>
  <c r="Z406" i="4"/>
  <c r="Z407" i="4"/>
  <c r="Z408" i="4"/>
  <c r="Z409" i="4"/>
  <c r="Z410" i="4"/>
  <c r="Z411" i="4"/>
  <c r="Z412" i="4"/>
  <c r="Z413" i="4"/>
  <c r="Z414" i="4"/>
  <c r="Z415" i="4"/>
  <c r="Z416" i="4"/>
  <c r="Z417" i="4"/>
  <c r="Z418" i="4"/>
  <c r="Z419" i="4"/>
  <c r="Z420" i="4"/>
  <c r="Z421" i="4"/>
  <c r="Z422" i="4"/>
  <c r="Z423" i="4"/>
  <c r="Z424" i="4"/>
  <c r="Z425" i="4"/>
  <c r="Z426" i="4"/>
  <c r="Z427" i="4"/>
  <c r="Z428" i="4"/>
  <c r="Z429" i="4"/>
  <c r="Z430" i="4"/>
  <c r="Z431" i="4"/>
  <c r="Z432" i="4"/>
  <c r="Z433" i="4"/>
  <c r="V436" i="4"/>
  <c r="Z437" i="4"/>
  <c r="V440" i="4"/>
  <c r="Z441" i="4"/>
  <c r="V444" i="4"/>
  <c r="Z445" i="4"/>
  <c r="V448" i="4"/>
  <c r="Z449" i="4"/>
  <c r="V452" i="4"/>
  <c r="Z453" i="4"/>
  <c r="V456" i="4"/>
  <c r="Z457" i="4"/>
  <c r="V460" i="4"/>
  <c r="Z461" i="4"/>
  <c r="V464" i="4"/>
  <c r="Z465" i="4"/>
  <c r="V468" i="4"/>
  <c r="Z469" i="4"/>
  <c r="V472" i="4"/>
  <c r="Z473" i="4"/>
  <c r="V476" i="4"/>
  <c r="V480" i="4"/>
  <c r="V484" i="4"/>
  <c r="V488" i="4"/>
  <c r="V492" i="4"/>
  <c r="V412" i="4"/>
  <c r="V413" i="4"/>
  <c r="V414" i="4"/>
  <c r="V415" i="4"/>
  <c r="V416" i="4"/>
  <c r="V417" i="4"/>
  <c r="V418" i="4"/>
  <c r="V419" i="4"/>
  <c r="V420" i="4"/>
  <c r="V421" i="4"/>
  <c r="V422" i="4"/>
  <c r="V423" i="4"/>
  <c r="V424" i="4"/>
  <c r="V425" i="4"/>
  <c r="V426" i="4"/>
  <c r="V427" i="4"/>
  <c r="V428" i="4"/>
  <c r="V429" i="4"/>
  <c r="V430" i="4"/>
  <c r="V431" i="4"/>
  <c r="V432" i="4"/>
  <c r="V433" i="4"/>
  <c r="Z434" i="4"/>
  <c r="V437" i="4"/>
  <c r="Z438" i="4"/>
  <c r="V441" i="4"/>
  <c r="Z442" i="4"/>
  <c r="V445" i="4"/>
  <c r="Z446" i="4"/>
  <c r="V449" i="4"/>
  <c r="Z450" i="4"/>
  <c r="V453" i="4"/>
  <c r="Z454" i="4"/>
  <c r="V457" i="4"/>
  <c r="Z458" i="4"/>
  <c r="V461" i="4"/>
  <c r="Z462" i="4"/>
  <c r="V465" i="4"/>
  <c r="V469" i="4"/>
  <c r="V473" i="4"/>
  <c r="V477" i="4"/>
  <c r="V481" i="4"/>
  <c r="V485" i="4"/>
  <c r="V489" i="4"/>
  <c r="G17" i="10"/>
  <c r="G16" i="10"/>
  <c r="G15" i="10"/>
  <c r="G14" i="10"/>
  <c r="G13" i="10"/>
  <c r="G12" i="10"/>
  <c r="G11" i="10"/>
  <c r="G10" i="10"/>
  <c r="G9" i="10"/>
  <c r="G8" i="10"/>
  <c r="G7" i="10"/>
  <c r="G6" i="10"/>
  <c r="G5" i="10"/>
  <c r="G4" i="10"/>
  <c r="G3" i="10"/>
  <c r="G2" i="10"/>
  <c r="AK388" i="4"/>
  <c r="AL388" i="4" s="1"/>
  <c r="P412" i="4"/>
  <c r="P413" i="4"/>
  <c r="P414" i="4"/>
  <c r="P415" i="4"/>
  <c r="P416" i="4"/>
  <c r="P417" i="4"/>
  <c r="P418" i="4"/>
  <c r="P419" i="4"/>
  <c r="P420" i="4"/>
  <c r="P421" i="4"/>
  <c r="P422" i="4"/>
  <c r="P423" i="4"/>
  <c r="P424" i="4"/>
  <c r="P425" i="4"/>
  <c r="P426" i="4"/>
  <c r="P427" i="4"/>
  <c r="P428" i="4"/>
  <c r="P429" i="4"/>
  <c r="V434" i="4"/>
  <c r="Z435" i="4"/>
  <c r="V438" i="4"/>
  <c r="Z439" i="4"/>
  <c r="V442" i="4"/>
  <c r="Z443" i="4"/>
  <c r="V446" i="4"/>
  <c r="Z447" i="4"/>
  <c r="V450" i="4"/>
  <c r="Z451" i="4"/>
  <c r="V454" i="4"/>
  <c r="Z455" i="4"/>
  <c r="V458" i="4"/>
  <c r="Z459" i="4"/>
  <c r="V462" i="4"/>
  <c r="Z463" i="4"/>
  <c r="V466" i="4"/>
  <c r="Z467" i="4"/>
  <c r="V470" i="4"/>
  <c r="Z471" i="4"/>
  <c r="V474" i="4"/>
  <c r="Z475" i="4"/>
  <c r="V478" i="4"/>
  <c r="Z480" i="4"/>
  <c r="V482" i="4"/>
  <c r="Z484" i="4"/>
  <c r="V486" i="4"/>
  <c r="Z488" i="4"/>
  <c r="V490" i="4"/>
  <c r="Z492" i="4"/>
  <c r="D3" i="10"/>
  <c r="C3" i="9" s="1"/>
  <c r="C5" i="5" a="1"/>
  <c r="C5" i="5" s="1"/>
  <c r="I4" i="2" s="1"/>
  <c r="H17" i="10"/>
  <c r="H16" i="10"/>
  <c r="H15" i="10"/>
  <c r="H14" i="10"/>
  <c r="H13" i="10"/>
  <c r="H12" i="10"/>
  <c r="H11" i="10"/>
  <c r="H10" i="10"/>
  <c r="H9" i="10"/>
  <c r="H8" i="10"/>
  <c r="H7" i="10"/>
  <c r="H6" i="10"/>
  <c r="H5" i="10"/>
  <c r="H4" i="10"/>
  <c r="H3" i="10"/>
  <c r="H2" i="10"/>
  <c r="V435" i="4"/>
  <c r="Z436" i="4"/>
  <c r="V439" i="4"/>
  <c r="Z440" i="4"/>
  <c r="V443" i="4"/>
  <c r="Z444" i="4"/>
  <c r="V447" i="4"/>
  <c r="Z448" i="4"/>
  <c r="V451" i="4"/>
  <c r="Z452" i="4"/>
  <c r="V455" i="4"/>
  <c r="Z456" i="4"/>
  <c r="V459" i="4"/>
  <c r="Z460" i="4"/>
  <c r="V463" i="4"/>
  <c r="Z464" i="4"/>
  <c r="V467" i="4"/>
  <c r="Z468" i="4"/>
  <c r="V471" i="4"/>
  <c r="Z472" i="4"/>
  <c r="V475" i="4"/>
  <c r="Z476" i="4"/>
  <c r="Z477" i="4"/>
  <c r="V479" i="4"/>
  <c r="Z481" i="4"/>
  <c r="V483" i="4"/>
  <c r="Z485" i="4"/>
  <c r="V487" i="4"/>
  <c r="Z489" i="4"/>
  <c r="V491" i="4"/>
  <c r="S16" i="13"/>
  <c r="C21" i="2" s="1"/>
  <c r="C60" i="8"/>
  <c r="D34" i="8"/>
  <c r="E11" i="5" s="1"/>
  <c r="B76" i="8"/>
  <c r="E2" i="10"/>
  <c r="E3" i="10"/>
  <c r="E4" i="10"/>
  <c r="E5" i="10"/>
  <c r="E6" i="10"/>
  <c r="E7" i="10"/>
  <c r="E8" i="10"/>
  <c r="E9" i="10"/>
  <c r="E10" i="10"/>
  <c r="E11" i="10"/>
  <c r="E12" i="10"/>
  <c r="E13" i="10"/>
  <c r="E14" i="10"/>
  <c r="E15" i="10"/>
  <c r="E16" i="10"/>
  <c r="E17" i="10"/>
  <c r="D35" i="8"/>
  <c r="E12" i="5" s="1"/>
  <c r="B2" i="10"/>
  <c r="B3" i="10"/>
  <c r="B4" i="10"/>
  <c r="B5" i="10"/>
  <c r="B6" i="10"/>
  <c r="B7" i="10"/>
  <c r="B8" i="10"/>
  <c r="B9" i="10"/>
  <c r="B10" i="10"/>
  <c r="B11" i="10"/>
  <c r="B12" i="10"/>
  <c r="B13" i="10"/>
  <c r="B14" i="10"/>
  <c r="B15" i="10"/>
  <c r="B16" i="10"/>
  <c r="B17" i="10"/>
  <c r="B58" i="8"/>
  <c r="B59" i="8"/>
  <c r="U13" i="13"/>
  <c r="E18" i="2" s="1"/>
  <c r="O12" i="13"/>
  <c r="W20" i="13" l="1"/>
  <c r="W24" i="13"/>
  <c r="W28" i="13"/>
  <c r="W32" i="13"/>
  <c r="W36" i="13"/>
  <c r="W40" i="13"/>
  <c r="W44" i="13"/>
  <c r="W48" i="13"/>
  <c r="W52" i="13"/>
  <c r="W56" i="13"/>
  <c r="W133" i="13"/>
  <c r="W148" i="13"/>
  <c r="W156" i="13"/>
  <c r="W164" i="13"/>
  <c r="W172" i="13"/>
  <c r="W180" i="13"/>
  <c r="W188" i="13"/>
  <c r="W196" i="13"/>
  <c r="W204" i="13"/>
  <c r="W212" i="13"/>
  <c r="W220" i="13"/>
  <c r="W228" i="13"/>
  <c r="W236" i="13"/>
  <c r="W244" i="13"/>
  <c r="W252" i="13"/>
  <c r="W260" i="13"/>
  <c r="W268" i="13"/>
  <c r="W276" i="13"/>
  <c r="W284" i="13"/>
  <c r="W418" i="13"/>
  <c r="W18" i="13"/>
  <c r="W22" i="13"/>
  <c r="W26" i="13"/>
  <c r="W30" i="13"/>
  <c r="W34" i="13"/>
  <c r="W38" i="13"/>
  <c r="W42" i="13"/>
  <c r="W46" i="13"/>
  <c r="W50" i="13"/>
  <c r="W54" i="13"/>
  <c r="W59" i="13"/>
  <c r="W137" i="13"/>
  <c r="W160" i="13"/>
  <c r="W168" i="13"/>
  <c r="W176" i="13"/>
  <c r="W184" i="13"/>
  <c r="W192" i="13"/>
  <c r="W200" i="13"/>
  <c r="W208" i="13"/>
  <c r="W216" i="13"/>
  <c r="W224" i="13"/>
  <c r="W232" i="13"/>
  <c r="W240" i="13"/>
  <c r="W248" i="13"/>
  <c r="W256" i="13"/>
  <c r="W264" i="13"/>
  <c r="W272" i="13"/>
  <c r="W280" i="13"/>
  <c r="W410" i="13"/>
  <c r="W426" i="13"/>
  <c r="W483" i="13"/>
  <c r="W488" i="13"/>
  <c r="AF110" i="4"/>
  <c r="W444" i="13"/>
  <c r="W471" i="13"/>
  <c r="W479" i="13"/>
  <c r="W319" i="13"/>
  <c r="W327" i="13"/>
  <c r="W348" i="13"/>
  <c r="W364" i="13"/>
  <c r="W380" i="13"/>
  <c r="W396" i="13"/>
  <c r="W468" i="13"/>
  <c r="W484" i="13"/>
  <c r="AK339" i="4"/>
  <c r="AL339" i="4" s="1"/>
  <c r="AK397" i="4"/>
  <c r="AL397" i="4" s="1"/>
  <c r="AK303" i="4"/>
  <c r="AL303" i="4" s="1"/>
  <c r="AK327" i="4"/>
  <c r="AL327" i="4" s="1"/>
  <c r="W63" i="13"/>
  <c r="W71" i="13"/>
  <c r="W79" i="13"/>
  <c r="W87" i="13"/>
  <c r="W95" i="13"/>
  <c r="W103" i="13"/>
  <c r="W111" i="13"/>
  <c r="W119" i="13"/>
  <c r="W127" i="13"/>
  <c r="W135" i="13"/>
  <c r="W144" i="13"/>
  <c r="W291" i="13"/>
  <c r="W299" i="13"/>
  <c r="W307" i="13"/>
  <c r="W315" i="13"/>
  <c r="W323" i="13"/>
  <c r="W331" i="13"/>
  <c r="W448" i="13"/>
  <c r="W464" i="13"/>
  <c r="AF89" i="4"/>
  <c r="AF55" i="4"/>
  <c r="AF116" i="4"/>
  <c r="F33" i="8"/>
  <c r="AF106" i="4"/>
  <c r="D3" i="9"/>
  <c r="E3" i="9" s="1"/>
  <c r="AK402" i="4"/>
  <c r="AL402" i="4" s="1"/>
  <c r="AK342" i="4"/>
  <c r="AL342" i="4" s="1"/>
  <c r="AK392" i="4"/>
  <c r="AL392" i="4" s="1"/>
  <c r="AK390" i="4"/>
  <c r="AL390" i="4" s="1"/>
  <c r="AK185" i="4"/>
  <c r="AL185" i="4" s="1"/>
  <c r="AK177" i="4"/>
  <c r="AL177" i="4" s="1"/>
  <c r="AK167" i="4"/>
  <c r="AL167" i="4" s="1"/>
  <c r="AK147" i="4"/>
  <c r="AL147" i="4" s="1"/>
  <c r="AK143" i="4"/>
  <c r="AL143" i="4" s="1"/>
  <c r="AK5" i="4"/>
  <c r="AL5" i="4" s="1"/>
  <c r="AK297" i="4"/>
  <c r="AL297" i="4" s="1"/>
  <c r="AK289" i="4"/>
  <c r="AL289" i="4" s="1"/>
  <c r="AK281" i="4"/>
  <c r="AL281" i="4" s="1"/>
  <c r="AK273" i="4"/>
  <c r="AL273" i="4" s="1"/>
  <c r="AK265" i="4"/>
  <c r="AL265" i="4" s="1"/>
  <c r="AK257" i="4"/>
  <c r="AL257" i="4" s="1"/>
  <c r="AK249" i="4"/>
  <c r="AL249" i="4" s="1"/>
  <c r="AK241" i="4"/>
  <c r="AL241" i="4" s="1"/>
  <c r="AK233" i="4"/>
  <c r="AL233" i="4" s="1"/>
  <c r="AK225" i="4"/>
  <c r="AL225" i="4" s="1"/>
  <c r="AK217" i="4"/>
  <c r="AL217" i="4" s="1"/>
  <c r="AK209" i="4"/>
  <c r="AL209" i="4" s="1"/>
  <c r="AK201" i="4"/>
  <c r="AL201" i="4" s="1"/>
  <c r="AK183" i="4"/>
  <c r="AL183" i="4" s="1"/>
  <c r="AK157" i="4"/>
  <c r="AL157" i="4" s="1"/>
  <c r="AK153" i="4"/>
  <c r="AL153" i="4" s="1"/>
  <c r="AK135" i="4"/>
  <c r="AL135" i="4" s="1"/>
  <c r="AK131" i="4"/>
  <c r="AL131" i="4" s="1"/>
  <c r="AK127" i="4"/>
  <c r="AL127" i="4" s="1"/>
  <c r="AK123" i="4"/>
  <c r="AL123" i="4" s="1"/>
  <c r="AK119" i="4"/>
  <c r="AL119" i="4" s="1"/>
  <c r="AK115" i="4"/>
  <c r="AL115" i="4" s="1"/>
  <c r="AK111" i="4"/>
  <c r="AL111" i="4" s="1"/>
  <c r="AK107" i="4"/>
  <c r="AL107" i="4" s="1"/>
  <c r="AK103" i="4"/>
  <c r="AL103" i="4" s="1"/>
  <c r="AK99" i="4"/>
  <c r="AL99" i="4" s="1"/>
  <c r="AK95" i="4"/>
  <c r="AL95" i="4" s="1"/>
  <c r="AK91" i="4"/>
  <c r="AL91" i="4" s="1"/>
  <c r="AK87" i="4"/>
  <c r="AL87" i="4" s="1"/>
  <c r="AK83" i="4"/>
  <c r="AL83" i="4" s="1"/>
  <c r="AK79" i="4"/>
  <c r="AL79" i="4" s="1"/>
  <c r="AK75" i="4"/>
  <c r="AL75" i="4" s="1"/>
  <c r="AK71" i="4"/>
  <c r="AL71" i="4" s="1"/>
  <c r="AK67" i="4"/>
  <c r="AL67" i="4" s="1"/>
  <c r="AK63" i="4"/>
  <c r="AL63" i="4" s="1"/>
  <c r="AK59" i="4"/>
  <c r="AL59" i="4" s="1"/>
  <c r="AK53" i="4"/>
  <c r="AL53" i="4" s="1"/>
  <c r="AK164" i="4"/>
  <c r="AL164" i="4" s="1"/>
  <c r="AK146" i="4"/>
  <c r="AL146" i="4" s="1"/>
  <c r="AK150" i="4"/>
  <c r="AL150" i="4" s="1"/>
  <c r="W293" i="13"/>
  <c r="W309" i="13"/>
  <c r="W325" i="13"/>
  <c r="W150" i="13"/>
  <c r="W289" i="13"/>
  <c r="W305" i="13"/>
  <c r="W321" i="13"/>
  <c r="W408" i="13"/>
  <c r="W416" i="13"/>
  <c r="W424" i="13"/>
  <c r="F32" i="8"/>
  <c r="D4" i="9"/>
  <c r="AK311" i="4"/>
  <c r="AL311" i="4" s="1"/>
  <c r="AK325" i="4"/>
  <c r="AL325" i="4" s="1"/>
  <c r="AK191" i="4"/>
  <c r="AL191" i="4" s="1"/>
  <c r="AK187" i="4"/>
  <c r="AL187" i="4" s="1"/>
  <c r="AK175" i="4"/>
  <c r="AL175" i="4" s="1"/>
  <c r="AK171" i="4"/>
  <c r="AL171" i="4" s="1"/>
  <c r="AK391" i="4"/>
  <c r="AL391" i="4" s="1"/>
  <c r="AK149" i="4"/>
  <c r="AL149" i="4" s="1"/>
  <c r="AK291" i="4"/>
  <c r="AL291" i="4" s="1"/>
  <c r="AK283" i="4"/>
  <c r="AL283" i="4" s="1"/>
  <c r="AK275" i="4"/>
  <c r="AL275" i="4" s="1"/>
  <c r="AK267" i="4"/>
  <c r="AL267" i="4" s="1"/>
  <c r="AK259" i="4"/>
  <c r="AL259" i="4" s="1"/>
  <c r="AK251" i="4"/>
  <c r="AL251" i="4" s="1"/>
  <c r="AK243" i="4"/>
  <c r="AL243" i="4" s="1"/>
  <c r="AK235" i="4"/>
  <c r="AL235" i="4" s="1"/>
  <c r="AK227" i="4"/>
  <c r="AL227" i="4" s="1"/>
  <c r="AK219" i="4"/>
  <c r="AL219" i="4" s="1"/>
  <c r="AK211" i="4"/>
  <c r="AL211" i="4" s="1"/>
  <c r="AK203" i="4"/>
  <c r="AL203" i="4" s="1"/>
  <c r="AK193" i="4"/>
  <c r="AL193" i="4" s="1"/>
  <c r="AK159" i="4"/>
  <c r="AL159" i="4" s="1"/>
  <c r="AK155" i="4"/>
  <c r="AL155" i="4" s="1"/>
  <c r="AK55" i="4"/>
  <c r="AL55" i="4" s="1"/>
  <c r="AK148" i="4"/>
  <c r="AL148" i="4" s="1"/>
  <c r="W6" i="13"/>
  <c r="W7" i="13"/>
  <c r="W16" i="13"/>
  <c r="W17" i="13"/>
  <c r="W21" i="13"/>
  <c r="W25" i="13"/>
  <c r="W29" i="13"/>
  <c r="W33" i="13"/>
  <c r="W37" i="13"/>
  <c r="W41" i="13"/>
  <c r="W45" i="13"/>
  <c r="W49" i="13"/>
  <c r="W53" i="13"/>
  <c r="W57" i="13"/>
  <c r="W65" i="13"/>
  <c r="W73" i="13"/>
  <c r="W81" i="13"/>
  <c r="W89" i="13"/>
  <c r="W97" i="13"/>
  <c r="W105" i="13"/>
  <c r="W113" i="13"/>
  <c r="W121" i="13"/>
  <c r="W129" i="13"/>
  <c r="W287" i="13"/>
  <c r="W295" i="13"/>
  <c r="W303" i="13"/>
  <c r="W311" i="13"/>
  <c r="W338" i="13"/>
  <c r="W346" i="13"/>
  <c r="W354" i="13"/>
  <c r="W362" i="13"/>
  <c r="W370" i="13"/>
  <c r="W378" i="13"/>
  <c r="W386" i="13"/>
  <c r="W394" i="13"/>
  <c r="W402" i="13"/>
  <c r="W438" i="13"/>
  <c r="W446" i="13"/>
  <c r="W454" i="13"/>
  <c r="W462" i="13"/>
  <c r="W473" i="13"/>
  <c r="W443" i="13"/>
  <c r="W459" i="13"/>
  <c r="W489" i="13"/>
  <c r="AF70" i="4"/>
  <c r="AF51" i="4"/>
  <c r="C39" i="8"/>
  <c r="C5" i="9"/>
  <c r="C4" i="9"/>
  <c r="F4" i="9" s="1"/>
  <c r="AK189" i="4"/>
  <c r="AL189" i="4" s="1"/>
  <c r="AK184" i="4"/>
  <c r="AL184" i="4" s="1"/>
  <c r="AK151" i="4"/>
  <c r="AL151" i="4" s="1"/>
  <c r="C41" i="8"/>
  <c r="AK139" i="4"/>
  <c r="AL139" i="4" s="1"/>
  <c r="AK293" i="4"/>
  <c r="AL293" i="4" s="1"/>
  <c r="AK285" i="4"/>
  <c r="AL285" i="4" s="1"/>
  <c r="AK277" i="4"/>
  <c r="AL277" i="4" s="1"/>
  <c r="AK269" i="4"/>
  <c r="AL269" i="4" s="1"/>
  <c r="AK261" i="4"/>
  <c r="AL261" i="4" s="1"/>
  <c r="AK253" i="4"/>
  <c r="AL253" i="4" s="1"/>
  <c r="AK245" i="4"/>
  <c r="AL245" i="4" s="1"/>
  <c r="AK237" i="4"/>
  <c r="AL237" i="4" s="1"/>
  <c r="AK229" i="4"/>
  <c r="AL229" i="4" s="1"/>
  <c r="AK221" i="4"/>
  <c r="AL221" i="4" s="1"/>
  <c r="AK213" i="4"/>
  <c r="AL213" i="4" s="1"/>
  <c r="AK205" i="4"/>
  <c r="AL205" i="4" s="1"/>
  <c r="B12" i="5"/>
  <c r="AK169" i="4"/>
  <c r="AL169" i="4" s="1"/>
  <c r="AK161" i="4"/>
  <c r="AL161" i="4" s="1"/>
  <c r="AK137" i="4"/>
  <c r="AL137" i="4" s="1"/>
  <c r="AK133" i="4"/>
  <c r="AL133" i="4" s="1"/>
  <c r="AK129" i="4"/>
  <c r="AL129" i="4" s="1"/>
  <c r="AK125" i="4"/>
  <c r="AL125" i="4" s="1"/>
  <c r="AK121" i="4"/>
  <c r="AL121" i="4" s="1"/>
  <c r="AK117" i="4"/>
  <c r="AL117" i="4" s="1"/>
  <c r="AK113" i="4"/>
  <c r="AL113" i="4" s="1"/>
  <c r="AK109" i="4"/>
  <c r="AL109" i="4" s="1"/>
  <c r="AK105" i="4"/>
  <c r="AL105" i="4" s="1"/>
  <c r="AK101" i="4"/>
  <c r="AL101" i="4" s="1"/>
  <c r="AK97" i="4"/>
  <c r="AL97" i="4" s="1"/>
  <c r="AK93" i="4"/>
  <c r="AL93" i="4" s="1"/>
  <c r="AK89" i="4"/>
  <c r="AL89" i="4" s="1"/>
  <c r="AK85" i="4"/>
  <c r="AL85" i="4" s="1"/>
  <c r="AK81" i="4"/>
  <c r="AL81" i="4" s="1"/>
  <c r="AK77" i="4"/>
  <c r="AL77" i="4" s="1"/>
  <c r="AK73" i="4"/>
  <c r="AL73" i="4" s="1"/>
  <c r="AK69" i="4"/>
  <c r="AL69" i="4" s="1"/>
  <c r="AK65" i="4"/>
  <c r="AL65" i="4" s="1"/>
  <c r="AK61" i="4"/>
  <c r="AL61" i="4" s="1"/>
  <c r="AK43" i="4"/>
  <c r="AL43" i="4" s="1"/>
  <c r="E57" i="8"/>
  <c r="AK172" i="4"/>
  <c r="AL172" i="4" s="1"/>
  <c r="AK156" i="4"/>
  <c r="AL156" i="4" s="1"/>
  <c r="AK142" i="4"/>
  <c r="AL142" i="4" s="1"/>
  <c r="AK186" i="4"/>
  <c r="AL186" i="4" s="1"/>
  <c r="W12" i="13"/>
  <c r="W5" i="13"/>
  <c r="W9" i="13"/>
  <c r="W412" i="13"/>
  <c r="W420" i="13"/>
  <c r="W428" i="13"/>
  <c r="W469" i="13"/>
  <c r="C42" i="8"/>
  <c r="AK300" i="4"/>
  <c r="AL300" i="4" s="1"/>
  <c r="J10" i="5"/>
  <c r="E8" i="2" s="1"/>
  <c r="AK181" i="4"/>
  <c r="AL181" i="4" s="1"/>
  <c r="AK145" i="4"/>
  <c r="AL145" i="4" s="1"/>
  <c r="AK141" i="4"/>
  <c r="AL141" i="4" s="1"/>
  <c r="AK39" i="4"/>
  <c r="AL39" i="4" s="1"/>
  <c r="AK295" i="4"/>
  <c r="AL295" i="4" s="1"/>
  <c r="AK287" i="4"/>
  <c r="AL287" i="4" s="1"/>
  <c r="AK279" i="4"/>
  <c r="AL279" i="4" s="1"/>
  <c r="AK271" i="4"/>
  <c r="AL271" i="4" s="1"/>
  <c r="AK263" i="4"/>
  <c r="AL263" i="4" s="1"/>
  <c r="AK255" i="4"/>
  <c r="AL255" i="4" s="1"/>
  <c r="AK247" i="4"/>
  <c r="AL247" i="4" s="1"/>
  <c r="AK239" i="4"/>
  <c r="AL239" i="4" s="1"/>
  <c r="AK231" i="4"/>
  <c r="AL231" i="4" s="1"/>
  <c r="AK223" i="4"/>
  <c r="AL223" i="4" s="1"/>
  <c r="J9" i="5"/>
  <c r="E7" i="2" s="1"/>
  <c r="AK207" i="4"/>
  <c r="AL207" i="4" s="1"/>
  <c r="AK199" i="4"/>
  <c r="AL199" i="4" s="1"/>
  <c r="AK179" i="4"/>
  <c r="AL179" i="4" s="1"/>
  <c r="AK163" i="4"/>
  <c r="AL163" i="4" s="1"/>
  <c r="AK57" i="4"/>
  <c r="AL57" i="4" s="1"/>
  <c r="AK298" i="4"/>
  <c r="AL298" i="4" s="1"/>
  <c r="B10" i="2"/>
  <c r="G43" i="4"/>
  <c r="G41" i="4"/>
  <c r="H82" i="4"/>
  <c r="G55" i="4"/>
  <c r="G69" i="4"/>
  <c r="G70" i="4"/>
  <c r="G58" i="4"/>
  <c r="H51" i="4"/>
  <c r="H41" i="4"/>
  <c r="H43" i="4"/>
  <c r="G82" i="4"/>
  <c r="F82" i="4" s="1"/>
  <c r="AA82" i="4" s="1"/>
  <c r="G51" i="4"/>
  <c r="F51" i="4" s="1"/>
  <c r="AA51" i="4" s="1"/>
  <c r="H70" i="4"/>
  <c r="H58" i="4"/>
  <c r="H55" i="4"/>
  <c r="H69" i="4"/>
  <c r="G3" i="9"/>
  <c r="F3" i="9"/>
  <c r="F57" i="8"/>
  <c r="G380" i="4" s="1"/>
  <c r="J381" i="12" s="1"/>
  <c r="I17" i="10"/>
  <c r="I16" i="10"/>
  <c r="I15" i="10"/>
  <c r="I14" i="10"/>
  <c r="I13" i="10"/>
  <c r="I12" i="10"/>
  <c r="I11" i="10"/>
  <c r="I10" i="10"/>
  <c r="I9" i="10"/>
  <c r="I8" i="10"/>
  <c r="I7" i="10"/>
  <c r="I6" i="10"/>
  <c r="I5" i="10"/>
  <c r="I4" i="10"/>
  <c r="I3" i="10"/>
  <c r="I2" i="10"/>
  <c r="E60" i="8"/>
  <c r="AF459" i="4"/>
  <c r="AF443" i="4"/>
  <c r="H380" i="4"/>
  <c r="K381" i="12" s="1"/>
  <c r="AF380" i="4"/>
  <c r="AK368" i="4"/>
  <c r="AL368" i="4" s="1"/>
  <c r="L494" i="12"/>
  <c r="H494" i="12"/>
  <c r="D494" i="12"/>
  <c r="M493" i="12"/>
  <c r="I493" i="12"/>
  <c r="N492" i="12"/>
  <c r="J492" i="12"/>
  <c r="F492" i="12"/>
  <c r="B492" i="12"/>
  <c r="E492" i="12" s="1"/>
  <c r="K491" i="12"/>
  <c r="G491" i="12"/>
  <c r="C491" i="12"/>
  <c r="L490" i="12"/>
  <c r="H490" i="12"/>
  <c r="D490" i="12"/>
  <c r="M489" i="12"/>
  <c r="I489" i="12"/>
  <c r="N488" i="12"/>
  <c r="J488" i="12"/>
  <c r="F488" i="12"/>
  <c r="B488" i="12"/>
  <c r="E488" i="12" s="1"/>
  <c r="K487" i="12"/>
  <c r="G487" i="12"/>
  <c r="C487" i="12"/>
  <c r="L486" i="12"/>
  <c r="H486" i="12"/>
  <c r="D486" i="12"/>
  <c r="M485" i="12"/>
  <c r="I485" i="12"/>
  <c r="N484" i="12"/>
  <c r="J484" i="12"/>
  <c r="F484" i="12"/>
  <c r="B484" i="12"/>
  <c r="E484" i="12" s="1"/>
  <c r="K483" i="12"/>
  <c r="G483" i="12"/>
  <c r="C483" i="12"/>
  <c r="L482" i="12"/>
  <c r="H482" i="12"/>
  <c r="D482" i="12"/>
  <c r="M481" i="12"/>
  <c r="I481" i="12"/>
  <c r="N480" i="12"/>
  <c r="J480" i="12"/>
  <c r="F480" i="12"/>
  <c r="B480" i="12"/>
  <c r="E480" i="12" s="1"/>
  <c r="K479" i="12"/>
  <c r="G479" i="12"/>
  <c r="C479" i="12"/>
  <c r="L478" i="12"/>
  <c r="H478" i="12"/>
  <c r="D478" i="12"/>
  <c r="M477" i="12"/>
  <c r="I477" i="12"/>
  <c r="N476" i="12"/>
  <c r="J476" i="12"/>
  <c r="F476" i="12"/>
  <c r="B476" i="12"/>
  <c r="E476" i="12" s="1"/>
  <c r="K475" i="12"/>
  <c r="G475" i="12"/>
  <c r="C475" i="12"/>
  <c r="L474" i="12"/>
  <c r="K494" i="12"/>
  <c r="G494" i="12"/>
  <c r="C494" i="12"/>
  <c r="L493" i="12"/>
  <c r="H493" i="12"/>
  <c r="D493" i="12"/>
  <c r="M492" i="12"/>
  <c r="I492" i="12"/>
  <c r="N491" i="12"/>
  <c r="J491" i="12"/>
  <c r="F491" i="12"/>
  <c r="B491" i="12"/>
  <c r="E491" i="12" s="1"/>
  <c r="K490" i="12"/>
  <c r="G490" i="12"/>
  <c r="C490" i="12"/>
  <c r="L489" i="12"/>
  <c r="H489" i="12"/>
  <c r="D489" i="12"/>
  <c r="M488" i="12"/>
  <c r="I488" i="12"/>
  <c r="N487" i="12"/>
  <c r="J487" i="12"/>
  <c r="F487" i="12"/>
  <c r="B487" i="12"/>
  <c r="E487" i="12" s="1"/>
  <c r="K486" i="12"/>
  <c r="G486" i="12"/>
  <c r="C486" i="12"/>
  <c r="L485" i="12"/>
  <c r="H485" i="12"/>
  <c r="D485" i="12"/>
  <c r="M484" i="12"/>
  <c r="I484" i="12"/>
  <c r="N483" i="12"/>
  <c r="J483" i="12"/>
  <c r="F483" i="12"/>
  <c r="B483" i="12"/>
  <c r="E483" i="12" s="1"/>
  <c r="K482" i="12"/>
  <c r="G482" i="12"/>
  <c r="C482" i="12"/>
  <c r="L481" i="12"/>
  <c r="H481" i="12"/>
  <c r="D481" i="12"/>
  <c r="M480" i="12"/>
  <c r="I480" i="12"/>
  <c r="N479" i="12"/>
  <c r="J479" i="12"/>
  <c r="F479" i="12"/>
  <c r="B479" i="12"/>
  <c r="E479" i="12" s="1"/>
  <c r="K478" i="12"/>
  <c r="G478" i="12"/>
  <c r="C478" i="12"/>
  <c r="L477" i="12"/>
  <c r="H477" i="12"/>
  <c r="D477" i="12"/>
  <c r="M476" i="12"/>
  <c r="I476" i="12"/>
  <c r="N475" i="12"/>
  <c r="J475" i="12"/>
  <c r="F475" i="12"/>
  <c r="B475" i="12"/>
  <c r="E475" i="12" s="1"/>
  <c r="K474" i="12"/>
  <c r="G474" i="12"/>
  <c r="C474" i="12"/>
  <c r="L473" i="12"/>
  <c r="H473" i="12"/>
  <c r="D473" i="12"/>
  <c r="M472" i="12"/>
  <c r="I472" i="12"/>
  <c r="N471" i="12"/>
  <c r="J471" i="12"/>
  <c r="F471" i="12"/>
  <c r="B471" i="12"/>
  <c r="E471" i="12" s="1"/>
  <c r="K470" i="12"/>
  <c r="G470" i="12"/>
  <c r="C470" i="12"/>
  <c r="L469" i="12"/>
  <c r="N494" i="12"/>
  <c r="J494" i="12"/>
  <c r="F494" i="12"/>
  <c r="B494" i="12"/>
  <c r="E494" i="12" s="1"/>
  <c r="K493" i="12"/>
  <c r="G493" i="12"/>
  <c r="C493" i="12"/>
  <c r="L492" i="12"/>
  <c r="H492" i="12"/>
  <c r="D492" i="12"/>
  <c r="M491" i="12"/>
  <c r="I491" i="12"/>
  <c r="N490" i="12"/>
  <c r="J490" i="12"/>
  <c r="F490" i="12"/>
  <c r="B490" i="12"/>
  <c r="E490" i="12" s="1"/>
  <c r="K489" i="12"/>
  <c r="G489" i="12"/>
  <c r="C489" i="12"/>
  <c r="L488" i="12"/>
  <c r="H488" i="12"/>
  <c r="D488" i="12"/>
  <c r="M487" i="12"/>
  <c r="I487" i="12"/>
  <c r="N486" i="12"/>
  <c r="J486" i="12"/>
  <c r="F486" i="12"/>
  <c r="B486" i="12"/>
  <c r="E486" i="12" s="1"/>
  <c r="K485" i="12"/>
  <c r="G485" i="12"/>
  <c r="C485" i="12"/>
  <c r="L484" i="12"/>
  <c r="H484" i="12"/>
  <c r="D484" i="12"/>
  <c r="M483" i="12"/>
  <c r="I483" i="12"/>
  <c r="N482" i="12"/>
  <c r="J482" i="12"/>
  <c r="F482" i="12"/>
  <c r="B482" i="12"/>
  <c r="E482" i="12" s="1"/>
  <c r="K481" i="12"/>
  <c r="G481" i="12"/>
  <c r="C481" i="12"/>
  <c r="L480" i="12"/>
  <c r="H480" i="12"/>
  <c r="D480" i="12"/>
  <c r="M479" i="12"/>
  <c r="I479" i="12"/>
  <c r="N478" i="12"/>
  <c r="J478" i="12"/>
  <c r="F478" i="12"/>
  <c r="B478" i="12"/>
  <c r="E478" i="12" s="1"/>
  <c r="K477" i="12"/>
  <c r="G477" i="12"/>
  <c r="C477" i="12"/>
  <c r="L476" i="12"/>
  <c r="H476" i="12"/>
  <c r="D476" i="12"/>
  <c r="M475" i="12"/>
  <c r="I475" i="12"/>
  <c r="N474" i="12"/>
  <c r="J474" i="12"/>
  <c r="F474" i="12"/>
  <c r="B474" i="12"/>
  <c r="E474" i="12" s="1"/>
  <c r="K473" i="12"/>
  <c r="G473" i="12"/>
  <c r="C473" i="12"/>
  <c r="L472" i="12"/>
  <c r="H472" i="12"/>
  <c r="D472" i="12"/>
  <c r="M471" i="12"/>
  <c r="M494" i="12"/>
  <c r="I494" i="12"/>
  <c r="N493" i="12"/>
  <c r="J493" i="12"/>
  <c r="F493" i="12"/>
  <c r="B493" i="12"/>
  <c r="E493" i="12" s="1"/>
  <c r="K492" i="12"/>
  <c r="G492" i="12"/>
  <c r="C492" i="12"/>
  <c r="L491" i="12"/>
  <c r="H491" i="12"/>
  <c r="D491" i="12"/>
  <c r="M490" i="12"/>
  <c r="I490" i="12"/>
  <c r="N489" i="12"/>
  <c r="J489" i="12"/>
  <c r="F489" i="12"/>
  <c r="B489" i="12"/>
  <c r="E489" i="12" s="1"/>
  <c r="K488" i="12"/>
  <c r="G488" i="12"/>
  <c r="C488" i="12"/>
  <c r="L487" i="12"/>
  <c r="H487" i="12"/>
  <c r="D487" i="12"/>
  <c r="M486" i="12"/>
  <c r="I486" i="12"/>
  <c r="N485" i="12"/>
  <c r="J485" i="12"/>
  <c r="F485" i="12"/>
  <c r="B485" i="12"/>
  <c r="E485" i="12" s="1"/>
  <c r="K484" i="12"/>
  <c r="G484" i="12"/>
  <c r="C484" i="12"/>
  <c r="L483" i="12"/>
  <c r="H483" i="12"/>
  <c r="D483" i="12"/>
  <c r="M482" i="12"/>
  <c r="I482" i="12"/>
  <c r="N481" i="12"/>
  <c r="J481" i="12"/>
  <c r="F481" i="12"/>
  <c r="B481" i="12"/>
  <c r="E481" i="12" s="1"/>
  <c r="K480" i="12"/>
  <c r="G480" i="12"/>
  <c r="C480" i="12"/>
  <c r="L479" i="12"/>
  <c r="H479" i="12"/>
  <c r="D479" i="12"/>
  <c r="M478" i="12"/>
  <c r="I478" i="12"/>
  <c r="N477" i="12"/>
  <c r="J477" i="12"/>
  <c r="F477" i="12"/>
  <c r="B477" i="12"/>
  <c r="E477" i="12" s="1"/>
  <c r="K476" i="12"/>
  <c r="G476" i="12"/>
  <c r="C476" i="12"/>
  <c r="L475" i="12"/>
  <c r="H475" i="12"/>
  <c r="D475" i="12"/>
  <c r="M474" i="12"/>
  <c r="I474" i="12"/>
  <c r="N473" i="12"/>
  <c r="J473" i="12"/>
  <c r="F473" i="12"/>
  <c r="B473" i="12"/>
  <c r="E473" i="12" s="1"/>
  <c r="K472" i="12"/>
  <c r="H474" i="12"/>
  <c r="F472" i="12"/>
  <c r="K471" i="12"/>
  <c r="M470" i="12"/>
  <c r="H470" i="12"/>
  <c r="B470" i="12"/>
  <c r="E470" i="12" s="1"/>
  <c r="J469" i="12"/>
  <c r="F469" i="12"/>
  <c r="B469" i="12"/>
  <c r="E469" i="12" s="1"/>
  <c r="K468" i="12"/>
  <c r="G468" i="12"/>
  <c r="C468" i="12"/>
  <c r="L467" i="12"/>
  <c r="H467" i="12"/>
  <c r="D467" i="12"/>
  <c r="M466" i="12"/>
  <c r="I466" i="12"/>
  <c r="N465" i="12"/>
  <c r="J465" i="12"/>
  <c r="F465" i="12"/>
  <c r="B465" i="12"/>
  <c r="E465" i="12" s="1"/>
  <c r="K464" i="12"/>
  <c r="G464" i="12"/>
  <c r="C464" i="12"/>
  <c r="L463" i="12"/>
  <c r="H463" i="12"/>
  <c r="D463" i="12"/>
  <c r="M462" i="12"/>
  <c r="I462" i="12"/>
  <c r="N461" i="12"/>
  <c r="J461" i="12"/>
  <c r="F461" i="12"/>
  <c r="B461" i="12"/>
  <c r="E461" i="12" s="1"/>
  <c r="K460" i="12"/>
  <c r="G460" i="12"/>
  <c r="C460" i="12"/>
  <c r="L459" i="12"/>
  <c r="H459" i="12"/>
  <c r="D459" i="12"/>
  <c r="M458" i="12"/>
  <c r="I458" i="12"/>
  <c r="N457" i="12"/>
  <c r="J457" i="12"/>
  <c r="F457" i="12"/>
  <c r="B457" i="12"/>
  <c r="E457" i="12" s="1"/>
  <c r="K456" i="12"/>
  <c r="G456" i="12"/>
  <c r="C456" i="12"/>
  <c r="L455" i="12"/>
  <c r="H455" i="12"/>
  <c r="D455" i="12"/>
  <c r="M454" i="12"/>
  <c r="I454" i="12"/>
  <c r="N453" i="12"/>
  <c r="J453" i="12"/>
  <c r="F453" i="12"/>
  <c r="B453" i="12"/>
  <c r="E453" i="12" s="1"/>
  <c r="K452" i="12"/>
  <c r="G452" i="12"/>
  <c r="C452" i="12"/>
  <c r="L451" i="12"/>
  <c r="H451" i="12"/>
  <c r="D451" i="12"/>
  <c r="M450" i="12"/>
  <c r="I450" i="12"/>
  <c r="N449" i="12"/>
  <c r="J449" i="12"/>
  <c r="F449" i="12"/>
  <c r="B449" i="12"/>
  <c r="E449" i="12" s="1"/>
  <c r="K448" i="12"/>
  <c r="G448" i="12"/>
  <c r="C448" i="12"/>
  <c r="L447" i="12"/>
  <c r="H447" i="12"/>
  <c r="D447" i="12"/>
  <c r="M446" i="12"/>
  <c r="I446" i="12"/>
  <c r="N445" i="12"/>
  <c r="J445" i="12"/>
  <c r="F445" i="12"/>
  <c r="B445" i="12"/>
  <c r="E445" i="12" s="1"/>
  <c r="K444" i="12"/>
  <c r="G444" i="12"/>
  <c r="C444" i="12"/>
  <c r="L443" i="12"/>
  <c r="H443" i="12"/>
  <c r="D443" i="12"/>
  <c r="M442" i="12"/>
  <c r="I442" i="12"/>
  <c r="N441" i="12"/>
  <c r="J441" i="12"/>
  <c r="F441" i="12"/>
  <c r="B441" i="12"/>
  <c r="E441" i="12" s="1"/>
  <c r="K440" i="12"/>
  <c r="G440" i="12"/>
  <c r="C440" i="12"/>
  <c r="L439" i="12"/>
  <c r="H439" i="12"/>
  <c r="D439" i="12"/>
  <c r="M438" i="12"/>
  <c r="I438" i="12"/>
  <c r="N437" i="12"/>
  <c r="J437" i="12"/>
  <c r="F437" i="12"/>
  <c r="B437" i="12"/>
  <c r="E437" i="12" s="1"/>
  <c r="K436" i="12"/>
  <c r="G436" i="12"/>
  <c r="C436" i="12"/>
  <c r="L435" i="12"/>
  <c r="H435" i="12"/>
  <c r="D435" i="12"/>
  <c r="M434" i="12"/>
  <c r="I434" i="12"/>
  <c r="N433" i="12"/>
  <c r="J433" i="12"/>
  <c r="F433" i="12"/>
  <c r="B433" i="12"/>
  <c r="E433" i="12" s="1"/>
  <c r="K432" i="12"/>
  <c r="G432" i="12"/>
  <c r="C432" i="12"/>
  <c r="L431" i="12"/>
  <c r="H431" i="12"/>
  <c r="D431" i="12"/>
  <c r="M430" i="12"/>
  <c r="I430" i="12"/>
  <c r="N429" i="12"/>
  <c r="J429" i="12"/>
  <c r="F429" i="12"/>
  <c r="B429" i="12"/>
  <c r="E429" i="12" s="1"/>
  <c r="K428" i="12"/>
  <c r="G428" i="12"/>
  <c r="C428" i="12"/>
  <c r="L427" i="12"/>
  <c r="H427" i="12"/>
  <c r="D427" i="12"/>
  <c r="M426" i="12"/>
  <c r="I426" i="12"/>
  <c r="N425" i="12"/>
  <c r="J425" i="12"/>
  <c r="F425" i="12"/>
  <c r="B425" i="12"/>
  <c r="E425" i="12" s="1"/>
  <c r="K424" i="12"/>
  <c r="G424" i="12"/>
  <c r="C424" i="12"/>
  <c r="L423" i="12"/>
  <c r="H423" i="12"/>
  <c r="D423" i="12"/>
  <c r="M422" i="12"/>
  <c r="I422" i="12"/>
  <c r="N421" i="12"/>
  <c r="J421" i="12"/>
  <c r="F421" i="12"/>
  <c r="B421" i="12"/>
  <c r="E421" i="12" s="1"/>
  <c r="K420" i="12"/>
  <c r="G420" i="12"/>
  <c r="C420" i="12"/>
  <c r="L419" i="12"/>
  <c r="H419" i="12"/>
  <c r="D419" i="12"/>
  <c r="M418" i="12"/>
  <c r="I418" i="12"/>
  <c r="N417" i="12"/>
  <c r="J417" i="12"/>
  <c r="F417" i="12"/>
  <c r="B417" i="12"/>
  <c r="E417" i="12" s="1"/>
  <c r="K416" i="12"/>
  <c r="G416" i="12"/>
  <c r="C416" i="12"/>
  <c r="L415" i="12"/>
  <c r="H415" i="12"/>
  <c r="D415" i="12"/>
  <c r="M414" i="12"/>
  <c r="I414" i="12"/>
  <c r="N413" i="12"/>
  <c r="J413" i="12"/>
  <c r="F413" i="12"/>
  <c r="B413" i="12"/>
  <c r="E413" i="12" s="1"/>
  <c r="K412" i="12"/>
  <c r="G412" i="12"/>
  <c r="C412" i="12"/>
  <c r="L411" i="12"/>
  <c r="H411" i="12"/>
  <c r="D411" i="12"/>
  <c r="M410" i="12"/>
  <c r="I410" i="12"/>
  <c r="N409" i="12"/>
  <c r="J409" i="12"/>
  <c r="F409" i="12"/>
  <c r="B409" i="12"/>
  <c r="E409" i="12" s="1"/>
  <c r="K408" i="12"/>
  <c r="G408" i="12"/>
  <c r="C408" i="12"/>
  <c r="L407" i="12"/>
  <c r="H407" i="12"/>
  <c r="D407" i="12"/>
  <c r="F405" i="12"/>
  <c r="B405" i="12"/>
  <c r="E405" i="12" s="1"/>
  <c r="G404" i="12"/>
  <c r="C404" i="12"/>
  <c r="L403" i="12"/>
  <c r="H403" i="12"/>
  <c r="D403" i="12"/>
  <c r="F401" i="12"/>
  <c r="B401" i="12"/>
  <c r="E401" i="12" s="1"/>
  <c r="G400" i="12"/>
  <c r="C400" i="12"/>
  <c r="L399" i="12"/>
  <c r="H399" i="12"/>
  <c r="D399" i="12"/>
  <c r="F397" i="12"/>
  <c r="B397" i="12"/>
  <c r="E397" i="12" s="1"/>
  <c r="G396" i="12"/>
  <c r="C396" i="12"/>
  <c r="L395" i="12"/>
  <c r="H395" i="12"/>
  <c r="D395" i="12"/>
  <c r="F393" i="12"/>
  <c r="B393" i="12"/>
  <c r="E393" i="12" s="1"/>
  <c r="G392" i="12"/>
  <c r="C392" i="12"/>
  <c r="L391" i="12"/>
  <c r="H391" i="12"/>
  <c r="D391" i="12"/>
  <c r="F389" i="12"/>
  <c r="B389" i="12"/>
  <c r="E389" i="12" s="1"/>
  <c r="G388" i="12"/>
  <c r="C388" i="12"/>
  <c r="L387" i="12"/>
  <c r="H387" i="12"/>
  <c r="D387" i="12"/>
  <c r="F385" i="12"/>
  <c r="B385" i="12"/>
  <c r="E385" i="12" s="1"/>
  <c r="G384" i="12"/>
  <c r="C384" i="12"/>
  <c r="L383" i="12"/>
  <c r="H383" i="12"/>
  <c r="D383" i="12"/>
  <c r="F381" i="12"/>
  <c r="B381" i="12"/>
  <c r="E381" i="12" s="1"/>
  <c r="G380" i="12"/>
  <c r="C380" i="12"/>
  <c r="L379" i="12"/>
  <c r="H379" i="12"/>
  <c r="D379" i="12"/>
  <c r="F377" i="12"/>
  <c r="B377" i="12"/>
  <c r="E377" i="12" s="1"/>
  <c r="G376" i="12"/>
  <c r="C376" i="12"/>
  <c r="L375" i="12"/>
  <c r="H375" i="12"/>
  <c r="D375" i="12"/>
  <c r="F373" i="12"/>
  <c r="B373" i="12"/>
  <c r="E373" i="12" s="1"/>
  <c r="G372" i="12"/>
  <c r="C372" i="12"/>
  <c r="L371" i="12"/>
  <c r="H371" i="12"/>
  <c r="D371" i="12"/>
  <c r="F369" i="12"/>
  <c r="B369" i="12"/>
  <c r="E369" i="12" s="1"/>
  <c r="G368" i="12"/>
  <c r="C368" i="12"/>
  <c r="L367" i="12"/>
  <c r="H367" i="12"/>
  <c r="D474" i="12"/>
  <c r="N472" i="12"/>
  <c r="C472" i="12"/>
  <c r="I471" i="12"/>
  <c r="D471" i="12"/>
  <c r="L470" i="12"/>
  <c r="F470" i="12"/>
  <c r="N469" i="12"/>
  <c r="I469" i="12"/>
  <c r="N468" i="12"/>
  <c r="J468" i="12"/>
  <c r="F468" i="12"/>
  <c r="B468" i="12"/>
  <c r="E468" i="12" s="1"/>
  <c r="K467" i="12"/>
  <c r="G467" i="12"/>
  <c r="C467" i="12"/>
  <c r="L466" i="12"/>
  <c r="H466" i="12"/>
  <c r="D466" i="12"/>
  <c r="M465" i="12"/>
  <c r="I465" i="12"/>
  <c r="N464" i="12"/>
  <c r="J464" i="12"/>
  <c r="F464" i="12"/>
  <c r="B464" i="12"/>
  <c r="E464" i="12" s="1"/>
  <c r="K463" i="12"/>
  <c r="G463" i="12"/>
  <c r="C463" i="12"/>
  <c r="L462" i="12"/>
  <c r="H462" i="12"/>
  <c r="D462" i="12"/>
  <c r="M461" i="12"/>
  <c r="I461" i="12"/>
  <c r="N460" i="12"/>
  <c r="J460" i="12"/>
  <c r="F460" i="12"/>
  <c r="B460" i="12"/>
  <c r="E460" i="12" s="1"/>
  <c r="K459" i="12"/>
  <c r="G459" i="12"/>
  <c r="C459" i="12"/>
  <c r="L458" i="12"/>
  <c r="H458" i="12"/>
  <c r="D458" i="12"/>
  <c r="M457" i="12"/>
  <c r="I457" i="12"/>
  <c r="N456" i="12"/>
  <c r="J456" i="12"/>
  <c r="F456" i="12"/>
  <c r="B456" i="12"/>
  <c r="E456" i="12" s="1"/>
  <c r="K455" i="12"/>
  <c r="G455" i="12"/>
  <c r="C455" i="12"/>
  <c r="L454" i="12"/>
  <c r="H454" i="12"/>
  <c r="D454" i="12"/>
  <c r="M453" i="12"/>
  <c r="I453" i="12"/>
  <c r="N452" i="12"/>
  <c r="J452" i="12"/>
  <c r="F452" i="12"/>
  <c r="B452" i="12"/>
  <c r="E452" i="12" s="1"/>
  <c r="K451" i="12"/>
  <c r="G451" i="12"/>
  <c r="C451" i="12"/>
  <c r="L450" i="12"/>
  <c r="H450" i="12"/>
  <c r="D450" i="12"/>
  <c r="M449" i="12"/>
  <c r="I449" i="12"/>
  <c r="N448" i="12"/>
  <c r="J448" i="12"/>
  <c r="F448" i="12"/>
  <c r="B448" i="12"/>
  <c r="E448" i="12" s="1"/>
  <c r="K447" i="12"/>
  <c r="G447" i="12"/>
  <c r="C447" i="12"/>
  <c r="L446" i="12"/>
  <c r="H446" i="12"/>
  <c r="D446" i="12"/>
  <c r="M445" i="12"/>
  <c r="I445" i="12"/>
  <c r="N444" i="12"/>
  <c r="J444" i="12"/>
  <c r="F444" i="12"/>
  <c r="B444" i="12"/>
  <c r="E444" i="12" s="1"/>
  <c r="K443" i="12"/>
  <c r="G443" i="12"/>
  <c r="C443" i="12"/>
  <c r="L442" i="12"/>
  <c r="H442" i="12"/>
  <c r="D442" i="12"/>
  <c r="M441" i="12"/>
  <c r="I441" i="12"/>
  <c r="N440" i="12"/>
  <c r="J440" i="12"/>
  <c r="F440" i="12"/>
  <c r="B440" i="12"/>
  <c r="E440" i="12" s="1"/>
  <c r="K439" i="12"/>
  <c r="G439" i="12"/>
  <c r="C439" i="12"/>
  <c r="L438" i="12"/>
  <c r="H438" i="12"/>
  <c r="D438" i="12"/>
  <c r="M437" i="12"/>
  <c r="I437" i="12"/>
  <c r="N436" i="12"/>
  <c r="J436" i="12"/>
  <c r="F436" i="12"/>
  <c r="B436" i="12"/>
  <c r="E436" i="12" s="1"/>
  <c r="K435" i="12"/>
  <c r="G435" i="12"/>
  <c r="C435" i="12"/>
  <c r="L434" i="12"/>
  <c r="H434" i="12"/>
  <c r="D434" i="12"/>
  <c r="M433" i="12"/>
  <c r="I433" i="12"/>
  <c r="N432" i="12"/>
  <c r="J432" i="12"/>
  <c r="F432" i="12"/>
  <c r="B432" i="12"/>
  <c r="E432" i="12" s="1"/>
  <c r="K431" i="12"/>
  <c r="G431" i="12"/>
  <c r="C431" i="12"/>
  <c r="L430" i="12"/>
  <c r="H430" i="12"/>
  <c r="D430" i="12"/>
  <c r="M429" i="12"/>
  <c r="I429" i="12"/>
  <c r="N428" i="12"/>
  <c r="J428" i="12"/>
  <c r="F428" i="12"/>
  <c r="B428" i="12"/>
  <c r="E428" i="12" s="1"/>
  <c r="K427" i="12"/>
  <c r="G427" i="12"/>
  <c r="C427" i="12"/>
  <c r="L426" i="12"/>
  <c r="H426" i="12"/>
  <c r="D426" i="12"/>
  <c r="M425" i="12"/>
  <c r="I425" i="12"/>
  <c r="N424" i="12"/>
  <c r="J424" i="12"/>
  <c r="F424" i="12"/>
  <c r="B424" i="12"/>
  <c r="E424" i="12" s="1"/>
  <c r="K423" i="12"/>
  <c r="G423" i="12"/>
  <c r="C423" i="12"/>
  <c r="L422" i="12"/>
  <c r="H422" i="12"/>
  <c r="D422" i="12"/>
  <c r="M421" i="12"/>
  <c r="I421" i="12"/>
  <c r="N420" i="12"/>
  <c r="J420" i="12"/>
  <c r="F420" i="12"/>
  <c r="B420" i="12"/>
  <c r="E420" i="12" s="1"/>
  <c r="K419" i="12"/>
  <c r="G419" i="12"/>
  <c r="C419" i="12"/>
  <c r="L418" i="12"/>
  <c r="H418" i="12"/>
  <c r="D418" i="12"/>
  <c r="M417" i="12"/>
  <c r="I417" i="12"/>
  <c r="N416" i="12"/>
  <c r="J416" i="12"/>
  <c r="F416" i="12"/>
  <c r="B416" i="12"/>
  <c r="E416" i="12" s="1"/>
  <c r="K415" i="12"/>
  <c r="G415" i="12"/>
  <c r="C415" i="12"/>
  <c r="L414" i="12"/>
  <c r="H414" i="12"/>
  <c r="D414" i="12"/>
  <c r="M413" i="12"/>
  <c r="I413" i="12"/>
  <c r="N412" i="12"/>
  <c r="J412" i="12"/>
  <c r="F412" i="12"/>
  <c r="B412" i="12"/>
  <c r="E412" i="12" s="1"/>
  <c r="K411" i="12"/>
  <c r="G411" i="12"/>
  <c r="C411" i="12"/>
  <c r="L410" i="12"/>
  <c r="H410" i="12"/>
  <c r="D410" i="12"/>
  <c r="M409" i="12"/>
  <c r="I409" i="12"/>
  <c r="N408" i="12"/>
  <c r="J408" i="12"/>
  <c r="F408" i="12"/>
  <c r="B408" i="12"/>
  <c r="E408" i="12" s="1"/>
  <c r="G407" i="12"/>
  <c r="C407" i="12"/>
  <c r="L406" i="12"/>
  <c r="H406" i="12"/>
  <c r="D406" i="12"/>
  <c r="F404" i="12"/>
  <c r="B404" i="12"/>
  <c r="E404" i="12" s="1"/>
  <c r="G403" i="12"/>
  <c r="C403" i="12"/>
  <c r="L402" i="12"/>
  <c r="H402" i="12"/>
  <c r="D402" i="12"/>
  <c r="F400" i="12"/>
  <c r="B400" i="12"/>
  <c r="E400" i="12" s="1"/>
  <c r="G399" i="12"/>
  <c r="C399" i="12"/>
  <c r="L398" i="12"/>
  <c r="H398" i="12"/>
  <c r="D398" i="12"/>
  <c r="F396" i="12"/>
  <c r="B396" i="12"/>
  <c r="E396" i="12" s="1"/>
  <c r="G395" i="12"/>
  <c r="C395" i="12"/>
  <c r="L394" i="12"/>
  <c r="H394" i="12"/>
  <c r="D394" i="12"/>
  <c r="F392" i="12"/>
  <c r="B392" i="12"/>
  <c r="E392" i="12" s="1"/>
  <c r="G391" i="12"/>
  <c r="C391" i="12"/>
  <c r="L390" i="12"/>
  <c r="H390" i="12"/>
  <c r="D390" i="12"/>
  <c r="F388" i="12"/>
  <c r="B388" i="12"/>
  <c r="E388" i="12" s="1"/>
  <c r="G387" i="12"/>
  <c r="C387" i="12"/>
  <c r="L386" i="12"/>
  <c r="H386" i="12"/>
  <c r="D386" i="12"/>
  <c r="F384" i="12"/>
  <c r="B384" i="12"/>
  <c r="E384" i="12" s="1"/>
  <c r="G383" i="12"/>
  <c r="C383" i="12"/>
  <c r="L382" i="12"/>
  <c r="H382" i="12"/>
  <c r="D382" i="12"/>
  <c r="F380" i="12"/>
  <c r="B380" i="12"/>
  <c r="E380" i="12" s="1"/>
  <c r="G379" i="12"/>
  <c r="C379" i="12"/>
  <c r="L378" i="12"/>
  <c r="H378" i="12"/>
  <c r="D378" i="12"/>
  <c r="F376" i="12"/>
  <c r="B376" i="12"/>
  <c r="E376" i="12" s="1"/>
  <c r="G375" i="12"/>
  <c r="C375" i="12"/>
  <c r="L374" i="12"/>
  <c r="H374" i="12"/>
  <c r="D374" i="12"/>
  <c r="F372" i="12"/>
  <c r="B372" i="12"/>
  <c r="E372" i="12" s="1"/>
  <c r="G371" i="12"/>
  <c r="C371" i="12"/>
  <c r="L370" i="12"/>
  <c r="H370" i="12"/>
  <c r="D370" i="12"/>
  <c r="F368" i="12"/>
  <c r="B368" i="12"/>
  <c r="E368" i="12" s="1"/>
  <c r="M473" i="12"/>
  <c r="J472" i="12"/>
  <c r="B472" i="12"/>
  <c r="E472" i="12" s="1"/>
  <c r="H471" i="12"/>
  <c r="C471" i="12"/>
  <c r="J470" i="12"/>
  <c r="M469" i="12"/>
  <c r="H469" i="12"/>
  <c r="D469" i="12"/>
  <c r="M468" i="12"/>
  <c r="I468" i="12"/>
  <c r="N467" i="12"/>
  <c r="J467" i="12"/>
  <c r="F467" i="12"/>
  <c r="B467" i="12"/>
  <c r="E467" i="12" s="1"/>
  <c r="K466" i="12"/>
  <c r="G466" i="12"/>
  <c r="C466" i="12"/>
  <c r="L465" i="12"/>
  <c r="H465" i="12"/>
  <c r="D465" i="12"/>
  <c r="M464" i="12"/>
  <c r="I464" i="12"/>
  <c r="N463" i="12"/>
  <c r="J463" i="12"/>
  <c r="F463" i="12"/>
  <c r="B463" i="12"/>
  <c r="E463" i="12" s="1"/>
  <c r="K462" i="12"/>
  <c r="G462" i="12"/>
  <c r="C462" i="12"/>
  <c r="L461" i="12"/>
  <c r="H461" i="12"/>
  <c r="D461" i="12"/>
  <c r="M460" i="12"/>
  <c r="I460" i="12"/>
  <c r="N459" i="12"/>
  <c r="J459" i="12"/>
  <c r="F459" i="12"/>
  <c r="B459" i="12"/>
  <c r="E459" i="12" s="1"/>
  <c r="K458" i="12"/>
  <c r="G458" i="12"/>
  <c r="C458" i="12"/>
  <c r="L457" i="12"/>
  <c r="H457" i="12"/>
  <c r="D457" i="12"/>
  <c r="M456" i="12"/>
  <c r="I456" i="12"/>
  <c r="N455" i="12"/>
  <c r="J455" i="12"/>
  <c r="F455" i="12"/>
  <c r="B455" i="12"/>
  <c r="E455" i="12" s="1"/>
  <c r="K454" i="12"/>
  <c r="G454" i="12"/>
  <c r="C454" i="12"/>
  <c r="L453" i="12"/>
  <c r="H453" i="12"/>
  <c r="D453" i="12"/>
  <c r="M452" i="12"/>
  <c r="I452" i="12"/>
  <c r="N451" i="12"/>
  <c r="J451" i="12"/>
  <c r="F451" i="12"/>
  <c r="B451" i="12"/>
  <c r="E451" i="12" s="1"/>
  <c r="K450" i="12"/>
  <c r="G450" i="12"/>
  <c r="C450" i="12"/>
  <c r="L449" i="12"/>
  <c r="H449" i="12"/>
  <c r="D449" i="12"/>
  <c r="M448" i="12"/>
  <c r="I448" i="12"/>
  <c r="N447" i="12"/>
  <c r="J447" i="12"/>
  <c r="F447" i="12"/>
  <c r="B447" i="12"/>
  <c r="E447" i="12" s="1"/>
  <c r="K446" i="12"/>
  <c r="G446" i="12"/>
  <c r="C446" i="12"/>
  <c r="L445" i="12"/>
  <c r="H445" i="12"/>
  <c r="D445" i="12"/>
  <c r="M444" i="12"/>
  <c r="I444" i="12"/>
  <c r="N443" i="12"/>
  <c r="J443" i="12"/>
  <c r="F443" i="12"/>
  <c r="B443" i="12"/>
  <c r="E443" i="12" s="1"/>
  <c r="K442" i="12"/>
  <c r="G442" i="12"/>
  <c r="C442" i="12"/>
  <c r="L441" i="12"/>
  <c r="H441" i="12"/>
  <c r="D441" i="12"/>
  <c r="M440" i="12"/>
  <c r="I440" i="12"/>
  <c r="N439" i="12"/>
  <c r="J439" i="12"/>
  <c r="F439" i="12"/>
  <c r="B439" i="12"/>
  <c r="E439" i="12" s="1"/>
  <c r="K438" i="12"/>
  <c r="G438" i="12"/>
  <c r="C438" i="12"/>
  <c r="L437" i="12"/>
  <c r="H437" i="12"/>
  <c r="D437" i="12"/>
  <c r="M436" i="12"/>
  <c r="I436" i="12"/>
  <c r="N435" i="12"/>
  <c r="J435" i="12"/>
  <c r="F435" i="12"/>
  <c r="B435" i="12"/>
  <c r="E435" i="12" s="1"/>
  <c r="K434" i="12"/>
  <c r="G434" i="12"/>
  <c r="C434" i="12"/>
  <c r="L433" i="12"/>
  <c r="H433" i="12"/>
  <c r="D433" i="12"/>
  <c r="M432" i="12"/>
  <c r="I432" i="12"/>
  <c r="N431" i="12"/>
  <c r="J431" i="12"/>
  <c r="F431" i="12"/>
  <c r="B431" i="12"/>
  <c r="E431" i="12" s="1"/>
  <c r="K430" i="12"/>
  <c r="G430" i="12"/>
  <c r="C430" i="12"/>
  <c r="L429" i="12"/>
  <c r="H429" i="12"/>
  <c r="D429" i="12"/>
  <c r="M428" i="12"/>
  <c r="I428" i="12"/>
  <c r="N427" i="12"/>
  <c r="J427" i="12"/>
  <c r="F427" i="12"/>
  <c r="B427" i="12"/>
  <c r="E427" i="12" s="1"/>
  <c r="K426" i="12"/>
  <c r="G426" i="12"/>
  <c r="C426" i="12"/>
  <c r="L425" i="12"/>
  <c r="H425" i="12"/>
  <c r="D425" i="12"/>
  <c r="M424" i="12"/>
  <c r="I424" i="12"/>
  <c r="N423" i="12"/>
  <c r="J423" i="12"/>
  <c r="F423" i="12"/>
  <c r="B423" i="12"/>
  <c r="E423" i="12" s="1"/>
  <c r="K422" i="12"/>
  <c r="G422" i="12"/>
  <c r="C422" i="12"/>
  <c r="L421" i="12"/>
  <c r="H421" i="12"/>
  <c r="D421" i="12"/>
  <c r="M420" i="12"/>
  <c r="I420" i="12"/>
  <c r="N419" i="12"/>
  <c r="J419" i="12"/>
  <c r="F419" i="12"/>
  <c r="B419" i="12"/>
  <c r="E419" i="12" s="1"/>
  <c r="K418" i="12"/>
  <c r="G418" i="12"/>
  <c r="C418" i="12"/>
  <c r="L417" i="12"/>
  <c r="H417" i="12"/>
  <c r="D417" i="12"/>
  <c r="M416" i="12"/>
  <c r="I416" i="12"/>
  <c r="N415" i="12"/>
  <c r="J415" i="12"/>
  <c r="F415" i="12"/>
  <c r="B415" i="12"/>
  <c r="E415" i="12" s="1"/>
  <c r="K414" i="12"/>
  <c r="G414" i="12"/>
  <c r="C414" i="12"/>
  <c r="L413" i="12"/>
  <c r="H413" i="12"/>
  <c r="D413" i="12"/>
  <c r="M412" i="12"/>
  <c r="I412" i="12"/>
  <c r="N411" i="12"/>
  <c r="J411" i="12"/>
  <c r="F411" i="12"/>
  <c r="B411" i="12"/>
  <c r="E411" i="12" s="1"/>
  <c r="K410" i="12"/>
  <c r="G410" i="12"/>
  <c r="C410" i="12"/>
  <c r="L409" i="12"/>
  <c r="H409" i="12"/>
  <c r="D409" i="12"/>
  <c r="M408" i="12"/>
  <c r="I408" i="12"/>
  <c r="F407" i="12"/>
  <c r="B407" i="12"/>
  <c r="E407" i="12" s="1"/>
  <c r="G406" i="12"/>
  <c r="C406" i="12"/>
  <c r="L405" i="12"/>
  <c r="H405" i="12"/>
  <c r="D405" i="12"/>
  <c r="F403" i="12"/>
  <c r="B403" i="12"/>
  <c r="E403" i="12" s="1"/>
  <c r="G402" i="12"/>
  <c r="C402" i="12"/>
  <c r="L401" i="12"/>
  <c r="H401" i="12"/>
  <c r="D401" i="12"/>
  <c r="F399" i="12"/>
  <c r="B399" i="12"/>
  <c r="E399" i="12" s="1"/>
  <c r="G398" i="12"/>
  <c r="C398" i="12"/>
  <c r="L397" i="12"/>
  <c r="H397" i="12"/>
  <c r="D397" i="12"/>
  <c r="F395" i="12"/>
  <c r="B395" i="12"/>
  <c r="E395" i="12" s="1"/>
  <c r="G394" i="12"/>
  <c r="C394" i="12"/>
  <c r="L393" i="12"/>
  <c r="H393" i="12"/>
  <c r="D393" i="12"/>
  <c r="F391" i="12"/>
  <c r="B391" i="12"/>
  <c r="E391" i="12" s="1"/>
  <c r="G390" i="12"/>
  <c r="C390" i="12"/>
  <c r="L389" i="12"/>
  <c r="H389" i="12"/>
  <c r="D389" i="12"/>
  <c r="F387" i="12"/>
  <c r="B387" i="12"/>
  <c r="E387" i="12" s="1"/>
  <c r="G386" i="12"/>
  <c r="C386" i="12"/>
  <c r="L385" i="12"/>
  <c r="H385" i="12"/>
  <c r="D385" i="12"/>
  <c r="F383" i="12"/>
  <c r="B383" i="12"/>
  <c r="E383" i="12" s="1"/>
  <c r="G382" i="12"/>
  <c r="C382" i="12"/>
  <c r="L381" i="12"/>
  <c r="H381" i="12"/>
  <c r="D381" i="12"/>
  <c r="F379" i="12"/>
  <c r="B379" i="12"/>
  <c r="E379" i="12" s="1"/>
  <c r="G378" i="12"/>
  <c r="C378" i="12"/>
  <c r="L377" i="12"/>
  <c r="H377" i="12"/>
  <c r="D377" i="12"/>
  <c r="F375" i="12"/>
  <c r="B375" i="12"/>
  <c r="E375" i="12" s="1"/>
  <c r="G374" i="12"/>
  <c r="C374" i="12"/>
  <c r="L373" i="12"/>
  <c r="H373" i="12"/>
  <c r="D373" i="12"/>
  <c r="F371" i="12"/>
  <c r="B371" i="12"/>
  <c r="E371" i="12" s="1"/>
  <c r="G370" i="12"/>
  <c r="C370" i="12"/>
  <c r="L369" i="12"/>
  <c r="H369" i="12"/>
  <c r="D369" i="12"/>
  <c r="I473" i="12"/>
  <c r="G472" i="12"/>
  <c r="L471" i="12"/>
  <c r="G471" i="12"/>
  <c r="N470" i="12"/>
  <c r="I470" i="12"/>
  <c r="D470" i="12"/>
  <c r="K469" i="12"/>
  <c r="G469" i="12"/>
  <c r="C469" i="12"/>
  <c r="L468" i="12"/>
  <c r="H468" i="12"/>
  <c r="D468" i="12"/>
  <c r="M467" i="12"/>
  <c r="I467" i="12"/>
  <c r="N466" i="12"/>
  <c r="J466" i="12"/>
  <c r="F466" i="12"/>
  <c r="B466" i="12"/>
  <c r="E466" i="12" s="1"/>
  <c r="K465" i="12"/>
  <c r="G465" i="12"/>
  <c r="C465" i="12"/>
  <c r="L464" i="12"/>
  <c r="H464" i="12"/>
  <c r="D464" i="12"/>
  <c r="M463" i="12"/>
  <c r="I463" i="12"/>
  <c r="N462" i="12"/>
  <c r="J462" i="12"/>
  <c r="F462" i="12"/>
  <c r="B462" i="12"/>
  <c r="E462" i="12" s="1"/>
  <c r="K461" i="12"/>
  <c r="G461" i="12"/>
  <c r="C461" i="12"/>
  <c r="L460" i="12"/>
  <c r="H460" i="12"/>
  <c r="D460" i="12"/>
  <c r="M459" i="12"/>
  <c r="I459" i="12"/>
  <c r="N458" i="12"/>
  <c r="J458" i="12"/>
  <c r="F458" i="12"/>
  <c r="B458" i="12"/>
  <c r="E458" i="12" s="1"/>
  <c r="K457" i="12"/>
  <c r="G457" i="12"/>
  <c r="C457" i="12"/>
  <c r="L456" i="12"/>
  <c r="H456" i="12"/>
  <c r="D456" i="12"/>
  <c r="M455" i="12"/>
  <c r="I455" i="12"/>
  <c r="N454" i="12"/>
  <c r="J454" i="12"/>
  <c r="F454" i="12"/>
  <c r="B454" i="12"/>
  <c r="E454" i="12" s="1"/>
  <c r="K453" i="12"/>
  <c r="G453" i="12"/>
  <c r="C453" i="12"/>
  <c r="L452" i="12"/>
  <c r="H452" i="12"/>
  <c r="D452" i="12"/>
  <c r="M451" i="12"/>
  <c r="I451" i="12"/>
  <c r="N450" i="12"/>
  <c r="J450" i="12"/>
  <c r="F450" i="12"/>
  <c r="B450" i="12"/>
  <c r="E450" i="12" s="1"/>
  <c r="K449" i="12"/>
  <c r="G449" i="12"/>
  <c r="C449" i="12"/>
  <c r="L448" i="12"/>
  <c r="H448" i="12"/>
  <c r="D448" i="12"/>
  <c r="M447" i="12"/>
  <c r="I447" i="12"/>
  <c r="N446" i="12"/>
  <c r="J446" i="12"/>
  <c r="F446" i="12"/>
  <c r="B446" i="12"/>
  <c r="E446" i="12" s="1"/>
  <c r="K445" i="12"/>
  <c r="G445" i="12"/>
  <c r="C445" i="12"/>
  <c r="L444" i="12"/>
  <c r="H444" i="12"/>
  <c r="D444" i="12"/>
  <c r="M443" i="12"/>
  <c r="I443" i="12"/>
  <c r="N442" i="12"/>
  <c r="J442" i="12"/>
  <c r="F442" i="12"/>
  <c r="B442" i="12"/>
  <c r="E442" i="12" s="1"/>
  <c r="K441" i="12"/>
  <c r="G441" i="12"/>
  <c r="C441" i="12"/>
  <c r="L440" i="12"/>
  <c r="H440" i="12"/>
  <c r="D440" i="12"/>
  <c r="M439" i="12"/>
  <c r="I439" i="12"/>
  <c r="N438" i="12"/>
  <c r="J438" i="12"/>
  <c r="F438" i="12"/>
  <c r="B438" i="12"/>
  <c r="E438" i="12" s="1"/>
  <c r="K437" i="12"/>
  <c r="G437" i="12"/>
  <c r="C437" i="12"/>
  <c r="L436" i="12"/>
  <c r="H436" i="12"/>
  <c r="D436" i="12"/>
  <c r="M435" i="12"/>
  <c r="I435" i="12"/>
  <c r="N434" i="12"/>
  <c r="J434" i="12"/>
  <c r="F434" i="12"/>
  <c r="B434" i="12"/>
  <c r="E434" i="12" s="1"/>
  <c r="K433" i="12"/>
  <c r="G433" i="12"/>
  <c r="C433" i="12"/>
  <c r="L432" i="12"/>
  <c r="H432" i="12"/>
  <c r="D432" i="12"/>
  <c r="M431" i="12"/>
  <c r="I431" i="12"/>
  <c r="N430" i="12"/>
  <c r="J430" i="12"/>
  <c r="F430" i="12"/>
  <c r="B430" i="12"/>
  <c r="E430" i="12" s="1"/>
  <c r="K429" i="12"/>
  <c r="G429" i="12"/>
  <c r="C429" i="12"/>
  <c r="L428" i="12"/>
  <c r="H428" i="12"/>
  <c r="D428" i="12"/>
  <c r="M427" i="12"/>
  <c r="I427" i="12"/>
  <c r="N426" i="12"/>
  <c r="J426" i="12"/>
  <c r="F426" i="12"/>
  <c r="B426" i="12"/>
  <c r="E426" i="12" s="1"/>
  <c r="K425" i="12"/>
  <c r="G425" i="12"/>
  <c r="C425" i="12"/>
  <c r="L424" i="12"/>
  <c r="H424" i="12"/>
  <c r="D424" i="12"/>
  <c r="M423" i="12"/>
  <c r="I423" i="12"/>
  <c r="N422" i="12"/>
  <c r="J422" i="12"/>
  <c r="F422" i="12"/>
  <c r="B422" i="12"/>
  <c r="E422" i="12" s="1"/>
  <c r="K421" i="12"/>
  <c r="G421" i="12"/>
  <c r="C421" i="12"/>
  <c r="L420" i="12"/>
  <c r="H420" i="12"/>
  <c r="D420" i="12"/>
  <c r="M419" i="12"/>
  <c r="I419" i="12"/>
  <c r="N418" i="12"/>
  <c r="J418" i="12"/>
  <c r="F418" i="12"/>
  <c r="B418" i="12"/>
  <c r="E418" i="12" s="1"/>
  <c r="K417" i="12"/>
  <c r="G417" i="12"/>
  <c r="C417" i="12"/>
  <c r="L416" i="12"/>
  <c r="H416" i="12"/>
  <c r="D416" i="12"/>
  <c r="M415" i="12"/>
  <c r="I415" i="12"/>
  <c r="N414" i="12"/>
  <c r="J414" i="12"/>
  <c r="F414" i="12"/>
  <c r="B414" i="12"/>
  <c r="E414" i="12" s="1"/>
  <c r="K413" i="12"/>
  <c r="G413" i="12"/>
  <c r="C413" i="12"/>
  <c r="L412" i="12"/>
  <c r="H412" i="12"/>
  <c r="D412" i="12"/>
  <c r="M411" i="12"/>
  <c r="I411" i="12"/>
  <c r="N410" i="12"/>
  <c r="J410" i="12"/>
  <c r="F410" i="12"/>
  <c r="B410" i="12"/>
  <c r="E410" i="12" s="1"/>
  <c r="K409" i="12"/>
  <c r="G409" i="12"/>
  <c r="C409" i="12"/>
  <c r="L408" i="12"/>
  <c r="H408" i="12"/>
  <c r="D408" i="12"/>
  <c r="F406" i="12"/>
  <c r="B406" i="12"/>
  <c r="E406" i="12" s="1"/>
  <c r="G405" i="12"/>
  <c r="C405" i="12"/>
  <c r="L404" i="12"/>
  <c r="H404" i="12"/>
  <c r="D404" i="12"/>
  <c r="F402" i="12"/>
  <c r="B402" i="12"/>
  <c r="E402" i="12" s="1"/>
  <c r="G401" i="12"/>
  <c r="C401" i="12"/>
  <c r="L400" i="12"/>
  <c r="H400" i="12"/>
  <c r="D400" i="12"/>
  <c r="F398" i="12"/>
  <c r="B398" i="12"/>
  <c r="E398" i="12" s="1"/>
  <c r="G397" i="12"/>
  <c r="C397" i="12"/>
  <c r="L396" i="12"/>
  <c r="H396" i="12"/>
  <c r="D396" i="12"/>
  <c r="F394" i="12"/>
  <c r="B394" i="12"/>
  <c r="E394" i="12" s="1"/>
  <c r="G393" i="12"/>
  <c r="C393" i="12"/>
  <c r="L392" i="12"/>
  <c r="H392" i="12"/>
  <c r="D392" i="12"/>
  <c r="F390" i="12"/>
  <c r="B390" i="12"/>
  <c r="E390" i="12" s="1"/>
  <c r="G389" i="12"/>
  <c r="C389" i="12"/>
  <c r="L388" i="12"/>
  <c r="H388" i="12"/>
  <c r="D388" i="12"/>
  <c r="F386" i="12"/>
  <c r="B386" i="12"/>
  <c r="E386" i="12" s="1"/>
  <c r="G385" i="12"/>
  <c r="C385" i="12"/>
  <c r="L384" i="12"/>
  <c r="H384" i="12"/>
  <c r="D384" i="12"/>
  <c r="F382" i="12"/>
  <c r="B382" i="12"/>
  <c r="E382" i="12" s="1"/>
  <c r="G381" i="12"/>
  <c r="C381" i="12"/>
  <c r="L380" i="12"/>
  <c r="H380" i="12"/>
  <c r="D380" i="12"/>
  <c r="F378" i="12"/>
  <c r="B378" i="12"/>
  <c r="E378" i="12" s="1"/>
  <c r="G377" i="12"/>
  <c r="C377" i="12"/>
  <c r="L376" i="12"/>
  <c r="H376" i="12"/>
  <c r="D376" i="12"/>
  <c r="F374" i="12"/>
  <c r="B374" i="12"/>
  <c r="E374" i="12" s="1"/>
  <c r="G373" i="12"/>
  <c r="C373" i="12"/>
  <c r="L372" i="12"/>
  <c r="H372" i="12"/>
  <c r="D372" i="12"/>
  <c r="F370" i="12"/>
  <c r="B370" i="12"/>
  <c r="E370" i="12" s="1"/>
  <c r="G369" i="12"/>
  <c r="C369" i="12"/>
  <c r="L368" i="12"/>
  <c r="H368" i="12"/>
  <c r="D368" i="12"/>
  <c r="D367" i="12"/>
  <c r="F365" i="12"/>
  <c r="B365" i="12"/>
  <c r="E365" i="12" s="1"/>
  <c r="G364" i="12"/>
  <c r="C364" i="12"/>
  <c r="L363" i="12"/>
  <c r="H363" i="12"/>
  <c r="D363" i="12"/>
  <c r="F361" i="12"/>
  <c r="B361" i="12"/>
  <c r="E361" i="12" s="1"/>
  <c r="G360" i="12"/>
  <c r="C360" i="12"/>
  <c r="L359" i="12"/>
  <c r="H359" i="12"/>
  <c r="D359" i="12"/>
  <c r="F357" i="12"/>
  <c r="B357" i="12"/>
  <c r="E357" i="12" s="1"/>
  <c r="G356" i="12"/>
  <c r="C356" i="12"/>
  <c r="L355" i="12"/>
  <c r="H355" i="12"/>
  <c r="D355" i="12"/>
  <c r="F353" i="12"/>
  <c r="B353" i="12"/>
  <c r="E353" i="12" s="1"/>
  <c r="G352" i="12"/>
  <c r="C352" i="12"/>
  <c r="L351" i="12"/>
  <c r="H351" i="12"/>
  <c r="D351" i="12"/>
  <c r="F349" i="12"/>
  <c r="B349" i="12"/>
  <c r="E349" i="12" s="1"/>
  <c r="G348" i="12"/>
  <c r="C348" i="12"/>
  <c r="L347" i="12"/>
  <c r="H347" i="12"/>
  <c r="D347" i="12"/>
  <c r="F345" i="12"/>
  <c r="B345" i="12"/>
  <c r="E345" i="12" s="1"/>
  <c r="G344" i="12"/>
  <c r="C344" i="12"/>
  <c r="L343" i="12"/>
  <c r="H343" i="12"/>
  <c r="D343" i="12"/>
  <c r="F341" i="12"/>
  <c r="B341" i="12"/>
  <c r="E341" i="12" s="1"/>
  <c r="G340" i="12"/>
  <c r="C340" i="12"/>
  <c r="L339" i="12"/>
  <c r="H339" i="12"/>
  <c r="D339" i="12"/>
  <c r="F337" i="12"/>
  <c r="B337" i="12"/>
  <c r="E337" i="12" s="1"/>
  <c r="G336" i="12"/>
  <c r="C336" i="12"/>
  <c r="L335" i="12"/>
  <c r="H335" i="12"/>
  <c r="D335" i="12"/>
  <c r="F333" i="12"/>
  <c r="B333" i="12"/>
  <c r="E333" i="12" s="1"/>
  <c r="G332" i="12"/>
  <c r="C332" i="12"/>
  <c r="L331" i="12"/>
  <c r="H331" i="12"/>
  <c r="D331" i="12"/>
  <c r="F329" i="12"/>
  <c r="B329" i="12"/>
  <c r="E329" i="12" s="1"/>
  <c r="G328" i="12"/>
  <c r="C328" i="12"/>
  <c r="L327" i="12"/>
  <c r="H327" i="12"/>
  <c r="D327" i="12"/>
  <c r="F325" i="12"/>
  <c r="B325" i="12"/>
  <c r="E325" i="12" s="1"/>
  <c r="G324" i="12"/>
  <c r="C324" i="12"/>
  <c r="L323" i="12"/>
  <c r="H323" i="12"/>
  <c r="D323" i="12"/>
  <c r="F321" i="12"/>
  <c r="B321" i="12"/>
  <c r="E321" i="12" s="1"/>
  <c r="G320" i="12"/>
  <c r="C320" i="12"/>
  <c r="L319" i="12"/>
  <c r="H319" i="12"/>
  <c r="D319" i="12"/>
  <c r="F317" i="12"/>
  <c r="B317" i="12"/>
  <c r="E317" i="12" s="1"/>
  <c r="G316" i="12"/>
  <c r="C316" i="12"/>
  <c r="L315" i="12"/>
  <c r="H315" i="12"/>
  <c r="D315" i="12"/>
  <c r="F313" i="12"/>
  <c r="B313" i="12"/>
  <c r="E313" i="12" s="1"/>
  <c r="G312" i="12"/>
  <c r="C312" i="12"/>
  <c r="L311" i="12"/>
  <c r="H311" i="12"/>
  <c r="D311" i="12"/>
  <c r="F309" i="12"/>
  <c r="B309" i="12"/>
  <c r="E309" i="12" s="1"/>
  <c r="G308" i="12"/>
  <c r="C308" i="12"/>
  <c r="L307" i="12"/>
  <c r="H307" i="12"/>
  <c r="D307" i="12"/>
  <c r="F305" i="12"/>
  <c r="B305" i="12"/>
  <c r="E305" i="12" s="1"/>
  <c r="G304" i="12"/>
  <c r="C304" i="12"/>
  <c r="L303" i="12"/>
  <c r="H303" i="12"/>
  <c r="D303" i="12"/>
  <c r="F301" i="12"/>
  <c r="B301" i="12"/>
  <c r="E301" i="12" s="1"/>
  <c r="G300" i="12"/>
  <c r="C300" i="12"/>
  <c r="L299" i="12"/>
  <c r="H299" i="12"/>
  <c r="D299" i="12"/>
  <c r="F297" i="12"/>
  <c r="B297" i="12"/>
  <c r="E297" i="12" s="1"/>
  <c r="G296" i="12"/>
  <c r="C296" i="12"/>
  <c r="L295" i="12"/>
  <c r="H295" i="12"/>
  <c r="D295" i="12"/>
  <c r="F293" i="12"/>
  <c r="B293" i="12"/>
  <c r="E293" i="12" s="1"/>
  <c r="G292" i="12"/>
  <c r="C292" i="12"/>
  <c r="L291" i="12"/>
  <c r="H291" i="12"/>
  <c r="D291" i="12"/>
  <c r="F289" i="12"/>
  <c r="B289" i="12"/>
  <c r="E289" i="12" s="1"/>
  <c r="G288" i="12"/>
  <c r="C288" i="12"/>
  <c r="L287" i="12"/>
  <c r="H287" i="12"/>
  <c r="D287" i="12"/>
  <c r="F285" i="12"/>
  <c r="B285" i="12"/>
  <c r="E285" i="12" s="1"/>
  <c r="G284" i="12"/>
  <c r="C284" i="12"/>
  <c r="L283" i="12"/>
  <c r="H283" i="12"/>
  <c r="D283" i="12"/>
  <c r="F281" i="12"/>
  <c r="B281" i="12"/>
  <c r="E281" i="12" s="1"/>
  <c r="G280" i="12"/>
  <c r="C280" i="12"/>
  <c r="L279" i="12"/>
  <c r="H279" i="12"/>
  <c r="D279" i="12"/>
  <c r="F277" i="12"/>
  <c r="B277" i="12"/>
  <c r="E277" i="12" s="1"/>
  <c r="G276" i="12"/>
  <c r="C276" i="12"/>
  <c r="L275" i="12"/>
  <c r="H275" i="12"/>
  <c r="D275" i="12"/>
  <c r="F273" i="12"/>
  <c r="B273" i="12"/>
  <c r="E273" i="12" s="1"/>
  <c r="G272" i="12"/>
  <c r="C272" i="12"/>
  <c r="L271" i="12"/>
  <c r="H271" i="12"/>
  <c r="D271" i="12"/>
  <c r="F269" i="12"/>
  <c r="B269" i="12"/>
  <c r="E269" i="12" s="1"/>
  <c r="G268" i="12"/>
  <c r="C268" i="12"/>
  <c r="L267" i="12"/>
  <c r="H267" i="12"/>
  <c r="D267" i="12"/>
  <c r="F265" i="12"/>
  <c r="B265" i="12"/>
  <c r="E265" i="12" s="1"/>
  <c r="G264" i="12"/>
  <c r="C264" i="12"/>
  <c r="L263" i="12"/>
  <c r="H263" i="12"/>
  <c r="D263" i="12"/>
  <c r="G367" i="12"/>
  <c r="C367" i="12"/>
  <c r="L366" i="12"/>
  <c r="H366" i="12"/>
  <c r="D366" i="12"/>
  <c r="F364" i="12"/>
  <c r="B364" i="12"/>
  <c r="E364" i="12" s="1"/>
  <c r="G363" i="12"/>
  <c r="C363" i="12"/>
  <c r="L362" i="12"/>
  <c r="H362" i="12"/>
  <c r="D362" i="12"/>
  <c r="F360" i="12"/>
  <c r="B360" i="12"/>
  <c r="E360" i="12" s="1"/>
  <c r="G359" i="12"/>
  <c r="C359" i="12"/>
  <c r="L358" i="12"/>
  <c r="H358" i="12"/>
  <c r="D358" i="12"/>
  <c r="F356" i="12"/>
  <c r="B356" i="12"/>
  <c r="E356" i="12" s="1"/>
  <c r="G355" i="12"/>
  <c r="C355" i="12"/>
  <c r="L354" i="12"/>
  <c r="H354" i="12"/>
  <c r="D354" i="12"/>
  <c r="F352" i="12"/>
  <c r="B352" i="12"/>
  <c r="E352" i="12" s="1"/>
  <c r="G351" i="12"/>
  <c r="C351" i="12"/>
  <c r="L350" i="12"/>
  <c r="H350" i="12"/>
  <c r="D350" i="12"/>
  <c r="F348" i="12"/>
  <c r="B348" i="12"/>
  <c r="E348" i="12" s="1"/>
  <c r="G347" i="12"/>
  <c r="C347" i="12"/>
  <c r="L346" i="12"/>
  <c r="H346" i="12"/>
  <c r="D346" i="12"/>
  <c r="F344" i="12"/>
  <c r="B344" i="12"/>
  <c r="E344" i="12" s="1"/>
  <c r="G343" i="12"/>
  <c r="C343" i="12"/>
  <c r="L342" i="12"/>
  <c r="H342" i="12"/>
  <c r="D342" i="12"/>
  <c r="F340" i="12"/>
  <c r="B340" i="12"/>
  <c r="E340" i="12" s="1"/>
  <c r="G339" i="12"/>
  <c r="C339" i="12"/>
  <c r="L338" i="12"/>
  <c r="H338" i="12"/>
  <c r="D338" i="12"/>
  <c r="F336" i="12"/>
  <c r="B336" i="12"/>
  <c r="E336" i="12" s="1"/>
  <c r="G335" i="12"/>
  <c r="C335" i="12"/>
  <c r="L334" i="12"/>
  <c r="H334" i="12"/>
  <c r="D334" i="12"/>
  <c r="F332" i="12"/>
  <c r="B332" i="12"/>
  <c r="E332" i="12" s="1"/>
  <c r="G331" i="12"/>
  <c r="C331" i="12"/>
  <c r="L330" i="12"/>
  <c r="H330" i="12"/>
  <c r="D330" i="12"/>
  <c r="F328" i="12"/>
  <c r="B328" i="12"/>
  <c r="E328" i="12" s="1"/>
  <c r="G327" i="12"/>
  <c r="C327" i="12"/>
  <c r="L326" i="12"/>
  <c r="H326" i="12"/>
  <c r="D326" i="12"/>
  <c r="F324" i="12"/>
  <c r="B324" i="12"/>
  <c r="E324" i="12" s="1"/>
  <c r="G323" i="12"/>
  <c r="C323" i="12"/>
  <c r="L322" i="12"/>
  <c r="H322" i="12"/>
  <c r="D322" i="12"/>
  <c r="F320" i="12"/>
  <c r="B320" i="12"/>
  <c r="E320" i="12" s="1"/>
  <c r="G319" i="12"/>
  <c r="C319" i="12"/>
  <c r="L318" i="12"/>
  <c r="H318" i="12"/>
  <c r="D318" i="12"/>
  <c r="F316" i="12"/>
  <c r="B316" i="12"/>
  <c r="E316" i="12" s="1"/>
  <c r="G315" i="12"/>
  <c r="C315" i="12"/>
  <c r="L314" i="12"/>
  <c r="H314" i="12"/>
  <c r="D314" i="12"/>
  <c r="F312" i="12"/>
  <c r="B312" i="12"/>
  <c r="E312" i="12" s="1"/>
  <c r="G311" i="12"/>
  <c r="C311" i="12"/>
  <c r="L310" i="12"/>
  <c r="H310" i="12"/>
  <c r="D310" i="12"/>
  <c r="F308" i="12"/>
  <c r="B308" i="12"/>
  <c r="E308" i="12" s="1"/>
  <c r="G307" i="12"/>
  <c r="C307" i="12"/>
  <c r="L306" i="12"/>
  <c r="H306" i="12"/>
  <c r="D306" i="12"/>
  <c r="F304" i="12"/>
  <c r="B304" i="12"/>
  <c r="E304" i="12" s="1"/>
  <c r="G303" i="12"/>
  <c r="C303" i="12"/>
  <c r="L302" i="12"/>
  <c r="H302" i="12"/>
  <c r="D302" i="12"/>
  <c r="F300" i="12"/>
  <c r="B300" i="12"/>
  <c r="E300" i="12" s="1"/>
  <c r="G299" i="12"/>
  <c r="C299" i="12"/>
  <c r="L298" i="12"/>
  <c r="H298" i="12"/>
  <c r="D298" i="12"/>
  <c r="F296" i="12"/>
  <c r="B296" i="12"/>
  <c r="E296" i="12" s="1"/>
  <c r="G295" i="12"/>
  <c r="C295" i="12"/>
  <c r="L294" i="12"/>
  <c r="H294" i="12"/>
  <c r="D294" i="12"/>
  <c r="F292" i="12"/>
  <c r="B292" i="12"/>
  <c r="E292" i="12" s="1"/>
  <c r="G291" i="12"/>
  <c r="C291" i="12"/>
  <c r="L290" i="12"/>
  <c r="H290" i="12"/>
  <c r="D290" i="12"/>
  <c r="F288" i="12"/>
  <c r="B288" i="12"/>
  <c r="E288" i="12" s="1"/>
  <c r="G287" i="12"/>
  <c r="C287" i="12"/>
  <c r="L286" i="12"/>
  <c r="H286" i="12"/>
  <c r="D286" i="12"/>
  <c r="F284" i="12"/>
  <c r="B284" i="12"/>
  <c r="E284" i="12" s="1"/>
  <c r="G283" i="12"/>
  <c r="C283" i="12"/>
  <c r="L282" i="12"/>
  <c r="H282" i="12"/>
  <c r="D282" i="12"/>
  <c r="F280" i="12"/>
  <c r="B280" i="12"/>
  <c r="E280" i="12" s="1"/>
  <c r="G279" i="12"/>
  <c r="C279" i="12"/>
  <c r="L278" i="12"/>
  <c r="H278" i="12"/>
  <c r="D278" i="12"/>
  <c r="F276" i="12"/>
  <c r="B276" i="12"/>
  <c r="E276" i="12" s="1"/>
  <c r="G275" i="12"/>
  <c r="C275" i="12"/>
  <c r="L274" i="12"/>
  <c r="H274" i="12"/>
  <c r="D274" i="12"/>
  <c r="F272" i="12"/>
  <c r="B272" i="12"/>
  <c r="E272" i="12" s="1"/>
  <c r="G271" i="12"/>
  <c r="C271" i="12"/>
  <c r="L270" i="12"/>
  <c r="H270" i="12"/>
  <c r="D270" i="12"/>
  <c r="F268" i="12"/>
  <c r="B268" i="12"/>
  <c r="E268" i="12" s="1"/>
  <c r="G267" i="12"/>
  <c r="C267" i="12"/>
  <c r="L266" i="12"/>
  <c r="H266" i="12"/>
  <c r="D266" i="12"/>
  <c r="F264" i="12"/>
  <c r="B264" i="12"/>
  <c r="E264" i="12" s="1"/>
  <c r="G263" i="12"/>
  <c r="C263" i="12"/>
  <c r="L262" i="12"/>
  <c r="F367" i="12"/>
  <c r="B367" i="12"/>
  <c r="E367" i="12" s="1"/>
  <c r="G366" i="12"/>
  <c r="C366" i="12"/>
  <c r="L365" i="12"/>
  <c r="H365" i="12"/>
  <c r="D365" i="12"/>
  <c r="F363" i="12"/>
  <c r="B363" i="12"/>
  <c r="E363" i="12" s="1"/>
  <c r="G362" i="12"/>
  <c r="C362" i="12"/>
  <c r="L361" i="12"/>
  <c r="H361" i="12"/>
  <c r="D361" i="12"/>
  <c r="F359" i="12"/>
  <c r="B359" i="12"/>
  <c r="E359" i="12" s="1"/>
  <c r="G358" i="12"/>
  <c r="C358" i="12"/>
  <c r="L357" i="12"/>
  <c r="H357" i="12"/>
  <c r="D357" i="12"/>
  <c r="F355" i="12"/>
  <c r="B355" i="12"/>
  <c r="E355" i="12" s="1"/>
  <c r="G354" i="12"/>
  <c r="C354" i="12"/>
  <c r="L353" i="12"/>
  <c r="H353" i="12"/>
  <c r="D353" i="12"/>
  <c r="F351" i="12"/>
  <c r="B351" i="12"/>
  <c r="E351" i="12" s="1"/>
  <c r="G350" i="12"/>
  <c r="C350" i="12"/>
  <c r="L349" i="12"/>
  <c r="H349" i="12"/>
  <c r="D349" i="12"/>
  <c r="F347" i="12"/>
  <c r="B347" i="12"/>
  <c r="E347" i="12" s="1"/>
  <c r="G346" i="12"/>
  <c r="C346" i="12"/>
  <c r="L345" i="12"/>
  <c r="H345" i="12"/>
  <c r="D345" i="12"/>
  <c r="F343" i="12"/>
  <c r="B343" i="12"/>
  <c r="E343" i="12" s="1"/>
  <c r="G342" i="12"/>
  <c r="C342" i="12"/>
  <c r="L341" i="12"/>
  <c r="H341" i="12"/>
  <c r="D341" i="12"/>
  <c r="F339" i="12"/>
  <c r="B339" i="12"/>
  <c r="E339" i="12" s="1"/>
  <c r="G338" i="12"/>
  <c r="C338" i="12"/>
  <c r="L337" i="12"/>
  <c r="H337" i="12"/>
  <c r="D337" i="12"/>
  <c r="F335" i="12"/>
  <c r="B335" i="12"/>
  <c r="E335" i="12" s="1"/>
  <c r="G334" i="12"/>
  <c r="C334" i="12"/>
  <c r="L333" i="12"/>
  <c r="H333" i="12"/>
  <c r="D333" i="12"/>
  <c r="F331" i="12"/>
  <c r="B331" i="12"/>
  <c r="E331" i="12" s="1"/>
  <c r="G330" i="12"/>
  <c r="C330" i="12"/>
  <c r="L329" i="12"/>
  <c r="H329" i="12"/>
  <c r="D329" i="12"/>
  <c r="F327" i="12"/>
  <c r="B327" i="12"/>
  <c r="E327" i="12" s="1"/>
  <c r="G326" i="12"/>
  <c r="C326" i="12"/>
  <c r="L325" i="12"/>
  <c r="H325" i="12"/>
  <c r="D325" i="12"/>
  <c r="F323" i="12"/>
  <c r="B323" i="12"/>
  <c r="E323" i="12" s="1"/>
  <c r="G322" i="12"/>
  <c r="C322" i="12"/>
  <c r="L321" i="12"/>
  <c r="H321" i="12"/>
  <c r="D321" i="12"/>
  <c r="F319" i="12"/>
  <c r="B319" i="12"/>
  <c r="E319" i="12" s="1"/>
  <c r="G318" i="12"/>
  <c r="C318" i="12"/>
  <c r="L317" i="12"/>
  <c r="H317" i="12"/>
  <c r="D317" i="12"/>
  <c r="F315" i="12"/>
  <c r="B315" i="12"/>
  <c r="E315" i="12" s="1"/>
  <c r="G314" i="12"/>
  <c r="C314" i="12"/>
  <c r="L313" i="12"/>
  <c r="H313" i="12"/>
  <c r="D313" i="12"/>
  <c r="F311" i="12"/>
  <c r="B311" i="12"/>
  <c r="E311" i="12" s="1"/>
  <c r="G310" i="12"/>
  <c r="C310" i="12"/>
  <c r="L309" i="12"/>
  <c r="H309" i="12"/>
  <c r="D309" i="12"/>
  <c r="F307" i="12"/>
  <c r="B307" i="12"/>
  <c r="E307" i="12" s="1"/>
  <c r="G306" i="12"/>
  <c r="C306" i="12"/>
  <c r="L305" i="12"/>
  <c r="H305" i="12"/>
  <c r="D305" i="12"/>
  <c r="F303" i="12"/>
  <c r="B303" i="12"/>
  <c r="E303" i="12" s="1"/>
  <c r="G302" i="12"/>
  <c r="C302" i="12"/>
  <c r="L301" i="12"/>
  <c r="H301" i="12"/>
  <c r="D301" i="12"/>
  <c r="F299" i="12"/>
  <c r="B299" i="12"/>
  <c r="E299" i="12" s="1"/>
  <c r="G298" i="12"/>
  <c r="C298" i="12"/>
  <c r="L297" i="12"/>
  <c r="H297" i="12"/>
  <c r="D297" i="12"/>
  <c r="F295" i="12"/>
  <c r="B295" i="12"/>
  <c r="E295" i="12" s="1"/>
  <c r="G294" i="12"/>
  <c r="C294" i="12"/>
  <c r="L293" i="12"/>
  <c r="H293" i="12"/>
  <c r="D293" i="12"/>
  <c r="F291" i="12"/>
  <c r="B291" i="12"/>
  <c r="E291" i="12" s="1"/>
  <c r="G290" i="12"/>
  <c r="C290" i="12"/>
  <c r="L289" i="12"/>
  <c r="H289" i="12"/>
  <c r="D289" i="12"/>
  <c r="F287" i="12"/>
  <c r="B287" i="12"/>
  <c r="E287" i="12" s="1"/>
  <c r="G286" i="12"/>
  <c r="C286" i="12"/>
  <c r="L285" i="12"/>
  <c r="H285" i="12"/>
  <c r="D285" i="12"/>
  <c r="F283" i="12"/>
  <c r="B283" i="12"/>
  <c r="E283" i="12" s="1"/>
  <c r="G282" i="12"/>
  <c r="C282" i="12"/>
  <c r="L281" i="12"/>
  <c r="H281" i="12"/>
  <c r="D281" i="12"/>
  <c r="F279" i="12"/>
  <c r="B279" i="12"/>
  <c r="E279" i="12" s="1"/>
  <c r="G278" i="12"/>
  <c r="C278" i="12"/>
  <c r="L277" i="12"/>
  <c r="H277" i="12"/>
  <c r="D277" i="12"/>
  <c r="F275" i="12"/>
  <c r="B275" i="12"/>
  <c r="E275" i="12" s="1"/>
  <c r="G274" i="12"/>
  <c r="C274" i="12"/>
  <c r="L273" i="12"/>
  <c r="H273" i="12"/>
  <c r="D273" i="12"/>
  <c r="F271" i="12"/>
  <c r="B271" i="12"/>
  <c r="E271" i="12" s="1"/>
  <c r="G270" i="12"/>
  <c r="C270" i="12"/>
  <c r="L269" i="12"/>
  <c r="H269" i="12"/>
  <c r="D269" i="12"/>
  <c r="F267" i="12"/>
  <c r="B267" i="12"/>
  <c r="E267" i="12" s="1"/>
  <c r="G266" i="12"/>
  <c r="C266" i="12"/>
  <c r="L265" i="12"/>
  <c r="H265" i="12"/>
  <c r="D265" i="12"/>
  <c r="F263" i="12"/>
  <c r="B263" i="12"/>
  <c r="E263" i="12" s="1"/>
  <c r="F366" i="12"/>
  <c r="B366" i="12"/>
  <c r="E366" i="12" s="1"/>
  <c r="G365" i="12"/>
  <c r="C365" i="12"/>
  <c r="L364" i="12"/>
  <c r="H364" i="12"/>
  <c r="D364" i="12"/>
  <c r="F362" i="12"/>
  <c r="B362" i="12"/>
  <c r="E362" i="12" s="1"/>
  <c r="G361" i="12"/>
  <c r="C361" i="12"/>
  <c r="L360" i="12"/>
  <c r="H360" i="12"/>
  <c r="D360" i="12"/>
  <c r="F358" i="12"/>
  <c r="B358" i="12"/>
  <c r="E358" i="12" s="1"/>
  <c r="G357" i="12"/>
  <c r="C357" i="12"/>
  <c r="L356" i="12"/>
  <c r="H356" i="12"/>
  <c r="D356" i="12"/>
  <c r="F354" i="12"/>
  <c r="B354" i="12"/>
  <c r="E354" i="12" s="1"/>
  <c r="G353" i="12"/>
  <c r="C353" i="12"/>
  <c r="L352" i="12"/>
  <c r="H352" i="12"/>
  <c r="D352" i="12"/>
  <c r="F350" i="12"/>
  <c r="B350" i="12"/>
  <c r="E350" i="12" s="1"/>
  <c r="G349" i="12"/>
  <c r="C349" i="12"/>
  <c r="L348" i="12"/>
  <c r="H348" i="12"/>
  <c r="D348" i="12"/>
  <c r="F346" i="12"/>
  <c r="B346" i="12"/>
  <c r="E346" i="12" s="1"/>
  <c r="G345" i="12"/>
  <c r="C345" i="12"/>
  <c r="L344" i="12"/>
  <c r="H344" i="12"/>
  <c r="D344" i="12"/>
  <c r="F342" i="12"/>
  <c r="B342" i="12"/>
  <c r="E342" i="12" s="1"/>
  <c r="G341" i="12"/>
  <c r="C341" i="12"/>
  <c r="L340" i="12"/>
  <c r="H340" i="12"/>
  <c r="D340" i="12"/>
  <c r="F338" i="12"/>
  <c r="B338" i="12"/>
  <c r="E338" i="12" s="1"/>
  <c r="G337" i="12"/>
  <c r="C337" i="12"/>
  <c r="L336" i="12"/>
  <c r="H336" i="12"/>
  <c r="D336" i="12"/>
  <c r="F334" i="12"/>
  <c r="B334" i="12"/>
  <c r="E334" i="12" s="1"/>
  <c r="G333" i="12"/>
  <c r="C333" i="12"/>
  <c r="L332" i="12"/>
  <c r="H332" i="12"/>
  <c r="D332" i="12"/>
  <c r="F330" i="12"/>
  <c r="B330" i="12"/>
  <c r="E330" i="12" s="1"/>
  <c r="G329" i="12"/>
  <c r="C329" i="12"/>
  <c r="L328" i="12"/>
  <c r="H328" i="12"/>
  <c r="D328" i="12"/>
  <c r="F326" i="12"/>
  <c r="B326" i="12"/>
  <c r="E326" i="12" s="1"/>
  <c r="G325" i="12"/>
  <c r="C325" i="12"/>
  <c r="L324" i="12"/>
  <c r="H324" i="12"/>
  <c r="D324" i="12"/>
  <c r="F322" i="12"/>
  <c r="B322" i="12"/>
  <c r="E322" i="12" s="1"/>
  <c r="G321" i="12"/>
  <c r="C321" i="12"/>
  <c r="L320" i="12"/>
  <c r="H320" i="12"/>
  <c r="D320" i="12"/>
  <c r="F318" i="12"/>
  <c r="B318" i="12"/>
  <c r="E318" i="12" s="1"/>
  <c r="G317" i="12"/>
  <c r="C317" i="12"/>
  <c r="L316" i="12"/>
  <c r="H316" i="12"/>
  <c r="D316" i="12"/>
  <c r="F314" i="12"/>
  <c r="B314" i="12"/>
  <c r="E314" i="12" s="1"/>
  <c r="G313" i="12"/>
  <c r="C313" i="12"/>
  <c r="L312" i="12"/>
  <c r="H312" i="12"/>
  <c r="D312" i="12"/>
  <c r="F310" i="12"/>
  <c r="B310" i="12"/>
  <c r="E310" i="12" s="1"/>
  <c r="G309" i="12"/>
  <c r="C309" i="12"/>
  <c r="L308" i="12"/>
  <c r="H308" i="12"/>
  <c r="D308" i="12"/>
  <c r="F306" i="12"/>
  <c r="B306" i="12"/>
  <c r="E306" i="12" s="1"/>
  <c r="G305" i="12"/>
  <c r="C305" i="12"/>
  <c r="L304" i="12"/>
  <c r="H304" i="12"/>
  <c r="D304" i="12"/>
  <c r="F302" i="12"/>
  <c r="B302" i="12"/>
  <c r="E302" i="12" s="1"/>
  <c r="G301" i="12"/>
  <c r="C301" i="12"/>
  <c r="L300" i="12"/>
  <c r="H300" i="12"/>
  <c r="D300" i="12"/>
  <c r="F298" i="12"/>
  <c r="B298" i="12"/>
  <c r="E298" i="12" s="1"/>
  <c r="G297" i="12"/>
  <c r="C297" i="12"/>
  <c r="L296" i="12"/>
  <c r="H296" i="12"/>
  <c r="D296" i="12"/>
  <c r="F294" i="12"/>
  <c r="B294" i="12"/>
  <c r="E294" i="12" s="1"/>
  <c r="G293" i="12"/>
  <c r="C293" i="12"/>
  <c r="L292" i="12"/>
  <c r="H292" i="12"/>
  <c r="D292" i="12"/>
  <c r="F290" i="12"/>
  <c r="B290" i="12"/>
  <c r="E290" i="12" s="1"/>
  <c r="G289" i="12"/>
  <c r="C289" i="12"/>
  <c r="L288" i="12"/>
  <c r="H288" i="12"/>
  <c r="D288" i="12"/>
  <c r="F286" i="12"/>
  <c r="B286" i="12"/>
  <c r="E286" i="12" s="1"/>
  <c r="G285" i="12"/>
  <c r="C285" i="12"/>
  <c r="L284" i="12"/>
  <c r="H284" i="12"/>
  <c r="D284" i="12"/>
  <c r="F282" i="12"/>
  <c r="B282" i="12"/>
  <c r="E282" i="12" s="1"/>
  <c r="G281" i="12"/>
  <c r="C281" i="12"/>
  <c r="L280" i="12"/>
  <c r="H280" i="12"/>
  <c r="D280" i="12"/>
  <c r="F278" i="12"/>
  <c r="B278" i="12"/>
  <c r="E278" i="12" s="1"/>
  <c r="G277" i="12"/>
  <c r="C277" i="12"/>
  <c r="L276" i="12"/>
  <c r="H276" i="12"/>
  <c r="D276" i="12"/>
  <c r="F274" i="12"/>
  <c r="B274" i="12"/>
  <c r="E274" i="12" s="1"/>
  <c r="G273" i="12"/>
  <c r="C273" i="12"/>
  <c r="L272" i="12"/>
  <c r="H272" i="12"/>
  <c r="D272" i="12"/>
  <c r="F270" i="12"/>
  <c r="B270" i="12"/>
  <c r="E270" i="12" s="1"/>
  <c r="G269" i="12"/>
  <c r="C269" i="12"/>
  <c r="L268" i="12"/>
  <c r="H268" i="12"/>
  <c r="D268" i="12"/>
  <c r="F266" i="12"/>
  <c r="B266" i="12"/>
  <c r="E266" i="12" s="1"/>
  <c r="G265" i="12"/>
  <c r="C265" i="12"/>
  <c r="L264" i="12"/>
  <c r="H264" i="12"/>
  <c r="D264" i="12"/>
  <c r="F262" i="12"/>
  <c r="H262" i="12"/>
  <c r="C262" i="12"/>
  <c r="L261" i="12"/>
  <c r="H261" i="12"/>
  <c r="D261" i="12"/>
  <c r="F259" i="12"/>
  <c r="B259" i="12"/>
  <c r="E259" i="12" s="1"/>
  <c r="G258" i="12"/>
  <c r="C258" i="12"/>
  <c r="L257" i="12"/>
  <c r="H257" i="12"/>
  <c r="D257" i="12"/>
  <c r="F255" i="12"/>
  <c r="B255" i="12"/>
  <c r="E255" i="12" s="1"/>
  <c r="G254" i="12"/>
  <c r="C254" i="12"/>
  <c r="L253" i="12"/>
  <c r="H253" i="12"/>
  <c r="D253" i="12"/>
  <c r="F251" i="12"/>
  <c r="B251" i="12"/>
  <c r="E251" i="12" s="1"/>
  <c r="G250" i="12"/>
  <c r="C250" i="12"/>
  <c r="L249" i="12"/>
  <c r="H249" i="12"/>
  <c r="D249" i="12"/>
  <c r="F247" i="12"/>
  <c r="B247" i="12"/>
  <c r="E247" i="12" s="1"/>
  <c r="G246" i="12"/>
  <c r="C246" i="12"/>
  <c r="L245" i="12"/>
  <c r="H245" i="12"/>
  <c r="D245" i="12"/>
  <c r="F243" i="12"/>
  <c r="B243" i="12"/>
  <c r="E243" i="12" s="1"/>
  <c r="G242" i="12"/>
  <c r="C242" i="12"/>
  <c r="L241" i="12"/>
  <c r="H241" i="12"/>
  <c r="D241" i="12"/>
  <c r="F239" i="12"/>
  <c r="B239" i="12"/>
  <c r="E239" i="12" s="1"/>
  <c r="G238" i="12"/>
  <c r="C238" i="12"/>
  <c r="L237" i="12"/>
  <c r="H237" i="12"/>
  <c r="D237" i="12"/>
  <c r="F235" i="12"/>
  <c r="B235" i="12"/>
  <c r="E235" i="12" s="1"/>
  <c r="G234" i="12"/>
  <c r="C234" i="12"/>
  <c r="L233" i="12"/>
  <c r="H233" i="12"/>
  <c r="D233" i="12"/>
  <c r="F231" i="12"/>
  <c r="B231" i="12"/>
  <c r="E231" i="12" s="1"/>
  <c r="G230" i="12"/>
  <c r="C230" i="12"/>
  <c r="L229" i="12"/>
  <c r="H229" i="12"/>
  <c r="D229" i="12"/>
  <c r="F227" i="12"/>
  <c r="B227" i="12"/>
  <c r="E227" i="12" s="1"/>
  <c r="G226" i="12"/>
  <c r="C226" i="12"/>
  <c r="L225" i="12"/>
  <c r="H225" i="12"/>
  <c r="D225" i="12"/>
  <c r="F223" i="12"/>
  <c r="B223" i="12"/>
  <c r="E223" i="12" s="1"/>
  <c r="G222" i="12"/>
  <c r="C222" i="12"/>
  <c r="L221" i="12"/>
  <c r="H221" i="12"/>
  <c r="D221" i="12"/>
  <c r="F219" i="12"/>
  <c r="B219" i="12"/>
  <c r="E219" i="12" s="1"/>
  <c r="G218" i="12"/>
  <c r="C218" i="12"/>
  <c r="L217" i="12"/>
  <c r="H217" i="12"/>
  <c r="D217" i="12"/>
  <c r="F215" i="12"/>
  <c r="B215" i="12"/>
  <c r="E215" i="12" s="1"/>
  <c r="G214" i="12"/>
  <c r="C214" i="12"/>
  <c r="L213" i="12"/>
  <c r="H213" i="12"/>
  <c r="D213" i="12"/>
  <c r="F211" i="12"/>
  <c r="B211" i="12"/>
  <c r="E211" i="12" s="1"/>
  <c r="G210" i="12"/>
  <c r="C210" i="12"/>
  <c r="L209" i="12"/>
  <c r="H209" i="12"/>
  <c r="D209" i="12"/>
  <c r="F207" i="12"/>
  <c r="B207" i="12"/>
  <c r="E207" i="12" s="1"/>
  <c r="G206" i="12"/>
  <c r="C206" i="12"/>
  <c r="L205" i="12"/>
  <c r="H205" i="12"/>
  <c r="D205" i="12"/>
  <c r="F203" i="12"/>
  <c r="B203" i="12"/>
  <c r="E203" i="12" s="1"/>
  <c r="G202" i="12"/>
  <c r="C202" i="12"/>
  <c r="L201" i="12"/>
  <c r="H201" i="12"/>
  <c r="D201" i="12"/>
  <c r="F199" i="12"/>
  <c r="B199" i="12"/>
  <c r="E199" i="12" s="1"/>
  <c r="G198" i="12"/>
  <c r="C198" i="12"/>
  <c r="L197" i="12"/>
  <c r="H197" i="12"/>
  <c r="D197" i="12"/>
  <c r="F195" i="12"/>
  <c r="B195" i="12"/>
  <c r="E195" i="12" s="1"/>
  <c r="G194" i="12"/>
  <c r="C194" i="12"/>
  <c r="L193" i="12"/>
  <c r="H193" i="12"/>
  <c r="D193" i="12"/>
  <c r="F191" i="12"/>
  <c r="B191" i="12"/>
  <c r="E191" i="12" s="1"/>
  <c r="G190" i="12"/>
  <c r="C190" i="12"/>
  <c r="L189" i="12"/>
  <c r="H189" i="12"/>
  <c r="D189" i="12"/>
  <c r="F187" i="12"/>
  <c r="B187" i="12"/>
  <c r="E187" i="12" s="1"/>
  <c r="G186" i="12"/>
  <c r="C186" i="12"/>
  <c r="L185" i="12"/>
  <c r="H185" i="12"/>
  <c r="D185" i="12"/>
  <c r="F183" i="12"/>
  <c r="B183" i="12"/>
  <c r="E183" i="12" s="1"/>
  <c r="G182" i="12"/>
  <c r="C182" i="12"/>
  <c r="L181" i="12"/>
  <c r="H181" i="12"/>
  <c r="D181" i="12"/>
  <c r="F179" i="12"/>
  <c r="B179" i="12"/>
  <c r="E179" i="12" s="1"/>
  <c r="G178" i="12"/>
  <c r="C178" i="12"/>
  <c r="L177" i="12"/>
  <c r="H177" i="12"/>
  <c r="D177" i="12"/>
  <c r="F175" i="12"/>
  <c r="B175" i="12"/>
  <c r="E175" i="12" s="1"/>
  <c r="G174" i="12"/>
  <c r="C174" i="12"/>
  <c r="L173" i="12"/>
  <c r="H173" i="12"/>
  <c r="D173" i="12"/>
  <c r="F171" i="12"/>
  <c r="B171" i="12"/>
  <c r="E171" i="12" s="1"/>
  <c r="G170" i="12"/>
  <c r="C170" i="12"/>
  <c r="L169" i="12"/>
  <c r="H169" i="12"/>
  <c r="D169" i="12"/>
  <c r="F167" i="12"/>
  <c r="B167" i="12"/>
  <c r="E167" i="12" s="1"/>
  <c r="G166" i="12"/>
  <c r="C166" i="12"/>
  <c r="L165" i="12"/>
  <c r="H165" i="12"/>
  <c r="D165" i="12"/>
  <c r="F163" i="12"/>
  <c r="B163" i="12"/>
  <c r="E163" i="12" s="1"/>
  <c r="G162" i="12"/>
  <c r="C162" i="12"/>
  <c r="L161" i="12"/>
  <c r="H161" i="12"/>
  <c r="D161" i="12"/>
  <c r="F159" i="12"/>
  <c r="B159" i="12"/>
  <c r="E159" i="12" s="1"/>
  <c r="G158" i="12"/>
  <c r="C158" i="12"/>
  <c r="L157" i="12"/>
  <c r="H157" i="12"/>
  <c r="D157" i="12"/>
  <c r="F155" i="12"/>
  <c r="B155" i="12"/>
  <c r="E155" i="12" s="1"/>
  <c r="G154" i="12"/>
  <c r="C154" i="12"/>
  <c r="L153" i="12"/>
  <c r="H153" i="12"/>
  <c r="D153" i="12"/>
  <c r="F151" i="12"/>
  <c r="B151" i="12"/>
  <c r="E151" i="12" s="1"/>
  <c r="G150" i="12"/>
  <c r="C150" i="12"/>
  <c r="L149" i="12"/>
  <c r="H149" i="12"/>
  <c r="D149" i="12"/>
  <c r="F147" i="12"/>
  <c r="B147" i="12"/>
  <c r="E147" i="12" s="1"/>
  <c r="G146" i="12"/>
  <c r="C146" i="12"/>
  <c r="L145" i="12"/>
  <c r="H145" i="12"/>
  <c r="D145" i="12"/>
  <c r="F143" i="12"/>
  <c r="B143" i="12"/>
  <c r="E143" i="12" s="1"/>
  <c r="G142" i="12"/>
  <c r="C142" i="12"/>
  <c r="L141" i="12"/>
  <c r="H141" i="12"/>
  <c r="D141" i="12"/>
  <c r="F139" i="12"/>
  <c r="B139" i="12"/>
  <c r="E139" i="12" s="1"/>
  <c r="G138" i="12"/>
  <c r="C138" i="12"/>
  <c r="L137" i="12"/>
  <c r="H137" i="12"/>
  <c r="D137" i="12"/>
  <c r="F135" i="12"/>
  <c r="B135" i="12"/>
  <c r="E135" i="12" s="1"/>
  <c r="G134" i="12"/>
  <c r="C134" i="12"/>
  <c r="L133" i="12"/>
  <c r="H133" i="12"/>
  <c r="D133" i="12"/>
  <c r="F131" i="12"/>
  <c r="B131" i="12"/>
  <c r="E131" i="12" s="1"/>
  <c r="G130" i="12"/>
  <c r="C130" i="12"/>
  <c r="L129" i="12"/>
  <c r="H129" i="12"/>
  <c r="D129" i="12"/>
  <c r="F127" i="12"/>
  <c r="B127" i="12"/>
  <c r="E127" i="12" s="1"/>
  <c r="G126" i="12"/>
  <c r="C126" i="12"/>
  <c r="L125" i="12"/>
  <c r="H125" i="12"/>
  <c r="D125" i="12"/>
  <c r="F123" i="12"/>
  <c r="B123" i="12"/>
  <c r="E123" i="12" s="1"/>
  <c r="G122" i="12"/>
  <c r="C122" i="12"/>
  <c r="L121" i="12"/>
  <c r="H121" i="12"/>
  <c r="D121" i="12"/>
  <c r="F119" i="12"/>
  <c r="B119" i="12"/>
  <c r="E119" i="12" s="1"/>
  <c r="G118" i="12"/>
  <c r="C118" i="12"/>
  <c r="L117" i="12"/>
  <c r="H117" i="12"/>
  <c r="D117" i="12"/>
  <c r="F115" i="12"/>
  <c r="B115" i="12"/>
  <c r="E115" i="12" s="1"/>
  <c r="G114" i="12"/>
  <c r="C114" i="12"/>
  <c r="L113" i="12"/>
  <c r="H113" i="12"/>
  <c r="D113" i="12"/>
  <c r="F111" i="12"/>
  <c r="B111" i="12"/>
  <c r="E111" i="12" s="1"/>
  <c r="G110" i="12"/>
  <c r="C110" i="12"/>
  <c r="L109" i="12"/>
  <c r="H109" i="12"/>
  <c r="D109" i="12"/>
  <c r="F107" i="12"/>
  <c r="B107" i="12"/>
  <c r="E107" i="12" s="1"/>
  <c r="G106" i="12"/>
  <c r="C106" i="12"/>
  <c r="L105" i="12"/>
  <c r="H105" i="12"/>
  <c r="D105" i="12"/>
  <c r="F103" i="12"/>
  <c r="B103" i="12"/>
  <c r="E103" i="12" s="1"/>
  <c r="G102" i="12"/>
  <c r="C102" i="12"/>
  <c r="L101" i="12"/>
  <c r="H101" i="12"/>
  <c r="D101" i="12"/>
  <c r="F99" i="12"/>
  <c r="B99" i="12"/>
  <c r="E99" i="12" s="1"/>
  <c r="G98" i="12"/>
  <c r="C98" i="12"/>
  <c r="L97" i="12"/>
  <c r="H97" i="12"/>
  <c r="D97" i="12"/>
  <c r="F95" i="12"/>
  <c r="B95" i="12"/>
  <c r="E95" i="12" s="1"/>
  <c r="G94" i="12"/>
  <c r="C94" i="12"/>
  <c r="L93" i="12"/>
  <c r="H93" i="12"/>
  <c r="D93" i="12"/>
  <c r="F91" i="12"/>
  <c r="B91" i="12"/>
  <c r="E91" i="12" s="1"/>
  <c r="G90" i="12"/>
  <c r="C90" i="12"/>
  <c r="L89" i="12"/>
  <c r="H89" i="12"/>
  <c r="D89" i="12"/>
  <c r="F87" i="12"/>
  <c r="B87" i="12"/>
  <c r="E87" i="12" s="1"/>
  <c r="G86" i="12"/>
  <c r="C86" i="12"/>
  <c r="L85" i="12"/>
  <c r="H85" i="12"/>
  <c r="D85" i="12"/>
  <c r="I84" i="12"/>
  <c r="F83" i="12"/>
  <c r="B83" i="12"/>
  <c r="E83" i="12" s="1"/>
  <c r="G82" i="12"/>
  <c r="C82" i="12"/>
  <c r="L81" i="12"/>
  <c r="H81" i="12"/>
  <c r="D81" i="12"/>
  <c r="F79" i="12"/>
  <c r="B79" i="12"/>
  <c r="E79" i="12" s="1"/>
  <c r="G78" i="12"/>
  <c r="C78" i="12"/>
  <c r="L77" i="12"/>
  <c r="H77" i="12"/>
  <c r="D77" i="12"/>
  <c r="F75" i="12"/>
  <c r="B75" i="12"/>
  <c r="E75" i="12" s="1"/>
  <c r="G74" i="12"/>
  <c r="C74" i="12"/>
  <c r="L73" i="12"/>
  <c r="H73" i="12"/>
  <c r="D73" i="12"/>
  <c r="J71" i="12"/>
  <c r="F71" i="12"/>
  <c r="B71" i="12"/>
  <c r="E71" i="12" s="1"/>
  <c r="G70" i="12"/>
  <c r="C70" i="12"/>
  <c r="L69" i="12"/>
  <c r="H69" i="12"/>
  <c r="D69" i="12"/>
  <c r="F67" i="12"/>
  <c r="B67" i="12"/>
  <c r="E67" i="12" s="1"/>
  <c r="G66" i="12"/>
  <c r="C66" i="12"/>
  <c r="L65" i="12"/>
  <c r="H65" i="12"/>
  <c r="D65" i="12"/>
  <c r="F63" i="12"/>
  <c r="B63" i="12"/>
  <c r="E63" i="12" s="1"/>
  <c r="G62" i="12"/>
  <c r="C62" i="12"/>
  <c r="L61" i="12"/>
  <c r="H61" i="12"/>
  <c r="D61" i="12"/>
  <c r="F59" i="12"/>
  <c r="B59" i="12"/>
  <c r="E59" i="12" s="1"/>
  <c r="G58" i="12"/>
  <c r="C58" i="12"/>
  <c r="L57" i="12"/>
  <c r="H57" i="12"/>
  <c r="D57" i="12"/>
  <c r="F55" i="12"/>
  <c r="B55" i="12"/>
  <c r="E55" i="12" s="1"/>
  <c r="G54" i="12"/>
  <c r="C54" i="12"/>
  <c r="L53" i="12"/>
  <c r="H53" i="12"/>
  <c r="D53" i="12"/>
  <c r="G262" i="12"/>
  <c r="B262" i="12"/>
  <c r="E262" i="12" s="1"/>
  <c r="G261" i="12"/>
  <c r="C261" i="12"/>
  <c r="L260" i="12"/>
  <c r="H260" i="12"/>
  <c r="D260" i="12"/>
  <c r="F258" i="12"/>
  <c r="B258" i="12"/>
  <c r="E258" i="12" s="1"/>
  <c r="G257" i="12"/>
  <c r="C257" i="12"/>
  <c r="L256" i="12"/>
  <c r="H256" i="12"/>
  <c r="D256" i="12"/>
  <c r="F254" i="12"/>
  <c r="B254" i="12"/>
  <c r="E254" i="12" s="1"/>
  <c r="G253" i="12"/>
  <c r="C253" i="12"/>
  <c r="L252" i="12"/>
  <c r="H252" i="12"/>
  <c r="D252" i="12"/>
  <c r="F250" i="12"/>
  <c r="B250" i="12"/>
  <c r="E250" i="12" s="1"/>
  <c r="G249" i="12"/>
  <c r="C249" i="12"/>
  <c r="L248" i="12"/>
  <c r="H248" i="12"/>
  <c r="D248" i="12"/>
  <c r="F246" i="12"/>
  <c r="B246" i="12"/>
  <c r="E246" i="12" s="1"/>
  <c r="G245" i="12"/>
  <c r="C245" i="12"/>
  <c r="L244" i="12"/>
  <c r="H244" i="12"/>
  <c r="D244" i="12"/>
  <c r="F242" i="12"/>
  <c r="B242" i="12"/>
  <c r="E242" i="12" s="1"/>
  <c r="G241" i="12"/>
  <c r="C241" i="12"/>
  <c r="L240" i="12"/>
  <c r="H240" i="12"/>
  <c r="D240" i="12"/>
  <c r="F238" i="12"/>
  <c r="B238" i="12"/>
  <c r="E238" i="12" s="1"/>
  <c r="G237" i="12"/>
  <c r="C237" i="12"/>
  <c r="L236" i="12"/>
  <c r="H236" i="12"/>
  <c r="D236" i="12"/>
  <c r="F234" i="12"/>
  <c r="B234" i="12"/>
  <c r="E234" i="12" s="1"/>
  <c r="G233" i="12"/>
  <c r="C233" i="12"/>
  <c r="L232" i="12"/>
  <c r="H232" i="12"/>
  <c r="D232" i="12"/>
  <c r="F230" i="12"/>
  <c r="B230" i="12"/>
  <c r="E230" i="12" s="1"/>
  <c r="G229" i="12"/>
  <c r="C229" i="12"/>
  <c r="L228" i="12"/>
  <c r="H228" i="12"/>
  <c r="D228" i="12"/>
  <c r="F226" i="12"/>
  <c r="B226" i="12"/>
  <c r="E226" i="12" s="1"/>
  <c r="G225" i="12"/>
  <c r="C225" i="12"/>
  <c r="L224" i="12"/>
  <c r="H224" i="12"/>
  <c r="D224" i="12"/>
  <c r="F222" i="12"/>
  <c r="B222" i="12"/>
  <c r="E222" i="12" s="1"/>
  <c r="G221" i="12"/>
  <c r="C221" i="12"/>
  <c r="L220" i="12"/>
  <c r="H220" i="12"/>
  <c r="D220" i="12"/>
  <c r="F218" i="12"/>
  <c r="B218" i="12"/>
  <c r="E218" i="12" s="1"/>
  <c r="G217" i="12"/>
  <c r="C217" i="12"/>
  <c r="L216" i="12"/>
  <c r="H216" i="12"/>
  <c r="D216" i="12"/>
  <c r="F214" i="12"/>
  <c r="B214" i="12"/>
  <c r="E214" i="12" s="1"/>
  <c r="G213" i="12"/>
  <c r="C213" i="12"/>
  <c r="L212" i="12"/>
  <c r="H212" i="12"/>
  <c r="D212" i="12"/>
  <c r="F210" i="12"/>
  <c r="B210" i="12"/>
  <c r="E210" i="12" s="1"/>
  <c r="G209" i="12"/>
  <c r="C209" i="12"/>
  <c r="L208" i="12"/>
  <c r="H208" i="12"/>
  <c r="D208" i="12"/>
  <c r="F206" i="12"/>
  <c r="B206" i="12"/>
  <c r="E206" i="12" s="1"/>
  <c r="G205" i="12"/>
  <c r="C205" i="12"/>
  <c r="L204" i="12"/>
  <c r="H204" i="12"/>
  <c r="D204" i="12"/>
  <c r="F202" i="12"/>
  <c r="B202" i="12"/>
  <c r="E202" i="12" s="1"/>
  <c r="G201" i="12"/>
  <c r="C201" i="12"/>
  <c r="L200" i="12"/>
  <c r="H200" i="12"/>
  <c r="D200" i="12"/>
  <c r="F198" i="12"/>
  <c r="B198" i="12"/>
  <c r="E198" i="12" s="1"/>
  <c r="G197" i="12"/>
  <c r="C197" i="12"/>
  <c r="L196" i="12"/>
  <c r="H196" i="12"/>
  <c r="D196" i="12"/>
  <c r="F194" i="12"/>
  <c r="B194" i="12"/>
  <c r="E194" i="12" s="1"/>
  <c r="G193" i="12"/>
  <c r="C193" i="12"/>
  <c r="L192" i="12"/>
  <c r="H192" i="12"/>
  <c r="D192" i="12"/>
  <c r="F190" i="12"/>
  <c r="B190" i="12"/>
  <c r="E190" i="12" s="1"/>
  <c r="G189" i="12"/>
  <c r="C189" i="12"/>
  <c r="L188" i="12"/>
  <c r="H188" i="12"/>
  <c r="D188" i="12"/>
  <c r="F186" i="12"/>
  <c r="B186" i="12"/>
  <c r="E186" i="12" s="1"/>
  <c r="G185" i="12"/>
  <c r="C185" i="12"/>
  <c r="L184" i="12"/>
  <c r="H184" i="12"/>
  <c r="D184" i="12"/>
  <c r="F182" i="12"/>
  <c r="B182" i="12"/>
  <c r="E182" i="12" s="1"/>
  <c r="G181" i="12"/>
  <c r="C181" i="12"/>
  <c r="L180" i="12"/>
  <c r="H180" i="12"/>
  <c r="D180" i="12"/>
  <c r="F178" i="12"/>
  <c r="B178" i="12"/>
  <c r="E178" i="12" s="1"/>
  <c r="G177" i="12"/>
  <c r="C177" i="12"/>
  <c r="L176" i="12"/>
  <c r="H176" i="12"/>
  <c r="D176" i="12"/>
  <c r="F174" i="12"/>
  <c r="B174" i="12"/>
  <c r="E174" i="12" s="1"/>
  <c r="G173" i="12"/>
  <c r="C173" i="12"/>
  <c r="L172" i="12"/>
  <c r="H172" i="12"/>
  <c r="D172" i="12"/>
  <c r="F170" i="12"/>
  <c r="B170" i="12"/>
  <c r="E170" i="12" s="1"/>
  <c r="G169" i="12"/>
  <c r="C169" i="12"/>
  <c r="L168" i="12"/>
  <c r="H168" i="12"/>
  <c r="D168" i="12"/>
  <c r="F166" i="12"/>
  <c r="B166" i="12"/>
  <c r="E166" i="12" s="1"/>
  <c r="G165" i="12"/>
  <c r="C165" i="12"/>
  <c r="L164" i="12"/>
  <c r="H164" i="12"/>
  <c r="D164" i="12"/>
  <c r="F162" i="12"/>
  <c r="B162" i="12"/>
  <c r="E162" i="12" s="1"/>
  <c r="G161" i="12"/>
  <c r="C161" i="12"/>
  <c r="L160" i="12"/>
  <c r="H160" i="12"/>
  <c r="D160" i="12"/>
  <c r="F158" i="12"/>
  <c r="B158" i="12"/>
  <c r="E158" i="12" s="1"/>
  <c r="G157" i="12"/>
  <c r="C157" i="12"/>
  <c r="L156" i="12"/>
  <c r="H156" i="12"/>
  <c r="D156" i="12"/>
  <c r="F154" i="12"/>
  <c r="B154" i="12"/>
  <c r="E154" i="12" s="1"/>
  <c r="G153" i="12"/>
  <c r="C153" i="12"/>
  <c r="L152" i="12"/>
  <c r="H152" i="12"/>
  <c r="D152" i="12"/>
  <c r="F150" i="12"/>
  <c r="B150" i="12"/>
  <c r="E150" i="12" s="1"/>
  <c r="G149" i="12"/>
  <c r="C149" i="12"/>
  <c r="L148" i="12"/>
  <c r="H148" i="12"/>
  <c r="D148" i="12"/>
  <c r="F146" i="12"/>
  <c r="B146" i="12"/>
  <c r="E146" i="12" s="1"/>
  <c r="G145" i="12"/>
  <c r="C145" i="12"/>
  <c r="L144" i="12"/>
  <c r="H144" i="12"/>
  <c r="D144" i="12"/>
  <c r="F142" i="12"/>
  <c r="B142" i="12"/>
  <c r="E142" i="12" s="1"/>
  <c r="G141" i="12"/>
  <c r="C141" i="12"/>
  <c r="L140" i="12"/>
  <c r="H140" i="12"/>
  <c r="D140" i="12"/>
  <c r="F138" i="12"/>
  <c r="B138" i="12"/>
  <c r="E138" i="12" s="1"/>
  <c r="G137" i="12"/>
  <c r="C137" i="12"/>
  <c r="L136" i="12"/>
  <c r="H136" i="12"/>
  <c r="D136" i="12"/>
  <c r="F134" i="12"/>
  <c r="B134" i="12"/>
  <c r="E134" i="12" s="1"/>
  <c r="G133" i="12"/>
  <c r="C133" i="12"/>
  <c r="L132" i="12"/>
  <c r="H132" i="12"/>
  <c r="D132" i="12"/>
  <c r="F130" i="12"/>
  <c r="B130" i="12"/>
  <c r="E130" i="12" s="1"/>
  <c r="G129" i="12"/>
  <c r="C129" i="12"/>
  <c r="L128" i="12"/>
  <c r="H128" i="12"/>
  <c r="D128" i="12"/>
  <c r="F126" i="12"/>
  <c r="B126" i="12"/>
  <c r="E126" i="12" s="1"/>
  <c r="G125" i="12"/>
  <c r="C125" i="12"/>
  <c r="L124" i="12"/>
  <c r="H124" i="12"/>
  <c r="D124" i="12"/>
  <c r="F122" i="12"/>
  <c r="B122" i="12"/>
  <c r="E122" i="12" s="1"/>
  <c r="G121" i="12"/>
  <c r="C121" i="12"/>
  <c r="L120" i="12"/>
  <c r="H120" i="12"/>
  <c r="D120" i="12"/>
  <c r="F118" i="12"/>
  <c r="B118" i="12"/>
  <c r="E118" i="12" s="1"/>
  <c r="G117" i="12"/>
  <c r="C117" i="12"/>
  <c r="L116" i="12"/>
  <c r="H116" i="12"/>
  <c r="D116" i="12"/>
  <c r="F114" i="12"/>
  <c r="B114" i="12"/>
  <c r="E114" i="12" s="1"/>
  <c r="G113" i="12"/>
  <c r="C113" i="12"/>
  <c r="L112" i="12"/>
  <c r="H112" i="12"/>
  <c r="D112" i="12"/>
  <c r="F110" i="12"/>
  <c r="B110" i="12"/>
  <c r="E110" i="12" s="1"/>
  <c r="G109" i="12"/>
  <c r="C109" i="12"/>
  <c r="L108" i="12"/>
  <c r="H108" i="12"/>
  <c r="D108" i="12"/>
  <c r="F106" i="12"/>
  <c r="B106" i="12"/>
  <c r="E106" i="12" s="1"/>
  <c r="G105" i="12"/>
  <c r="C105" i="12"/>
  <c r="L104" i="12"/>
  <c r="H104" i="12"/>
  <c r="D104" i="12"/>
  <c r="F102" i="12"/>
  <c r="B102" i="12"/>
  <c r="E102" i="12" s="1"/>
  <c r="G101" i="12"/>
  <c r="C101" i="12"/>
  <c r="L100" i="12"/>
  <c r="H100" i="12"/>
  <c r="D100" i="12"/>
  <c r="F98" i="12"/>
  <c r="B98" i="12"/>
  <c r="E98" i="12" s="1"/>
  <c r="G97" i="12"/>
  <c r="C97" i="12"/>
  <c r="L96" i="12"/>
  <c r="H96" i="12"/>
  <c r="D96" i="12"/>
  <c r="F94" i="12"/>
  <c r="B94" i="12"/>
  <c r="E94" i="12" s="1"/>
  <c r="G93" i="12"/>
  <c r="C93" i="12"/>
  <c r="L92" i="12"/>
  <c r="H92" i="12"/>
  <c r="D92" i="12"/>
  <c r="F90" i="12"/>
  <c r="B90" i="12"/>
  <c r="E90" i="12" s="1"/>
  <c r="G89" i="12"/>
  <c r="C89" i="12"/>
  <c r="L88" i="12"/>
  <c r="H88" i="12"/>
  <c r="D88" i="12"/>
  <c r="F86" i="12"/>
  <c r="B86" i="12"/>
  <c r="E86" i="12" s="1"/>
  <c r="G85" i="12"/>
  <c r="C85" i="12"/>
  <c r="L84" i="12"/>
  <c r="H84" i="12"/>
  <c r="D84" i="12"/>
  <c r="F82" i="12"/>
  <c r="B82" i="12"/>
  <c r="E82" i="12" s="1"/>
  <c r="G81" i="12"/>
  <c r="C81" i="12"/>
  <c r="L80" i="12"/>
  <c r="H80" i="12"/>
  <c r="D80" i="12"/>
  <c r="F78" i="12"/>
  <c r="B78" i="12"/>
  <c r="E78" i="12" s="1"/>
  <c r="G77" i="12"/>
  <c r="C77" i="12"/>
  <c r="L76" i="12"/>
  <c r="H76" i="12"/>
  <c r="D76" i="12"/>
  <c r="F74" i="12"/>
  <c r="B74" i="12"/>
  <c r="E74" i="12" s="1"/>
  <c r="G73" i="12"/>
  <c r="C73" i="12"/>
  <c r="L72" i="12"/>
  <c r="H72" i="12"/>
  <c r="D72" i="12"/>
  <c r="F70" i="12"/>
  <c r="B70" i="12"/>
  <c r="E70" i="12" s="1"/>
  <c r="G69" i="12"/>
  <c r="C69" i="12"/>
  <c r="L68" i="12"/>
  <c r="H68" i="12"/>
  <c r="D68" i="12"/>
  <c r="F66" i="12"/>
  <c r="B66" i="12"/>
  <c r="E66" i="12" s="1"/>
  <c r="G65" i="12"/>
  <c r="C65" i="12"/>
  <c r="L64" i="12"/>
  <c r="H64" i="12"/>
  <c r="D64" i="12"/>
  <c r="F62" i="12"/>
  <c r="B62" i="12"/>
  <c r="E62" i="12" s="1"/>
  <c r="G61" i="12"/>
  <c r="C61" i="12"/>
  <c r="L60" i="12"/>
  <c r="H60" i="12"/>
  <c r="D60" i="12"/>
  <c r="F58" i="12"/>
  <c r="B58" i="12"/>
  <c r="E58" i="12" s="1"/>
  <c r="K57" i="12"/>
  <c r="G57" i="12"/>
  <c r="C57" i="12"/>
  <c r="L56" i="12"/>
  <c r="H56" i="12"/>
  <c r="D56" i="12"/>
  <c r="F54" i="12"/>
  <c r="B54" i="12"/>
  <c r="E54" i="12" s="1"/>
  <c r="F261" i="12"/>
  <c r="B261" i="12"/>
  <c r="E261" i="12" s="1"/>
  <c r="G260" i="12"/>
  <c r="C260" i="12"/>
  <c r="L259" i="12"/>
  <c r="H259" i="12"/>
  <c r="D259" i="12"/>
  <c r="F257" i="12"/>
  <c r="B257" i="12"/>
  <c r="E257" i="12" s="1"/>
  <c r="G256" i="12"/>
  <c r="C256" i="12"/>
  <c r="L255" i="12"/>
  <c r="H255" i="12"/>
  <c r="D255" i="12"/>
  <c r="F253" i="12"/>
  <c r="B253" i="12"/>
  <c r="E253" i="12" s="1"/>
  <c r="G252" i="12"/>
  <c r="C252" i="12"/>
  <c r="L251" i="12"/>
  <c r="H251" i="12"/>
  <c r="D251" i="12"/>
  <c r="F249" i="12"/>
  <c r="B249" i="12"/>
  <c r="E249" i="12" s="1"/>
  <c r="G248" i="12"/>
  <c r="C248" i="12"/>
  <c r="L247" i="12"/>
  <c r="H247" i="12"/>
  <c r="D247" i="12"/>
  <c r="F245" i="12"/>
  <c r="B245" i="12"/>
  <c r="E245" i="12" s="1"/>
  <c r="G244" i="12"/>
  <c r="C244" i="12"/>
  <c r="L243" i="12"/>
  <c r="H243" i="12"/>
  <c r="D243" i="12"/>
  <c r="F241" i="12"/>
  <c r="B241" i="12"/>
  <c r="E241" i="12" s="1"/>
  <c r="G240" i="12"/>
  <c r="C240" i="12"/>
  <c r="L239" i="12"/>
  <c r="H239" i="12"/>
  <c r="D239" i="12"/>
  <c r="F237" i="12"/>
  <c r="B237" i="12"/>
  <c r="E237" i="12" s="1"/>
  <c r="G236" i="12"/>
  <c r="C236" i="12"/>
  <c r="L235" i="12"/>
  <c r="H235" i="12"/>
  <c r="D235" i="12"/>
  <c r="F233" i="12"/>
  <c r="B233" i="12"/>
  <c r="E233" i="12" s="1"/>
  <c r="G232" i="12"/>
  <c r="C232" i="12"/>
  <c r="L231" i="12"/>
  <c r="H231" i="12"/>
  <c r="D231" i="12"/>
  <c r="F229" i="12"/>
  <c r="B229" i="12"/>
  <c r="E229" i="12" s="1"/>
  <c r="G228" i="12"/>
  <c r="C228" i="12"/>
  <c r="L227" i="12"/>
  <c r="H227" i="12"/>
  <c r="D227" i="12"/>
  <c r="F225" i="12"/>
  <c r="B225" i="12"/>
  <c r="E225" i="12" s="1"/>
  <c r="G224" i="12"/>
  <c r="C224" i="12"/>
  <c r="L223" i="12"/>
  <c r="H223" i="12"/>
  <c r="D223" i="12"/>
  <c r="F221" i="12"/>
  <c r="B221" i="12"/>
  <c r="E221" i="12" s="1"/>
  <c r="G220" i="12"/>
  <c r="C220" i="12"/>
  <c r="L219" i="12"/>
  <c r="H219" i="12"/>
  <c r="D219" i="12"/>
  <c r="F217" i="12"/>
  <c r="B217" i="12"/>
  <c r="E217" i="12" s="1"/>
  <c r="G216" i="12"/>
  <c r="C216" i="12"/>
  <c r="L215" i="12"/>
  <c r="H215" i="12"/>
  <c r="D215" i="12"/>
  <c r="F213" i="12"/>
  <c r="B213" i="12"/>
  <c r="E213" i="12" s="1"/>
  <c r="G212" i="12"/>
  <c r="C212" i="12"/>
  <c r="L211" i="12"/>
  <c r="H211" i="12"/>
  <c r="D211" i="12"/>
  <c r="F209" i="12"/>
  <c r="B209" i="12"/>
  <c r="E209" i="12" s="1"/>
  <c r="G208" i="12"/>
  <c r="C208" i="12"/>
  <c r="L207" i="12"/>
  <c r="H207" i="12"/>
  <c r="D207" i="12"/>
  <c r="F205" i="12"/>
  <c r="B205" i="12"/>
  <c r="E205" i="12" s="1"/>
  <c r="G204" i="12"/>
  <c r="C204" i="12"/>
  <c r="L203" i="12"/>
  <c r="H203" i="12"/>
  <c r="D203" i="12"/>
  <c r="F201" i="12"/>
  <c r="B201" i="12"/>
  <c r="E201" i="12" s="1"/>
  <c r="G200" i="12"/>
  <c r="C200" i="12"/>
  <c r="L199" i="12"/>
  <c r="H199" i="12"/>
  <c r="D199" i="12"/>
  <c r="F197" i="12"/>
  <c r="B197" i="12"/>
  <c r="E197" i="12" s="1"/>
  <c r="G196" i="12"/>
  <c r="C196" i="12"/>
  <c r="L195" i="12"/>
  <c r="H195" i="12"/>
  <c r="D195" i="12"/>
  <c r="F193" i="12"/>
  <c r="B193" i="12"/>
  <c r="E193" i="12" s="1"/>
  <c r="G192" i="12"/>
  <c r="C192" i="12"/>
  <c r="L191" i="12"/>
  <c r="H191" i="12"/>
  <c r="D191" i="12"/>
  <c r="F189" i="12"/>
  <c r="B189" i="12"/>
  <c r="E189" i="12" s="1"/>
  <c r="G188" i="12"/>
  <c r="C188" i="12"/>
  <c r="L187" i="12"/>
  <c r="H187" i="12"/>
  <c r="D187" i="12"/>
  <c r="F185" i="12"/>
  <c r="B185" i="12"/>
  <c r="E185" i="12" s="1"/>
  <c r="G184" i="12"/>
  <c r="C184" i="12"/>
  <c r="L183" i="12"/>
  <c r="H183" i="12"/>
  <c r="D183" i="12"/>
  <c r="F181" i="12"/>
  <c r="B181" i="12"/>
  <c r="E181" i="12" s="1"/>
  <c r="G180" i="12"/>
  <c r="C180" i="12"/>
  <c r="L179" i="12"/>
  <c r="H179" i="12"/>
  <c r="D179" i="12"/>
  <c r="F177" i="12"/>
  <c r="B177" i="12"/>
  <c r="E177" i="12" s="1"/>
  <c r="G176" i="12"/>
  <c r="C176" i="12"/>
  <c r="L175" i="12"/>
  <c r="H175" i="12"/>
  <c r="D175" i="12"/>
  <c r="F173" i="12"/>
  <c r="B173" i="12"/>
  <c r="E173" i="12" s="1"/>
  <c r="G172" i="12"/>
  <c r="C172" i="12"/>
  <c r="L171" i="12"/>
  <c r="H171" i="12"/>
  <c r="D171" i="12"/>
  <c r="F169" i="12"/>
  <c r="B169" i="12"/>
  <c r="E169" i="12" s="1"/>
  <c r="G168" i="12"/>
  <c r="C168" i="12"/>
  <c r="L167" i="12"/>
  <c r="H167" i="12"/>
  <c r="D167" i="12"/>
  <c r="F165" i="12"/>
  <c r="B165" i="12"/>
  <c r="E165" i="12" s="1"/>
  <c r="G164" i="12"/>
  <c r="C164" i="12"/>
  <c r="L163" i="12"/>
  <c r="H163" i="12"/>
  <c r="D163" i="12"/>
  <c r="F161" i="12"/>
  <c r="B161" i="12"/>
  <c r="E161" i="12" s="1"/>
  <c r="G160" i="12"/>
  <c r="C160" i="12"/>
  <c r="L159" i="12"/>
  <c r="H159" i="12"/>
  <c r="D159" i="12"/>
  <c r="F157" i="12"/>
  <c r="B157" i="12"/>
  <c r="E157" i="12" s="1"/>
  <c r="G156" i="12"/>
  <c r="C156" i="12"/>
  <c r="L155" i="12"/>
  <c r="H155" i="12"/>
  <c r="D155" i="12"/>
  <c r="F153" i="12"/>
  <c r="B153" i="12"/>
  <c r="E153" i="12" s="1"/>
  <c r="G152" i="12"/>
  <c r="C152" i="12"/>
  <c r="L151" i="12"/>
  <c r="H151" i="12"/>
  <c r="D151" i="12"/>
  <c r="F149" i="12"/>
  <c r="B149" i="12"/>
  <c r="E149" i="12" s="1"/>
  <c r="G148" i="12"/>
  <c r="C148" i="12"/>
  <c r="L147" i="12"/>
  <c r="H147" i="12"/>
  <c r="D147" i="12"/>
  <c r="F145" i="12"/>
  <c r="B145" i="12"/>
  <c r="E145" i="12" s="1"/>
  <c r="G144" i="12"/>
  <c r="C144" i="12"/>
  <c r="L143" i="12"/>
  <c r="H143" i="12"/>
  <c r="D143" i="12"/>
  <c r="F141" i="12"/>
  <c r="B141" i="12"/>
  <c r="E141" i="12" s="1"/>
  <c r="G140" i="12"/>
  <c r="C140" i="12"/>
  <c r="L139" i="12"/>
  <c r="H139" i="12"/>
  <c r="D139" i="12"/>
  <c r="F137" i="12"/>
  <c r="B137" i="12"/>
  <c r="E137" i="12" s="1"/>
  <c r="G136" i="12"/>
  <c r="C136" i="12"/>
  <c r="L135" i="12"/>
  <c r="H135" i="12"/>
  <c r="D135" i="12"/>
  <c r="F133" i="12"/>
  <c r="B133" i="12"/>
  <c r="E133" i="12" s="1"/>
  <c r="G132" i="12"/>
  <c r="C132" i="12"/>
  <c r="L131" i="12"/>
  <c r="H131" i="12"/>
  <c r="D131" i="12"/>
  <c r="F129" i="12"/>
  <c r="B129" i="12"/>
  <c r="E129" i="12" s="1"/>
  <c r="G128" i="12"/>
  <c r="C128" i="12"/>
  <c r="L127" i="12"/>
  <c r="H127" i="12"/>
  <c r="D127" i="12"/>
  <c r="F125" i="12"/>
  <c r="B125" i="12"/>
  <c r="E125" i="12" s="1"/>
  <c r="G124" i="12"/>
  <c r="C124" i="12"/>
  <c r="L123" i="12"/>
  <c r="H123" i="12"/>
  <c r="D123" i="12"/>
  <c r="F121" i="12"/>
  <c r="B121" i="12"/>
  <c r="E121" i="12" s="1"/>
  <c r="G120" i="12"/>
  <c r="C120" i="12"/>
  <c r="L119" i="12"/>
  <c r="H119" i="12"/>
  <c r="D119" i="12"/>
  <c r="F117" i="12"/>
  <c r="B117" i="12"/>
  <c r="E117" i="12" s="1"/>
  <c r="G116" i="12"/>
  <c r="C116" i="12"/>
  <c r="L115" i="12"/>
  <c r="H115" i="12"/>
  <c r="D115" i="12"/>
  <c r="F113" i="12"/>
  <c r="B113" i="12"/>
  <c r="E113" i="12" s="1"/>
  <c r="G112" i="12"/>
  <c r="C112" i="12"/>
  <c r="L111" i="12"/>
  <c r="H111" i="12"/>
  <c r="D111" i="12"/>
  <c r="F109" i="12"/>
  <c r="B109" i="12"/>
  <c r="E109" i="12" s="1"/>
  <c r="G108" i="12"/>
  <c r="C108" i="12"/>
  <c r="L107" i="12"/>
  <c r="H107" i="12"/>
  <c r="D107" i="12"/>
  <c r="F105" i="12"/>
  <c r="B105" i="12"/>
  <c r="E105" i="12" s="1"/>
  <c r="G104" i="12"/>
  <c r="C104" i="12"/>
  <c r="L103" i="12"/>
  <c r="H103" i="12"/>
  <c r="D103" i="12"/>
  <c r="F101" i="12"/>
  <c r="B101" i="12"/>
  <c r="E101" i="12" s="1"/>
  <c r="G100" i="12"/>
  <c r="C100" i="12"/>
  <c r="L99" i="12"/>
  <c r="H99" i="12"/>
  <c r="D99" i="12"/>
  <c r="F97" i="12"/>
  <c r="B97" i="12"/>
  <c r="E97" i="12" s="1"/>
  <c r="G96" i="12"/>
  <c r="C96" i="12"/>
  <c r="L95" i="12"/>
  <c r="H95" i="12"/>
  <c r="D95" i="12"/>
  <c r="F93" i="12"/>
  <c r="B93" i="12"/>
  <c r="E93" i="12" s="1"/>
  <c r="G92" i="12"/>
  <c r="C92" i="12"/>
  <c r="L91" i="12"/>
  <c r="H91" i="12"/>
  <c r="D91" i="12"/>
  <c r="F89" i="12"/>
  <c r="B89" i="12"/>
  <c r="E89" i="12" s="1"/>
  <c r="G88" i="12"/>
  <c r="C88" i="12"/>
  <c r="L87" i="12"/>
  <c r="H87" i="12"/>
  <c r="D87" i="12"/>
  <c r="F85" i="12"/>
  <c r="B85" i="12"/>
  <c r="E85" i="12" s="1"/>
  <c r="K84" i="12"/>
  <c r="G84" i="12"/>
  <c r="C84" i="12"/>
  <c r="L83" i="12"/>
  <c r="H83" i="12"/>
  <c r="D83" i="12"/>
  <c r="F81" i="12"/>
  <c r="B81" i="12"/>
  <c r="E81" i="12" s="1"/>
  <c r="G80" i="12"/>
  <c r="C80" i="12"/>
  <c r="L79" i="12"/>
  <c r="H79" i="12"/>
  <c r="D79" i="12"/>
  <c r="F77" i="12"/>
  <c r="B77" i="12"/>
  <c r="E77" i="12" s="1"/>
  <c r="G76" i="12"/>
  <c r="C76" i="12"/>
  <c r="L75" i="12"/>
  <c r="H75" i="12"/>
  <c r="D75" i="12"/>
  <c r="F73" i="12"/>
  <c r="B73" i="12"/>
  <c r="E73" i="12" s="1"/>
  <c r="K72" i="12"/>
  <c r="G72" i="12"/>
  <c r="C72" i="12"/>
  <c r="L71" i="12"/>
  <c r="H71" i="12"/>
  <c r="D71" i="12"/>
  <c r="F69" i="12"/>
  <c r="B69" i="12"/>
  <c r="E69" i="12" s="1"/>
  <c r="G68" i="12"/>
  <c r="C68" i="12"/>
  <c r="L67" i="12"/>
  <c r="H67" i="12"/>
  <c r="D67" i="12"/>
  <c r="F65" i="12"/>
  <c r="B65" i="12"/>
  <c r="E65" i="12" s="1"/>
  <c r="G64" i="12"/>
  <c r="C64" i="12"/>
  <c r="L63" i="12"/>
  <c r="H63" i="12"/>
  <c r="D63" i="12"/>
  <c r="F61" i="12"/>
  <c r="B61" i="12"/>
  <c r="E61" i="12" s="1"/>
  <c r="K60" i="12"/>
  <c r="G60" i="12"/>
  <c r="C60" i="12"/>
  <c r="L59" i="12"/>
  <c r="H59" i="12"/>
  <c r="D59" i="12"/>
  <c r="J57" i="12"/>
  <c r="F57" i="12"/>
  <c r="B57" i="12"/>
  <c r="E57" i="12" s="1"/>
  <c r="G56" i="12"/>
  <c r="C56" i="12"/>
  <c r="L55" i="12"/>
  <c r="H55" i="12"/>
  <c r="D55" i="12"/>
  <c r="J53" i="12"/>
  <c r="F53" i="12"/>
  <c r="B53" i="12"/>
  <c r="E53" i="12" s="1"/>
  <c r="D262" i="12"/>
  <c r="F260" i="12"/>
  <c r="B260" i="12"/>
  <c r="E260" i="12" s="1"/>
  <c r="G259" i="12"/>
  <c r="C259" i="12"/>
  <c r="L258" i="12"/>
  <c r="H258" i="12"/>
  <c r="D258" i="12"/>
  <c r="F256" i="12"/>
  <c r="B256" i="12"/>
  <c r="E256" i="12" s="1"/>
  <c r="G255" i="12"/>
  <c r="C255" i="12"/>
  <c r="L254" i="12"/>
  <c r="H254" i="12"/>
  <c r="D254" i="12"/>
  <c r="F252" i="12"/>
  <c r="B252" i="12"/>
  <c r="E252" i="12" s="1"/>
  <c r="G251" i="12"/>
  <c r="C251" i="12"/>
  <c r="L250" i="12"/>
  <c r="H250" i="12"/>
  <c r="D250" i="12"/>
  <c r="F248" i="12"/>
  <c r="B248" i="12"/>
  <c r="E248" i="12" s="1"/>
  <c r="G247" i="12"/>
  <c r="C247" i="12"/>
  <c r="L246" i="12"/>
  <c r="H246" i="12"/>
  <c r="D246" i="12"/>
  <c r="F244" i="12"/>
  <c r="B244" i="12"/>
  <c r="E244" i="12" s="1"/>
  <c r="G243" i="12"/>
  <c r="C243" i="12"/>
  <c r="L242" i="12"/>
  <c r="H242" i="12"/>
  <c r="D242" i="12"/>
  <c r="F240" i="12"/>
  <c r="B240" i="12"/>
  <c r="E240" i="12" s="1"/>
  <c r="G239" i="12"/>
  <c r="C239" i="12"/>
  <c r="L238" i="12"/>
  <c r="H238" i="12"/>
  <c r="D238" i="12"/>
  <c r="F236" i="12"/>
  <c r="B236" i="12"/>
  <c r="E236" i="12" s="1"/>
  <c r="G235" i="12"/>
  <c r="C235" i="12"/>
  <c r="L234" i="12"/>
  <c r="H234" i="12"/>
  <c r="D234" i="12"/>
  <c r="F232" i="12"/>
  <c r="B232" i="12"/>
  <c r="E232" i="12" s="1"/>
  <c r="G231" i="12"/>
  <c r="C231" i="12"/>
  <c r="L230" i="12"/>
  <c r="H230" i="12"/>
  <c r="D230" i="12"/>
  <c r="F228" i="12"/>
  <c r="B228" i="12"/>
  <c r="E228" i="12" s="1"/>
  <c r="G227" i="12"/>
  <c r="C227" i="12"/>
  <c r="L226" i="12"/>
  <c r="H226" i="12"/>
  <c r="D226" i="12"/>
  <c r="F224" i="12"/>
  <c r="B224" i="12"/>
  <c r="E224" i="12" s="1"/>
  <c r="G223" i="12"/>
  <c r="C223" i="12"/>
  <c r="L222" i="12"/>
  <c r="H222" i="12"/>
  <c r="D222" i="12"/>
  <c r="F220" i="12"/>
  <c r="B220" i="12"/>
  <c r="E220" i="12" s="1"/>
  <c r="G219" i="12"/>
  <c r="C219" i="12"/>
  <c r="L218" i="12"/>
  <c r="H218" i="12"/>
  <c r="D218" i="12"/>
  <c r="F216" i="12"/>
  <c r="B216" i="12"/>
  <c r="E216" i="12" s="1"/>
  <c r="G215" i="12"/>
  <c r="C215" i="12"/>
  <c r="L214" i="12"/>
  <c r="H214" i="12"/>
  <c r="D214" i="12"/>
  <c r="F212" i="12"/>
  <c r="B212" i="12"/>
  <c r="E212" i="12" s="1"/>
  <c r="G211" i="12"/>
  <c r="C211" i="12"/>
  <c r="L210" i="12"/>
  <c r="H210" i="12"/>
  <c r="D210" i="12"/>
  <c r="F208" i="12"/>
  <c r="B208" i="12"/>
  <c r="E208" i="12" s="1"/>
  <c r="G207" i="12"/>
  <c r="C207" i="12"/>
  <c r="L206" i="12"/>
  <c r="H206" i="12"/>
  <c r="D206" i="12"/>
  <c r="F204" i="12"/>
  <c r="B204" i="12"/>
  <c r="E204" i="12" s="1"/>
  <c r="G203" i="12"/>
  <c r="C203" i="12"/>
  <c r="L202" i="12"/>
  <c r="H202" i="12"/>
  <c r="D202" i="12"/>
  <c r="F200" i="12"/>
  <c r="B200" i="12"/>
  <c r="E200" i="12" s="1"/>
  <c r="G199" i="12"/>
  <c r="C199" i="12"/>
  <c r="L198" i="12"/>
  <c r="H198" i="12"/>
  <c r="D198" i="12"/>
  <c r="F196" i="12"/>
  <c r="B196" i="12"/>
  <c r="E196" i="12" s="1"/>
  <c r="G195" i="12"/>
  <c r="C195" i="12"/>
  <c r="L194" i="12"/>
  <c r="H194" i="12"/>
  <c r="D194" i="12"/>
  <c r="F192" i="12"/>
  <c r="B192" i="12"/>
  <c r="E192" i="12" s="1"/>
  <c r="G191" i="12"/>
  <c r="C191" i="12"/>
  <c r="L190" i="12"/>
  <c r="H190" i="12"/>
  <c r="D190" i="12"/>
  <c r="F188" i="12"/>
  <c r="B188" i="12"/>
  <c r="E188" i="12" s="1"/>
  <c r="G187" i="12"/>
  <c r="C187" i="12"/>
  <c r="L186" i="12"/>
  <c r="H186" i="12"/>
  <c r="D186" i="12"/>
  <c r="F184" i="12"/>
  <c r="B184" i="12"/>
  <c r="E184" i="12" s="1"/>
  <c r="G183" i="12"/>
  <c r="C183" i="12"/>
  <c r="L182" i="12"/>
  <c r="H182" i="12"/>
  <c r="D182" i="12"/>
  <c r="F180" i="12"/>
  <c r="B180" i="12"/>
  <c r="E180" i="12" s="1"/>
  <c r="G179" i="12"/>
  <c r="C179" i="12"/>
  <c r="L178" i="12"/>
  <c r="H178" i="12"/>
  <c r="D178" i="12"/>
  <c r="F176" i="12"/>
  <c r="B176" i="12"/>
  <c r="E176" i="12" s="1"/>
  <c r="G175" i="12"/>
  <c r="C175" i="12"/>
  <c r="L174" i="12"/>
  <c r="H174" i="12"/>
  <c r="D174" i="12"/>
  <c r="F172" i="12"/>
  <c r="B172" i="12"/>
  <c r="E172" i="12" s="1"/>
  <c r="G171" i="12"/>
  <c r="C171" i="12"/>
  <c r="L170" i="12"/>
  <c r="H170" i="12"/>
  <c r="D170" i="12"/>
  <c r="F168" i="12"/>
  <c r="B168" i="12"/>
  <c r="E168" i="12" s="1"/>
  <c r="G167" i="12"/>
  <c r="C167" i="12"/>
  <c r="L166" i="12"/>
  <c r="H166" i="12"/>
  <c r="D166" i="12"/>
  <c r="F164" i="12"/>
  <c r="B164" i="12"/>
  <c r="E164" i="12" s="1"/>
  <c r="G163" i="12"/>
  <c r="C163" i="12"/>
  <c r="L162" i="12"/>
  <c r="H162" i="12"/>
  <c r="D162" i="12"/>
  <c r="F160" i="12"/>
  <c r="B160" i="12"/>
  <c r="E160" i="12" s="1"/>
  <c r="G159" i="12"/>
  <c r="C159" i="12"/>
  <c r="L158" i="12"/>
  <c r="H158" i="12"/>
  <c r="D158" i="12"/>
  <c r="F156" i="12"/>
  <c r="B156" i="12"/>
  <c r="E156" i="12" s="1"/>
  <c r="G155" i="12"/>
  <c r="C155" i="12"/>
  <c r="L154" i="12"/>
  <c r="H154" i="12"/>
  <c r="D154" i="12"/>
  <c r="F152" i="12"/>
  <c r="B152" i="12"/>
  <c r="E152" i="12" s="1"/>
  <c r="G151" i="12"/>
  <c r="C151" i="12"/>
  <c r="L150" i="12"/>
  <c r="H150" i="12"/>
  <c r="D150" i="12"/>
  <c r="F148" i="12"/>
  <c r="B148" i="12"/>
  <c r="E148" i="12" s="1"/>
  <c r="G147" i="12"/>
  <c r="C147" i="12"/>
  <c r="L146" i="12"/>
  <c r="H146" i="12"/>
  <c r="D146" i="12"/>
  <c r="F144" i="12"/>
  <c r="B144" i="12"/>
  <c r="E144" i="12" s="1"/>
  <c r="G143" i="12"/>
  <c r="C143" i="12"/>
  <c r="L142" i="12"/>
  <c r="H142" i="12"/>
  <c r="D142" i="12"/>
  <c r="F140" i="12"/>
  <c r="B140" i="12"/>
  <c r="E140" i="12" s="1"/>
  <c r="G139" i="12"/>
  <c r="C139" i="12"/>
  <c r="L138" i="12"/>
  <c r="H138" i="12"/>
  <c r="D138" i="12"/>
  <c r="F136" i="12"/>
  <c r="B136" i="12"/>
  <c r="E136" i="12" s="1"/>
  <c r="G135" i="12"/>
  <c r="C135" i="12"/>
  <c r="L134" i="12"/>
  <c r="H134" i="12"/>
  <c r="D134" i="12"/>
  <c r="F132" i="12"/>
  <c r="B132" i="12"/>
  <c r="E132" i="12" s="1"/>
  <c r="G131" i="12"/>
  <c r="C131" i="12"/>
  <c r="L130" i="12"/>
  <c r="H130" i="12"/>
  <c r="D130" i="12"/>
  <c r="F128" i="12"/>
  <c r="B128" i="12"/>
  <c r="E128" i="12" s="1"/>
  <c r="G127" i="12"/>
  <c r="C127" i="12"/>
  <c r="L126" i="12"/>
  <c r="H126" i="12"/>
  <c r="D126" i="12"/>
  <c r="F124" i="12"/>
  <c r="B124" i="12"/>
  <c r="E124" i="12" s="1"/>
  <c r="G123" i="12"/>
  <c r="C123" i="12"/>
  <c r="L122" i="12"/>
  <c r="H122" i="12"/>
  <c r="D122" i="12"/>
  <c r="F120" i="12"/>
  <c r="B120" i="12"/>
  <c r="E120" i="12" s="1"/>
  <c r="G119" i="12"/>
  <c r="C119" i="12"/>
  <c r="L118" i="12"/>
  <c r="H118" i="12"/>
  <c r="D118" i="12"/>
  <c r="F116" i="12"/>
  <c r="B116" i="12"/>
  <c r="E116" i="12" s="1"/>
  <c r="G115" i="12"/>
  <c r="C115" i="12"/>
  <c r="L114" i="12"/>
  <c r="H114" i="12"/>
  <c r="D114" i="12"/>
  <c r="F112" i="12"/>
  <c r="B112" i="12"/>
  <c r="E112" i="12" s="1"/>
  <c r="G111" i="12"/>
  <c r="C111" i="12"/>
  <c r="L110" i="12"/>
  <c r="H110" i="12"/>
  <c r="D110" i="12"/>
  <c r="F108" i="12"/>
  <c r="B108" i="12"/>
  <c r="E108" i="12" s="1"/>
  <c r="G107" i="12"/>
  <c r="C107" i="12"/>
  <c r="L106" i="12"/>
  <c r="H106" i="12"/>
  <c r="D106" i="12"/>
  <c r="F104" i="12"/>
  <c r="B104" i="12"/>
  <c r="E104" i="12" s="1"/>
  <c r="G103" i="12"/>
  <c r="C103" i="12"/>
  <c r="L102" i="12"/>
  <c r="H102" i="12"/>
  <c r="D102" i="12"/>
  <c r="F100" i="12"/>
  <c r="B100" i="12"/>
  <c r="E100" i="12" s="1"/>
  <c r="G99" i="12"/>
  <c r="C99" i="12"/>
  <c r="L98" i="12"/>
  <c r="H98" i="12"/>
  <c r="D98" i="12"/>
  <c r="F96" i="12"/>
  <c r="B96" i="12"/>
  <c r="E96" i="12" s="1"/>
  <c r="G95" i="12"/>
  <c r="C95" i="12"/>
  <c r="L94" i="12"/>
  <c r="H94" i="12"/>
  <c r="D94" i="12"/>
  <c r="F92" i="12"/>
  <c r="B92" i="12"/>
  <c r="E92" i="12" s="1"/>
  <c r="G91" i="12"/>
  <c r="C91" i="12"/>
  <c r="L90" i="12"/>
  <c r="H90" i="12"/>
  <c r="D90" i="12"/>
  <c r="F88" i="12"/>
  <c r="B88" i="12"/>
  <c r="E88" i="12" s="1"/>
  <c r="G87" i="12"/>
  <c r="C87" i="12"/>
  <c r="L86" i="12"/>
  <c r="H86" i="12"/>
  <c r="D86" i="12"/>
  <c r="J84" i="12"/>
  <c r="F84" i="12"/>
  <c r="B84" i="12"/>
  <c r="E84" i="12" s="1"/>
  <c r="G83" i="12"/>
  <c r="C83" i="12"/>
  <c r="L82" i="12"/>
  <c r="H82" i="12"/>
  <c r="D82" i="12"/>
  <c r="F80" i="12"/>
  <c r="B80" i="12"/>
  <c r="E80" i="12" s="1"/>
  <c r="G79" i="12"/>
  <c r="C79" i="12"/>
  <c r="L78" i="12"/>
  <c r="H78" i="12"/>
  <c r="D78" i="12"/>
  <c r="F76" i="12"/>
  <c r="B76" i="12"/>
  <c r="E76" i="12" s="1"/>
  <c r="G75" i="12"/>
  <c r="C75" i="12"/>
  <c r="L74" i="12"/>
  <c r="H74" i="12"/>
  <c r="D74" i="12"/>
  <c r="J72" i="12"/>
  <c r="F72" i="12"/>
  <c r="B72" i="12"/>
  <c r="E72" i="12" s="1"/>
  <c r="K71" i="12"/>
  <c r="G71" i="12"/>
  <c r="C71" i="12"/>
  <c r="L70" i="12"/>
  <c r="H70" i="12"/>
  <c r="D70" i="12"/>
  <c r="F68" i="12"/>
  <c r="B68" i="12"/>
  <c r="E68" i="12" s="1"/>
  <c r="G67" i="12"/>
  <c r="C67" i="12"/>
  <c r="L66" i="12"/>
  <c r="H66" i="12"/>
  <c r="D66" i="12"/>
  <c r="F64" i="12"/>
  <c r="B64" i="12"/>
  <c r="E64" i="12" s="1"/>
  <c r="G63" i="12"/>
  <c r="C63" i="12"/>
  <c r="L62" i="12"/>
  <c r="H62" i="12"/>
  <c r="D62" i="12"/>
  <c r="J60" i="12"/>
  <c r="F60" i="12"/>
  <c r="B60" i="12"/>
  <c r="E60" i="12" s="1"/>
  <c r="G59" i="12"/>
  <c r="C59" i="12"/>
  <c r="L58" i="12"/>
  <c r="H58" i="12"/>
  <c r="D58" i="12"/>
  <c r="F56" i="12"/>
  <c r="B56" i="12"/>
  <c r="E56" i="12" s="1"/>
  <c r="G55" i="12"/>
  <c r="C55" i="12"/>
  <c r="L54" i="12"/>
  <c r="H54" i="12"/>
  <c r="D54" i="12"/>
  <c r="K53" i="12"/>
  <c r="C53" i="12"/>
  <c r="H52" i="12"/>
  <c r="D52" i="12"/>
  <c r="F50" i="12"/>
  <c r="B50" i="12"/>
  <c r="E50" i="12" s="1"/>
  <c r="G49" i="12"/>
  <c r="C49" i="12"/>
  <c r="L48" i="12"/>
  <c r="H48" i="12"/>
  <c r="D48" i="12"/>
  <c r="F46" i="12"/>
  <c r="B46" i="12"/>
  <c r="E46" i="12" s="1"/>
  <c r="K45" i="12"/>
  <c r="G45" i="12"/>
  <c r="C45" i="12"/>
  <c r="L44" i="12"/>
  <c r="H44" i="12"/>
  <c r="D44" i="12"/>
  <c r="F42" i="12"/>
  <c r="B42" i="12"/>
  <c r="E42" i="12" s="1"/>
  <c r="G41" i="12"/>
  <c r="C41" i="12"/>
  <c r="L40" i="12"/>
  <c r="H40" i="12"/>
  <c r="D40" i="12"/>
  <c r="F38" i="12"/>
  <c r="B38" i="12"/>
  <c r="E38" i="12" s="1"/>
  <c r="G37" i="12"/>
  <c r="C37" i="12"/>
  <c r="L36" i="12"/>
  <c r="H36" i="12"/>
  <c r="D36" i="12"/>
  <c r="F34" i="12"/>
  <c r="B34" i="12"/>
  <c r="E34" i="12" s="1"/>
  <c r="G33" i="12"/>
  <c r="C33" i="12"/>
  <c r="L32" i="12"/>
  <c r="H32" i="12"/>
  <c r="D32" i="12"/>
  <c r="F30" i="12"/>
  <c r="B30" i="12"/>
  <c r="E30" i="12" s="1"/>
  <c r="G29" i="12"/>
  <c r="C29" i="12"/>
  <c r="L28" i="12"/>
  <c r="H28" i="12"/>
  <c r="D28" i="12"/>
  <c r="F26" i="12"/>
  <c r="B26" i="12"/>
  <c r="E26" i="12" s="1"/>
  <c r="G25" i="12"/>
  <c r="C25" i="12"/>
  <c r="L24" i="12"/>
  <c r="H24" i="12"/>
  <c r="D24" i="12"/>
  <c r="F22" i="12"/>
  <c r="B22" i="12"/>
  <c r="E22" i="12" s="1"/>
  <c r="G21" i="12"/>
  <c r="C21" i="12"/>
  <c r="L20" i="12"/>
  <c r="H20" i="12"/>
  <c r="D20" i="12"/>
  <c r="F18" i="12"/>
  <c r="B18" i="12"/>
  <c r="E18" i="12" s="1"/>
  <c r="G17" i="12"/>
  <c r="C17" i="12"/>
  <c r="L16" i="12"/>
  <c r="H16" i="12"/>
  <c r="D16" i="12"/>
  <c r="F14" i="12"/>
  <c r="B14" i="12"/>
  <c r="E14" i="12" s="1"/>
  <c r="G13" i="12"/>
  <c r="C13" i="12"/>
  <c r="L12" i="12"/>
  <c r="H12" i="12"/>
  <c r="D12" i="12"/>
  <c r="F10" i="12"/>
  <c r="B10" i="12"/>
  <c r="E10" i="12" s="1"/>
  <c r="G9" i="12"/>
  <c r="C9" i="12"/>
  <c r="L8" i="12"/>
  <c r="H8" i="12"/>
  <c r="D8" i="12"/>
  <c r="F6" i="12"/>
  <c r="B6" i="12"/>
  <c r="E6" i="12" s="1"/>
  <c r="G5" i="12"/>
  <c r="C5" i="12"/>
  <c r="L4" i="12"/>
  <c r="H4" i="12"/>
  <c r="D4" i="12"/>
  <c r="I53" i="12"/>
  <c r="G52" i="12"/>
  <c r="C52" i="12"/>
  <c r="L51" i="12"/>
  <c r="H51" i="12"/>
  <c r="D51" i="12"/>
  <c r="F49" i="12"/>
  <c r="B49" i="12"/>
  <c r="E49" i="12" s="1"/>
  <c r="G48" i="12"/>
  <c r="C48" i="12"/>
  <c r="L47" i="12"/>
  <c r="H47" i="12"/>
  <c r="D47" i="12"/>
  <c r="J45" i="12"/>
  <c r="F45" i="12"/>
  <c r="B45" i="12"/>
  <c r="E45" i="12" s="1"/>
  <c r="G44" i="12"/>
  <c r="C44" i="12"/>
  <c r="L43" i="12"/>
  <c r="H43" i="12"/>
  <c r="D43" i="12"/>
  <c r="F41" i="12"/>
  <c r="B41" i="12"/>
  <c r="E41" i="12" s="1"/>
  <c r="G40" i="12"/>
  <c r="C40" i="12"/>
  <c r="L39" i="12"/>
  <c r="H39" i="12"/>
  <c r="D39" i="12"/>
  <c r="F37" i="12"/>
  <c r="B37" i="12"/>
  <c r="E37" i="12" s="1"/>
  <c r="G36" i="12"/>
  <c r="C36" i="12"/>
  <c r="L35" i="12"/>
  <c r="H35" i="12"/>
  <c r="D35" i="12"/>
  <c r="F33" i="12"/>
  <c r="B33" i="12"/>
  <c r="E33" i="12" s="1"/>
  <c r="G32" i="12"/>
  <c r="C32" i="12"/>
  <c r="L31" i="12"/>
  <c r="H31" i="12"/>
  <c r="D31" i="12"/>
  <c r="F29" i="12"/>
  <c r="B29" i="12"/>
  <c r="E29" i="12" s="1"/>
  <c r="G28" i="12"/>
  <c r="C28" i="12"/>
  <c r="L27" i="12"/>
  <c r="H27" i="12"/>
  <c r="D27" i="12"/>
  <c r="F25" i="12"/>
  <c r="B25" i="12"/>
  <c r="E25" i="12" s="1"/>
  <c r="G24" i="12"/>
  <c r="C24" i="12"/>
  <c r="L23" i="12"/>
  <c r="H23" i="12"/>
  <c r="D23" i="12"/>
  <c r="F21" i="12"/>
  <c r="B21" i="12"/>
  <c r="E21" i="12" s="1"/>
  <c r="G20" i="12"/>
  <c r="C20" i="12"/>
  <c r="L19" i="12"/>
  <c r="H19" i="12"/>
  <c r="D19" i="12"/>
  <c r="F17" i="12"/>
  <c r="B17" i="12"/>
  <c r="E17" i="12" s="1"/>
  <c r="G16" i="12"/>
  <c r="C16" i="12"/>
  <c r="L15" i="12"/>
  <c r="H15" i="12"/>
  <c r="D15" i="12"/>
  <c r="F13" i="12"/>
  <c r="B13" i="12"/>
  <c r="E13" i="12" s="1"/>
  <c r="G12" i="12"/>
  <c r="C12" i="12"/>
  <c r="L11" i="12"/>
  <c r="H11" i="12"/>
  <c r="D11" i="12"/>
  <c r="F9" i="12"/>
  <c r="B9" i="12"/>
  <c r="E9" i="12" s="1"/>
  <c r="G8" i="12"/>
  <c r="C8" i="12"/>
  <c r="L7" i="12"/>
  <c r="H7" i="12"/>
  <c r="D7" i="12"/>
  <c r="F5" i="12"/>
  <c r="B5" i="12"/>
  <c r="E5" i="12" s="1"/>
  <c r="G4" i="12"/>
  <c r="C4" i="12"/>
  <c r="G53" i="12"/>
  <c r="L52" i="12"/>
  <c r="F52" i="12"/>
  <c r="B52" i="12"/>
  <c r="E52" i="12" s="1"/>
  <c r="G51" i="12"/>
  <c r="C51" i="12"/>
  <c r="L50" i="12"/>
  <c r="H50" i="12"/>
  <c r="D50" i="12"/>
  <c r="F48" i="12"/>
  <c r="B48" i="12"/>
  <c r="E48" i="12" s="1"/>
  <c r="G47" i="12"/>
  <c r="C47" i="12"/>
  <c r="L46" i="12"/>
  <c r="H46" i="12"/>
  <c r="D46" i="12"/>
  <c r="F44" i="12"/>
  <c r="B44" i="12"/>
  <c r="E44" i="12" s="1"/>
  <c r="K43" i="12"/>
  <c r="G43" i="12"/>
  <c r="C43" i="12"/>
  <c r="L42" i="12"/>
  <c r="H42" i="12"/>
  <c r="D42" i="12"/>
  <c r="F40" i="12"/>
  <c r="B40" i="12"/>
  <c r="E40" i="12" s="1"/>
  <c r="G39" i="12"/>
  <c r="C39" i="12"/>
  <c r="L38" i="12"/>
  <c r="H38" i="12"/>
  <c r="D38" i="12"/>
  <c r="F36" i="12"/>
  <c r="B36" i="12"/>
  <c r="E36" i="12" s="1"/>
  <c r="G35" i="12"/>
  <c r="C35" i="12"/>
  <c r="L34" i="12"/>
  <c r="H34" i="12"/>
  <c r="D34" i="12"/>
  <c r="F32" i="12"/>
  <c r="B32" i="12"/>
  <c r="E32" i="12" s="1"/>
  <c r="G31" i="12"/>
  <c r="C31" i="12"/>
  <c r="L30" i="12"/>
  <c r="H30" i="12"/>
  <c r="D30" i="12"/>
  <c r="F28" i="12"/>
  <c r="B28" i="12"/>
  <c r="E28" i="12" s="1"/>
  <c r="G27" i="12"/>
  <c r="C27" i="12"/>
  <c r="L26" i="12"/>
  <c r="H26" i="12"/>
  <c r="D26" i="12"/>
  <c r="F24" i="12"/>
  <c r="B24" i="12"/>
  <c r="E24" i="12" s="1"/>
  <c r="G23" i="12"/>
  <c r="C23" i="12"/>
  <c r="L22" i="12"/>
  <c r="H22" i="12"/>
  <c r="D22" i="12"/>
  <c r="F20" i="12"/>
  <c r="B20" i="12"/>
  <c r="E20" i="12" s="1"/>
  <c r="G19" i="12"/>
  <c r="C19" i="12"/>
  <c r="L18" i="12"/>
  <c r="H18" i="12"/>
  <c r="D18" i="12"/>
  <c r="F16" i="12"/>
  <c r="B16" i="12"/>
  <c r="E16" i="12" s="1"/>
  <c r="G15" i="12"/>
  <c r="C15" i="12"/>
  <c r="L14" i="12"/>
  <c r="H14" i="12"/>
  <c r="D14" i="12"/>
  <c r="F12" i="12"/>
  <c r="B12" i="12"/>
  <c r="E12" i="12" s="1"/>
  <c r="G11" i="12"/>
  <c r="C11" i="12"/>
  <c r="L10" i="12"/>
  <c r="H10" i="12"/>
  <c r="D10" i="12"/>
  <c r="F8" i="12"/>
  <c r="B8" i="12"/>
  <c r="E8" i="12" s="1"/>
  <c r="G7" i="12"/>
  <c r="C7" i="12"/>
  <c r="L6" i="12"/>
  <c r="H6" i="12"/>
  <c r="D6" i="12"/>
  <c r="F4" i="12"/>
  <c r="B4" i="12"/>
  <c r="E4" i="12" s="1"/>
  <c r="F51" i="12"/>
  <c r="B51" i="12"/>
  <c r="E51" i="12" s="1"/>
  <c r="G50" i="12"/>
  <c r="C50" i="12"/>
  <c r="L49" i="12"/>
  <c r="H49" i="12"/>
  <c r="D49" i="12"/>
  <c r="F47" i="12"/>
  <c r="B47" i="12"/>
  <c r="E47" i="12" s="1"/>
  <c r="G46" i="12"/>
  <c r="C46" i="12"/>
  <c r="L45" i="12"/>
  <c r="H45" i="12"/>
  <c r="D45" i="12"/>
  <c r="J43" i="12"/>
  <c r="F43" i="12"/>
  <c r="B43" i="12"/>
  <c r="E43" i="12" s="1"/>
  <c r="G42" i="12"/>
  <c r="C42" i="12"/>
  <c r="L41" i="12"/>
  <c r="H41" i="12"/>
  <c r="D41" i="12"/>
  <c r="F39" i="12"/>
  <c r="B39" i="12"/>
  <c r="E39" i="12" s="1"/>
  <c r="G38" i="12"/>
  <c r="C38" i="12"/>
  <c r="L37" i="12"/>
  <c r="H37" i="12"/>
  <c r="D37" i="12"/>
  <c r="F35" i="12"/>
  <c r="B35" i="12"/>
  <c r="E35" i="12" s="1"/>
  <c r="G34" i="12"/>
  <c r="C34" i="12"/>
  <c r="L33" i="12"/>
  <c r="H33" i="12"/>
  <c r="D33" i="12"/>
  <c r="F31" i="12"/>
  <c r="B31" i="12"/>
  <c r="E31" i="12" s="1"/>
  <c r="G30" i="12"/>
  <c r="C30" i="12"/>
  <c r="L29" i="12"/>
  <c r="H29" i="12"/>
  <c r="D29" i="12"/>
  <c r="F27" i="12"/>
  <c r="B27" i="12"/>
  <c r="E27" i="12" s="1"/>
  <c r="G26" i="12"/>
  <c r="C26" i="12"/>
  <c r="L25" i="12"/>
  <c r="H25" i="12"/>
  <c r="D25" i="12"/>
  <c r="F23" i="12"/>
  <c r="B23" i="12"/>
  <c r="E23" i="12" s="1"/>
  <c r="G22" i="12"/>
  <c r="C22" i="12"/>
  <c r="L21" i="12"/>
  <c r="H21" i="12"/>
  <c r="D21" i="12"/>
  <c r="F19" i="12"/>
  <c r="B19" i="12"/>
  <c r="E19" i="12" s="1"/>
  <c r="G18" i="12"/>
  <c r="C18" i="12"/>
  <c r="L17" i="12"/>
  <c r="H17" i="12"/>
  <c r="D17" i="12"/>
  <c r="F15" i="12"/>
  <c r="B15" i="12"/>
  <c r="E15" i="12" s="1"/>
  <c r="G14" i="12"/>
  <c r="C14" i="12"/>
  <c r="L13" i="12"/>
  <c r="H13" i="12"/>
  <c r="D13" i="12"/>
  <c r="F11" i="12"/>
  <c r="B11" i="12"/>
  <c r="E11" i="12" s="1"/>
  <c r="G10" i="12"/>
  <c r="C10" i="12"/>
  <c r="L9" i="12"/>
  <c r="H9" i="12"/>
  <c r="D9" i="12"/>
  <c r="F7" i="12"/>
  <c r="B7" i="12"/>
  <c r="E7" i="12" s="1"/>
  <c r="G6" i="12"/>
  <c r="C6" i="12"/>
  <c r="L5" i="12"/>
  <c r="H5" i="12"/>
  <c r="D5" i="12"/>
  <c r="AF147" i="4"/>
  <c r="U82" i="4"/>
  <c r="M84" i="12" s="1"/>
  <c r="U51" i="4"/>
  <c r="M53" i="12" s="1"/>
  <c r="S15" i="13"/>
  <c r="C59" i="8"/>
  <c r="AF299" i="4" s="1"/>
  <c r="G9" i="2"/>
  <c r="AF466" i="4"/>
  <c r="G466" i="4"/>
  <c r="H466" i="4"/>
  <c r="AF450" i="4"/>
  <c r="G450" i="4"/>
  <c r="H450" i="4"/>
  <c r="AK426" i="4"/>
  <c r="AL426" i="4" s="1"/>
  <c r="AK387" i="4"/>
  <c r="AL387" i="4" s="1"/>
  <c r="AF465" i="4"/>
  <c r="H465" i="4"/>
  <c r="G465" i="4"/>
  <c r="AF449" i="4"/>
  <c r="H449" i="4"/>
  <c r="G449" i="4"/>
  <c r="AF433" i="4"/>
  <c r="AF429" i="4"/>
  <c r="AF417" i="4"/>
  <c r="AF413" i="4"/>
  <c r="AF488" i="4"/>
  <c r="AK346" i="4"/>
  <c r="AL346" i="4" s="1"/>
  <c r="AF341" i="4"/>
  <c r="AF397" i="4"/>
  <c r="AF395" i="4"/>
  <c r="AK383" i="4"/>
  <c r="AL383" i="4" s="1"/>
  <c r="AK132" i="4"/>
  <c r="AL132" i="4" s="1"/>
  <c r="AK124" i="4"/>
  <c r="AL124" i="4" s="1"/>
  <c r="AK116" i="4"/>
  <c r="AL116" i="4" s="1"/>
  <c r="AK108" i="4"/>
  <c r="AL108" i="4" s="1"/>
  <c r="U16" i="13"/>
  <c r="E21" i="2" s="1"/>
  <c r="S14" i="13"/>
  <c r="C58" i="8"/>
  <c r="AF388" i="4" s="1"/>
  <c r="AF471" i="4"/>
  <c r="H471" i="4"/>
  <c r="G471" i="4"/>
  <c r="AF463" i="4"/>
  <c r="H463" i="4"/>
  <c r="G463" i="4"/>
  <c r="F463" i="4" s="1"/>
  <c r="AF455" i="4"/>
  <c r="H455" i="4"/>
  <c r="G455" i="4"/>
  <c r="AF447" i="4"/>
  <c r="H447" i="4"/>
  <c r="G447" i="4"/>
  <c r="AF432" i="4"/>
  <c r="AF424" i="4"/>
  <c r="AF416" i="4"/>
  <c r="AF484" i="4"/>
  <c r="AF472" i="4"/>
  <c r="H472" i="4"/>
  <c r="G472" i="4"/>
  <c r="AF464" i="4"/>
  <c r="H464" i="4"/>
  <c r="G464" i="4"/>
  <c r="AF456" i="4"/>
  <c r="H456" i="4"/>
  <c r="G456" i="4"/>
  <c r="F456" i="4" s="1"/>
  <c r="AA456" i="4" s="1"/>
  <c r="AF448" i="4"/>
  <c r="H448" i="4"/>
  <c r="G448" i="4"/>
  <c r="AF440" i="4"/>
  <c r="AK411" i="4"/>
  <c r="AL411" i="4" s="1"/>
  <c r="AK399" i="4"/>
  <c r="AL399" i="4" s="1"/>
  <c r="AF389" i="4"/>
  <c r="AK373" i="4"/>
  <c r="AL373" i="4" s="1"/>
  <c r="AK357" i="4"/>
  <c r="AL357" i="4" s="1"/>
  <c r="AK341" i="4"/>
  <c r="AL341" i="4" s="1"/>
  <c r="AK337" i="4"/>
  <c r="AL337" i="4" s="1"/>
  <c r="AK333" i="4"/>
  <c r="AL333" i="4" s="1"/>
  <c r="AK329" i="4"/>
  <c r="AL329" i="4" s="1"/>
  <c r="AK321" i="4"/>
  <c r="AL321" i="4" s="1"/>
  <c r="AK317" i="4"/>
  <c r="AL317" i="4" s="1"/>
  <c r="AK313" i="4"/>
  <c r="AL313" i="4" s="1"/>
  <c r="AK309" i="4"/>
  <c r="AL309" i="4" s="1"/>
  <c r="AK305" i="4"/>
  <c r="AL305" i="4" s="1"/>
  <c r="AK301" i="4"/>
  <c r="AL301" i="4" s="1"/>
  <c r="AK398" i="4"/>
  <c r="AL398" i="4" s="1"/>
  <c r="AF391" i="4"/>
  <c r="AK366" i="4"/>
  <c r="AL366" i="4" s="1"/>
  <c r="AK401" i="4"/>
  <c r="AL401" i="4" s="1"/>
  <c r="AF374" i="4"/>
  <c r="H342" i="4"/>
  <c r="K344" i="12" s="1"/>
  <c r="G342" i="4"/>
  <c r="AF342" i="4"/>
  <c r="AK299" i="4"/>
  <c r="AL299" i="4" s="1"/>
  <c r="AF181" i="4"/>
  <c r="AF169" i="4"/>
  <c r="AF163" i="4"/>
  <c r="AK154" i="4"/>
  <c r="AL154" i="4" s="1"/>
  <c r="AK140" i="4"/>
  <c r="AL140" i="4" s="1"/>
  <c r="AK192" i="4"/>
  <c r="AL192" i="4" s="1"/>
  <c r="AF167" i="4"/>
  <c r="AK160" i="4"/>
  <c r="AL160" i="4" s="1"/>
  <c r="AK158" i="4"/>
  <c r="AL158" i="4" s="1"/>
  <c r="AK152" i="4"/>
  <c r="AL152" i="4" s="1"/>
  <c r="I9" i="5"/>
  <c r="D7" i="2" s="1"/>
  <c r="I11" i="5"/>
  <c r="D9" i="2" s="1"/>
  <c r="AK2" i="4"/>
  <c r="AL2" i="4" s="1"/>
  <c r="C12" i="5"/>
  <c r="C10" i="2" s="1"/>
  <c r="AF53" i="4"/>
  <c r="AK343" i="4"/>
  <c r="AL343" i="4" s="1"/>
  <c r="AF37" i="4"/>
  <c r="AF33" i="4"/>
  <c r="AF31" i="4"/>
  <c r="AF25" i="4"/>
  <c r="AF21" i="4"/>
  <c r="AF19" i="4"/>
  <c r="AF11" i="4"/>
  <c r="AF9" i="4"/>
  <c r="AF300" i="4"/>
  <c r="AF320" i="4"/>
  <c r="AK375" i="4"/>
  <c r="AL375" i="4" s="1"/>
  <c r="AK308" i="4"/>
  <c r="AL308" i="4" s="1"/>
  <c r="AK312" i="4"/>
  <c r="AL312" i="4" s="1"/>
  <c r="AK316" i="4"/>
  <c r="AL316" i="4" s="1"/>
  <c r="AK332" i="4"/>
  <c r="AL332" i="4" s="1"/>
  <c r="AK347" i="4"/>
  <c r="AL347" i="4" s="1"/>
  <c r="AF313" i="4"/>
  <c r="AK475" i="4"/>
  <c r="AL475" i="4" s="1"/>
  <c r="AK302" i="4"/>
  <c r="AL302" i="4" s="1"/>
  <c r="AK326" i="4"/>
  <c r="AL326" i="4" s="1"/>
  <c r="AK338" i="4"/>
  <c r="AL338" i="4" s="1"/>
  <c r="AK371" i="4"/>
  <c r="AL371" i="4" s="1"/>
  <c r="AF327" i="4"/>
  <c r="AF339" i="4"/>
  <c r="AK215" i="4"/>
  <c r="AL215" i="4" s="1"/>
  <c r="AF204" i="4"/>
  <c r="AF198" i="4"/>
  <c r="AF194" i="4"/>
  <c r="AF176" i="4"/>
  <c r="AK165" i="4"/>
  <c r="AL165" i="4" s="1"/>
  <c r="AF144" i="4"/>
  <c r="AK6" i="4"/>
  <c r="AL6" i="4" s="1"/>
  <c r="I10" i="5"/>
  <c r="D8" i="2" s="1"/>
  <c r="AF210" i="4"/>
  <c r="AF180" i="4"/>
  <c r="H180" i="4"/>
  <c r="K182" i="12" s="1"/>
  <c r="G180" i="4"/>
  <c r="AF156" i="4"/>
  <c r="W4" i="13"/>
  <c r="W58" i="13"/>
  <c r="W62" i="13"/>
  <c r="W66" i="13"/>
  <c r="W70" i="13"/>
  <c r="W74" i="13"/>
  <c r="W78" i="13"/>
  <c r="W82" i="13"/>
  <c r="W86" i="13"/>
  <c r="W90" i="13"/>
  <c r="W94" i="13"/>
  <c r="W98" i="13"/>
  <c r="W102" i="13"/>
  <c r="W106" i="13"/>
  <c r="W110" i="13"/>
  <c r="W114" i="13"/>
  <c r="W118" i="13"/>
  <c r="W122" i="13"/>
  <c r="W126" i="13"/>
  <c r="W134" i="13"/>
  <c r="W139" i="13"/>
  <c r="W143" i="13"/>
  <c r="W147" i="13"/>
  <c r="W151" i="13"/>
  <c r="W155" i="13"/>
  <c r="W159" i="13"/>
  <c r="W163" i="13"/>
  <c r="W167" i="13"/>
  <c r="W171" i="13"/>
  <c r="W175" i="13"/>
  <c r="W179" i="13"/>
  <c r="W183" i="13"/>
  <c r="W187" i="13"/>
  <c r="W191" i="13"/>
  <c r="W195" i="13"/>
  <c r="W199" i="13"/>
  <c r="W203" i="13"/>
  <c r="W207" i="13"/>
  <c r="W211" i="13"/>
  <c r="W215" i="13"/>
  <c r="W219" i="13"/>
  <c r="W223" i="13"/>
  <c r="W227" i="13"/>
  <c r="W231" i="13"/>
  <c r="W235" i="13"/>
  <c r="W239" i="13"/>
  <c r="W243" i="13"/>
  <c r="W247" i="13"/>
  <c r="W251" i="13"/>
  <c r="W255" i="13"/>
  <c r="W259" i="13"/>
  <c r="W263" i="13"/>
  <c r="W267" i="13"/>
  <c r="W271" i="13"/>
  <c r="W275" i="13"/>
  <c r="W279" i="13"/>
  <c r="W283" i="13"/>
  <c r="W409" i="13"/>
  <c r="W413" i="13"/>
  <c r="W417" i="13"/>
  <c r="W421" i="13"/>
  <c r="W425" i="13"/>
  <c r="W429" i="13"/>
  <c r="W431" i="13"/>
  <c r="W435" i="13"/>
  <c r="W439" i="13"/>
  <c r="W447" i="13"/>
  <c r="W451" i="13"/>
  <c r="W455" i="13"/>
  <c r="W463" i="13"/>
  <c r="AF97" i="4"/>
  <c r="AF56" i="4"/>
  <c r="AF103" i="4"/>
  <c r="AF102" i="4"/>
  <c r="AF85" i="4"/>
  <c r="AK44" i="4"/>
  <c r="AL44" i="4" s="1"/>
  <c r="AK36" i="4"/>
  <c r="AL36" i="4" s="1"/>
  <c r="AK28" i="4"/>
  <c r="AL28" i="4" s="1"/>
  <c r="AK20" i="4"/>
  <c r="AL20" i="4" s="1"/>
  <c r="AK12" i="4"/>
  <c r="AL12" i="4" s="1"/>
  <c r="AK4" i="4"/>
  <c r="AL4" i="4" s="1"/>
  <c r="AK35" i="4"/>
  <c r="AL35" i="4" s="1"/>
  <c r="AK19" i="4"/>
  <c r="AL19" i="4" s="1"/>
  <c r="AK21" i="4"/>
  <c r="AL21" i="4" s="1"/>
  <c r="AK173" i="4"/>
  <c r="AL173" i="4" s="1"/>
  <c r="AK45" i="4"/>
  <c r="AL45" i="4" s="1"/>
  <c r="AK33" i="4"/>
  <c r="AL33" i="4" s="1"/>
  <c r="AK379" i="4"/>
  <c r="AL379" i="4" s="1"/>
  <c r="AF346" i="4"/>
  <c r="G10" i="2"/>
  <c r="AF491" i="4"/>
  <c r="AF483" i="4"/>
  <c r="AF478" i="4"/>
  <c r="AF470" i="4"/>
  <c r="G470" i="4"/>
  <c r="H470" i="4"/>
  <c r="AF462" i="4"/>
  <c r="G462" i="4"/>
  <c r="H462" i="4"/>
  <c r="AF454" i="4"/>
  <c r="G454" i="4"/>
  <c r="H454" i="4"/>
  <c r="AF446" i="4"/>
  <c r="G446" i="4"/>
  <c r="H446" i="4"/>
  <c r="AK416" i="4"/>
  <c r="AL416" i="4" s="1"/>
  <c r="AK412" i="4"/>
  <c r="AL412" i="4" s="1"/>
  <c r="AK389" i="4"/>
  <c r="AL389" i="4" s="1"/>
  <c r="D5" i="9"/>
  <c r="AF489" i="4"/>
  <c r="AF473" i="4"/>
  <c r="H473" i="4"/>
  <c r="G473" i="4"/>
  <c r="AF461" i="4"/>
  <c r="H461" i="4"/>
  <c r="G461" i="4"/>
  <c r="AF453" i="4"/>
  <c r="H453" i="4"/>
  <c r="G453" i="4"/>
  <c r="AF445" i="4"/>
  <c r="H445" i="4"/>
  <c r="G445" i="4"/>
  <c r="AF431" i="4"/>
  <c r="AF415" i="4"/>
  <c r="AF480" i="4"/>
  <c r="AK400" i="4"/>
  <c r="AL400" i="4" s="1"/>
  <c r="AK348" i="4"/>
  <c r="AL348" i="4" s="1"/>
  <c r="AK344" i="4"/>
  <c r="AL344" i="4" s="1"/>
  <c r="AF405" i="4"/>
  <c r="AK377" i="4"/>
  <c r="AL377" i="4" s="1"/>
  <c r="AF372" i="4"/>
  <c r="AK361" i="4"/>
  <c r="AL361" i="4" s="1"/>
  <c r="AK345" i="4"/>
  <c r="AL345" i="4" s="1"/>
  <c r="AF406" i="4"/>
  <c r="AF398" i="4"/>
  <c r="AK370" i="4"/>
  <c r="AL370" i="4" s="1"/>
  <c r="AF365" i="4"/>
  <c r="AK354" i="4"/>
  <c r="AL354" i="4" s="1"/>
  <c r="AF396" i="4"/>
  <c r="H379" i="4"/>
  <c r="K380" i="12" s="1"/>
  <c r="G379" i="4"/>
  <c r="AF379" i="4"/>
  <c r="AK138" i="4"/>
  <c r="AL138" i="4" s="1"/>
  <c r="AK134" i="4"/>
  <c r="AL134" i="4" s="1"/>
  <c r="AK130" i="4"/>
  <c r="AL130" i="4" s="1"/>
  <c r="AK126" i="4"/>
  <c r="AL126" i="4" s="1"/>
  <c r="AK122" i="4"/>
  <c r="AL122" i="4" s="1"/>
  <c r="AK118" i="4"/>
  <c r="AL118" i="4" s="1"/>
  <c r="AK114" i="4"/>
  <c r="AL114" i="4" s="1"/>
  <c r="AK110" i="4"/>
  <c r="AL110" i="4" s="1"/>
  <c r="AK106" i="4"/>
  <c r="AL106" i="4" s="1"/>
  <c r="AK102" i="4"/>
  <c r="AL102" i="4" s="1"/>
  <c r="AK98" i="4"/>
  <c r="AL98" i="4" s="1"/>
  <c r="AK94" i="4"/>
  <c r="AL94" i="4" s="1"/>
  <c r="AK90" i="4"/>
  <c r="AL90" i="4" s="1"/>
  <c r="AK86" i="4"/>
  <c r="AL86" i="4" s="1"/>
  <c r="AK82" i="4"/>
  <c r="AL82" i="4" s="1"/>
  <c r="AK78" i="4"/>
  <c r="AL78" i="4" s="1"/>
  <c r="AK74" i="4"/>
  <c r="AL74" i="4" s="1"/>
  <c r="AK70" i="4"/>
  <c r="AL70" i="4" s="1"/>
  <c r="AK66" i="4"/>
  <c r="AL66" i="4" s="1"/>
  <c r="AK62" i="4"/>
  <c r="AL62" i="4" s="1"/>
  <c r="AK58" i="4"/>
  <c r="AL58" i="4" s="1"/>
  <c r="AK54" i="4"/>
  <c r="AL54" i="4" s="1"/>
  <c r="AF50" i="4"/>
  <c r="AK162" i="4"/>
  <c r="AL162" i="4" s="1"/>
  <c r="AK49" i="4"/>
  <c r="AL49" i="4" s="1"/>
  <c r="AF297" i="4"/>
  <c r="AF295" i="4"/>
  <c r="AF293" i="4"/>
  <c r="AF291" i="4"/>
  <c r="AF283" i="4"/>
  <c r="AF281" i="4"/>
  <c r="AF279" i="4"/>
  <c r="AF277" i="4"/>
  <c r="AF275" i="4"/>
  <c r="AF267" i="4"/>
  <c r="H261" i="4"/>
  <c r="K263" i="12" s="1"/>
  <c r="G261" i="4"/>
  <c r="AF261" i="4"/>
  <c r="AF259" i="4"/>
  <c r="AF257" i="4"/>
  <c r="AF255" i="4"/>
  <c r="AF253" i="4"/>
  <c r="AF247" i="4"/>
  <c r="AF243" i="4"/>
  <c r="AF241" i="4"/>
  <c r="AF239" i="4"/>
  <c r="AF237" i="4"/>
  <c r="AF235" i="4"/>
  <c r="AF233" i="4"/>
  <c r="AF231" i="4"/>
  <c r="AF229" i="4"/>
  <c r="AF225" i="4"/>
  <c r="AF223" i="4"/>
  <c r="AF215" i="4"/>
  <c r="H215" i="4"/>
  <c r="K217" i="12" s="1"/>
  <c r="G215" i="4"/>
  <c r="AF213" i="4"/>
  <c r="AF211" i="4"/>
  <c r="AF203" i="4"/>
  <c r="AF199" i="4"/>
  <c r="AF197" i="4"/>
  <c r="AK194" i="4"/>
  <c r="AL194" i="4" s="1"/>
  <c r="AF189" i="4"/>
  <c r="AF175" i="4"/>
  <c r="AK166" i="4"/>
  <c r="AL166" i="4" s="1"/>
  <c r="AF143" i="4"/>
  <c r="B9" i="5"/>
  <c r="C11" i="5"/>
  <c r="C9" i="2" s="1"/>
  <c r="J12" i="5"/>
  <c r="E10" i="2" s="1"/>
  <c r="AF49" i="4"/>
  <c r="AF45" i="4"/>
  <c r="AK318" i="4"/>
  <c r="AL318" i="4" s="1"/>
  <c r="AK322" i="4"/>
  <c r="AL322" i="4" s="1"/>
  <c r="AK351" i="4"/>
  <c r="AL351" i="4" s="1"/>
  <c r="AF332" i="4"/>
  <c r="AK359" i="4"/>
  <c r="AL359" i="4" s="1"/>
  <c r="AF5" i="4"/>
  <c r="AF3" i="4"/>
  <c r="AF302" i="4"/>
  <c r="AF326" i="4"/>
  <c r="AF338" i="4"/>
  <c r="AF148" i="4"/>
  <c r="AF146" i="4"/>
  <c r="B10" i="5"/>
  <c r="AF258" i="4"/>
  <c r="AF256" i="4"/>
  <c r="AF254" i="4"/>
  <c r="AF248" i="4"/>
  <c r="AF242" i="4"/>
  <c r="AF240" i="4"/>
  <c r="AF238" i="4"/>
  <c r="AF236" i="4"/>
  <c r="AF234" i="4"/>
  <c r="AF232" i="4"/>
  <c r="AF230" i="4"/>
  <c r="H226" i="4"/>
  <c r="K228" i="12" s="1"/>
  <c r="AF226" i="4"/>
  <c r="G226" i="4"/>
  <c r="AF224" i="4"/>
  <c r="AF222" i="4"/>
  <c r="AF200" i="4"/>
  <c r="AF196" i="4"/>
  <c r="AF190" i="4"/>
  <c r="AF168" i="4"/>
  <c r="AF150" i="4"/>
  <c r="F34" i="8"/>
  <c r="W10" i="13"/>
  <c r="W288" i="13"/>
  <c r="W292" i="13"/>
  <c r="W296" i="13"/>
  <c r="W300" i="13"/>
  <c r="W304" i="13"/>
  <c r="W308" i="13"/>
  <c r="W312" i="13"/>
  <c r="W316" i="13"/>
  <c r="W320" i="13"/>
  <c r="W324" i="13"/>
  <c r="W328" i="13"/>
  <c r="W332" i="13"/>
  <c r="W337" i="13"/>
  <c r="W341" i="13"/>
  <c r="W345" i="13"/>
  <c r="W349" i="13"/>
  <c r="W353" i="13"/>
  <c r="W357" i="13"/>
  <c r="W361" i="13"/>
  <c r="W365" i="13"/>
  <c r="W369" i="13"/>
  <c r="W373" i="13"/>
  <c r="W377" i="13"/>
  <c r="W381" i="13"/>
  <c r="W385" i="13"/>
  <c r="W389" i="13"/>
  <c r="W393" i="13"/>
  <c r="W397" i="13"/>
  <c r="W401" i="13"/>
  <c r="W405" i="13"/>
  <c r="W465" i="13"/>
  <c r="W472" i="13"/>
  <c r="W476" i="13"/>
  <c r="W480" i="13"/>
  <c r="W492" i="13"/>
  <c r="F35" i="8"/>
  <c r="H33" i="4" s="1"/>
  <c r="K35" i="12" s="1"/>
  <c r="AF105" i="4"/>
  <c r="AF72" i="4"/>
  <c r="AK46" i="4"/>
  <c r="AL46" i="4" s="1"/>
  <c r="AK38" i="4"/>
  <c r="AL38" i="4" s="1"/>
  <c r="AK30" i="4"/>
  <c r="AL30" i="4" s="1"/>
  <c r="AK22" i="4"/>
  <c r="AL22" i="4" s="1"/>
  <c r="AK14" i="4"/>
  <c r="AL14" i="4" s="1"/>
  <c r="AK17" i="4"/>
  <c r="AL17" i="4" s="1"/>
  <c r="AF61" i="4"/>
  <c r="AF115" i="4"/>
  <c r="AF260" i="4"/>
  <c r="AK197" i="4"/>
  <c r="AL197" i="4" s="1"/>
  <c r="AF138" i="4"/>
  <c r="AK31" i="4"/>
  <c r="AL31" i="4" s="1"/>
  <c r="AK15" i="4"/>
  <c r="AL15" i="4" s="1"/>
  <c r="AF62" i="4"/>
  <c r="AK13" i="4"/>
  <c r="AL13" i="4" s="1"/>
  <c r="AF485" i="4"/>
  <c r="AF469" i="4"/>
  <c r="H469" i="4"/>
  <c r="G469" i="4"/>
  <c r="AF426" i="4"/>
  <c r="H418" i="4"/>
  <c r="AF418" i="4"/>
  <c r="G418" i="4"/>
  <c r="AF492" i="4"/>
  <c r="AF468" i="4"/>
  <c r="H468" i="4"/>
  <c r="G468" i="4"/>
  <c r="AF452" i="4"/>
  <c r="H452" i="4"/>
  <c r="G452" i="4"/>
  <c r="AF444" i="4"/>
  <c r="H444" i="4"/>
  <c r="G444" i="4"/>
  <c r="AK372" i="4"/>
  <c r="AL372" i="4" s="1"/>
  <c r="AK360" i="4"/>
  <c r="AL360" i="4" s="1"/>
  <c r="AK352" i="4"/>
  <c r="AL352" i="4" s="1"/>
  <c r="H343" i="4"/>
  <c r="K345" i="12" s="1"/>
  <c r="G343" i="4"/>
  <c r="AF343" i="4"/>
  <c r="AK393" i="4"/>
  <c r="AL393" i="4" s="1"/>
  <c r="AK410" i="4"/>
  <c r="AL410" i="4" s="1"/>
  <c r="AK358" i="4"/>
  <c r="AL358" i="4" s="1"/>
  <c r="AK182" i="4"/>
  <c r="AL182" i="4" s="1"/>
  <c r="AK180" i="4"/>
  <c r="AL180" i="4" s="1"/>
  <c r="AK170" i="4"/>
  <c r="AL170" i="4" s="1"/>
  <c r="AF139" i="4"/>
  <c r="AK47" i="4"/>
  <c r="AL47" i="4" s="1"/>
  <c r="AF191" i="4"/>
  <c r="AF177" i="4"/>
  <c r="AK174" i="4"/>
  <c r="AL174" i="4" s="1"/>
  <c r="AK168" i="4"/>
  <c r="AL168" i="4" s="1"/>
  <c r="AF161" i="4"/>
  <c r="AF157" i="4"/>
  <c r="AF151" i="4"/>
  <c r="AK41" i="4"/>
  <c r="AL41" i="4" s="1"/>
  <c r="B11" i="5"/>
  <c r="AK304" i="4"/>
  <c r="AL304" i="4" s="1"/>
  <c r="H303" i="4"/>
  <c r="K305" i="12" s="1"/>
  <c r="G303" i="4"/>
  <c r="AF303" i="4"/>
  <c r="AF40" i="4"/>
  <c r="AF36" i="4"/>
  <c r="AF34" i="4"/>
  <c r="AF26" i="4"/>
  <c r="AF22" i="4"/>
  <c r="AF20" i="4"/>
  <c r="AF18" i="4"/>
  <c r="AF16" i="4"/>
  <c r="AF14" i="4"/>
  <c r="AF12" i="4"/>
  <c r="AF298" i="4"/>
  <c r="AF318" i="4"/>
  <c r="AF322" i="4"/>
  <c r="AK355" i="4"/>
  <c r="AL355" i="4" s="1"/>
  <c r="AF301" i="4"/>
  <c r="AF321" i="4"/>
  <c r="AF335" i="4"/>
  <c r="AK306" i="4"/>
  <c r="AL306" i="4" s="1"/>
  <c r="AK310" i="4"/>
  <c r="AL310" i="4" s="1"/>
  <c r="AK314" i="4"/>
  <c r="AL314" i="4" s="1"/>
  <c r="AK330" i="4"/>
  <c r="AL330" i="4" s="1"/>
  <c r="AK334" i="4"/>
  <c r="AL334" i="4" s="1"/>
  <c r="AK363" i="4"/>
  <c r="AL363" i="4" s="1"/>
  <c r="AF315" i="4"/>
  <c r="AK324" i="4"/>
  <c r="AL324" i="4" s="1"/>
  <c r="AK328" i="4"/>
  <c r="AL328" i="4" s="1"/>
  <c r="AK340" i="4"/>
  <c r="AL340" i="4" s="1"/>
  <c r="AF325" i="4"/>
  <c r="AF337" i="4"/>
  <c r="AF220" i="4"/>
  <c r="AF192" i="4"/>
  <c r="AF178" i="4"/>
  <c r="AF158" i="4"/>
  <c r="H158" i="4"/>
  <c r="K160" i="12" s="1"/>
  <c r="G158" i="4"/>
  <c r="AF152" i="4"/>
  <c r="AF286" i="4"/>
  <c r="AF282" i="4"/>
  <c r="AF280" i="4"/>
  <c r="AF278" i="4"/>
  <c r="AF276" i="4"/>
  <c r="AF274" i="4"/>
  <c r="AF270" i="4"/>
  <c r="AF262" i="4"/>
  <c r="AF214" i="4"/>
  <c r="AF170" i="4"/>
  <c r="AF164" i="4"/>
  <c r="W14" i="13"/>
  <c r="W8" i="13"/>
  <c r="W15" i="13"/>
  <c r="W13" i="13"/>
  <c r="W19" i="13"/>
  <c r="W23" i="13"/>
  <c r="W27" i="13"/>
  <c r="W31" i="13"/>
  <c r="W35" i="13"/>
  <c r="W39" i="13"/>
  <c r="W43" i="13"/>
  <c r="W47" i="13"/>
  <c r="W51" i="13"/>
  <c r="W55" i="13"/>
  <c r="W60" i="13"/>
  <c r="W64" i="13"/>
  <c r="W68" i="13"/>
  <c r="W72" i="13"/>
  <c r="W76" i="13"/>
  <c r="W80" i="13"/>
  <c r="W84" i="13"/>
  <c r="W88" i="13"/>
  <c r="W92" i="13"/>
  <c r="W96" i="13"/>
  <c r="W100" i="13"/>
  <c r="W104" i="13"/>
  <c r="W108" i="13"/>
  <c r="W112" i="13"/>
  <c r="W116" i="13"/>
  <c r="W120" i="13"/>
  <c r="W124" i="13"/>
  <c r="W128" i="13"/>
  <c r="W132" i="13"/>
  <c r="W136" i="13"/>
  <c r="W141" i="13"/>
  <c r="W145" i="13"/>
  <c r="W149" i="13"/>
  <c r="W153" i="13"/>
  <c r="W157" i="13"/>
  <c r="W161" i="13"/>
  <c r="W165" i="13"/>
  <c r="W169" i="13"/>
  <c r="W173" i="13"/>
  <c r="W177" i="13"/>
  <c r="W181" i="13"/>
  <c r="W185" i="13"/>
  <c r="W189" i="13"/>
  <c r="W193" i="13"/>
  <c r="W197" i="13"/>
  <c r="W201" i="13"/>
  <c r="W205" i="13"/>
  <c r="W209" i="13"/>
  <c r="W213" i="13"/>
  <c r="W217" i="13"/>
  <c r="W221" i="13"/>
  <c r="W225" i="13"/>
  <c r="W229" i="13"/>
  <c r="W233" i="13"/>
  <c r="W237" i="13"/>
  <c r="W241" i="13"/>
  <c r="W245" i="13"/>
  <c r="W249" i="13"/>
  <c r="W253" i="13"/>
  <c r="W257" i="13"/>
  <c r="W261" i="13"/>
  <c r="W265" i="13"/>
  <c r="W269" i="13"/>
  <c r="W273" i="13"/>
  <c r="W277" i="13"/>
  <c r="W281" i="13"/>
  <c r="W432" i="13"/>
  <c r="W407" i="13"/>
  <c r="W411" i="13"/>
  <c r="W415" i="13"/>
  <c r="W419" i="13"/>
  <c r="W423" i="13"/>
  <c r="W427" i="13"/>
  <c r="W433" i="13"/>
  <c r="W437" i="13"/>
  <c r="W441" i="13"/>
  <c r="W445" i="13"/>
  <c r="W449" i="13"/>
  <c r="W453" i="13"/>
  <c r="W457" i="13"/>
  <c r="W461" i="13"/>
  <c r="W466" i="13"/>
  <c r="AK51" i="4"/>
  <c r="AL51" i="4" s="1"/>
  <c r="H34" i="4"/>
  <c r="K36" i="12" s="1"/>
  <c r="H18" i="4"/>
  <c r="K20" i="12" s="1"/>
  <c r="AF86" i="4"/>
  <c r="AK40" i="4"/>
  <c r="AL40" i="4" s="1"/>
  <c r="AK32" i="4"/>
  <c r="AL32" i="4" s="1"/>
  <c r="AK24" i="4"/>
  <c r="AL24" i="4" s="1"/>
  <c r="AK16" i="4"/>
  <c r="AL16" i="4" s="1"/>
  <c r="AK8" i="4"/>
  <c r="AL8" i="4" s="1"/>
  <c r="AF131" i="4"/>
  <c r="AF130" i="4"/>
  <c r="AK27" i="4"/>
  <c r="AL27" i="4" s="1"/>
  <c r="AK29" i="4"/>
  <c r="AL29" i="4" s="1"/>
  <c r="H9" i="4"/>
  <c r="K11" i="12" s="1"/>
  <c r="AK11" i="4"/>
  <c r="AL11" i="4" s="1"/>
  <c r="AF467" i="4"/>
  <c r="H467" i="4"/>
  <c r="G467" i="4"/>
  <c r="AF451" i="4"/>
  <c r="H451" i="4"/>
  <c r="G451" i="4"/>
  <c r="AF430" i="4"/>
  <c r="AF414" i="4"/>
  <c r="AF460" i="4"/>
  <c r="H460" i="4"/>
  <c r="G460" i="4"/>
  <c r="AK376" i="4"/>
  <c r="AL376" i="4" s="1"/>
  <c r="AK364" i="4"/>
  <c r="AL364" i="4" s="1"/>
  <c r="AK356" i="4"/>
  <c r="AL356" i="4" s="1"/>
  <c r="AK403" i="4"/>
  <c r="AL403" i="4" s="1"/>
  <c r="AK381" i="4"/>
  <c r="AL381" i="4" s="1"/>
  <c r="AF376" i="4"/>
  <c r="AK365" i="4"/>
  <c r="AL365" i="4" s="1"/>
  <c r="AK349" i="4"/>
  <c r="AL349" i="4" s="1"/>
  <c r="AK335" i="4"/>
  <c r="AL335" i="4" s="1"/>
  <c r="AK331" i="4"/>
  <c r="AL331" i="4" s="1"/>
  <c r="AK323" i="4"/>
  <c r="AL323" i="4" s="1"/>
  <c r="AK319" i="4"/>
  <c r="AL319" i="4" s="1"/>
  <c r="AK315" i="4"/>
  <c r="AL315" i="4" s="1"/>
  <c r="AK307" i="4"/>
  <c r="AL307" i="4" s="1"/>
  <c r="AK374" i="4"/>
  <c r="AL374" i="4" s="1"/>
  <c r="AF369" i="4"/>
  <c r="AF353" i="4"/>
  <c r="AF370" i="4"/>
  <c r="AF145" i="4"/>
  <c r="AF487" i="4"/>
  <c r="C40" i="8"/>
  <c r="AF490" i="4"/>
  <c r="AF474" i="4"/>
  <c r="G474" i="4"/>
  <c r="H474" i="4"/>
  <c r="AF458" i="4"/>
  <c r="G458" i="4"/>
  <c r="H458" i="4"/>
  <c r="AF442" i="4"/>
  <c r="G442" i="4"/>
  <c r="H442" i="4"/>
  <c r="AF457" i="4"/>
  <c r="H457" i="4"/>
  <c r="G457" i="4"/>
  <c r="F457" i="4" s="1"/>
  <c r="AF441" i="4"/>
  <c r="H441" i="4"/>
  <c r="G441" i="4"/>
  <c r="AK394" i="4"/>
  <c r="AL394" i="4" s="1"/>
  <c r="AK384" i="4"/>
  <c r="AL384" i="4" s="1"/>
  <c r="AK380" i="4"/>
  <c r="AL380" i="4" s="1"/>
  <c r="AF375" i="4"/>
  <c r="AF371" i="4"/>
  <c r="AF367" i="4"/>
  <c r="AF355" i="4"/>
  <c r="AF351" i="4"/>
  <c r="AF393" i="4"/>
  <c r="AK385" i="4"/>
  <c r="AL385" i="4" s="1"/>
  <c r="AK369" i="4"/>
  <c r="AL369" i="4" s="1"/>
  <c r="AK353" i="4"/>
  <c r="AL353" i="4" s="1"/>
  <c r="AF348" i="4"/>
  <c r="AF410" i="4"/>
  <c r="AF392" i="4"/>
  <c r="AK386" i="4"/>
  <c r="AL386" i="4" s="1"/>
  <c r="AK382" i="4"/>
  <c r="AL382" i="4" s="1"/>
  <c r="AK378" i="4"/>
  <c r="AL378" i="4" s="1"/>
  <c r="AK362" i="4"/>
  <c r="AL362" i="4" s="1"/>
  <c r="AK136" i="4"/>
  <c r="AL136" i="4" s="1"/>
  <c r="AK128" i="4"/>
  <c r="AL128" i="4" s="1"/>
  <c r="AK120" i="4"/>
  <c r="AL120" i="4" s="1"/>
  <c r="AK112" i="4"/>
  <c r="AL112" i="4" s="1"/>
  <c r="AK104" i="4"/>
  <c r="AL104" i="4" s="1"/>
  <c r="AK100" i="4"/>
  <c r="AL100" i="4" s="1"/>
  <c r="AK96" i="4"/>
  <c r="AL96" i="4" s="1"/>
  <c r="AK92" i="4"/>
  <c r="AL92" i="4" s="1"/>
  <c r="AK88" i="4"/>
  <c r="AL88" i="4" s="1"/>
  <c r="AK84" i="4"/>
  <c r="AL84" i="4" s="1"/>
  <c r="AK80" i="4"/>
  <c r="AL80" i="4" s="1"/>
  <c r="AK76" i="4"/>
  <c r="AL76" i="4" s="1"/>
  <c r="AK72" i="4"/>
  <c r="AL72" i="4" s="1"/>
  <c r="AK68" i="4"/>
  <c r="AL68" i="4" s="1"/>
  <c r="AK64" i="4"/>
  <c r="AL64" i="4" s="1"/>
  <c r="AK60" i="4"/>
  <c r="AL60" i="4" s="1"/>
  <c r="AK56" i="4"/>
  <c r="AL56" i="4" s="1"/>
  <c r="AK52" i="4"/>
  <c r="AL52" i="4" s="1"/>
  <c r="AF195" i="4"/>
  <c r="AK188" i="4"/>
  <c r="AL188" i="4" s="1"/>
  <c r="AK178" i="4"/>
  <c r="AL178" i="4" s="1"/>
  <c r="AF155" i="4"/>
  <c r="AF149" i="4"/>
  <c r="AK48" i="4"/>
  <c r="AL48" i="4" s="1"/>
  <c r="AK296" i="4"/>
  <c r="AL296" i="4" s="1"/>
  <c r="AK294" i="4"/>
  <c r="AL294" i="4" s="1"/>
  <c r="AK292" i="4"/>
  <c r="AL292" i="4" s="1"/>
  <c r="AK290" i="4"/>
  <c r="AL290" i="4" s="1"/>
  <c r="AK288" i="4"/>
  <c r="AL288" i="4" s="1"/>
  <c r="AK286" i="4"/>
  <c r="AL286" i="4" s="1"/>
  <c r="AK284" i="4"/>
  <c r="AL284" i="4" s="1"/>
  <c r="AK282" i="4"/>
  <c r="AL282" i="4" s="1"/>
  <c r="AK280" i="4"/>
  <c r="AL280" i="4" s="1"/>
  <c r="AK278" i="4"/>
  <c r="AL278" i="4" s="1"/>
  <c r="AK276" i="4"/>
  <c r="AL276" i="4" s="1"/>
  <c r="AK274" i="4"/>
  <c r="AL274" i="4" s="1"/>
  <c r="AK272" i="4"/>
  <c r="AL272" i="4" s="1"/>
  <c r="AK270" i="4"/>
  <c r="AL270" i="4" s="1"/>
  <c r="AK268" i="4"/>
  <c r="AL268" i="4" s="1"/>
  <c r="AK266" i="4"/>
  <c r="AL266" i="4" s="1"/>
  <c r="AK264" i="4"/>
  <c r="AL264" i="4" s="1"/>
  <c r="AK262" i="4"/>
  <c r="AL262" i="4" s="1"/>
  <c r="AK260" i="4"/>
  <c r="AL260" i="4" s="1"/>
  <c r="AK258" i="4"/>
  <c r="AL258" i="4" s="1"/>
  <c r="AK256" i="4"/>
  <c r="AL256" i="4" s="1"/>
  <c r="AK254" i="4"/>
  <c r="AL254" i="4" s="1"/>
  <c r="AK252" i="4"/>
  <c r="AL252" i="4" s="1"/>
  <c r="AK250" i="4"/>
  <c r="AL250" i="4" s="1"/>
  <c r="AK248" i="4"/>
  <c r="AL248" i="4" s="1"/>
  <c r="AK246" i="4"/>
  <c r="AL246" i="4" s="1"/>
  <c r="AK244" i="4"/>
  <c r="AL244" i="4" s="1"/>
  <c r="AK242" i="4"/>
  <c r="AL242" i="4" s="1"/>
  <c r="AK240" i="4"/>
  <c r="AL240" i="4" s="1"/>
  <c r="AK238" i="4"/>
  <c r="AL238" i="4" s="1"/>
  <c r="AK236" i="4"/>
  <c r="AL236" i="4" s="1"/>
  <c r="AK234" i="4"/>
  <c r="AL234" i="4" s="1"/>
  <c r="AK232" i="4"/>
  <c r="AL232" i="4" s="1"/>
  <c r="AK230" i="4"/>
  <c r="AL230" i="4" s="1"/>
  <c r="AK228" i="4"/>
  <c r="AL228" i="4" s="1"/>
  <c r="AK226" i="4"/>
  <c r="AL226" i="4" s="1"/>
  <c r="AK224" i="4"/>
  <c r="AL224" i="4" s="1"/>
  <c r="AK222" i="4"/>
  <c r="AL222" i="4" s="1"/>
  <c r="AK220" i="4"/>
  <c r="AL220" i="4" s="1"/>
  <c r="AK218" i="4"/>
  <c r="AL218" i="4" s="1"/>
  <c r="AK216" i="4"/>
  <c r="AL216" i="4" s="1"/>
  <c r="AK214" i="4"/>
  <c r="AL214" i="4" s="1"/>
  <c r="AK212" i="4"/>
  <c r="AL212" i="4" s="1"/>
  <c r="AK210" i="4"/>
  <c r="AL210" i="4" s="1"/>
  <c r="AK208" i="4"/>
  <c r="AL208" i="4" s="1"/>
  <c r="AK206" i="4"/>
  <c r="AL206" i="4" s="1"/>
  <c r="AK204" i="4"/>
  <c r="AL204" i="4" s="1"/>
  <c r="AK202" i="4"/>
  <c r="AL202" i="4" s="1"/>
  <c r="AK200" i="4"/>
  <c r="AL200" i="4" s="1"/>
  <c r="AK198" i="4"/>
  <c r="AL198" i="4" s="1"/>
  <c r="AK196" i="4"/>
  <c r="AL196" i="4" s="1"/>
  <c r="AK190" i="4"/>
  <c r="AL190" i="4" s="1"/>
  <c r="AF179" i="4"/>
  <c r="AK176" i="4"/>
  <c r="AL176" i="4" s="1"/>
  <c r="AF165" i="4"/>
  <c r="AK144" i="4"/>
  <c r="AL144" i="4" s="1"/>
  <c r="C9" i="5"/>
  <c r="C7" i="2" s="1"/>
  <c r="AK7" i="4"/>
  <c r="AL7" i="4" s="1"/>
  <c r="J11" i="5"/>
  <c r="E9" i="2" s="1"/>
  <c r="I12" i="5"/>
  <c r="D10" i="2" s="1"/>
  <c r="AF57" i="4"/>
  <c r="AF48" i="4"/>
  <c r="AF44" i="4"/>
  <c r="H304" i="4"/>
  <c r="K306" i="12" s="1"/>
  <c r="AF304" i="4"/>
  <c r="G304" i="4"/>
  <c r="AK320" i="4"/>
  <c r="AL320" i="4" s="1"/>
  <c r="AK336" i="4"/>
  <c r="AL336" i="4" s="1"/>
  <c r="AK367" i="4"/>
  <c r="AL367" i="4" s="1"/>
  <c r="AF310" i="4"/>
  <c r="AF314" i="4"/>
  <c r="AF4" i="4"/>
  <c r="AF2" i="4"/>
  <c r="AF324" i="4"/>
  <c r="AF328" i="4"/>
  <c r="AF340" i="4"/>
  <c r="AF212" i="4"/>
  <c r="AK195" i="4"/>
  <c r="AL195" i="4" s="1"/>
  <c r="AF172" i="4"/>
  <c r="AF162" i="4"/>
  <c r="C10" i="5"/>
  <c r="C8" i="2" s="1"/>
  <c r="AF294" i="4"/>
  <c r="AF174" i="4"/>
  <c r="AF166" i="4"/>
  <c r="W286" i="13"/>
  <c r="W290" i="13"/>
  <c r="W294" i="13"/>
  <c r="W298" i="13"/>
  <c r="W302" i="13"/>
  <c r="W306" i="13"/>
  <c r="W310" i="13"/>
  <c r="W314" i="13"/>
  <c r="W318" i="13"/>
  <c r="W322" i="13"/>
  <c r="W326" i="13"/>
  <c r="W330" i="13"/>
  <c r="W335" i="13"/>
  <c r="W339" i="13"/>
  <c r="W343" i="13"/>
  <c r="W347" i="13"/>
  <c r="W351" i="13"/>
  <c r="W355" i="13"/>
  <c r="W359" i="13"/>
  <c r="W363" i="13"/>
  <c r="W367" i="13"/>
  <c r="W371" i="13"/>
  <c r="W375" i="13"/>
  <c r="W379" i="13"/>
  <c r="W383" i="13"/>
  <c r="W387" i="13"/>
  <c r="W391" i="13"/>
  <c r="W395" i="13"/>
  <c r="W399" i="13"/>
  <c r="W403" i="13"/>
  <c r="W467" i="13"/>
  <c r="W485" i="13"/>
  <c r="W474" i="13"/>
  <c r="W478" i="13"/>
  <c r="W482" i="13"/>
  <c r="W486" i="13"/>
  <c r="W490" i="13"/>
  <c r="W494" i="13"/>
  <c r="AK50" i="4"/>
  <c r="AL50" i="4" s="1"/>
  <c r="AK42" i="4"/>
  <c r="AL42" i="4" s="1"/>
  <c r="AK34" i="4"/>
  <c r="AL34" i="4" s="1"/>
  <c r="AK26" i="4"/>
  <c r="AL26" i="4" s="1"/>
  <c r="AK18" i="4"/>
  <c r="AL18" i="4" s="1"/>
  <c r="AK10" i="4"/>
  <c r="AL10" i="4" s="1"/>
  <c r="AF54" i="4"/>
  <c r="AK25" i="4"/>
  <c r="AL25" i="4" s="1"/>
  <c r="AF109" i="4"/>
  <c r="H44" i="4"/>
  <c r="K46" i="12" s="1"/>
  <c r="H20" i="4"/>
  <c r="K22" i="12" s="1"/>
  <c r="H12" i="4"/>
  <c r="K14" i="12" s="1"/>
  <c r="H4" i="4"/>
  <c r="K6" i="12" s="1"/>
  <c r="AK23" i="4"/>
  <c r="AL23" i="4" s="1"/>
  <c r="H21" i="4"/>
  <c r="K23" i="12" s="1"/>
  <c r="AK9" i="4"/>
  <c r="AL9" i="4" s="1"/>
  <c r="AK3" i="4"/>
  <c r="AL3" i="4" s="1"/>
  <c r="AK37" i="4"/>
  <c r="AL37" i="4" s="1"/>
  <c r="F70" i="4" l="1"/>
  <c r="F41" i="4"/>
  <c r="H40" i="4"/>
  <c r="K42" i="12" s="1"/>
  <c r="F470" i="4"/>
  <c r="AA470" i="4" s="1"/>
  <c r="H45" i="4"/>
  <c r="K47" i="12" s="1"/>
  <c r="H36" i="4"/>
  <c r="K38" i="12" s="1"/>
  <c r="H5" i="4"/>
  <c r="K7" i="12" s="1"/>
  <c r="H25" i="4"/>
  <c r="K27" i="12" s="1"/>
  <c r="F445" i="4"/>
  <c r="G459" i="4"/>
  <c r="E4" i="9"/>
  <c r="G4" i="9" s="1"/>
  <c r="F342" i="4"/>
  <c r="AA342" i="4" s="1"/>
  <c r="F472" i="4"/>
  <c r="AA472" i="4" s="1"/>
  <c r="G443" i="4"/>
  <c r="H459" i="4"/>
  <c r="F459" i="4" s="1"/>
  <c r="H443" i="4"/>
  <c r="F474" i="4"/>
  <c r="F460" i="4"/>
  <c r="U460" i="4" s="1"/>
  <c r="F447" i="4"/>
  <c r="AA447" i="4" s="1"/>
  <c r="AF357" i="4"/>
  <c r="AF409" i="4"/>
  <c r="AF363" i="4"/>
  <c r="F441" i="4"/>
  <c r="AA441" i="4" s="1"/>
  <c r="AF344" i="4"/>
  <c r="AF436" i="4"/>
  <c r="AF476" i="4"/>
  <c r="AF435" i="4"/>
  <c r="F467" i="4"/>
  <c r="AA467" i="4" s="1"/>
  <c r="H37" i="4"/>
  <c r="K39" i="12" s="1"/>
  <c r="H11" i="4"/>
  <c r="K13" i="12" s="1"/>
  <c r="H26" i="4"/>
  <c r="K28" i="12" s="1"/>
  <c r="AF268" i="4"/>
  <c r="AF284" i="4"/>
  <c r="AF160" i="4"/>
  <c r="AF218" i="4"/>
  <c r="AF329" i="4"/>
  <c r="AF159" i="4"/>
  <c r="AF141" i="4"/>
  <c r="AF362" i="4"/>
  <c r="H16" i="4"/>
  <c r="K18" i="12" s="1"/>
  <c r="AF246" i="4"/>
  <c r="AF308" i="4"/>
  <c r="AF201" i="4"/>
  <c r="AF209" i="4"/>
  <c r="AF221" i="4"/>
  <c r="AF245" i="4"/>
  <c r="AF265" i="4"/>
  <c r="AF273" i="4"/>
  <c r="AF289" i="4"/>
  <c r="AF349" i="4"/>
  <c r="AF399" i="4"/>
  <c r="AF427" i="4"/>
  <c r="F473" i="4"/>
  <c r="AF438" i="4"/>
  <c r="F462" i="4"/>
  <c r="AA462" i="4" s="1"/>
  <c r="AF390" i="4"/>
  <c r="H2" i="4"/>
  <c r="K4" i="12" s="1"/>
  <c r="AF184" i="4"/>
  <c r="AF317" i="4"/>
  <c r="AF319" i="4"/>
  <c r="AF171" i="4"/>
  <c r="AF366" i="4"/>
  <c r="AF361" i="4"/>
  <c r="AF377" i="4"/>
  <c r="AF404" i="4"/>
  <c r="AF420" i="4"/>
  <c r="AF439" i="4"/>
  <c r="F450" i="4"/>
  <c r="AA450" i="4" s="1"/>
  <c r="F58" i="4"/>
  <c r="AF188" i="4"/>
  <c r="AF142" i="4"/>
  <c r="AF182" i="4"/>
  <c r="AF334" i="4"/>
  <c r="AF306" i="4"/>
  <c r="AF373" i="4"/>
  <c r="AF481" i="4"/>
  <c r="AF383" i="4"/>
  <c r="AF360" i="4"/>
  <c r="AF422" i="4"/>
  <c r="AF264" i="4"/>
  <c r="AF272" i="4"/>
  <c r="AF288" i="4"/>
  <c r="AF311" i="4"/>
  <c r="AF153" i="4"/>
  <c r="F468" i="4"/>
  <c r="U468" i="4" s="1"/>
  <c r="F469" i="4"/>
  <c r="AA469" i="4" s="1"/>
  <c r="AF475" i="4"/>
  <c r="H31" i="4"/>
  <c r="K33" i="12" s="1"/>
  <c r="AF250" i="4"/>
  <c r="AF186" i="4"/>
  <c r="AF316" i="4"/>
  <c r="AF205" i="4"/>
  <c r="AF217" i="4"/>
  <c r="AF249" i="4"/>
  <c r="AF269" i="4"/>
  <c r="AF285" i="4"/>
  <c r="AF437" i="4"/>
  <c r="F446" i="4"/>
  <c r="AF216" i="4"/>
  <c r="AF309" i="4"/>
  <c r="AF183" i="4"/>
  <c r="AF185" i="4"/>
  <c r="F465" i="4"/>
  <c r="AA465" i="4" s="1"/>
  <c r="AF140" i="4"/>
  <c r="AF202" i="4"/>
  <c r="AF154" i="4"/>
  <c r="AF330" i="4"/>
  <c r="AF402" i="4"/>
  <c r="AF364" i="4"/>
  <c r="AF403" i="4"/>
  <c r="AF359" i="4"/>
  <c r="AF425" i="4"/>
  <c r="AF434" i="4"/>
  <c r="AF347" i="4"/>
  <c r="AF400" i="4"/>
  <c r="AF208" i="4"/>
  <c r="AF266" i="4"/>
  <c r="AF290" i="4"/>
  <c r="AF206" i="4"/>
  <c r="AF333" i="4"/>
  <c r="AF307" i="4"/>
  <c r="AF385" i="4"/>
  <c r="AF408" i="4"/>
  <c r="AF228" i="4"/>
  <c r="AF244" i="4"/>
  <c r="AF252" i="4"/>
  <c r="AF312" i="4"/>
  <c r="AF207" i="4"/>
  <c r="AF219" i="4"/>
  <c r="AF227" i="4"/>
  <c r="AF251" i="4"/>
  <c r="AF263" i="4"/>
  <c r="AF271" i="4"/>
  <c r="AF287" i="4"/>
  <c r="AF187" i="4"/>
  <c r="AF401" i="4"/>
  <c r="AF356" i="4"/>
  <c r="AF381" i="4"/>
  <c r="AF423" i="4"/>
  <c r="AF382" i="4"/>
  <c r="AF350" i="4"/>
  <c r="AF345" i="4"/>
  <c r="AF477" i="4"/>
  <c r="U456" i="4"/>
  <c r="AA457" i="4"/>
  <c r="U457" i="4"/>
  <c r="AA474" i="4"/>
  <c r="U474" i="4"/>
  <c r="AA460" i="4"/>
  <c r="F226" i="4"/>
  <c r="J228" i="12"/>
  <c r="D9" i="5"/>
  <c r="K9" i="5"/>
  <c r="F7" i="2" s="1"/>
  <c r="B7" i="2"/>
  <c r="AA445" i="4"/>
  <c r="U445" i="4"/>
  <c r="U450" i="4"/>
  <c r="F458" i="4"/>
  <c r="B43" i="8"/>
  <c r="F158" i="4"/>
  <c r="J160" i="12"/>
  <c r="D11" i="5"/>
  <c r="K11" i="5"/>
  <c r="F9" i="2" s="1"/>
  <c r="B9" i="2"/>
  <c r="AA468" i="4"/>
  <c r="F215" i="4"/>
  <c r="J217" i="12"/>
  <c r="AA473" i="4"/>
  <c r="U473" i="4"/>
  <c r="H22" i="4"/>
  <c r="K24" i="12" s="1"/>
  <c r="F180" i="4"/>
  <c r="J182" i="12"/>
  <c r="G44" i="4"/>
  <c r="F442" i="4"/>
  <c r="F451" i="4"/>
  <c r="F303" i="4"/>
  <c r="J305" i="12"/>
  <c r="F452" i="4"/>
  <c r="E5" i="9"/>
  <c r="G5" i="9" s="1"/>
  <c r="F5" i="9"/>
  <c r="D74" i="11"/>
  <c r="D73" i="11"/>
  <c r="D72" i="11"/>
  <c r="D71" i="11"/>
  <c r="D70" i="11"/>
  <c r="D69" i="11"/>
  <c r="D68" i="11"/>
  <c r="D67" i="11"/>
  <c r="D66" i="11"/>
  <c r="D65" i="11"/>
  <c r="D64" i="11"/>
  <c r="D63" i="11"/>
  <c r="D62" i="11"/>
  <c r="D61" i="11"/>
  <c r="D60" i="11"/>
  <c r="D56" i="11"/>
  <c r="D55" i="11"/>
  <c r="D54" i="11"/>
  <c r="D53" i="11"/>
  <c r="D52" i="11"/>
  <c r="D51" i="11"/>
  <c r="D50" i="11"/>
  <c r="D49" i="11"/>
  <c r="D48" i="11"/>
  <c r="D47" i="11"/>
  <c r="D46" i="11"/>
  <c r="D45" i="11"/>
  <c r="D44" i="11"/>
  <c r="D43" i="11"/>
  <c r="D42" i="11"/>
  <c r="D38" i="11"/>
  <c r="D37" i="11"/>
  <c r="D36" i="11"/>
  <c r="D35" i="11"/>
  <c r="D34" i="11"/>
  <c r="D33" i="11"/>
  <c r="D32" i="11"/>
  <c r="D31" i="11"/>
  <c r="D30" i="11"/>
  <c r="D29" i="11"/>
  <c r="D28" i="11"/>
  <c r="D27" i="11"/>
  <c r="D26" i="11"/>
  <c r="D25" i="11"/>
  <c r="D24" i="11"/>
  <c r="D20" i="11"/>
  <c r="D19" i="11"/>
  <c r="D18" i="11"/>
  <c r="D17" i="11"/>
  <c r="D16" i="11"/>
  <c r="D15" i="11"/>
  <c r="D14" i="11"/>
  <c r="D13" i="11"/>
  <c r="D12" i="11"/>
  <c r="D11" i="11"/>
  <c r="D10" i="11"/>
  <c r="D9" i="11"/>
  <c r="D8" i="11"/>
  <c r="D7" i="11"/>
  <c r="D6" i="11"/>
  <c r="C74" i="11"/>
  <c r="C73" i="11"/>
  <c r="C72" i="11"/>
  <c r="C71" i="11"/>
  <c r="C70" i="11"/>
  <c r="C69" i="11"/>
  <c r="C68" i="11"/>
  <c r="C67" i="11"/>
  <c r="C66" i="11"/>
  <c r="C65" i="11"/>
  <c r="C64" i="11"/>
  <c r="C63" i="11"/>
  <c r="C62" i="11"/>
  <c r="C61" i="11"/>
  <c r="C60" i="11"/>
  <c r="C56" i="11"/>
  <c r="C55" i="11"/>
  <c r="C54" i="11"/>
  <c r="C53" i="11"/>
  <c r="C52" i="11"/>
  <c r="C51" i="11"/>
  <c r="C50" i="11"/>
  <c r="C49" i="11"/>
  <c r="C48" i="11"/>
  <c r="C47" i="11"/>
  <c r="C46" i="11"/>
  <c r="C45" i="11"/>
  <c r="C44" i="11"/>
  <c r="C43" i="11"/>
  <c r="C42" i="11"/>
  <c r="C38" i="11"/>
  <c r="C37" i="11"/>
  <c r="C36" i="11"/>
  <c r="C35" i="11"/>
  <c r="C34" i="11"/>
  <c r="C33" i="11"/>
  <c r="C32" i="11"/>
  <c r="C31" i="11"/>
  <c r="C30" i="11"/>
  <c r="C29" i="11"/>
  <c r="C28" i="11"/>
  <c r="C27" i="11"/>
  <c r="C26" i="11"/>
  <c r="C25" i="11"/>
  <c r="C24" i="11"/>
  <c r="C20" i="11"/>
  <c r="C19" i="11"/>
  <c r="C18" i="11"/>
  <c r="C17" i="11"/>
  <c r="C16" i="11"/>
  <c r="C15" i="11"/>
  <c r="C14" i="11"/>
  <c r="C13" i="11"/>
  <c r="C12" i="11"/>
  <c r="C11" i="11"/>
  <c r="C10" i="11"/>
  <c r="C9" i="11"/>
  <c r="C8" i="11"/>
  <c r="C7" i="11"/>
  <c r="C6" i="11"/>
  <c r="B74" i="11"/>
  <c r="B73" i="11"/>
  <c r="B72" i="11"/>
  <c r="B71" i="11"/>
  <c r="B70" i="11"/>
  <c r="B69" i="11"/>
  <c r="B68" i="11"/>
  <c r="B67" i="11"/>
  <c r="B66" i="11"/>
  <c r="B65" i="11"/>
  <c r="B64" i="11"/>
  <c r="B63" i="11"/>
  <c r="B62" i="11"/>
  <c r="B61" i="11"/>
  <c r="B60" i="11"/>
  <c r="B56" i="11"/>
  <c r="B55" i="11"/>
  <c r="B54" i="11"/>
  <c r="B53" i="11"/>
  <c r="B52" i="11"/>
  <c r="B51" i="11"/>
  <c r="B50" i="11"/>
  <c r="B49" i="11"/>
  <c r="B48" i="11"/>
  <c r="B47" i="11"/>
  <c r="B46" i="11"/>
  <c r="B45" i="11"/>
  <c r="B44" i="11"/>
  <c r="B43" i="11"/>
  <c r="B42" i="11"/>
  <c r="B38" i="11"/>
  <c r="B37" i="11"/>
  <c r="B36" i="11"/>
  <c r="B35" i="11"/>
  <c r="B34" i="11"/>
  <c r="B33" i="11"/>
  <c r="B32" i="11"/>
  <c r="B31" i="11"/>
  <c r="B30" i="11"/>
  <c r="B29" i="11"/>
  <c r="B28" i="11"/>
  <c r="B27" i="11"/>
  <c r="B26" i="11"/>
  <c r="B25" i="11"/>
  <c r="B24" i="11"/>
  <c r="B20" i="11"/>
  <c r="B19" i="11"/>
  <c r="B18" i="11"/>
  <c r="B17" i="11"/>
  <c r="B16" i="11"/>
  <c r="B15" i="11"/>
  <c r="B14" i="11"/>
  <c r="B13" i="11"/>
  <c r="B12" i="11"/>
  <c r="B11" i="11"/>
  <c r="B10" i="11"/>
  <c r="B9" i="11"/>
  <c r="B8" i="11"/>
  <c r="B7" i="11"/>
  <c r="B6" i="11"/>
  <c r="E74" i="11"/>
  <c r="E73" i="11"/>
  <c r="E72" i="11"/>
  <c r="E71" i="11"/>
  <c r="E70" i="11"/>
  <c r="E69" i="11"/>
  <c r="E68" i="11"/>
  <c r="E67" i="11"/>
  <c r="E66" i="11"/>
  <c r="E65" i="11"/>
  <c r="E64" i="11"/>
  <c r="E63" i="11"/>
  <c r="E62" i="11"/>
  <c r="E61" i="11"/>
  <c r="E60" i="11"/>
  <c r="E56" i="11"/>
  <c r="E55" i="11"/>
  <c r="E54" i="11"/>
  <c r="E53" i="11"/>
  <c r="E52" i="11"/>
  <c r="E51" i="11"/>
  <c r="E50" i="11"/>
  <c r="E49" i="11"/>
  <c r="E48" i="11"/>
  <c r="E47" i="11"/>
  <c r="E46" i="11"/>
  <c r="E45" i="11"/>
  <c r="E44" i="11"/>
  <c r="E43" i="11"/>
  <c r="E42" i="11"/>
  <c r="E38" i="11"/>
  <c r="E37" i="11"/>
  <c r="E36" i="11"/>
  <c r="E35" i="11"/>
  <c r="E34" i="11"/>
  <c r="E33" i="11"/>
  <c r="E32" i="11"/>
  <c r="E31" i="11"/>
  <c r="E30" i="11"/>
  <c r="E29" i="11"/>
  <c r="E28" i="11"/>
  <c r="E27" i="11"/>
  <c r="E26" i="11"/>
  <c r="E25" i="11"/>
  <c r="E24" i="11"/>
  <c r="E20" i="11"/>
  <c r="E19" i="11"/>
  <c r="E18" i="11"/>
  <c r="E17" i="11"/>
  <c r="E16" i="11"/>
  <c r="E15" i="11"/>
  <c r="E14" i="11"/>
  <c r="E13" i="11"/>
  <c r="E12" i="11"/>
  <c r="E11" i="11"/>
  <c r="E10" i="11"/>
  <c r="E9" i="11"/>
  <c r="E8" i="11"/>
  <c r="E7" i="11"/>
  <c r="E6" i="11"/>
  <c r="AA463" i="4"/>
  <c r="U463" i="4"/>
  <c r="F304" i="4"/>
  <c r="J306" i="12"/>
  <c r="F343" i="4"/>
  <c r="J345" i="12"/>
  <c r="F444" i="4"/>
  <c r="F418" i="4"/>
  <c r="H14" i="4"/>
  <c r="K16" i="12" s="1"/>
  <c r="H3" i="4"/>
  <c r="K5" i="12" s="1"/>
  <c r="G37" i="4"/>
  <c r="G22" i="4"/>
  <c r="G9" i="4"/>
  <c r="G2" i="4"/>
  <c r="G36" i="4"/>
  <c r="G20" i="4"/>
  <c r="G45" i="4"/>
  <c r="G34" i="4"/>
  <c r="G19" i="4"/>
  <c r="G5" i="4"/>
  <c r="G18" i="4"/>
  <c r="G33" i="4"/>
  <c r="K10" i="5"/>
  <c r="F8" i="2" s="1"/>
  <c r="D10" i="5"/>
  <c r="B8" i="2"/>
  <c r="F261" i="4"/>
  <c r="J263" i="12"/>
  <c r="F379" i="4"/>
  <c r="J380" i="12"/>
  <c r="F453" i="4"/>
  <c r="H19" i="4"/>
  <c r="K21" i="12" s="1"/>
  <c r="F464" i="4"/>
  <c r="F455" i="4"/>
  <c r="AF387" i="4"/>
  <c r="AF479" i="4"/>
  <c r="E59" i="8"/>
  <c r="G42" i="4" s="1"/>
  <c r="G39" i="4"/>
  <c r="G35" i="4"/>
  <c r="G27" i="4"/>
  <c r="G15" i="4"/>
  <c r="G8" i="4"/>
  <c r="G7" i="4"/>
  <c r="G66" i="4"/>
  <c r="AF90" i="4"/>
  <c r="AF122" i="4"/>
  <c r="AF76" i="4"/>
  <c r="AF77" i="4"/>
  <c r="AF108" i="4"/>
  <c r="AF94" i="4"/>
  <c r="AF126" i="4"/>
  <c r="AF127" i="4"/>
  <c r="G81" i="4"/>
  <c r="AF88" i="4"/>
  <c r="AF120" i="4"/>
  <c r="AF42" i="4"/>
  <c r="AF46" i="4"/>
  <c r="AF114" i="4"/>
  <c r="G91" i="4"/>
  <c r="G76" i="4"/>
  <c r="AF100" i="4"/>
  <c r="AF101" i="4"/>
  <c r="H71" i="4"/>
  <c r="K73" i="12" s="1"/>
  <c r="G79" i="4"/>
  <c r="AF80" i="4"/>
  <c r="AF81" i="4"/>
  <c r="AF113" i="4"/>
  <c r="AF8" i="4"/>
  <c r="AF10" i="4"/>
  <c r="AF24" i="4"/>
  <c r="AF30" i="4"/>
  <c r="AF32" i="4"/>
  <c r="AF38" i="4"/>
  <c r="H13" i="4"/>
  <c r="K15" i="12" s="1"/>
  <c r="H15" i="4"/>
  <c r="K17" i="12" s="1"/>
  <c r="AF75" i="4"/>
  <c r="AF91" i="4"/>
  <c r="AF99" i="4"/>
  <c r="H8" i="4"/>
  <c r="K10" i="12" s="1"/>
  <c r="AF60" i="4"/>
  <c r="H77" i="4"/>
  <c r="K79" i="12" s="1"/>
  <c r="AF92" i="4"/>
  <c r="AF93" i="4"/>
  <c r="AF125" i="4"/>
  <c r="G71" i="4"/>
  <c r="AF78" i="4"/>
  <c r="AF79" i="4"/>
  <c r="AF111" i="4"/>
  <c r="AF296" i="4"/>
  <c r="AF137" i="4"/>
  <c r="AF47" i="4"/>
  <c r="H35" i="4"/>
  <c r="K37" i="12" s="1"/>
  <c r="AF66" i="4"/>
  <c r="H90" i="4"/>
  <c r="K92" i="12" s="1"/>
  <c r="G77" i="4"/>
  <c r="G92" i="4"/>
  <c r="H17" i="4"/>
  <c r="K19" i="12" s="1"/>
  <c r="AF71" i="4"/>
  <c r="G78" i="4"/>
  <c r="H30" i="4"/>
  <c r="K32" i="12" s="1"/>
  <c r="H38" i="4"/>
  <c r="K40" i="12" s="1"/>
  <c r="H81" i="4"/>
  <c r="K83" i="12" s="1"/>
  <c r="H88" i="4"/>
  <c r="K90" i="12" s="1"/>
  <c r="AF128" i="4"/>
  <c r="AF129" i="4"/>
  <c r="AF7" i="4"/>
  <c r="AF13" i="4"/>
  <c r="AF15" i="4"/>
  <c r="AF17" i="4"/>
  <c r="AF23" i="4"/>
  <c r="AF27" i="4"/>
  <c r="AF29" i="4"/>
  <c r="AF35" i="4"/>
  <c r="AF39" i="4"/>
  <c r="AF354" i="4"/>
  <c r="D12" i="5"/>
  <c r="E58" i="8"/>
  <c r="G6" i="4" s="1"/>
  <c r="H107" i="4"/>
  <c r="K109" i="12" s="1"/>
  <c r="H28" i="4"/>
  <c r="K30" i="12" s="1"/>
  <c r="AF292" i="4"/>
  <c r="AF63" i="4"/>
  <c r="G87" i="4"/>
  <c r="AF95" i="4"/>
  <c r="H6" i="4"/>
  <c r="K8" i="12" s="1"/>
  <c r="AF121" i="4"/>
  <c r="G59" i="4"/>
  <c r="H52" i="4"/>
  <c r="K54" i="12" s="1"/>
  <c r="AF68" i="4"/>
  <c r="AF132" i="4"/>
  <c r="AF133" i="4"/>
  <c r="AF87" i="4"/>
  <c r="AF118" i="4"/>
  <c r="AF119" i="4"/>
  <c r="H104" i="4"/>
  <c r="K106" i="12" s="1"/>
  <c r="AF112" i="4"/>
  <c r="AF28" i="4"/>
  <c r="AF74" i="4"/>
  <c r="AF59" i="4"/>
  <c r="AF67" i="4"/>
  <c r="AF83" i="4"/>
  <c r="AF107" i="4"/>
  <c r="AF52" i="4"/>
  <c r="G68" i="4"/>
  <c r="AF124" i="4"/>
  <c r="H63" i="4"/>
  <c r="K65" i="12" s="1"/>
  <c r="AF73" i="4"/>
  <c r="AF104" i="4"/>
  <c r="H121" i="4"/>
  <c r="K123" i="12" s="1"/>
  <c r="AF136" i="4"/>
  <c r="AF6" i="4"/>
  <c r="AF98" i="4"/>
  <c r="G52" i="4"/>
  <c r="AF84" i="4"/>
  <c r="AF117" i="4"/>
  <c r="G95" i="4"/>
  <c r="AF134" i="4"/>
  <c r="AF135" i="4"/>
  <c r="AF64" i="4"/>
  <c r="AF65" i="4"/>
  <c r="AF96" i="4"/>
  <c r="G104" i="4"/>
  <c r="AF482" i="4"/>
  <c r="C20" i="2"/>
  <c r="U15" i="13"/>
  <c r="E20" i="2" s="1"/>
  <c r="J344" i="12"/>
  <c r="AF384" i="4"/>
  <c r="F60" i="8"/>
  <c r="K12" i="5"/>
  <c r="F10" i="2" s="1"/>
  <c r="AF411" i="4"/>
  <c r="AF419" i="4"/>
  <c r="F461" i="4"/>
  <c r="F454" i="4"/>
  <c r="AF486" i="4"/>
  <c r="AF331" i="4"/>
  <c r="AF305" i="4"/>
  <c r="AF323" i="4"/>
  <c r="AF336" i="4"/>
  <c r="AF173" i="4"/>
  <c r="AF193" i="4"/>
  <c r="AF358" i="4"/>
  <c r="AF352" i="4"/>
  <c r="AF368" i="4"/>
  <c r="AF394" i="4"/>
  <c r="F448" i="4"/>
  <c r="AF412" i="4"/>
  <c r="AF428" i="4"/>
  <c r="F471" i="4"/>
  <c r="C19" i="2"/>
  <c r="U14" i="13"/>
  <c r="E19" i="2" s="1"/>
  <c r="AF407" i="4"/>
  <c r="AF421" i="4"/>
  <c r="F449" i="4"/>
  <c r="F466" i="4"/>
  <c r="AF386" i="4"/>
  <c r="G21" i="4"/>
  <c r="G11" i="4"/>
  <c r="G3" i="4"/>
  <c r="G14" i="4"/>
  <c r="G26" i="4"/>
  <c r="G40" i="4"/>
  <c r="C6" i="9"/>
  <c r="D6" i="9"/>
  <c r="AG471" i="4"/>
  <c r="AG467" i="4"/>
  <c r="AG463" i="4"/>
  <c r="AG459" i="4"/>
  <c r="AG455" i="4"/>
  <c r="AG451" i="4"/>
  <c r="AG447" i="4"/>
  <c r="AG443" i="4"/>
  <c r="AG418" i="4"/>
  <c r="AG474" i="4"/>
  <c r="AG470" i="4"/>
  <c r="AG466" i="4"/>
  <c r="AG462" i="4"/>
  <c r="AG458" i="4"/>
  <c r="AG454" i="4"/>
  <c r="AG450" i="4"/>
  <c r="AG446" i="4"/>
  <c r="AG442" i="4"/>
  <c r="AG380" i="4"/>
  <c r="AG379" i="4"/>
  <c r="AG473" i="4"/>
  <c r="AG469" i="4"/>
  <c r="AG465" i="4"/>
  <c r="AG461" i="4"/>
  <c r="AG457" i="4"/>
  <c r="AG453" i="4"/>
  <c r="AG449" i="4"/>
  <c r="AG445" i="4"/>
  <c r="AG441" i="4"/>
  <c r="AG472" i="4"/>
  <c r="AG468" i="4"/>
  <c r="AG464" i="4"/>
  <c r="AG460" i="4"/>
  <c r="AG456" i="4"/>
  <c r="AG452" i="4"/>
  <c r="AG448" i="4"/>
  <c r="AG444" i="4"/>
  <c r="AG342" i="4"/>
  <c r="AG303" i="4"/>
  <c r="AG343" i="4"/>
  <c r="AG304" i="4"/>
  <c r="AG116" i="4"/>
  <c r="AG110" i="4"/>
  <c r="AG106" i="4"/>
  <c r="AG82" i="4"/>
  <c r="AG70" i="4"/>
  <c r="AG58" i="4"/>
  <c r="AG180" i="4"/>
  <c r="AG43" i="4"/>
  <c r="AG226" i="4"/>
  <c r="AG158" i="4"/>
  <c r="AG41" i="4"/>
  <c r="AG123" i="4"/>
  <c r="AG89" i="4"/>
  <c r="AG69" i="4"/>
  <c r="AG55" i="4"/>
  <c r="AG51" i="4"/>
  <c r="AG215" i="4"/>
  <c r="AG261" i="4"/>
  <c r="J7" i="2"/>
  <c r="F69" i="4"/>
  <c r="F43" i="4"/>
  <c r="AG481" i="4"/>
  <c r="AG477" i="4"/>
  <c r="AG475" i="4"/>
  <c r="AG435" i="4"/>
  <c r="AG425" i="4"/>
  <c r="AG424" i="4"/>
  <c r="AG423" i="4"/>
  <c r="AG422" i="4"/>
  <c r="AG421" i="4"/>
  <c r="AG420" i="4"/>
  <c r="AG419" i="4"/>
  <c r="AG409" i="4"/>
  <c r="AG408" i="4"/>
  <c r="AG407" i="4"/>
  <c r="AG406" i="4"/>
  <c r="AG405" i="4"/>
  <c r="AG404" i="4"/>
  <c r="AG403" i="4"/>
  <c r="AG402" i="4"/>
  <c r="AG401" i="4"/>
  <c r="AG400" i="4"/>
  <c r="AG399" i="4"/>
  <c r="AG480" i="4"/>
  <c r="AG438" i="4"/>
  <c r="AG434" i="4"/>
  <c r="AG388" i="4"/>
  <c r="AG387" i="4"/>
  <c r="AG386" i="4"/>
  <c r="AG385" i="4"/>
  <c r="AG384" i="4"/>
  <c r="AG383" i="4"/>
  <c r="AG382" i="4"/>
  <c r="AG381" i="4"/>
  <c r="AG479" i="4"/>
  <c r="AG437" i="4"/>
  <c r="AG482" i="4"/>
  <c r="AG478" i="4"/>
  <c r="AG476" i="4"/>
  <c r="AG436" i="4"/>
  <c r="AG373" i="4"/>
  <c r="AG361" i="4"/>
  <c r="AG357" i="4"/>
  <c r="AG349" i="4"/>
  <c r="AG345" i="4"/>
  <c r="AG374" i="4"/>
  <c r="AG362" i="4"/>
  <c r="AG358" i="4"/>
  <c r="AG350" i="4"/>
  <c r="AG346" i="4"/>
  <c r="AG333" i="4"/>
  <c r="AG331" i="4"/>
  <c r="AG329" i="4"/>
  <c r="AG317" i="4"/>
  <c r="AG315" i="4"/>
  <c r="AG313" i="4"/>
  <c r="AG311" i="4"/>
  <c r="AG309" i="4"/>
  <c r="AG307" i="4"/>
  <c r="AG305" i="4"/>
  <c r="AG363" i="4"/>
  <c r="AG359" i="4"/>
  <c r="AG347" i="4"/>
  <c r="AG372" i="4"/>
  <c r="AG364" i="4"/>
  <c r="AG360" i="4"/>
  <c r="AG356" i="4"/>
  <c r="AG348" i="4"/>
  <c r="AG344" i="4"/>
  <c r="AG334" i="4"/>
  <c r="AG332" i="4"/>
  <c r="AG330" i="4"/>
  <c r="AG316" i="4"/>
  <c r="AG314" i="4"/>
  <c r="AG312" i="4"/>
  <c r="AG310" i="4"/>
  <c r="AG308" i="4"/>
  <c r="AG306" i="4"/>
  <c r="AG136" i="4"/>
  <c r="AG134" i="4"/>
  <c r="AG132" i="4"/>
  <c r="AG124" i="4"/>
  <c r="AG118" i="4"/>
  <c r="AG112" i="4"/>
  <c r="AG104" i="4"/>
  <c r="AG98" i="4"/>
  <c r="AG96" i="4"/>
  <c r="AG84" i="4"/>
  <c r="AG74" i="4"/>
  <c r="AG68" i="4"/>
  <c r="AG64" i="4"/>
  <c r="AG52" i="4"/>
  <c r="AG188" i="4"/>
  <c r="AG186" i="4"/>
  <c r="AG182" i="4"/>
  <c r="AG162" i="4"/>
  <c r="AG154" i="4"/>
  <c r="AG140" i="4"/>
  <c r="AG292" i="4"/>
  <c r="AG290" i="4"/>
  <c r="AG288" i="4"/>
  <c r="AG286" i="4"/>
  <c r="AG284" i="4"/>
  <c r="AG272" i="4"/>
  <c r="AG270" i="4"/>
  <c r="AG268" i="4"/>
  <c r="AG266" i="4"/>
  <c r="AG264" i="4"/>
  <c r="AG262" i="4"/>
  <c r="AG252" i="4"/>
  <c r="AG250" i="4"/>
  <c r="AG248" i="4"/>
  <c r="AG246" i="4"/>
  <c r="AG244" i="4"/>
  <c r="AG228" i="4"/>
  <c r="AG220" i="4"/>
  <c r="AG218" i="4"/>
  <c r="AG216" i="4"/>
  <c r="AG208" i="4"/>
  <c r="AG206" i="4"/>
  <c r="AG202" i="4"/>
  <c r="AG200" i="4"/>
  <c r="AG184" i="4"/>
  <c r="AG172" i="4"/>
  <c r="AG160" i="4"/>
  <c r="AG148" i="4"/>
  <c r="AG142" i="4"/>
  <c r="AG135" i="4"/>
  <c r="AG133" i="4"/>
  <c r="AG121" i="4"/>
  <c r="AG119" i="4"/>
  <c r="AG117" i="4"/>
  <c r="AG107" i="4"/>
  <c r="AG95" i="4"/>
  <c r="AG87" i="4"/>
  <c r="AG83" i="4"/>
  <c r="AG73" i="4"/>
  <c r="AG67" i="4"/>
  <c r="AG65" i="4"/>
  <c r="AG63" i="4"/>
  <c r="AG59" i="4"/>
  <c r="J8" i="2"/>
  <c r="AG219" i="4"/>
  <c r="AG209" i="4"/>
  <c r="AG207" i="4"/>
  <c r="AG205" i="4"/>
  <c r="AG201" i="4"/>
  <c r="AG187" i="4"/>
  <c r="AG185" i="4"/>
  <c r="AG183" i="4"/>
  <c r="AG181" i="4"/>
  <c r="AG159" i="4"/>
  <c r="AG153" i="4"/>
  <c r="AG149" i="4"/>
  <c r="AG141" i="4"/>
  <c r="AG6" i="4"/>
  <c r="AG291" i="4"/>
  <c r="AG289" i="4"/>
  <c r="AG287" i="4"/>
  <c r="AG285" i="4"/>
  <c r="AG273" i="4"/>
  <c r="AG271" i="4"/>
  <c r="AG269" i="4"/>
  <c r="AG267" i="4"/>
  <c r="AG265" i="4"/>
  <c r="AG263" i="4"/>
  <c r="AG251" i="4"/>
  <c r="AG249" i="4"/>
  <c r="AG247" i="4"/>
  <c r="AG245" i="4"/>
  <c r="AG227" i="4"/>
  <c r="AG221" i="4"/>
  <c r="AG217" i="4"/>
  <c r="AG173" i="4"/>
  <c r="AG171" i="4"/>
  <c r="AG161" i="4"/>
  <c r="AG28" i="4"/>
  <c r="AF378" i="4"/>
  <c r="F380" i="4"/>
  <c r="F443" i="4"/>
  <c r="G25" i="4"/>
  <c r="G12" i="4"/>
  <c r="G4" i="4"/>
  <c r="G16" i="4"/>
  <c r="G31" i="4"/>
  <c r="H123" i="4"/>
  <c r="K125" i="12" s="1"/>
  <c r="G116" i="4"/>
  <c r="H106" i="4"/>
  <c r="K108" i="12" s="1"/>
  <c r="G123" i="4"/>
  <c r="H110" i="4"/>
  <c r="K112" i="12" s="1"/>
  <c r="H116" i="4"/>
  <c r="K118" i="12" s="1"/>
  <c r="H89" i="4"/>
  <c r="K91" i="12" s="1"/>
  <c r="G106" i="4"/>
  <c r="G110" i="4"/>
  <c r="G89" i="4"/>
  <c r="F55" i="4"/>
  <c r="U470" i="4" l="1"/>
  <c r="U447" i="4"/>
  <c r="H96" i="4"/>
  <c r="K98" i="12" s="1"/>
  <c r="H84" i="4"/>
  <c r="K86" i="12" s="1"/>
  <c r="H112" i="4"/>
  <c r="K114" i="12" s="1"/>
  <c r="G98" i="4"/>
  <c r="J100" i="12" s="1"/>
  <c r="G60" i="4"/>
  <c r="H32" i="4"/>
  <c r="K34" i="12" s="1"/>
  <c r="H42" i="4"/>
  <c r="K44" i="12" s="1"/>
  <c r="H39" i="4"/>
  <c r="K41" i="12" s="1"/>
  <c r="H75" i="4"/>
  <c r="K77" i="12" s="1"/>
  <c r="G29" i="4"/>
  <c r="G23" i="4"/>
  <c r="G46" i="4"/>
  <c r="J48" i="12" s="1"/>
  <c r="U342" i="4"/>
  <c r="M344" i="12" s="1"/>
  <c r="AA41" i="4"/>
  <c r="I43" i="12"/>
  <c r="U41" i="4"/>
  <c r="M43" i="12" s="1"/>
  <c r="I344" i="12"/>
  <c r="U462" i="4"/>
  <c r="AA70" i="4"/>
  <c r="U70" i="4"/>
  <c r="M72" i="12" s="1"/>
  <c r="I72" i="12"/>
  <c r="U465" i="4"/>
  <c r="U467" i="4"/>
  <c r="U472" i="4"/>
  <c r="AA459" i="4"/>
  <c r="U459" i="4"/>
  <c r="G121" i="4"/>
  <c r="H87" i="4"/>
  <c r="K89" i="12" s="1"/>
  <c r="G73" i="4"/>
  <c r="G67" i="4"/>
  <c r="G96" i="4"/>
  <c r="H59" i="4"/>
  <c r="K61" i="12" s="1"/>
  <c r="AA446" i="4"/>
  <c r="U446" i="4"/>
  <c r="H46" i="4"/>
  <c r="K48" i="12" s="1"/>
  <c r="H76" i="4"/>
  <c r="K78" i="12" s="1"/>
  <c r="H47" i="4"/>
  <c r="K49" i="12" s="1"/>
  <c r="G80" i="4"/>
  <c r="H24" i="4"/>
  <c r="K26" i="12" s="1"/>
  <c r="H66" i="4"/>
  <c r="K68" i="12" s="1"/>
  <c r="G88" i="4"/>
  <c r="H10" i="4"/>
  <c r="K12" i="12" s="1"/>
  <c r="H60" i="4"/>
  <c r="K62" i="12" s="1"/>
  <c r="G90" i="4"/>
  <c r="F90" i="4" s="1"/>
  <c r="H80" i="4"/>
  <c r="K82" i="12" s="1"/>
  <c r="H79" i="4"/>
  <c r="K81" i="12" s="1"/>
  <c r="H91" i="4"/>
  <c r="K93" i="12" s="1"/>
  <c r="G30" i="4"/>
  <c r="F30" i="4" s="1"/>
  <c r="G13" i="4"/>
  <c r="F13" i="4" s="1"/>
  <c r="G24" i="4"/>
  <c r="G38" i="4"/>
  <c r="G47" i="4"/>
  <c r="F47" i="4" s="1"/>
  <c r="U441" i="4"/>
  <c r="AA58" i="4"/>
  <c r="I60" i="12"/>
  <c r="U58" i="4"/>
  <c r="M60" i="12" s="1"/>
  <c r="H29" i="4"/>
  <c r="K31" i="12" s="1"/>
  <c r="H78" i="4"/>
  <c r="K80" i="12" s="1"/>
  <c r="H92" i="4"/>
  <c r="K94" i="12" s="1"/>
  <c r="G75" i="4"/>
  <c r="F75" i="4" s="1"/>
  <c r="H27" i="4"/>
  <c r="K29" i="12" s="1"/>
  <c r="H7" i="4"/>
  <c r="K9" i="12" s="1"/>
  <c r="H23" i="4"/>
  <c r="K25" i="12" s="1"/>
  <c r="G10" i="4"/>
  <c r="F10" i="4" s="1"/>
  <c r="G17" i="4"/>
  <c r="G32" i="4"/>
  <c r="U469" i="4"/>
  <c r="F6" i="4"/>
  <c r="J8" i="12"/>
  <c r="F40" i="4"/>
  <c r="J42" i="12"/>
  <c r="J75" i="12"/>
  <c r="F96" i="4"/>
  <c r="J98" i="12"/>
  <c r="J89" i="12"/>
  <c r="F29" i="4"/>
  <c r="J31" i="12"/>
  <c r="F23" i="4"/>
  <c r="J25" i="12"/>
  <c r="F18" i="4"/>
  <c r="J20" i="12"/>
  <c r="F45" i="4"/>
  <c r="J47" i="12"/>
  <c r="F9" i="4"/>
  <c r="J11" i="12"/>
  <c r="AA343" i="4"/>
  <c r="I345" i="12"/>
  <c r="U343" i="4"/>
  <c r="M345" i="12" s="1"/>
  <c r="AA303" i="4"/>
  <c r="I305" i="12"/>
  <c r="U303" i="4"/>
  <c r="M305" i="12" s="1"/>
  <c r="AA215" i="4"/>
  <c r="I217" i="12"/>
  <c r="U215" i="4"/>
  <c r="M217" i="12" s="1"/>
  <c r="AA55" i="4"/>
  <c r="I57" i="12"/>
  <c r="U55" i="4"/>
  <c r="M57" i="12" s="1"/>
  <c r="F4" i="4"/>
  <c r="J6" i="12"/>
  <c r="AA43" i="4"/>
  <c r="I45" i="12"/>
  <c r="U43" i="4"/>
  <c r="M45" i="12" s="1"/>
  <c r="F11" i="4"/>
  <c r="J13" i="12"/>
  <c r="F104" i="4"/>
  <c r="J106" i="12"/>
  <c r="J70" i="12"/>
  <c r="F59" i="4"/>
  <c r="J61" i="12"/>
  <c r="F77" i="4"/>
  <c r="J79" i="12"/>
  <c r="J78" i="12"/>
  <c r="F35" i="4"/>
  <c r="J37" i="12"/>
  <c r="F110" i="4"/>
  <c r="J112" i="12"/>
  <c r="F12" i="4"/>
  <c r="J14" i="12"/>
  <c r="AA380" i="4"/>
  <c r="I381" i="12"/>
  <c r="U380" i="4"/>
  <c r="M381" i="12" s="1"/>
  <c r="AA69" i="4"/>
  <c r="U69" i="4"/>
  <c r="M71" i="12" s="1"/>
  <c r="I71" i="12"/>
  <c r="F26" i="4"/>
  <c r="J28" i="12"/>
  <c r="F21" i="4"/>
  <c r="J23" i="12"/>
  <c r="AA466" i="4"/>
  <c r="U466" i="4"/>
  <c r="AA448" i="4"/>
  <c r="U448" i="4"/>
  <c r="G63" i="4"/>
  <c r="G74" i="4"/>
  <c r="G112" i="4"/>
  <c r="G65" i="4"/>
  <c r="G118" i="4"/>
  <c r="H65" i="4"/>
  <c r="K67" i="12" s="1"/>
  <c r="G107" i="4"/>
  <c r="H74" i="4"/>
  <c r="K76" i="12" s="1"/>
  <c r="H73" i="4"/>
  <c r="K75" i="12" s="1"/>
  <c r="G119" i="4"/>
  <c r="G84" i="4"/>
  <c r="H83" i="4"/>
  <c r="K85" i="12" s="1"/>
  <c r="G28" i="4"/>
  <c r="F81" i="4"/>
  <c r="J83" i="12"/>
  <c r="J15" i="12"/>
  <c r="F24" i="4"/>
  <c r="J26" i="12"/>
  <c r="F38" i="4"/>
  <c r="J40" i="12"/>
  <c r="AA379" i="4"/>
  <c r="I380" i="12"/>
  <c r="U379" i="4"/>
  <c r="M380" i="12" s="1"/>
  <c r="F10" i="5"/>
  <c r="G10" i="5" s="1"/>
  <c r="L10" i="5"/>
  <c r="H8" i="2" s="1"/>
  <c r="F5" i="4"/>
  <c r="J7" i="12"/>
  <c r="F20" i="4"/>
  <c r="J22" i="12"/>
  <c r="F22" i="4"/>
  <c r="J24" i="12"/>
  <c r="AA418" i="4"/>
  <c r="U418" i="4"/>
  <c r="AA451" i="4"/>
  <c r="U451" i="4"/>
  <c r="F11" i="5"/>
  <c r="G11" i="5" s="1"/>
  <c r="L11" i="5"/>
  <c r="H9" i="2" s="1"/>
  <c r="F58" i="8"/>
  <c r="AA226" i="4"/>
  <c r="I228" i="12"/>
  <c r="U226" i="4"/>
  <c r="M228" i="12" s="1"/>
  <c r="F89" i="4"/>
  <c r="J91" i="12"/>
  <c r="F116" i="4"/>
  <c r="J118" i="12"/>
  <c r="AA461" i="4"/>
  <c r="U461" i="4"/>
  <c r="H147" i="4"/>
  <c r="K149" i="12" s="1"/>
  <c r="G417" i="4"/>
  <c r="H488" i="4"/>
  <c r="H341" i="4"/>
  <c r="K343" i="12" s="1"/>
  <c r="G397" i="4"/>
  <c r="H416" i="4"/>
  <c r="K405" i="12" s="1"/>
  <c r="H54" i="4"/>
  <c r="K56" i="12" s="1"/>
  <c r="H138" i="4"/>
  <c r="K140" i="12" s="1"/>
  <c r="H489" i="4"/>
  <c r="G243" i="4"/>
  <c r="H326" i="4"/>
  <c r="K328" i="12" s="1"/>
  <c r="H242" i="4"/>
  <c r="K244" i="12" s="1"/>
  <c r="G147" i="4"/>
  <c r="G341" i="4"/>
  <c r="H169" i="4"/>
  <c r="K171" i="12" s="1"/>
  <c r="H433" i="4"/>
  <c r="H417" i="4"/>
  <c r="G488" i="4"/>
  <c r="H397" i="4"/>
  <c r="K395" i="12" s="1"/>
  <c r="G416" i="4"/>
  <c r="H440" i="4"/>
  <c r="H339" i="4"/>
  <c r="K341" i="12" s="1"/>
  <c r="H198" i="4"/>
  <c r="K200" i="12" s="1"/>
  <c r="G72" i="4"/>
  <c r="G491" i="4"/>
  <c r="G48" i="4"/>
  <c r="H241" i="4"/>
  <c r="K243" i="12" s="1"/>
  <c r="H225" i="4"/>
  <c r="K227" i="12" s="1"/>
  <c r="H197" i="4"/>
  <c r="K199" i="12" s="1"/>
  <c r="H302" i="4"/>
  <c r="K304" i="12" s="1"/>
  <c r="G326" i="4"/>
  <c r="H56" i="4"/>
  <c r="K58" i="12" s="1"/>
  <c r="G86" i="4"/>
  <c r="G85" i="4"/>
  <c r="G130" i="4"/>
  <c r="G49" i="4"/>
  <c r="H325" i="4"/>
  <c r="K327" i="12" s="1"/>
  <c r="G337" i="4"/>
  <c r="H152" i="4"/>
  <c r="K154" i="12" s="1"/>
  <c r="H214" i="4"/>
  <c r="K216" i="12" s="1"/>
  <c r="H103" i="4"/>
  <c r="K105" i="12" s="1"/>
  <c r="H85" i="4"/>
  <c r="K87" i="12" s="1"/>
  <c r="H371" i="4"/>
  <c r="K372" i="12" s="1"/>
  <c r="H328" i="4"/>
  <c r="K330" i="12" s="1"/>
  <c r="H48" i="4"/>
  <c r="K50" i="12" s="1"/>
  <c r="G328" i="4"/>
  <c r="G138" i="4"/>
  <c r="G440" i="4"/>
  <c r="H327" i="4"/>
  <c r="K329" i="12" s="1"/>
  <c r="G339" i="4"/>
  <c r="H204" i="4"/>
  <c r="K206" i="12" s="1"/>
  <c r="G198" i="4"/>
  <c r="G62" i="4"/>
  <c r="H398" i="4"/>
  <c r="K396" i="12" s="1"/>
  <c r="G241" i="4"/>
  <c r="G225" i="4"/>
  <c r="H199" i="4"/>
  <c r="K201" i="12" s="1"/>
  <c r="G197" i="4"/>
  <c r="H338" i="4"/>
  <c r="K340" i="12" s="1"/>
  <c r="H196" i="4"/>
  <c r="K198" i="12" s="1"/>
  <c r="H492" i="4"/>
  <c r="H157" i="4"/>
  <c r="K159" i="12" s="1"/>
  <c r="G325" i="4"/>
  <c r="G152" i="4"/>
  <c r="G214" i="4"/>
  <c r="G105" i="4"/>
  <c r="G61" i="4"/>
  <c r="G115" i="4"/>
  <c r="H62" i="4"/>
  <c r="K64" i="12" s="1"/>
  <c r="H370" i="4"/>
  <c r="K371" i="12" s="1"/>
  <c r="G490" i="4"/>
  <c r="G371" i="4"/>
  <c r="H57" i="4"/>
  <c r="K59" i="12" s="1"/>
  <c r="H324" i="4"/>
  <c r="K326" i="12" s="1"/>
  <c r="G340" i="4"/>
  <c r="G131" i="4"/>
  <c r="H179" i="4"/>
  <c r="K181" i="12" s="1"/>
  <c r="G57" i="4"/>
  <c r="H130" i="4"/>
  <c r="K132" i="12" s="1"/>
  <c r="G56" i="4"/>
  <c r="H61" i="4"/>
  <c r="K63" i="12" s="1"/>
  <c r="G433" i="4"/>
  <c r="G169" i="4"/>
  <c r="G327" i="4"/>
  <c r="G204" i="4"/>
  <c r="G109" i="4"/>
  <c r="H131" i="4"/>
  <c r="K133" i="12" s="1"/>
  <c r="G260" i="4"/>
  <c r="H491" i="4"/>
  <c r="H243" i="4"/>
  <c r="K245" i="12" s="1"/>
  <c r="G199" i="4"/>
  <c r="G302" i="4"/>
  <c r="G242" i="4"/>
  <c r="G196" i="4"/>
  <c r="G97" i="4"/>
  <c r="G103" i="4"/>
  <c r="H139" i="4"/>
  <c r="K141" i="12" s="1"/>
  <c r="G157" i="4"/>
  <c r="H170" i="4"/>
  <c r="K172" i="12" s="1"/>
  <c r="H97" i="4"/>
  <c r="K99" i="12" s="1"/>
  <c r="G54" i="4"/>
  <c r="H260" i="4"/>
  <c r="K262" i="12" s="1"/>
  <c r="G370" i="4"/>
  <c r="H105" i="4"/>
  <c r="K107" i="12" s="1"/>
  <c r="G102" i="4"/>
  <c r="G179" i="4"/>
  <c r="H86" i="4"/>
  <c r="K88" i="12" s="1"/>
  <c r="H115" i="4"/>
  <c r="K117" i="12" s="1"/>
  <c r="G489" i="4"/>
  <c r="F489" i="4" s="1"/>
  <c r="G398" i="4"/>
  <c r="G338" i="4"/>
  <c r="H102" i="4"/>
  <c r="K104" i="12" s="1"/>
  <c r="H109" i="4"/>
  <c r="K111" i="12" s="1"/>
  <c r="G492" i="4"/>
  <c r="G139" i="4"/>
  <c r="H337" i="4"/>
  <c r="K339" i="12" s="1"/>
  <c r="G170" i="4"/>
  <c r="H72" i="4"/>
  <c r="K74" i="12" s="1"/>
  <c r="H49" i="4"/>
  <c r="K51" i="12" s="1"/>
  <c r="H490" i="4"/>
  <c r="G324" i="4"/>
  <c r="H340" i="4"/>
  <c r="K342" i="12" s="1"/>
  <c r="L12" i="5"/>
  <c r="H10" i="2" s="1"/>
  <c r="F12" i="5"/>
  <c r="G12" i="5" s="1"/>
  <c r="F80" i="4"/>
  <c r="J82" i="12"/>
  <c r="F8" i="4"/>
  <c r="J10" i="12"/>
  <c r="F106" i="4"/>
  <c r="J108" i="12"/>
  <c r="F123" i="4"/>
  <c r="J125" i="12"/>
  <c r="F31" i="4"/>
  <c r="J33" i="12"/>
  <c r="F25" i="4"/>
  <c r="J27" i="12"/>
  <c r="E6" i="9"/>
  <c r="G6" i="9" s="1"/>
  <c r="F14" i="4"/>
  <c r="J16" i="12"/>
  <c r="AA449" i="4"/>
  <c r="U449" i="4"/>
  <c r="AA471" i="4"/>
  <c r="U471" i="4"/>
  <c r="H119" i="4"/>
  <c r="K121" i="12" s="1"/>
  <c r="H64" i="4"/>
  <c r="K66" i="12" s="1"/>
  <c r="H95" i="4"/>
  <c r="K97" i="12" s="1"/>
  <c r="G117" i="4"/>
  <c r="H98" i="4"/>
  <c r="K100" i="12" s="1"/>
  <c r="H117" i="4"/>
  <c r="K119" i="12" s="1"/>
  <c r="G83" i="4"/>
  <c r="G64" i="4"/>
  <c r="H118" i="4"/>
  <c r="K120" i="12" s="1"/>
  <c r="H68" i="4"/>
  <c r="K70" i="12" s="1"/>
  <c r="H67" i="4"/>
  <c r="K69" i="12" s="1"/>
  <c r="F78" i="4"/>
  <c r="J80" i="12"/>
  <c r="F60" i="4"/>
  <c r="J62" i="12"/>
  <c r="F71" i="4"/>
  <c r="J73" i="12"/>
  <c r="F88" i="4"/>
  <c r="J90" i="12"/>
  <c r="J68" i="12"/>
  <c r="F7" i="4"/>
  <c r="J9" i="12"/>
  <c r="F15" i="4"/>
  <c r="J17" i="12"/>
  <c r="F27" i="4"/>
  <c r="J29" i="12"/>
  <c r="J41" i="12"/>
  <c r="H53" i="4"/>
  <c r="K55" i="12" s="1"/>
  <c r="F59" i="8"/>
  <c r="H50" i="4"/>
  <c r="K52" i="12" s="1"/>
  <c r="G50" i="4"/>
  <c r="G53" i="4"/>
  <c r="AA455" i="4"/>
  <c r="U455" i="4"/>
  <c r="F19" i="4"/>
  <c r="J21" i="12"/>
  <c r="F36" i="4"/>
  <c r="J38" i="12"/>
  <c r="F37" i="4"/>
  <c r="J39" i="12"/>
  <c r="AA444" i="4"/>
  <c r="U444" i="4"/>
  <c r="AA304" i="4"/>
  <c r="I306" i="12"/>
  <c r="U304" i="4"/>
  <c r="M306" i="12" s="1"/>
  <c r="AA452" i="4"/>
  <c r="U452" i="4"/>
  <c r="AA442" i="4"/>
  <c r="U442" i="4"/>
  <c r="AA458" i="4"/>
  <c r="U458" i="4"/>
  <c r="F16" i="4"/>
  <c r="J18" i="12"/>
  <c r="AA443" i="4"/>
  <c r="U443" i="4"/>
  <c r="F6" i="9"/>
  <c r="F3" i="4"/>
  <c r="J5" i="12"/>
  <c r="AA454" i="4"/>
  <c r="U454" i="4"/>
  <c r="F121" i="4"/>
  <c r="J123" i="12"/>
  <c r="J97" i="12"/>
  <c r="F52" i="4"/>
  <c r="J54" i="12"/>
  <c r="J69" i="12"/>
  <c r="F92" i="4"/>
  <c r="J94" i="12"/>
  <c r="F79" i="4"/>
  <c r="J81" i="12"/>
  <c r="F91" i="4"/>
  <c r="J93" i="12"/>
  <c r="J92" i="12"/>
  <c r="F17" i="4"/>
  <c r="J19" i="12"/>
  <c r="F32" i="4"/>
  <c r="J34" i="12"/>
  <c r="F42" i="4"/>
  <c r="J44" i="12"/>
  <c r="AA464" i="4"/>
  <c r="U464" i="4"/>
  <c r="AA453" i="4"/>
  <c r="U453" i="4"/>
  <c r="AA261" i="4"/>
  <c r="U261" i="4"/>
  <c r="M263" i="12" s="1"/>
  <c r="I263" i="12"/>
  <c r="F33" i="4"/>
  <c r="J35" i="12"/>
  <c r="F34" i="4"/>
  <c r="J36" i="12"/>
  <c r="F2" i="4"/>
  <c r="J4" i="12"/>
  <c r="AG485" i="4"/>
  <c r="AG439" i="4"/>
  <c r="AG432" i="4"/>
  <c r="AG431" i="4"/>
  <c r="AG430" i="4"/>
  <c r="AG429" i="4"/>
  <c r="AG428" i="4"/>
  <c r="AG427" i="4"/>
  <c r="AG426" i="4"/>
  <c r="AG415" i="4"/>
  <c r="AG414" i="4"/>
  <c r="AG413" i="4"/>
  <c r="AG412" i="4"/>
  <c r="AG411" i="4"/>
  <c r="AG410" i="4"/>
  <c r="AG396" i="4"/>
  <c r="AG395" i="4"/>
  <c r="AG394" i="4"/>
  <c r="AG393" i="4"/>
  <c r="AG392" i="4"/>
  <c r="AG484" i="4"/>
  <c r="AG391" i="4"/>
  <c r="AG390" i="4"/>
  <c r="AG389" i="4"/>
  <c r="AG378" i="4"/>
  <c r="AG377" i="4"/>
  <c r="AG376" i="4"/>
  <c r="AG487" i="4"/>
  <c r="AG483" i="4"/>
  <c r="AG486" i="4"/>
  <c r="AG369" i="4"/>
  <c r="AG365" i="4"/>
  <c r="AG353" i="4"/>
  <c r="AG366" i="4"/>
  <c r="AG354" i="4"/>
  <c r="AG335" i="4"/>
  <c r="AG323" i="4"/>
  <c r="AG321" i="4"/>
  <c r="AG319" i="4"/>
  <c r="AG301" i="4"/>
  <c r="AG375" i="4"/>
  <c r="AG367" i="4"/>
  <c r="AG355" i="4"/>
  <c r="AG351" i="4"/>
  <c r="AG368" i="4"/>
  <c r="AG352" i="4"/>
  <c r="AG336" i="4"/>
  <c r="AG322" i="4"/>
  <c r="AG320" i="4"/>
  <c r="AG318" i="4"/>
  <c r="AG300" i="4"/>
  <c r="AG298" i="4"/>
  <c r="AG297" i="4"/>
  <c r="AG128" i="4"/>
  <c r="AG126" i="4"/>
  <c r="AG122" i="4"/>
  <c r="AG120" i="4"/>
  <c r="AG114" i="4"/>
  <c r="AG108" i="4"/>
  <c r="AG100" i="4"/>
  <c r="AG94" i="4"/>
  <c r="AG92" i="4"/>
  <c r="AG90" i="4"/>
  <c r="AG88" i="4"/>
  <c r="AG80" i="4"/>
  <c r="AG78" i="4"/>
  <c r="AG76" i="4"/>
  <c r="AG66" i="4"/>
  <c r="AG60" i="4"/>
  <c r="AG50" i="4"/>
  <c r="AG178" i="4"/>
  <c r="AG146" i="4"/>
  <c r="AG47" i="4"/>
  <c r="AG46" i="4"/>
  <c r="AG42" i="4"/>
  <c r="AG296" i="4"/>
  <c r="AG294" i="4"/>
  <c r="AG282" i="4"/>
  <c r="AG280" i="4"/>
  <c r="AG278" i="4"/>
  <c r="AG276" i="4"/>
  <c r="AG274" i="4"/>
  <c r="AG258" i="4"/>
  <c r="AG256" i="4"/>
  <c r="AG254" i="4"/>
  <c r="AG240" i="4"/>
  <c r="AG238" i="4"/>
  <c r="AG236" i="4"/>
  <c r="AG234" i="4"/>
  <c r="AG232" i="4"/>
  <c r="AG230" i="4"/>
  <c r="AG224" i="4"/>
  <c r="AG222" i="4"/>
  <c r="AG212" i="4"/>
  <c r="AG210" i="4"/>
  <c r="AG194" i="4"/>
  <c r="AG192" i="4"/>
  <c r="AG190" i="4"/>
  <c r="AG176" i="4"/>
  <c r="AG174" i="4"/>
  <c r="AG168" i="4"/>
  <c r="AG166" i="4"/>
  <c r="AG164" i="4"/>
  <c r="AG156" i="4"/>
  <c r="AG150" i="4"/>
  <c r="AG144" i="4"/>
  <c r="AG39" i="4"/>
  <c r="AG38" i="4"/>
  <c r="AG30" i="4"/>
  <c r="AG23" i="4"/>
  <c r="AG15" i="4"/>
  <c r="AG13" i="4"/>
  <c r="AG8" i="4"/>
  <c r="AG7" i="4"/>
  <c r="J9" i="2"/>
  <c r="AG137" i="4"/>
  <c r="AG129" i="4"/>
  <c r="AG127" i="4"/>
  <c r="AG125" i="4"/>
  <c r="AG113" i="4"/>
  <c r="AG111" i="4"/>
  <c r="AG101" i="4"/>
  <c r="AG99" i="4"/>
  <c r="AG93" i="4"/>
  <c r="AG91" i="4"/>
  <c r="AG81" i="4"/>
  <c r="AG79" i="4"/>
  <c r="AG77" i="4"/>
  <c r="AG75" i="4"/>
  <c r="AG71" i="4"/>
  <c r="AG53" i="4"/>
  <c r="AG213" i="4"/>
  <c r="AG195" i="4"/>
  <c r="AG189" i="4"/>
  <c r="AG167" i="4"/>
  <c r="AG165" i="4"/>
  <c r="AG17" i="4"/>
  <c r="AG10" i="4"/>
  <c r="AG299" i="4"/>
  <c r="AG295" i="4"/>
  <c r="AG293" i="4"/>
  <c r="AG283" i="4"/>
  <c r="AG281" i="4"/>
  <c r="AG279" i="4"/>
  <c r="AG277" i="4"/>
  <c r="AG275" i="4"/>
  <c r="AG259" i="4"/>
  <c r="AG257" i="4"/>
  <c r="AG255" i="4"/>
  <c r="AG253" i="4"/>
  <c r="AG239" i="4"/>
  <c r="AG237" i="4"/>
  <c r="AG235" i="4"/>
  <c r="AG233" i="4"/>
  <c r="AG231" i="4"/>
  <c r="AG229" i="4"/>
  <c r="AG223" i="4"/>
  <c r="AG211" i="4"/>
  <c r="AG203" i="4"/>
  <c r="AG193" i="4"/>
  <c r="AG191" i="4"/>
  <c r="AG177" i="4"/>
  <c r="AG175" i="4"/>
  <c r="AG163" i="4"/>
  <c r="AG155" i="4"/>
  <c r="AG151" i="4"/>
  <c r="AG145" i="4"/>
  <c r="AG143" i="4"/>
  <c r="AG35" i="4"/>
  <c r="AG32" i="4"/>
  <c r="AG29" i="4"/>
  <c r="AG27" i="4"/>
  <c r="AG24" i="4"/>
  <c r="F44" i="4"/>
  <c r="J46" i="12"/>
  <c r="AA180" i="4"/>
  <c r="I182" i="12"/>
  <c r="U180" i="4"/>
  <c r="M182" i="12" s="1"/>
  <c r="AA158" i="4"/>
  <c r="I160" i="12"/>
  <c r="U158" i="4"/>
  <c r="M160" i="12" s="1"/>
  <c r="L9" i="5"/>
  <c r="H7" i="2" s="1"/>
  <c r="F9" i="5"/>
  <c r="G9" i="5" s="1"/>
  <c r="F46" i="4" l="1"/>
  <c r="J49" i="12"/>
  <c r="F39" i="4"/>
  <c r="F488" i="4"/>
  <c r="F87" i="4"/>
  <c r="F433" i="4"/>
  <c r="J32" i="12"/>
  <c r="F67" i="4"/>
  <c r="AA67" i="4" s="1"/>
  <c r="F95" i="4"/>
  <c r="J77" i="12"/>
  <c r="J12" i="12"/>
  <c r="F66" i="4"/>
  <c r="AA66" i="4" s="1"/>
  <c r="F76" i="4"/>
  <c r="F492" i="4"/>
  <c r="F53" i="4"/>
  <c r="J55" i="12"/>
  <c r="AA7" i="4"/>
  <c r="I9" i="12"/>
  <c r="U7" i="4"/>
  <c r="M9" i="12" s="1"/>
  <c r="F324" i="4"/>
  <c r="J326" i="12"/>
  <c r="F170" i="4"/>
  <c r="J172" i="12"/>
  <c r="AA489" i="4"/>
  <c r="U489" i="4"/>
  <c r="F102" i="4"/>
  <c r="J104" i="12"/>
  <c r="F54" i="4"/>
  <c r="J56" i="12"/>
  <c r="F242" i="4"/>
  <c r="J244" i="12"/>
  <c r="F204" i="4"/>
  <c r="J206" i="12"/>
  <c r="F214" i="4"/>
  <c r="J216" i="12"/>
  <c r="F62" i="4"/>
  <c r="J64" i="12"/>
  <c r="F86" i="4"/>
  <c r="J88" i="12"/>
  <c r="F491" i="4"/>
  <c r="F147" i="4"/>
  <c r="J149" i="12"/>
  <c r="F397" i="4"/>
  <c r="J395" i="12"/>
  <c r="AA116" i="4"/>
  <c r="I118" i="12"/>
  <c r="U116" i="4"/>
  <c r="M118" i="12" s="1"/>
  <c r="AE487" i="4"/>
  <c r="AE486" i="4"/>
  <c r="AE485" i="4"/>
  <c r="AE484" i="4"/>
  <c r="AE483" i="4"/>
  <c r="AE439" i="4"/>
  <c r="AE432" i="4"/>
  <c r="AE431" i="4"/>
  <c r="AE430" i="4"/>
  <c r="AE429" i="4"/>
  <c r="AE428" i="4"/>
  <c r="AE427" i="4"/>
  <c r="AE426" i="4"/>
  <c r="N406" i="12" s="1"/>
  <c r="AE415" i="4"/>
  <c r="AE414" i="4"/>
  <c r="AE413" i="4"/>
  <c r="AE412" i="4"/>
  <c r="N404" i="12" s="1"/>
  <c r="AE411" i="4"/>
  <c r="N403" i="12" s="1"/>
  <c r="AE410" i="4"/>
  <c r="N402" i="12" s="1"/>
  <c r="AE396" i="4"/>
  <c r="AE395" i="4"/>
  <c r="AE394" i="4"/>
  <c r="N394" i="12" s="1"/>
  <c r="AE393" i="4"/>
  <c r="N393" i="12" s="1"/>
  <c r="AE392" i="4"/>
  <c r="N392" i="12" s="1"/>
  <c r="AE391" i="4"/>
  <c r="N391" i="12" s="1"/>
  <c r="AE390" i="4"/>
  <c r="N390" i="12" s="1"/>
  <c r="AE389" i="4"/>
  <c r="N389" i="12" s="1"/>
  <c r="AE378" i="4"/>
  <c r="N379" i="12" s="1"/>
  <c r="AE377" i="4"/>
  <c r="N378" i="12" s="1"/>
  <c r="AE376" i="4"/>
  <c r="N377" i="12" s="1"/>
  <c r="AE375" i="4"/>
  <c r="N376" i="12" s="1"/>
  <c r="AE369" i="4"/>
  <c r="N370" i="12" s="1"/>
  <c r="AE368" i="4"/>
  <c r="N369" i="12" s="1"/>
  <c r="AE367" i="4"/>
  <c r="N368" i="12" s="1"/>
  <c r="AE366" i="4"/>
  <c r="N367" i="12" s="1"/>
  <c r="AE365" i="4"/>
  <c r="N366" i="12" s="1"/>
  <c r="AE355" i="4"/>
  <c r="N356" i="12" s="1"/>
  <c r="AE354" i="4"/>
  <c r="N355" i="12" s="1"/>
  <c r="AE353" i="4"/>
  <c r="N354" i="12" s="1"/>
  <c r="AE352" i="4"/>
  <c r="N353" i="12" s="1"/>
  <c r="AE351" i="4"/>
  <c r="N352" i="12" s="1"/>
  <c r="AE336" i="4"/>
  <c r="N338" i="12" s="1"/>
  <c r="AE322" i="4"/>
  <c r="N324" i="12" s="1"/>
  <c r="AE320" i="4"/>
  <c r="N322" i="12" s="1"/>
  <c r="AE318" i="4"/>
  <c r="N320" i="12" s="1"/>
  <c r="AE300" i="4"/>
  <c r="N302" i="12" s="1"/>
  <c r="AE335" i="4"/>
  <c r="N337" i="12" s="1"/>
  <c r="AE323" i="4"/>
  <c r="N325" i="12" s="1"/>
  <c r="AE321" i="4"/>
  <c r="N323" i="12" s="1"/>
  <c r="AE319" i="4"/>
  <c r="N321" i="12" s="1"/>
  <c r="AE301" i="4"/>
  <c r="N303" i="12" s="1"/>
  <c r="AE299" i="4"/>
  <c r="N301" i="12" s="1"/>
  <c r="AE297" i="4"/>
  <c r="N299" i="12" s="1"/>
  <c r="AE295" i="4"/>
  <c r="N297" i="12" s="1"/>
  <c r="AE293" i="4"/>
  <c r="N295" i="12" s="1"/>
  <c r="AE283" i="4"/>
  <c r="N285" i="12" s="1"/>
  <c r="AE281" i="4"/>
  <c r="N283" i="12" s="1"/>
  <c r="AE279" i="4"/>
  <c r="N281" i="12" s="1"/>
  <c r="AE277" i="4"/>
  <c r="N279" i="12" s="1"/>
  <c r="AE275" i="4"/>
  <c r="N277" i="12" s="1"/>
  <c r="AE259" i="4"/>
  <c r="N261" i="12" s="1"/>
  <c r="AE257" i="4"/>
  <c r="N259" i="12" s="1"/>
  <c r="AE255" i="4"/>
  <c r="N257" i="12" s="1"/>
  <c r="AE253" i="4"/>
  <c r="N255" i="12" s="1"/>
  <c r="AE239" i="4"/>
  <c r="N241" i="12" s="1"/>
  <c r="AE237" i="4"/>
  <c r="N239" i="12" s="1"/>
  <c r="AE235" i="4"/>
  <c r="N237" i="12" s="1"/>
  <c r="AE233" i="4"/>
  <c r="N235" i="12" s="1"/>
  <c r="AE231" i="4"/>
  <c r="N233" i="12" s="1"/>
  <c r="AE229" i="4"/>
  <c r="N231" i="12" s="1"/>
  <c r="AE223" i="4"/>
  <c r="N225" i="12" s="1"/>
  <c r="AE213" i="4"/>
  <c r="N215" i="12" s="1"/>
  <c r="AE211" i="4"/>
  <c r="N213" i="12" s="1"/>
  <c r="AE203" i="4"/>
  <c r="N205" i="12" s="1"/>
  <c r="AE195" i="4"/>
  <c r="N197" i="12" s="1"/>
  <c r="AE193" i="4"/>
  <c r="N195" i="12" s="1"/>
  <c r="AE191" i="4"/>
  <c r="N193" i="12" s="1"/>
  <c r="AE189" i="4"/>
  <c r="N191" i="12" s="1"/>
  <c r="AE177" i="4"/>
  <c r="N179" i="12" s="1"/>
  <c r="AE175" i="4"/>
  <c r="N177" i="12" s="1"/>
  <c r="AE167" i="4"/>
  <c r="N169" i="12" s="1"/>
  <c r="AE165" i="4"/>
  <c r="N167" i="12" s="1"/>
  <c r="AE163" i="4"/>
  <c r="N165" i="12" s="1"/>
  <c r="AE155" i="4"/>
  <c r="N157" i="12" s="1"/>
  <c r="AE151" i="4"/>
  <c r="N153" i="12" s="1"/>
  <c r="AE145" i="4"/>
  <c r="N147" i="12" s="1"/>
  <c r="AE143" i="4"/>
  <c r="N145" i="12" s="1"/>
  <c r="AE137" i="4"/>
  <c r="N139" i="12" s="1"/>
  <c r="AE129" i="4"/>
  <c r="N131" i="12" s="1"/>
  <c r="AE127" i="4"/>
  <c r="N129" i="12" s="1"/>
  <c r="AE125" i="4"/>
  <c r="N127" i="12" s="1"/>
  <c r="AE113" i="4"/>
  <c r="N115" i="12" s="1"/>
  <c r="AE111" i="4"/>
  <c r="N113" i="12" s="1"/>
  <c r="AE101" i="4"/>
  <c r="N103" i="12" s="1"/>
  <c r="AE99" i="4"/>
  <c r="N101" i="12" s="1"/>
  <c r="AE93" i="4"/>
  <c r="N95" i="12" s="1"/>
  <c r="AE91" i="4"/>
  <c r="N93" i="12" s="1"/>
  <c r="AE81" i="4"/>
  <c r="N83" i="12" s="1"/>
  <c r="AE79" i="4"/>
  <c r="N81" i="12" s="1"/>
  <c r="AE77" i="4"/>
  <c r="N79" i="12" s="1"/>
  <c r="AE75" i="4"/>
  <c r="N77" i="12" s="1"/>
  <c r="AE71" i="4"/>
  <c r="N73" i="12" s="1"/>
  <c r="AE53" i="4"/>
  <c r="N55" i="12" s="1"/>
  <c r="AE296" i="4"/>
  <c r="N298" i="12" s="1"/>
  <c r="AE294" i="4"/>
  <c r="N296" i="12" s="1"/>
  <c r="AE282" i="4"/>
  <c r="N284" i="12" s="1"/>
  <c r="AE280" i="4"/>
  <c r="N282" i="12" s="1"/>
  <c r="AE278" i="4"/>
  <c r="N280" i="12" s="1"/>
  <c r="AE276" i="4"/>
  <c r="N278" i="12" s="1"/>
  <c r="AE274" i="4"/>
  <c r="N276" i="12" s="1"/>
  <c r="AE258" i="4"/>
  <c r="N260" i="12" s="1"/>
  <c r="AE256" i="4"/>
  <c r="N258" i="12" s="1"/>
  <c r="AE254" i="4"/>
  <c r="N256" i="12" s="1"/>
  <c r="AE240" i="4"/>
  <c r="N242" i="12" s="1"/>
  <c r="AE238" i="4"/>
  <c r="N240" i="12" s="1"/>
  <c r="AE236" i="4"/>
  <c r="N238" i="12" s="1"/>
  <c r="AE234" i="4"/>
  <c r="N236" i="12" s="1"/>
  <c r="AE232" i="4"/>
  <c r="N234" i="12" s="1"/>
  <c r="AE230" i="4"/>
  <c r="N232" i="12" s="1"/>
  <c r="AE224" i="4"/>
  <c r="N226" i="12" s="1"/>
  <c r="AE222" i="4"/>
  <c r="N224" i="12" s="1"/>
  <c r="AE212" i="4"/>
  <c r="N214" i="12" s="1"/>
  <c r="AE210" i="4"/>
  <c r="N212" i="12" s="1"/>
  <c r="AE194" i="4"/>
  <c r="N196" i="12" s="1"/>
  <c r="AE192" i="4"/>
  <c r="N194" i="12" s="1"/>
  <c r="AE190" i="4"/>
  <c r="N192" i="12" s="1"/>
  <c r="AE178" i="4"/>
  <c r="N180" i="12" s="1"/>
  <c r="AE176" i="4"/>
  <c r="N178" i="12" s="1"/>
  <c r="AE174" i="4"/>
  <c r="N176" i="12" s="1"/>
  <c r="AE168" i="4"/>
  <c r="N170" i="12" s="1"/>
  <c r="AE166" i="4"/>
  <c r="N168" i="12" s="1"/>
  <c r="AE164" i="4"/>
  <c r="N166" i="12" s="1"/>
  <c r="AE156" i="4"/>
  <c r="N158" i="12" s="1"/>
  <c r="AE150" i="4"/>
  <c r="N152" i="12" s="1"/>
  <c r="AE146" i="4"/>
  <c r="N148" i="12" s="1"/>
  <c r="AE144" i="4"/>
  <c r="N146" i="12" s="1"/>
  <c r="AE128" i="4"/>
  <c r="N130" i="12" s="1"/>
  <c r="AE126" i="4"/>
  <c r="N128" i="12" s="1"/>
  <c r="AE122" i="4"/>
  <c r="N124" i="12" s="1"/>
  <c r="AE120" i="4"/>
  <c r="N122" i="12" s="1"/>
  <c r="AE114" i="4"/>
  <c r="N116" i="12" s="1"/>
  <c r="AE108" i="4"/>
  <c r="N110" i="12" s="1"/>
  <c r="AE100" i="4"/>
  <c r="N102" i="12" s="1"/>
  <c r="AE94" i="4"/>
  <c r="N96" i="12" s="1"/>
  <c r="AE92" i="4"/>
  <c r="N94" i="12" s="1"/>
  <c r="AE90" i="4"/>
  <c r="N92" i="12" s="1"/>
  <c r="AE88" i="4"/>
  <c r="N90" i="12" s="1"/>
  <c r="AE80" i="4"/>
  <c r="N82" i="12" s="1"/>
  <c r="AE78" i="4"/>
  <c r="N80" i="12" s="1"/>
  <c r="AE76" i="4"/>
  <c r="N78" i="12" s="1"/>
  <c r="AE66" i="4"/>
  <c r="N68" i="12" s="1"/>
  <c r="AE60" i="4"/>
  <c r="N62" i="12" s="1"/>
  <c r="AE50" i="4"/>
  <c r="N52" i="12" s="1"/>
  <c r="I9" i="2"/>
  <c r="AE46" i="4"/>
  <c r="N48" i="12" s="1"/>
  <c r="AE42" i="4"/>
  <c r="N44" i="12" s="1"/>
  <c r="AE38" i="4"/>
  <c r="N40" i="12" s="1"/>
  <c r="AE35" i="4"/>
  <c r="N37" i="12" s="1"/>
  <c r="AE27" i="4"/>
  <c r="N29" i="12" s="1"/>
  <c r="AE7" i="4"/>
  <c r="N9" i="12" s="1"/>
  <c r="AE298" i="4"/>
  <c r="N300" i="12" s="1"/>
  <c r="AE47" i="4"/>
  <c r="N49" i="12" s="1"/>
  <c r="AE39" i="4"/>
  <c r="N41" i="12" s="1"/>
  <c r="AE32" i="4"/>
  <c r="N34" i="12" s="1"/>
  <c r="AE30" i="4"/>
  <c r="N32" i="12" s="1"/>
  <c r="AE29" i="4"/>
  <c r="N31" i="12" s="1"/>
  <c r="AE24" i="4"/>
  <c r="N26" i="12" s="1"/>
  <c r="AE23" i="4"/>
  <c r="N25" i="12" s="1"/>
  <c r="AE17" i="4"/>
  <c r="N19" i="12" s="1"/>
  <c r="AE15" i="4"/>
  <c r="N17" i="12" s="1"/>
  <c r="AE13" i="4"/>
  <c r="N15" i="12" s="1"/>
  <c r="AE10" i="4"/>
  <c r="N12" i="12" s="1"/>
  <c r="AE8" i="4"/>
  <c r="N10" i="12" s="1"/>
  <c r="AA20" i="4"/>
  <c r="I22" i="12"/>
  <c r="U20" i="4"/>
  <c r="M22" i="12" s="1"/>
  <c r="AE482" i="4"/>
  <c r="AE481" i="4"/>
  <c r="AE480" i="4"/>
  <c r="AE479" i="4"/>
  <c r="AE478" i="4"/>
  <c r="AE477" i="4"/>
  <c r="AE476" i="4"/>
  <c r="AE475" i="4"/>
  <c r="N407" i="12" s="1"/>
  <c r="AE438" i="4"/>
  <c r="AE437" i="4"/>
  <c r="AE436" i="4"/>
  <c r="AE435" i="4"/>
  <c r="AE434" i="4"/>
  <c r="AE425" i="4"/>
  <c r="AE424" i="4"/>
  <c r="AE423" i="4"/>
  <c r="AE422" i="4"/>
  <c r="AE421" i="4"/>
  <c r="AE420" i="4"/>
  <c r="AE419" i="4"/>
  <c r="AE409" i="4"/>
  <c r="AE408" i="4"/>
  <c r="AE407" i="4"/>
  <c r="AE406" i="4"/>
  <c r="AE405" i="4"/>
  <c r="AE404" i="4"/>
  <c r="AE403" i="4"/>
  <c r="N401" i="12" s="1"/>
  <c r="AE402" i="4"/>
  <c r="N400" i="12" s="1"/>
  <c r="AE401" i="4"/>
  <c r="N399" i="12" s="1"/>
  <c r="AE400" i="4"/>
  <c r="N398" i="12" s="1"/>
  <c r="AE399" i="4"/>
  <c r="N397" i="12" s="1"/>
  <c r="AE388" i="4"/>
  <c r="AE387" i="4"/>
  <c r="N388" i="12" s="1"/>
  <c r="AE386" i="4"/>
  <c r="N387" i="12" s="1"/>
  <c r="AE385" i="4"/>
  <c r="N386" i="12" s="1"/>
  <c r="AE384" i="4"/>
  <c r="N385" i="12" s="1"/>
  <c r="AE383" i="4"/>
  <c r="N384" i="12" s="1"/>
  <c r="AE382" i="4"/>
  <c r="N383" i="12" s="1"/>
  <c r="AE381" i="4"/>
  <c r="N382" i="12" s="1"/>
  <c r="AE374" i="4"/>
  <c r="N375" i="12" s="1"/>
  <c r="AE373" i="4"/>
  <c r="N374" i="12" s="1"/>
  <c r="AE372" i="4"/>
  <c r="N373" i="12" s="1"/>
  <c r="AE364" i="4"/>
  <c r="N365" i="12" s="1"/>
  <c r="AE363" i="4"/>
  <c r="N364" i="12" s="1"/>
  <c r="AE362" i="4"/>
  <c r="N363" i="12" s="1"/>
  <c r="AE361" i="4"/>
  <c r="N362" i="12" s="1"/>
  <c r="AE360" i="4"/>
  <c r="N361" i="12" s="1"/>
  <c r="AE359" i="4"/>
  <c r="N360" i="12" s="1"/>
  <c r="AE358" i="4"/>
  <c r="N359" i="12" s="1"/>
  <c r="AE357" i="4"/>
  <c r="N358" i="12" s="1"/>
  <c r="AE356" i="4"/>
  <c r="N357" i="12" s="1"/>
  <c r="AE350" i="4"/>
  <c r="AE349" i="4"/>
  <c r="N351" i="12" s="1"/>
  <c r="AE348" i="4"/>
  <c r="N350" i="12" s="1"/>
  <c r="AE347" i="4"/>
  <c r="N349" i="12" s="1"/>
  <c r="AE346" i="4"/>
  <c r="N348" i="12" s="1"/>
  <c r="AE345" i="4"/>
  <c r="N347" i="12" s="1"/>
  <c r="AE344" i="4"/>
  <c r="N346" i="12" s="1"/>
  <c r="AE334" i="4"/>
  <c r="N336" i="12" s="1"/>
  <c r="AE332" i="4"/>
  <c r="N334" i="12" s="1"/>
  <c r="AE330" i="4"/>
  <c r="N332" i="12" s="1"/>
  <c r="AE316" i="4"/>
  <c r="N318" i="12" s="1"/>
  <c r="AE314" i="4"/>
  <c r="N316" i="12" s="1"/>
  <c r="AE312" i="4"/>
  <c r="N314" i="12" s="1"/>
  <c r="AE310" i="4"/>
  <c r="N312" i="12" s="1"/>
  <c r="AE308" i="4"/>
  <c r="N310" i="12" s="1"/>
  <c r="AE306" i="4"/>
  <c r="N308" i="12" s="1"/>
  <c r="AE333" i="4"/>
  <c r="N335" i="12" s="1"/>
  <c r="AE331" i="4"/>
  <c r="N333" i="12" s="1"/>
  <c r="AE329" i="4"/>
  <c r="N331" i="12" s="1"/>
  <c r="AE317" i="4"/>
  <c r="N319" i="12" s="1"/>
  <c r="AE315" i="4"/>
  <c r="N317" i="12" s="1"/>
  <c r="AE313" i="4"/>
  <c r="N315" i="12" s="1"/>
  <c r="AE311" i="4"/>
  <c r="N313" i="12" s="1"/>
  <c r="AE309" i="4"/>
  <c r="N311" i="12" s="1"/>
  <c r="AE307" i="4"/>
  <c r="N309" i="12" s="1"/>
  <c r="AE305" i="4"/>
  <c r="N307" i="12" s="1"/>
  <c r="AE291" i="4"/>
  <c r="N293" i="12" s="1"/>
  <c r="AE289" i="4"/>
  <c r="N291" i="12" s="1"/>
  <c r="AE287" i="4"/>
  <c r="N289" i="12" s="1"/>
  <c r="AE285" i="4"/>
  <c r="N287" i="12" s="1"/>
  <c r="AE273" i="4"/>
  <c r="N275" i="12" s="1"/>
  <c r="AE271" i="4"/>
  <c r="N273" i="12" s="1"/>
  <c r="AE269" i="4"/>
  <c r="N271" i="12" s="1"/>
  <c r="AE267" i="4"/>
  <c r="N269" i="12" s="1"/>
  <c r="AE265" i="4"/>
  <c r="N267" i="12" s="1"/>
  <c r="AE263" i="4"/>
  <c r="N265" i="12" s="1"/>
  <c r="AE251" i="4"/>
  <c r="N253" i="12" s="1"/>
  <c r="AE249" i="4"/>
  <c r="N251" i="12" s="1"/>
  <c r="AE247" i="4"/>
  <c r="N249" i="12" s="1"/>
  <c r="AE245" i="4"/>
  <c r="N247" i="12" s="1"/>
  <c r="AE227" i="4"/>
  <c r="N229" i="12" s="1"/>
  <c r="AE221" i="4"/>
  <c r="N223" i="12" s="1"/>
  <c r="AE219" i="4"/>
  <c r="N221" i="12" s="1"/>
  <c r="AE217" i="4"/>
  <c r="N219" i="12" s="1"/>
  <c r="AE209" i="4"/>
  <c r="N211" i="12" s="1"/>
  <c r="AE207" i="4"/>
  <c r="N209" i="12" s="1"/>
  <c r="AE205" i="4"/>
  <c r="N207" i="12" s="1"/>
  <c r="AE201" i="4"/>
  <c r="N203" i="12" s="1"/>
  <c r="AE187" i="4"/>
  <c r="N189" i="12" s="1"/>
  <c r="AE185" i="4"/>
  <c r="N187" i="12" s="1"/>
  <c r="AE183" i="4"/>
  <c r="N185" i="12" s="1"/>
  <c r="AE181" i="4"/>
  <c r="N183" i="12" s="1"/>
  <c r="AE173" i="4"/>
  <c r="N175" i="12" s="1"/>
  <c r="AE171" i="4"/>
  <c r="N173" i="12" s="1"/>
  <c r="AE161" i="4"/>
  <c r="N163" i="12" s="1"/>
  <c r="AE159" i="4"/>
  <c r="N161" i="12" s="1"/>
  <c r="AE153" i="4"/>
  <c r="N155" i="12" s="1"/>
  <c r="AE149" i="4"/>
  <c r="N151" i="12" s="1"/>
  <c r="AE141" i="4"/>
  <c r="N143" i="12" s="1"/>
  <c r="AE135" i="4"/>
  <c r="N137" i="12" s="1"/>
  <c r="AE133" i="4"/>
  <c r="N135" i="12" s="1"/>
  <c r="AE121" i="4"/>
  <c r="N123" i="12" s="1"/>
  <c r="AE119" i="4"/>
  <c r="N121" i="12" s="1"/>
  <c r="AE117" i="4"/>
  <c r="N119" i="12" s="1"/>
  <c r="AE107" i="4"/>
  <c r="N109" i="12" s="1"/>
  <c r="AE95" i="4"/>
  <c r="N97" i="12" s="1"/>
  <c r="AE87" i="4"/>
  <c r="N89" i="12" s="1"/>
  <c r="AE83" i="4"/>
  <c r="N85" i="12" s="1"/>
  <c r="AE73" i="4"/>
  <c r="N75" i="12" s="1"/>
  <c r="AE67" i="4"/>
  <c r="N69" i="12" s="1"/>
  <c r="AE65" i="4"/>
  <c r="N67" i="12" s="1"/>
  <c r="AE63" i="4"/>
  <c r="N65" i="12" s="1"/>
  <c r="AE59" i="4"/>
  <c r="N61" i="12" s="1"/>
  <c r="AE292" i="4"/>
  <c r="N294" i="12" s="1"/>
  <c r="AE290" i="4"/>
  <c r="N292" i="12" s="1"/>
  <c r="AE288" i="4"/>
  <c r="N290" i="12" s="1"/>
  <c r="AE286" i="4"/>
  <c r="N288" i="12" s="1"/>
  <c r="AE284" i="4"/>
  <c r="N286" i="12" s="1"/>
  <c r="AE272" i="4"/>
  <c r="N274" i="12" s="1"/>
  <c r="AE270" i="4"/>
  <c r="N272" i="12" s="1"/>
  <c r="AE268" i="4"/>
  <c r="N270" i="12" s="1"/>
  <c r="AE266" i="4"/>
  <c r="N268" i="12" s="1"/>
  <c r="AE264" i="4"/>
  <c r="N266" i="12" s="1"/>
  <c r="AE262" i="4"/>
  <c r="N264" i="12" s="1"/>
  <c r="AE252" i="4"/>
  <c r="N254" i="12" s="1"/>
  <c r="AE250" i="4"/>
  <c r="N252" i="12" s="1"/>
  <c r="AE248" i="4"/>
  <c r="N250" i="12" s="1"/>
  <c r="AE246" i="4"/>
  <c r="N248" i="12" s="1"/>
  <c r="AE244" i="4"/>
  <c r="N246" i="12" s="1"/>
  <c r="AE228" i="4"/>
  <c r="N230" i="12" s="1"/>
  <c r="AE220" i="4"/>
  <c r="N222" i="12" s="1"/>
  <c r="AE218" i="4"/>
  <c r="N220" i="12" s="1"/>
  <c r="AE216" i="4"/>
  <c r="N218" i="12" s="1"/>
  <c r="AE208" i="4"/>
  <c r="N210" i="12" s="1"/>
  <c r="AE206" i="4"/>
  <c r="N208" i="12" s="1"/>
  <c r="AE202" i="4"/>
  <c r="N204" i="12" s="1"/>
  <c r="AE200" i="4"/>
  <c r="N202" i="12" s="1"/>
  <c r="AE188" i="4"/>
  <c r="N190" i="12" s="1"/>
  <c r="AE186" i="4"/>
  <c r="N188" i="12" s="1"/>
  <c r="AE184" i="4"/>
  <c r="N186" i="12" s="1"/>
  <c r="AE182" i="4"/>
  <c r="N184" i="12" s="1"/>
  <c r="AE172" i="4"/>
  <c r="N174" i="12" s="1"/>
  <c r="AE162" i="4"/>
  <c r="N164" i="12" s="1"/>
  <c r="AE160" i="4"/>
  <c r="N162" i="12" s="1"/>
  <c r="AE154" i="4"/>
  <c r="N156" i="12" s="1"/>
  <c r="AE148" i="4"/>
  <c r="N150" i="12" s="1"/>
  <c r="AE142" i="4"/>
  <c r="N144" i="12" s="1"/>
  <c r="AE140" i="4"/>
  <c r="N142" i="12" s="1"/>
  <c r="AE136" i="4"/>
  <c r="N138" i="12" s="1"/>
  <c r="AE134" i="4"/>
  <c r="N136" i="12" s="1"/>
  <c r="AE132" i="4"/>
  <c r="N134" i="12" s="1"/>
  <c r="AE124" i="4"/>
  <c r="N126" i="12" s="1"/>
  <c r="AE118" i="4"/>
  <c r="N120" i="12" s="1"/>
  <c r="AE112" i="4"/>
  <c r="N114" i="12" s="1"/>
  <c r="AE104" i="4"/>
  <c r="N106" i="12" s="1"/>
  <c r="AE98" i="4"/>
  <c r="N100" i="12" s="1"/>
  <c r="AE96" i="4"/>
  <c r="N98" i="12" s="1"/>
  <c r="AE84" i="4"/>
  <c r="N86" i="12" s="1"/>
  <c r="AE74" i="4"/>
  <c r="N76" i="12" s="1"/>
  <c r="AE68" i="4"/>
  <c r="N70" i="12" s="1"/>
  <c r="AE64" i="4"/>
  <c r="N66" i="12" s="1"/>
  <c r="AE52" i="4"/>
  <c r="N54" i="12" s="1"/>
  <c r="AE28" i="4"/>
  <c r="N30" i="12" s="1"/>
  <c r="AE6" i="4"/>
  <c r="N8" i="12" s="1"/>
  <c r="I8" i="2"/>
  <c r="F28" i="4"/>
  <c r="J30" i="12"/>
  <c r="F118" i="4"/>
  <c r="J120" i="12"/>
  <c r="F63" i="4"/>
  <c r="J65" i="12"/>
  <c r="AA26" i="4"/>
  <c r="U26" i="4"/>
  <c r="M28" i="12" s="1"/>
  <c r="I28" i="12"/>
  <c r="AA12" i="4"/>
  <c r="I14" i="12"/>
  <c r="U12" i="4"/>
  <c r="M14" i="12" s="1"/>
  <c r="AA35" i="4"/>
  <c r="I37" i="12"/>
  <c r="U35" i="4"/>
  <c r="M37" i="12" s="1"/>
  <c r="AA77" i="4"/>
  <c r="U77" i="4"/>
  <c r="M79" i="12" s="1"/>
  <c r="I79" i="12"/>
  <c r="AA59" i="4"/>
  <c r="I61" i="12"/>
  <c r="U59" i="4"/>
  <c r="M61" i="12" s="1"/>
  <c r="AA104" i="4"/>
  <c r="I106" i="12"/>
  <c r="U104" i="4"/>
  <c r="M106" i="12" s="1"/>
  <c r="AA17" i="4"/>
  <c r="U17" i="4"/>
  <c r="M19" i="12" s="1"/>
  <c r="I19" i="12"/>
  <c r="AA79" i="4"/>
  <c r="I81" i="12"/>
  <c r="U79" i="4"/>
  <c r="M81" i="12" s="1"/>
  <c r="U67" i="4"/>
  <c r="M69" i="12" s="1"/>
  <c r="AG489" i="4"/>
  <c r="AG417" i="4"/>
  <c r="AG416" i="4"/>
  <c r="AG398" i="4"/>
  <c r="AG397" i="4"/>
  <c r="AG492" i="4"/>
  <c r="AG488" i="4"/>
  <c r="AG491" i="4"/>
  <c r="AG433" i="4"/>
  <c r="AG490" i="4"/>
  <c r="AG440" i="4"/>
  <c r="AG341" i="4"/>
  <c r="AG370" i="4"/>
  <c r="AG339" i="4"/>
  <c r="AG337" i="4"/>
  <c r="AG327" i="4"/>
  <c r="AG325" i="4"/>
  <c r="AG371" i="4"/>
  <c r="AG340" i="4"/>
  <c r="AG338" i="4"/>
  <c r="AG328" i="4"/>
  <c r="AG326" i="4"/>
  <c r="AG324" i="4"/>
  <c r="AG302" i="4"/>
  <c r="AG130" i="4"/>
  <c r="AG102" i="4"/>
  <c r="AG86" i="4"/>
  <c r="AG72" i="4"/>
  <c r="AG62" i="4"/>
  <c r="AG56" i="4"/>
  <c r="AG54" i="4"/>
  <c r="J10" i="2"/>
  <c r="AG170" i="4"/>
  <c r="AG138" i="4"/>
  <c r="AG49" i="4"/>
  <c r="AG48" i="4"/>
  <c r="AG45" i="4"/>
  <c r="AG44" i="4"/>
  <c r="AG260" i="4"/>
  <c r="AG242" i="4"/>
  <c r="AG214" i="4"/>
  <c r="AG204" i="4"/>
  <c r="AG198" i="4"/>
  <c r="AG196" i="4"/>
  <c r="AG152" i="4"/>
  <c r="AG40" i="4"/>
  <c r="AG37" i="4"/>
  <c r="AG36" i="4"/>
  <c r="AG34" i="4"/>
  <c r="AG33" i="4"/>
  <c r="AG31" i="4"/>
  <c r="AG26" i="4"/>
  <c r="AG25" i="4"/>
  <c r="AG22" i="4"/>
  <c r="AG21" i="4"/>
  <c r="AG18" i="4"/>
  <c r="AG16" i="4"/>
  <c r="AG14" i="4"/>
  <c r="AG12" i="4"/>
  <c r="AG11" i="4"/>
  <c r="AG5" i="4"/>
  <c r="AG4" i="4"/>
  <c r="AG3" i="4"/>
  <c r="AG2" i="4"/>
  <c r="AG131" i="4"/>
  <c r="AG115" i="4"/>
  <c r="AG109" i="4"/>
  <c r="AG105" i="4"/>
  <c r="AG103" i="4"/>
  <c r="AG97" i="4"/>
  <c r="AG85" i="4"/>
  <c r="AG61" i="4"/>
  <c r="AG57" i="4"/>
  <c r="AG169" i="4"/>
  <c r="AG147" i="4"/>
  <c r="AG9" i="4"/>
  <c r="AG243" i="4"/>
  <c r="AG241" i="4"/>
  <c r="AG225" i="4"/>
  <c r="AG199" i="4"/>
  <c r="AG197" i="4"/>
  <c r="AG179" i="4"/>
  <c r="AG157" i="4"/>
  <c r="AG139" i="4"/>
  <c r="AG20" i="4"/>
  <c r="AG19" i="4"/>
  <c r="AA16" i="4"/>
  <c r="I18" i="12"/>
  <c r="U16" i="4"/>
  <c r="M18" i="12" s="1"/>
  <c r="AA31" i="4"/>
  <c r="I33" i="12"/>
  <c r="U31" i="4"/>
  <c r="M33" i="12" s="1"/>
  <c r="AA106" i="4"/>
  <c r="I108" i="12"/>
  <c r="U106" i="4"/>
  <c r="M108" i="12" s="1"/>
  <c r="AA8" i="4"/>
  <c r="I10" i="12"/>
  <c r="U8" i="4"/>
  <c r="M10" i="12" s="1"/>
  <c r="AA80" i="4"/>
  <c r="I82" i="12"/>
  <c r="U80" i="4"/>
  <c r="M82" i="12" s="1"/>
  <c r="AA34" i="4"/>
  <c r="U34" i="4"/>
  <c r="M36" i="12" s="1"/>
  <c r="I36" i="12"/>
  <c r="AA37" i="4"/>
  <c r="U37" i="4"/>
  <c r="M39" i="12" s="1"/>
  <c r="I39" i="12"/>
  <c r="AA19" i="4"/>
  <c r="I21" i="12"/>
  <c r="U19" i="4"/>
  <c r="M21" i="12" s="1"/>
  <c r="F50" i="4"/>
  <c r="J52" i="12"/>
  <c r="AE492" i="4"/>
  <c r="AE491" i="4"/>
  <c r="AE490" i="4"/>
  <c r="AE489" i="4"/>
  <c r="AE488" i="4"/>
  <c r="AE440" i="4"/>
  <c r="AE433" i="4"/>
  <c r="AE417" i="4"/>
  <c r="AE416" i="4"/>
  <c r="N405" i="12" s="1"/>
  <c r="AE398" i="4"/>
  <c r="N396" i="12" s="1"/>
  <c r="AE397" i="4"/>
  <c r="N395" i="12" s="1"/>
  <c r="AE371" i="4"/>
  <c r="N372" i="12" s="1"/>
  <c r="AE370" i="4"/>
  <c r="N371" i="12" s="1"/>
  <c r="AE341" i="4"/>
  <c r="N343" i="12" s="1"/>
  <c r="AE340" i="4"/>
  <c r="N342" i="12" s="1"/>
  <c r="AE338" i="4"/>
  <c r="N340" i="12" s="1"/>
  <c r="AE328" i="4"/>
  <c r="N330" i="12" s="1"/>
  <c r="AE326" i="4"/>
  <c r="N328" i="12" s="1"/>
  <c r="AE324" i="4"/>
  <c r="N326" i="12" s="1"/>
  <c r="AE302" i="4"/>
  <c r="N304" i="12" s="1"/>
  <c r="AE339" i="4"/>
  <c r="N341" i="12" s="1"/>
  <c r="AE337" i="4"/>
  <c r="N339" i="12" s="1"/>
  <c r="AE327" i="4"/>
  <c r="N329" i="12" s="1"/>
  <c r="AE325" i="4"/>
  <c r="N327" i="12" s="1"/>
  <c r="AE243" i="4"/>
  <c r="N245" i="12" s="1"/>
  <c r="AE241" i="4"/>
  <c r="N243" i="12" s="1"/>
  <c r="AE225" i="4"/>
  <c r="N227" i="12" s="1"/>
  <c r="AE199" i="4"/>
  <c r="N201" i="12" s="1"/>
  <c r="AE197" i="4"/>
  <c r="N199" i="12" s="1"/>
  <c r="AE179" i="4"/>
  <c r="N181" i="12" s="1"/>
  <c r="AE169" i="4"/>
  <c r="N171" i="12" s="1"/>
  <c r="AE157" i="4"/>
  <c r="N159" i="12" s="1"/>
  <c r="AE147" i="4"/>
  <c r="N149" i="12" s="1"/>
  <c r="AE139" i="4"/>
  <c r="N141" i="12" s="1"/>
  <c r="AE131" i="4"/>
  <c r="N133" i="12" s="1"/>
  <c r="AE115" i="4"/>
  <c r="N117" i="12" s="1"/>
  <c r="AE109" i="4"/>
  <c r="N111" i="12" s="1"/>
  <c r="AE105" i="4"/>
  <c r="N107" i="12" s="1"/>
  <c r="AE103" i="4"/>
  <c r="N105" i="12" s="1"/>
  <c r="AE97" i="4"/>
  <c r="N99" i="12" s="1"/>
  <c r="AE85" i="4"/>
  <c r="N87" i="12" s="1"/>
  <c r="AE61" i="4"/>
  <c r="N63" i="12" s="1"/>
  <c r="AE57" i="4"/>
  <c r="N59" i="12" s="1"/>
  <c r="I10" i="2"/>
  <c r="AE260" i="4"/>
  <c r="N262" i="12" s="1"/>
  <c r="AE242" i="4"/>
  <c r="N244" i="12" s="1"/>
  <c r="AE214" i="4"/>
  <c r="N216" i="12" s="1"/>
  <c r="AE204" i="4"/>
  <c r="N206" i="12" s="1"/>
  <c r="AE198" i="4"/>
  <c r="N200" i="12" s="1"/>
  <c r="AE196" i="4"/>
  <c r="N198" i="12" s="1"/>
  <c r="AE170" i="4"/>
  <c r="N172" i="12" s="1"/>
  <c r="AE152" i="4"/>
  <c r="N154" i="12" s="1"/>
  <c r="AE138" i="4"/>
  <c r="N140" i="12" s="1"/>
  <c r="AE130" i="4"/>
  <c r="N132" i="12" s="1"/>
  <c r="AE102" i="4"/>
  <c r="N104" i="12" s="1"/>
  <c r="AE86" i="4"/>
  <c r="N88" i="12" s="1"/>
  <c r="AE72" i="4"/>
  <c r="N74" i="12" s="1"/>
  <c r="AE62" i="4"/>
  <c r="N64" i="12" s="1"/>
  <c r="AE56" i="4"/>
  <c r="N58" i="12" s="1"/>
  <c r="AE54" i="4"/>
  <c r="N56" i="12" s="1"/>
  <c r="AE40" i="4"/>
  <c r="N42" i="12" s="1"/>
  <c r="AE36" i="4"/>
  <c r="N38" i="12" s="1"/>
  <c r="AE33" i="4"/>
  <c r="N35" i="12" s="1"/>
  <c r="AE31" i="4"/>
  <c r="N33" i="12" s="1"/>
  <c r="AE26" i="4"/>
  <c r="N28" i="12" s="1"/>
  <c r="AE21" i="4"/>
  <c r="N23" i="12" s="1"/>
  <c r="AE16" i="4"/>
  <c r="N18" i="12" s="1"/>
  <c r="AE14" i="4"/>
  <c r="N16" i="12" s="1"/>
  <c r="AE12" i="4"/>
  <c r="N14" i="12" s="1"/>
  <c r="AE9" i="4"/>
  <c r="N11" i="12" s="1"/>
  <c r="AE49" i="4"/>
  <c r="N51" i="12" s="1"/>
  <c r="AE48" i="4"/>
  <c r="N50" i="12" s="1"/>
  <c r="AE45" i="4"/>
  <c r="N47" i="12" s="1"/>
  <c r="AE44" i="4"/>
  <c r="N46" i="12" s="1"/>
  <c r="AE37" i="4"/>
  <c r="N39" i="12" s="1"/>
  <c r="AE34" i="4"/>
  <c r="N36" i="12" s="1"/>
  <c r="AE25" i="4"/>
  <c r="N27" i="12" s="1"/>
  <c r="AE22" i="4"/>
  <c r="N24" i="12" s="1"/>
  <c r="AE20" i="4"/>
  <c r="N22" i="12" s="1"/>
  <c r="AE19" i="4"/>
  <c r="N21" i="12" s="1"/>
  <c r="AE18" i="4"/>
  <c r="N20" i="12" s="1"/>
  <c r="AE11" i="4"/>
  <c r="N13" i="12" s="1"/>
  <c r="AE5" i="4"/>
  <c r="N7" i="12" s="1"/>
  <c r="AE4" i="4"/>
  <c r="N6" i="12" s="1"/>
  <c r="AE3" i="4"/>
  <c r="N5" i="12" s="1"/>
  <c r="AE2" i="4"/>
  <c r="N4" i="12" s="1"/>
  <c r="F103" i="4"/>
  <c r="J105" i="12"/>
  <c r="F302" i="4"/>
  <c r="J304" i="12"/>
  <c r="F260" i="4"/>
  <c r="J262" i="12"/>
  <c r="F327" i="4"/>
  <c r="J329" i="12"/>
  <c r="F56" i="4"/>
  <c r="J58" i="12"/>
  <c r="F131" i="4"/>
  <c r="J133" i="12"/>
  <c r="F371" i="4"/>
  <c r="J372" i="12"/>
  <c r="F115" i="4"/>
  <c r="J117" i="12"/>
  <c r="F152" i="4"/>
  <c r="J154" i="12"/>
  <c r="F225" i="4"/>
  <c r="J227" i="12"/>
  <c r="F198" i="4"/>
  <c r="J200" i="12"/>
  <c r="F440" i="4"/>
  <c r="F49" i="4"/>
  <c r="J51" i="12"/>
  <c r="F72" i="4"/>
  <c r="J74" i="12"/>
  <c r="F416" i="4"/>
  <c r="J405" i="12"/>
  <c r="AA47" i="4"/>
  <c r="I49" i="12"/>
  <c r="U47" i="4"/>
  <c r="M49" i="12" s="1"/>
  <c r="AA24" i="4"/>
  <c r="I26" i="12"/>
  <c r="U24" i="4"/>
  <c r="M26" i="12" s="1"/>
  <c r="AA30" i="4"/>
  <c r="U30" i="4"/>
  <c r="M32" i="12" s="1"/>
  <c r="I32" i="12"/>
  <c r="F65" i="4"/>
  <c r="J67" i="12"/>
  <c r="AA9" i="4"/>
  <c r="U9" i="4"/>
  <c r="M11" i="12" s="1"/>
  <c r="I11" i="12"/>
  <c r="AA18" i="4"/>
  <c r="U18" i="4"/>
  <c r="M20" i="12" s="1"/>
  <c r="I20" i="12"/>
  <c r="AA29" i="4"/>
  <c r="U29" i="4"/>
  <c r="M31" i="12" s="1"/>
  <c r="I31" i="12"/>
  <c r="AA96" i="4"/>
  <c r="I98" i="12"/>
  <c r="U96" i="4"/>
  <c r="M98" i="12" s="1"/>
  <c r="AA40" i="4"/>
  <c r="I42" i="12"/>
  <c r="U40" i="4"/>
  <c r="M42" i="12" s="1"/>
  <c r="AA44" i="4"/>
  <c r="I46" i="12"/>
  <c r="U44" i="4"/>
  <c r="M46" i="12" s="1"/>
  <c r="AA90" i="4"/>
  <c r="I92" i="12"/>
  <c r="U90" i="4"/>
  <c r="M92" i="12" s="1"/>
  <c r="AA95" i="4"/>
  <c r="I97" i="12"/>
  <c r="U95" i="4"/>
  <c r="M97" i="12" s="1"/>
  <c r="AA27" i="4"/>
  <c r="I29" i="12"/>
  <c r="U27" i="4"/>
  <c r="M29" i="12" s="1"/>
  <c r="AA10" i="4"/>
  <c r="U10" i="4"/>
  <c r="M12" i="12" s="1"/>
  <c r="I12" i="12"/>
  <c r="AA52" i="4"/>
  <c r="I54" i="12"/>
  <c r="U52" i="4"/>
  <c r="M54" i="12" s="1"/>
  <c r="AA3" i="4"/>
  <c r="I5" i="12"/>
  <c r="U3" i="4"/>
  <c r="M5" i="12" s="1"/>
  <c r="AA39" i="4"/>
  <c r="I41" i="12"/>
  <c r="U39" i="4"/>
  <c r="M41" i="12" s="1"/>
  <c r="AA15" i="4"/>
  <c r="I17" i="12"/>
  <c r="U15" i="4"/>
  <c r="M17" i="12" s="1"/>
  <c r="AA71" i="4"/>
  <c r="I73" i="12"/>
  <c r="U71" i="4"/>
  <c r="M73" i="12" s="1"/>
  <c r="AA78" i="4"/>
  <c r="I80" i="12"/>
  <c r="U78" i="4"/>
  <c r="M80" i="12" s="1"/>
  <c r="F64" i="4"/>
  <c r="J66" i="12"/>
  <c r="F117" i="4"/>
  <c r="J119" i="12"/>
  <c r="AA25" i="4"/>
  <c r="U25" i="4"/>
  <c r="M27" i="12" s="1"/>
  <c r="I27" i="12"/>
  <c r="AA123" i="4"/>
  <c r="I125" i="12"/>
  <c r="U123" i="4"/>
  <c r="M125" i="12" s="1"/>
  <c r="AA46" i="4"/>
  <c r="U46" i="4"/>
  <c r="M48" i="12" s="1"/>
  <c r="I48" i="12"/>
  <c r="AA75" i="4"/>
  <c r="I77" i="12"/>
  <c r="U75" i="4"/>
  <c r="M77" i="12" s="1"/>
  <c r="F139" i="4"/>
  <c r="J141" i="12"/>
  <c r="F338" i="4"/>
  <c r="J340" i="12"/>
  <c r="F370" i="4"/>
  <c r="J371" i="12"/>
  <c r="F97" i="4"/>
  <c r="J99" i="12"/>
  <c r="F199" i="4"/>
  <c r="J201" i="12"/>
  <c r="F169" i="4"/>
  <c r="J171" i="12"/>
  <c r="F340" i="4"/>
  <c r="J342" i="12"/>
  <c r="F490" i="4"/>
  <c r="F61" i="4"/>
  <c r="J63" i="12"/>
  <c r="F325" i="4"/>
  <c r="J327" i="12"/>
  <c r="F241" i="4"/>
  <c r="J243" i="12"/>
  <c r="F138" i="4"/>
  <c r="J140" i="12"/>
  <c r="F130" i="4"/>
  <c r="J132" i="12"/>
  <c r="F326" i="4"/>
  <c r="J328" i="12"/>
  <c r="AA89" i="4"/>
  <c r="U89" i="4"/>
  <c r="M91" i="12" s="1"/>
  <c r="I91" i="12"/>
  <c r="G291" i="4"/>
  <c r="H285" i="4"/>
  <c r="K287" i="12" s="1"/>
  <c r="H269" i="4"/>
  <c r="K271" i="12" s="1"/>
  <c r="G267" i="4"/>
  <c r="G251" i="4"/>
  <c r="H245" i="4"/>
  <c r="K247" i="12" s="1"/>
  <c r="G227" i="4"/>
  <c r="H221" i="4"/>
  <c r="K223" i="12" s="1"/>
  <c r="H219" i="4"/>
  <c r="K221" i="12" s="1"/>
  <c r="G217" i="4"/>
  <c r="G209" i="4"/>
  <c r="G201" i="4"/>
  <c r="G308" i="4"/>
  <c r="H316" i="4"/>
  <c r="K318" i="12" s="1"/>
  <c r="G186" i="4"/>
  <c r="H250" i="4"/>
  <c r="K252" i="12" s="1"/>
  <c r="G246" i="4"/>
  <c r="H420" i="4"/>
  <c r="H361" i="4"/>
  <c r="K362" i="12" s="1"/>
  <c r="G345" i="4"/>
  <c r="G374" i="4"/>
  <c r="H350" i="4"/>
  <c r="G185" i="4"/>
  <c r="H173" i="4"/>
  <c r="K175" i="12" s="1"/>
  <c r="H477" i="4"/>
  <c r="H424" i="4"/>
  <c r="G404" i="4"/>
  <c r="H421" i="4"/>
  <c r="G420" i="4"/>
  <c r="G350" i="4"/>
  <c r="F350" i="4" s="1"/>
  <c r="G171" i="4"/>
  <c r="H183" i="4"/>
  <c r="K185" i="12" s="1"/>
  <c r="G309" i="4"/>
  <c r="H317" i="4"/>
  <c r="K319" i="12" s="1"/>
  <c r="H216" i="4"/>
  <c r="K218" i="12" s="1"/>
  <c r="G438" i="4"/>
  <c r="G423" i="4"/>
  <c r="G406" i="4"/>
  <c r="H349" i="4"/>
  <c r="K351" i="12" s="1"/>
  <c r="H187" i="4"/>
  <c r="K189" i="12" s="1"/>
  <c r="G289" i="4"/>
  <c r="G273" i="4"/>
  <c r="H263" i="4"/>
  <c r="K265" i="12" s="1"/>
  <c r="H251" i="4"/>
  <c r="K253" i="12" s="1"/>
  <c r="G245" i="4"/>
  <c r="G207" i="4"/>
  <c r="G332" i="4"/>
  <c r="G148" i="4"/>
  <c r="H252" i="4"/>
  <c r="K254" i="12" s="1"/>
  <c r="G250" i="4"/>
  <c r="H246" i="4"/>
  <c r="K248" i="12" s="1"/>
  <c r="G244" i="4"/>
  <c r="G228" i="4"/>
  <c r="G475" i="4"/>
  <c r="G385" i="4"/>
  <c r="H362" i="4"/>
  <c r="K363" i="12" s="1"/>
  <c r="G141" i="4"/>
  <c r="G161" i="4"/>
  <c r="H153" i="4"/>
  <c r="K155" i="12" s="1"/>
  <c r="H315" i="4"/>
  <c r="K317" i="12" s="1"/>
  <c r="G329" i="4"/>
  <c r="G220" i="4"/>
  <c r="G290" i="4"/>
  <c r="H286" i="4"/>
  <c r="K288" i="12" s="1"/>
  <c r="H270" i="4"/>
  <c r="K272" i="12" s="1"/>
  <c r="G266" i="4"/>
  <c r="H262" i="4"/>
  <c r="K264" i="12" s="1"/>
  <c r="G208" i="4"/>
  <c r="G435" i="4"/>
  <c r="H422" i="4"/>
  <c r="G476" i="4"/>
  <c r="G360" i="4"/>
  <c r="G344" i="4"/>
  <c r="G434" i="4"/>
  <c r="G481" i="4"/>
  <c r="G409" i="4"/>
  <c r="H373" i="4"/>
  <c r="K374" i="12" s="1"/>
  <c r="H357" i="4"/>
  <c r="K358" i="12" s="1"/>
  <c r="H306" i="4"/>
  <c r="K308" i="12" s="1"/>
  <c r="G314" i="4"/>
  <c r="H334" i="4"/>
  <c r="K336" i="12" s="1"/>
  <c r="G182" i="4"/>
  <c r="H154" i="4"/>
  <c r="K156" i="12" s="1"/>
  <c r="G142" i="4"/>
  <c r="G306" i="4"/>
  <c r="H314" i="4"/>
  <c r="K316" i="12" s="1"/>
  <c r="G162" i="4"/>
  <c r="G188" i="4"/>
  <c r="G364" i="4"/>
  <c r="H402" i="4"/>
  <c r="K400" i="12" s="1"/>
  <c r="H181" i="4"/>
  <c r="K183" i="12" s="1"/>
  <c r="G183" i="4"/>
  <c r="H305" i="4"/>
  <c r="K307" i="12" s="1"/>
  <c r="H184" i="4"/>
  <c r="K186" i="12" s="1"/>
  <c r="H478" i="4"/>
  <c r="H438" i="4"/>
  <c r="G437" i="4"/>
  <c r="H419" i="4"/>
  <c r="H480" i="4"/>
  <c r="H405" i="4"/>
  <c r="G399" i="4"/>
  <c r="G356" i="4"/>
  <c r="G187" i="4"/>
  <c r="H291" i="4"/>
  <c r="K293" i="12" s="1"/>
  <c r="G285" i="4"/>
  <c r="G269" i="4"/>
  <c r="H265" i="4"/>
  <c r="K267" i="12" s="1"/>
  <c r="G263" i="4"/>
  <c r="H247" i="4"/>
  <c r="K249" i="12" s="1"/>
  <c r="G219" i="4"/>
  <c r="H209" i="4"/>
  <c r="K211" i="12" s="1"/>
  <c r="H312" i="4"/>
  <c r="K314" i="12" s="1"/>
  <c r="G316" i="4"/>
  <c r="H186" i="4"/>
  <c r="K188" i="12" s="1"/>
  <c r="H248" i="4"/>
  <c r="K250" i="12" s="1"/>
  <c r="H408" i="4"/>
  <c r="G362" i="4"/>
  <c r="G153" i="4"/>
  <c r="H311" i="4"/>
  <c r="K313" i="12" s="1"/>
  <c r="G315" i="4"/>
  <c r="H206" i="4"/>
  <c r="K208" i="12" s="1"/>
  <c r="H288" i="4"/>
  <c r="K290" i="12" s="1"/>
  <c r="G284" i="4"/>
  <c r="H272" i="4"/>
  <c r="K274" i="12" s="1"/>
  <c r="G268" i="4"/>
  <c r="H264" i="4"/>
  <c r="K266" i="12" s="1"/>
  <c r="H436" i="4"/>
  <c r="G400" i="4"/>
  <c r="H347" i="4"/>
  <c r="K349" i="12" s="1"/>
  <c r="H434" i="4"/>
  <c r="G425" i="4"/>
  <c r="H359" i="4"/>
  <c r="K360" i="12" s="1"/>
  <c r="H403" i="4"/>
  <c r="K401" i="12" s="1"/>
  <c r="H364" i="4"/>
  <c r="K365" i="12" s="1"/>
  <c r="H348" i="4"/>
  <c r="K350" i="12" s="1"/>
  <c r="G402" i="4"/>
  <c r="G373" i="4"/>
  <c r="G357" i="4"/>
  <c r="G310" i="4"/>
  <c r="H330" i="4"/>
  <c r="K332" i="12" s="1"/>
  <c r="H162" i="4"/>
  <c r="K164" i="12" s="1"/>
  <c r="G154" i="4"/>
  <c r="H188" i="4"/>
  <c r="K190" i="12" s="1"/>
  <c r="G140" i="4"/>
  <c r="G479" i="4"/>
  <c r="H358" i="4"/>
  <c r="K359" i="12" s="1"/>
  <c r="G173" i="4"/>
  <c r="G305" i="4"/>
  <c r="G313" i="4"/>
  <c r="H331" i="4"/>
  <c r="K333" i="12" s="1"/>
  <c r="G346" i="4"/>
  <c r="G419" i="4"/>
  <c r="G381" i="4"/>
  <c r="G372" i="4"/>
  <c r="H401" i="4"/>
  <c r="K399" i="12" s="1"/>
  <c r="H287" i="4"/>
  <c r="K289" i="12" s="1"/>
  <c r="H271" i="4"/>
  <c r="K273" i="12" s="1"/>
  <c r="G265" i="4"/>
  <c r="H249" i="4"/>
  <c r="K251" i="12" s="1"/>
  <c r="G247" i="4"/>
  <c r="H227" i="4"/>
  <c r="K229" i="12" s="1"/>
  <c r="G221" i="4"/>
  <c r="H205" i="4"/>
  <c r="K207" i="12" s="1"/>
  <c r="H332" i="4"/>
  <c r="K334" i="12" s="1"/>
  <c r="G252" i="4"/>
  <c r="H244" i="4"/>
  <c r="K246" i="12" s="1"/>
  <c r="H228" i="4"/>
  <c r="K230" i="12" s="1"/>
  <c r="H200" i="4"/>
  <c r="K202" i="12" s="1"/>
  <c r="H159" i="4"/>
  <c r="K161" i="12" s="1"/>
  <c r="H307" i="4"/>
  <c r="K309" i="12" s="1"/>
  <c r="G311" i="4"/>
  <c r="H333" i="4"/>
  <c r="K335" i="12" s="1"/>
  <c r="H218" i="4"/>
  <c r="K220" i="12" s="1"/>
  <c r="G206" i="4"/>
  <c r="H160" i="4"/>
  <c r="K162" i="12" s="1"/>
  <c r="H290" i="4"/>
  <c r="K292" i="12" s="1"/>
  <c r="G286" i="4"/>
  <c r="G270" i="4"/>
  <c r="H266" i="4"/>
  <c r="K268" i="12" s="1"/>
  <c r="G262" i="4"/>
  <c r="G422" i="4"/>
  <c r="F422" i="4" s="1"/>
  <c r="G436" i="4"/>
  <c r="G347" i="4"/>
  <c r="H360" i="4"/>
  <c r="K361" i="12" s="1"/>
  <c r="H344" i="4"/>
  <c r="K346" i="12" s="1"/>
  <c r="H383" i="4"/>
  <c r="K384" i="12" s="1"/>
  <c r="H481" i="4"/>
  <c r="H363" i="4"/>
  <c r="K364" i="12" s="1"/>
  <c r="G359" i="4"/>
  <c r="H409" i="4"/>
  <c r="H149" i="4"/>
  <c r="K151" i="12" s="1"/>
  <c r="G334" i="4"/>
  <c r="H172" i="4"/>
  <c r="K174" i="12" s="1"/>
  <c r="H202" i="4"/>
  <c r="K204" i="12" s="1"/>
  <c r="H140" i="4"/>
  <c r="K142" i="12" s="1"/>
  <c r="G149" i="4"/>
  <c r="H407" i="4"/>
  <c r="G477" i="4"/>
  <c r="G361" i="4"/>
  <c r="G358" i="4"/>
  <c r="H171" i="4"/>
  <c r="K173" i="12" s="1"/>
  <c r="H309" i="4"/>
  <c r="K311" i="12" s="1"/>
  <c r="G331" i="4"/>
  <c r="G382" i="4"/>
  <c r="G480" i="4"/>
  <c r="H399" i="4"/>
  <c r="K397" i="12" s="1"/>
  <c r="H289" i="4"/>
  <c r="K291" i="12" s="1"/>
  <c r="G287" i="4"/>
  <c r="H273" i="4"/>
  <c r="K275" i="12" s="1"/>
  <c r="G271" i="4"/>
  <c r="H267" i="4"/>
  <c r="K269" i="12" s="1"/>
  <c r="G249" i="4"/>
  <c r="H217" i="4"/>
  <c r="K219" i="12" s="1"/>
  <c r="H207" i="4"/>
  <c r="K209" i="12" s="1"/>
  <c r="G205" i="4"/>
  <c r="H201" i="4"/>
  <c r="K203" i="12" s="1"/>
  <c r="H308" i="4"/>
  <c r="K310" i="12" s="1"/>
  <c r="G312" i="4"/>
  <c r="H148" i="4"/>
  <c r="K150" i="12" s="1"/>
  <c r="G248" i="4"/>
  <c r="G200" i="4"/>
  <c r="H475" i="4"/>
  <c r="K407" i="12" s="1"/>
  <c r="G408" i="4"/>
  <c r="H385" i="4"/>
  <c r="K386" i="12" s="1"/>
  <c r="H141" i="4"/>
  <c r="K143" i="12" s="1"/>
  <c r="H161" i="4"/>
  <c r="K163" i="12" s="1"/>
  <c r="G159" i="4"/>
  <c r="G307" i="4"/>
  <c r="H329" i="4"/>
  <c r="K331" i="12" s="1"/>
  <c r="G333" i="4"/>
  <c r="H220" i="4"/>
  <c r="K222" i="12" s="1"/>
  <c r="G218" i="4"/>
  <c r="G160" i="4"/>
  <c r="G288" i="4"/>
  <c r="H284" i="4"/>
  <c r="K286" i="12" s="1"/>
  <c r="G272" i="4"/>
  <c r="H268" i="4"/>
  <c r="K270" i="12" s="1"/>
  <c r="G264" i="4"/>
  <c r="H208" i="4"/>
  <c r="K210" i="12" s="1"/>
  <c r="H435" i="4"/>
  <c r="H476" i="4"/>
  <c r="H400" i="4"/>
  <c r="K398" i="12" s="1"/>
  <c r="G383" i="4"/>
  <c r="H425" i="4"/>
  <c r="G363" i="4"/>
  <c r="G403" i="4"/>
  <c r="G348" i="4"/>
  <c r="H310" i="4"/>
  <c r="K312" i="12" s="1"/>
  <c r="G330" i="4"/>
  <c r="H182" i="4"/>
  <c r="K184" i="12" s="1"/>
  <c r="G172" i="4"/>
  <c r="H142" i="4"/>
  <c r="K144" i="12" s="1"/>
  <c r="G202" i="4"/>
  <c r="G133" i="4"/>
  <c r="G135" i="4"/>
  <c r="H133" i="4"/>
  <c r="K135" i="12" s="1"/>
  <c r="G421" i="4"/>
  <c r="H406" i="4"/>
  <c r="G405" i="4"/>
  <c r="H423" i="4"/>
  <c r="H346" i="4"/>
  <c r="K348" i="12" s="1"/>
  <c r="G184" i="4"/>
  <c r="H313" i="4"/>
  <c r="K315" i="12" s="1"/>
  <c r="G384" i="4"/>
  <c r="G292" i="4"/>
  <c r="H135" i="4"/>
  <c r="K137" i="12" s="1"/>
  <c r="H292" i="4"/>
  <c r="K294" i="12" s="1"/>
  <c r="G136" i="4"/>
  <c r="G401" i="4"/>
  <c r="H356" i="4"/>
  <c r="K357" i="12" s="1"/>
  <c r="G478" i="4"/>
  <c r="F478" i="4" s="1"/>
  <c r="H382" i="4"/>
  <c r="K383" i="12" s="1"/>
  <c r="G181" i="4"/>
  <c r="H404" i="4"/>
  <c r="G424" i="4"/>
  <c r="F424" i="4" s="1"/>
  <c r="H387" i="4"/>
  <c r="K388" i="12" s="1"/>
  <c r="H388" i="4"/>
  <c r="G386" i="4"/>
  <c r="G482" i="4"/>
  <c r="G132" i="4"/>
  <c r="H134" i="4"/>
  <c r="K136" i="12" s="1"/>
  <c r="G407" i="4"/>
  <c r="G317" i="4"/>
  <c r="H386" i="4"/>
  <c r="K387" i="12" s="1"/>
  <c r="H124" i="4"/>
  <c r="K126" i="12" s="1"/>
  <c r="H136" i="4"/>
  <c r="K138" i="12" s="1"/>
  <c r="G387" i="4"/>
  <c r="H479" i="4"/>
  <c r="G388" i="4"/>
  <c r="F388" i="4" s="1"/>
  <c r="G349" i="4"/>
  <c r="H372" i="4"/>
  <c r="K373" i="12" s="1"/>
  <c r="H437" i="4"/>
  <c r="H185" i="4"/>
  <c r="K187" i="12" s="1"/>
  <c r="H374" i="4"/>
  <c r="K375" i="12" s="1"/>
  <c r="G134" i="4"/>
  <c r="H132" i="4"/>
  <c r="K134" i="12" s="1"/>
  <c r="G124" i="4"/>
  <c r="H381" i="4"/>
  <c r="K382" i="12" s="1"/>
  <c r="G216" i="4"/>
  <c r="H345" i="4"/>
  <c r="K347" i="12" s="1"/>
  <c r="H482" i="4"/>
  <c r="H384" i="4"/>
  <c r="K385" i="12" s="1"/>
  <c r="AA22" i="4"/>
  <c r="U22" i="4"/>
  <c r="M24" i="12" s="1"/>
  <c r="I24" i="12"/>
  <c r="AA5" i="4"/>
  <c r="U5" i="4"/>
  <c r="M7" i="12" s="1"/>
  <c r="I7" i="12"/>
  <c r="F84" i="4"/>
  <c r="J86" i="12"/>
  <c r="F107" i="4"/>
  <c r="J109" i="12"/>
  <c r="F112" i="4"/>
  <c r="J114" i="12"/>
  <c r="AA21" i="4"/>
  <c r="U21" i="4"/>
  <c r="M23" i="12" s="1"/>
  <c r="I23" i="12"/>
  <c r="AA110" i="4"/>
  <c r="I112" i="12"/>
  <c r="U110" i="4"/>
  <c r="M112" i="12" s="1"/>
  <c r="AA76" i="4"/>
  <c r="I78" i="12"/>
  <c r="U76" i="4"/>
  <c r="M78" i="12" s="1"/>
  <c r="F98" i="4"/>
  <c r="F68" i="4"/>
  <c r="AA11" i="4"/>
  <c r="I13" i="12"/>
  <c r="U11" i="4"/>
  <c r="M13" i="12" s="1"/>
  <c r="AA42" i="4"/>
  <c r="U42" i="4"/>
  <c r="M44" i="12" s="1"/>
  <c r="I44" i="12"/>
  <c r="AA88" i="4"/>
  <c r="I90" i="12"/>
  <c r="U88" i="4"/>
  <c r="M90" i="12" s="1"/>
  <c r="AA60" i="4"/>
  <c r="I62" i="12"/>
  <c r="U60" i="4"/>
  <c r="M62" i="12" s="1"/>
  <c r="AA32" i="4"/>
  <c r="I34" i="12"/>
  <c r="U32" i="4"/>
  <c r="M34" i="12" s="1"/>
  <c r="AA91" i="4"/>
  <c r="I93" i="12"/>
  <c r="U91" i="4"/>
  <c r="M93" i="12" s="1"/>
  <c r="AA92" i="4"/>
  <c r="I94" i="12"/>
  <c r="U92" i="4"/>
  <c r="M94" i="12" s="1"/>
  <c r="AA121" i="4"/>
  <c r="U121" i="4"/>
  <c r="M123" i="12" s="1"/>
  <c r="I123" i="12"/>
  <c r="AE474" i="4"/>
  <c r="AE473" i="4"/>
  <c r="AE472" i="4"/>
  <c r="AE471" i="4"/>
  <c r="AE470" i="4"/>
  <c r="AE469" i="4"/>
  <c r="AE468" i="4"/>
  <c r="AE467" i="4"/>
  <c r="AE466" i="4"/>
  <c r="AE465" i="4"/>
  <c r="AE464" i="4"/>
  <c r="AE463" i="4"/>
  <c r="AE462" i="4"/>
  <c r="AE461" i="4"/>
  <c r="AE460" i="4"/>
  <c r="AE459" i="4"/>
  <c r="AE458" i="4"/>
  <c r="AE457" i="4"/>
  <c r="AE456" i="4"/>
  <c r="AE455" i="4"/>
  <c r="AE454" i="4"/>
  <c r="AE453" i="4"/>
  <c r="AE452" i="4"/>
  <c r="AE451" i="4"/>
  <c r="AE450" i="4"/>
  <c r="AE449" i="4"/>
  <c r="AE448" i="4"/>
  <c r="AE447" i="4"/>
  <c r="AE446" i="4"/>
  <c r="AE445" i="4"/>
  <c r="AE444" i="4"/>
  <c r="AE443" i="4"/>
  <c r="AE442" i="4"/>
  <c r="AE441" i="4"/>
  <c r="AE418" i="4"/>
  <c r="AE380" i="4"/>
  <c r="N381" i="12" s="1"/>
  <c r="AE379" i="4"/>
  <c r="N380" i="12" s="1"/>
  <c r="AE343" i="4"/>
  <c r="N345" i="12" s="1"/>
  <c r="AE342" i="4"/>
  <c r="N344" i="12" s="1"/>
  <c r="AE304" i="4"/>
  <c r="N306" i="12" s="1"/>
  <c r="AE303" i="4"/>
  <c r="N305" i="12" s="1"/>
  <c r="AE261" i="4"/>
  <c r="N263" i="12" s="1"/>
  <c r="AE215" i="4"/>
  <c r="N217" i="12" s="1"/>
  <c r="AE123" i="4"/>
  <c r="N125" i="12" s="1"/>
  <c r="AE89" i="4"/>
  <c r="N91" i="12" s="1"/>
  <c r="AE69" i="4"/>
  <c r="N71" i="12" s="1"/>
  <c r="AE55" i="4"/>
  <c r="N57" i="12" s="1"/>
  <c r="AE51" i="4"/>
  <c r="N53" i="12" s="1"/>
  <c r="I7" i="2"/>
  <c r="AE226" i="4"/>
  <c r="N228" i="12" s="1"/>
  <c r="AE180" i="4"/>
  <c r="N182" i="12" s="1"/>
  <c r="AE158" i="4"/>
  <c r="N160" i="12" s="1"/>
  <c r="AE116" i="4"/>
  <c r="N118" i="12" s="1"/>
  <c r="AE110" i="4"/>
  <c r="N112" i="12" s="1"/>
  <c r="AE106" i="4"/>
  <c r="N108" i="12" s="1"/>
  <c r="AE82" i="4"/>
  <c r="N84" i="12" s="1"/>
  <c r="AE70" i="4"/>
  <c r="N72" i="12" s="1"/>
  <c r="AE58" i="4"/>
  <c r="N60" i="12" s="1"/>
  <c r="AE43" i="4"/>
  <c r="N45" i="12" s="1"/>
  <c r="AE41" i="4"/>
  <c r="N43" i="12" s="1"/>
  <c r="AA2" i="4"/>
  <c r="U2" i="4"/>
  <c r="M4" i="12" s="1"/>
  <c r="I4" i="12"/>
  <c r="AA33" i="4"/>
  <c r="U33" i="4"/>
  <c r="M35" i="12" s="1"/>
  <c r="I35" i="12"/>
  <c r="AA36" i="4"/>
  <c r="I38" i="12"/>
  <c r="U36" i="4"/>
  <c r="M38" i="12" s="1"/>
  <c r="H293" i="4"/>
  <c r="K295" i="12" s="1"/>
  <c r="G283" i="4"/>
  <c r="H277" i="4"/>
  <c r="K279" i="12" s="1"/>
  <c r="G275" i="4"/>
  <c r="G259" i="4"/>
  <c r="H253" i="4"/>
  <c r="K255" i="12" s="1"/>
  <c r="H237" i="4"/>
  <c r="K239" i="12" s="1"/>
  <c r="G235" i="4"/>
  <c r="H229" i="4"/>
  <c r="K231" i="12" s="1"/>
  <c r="H211" i="4"/>
  <c r="K213" i="12" s="1"/>
  <c r="H203" i="4"/>
  <c r="K205" i="12" s="1"/>
  <c r="H175" i="4"/>
  <c r="K177" i="12" s="1"/>
  <c r="H143" i="4"/>
  <c r="K145" i="12" s="1"/>
  <c r="H258" i="4"/>
  <c r="K260" i="12" s="1"/>
  <c r="G254" i="4"/>
  <c r="G238" i="4"/>
  <c r="H234" i="4"/>
  <c r="K236" i="12" s="1"/>
  <c r="G230" i="4"/>
  <c r="G222" i="4"/>
  <c r="H190" i="4"/>
  <c r="K192" i="12" s="1"/>
  <c r="H413" i="4"/>
  <c r="H395" i="4"/>
  <c r="G299" i="4"/>
  <c r="G428" i="4"/>
  <c r="G412" i="4"/>
  <c r="G394" i="4"/>
  <c r="G389" i="4"/>
  <c r="G368" i="4"/>
  <c r="G352" i="4"/>
  <c r="H391" i="4"/>
  <c r="K391" i="12" s="1"/>
  <c r="H193" i="4"/>
  <c r="K195" i="12" s="1"/>
  <c r="G163" i="4"/>
  <c r="G167" i="4"/>
  <c r="H300" i="4"/>
  <c r="K302" i="12" s="1"/>
  <c r="G336" i="4"/>
  <c r="G429" i="4"/>
  <c r="G432" i="4"/>
  <c r="H484" i="4"/>
  <c r="H352" i="4"/>
  <c r="K353" i="12" s="1"/>
  <c r="G391" i="4"/>
  <c r="H366" i="4"/>
  <c r="K367" i="12" s="1"/>
  <c r="H319" i="4"/>
  <c r="K321" i="12" s="1"/>
  <c r="G176" i="4"/>
  <c r="G144" i="4"/>
  <c r="G156" i="4"/>
  <c r="H390" i="4"/>
  <c r="K390" i="12" s="1"/>
  <c r="G486" i="4"/>
  <c r="H427" i="4"/>
  <c r="G411" i="4"/>
  <c r="H396" i="4"/>
  <c r="H295" i="4"/>
  <c r="K297" i="12" s="1"/>
  <c r="H279" i="4"/>
  <c r="K281" i="12" s="1"/>
  <c r="H257" i="4"/>
  <c r="K259" i="12" s="1"/>
  <c r="G255" i="4"/>
  <c r="G239" i="4"/>
  <c r="H235" i="4"/>
  <c r="K237" i="12" s="1"/>
  <c r="G229" i="4"/>
  <c r="G223" i="4"/>
  <c r="H213" i="4"/>
  <c r="K215" i="12" s="1"/>
  <c r="H189" i="4"/>
  <c r="K191" i="12" s="1"/>
  <c r="H236" i="4"/>
  <c r="K238" i="12" s="1"/>
  <c r="G234" i="4"/>
  <c r="H230" i="4"/>
  <c r="K232" i="12" s="1"/>
  <c r="H224" i="4"/>
  <c r="K226" i="12" s="1"/>
  <c r="G190" i="4"/>
  <c r="G191" i="4"/>
  <c r="G151" i="4"/>
  <c r="H318" i="4"/>
  <c r="K320" i="12" s="1"/>
  <c r="G301" i="4"/>
  <c r="H192" i="4"/>
  <c r="K194" i="12" s="1"/>
  <c r="G178" i="4"/>
  <c r="G282" i="4"/>
  <c r="H278" i="4"/>
  <c r="K280" i="12" s="1"/>
  <c r="G274" i="4"/>
  <c r="G376" i="4"/>
  <c r="H369" i="4"/>
  <c r="K370" i="12" s="1"/>
  <c r="G353" i="4"/>
  <c r="G367" i="4"/>
  <c r="H355" i="4"/>
  <c r="K356" i="12" s="1"/>
  <c r="G351" i="4"/>
  <c r="H393" i="4"/>
  <c r="K393" i="12" s="1"/>
  <c r="H410" i="4"/>
  <c r="K402" i="12" s="1"/>
  <c r="G392" i="4"/>
  <c r="G155" i="4"/>
  <c r="G212" i="4"/>
  <c r="G294" i="4"/>
  <c r="H174" i="4"/>
  <c r="K176" i="12" s="1"/>
  <c r="G166" i="4"/>
  <c r="H294" i="4"/>
  <c r="K296" i="12" s="1"/>
  <c r="G195" i="4"/>
  <c r="H439" i="4"/>
  <c r="H428" i="4"/>
  <c r="G320" i="4"/>
  <c r="G390" i="4"/>
  <c r="H365" i="4"/>
  <c r="K366" i="12" s="1"/>
  <c r="H297" i="4"/>
  <c r="K299" i="12" s="1"/>
  <c r="G295" i="4"/>
  <c r="H281" i="4"/>
  <c r="K283" i="12" s="1"/>
  <c r="G279" i="4"/>
  <c r="H275" i="4"/>
  <c r="K277" i="12" s="1"/>
  <c r="G257" i="4"/>
  <c r="H231" i="4"/>
  <c r="K233" i="12" s="1"/>
  <c r="G213" i="4"/>
  <c r="G203" i="4"/>
  <c r="G189" i="4"/>
  <c r="G256" i="4"/>
  <c r="G240" i="4"/>
  <c r="H232" i="4"/>
  <c r="K234" i="12" s="1"/>
  <c r="H150" i="4"/>
  <c r="K152" i="12" s="1"/>
  <c r="H485" i="4"/>
  <c r="G426" i="4"/>
  <c r="H298" i="4"/>
  <c r="K300" i="12" s="1"/>
  <c r="G322" i="4"/>
  <c r="H335" i="4"/>
  <c r="K337" i="12" s="1"/>
  <c r="G192" i="4"/>
  <c r="H280" i="4"/>
  <c r="K282" i="12" s="1"/>
  <c r="G276" i="4"/>
  <c r="H164" i="4"/>
  <c r="K166" i="12" s="1"/>
  <c r="H430" i="4"/>
  <c r="G414" i="4"/>
  <c r="G369" i="4"/>
  <c r="H145" i="4"/>
  <c r="K147" i="12" s="1"/>
  <c r="G487" i="4"/>
  <c r="H375" i="4"/>
  <c r="K376" i="12" s="1"/>
  <c r="G355" i="4"/>
  <c r="G174" i="4"/>
  <c r="H165" i="4"/>
  <c r="K167" i="12" s="1"/>
  <c r="G395" i="4"/>
  <c r="H412" i="4"/>
  <c r="K404" i="12" s="1"/>
  <c r="H368" i="4"/>
  <c r="K369" i="12" s="1"/>
  <c r="G193" i="4"/>
  <c r="H336" i="4"/>
  <c r="K338" i="12" s="1"/>
  <c r="H323" i="4"/>
  <c r="K325" i="12" s="1"/>
  <c r="H210" i="4"/>
  <c r="K212" i="12" s="1"/>
  <c r="G483" i="4"/>
  <c r="H431" i="4"/>
  <c r="G427" i="4"/>
  <c r="F427" i="4" s="1"/>
  <c r="G396" i="4"/>
  <c r="F396" i="4" s="1"/>
  <c r="G297" i="4"/>
  <c r="G281" i="4"/>
  <c r="H259" i="4"/>
  <c r="K261" i="12" s="1"/>
  <c r="G253" i="4"/>
  <c r="G237" i="4"/>
  <c r="H233" i="4"/>
  <c r="K235" i="12" s="1"/>
  <c r="G231" i="4"/>
  <c r="G143" i="4"/>
  <c r="H146" i="4"/>
  <c r="K148" i="12" s="1"/>
  <c r="G258" i="4"/>
  <c r="H254" i="4"/>
  <c r="K256" i="12" s="1"/>
  <c r="H238" i="4"/>
  <c r="K240" i="12" s="1"/>
  <c r="G236" i="4"/>
  <c r="G224" i="4"/>
  <c r="H168" i="4"/>
  <c r="K170" i="12" s="1"/>
  <c r="G150" i="4"/>
  <c r="H177" i="4"/>
  <c r="K179" i="12" s="1"/>
  <c r="G318" i="4"/>
  <c r="H321" i="4"/>
  <c r="K323" i="12" s="1"/>
  <c r="G335" i="4"/>
  <c r="H282" i="4"/>
  <c r="K284" i="12" s="1"/>
  <c r="G278" i="4"/>
  <c r="H274" i="4"/>
  <c r="K276" i="12" s="1"/>
  <c r="G164" i="4"/>
  <c r="H376" i="4"/>
  <c r="K377" i="12" s="1"/>
  <c r="G145" i="4"/>
  <c r="G375" i="4"/>
  <c r="G393" i="4"/>
  <c r="G410" i="4"/>
  <c r="H392" i="4"/>
  <c r="K392" i="12" s="1"/>
  <c r="H195" i="4"/>
  <c r="K197" i="12" s="1"/>
  <c r="G413" i="4"/>
  <c r="H394" i="4"/>
  <c r="K394" i="12" s="1"/>
  <c r="H377" i="4"/>
  <c r="K378" i="12" s="1"/>
  <c r="G300" i="4"/>
  <c r="G323" i="4"/>
  <c r="G194" i="4"/>
  <c r="H176" i="4"/>
  <c r="K178" i="12" s="1"/>
  <c r="H144" i="4"/>
  <c r="K146" i="12" s="1"/>
  <c r="G210" i="4"/>
  <c r="H486" i="4"/>
  <c r="H415" i="4"/>
  <c r="H411" i="4"/>
  <c r="K403" i="12" s="1"/>
  <c r="G293" i="4"/>
  <c r="H283" i="4"/>
  <c r="K285" i="12" s="1"/>
  <c r="G277" i="4"/>
  <c r="H255" i="4"/>
  <c r="K257" i="12" s="1"/>
  <c r="H239" i="4"/>
  <c r="K241" i="12" s="1"/>
  <c r="G233" i="4"/>
  <c r="H223" i="4"/>
  <c r="K225" i="12" s="1"/>
  <c r="G211" i="4"/>
  <c r="G175" i="4"/>
  <c r="G146" i="4"/>
  <c r="H256" i="4"/>
  <c r="K258" i="12" s="1"/>
  <c r="H240" i="4"/>
  <c r="K242" i="12" s="1"/>
  <c r="G232" i="4"/>
  <c r="H222" i="4"/>
  <c r="K224" i="12" s="1"/>
  <c r="G168" i="4"/>
  <c r="G485" i="4"/>
  <c r="H426" i="4"/>
  <c r="K406" i="12" s="1"/>
  <c r="H191" i="4"/>
  <c r="K193" i="12" s="1"/>
  <c r="G177" i="4"/>
  <c r="H151" i="4"/>
  <c r="K153" i="12" s="1"/>
  <c r="G298" i="4"/>
  <c r="H322" i="4"/>
  <c r="K324" i="12" s="1"/>
  <c r="H301" i="4"/>
  <c r="K303" i="12" s="1"/>
  <c r="G321" i="4"/>
  <c r="H178" i="4"/>
  <c r="K180" i="12" s="1"/>
  <c r="G280" i="4"/>
  <c r="H276" i="4"/>
  <c r="K278" i="12" s="1"/>
  <c r="G430" i="4"/>
  <c r="H414" i="4"/>
  <c r="H353" i="4"/>
  <c r="K354" i="12" s="1"/>
  <c r="H487" i="4"/>
  <c r="H367" i="4"/>
  <c r="K368" i="12" s="1"/>
  <c r="H351" i="4"/>
  <c r="K352" i="12" s="1"/>
  <c r="H155" i="4"/>
  <c r="K157" i="12" s="1"/>
  <c r="G165" i="4"/>
  <c r="H212" i="4"/>
  <c r="K214" i="12" s="1"/>
  <c r="H166" i="4"/>
  <c r="K168" i="12" s="1"/>
  <c r="H99" i="4"/>
  <c r="K101" i="12" s="1"/>
  <c r="H100" i="4"/>
  <c r="K102" i="12" s="1"/>
  <c r="G113" i="4"/>
  <c r="G108" i="4"/>
  <c r="H296" i="4"/>
  <c r="K298" i="12" s="1"/>
  <c r="H129" i="4"/>
  <c r="K131" i="12" s="1"/>
  <c r="H128" i="4"/>
  <c r="K130" i="12" s="1"/>
  <c r="H122" i="4"/>
  <c r="K124" i="12" s="1"/>
  <c r="G127" i="4"/>
  <c r="H120" i="4"/>
  <c r="K122" i="12" s="1"/>
  <c r="H378" i="4"/>
  <c r="K379" i="12" s="1"/>
  <c r="H163" i="4"/>
  <c r="K165" i="12" s="1"/>
  <c r="G439" i="4"/>
  <c r="F439" i="4" s="1"/>
  <c r="H299" i="4"/>
  <c r="K301" i="12" s="1"/>
  <c r="H429" i="4"/>
  <c r="G101" i="4"/>
  <c r="G99" i="4"/>
  <c r="G93" i="4"/>
  <c r="G125" i="4"/>
  <c r="G94" i="4"/>
  <c r="G137" i="4"/>
  <c r="G114" i="4"/>
  <c r="H127" i="4"/>
  <c r="K129" i="12" s="1"/>
  <c r="G129" i="4"/>
  <c r="H101" i="4"/>
  <c r="K103" i="12" s="1"/>
  <c r="G296" i="4"/>
  <c r="G378" i="4"/>
  <c r="G431" i="4"/>
  <c r="F431" i="4" s="1"/>
  <c r="H194" i="4"/>
  <c r="K196" i="12" s="1"/>
  <c r="H320" i="4"/>
  <c r="K322" i="12" s="1"/>
  <c r="G366" i="4"/>
  <c r="H93" i="4"/>
  <c r="K95" i="12" s="1"/>
  <c r="H137" i="4"/>
  <c r="K139" i="12" s="1"/>
  <c r="G126" i="4"/>
  <c r="G120" i="4"/>
  <c r="G100" i="4"/>
  <c r="G365" i="4"/>
  <c r="G484" i="4"/>
  <c r="H111" i="4"/>
  <c r="K113" i="12" s="1"/>
  <c r="G128" i="4"/>
  <c r="G122" i="4"/>
  <c r="G111" i="4"/>
  <c r="H108" i="4"/>
  <c r="K110" i="12" s="1"/>
  <c r="H94" i="4"/>
  <c r="K96" i="12" s="1"/>
  <c r="G415" i="4"/>
  <c r="H156" i="4"/>
  <c r="K158" i="12" s="1"/>
  <c r="H167" i="4"/>
  <c r="K169" i="12" s="1"/>
  <c r="G377" i="4"/>
  <c r="H354" i="4"/>
  <c r="K355" i="12" s="1"/>
  <c r="H114" i="4"/>
  <c r="K116" i="12" s="1"/>
  <c r="H113" i="4"/>
  <c r="K115" i="12" s="1"/>
  <c r="H483" i="4"/>
  <c r="G319" i="4"/>
  <c r="H389" i="4"/>
  <c r="K389" i="12" s="1"/>
  <c r="H125" i="4"/>
  <c r="K127" i="12" s="1"/>
  <c r="H126" i="4"/>
  <c r="K128" i="12" s="1"/>
  <c r="G354" i="4"/>
  <c r="H432" i="4"/>
  <c r="F83" i="4"/>
  <c r="J85" i="12"/>
  <c r="AA14" i="4"/>
  <c r="U14" i="4"/>
  <c r="M16" i="12" s="1"/>
  <c r="I16" i="12"/>
  <c r="AA492" i="4"/>
  <c r="U492" i="4"/>
  <c r="F398" i="4"/>
  <c r="J396" i="12"/>
  <c r="F179" i="4"/>
  <c r="J181" i="12"/>
  <c r="F157" i="4"/>
  <c r="J159" i="12"/>
  <c r="F196" i="4"/>
  <c r="J198" i="12"/>
  <c r="F109" i="4"/>
  <c r="J111" i="12"/>
  <c r="AA433" i="4"/>
  <c r="U433" i="4"/>
  <c r="F57" i="4"/>
  <c r="J59" i="12"/>
  <c r="F105" i="4"/>
  <c r="J107" i="12"/>
  <c r="F197" i="4"/>
  <c r="J199" i="12"/>
  <c r="F339" i="4"/>
  <c r="J341" i="12"/>
  <c r="F328" i="4"/>
  <c r="J330" i="12"/>
  <c r="F337" i="4"/>
  <c r="J339" i="12"/>
  <c r="F85" i="4"/>
  <c r="J87" i="12"/>
  <c r="F48" i="4"/>
  <c r="J50" i="12"/>
  <c r="AA488" i="4"/>
  <c r="U488" i="4"/>
  <c r="F341" i="4"/>
  <c r="J343" i="12"/>
  <c r="F243" i="4"/>
  <c r="J245" i="12"/>
  <c r="F417" i="4"/>
  <c r="AA38" i="4"/>
  <c r="U38" i="4"/>
  <c r="M40" i="12" s="1"/>
  <c r="I40" i="12"/>
  <c r="AA13" i="4"/>
  <c r="U13" i="4"/>
  <c r="M15" i="12" s="1"/>
  <c r="I15" i="12"/>
  <c r="AA81" i="4"/>
  <c r="U81" i="4"/>
  <c r="M83" i="12" s="1"/>
  <c r="I83" i="12"/>
  <c r="F119" i="4"/>
  <c r="J121" i="12"/>
  <c r="F74" i="4"/>
  <c r="J76" i="12"/>
  <c r="AA4" i="4"/>
  <c r="I6" i="12"/>
  <c r="U4" i="4"/>
  <c r="M6" i="12" s="1"/>
  <c r="AA45" i="4"/>
  <c r="U45" i="4"/>
  <c r="M47" i="12" s="1"/>
  <c r="I47" i="12"/>
  <c r="AA23" i="4"/>
  <c r="I25" i="12"/>
  <c r="U23" i="4"/>
  <c r="M25" i="12" s="1"/>
  <c r="AA87" i="4"/>
  <c r="I89" i="12"/>
  <c r="U87" i="4"/>
  <c r="M89" i="12" s="1"/>
  <c r="F73" i="4"/>
  <c r="AA6" i="4"/>
  <c r="U6" i="4"/>
  <c r="M8" i="12" s="1"/>
  <c r="I8" i="12"/>
  <c r="F419" i="4" l="1"/>
  <c r="U66" i="4"/>
  <c r="M68" i="12" s="1"/>
  <c r="I69" i="12"/>
  <c r="F482" i="4"/>
  <c r="I68" i="12"/>
  <c r="F477" i="4"/>
  <c r="F415" i="4"/>
  <c r="F409" i="4"/>
  <c r="F485" i="4"/>
  <c r="AA485" i="4" s="1"/>
  <c r="F432" i="4"/>
  <c r="F405" i="4"/>
  <c r="F408" i="4"/>
  <c r="F425" i="4"/>
  <c r="AA425" i="4" s="1"/>
  <c r="F476" i="4"/>
  <c r="F404" i="4"/>
  <c r="U404" i="4" s="1"/>
  <c r="F430" i="4"/>
  <c r="F484" i="4"/>
  <c r="AA484" i="4" s="1"/>
  <c r="F421" i="4"/>
  <c r="F420" i="4"/>
  <c r="F378" i="4"/>
  <c r="J379" i="12"/>
  <c r="F211" i="4"/>
  <c r="J213" i="12"/>
  <c r="F369" i="4"/>
  <c r="J370" i="12"/>
  <c r="F322" i="4"/>
  <c r="J324" i="12"/>
  <c r="F257" i="4"/>
  <c r="J259" i="12"/>
  <c r="F320" i="4"/>
  <c r="J322" i="12"/>
  <c r="F212" i="4"/>
  <c r="J214" i="12"/>
  <c r="F353" i="4"/>
  <c r="J354" i="12"/>
  <c r="F411" i="4"/>
  <c r="J403" i="12"/>
  <c r="AA432" i="4"/>
  <c r="U432" i="4"/>
  <c r="F412" i="4"/>
  <c r="J404" i="12"/>
  <c r="F259" i="4"/>
  <c r="J261" i="12"/>
  <c r="AA424" i="4"/>
  <c r="U424" i="4"/>
  <c r="F172" i="4"/>
  <c r="J174" i="12"/>
  <c r="F361" i="4"/>
  <c r="J362" i="12"/>
  <c r="F346" i="4"/>
  <c r="J348" i="12"/>
  <c r="F481" i="4"/>
  <c r="AA476" i="4"/>
  <c r="U476" i="4"/>
  <c r="F385" i="4"/>
  <c r="J386" i="12"/>
  <c r="F332" i="4"/>
  <c r="J334" i="12"/>
  <c r="F171" i="4"/>
  <c r="J173" i="12"/>
  <c r="AA404" i="4"/>
  <c r="F185" i="4"/>
  <c r="J187" i="12"/>
  <c r="F186" i="4"/>
  <c r="J188" i="12"/>
  <c r="F209" i="4"/>
  <c r="J211" i="12"/>
  <c r="F227" i="4"/>
  <c r="J229" i="12"/>
  <c r="AA340" i="4"/>
  <c r="I342" i="12"/>
  <c r="U340" i="4"/>
  <c r="M342" i="12" s="1"/>
  <c r="AA199" i="4"/>
  <c r="I201" i="12"/>
  <c r="U199" i="4"/>
  <c r="M201" i="12" s="1"/>
  <c r="AA370" i="4"/>
  <c r="I371" i="12"/>
  <c r="U370" i="4"/>
  <c r="M371" i="12" s="1"/>
  <c r="AA139" i="4"/>
  <c r="I141" i="12"/>
  <c r="U139" i="4"/>
  <c r="M141" i="12" s="1"/>
  <c r="AA64" i="4"/>
  <c r="I66" i="12"/>
  <c r="U64" i="4"/>
  <c r="M66" i="12" s="1"/>
  <c r="AA416" i="4"/>
  <c r="I405" i="12"/>
  <c r="U416" i="4"/>
  <c r="M405" i="12" s="1"/>
  <c r="AA49" i="4"/>
  <c r="U49" i="4"/>
  <c r="M51" i="12" s="1"/>
  <c r="I51" i="12"/>
  <c r="AA118" i="4"/>
  <c r="I120" i="12"/>
  <c r="U118" i="4"/>
  <c r="M120" i="12" s="1"/>
  <c r="AA86" i="4"/>
  <c r="I88" i="12"/>
  <c r="U86" i="4"/>
  <c r="M88" i="12" s="1"/>
  <c r="AA214" i="4"/>
  <c r="I216" i="12"/>
  <c r="U214" i="4"/>
  <c r="M216" i="12" s="1"/>
  <c r="AA242" i="4"/>
  <c r="I244" i="12"/>
  <c r="U242" i="4"/>
  <c r="M244" i="12" s="1"/>
  <c r="AA102" i="4"/>
  <c r="I104" i="12"/>
  <c r="U102" i="4"/>
  <c r="M104" i="12" s="1"/>
  <c r="AA170" i="4"/>
  <c r="I172" i="12"/>
  <c r="U170" i="4"/>
  <c r="M172" i="12" s="1"/>
  <c r="F190" i="4"/>
  <c r="J192" i="12"/>
  <c r="F229" i="4"/>
  <c r="J231" i="12"/>
  <c r="F156" i="4"/>
  <c r="J158" i="12"/>
  <c r="F167" i="4"/>
  <c r="J169" i="12"/>
  <c r="F134" i="4"/>
  <c r="J136" i="12"/>
  <c r="F317" i="4"/>
  <c r="J319" i="12"/>
  <c r="AA478" i="4"/>
  <c r="U478" i="4"/>
  <c r="AA405" i="4"/>
  <c r="U405" i="4"/>
  <c r="F348" i="4"/>
  <c r="J350" i="12"/>
  <c r="AA408" i="4"/>
  <c r="U408" i="4"/>
  <c r="F347" i="4"/>
  <c r="J349" i="12"/>
  <c r="F311" i="4"/>
  <c r="J313" i="12"/>
  <c r="F284" i="4"/>
  <c r="J286" i="12"/>
  <c r="F162" i="4"/>
  <c r="J164" i="12"/>
  <c r="F290" i="4"/>
  <c r="J292" i="12"/>
  <c r="AA73" i="4"/>
  <c r="U73" i="4"/>
  <c r="M75" i="12" s="1"/>
  <c r="I75" i="12"/>
  <c r="AA119" i="4"/>
  <c r="I121" i="12"/>
  <c r="U119" i="4"/>
  <c r="M121" i="12" s="1"/>
  <c r="AA243" i="4"/>
  <c r="I245" i="12"/>
  <c r="U243" i="4"/>
  <c r="M245" i="12" s="1"/>
  <c r="AA85" i="4"/>
  <c r="U85" i="4"/>
  <c r="M87" i="12" s="1"/>
  <c r="I87" i="12"/>
  <c r="AA328" i="4"/>
  <c r="I330" i="12"/>
  <c r="U328" i="4"/>
  <c r="M330" i="12" s="1"/>
  <c r="AA197" i="4"/>
  <c r="U197" i="4"/>
  <c r="M199" i="12" s="1"/>
  <c r="I199" i="12"/>
  <c r="AA57" i="4"/>
  <c r="U57" i="4"/>
  <c r="M59" i="12" s="1"/>
  <c r="I59" i="12"/>
  <c r="AA109" i="4"/>
  <c r="U109" i="4"/>
  <c r="M111" i="12" s="1"/>
  <c r="I111" i="12"/>
  <c r="AA157" i="4"/>
  <c r="U157" i="4"/>
  <c r="M159" i="12" s="1"/>
  <c r="I159" i="12"/>
  <c r="AA398" i="4"/>
  <c r="I396" i="12"/>
  <c r="U398" i="4"/>
  <c r="M396" i="12" s="1"/>
  <c r="F111" i="4"/>
  <c r="J113" i="12"/>
  <c r="F126" i="4"/>
  <c r="J128" i="12"/>
  <c r="F296" i="4"/>
  <c r="J298" i="12"/>
  <c r="F114" i="4"/>
  <c r="J116" i="12"/>
  <c r="F93" i="4"/>
  <c r="J95" i="12"/>
  <c r="F165" i="4"/>
  <c r="J167" i="12"/>
  <c r="F177" i="4"/>
  <c r="J179" i="12"/>
  <c r="F168" i="4"/>
  <c r="J170" i="12"/>
  <c r="F277" i="4"/>
  <c r="J279" i="12"/>
  <c r="F145" i="4"/>
  <c r="J147" i="12"/>
  <c r="F278" i="4"/>
  <c r="J280" i="12"/>
  <c r="F318" i="4"/>
  <c r="J320" i="12"/>
  <c r="F224" i="4"/>
  <c r="J226" i="12"/>
  <c r="F258" i="4"/>
  <c r="J260" i="12"/>
  <c r="F281" i="4"/>
  <c r="J283" i="12"/>
  <c r="F395" i="4"/>
  <c r="F414" i="4"/>
  <c r="F203" i="4"/>
  <c r="J205" i="12"/>
  <c r="F166" i="4"/>
  <c r="J168" i="12"/>
  <c r="F155" i="4"/>
  <c r="J157" i="12"/>
  <c r="F351" i="4"/>
  <c r="J352" i="12"/>
  <c r="F282" i="4"/>
  <c r="J284" i="12"/>
  <c r="F144" i="4"/>
  <c r="J146" i="12"/>
  <c r="F391" i="4"/>
  <c r="J391" i="12"/>
  <c r="F429" i="4"/>
  <c r="F163" i="4"/>
  <c r="J165" i="12"/>
  <c r="F368" i="4"/>
  <c r="J369" i="12"/>
  <c r="F428" i="4"/>
  <c r="F238" i="4"/>
  <c r="J240" i="12"/>
  <c r="F235" i="4"/>
  <c r="J237" i="12"/>
  <c r="F275" i="4"/>
  <c r="J277" i="12"/>
  <c r="F349" i="4"/>
  <c r="J351" i="12"/>
  <c r="F407" i="4"/>
  <c r="F386" i="4"/>
  <c r="J387" i="12"/>
  <c r="F184" i="4"/>
  <c r="J186" i="12"/>
  <c r="F133" i="4"/>
  <c r="J135" i="12"/>
  <c r="F403" i="4"/>
  <c r="J401" i="12"/>
  <c r="F264" i="4"/>
  <c r="J266" i="12"/>
  <c r="F288" i="4"/>
  <c r="J290" i="12"/>
  <c r="F333" i="4"/>
  <c r="J335" i="12"/>
  <c r="F312" i="4"/>
  <c r="J314" i="12"/>
  <c r="F271" i="4"/>
  <c r="J273" i="12"/>
  <c r="AA477" i="4"/>
  <c r="U477" i="4"/>
  <c r="F436" i="4"/>
  <c r="F270" i="4"/>
  <c r="J272" i="12"/>
  <c r="F206" i="4"/>
  <c r="J208" i="12"/>
  <c r="F221" i="4"/>
  <c r="J223" i="12"/>
  <c r="F265" i="4"/>
  <c r="J267" i="12"/>
  <c r="F372" i="4"/>
  <c r="J373" i="12"/>
  <c r="F154" i="4"/>
  <c r="J156" i="12"/>
  <c r="F357" i="4"/>
  <c r="J358" i="12"/>
  <c r="F153" i="4"/>
  <c r="J155" i="12"/>
  <c r="F219" i="4"/>
  <c r="J221" i="12"/>
  <c r="F269" i="4"/>
  <c r="J271" i="12"/>
  <c r="F356" i="4"/>
  <c r="J357" i="12"/>
  <c r="F182" i="4"/>
  <c r="J184" i="12"/>
  <c r="F434" i="4"/>
  <c r="F266" i="4"/>
  <c r="J268" i="12"/>
  <c r="F220" i="4"/>
  <c r="J222" i="12"/>
  <c r="F161" i="4"/>
  <c r="J163" i="12"/>
  <c r="F475" i="4"/>
  <c r="J407" i="12"/>
  <c r="F250" i="4"/>
  <c r="J252" i="12"/>
  <c r="F207" i="4"/>
  <c r="J209" i="12"/>
  <c r="F273" i="4"/>
  <c r="J275" i="12"/>
  <c r="F406" i="4"/>
  <c r="AA350" i="4"/>
  <c r="U350" i="4"/>
  <c r="F217" i="4"/>
  <c r="J219" i="12"/>
  <c r="AA130" i="4"/>
  <c r="I132" i="12"/>
  <c r="U130" i="4"/>
  <c r="M132" i="12" s="1"/>
  <c r="AA241" i="4"/>
  <c r="U241" i="4"/>
  <c r="M243" i="12" s="1"/>
  <c r="I243" i="12"/>
  <c r="AA61" i="4"/>
  <c r="U61" i="4"/>
  <c r="M63" i="12" s="1"/>
  <c r="I63" i="12"/>
  <c r="AA65" i="4"/>
  <c r="U65" i="4"/>
  <c r="M67" i="12" s="1"/>
  <c r="I67" i="12"/>
  <c r="AA440" i="4"/>
  <c r="U440" i="4"/>
  <c r="AA225" i="4"/>
  <c r="U225" i="4"/>
  <c r="M227" i="12" s="1"/>
  <c r="I227" i="12"/>
  <c r="AA115" i="4"/>
  <c r="I117" i="12"/>
  <c r="U115" i="4"/>
  <c r="M117" i="12" s="1"/>
  <c r="AA131" i="4"/>
  <c r="I133" i="12"/>
  <c r="U131" i="4"/>
  <c r="M133" i="12" s="1"/>
  <c r="AA327" i="4"/>
  <c r="I329" i="12"/>
  <c r="U327" i="4"/>
  <c r="M329" i="12" s="1"/>
  <c r="AA302" i="4"/>
  <c r="I304" i="12"/>
  <c r="U302" i="4"/>
  <c r="M304" i="12" s="1"/>
  <c r="AA147" i="4"/>
  <c r="I149" i="12"/>
  <c r="U147" i="4"/>
  <c r="M149" i="12" s="1"/>
  <c r="AA83" i="4"/>
  <c r="I85" i="12"/>
  <c r="U83" i="4"/>
  <c r="M85" i="12" s="1"/>
  <c r="F120" i="4"/>
  <c r="J122" i="12"/>
  <c r="F321" i="4"/>
  <c r="J323" i="12"/>
  <c r="F300" i="4"/>
  <c r="J302" i="12"/>
  <c r="F375" i="4"/>
  <c r="J376" i="12"/>
  <c r="F231" i="4"/>
  <c r="J233" i="12"/>
  <c r="AA427" i="4"/>
  <c r="U427" i="4"/>
  <c r="F355" i="4"/>
  <c r="J356" i="12"/>
  <c r="F276" i="4"/>
  <c r="J278" i="12"/>
  <c r="F189" i="4"/>
  <c r="J191" i="12"/>
  <c r="F295" i="4"/>
  <c r="J297" i="12"/>
  <c r="F301" i="4"/>
  <c r="J303" i="12"/>
  <c r="F352" i="4"/>
  <c r="J353" i="12"/>
  <c r="AA107" i="4"/>
  <c r="I109" i="12"/>
  <c r="U107" i="4"/>
  <c r="M109" i="12" s="1"/>
  <c r="F216" i="4"/>
  <c r="J218" i="12"/>
  <c r="F387" i="4"/>
  <c r="J388" i="12"/>
  <c r="AA482" i="4"/>
  <c r="U482" i="4"/>
  <c r="F135" i="4"/>
  <c r="J137" i="12"/>
  <c r="F383" i="4"/>
  <c r="J384" i="12"/>
  <c r="F159" i="4"/>
  <c r="J161" i="12"/>
  <c r="F205" i="4"/>
  <c r="J207" i="12"/>
  <c r="F331" i="4"/>
  <c r="J333" i="12"/>
  <c r="F173" i="4"/>
  <c r="J175" i="12"/>
  <c r="F310" i="4"/>
  <c r="J312" i="12"/>
  <c r="F187" i="4"/>
  <c r="J189" i="12"/>
  <c r="F354" i="4"/>
  <c r="J355" i="12"/>
  <c r="F319" i="4"/>
  <c r="J321" i="12"/>
  <c r="AA415" i="4"/>
  <c r="U415" i="4"/>
  <c r="F122" i="4"/>
  <c r="J124" i="12"/>
  <c r="F365" i="4"/>
  <c r="J366" i="12"/>
  <c r="F137" i="4"/>
  <c r="J139" i="12"/>
  <c r="F99" i="4"/>
  <c r="J101" i="12"/>
  <c r="AA439" i="4"/>
  <c r="U439" i="4"/>
  <c r="F127" i="4"/>
  <c r="J129" i="12"/>
  <c r="F280" i="4"/>
  <c r="J282" i="12"/>
  <c r="F146" i="4"/>
  <c r="J148" i="12"/>
  <c r="F233" i="4"/>
  <c r="J235" i="12"/>
  <c r="F194" i="4"/>
  <c r="J196" i="12"/>
  <c r="F410" i="4"/>
  <c r="J402" i="12"/>
  <c r="F236" i="4"/>
  <c r="J238" i="12"/>
  <c r="F237" i="4"/>
  <c r="J239" i="12"/>
  <c r="F297" i="4"/>
  <c r="J299" i="12"/>
  <c r="F483" i="4"/>
  <c r="F193" i="4"/>
  <c r="J195" i="12"/>
  <c r="F487" i="4"/>
  <c r="F192" i="4"/>
  <c r="J194" i="12"/>
  <c r="F426" i="4"/>
  <c r="J406" i="12"/>
  <c r="F240" i="4"/>
  <c r="J242" i="12"/>
  <c r="F213" i="4"/>
  <c r="J215" i="12"/>
  <c r="F279" i="4"/>
  <c r="J281" i="12"/>
  <c r="F392" i="4"/>
  <c r="J392" i="12"/>
  <c r="F376" i="4"/>
  <c r="J377" i="12"/>
  <c r="F178" i="4"/>
  <c r="J180" i="12"/>
  <c r="F151" i="4"/>
  <c r="J153" i="12"/>
  <c r="F239" i="4"/>
  <c r="J241" i="12"/>
  <c r="F486" i="4"/>
  <c r="F176" i="4"/>
  <c r="J178" i="12"/>
  <c r="F336" i="4"/>
  <c r="J338" i="12"/>
  <c r="F389" i="4"/>
  <c r="J389" i="12"/>
  <c r="F299" i="4"/>
  <c r="J301" i="12"/>
  <c r="F222" i="4"/>
  <c r="J224" i="12"/>
  <c r="F254" i="4"/>
  <c r="J256" i="12"/>
  <c r="AA68" i="4"/>
  <c r="I70" i="12"/>
  <c r="U68" i="4"/>
  <c r="M70" i="12" s="1"/>
  <c r="AA112" i="4"/>
  <c r="I114" i="12"/>
  <c r="U112" i="4"/>
  <c r="M114" i="12" s="1"/>
  <c r="AA84" i="4"/>
  <c r="I86" i="12"/>
  <c r="U84" i="4"/>
  <c r="M86" i="12" s="1"/>
  <c r="F124" i="4"/>
  <c r="J126" i="12"/>
  <c r="AA388" i="4"/>
  <c r="U388" i="4"/>
  <c r="F181" i="4"/>
  <c r="J183" i="12"/>
  <c r="F401" i="4"/>
  <c r="J399" i="12"/>
  <c r="F292" i="4"/>
  <c r="J294" i="12"/>
  <c r="AA421" i="4"/>
  <c r="U421" i="4"/>
  <c r="F202" i="4"/>
  <c r="J204" i="12"/>
  <c r="F330" i="4"/>
  <c r="J332" i="12"/>
  <c r="F363" i="4"/>
  <c r="J364" i="12"/>
  <c r="F160" i="4"/>
  <c r="J162" i="12"/>
  <c r="F200" i="4"/>
  <c r="J202" i="12"/>
  <c r="F480" i="4"/>
  <c r="F359" i="4"/>
  <c r="J360" i="12"/>
  <c r="AA422" i="4"/>
  <c r="U422" i="4"/>
  <c r="F286" i="4"/>
  <c r="J288" i="12"/>
  <c r="F252" i="4"/>
  <c r="J254" i="12"/>
  <c r="F381" i="4"/>
  <c r="J382" i="12"/>
  <c r="F313" i="4"/>
  <c r="J315" i="12"/>
  <c r="F479" i="4"/>
  <c r="F373" i="4"/>
  <c r="J374" i="12"/>
  <c r="F268" i="4"/>
  <c r="J270" i="12"/>
  <c r="F362" i="4"/>
  <c r="J363" i="12"/>
  <c r="F316" i="4"/>
  <c r="J318" i="12"/>
  <c r="F285" i="4"/>
  <c r="J287" i="12"/>
  <c r="F399" i="4"/>
  <c r="J397" i="12"/>
  <c r="F437" i="4"/>
  <c r="F364" i="4"/>
  <c r="J365" i="12"/>
  <c r="F306" i="4"/>
  <c r="J308" i="12"/>
  <c r="F344" i="4"/>
  <c r="J346" i="12"/>
  <c r="F435" i="4"/>
  <c r="F329" i="4"/>
  <c r="J331" i="12"/>
  <c r="F141" i="4"/>
  <c r="J143" i="12"/>
  <c r="F228" i="4"/>
  <c r="J230" i="12"/>
  <c r="F245" i="4"/>
  <c r="J247" i="12"/>
  <c r="F289" i="4"/>
  <c r="J291" i="12"/>
  <c r="F423" i="4"/>
  <c r="F309" i="4"/>
  <c r="J311" i="12"/>
  <c r="AA420" i="4"/>
  <c r="U420" i="4"/>
  <c r="F374" i="4"/>
  <c r="J375" i="12"/>
  <c r="F246" i="4"/>
  <c r="J248" i="12"/>
  <c r="F308" i="4"/>
  <c r="J310" i="12"/>
  <c r="F251" i="4"/>
  <c r="J253" i="12"/>
  <c r="F291" i="4"/>
  <c r="J293" i="12"/>
  <c r="AA490" i="4"/>
  <c r="U490" i="4"/>
  <c r="AA169" i="4"/>
  <c r="U169" i="4"/>
  <c r="M171" i="12" s="1"/>
  <c r="I171" i="12"/>
  <c r="AA97" i="4"/>
  <c r="U97" i="4"/>
  <c r="M99" i="12" s="1"/>
  <c r="I99" i="12"/>
  <c r="AA338" i="4"/>
  <c r="I340" i="12"/>
  <c r="U338" i="4"/>
  <c r="M340" i="12" s="1"/>
  <c r="AA117" i="4"/>
  <c r="U117" i="4"/>
  <c r="M119" i="12" s="1"/>
  <c r="I119" i="12"/>
  <c r="AA72" i="4"/>
  <c r="I74" i="12"/>
  <c r="U72" i="4"/>
  <c r="M74" i="12" s="1"/>
  <c r="AA63" i="4"/>
  <c r="I65" i="12"/>
  <c r="U63" i="4"/>
  <c r="M65" i="12" s="1"/>
  <c r="AA28" i="4"/>
  <c r="I30" i="12"/>
  <c r="U28" i="4"/>
  <c r="M30" i="12" s="1"/>
  <c r="AA491" i="4"/>
  <c r="U491" i="4"/>
  <c r="AA62" i="4"/>
  <c r="I64" i="12"/>
  <c r="U62" i="4"/>
  <c r="M64" i="12" s="1"/>
  <c r="AA204" i="4"/>
  <c r="I206" i="12"/>
  <c r="U204" i="4"/>
  <c r="M206" i="12" s="1"/>
  <c r="AA54" i="4"/>
  <c r="I56" i="12"/>
  <c r="U54" i="4"/>
  <c r="M56" i="12" s="1"/>
  <c r="AA324" i="4"/>
  <c r="I326" i="12"/>
  <c r="U324" i="4"/>
  <c r="M326" i="12" s="1"/>
  <c r="F366" i="4"/>
  <c r="J367" i="12"/>
  <c r="F125" i="4"/>
  <c r="J127" i="12"/>
  <c r="F113" i="4"/>
  <c r="J115" i="12"/>
  <c r="AA430" i="4"/>
  <c r="U430" i="4"/>
  <c r="AA74" i="4"/>
  <c r="I76" i="12"/>
  <c r="U74" i="4"/>
  <c r="M76" i="12" s="1"/>
  <c r="AA417" i="4"/>
  <c r="U417" i="4"/>
  <c r="AA341" i="4"/>
  <c r="U341" i="4"/>
  <c r="M343" i="12" s="1"/>
  <c r="I343" i="12"/>
  <c r="AA48" i="4"/>
  <c r="I50" i="12"/>
  <c r="U48" i="4"/>
  <c r="M50" i="12" s="1"/>
  <c r="AA337" i="4"/>
  <c r="U337" i="4"/>
  <c r="M339" i="12" s="1"/>
  <c r="I339" i="12"/>
  <c r="AA339" i="4"/>
  <c r="I341" i="12"/>
  <c r="U339" i="4"/>
  <c r="M341" i="12" s="1"/>
  <c r="AA105" i="4"/>
  <c r="U105" i="4"/>
  <c r="M107" i="12" s="1"/>
  <c r="I107" i="12"/>
  <c r="AA196" i="4"/>
  <c r="I198" i="12"/>
  <c r="U196" i="4"/>
  <c r="M198" i="12" s="1"/>
  <c r="AA179" i="4"/>
  <c r="I181" i="12"/>
  <c r="U179" i="4"/>
  <c r="M181" i="12" s="1"/>
  <c r="F377" i="4"/>
  <c r="J378" i="12"/>
  <c r="F128" i="4"/>
  <c r="J130" i="12"/>
  <c r="F100" i="4"/>
  <c r="J102" i="12"/>
  <c r="AA431" i="4"/>
  <c r="U431" i="4"/>
  <c r="F129" i="4"/>
  <c r="J131" i="12"/>
  <c r="F94" i="4"/>
  <c r="J96" i="12"/>
  <c r="F101" i="4"/>
  <c r="J103" i="12"/>
  <c r="F108" i="4"/>
  <c r="J110" i="12"/>
  <c r="F298" i="4"/>
  <c r="J300" i="12"/>
  <c r="F232" i="4"/>
  <c r="J234" i="12"/>
  <c r="F175" i="4"/>
  <c r="J177" i="12"/>
  <c r="F293" i="4"/>
  <c r="J295" i="12"/>
  <c r="F210" i="4"/>
  <c r="J212" i="12"/>
  <c r="F323" i="4"/>
  <c r="J325" i="12"/>
  <c r="F413" i="4"/>
  <c r="F393" i="4"/>
  <c r="J393" i="12"/>
  <c r="F164" i="4"/>
  <c r="J166" i="12"/>
  <c r="F335" i="4"/>
  <c r="J337" i="12"/>
  <c r="F150" i="4"/>
  <c r="J152" i="12"/>
  <c r="F143" i="4"/>
  <c r="J145" i="12"/>
  <c r="F253" i="4"/>
  <c r="J255" i="12"/>
  <c r="AA396" i="4"/>
  <c r="U396" i="4"/>
  <c r="F174" i="4"/>
  <c r="J176" i="12"/>
  <c r="F256" i="4"/>
  <c r="J258" i="12"/>
  <c r="F390" i="4"/>
  <c r="J390" i="12"/>
  <c r="F195" i="4"/>
  <c r="J197" i="12"/>
  <c r="F294" i="4"/>
  <c r="J296" i="12"/>
  <c r="F367" i="4"/>
  <c r="J368" i="12"/>
  <c r="F274" i="4"/>
  <c r="J276" i="12"/>
  <c r="F191" i="4"/>
  <c r="J193" i="12"/>
  <c r="F234" i="4"/>
  <c r="J236" i="12"/>
  <c r="F223" i="4"/>
  <c r="J225" i="12"/>
  <c r="F255" i="4"/>
  <c r="J257" i="12"/>
  <c r="F394" i="4"/>
  <c r="J394" i="12"/>
  <c r="F230" i="4"/>
  <c r="J232" i="12"/>
  <c r="F283" i="4"/>
  <c r="J285" i="12"/>
  <c r="AA98" i="4"/>
  <c r="I100" i="12"/>
  <c r="U98" i="4"/>
  <c r="M100" i="12" s="1"/>
  <c r="F132" i="4"/>
  <c r="J134" i="12"/>
  <c r="F136" i="4"/>
  <c r="J138" i="12"/>
  <c r="F384" i="4"/>
  <c r="J385" i="12"/>
  <c r="F272" i="4"/>
  <c r="J274" i="12"/>
  <c r="F218" i="4"/>
  <c r="J220" i="12"/>
  <c r="F307" i="4"/>
  <c r="J309" i="12"/>
  <c r="F248" i="4"/>
  <c r="J250" i="12"/>
  <c r="F249" i="4"/>
  <c r="J251" i="12"/>
  <c r="F287" i="4"/>
  <c r="J289" i="12"/>
  <c r="F382" i="4"/>
  <c r="J383" i="12"/>
  <c r="F358" i="4"/>
  <c r="J359" i="12"/>
  <c r="F149" i="4"/>
  <c r="J151" i="12"/>
  <c r="F334" i="4"/>
  <c r="J336" i="12"/>
  <c r="F262" i="4"/>
  <c r="J264" i="12"/>
  <c r="F247" i="4"/>
  <c r="J249" i="12"/>
  <c r="AA419" i="4"/>
  <c r="U419" i="4"/>
  <c r="F305" i="4"/>
  <c r="J307" i="12"/>
  <c r="F140" i="4"/>
  <c r="J142" i="12"/>
  <c r="F402" i="4"/>
  <c r="J400" i="12"/>
  <c r="F400" i="4"/>
  <c r="J398" i="12"/>
  <c r="F315" i="4"/>
  <c r="J317" i="12"/>
  <c r="F263" i="4"/>
  <c r="J265" i="12"/>
  <c r="F183" i="4"/>
  <c r="J185" i="12"/>
  <c r="F188" i="4"/>
  <c r="J190" i="12"/>
  <c r="F142" i="4"/>
  <c r="J144" i="12"/>
  <c r="F314" i="4"/>
  <c r="J316" i="12"/>
  <c r="AA409" i="4"/>
  <c r="U409" i="4"/>
  <c r="F360" i="4"/>
  <c r="J361" i="12"/>
  <c r="F208" i="4"/>
  <c r="J210" i="12"/>
  <c r="F244" i="4"/>
  <c r="J246" i="12"/>
  <c r="F148" i="4"/>
  <c r="J150" i="12"/>
  <c r="F438" i="4"/>
  <c r="F345" i="4"/>
  <c r="J347" i="12"/>
  <c r="F201" i="4"/>
  <c r="J203" i="12"/>
  <c r="F267" i="4"/>
  <c r="J269" i="12"/>
  <c r="AA326" i="4"/>
  <c r="I328" i="12"/>
  <c r="U326" i="4"/>
  <c r="M328" i="12" s="1"/>
  <c r="AA138" i="4"/>
  <c r="I140" i="12"/>
  <c r="U138" i="4"/>
  <c r="M140" i="12" s="1"/>
  <c r="AA325" i="4"/>
  <c r="U325" i="4"/>
  <c r="M327" i="12" s="1"/>
  <c r="I327" i="12"/>
  <c r="AA198" i="4"/>
  <c r="I200" i="12"/>
  <c r="U198" i="4"/>
  <c r="M200" i="12" s="1"/>
  <c r="AA152" i="4"/>
  <c r="I154" i="12"/>
  <c r="U152" i="4"/>
  <c r="M154" i="12" s="1"/>
  <c r="AA371" i="4"/>
  <c r="I372" i="12"/>
  <c r="U371" i="4"/>
  <c r="M372" i="12" s="1"/>
  <c r="AA56" i="4"/>
  <c r="I58" i="12"/>
  <c r="U56" i="4"/>
  <c r="M58" i="12" s="1"/>
  <c r="AA260" i="4"/>
  <c r="I262" i="12"/>
  <c r="U260" i="4"/>
  <c r="M262" i="12" s="1"/>
  <c r="AA103" i="4"/>
  <c r="I105" i="12"/>
  <c r="U103" i="4"/>
  <c r="M105" i="12" s="1"/>
  <c r="AA50" i="4"/>
  <c r="I52" i="12"/>
  <c r="U50" i="4"/>
  <c r="M52" i="12" s="1"/>
  <c r="AA397" i="4"/>
  <c r="U397" i="4"/>
  <c r="M395" i="12" s="1"/>
  <c r="I395" i="12"/>
  <c r="AA53" i="4"/>
  <c r="U53" i="4"/>
  <c r="M55" i="12" s="1"/>
  <c r="I55" i="12"/>
  <c r="U484" i="4" l="1"/>
  <c r="U425" i="4"/>
  <c r="U485" i="4"/>
  <c r="AA223" i="4"/>
  <c r="I225" i="12"/>
  <c r="U223" i="4"/>
  <c r="M225" i="12" s="1"/>
  <c r="AA367" i="4"/>
  <c r="I368" i="12"/>
  <c r="U367" i="4"/>
  <c r="M368" i="12" s="1"/>
  <c r="AA195" i="4"/>
  <c r="I197" i="12"/>
  <c r="U195" i="4"/>
  <c r="M197" i="12" s="1"/>
  <c r="AA143" i="4"/>
  <c r="I145" i="12"/>
  <c r="U143" i="4"/>
  <c r="M145" i="12" s="1"/>
  <c r="AA335" i="4"/>
  <c r="I337" i="12"/>
  <c r="U335" i="4"/>
  <c r="M337" i="12" s="1"/>
  <c r="AA393" i="4"/>
  <c r="I393" i="12"/>
  <c r="U393" i="4"/>
  <c r="M393" i="12" s="1"/>
  <c r="AA308" i="4"/>
  <c r="I310" i="12"/>
  <c r="U308" i="4"/>
  <c r="M310" i="12" s="1"/>
  <c r="AA435" i="4"/>
  <c r="U435" i="4"/>
  <c r="AA306" i="4"/>
  <c r="I308" i="12"/>
  <c r="U306" i="4"/>
  <c r="M308" i="12" s="1"/>
  <c r="AA479" i="4"/>
  <c r="U479" i="4"/>
  <c r="AA381" i="4"/>
  <c r="U381" i="4"/>
  <c r="M382" i="12" s="1"/>
  <c r="I382" i="12"/>
  <c r="AA286" i="4"/>
  <c r="I288" i="12"/>
  <c r="U286" i="4"/>
  <c r="M288" i="12" s="1"/>
  <c r="AA359" i="4"/>
  <c r="I360" i="12"/>
  <c r="U359" i="4"/>
  <c r="M360" i="12" s="1"/>
  <c r="AA222" i="4"/>
  <c r="I224" i="12"/>
  <c r="U222" i="4"/>
  <c r="M224" i="12" s="1"/>
  <c r="AA389" i="4"/>
  <c r="I389" i="12"/>
  <c r="U389" i="4"/>
  <c r="M389" i="12" s="1"/>
  <c r="AA176" i="4"/>
  <c r="I178" i="12"/>
  <c r="U176" i="4"/>
  <c r="M178" i="12" s="1"/>
  <c r="AA193" i="4"/>
  <c r="U193" i="4"/>
  <c r="M195" i="12" s="1"/>
  <c r="I195" i="12"/>
  <c r="AA301" i="4"/>
  <c r="U301" i="4"/>
  <c r="M303" i="12" s="1"/>
  <c r="I303" i="12"/>
  <c r="AA189" i="4"/>
  <c r="U189" i="4"/>
  <c r="M191" i="12" s="1"/>
  <c r="I191" i="12"/>
  <c r="AA355" i="4"/>
  <c r="I356" i="12"/>
  <c r="U355" i="4"/>
  <c r="M356" i="12" s="1"/>
  <c r="AA231" i="4"/>
  <c r="I233" i="12"/>
  <c r="U231" i="4"/>
  <c r="M233" i="12" s="1"/>
  <c r="AA300" i="4"/>
  <c r="I302" i="12"/>
  <c r="U300" i="4"/>
  <c r="M302" i="12" s="1"/>
  <c r="AA120" i="4"/>
  <c r="I122" i="12"/>
  <c r="U120" i="4"/>
  <c r="M122" i="12" s="1"/>
  <c r="AA406" i="4"/>
  <c r="U406" i="4"/>
  <c r="AA207" i="4"/>
  <c r="I209" i="12"/>
  <c r="U207" i="4"/>
  <c r="M209" i="12" s="1"/>
  <c r="AA475" i="4"/>
  <c r="I407" i="12"/>
  <c r="U475" i="4"/>
  <c r="M407" i="12" s="1"/>
  <c r="AA220" i="4"/>
  <c r="U220" i="4"/>
  <c r="M222" i="12" s="1"/>
  <c r="I222" i="12"/>
  <c r="AA436" i="4"/>
  <c r="U436" i="4"/>
  <c r="AA271" i="4"/>
  <c r="I273" i="12"/>
  <c r="U271" i="4"/>
  <c r="M273" i="12" s="1"/>
  <c r="AA333" i="4"/>
  <c r="U333" i="4"/>
  <c r="M335" i="12" s="1"/>
  <c r="I335" i="12"/>
  <c r="AA264" i="4"/>
  <c r="I266" i="12"/>
  <c r="U264" i="4"/>
  <c r="M266" i="12" s="1"/>
  <c r="AA133" i="4"/>
  <c r="U133" i="4"/>
  <c r="M135" i="12" s="1"/>
  <c r="I135" i="12"/>
  <c r="AA386" i="4"/>
  <c r="I387" i="12"/>
  <c r="U386" i="4"/>
  <c r="M387" i="12" s="1"/>
  <c r="AA368" i="4"/>
  <c r="I369" i="12"/>
  <c r="U368" i="4"/>
  <c r="M369" i="12" s="1"/>
  <c r="AA209" i="4"/>
  <c r="U209" i="4"/>
  <c r="M211" i="12" s="1"/>
  <c r="I211" i="12"/>
  <c r="AA185" i="4"/>
  <c r="U185" i="4"/>
  <c r="M187" i="12" s="1"/>
  <c r="I187" i="12"/>
  <c r="AA171" i="4"/>
  <c r="I173" i="12"/>
  <c r="U171" i="4"/>
  <c r="M173" i="12" s="1"/>
  <c r="AA385" i="4"/>
  <c r="U385" i="4"/>
  <c r="M386" i="12" s="1"/>
  <c r="I386" i="12"/>
  <c r="AA267" i="4"/>
  <c r="I269" i="12"/>
  <c r="U267" i="4"/>
  <c r="M269" i="12" s="1"/>
  <c r="AA283" i="4"/>
  <c r="I285" i="12"/>
  <c r="U283" i="4"/>
  <c r="M285" i="12" s="1"/>
  <c r="AA394" i="4"/>
  <c r="I394" i="12"/>
  <c r="U394" i="4"/>
  <c r="M394" i="12" s="1"/>
  <c r="AA191" i="4"/>
  <c r="I193" i="12"/>
  <c r="U191" i="4"/>
  <c r="M193" i="12" s="1"/>
  <c r="AA256" i="4"/>
  <c r="U256" i="4"/>
  <c r="M258" i="12" s="1"/>
  <c r="I258" i="12"/>
  <c r="AA291" i="4"/>
  <c r="I293" i="12"/>
  <c r="U291" i="4"/>
  <c r="M293" i="12" s="1"/>
  <c r="AA374" i="4"/>
  <c r="I375" i="12"/>
  <c r="U374" i="4"/>
  <c r="M375" i="12" s="1"/>
  <c r="AA309" i="4"/>
  <c r="U309" i="4"/>
  <c r="M311" i="12" s="1"/>
  <c r="I311" i="12"/>
  <c r="AA438" i="4"/>
  <c r="U438" i="4"/>
  <c r="AA244" i="4"/>
  <c r="U244" i="4"/>
  <c r="M246" i="12" s="1"/>
  <c r="I246" i="12"/>
  <c r="AA360" i="4"/>
  <c r="I361" i="12"/>
  <c r="U360" i="4"/>
  <c r="M361" i="12" s="1"/>
  <c r="AA314" i="4"/>
  <c r="I316" i="12"/>
  <c r="U314" i="4"/>
  <c r="M316" i="12" s="1"/>
  <c r="AA188" i="4"/>
  <c r="I190" i="12"/>
  <c r="U188" i="4"/>
  <c r="M190" i="12" s="1"/>
  <c r="AA263" i="4"/>
  <c r="I265" i="12"/>
  <c r="U263" i="4"/>
  <c r="M265" i="12" s="1"/>
  <c r="AA400" i="4"/>
  <c r="U400" i="4"/>
  <c r="M398" i="12" s="1"/>
  <c r="I398" i="12"/>
  <c r="AA140" i="4"/>
  <c r="I142" i="12"/>
  <c r="U140" i="4"/>
  <c r="M142" i="12" s="1"/>
  <c r="AA262" i="4"/>
  <c r="I264" i="12"/>
  <c r="U262" i="4"/>
  <c r="M264" i="12" s="1"/>
  <c r="AA149" i="4"/>
  <c r="U149" i="4"/>
  <c r="M151" i="12" s="1"/>
  <c r="I151" i="12"/>
  <c r="AA382" i="4"/>
  <c r="I383" i="12"/>
  <c r="U382" i="4"/>
  <c r="M383" i="12" s="1"/>
  <c r="AA249" i="4"/>
  <c r="U249" i="4"/>
  <c r="M251" i="12" s="1"/>
  <c r="I251" i="12"/>
  <c r="AA307" i="4"/>
  <c r="I309" i="12"/>
  <c r="U307" i="4"/>
  <c r="M309" i="12" s="1"/>
  <c r="AA272" i="4"/>
  <c r="I274" i="12"/>
  <c r="U272" i="4"/>
  <c r="M274" i="12" s="1"/>
  <c r="AA136" i="4"/>
  <c r="I138" i="12"/>
  <c r="U136" i="4"/>
  <c r="M138" i="12" s="1"/>
  <c r="AA413" i="4"/>
  <c r="U413" i="4"/>
  <c r="AA210" i="4"/>
  <c r="I212" i="12"/>
  <c r="U210" i="4"/>
  <c r="M212" i="12" s="1"/>
  <c r="AA175" i="4"/>
  <c r="I177" i="12"/>
  <c r="U175" i="4"/>
  <c r="M177" i="12" s="1"/>
  <c r="AA298" i="4"/>
  <c r="I300" i="12"/>
  <c r="U298" i="4"/>
  <c r="M300" i="12" s="1"/>
  <c r="AA101" i="4"/>
  <c r="U101" i="4"/>
  <c r="M103" i="12" s="1"/>
  <c r="I103" i="12"/>
  <c r="AA129" i="4"/>
  <c r="U129" i="4"/>
  <c r="M131" i="12" s="1"/>
  <c r="I131" i="12"/>
  <c r="AA100" i="4"/>
  <c r="I102" i="12"/>
  <c r="U100" i="4"/>
  <c r="M102" i="12" s="1"/>
  <c r="AA377" i="4"/>
  <c r="U377" i="4"/>
  <c r="M378" i="12" s="1"/>
  <c r="I378" i="12"/>
  <c r="AA113" i="4"/>
  <c r="U113" i="4"/>
  <c r="M115" i="12" s="1"/>
  <c r="I115" i="12"/>
  <c r="AA366" i="4"/>
  <c r="I367" i="12"/>
  <c r="U366" i="4"/>
  <c r="M367" i="12" s="1"/>
  <c r="AA423" i="4"/>
  <c r="U423" i="4"/>
  <c r="AA245" i="4"/>
  <c r="U245" i="4"/>
  <c r="M247" i="12" s="1"/>
  <c r="I247" i="12"/>
  <c r="AA141" i="4"/>
  <c r="U141" i="4"/>
  <c r="M143" i="12" s="1"/>
  <c r="I143" i="12"/>
  <c r="AA399" i="4"/>
  <c r="I397" i="12"/>
  <c r="U399" i="4"/>
  <c r="M397" i="12" s="1"/>
  <c r="AA316" i="4"/>
  <c r="I318" i="12"/>
  <c r="U316" i="4"/>
  <c r="M318" i="12" s="1"/>
  <c r="AA268" i="4"/>
  <c r="I270" i="12"/>
  <c r="U268" i="4"/>
  <c r="M270" i="12" s="1"/>
  <c r="AA480" i="4"/>
  <c r="U480" i="4"/>
  <c r="AA160" i="4"/>
  <c r="I162" i="12"/>
  <c r="U160" i="4"/>
  <c r="M162" i="12" s="1"/>
  <c r="AA330" i="4"/>
  <c r="I332" i="12"/>
  <c r="U330" i="4"/>
  <c r="M332" i="12" s="1"/>
  <c r="AA401" i="4"/>
  <c r="U401" i="4"/>
  <c r="M399" i="12" s="1"/>
  <c r="I399" i="12"/>
  <c r="AA486" i="4"/>
  <c r="U486" i="4"/>
  <c r="AA151" i="4"/>
  <c r="I153" i="12"/>
  <c r="U151" i="4"/>
  <c r="M153" i="12" s="1"/>
  <c r="AA376" i="4"/>
  <c r="I377" i="12"/>
  <c r="U376" i="4"/>
  <c r="M377" i="12" s="1"/>
  <c r="AA279" i="4"/>
  <c r="I281" i="12"/>
  <c r="U279" i="4"/>
  <c r="M281" i="12" s="1"/>
  <c r="AA240" i="4"/>
  <c r="U240" i="4"/>
  <c r="M242" i="12" s="1"/>
  <c r="I242" i="12"/>
  <c r="AA192" i="4"/>
  <c r="I194" i="12"/>
  <c r="U192" i="4"/>
  <c r="M194" i="12" s="1"/>
  <c r="AA483" i="4"/>
  <c r="U483" i="4"/>
  <c r="AA237" i="4"/>
  <c r="U237" i="4"/>
  <c r="M239" i="12" s="1"/>
  <c r="I239" i="12"/>
  <c r="AA410" i="4"/>
  <c r="I402" i="12"/>
  <c r="U410" i="4"/>
  <c r="M402" i="12" s="1"/>
  <c r="AA233" i="4"/>
  <c r="U233" i="4"/>
  <c r="M235" i="12" s="1"/>
  <c r="I235" i="12"/>
  <c r="AA280" i="4"/>
  <c r="I282" i="12"/>
  <c r="U280" i="4"/>
  <c r="M282" i="12" s="1"/>
  <c r="AA137" i="4"/>
  <c r="U137" i="4"/>
  <c r="M139" i="12" s="1"/>
  <c r="I139" i="12"/>
  <c r="AA122" i="4"/>
  <c r="I124" i="12"/>
  <c r="U122" i="4"/>
  <c r="M124" i="12" s="1"/>
  <c r="AA319" i="4"/>
  <c r="I321" i="12"/>
  <c r="U319" i="4"/>
  <c r="M321" i="12" s="1"/>
  <c r="AA187" i="4"/>
  <c r="I189" i="12"/>
  <c r="U187" i="4"/>
  <c r="M189" i="12" s="1"/>
  <c r="AA173" i="4"/>
  <c r="U173" i="4"/>
  <c r="M175" i="12" s="1"/>
  <c r="I175" i="12"/>
  <c r="AA205" i="4"/>
  <c r="U205" i="4"/>
  <c r="M207" i="12" s="1"/>
  <c r="I207" i="12"/>
  <c r="AA383" i="4"/>
  <c r="I384" i="12"/>
  <c r="U383" i="4"/>
  <c r="M384" i="12" s="1"/>
  <c r="AA216" i="4"/>
  <c r="I218" i="12"/>
  <c r="U216" i="4"/>
  <c r="M218" i="12" s="1"/>
  <c r="AA217" i="4"/>
  <c r="U217" i="4"/>
  <c r="M219" i="12" s="1"/>
  <c r="I219" i="12"/>
  <c r="AA182" i="4"/>
  <c r="I184" i="12"/>
  <c r="U182" i="4"/>
  <c r="M184" i="12" s="1"/>
  <c r="AA269" i="4"/>
  <c r="U269" i="4"/>
  <c r="M271" i="12" s="1"/>
  <c r="I271" i="12"/>
  <c r="AA153" i="4"/>
  <c r="U153" i="4"/>
  <c r="M155" i="12" s="1"/>
  <c r="I155" i="12"/>
  <c r="AA154" i="4"/>
  <c r="I156" i="12"/>
  <c r="U154" i="4"/>
  <c r="M156" i="12" s="1"/>
  <c r="AA265" i="4"/>
  <c r="U265" i="4"/>
  <c r="M267" i="12" s="1"/>
  <c r="I267" i="12"/>
  <c r="AA206" i="4"/>
  <c r="I208" i="12"/>
  <c r="U206" i="4"/>
  <c r="M208" i="12" s="1"/>
  <c r="AA407" i="4"/>
  <c r="U407" i="4"/>
  <c r="AA275" i="4"/>
  <c r="I277" i="12"/>
  <c r="U275" i="4"/>
  <c r="M277" i="12" s="1"/>
  <c r="AA238" i="4"/>
  <c r="I240" i="12"/>
  <c r="U238" i="4"/>
  <c r="M240" i="12" s="1"/>
  <c r="AA391" i="4"/>
  <c r="I391" i="12"/>
  <c r="U391" i="4"/>
  <c r="M391" i="12" s="1"/>
  <c r="AA282" i="4"/>
  <c r="I284" i="12"/>
  <c r="U282" i="4"/>
  <c r="M284" i="12" s="1"/>
  <c r="AA155" i="4"/>
  <c r="I157" i="12"/>
  <c r="U155" i="4"/>
  <c r="M157" i="12" s="1"/>
  <c r="AA203" i="4"/>
  <c r="I205" i="12"/>
  <c r="U203" i="4"/>
  <c r="M205" i="12" s="1"/>
  <c r="AA281" i="4"/>
  <c r="U281" i="4"/>
  <c r="M283" i="12" s="1"/>
  <c r="I283" i="12"/>
  <c r="AA224" i="4"/>
  <c r="U224" i="4"/>
  <c r="M226" i="12" s="1"/>
  <c r="I226" i="12"/>
  <c r="AA278" i="4"/>
  <c r="I280" i="12"/>
  <c r="U278" i="4"/>
  <c r="M280" i="12" s="1"/>
  <c r="AA277" i="4"/>
  <c r="U277" i="4"/>
  <c r="M279" i="12" s="1"/>
  <c r="I279" i="12"/>
  <c r="AA177" i="4"/>
  <c r="U177" i="4"/>
  <c r="M179" i="12" s="1"/>
  <c r="I179" i="12"/>
  <c r="AA93" i="4"/>
  <c r="U93" i="4"/>
  <c r="M95" i="12" s="1"/>
  <c r="I95" i="12"/>
  <c r="AA296" i="4"/>
  <c r="I298" i="12"/>
  <c r="U296" i="4"/>
  <c r="M298" i="12" s="1"/>
  <c r="AA162" i="4"/>
  <c r="I164" i="12"/>
  <c r="U162" i="4"/>
  <c r="M164" i="12" s="1"/>
  <c r="AA347" i="4"/>
  <c r="I349" i="12"/>
  <c r="U347" i="4"/>
  <c r="M349" i="12" s="1"/>
  <c r="AA348" i="4"/>
  <c r="I350" i="12"/>
  <c r="U348" i="4"/>
  <c r="M350" i="12" s="1"/>
  <c r="AA134" i="4"/>
  <c r="I136" i="12"/>
  <c r="U134" i="4"/>
  <c r="M136" i="12" s="1"/>
  <c r="AA156" i="4"/>
  <c r="I158" i="12"/>
  <c r="U156" i="4"/>
  <c r="M158" i="12" s="1"/>
  <c r="AA190" i="4"/>
  <c r="I192" i="12"/>
  <c r="U190" i="4"/>
  <c r="M192" i="12" s="1"/>
  <c r="AA346" i="4"/>
  <c r="I348" i="12"/>
  <c r="U346" i="4"/>
  <c r="M348" i="12" s="1"/>
  <c r="AA172" i="4"/>
  <c r="I174" i="12"/>
  <c r="U172" i="4"/>
  <c r="M174" i="12" s="1"/>
  <c r="AA259" i="4"/>
  <c r="I261" i="12"/>
  <c r="U259" i="4"/>
  <c r="M261" i="12" s="1"/>
  <c r="AA353" i="4"/>
  <c r="I354" i="12"/>
  <c r="U353" i="4"/>
  <c r="M354" i="12" s="1"/>
  <c r="AA320" i="4"/>
  <c r="I322" i="12"/>
  <c r="U320" i="4"/>
  <c r="M322" i="12" s="1"/>
  <c r="AA322" i="4"/>
  <c r="I324" i="12"/>
  <c r="U322" i="4"/>
  <c r="M324" i="12" s="1"/>
  <c r="AA211" i="4"/>
  <c r="I213" i="12"/>
  <c r="U211" i="4"/>
  <c r="M213" i="12" s="1"/>
  <c r="AA345" i="4"/>
  <c r="U345" i="4"/>
  <c r="M347" i="12" s="1"/>
  <c r="I347" i="12"/>
  <c r="AA201" i="4"/>
  <c r="U201" i="4"/>
  <c r="M203" i="12" s="1"/>
  <c r="I203" i="12"/>
  <c r="AA230" i="4"/>
  <c r="I232" i="12"/>
  <c r="U230" i="4"/>
  <c r="M232" i="12" s="1"/>
  <c r="AA255" i="4"/>
  <c r="I257" i="12"/>
  <c r="U255" i="4"/>
  <c r="M257" i="12" s="1"/>
  <c r="AA234" i="4"/>
  <c r="I236" i="12"/>
  <c r="U234" i="4"/>
  <c r="M236" i="12" s="1"/>
  <c r="AA274" i="4"/>
  <c r="I276" i="12"/>
  <c r="U274" i="4"/>
  <c r="M276" i="12" s="1"/>
  <c r="AA294" i="4"/>
  <c r="I296" i="12"/>
  <c r="U294" i="4"/>
  <c r="M296" i="12" s="1"/>
  <c r="AA390" i="4"/>
  <c r="I390" i="12"/>
  <c r="U390" i="4"/>
  <c r="M390" i="12" s="1"/>
  <c r="AA174" i="4"/>
  <c r="I176" i="12"/>
  <c r="U174" i="4"/>
  <c r="M176" i="12" s="1"/>
  <c r="AA253" i="4"/>
  <c r="U253" i="4"/>
  <c r="M255" i="12" s="1"/>
  <c r="I255" i="12"/>
  <c r="AA150" i="4"/>
  <c r="I152" i="12"/>
  <c r="U150" i="4"/>
  <c r="M152" i="12" s="1"/>
  <c r="AA164" i="4"/>
  <c r="I166" i="12"/>
  <c r="U164" i="4"/>
  <c r="M166" i="12" s="1"/>
  <c r="AA251" i="4"/>
  <c r="I253" i="12"/>
  <c r="U251" i="4"/>
  <c r="M253" i="12" s="1"/>
  <c r="AA246" i="4"/>
  <c r="I248" i="12"/>
  <c r="U246" i="4"/>
  <c r="M248" i="12" s="1"/>
  <c r="AA344" i="4"/>
  <c r="I346" i="12"/>
  <c r="U344" i="4"/>
  <c r="M346" i="12" s="1"/>
  <c r="AA364" i="4"/>
  <c r="I365" i="12"/>
  <c r="U364" i="4"/>
  <c r="M365" i="12" s="1"/>
  <c r="AA313" i="4"/>
  <c r="U313" i="4"/>
  <c r="M315" i="12" s="1"/>
  <c r="I315" i="12"/>
  <c r="AA252" i="4"/>
  <c r="U252" i="4"/>
  <c r="M254" i="12" s="1"/>
  <c r="I254" i="12"/>
  <c r="AA254" i="4"/>
  <c r="I256" i="12"/>
  <c r="U254" i="4"/>
  <c r="M256" i="12" s="1"/>
  <c r="AA299" i="4"/>
  <c r="I301" i="12"/>
  <c r="U299" i="4"/>
  <c r="M301" i="12" s="1"/>
  <c r="AA336" i="4"/>
  <c r="I338" i="12"/>
  <c r="U336" i="4"/>
  <c r="M338" i="12" s="1"/>
  <c r="AA487" i="4"/>
  <c r="U487" i="4"/>
  <c r="AA352" i="4"/>
  <c r="I353" i="12"/>
  <c r="U352" i="4"/>
  <c r="M353" i="12" s="1"/>
  <c r="AA295" i="4"/>
  <c r="I297" i="12"/>
  <c r="U295" i="4"/>
  <c r="M297" i="12" s="1"/>
  <c r="AA276" i="4"/>
  <c r="I278" i="12"/>
  <c r="U276" i="4"/>
  <c r="M278" i="12" s="1"/>
  <c r="AA375" i="4"/>
  <c r="I376" i="12"/>
  <c r="U375" i="4"/>
  <c r="M376" i="12" s="1"/>
  <c r="AA321" i="4"/>
  <c r="U321" i="4"/>
  <c r="M323" i="12" s="1"/>
  <c r="I323" i="12"/>
  <c r="AA273" i="4"/>
  <c r="U273" i="4"/>
  <c r="M275" i="12" s="1"/>
  <c r="I275" i="12"/>
  <c r="AA250" i="4"/>
  <c r="I252" i="12"/>
  <c r="U250" i="4"/>
  <c r="M252" i="12" s="1"/>
  <c r="AA161" i="4"/>
  <c r="U161" i="4"/>
  <c r="M163" i="12" s="1"/>
  <c r="I163" i="12"/>
  <c r="AA266" i="4"/>
  <c r="I268" i="12"/>
  <c r="U266" i="4"/>
  <c r="M268" i="12" s="1"/>
  <c r="AA312" i="4"/>
  <c r="I314" i="12"/>
  <c r="U312" i="4"/>
  <c r="M314" i="12" s="1"/>
  <c r="AA288" i="4"/>
  <c r="I290" i="12"/>
  <c r="U288" i="4"/>
  <c r="M290" i="12" s="1"/>
  <c r="AA403" i="4"/>
  <c r="I401" i="12"/>
  <c r="U403" i="4"/>
  <c r="M401" i="12" s="1"/>
  <c r="AA184" i="4"/>
  <c r="I186" i="12"/>
  <c r="U184" i="4"/>
  <c r="M186" i="12" s="1"/>
  <c r="AA428" i="4"/>
  <c r="U428" i="4"/>
  <c r="AA163" i="4"/>
  <c r="I165" i="12"/>
  <c r="U163" i="4"/>
  <c r="M165" i="12" s="1"/>
  <c r="AA414" i="4"/>
  <c r="U414" i="4"/>
  <c r="AA227" i="4"/>
  <c r="I229" i="12"/>
  <c r="U227" i="4"/>
  <c r="M229" i="12" s="1"/>
  <c r="AA186" i="4"/>
  <c r="I188" i="12"/>
  <c r="U186" i="4"/>
  <c r="M188" i="12" s="1"/>
  <c r="AA332" i="4"/>
  <c r="I334" i="12"/>
  <c r="U332" i="4"/>
  <c r="M334" i="12" s="1"/>
  <c r="AA148" i="4"/>
  <c r="I150" i="12"/>
  <c r="U148" i="4"/>
  <c r="M150" i="12" s="1"/>
  <c r="AA208" i="4"/>
  <c r="I210" i="12"/>
  <c r="U208" i="4"/>
  <c r="M210" i="12" s="1"/>
  <c r="AA142" i="4"/>
  <c r="I144" i="12"/>
  <c r="U142" i="4"/>
  <c r="M144" i="12" s="1"/>
  <c r="AA183" i="4"/>
  <c r="I185" i="12"/>
  <c r="U183" i="4"/>
  <c r="M185" i="12" s="1"/>
  <c r="AA315" i="4"/>
  <c r="I317" i="12"/>
  <c r="U315" i="4"/>
  <c r="M317" i="12" s="1"/>
  <c r="AA402" i="4"/>
  <c r="I400" i="12"/>
  <c r="U402" i="4"/>
  <c r="M400" i="12" s="1"/>
  <c r="AA305" i="4"/>
  <c r="U305" i="4"/>
  <c r="M307" i="12" s="1"/>
  <c r="I307" i="12"/>
  <c r="AA247" i="4"/>
  <c r="I249" i="12"/>
  <c r="U247" i="4"/>
  <c r="M249" i="12" s="1"/>
  <c r="AA334" i="4"/>
  <c r="I336" i="12"/>
  <c r="U334" i="4"/>
  <c r="M336" i="12" s="1"/>
  <c r="AA358" i="4"/>
  <c r="I359" i="12"/>
  <c r="U358" i="4"/>
  <c r="M359" i="12" s="1"/>
  <c r="AA287" i="4"/>
  <c r="I289" i="12"/>
  <c r="U287" i="4"/>
  <c r="M289" i="12" s="1"/>
  <c r="AA248" i="4"/>
  <c r="U248" i="4"/>
  <c r="M250" i="12" s="1"/>
  <c r="I250" i="12"/>
  <c r="AA218" i="4"/>
  <c r="I220" i="12"/>
  <c r="U218" i="4"/>
  <c r="M220" i="12" s="1"/>
  <c r="AA384" i="4"/>
  <c r="I385" i="12"/>
  <c r="U384" i="4"/>
  <c r="M385" i="12" s="1"/>
  <c r="AA132" i="4"/>
  <c r="I134" i="12"/>
  <c r="U132" i="4"/>
  <c r="M134" i="12" s="1"/>
  <c r="AA323" i="4"/>
  <c r="I325" i="12"/>
  <c r="U323" i="4"/>
  <c r="M325" i="12" s="1"/>
  <c r="AA293" i="4"/>
  <c r="U293" i="4"/>
  <c r="M295" i="12" s="1"/>
  <c r="I295" i="12"/>
  <c r="AA232" i="4"/>
  <c r="U232" i="4"/>
  <c r="M234" i="12" s="1"/>
  <c r="I234" i="12"/>
  <c r="AA108" i="4"/>
  <c r="I110" i="12"/>
  <c r="U108" i="4"/>
  <c r="M110" i="12" s="1"/>
  <c r="AA94" i="4"/>
  <c r="I96" i="12"/>
  <c r="U94" i="4"/>
  <c r="M96" i="12" s="1"/>
  <c r="AA128" i="4"/>
  <c r="I130" i="12"/>
  <c r="U128" i="4"/>
  <c r="M130" i="12" s="1"/>
  <c r="AA125" i="4"/>
  <c r="U125" i="4"/>
  <c r="M127" i="12" s="1"/>
  <c r="I127" i="12"/>
  <c r="AA289" i="4"/>
  <c r="U289" i="4"/>
  <c r="M291" i="12" s="1"/>
  <c r="I291" i="12"/>
  <c r="AA228" i="4"/>
  <c r="U228" i="4"/>
  <c r="M230" i="12" s="1"/>
  <c r="I230" i="12"/>
  <c r="AA329" i="4"/>
  <c r="U329" i="4"/>
  <c r="M331" i="12" s="1"/>
  <c r="I331" i="12"/>
  <c r="AA437" i="4"/>
  <c r="U437" i="4"/>
  <c r="AA285" i="4"/>
  <c r="U285" i="4"/>
  <c r="M287" i="12" s="1"/>
  <c r="I287" i="12"/>
  <c r="AA362" i="4"/>
  <c r="I363" i="12"/>
  <c r="U362" i="4"/>
  <c r="M363" i="12" s="1"/>
  <c r="AA373" i="4"/>
  <c r="U373" i="4"/>
  <c r="M374" i="12" s="1"/>
  <c r="I374" i="12"/>
  <c r="AA200" i="4"/>
  <c r="I202" i="12"/>
  <c r="U200" i="4"/>
  <c r="M202" i="12" s="1"/>
  <c r="AA363" i="4"/>
  <c r="I364" i="12"/>
  <c r="U363" i="4"/>
  <c r="M364" i="12" s="1"/>
  <c r="AA202" i="4"/>
  <c r="I204" i="12"/>
  <c r="U202" i="4"/>
  <c r="M204" i="12" s="1"/>
  <c r="AA292" i="4"/>
  <c r="I294" i="12"/>
  <c r="U292" i="4"/>
  <c r="M294" i="12" s="1"/>
  <c r="AA181" i="4"/>
  <c r="U181" i="4"/>
  <c r="M183" i="12" s="1"/>
  <c r="I183" i="12"/>
  <c r="AA124" i="4"/>
  <c r="I126" i="12"/>
  <c r="U124" i="4"/>
  <c r="M126" i="12" s="1"/>
  <c r="AA239" i="4"/>
  <c r="I241" i="12"/>
  <c r="U239" i="4"/>
  <c r="M241" i="12" s="1"/>
  <c r="AA178" i="4"/>
  <c r="I180" i="12"/>
  <c r="U178" i="4"/>
  <c r="M180" i="12" s="1"/>
  <c r="AA392" i="4"/>
  <c r="I392" i="12"/>
  <c r="U392" i="4"/>
  <c r="M392" i="12" s="1"/>
  <c r="AA213" i="4"/>
  <c r="U213" i="4"/>
  <c r="M215" i="12" s="1"/>
  <c r="I215" i="12"/>
  <c r="AA426" i="4"/>
  <c r="I406" i="12"/>
  <c r="U426" i="4"/>
  <c r="M406" i="12" s="1"/>
  <c r="AA297" i="4"/>
  <c r="U297" i="4"/>
  <c r="M299" i="12" s="1"/>
  <c r="I299" i="12"/>
  <c r="AA236" i="4"/>
  <c r="U236" i="4"/>
  <c r="M238" i="12" s="1"/>
  <c r="I238" i="12"/>
  <c r="AA194" i="4"/>
  <c r="I196" i="12"/>
  <c r="U194" i="4"/>
  <c r="M196" i="12" s="1"/>
  <c r="AA146" i="4"/>
  <c r="I148" i="12"/>
  <c r="U146" i="4"/>
  <c r="M148" i="12" s="1"/>
  <c r="AA127" i="4"/>
  <c r="I129" i="12"/>
  <c r="U127" i="4"/>
  <c r="M129" i="12" s="1"/>
  <c r="AA99" i="4"/>
  <c r="I101" i="12"/>
  <c r="U99" i="4"/>
  <c r="M101" i="12" s="1"/>
  <c r="AA365" i="4"/>
  <c r="I366" i="12"/>
  <c r="U365" i="4"/>
  <c r="M366" i="12" s="1"/>
  <c r="AA354" i="4"/>
  <c r="I355" i="12"/>
  <c r="U354" i="4"/>
  <c r="M355" i="12" s="1"/>
  <c r="AA310" i="4"/>
  <c r="I312" i="12"/>
  <c r="U310" i="4"/>
  <c r="M312" i="12" s="1"/>
  <c r="AA331" i="4"/>
  <c r="I333" i="12"/>
  <c r="U331" i="4"/>
  <c r="M333" i="12" s="1"/>
  <c r="AA159" i="4"/>
  <c r="I161" i="12"/>
  <c r="U159" i="4"/>
  <c r="M161" i="12" s="1"/>
  <c r="AA135" i="4"/>
  <c r="I137" i="12"/>
  <c r="U135" i="4"/>
  <c r="M137" i="12" s="1"/>
  <c r="AA387" i="4"/>
  <c r="I388" i="12"/>
  <c r="U387" i="4"/>
  <c r="M388" i="12" s="1"/>
  <c r="AA434" i="4"/>
  <c r="U434" i="4"/>
  <c r="AA356" i="4"/>
  <c r="I357" i="12"/>
  <c r="U356" i="4"/>
  <c r="M357" i="12" s="1"/>
  <c r="AA219" i="4"/>
  <c r="I221" i="12"/>
  <c r="U219" i="4"/>
  <c r="M221" i="12" s="1"/>
  <c r="AA357" i="4"/>
  <c r="I358" i="12"/>
  <c r="U357" i="4"/>
  <c r="M358" i="12" s="1"/>
  <c r="AA372" i="4"/>
  <c r="I373" i="12"/>
  <c r="U372" i="4"/>
  <c r="M373" i="12" s="1"/>
  <c r="AA221" i="4"/>
  <c r="U221" i="4"/>
  <c r="M223" i="12" s="1"/>
  <c r="I223" i="12"/>
  <c r="AA270" i="4"/>
  <c r="I272" i="12"/>
  <c r="U270" i="4"/>
  <c r="M272" i="12" s="1"/>
  <c r="AA349" i="4"/>
  <c r="U349" i="4"/>
  <c r="M351" i="12" s="1"/>
  <c r="I351" i="12"/>
  <c r="AA235" i="4"/>
  <c r="I237" i="12"/>
  <c r="U235" i="4"/>
  <c r="M237" i="12" s="1"/>
  <c r="AA429" i="4"/>
  <c r="U429" i="4"/>
  <c r="AA144" i="4"/>
  <c r="I146" i="12"/>
  <c r="U144" i="4"/>
  <c r="M146" i="12" s="1"/>
  <c r="AA351" i="4"/>
  <c r="I352" i="12"/>
  <c r="U351" i="4"/>
  <c r="M352" i="12" s="1"/>
  <c r="AA166" i="4"/>
  <c r="I168" i="12"/>
  <c r="U166" i="4"/>
  <c r="M168" i="12" s="1"/>
  <c r="AA395" i="4"/>
  <c r="U395" i="4"/>
  <c r="AA258" i="4"/>
  <c r="I260" i="12"/>
  <c r="U258" i="4"/>
  <c r="M260" i="12" s="1"/>
  <c r="AA318" i="4"/>
  <c r="I320" i="12"/>
  <c r="U318" i="4"/>
  <c r="M320" i="12" s="1"/>
  <c r="AA145" i="4"/>
  <c r="U145" i="4"/>
  <c r="M147" i="12" s="1"/>
  <c r="I147" i="12"/>
  <c r="AA168" i="4"/>
  <c r="I170" i="12"/>
  <c r="U168" i="4"/>
  <c r="M170" i="12" s="1"/>
  <c r="AA165" i="4"/>
  <c r="U165" i="4"/>
  <c r="M167" i="12" s="1"/>
  <c r="I167" i="12"/>
  <c r="AA114" i="4"/>
  <c r="I116" i="12"/>
  <c r="U114" i="4"/>
  <c r="M116" i="12" s="1"/>
  <c r="AA126" i="4"/>
  <c r="I128" i="12"/>
  <c r="U126" i="4"/>
  <c r="M128" i="12" s="1"/>
  <c r="AA111" i="4"/>
  <c r="I113" i="12"/>
  <c r="U111" i="4"/>
  <c r="M113" i="12" s="1"/>
  <c r="AA290" i="4"/>
  <c r="I292" i="12"/>
  <c r="U290" i="4"/>
  <c r="M292" i="12" s="1"/>
  <c r="AA284" i="4"/>
  <c r="I286" i="12"/>
  <c r="U284" i="4"/>
  <c r="M286" i="12" s="1"/>
  <c r="AA311" i="4"/>
  <c r="I313" i="12"/>
  <c r="U311" i="4"/>
  <c r="M313" i="12" s="1"/>
  <c r="AA317" i="4"/>
  <c r="U317" i="4"/>
  <c r="M319" i="12" s="1"/>
  <c r="I319" i="12"/>
  <c r="AA167" i="4"/>
  <c r="I169" i="12"/>
  <c r="U167" i="4"/>
  <c r="M169" i="12" s="1"/>
  <c r="AA229" i="4"/>
  <c r="U229" i="4"/>
  <c r="M231" i="12" s="1"/>
  <c r="I231" i="12"/>
  <c r="AA481" i="4"/>
  <c r="U481" i="4"/>
  <c r="AA361" i="4"/>
  <c r="I362" i="12"/>
  <c r="U361" i="4"/>
  <c r="M362" i="12" s="1"/>
  <c r="AA412" i="4"/>
  <c r="I404" i="12"/>
  <c r="U412" i="4"/>
  <c r="M404" i="12" s="1"/>
  <c r="AA411" i="4"/>
  <c r="I403" i="12"/>
  <c r="U411" i="4"/>
  <c r="M403" i="12" s="1"/>
  <c r="AA212" i="4"/>
  <c r="I214" i="12"/>
  <c r="U212" i="4"/>
  <c r="M214" i="12" s="1"/>
  <c r="AA257" i="4"/>
  <c r="U257" i="4"/>
  <c r="M259" i="12" s="1"/>
  <c r="I259" i="12"/>
  <c r="AA369" i="4"/>
  <c r="U369" i="4"/>
  <c r="M370" i="12" s="1"/>
  <c r="I370" i="12"/>
  <c r="AA378" i="4"/>
  <c r="I379" i="12"/>
  <c r="U378" i="4"/>
  <c r="M379" i="1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F1" authorId="0" shapeId="0" xr:uid="{00000000-0006-0000-0300-000001000000}">
      <text>
        <r>
          <rPr>
            <sz val="11"/>
            <color theme="1"/>
            <rFont val="Calibri"/>
            <family val="2"/>
            <charset val="1"/>
          </rPr>
          <t>Offerta Max ora tiene conto di: quotazione di mercato (Qt.A), budget/rosa della lega, modificatori difesa/centrocampo, aggressivita', whichlist E fantamedia reale 2025/26 rispetto alla media del ruolo (peso in Parametri Modello!B9).</t>
        </r>
      </text>
    </comment>
    <comment ref="G1" authorId="0" shapeId="0" xr:uid="{00000000-0006-0000-0300-000002000000}">
      <text>
        <r>
          <rPr>
            <sz val="11"/>
            <color theme="1"/>
            <rFont val="Calibri"/>
            <family val="2"/>
            <charset val="1"/>
          </rPr>
          <t>Prezzo base ora a due livelli: se il giocatore e' tra i migliori N per FVM nel ruolo (N = squadre x titolari da modulo preferito) prende la sua quota della fetta 'titolari' del budget di ruolo (85-96%, calibrato su aste reali); altrimenti prende la sua quota della piccola fetta 'riserve'. Sopra si applicano modificatori ruolo, performance storica e scarsita' live.</t>
        </r>
      </text>
    </comment>
    <comment ref="I1" authorId="0" shapeId="0" xr:uid="{00000000-0006-0000-0300-000003000000}">
      <text>
        <r>
          <rPr>
            <sz val="11"/>
            <color theme="1"/>
            <rFont val="Calibri"/>
            <family val="2"/>
            <charset val="1"/>
          </rPr>
          <t>Presenze (partite a voto) stagione 2025/26. Vuoto = nessuno storico disponibile (giocatore nuovo in Serie A o senza voti l'anno scorso).</t>
        </r>
      </text>
    </comment>
    <comment ref="M1" authorId="0" shapeId="0" xr:uid="{00000000-0006-0000-0300-000004000000}">
      <text>
        <r>
          <rPr>
            <sz val="11"/>
            <color theme="1"/>
            <rFont val="Calibri"/>
            <family val="2"/>
            <charset val="1"/>
          </rPr>
          <t>Inserisci qui il prezzo REALE pagato all'asta quando assegni un giocatore in colonna D. Serve per il tracking budget nel foglio 'La Mia Rosa'.</t>
        </r>
      </text>
    </comment>
    <comment ref="P1" authorId="0" shapeId="0" xr:uid="{00000000-0006-0000-0300-000005000000}">
      <text>
        <r>
          <rPr>
            <sz val="11"/>
            <color theme="1"/>
            <rFont val="Calibri"/>
            <family val="2"/>
            <charset val="1"/>
          </rPr>
          <t>Fascia calcolata sul posizionamento del FVM all'interno del ruolo (percentile). Non e' una previsione di rendimento: e' una lettura di quanto il mercato valuta gia' oggi quel giocatore rispetto ai suoi colleghi di ruolo.</t>
        </r>
      </text>
    </comment>
    <comment ref="AE1" authorId="0" shapeId="0" xr:uid="{00000000-0006-0000-0300-000006000000}">
      <text>
        <r>
          <rPr>
            <sz val="11"/>
            <color theme="1"/>
            <rFont val="Calibri"/>
            <family val="2"/>
            <charset val="1"/>
          </rPr>
          <t>Segnale informativo (Stato Asta): quanti giocatori Top/Buono restano nel tuo ruolo rispetto agli slot ancora da riempire in tutta la lega. NON influenza il prezzo consigliato (F/G/H) — e' solo per aiutarti a decidere se aspettare o 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6" authorId="0" shapeId="0" xr:uid="{00000000-0006-0000-0600-000001000000}">
      <text>
        <r>
          <rPr>
            <sz val="11"/>
            <color theme="1"/>
            <rFont val="Calibri"/>
            <family val="2"/>
            <charset val="1"/>
          </rPr>
          <t>[Threaded comment]
Your version of Excel allows you to read this threaded comment; however, any edits to it will get removed if the file is opened in a newer version of Excel. Learn more: https://go.microsoft.com/fwlink/?linkid=870924
Comment:
    Quanto e‘ aggressivo sui giocatori preferiti</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O12" authorId="0" shapeId="0" xr:uid="{00000000-0006-0000-0C00-000001000000}">
      <text>
        <r>
          <rPr>
            <sz val="11"/>
            <color theme="1"/>
            <rFont val="Calibri"/>
            <family val="2"/>
            <charset val="1"/>
          </rPr>
          <t>Budget Rimanente diviso per gli slot che ti mancano ancora (di tutti i ruoli). E' la base per il segnale di Sostenibilita' Budget nei fogli Output Utente e Giocatori Liberi.</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G2" authorId="0" shapeId="0" xr:uid="{00000000-0006-0000-0D00-000001000000}">
      <text>
        <r>
          <rPr>
            <sz val="11"/>
            <color theme="1"/>
            <rFont val="Calibri"/>
            <family val="2"/>
            <charset val="1"/>
          </rPr>
          <t>[Threaded comment]
Your version of Excel allows you to read this threaded comment; however, any edits to it will get removed if the file is opened in a newer version of Excel. Learn more: https://go.microsoft.com/fwlink/?linkid=870924
Comment:
    FantaValoreMercato</t>
        </r>
      </text>
    </comment>
  </commentList>
</comments>
</file>

<file path=xl/sharedStrings.xml><?xml version="1.0" encoding="utf-8"?>
<sst xmlns="http://schemas.openxmlformats.org/spreadsheetml/2006/main" count="5734" uniqueCount="1226">
  <si>
    <t>DASHBOARD ASTA — vista live</t>
  </si>
  <si>
    <t>Giocatori chiamati / Totale</t>
  </si>
  <si>
    <t>% Asta completata</t>
  </si>
  <si>
    <t>Prezzo medio pagato</t>
  </si>
  <si>
    <t>Budget medio residuo squadre attive</t>
  </si>
  <si>
    <t>Ruolo</t>
  </si>
  <si>
    <t>TOP</t>
  </si>
  <si>
    <t>BUONI</t>
  </si>
  <si>
    <t>MEDIA</t>
  </si>
  <si>
    <t>SCOMMESSE</t>
  </si>
  <si>
    <t>Totale Disp.</t>
  </si>
  <si>
    <t>Slot Residui Lega</t>
  </si>
  <si>
    <t>Quality Coverage</t>
  </si>
  <si>
    <t>Pressione Asta (scarsita')</t>
  </si>
  <si>
    <t>Pressione Competitiva</t>
  </si>
  <si>
    <t>P</t>
  </si>
  <si>
    <t>D</t>
  </si>
  <si>
    <t>C</t>
  </si>
  <si>
    <t>A</t>
  </si>
  <si>
    <t>LA MIA ROSA — sintesi</t>
  </si>
  <si>
    <t>Budget Residuo</t>
  </si>
  <si>
    <t>Slot Residui</t>
  </si>
  <si>
    <t>FVM Totale Acquistato</t>
  </si>
  <si>
    <t>Crediti Spesi</t>
  </si>
  <si>
    <t>Efficienza (FVM/credito)</t>
  </si>
  <si>
    <t>Copertura Titolari (prossimo bisogno)</t>
  </si>
  <si>
    <t>Titolari Coperti</t>
  </si>
  <si>
    <t>Titolari Necessari</t>
  </si>
  <si>
    <t>Riserve Coperte</t>
  </si>
  <si>
    <t>Prossimo Slot</t>
  </si>
  <si>
    <t>Guida — Motore Prezzi Asta Fantacalcio</t>
  </si>
  <si>
    <t>Questo file calcola automaticamente un prezzo massimo consigliato e un range di valutazione per ciascun giocatore, in base al budget, alla rosa, alle regole della lega e ai dati FVM/statistici. Il motore si aggiorna modificando i parametri e gli assegnamenti dell'asta.</t>
  </si>
  <si>
    <t>Come e' organizzato il file</t>
  </si>
  <si>
    <t>• Info Lega: dati della tua lega (budget, rosa, regole, nomi squadre). 'La Mia Squadra' (B28) identifica la tua squadra.</t>
  </si>
  <si>
    <t>• Info Strategia: modulo preferito, aggressivita' e lista 'Giocatori Preferiti' (colonna D).</t>
  </si>
  <si>
    <t>• Parametri Modello: tutte le leve del motore prezzi, incluse soglia minima di presenze storiche e gestione della scarsita'.</t>
  </si>
  <si>
    <t>• Input Giocatori 2026_27: il listone originale, invariato — e' la fonte dati.</t>
  </si>
  <si>
    <t>• Output Utente: tabella madre con un giocatore per riga, prezzo consigliato, range, statistiche e stato dell'asta.</t>
  </si>
  <si>
    <t>• Giocatori Liberi: elenco ordinato dei giocatori non ancora assegnati; il calcolo della scarsita' puo' escludere i giocatori con Qt.A=1.</t>
  </si>
  <si>
    <t>• La Mia Rosa: la tua rosa attuale + budget speso/rimanente + slot per ruolo, live durante l'asta.</t>
  </si>
  <si>
    <t>Come si calcola il prezzo (Output Utente)</t>
  </si>
  <si>
    <t>1. Prezzo Base FVM = (FVM del giocatore / Somma FVM Pool Totale) × Budget Totale Lega. Il pool comprende, per ciascun ruolo, i migliori N giocatori per FVM, dove N e' il numero totale di slot di quel ruolo nella lega. Il denominatore e' la somma dei pool di tutti i ruoli.</t>
  </si>
  <si>
    <t>2. Se il Modificatore Difesa o Centrocampo della tua lega e' attivo, il Prezzo Base del ruolo interessato viene aumentato del Boost Modificatore Ruolo (default +15%).</t>
  </si>
  <si>
    <t>3. Performance storica: il prezzo viene corretto in base alla Fantamedia 2025/26 rispetto alla media del proprio ruolo. Il peso e' in Parametri Modello &gt; Peso Performance Storica. Se le presenze sono inferiori alla soglia minima impostata, il giocatore non influenza la media del ruolo e il suo fattore storico resta neutro.</t>
  </si>
  <si>
    <t>4. Scarsita' di ruolo: il motore confronta giocatori disponibili e slot ancora da riempire. Se il rapporto scende sotto 1, il prezzo sale; se e' sopra 1, il prezzo scende. I giocatori con Qt.A=1 possono essere esclusi dal conteggio per evitare di considerare riserve/panchinari difficilmente utilizzabili.</t>
  </si>
  <si>
    <t>5. Valutazione Min / Max: il Prezzo Base corretto viene trasformato in un range tramite lo Spread % specifico del ruolo. 6. Offerta Max = Valutazione Min + (Valutazione Max − Valutazione Min) × Aggressivita'. 7. Se il giocatore e' nei Preferiti, l'Offerta Max riceve il boost previsto dal parametro Whichlist/Preferiti.</t>
  </si>
  <si>
    <t>Statistiche stagione precedente — filtro minimo presenze</t>
  </si>
  <si>
    <t>Le colonne Presenze / Gol / Assist / Media Voto / Fantamedia 2025/26 sono collegate al foglio 'Input Statistiche 2025_26'.</t>
  </si>
  <si>
    <t>La media di Fantamedia per ruolo e il fattore di performance usano solo i giocatori che raggiungono la soglia 'Presenze minime per storico (media/performance)' in Parametri Modello. Questo evita che 1-2 partite eccezionali o casuali spostino la media del ruolo e il prezzo di tutti gli altri giocatori.</t>
  </si>
  <si>
    <t>I giocatori senza storico o sotto la soglia minima non ricevono bonus/malus dalla performance storica: il loro prezzo resta determinato dagli altri componenti del motore.</t>
  </si>
  <si>
    <t>Fascia Aspettativa</t>
  </si>
  <si>
    <t>Il posizionamento del FVM nel ruolo (Top / Buono / Nella Media / Scommessa) misura quanto il mercato valuta oggi il giocatore. E' complementare alla Fantamedia storica.</t>
  </si>
  <si>
    <t>Come usare il motore durante l'asta</t>
  </si>
  <si>
    <t>• Quando un giocatore viene acquistato, inserisci Squadra Assegnata e Prezzo Pagato: la scarsita' e i dati della rosa si aggiornano.</t>
  </si>
  <si>
    <t>• L'Offerta Max rappresenta il tetto consigliato dalla strategia. Per una versione live piu' avanzata, il prossimo passo e' confrontare questo tetto con budget residuo, slot residui e alternative ancora disponibili.</t>
  </si>
  <si>
    <t>• La logica puo' essere portata in una web app mantenendo Excel come ambiente di validazione e test del motore.</t>
  </si>
  <si>
    <t>Validazione del motore tramite simulazione</t>
  </si>
  <si>
    <t>Un passaggio importante prima della web app e' simulare molte aste virtuali (es. 100-1.000). In ogni simulazione il motore deve decidere quanto spendere, contro avversari con strategie diverse, e alla fine confrontare qualita' della rosa, valore FVM acquistato, distribuzione del budget e risultati attesi.</t>
  </si>
  <si>
    <t>Confidence Storico: indicatore informativo della solidita' del dato storico, basato sulle presenze. Non modifica il prezzo. Serve a distinguere una Fantamedia ottenuta su molte partite da una ottenuta su un campione molto piccolo.</t>
  </si>
  <si>
    <t>Aggressivita': e' una preferenza dell'utente, non un parametro che il motore deve ottimizzare. Rappresenta quanto l'utente vuole spingersi verso il limite alto del range, soprattutto sui giocatori preferiti. Il motore non deve interpretare un'aggressivita' alta come una maggiore disponibilita' economica: il Max Bid dinamico resta comunque vincolato dal budget e dalla riserva minima.</t>
  </si>
  <si>
    <t>FantaAuction Engine — Cowork Final</t>
  </si>
  <si>
    <t>Nuovi fogli aggiunti in questa versione</t>
  </si>
  <si>
    <t>• Dashboard Asta: vista unica con stato asta, tabella qualita' TOP/BUONI/MEDIA/SCOMMESSE per ruolo, sintesi rosa e copertura titolari.</t>
  </si>
  <si>
    <t>• Decisione Live: scheda del singolo giocatore. Scrivi il nome e il prezzo attuale: FVM, Range, Max Bid, Pressione Competitiva e Decisione (BID/PASS/ATTENZIONE) con motivazione.</t>
  </si>
  <si>
    <t>• Pressione Competitiva + TeamDetail: stima, per ruolo, quante squadre avversarie cercano ancora un titolare e con quanto budget. E' informativa: NON moltiplica il FVM.</t>
  </si>
  <si>
    <t>• Giocatori Da Chiamare: griglia Ruolo x Fascia con i nomi ancora disponibili (non assegnati, Qt.A&gt;1). Risponde a 'se lo lascio andare, cosa mi resta?'.</t>
  </si>
  <si>
    <t>• Analisi Asta Reale 2025: benchmark su prezzi reali di un'asta 2025 vs FVM pre-stagione. Spiega i fenomeni (bidding war attaccanti, difensori a costo quasi nullo), non sostituisce il motore.</t>
  </si>
  <si>
    <t>• Simulazioni: struttura pronta per confrontare 6 varianti del motore (A-F) su 100-1000 aste simulate, obiettivo FVM totale rosa finale.</t>
  </si>
  <si>
    <t>Cosa e' cambiato nei fogli esistenti</t>
  </si>
  <si>
    <t>• Fascia Aspettativa (Output Utente) ora usa soglie percentile configurabili in Parametri Modello (righe 62-65), non piu' fisse all'85%/60%/30%.</t>
  </si>
  <si>
    <t>• Giocatori Liberi e Stato Asta ora escludono correttamente i giocatori con Qt.A=1 anche dai conteggi Top/Buoni Rimasti (prima erano esclusi solo dal rapporto di scarsita').</t>
  </si>
  <si>
    <t>• Stato Asta mostra anche Media Rimasti, Scommesse Rimaste e Quality Coverage (Top+Buoni / Totale disponibili), non solo Top+Buoni.</t>
  </si>
  <si>
    <t>• Output Utente ha 7 colonne nuove: Titolare/Riserva (mercato), Pressione Competitiva Ruolo, Opportunity Gap (+ segnale), Motivo Decisione, e 2 colonne tecniche per la griglia Giocatori Da Chiamare.</t>
  </si>
  <si>
    <t>• La Mia Rosa mostra ora Prezzo Pagato, Differenza FVM-Prezzo, Titolare/Riserva per ogni giocatore, FVM Totale Acquistato, Crediti Spesi, Efficienza, e copertura titolari per ruolo.</t>
  </si>
  <si>
    <t>• Decisione Live (colonna in Output Utente) usa la stessa soglia parametrica dell'Opportunity Gap invece di un valore fisso 0.85 nascosto nella formula.</t>
  </si>
  <si>
    <t>VERSIONE / LOG DELLE MODIFICHE</t>
  </si>
  <si>
    <t>v9 — Auction State: prima gestione dello stato dell'asta (giocatori chiamati/assegnati).</t>
  </si>
  <si>
    <t>v10 — Calibrata: modello FVM-proporzionale calibrato su dati reali (sostituisce lo scaling da Qt.A).</t>
  </si>
  <si>
    <t>v11 — Titolari/Riserve: modello a due livelli (85-96% budget di ruolo ai titolari), scarsita' di ruolo con esclusione Qt.A=1, soglia minima presenze per le statistiche, fasce Top/Buono/Media/Scommessa per percentile.</t>
  </si>
  <si>
    <t>FINAL — Cowork: soglie fascia parametrizzate; Qt.A=1 escluso ovunque dai 'disponibili' (non solo dalla scarsita'); Quality Scarcity completa (4 fasce, non solo Top+Buoni); Pressione Competitiva per ruolo (nuova, informativa); Opportunity Gap esplicito con soglie configurabili; Dashboard Asta; Decisione Live (scheda giocatore); Giocatori Da Chiamare (griglia Ruolo x Fascia); La Mia Rosa con FVM Totale Acquistato e copertura titolari; Analisi Asta Reale 2025; scaffold Simulazioni A-F.</t>
  </si>
  <si>
    <t>Generato: 2026-08-12</t>
  </si>
  <si>
    <t>DECISIONE LIVE — scheda giocatore in asta</t>
  </si>
  <si>
    <t>Nome Giocatore (scrivi il nome esatto)</t>
  </si>
  <si>
    <t>Prezzo Attuale in Asta (crediti)</t>
  </si>
  <si>
    <t>FVM / 1000</t>
  </si>
  <si>
    <t>Fascia (mercato)</t>
  </si>
  <si>
    <t>Titolare/Riserva (mercato)</t>
  </si>
  <si>
    <t>E' un tuo Preferito (Whichlist)</t>
  </si>
  <si>
    <t>VALORE / RANGE / MAX BID</t>
  </si>
  <si>
    <t>Valutazione Min (Range Min)</t>
  </si>
  <si>
    <t>Prezzo ragionevole minimo secondo il motore.</t>
  </si>
  <si>
    <t>Valutazione Max (Range Max)</t>
  </si>
  <si>
    <t>Prezzo ragionevole massimo secondo il motore.</t>
  </si>
  <si>
    <t>Offerta Max Strategica</t>
  </si>
  <si>
    <t>Range + Aggressivita' + eventuale boost Preferito. Non ancora limitata dal budget.</t>
  </si>
  <si>
    <t>Budget Residuo (tuo)</t>
  </si>
  <si>
    <t>Slot Residui (tuoi, tutti i ruoli)</t>
  </si>
  <si>
    <t>OFFERTA MAX DINAMICA (il tuo vero tetto)</t>
  </si>
  <si>
    <t>MIN(Offerta Max Strategica, Budget Spendibile). Non puo' mai superare quanto puoi davvero permetterti.</t>
  </si>
  <si>
    <t>PRESSIONE COMPETITIVA (informativa)</t>
  </si>
  <si>
    <t>Pressione Competitiva sul ruolo</t>
  </si>
  <si>
    <t>Motivo</t>
  </si>
  <si>
    <t>DECISIONE</t>
  </si>
  <si>
    <t>Prezzo Attuale (da cella B4)</t>
  </si>
  <si>
    <t>Opportunity Gap (Max Bid Dinamica - Prezzo Attuale)</t>
  </si>
  <si>
    <t>Segnale</t>
  </si>
  <si>
    <t>Attenzione</t>
  </si>
  <si>
    <t>Id</t>
  </si>
  <si>
    <t>R</t>
  </si>
  <si>
    <t>Nome</t>
  </si>
  <si>
    <t>Squadra Assegnata</t>
  </si>
  <si>
    <t>Whichlist</t>
  </si>
  <si>
    <t>Offerta Max</t>
  </si>
  <si>
    <t>Valutazione Min</t>
  </si>
  <si>
    <t>Valutazione Max</t>
  </si>
  <si>
    <t>Presenze 25/26 (Pv)</t>
  </si>
  <si>
    <t>Assenze 25/26 (stim.)</t>
  </si>
  <si>
    <t>Gol 25/26</t>
  </si>
  <si>
    <t>Assist 25/26</t>
  </si>
  <si>
    <t>Prezzo Pagato</t>
  </si>
  <si>
    <t>Qt.A</t>
  </si>
  <si>
    <t>FVM/1000</t>
  </si>
  <si>
    <t>_OrdineLiberi</t>
  </si>
  <si>
    <t>_OrdineMiaRosa</t>
  </si>
  <si>
    <t>Mv 25/26</t>
  </si>
  <si>
    <t>Fm 25/26</t>
  </si>
  <si>
    <t>Sostenibilità Budget</t>
  </si>
  <si>
    <t>Rank FVM nel Ruolo</t>
  </si>
  <si>
    <t>Budget Minimo Riserva</t>
  </si>
  <si>
    <t>Budget Spendibile</t>
  </si>
  <si>
    <t>Offerta Max Dinamica</t>
  </si>
  <si>
    <t>Prezzo Corrente</t>
  </si>
  <si>
    <t>Decisione Live</t>
  </si>
  <si>
    <t>Confidence Storico</t>
  </si>
  <si>
    <t>Pressione Ruolo</t>
  </si>
  <si>
    <t>Pressione Competitiva Ruolo</t>
  </si>
  <si>
    <t>Opportunity Gap</t>
  </si>
  <si>
    <t>Opportunity Gap Segnale</t>
  </si>
  <si>
    <t>Motivo Decisione</t>
  </si>
  <si>
    <t>_RankDisponibiliRuoloFascia</t>
  </si>
  <si>
    <t>_ChiaveRuoloFasciaRank</t>
  </si>
  <si>
    <t>Martinez L.</t>
  </si>
  <si>
    <t>Malen</t>
  </si>
  <si>
    <t>Thuram</t>
  </si>
  <si>
    <t>Hojlund</t>
  </si>
  <si>
    <t>Dimarco</t>
  </si>
  <si>
    <t>Paz N.</t>
  </si>
  <si>
    <t>McTominay</t>
  </si>
  <si>
    <t>Ramos G.</t>
  </si>
  <si>
    <t>Calhanoglu</t>
  </si>
  <si>
    <t>Kolo Muani</t>
  </si>
  <si>
    <t>Kean</t>
  </si>
  <si>
    <t>Orsolini</t>
  </si>
  <si>
    <t>Yildiz</t>
  </si>
  <si>
    <t>Pulisic</t>
  </si>
  <si>
    <t>Douvikas</t>
  </si>
  <si>
    <t>Rabiot</t>
  </si>
  <si>
    <t>Scamacca</t>
  </si>
  <si>
    <t>Davis K.</t>
  </si>
  <si>
    <t>Leao</t>
  </si>
  <si>
    <t>Berardi</t>
  </si>
  <si>
    <t>De Ketelaere</t>
  </si>
  <si>
    <t>Baturina</t>
  </si>
  <si>
    <t>De Bruyne</t>
  </si>
  <si>
    <t>Krstovic</t>
  </si>
  <si>
    <t>Esposito F.P.</t>
  </si>
  <si>
    <t>Zaccagni</t>
  </si>
  <si>
    <t>Wesley</t>
  </si>
  <si>
    <t>Da Cunha</t>
  </si>
  <si>
    <t>Zaniolo</t>
  </si>
  <si>
    <t>Laurientè</t>
  </si>
  <si>
    <t>Atta</t>
  </si>
  <si>
    <t>Dovbyk</t>
  </si>
  <si>
    <t>Castro S.</t>
  </si>
  <si>
    <t>Barella</t>
  </si>
  <si>
    <t>Simeone</t>
  </si>
  <si>
    <t>Pellegrino M.</t>
  </si>
  <si>
    <t>Vlasic</t>
  </si>
  <si>
    <t>McKennie</t>
  </si>
  <si>
    <t>Dybala</t>
  </si>
  <si>
    <t>Svilar</t>
  </si>
  <si>
    <t>Taylor K.</t>
  </si>
  <si>
    <t>Martinez Jo.</t>
  </si>
  <si>
    <t>Colombo</t>
  </si>
  <si>
    <t>Raspadori</t>
  </si>
  <si>
    <t>Gudmundsson A.</t>
  </si>
  <si>
    <t>Conceicao</t>
  </si>
  <si>
    <t>Santos A.</t>
  </si>
  <si>
    <t>Pinamonti</t>
  </si>
  <si>
    <t>Alajbegovic</t>
  </si>
  <si>
    <t>Butez</t>
  </si>
  <si>
    <t>Akanji</t>
  </si>
  <si>
    <t>Zambo Anguissa</t>
  </si>
  <si>
    <t>Soulè</t>
  </si>
  <si>
    <t>Carnesecchi</t>
  </si>
  <si>
    <t>Nkunku</t>
  </si>
  <si>
    <t>Adams A.</t>
  </si>
  <si>
    <t>Maignan</t>
  </si>
  <si>
    <t>Bremer</t>
  </si>
  <si>
    <t>Modric</t>
  </si>
  <si>
    <t>Esposito Se.</t>
  </si>
  <si>
    <t>Diao</t>
  </si>
  <si>
    <t>Mancini</t>
  </si>
  <si>
    <t>Pavlovic</t>
  </si>
  <si>
    <t>Rrahmani</t>
  </si>
  <si>
    <t>Politano</t>
  </si>
  <si>
    <t>Kalulu</t>
  </si>
  <si>
    <t>Solet</t>
  </si>
  <si>
    <t>De Gea</t>
  </si>
  <si>
    <t>Meret</t>
  </si>
  <si>
    <t>Ederson D.S.</t>
  </si>
  <si>
    <t>Lukaku</t>
  </si>
  <si>
    <t>Bastoni</t>
  </si>
  <si>
    <t>N'Dicka</t>
  </si>
  <si>
    <t>Saelemaekers</t>
  </si>
  <si>
    <t>Samardzic</t>
  </si>
  <si>
    <t>Konè M.</t>
  </si>
  <si>
    <t>Zielinski</t>
  </si>
  <si>
    <t>Thuram K.</t>
  </si>
  <si>
    <t>Thorstvedt</t>
  </si>
  <si>
    <t>Ekkelenkamp</t>
  </si>
  <si>
    <t>Di Gregorio</t>
  </si>
  <si>
    <t>Di Lorenzo</t>
  </si>
  <si>
    <t>Ostigard</t>
  </si>
  <si>
    <t>David</t>
  </si>
  <si>
    <t>Bowie</t>
  </si>
  <si>
    <t>Stones</t>
  </si>
  <si>
    <t>Perrone</t>
  </si>
  <si>
    <t>Skorupski</t>
  </si>
  <si>
    <t>Rowe</t>
  </si>
  <si>
    <t>Casadei</t>
  </si>
  <si>
    <t>Diouf</t>
  </si>
  <si>
    <t>Bernabè</t>
  </si>
  <si>
    <t>Vergara</t>
  </si>
  <si>
    <t>Bisseck</t>
  </si>
  <si>
    <t>Vasquez</t>
  </si>
  <si>
    <t>Cutrone</t>
  </si>
  <si>
    <t>Ramon</t>
  </si>
  <si>
    <t>Rodriguez Je.</t>
  </si>
  <si>
    <t>Pasalic</t>
  </si>
  <si>
    <t>Locatelli</t>
  </si>
  <si>
    <t>Ratkov</t>
  </si>
  <si>
    <t>Adams C.</t>
  </si>
  <si>
    <t>Gila</t>
  </si>
  <si>
    <t>Dia</t>
  </si>
  <si>
    <t>Mandas</t>
  </si>
  <si>
    <t>Dodò</t>
  </si>
  <si>
    <t>Baldanzi</t>
  </si>
  <si>
    <t>Ghedjemis</t>
  </si>
  <si>
    <t>Okoye</t>
  </si>
  <si>
    <t>Cristante</t>
  </si>
  <si>
    <t>Scalvini</t>
  </si>
  <si>
    <t>Mandragora</t>
  </si>
  <si>
    <t>Cancellieri</t>
  </si>
  <si>
    <t>Yeboah J.</t>
  </si>
  <si>
    <t>Caprile</t>
  </si>
  <si>
    <t>Cambiaso</t>
  </si>
  <si>
    <t>Dragusin</t>
  </si>
  <si>
    <t>Carlos Augusto</t>
  </si>
  <si>
    <t>Oristanio</t>
  </si>
  <si>
    <t>Hermoso</t>
  </si>
  <si>
    <t>Sucic P.</t>
  </si>
  <si>
    <t>Falcone</t>
  </si>
  <si>
    <t>Bartesaghi</t>
  </si>
  <si>
    <t>Isaksen</t>
  </si>
  <si>
    <t>Cambiaghi</t>
  </si>
  <si>
    <t>Ndour</t>
  </si>
  <si>
    <t>Colpani</t>
  </si>
  <si>
    <t>Calò</t>
  </si>
  <si>
    <t>Geubbels</t>
  </si>
  <si>
    <t>Boga</t>
  </si>
  <si>
    <t>Zappacosta</t>
  </si>
  <si>
    <t>Miranda J.</t>
  </si>
  <si>
    <t>Spinazzola</t>
  </si>
  <si>
    <t>Valeri</t>
  </si>
  <si>
    <t>Romagnoli</t>
  </si>
  <si>
    <t>Gaetano</t>
  </si>
  <si>
    <t>Piccoli</t>
  </si>
  <si>
    <t>Raimondo</t>
  </si>
  <si>
    <t>Jimenez A.</t>
  </si>
  <si>
    <t>Kaiki</t>
  </si>
  <si>
    <t>Gabbia</t>
  </si>
  <si>
    <t>Fagioli</t>
  </si>
  <si>
    <t>Volpato</t>
  </si>
  <si>
    <t>Unai Gomez</t>
  </si>
  <si>
    <t>Fofana Y.</t>
  </si>
  <si>
    <t>Dallinga</t>
  </si>
  <si>
    <t>Norton-Cuffy</t>
  </si>
  <si>
    <t>Doekhi</t>
  </si>
  <si>
    <t>Odgaard</t>
  </si>
  <si>
    <t>Liberali</t>
  </si>
  <si>
    <t>Neres</t>
  </si>
  <si>
    <t>Celik</t>
  </si>
  <si>
    <t>Delprato</t>
  </si>
  <si>
    <t>Bernardeschi</t>
  </si>
  <si>
    <t>Zalewski</t>
  </si>
  <si>
    <t>Bonny</t>
  </si>
  <si>
    <t>Suzuki</t>
  </si>
  <si>
    <t>Mina</t>
  </si>
  <si>
    <t>Koulierakis</t>
  </si>
  <si>
    <t>Tomori</t>
  </si>
  <si>
    <t>Marusic</t>
  </si>
  <si>
    <t>Konè I.</t>
  </si>
  <si>
    <t>Pessina</t>
  </si>
  <si>
    <t>Lobotka</t>
  </si>
  <si>
    <t>Caqueret</t>
  </si>
  <si>
    <t>Oulai</t>
  </si>
  <si>
    <t>Karlstrom</t>
  </si>
  <si>
    <t>Vitinha O.</t>
  </si>
  <si>
    <t>Rrahmani Al.</t>
  </si>
  <si>
    <t>Vojvoda</t>
  </si>
  <si>
    <t>Zortea</t>
  </si>
  <si>
    <t>Viery</t>
  </si>
  <si>
    <t>Fazzini</t>
  </si>
  <si>
    <t>Frendrup</t>
  </si>
  <si>
    <t>Pierotti</t>
  </si>
  <si>
    <t>Basic</t>
  </si>
  <si>
    <t>Mkhitaryan</t>
  </si>
  <si>
    <t>Mutandwa</t>
  </si>
  <si>
    <t>Bijlow</t>
  </si>
  <si>
    <t>Lucumì</t>
  </si>
  <si>
    <t>Buongiorno</t>
  </si>
  <si>
    <t>Coco</t>
  </si>
  <si>
    <t>Ismajli</t>
  </si>
  <si>
    <t>Valle</t>
  </si>
  <si>
    <t>Valdepenas</t>
  </si>
  <si>
    <t>Pavard</t>
  </si>
  <si>
    <t>Circati</t>
  </si>
  <si>
    <t>Ferguson</t>
  </si>
  <si>
    <t>Ellertsson</t>
  </si>
  <si>
    <t>Zhegrova</t>
  </si>
  <si>
    <t>Nicolussi Caviglia</t>
  </si>
  <si>
    <t>Ondrejka</t>
  </si>
  <si>
    <t>Cacciamani</t>
  </si>
  <si>
    <t>El Aynaoui</t>
  </si>
  <si>
    <t>Stulic</t>
  </si>
  <si>
    <t>Zapata D.</t>
  </si>
  <si>
    <t>Camarda</t>
  </si>
  <si>
    <t>Mota</t>
  </si>
  <si>
    <t>Tiago Gabriel</t>
  </si>
  <si>
    <t>Bernasconi</t>
  </si>
  <si>
    <t>Tavares N.</t>
  </si>
  <si>
    <t>Pisilli</t>
  </si>
  <si>
    <t>Noslin</t>
  </si>
  <si>
    <t>Hien</t>
  </si>
  <si>
    <t>Djimsiti</t>
  </si>
  <si>
    <t>Ahanor</t>
  </si>
  <si>
    <t>Beukema</t>
  </si>
  <si>
    <t>Rensch</t>
  </si>
  <si>
    <t>Rovella</t>
  </si>
  <si>
    <t>Akinsanmiro</t>
  </si>
  <si>
    <t>Berisha M.</t>
  </si>
  <si>
    <t>Bakola</t>
  </si>
  <si>
    <t>Sulemana K.</t>
  </si>
  <si>
    <t>Muric</t>
  </si>
  <si>
    <t>Kristensen T.</t>
  </si>
  <si>
    <t>Bellanova</t>
  </si>
  <si>
    <t>Heggem</t>
  </si>
  <si>
    <t>Mangas</t>
  </si>
  <si>
    <t>Martin</t>
  </si>
  <si>
    <t>Pedraza</t>
  </si>
  <si>
    <t>Keita M.</t>
  </si>
  <si>
    <t>Matic</t>
  </si>
  <si>
    <t>Piotrowski</t>
  </si>
  <si>
    <t>Kvernadze</t>
  </si>
  <si>
    <t>Stankovic F.</t>
  </si>
  <si>
    <t>Obert</t>
  </si>
  <si>
    <t>Monterisi</t>
  </si>
  <si>
    <t>Pobega</t>
  </si>
  <si>
    <t>Winks</t>
  </si>
  <si>
    <t>Coulibaly L.</t>
  </si>
  <si>
    <t>Milla</t>
  </si>
  <si>
    <t>Meichtry</t>
  </si>
  <si>
    <t>Koopmeiners</t>
  </si>
  <si>
    <t>Gandelman</t>
  </si>
  <si>
    <t>Adzic</t>
  </si>
  <si>
    <t>Busio</t>
  </si>
  <si>
    <t>Sohm</t>
  </si>
  <si>
    <t>Perez K.</t>
  </si>
  <si>
    <t>Almqvist</t>
  </si>
  <si>
    <t>Gimenez</t>
  </si>
  <si>
    <t>Maldini</t>
  </si>
  <si>
    <t>Adorante</t>
  </si>
  <si>
    <t>Marcandalli</t>
  </si>
  <si>
    <t>Gallo</t>
  </si>
  <si>
    <t>Bella-Kotchap</t>
  </si>
  <si>
    <t>Holm</t>
  </si>
  <si>
    <t>Kempf</t>
  </si>
  <si>
    <t>Kelly L.</t>
  </si>
  <si>
    <t>Olivera</t>
  </si>
  <si>
    <t>Pedersen</t>
  </si>
  <si>
    <t>Doig</t>
  </si>
  <si>
    <t>Frattesi</t>
  </si>
  <si>
    <t>Adopo</t>
  </si>
  <si>
    <t>Zerbin</t>
  </si>
  <si>
    <t>Dele-Bashiru</t>
  </si>
  <si>
    <t>Gineitis</t>
  </si>
  <si>
    <t>Luis Henrique</t>
  </si>
  <si>
    <t>Fitz-Jim</t>
  </si>
  <si>
    <t>Frigan</t>
  </si>
  <si>
    <t>Thiam</t>
  </si>
  <si>
    <t>Kamara H.</t>
  </si>
  <si>
    <t>Kolasinac</t>
  </si>
  <si>
    <t>Parisi</t>
  </si>
  <si>
    <t>Oyono A.</t>
  </si>
  <si>
    <t>Gaspar K.</t>
  </si>
  <si>
    <t>Siebert</t>
  </si>
  <si>
    <t>Lucchesi</t>
  </si>
  <si>
    <t>Birindelli</t>
  </si>
  <si>
    <t>Correia T.</t>
  </si>
  <si>
    <t>Floriani Mussolini</t>
  </si>
  <si>
    <t>De Winter</t>
  </si>
  <si>
    <t>Candè</t>
  </si>
  <si>
    <t>Amondarain</t>
  </si>
  <si>
    <t>Romano</t>
  </si>
  <si>
    <t>De Roon</t>
  </si>
  <si>
    <t>Koutsoupias</t>
  </si>
  <si>
    <t>Douglas Luiz</t>
  </si>
  <si>
    <t>Cataldi</t>
  </si>
  <si>
    <t>Njie</t>
  </si>
  <si>
    <t>Sorensen O.</t>
  </si>
  <si>
    <t>Diallo O.</t>
  </si>
  <si>
    <t>Miller L.</t>
  </si>
  <si>
    <t>Comuzzo</t>
  </si>
  <si>
    <t>Vitik</t>
  </si>
  <si>
    <t>Kofler</t>
  </si>
  <si>
    <t>Zè Pedro</t>
  </si>
  <si>
    <t>Bracaglia</t>
  </si>
  <si>
    <t>Veiga D.</t>
  </si>
  <si>
    <t>Moreno M.</t>
  </si>
  <si>
    <t>Haps</t>
  </si>
  <si>
    <t>Delli Carri</t>
  </si>
  <si>
    <t>Chukwueze</t>
  </si>
  <si>
    <t>Traorè Hj.</t>
  </si>
  <si>
    <t>Cichella</t>
  </si>
  <si>
    <t>Amorim</t>
  </si>
  <si>
    <t>Ngom</t>
  </si>
  <si>
    <t>Ricci S.</t>
  </si>
  <si>
    <t>Jashari</t>
  </si>
  <si>
    <t>Loftus-Cheek</t>
  </si>
  <si>
    <t>Miretti</t>
  </si>
  <si>
    <t>Elphege</t>
  </si>
  <si>
    <t>Perin</t>
  </si>
  <si>
    <t>Milinkovic-Savic V.</t>
  </si>
  <si>
    <t>Smolcic I.</t>
  </si>
  <si>
    <t>Calvani</t>
  </si>
  <si>
    <t>Gatti</t>
  </si>
  <si>
    <t>Valenti</t>
  </si>
  <si>
    <t>Ghilardi</t>
  </si>
  <si>
    <t>Walukiewicz</t>
  </si>
  <si>
    <t>Comert</t>
  </si>
  <si>
    <t>Bertola</t>
  </si>
  <si>
    <t>Zanoli</t>
  </si>
  <si>
    <t>Halhal</t>
  </si>
  <si>
    <t>Rodriguez Ju.</t>
  </si>
  <si>
    <t>Provstgaard</t>
  </si>
  <si>
    <t>Britschgi</t>
  </si>
  <si>
    <t>Felici</t>
  </si>
  <si>
    <t>Addai</t>
  </si>
  <si>
    <t>Moro N.</t>
  </si>
  <si>
    <t>Folorunsho</t>
  </si>
  <si>
    <t>Ilkhan</t>
  </si>
  <si>
    <t>Stankovic A.</t>
  </si>
  <si>
    <t>Morata</t>
  </si>
  <si>
    <t>Giovane</t>
  </si>
  <si>
    <t>Ekhator</t>
  </si>
  <si>
    <t>Lang</t>
  </si>
  <si>
    <t>Lucca</t>
  </si>
  <si>
    <t>Zappa</t>
  </si>
  <si>
    <t>Mitaj</t>
  </si>
  <si>
    <t>Kabasele</t>
  </si>
  <si>
    <t>Estupinan</t>
  </si>
  <si>
    <t>Kouadio</t>
  </si>
  <si>
    <t>Carboni A.</t>
  </si>
  <si>
    <t xml:space="preserve">Fini </t>
  </si>
  <si>
    <t>Gilmour</t>
  </si>
  <si>
    <t>Borrelli</t>
  </si>
  <si>
    <t>Mendy P.</t>
  </si>
  <si>
    <t>Havel</t>
  </si>
  <si>
    <t>Kulenovic</t>
  </si>
  <si>
    <t>N'Dri</t>
  </si>
  <si>
    <t>Palmisani</t>
  </si>
  <si>
    <t>Desplanches</t>
  </si>
  <si>
    <t>Pongracic</t>
  </si>
  <si>
    <t>Arizala</t>
  </si>
  <si>
    <t>Cittadini</t>
  </si>
  <si>
    <t>Athekame</t>
  </si>
  <si>
    <t>Troilo</t>
  </si>
  <si>
    <t>Lazzari</t>
  </si>
  <si>
    <t>Cuenca A.</t>
  </si>
  <si>
    <t>Fabbian</t>
  </si>
  <si>
    <t>Dominguez B.</t>
  </si>
  <si>
    <t>Deiola</t>
  </si>
  <si>
    <t>Gelli F.</t>
  </si>
  <si>
    <t>Messias</t>
  </si>
  <si>
    <t>Kossounou</t>
  </si>
  <si>
    <t>Idrissi R.</t>
  </si>
  <si>
    <t>Ranieri L.</t>
  </si>
  <si>
    <t>Joao Mario</t>
  </si>
  <si>
    <t>Akpoguma</t>
  </si>
  <si>
    <t>Schingtienne</t>
  </si>
  <si>
    <t>Sverko</t>
  </si>
  <si>
    <t>Hainaut</t>
  </si>
  <si>
    <t>Puczka</t>
  </si>
  <si>
    <t>Prati</t>
  </si>
  <si>
    <t>Sulemana I.</t>
  </si>
  <si>
    <t>Brescianini</t>
  </si>
  <si>
    <t>Colombo L.</t>
  </si>
  <si>
    <t>Helgason</t>
  </si>
  <si>
    <t>Gueye</t>
  </si>
  <si>
    <t>Varela G.</t>
  </si>
  <si>
    <t>Casale</t>
  </si>
  <si>
    <t>Alhassane</t>
  </si>
  <si>
    <t>Marin R.</t>
  </si>
  <si>
    <t>Venturino</t>
  </si>
  <si>
    <t>Musah</t>
  </si>
  <si>
    <t>Ciurria</t>
  </si>
  <si>
    <t>Chakvetadze</t>
  </si>
  <si>
    <t>Daffara</t>
  </si>
  <si>
    <t>Provedel</t>
  </si>
  <si>
    <t>Helland</t>
  </si>
  <si>
    <t>Van Der Brempt</t>
  </si>
  <si>
    <t>Otoa</t>
  </si>
  <si>
    <t>Sabelli</t>
  </si>
  <si>
    <t>Pellegrini Lu.</t>
  </si>
  <si>
    <t>Biraghi</t>
  </si>
  <si>
    <t>Palma</t>
  </si>
  <si>
    <t>Marianucci</t>
  </si>
  <si>
    <t>Aboukhlal</t>
  </si>
  <si>
    <t>Hasa</t>
  </si>
  <si>
    <t>Maleh</t>
  </si>
  <si>
    <t>Ordonez C.</t>
  </si>
  <si>
    <t>Boloca</t>
  </si>
  <si>
    <t>Lipani</t>
  </si>
  <si>
    <t>Belahyane</t>
  </si>
  <si>
    <t>Przyborek</t>
  </si>
  <si>
    <t>Kuhn</t>
  </si>
  <si>
    <t>Petagna</t>
  </si>
  <si>
    <t>Jean</t>
  </si>
  <si>
    <t>Diawara S.</t>
  </si>
  <si>
    <t>Ebosse</t>
  </si>
  <si>
    <t>Franjic</t>
  </si>
  <si>
    <t>Sagrado</t>
  </si>
  <si>
    <t>De Silvestri</t>
  </si>
  <si>
    <t>Cabal</t>
  </si>
  <si>
    <t>Patric</t>
  </si>
  <si>
    <t>Ndaba</t>
  </si>
  <si>
    <t>Bakoune</t>
  </si>
  <si>
    <t>Ndiaye</t>
  </si>
  <si>
    <t>El Azzouzi O.</t>
  </si>
  <si>
    <t>Masini</t>
  </si>
  <si>
    <t>Duncan</t>
  </si>
  <si>
    <t>Ilic</t>
  </si>
  <si>
    <t>Anjorin</t>
  </si>
  <si>
    <t>Zarraga</t>
  </si>
  <si>
    <t xml:space="preserve">Buksa </t>
  </si>
  <si>
    <t>Vaz</t>
  </si>
  <si>
    <t>Turati</t>
  </si>
  <si>
    <t>Oyono J.</t>
  </si>
  <si>
    <t>Corrado</t>
  </si>
  <si>
    <t>Rugani</t>
  </si>
  <si>
    <t>Mazzocchi</t>
  </si>
  <si>
    <t>Carboni F.</t>
  </si>
  <si>
    <t>Mlacic</t>
  </si>
  <si>
    <t>Abankwah</t>
  </si>
  <si>
    <t>Fadera</t>
  </si>
  <si>
    <t>El Azzouzi A.</t>
  </si>
  <si>
    <t>Kone B.</t>
  </si>
  <si>
    <t>Gorter</t>
  </si>
  <si>
    <t>Cremaschi</t>
  </si>
  <si>
    <t>Camara A.</t>
  </si>
  <si>
    <t>Bjarkason</t>
  </si>
  <si>
    <t>Bayo V.</t>
  </si>
  <si>
    <t>Vogliacco</t>
  </si>
  <si>
    <t>Matturro</t>
  </si>
  <si>
    <t>Antov</t>
  </si>
  <si>
    <t>Ziolkowski</t>
  </si>
  <si>
    <t>Missori</t>
  </si>
  <si>
    <t>Kaba</t>
  </si>
  <si>
    <t>Trepy</t>
  </si>
  <si>
    <t>Rossi F.</t>
  </si>
  <si>
    <t>Sportiello</t>
  </si>
  <si>
    <t>Happonen</t>
  </si>
  <si>
    <t>Pessina Mas.</t>
  </si>
  <si>
    <t>Ciocci</t>
  </si>
  <si>
    <t>Sherri</t>
  </si>
  <si>
    <t>Tornqvist</t>
  </si>
  <si>
    <t>Vigorito</t>
  </si>
  <si>
    <t>Christensen O.</t>
  </si>
  <si>
    <t>Lezzerini</t>
  </si>
  <si>
    <t>Lolic</t>
  </si>
  <si>
    <t>Sommariva</t>
  </si>
  <si>
    <t>Stolz</t>
  </si>
  <si>
    <t>Di Gennaro</t>
  </si>
  <si>
    <t>Pinsoglio</t>
  </si>
  <si>
    <t>Motta</t>
  </si>
  <si>
    <t>Renzetti</t>
  </si>
  <si>
    <t>Samooja</t>
  </si>
  <si>
    <t>Terracciano</t>
  </si>
  <si>
    <t>Torriani</t>
  </si>
  <si>
    <t>Pizzignacco</t>
  </si>
  <si>
    <t>Strajnar</t>
  </si>
  <si>
    <t>Contini</t>
  </si>
  <si>
    <t>Corvi</t>
  </si>
  <si>
    <t>De Marzi</t>
  </si>
  <si>
    <t>Gollini</t>
  </si>
  <si>
    <t>Russo A.</t>
  </si>
  <si>
    <t>Mascardi</t>
  </si>
  <si>
    <t>Paleari</t>
  </si>
  <si>
    <t>Siviero</t>
  </si>
  <si>
    <t>Padelli</t>
  </si>
  <si>
    <t>Piana</t>
  </si>
  <si>
    <t>Grandi</t>
  </si>
  <si>
    <t>Pozzi</t>
  </si>
  <si>
    <t>Idzes</t>
  </si>
  <si>
    <t>Raterink</t>
  </si>
  <si>
    <t>Goldaniga</t>
  </si>
  <si>
    <t>Amey</t>
  </si>
  <si>
    <t>Gelli J.</t>
  </si>
  <si>
    <t>Perez M.</t>
  </si>
  <si>
    <t>Pieragnolo</t>
  </si>
  <si>
    <t>Gomes</t>
  </si>
  <si>
    <t>Liteta</t>
  </si>
  <si>
    <t>Lahdo</t>
  </si>
  <si>
    <t>Fofana Sa.</t>
  </si>
  <si>
    <t>Iannoni</t>
  </si>
  <si>
    <t>Dagasso</t>
  </si>
  <si>
    <t>Albarracin</t>
  </si>
  <si>
    <t>Azon</t>
  </si>
  <si>
    <t>Moro L.</t>
  </si>
  <si>
    <t>Lisman</t>
  </si>
  <si>
    <t>Lauberbach</t>
  </si>
  <si>
    <t>STATO ASTA — Auction State (si aggiorna da solo mentre assegni giocatori)</t>
  </si>
  <si>
    <t>Giocatori chiamati / Totale listone</t>
  </si>
  <si>
    <t>Prezzo medio pagato finora (tutti i ruoli)</t>
  </si>
  <si>
    <t>Top Rimasti</t>
  </si>
  <si>
    <t>Buoni Rimasti</t>
  </si>
  <si>
    <t>Top+Buoni Rimasti</t>
  </si>
  <si>
    <t>Slot Ancora da Riempire (Lega)</t>
  </si>
  <si>
    <t>Rapporto Qualità/Slot</t>
  </si>
  <si>
    <t>Pressione Asta</t>
  </si>
  <si>
    <t>Prezzo Medio Pagato</t>
  </si>
  <si>
    <t>Media Rimasti</t>
  </si>
  <si>
    <t>Scommesse Rimaste</t>
  </si>
  <si>
    <t>Totale Disponibili Ruolo</t>
  </si>
  <si>
    <t>Quality Coverage (Top+Buoni / Totale)</t>
  </si>
  <si>
    <t>Nota: Top/Buoni sono la Fascia Aspettativa di Output Utente (posizione nel FVM di ruolo), non una previsione — quindi "Top rimasti" scende man mano che chiami giocatori di quella fascia, indipendentemente da chi li compra.</t>
  </si>
  <si>
    <t>Nome Lega</t>
  </si>
  <si>
    <t>Lega Amici</t>
  </si>
  <si>
    <t>Opzionale</t>
  </si>
  <si>
    <t>Numero di Partecipanti</t>
  </si>
  <si>
    <t>Budget Iniziale</t>
  </si>
  <si>
    <t>Portieri Rosa</t>
  </si>
  <si>
    <t>Difensori Rosa</t>
  </si>
  <si>
    <t>Centrocampisti Rosa</t>
  </si>
  <si>
    <t>Attaccanti Rosa</t>
  </si>
  <si>
    <t>Attiva</t>
  </si>
  <si>
    <t>Nome Squadra 1</t>
  </si>
  <si>
    <t>xxx1</t>
  </si>
  <si>
    <t>Nome Squadra 2</t>
  </si>
  <si>
    <t>xxx2</t>
  </si>
  <si>
    <t>Nome Squadra 3</t>
  </si>
  <si>
    <t>xxx3</t>
  </si>
  <si>
    <t>Nome Squadra 4</t>
  </si>
  <si>
    <t>xxx4</t>
  </si>
  <si>
    <t>Nome Squadra 5</t>
  </si>
  <si>
    <t>xxx5</t>
  </si>
  <si>
    <t>Nome Squadra 6</t>
  </si>
  <si>
    <t>xxx6</t>
  </si>
  <si>
    <t>Nome Squadra 7</t>
  </si>
  <si>
    <t>xxx7</t>
  </si>
  <si>
    <t>Nome Squadra 8</t>
  </si>
  <si>
    <t>xxx8</t>
  </si>
  <si>
    <t>Nome Squadra 9</t>
  </si>
  <si>
    <t>xxx9</t>
  </si>
  <si>
    <t>Nome Squadra 10</t>
  </si>
  <si>
    <t>xxx10</t>
  </si>
  <si>
    <t>Nome Squadra 11</t>
  </si>
  <si>
    <t>xxx11</t>
  </si>
  <si>
    <t>Nome Squadra 12</t>
  </si>
  <si>
    <t>xxx12</t>
  </si>
  <si>
    <t>Nome Squadra 13</t>
  </si>
  <si>
    <t>xxx13</t>
  </si>
  <si>
    <t>Nome Squadra 14</t>
  </si>
  <si>
    <t>xxx14</t>
  </si>
  <si>
    <t>Nome Squadra 15</t>
  </si>
  <si>
    <t>xxx15</t>
  </si>
  <si>
    <t>Nome Squadra 16</t>
  </si>
  <si>
    <t>xxx16</t>
  </si>
  <si>
    <t>Modificatore Difesa</t>
  </si>
  <si>
    <t>Si</t>
  </si>
  <si>
    <t>Modificatore Centrocampo</t>
  </si>
  <si>
    <t>No</t>
  </si>
  <si>
    <t>Regole chiamata giocatori</t>
  </si>
  <si>
    <t>A Chiamata Libera</t>
  </si>
  <si>
    <t>La Mia Squadra</t>
  </si>
  <si>
    <t>Seleziona il tuo nome squadra dalla lista sopra (B9:B24)</t>
  </si>
  <si>
    <t>Modulo Preferito</t>
  </si>
  <si>
    <t>3-4-3</t>
  </si>
  <si>
    <t>Lista Giocatori Preferiti (nome esatto come in Input Giocatori)</t>
  </si>
  <si>
    <t>Giocatori Preferiti</t>
  </si>
  <si>
    <t>Aggressivita</t>
  </si>
  <si>
    <t>PARAMETRI MOTORE DI PRICING</t>
  </si>
  <si>
    <t>Budget Base Listone (standard Fantacalcio.it)</t>
  </si>
  <si>
    <t>Le quotazioni Qt.A del listone sono tarate su un budget standard di 500 crediti e una rosa 3P-8D-8C-6A. I prezzi vengono riscalati sul tuo Budget Iniziale (Info Lega!B4).</t>
  </si>
  <si>
    <t>Boost Modificatore Ruolo (%)</t>
  </si>
  <si>
    <t>Se attivo il Modificatore Difesa o Centrocampo (Info Lega), il prezzo base del ruolo interessato viene aumentato di questa percentuale.</t>
  </si>
  <si>
    <t>Boost Whichlist / Preferiti (%)</t>
  </si>
  <si>
    <t>Boost MASSIMO applicato all'Offerta Max se il giocatore e' whichlist. Ora scala con l'Aggressivita' (Info Strategia!B6): aggressivita'=0 -&gt; nessun sovrapprezzo, aggressivita'=1 -&gt; boost pieno.</t>
  </si>
  <si>
    <t>Peso Performance Storica (Fantamedia vs media ruolo, %)</t>
  </si>
  <si>
    <t>Quanto la Fantamedia reale 2025/26 (rispetto alla media di ruolo) sposta il prezzo in piu' o in meno. 0% = ignora la storia, guarda solo il mercato. Il fattore e' limitato a +/-25% per non far esplodere i prezzi su piccoli campioni.</t>
  </si>
  <si>
    <t>Ampiezza range di valutazione per ruolo (Spread %)</t>
  </si>
  <si>
    <t>Spread %</t>
  </si>
  <si>
    <t>Spread = quanto Valutazione Min/Max si allontanano dal prezzo base scalato. Ruoli piu' cari (A, C) hanno piu' varianza di mercato.</t>
  </si>
  <si>
    <t>Fantamedia media per ruolo (calcolata sui giocatori con dati storici)</t>
  </si>
  <si>
    <t>Media della Fantamedia per ruolo, calcolata solo sui giocatori che raggiungono la soglia minima di presenze.</t>
  </si>
  <si>
    <t>Fantamedia Media</t>
  </si>
  <si>
    <t>Presenze minime per storico (media/performance)</t>
  </si>
  <si>
    <t>Un giocatore con meno di questa soglia di presenze non influenza la Fantamedia media del ruolo e non riceve bonus/malus dalla performance storica. La soglia e' modificabile.</t>
  </si>
  <si>
    <t>Soglia 'OK' (x credito medio per slot rimanente)</t>
  </si>
  <si>
    <t>Sotto la soglia OK: offerta compatibile col ritmo di spesa che ti puoi permettere. Tra OK e Attenzione: fattibile ma ti restringe le prossime chiamate. Sopra: rischi di restare senza budget per gli slot che mancano.</t>
  </si>
  <si>
    <t>Soglia 'Attenzione' (x credito medio per slot rimanente)</t>
  </si>
  <si>
    <t>Fattore Scarsità di Ruolo attivo (Si/No)</t>
  </si>
  <si>
    <t>Confronta, per ogni ruolo, quanti giocatori disponibili restano rispetto agli slot ancora da riempire in tutta la lega. I giocatori con Qt.A=1 possono essere esclusi dal conteggio tramite il parametro dedicato. Il rapporto si aggiorna quando assegni giocatori in Output Utente.</t>
  </si>
  <si>
    <t>Peso massimo Scarsità (premio/sconto max, %)</t>
  </si>
  <si>
    <t>Escludi Qt.A=1 dalla scarsita' (Si/No)</t>
  </si>
  <si>
    <t>Se attivo, i giocatori con Qt.A=1 e ancora non assegnati non vengono conteggiati tra i giocatori disponibili per il calcolo della scarsita'. Restano comunque visibili nel listone.</t>
  </si>
  <si>
    <t>Riserva minima per slot (crediti)</t>
  </si>
  <si>
    <t>Crediti minimi da conservare per ogni slot ancora da riempire. Con base d'asta a 1, il minimo teorico è 1 credito per slot.</t>
  </si>
  <si>
    <t>Max Bid dinamico</t>
  </si>
  <si>
    <t>ATTIVO</t>
  </si>
  <si>
    <t>Il Max Bid dinamico viene limitato dal budget realmente spendibile: Budget residuo meno la riserva minima necessaria per tutti gli slot ancora vuoti.</t>
  </si>
  <si>
    <t>Slot Ancora da Riempire</t>
  </si>
  <si>
    <t>Giocatori Liberi nel Listone</t>
  </si>
  <si>
    <t>Rapporto Off./Dom.</t>
  </si>
  <si>
    <t>Base di prezzo: pool FVM proporzionale al budget di lega</t>
  </si>
  <si>
    <t>Pool FVM: per ogni ruolo prende tutti i giocatori fino alla soglia del N-esimo FVM (N = slot totali di quel ruolo nella lega). In caso di pari FVM sulla soglia, tutti i giocatori a pari FVM entrano nel pool. Questo evita un tie-break arbitrario.</t>
  </si>
  <si>
    <t>Slot Totali Lega</t>
  </si>
  <si>
    <t>Somma FVM Pool</t>
  </si>
  <si>
    <t>Somma FVM Pool TOTALE (tutti i ruoli, denominatore comune)</t>
  </si>
  <si>
    <t>Correzione: ogni ruolo deve condividere lo stesso budget di lega, non riceverne uno intero a testa. Questa e' la somma di TUTTI i pool per ruolo, usata come denominatore comune.</t>
  </si>
  <si>
    <t>Budget Totale Lega (Numero Partecipanti x Budget Iniziale)</t>
  </si>
  <si>
    <t>Soglia Pressione VERDE (Top+Buoni rimasti / slot residui lega, &gt;=)</t>
  </si>
  <si>
    <t>Sotto la soglia gialla: Pressione ROSSA (non aspettare). Esempio ChatGPT: 7 Top/Buoni per 3 slot=2.33 (verde), 4 per 3=1.33 (giallo), 2 per 3=0.67 (rosso).</t>
  </si>
  <si>
    <t>Soglia Pressione GIALLA (&gt;=)</t>
  </si>
  <si>
    <t>Target storico % budget per ruolo (calibrato su aste reali)</t>
  </si>
  <si>
    <t>Fonte: Rose_fantalba 2023 e 2025 (dati reali, 8 squadre, 16 aste-ruolo). Sostituisce la distribuzione derivata dal solo FVM, che sovrastimava i difensori (18%-&gt;reale 11.6%) e sottostimava portieri e attaccanti.</t>
  </si>
  <si>
    <t>% Budget Target (storico)</t>
  </si>
  <si>
    <t>Modello a due livelli: Titolari vs Riserve (calibrato su aste reali 2023+2025)</t>
  </si>
  <si>
    <t>Nelle aste reali l'85-96% del budget di ruolo va ai 'titolari' (i migliori N per FVM, N = squadre x titolari-per-ruolo dal modulo preferito). Le riserve costano quasi niente indipendentemente dal loro FVM. Sostituisce la distribuzione proporzionale unica.</t>
  </si>
  <si>
    <t>Titolari per Squadra</t>
  </si>
  <si>
    <t>N Titolari Lega</t>
  </si>
  <si>
    <t>% Budget Ruolo ai Titolari</t>
  </si>
  <si>
    <t>Somma FVM Titolari</t>
  </si>
  <si>
    <t>Somma FVM Riserve</t>
  </si>
  <si>
    <t>SOGLIE FASCIA QUALITATIVA (percentile del FVM nel ruolo)</t>
  </si>
  <si>
    <t>Determinano la Fascia Aspettativa (TOP/BUONO/MEDIA/SCOMMESSA) in 'Output Utente'. Basate su percentile, non su valori assoluti: funzionano anche se cambia il listone.</t>
  </si>
  <si>
    <t>Percentile minimo TOP (&gt;=)</t>
  </si>
  <si>
    <t>Es. 0.90 = miglior 10% del ruolo per FVM.</t>
  </si>
  <si>
    <t>Percentile minimo BUONO (&gt;=)</t>
  </si>
  <si>
    <t>Tra questa soglia e quella TOP.</t>
  </si>
  <si>
    <t>Percentile minimo MEDIA (&gt;=)</t>
  </si>
  <si>
    <t>Sotto questa soglia: SCOMMESSA. Tutte e tre le soglie sono modificabili.</t>
  </si>
  <si>
    <t>OPPORTUNITY GAP - soglie segnale (in 'Output Utente' e 'Decisione Live')</t>
  </si>
  <si>
    <t>Gap = Offerta Max Dinamica - Prezzo Attuale. Segnala se il prezzo in asta e' un'opportunita' o un sovrapprezzo rispetto al TUO tetto (non rispetto al FVM).</t>
  </si>
  <si>
    <t>Soglia Verde: Gap &gt;= % della Offerta Max Dinamica</t>
  </si>
  <si>
    <t>Sopra: opportunita' (verde). Sotto zero: hai superato il tuo tetto (rosso).</t>
  </si>
  <si>
    <t>Soglia Rossa: Gap &lt;= % della Offerta Max Dinamica</t>
  </si>
  <si>
    <t>Tra le due soglie: prezzo corretto (giallo).</t>
  </si>
  <si>
    <t>PRESSIONE COMPETITIVA (informativa - NON altera il FVM o l'Offerta Max)</t>
  </si>
  <si>
    <t>Stima quante squadre avversarie hanno ancora bisogno di un TITOLARE in quel ruolo e quanto budget hanno disponibile. Vedi foglio 'Pressione Competitiva'.</t>
  </si>
  <si>
    <t>Titolari Standard Assunti per Squadre Avversarie</t>
  </si>
  <si>
    <t>Fisso: ogni squadra gioca 1 portiere titolare a giornata.</t>
  </si>
  <si>
    <t>Assunzione: le avversarie cercano un numero di titolari per ruolo comparabile al TUO modulo (dato reale non osservabile). Modificabile con un numero fisso se preferisci.</t>
  </si>
  <si>
    <t>Soglia N Squadre Bisognose per Pressione ALTA (&gt;=)</t>
  </si>
  <si>
    <t>2+ squadre ancora a caccia di un titolare nello stesso ruolo = pressione competitiva concreta.</t>
  </si>
  <si>
    <t>Soglia Budget Medio Disponibile (di quelle squadre) per MOLTO ALTA (&gt;=, crediti)</t>
  </si>
  <si>
    <t>Se le squadre bisognose hanno anche molto budget, la pressione sale a MOLTO ALTA.</t>
  </si>
  <si>
    <t>VERSIONE MOTORE</t>
  </si>
  <si>
    <t>Vedi 'Guida' &gt; Versione / Log delle modifiche per il dettaglio.</t>
  </si>
  <si>
    <t>PRESSIONE COMPETITIVA — quante avversarie cercano ancora un titolare di ruolo, e con quanto budget</t>
  </si>
  <si>
    <t>N Squadre Bisognose (titolare, escl. te)</t>
  </si>
  <si>
    <t>Budget Disponibile Combinato</t>
  </si>
  <si>
    <t>Budget Medio Disponibile</t>
  </si>
  <si>
    <t>#</t>
  </si>
  <si>
    <t>Slot Residui Tot.</t>
  </si>
  <si>
    <t>Nome Squadra</t>
  </si>
  <si>
    <t>Mancanti P (titolare)</t>
  </si>
  <si>
    <t>Mancanti D (titolare)</t>
  </si>
  <si>
    <t>Mancanti C (titolare)</t>
  </si>
  <si>
    <t>Mancanti A (titolare)</t>
  </si>
  <si>
    <t>GIOCATORI ANCORA DA CHIAMARE — per ruolo e fascia</t>
  </si>
  <si>
    <t>Se lasci andare questo giocatore, quali alternative avrai piu' avanti? Solo giocatori non assegnati e con Qt.A&gt;1.</t>
  </si>
  <si>
    <t>Portieri</t>
  </si>
  <si>
    <t>Difensori</t>
  </si>
  <si>
    <t>Centrocampisti</t>
  </si>
  <si>
    <t>Attaccanti</t>
  </si>
  <si>
    <t>GIOCATORI ANCORA DISPONIBILI (non ancora chiamati all'asta)</t>
  </si>
  <si>
    <t>Squadra Serie A</t>
  </si>
  <si>
    <t>Sostenibilità</t>
  </si>
  <si>
    <t>LA MIA ROSA</t>
  </si>
  <si>
    <t>RIEPILOGO</t>
  </si>
  <si>
    <t>LIVE AUCTION</t>
  </si>
  <si>
    <t>Budget residuo</t>
  </si>
  <si>
    <t>Squadra</t>
  </si>
  <si>
    <t>Slot residui</t>
  </si>
  <si>
    <t>Diff. FVM-Prezzo</t>
  </si>
  <si>
    <t>Titolare/Riserva</t>
  </si>
  <si>
    <t>Budget Totale</t>
  </si>
  <si>
    <t>Budget Speso</t>
  </si>
  <si>
    <t>VALUTAZIONE ROSA</t>
  </si>
  <si>
    <t>Nota</t>
  </si>
  <si>
    <t>Budget Rimanente</t>
  </si>
  <si>
    <t>Portieri (presi/tot)</t>
  </si>
  <si>
    <t>Difensori (presi/tot)</t>
  </si>
  <si>
    <t>Efficienza (FVM / credito speso)</t>
  </si>
  <si>
    <t>Centrocampisti (presi/tot)</t>
  </si>
  <si>
    <t>Per ogni giocatore, Offerta Max Dinamica = MIN(Offerta Max strategica, Budget Spendibile). Il Budget Spendibile conserva 1 credito per ogni slot ancora vuoto.</t>
  </si>
  <si>
    <t>Attaccanti (presi/tot)</t>
  </si>
  <si>
    <t>Slot Totali Rimanenti</t>
  </si>
  <si>
    <t>COPERTURA TITOLARI (prossimo bisogno)</t>
  </si>
  <si>
    <t>Credito Medio per Slot Rimanente</t>
  </si>
  <si>
    <t>Quotazioni Fantacalcio Stagione 2026 27</t>
  </si>
  <si>
    <t>Qt.I</t>
  </si>
  <si>
    <t>Roma</t>
  </si>
  <si>
    <t>Inter</t>
  </si>
  <si>
    <t>Atalanta</t>
  </si>
  <si>
    <t>Como</t>
  </si>
  <si>
    <t>Milan</t>
  </si>
  <si>
    <t>Fiorentina</t>
  </si>
  <si>
    <t>Napoli</t>
  </si>
  <si>
    <t>Bologna</t>
  </si>
  <si>
    <t>Cagliari</t>
  </si>
  <si>
    <t>Juventus</t>
  </si>
  <si>
    <t>Lazio</t>
  </si>
  <si>
    <t>Udinese</t>
  </si>
  <si>
    <t>Genoa</t>
  </si>
  <si>
    <t>Lecce</t>
  </si>
  <si>
    <t>Parma</t>
  </si>
  <si>
    <t>Sassuolo</t>
  </si>
  <si>
    <t>Venezia</t>
  </si>
  <si>
    <t>Monza</t>
  </si>
  <si>
    <t>Frosinone</t>
  </si>
  <si>
    <t>Torino</t>
  </si>
  <si>
    <t>Statistiche reali Fantacalcio.it — Stagione 2025/26 (fonte: fantacalcio.it/statistiche-serie-a)</t>
  </si>
  <si>
    <t>Rm</t>
  </si>
  <si>
    <t>Pv</t>
  </si>
  <si>
    <t>Mv</t>
  </si>
  <si>
    <t>Fm</t>
  </si>
  <si>
    <t>Gf</t>
  </si>
  <si>
    <t>Gs</t>
  </si>
  <si>
    <t>Rp</t>
  </si>
  <si>
    <t>Rc</t>
  </si>
  <si>
    <t>R+</t>
  </si>
  <si>
    <t>R-</t>
  </si>
  <si>
    <t>Ass</t>
  </si>
  <si>
    <t>Amm</t>
  </si>
  <si>
    <t>Esp</t>
  </si>
  <si>
    <t>Au</t>
  </si>
  <si>
    <t>Por</t>
  </si>
  <si>
    <t>Sommer</t>
  </si>
  <si>
    <t>Audero</t>
  </si>
  <si>
    <t>Cremonese</t>
  </si>
  <si>
    <t>Montipò</t>
  </si>
  <si>
    <t>Verona</t>
  </si>
  <si>
    <t>Leali</t>
  </si>
  <si>
    <t>Semper</t>
  </si>
  <si>
    <t>Pisa</t>
  </si>
  <si>
    <t>Ravaglia F.</t>
  </si>
  <si>
    <t>Furlanetto</t>
  </si>
  <si>
    <t>Guaita</t>
  </si>
  <si>
    <t>Radunovic</t>
  </si>
  <si>
    <t>Nava</t>
  </si>
  <si>
    <t>Martinelli T.</t>
  </si>
  <si>
    <t>Siegrist</t>
  </si>
  <si>
    <t>Fruchtl</t>
  </si>
  <si>
    <t>Rinaldi</t>
  </si>
  <si>
    <t>Nicolas</t>
  </si>
  <si>
    <t>Scuffet</t>
  </si>
  <si>
    <t>Zelezny</t>
  </si>
  <si>
    <t>Satalino</t>
  </si>
  <si>
    <t>Donnarumma An.</t>
  </si>
  <si>
    <t>Israel</t>
  </si>
  <si>
    <t>Popa</t>
  </si>
  <si>
    <t>Sava</t>
  </si>
  <si>
    <t>Perilli</t>
  </si>
  <si>
    <t>Vasquez D.</t>
  </si>
  <si>
    <t>Nunziante</t>
  </si>
  <si>
    <t>Silvestri</t>
  </si>
  <si>
    <t>Toniolo</t>
  </si>
  <si>
    <t>Cavlina</t>
  </si>
  <si>
    <t>Ferrante</t>
  </si>
  <si>
    <t>Calligaris</t>
  </si>
  <si>
    <t>Pannozzo</t>
  </si>
  <si>
    <t>Giacomone</t>
  </si>
  <si>
    <t>E</t>
  </si>
  <si>
    <t>Dc</t>
  </si>
  <si>
    <t>Palestra</t>
  </si>
  <si>
    <t>Ds;E</t>
  </si>
  <si>
    <t>Dd;Dc</t>
  </si>
  <si>
    <t>B;Dd;E</t>
  </si>
  <si>
    <t>Dumfries</t>
  </si>
  <si>
    <t>Gosens</t>
  </si>
  <si>
    <t>Ds;Dc</t>
  </si>
  <si>
    <t>Dd;E</t>
  </si>
  <si>
    <t>B;Ds;E</t>
  </si>
  <si>
    <t>Belghali</t>
  </si>
  <si>
    <t>Gutierrez</t>
  </si>
  <si>
    <t>Obrador</t>
  </si>
  <si>
    <t>Posch</t>
  </si>
  <si>
    <t>Moreno Alb.</t>
  </si>
  <si>
    <t>Baschirotto</t>
  </si>
  <si>
    <t>Angori</t>
  </si>
  <si>
    <t>Luperto</t>
  </si>
  <si>
    <t>Dd;Ds;E</t>
  </si>
  <si>
    <t>Muharemovic</t>
  </si>
  <si>
    <t>Maripan</t>
  </si>
  <si>
    <t>Tchatchoua</t>
  </si>
  <si>
    <t>Diego Carlos</t>
  </si>
  <si>
    <t>Garcia U.</t>
  </si>
  <si>
    <t>Terracciano F.</t>
  </si>
  <si>
    <t>Leoni</t>
  </si>
  <si>
    <t>Angelino</t>
  </si>
  <si>
    <t>Ehizibue</t>
  </si>
  <si>
    <t>Frese</t>
  </si>
  <si>
    <t>Barbieri</t>
  </si>
  <si>
    <t>Caracciolo A.</t>
  </si>
  <si>
    <t>Bradaric</t>
  </si>
  <si>
    <t>Edmundsson</t>
  </si>
  <si>
    <t>Dossena</t>
  </si>
  <si>
    <t>Acerbi</t>
  </si>
  <si>
    <t>Canestrelli</t>
  </si>
  <si>
    <t>Cuadrado</t>
  </si>
  <si>
    <t>Nelsson</t>
  </si>
  <si>
    <t>Bianchetti</t>
  </si>
  <si>
    <t>Folino</t>
  </si>
  <si>
    <t>Pezzella Giu.</t>
  </si>
  <si>
    <t>Thiaw</t>
  </si>
  <si>
    <t>Juan Jesus</t>
  </si>
  <si>
    <t>Salah-Eddine</t>
  </si>
  <si>
    <t>Lazaro</t>
  </si>
  <si>
    <t>Unai Nunez</t>
  </si>
  <si>
    <t>Oyegoke</t>
  </si>
  <si>
    <t>Coulibaly W.</t>
  </si>
  <si>
    <t>Erlic</t>
  </si>
  <si>
    <t>Azzi</t>
  </si>
  <si>
    <t>De Vrij</t>
  </si>
  <si>
    <t>Darmian</t>
  </si>
  <si>
    <t>Savona</t>
  </si>
  <si>
    <t>Balogh</t>
  </si>
  <si>
    <t>Calabresi</t>
  </si>
  <si>
    <t>Giannetti L.</t>
  </si>
  <si>
    <t>Zemura</t>
  </si>
  <si>
    <t>Valentini N.</t>
  </si>
  <si>
    <t>Tsimikas</t>
  </si>
  <si>
    <t>Zatterstrom</t>
  </si>
  <si>
    <t>Pedro Felipe</t>
  </si>
  <si>
    <t>Bonfanti</t>
  </si>
  <si>
    <t>Lykogiannis</t>
  </si>
  <si>
    <t>Di Pardo</t>
  </si>
  <si>
    <t>Jack</t>
  </si>
  <si>
    <t>Ravanelli</t>
  </si>
  <si>
    <t>Marì</t>
  </si>
  <si>
    <t>Viti</t>
  </si>
  <si>
    <t>Fortini</t>
  </si>
  <si>
    <t>Lovik</t>
  </si>
  <si>
    <t>Mateus Lusuardi</t>
  </si>
  <si>
    <t>Rus</t>
  </si>
  <si>
    <t>Kumbulla</t>
  </si>
  <si>
    <t>Masina</t>
  </si>
  <si>
    <t>Slotsager</t>
  </si>
  <si>
    <t>Goglichidze</t>
  </si>
  <si>
    <t>Cham</t>
  </si>
  <si>
    <t>Nkounkou</t>
  </si>
  <si>
    <t>Lirola</t>
  </si>
  <si>
    <t>Tchoca</t>
  </si>
  <si>
    <t>Balbo</t>
  </si>
  <si>
    <t>Ilic M.</t>
  </si>
  <si>
    <t>Wieteska</t>
  </si>
  <si>
    <t>Veroli</t>
  </si>
  <si>
    <t>Ceccherini</t>
  </si>
  <si>
    <t>Quagliata</t>
  </si>
  <si>
    <t>Sernicola</t>
  </si>
  <si>
    <t>Rouhi</t>
  </si>
  <si>
    <t>Gigot</t>
  </si>
  <si>
    <t>Hysaj</t>
  </si>
  <si>
    <t>Kouassi</t>
  </si>
  <si>
    <t>Coppola F.</t>
  </si>
  <si>
    <t>Mbambi</t>
  </si>
  <si>
    <t>Esteves T.</t>
  </si>
  <si>
    <t>Abdulhamid</t>
  </si>
  <si>
    <t>Odenthal</t>
  </si>
  <si>
    <t>Romagna</t>
  </si>
  <si>
    <t>Paz Y.</t>
  </si>
  <si>
    <t>Schuurs</t>
  </si>
  <si>
    <t>Dembelè A.</t>
  </si>
  <si>
    <t>Rui Modesto</t>
  </si>
  <si>
    <t>Denoon</t>
  </si>
  <si>
    <t>B;Dd;Ds</t>
  </si>
  <si>
    <t>Godfrey</t>
  </si>
  <si>
    <t>Lamptey</t>
  </si>
  <si>
    <t>Faye</t>
  </si>
  <si>
    <t>Odogu</t>
  </si>
  <si>
    <t>Albiol</t>
  </si>
  <si>
    <t>Palacios T.</t>
  </si>
  <si>
    <t>Bozhinov</t>
  </si>
  <si>
    <t>T;A</t>
  </si>
  <si>
    <t>C;T</t>
  </si>
  <si>
    <t>T</t>
  </si>
  <si>
    <t>M;C</t>
  </si>
  <si>
    <t>C;W;T</t>
  </si>
  <si>
    <t>W</t>
  </si>
  <si>
    <t>Ndoye</t>
  </si>
  <si>
    <t>W;A</t>
  </si>
  <si>
    <t>C;W</t>
  </si>
  <si>
    <t>Malinovskyi</t>
  </si>
  <si>
    <t>E;W</t>
  </si>
  <si>
    <t>W;T</t>
  </si>
  <si>
    <t>Strefezza</t>
  </si>
  <si>
    <t>Vazquez</t>
  </si>
  <si>
    <t>Guendouzi</t>
  </si>
  <si>
    <t>Pellegrini Lo.</t>
  </si>
  <si>
    <t>Thorsby</t>
  </si>
  <si>
    <t>Vandeputte</t>
  </si>
  <si>
    <t>Man</t>
  </si>
  <si>
    <t>Harrison</t>
  </si>
  <si>
    <t>Leris</t>
  </si>
  <si>
    <t>Mazzitelli</t>
  </si>
  <si>
    <t>Kostic</t>
  </si>
  <si>
    <t>El Shaarawy</t>
  </si>
  <si>
    <t>Freuler</t>
  </si>
  <si>
    <t>Ramadani</t>
  </si>
  <si>
    <t>Sottil</t>
  </si>
  <si>
    <t>Bailey</t>
  </si>
  <si>
    <t>Weah</t>
  </si>
  <si>
    <t>Bernede</t>
  </si>
  <si>
    <t>Elmas</t>
  </si>
  <si>
    <t>Gagliardini</t>
  </si>
  <si>
    <t>Aebischer</t>
  </si>
  <si>
    <t>Vecino</t>
  </si>
  <si>
    <t>Tramoni M.</t>
  </si>
  <si>
    <t>Serdar</t>
  </si>
  <si>
    <t>Grassi</t>
  </si>
  <si>
    <t>Zanimacchia</t>
  </si>
  <si>
    <t>Bondo</t>
  </si>
  <si>
    <t>Estevez</t>
  </si>
  <si>
    <t>E;M</t>
  </si>
  <si>
    <t>Tourè I.</t>
  </si>
  <si>
    <t>Payero</t>
  </si>
  <si>
    <t>Akpa Akpro</t>
  </si>
  <si>
    <t>Loyola</t>
  </si>
  <si>
    <t>Carboni V.</t>
  </si>
  <si>
    <t>Piccinini G.</t>
  </si>
  <si>
    <t>Ghion</t>
  </si>
  <si>
    <t>Harroui</t>
  </si>
  <si>
    <t>Suslov</t>
  </si>
  <si>
    <t>W;T;A</t>
  </si>
  <si>
    <t>Zaragoza</t>
  </si>
  <si>
    <t>El Azzouzi</t>
  </si>
  <si>
    <t>Sergi Roberto</t>
  </si>
  <si>
    <t>Castagnetti</t>
  </si>
  <si>
    <t>Tete Morente</t>
  </si>
  <si>
    <t>Hojholt</t>
  </si>
  <si>
    <t>Vural</t>
  </si>
  <si>
    <t>Lovric</t>
  </si>
  <si>
    <t>Lorran</t>
  </si>
  <si>
    <t>Sarmiento J.</t>
  </si>
  <si>
    <t>Iling Junior</t>
  </si>
  <si>
    <t>Engelhardt</t>
  </si>
  <si>
    <t>Collocolo</t>
  </si>
  <si>
    <t>Pickel</t>
  </si>
  <si>
    <t>Richardson</t>
  </si>
  <si>
    <t>Sabiri</t>
  </si>
  <si>
    <t>Gronbaek</t>
  </si>
  <si>
    <t>Asllani</t>
  </si>
  <si>
    <t>Hernani</t>
  </si>
  <si>
    <t>Marin M.</t>
  </si>
  <si>
    <t>Niasse</t>
  </si>
  <si>
    <t>Fini</t>
  </si>
  <si>
    <t>Al-Musrati</t>
  </si>
  <si>
    <t>Cornet</t>
  </si>
  <si>
    <t>Braunoder</t>
  </si>
  <si>
    <t>Alli</t>
  </si>
  <si>
    <t>Valoti</t>
  </si>
  <si>
    <t>Bianco</t>
  </si>
  <si>
    <t>Stanciu</t>
  </si>
  <si>
    <t>Pierret</t>
  </si>
  <si>
    <t>Rafia</t>
  </si>
  <si>
    <t>Marchwinski</t>
  </si>
  <si>
    <t>Arena</t>
  </si>
  <si>
    <t>Tameze</t>
  </si>
  <si>
    <t>Pafundi</t>
  </si>
  <si>
    <t>Santiago</t>
  </si>
  <si>
    <t>Kastanos</t>
  </si>
  <si>
    <t>Cissè A.</t>
  </si>
  <si>
    <t>Rog</t>
  </si>
  <si>
    <t>Cuenca H.</t>
  </si>
  <si>
    <t>Vranckx</t>
  </si>
  <si>
    <t>Sala A.</t>
  </si>
  <si>
    <t>Stengs</t>
  </si>
  <si>
    <t>Onana J.</t>
  </si>
  <si>
    <t>Pc</t>
  </si>
  <si>
    <t>Bonazzoli</t>
  </si>
  <si>
    <t>Castellanos</t>
  </si>
  <si>
    <t>Vlahovic</t>
  </si>
  <si>
    <t>Pedro</t>
  </si>
  <si>
    <t>Moreo</t>
  </si>
  <si>
    <t>Thauvin</t>
  </si>
  <si>
    <t>Vardy</t>
  </si>
  <si>
    <t>Banda</t>
  </si>
  <si>
    <t>Lookman</t>
  </si>
  <si>
    <t>Orban G.</t>
  </si>
  <si>
    <t>Kilicsoy</t>
  </si>
  <si>
    <t>Ekuban</t>
  </si>
  <si>
    <t>Gonzalez N.</t>
  </si>
  <si>
    <t>Cheddira</t>
  </si>
  <si>
    <t>Okereke</t>
  </si>
  <si>
    <t>Ferguson E.</t>
  </si>
  <si>
    <t>Nzola</t>
  </si>
  <si>
    <t>Fullkrug</t>
  </si>
  <si>
    <t>Durosinmi</t>
  </si>
  <si>
    <t>Ngonge</t>
  </si>
  <si>
    <t>Benedyczak</t>
  </si>
  <si>
    <t>Solomon</t>
  </si>
  <si>
    <t>Tourè E.</t>
  </si>
  <si>
    <t>Johnsen</t>
  </si>
  <si>
    <t>Buksa</t>
  </si>
  <si>
    <t>Beltran L.</t>
  </si>
  <si>
    <t>Sanchez</t>
  </si>
  <si>
    <t>Djuric</t>
  </si>
  <si>
    <t>Meister</t>
  </si>
  <si>
    <t>Mulattieri</t>
  </si>
  <si>
    <t>Belotti</t>
  </si>
  <si>
    <t>Immobile</t>
  </si>
  <si>
    <t>Taremi</t>
  </si>
  <si>
    <t>Okafor</t>
  </si>
  <si>
    <t>Lind</t>
  </si>
  <si>
    <t>Sanabria</t>
  </si>
  <si>
    <t>Bravo</t>
  </si>
  <si>
    <t>Sarr A.</t>
  </si>
  <si>
    <t>Mosquera</t>
  </si>
  <si>
    <t>Openda</t>
  </si>
  <si>
    <t>Stojilkovic</t>
  </si>
  <si>
    <t>Karlsson</t>
  </si>
  <si>
    <t>Luvumbo</t>
  </si>
  <si>
    <t>Pavoletti</t>
  </si>
  <si>
    <t>De Luca</t>
  </si>
  <si>
    <t>Dzeko</t>
  </si>
  <si>
    <t>Brenner</t>
  </si>
  <si>
    <t>Rocha Livramento</t>
  </si>
  <si>
    <t>Pierini</t>
  </si>
  <si>
    <t>Alvarez A.</t>
  </si>
  <si>
    <t>Braschi</t>
  </si>
  <si>
    <t>Ambrosino</t>
  </si>
  <si>
    <t>Moumbagna</t>
  </si>
  <si>
    <t>Mikolajewski</t>
  </si>
  <si>
    <t>Gabrielloni</t>
  </si>
  <si>
    <t>Nasti</t>
  </si>
  <si>
    <t>Milik</t>
  </si>
  <si>
    <t>Buffon L.</t>
  </si>
  <si>
    <t>Bonfanti N.</t>
  </si>
  <si>
    <t>Skjellerup</t>
  </si>
  <si>
    <t>Pizarro</t>
  </si>
  <si>
    <t>Kouamè</t>
  </si>
  <si>
    <t>Balentien</t>
  </si>
  <si>
    <t>Arena A.</t>
  </si>
  <si>
    <t>Isaac</t>
  </si>
  <si>
    <t>Vermesan</t>
  </si>
  <si>
    <t>Mosconi</t>
  </si>
  <si>
    <t>Ordine Alfabetico</t>
  </si>
  <si>
    <t>3-5-2</t>
  </si>
  <si>
    <t>Ruolo &amp; Quotazione</t>
  </si>
  <si>
    <t>3-6-1</t>
  </si>
  <si>
    <t>Busta Chiusa</t>
  </si>
  <si>
    <t>4-3-3</t>
  </si>
  <si>
    <t>4-4-2</t>
  </si>
  <si>
    <t>4-5-1</t>
  </si>
  <si>
    <t>5-4-1</t>
  </si>
  <si>
    <t>5-3-2</t>
  </si>
  <si>
    <t>6-3-1</t>
  </si>
  <si>
    <t>ANALISI ASTA REALE 2025 — benchmark empirico (4 squadre, lega FantAlba)</t>
  </si>
  <si>
    <t>Fonte: Excel_Only/Dati/Rose_fantalba-2025.xlsx (prezzi reali pagati) incrociato con Quotazioni_Fantacalcio_Stagione_2025_26 (listone pre-stagione, stesso periodo, per evitare look-ahead bias). 186 giocatori su 200 abbinati per nome (93%). Questi numeri NON sono usati per forzare i prezzi del motore: servono a capire i FENOMENI (bidding war, scarsita', bimodalita' attaccanti).</t>
  </si>
  <si>
    <t>MULTIPLO PREZZO REALE / FVM per ruolo</t>
  </si>
  <si>
    <t>N</t>
  </si>
  <si>
    <t>Costo Medio</t>
  </si>
  <si>
    <t>FVM Medio</t>
  </si>
  <si>
    <t>Multiplo Medio</t>
  </si>
  <si>
    <t>Multiplo Mediano</t>
  </si>
  <si>
    <t>Lettura: Portieri vicino a 1x (mercato liquido). Difensori e Centrocampisti fortemente sotto 1x sulla mediana (molti difensori costano 1 credito, pochi ne costano tanti: distribuzione a coda lunga). Attaccanti: media 2.3x ma mediana 0.9x — cioe' META' degli attaccanti si paga circa il FVM, ma una minoranza esplode di prezzo per bidding war (due squadre con budget alto sullo stesso nome, formazioni 3-4-3/4-3-3 che richiedono 3 attaccanti forti). Questo conferma il fenomeno atteso al punto 24 del brief e NON e' un errore del modello FVM.</t>
  </si>
  <si>
    <t>CASI PREZZO &gt;&gt; FVM (bidding war / necessita' di ruolo)</t>
  </si>
  <si>
    <t>Squadra Fantacalcio</t>
  </si>
  <si>
    <t>Costo Reale</t>
  </si>
  <si>
    <t>FVM</t>
  </si>
  <si>
    <t>Multiplo</t>
  </si>
  <si>
    <t>Napoli 1926</t>
  </si>
  <si>
    <t>Aurora Ercolanese</t>
  </si>
  <si>
    <t>PeppeNight</t>
  </si>
  <si>
    <t>NapoletanaGas</t>
  </si>
  <si>
    <t>CASI PREZZO &lt;&lt; FVM (scivolati, ruolo saturo, timing d'asta)</t>
  </si>
  <si>
    <t>Limiti di questa analisi: (1) il file di quotazioni usato come FVM di riferimento e' uno snapshot che puo' essere leggermente successivo al giorno reale dell'asta, quindi alcuni FVM potrebbero essersi mossi nel frattempo (es. dopo un mercato dell'ultima ora) - alcuni multipli estremi (es. 8-16x) vanno letti con questa cautela; (2) il campione e' 4 squadre reali (stessa lega, 2 stagioni), non centinaia di aste: utile per calibrare fenomeni, non per stimare un prezzo puntuale; (3) 14 nomi su 200 non sono stati abbinati (trasferimenti, cambi di grafia) e sono esclusi dai numeri sopra.</t>
  </si>
  <si>
    <t>SIMULAZIONI — confronto strategie (struttura pronta per il simulatore Python)</t>
  </si>
  <si>
    <t>Obiettivo della simulazione: massimizzare il FVM TOTALE della rosa finale, non minimizzare l'errore di previsione dei prezzi. Esegui il simulatore Python (100-1000 aste, avversari con strategie diverse) e incolla qui i risultati aggregati. Le celle C/D/E sotto sono vuote di proposito: nessun dato inventato.</t>
  </si>
  <si>
    <t>Strategia</t>
  </si>
  <si>
    <t>Componenti Attivi</t>
  </si>
  <si>
    <t>FVM Totale Rosa (media)</t>
  </si>
  <si>
    <t>Budget Speso (media)</t>
  </si>
  <si>
    <t>Slot Riempiti (media)</t>
  </si>
  <si>
    <t>Note</t>
  </si>
  <si>
    <t>Strategia A</t>
  </si>
  <si>
    <t>FVM puro (allocazione proporzionale, nessun correttivo)</t>
  </si>
  <si>
    <t>Strategia B</t>
  </si>
  <si>
    <t>FVM + Performance storica (Fantamedia vs media ruolo)</t>
  </si>
  <si>
    <t>Da popolare dopo il run del simulatore.</t>
  </si>
  <si>
    <t>Strategia C</t>
  </si>
  <si>
    <t>FVM + Performance + Scarsita' di ruolo</t>
  </si>
  <si>
    <t>Strategia D</t>
  </si>
  <si>
    <t>+ Quality Scarcity (fasce TOP/BUONO/MEDIA/SCOMMESSA)</t>
  </si>
  <si>
    <t>Strategia E</t>
  </si>
  <si>
    <t>+ Auction State (titolari/riserve, budget dinamico)</t>
  </si>
  <si>
    <t>Strategia F</t>
  </si>
  <si>
    <t>+ Competition Pressure (bisogno + budget avversari per ruolo)</t>
  </si>
  <si>
    <t>Come si esegue</t>
  </si>
  <si>
    <t>Il simulatore Python (usato per la calibrazione v10/v11 su 15 sessioni / 8 squadre / 491 giocatori) va esteso per eseguire le 6 varianti sopra su 100-1000 aste virtuali ciascuna, con avversari che seguono strategie diverse (alcuni FVM puro, alcuni euristiche 'da manuale'), e registrare per ognuna: FVM totale rosa finale, budget residuo a fine asta (vicino a 0 = buon segnale), slot vuoti (0 = rosa completa). Il criterio di scelta e' la strategia con il FVM totale medio piu' alto, a parita' di rosa completa.</t>
  </si>
  <si>
    <t>Nota: Strategie B/C/D/E non eseguite in questa sessione (richiedono implementare le rispettive variabili nel simulatore). A e F confermano la direzione attesa: il modello completo (titolari/riserve + scarsita') produce rose con FVM totale piu' alto e piu' stabile del solo FVM proporzionale.</t>
  </si>
  <si>
    <t>Eseguita: 15 aste x 8 squadre (motore v3, seed 1000-1014), con meccanismo 'brucia budget' di fine asta (i crediti non spesi sono persi, quindi ogni squadra tende a spendere quasi tutto il budget entro l'ultimo slot). Spesa media 98.2% del budget (min 84.2%). Range FVM 280-1555.</t>
  </si>
  <si>
    <t>Eseguita: 15 aste x 8 squadre (motore v3 completo: titolari/riserve pianificati per ruolo + scarsita' dinamica + 'brucia budget' di fine asta). Spesa media 96.6% del budget (min 74.6%). Range FVM 414-1832. +8.6% FVM medio e meno varianza (nessun 'disastro' con FVM sotto 400) rispetto a Strategia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</si>
</sst>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
  </numFmts>
  <fonts count="34" x14ac:knownFonts="1">
    <font>
      <sz val="11"/>
      <color theme="1"/>
      <name val="Calibri"/>
      <family val="2"/>
      <charset val="1"/>
    </font>
    <font>
      <b/>
      <sz val="16"/>
      <color rgb="FF203864"/>
      <name val="Cambria"/>
      <family val="1"/>
    </font>
    <font>
      <sz val="11"/>
      <name val="Cambria"/>
      <family val="1"/>
    </font>
    <font>
      <b/>
      <sz val="12"/>
      <color rgb="FF203864"/>
      <name val="Cambria"/>
      <family val="1"/>
    </font>
    <font>
      <i/>
      <sz val="11"/>
      <color rgb="FF375623"/>
      <name val="Cambria"/>
      <family val="1"/>
    </font>
    <font>
      <b/>
      <sz val="13"/>
      <color rgb="FFFFFFFF"/>
      <name val="Cambria"/>
      <family val="1"/>
    </font>
    <font>
      <sz val="11"/>
      <color rgb="FF000000"/>
      <name val="Calibri"/>
      <family val="2"/>
    </font>
    <font>
      <b/>
      <sz val="11"/>
      <name val="Calibri"/>
      <family val="2"/>
    </font>
    <font>
      <i/>
      <sz val="9"/>
      <color rgb="FF808080"/>
      <name val="Cambria"/>
      <family val="1"/>
    </font>
    <font>
      <sz val="11"/>
      <color rgb="FFFF0000"/>
      <name val="Calibri"/>
      <family val="2"/>
      <charset val="1"/>
    </font>
    <font>
      <sz val="11"/>
      <color rgb="FFFF0000"/>
      <name val="Calibri"/>
      <family val="2"/>
    </font>
    <font>
      <b/>
      <sz val="11"/>
      <name val="Calibri"/>
      <family val="2"/>
      <charset val="1"/>
    </font>
    <font>
      <sz val="9"/>
      <color rgb="FFBFBFBF"/>
      <name val="Cambria"/>
      <family val="1"/>
    </font>
    <font>
      <b/>
      <sz val="11"/>
      <color theme="1"/>
      <name val="Calibri"/>
      <family val="2"/>
      <charset val="1"/>
    </font>
    <font>
      <b/>
      <sz val="13"/>
      <name val="Cambria"/>
      <family val="1"/>
    </font>
    <font>
      <i/>
      <sz val="9"/>
      <color rgb="FFC00000"/>
      <name val="Cambria"/>
      <family val="1"/>
    </font>
    <font>
      <b/>
      <sz val="10"/>
      <color rgb="FF203864"/>
      <name val="Calibri"/>
      <family val="2"/>
    </font>
    <font>
      <b/>
      <sz val="13"/>
      <color rgb="FFFFFFFF"/>
      <name val="Cambria"/>
      <family val="1"/>
    </font>
    <font>
      <b/>
      <sz val="11"/>
      <color rgb="FFFFFFFF"/>
      <name val="Cambria"/>
      <family val="1"/>
    </font>
    <font>
      <i/>
      <sz val="9"/>
      <color rgb="FF666666"/>
      <name val="Calibri"/>
      <family val="2"/>
    </font>
    <font>
      <b/>
      <sz val="16"/>
      <color rgb="FFFFFFFF"/>
      <name val="Cambria"/>
      <family val="1"/>
    </font>
    <font>
      <b/>
      <sz val="9"/>
      <color rgb="FF203864"/>
      <name val="Calibri"/>
      <family val="2"/>
    </font>
    <font>
      <b/>
      <sz val="13"/>
      <name val="Calibri"/>
      <family val="2"/>
    </font>
    <font>
      <b/>
      <sz val="11"/>
      <color rgb="FF203864"/>
      <name val="Calibri"/>
      <family val="2"/>
    </font>
    <font>
      <b/>
      <sz val="11"/>
      <name val="Calibri"/>
      <family val="2"/>
    </font>
    <font>
      <b/>
      <sz val="12"/>
      <color rgb="FF203864"/>
      <name val="Calibri"/>
      <family val="2"/>
    </font>
    <font>
      <b/>
      <sz val="16"/>
      <name val="Calibri"/>
      <family val="2"/>
    </font>
    <font>
      <b/>
      <sz val="12"/>
      <color rgb="FFFFFFFF"/>
      <name val="Cambria"/>
      <family val="1"/>
    </font>
    <font>
      <b/>
      <sz val="16"/>
      <color rgb="FF203864"/>
      <name val="Cambria"/>
      <family val="1"/>
    </font>
    <font>
      <b/>
      <sz val="13"/>
      <color rgb="FF203864"/>
      <name val="Cambria"/>
      <family val="1"/>
    </font>
    <font>
      <sz val="10"/>
      <name val="Calibri"/>
      <family val="2"/>
    </font>
    <font>
      <i/>
      <sz val="10"/>
      <name val="Calibri"/>
      <family val="2"/>
    </font>
    <font>
      <b/>
      <sz val="11"/>
      <name val="Calibri"/>
      <family val="2"/>
    </font>
    <font>
      <i/>
      <sz val="9"/>
      <color rgb="FF666666"/>
      <name val="Calibri"/>
      <family val="2"/>
    </font>
  </fonts>
  <fills count="12">
    <fill>
      <patternFill patternType="none"/>
    </fill>
    <fill>
      <patternFill patternType="gray125"/>
    </fill>
    <fill>
      <patternFill patternType="solid">
        <fgColor rgb="FF7030A0"/>
        <bgColor rgb="FF993366"/>
      </patternFill>
    </fill>
    <fill>
      <patternFill patternType="solid">
        <fgColor rgb="FFD9E1F2"/>
        <bgColor rgb="FFD9D9D9"/>
      </patternFill>
    </fill>
    <fill>
      <patternFill patternType="solid">
        <fgColor rgb="FFD3D3D3"/>
        <bgColor rgb="FFD9D9D9"/>
      </patternFill>
    </fill>
    <fill>
      <patternFill patternType="solid">
        <fgColor rgb="FFFFF2CC"/>
        <bgColor rgb="FFFFFFFF"/>
      </patternFill>
    </fill>
    <fill>
      <patternFill patternType="solid">
        <fgColor rgb="FF375623"/>
        <bgColor rgb="FF333300"/>
      </patternFill>
    </fill>
    <fill>
      <patternFill patternType="solid">
        <fgColor rgb="FF203864"/>
        <bgColor rgb="FF333399"/>
      </patternFill>
    </fill>
    <fill>
      <patternFill patternType="solid">
        <fgColor rgb="FFF2F2F2"/>
      </patternFill>
    </fill>
    <fill>
      <patternFill patternType="solid">
        <fgColor rgb="FF7030A0"/>
      </patternFill>
    </fill>
    <fill>
      <patternFill patternType="solid">
        <fgColor rgb="FFFFF2CC"/>
      </patternFill>
    </fill>
    <fill>
      <patternFill patternType="solid">
        <fgColor rgb="FF203864"/>
      </patternFill>
    </fill>
  </fills>
  <borders count="3">
    <border>
      <left/>
      <right/>
      <top/>
      <bottom/>
      <diagonal/>
    </border>
    <border>
      <left/>
      <right/>
      <top/>
      <bottom style="thin">
        <color auto="1"/>
      </bottom>
      <diagonal/>
    </border>
    <border>
      <left/>
      <right/>
      <top/>
      <bottom style="thin">
        <color rgb="FFD9D9D9"/>
      </bottom>
      <diagonal/>
    </border>
  </borders>
  <cellStyleXfs count="1">
    <xf numFmtId="0" fontId="0" fillId="0" borderId="0"/>
  </cellStyleXfs>
  <cellXfs count="79">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6" fillId="0" borderId="0" xfId="0" applyFont="1"/>
    <xf numFmtId="0" fontId="7" fillId="0" borderId="0" xfId="0" applyFont="1"/>
    <xf numFmtId="164" fontId="7" fillId="0" borderId="0" xfId="0" applyNumberFormat="1" applyFont="1"/>
    <xf numFmtId="1" fontId="7" fillId="0" borderId="0" xfId="0" applyNumberFormat="1" applyFont="1"/>
    <xf numFmtId="165" fontId="7" fillId="0" borderId="0" xfId="0" applyNumberFormat="1" applyFont="1"/>
    <xf numFmtId="0" fontId="7" fillId="3" borderId="0" xfId="0" applyFont="1" applyFill="1"/>
    <xf numFmtId="2" fontId="6" fillId="0" borderId="0" xfId="0" applyNumberFormat="1" applyFont="1"/>
    <xf numFmtId="165" fontId="6" fillId="0" borderId="0" xfId="0" applyNumberFormat="1" applyFont="1"/>
    <xf numFmtId="0" fontId="8" fillId="0" borderId="0" xfId="0" applyFont="1" applyAlignment="1">
      <alignment wrapText="1"/>
    </xf>
    <xf numFmtId="0" fontId="9" fillId="0" borderId="0" xfId="0" applyFont="1" applyAlignment="1">
      <alignment horizontal="right"/>
    </xf>
    <xf numFmtId="0" fontId="10" fillId="0" borderId="0" xfId="0" applyFont="1"/>
    <xf numFmtId="0" fontId="9" fillId="0" borderId="0" xfId="0" applyFont="1"/>
    <xf numFmtId="0" fontId="7" fillId="0" borderId="0" xfId="0" applyFont="1" applyAlignment="1">
      <alignment wrapText="1"/>
    </xf>
    <xf numFmtId="0" fontId="0" fillId="0" borderId="2" xfId="0" applyBorder="1"/>
    <xf numFmtId="0" fontId="0" fillId="3" borderId="2" xfId="0" applyFill="1" applyBorder="1"/>
    <xf numFmtId="0" fontId="0" fillId="5" borderId="2" xfId="0" applyFill="1" applyBorder="1"/>
    <xf numFmtId="0" fontId="7" fillId="5" borderId="2" xfId="0" applyFont="1" applyFill="1" applyBorder="1"/>
    <xf numFmtId="0" fontId="7" fillId="3" borderId="2" xfId="0" applyFont="1" applyFill="1" applyBorder="1"/>
    <xf numFmtId="0" fontId="6" fillId="0" borderId="2" xfId="0" applyFont="1" applyBorder="1"/>
    <xf numFmtId="1" fontId="6" fillId="0" borderId="2" xfId="0" applyNumberFormat="1" applyFont="1" applyBorder="1"/>
    <xf numFmtId="1" fontId="10" fillId="0" borderId="0" xfId="0" applyNumberFormat="1" applyFont="1"/>
    <xf numFmtId="0" fontId="12" fillId="0" borderId="2" xfId="0" applyFont="1" applyBorder="1"/>
    <xf numFmtId="2" fontId="6" fillId="0" borderId="2" xfId="0" applyNumberFormat="1" applyFont="1" applyBorder="1"/>
    <xf numFmtId="166" fontId="0" fillId="0" borderId="2" xfId="0" applyNumberFormat="1" applyBorder="1"/>
    <xf numFmtId="0" fontId="13" fillId="0" borderId="0" xfId="0" applyFont="1"/>
    <xf numFmtId="49" fontId="0" fillId="0" borderId="0" xfId="0" applyNumberFormat="1"/>
    <xf numFmtId="0" fontId="14" fillId="0" borderId="2" xfId="0" applyFont="1" applyBorder="1"/>
    <xf numFmtId="0" fontId="10" fillId="0" borderId="2" xfId="0" applyFont="1" applyBorder="1"/>
    <xf numFmtId="0" fontId="8" fillId="0" borderId="2" xfId="0" applyFont="1" applyBorder="1" applyAlignment="1">
      <alignment wrapText="1"/>
    </xf>
    <xf numFmtId="164" fontId="10" fillId="0" borderId="2" xfId="0" applyNumberFormat="1" applyFont="1" applyBorder="1"/>
    <xf numFmtId="0" fontId="7" fillId="0" borderId="2" xfId="0" applyFont="1" applyBorder="1"/>
    <xf numFmtId="0" fontId="8" fillId="0" borderId="2" xfId="0" applyFont="1" applyBorder="1"/>
    <xf numFmtId="165" fontId="10" fillId="0" borderId="2" xfId="0" applyNumberFormat="1" applyFont="1" applyBorder="1"/>
    <xf numFmtId="0" fontId="15" fillId="0" borderId="2" xfId="0" applyFont="1" applyBorder="1" applyAlignment="1">
      <alignment wrapText="1"/>
    </xf>
    <xf numFmtId="165" fontId="10" fillId="0" borderId="0" xfId="0" applyNumberFormat="1" applyFont="1"/>
    <xf numFmtId="164" fontId="10" fillId="0" borderId="0" xfId="0" applyNumberFormat="1" applyFont="1"/>
    <xf numFmtId="0" fontId="12" fillId="0" borderId="0" xfId="0" applyFont="1"/>
    <xf numFmtId="1" fontId="6" fillId="0" borderId="0" xfId="0" applyNumberFormat="1" applyFont="1"/>
    <xf numFmtId="1" fontId="7" fillId="0" borderId="2" xfId="0" applyNumberFormat="1" applyFont="1" applyBorder="1"/>
    <xf numFmtId="0" fontId="0" fillId="0" borderId="0" xfId="0" applyAlignment="1">
      <alignment vertical="top" wrapText="1"/>
    </xf>
    <xf numFmtId="0" fontId="16" fillId="8" borderId="0" xfId="0" applyFont="1" applyFill="1" applyAlignment="1">
      <alignment vertical="center" wrapText="1"/>
    </xf>
    <xf numFmtId="9" fontId="0" fillId="0" borderId="0" xfId="0" applyNumberFormat="1"/>
    <xf numFmtId="0" fontId="18" fillId="9" borderId="0" xfId="0" applyFont="1" applyFill="1"/>
    <xf numFmtId="0" fontId="19" fillId="0" borderId="0" xfId="0" applyFont="1" applyAlignment="1">
      <alignment vertical="top" wrapText="1"/>
    </xf>
    <xf numFmtId="0" fontId="21" fillId="0" borderId="0" xfId="0" applyFont="1"/>
    <xf numFmtId="0" fontId="22" fillId="0" borderId="0" xfId="0" applyFont="1"/>
    <xf numFmtId="0" fontId="23" fillId="0" borderId="0" xfId="0" applyFont="1"/>
    <xf numFmtId="0" fontId="24" fillId="0" borderId="0" xfId="0" applyFont="1"/>
    <xf numFmtId="0" fontId="0" fillId="10" borderId="0" xfId="0" applyFill="1"/>
    <xf numFmtId="0" fontId="25" fillId="0" borderId="0" xfId="0" applyFont="1"/>
    <xf numFmtId="0" fontId="26" fillId="0" borderId="0" xfId="0" applyFont="1"/>
    <xf numFmtId="0" fontId="28" fillId="0" borderId="0" xfId="0" applyFont="1"/>
    <xf numFmtId="0" fontId="29" fillId="0" borderId="0" xfId="0" applyFont="1"/>
    <xf numFmtId="0" fontId="30" fillId="0" borderId="0" xfId="0" applyFont="1" applyAlignment="1">
      <alignment wrapText="1"/>
    </xf>
    <xf numFmtId="0" fontId="31" fillId="0" borderId="0" xfId="0" applyFont="1" applyAlignment="1">
      <alignment wrapText="1"/>
    </xf>
    <xf numFmtId="0" fontId="32" fillId="0" borderId="0" xfId="0" applyFont="1"/>
    <xf numFmtId="0" fontId="20" fillId="9" borderId="0" xfId="0" applyFont="1" applyFill="1"/>
    <xf numFmtId="0" fontId="0" fillId="0" borderId="0" xfId="0"/>
    <xf numFmtId="0" fontId="21" fillId="0" borderId="0" xfId="0" applyFont="1"/>
    <xf numFmtId="0" fontId="22" fillId="0" borderId="0" xfId="0" applyFont="1"/>
    <xf numFmtId="0" fontId="17" fillId="9" borderId="0" xfId="0" applyFont="1" applyFill="1"/>
    <xf numFmtId="0" fontId="19" fillId="0" borderId="0" xfId="0" applyFont="1" applyAlignment="1">
      <alignment vertical="top" wrapText="1"/>
    </xf>
    <xf numFmtId="0" fontId="5" fillId="2" borderId="0" xfId="0" applyFont="1" applyFill="1"/>
    <xf numFmtId="0" fontId="8" fillId="0" borderId="0" xfId="0" applyFont="1" applyAlignment="1">
      <alignment wrapText="1"/>
    </xf>
    <xf numFmtId="0" fontId="27" fillId="11" borderId="0" xfId="0" applyFont="1" applyFill="1"/>
    <xf numFmtId="0" fontId="5" fillId="6" borderId="0" xfId="0" applyFont="1" applyFill="1" applyAlignment="1">
      <alignment horizontal="left" vertical="center"/>
    </xf>
    <xf numFmtId="0" fontId="18" fillId="9" borderId="0" xfId="0" applyFont="1" applyFill="1"/>
    <xf numFmtId="0" fontId="5" fillId="7" borderId="2" xfId="0" applyFont="1" applyFill="1" applyBorder="1" applyAlignment="1">
      <alignment horizontal="left" vertical="center"/>
    </xf>
    <xf numFmtId="0" fontId="0" fillId="0" borderId="2" xfId="0" applyBorder="1"/>
    <xf numFmtId="0" fontId="5" fillId="7" borderId="2" xfId="0" applyFont="1" applyFill="1" applyBorder="1"/>
    <xf numFmtId="0" fontId="11" fillId="4" borderId="1" xfId="0" applyFont="1" applyFill="1" applyBorder="1" applyAlignment="1">
      <alignment horizontal="center"/>
    </xf>
    <xf numFmtId="0" fontId="0" fillId="0" borderId="1" xfId="0" applyBorder="1"/>
    <xf numFmtId="0" fontId="5" fillId="6" borderId="0" xfId="0" applyFont="1" applyFill="1"/>
    <xf numFmtId="0" fontId="33" fillId="0" borderId="0" xfId="0" applyFont="1" applyAlignment="1">
      <alignment wrapText="1"/>
    </xf>
  </cellXfs>
  <cellStyles count="1">
    <cellStyle name="Normal" xfId="0" builtinId="0"/>
  </cellStyles>
  <dxfs count="3">
    <dxf>
      <font>
        <b/>
        <color rgb="FF375623"/>
      </font>
    </dxf>
    <dxf>
      <font>
        <b/>
        <color rgb="FFBF8F00"/>
      </font>
    </dxf>
    <dxf>
      <font>
        <b/>
        <color rgb="FFC00000"/>
      </font>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8080"/>
      <rgbColor rgb="FFBFBFBF"/>
      <rgbColor rgb="FF808080"/>
      <rgbColor rgb="FF9999FF"/>
      <rgbColor rgb="FF7030A0"/>
      <rgbColor rgb="FFFFF2CC"/>
      <rgbColor rgb="FFD9E1F2"/>
      <rgbColor rgb="FF660066"/>
      <rgbColor rgb="FFFF8080"/>
      <rgbColor rgb="FF0066CC"/>
      <rgbColor rgb="FFD3D3D3"/>
      <rgbColor rgb="FF000080"/>
      <rgbColor rgb="FFFF00FF"/>
      <rgbColor rgb="FFFFFF00"/>
      <rgbColor rgb="FF00FFFF"/>
      <rgbColor rgb="FF800080"/>
      <rgbColor rgb="FF800000"/>
      <rgbColor rgb="FF008080"/>
      <rgbColor rgb="FF0000FF"/>
      <rgbColor rgb="FF00CCFF"/>
      <rgbColor rgb="FFCCFFFF"/>
      <rgbColor rgb="FFD9D9D9"/>
      <rgbColor rgb="FFFFFF99"/>
      <rgbColor rgb="FF99CCFF"/>
      <rgbColor rgb="FFFF99CC"/>
      <rgbColor rgb="FFCC99FF"/>
      <rgbColor rgb="FFFFCC99"/>
      <rgbColor rgb="FF3366FF"/>
      <rgbColor rgb="FF33CCCC"/>
      <rgbColor rgb="FF99CC00"/>
      <rgbColor rgb="FFFFCC00"/>
      <rgbColor rgb="FFBF8F00"/>
      <rgbColor rgb="FFFF6600"/>
      <rgbColor rgb="FF666699"/>
      <rgbColor rgb="FF969696"/>
      <rgbColor rgb="FF203864"/>
      <rgbColor rgb="FF339966"/>
      <rgbColor rgb="FF003300"/>
      <rgbColor rgb="FF333300"/>
      <rgbColor rgb="FF993300"/>
      <rgbColor rgb="FF993366"/>
      <rgbColor rgb="FF333399"/>
      <rgbColor rgb="FF3756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58"/>
  <sheetViews>
    <sheetView showGridLines="0" topLeftCell="A17" zoomScaleNormal="100" workbookViewId="0"/>
  </sheetViews>
  <sheetFormatPr defaultColWidth="8.5703125" defaultRowHeight="15" x14ac:dyDescent="0.25"/>
  <cols>
    <col min="1" max="1" width="100" customWidth="1"/>
  </cols>
  <sheetData>
    <row r="1" spans="1:1" ht="25.5" customHeight="1" x14ac:dyDescent="0.25">
      <c r="A1" s="1" t="s">
        <v>30</v>
      </c>
    </row>
    <row r="2" spans="1:1" ht="31.5" customHeight="1" x14ac:dyDescent="0.25">
      <c r="A2" s="2" t="s">
        <v>31</v>
      </c>
    </row>
    <row r="3" spans="1:1" ht="19.5" customHeight="1" x14ac:dyDescent="0.25">
      <c r="A3" s="3" t="s">
        <v>32</v>
      </c>
    </row>
    <row r="5" spans="1:1" ht="31.5" customHeight="1" x14ac:dyDescent="0.25">
      <c r="A5" s="2" t="s">
        <v>33</v>
      </c>
    </row>
    <row r="6" spans="1:1" ht="31.5" customHeight="1" x14ac:dyDescent="0.25">
      <c r="A6" s="2" t="s">
        <v>34</v>
      </c>
    </row>
    <row r="7" spans="1:1" ht="31.5" customHeight="1" x14ac:dyDescent="0.25">
      <c r="A7" s="2" t="s">
        <v>35</v>
      </c>
    </row>
    <row r="8" spans="1:1" ht="31.5" customHeight="1" x14ac:dyDescent="0.25">
      <c r="A8" s="2" t="s">
        <v>36</v>
      </c>
    </row>
    <row r="9" spans="1:1" ht="31.5" customHeight="1" x14ac:dyDescent="0.25">
      <c r="A9" s="2" t="s">
        <v>37</v>
      </c>
    </row>
    <row r="10" spans="1:1" ht="31.5" customHeight="1" x14ac:dyDescent="0.25">
      <c r="A10" s="2" t="s">
        <v>38</v>
      </c>
    </row>
    <row r="11" spans="1:1" ht="31.5" customHeight="1" x14ac:dyDescent="0.25">
      <c r="A11" s="2" t="s">
        <v>39</v>
      </c>
    </row>
    <row r="12" spans="1:1" ht="19.5" customHeight="1" x14ac:dyDescent="0.25">
      <c r="A12" s="3" t="s">
        <v>40</v>
      </c>
    </row>
    <row r="14" spans="1:1" ht="31.5" customHeight="1" x14ac:dyDescent="0.25">
      <c r="A14" s="2" t="s">
        <v>41</v>
      </c>
    </row>
    <row r="15" spans="1:1" ht="31.5" customHeight="1" x14ac:dyDescent="0.25">
      <c r="A15" s="2" t="s">
        <v>42</v>
      </c>
    </row>
    <row r="16" spans="1:1" ht="31.5" customHeight="1" x14ac:dyDescent="0.25">
      <c r="A16" s="2" t="s">
        <v>43</v>
      </c>
    </row>
    <row r="17" spans="1:1" ht="31.5" customHeight="1" x14ac:dyDescent="0.25">
      <c r="A17" s="2" t="s">
        <v>44</v>
      </c>
    </row>
    <row r="18" spans="1:1" ht="31.5" customHeight="1" x14ac:dyDescent="0.25">
      <c r="A18" s="2" t="s">
        <v>45</v>
      </c>
    </row>
    <row r="19" spans="1:1" ht="19.5" customHeight="1" x14ac:dyDescent="0.25">
      <c r="A19" s="3" t="s">
        <v>46</v>
      </c>
    </row>
    <row r="20" spans="1:1" ht="42" customHeight="1" x14ac:dyDescent="0.25">
      <c r="A20" s="4" t="s">
        <v>47</v>
      </c>
    </row>
    <row r="21" spans="1:1" ht="42" customHeight="1" x14ac:dyDescent="0.25">
      <c r="A21" s="4" t="s">
        <v>48</v>
      </c>
    </row>
    <row r="22" spans="1:1" ht="31.5" customHeight="1" x14ac:dyDescent="0.25">
      <c r="A22" s="2" t="s">
        <v>49</v>
      </c>
    </row>
    <row r="23" spans="1:1" ht="19.5" customHeight="1" x14ac:dyDescent="0.25">
      <c r="A23" s="3" t="s">
        <v>50</v>
      </c>
    </row>
    <row r="24" spans="1:1" ht="31.5" customHeight="1" x14ac:dyDescent="0.25">
      <c r="A24" s="2" t="s">
        <v>51</v>
      </c>
    </row>
    <row r="25" spans="1:1" ht="19.5" customHeight="1" x14ac:dyDescent="0.25">
      <c r="A25" s="3" t="s">
        <v>52</v>
      </c>
    </row>
    <row r="26" spans="1:1" ht="31.5" customHeight="1" x14ac:dyDescent="0.25">
      <c r="A26" s="2" t="s">
        <v>53</v>
      </c>
    </row>
    <row r="27" spans="1:1" ht="31.5" customHeight="1" x14ac:dyDescent="0.25">
      <c r="A27" s="2" t="s">
        <v>54</v>
      </c>
    </row>
    <row r="28" spans="1:1" ht="31.5" customHeight="1" x14ac:dyDescent="0.25">
      <c r="A28" s="2" t="s">
        <v>55</v>
      </c>
    </row>
    <row r="30" spans="1:1" ht="14.25" customHeight="1" x14ac:dyDescent="0.25">
      <c r="A30" t="s">
        <v>56</v>
      </c>
    </row>
    <row r="31" spans="1:1" ht="14.25" customHeight="1" x14ac:dyDescent="0.25">
      <c r="A31" t="s">
        <v>57</v>
      </c>
    </row>
    <row r="32" spans="1:1" ht="14.25" customHeight="1" x14ac:dyDescent="0.25">
      <c r="A32" t="s">
        <v>58</v>
      </c>
    </row>
    <row r="33" spans="1:1" ht="14.25" customHeight="1" x14ac:dyDescent="0.25">
      <c r="A33" t="s">
        <v>59</v>
      </c>
    </row>
    <row r="35" spans="1:1" ht="20.25" customHeight="1" x14ac:dyDescent="0.3">
      <c r="A35" s="56" t="s">
        <v>60</v>
      </c>
    </row>
    <row r="36" spans="1:1" ht="16.5" customHeight="1" x14ac:dyDescent="0.25">
      <c r="A36" s="57" t="s">
        <v>61</v>
      </c>
    </row>
    <row r="37" spans="1:1" ht="26.25" customHeight="1" x14ac:dyDescent="0.25">
      <c r="A37" s="58" t="s">
        <v>62</v>
      </c>
    </row>
    <row r="38" spans="1:1" ht="26.25" customHeight="1" x14ac:dyDescent="0.25">
      <c r="A38" s="58" t="s">
        <v>63</v>
      </c>
    </row>
    <row r="39" spans="1:1" ht="26.25" customHeight="1" x14ac:dyDescent="0.25">
      <c r="A39" s="58" t="s">
        <v>64</v>
      </c>
    </row>
    <row r="40" spans="1:1" ht="26.25" customHeight="1" x14ac:dyDescent="0.25">
      <c r="A40" s="58" t="s">
        <v>65</v>
      </c>
    </row>
    <row r="41" spans="1:1" ht="26.25" customHeight="1" x14ac:dyDescent="0.25">
      <c r="A41" s="58" t="s">
        <v>66</v>
      </c>
    </row>
    <row r="42" spans="1:1" ht="26.25" customHeight="1" x14ac:dyDescent="0.25">
      <c r="A42" s="58" t="s">
        <v>67</v>
      </c>
    </row>
    <row r="44" spans="1:1" ht="16.5" customHeight="1" x14ac:dyDescent="0.25">
      <c r="A44" s="57" t="s">
        <v>68</v>
      </c>
    </row>
    <row r="45" spans="1:1" ht="26.25" customHeight="1" x14ac:dyDescent="0.25">
      <c r="A45" s="58" t="s">
        <v>69</v>
      </c>
    </row>
    <row r="46" spans="1:1" ht="26.25" customHeight="1" x14ac:dyDescent="0.25">
      <c r="A46" s="58" t="s">
        <v>70</v>
      </c>
    </row>
    <row r="47" spans="1:1" ht="26.25" customHeight="1" x14ac:dyDescent="0.25">
      <c r="A47" s="58" t="s">
        <v>71</v>
      </c>
    </row>
    <row r="48" spans="1:1" ht="26.25" customHeight="1" x14ac:dyDescent="0.25">
      <c r="A48" s="58" t="s">
        <v>72</v>
      </c>
    </row>
    <row r="49" spans="1:1" ht="26.25" customHeight="1" x14ac:dyDescent="0.25">
      <c r="A49" s="58" t="s">
        <v>73</v>
      </c>
    </row>
    <row r="50" spans="1:1" ht="26.25" customHeight="1" x14ac:dyDescent="0.25">
      <c r="A50" s="58" t="s">
        <v>74</v>
      </c>
    </row>
    <row r="52" spans="1:1" ht="20.25" customHeight="1" x14ac:dyDescent="0.3">
      <c r="A52" s="56" t="s">
        <v>75</v>
      </c>
    </row>
    <row r="53" spans="1:1" x14ac:dyDescent="0.25">
      <c r="A53" s="58" t="s">
        <v>76</v>
      </c>
    </row>
    <row r="54" spans="1:1" x14ac:dyDescent="0.25">
      <c r="A54" s="58" t="s">
        <v>77</v>
      </c>
    </row>
    <row r="55" spans="1:1" ht="26.25" customHeight="1" x14ac:dyDescent="0.25">
      <c r="A55" s="58" t="s">
        <v>78</v>
      </c>
    </row>
    <row r="56" spans="1:1" ht="64.5" customHeight="1" x14ac:dyDescent="0.25">
      <c r="A56" s="58" t="s">
        <v>79</v>
      </c>
    </row>
    <row r="58" spans="1:1" x14ac:dyDescent="0.25">
      <c r="A58" s="59" t="s">
        <v>80</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1"/>
  <sheetViews>
    <sheetView showGridLines="0" workbookViewId="0">
      <selection sqref="A1:J1"/>
    </sheetView>
  </sheetViews>
  <sheetFormatPr defaultRowHeight="15" x14ac:dyDescent="0.25"/>
  <cols>
    <col min="1" max="2" width="10" customWidth="1"/>
    <col min="3" max="6" width="9" customWidth="1"/>
    <col min="7" max="7" width="14" customWidth="1"/>
    <col min="8" max="9" width="16" customWidth="1"/>
    <col min="10" max="10" width="18" customWidth="1"/>
  </cols>
  <sheetData>
    <row r="1" spans="1:10" ht="20.25" customHeight="1" x14ac:dyDescent="0.3">
      <c r="A1" s="61" t="s">
        <v>0</v>
      </c>
      <c r="B1" s="62"/>
      <c r="C1" s="62"/>
      <c r="D1" s="62"/>
      <c r="E1" s="62"/>
      <c r="F1" s="62"/>
      <c r="G1" s="62"/>
      <c r="H1" s="62"/>
      <c r="I1" s="62"/>
      <c r="J1" s="62"/>
    </row>
    <row r="3" spans="1:10" x14ac:dyDescent="0.25">
      <c r="A3" s="49" t="s">
        <v>1</v>
      </c>
      <c r="D3" s="49" t="s">
        <v>2</v>
      </c>
      <c r="G3" s="49" t="s">
        <v>3</v>
      </c>
      <c r="I3" s="49" t="s">
        <v>4</v>
      </c>
    </row>
    <row r="4" spans="1:10" ht="17.25" customHeight="1" x14ac:dyDescent="0.3">
      <c r="A4" s="50" t="str">
        <f>'Stato Asta'!$C$3</f>
        <v>0 / 491</v>
      </c>
      <c r="D4" s="50">
        <f>'Stato Asta'!$C$4</f>
        <v>0</v>
      </c>
      <c r="G4" s="50" t="str">
        <f>'Stato Asta'!$C$6</f>
        <v/>
      </c>
      <c r="I4" s="50">
        <f>'Stato Asta'!$C$5</f>
        <v>1000</v>
      </c>
    </row>
    <row r="6" spans="1:10" ht="25.5" customHeight="1" x14ac:dyDescent="0.25">
      <c r="A6" s="45" t="s">
        <v>5</v>
      </c>
      <c r="B6" s="45" t="s">
        <v>6</v>
      </c>
      <c r="C6" s="45" t="s">
        <v>7</v>
      </c>
      <c r="D6" s="45" t="s">
        <v>8</v>
      </c>
      <c r="E6" s="45" t="s">
        <v>9</v>
      </c>
      <c r="F6" s="45" t="s">
        <v>10</v>
      </c>
      <c r="G6" s="45" t="s">
        <v>11</v>
      </c>
      <c r="H6" s="45" t="s">
        <v>12</v>
      </c>
      <c r="I6" s="45" t="s">
        <v>13</v>
      </c>
      <c r="J6" s="45" t="s">
        <v>14</v>
      </c>
    </row>
    <row r="7" spans="1:10" x14ac:dyDescent="0.25">
      <c r="A7" t="s">
        <v>15</v>
      </c>
      <c r="B7">
        <f>'Stato Asta'!$B$9</f>
        <v>7</v>
      </c>
      <c r="C7">
        <f>'Stato Asta'!$C$9</f>
        <v>11</v>
      </c>
      <c r="D7">
        <f>'Stato Asta'!$I$9</f>
        <v>6</v>
      </c>
      <c r="E7">
        <f>'Stato Asta'!$J$9</f>
        <v>0</v>
      </c>
      <c r="F7">
        <f>'Stato Asta'!$K$9</f>
        <v>24</v>
      </c>
      <c r="G7">
        <f>'Stato Asta'!$E$9</f>
        <v>24</v>
      </c>
      <c r="H7" s="46">
        <f>'Stato Asta'!$L$9</f>
        <v>0.75</v>
      </c>
      <c r="I7" t="str">
        <f>'Stato Asta'!$G$9</f>
        <v>🔴 Non aspettare</v>
      </c>
      <c r="J7" t="str">
        <f>'Pressione Competitiva'!$F$3</f>
        <v>🔴 Molto Alta</v>
      </c>
    </row>
    <row r="8" spans="1:10" x14ac:dyDescent="0.25">
      <c r="A8" t="s">
        <v>16</v>
      </c>
      <c r="B8">
        <f>'Stato Asta'!$B$10</f>
        <v>18</v>
      </c>
      <c r="C8">
        <f>'Stato Asta'!$C$10</f>
        <v>37</v>
      </c>
      <c r="D8">
        <f>'Stato Asta'!$I$10</f>
        <v>56</v>
      </c>
      <c r="E8">
        <f>'Stato Asta'!$J$10</f>
        <v>37</v>
      </c>
      <c r="F8">
        <f>'Stato Asta'!$K$10</f>
        <v>148</v>
      </c>
      <c r="G8">
        <f>'Stato Asta'!$E$10</f>
        <v>64</v>
      </c>
      <c r="H8" s="46">
        <f>'Stato Asta'!$L$10</f>
        <v>0.3716216216216216</v>
      </c>
      <c r="I8" t="str">
        <f>'Stato Asta'!$G$10</f>
        <v>🔴 Non aspettare</v>
      </c>
      <c r="J8" t="str">
        <f>'Pressione Competitiva'!$F$4</f>
        <v>🔴 Molto Alta</v>
      </c>
    </row>
    <row r="9" spans="1:10" x14ac:dyDescent="0.25">
      <c r="A9" t="s">
        <v>17</v>
      </c>
      <c r="B9">
        <f>'Stato Asta'!$B$11</f>
        <v>18</v>
      </c>
      <c r="C9">
        <f>'Stato Asta'!$C$11</f>
        <v>37</v>
      </c>
      <c r="D9">
        <f>'Stato Asta'!$I$11</f>
        <v>49</v>
      </c>
      <c r="E9">
        <f>'Stato Asta'!$J$11</f>
        <v>51</v>
      </c>
      <c r="F9">
        <f>'Stato Asta'!$K$11</f>
        <v>155</v>
      </c>
      <c r="G9">
        <f>'Stato Asta'!$E$11</f>
        <v>64</v>
      </c>
      <c r="H9" s="46">
        <f>'Stato Asta'!$L$11</f>
        <v>0.35483870967741937</v>
      </c>
      <c r="I9" t="str">
        <f>'Stato Asta'!$G$11</f>
        <v>🔴 Non aspettare</v>
      </c>
      <c r="J9" t="str">
        <f>'Pressione Competitiva'!$F$5</f>
        <v>🔴 Molto Alta</v>
      </c>
    </row>
    <row r="10" spans="1:10" x14ac:dyDescent="0.25">
      <c r="A10" t="s">
        <v>18</v>
      </c>
      <c r="B10">
        <f>'Stato Asta'!$B$12</f>
        <v>9</v>
      </c>
      <c r="C10">
        <f>'Stato Asta'!$C$12</f>
        <v>17</v>
      </c>
      <c r="D10">
        <f>'Stato Asta'!$I$12</f>
        <v>28</v>
      </c>
      <c r="E10">
        <f>'Stato Asta'!$J$12</f>
        <v>23</v>
      </c>
      <c r="F10">
        <f>'Stato Asta'!$K$12</f>
        <v>77</v>
      </c>
      <c r="G10">
        <f>'Stato Asta'!$E$12</f>
        <v>48</v>
      </c>
      <c r="H10" s="46">
        <f>'Stato Asta'!$L$12</f>
        <v>0.33766233766233766</v>
      </c>
      <c r="I10" t="str">
        <f>'Stato Asta'!$G$12</f>
        <v>🔴 Non aspettare</v>
      </c>
      <c r="J10" t="str">
        <f>'Pressione Competitiva'!$F$6</f>
        <v>🔴 Molto Alta</v>
      </c>
    </row>
    <row r="12" spans="1:10" ht="16.5" customHeight="1" x14ac:dyDescent="0.25">
      <c r="A12" s="65" t="s">
        <v>19</v>
      </c>
      <c r="B12" s="62"/>
      <c r="C12" s="62"/>
      <c r="D12" s="62"/>
      <c r="E12" s="62"/>
      <c r="F12" s="62"/>
      <c r="G12" s="62"/>
      <c r="H12" s="62"/>
      <c r="I12" s="62"/>
      <c r="J12" s="62"/>
    </row>
    <row r="13" spans="1:10" x14ac:dyDescent="0.25">
      <c r="A13" s="63" t="s">
        <v>20</v>
      </c>
      <c r="B13" s="62"/>
      <c r="C13" s="63" t="s">
        <v>21</v>
      </c>
      <c r="D13" s="62"/>
      <c r="E13" s="63" t="s">
        <v>22</v>
      </c>
      <c r="F13" s="62"/>
      <c r="G13" s="63" t="s">
        <v>23</v>
      </c>
      <c r="H13" s="62"/>
      <c r="I13" s="63" t="s">
        <v>24</v>
      </c>
      <c r="J13" s="62"/>
    </row>
    <row r="14" spans="1:10" ht="17.25" customHeight="1" x14ac:dyDescent="0.3">
      <c r="A14" s="64">
        <f>'La Mia Rosa'!$S$2</f>
        <v>1000</v>
      </c>
      <c r="B14" s="62"/>
      <c r="C14" s="64">
        <f>'La Mia Rosa'!$S$3</f>
        <v>25</v>
      </c>
      <c r="D14" s="62"/>
      <c r="E14" s="64">
        <f>'La Mia Rosa'!$R$6</f>
        <v>0</v>
      </c>
      <c r="F14" s="62"/>
      <c r="G14" s="64">
        <f>'La Mia Rosa'!$R$7</f>
        <v>0</v>
      </c>
      <c r="H14" s="62"/>
      <c r="I14" s="64" t="str">
        <f>'La Mia Rosa'!$R$8</f>
        <v/>
      </c>
      <c r="J14" s="62"/>
    </row>
    <row r="16" spans="1:10" x14ac:dyDescent="0.25">
      <c r="A16" s="51" t="s">
        <v>25</v>
      </c>
    </row>
    <row r="17" spans="1:5" ht="25.5" customHeight="1" x14ac:dyDescent="0.25">
      <c r="A17" s="45" t="s">
        <v>5</v>
      </c>
      <c r="B17" s="45" t="s">
        <v>26</v>
      </c>
      <c r="C17" s="45" t="s">
        <v>27</v>
      </c>
      <c r="D17" s="45" t="s">
        <v>28</v>
      </c>
      <c r="E17" s="45" t="s">
        <v>29</v>
      </c>
    </row>
    <row r="18" spans="1:5" x14ac:dyDescent="0.25">
      <c r="A18" t="s">
        <v>15</v>
      </c>
      <c r="B18">
        <f>'La Mia Rosa'!$R$13</f>
        <v>0</v>
      </c>
      <c r="C18">
        <f>'La Mia Rosa'!$S$13</f>
        <v>1</v>
      </c>
      <c r="D18">
        <f>'La Mia Rosa'!$T$13</f>
        <v>0</v>
      </c>
      <c r="E18" t="str">
        <f>'La Mia Rosa'!$U$13</f>
        <v>Titolare</v>
      </c>
    </row>
    <row r="19" spans="1:5" x14ac:dyDescent="0.25">
      <c r="A19" t="s">
        <v>16</v>
      </c>
      <c r="B19">
        <f>'La Mia Rosa'!$R$14</f>
        <v>0</v>
      </c>
      <c r="C19">
        <f>'La Mia Rosa'!$S$14</f>
        <v>3</v>
      </c>
      <c r="D19">
        <f>'La Mia Rosa'!$T$14</f>
        <v>0</v>
      </c>
      <c r="E19" t="str">
        <f>'La Mia Rosa'!$U$14</f>
        <v>Titolare</v>
      </c>
    </row>
    <row r="20" spans="1:5" x14ac:dyDescent="0.25">
      <c r="A20" t="s">
        <v>17</v>
      </c>
      <c r="B20">
        <f>'La Mia Rosa'!$R$15</f>
        <v>0</v>
      </c>
      <c r="C20">
        <f>'La Mia Rosa'!$S$15</f>
        <v>4</v>
      </c>
      <c r="D20">
        <f>'La Mia Rosa'!$T$15</f>
        <v>0</v>
      </c>
      <c r="E20" t="str">
        <f>'La Mia Rosa'!$U$15</f>
        <v>Titolare</v>
      </c>
    </row>
    <row r="21" spans="1:5" x14ac:dyDescent="0.25">
      <c r="A21" t="s">
        <v>18</v>
      </c>
      <c r="B21">
        <f>'La Mia Rosa'!$R$16</f>
        <v>0</v>
      </c>
      <c r="C21">
        <f>'La Mia Rosa'!$S$16</f>
        <v>3</v>
      </c>
      <c r="D21">
        <f>'La Mia Rosa'!$T$16</f>
        <v>0</v>
      </c>
      <c r="E21" t="str">
        <f>'La Mia Rosa'!$U$16</f>
        <v>Titolare</v>
      </c>
    </row>
  </sheetData>
  <mergeCells count="12">
    <mergeCell ref="A1:J1"/>
    <mergeCell ref="A13:B13"/>
    <mergeCell ref="A14:B14"/>
    <mergeCell ref="A12:J12"/>
    <mergeCell ref="C13:D13"/>
    <mergeCell ref="C14:D14"/>
    <mergeCell ref="I14:J14"/>
    <mergeCell ref="E13:F13"/>
    <mergeCell ref="E14:F14"/>
    <mergeCell ref="G14:H14"/>
    <mergeCell ref="I13:J13"/>
    <mergeCell ref="G13:H13"/>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1"/>
  <sheetViews>
    <sheetView showGridLines="0" workbookViewId="0"/>
  </sheetViews>
  <sheetFormatPr defaultRowHeight="15" x14ac:dyDescent="0.25"/>
  <cols>
    <col min="1" max="1" width="34" customWidth="1"/>
    <col min="2" max="2" width="22" customWidth="1"/>
    <col min="3" max="3" width="55" customWidth="1"/>
  </cols>
  <sheetData>
    <row r="1" spans="1:3" ht="20.25" customHeight="1" x14ac:dyDescent="0.3">
      <c r="A1" s="61" t="s">
        <v>81</v>
      </c>
      <c r="B1" s="62"/>
      <c r="C1" s="62"/>
    </row>
    <row r="3" spans="1:3" x14ac:dyDescent="0.25">
      <c r="A3" s="52" t="s">
        <v>82</v>
      </c>
      <c r="B3" s="53"/>
    </row>
    <row r="4" spans="1:3" x14ac:dyDescent="0.25">
      <c r="A4" s="52" t="s">
        <v>83</v>
      </c>
      <c r="B4" s="53"/>
    </row>
    <row r="6" spans="1:3" x14ac:dyDescent="0.25">
      <c r="A6" t="s">
        <v>5</v>
      </c>
      <c r="B6" t="str">
        <f>IFERROR(INDEX('Output Utente'!$B$2:$B$492,MATCH($B$3,'Output Utente'!$C$2:$C$492,0)),"")</f>
        <v/>
      </c>
    </row>
    <row r="7" spans="1:3" x14ac:dyDescent="0.25">
      <c r="A7" t="s">
        <v>84</v>
      </c>
      <c r="B7" t="str">
        <f>IFERROR(INDEX('Output Utente'!$O$2:$O$492,MATCH($B$3,'Output Utente'!$C$2:$C$492,0)),"")</f>
        <v/>
      </c>
    </row>
    <row r="8" spans="1:3" x14ac:dyDescent="0.25">
      <c r="A8" t="s">
        <v>85</v>
      </c>
      <c r="B8" t="str">
        <f>IFERROR(INDEX('Output Utente'!$P$2:$P$492,MATCH($B$3,'Output Utente'!$C$2:$C$492,0)),"")</f>
        <v/>
      </c>
    </row>
    <row r="9" spans="1:3" x14ac:dyDescent="0.25">
      <c r="A9" t="s">
        <v>86</v>
      </c>
      <c r="B9" t="str">
        <f>IFERROR(INDEX('Output Utente'!$AF$2:$AF$492,MATCH($B$3,'Output Utente'!$C$2:$C$492,0)),"")</f>
        <v/>
      </c>
    </row>
    <row r="10" spans="1:3" x14ac:dyDescent="0.25">
      <c r="A10" t="s">
        <v>87</v>
      </c>
      <c r="B10" t="str">
        <f>IFERROR(INDEX('Output Utente'!$E$2:$E$492,MATCH($B$3,'Output Utente'!$C$2:$C$492,0)),"")</f>
        <v/>
      </c>
    </row>
    <row r="12" spans="1:3" ht="15.75" customHeight="1" x14ac:dyDescent="0.25">
      <c r="A12" s="54" t="s">
        <v>88</v>
      </c>
    </row>
    <row r="13" spans="1:3" x14ac:dyDescent="0.25">
      <c r="A13" t="s">
        <v>89</v>
      </c>
      <c r="B13" t="str">
        <f>IFERROR(INDEX('Output Utente'!$G$2:$G$492,MATCH($B$3,'Output Utente'!$C$2:$C$492,0)),"")</f>
        <v/>
      </c>
      <c r="C13" s="48" t="s">
        <v>90</v>
      </c>
    </row>
    <row r="14" spans="1:3" x14ac:dyDescent="0.25">
      <c r="A14" t="s">
        <v>91</v>
      </c>
      <c r="B14" t="str">
        <f>IFERROR(INDEX('Output Utente'!$H$2:$H$492,MATCH($B$3,'Output Utente'!$C$2:$C$492,0)),"")</f>
        <v/>
      </c>
      <c r="C14" s="48" t="s">
        <v>92</v>
      </c>
    </row>
    <row r="15" spans="1:3" ht="24" customHeight="1" x14ac:dyDescent="0.25">
      <c r="A15" t="s">
        <v>93</v>
      </c>
      <c r="B15" t="str">
        <f>IFERROR(INDEX('Output Utente'!$F$2:$F$492,MATCH($B$3,'Output Utente'!$C$2:$C$492,0)),"")</f>
        <v/>
      </c>
      <c r="C15" s="48" t="s">
        <v>94</v>
      </c>
    </row>
    <row r="16" spans="1:3" x14ac:dyDescent="0.25">
      <c r="A16" t="s">
        <v>95</v>
      </c>
      <c r="B16" t="str">
        <f>IFERROR(INDEX('Output Utente'!$W$2:$W$492,MATCH($B$3,'Output Utente'!$C$2:$C$492,0)),"")</f>
        <v/>
      </c>
    </row>
    <row r="17" spans="1:3" x14ac:dyDescent="0.25">
      <c r="A17" t="s">
        <v>96</v>
      </c>
      <c r="B17" t="str">
        <f>IFERROR(INDEX('Output Utente'!$X$2:$X$492,MATCH($B$3,'Output Utente'!$C$2:$C$492,0)),"")</f>
        <v/>
      </c>
    </row>
    <row r="18" spans="1:3" ht="24" customHeight="1" x14ac:dyDescent="0.3">
      <c r="A18" s="52" t="s">
        <v>97</v>
      </c>
      <c r="B18" s="50" t="str">
        <f>IFERROR(INDEX('Output Utente'!$AA$2:$AA$492,MATCH($B$3,'Output Utente'!$C$2:$C$492,0)),"")</f>
        <v/>
      </c>
      <c r="C18" s="48" t="s">
        <v>98</v>
      </c>
    </row>
    <row r="20" spans="1:3" ht="15.75" customHeight="1" x14ac:dyDescent="0.25">
      <c r="A20" s="54" t="s">
        <v>99</v>
      </c>
    </row>
    <row r="21" spans="1:3" x14ac:dyDescent="0.25">
      <c r="A21" t="s">
        <v>100</v>
      </c>
      <c r="B21" t="str">
        <f>IFERROR(INDEX('Pressione Competitiva'!$F$3:$F$6,MATCH($B$6,'Pressione Competitiva'!$B$3:$B$6,0)),"")</f>
        <v/>
      </c>
    </row>
    <row r="22" spans="1:3" x14ac:dyDescent="0.25">
      <c r="A22" t="s">
        <v>101</v>
      </c>
      <c r="B22" t="str">
        <f>IFERROR(INDEX('Pressione Competitiva'!$G$3:$G$6,MATCH($B$6,'Pressione Competitiva'!$B$3:$B$6,0)),"")</f>
        <v/>
      </c>
    </row>
    <row r="24" spans="1:3" ht="15.75" customHeight="1" x14ac:dyDescent="0.25">
      <c r="A24" s="54" t="s">
        <v>102</v>
      </c>
    </row>
    <row r="25" spans="1:3" x14ac:dyDescent="0.25">
      <c r="A25" t="s">
        <v>103</v>
      </c>
      <c r="B25">
        <f>$B$4</f>
        <v>0</v>
      </c>
    </row>
    <row r="26" spans="1:3" x14ac:dyDescent="0.25">
      <c r="A26" t="s">
        <v>104</v>
      </c>
      <c r="B26" t="str">
        <f>IF($B$4="","",$B$18-$B$4)</f>
        <v/>
      </c>
    </row>
    <row r="27" spans="1:3" x14ac:dyDescent="0.25">
      <c r="A27" t="s">
        <v>105</v>
      </c>
      <c r="B27" t="str">
        <f>IFERROR(IF($B$4="","",IF($B$26&gt;=$B$18*'Parametri Modello'!$B$68,"🟢 Opportunita'",IF($B$26&lt;=$B$18*'Parametri Modello'!$B$69,"🔴 Sovrapprezzo","🟡 Prezzo Corretto"))),"")</f>
        <v/>
      </c>
    </row>
    <row r="28" spans="1:3" ht="21" customHeight="1" x14ac:dyDescent="0.35">
      <c r="A28" s="50" t="s">
        <v>102</v>
      </c>
      <c r="B28" s="55" t="str">
        <f>IF($B$4="","",IF($B$4&gt;$B$18,"🔴 PASS",IF($B$4&lt;=$B$18*(1-'Parametri Modello'!$B$68),"🟢 BID","🟡 ATTENZIONE")))</f>
        <v/>
      </c>
    </row>
    <row r="29" spans="1:3" x14ac:dyDescent="0.25">
      <c r="A29" t="s">
        <v>101</v>
      </c>
      <c r="B29" t="str">
        <f>IF($B$4="","",IF($B$4&gt;$B$18,"Hai superato il tuo tetto di "&amp;($B$4-$B$18)&amp;" crediti.",IF($B$4&lt;=$B$18*(1-'Parametri Modello'!$B$68),"Margine ampio: "&amp;$B$26&amp;" crediti sotto il tuo tetto.","Margine ridotto: solo "&amp;$B$26&amp;" crediti sotto il tuo tetto.")))</f>
        <v/>
      </c>
    </row>
    <row r="31" spans="1:3" x14ac:dyDescent="0.25">
      <c r="A31" t="s">
        <v>106</v>
      </c>
      <c r="B31" s="66" t="str">
        <f>"Sovrapprezzo rispetto al FVM non significa automaticamente non comprarlo: se la Pressione Competitiva e' alta e ti serve ancora un titolare "&amp;IF($B$6&lt;&gt;"",$B$6,"in questo ruolo")&amp;", puo' comunque valere il tuo Max Bid Dinamico."</f>
        <v>Sovrapprezzo rispetto al FVM non significa automaticamente non comprarlo: se la Pressione Competitiva e' alta e ti serve ancora un titolare in questo ruolo, puo' comunque valere il tuo Max Bid Dinamico.</v>
      </c>
      <c r="C31" s="62"/>
    </row>
  </sheetData>
  <mergeCells count="2">
    <mergeCell ref="A1:C1"/>
    <mergeCell ref="B31:C3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L492"/>
  <sheetViews>
    <sheetView zoomScaleNormal="100" workbookViewId="0">
      <pane ySplit="1" topLeftCell="A2" activePane="bottomLeft" state="frozen"/>
      <selection sqref="A1:J1"/>
      <selection pane="bottomLeft" sqref="A1:J1"/>
    </sheetView>
  </sheetViews>
  <sheetFormatPr defaultColWidth="8.5703125" defaultRowHeight="15" x14ac:dyDescent="0.25"/>
  <cols>
    <col min="1" max="1" width="4.85546875" customWidth="1"/>
    <col min="2" max="2" width="2.140625" customWidth="1"/>
    <col min="3" max="3" width="16.140625" customWidth="1"/>
    <col min="4" max="4" width="16.7109375" customWidth="1"/>
    <col min="5" max="5" width="8.42578125" customWidth="1"/>
    <col min="6" max="6" width="10.85546875" customWidth="1"/>
    <col min="7" max="7" width="14.42578125" customWidth="1"/>
    <col min="8" max="8" width="14.7109375" customWidth="1"/>
    <col min="9" max="9" width="12.42578125" customWidth="1"/>
    <col min="11" max="11" width="7.42578125" customWidth="1"/>
    <col min="12" max="12" width="7.28515625" customWidth="1"/>
    <col min="13" max="13" width="12" customWidth="1"/>
    <col min="14" max="14" width="8" customWidth="1"/>
    <col min="15" max="15" width="10" customWidth="1"/>
    <col min="16" max="16" width="16" customWidth="1"/>
    <col min="17" max="18" width="13" hidden="1" customWidth="1"/>
    <col min="19" max="20" width="9" customWidth="1"/>
    <col min="21" max="21" width="16" customWidth="1"/>
    <col min="22" max="22" width="14" customWidth="1"/>
    <col min="23" max="30" width="20" customWidth="1"/>
    <col min="31" max="31" width="18" customWidth="1"/>
  </cols>
  <sheetData>
    <row r="1" spans="1:38" ht="14.25" customHeight="1" x14ac:dyDescent="0.25">
      <c r="A1" s="18" t="s">
        <v>107</v>
      </c>
      <c r="B1" s="18" t="s">
        <v>108</v>
      </c>
      <c r="C1" s="18" t="s">
        <v>109</v>
      </c>
      <c r="D1" s="18" t="s">
        <v>110</v>
      </c>
      <c r="E1" s="19" t="s">
        <v>111</v>
      </c>
      <c r="F1" s="19" t="s">
        <v>112</v>
      </c>
      <c r="G1" s="19" t="s">
        <v>113</v>
      </c>
      <c r="H1" s="19" t="s">
        <v>114</v>
      </c>
      <c r="I1" s="20" t="s">
        <v>115</v>
      </c>
      <c r="J1" s="20" t="s">
        <v>116</v>
      </c>
      <c r="K1" s="20" t="s">
        <v>117</v>
      </c>
      <c r="L1" s="20" t="s">
        <v>118</v>
      </c>
      <c r="M1" s="21" t="s">
        <v>119</v>
      </c>
      <c r="N1" s="22" t="s">
        <v>120</v>
      </c>
      <c r="O1" s="22" t="s">
        <v>121</v>
      </c>
      <c r="P1" s="22" t="s">
        <v>50</v>
      </c>
      <c r="Q1" s="22" t="s">
        <v>122</v>
      </c>
      <c r="R1" s="22" t="s">
        <v>123</v>
      </c>
      <c r="S1" s="22" t="s">
        <v>124</v>
      </c>
      <c r="T1" s="22" t="s">
        <v>125</v>
      </c>
      <c r="U1" s="22" t="s">
        <v>126</v>
      </c>
      <c r="V1" s="22" t="s">
        <v>127</v>
      </c>
      <c r="W1" s="18" t="s">
        <v>20</v>
      </c>
      <c r="X1" s="18" t="s">
        <v>21</v>
      </c>
      <c r="Y1" s="18" t="s">
        <v>128</v>
      </c>
      <c r="Z1" s="18" t="s">
        <v>129</v>
      </c>
      <c r="AA1" s="18" t="s">
        <v>130</v>
      </c>
      <c r="AB1" s="18" t="s">
        <v>131</v>
      </c>
      <c r="AC1" s="18" t="s">
        <v>132</v>
      </c>
      <c r="AD1" s="18" t="s">
        <v>133</v>
      </c>
      <c r="AE1" s="10" t="s">
        <v>134</v>
      </c>
      <c r="AF1" t="s">
        <v>86</v>
      </c>
      <c r="AG1" t="s">
        <v>135</v>
      </c>
      <c r="AH1" t="s">
        <v>136</v>
      </c>
      <c r="AI1" t="s">
        <v>137</v>
      </c>
      <c r="AJ1" t="s">
        <v>138</v>
      </c>
      <c r="AK1" t="s">
        <v>139</v>
      </c>
      <c r="AL1" t="s">
        <v>140</v>
      </c>
    </row>
    <row r="2" spans="1:38" ht="14.25" customHeight="1" x14ac:dyDescent="0.25">
      <c r="A2" s="18">
        <v>2764</v>
      </c>
      <c r="B2" s="18" t="s">
        <v>18</v>
      </c>
      <c r="C2" s="18" t="s">
        <v>141</v>
      </c>
      <c r="E2" s="23" t="str">
        <f>IF(COUNTIF('Info Strategia'!$D$2:$D$51,$C2)&gt;0,"SI","NO")</f>
        <v>NO</v>
      </c>
      <c r="F2" s="24">
        <f>IFERROR(ROUND(($G2+($H2-$G2)*'Info Strategia'!$B$6)*(1+IF($E2="SI",'Parametri Modello'!$B$7*'Info Strategia'!$B$6,0)),0),"")</f>
        <v>397</v>
      </c>
      <c r="G2" s="24">
        <f>IFERROR(ROUND(MAX(1,(IF($V2&lt;=INDEX('Parametri Modello'!$C$57:$C$60,MATCH($B2,'Parametri Modello'!$A$57:$A$60,0)),IF(INDEX('Parametri Modello'!$E$57:$E$60,MATCH($B2,'Parametri Modello'!$A$57:$A$60,0))=0,0,($O2/INDEX('Parametri Modello'!$E$57:$E$60,MATCH($B2,'Parametri Modello'!$A$57:$A$60,0)))*(INDEX('Parametri Modello'!$D$57:$D$60,MATCH($B2,'Parametri Modello'!$A$57:$A$60,0))*(INDEX('Parametri Modello'!$B$50:$B$53,MATCH($B2,'Parametri Modello'!$A$50:$A$53,0))*'Parametri Modello'!$B$44))),IF(INDEX('Parametri Modello'!$F$57:$F$60,MATCH($B2,'Parametri Modello'!$A$57:$A$60,0))=0,0,($O2/INDEX('Parametri Modello'!$F$57:$F$60,MATCH($B2,'Parametri Modello'!$A$57:$A$60,0)))*((1-INDEX('Parametri Modello'!$D$57:$D$60,MATCH($B2,'Parametri Modello'!$A$57:$A$60,0)))*(INDEX('Parametri Modello'!$B$50:$B$53,MATCH($B2,'Parametri Modello'!$A$50:$A$53,0))*'Parametri Modello'!$B$44))))*(1+IF(IF($B2="D",'Info Lega'!$B$25,IF($B2="C",'Info Lega'!$B$26,"No"))="Si",'Parametri Modello'!$B$5,0))*(1+MAX(-0.25,MIN(0.25,IF(OR($T2="",$I2="",$I2=0,INDEX('Parametri Modello'!$B$19:$B$22,MATCH($B2,'Parametri Modello'!$A$19:$A$22,0))="",INDEX('Parametri Modello'!$B$19:$B$22,MATCH($B2,'Parametri Modello'!$A$19:$A$22,0))=0),0,(($T2-INDEX('Parametri Modello'!$B$19:$B$22,MATCH($B2,'Parametri Modello'!$A$19:$A$22,0)))/INDEX('Parametri Modello'!$B$19:$B$22,MATCH($B2,'Parametri Modello'!$A$19:$A$22,0)))*'Parametri Modello'!$B$9))))*(1+IF('Parametri Modello'!$B$27="Si",MAX(-'Parametri Modello'!$B$28,MIN('Parametri Modello'!$B$28*1.5,IF(OR(INDEX('Parametri Modello'!$F$32:$F$35,MATCH($B2,'Parametri Modello'!$A$32:$A$35,0))="",INDEX('Parametri Modello'!$F$32:$F$35,MATCH($B2,'Parametri Modello'!$A$32:$A$35,0))=0),0,(1/INDEX('Parametri Modello'!$F$32:$F$35,MATCH($B2,'Parametri Modello'!$A$32:$A$35,0))-1)*'Parametri Modello'!$B$28))),0)))*(1-INDEX('Parametri Modello'!$B$12:$B$15,MATCH($B2,'Parametri Modello'!$A$12:$A$15,0)))),0),"")</f>
        <v>248</v>
      </c>
      <c r="H2" s="24">
        <f>IFERROR(ROUND((IF($V2&lt;=INDEX('Parametri Modello'!$C$57:$C$60,MATCH($B2,'Parametri Modello'!$A$57:$A$60,0)),IF(INDEX('Parametri Modello'!$E$57:$E$60,MATCH($B2,'Parametri Modello'!$A$57:$A$60,0))=0,0,($O2/INDEX('Parametri Modello'!$E$57:$E$60,MATCH($B2,'Parametri Modello'!$A$57:$A$60,0)))*(INDEX('Parametri Modello'!$D$57:$D$60,MATCH($B2,'Parametri Modello'!$A$57:$A$60,0))*(INDEX('Parametri Modello'!$B$50:$B$53,MATCH($B2,'Parametri Modello'!$A$50:$A$53,0))*'Parametri Modello'!$B$44))),IF(INDEX('Parametri Modello'!$F$57:$F$60,MATCH($B2,'Parametri Modello'!$A$57:$A$60,0))=0,0,($O2/INDEX('Parametri Modello'!$F$57:$F$60,MATCH($B2,'Parametri Modello'!$A$57:$A$60,0)))*((1-INDEX('Parametri Modello'!$D$57:$D$60,MATCH($B2,'Parametri Modello'!$A$57:$A$60,0)))*(INDEX('Parametri Modello'!$B$50:$B$53,MATCH($B2,'Parametri Modello'!$A$50:$A$53,0))*'Parametri Modello'!$B$44))))*(1+IF(IF($B2="D",'Info Lega'!$B$25,IF($B2="C",'Info Lega'!$B$26,"No"))="Si",'Parametri Modello'!$B$5,0))*(1+MAX(-0.25,MIN(0.25,IF(OR($T2="",$I2="",$I2=0,INDEX('Parametri Modello'!$B$19:$B$22,MATCH($B2,'Parametri Modello'!$A$19:$A$22,0))="",INDEX('Parametri Modello'!$B$19:$B$22,MATCH($B2,'Parametri Modello'!$A$19:$A$22,0))=0),0,(($T2-INDEX('Parametri Modello'!$B$19:$B$22,MATCH($B2,'Parametri Modello'!$A$19:$A$22,0)))/INDEX('Parametri Modello'!$B$19:$B$22,MATCH($B2,'Parametri Modello'!$A$19:$A$22,0)))*'Parametri Modello'!$B$9))))*(1+IF('Parametri Modello'!$B$27="Si",MAX(-'Parametri Modello'!$B$28,MIN('Parametri Modello'!$B$28*1.5,IF(OR(INDEX('Parametri Modello'!$F$32:$F$35,MATCH($B2,'Parametri Modello'!$A$32:$A$35,0))="",INDEX('Parametri Modello'!$F$32:$F$35,MATCH($B2,'Parametri Modello'!$A$32:$A$35,0))=0),0,(1/INDEX('Parametri Modello'!$F$32:$F$35,MATCH($B2,'Parametri Modello'!$A$32:$A$35,0))-1)*'Parametri Modello'!$B$28))),0)))*(1+INDEX('Parametri Modello'!$B$12:$B$15,MATCH($B2,'Parametri Modello'!$A$12:$A$15,0))),0),"")</f>
        <v>461</v>
      </c>
      <c r="I2" s="23">
        <f>IFERROR(INDEX('Input Statistiche 2025_26'!$F$3:$F$665,MATCH($A2,'Input Statistiche 2025_26'!$A$3:$A$665,0)),"")</f>
        <v>30</v>
      </c>
      <c r="J2" s="23">
        <f t="shared" ref="J2:J65" si="0">IFERROR(IF($I2="","",MAX(0,38-$I2)),"")</f>
        <v>8</v>
      </c>
      <c r="K2" s="23">
        <f>IFERROR(INDEX('Input Statistiche 2025_26'!$I$3:$I$665,MATCH($A2,'Input Statistiche 2025_26'!$A$3:$A$665,0)),"")</f>
        <v>17</v>
      </c>
      <c r="L2" s="23">
        <f>IFERROR(INDEX('Input Statistiche 2025_26'!$O$3:$O$665,MATCH($A2,'Input Statistiche 2025_26'!$A$3:$A$665,0)),"")</f>
        <v>6</v>
      </c>
      <c r="M2" s="25"/>
      <c r="N2" s="24">
        <f>IFERROR(INDEX('Input Giocatori 2026_27'!$E$3:$E$493,MATCH($A2,'Input Giocatori 2026_27'!$A$3:$A$493,0)),"")</f>
        <v>35</v>
      </c>
      <c r="O2" s="24">
        <f>IFERROR(INDEX('Input Giocatori 2026_27'!$G$3:$G$493,MATCH($A2,'Input Giocatori 2026_27'!$A$3:$A$493,0)),"")</f>
        <v>370</v>
      </c>
      <c r="P2" s="23" t="str">
        <f>IFERROR(IF($O2="","",IF((1-(COUNTIFS($B$2:$B$492,$B2,$O$2:$O$492,"&gt;"&amp;$O2)+1-1)/COUNTIF($B$2:$B$492,$B2))&gt;='Parametri Modello'!$B$63,"Top",IF((1-(COUNTIFS($B$2:$B$492,$B2,$O$2:$O$492,"&gt;"&amp;$O2)+1-1)/COUNTIF($B$2:$B$492,$B2))&gt;='Parametri Modello'!$B$64,"Buono",IF((1-(COUNTIFS($B$2:$B$492,$B2,$O$2:$O$492,"&gt;"&amp;$O2)+1-1)/COUNTIF($B$2:$B$492,$B2))&gt;='Parametri Modello'!$B$65,"Nella Media","Scommessa/Riserva")))),"")</f>
        <v>Top</v>
      </c>
      <c r="Q2" s="26">
        <f>IF(AND($D2="",$N2&gt;1),SUMPRODUCT(($D$2:$D2="")*($N$2:$N2&gt;1)),"")</f>
        <v>1</v>
      </c>
      <c r="R2" s="26" t="str">
        <f>IF($D2='Info Lega'!$B$28,COUNTIFS($D$2:$D2,'Info Lega'!$B$28),"")</f>
        <v/>
      </c>
      <c r="S2" s="27">
        <f>IFERROR(INDEX('Input Statistiche 2025_26'!$G$3:$G$665,MATCH($A2,'Input Statistiche 2025_26'!$A$3:$A$665,0)),"")</f>
        <v>6.42</v>
      </c>
      <c r="T2" s="27">
        <f>IFERROR(INDEX('Input Statistiche 2025_26'!$H$3:$H$665,MATCH($A2,'Input Statistiche 2025_26'!$A$3:$A$665,0)),"")</f>
        <v>8.25</v>
      </c>
      <c r="U2" s="23" t="str">
        <f>IF(OR('La Mia Rosa'!$O$12="",$D2&lt;&gt;""),"",IF($F2&lt;='La Mia Rosa'!$O$12*'Parametri Modello'!$B$24,"OK",IF($F2&lt;='La Mia Rosa'!$O$12*'Parametri Modello'!$B$25,"Attenzione","Rischio Alto")))</f>
        <v>Rischio Alto</v>
      </c>
      <c r="V2" s="23">
        <f t="shared" ref="V2:V65" si="1">IFERROR(COUNTIFS($B$2:$B$492,$B2,$O$2:$O$492,"&gt;"&amp;$O2)+1,"")</f>
        <v>1</v>
      </c>
      <c r="W2" s="18">
        <f>'Info Lega'!$B$4-SUMIFS($M$2:$M$492,$D$2:$D$492,'Info Lega'!$B$28)</f>
        <v>1000</v>
      </c>
      <c r="X2" s="18">
        <f>('Info Lega'!$B$5-COUNTIFS($D$2:$D$492,'Info Lega'!$B$28,$B$2:$B$492,"P"))+('Info Lega'!$B$6-COUNTIFS($D$2:$D$492,'Info Lega'!$B$28,$B$2:$B$492,"D"))+('Info Lega'!$B$7-COUNTIFS($D$2:$D$492,'Info Lega'!$B$28,$B$2:$B$492,"C"))+('Info Lega'!$B$8-COUNTIFS($D$2:$D$492,'Info Lega'!$B$28,$B$2:$B$492,"A"))</f>
        <v>25</v>
      </c>
      <c r="Y2" s="18">
        <f>X2*'Parametri Modello'!$B$30</f>
        <v>25</v>
      </c>
      <c r="Z2" s="18">
        <f t="shared" ref="Z2:Z65" si="2">MAX(0,W2-Y2)</f>
        <v>975</v>
      </c>
      <c r="AA2" s="18">
        <f t="shared" ref="AA2:AA65" si="3">MIN(F2,Z2)</f>
        <v>397</v>
      </c>
      <c r="AB2" s="18"/>
      <c r="AC2" s="18" t="str">
        <f>IF($AB2="","",IF($AB2&gt;$AA2,"PASS",IF($AB2&lt;=$AA2*(1-'Parametri Modello'!$B$68),"BID","ATTENZIONE")))</f>
        <v/>
      </c>
      <c r="AD2" s="28">
        <f t="shared" ref="AD2:AD65" si="4">IF(I2="","",ROUND(100*(1-EXP(-I2/30)),0))</f>
        <v>63</v>
      </c>
      <c r="AE2" s="5" t="str">
        <f>IFERROR(INDEX('Stato Asta'!$G$9:$G$12,MATCH($B2,'Stato Asta'!$A$9:$A$12,0)),"")</f>
        <v>🔴 Non aspettare</v>
      </c>
      <c r="AF2" t="str">
        <f>IFERROR(IF($V2&lt;=INDEX('Parametri Modello'!$C$57:$C$60,MATCH($B2,'Parametri Modello'!$A$57:$A$60,0)),"Titolare","Riserva"),"")</f>
        <v>Titolare</v>
      </c>
      <c r="AG2" t="str">
        <f>IFERROR(INDEX('Pressione Competitiva'!$F$3:$F$6,MATCH($B2,'Pressione Competitiva'!$B$3:$B$6,0)),"")</f>
        <v>🔴 Molto Alta</v>
      </c>
      <c r="AH2" t="str">
        <f t="shared" ref="AH2:AH65" si="5">IF($AB2="","",$AA2-$AB2)</f>
        <v/>
      </c>
      <c r="AI2" t="str">
        <f>IFERROR(IF($AH2="","",IF($AH2&gt;=$AA2*'Parametri Modello'!$B$68,"🟢 Opportunita'",IF($AH2&lt;=$AA2*'Parametri Modello'!$B$69,"🔴 Sovrapprezzo","🟡 Prezzo Corretto"))),"")</f>
        <v/>
      </c>
      <c r="AJ2" t="str">
        <f t="shared" ref="AJ2:AJ65" si="6">IF($AB2="","",IF($AC2="PASS","Prezzo sopra la tua Offerta Max Dinamica ("&amp;$AA2&amp;" cr).",IF($AC2="BID","Margine ampio sul tuo tetto (+"&amp;($AA2-$AB2)&amp;" cr).","Margine ridotto: sei vicino al tuo tetto ("&amp;($AA2-$AB2)&amp;" cr residui).")))</f>
        <v/>
      </c>
      <c r="AK2">
        <f t="shared" ref="AK2:AK65" si="7">IF(AND($D2="",$N2&gt;1),COUNTIFS($B$2:$B$492,$B2,$P$2:$P$492,$P2,$D$2:$D$492,"",$N$2:$N$492,"&gt;1",$O$2:$O$492,"&gt;"&amp;$O2)+1,"")</f>
        <v>1</v>
      </c>
      <c r="AL2" t="str">
        <f t="shared" ref="AL2:AL65" si="8">IF($AK2="","",$B2&amp;"|"&amp;$P2&amp;"|"&amp;$AK2)</f>
        <v>A|Top|1</v>
      </c>
    </row>
    <row r="3" spans="1:38" ht="14.25" customHeight="1" x14ac:dyDescent="0.25">
      <c r="A3" s="18">
        <v>5585</v>
      </c>
      <c r="B3" s="18" t="s">
        <v>18</v>
      </c>
      <c r="C3" s="18" t="s">
        <v>142</v>
      </c>
      <c r="E3" s="23" t="str">
        <f>IF(COUNTIF('Info Strategia'!$D$2:$D$51,$C3)&gt;0,"SI","NO")</f>
        <v>NO</v>
      </c>
      <c r="F3" s="24">
        <f>IFERROR(ROUND(($G3+($H3-$G3)*'Info Strategia'!$B$6)*(1+IF($E3="SI",'Parametri Modello'!$B$7*'Info Strategia'!$B$6,0)),0),"")</f>
        <v>400</v>
      </c>
      <c r="G3" s="24">
        <f>IFERROR(ROUND(MAX(1,(IF($V3&lt;=INDEX('Parametri Modello'!$C$57:$C$60,MATCH($B3,'Parametri Modello'!$A$57:$A$60,0)),IF(INDEX('Parametri Modello'!$E$57:$E$60,MATCH($B3,'Parametri Modello'!$A$57:$A$60,0))=0,0,($O3/INDEX('Parametri Modello'!$E$57:$E$60,MATCH($B3,'Parametri Modello'!$A$57:$A$60,0)))*(INDEX('Parametri Modello'!$D$57:$D$60,MATCH($B3,'Parametri Modello'!$A$57:$A$60,0))*(INDEX('Parametri Modello'!$B$50:$B$53,MATCH($B3,'Parametri Modello'!$A$50:$A$53,0))*'Parametri Modello'!$B$44))),IF(INDEX('Parametri Modello'!$F$57:$F$60,MATCH($B3,'Parametri Modello'!$A$57:$A$60,0))=0,0,($O3/INDEX('Parametri Modello'!$F$57:$F$60,MATCH($B3,'Parametri Modello'!$A$57:$A$60,0)))*((1-INDEX('Parametri Modello'!$D$57:$D$60,MATCH($B3,'Parametri Modello'!$A$57:$A$60,0)))*(INDEX('Parametri Modello'!$B$50:$B$53,MATCH($B3,'Parametri Modello'!$A$50:$A$53,0))*'Parametri Modello'!$B$44))))*(1+IF(IF($B3="D",'Info Lega'!$B$25,IF($B3="C",'Info Lega'!$B$26,"No"))="Si",'Parametri Modello'!$B$5,0))*(1+MAX(-0.25,MIN(0.25,IF(OR($T3="",$I3="",$I3=0,INDEX('Parametri Modello'!$B$19:$B$22,MATCH($B3,'Parametri Modello'!$A$19:$A$22,0))="",INDEX('Parametri Modello'!$B$19:$B$22,MATCH($B3,'Parametri Modello'!$A$19:$A$22,0))=0),0,(($T3-INDEX('Parametri Modello'!$B$19:$B$22,MATCH($B3,'Parametri Modello'!$A$19:$A$22,0)))/INDEX('Parametri Modello'!$B$19:$B$22,MATCH($B3,'Parametri Modello'!$A$19:$A$22,0)))*'Parametri Modello'!$B$9))))*(1+IF('Parametri Modello'!$B$27="Si",MAX(-'Parametri Modello'!$B$28,MIN('Parametri Modello'!$B$28*1.5,IF(OR(INDEX('Parametri Modello'!$F$32:$F$35,MATCH($B3,'Parametri Modello'!$A$32:$A$35,0))="",INDEX('Parametri Modello'!$F$32:$F$35,MATCH($B3,'Parametri Modello'!$A$32:$A$35,0))=0),0,(1/INDEX('Parametri Modello'!$F$32:$F$35,MATCH($B3,'Parametri Modello'!$A$32:$A$35,0))-1)*'Parametri Modello'!$B$28))),0)))*(1-INDEX('Parametri Modello'!$B$12:$B$15,MATCH($B3,'Parametri Modello'!$A$12:$A$15,0)))),0),"")</f>
        <v>250</v>
      </c>
      <c r="H3" s="24">
        <f>IFERROR(ROUND((IF($V3&lt;=INDEX('Parametri Modello'!$C$57:$C$60,MATCH($B3,'Parametri Modello'!$A$57:$A$60,0)),IF(INDEX('Parametri Modello'!$E$57:$E$60,MATCH($B3,'Parametri Modello'!$A$57:$A$60,0))=0,0,($O3/INDEX('Parametri Modello'!$E$57:$E$60,MATCH($B3,'Parametri Modello'!$A$57:$A$60,0)))*(INDEX('Parametri Modello'!$D$57:$D$60,MATCH($B3,'Parametri Modello'!$A$57:$A$60,0))*(INDEX('Parametri Modello'!$B$50:$B$53,MATCH($B3,'Parametri Modello'!$A$50:$A$53,0))*'Parametri Modello'!$B$44))),IF(INDEX('Parametri Modello'!$F$57:$F$60,MATCH($B3,'Parametri Modello'!$A$57:$A$60,0))=0,0,($O3/INDEX('Parametri Modello'!$F$57:$F$60,MATCH($B3,'Parametri Modello'!$A$57:$A$60,0)))*((1-INDEX('Parametri Modello'!$D$57:$D$60,MATCH($B3,'Parametri Modello'!$A$57:$A$60,0)))*(INDEX('Parametri Modello'!$B$50:$B$53,MATCH($B3,'Parametri Modello'!$A$50:$A$53,0))*'Parametri Modello'!$B$44))))*(1+IF(IF($B3="D",'Info Lega'!$B$25,IF($B3="C",'Info Lega'!$B$26,"No"))="Si",'Parametri Modello'!$B$5,0))*(1+MAX(-0.25,MIN(0.25,IF(OR($T3="",$I3="",$I3=0,INDEX('Parametri Modello'!$B$19:$B$22,MATCH($B3,'Parametri Modello'!$A$19:$A$22,0))="",INDEX('Parametri Modello'!$B$19:$B$22,MATCH($B3,'Parametri Modello'!$A$19:$A$22,0))=0),0,(($T3-INDEX('Parametri Modello'!$B$19:$B$22,MATCH($B3,'Parametri Modello'!$A$19:$A$22,0)))/INDEX('Parametri Modello'!$B$19:$B$22,MATCH($B3,'Parametri Modello'!$A$19:$A$22,0)))*'Parametri Modello'!$B$9))))*(1+IF('Parametri Modello'!$B$27="Si",MAX(-'Parametri Modello'!$B$28,MIN('Parametri Modello'!$B$28*1.5,IF(OR(INDEX('Parametri Modello'!$F$32:$F$35,MATCH($B3,'Parametri Modello'!$A$32:$A$35,0))="",INDEX('Parametri Modello'!$F$32:$F$35,MATCH($B3,'Parametri Modello'!$A$32:$A$35,0))=0),0,(1/INDEX('Parametri Modello'!$F$32:$F$35,MATCH($B3,'Parametri Modello'!$A$32:$A$35,0))-1)*'Parametri Modello'!$B$28))),0)))*(1+INDEX('Parametri Modello'!$B$12:$B$15,MATCH($B3,'Parametri Modello'!$A$12:$A$15,0))),0),"")</f>
        <v>464</v>
      </c>
      <c r="I3" s="23">
        <f>IFERROR(INDEX('Input Statistiche 2025_26'!$F$3:$F$665,MATCH($A3,'Input Statistiche 2025_26'!$A$3:$A$665,0)),"")</f>
        <v>18</v>
      </c>
      <c r="J3" s="23">
        <f t="shared" si="0"/>
        <v>20</v>
      </c>
      <c r="K3" s="23">
        <f>IFERROR(INDEX('Input Statistiche 2025_26'!$I$3:$I$665,MATCH($A3,'Input Statistiche 2025_26'!$A$3:$A$665,0)),"")</f>
        <v>14</v>
      </c>
      <c r="L3" s="23">
        <f>IFERROR(INDEX('Input Statistiche 2025_26'!$O$3:$O$665,MATCH($A3,'Input Statistiche 2025_26'!$A$3:$A$665,0)),"")</f>
        <v>2</v>
      </c>
      <c r="M3" s="25"/>
      <c r="N3" s="24">
        <f>IFERROR(INDEX('Input Giocatori 2026_27'!$E$3:$E$493,MATCH($A3,'Input Giocatori 2026_27'!$A$3:$A$493,0)),"")</f>
        <v>34</v>
      </c>
      <c r="O3" s="24">
        <f>IFERROR(INDEX('Input Giocatori 2026_27'!$G$3:$G$493,MATCH($A3,'Input Giocatori 2026_27'!$A$3:$A$493,0)),"")</f>
        <v>365</v>
      </c>
      <c r="P3" s="23" t="str">
        <f>IFERROR(IF($O3="","",IF((1-(COUNTIFS($B$2:$B$492,$B3,$O$2:$O$492,"&gt;"&amp;$O3)+1-1)/COUNTIF($B$2:$B$492,$B3))&gt;='Parametri Modello'!$B$63,"Top",IF((1-(COUNTIFS($B$2:$B$492,$B3,$O$2:$O$492,"&gt;"&amp;$O3)+1-1)/COUNTIF($B$2:$B$492,$B3))&gt;='Parametri Modello'!$B$64,"Buono",IF((1-(COUNTIFS($B$2:$B$492,$B3,$O$2:$O$492,"&gt;"&amp;$O3)+1-1)/COUNTIF($B$2:$B$492,$B3))&gt;='Parametri Modello'!$B$65,"Nella Media","Scommessa/Riserva")))),"")</f>
        <v>Top</v>
      </c>
      <c r="Q3" s="26">
        <f>IF(AND($D3="",$N3&gt;1),SUMPRODUCT(($D$2:$D3="")*($N$2:$N3&gt;1)),"")</f>
        <v>2</v>
      </c>
      <c r="R3" s="26" t="str">
        <f>IF($D3='Info Lega'!$B$28,COUNTIFS($D$2:$D3,'Info Lega'!$B$28),"")</f>
        <v/>
      </c>
      <c r="S3" s="27">
        <f>IFERROR(INDEX('Input Statistiche 2025_26'!$G$3:$G$665,MATCH($A3,'Input Statistiche 2025_26'!$A$3:$A$665,0)),"")</f>
        <v>6.72</v>
      </c>
      <c r="T3" s="27">
        <f>IFERROR(INDEX('Input Statistiche 2025_26'!$H$3:$H$665,MATCH($A3,'Input Statistiche 2025_26'!$A$3:$A$665,0)),"")</f>
        <v>8.9700000000000006</v>
      </c>
      <c r="U3" s="23" t="str">
        <f>IF(OR('La Mia Rosa'!$O$12="",$D3&lt;&gt;""),"",IF($F3&lt;='La Mia Rosa'!$O$12*'Parametri Modello'!$B$24,"OK",IF($F3&lt;='La Mia Rosa'!$O$12*'Parametri Modello'!$B$25,"Attenzione","Rischio Alto")))</f>
        <v>Rischio Alto</v>
      </c>
      <c r="V3" s="23">
        <f t="shared" si="1"/>
        <v>2</v>
      </c>
      <c r="W3" s="18">
        <f>'Info Lega'!$B$4-SUMIFS($M$2:$M$492,$D$2:$D$492,'Info Lega'!$B$28)</f>
        <v>1000</v>
      </c>
      <c r="X3" s="18">
        <f>('Info Lega'!$B$5-COUNTIFS($D$2:$D$492,'Info Lega'!$B$28,$B$2:$B$492,"P"))+('Info Lega'!$B$6-COUNTIFS($D$2:$D$492,'Info Lega'!$B$28,$B$2:$B$492,"D"))+('Info Lega'!$B$7-COUNTIFS($D$2:$D$492,'Info Lega'!$B$28,$B$2:$B$492,"C"))+('Info Lega'!$B$8-COUNTIFS($D$2:$D$492,'Info Lega'!$B$28,$B$2:$B$492,"A"))</f>
        <v>25</v>
      </c>
      <c r="Y3" s="18">
        <f>X3*'Parametri Modello'!$B$30</f>
        <v>25</v>
      </c>
      <c r="Z3" s="18">
        <f t="shared" si="2"/>
        <v>975</v>
      </c>
      <c r="AA3" s="18">
        <f t="shared" si="3"/>
        <v>400</v>
      </c>
      <c r="AB3" s="18"/>
      <c r="AC3" s="18" t="str">
        <f>IF($AB3="","",IF($AB3&gt;$AA3,"PASS",IF($AB3&lt;=$AA3*(1-'Parametri Modello'!$B$68),"BID","ATTENZIONE")))</f>
        <v/>
      </c>
      <c r="AD3" s="28">
        <f t="shared" si="4"/>
        <v>45</v>
      </c>
      <c r="AE3" s="5" t="str">
        <f>IFERROR(INDEX('Stato Asta'!$G$9:$G$12,MATCH($B3,'Stato Asta'!$A$9:$A$12,0)),"")</f>
        <v>🔴 Non aspettare</v>
      </c>
      <c r="AF3" t="str">
        <f>IFERROR(IF($V3&lt;=INDEX('Parametri Modello'!$C$57:$C$60,MATCH($B3,'Parametri Modello'!$A$57:$A$60,0)),"Titolare","Riserva"),"")</f>
        <v>Titolare</v>
      </c>
      <c r="AG3" t="str">
        <f>IFERROR(INDEX('Pressione Competitiva'!$F$3:$F$6,MATCH($B3,'Pressione Competitiva'!$B$3:$B$6,0)),"")</f>
        <v>🔴 Molto Alta</v>
      </c>
      <c r="AH3" t="str">
        <f t="shared" si="5"/>
        <v/>
      </c>
      <c r="AI3" t="str">
        <f>IFERROR(IF($AH3="","",IF($AH3&gt;=$AA3*'Parametri Modello'!$B$68,"🟢 Opportunita'",IF($AH3&lt;=$AA3*'Parametri Modello'!$B$69,"🔴 Sovrapprezzo","🟡 Prezzo Corretto"))),"")</f>
        <v/>
      </c>
      <c r="AJ3" t="str">
        <f t="shared" si="6"/>
        <v/>
      </c>
      <c r="AK3">
        <f t="shared" si="7"/>
        <v>2</v>
      </c>
      <c r="AL3" t="str">
        <f t="shared" si="8"/>
        <v>A|Top|2</v>
      </c>
    </row>
    <row r="4" spans="1:38" ht="14.25" customHeight="1" x14ac:dyDescent="0.25">
      <c r="A4" s="18">
        <v>4871</v>
      </c>
      <c r="B4" s="18" t="s">
        <v>18</v>
      </c>
      <c r="C4" s="18" t="s">
        <v>143</v>
      </c>
      <c r="E4" s="23" t="str">
        <f>IF(COUNTIF('Info Strategia'!$D$2:$D$51,$C4)&gt;0,"SI","NO")</f>
        <v>NO</v>
      </c>
      <c r="F4" s="24">
        <f>IFERROR(ROUND(($G4+($H4-$G4)*'Info Strategia'!$B$6)*(1+IF($E4="SI",'Parametri Modello'!$B$7*'Info Strategia'!$B$6,0)),0),"")</f>
        <v>298</v>
      </c>
      <c r="G4" s="24">
        <f>IFERROR(ROUND(MAX(1,(IF($V4&lt;=INDEX('Parametri Modello'!$C$57:$C$60,MATCH($B4,'Parametri Modello'!$A$57:$A$60,0)),IF(INDEX('Parametri Modello'!$E$57:$E$60,MATCH($B4,'Parametri Modello'!$A$57:$A$60,0))=0,0,($O4/INDEX('Parametri Modello'!$E$57:$E$60,MATCH($B4,'Parametri Modello'!$A$57:$A$60,0)))*(INDEX('Parametri Modello'!$D$57:$D$60,MATCH($B4,'Parametri Modello'!$A$57:$A$60,0))*(INDEX('Parametri Modello'!$B$50:$B$53,MATCH($B4,'Parametri Modello'!$A$50:$A$53,0))*'Parametri Modello'!$B$44))),IF(INDEX('Parametri Modello'!$F$57:$F$60,MATCH($B4,'Parametri Modello'!$A$57:$A$60,0))=0,0,($O4/INDEX('Parametri Modello'!$F$57:$F$60,MATCH($B4,'Parametri Modello'!$A$57:$A$60,0)))*((1-INDEX('Parametri Modello'!$D$57:$D$60,MATCH($B4,'Parametri Modello'!$A$57:$A$60,0)))*(INDEX('Parametri Modello'!$B$50:$B$53,MATCH($B4,'Parametri Modello'!$A$50:$A$53,0))*'Parametri Modello'!$B$44))))*(1+IF(IF($B4="D",'Info Lega'!$B$25,IF($B4="C",'Info Lega'!$B$26,"No"))="Si",'Parametri Modello'!$B$5,0))*(1+MAX(-0.25,MIN(0.25,IF(OR($T4="",$I4="",$I4=0,INDEX('Parametri Modello'!$B$19:$B$22,MATCH($B4,'Parametri Modello'!$A$19:$A$22,0))="",INDEX('Parametri Modello'!$B$19:$B$22,MATCH($B4,'Parametri Modello'!$A$19:$A$22,0))=0),0,(($T4-INDEX('Parametri Modello'!$B$19:$B$22,MATCH($B4,'Parametri Modello'!$A$19:$A$22,0)))/INDEX('Parametri Modello'!$B$19:$B$22,MATCH($B4,'Parametri Modello'!$A$19:$A$22,0)))*'Parametri Modello'!$B$9))))*(1+IF('Parametri Modello'!$B$27="Si",MAX(-'Parametri Modello'!$B$28,MIN('Parametri Modello'!$B$28*1.5,IF(OR(INDEX('Parametri Modello'!$F$32:$F$35,MATCH($B4,'Parametri Modello'!$A$32:$A$35,0))="",INDEX('Parametri Modello'!$F$32:$F$35,MATCH($B4,'Parametri Modello'!$A$32:$A$35,0))=0),0,(1/INDEX('Parametri Modello'!$F$32:$F$35,MATCH($B4,'Parametri Modello'!$A$32:$A$35,0))-1)*'Parametri Modello'!$B$28))),0)))*(1-INDEX('Parametri Modello'!$B$12:$B$15,MATCH($B4,'Parametri Modello'!$A$12:$A$15,0)))),0),"")</f>
        <v>186</v>
      </c>
      <c r="H4" s="24">
        <f>IFERROR(ROUND((IF($V4&lt;=INDEX('Parametri Modello'!$C$57:$C$60,MATCH($B4,'Parametri Modello'!$A$57:$A$60,0)),IF(INDEX('Parametri Modello'!$E$57:$E$60,MATCH($B4,'Parametri Modello'!$A$57:$A$60,0))=0,0,($O4/INDEX('Parametri Modello'!$E$57:$E$60,MATCH($B4,'Parametri Modello'!$A$57:$A$60,0)))*(INDEX('Parametri Modello'!$D$57:$D$60,MATCH($B4,'Parametri Modello'!$A$57:$A$60,0))*(INDEX('Parametri Modello'!$B$50:$B$53,MATCH($B4,'Parametri Modello'!$A$50:$A$53,0))*'Parametri Modello'!$B$44))),IF(INDEX('Parametri Modello'!$F$57:$F$60,MATCH($B4,'Parametri Modello'!$A$57:$A$60,0))=0,0,($O4/INDEX('Parametri Modello'!$F$57:$F$60,MATCH($B4,'Parametri Modello'!$A$57:$A$60,0)))*((1-INDEX('Parametri Modello'!$D$57:$D$60,MATCH($B4,'Parametri Modello'!$A$57:$A$60,0)))*(INDEX('Parametri Modello'!$B$50:$B$53,MATCH($B4,'Parametri Modello'!$A$50:$A$53,0))*'Parametri Modello'!$B$44))))*(1+IF(IF($B4="D",'Info Lega'!$B$25,IF($B4="C",'Info Lega'!$B$26,"No"))="Si",'Parametri Modello'!$B$5,0))*(1+MAX(-0.25,MIN(0.25,IF(OR($T4="",$I4="",$I4=0,INDEX('Parametri Modello'!$B$19:$B$22,MATCH($B4,'Parametri Modello'!$A$19:$A$22,0))="",INDEX('Parametri Modello'!$B$19:$B$22,MATCH($B4,'Parametri Modello'!$A$19:$A$22,0))=0),0,(($T4-INDEX('Parametri Modello'!$B$19:$B$22,MATCH($B4,'Parametri Modello'!$A$19:$A$22,0)))/INDEX('Parametri Modello'!$B$19:$B$22,MATCH($B4,'Parametri Modello'!$A$19:$A$22,0)))*'Parametri Modello'!$B$9))))*(1+IF('Parametri Modello'!$B$27="Si",MAX(-'Parametri Modello'!$B$28,MIN('Parametri Modello'!$B$28*1.5,IF(OR(INDEX('Parametri Modello'!$F$32:$F$35,MATCH($B4,'Parametri Modello'!$A$32:$A$35,0))="",INDEX('Parametri Modello'!$F$32:$F$35,MATCH($B4,'Parametri Modello'!$A$32:$A$35,0))=0),0,(1/INDEX('Parametri Modello'!$F$32:$F$35,MATCH($B4,'Parametri Modello'!$A$32:$A$35,0))-1)*'Parametri Modello'!$B$28))),0)))*(1+INDEX('Parametri Modello'!$B$12:$B$15,MATCH($B4,'Parametri Modello'!$A$12:$A$15,0))),0),"")</f>
        <v>346</v>
      </c>
      <c r="I4" s="23">
        <f>IFERROR(INDEX('Input Statistiche 2025_26'!$F$3:$F$665,MATCH($A4,'Input Statistiche 2025_26'!$A$3:$A$665,0)),"")</f>
        <v>29</v>
      </c>
      <c r="J4" s="23">
        <f t="shared" si="0"/>
        <v>9</v>
      </c>
      <c r="K4" s="23">
        <f>IFERROR(INDEX('Input Statistiche 2025_26'!$I$3:$I$665,MATCH($A4,'Input Statistiche 2025_26'!$A$3:$A$665,0)),"")</f>
        <v>13</v>
      </c>
      <c r="L4" s="23">
        <f>IFERROR(INDEX('Input Statistiche 2025_26'!$O$3:$O$665,MATCH($A4,'Input Statistiche 2025_26'!$A$3:$A$665,0)),"")</f>
        <v>6</v>
      </c>
      <c r="M4" s="25"/>
      <c r="N4" s="24">
        <f>IFERROR(INDEX('Input Giocatori 2026_27'!$E$3:$E$493,MATCH($A4,'Input Giocatori 2026_27'!$A$3:$A$493,0)),"")</f>
        <v>29</v>
      </c>
      <c r="O4" s="24">
        <f>IFERROR(INDEX('Input Giocatori 2026_27'!$G$3:$G$493,MATCH($A4,'Input Giocatori 2026_27'!$A$3:$A$493,0)),"")</f>
        <v>280</v>
      </c>
      <c r="P4" s="23" t="str">
        <f>IFERROR(IF($O4="","",IF((1-(COUNTIFS($B$2:$B$492,$B4,$O$2:$O$492,"&gt;"&amp;$O4)+1-1)/COUNTIF($B$2:$B$492,$B4))&gt;='Parametri Modello'!$B$63,"Top",IF((1-(COUNTIFS($B$2:$B$492,$B4,$O$2:$O$492,"&gt;"&amp;$O4)+1-1)/COUNTIF($B$2:$B$492,$B4))&gt;='Parametri Modello'!$B$64,"Buono",IF((1-(COUNTIFS($B$2:$B$492,$B4,$O$2:$O$492,"&gt;"&amp;$O4)+1-1)/COUNTIF($B$2:$B$492,$B4))&gt;='Parametri Modello'!$B$65,"Nella Media","Scommessa/Riserva")))),"")</f>
        <v>Top</v>
      </c>
      <c r="Q4" s="26">
        <f>IF(AND($D4="",$N4&gt;1),SUMPRODUCT(($D$2:$D4="")*($N$2:$N4&gt;1)),"")</f>
        <v>3</v>
      </c>
      <c r="R4" s="26" t="str">
        <f>IF($D4='Info Lega'!$B$28,COUNTIFS($D$2:$D4,'Info Lega'!$B$28),"")</f>
        <v/>
      </c>
      <c r="S4" s="27">
        <f>IFERROR(INDEX('Input Statistiche 2025_26'!$G$3:$G$665,MATCH($A4,'Input Statistiche 2025_26'!$A$3:$A$665,0)),"")</f>
        <v>6.43</v>
      </c>
      <c r="T4" s="27">
        <f>IFERROR(INDEX('Input Statistiche 2025_26'!$H$3:$H$665,MATCH($A4,'Input Statistiche 2025_26'!$A$3:$A$665,0)),"")</f>
        <v>7.95</v>
      </c>
      <c r="U4" s="23" t="str">
        <f>IF(OR('La Mia Rosa'!$O$12="",$D4&lt;&gt;""),"",IF($F4&lt;='La Mia Rosa'!$O$12*'Parametri Modello'!$B$24,"OK",IF($F4&lt;='La Mia Rosa'!$O$12*'Parametri Modello'!$B$25,"Attenzione","Rischio Alto")))</f>
        <v>Rischio Alto</v>
      </c>
      <c r="V4" s="23">
        <f t="shared" si="1"/>
        <v>3</v>
      </c>
      <c r="W4" s="18">
        <f>'Info Lega'!$B$4-SUMIFS($M$2:$M$492,$D$2:$D$492,'Info Lega'!$B$28)</f>
        <v>1000</v>
      </c>
      <c r="X4" s="18">
        <f>('Info Lega'!$B$5-COUNTIFS($D$2:$D$492,'Info Lega'!$B$28,$B$2:$B$492,"P"))+('Info Lega'!$B$6-COUNTIFS($D$2:$D$492,'Info Lega'!$B$28,$B$2:$B$492,"D"))+('Info Lega'!$B$7-COUNTIFS($D$2:$D$492,'Info Lega'!$B$28,$B$2:$B$492,"C"))+('Info Lega'!$B$8-COUNTIFS($D$2:$D$492,'Info Lega'!$B$28,$B$2:$B$492,"A"))</f>
        <v>25</v>
      </c>
      <c r="Y4" s="18">
        <f>X4*'Parametri Modello'!$B$30</f>
        <v>25</v>
      </c>
      <c r="Z4" s="18">
        <f t="shared" si="2"/>
        <v>975</v>
      </c>
      <c r="AA4" s="18">
        <f t="shared" si="3"/>
        <v>298</v>
      </c>
      <c r="AB4" s="18"/>
      <c r="AC4" s="18" t="str">
        <f>IF($AB4="","",IF($AB4&gt;$AA4,"PASS",IF($AB4&lt;=$AA4*(1-'Parametri Modello'!$B$68),"BID","ATTENZIONE")))</f>
        <v/>
      </c>
      <c r="AD4" s="28">
        <f t="shared" si="4"/>
        <v>62</v>
      </c>
      <c r="AE4" s="5" t="str">
        <f>IFERROR(INDEX('Stato Asta'!$G$9:$G$12,MATCH($B4,'Stato Asta'!$A$9:$A$12,0)),"")</f>
        <v>🔴 Non aspettare</v>
      </c>
      <c r="AF4" t="str">
        <f>IFERROR(IF($V4&lt;=INDEX('Parametri Modello'!$C$57:$C$60,MATCH($B4,'Parametri Modello'!$A$57:$A$60,0)),"Titolare","Riserva"),"")</f>
        <v>Titolare</v>
      </c>
      <c r="AG4" t="str">
        <f>IFERROR(INDEX('Pressione Competitiva'!$F$3:$F$6,MATCH($B4,'Pressione Competitiva'!$B$3:$B$6,0)),"")</f>
        <v>🔴 Molto Alta</v>
      </c>
      <c r="AH4" t="str">
        <f t="shared" si="5"/>
        <v/>
      </c>
      <c r="AI4" t="str">
        <f>IFERROR(IF($AH4="","",IF($AH4&gt;=$AA4*'Parametri Modello'!$B$68,"🟢 Opportunita'",IF($AH4&lt;=$AA4*'Parametri Modello'!$B$69,"🔴 Sovrapprezzo","🟡 Prezzo Corretto"))),"")</f>
        <v/>
      </c>
      <c r="AJ4" t="str">
        <f t="shared" si="6"/>
        <v/>
      </c>
      <c r="AK4">
        <f t="shared" si="7"/>
        <v>3</v>
      </c>
      <c r="AL4" t="str">
        <f t="shared" si="8"/>
        <v>A|Top|3</v>
      </c>
    </row>
    <row r="5" spans="1:38" ht="14.25" customHeight="1" x14ac:dyDescent="0.25">
      <c r="A5" s="18">
        <v>6052</v>
      </c>
      <c r="B5" s="18" t="s">
        <v>18</v>
      </c>
      <c r="C5" s="18" t="s">
        <v>144</v>
      </c>
      <c r="E5" s="23" t="str">
        <f>IF(COUNTIF('Info Strategia'!$D$2:$D$51,$C5)&gt;0,"SI","NO")</f>
        <v>NO</v>
      </c>
      <c r="F5" s="24">
        <f>IFERROR(ROUND(($G5+($H5-$G5)*'Info Strategia'!$B$6)*(1+IF($E5="SI",'Parametri Modello'!$B$7*'Info Strategia'!$B$6,0)),0),"")</f>
        <v>284</v>
      </c>
      <c r="G5" s="24">
        <f>IFERROR(ROUND(MAX(1,(IF($V5&lt;=INDEX('Parametri Modello'!$C$57:$C$60,MATCH($B5,'Parametri Modello'!$A$57:$A$60,0)),IF(INDEX('Parametri Modello'!$E$57:$E$60,MATCH($B5,'Parametri Modello'!$A$57:$A$60,0))=0,0,($O5/INDEX('Parametri Modello'!$E$57:$E$60,MATCH($B5,'Parametri Modello'!$A$57:$A$60,0)))*(INDEX('Parametri Modello'!$D$57:$D$60,MATCH($B5,'Parametri Modello'!$A$57:$A$60,0))*(INDEX('Parametri Modello'!$B$50:$B$53,MATCH($B5,'Parametri Modello'!$A$50:$A$53,0))*'Parametri Modello'!$B$44))),IF(INDEX('Parametri Modello'!$F$57:$F$60,MATCH($B5,'Parametri Modello'!$A$57:$A$60,0))=0,0,($O5/INDEX('Parametri Modello'!$F$57:$F$60,MATCH($B5,'Parametri Modello'!$A$57:$A$60,0)))*((1-INDEX('Parametri Modello'!$D$57:$D$60,MATCH($B5,'Parametri Modello'!$A$57:$A$60,0)))*(INDEX('Parametri Modello'!$B$50:$B$53,MATCH($B5,'Parametri Modello'!$A$50:$A$53,0))*'Parametri Modello'!$B$44))))*(1+IF(IF($B5="D",'Info Lega'!$B$25,IF($B5="C",'Info Lega'!$B$26,"No"))="Si",'Parametri Modello'!$B$5,0))*(1+MAX(-0.25,MIN(0.25,IF(OR($T5="",$I5="",$I5=0,INDEX('Parametri Modello'!$B$19:$B$22,MATCH($B5,'Parametri Modello'!$A$19:$A$22,0))="",INDEX('Parametri Modello'!$B$19:$B$22,MATCH($B5,'Parametri Modello'!$A$19:$A$22,0))=0),0,(($T5-INDEX('Parametri Modello'!$B$19:$B$22,MATCH($B5,'Parametri Modello'!$A$19:$A$22,0)))/INDEX('Parametri Modello'!$B$19:$B$22,MATCH($B5,'Parametri Modello'!$A$19:$A$22,0)))*'Parametri Modello'!$B$9))))*(1+IF('Parametri Modello'!$B$27="Si",MAX(-'Parametri Modello'!$B$28,MIN('Parametri Modello'!$B$28*1.5,IF(OR(INDEX('Parametri Modello'!$F$32:$F$35,MATCH($B5,'Parametri Modello'!$A$32:$A$35,0))="",INDEX('Parametri Modello'!$F$32:$F$35,MATCH($B5,'Parametri Modello'!$A$32:$A$35,0))=0),0,(1/INDEX('Parametri Modello'!$F$32:$F$35,MATCH($B5,'Parametri Modello'!$A$32:$A$35,0))-1)*'Parametri Modello'!$B$28))),0)))*(1-INDEX('Parametri Modello'!$B$12:$B$15,MATCH($B5,'Parametri Modello'!$A$12:$A$15,0)))),0),"")</f>
        <v>178</v>
      </c>
      <c r="H5" s="24">
        <f>IFERROR(ROUND((IF($V5&lt;=INDEX('Parametri Modello'!$C$57:$C$60,MATCH($B5,'Parametri Modello'!$A$57:$A$60,0)),IF(INDEX('Parametri Modello'!$E$57:$E$60,MATCH($B5,'Parametri Modello'!$A$57:$A$60,0))=0,0,($O5/INDEX('Parametri Modello'!$E$57:$E$60,MATCH($B5,'Parametri Modello'!$A$57:$A$60,0)))*(INDEX('Parametri Modello'!$D$57:$D$60,MATCH($B5,'Parametri Modello'!$A$57:$A$60,0))*(INDEX('Parametri Modello'!$B$50:$B$53,MATCH($B5,'Parametri Modello'!$A$50:$A$53,0))*'Parametri Modello'!$B$44))),IF(INDEX('Parametri Modello'!$F$57:$F$60,MATCH($B5,'Parametri Modello'!$A$57:$A$60,0))=0,0,($O5/INDEX('Parametri Modello'!$F$57:$F$60,MATCH($B5,'Parametri Modello'!$A$57:$A$60,0)))*((1-INDEX('Parametri Modello'!$D$57:$D$60,MATCH($B5,'Parametri Modello'!$A$57:$A$60,0)))*(INDEX('Parametri Modello'!$B$50:$B$53,MATCH($B5,'Parametri Modello'!$A$50:$A$53,0))*'Parametri Modello'!$B$44))))*(1+IF(IF($B5="D",'Info Lega'!$B$25,IF($B5="C",'Info Lega'!$B$26,"No"))="Si",'Parametri Modello'!$B$5,0))*(1+MAX(-0.25,MIN(0.25,IF(OR($T5="",$I5="",$I5=0,INDEX('Parametri Modello'!$B$19:$B$22,MATCH($B5,'Parametri Modello'!$A$19:$A$22,0))="",INDEX('Parametri Modello'!$B$19:$B$22,MATCH($B5,'Parametri Modello'!$A$19:$A$22,0))=0),0,(($T5-INDEX('Parametri Modello'!$B$19:$B$22,MATCH($B5,'Parametri Modello'!$A$19:$A$22,0)))/INDEX('Parametri Modello'!$B$19:$B$22,MATCH($B5,'Parametri Modello'!$A$19:$A$22,0)))*'Parametri Modello'!$B$9))))*(1+IF('Parametri Modello'!$B$27="Si",MAX(-'Parametri Modello'!$B$28,MIN('Parametri Modello'!$B$28*1.5,IF(OR(INDEX('Parametri Modello'!$F$32:$F$35,MATCH($B5,'Parametri Modello'!$A$32:$A$35,0))="",INDEX('Parametri Modello'!$F$32:$F$35,MATCH($B5,'Parametri Modello'!$A$32:$A$35,0))=0),0,(1/INDEX('Parametri Modello'!$F$32:$F$35,MATCH($B5,'Parametri Modello'!$A$32:$A$35,0))-1)*'Parametri Modello'!$B$28))),0)))*(1+INDEX('Parametri Modello'!$B$12:$B$15,MATCH($B5,'Parametri Modello'!$A$12:$A$15,0))),0),"")</f>
        <v>330</v>
      </c>
      <c r="I5" s="23">
        <f>IFERROR(INDEX('Input Statistiche 2025_26'!$F$3:$F$665,MATCH($A5,'Input Statistiche 2025_26'!$A$3:$A$665,0)),"")</f>
        <v>33</v>
      </c>
      <c r="J5" s="23">
        <f t="shared" si="0"/>
        <v>5</v>
      </c>
      <c r="K5" s="23">
        <f>IFERROR(INDEX('Input Statistiche 2025_26'!$I$3:$I$665,MATCH($A5,'Input Statistiche 2025_26'!$A$3:$A$665,0)),"")</f>
        <v>12</v>
      </c>
      <c r="L5" s="23">
        <f>IFERROR(INDEX('Input Statistiche 2025_26'!$O$3:$O$665,MATCH($A5,'Input Statistiche 2025_26'!$A$3:$A$665,0)),"")</f>
        <v>5</v>
      </c>
      <c r="M5" s="25"/>
      <c r="N5" s="24">
        <f>IFERROR(INDEX('Input Giocatori 2026_27'!$E$3:$E$493,MATCH($A5,'Input Giocatori 2026_27'!$A$3:$A$493,0)),"")</f>
        <v>28</v>
      </c>
      <c r="O5" s="24">
        <f>IFERROR(INDEX('Input Giocatori 2026_27'!$G$3:$G$493,MATCH($A5,'Input Giocatori 2026_27'!$A$3:$A$493,0)),"")</f>
        <v>271</v>
      </c>
      <c r="P5" s="23" t="str">
        <f>IFERROR(IF($O5="","",IF((1-(COUNTIFS($B$2:$B$492,$B5,$O$2:$O$492,"&gt;"&amp;$O5)+1-1)/COUNTIF($B$2:$B$492,$B5))&gt;='Parametri Modello'!$B$63,"Top",IF((1-(COUNTIFS($B$2:$B$492,$B5,$O$2:$O$492,"&gt;"&amp;$O5)+1-1)/COUNTIF($B$2:$B$492,$B5))&gt;='Parametri Modello'!$B$64,"Buono",IF((1-(COUNTIFS($B$2:$B$492,$B5,$O$2:$O$492,"&gt;"&amp;$O5)+1-1)/COUNTIF($B$2:$B$492,$B5))&gt;='Parametri Modello'!$B$65,"Nella Media","Scommessa/Riserva")))),"")</f>
        <v>Top</v>
      </c>
      <c r="Q5" s="26">
        <f>IF(AND($D5="",$N5&gt;1),SUMPRODUCT(($D$2:$D5="")*($N$2:$N5&gt;1)),"")</f>
        <v>4</v>
      </c>
      <c r="R5" s="26" t="str">
        <f>IF($D5='Info Lega'!$B$28,COUNTIFS($D$2:$D5,'Info Lega'!$B$28),"")</f>
        <v/>
      </c>
      <c r="S5" s="27">
        <f>IFERROR(INDEX('Input Statistiche 2025_26'!$G$3:$G$665,MATCH($A5,'Input Statistiche 2025_26'!$A$3:$A$665,0)),"")</f>
        <v>6.21</v>
      </c>
      <c r="T5" s="27">
        <f>IFERROR(INDEX('Input Statistiche 2025_26'!$H$3:$H$665,MATCH($A5,'Input Statistiche 2025_26'!$A$3:$A$665,0)),"")</f>
        <v>7.44</v>
      </c>
      <c r="U5" s="23" t="str">
        <f>IF(OR('La Mia Rosa'!$O$12="",$D5&lt;&gt;""),"",IF($F5&lt;='La Mia Rosa'!$O$12*'Parametri Modello'!$B$24,"OK",IF($F5&lt;='La Mia Rosa'!$O$12*'Parametri Modello'!$B$25,"Attenzione","Rischio Alto")))</f>
        <v>Rischio Alto</v>
      </c>
      <c r="V5" s="23">
        <f t="shared" si="1"/>
        <v>4</v>
      </c>
      <c r="W5" s="18">
        <f>'Info Lega'!$B$4-SUMIFS($M$2:$M$492,$D$2:$D$492,'Info Lega'!$B$28)</f>
        <v>1000</v>
      </c>
      <c r="X5" s="18">
        <f>('Info Lega'!$B$5-COUNTIFS($D$2:$D$492,'Info Lega'!$B$28,$B$2:$B$492,"P"))+('Info Lega'!$B$6-COUNTIFS($D$2:$D$492,'Info Lega'!$B$28,$B$2:$B$492,"D"))+('Info Lega'!$B$7-COUNTIFS($D$2:$D$492,'Info Lega'!$B$28,$B$2:$B$492,"C"))+('Info Lega'!$B$8-COUNTIFS($D$2:$D$492,'Info Lega'!$B$28,$B$2:$B$492,"A"))</f>
        <v>25</v>
      </c>
      <c r="Y5" s="18">
        <f>X5*'Parametri Modello'!$B$30</f>
        <v>25</v>
      </c>
      <c r="Z5" s="18">
        <f t="shared" si="2"/>
        <v>975</v>
      </c>
      <c r="AA5" s="18">
        <f t="shared" si="3"/>
        <v>284</v>
      </c>
      <c r="AB5" s="18"/>
      <c r="AC5" s="18" t="str">
        <f>IF($AB5="","",IF($AB5&gt;$AA5,"PASS",IF($AB5&lt;=$AA5*(1-'Parametri Modello'!$B$68),"BID","ATTENZIONE")))</f>
        <v/>
      </c>
      <c r="AD5" s="28">
        <f t="shared" si="4"/>
        <v>67</v>
      </c>
      <c r="AE5" s="5" t="str">
        <f>IFERROR(INDEX('Stato Asta'!$G$9:$G$12,MATCH($B5,'Stato Asta'!$A$9:$A$12,0)),"")</f>
        <v>🔴 Non aspettare</v>
      </c>
      <c r="AF5" t="str">
        <f>IFERROR(IF($V5&lt;=INDEX('Parametri Modello'!$C$57:$C$60,MATCH($B5,'Parametri Modello'!$A$57:$A$60,0)),"Titolare","Riserva"),"")</f>
        <v>Titolare</v>
      </c>
      <c r="AG5" t="str">
        <f>IFERROR(INDEX('Pressione Competitiva'!$F$3:$F$6,MATCH($B5,'Pressione Competitiva'!$B$3:$B$6,0)),"")</f>
        <v>🔴 Molto Alta</v>
      </c>
      <c r="AH5" t="str">
        <f t="shared" si="5"/>
        <v/>
      </c>
      <c r="AI5" t="str">
        <f>IFERROR(IF($AH5="","",IF($AH5&gt;=$AA5*'Parametri Modello'!$B$68,"🟢 Opportunita'",IF($AH5&lt;=$AA5*'Parametri Modello'!$B$69,"🔴 Sovrapprezzo","🟡 Prezzo Corretto"))),"")</f>
        <v/>
      </c>
      <c r="AJ5" t="str">
        <f t="shared" si="6"/>
        <v/>
      </c>
      <c r="AK5">
        <f t="shared" si="7"/>
        <v>4</v>
      </c>
      <c r="AL5" t="str">
        <f t="shared" si="8"/>
        <v>A|Top|4</v>
      </c>
    </row>
    <row r="6" spans="1:38" ht="14.25" customHeight="1" x14ac:dyDescent="0.25">
      <c r="A6" s="18">
        <v>254</v>
      </c>
      <c r="B6" s="18" t="s">
        <v>16</v>
      </c>
      <c r="C6" s="18" t="s">
        <v>145</v>
      </c>
      <c r="E6" s="23" t="str">
        <f>IF(COUNTIF('Info Strategia'!$D$2:$D$51,$C6)&gt;0,"SI","NO")</f>
        <v>NO</v>
      </c>
      <c r="F6" s="24">
        <f>IFERROR(ROUND(($G6+($H6-$G6)*'Info Strategia'!$B$6)*(1+IF($E6="SI",'Parametri Modello'!$B$7*'Info Strategia'!$B$6,0)),0),"")</f>
        <v>190</v>
      </c>
      <c r="G6" s="24">
        <f>IFERROR(ROUND(MAX(1,(IF($V6&lt;=INDEX('Parametri Modello'!$C$57:$C$60,MATCH($B6,'Parametri Modello'!$A$57:$A$60,0)),IF(INDEX('Parametri Modello'!$E$57:$E$60,MATCH($B6,'Parametri Modello'!$A$57:$A$60,0))=0,0,($O6/INDEX('Parametri Modello'!$E$57:$E$60,MATCH($B6,'Parametri Modello'!$A$57:$A$60,0)))*(INDEX('Parametri Modello'!$D$57:$D$60,MATCH($B6,'Parametri Modello'!$A$57:$A$60,0))*(INDEX('Parametri Modello'!$B$50:$B$53,MATCH($B6,'Parametri Modello'!$A$50:$A$53,0))*'Parametri Modello'!$B$44))),IF(INDEX('Parametri Modello'!$F$57:$F$60,MATCH($B6,'Parametri Modello'!$A$57:$A$60,0))=0,0,($O6/INDEX('Parametri Modello'!$F$57:$F$60,MATCH($B6,'Parametri Modello'!$A$57:$A$60,0)))*((1-INDEX('Parametri Modello'!$D$57:$D$60,MATCH($B6,'Parametri Modello'!$A$57:$A$60,0)))*(INDEX('Parametri Modello'!$B$50:$B$53,MATCH($B6,'Parametri Modello'!$A$50:$A$53,0))*'Parametri Modello'!$B$44))))*(1+IF(IF($B6="D",'Info Lega'!$B$25,IF($B6="C",'Info Lega'!$B$26,"No"))="Si",'Parametri Modello'!$B$5,0))*(1+MAX(-0.25,MIN(0.25,IF(OR($T6="",$I6="",$I6=0,INDEX('Parametri Modello'!$B$19:$B$22,MATCH($B6,'Parametri Modello'!$A$19:$A$22,0))="",INDEX('Parametri Modello'!$B$19:$B$22,MATCH($B6,'Parametri Modello'!$A$19:$A$22,0))=0),0,(($T6-INDEX('Parametri Modello'!$B$19:$B$22,MATCH($B6,'Parametri Modello'!$A$19:$A$22,0)))/INDEX('Parametri Modello'!$B$19:$B$22,MATCH($B6,'Parametri Modello'!$A$19:$A$22,0)))*'Parametri Modello'!$B$9))))*(1+IF('Parametri Modello'!$B$27="Si",MAX(-'Parametri Modello'!$B$28,MIN('Parametri Modello'!$B$28*1.5,IF(OR(INDEX('Parametri Modello'!$F$32:$F$35,MATCH($B6,'Parametri Modello'!$A$32:$A$35,0))="",INDEX('Parametri Modello'!$F$32:$F$35,MATCH($B6,'Parametri Modello'!$A$32:$A$35,0))=0),0,(1/INDEX('Parametri Modello'!$F$32:$F$35,MATCH($B6,'Parametri Modello'!$A$32:$A$35,0))-1)*'Parametri Modello'!$B$28))),0)))*(1-INDEX('Parametri Modello'!$B$12:$B$15,MATCH($B6,'Parametri Modello'!$A$12:$A$15,0)))),0),"")</f>
        <v>141</v>
      </c>
      <c r="H6" s="24">
        <f>IFERROR(ROUND((IF($V6&lt;=INDEX('Parametri Modello'!$C$57:$C$60,MATCH($B6,'Parametri Modello'!$A$57:$A$60,0)),IF(INDEX('Parametri Modello'!$E$57:$E$60,MATCH($B6,'Parametri Modello'!$A$57:$A$60,0))=0,0,($O6/INDEX('Parametri Modello'!$E$57:$E$60,MATCH($B6,'Parametri Modello'!$A$57:$A$60,0)))*(INDEX('Parametri Modello'!$D$57:$D$60,MATCH($B6,'Parametri Modello'!$A$57:$A$60,0))*(INDEX('Parametri Modello'!$B$50:$B$53,MATCH($B6,'Parametri Modello'!$A$50:$A$53,0))*'Parametri Modello'!$B$44))),IF(INDEX('Parametri Modello'!$F$57:$F$60,MATCH($B6,'Parametri Modello'!$A$57:$A$60,0))=0,0,($O6/INDEX('Parametri Modello'!$F$57:$F$60,MATCH($B6,'Parametri Modello'!$A$57:$A$60,0)))*((1-INDEX('Parametri Modello'!$D$57:$D$60,MATCH($B6,'Parametri Modello'!$A$57:$A$60,0)))*(INDEX('Parametri Modello'!$B$50:$B$53,MATCH($B6,'Parametri Modello'!$A$50:$A$53,0))*'Parametri Modello'!$B$44))))*(1+IF(IF($B6="D",'Info Lega'!$B$25,IF($B6="C",'Info Lega'!$B$26,"No"))="Si",'Parametri Modello'!$B$5,0))*(1+MAX(-0.25,MIN(0.25,IF(OR($T6="",$I6="",$I6=0,INDEX('Parametri Modello'!$B$19:$B$22,MATCH($B6,'Parametri Modello'!$A$19:$A$22,0))="",INDEX('Parametri Modello'!$B$19:$B$22,MATCH($B6,'Parametri Modello'!$A$19:$A$22,0))=0),0,(($T6-INDEX('Parametri Modello'!$B$19:$B$22,MATCH($B6,'Parametri Modello'!$A$19:$A$22,0)))/INDEX('Parametri Modello'!$B$19:$B$22,MATCH($B6,'Parametri Modello'!$A$19:$A$22,0)))*'Parametri Modello'!$B$9))))*(1+IF('Parametri Modello'!$B$27="Si",MAX(-'Parametri Modello'!$B$28,MIN('Parametri Modello'!$B$28*1.5,IF(OR(INDEX('Parametri Modello'!$F$32:$F$35,MATCH($B6,'Parametri Modello'!$A$32:$A$35,0))="",INDEX('Parametri Modello'!$F$32:$F$35,MATCH($B6,'Parametri Modello'!$A$32:$A$35,0))=0),0,(1/INDEX('Parametri Modello'!$F$32:$F$35,MATCH($B6,'Parametri Modello'!$A$32:$A$35,0))-1)*'Parametri Modello'!$B$28))),0)))*(1+INDEX('Parametri Modello'!$B$12:$B$15,MATCH($B6,'Parametri Modello'!$A$12:$A$15,0))),0),"")</f>
        <v>211</v>
      </c>
      <c r="I6" s="23">
        <f>IFERROR(INDEX('Input Statistiche 2025_26'!$F$3:$F$665,MATCH($A6,'Input Statistiche 2025_26'!$A$3:$A$665,0)),"")</f>
        <v>35</v>
      </c>
      <c r="J6" s="23">
        <f t="shared" si="0"/>
        <v>3</v>
      </c>
      <c r="K6" s="23">
        <f>IFERROR(INDEX('Input Statistiche 2025_26'!$I$3:$I$665,MATCH($A6,'Input Statistiche 2025_26'!$A$3:$A$665,0)),"")</f>
        <v>7</v>
      </c>
      <c r="L6" s="23">
        <f>IFERROR(INDEX('Input Statistiche 2025_26'!$O$3:$O$665,MATCH($A6,'Input Statistiche 2025_26'!$A$3:$A$665,0)),"")</f>
        <v>17</v>
      </c>
      <c r="M6" s="25"/>
      <c r="N6" s="24">
        <f>IFERROR(INDEX('Input Giocatori 2026_27'!$E$3:$E$493,MATCH($A6,'Input Giocatori 2026_27'!$A$3:$A$493,0)),"")</f>
        <v>32</v>
      </c>
      <c r="O6" s="24">
        <f>IFERROR(INDEX('Input Giocatori 2026_27'!$G$3:$G$493,MATCH($A6,'Input Giocatori 2026_27'!$A$3:$A$493,0)),"")</f>
        <v>265</v>
      </c>
      <c r="P6" s="23" t="str">
        <f>IFERROR(IF($O6="","",IF((1-(COUNTIFS($B$2:$B$492,$B6,$O$2:$O$492,"&gt;"&amp;$O6)+1-1)/COUNTIF($B$2:$B$492,$B6))&gt;='Parametri Modello'!$B$63,"Top",IF((1-(COUNTIFS($B$2:$B$492,$B6,$O$2:$O$492,"&gt;"&amp;$O6)+1-1)/COUNTIF($B$2:$B$492,$B6))&gt;='Parametri Modello'!$B$64,"Buono",IF((1-(COUNTIFS($B$2:$B$492,$B6,$O$2:$O$492,"&gt;"&amp;$O6)+1-1)/COUNTIF($B$2:$B$492,$B6))&gt;='Parametri Modello'!$B$65,"Nella Media","Scommessa/Riserva")))),"")</f>
        <v>Top</v>
      </c>
      <c r="Q6" s="26">
        <f>IF(AND($D6="",$N6&gt;1),SUMPRODUCT(($D$2:$D6="")*($N$2:$N6&gt;1)),"")</f>
        <v>5</v>
      </c>
      <c r="R6" s="26" t="str">
        <f>IF($D6='Info Lega'!$B$28,COUNTIFS($D$2:$D6,'Info Lega'!$B$28),"")</f>
        <v/>
      </c>
      <c r="S6" s="27">
        <f>IFERROR(INDEX('Input Statistiche 2025_26'!$G$3:$G$665,MATCH($A6,'Input Statistiche 2025_26'!$A$3:$A$665,0)),"")</f>
        <v>6.6</v>
      </c>
      <c r="T6" s="27">
        <f>IFERROR(INDEX('Input Statistiche 2025_26'!$H$3:$H$665,MATCH($A6,'Input Statistiche 2025_26'!$A$3:$A$665,0)),"")</f>
        <v>7.64</v>
      </c>
      <c r="U6" s="23" t="str">
        <f>IF(OR('La Mia Rosa'!$O$12="",$D6&lt;&gt;""),"",IF($F6&lt;='La Mia Rosa'!$O$12*'Parametri Modello'!$B$24,"OK",IF($F6&lt;='La Mia Rosa'!$O$12*'Parametri Modello'!$B$25,"Attenzione","Rischio Alto")))</f>
        <v>Rischio Alto</v>
      </c>
      <c r="V6" s="23">
        <f t="shared" si="1"/>
        <v>1</v>
      </c>
      <c r="W6" s="18">
        <f>'Info Lega'!$B$4-SUMIFS($M$2:$M$492,$D$2:$D$492,'Info Lega'!$B$28)</f>
        <v>1000</v>
      </c>
      <c r="X6" s="18">
        <f>('Info Lega'!$B$5-COUNTIFS($D$2:$D$492,'Info Lega'!$B$28,$B$2:$B$492,"P"))+('Info Lega'!$B$6-COUNTIFS($D$2:$D$492,'Info Lega'!$B$28,$B$2:$B$492,"D"))+('Info Lega'!$B$7-COUNTIFS($D$2:$D$492,'Info Lega'!$B$28,$B$2:$B$492,"C"))+('Info Lega'!$B$8-COUNTIFS($D$2:$D$492,'Info Lega'!$B$28,$B$2:$B$492,"A"))</f>
        <v>25</v>
      </c>
      <c r="Y6" s="18">
        <f>X6*'Parametri Modello'!$B$30</f>
        <v>25</v>
      </c>
      <c r="Z6" s="18">
        <f t="shared" si="2"/>
        <v>975</v>
      </c>
      <c r="AA6" s="18">
        <f t="shared" si="3"/>
        <v>190</v>
      </c>
      <c r="AB6" s="18"/>
      <c r="AC6" s="18" t="str">
        <f>IF($AB6="","",IF($AB6&gt;$AA6,"PASS",IF($AB6&lt;=$AA6*(1-'Parametri Modello'!$B$68),"BID","ATTENZIONE")))</f>
        <v/>
      </c>
      <c r="AD6" s="28">
        <f t="shared" si="4"/>
        <v>69</v>
      </c>
      <c r="AE6" s="5" t="str">
        <f>IFERROR(INDEX('Stato Asta'!$G$9:$G$12,MATCH($B6,'Stato Asta'!$A$9:$A$12,0)),"")</f>
        <v>🔴 Non aspettare</v>
      </c>
      <c r="AF6" t="str">
        <f>IFERROR(IF($V6&lt;=INDEX('Parametri Modello'!$C$57:$C$60,MATCH($B6,'Parametri Modello'!$A$57:$A$60,0)),"Titolare","Riserva"),"")</f>
        <v>Titolare</v>
      </c>
      <c r="AG6" t="str">
        <f>IFERROR(INDEX('Pressione Competitiva'!$F$3:$F$6,MATCH($B6,'Pressione Competitiva'!$B$3:$B$6,0)),"")</f>
        <v>🔴 Molto Alta</v>
      </c>
      <c r="AH6" t="str">
        <f t="shared" si="5"/>
        <v/>
      </c>
      <c r="AI6" t="str">
        <f>IFERROR(IF($AH6="","",IF($AH6&gt;=$AA6*'Parametri Modello'!$B$68,"🟢 Opportunita'",IF($AH6&lt;=$AA6*'Parametri Modello'!$B$69,"🔴 Sovrapprezzo","🟡 Prezzo Corretto"))),"")</f>
        <v/>
      </c>
      <c r="AJ6" t="str">
        <f t="shared" si="6"/>
        <v/>
      </c>
      <c r="AK6">
        <f t="shared" si="7"/>
        <v>1</v>
      </c>
      <c r="AL6" t="str">
        <f t="shared" si="8"/>
        <v>D|Top|1</v>
      </c>
    </row>
    <row r="7" spans="1:38" ht="14.25" customHeight="1" x14ac:dyDescent="0.25">
      <c r="A7" s="18">
        <v>6875</v>
      </c>
      <c r="B7" s="18" t="s">
        <v>17</v>
      </c>
      <c r="C7" s="18" t="s">
        <v>146</v>
      </c>
      <c r="E7" s="23" t="str">
        <f>IF(COUNTIF('Info Strategia'!$D$2:$D$51,$C7)&gt;0,"SI","NO")</f>
        <v>NO</v>
      </c>
      <c r="F7" s="24">
        <f>IFERROR(ROUND(($G7+($H7-$G7)*'Info Strategia'!$B$6)*(1+IF($E7="SI",'Parametri Modello'!$B$7*'Info Strategia'!$B$6,0)),0),"")</f>
        <v>171</v>
      </c>
      <c r="G7" s="24">
        <f>IFERROR(ROUND(MAX(1,(IF($V7&lt;=INDEX('Parametri Modello'!$C$57:$C$60,MATCH($B7,'Parametri Modello'!$A$57:$A$60,0)),IF(INDEX('Parametri Modello'!$E$57:$E$60,MATCH($B7,'Parametri Modello'!$A$57:$A$60,0))=0,0,($O7/INDEX('Parametri Modello'!$E$57:$E$60,MATCH($B7,'Parametri Modello'!$A$57:$A$60,0)))*(INDEX('Parametri Modello'!$D$57:$D$60,MATCH($B7,'Parametri Modello'!$A$57:$A$60,0))*(INDEX('Parametri Modello'!$B$50:$B$53,MATCH($B7,'Parametri Modello'!$A$50:$A$53,0))*'Parametri Modello'!$B$44))),IF(INDEX('Parametri Modello'!$F$57:$F$60,MATCH($B7,'Parametri Modello'!$A$57:$A$60,0))=0,0,($O7/INDEX('Parametri Modello'!$F$57:$F$60,MATCH($B7,'Parametri Modello'!$A$57:$A$60,0)))*((1-INDEX('Parametri Modello'!$D$57:$D$60,MATCH($B7,'Parametri Modello'!$A$57:$A$60,0)))*(INDEX('Parametri Modello'!$B$50:$B$53,MATCH($B7,'Parametri Modello'!$A$50:$A$53,0))*'Parametri Modello'!$B$44))))*(1+IF(IF($B7="D",'Info Lega'!$B$25,IF($B7="C",'Info Lega'!$B$26,"No"))="Si",'Parametri Modello'!$B$5,0))*(1+MAX(-0.25,MIN(0.25,IF(OR($T7="",$I7="",$I7=0,INDEX('Parametri Modello'!$B$19:$B$22,MATCH($B7,'Parametri Modello'!$A$19:$A$22,0))="",INDEX('Parametri Modello'!$B$19:$B$22,MATCH($B7,'Parametri Modello'!$A$19:$A$22,0))=0),0,(($T7-INDEX('Parametri Modello'!$B$19:$B$22,MATCH($B7,'Parametri Modello'!$A$19:$A$22,0)))/INDEX('Parametri Modello'!$B$19:$B$22,MATCH($B7,'Parametri Modello'!$A$19:$A$22,0)))*'Parametri Modello'!$B$9))))*(1+IF('Parametri Modello'!$B$27="Si",MAX(-'Parametri Modello'!$B$28,MIN('Parametri Modello'!$B$28*1.5,IF(OR(INDEX('Parametri Modello'!$F$32:$F$35,MATCH($B7,'Parametri Modello'!$A$32:$A$35,0))="",INDEX('Parametri Modello'!$F$32:$F$35,MATCH($B7,'Parametri Modello'!$A$32:$A$35,0))=0),0,(1/INDEX('Parametri Modello'!$F$32:$F$35,MATCH($B7,'Parametri Modello'!$A$32:$A$35,0))-1)*'Parametri Modello'!$B$28))),0)))*(1-INDEX('Parametri Modello'!$B$12:$B$15,MATCH($B7,'Parametri Modello'!$A$12:$A$15,0)))),0),"")</f>
        <v>116</v>
      </c>
      <c r="H7" s="24">
        <f>IFERROR(ROUND((IF($V7&lt;=INDEX('Parametri Modello'!$C$57:$C$60,MATCH($B7,'Parametri Modello'!$A$57:$A$60,0)),IF(INDEX('Parametri Modello'!$E$57:$E$60,MATCH($B7,'Parametri Modello'!$A$57:$A$60,0))=0,0,($O7/INDEX('Parametri Modello'!$E$57:$E$60,MATCH($B7,'Parametri Modello'!$A$57:$A$60,0)))*(INDEX('Parametri Modello'!$D$57:$D$60,MATCH($B7,'Parametri Modello'!$A$57:$A$60,0))*(INDEX('Parametri Modello'!$B$50:$B$53,MATCH($B7,'Parametri Modello'!$A$50:$A$53,0))*'Parametri Modello'!$B$44))),IF(INDEX('Parametri Modello'!$F$57:$F$60,MATCH($B7,'Parametri Modello'!$A$57:$A$60,0))=0,0,($O7/INDEX('Parametri Modello'!$F$57:$F$60,MATCH($B7,'Parametri Modello'!$A$57:$A$60,0)))*((1-INDEX('Parametri Modello'!$D$57:$D$60,MATCH($B7,'Parametri Modello'!$A$57:$A$60,0)))*(INDEX('Parametri Modello'!$B$50:$B$53,MATCH($B7,'Parametri Modello'!$A$50:$A$53,0))*'Parametri Modello'!$B$44))))*(1+IF(IF($B7="D",'Info Lega'!$B$25,IF($B7="C",'Info Lega'!$B$26,"No"))="Si",'Parametri Modello'!$B$5,0))*(1+MAX(-0.25,MIN(0.25,IF(OR($T7="",$I7="",$I7=0,INDEX('Parametri Modello'!$B$19:$B$22,MATCH($B7,'Parametri Modello'!$A$19:$A$22,0))="",INDEX('Parametri Modello'!$B$19:$B$22,MATCH($B7,'Parametri Modello'!$A$19:$A$22,0))=0),0,(($T7-INDEX('Parametri Modello'!$B$19:$B$22,MATCH($B7,'Parametri Modello'!$A$19:$A$22,0)))/INDEX('Parametri Modello'!$B$19:$B$22,MATCH($B7,'Parametri Modello'!$A$19:$A$22,0)))*'Parametri Modello'!$B$9))))*(1+IF('Parametri Modello'!$B$27="Si",MAX(-'Parametri Modello'!$B$28,MIN('Parametri Modello'!$B$28*1.5,IF(OR(INDEX('Parametri Modello'!$F$32:$F$35,MATCH($B7,'Parametri Modello'!$A$32:$A$35,0))="",INDEX('Parametri Modello'!$F$32:$F$35,MATCH($B7,'Parametri Modello'!$A$32:$A$35,0))=0),0,(1/INDEX('Parametri Modello'!$F$32:$F$35,MATCH($B7,'Parametri Modello'!$A$32:$A$35,0))-1)*'Parametri Modello'!$B$28))),0)))*(1+INDEX('Parametri Modello'!$B$12:$B$15,MATCH($B7,'Parametri Modello'!$A$12:$A$15,0))),0),"")</f>
        <v>194</v>
      </c>
      <c r="I7" s="23">
        <f>IFERROR(INDEX('Input Statistiche 2025_26'!$F$3:$F$665,MATCH($A7,'Input Statistiche 2025_26'!$A$3:$A$665,0)),"")</f>
        <v>35</v>
      </c>
      <c r="J7" s="23">
        <f t="shared" si="0"/>
        <v>3</v>
      </c>
      <c r="K7" s="23">
        <f>IFERROR(INDEX('Input Statistiche 2025_26'!$I$3:$I$665,MATCH($A7,'Input Statistiche 2025_26'!$A$3:$A$665,0)),"")</f>
        <v>12</v>
      </c>
      <c r="L7" s="23">
        <f>IFERROR(INDEX('Input Statistiche 2025_26'!$O$3:$O$665,MATCH($A7,'Input Statistiche 2025_26'!$A$3:$A$665,0)),"")</f>
        <v>5</v>
      </c>
      <c r="M7" s="25"/>
      <c r="N7" s="24">
        <f>IFERROR(INDEX('Input Giocatori 2026_27'!$E$3:$E$493,MATCH($A7,'Input Giocatori 2026_27'!$A$3:$A$493,0)),"")</f>
        <v>30</v>
      </c>
      <c r="O7" s="24">
        <f>IFERROR(INDEX('Input Giocatori 2026_27'!$G$3:$G$493,MATCH($A7,'Input Giocatori 2026_27'!$A$3:$A$493,0)),"")</f>
        <v>250</v>
      </c>
      <c r="P7" s="23" t="str">
        <f>IFERROR(IF($O7="","",IF((1-(COUNTIFS($B$2:$B$492,$B7,$O$2:$O$492,"&gt;"&amp;$O7)+1-1)/COUNTIF($B$2:$B$492,$B7))&gt;='Parametri Modello'!$B$63,"Top",IF((1-(COUNTIFS($B$2:$B$492,$B7,$O$2:$O$492,"&gt;"&amp;$O7)+1-1)/COUNTIF($B$2:$B$492,$B7))&gt;='Parametri Modello'!$B$64,"Buono",IF((1-(COUNTIFS($B$2:$B$492,$B7,$O$2:$O$492,"&gt;"&amp;$O7)+1-1)/COUNTIF($B$2:$B$492,$B7))&gt;='Parametri Modello'!$B$65,"Nella Media","Scommessa/Riserva")))),"")</f>
        <v>Top</v>
      </c>
      <c r="Q7" s="26">
        <f>IF(AND($D7="",$N7&gt;1),SUMPRODUCT(($D$2:$D7="")*($N$2:$N7&gt;1)),"")</f>
        <v>6</v>
      </c>
      <c r="R7" s="26" t="str">
        <f>IF($D7='Info Lega'!$B$28,COUNTIFS($D$2:$D7,'Info Lega'!$B$28),"")</f>
        <v/>
      </c>
      <c r="S7" s="27">
        <f>IFERROR(INDEX('Input Statistiche 2025_26'!$G$3:$G$665,MATCH($A7,'Input Statistiche 2025_26'!$A$3:$A$665,0)),"")</f>
        <v>6.37</v>
      </c>
      <c r="T7" s="27">
        <f>IFERROR(INDEX('Input Statistiche 2025_26'!$H$3:$H$665,MATCH($A7,'Input Statistiche 2025_26'!$A$3:$A$665,0)),"")</f>
        <v>7.3</v>
      </c>
      <c r="U7" s="23" t="str">
        <f>IF(OR('La Mia Rosa'!$O$12="",$D7&lt;&gt;""),"",IF($F7&lt;='La Mia Rosa'!$O$12*'Parametri Modello'!$B$24,"OK",IF($F7&lt;='La Mia Rosa'!$O$12*'Parametri Modello'!$B$25,"Attenzione","Rischio Alto")))</f>
        <v>Rischio Alto</v>
      </c>
      <c r="V7" s="23">
        <f t="shared" si="1"/>
        <v>1</v>
      </c>
      <c r="W7" s="18">
        <f>'Info Lega'!$B$4-SUMIFS($M$2:$M$492,$D$2:$D$492,'Info Lega'!$B$28)</f>
        <v>1000</v>
      </c>
      <c r="X7" s="18">
        <f>('Info Lega'!$B$5-COUNTIFS($D$2:$D$492,'Info Lega'!$B$28,$B$2:$B$492,"P"))+('Info Lega'!$B$6-COUNTIFS($D$2:$D$492,'Info Lega'!$B$28,$B$2:$B$492,"D"))+('Info Lega'!$B$7-COUNTIFS($D$2:$D$492,'Info Lega'!$B$28,$B$2:$B$492,"C"))+('Info Lega'!$B$8-COUNTIFS($D$2:$D$492,'Info Lega'!$B$28,$B$2:$B$492,"A"))</f>
        <v>25</v>
      </c>
      <c r="Y7" s="18">
        <f>X7*'Parametri Modello'!$B$30</f>
        <v>25</v>
      </c>
      <c r="Z7" s="18">
        <f t="shared" si="2"/>
        <v>975</v>
      </c>
      <c r="AA7" s="18">
        <f t="shared" si="3"/>
        <v>171</v>
      </c>
      <c r="AB7" s="18"/>
      <c r="AC7" s="18" t="str">
        <f>IF($AB7="","",IF($AB7&gt;$AA7,"PASS",IF($AB7&lt;=$AA7*(1-'Parametri Modello'!$B$68),"BID","ATTENZIONE")))</f>
        <v/>
      </c>
      <c r="AD7" s="28">
        <f t="shared" si="4"/>
        <v>69</v>
      </c>
      <c r="AE7" s="5" t="str">
        <f>IFERROR(INDEX('Stato Asta'!$G$9:$G$12,MATCH($B7,'Stato Asta'!$A$9:$A$12,0)),"")</f>
        <v>🔴 Non aspettare</v>
      </c>
      <c r="AF7" t="str">
        <f>IFERROR(IF($V7&lt;=INDEX('Parametri Modello'!$C$57:$C$60,MATCH($B7,'Parametri Modello'!$A$57:$A$60,0)),"Titolare","Riserva"),"")</f>
        <v>Titolare</v>
      </c>
      <c r="AG7" t="str">
        <f>IFERROR(INDEX('Pressione Competitiva'!$F$3:$F$6,MATCH($B7,'Pressione Competitiva'!$B$3:$B$6,0)),"")</f>
        <v>🔴 Molto Alta</v>
      </c>
      <c r="AH7" t="str">
        <f t="shared" si="5"/>
        <v/>
      </c>
      <c r="AI7" t="str">
        <f>IFERROR(IF($AH7="","",IF($AH7&gt;=$AA7*'Parametri Modello'!$B$68,"🟢 Opportunita'",IF($AH7&lt;=$AA7*'Parametri Modello'!$B$69,"🔴 Sovrapprezzo","🟡 Prezzo Corretto"))),"")</f>
        <v/>
      </c>
      <c r="AJ7" t="str">
        <f t="shared" si="6"/>
        <v/>
      </c>
      <c r="AK7">
        <f t="shared" si="7"/>
        <v>1</v>
      </c>
      <c r="AL7" t="str">
        <f t="shared" si="8"/>
        <v>C|Top|1</v>
      </c>
    </row>
    <row r="8" spans="1:38" ht="14.25" customHeight="1" x14ac:dyDescent="0.25">
      <c r="A8" s="18">
        <v>4777</v>
      </c>
      <c r="B8" s="18" t="s">
        <v>17</v>
      </c>
      <c r="C8" s="18" t="s">
        <v>147</v>
      </c>
      <c r="E8" s="23" t="str">
        <f>IF(COUNTIF('Info Strategia'!$D$2:$D$51,$C8)&gt;0,"SI","NO")</f>
        <v>NO</v>
      </c>
      <c r="F8" s="24">
        <f>IFERROR(ROUND(($G8+($H8-$G8)*'Info Strategia'!$B$6)*(1+IF($E8="SI",'Parametri Modello'!$B$7*'Info Strategia'!$B$6,0)),0),"")</f>
        <v>164</v>
      </c>
      <c r="G8" s="24">
        <f>IFERROR(ROUND(MAX(1,(IF($V8&lt;=INDEX('Parametri Modello'!$C$57:$C$60,MATCH($B8,'Parametri Modello'!$A$57:$A$60,0)),IF(INDEX('Parametri Modello'!$E$57:$E$60,MATCH($B8,'Parametri Modello'!$A$57:$A$60,0))=0,0,($O8/INDEX('Parametri Modello'!$E$57:$E$60,MATCH($B8,'Parametri Modello'!$A$57:$A$60,0)))*(INDEX('Parametri Modello'!$D$57:$D$60,MATCH($B8,'Parametri Modello'!$A$57:$A$60,0))*(INDEX('Parametri Modello'!$B$50:$B$53,MATCH($B8,'Parametri Modello'!$A$50:$A$53,0))*'Parametri Modello'!$B$44))),IF(INDEX('Parametri Modello'!$F$57:$F$60,MATCH($B8,'Parametri Modello'!$A$57:$A$60,0))=0,0,($O8/INDEX('Parametri Modello'!$F$57:$F$60,MATCH($B8,'Parametri Modello'!$A$57:$A$60,0)))*((1-INDEX('Parametri Modello'!$D$57:$D$60,MATCH($B8,'Parametri Modello'!$A$57:$A$60,0)))*(INDEX('Parametri Modello'!$B$50:$B$53,MATCH($B8,'Parametri Modello'!$A$50:$A$53,0))*'Parametri Modello'!$B$44))))*(1+IF(IF($B8="D",'Info Lega'!$B$25,IF($B8="C",'Info Lega'!$B$26,"No"))="Si",'Parametri Modello'!$B$5,0))*(1+MAX(-0.25,MIN(0.25,IF(OR($T8="",$I8="",$I8=0,INDEX('Parametri Modello'!$B$19:$B$22,MATCH($B8,'Parametri Modello'!$A$19:$A$22,0))="",INDEX('Parametri Modello'!$B$19:$B$22,MATCH($B8,'Parametri Modello'!$A$19:$A$22,0))=0),0,(($T8-INDEX('Parametri Modello'!$B$19:$B$22,MATCH($B8,'Parametri Modello'!$A$19:$A$22,0)))/INDEX('Parametri Modello'!$B$19:$B$22,MATCH($B8,'Parametri Modello'!$A$19:$A$22,0)))*'Parametri Modello'!$B$9))))*(1+IF('Parametri Modello'!$B$27="Si",MAX(-'Parametri Modello'!$B$28,MIN('Parametri Modello'!$B$28*1.5,IF(OR(INDEX('Parametri Modello'!$F$32:$F$35,MATCH($B8,'Parametri Modello'!$A$32:$A$35,0))="",INDEX('Parametri Modello'!$F$32:$F$35,MATCH($B8,'Parametri Modello'!$A$32:$A$35,0))=0),0,(1/INDEX('Parametri Modello'!$F$32:$F$35,MATCH($B8,'Parametri Modello'!$A$32:$A$35,0))-1)*'Parametri Modello'!$B$28))),0)))*(1-INDEX('Parametri Modello'!$B$12:$B$15,MATCH($B8,'Parametri Modello'!$A$12:$A$15,0)))),0),"")</f>
        <v>112</v>
      </c>
      <c r="H8" s="24">
        <f>IFERROR(ROUND((IF($V8&lt;=INDEX('Parametri Modello'!$C$57:$C$60,MATCH($B8,'Parametri Modello'!$A$57:$A$60,0)),IF(INDEX('Parametri Modello'!$E$57:$E$60,MATCH($B8,'Parametri Modello'!$A$57:$A$60,0))=0,0,($O8/INDEX('Parametri Modello'!$E$57:$E$60,MATCH($B8,'Parametri Modello'!$A$57:$A$60,0)))*(INDEX('Parametri Modello'!$D$57:$D$60,MATCH($B8,'Parametri Modello'!$A$57:$A$60,0))*(INDEX('Parametri Modello'!$B$50:$B$53,MATCH($B8,'Parametri Modello'!$A$50:$A$53,0))*'Parametri Modello'!$B$44))),IF(INDEX('Parametri Modello'!$F$57:$F$60,MATCH($B8,'Parametri Modello'!$A$57:$A$60,0))=0,0,($O8/INDEX('Parametri Modello'!$F$57:$F$60,MATCH($B8,'Parametri Modello'!$A$57:$A$60,0)))*((1-INDEX('Parametri Modello'!$D$57:$D$60,MATCH($B8,'Parametri Modello'!$A$57:$A$60,0)))*(INDEX('Parametri Modello'!$B$50:$B$53,MATCH($B8,'Parametri Modello'!$A$50:$A$53,0))*'Parametri Modello'!$B$44))))*(1+IF(IF($B8="D",'Info Lega'!$B$25,IF($B8="C",'Info Lega'!$B$26,"No"))="Si",'Parametri Modello'!$B$5,0))*(1+MAX(-0.25,MIN(0.25,IF(OR($T8="",$I8="",$I8=0,INDEX('Parametri Modello'!$B$19:$B$22,MATCH($B8,'Parametri Modello'!$A$19:$A$22,0))="",INDEX('Parametri Modello'!$B$19:$B$22,MATCH($B8,'Parametri Modello'!$A$19:$A$22,0))=0),0,(($T8-INDEX('Parametri Modello'!$B$19:$B$22,MATCH($B8,'Parametri Modello'!$A$19:$A$22,0)))/INDEX('Parametri Modello'!$B$19:$B$22,MATCH($B8,'Parametri Modello'!$A$19:$A$22,0)))*'Parametri Modello'!$B$9))))*(1+IF('Parametri Modello'!$B$27="Si",MAX(-'Parametri Modello'!$B$28,MIN('Parametri Modello'!$B$28*1.5,IF(OR(INDEX('Parametri Modello'!$F$32:$F$35,MATCH($B8,'Parametri Modello'!$A$32:$A$35,0))="",INDEX('Parametri Modello'!$F$32:$F$35,MATCH($B8,'Parametri Modello'!$A$32:$A$35,0))=0),0,(1/INDEX('Parametri Modello'!$F$32:$F$35,MATCH($B8,'Parametri Modello'!$A$32:$A$35,0))-1)*'Parametri Modello'!$B$28))),0)))*(1+INDEX('Parametri Modello'!$B$12:$B$15,MATCH($B8,'Parametri Modello'!$A$12:$A$15,0))),0),"")</f>
        <v>186</v>
      </c>
      <c r="I8" s="23">
        <f>IFERROR(INDEX('Input Statistiche 2025_26'!$F$3:$F$665,MATCH($A8,'Input Statistiche 2025_26'!$A$3:$A$665,0)),"")</f>
        <v>33</v>
      </c>
      <c r="J8" s="23">
        <f t="shared" si="0"/>
        <v>5</v>
      </c>
      <c r="K8" s="23">
        <f>IFERROR(INDEX('Input Statistiche 2025_26'!$I$3:$I$665,MATCH($A8,'Input Statistiche 2025_26'!$A$3:$A$665,0)),"")</f>
        <v>10</v>
      </c>
      <c r="L8" s="23">
        <f>IFERROR(INDEX('Input Statistiche 2025_26'!$O$3:$O$665,MATCH($A8,'Input Statistiche 2025_26'!$A$3:$A$665,0)),"")</f>
        <v>2</v>
      </c>
      <c r="M8" s="25"/>
      <c r="N8" s="24">
        <f>IFERROR(INDEX('Input Giocatori 2026_27'!$E$3:$E$493,MATCH($A8,'Input Giocatori 2026_27'!$A$3:$A$493,0)),"")</f>
        <v>28</v>
      </c>
      <c r="O8" s="24">
        <f>IFERROR(INDEX('Input Giocatori 2026_27'!$G$3:$G$493,MATCH($A8,'Input Giocatori 2026_27'!$A$3:$A$493,0)),"")</f>
        <v>240</v>
      </c>
      <c r="P8" s="23" t="str">
        <f>IFERROR(IF($O8="","",IF((1-(COUNTIFS($B$2:$B$492,$B8,$O$2:$O$492,"&gt;"&amp;$O8)+1-1)/COUNTIF($B$2:$B$492,$B8))&gt;='Parametri Modello'!$B$63,"Top",IF((1-(COUNTIFS($B$2:$B$492,$B8,$O$2:$O$492,"&gt;"&amp;$O8)+1-1)/COUNTIF($B$2:$B$492,$B8))&gt;='Parametri Modello'!$B$64,"Buono",IF((1-(COUNTIFS($B$2:$B$492,$B8,$O$2:$O$492,"&gt;"&amp;$O8)+1-1)/COUNTIF($B$2:$B$492,$B8))&gt;='Parametri Modello'!$B$65,"Nella Media","Scommessa/Riserva")))),"")</f>
        <v>Top</v>
      </c>
      <c r="Q8" s="26">
        <f>IF(AND($D8="",$N8&gt;1),SUMPRODUCT(($D$2:$D8="")*($N$2:$N8&gt;1)),"")</f>
        <v>7</v>
      </c>
      <c r="R8" s="26" t="str">
        <f>IF($D8='Info Lega'!$B$28,COUNTIFS($D$2:$D8,'Info Lega'!$B$28),"")</f>
        <v/>
      </c>
      <c r="S8" s="27">
        <f>IFERROR(INDEX('Input Statistiche 2025_26'!$G$3:$G$665,MATCH($A8,'Input Statistiche 2025_26'!$A$3:$A$665,0)),"")</f>
        <v>6.39</v>
      </c>
      <c r="T8" s="27">
        <f>IFERROR(INDEX('Input Statistiche 2025_26'!$H$3:$H$665,MATCH($A8,'Input Statistiche 2025_26'!$A$3:$A$665,0)),"")</f>
        <v>7.26</v>
      </c>
      <c r="U8" s="23" t="str">
        <f>IF(OR('La Mia Rosa'!$O$12="",$D8&lt;&gt;""),"",IF($F8&lt;='La Mia Rosa'!$O$12*'Parametri Modello'!$B$24,"OK",IF($F8&lt;='La Mia Rosa'!$O$12*'Parametri Modello'!$B$25,"Attenzione","Rischio Alto")))</f>
        <v>Rischio Alto</v>
      </c>
      <c r="V8" s="23">
        <f t="shared" si="1"/>
        <v>2</v>
      </c>
      <c r="W8" s="18">
        <f>'Info Lega'!$B$4-SUMIFS($M$2:$M$492,$D$2:$D$492,'Info Lega'!$B$28)</f>
        <v>1000</v>
      </c>
      <c r="X8" s="18">
        <f>('Info Lega'!$B$5-COUNTIFS($D$2:$D$492,'Info Lega'!$B$28,$B$2:$B$492,"P"))+('Info Lega'!$B$6-COUNTIFS($D$2:$D$492,'Info Lega'!$B$28,$B$2:$B$492,"D"))+('Info Lega'!$B$7-COUNTIFS($D$2:$D$492,'Info Lega'!$B$28,$B$2:$B$492,"C"))+('Info Lega'!$B$8-COUNTIFS($D$2:$D$492,'Info Lega'!$B$28,$B$2:$B$492,"A"))</f>
        <v>25</v>
      </c>
      <c r="Y8" s="18">
        <f>X8*'Parametri Modello'!$B$30</f>
        <v>25</v>
      </c>
      <c r="Z8" s="18">
        <f t="shared" si="2"/>
        <v>975</v>
      </c>
      <c r="AA8" s="18">
        <f t="shared" si="3"/>
        <v>164</v>
      </c>
      <c r="AB8" s="18"/>
      <c r="AC8" s="18" t="str">
        <f>IF($AB8="","",IF($AB8&gt;$AA8,"PASS",IF($AB8&lt;=$AA8*(1-'Parametri Modello'!$B$68),"BID","ATTENZIONE")))</f>
        <v/>
      </c>
      <c r="AD8" s="28">
        <f t="shared" si="4"/>
        <v>67</v>
      </c>
      <c r="AE8" s="5" t="str">
        <f>IFERROR(INDEX('Stato Asta'!$G$9:$G$12,MATCH($B8,'Stato Asta'!$A$9:$A$12,0)),"")</f>
        <v>🔴 Non aspettare</v>
      </c>
      <c r="AF8" t="str">
        <f>IFERROR(IF($V8&lt;=INDEX('Parametri Modello'!$C$57:$C$60,MATCH($B8,'Parametri Modello'!$A$57:$A$60,0)),"Titolare","Riserva"),"")</f>
        <v>Titolare</v>
      </c>
      <c r="AG8" t="str">
        <f>IFERROR(INDEX('Pressione Competitiva'!$F$3:$F$6,MATCH($B8,'Pressione Competitiva'!$B$3:$B$6,0)),"")</f>
        <v>🔴 Molto Alta</v>
      </c>
      <c r="AH8" t="str">
        <f t="shared" si="5"/>
        <v/>
      </c>
      <c r="AI8" t="str">
        <f>IFERROR(IF($AH8="","",IF($AH8&gt;=$AA8*'Parametri Modello'!$B$68,"🟢 Opportunita'",IF($AH8&lt;=$AA8*'Parametri Modello'!$B$69,"🔴 Sovrapprezzo","🟡 Prezzo Corretto"))),"")</f>
        <v/>
      </c>
      <c r="AJ8" t="str">
        <f t="shared" si="6"/>
        <v/>
      </c>
      <c r="AK8">
        <f t="shared" si="7"/>
        <v>2</v>
      </c>
      <c r="AL8" t="str">
        <f t="shared" si="8"/>
        <v>C|Top|2</v>
      </c>
    </row>
    <row r="9" spans="1:38" ht="14.25" customHeight="1" x14ac:dyDescent="0.25">
      <c r="A9" s="18">
        <v>6397</v>
      </c>
      <c r="B9" s="18" t="s">
        <v>18</v>
      </c>
      <c r="C9" s="18" t="s">
        <v>148</v>
      </c>
      <c r="E9" s="23" t="str">
        <f>IF(COUNTIF('Info Strategia'!$D$2:$D$51,$C9)&gt;0,"SI","NO")</f>
        <v>NO</v>
      </c>
      <c r="F9" s="24">
        <f>IFERROR(ROUND(($G9+($H9-$G9)*'Info Strategia'!$B$6)*(1+IF($E9="SI",'Parametri Modello'!$B$7*'Info Strategia'!$B$6,0)),0),"")</f>
        <v>246</v>
      </c>
      <c r="G9" s="24">
        <f>IFERROR(ROUND(MAX(1,(IF($V9&lt;=INDEX('Parametri Modello'!$C$57:$C$60,MATCH($B9,'Parametri Modello'!$A$57:$A$60,0)),IF(INDEX('Parametri Modello'!$E$57:$E$60,MATCH($B9,'Parametri Modello'!$A$57:$A$60,0))=0,0,($O9/INDEX('Parametri Modello'!$E$57:$E$60,MATCH($B9,'Parametri Modello'!$A$57:$A$60,0)))*(INDEX('Parametri Modello'!$D$57:$D$60,MATCH($B9,'Parametri Modello'!$A$57:$A$60,0))*(INDEX('Parametri Modello'!$B$50:$B$53,MATCH($B9,'Parametri Modello'!$A$50:$A$53,0))*'Parametri Modello'!$B$44))),IF(INDEX('Parametri Modello'!$F$57:$F$60,MATCH($B9,'Parametri Modello'!$A$57:$A$60,0))=0,0,($O9/INDEX('Parametri Modello'!$F$57:$F$60,MATCH($B9,'Parametri Modello'!$A$57:$A$60,0)))*((1-INDEX('Parametri Modello'!$D$57:$D$60,MATCH($B9,'Parametri Modello'!$A$57:$A$60,0)))*(INDEX('Parametri Modello'!$B$50:$B$53,MATCH($B9,'Parametri Modello'!$A$50:$A$53,0))*'Parametri Modello'!$B$44))))*(1+IF(IF($B9="D",'Info Lega'!$B$25,IF($B9="C",'Info Lega'!$B$26,"No"))="Si",'Parametri Modello'!$B$5,0))*(1+MAX(-0.25,MIN(0.25,IF(OR($T9="",$I9="",$I9=0,INDEX('Parametri Modello'!$B$19:$B$22,MATCH($B9,'Parametri Modello'!$A$19:$A$22,0))="",INDEX('Parametri Modello'!$B$19:$B$22,MATCH($B9,'Parametri Modello'!$A$19:$A$22,0))=0),0,(($T9-INDEX('Parametri Modello'!$B$19:$B$22,MATCH($B9,'Parametri Modello'!$A$19:$A$22,0)))/INDEX('Parametri Modello'!$B$19:$B$22,MATCH($B9,'Parametri Modello'!$A$19:$A$22,0)))*'Parametri Modello'!$B$9))))*(1+IF('Parametri Modello'!$B$27="Si",MAX(-'Parametri Modello'!$B$28,MIN('Parametri Modello'!$B$28*1.5,IF(OR(INDEX('Parametri Modello'!$F$32:$F$35,MATCH($B9,'Parametri Modello'!$A$32:$A$35,0))="",INDEX('Parametri Modello'!$F$32:$F$35,MATCH($B9,'Parametri Modello'!$A$32:$A$35,0))=0),0,(1/INDEX('Parametri Modello'!$F$32:$F$35,MATCH($B9,'Parametri Modello'!$A$32:$A$35,0))-1)*'Parametri Modello'!$B$28))),0)))*(1-INDEX('Parametri Modello'!$B$12:$B$15,MATCH($B9,'Parametri Modello'!$A$12:$A$15,0)))),0),"")</f>
        <v>154</v>
      </c>
      <c r="H9" s="24">
        <f>IFERROR(ROUND((IF($V9&lt;=INDEX('Parametri Modello'!$C$57:$C$60,MATCH($B9,'Parametri Modello'!$A$57:$A$60,0)),IF(INDEX('Parametri Modello'!$E$57:$E$60,MATCH($B9,'Parametri Modello'!$A$57:$A$60,0))=0,0,($O9/INDEX('Parametri Modello'!$E$57:$E$60,MATCH($B9,'Parametri Modello'!$A$57:$A$60,0)))*(INDEX('Parametri Modello'!$D$57:$D$60,MATCH($B9,'Parametri Modello'!$A$57:$A$60,0))*(INDEX('Parametri Modello'!$B$50:$B$53,MATCH($B9,'Parametri Modello'!$A$50:$A$53,0))*'Parametri Modello'!$B$44))),IF(INDEX('Parametri Modello'!$F$57:$F$60,MATCH($B9,'Parametri Modello'!$A$57:$A$60,0))=0,0,($O9/INDEX('Parametri Modello'!$F$57:$F$60,MATCH($B9,'Parametri Modello'!$A$57:$A$60,0)))*((1-INDEX('Parametri Modello'!$D$57:$D$60,MATCH($B9,'Parametri Modello'!$A$57:$A$60,0)))*(INDEX('Parametri Modello'!$B$50:$B$53,MATCH($B9,'Parametri Modello'!$A$50:$A$53,0))*'Parametri Modello'!$B$44))))*(1+IF(IF($B9="D",'Info Lega'!$B$25,IF($B9="C",'Info Lega'!$B$26,"No"))="Si",'Parametri Modello'!$B$5,0))*(1+MAX(-0.25,MIN(0.25,IF(OR($T9="",$I9="",$I9=0,INDEX('Parametri Modello'!$B$19:$B$22,MATCH($B9,'Parametri Modello'!$A$19:$A$22,0))="",INDEX('Parametri Modello'!$B$19:$B$22,MATCH($B9,'Parametri Modello'!$A$19:$A$22,0))=0),0,(($T9-INDEX('Parametri Modello'!$B$19:$B$22,MATCH($B9,'Parametri Modello'!$A$19:$A$22,0)))/INDEX('Parametri Modello'!$B$19:$B$22,MATCH($B9,'Parametri Modello'!$A$19:$A$22,0)))*'Parametri Modello'!$B$9))))*(1+IF('Parametri Modello'!$B$27="Si",MAX(-'Parametri Modello'!$B$28,MIN('Parametri Modello'!$B$28*1.5,IF(OR(INDEX('Parametri Modello'!$F$32:$F$35,MATCH($B9,'Parametri Modello'!$A$32:$A$35,0))="",INDEX('Parametri Modello'!$F$32:$F$35,MATCH($B9,'Parametri Modello'!$A$32:$A$35,0))=0),0,(1/INDEX('Parametri Modello'!$F$32:$F$35,MATCH($B9,'Parametri Modello'!$A$32:$A$35,0))-1)*'Parametri Modello'!$B$28))),0)))*(1+INDEX('Parametri Modello'!$B$12:$B$15,MATCH($B9,'Parametri Modello'!$A$12:$A$15,0))),0),"")</f>
        <v>286</v>
      </c>
      <c r="I9" s="23" t="str">
        <f>IFERROR(INDEX('Input Statistiche 2025_26'!$F$3:$F$665,MATCH($A9,'Input Statistiche 2025_26'!$A$3:$A$665,0)),"")</f>
        <v/>
      </c>
      <c r="J9" s="23" t="str">
        <f t="shared" si="0"/>
        <v/>
      </c>
      <c r="K9" s="23" t="str">
        <f>IFERROR(INDEX('Input Statistiche 2025_26'!$I$3:$I$665,MATCH($A9,'Input Statistiche 2025_26'!$A$3:$A$665,0)),"")</f>
        <v/>
      </c>
      <c r="L9" s="23" t="str">
        <f>IFERROR(INDEX('Input Statistiche 2025_26'!$O$3:$O$665,MATCH($A9,'Input Statistiche 2025_26'!$A$3:$A$665,0)),"")</f>
        <v/>
      </c>
      <c r="M9" s="25"/>
      <c r="N9" s="24">
        <f>IFERROR(INDEX('Input Giocatori 2026_27'!$E$3:$E$493,MATCH($A9,'Input Giocatori 2026_27'!$A$3:$A$493,0)),"")</f>
        <v>27</v>
      </c>
      <c r="O9" s="24">
        <f>IFERROR(INDEX('Input Giocatori 2026_27'!$G$3:$G$493,MATCH($A9,'Input Giocatori 2026_27'!$A$3:$A$493,0)),"")</f>
        <v>240</v>
      </c>
      <c r="P9" s="23" t="str">
        <f>IFERROR(IF($O9="","",IF((1-(COUNTIFS($B$2:$B$492,$B9,$O$2:$O$492,"&gt;"&amp;$O9)+1-1)/COUNTIF($B$2:$B$492,$B9))&gt;='Parametri Modello'!$B$63,"Top",IF((1-(COUNTIFS($B$2:$B$492,$B9,$O$2:$O$492,"&gt;"&amp;$O9)+1-1)/COUNTIF($B$2:$B$492,$B9))&gt;='Parametri Modello'!$B$64,"Buono",IF((1-(COUNTIFS($B$2:$B$492,$B9,$O$2:$O$492,"&gt;"&amp;$O9)+1-1)/COUNTIF($B$2:$B$492,$B9))&gt;='Parametri Modello'!$B$65,"Nella Media","Scommessa/Riserva")))),"")</f>
        <v>Top</v>
      </c>
      <c r="Q9" s="26">
        <f>IF(AND($D9="",$N9&gt;1),SUMPRODUCT(($D$2:$D9="")*($N$2:$N9&gt;1)),"")</f>
        <v>8</v>
      </c>
      <c r="R9" s="26" t="str">
        <f>IF($D9='Info Lega'!$B$28,COUNTIFS($D$2:$D9,'Info Lega'!$B$28),"")</f>
        <v/>
      </c>
      <c r="S9" s="27" t="str">
        <f>IFERROR(INDEX('Input Statistiche 2025_26'!$G$3:$G$665,MATCH($A9,'Input Statistiche 2025_26'!$A$3:$A$665,0)),"")</f>
        <v/>
      </c>
      <c r="T9" s="27" t="str">
        <f>IFERROR(INDEX('Input Statistiche 2025_26'!$H$3:$H$665,MATCH($A9,'Input Statistiche 2025_26'!$A$3:$A$665,0)),"")</f>
        <v/>
      </c>
      <c r="U9" s="23" t="str">
        <f>IF(OR('La Mia Rosa'!$O$12="",$D9&lt;&gt;""),"",IF($F9&lt;='La Mia Rosa'!$O$12*'Parametri Modello'!$B$24,"OK",IF($F9&lt;='La Mia Rosa'!$O$12*'Parametri Modello'!$B$25,"Attenzione","Rischio Alto")))</f>
        <v>Rischio Alto</v>
      </c>
      <c r="V9" s="23">
        <f t="shared" si="1"/>
        <v>5</v>
      </c>
      <c r="W9" s="18">
        <f>'Info Lega'!$B$4-SUMIFS($M$2:$M$492,$D$2:$D$492,'Info Lega'!$B$28)</f>
        <v>1000</v>
      </c>
      <c r="X9" s="18">
        <f>('Info Lega'!$B$5-COUNTIFS($D$2:$D$492,'Info Lega'!$B$28,$B$2:$B$492,"P"))+('Info Lega'!$B$6-COUNTIFS($D$2:$D$492,'Info Lega'!$B$28,$B$2:$B$492,"D"))+('Info Lega'!$B$7-COUNTIFS($D$2:$D$492,'Info Lega'!$B$28,$B$2:$B$492,"C"))+('Info Lega'!$B$8-COUNTIFS($D$2:$D$492,'Info Lega'!$B$28,$B$2:$B$492,"A"))</f>
        <v>25</v>
      </c>
      <c r="Y9" s="18">
        <f>X9*'Parametri Modello'!$B$30</f>
        <v>25</v>
      </c>
      <c r="Z9" s="18">
        <f t="shared" si="2"/>
        <v>975</v>
      </c>
      <c r="AA9" s="18">
        <f t="shared" si="3"/>
        <v>246</v>
      </c>
      <c r="AB9" s="18"/>
      <c r="AC9" s="18" t="str">
        <f>IF($AB9="","",IF($AB9&gt;$AA9,"PASS",IF($AB9&lt;=$AA9*(1-'Parametri Modello'!$B$68),"BID","ATTENZIONE")))</f>
        <v/>
      </c>
      <c r="AD9" s="28" t="str">
        <f t="shared" si="4"/>
        <v/>
      </c>
      <c r="AE9" s="5" t="str">
        <f>IFERROR(INDEX('Stato Asta'!$G$9:$G$12,MATCH($B9,'Stato Asta'!$A$9:$A$12,0)),"")</f>
        <v>🔴 Non aspettare</v>
      </c>
      <c r="AF9" t="str">
        <f>IFERROR(IF($V9&lt;=INDEX('Parametri Modello'!$C$57:$C$60,MATCH($B9,'Parametri Modello'!$A$57:$A$60,0)),"Titolare","Riserva"),"")</f>
        <v>Titolare</v>
      </c>
      <c r="AG9" t="str">
        <f>IFERROR(INDEX('Pressione Competitiva'!$F$3:$F$6,MATCH($B9,'Pressione Competitiva'!$B$3:$B$6,0)),"")</f>
        <v>🔴 Molto Alta</v>
      </c>
      <c r="AH9" t="str">
        <f t="shared" si="5"/>
        <v/>
      </c>
      <c r="AI9" t="str">
        <f>IFERROR(IF($AH9="","",IF($AH9&gt;=$AA9*'Parametri Modello'!$B$68,"🟢 Opportunita'",IF($AH9&lt;=$AA9*'Parametri Modello'!$B$69,"🔴 Sovrapprezzo","🟡 Prezzo Corretto"))),"")</f>
        <v/>
      </c>
      <c r="AJ9" t="str">
        <f t="shared" si="6"/>
        <v/>
      </c>
      <c r="AK9">
        <f t="shared" si="7"/>
        <v>5</v>
      </c>
      <c r="AL9" t="str">
        <f t="shared" si="8"/>
        <v>A|Top|5</v>
      </c>
    </row>
    <row r="10" spans="1:38" ht="14.25" customHeight="1" x14ac:dyDescent="0.25">
      <c r="A10" s="18">
        <v>2194</v>
      </c>
      <c r="B10" s="18" t="s">
        <v>17</v>
      </c>
      <c r="C10" s="18" t="s">
        <v>149</v>
      </c>
      <c r="E10" s="23" t="str">
        <f>IF(COUNTIF('Info Strategia'!$D$2:$D$51,$C10)&gt;0,"SI","NO")</f>
        <v>NO</v>
      </c>
      <c r="F10" s="24">
        <f>IFERROR(ROUND(($G10+($H10-$G10)*'Info Strategia'!$B$6)*(1+IF($E10="SI",'Parametri Modello'!$B$7*'Info Strategia'!$B$6,0)),0),"")</f>
        <v>158</v>
      </c>
      <c r="G10" s="24">
        <f>IFERROR(ROUND(MAX(1,(IF($V10&lt;=INDEX('Parametri Modello'!$C$57:$C$60,MATCH($B10,'Parametri Modello'!$A$57:$A$60,0)),IF(INDEX('Parametri Modello'!$E$57:$E$60,MATCH($B10,'Parametri Modello'!$A$57:$A$60,0))=0,0,($O10/INDEX('Parametri Modello'!$E$57:$E$60,MATCH($B10,'Parametri Modello'!$A$57:$A$60,0)))*(INDEX('Parametri Modello'!$D$57:$D$60,MATCH($B10,'Parametri Modello'!$A$57:$A$60,0))*(INDEX('Parametri Modello'!$B$50:$B$53,MATCH($B10,'Parametri Modello'!$A$50:$A$53,0))*'Parametri Modello'!$B$44))),IF(INDEX('Parametri Modello'!$F$57:$F$60,MATCH($B10,'Parametri Modello'!$A$57:$A$60,0))=0,0,($O10/INDEX('Parametri Modello'!$F$57:$F$60,MATCH($B10,'Parametri Modello'!$A$57:$A$60,0)))*((1-INDEX('Parametri Modello'!$D$57:$D$60,MATCH($B10,'Parametri Modello'!$A$57:$A$60,0)))*(INDEX('Parametri Modello'!$B$50:$B$53,MATCH($B10,'Parametri Modello'!$A$50:$A$53,0))*'Parametri Modello'!$B$44))))*(1+IF(IF($B10="D",'Info Lega'!$B$25,IF($B10="C",'Info Lega'!$B$26,"No"))="Si",'Parametri Modello'!$B$5,0))*(1+MAX(-0.25,MIN(0.25,IF(OR($T10="",$I10="",$I10=0,INDEX('Parametri Modello'!$B$19:$B$22,MATCH($B10,'Parametri Modello'!$A$19:$A$22,0))="",INDEX('Parametri Modello'!$B$19:$B$22,MATCH($B10,'Parametri Modello'!$A$19:$A$22,0))=0),0,(($T10-INDEX('Parametri Modello'!$B$19:$B$22,MATCH($B10,'Parametri Modello'!$A$19:$A$22,0)))/INDEX('Parametri Modello'!$B$19:$B$22,MATCH($B10,'Parametri Modello'!$A$19:$A$22,0)))*'Parametri Modello'!$B$9))))*(1+IF('Parametri Modello'!$B$27="Si",MAX(-'Parametri Modello'!$B$28,MIN('Parametri Modello'!$B$28*1.5,IF(OR(INDEX('Parametri Modello'!$F$32:$F$35,MATCH($B10,'Parametri Modello'!$A$32:$A$35,0))="",INDEX('Parametri Modello'!$F$32:$F$35,MATCH($B10,'Parametri Modello'!$A$32:$A$35,0))=0),0,(1/INDEX('Parametri Modello'!$F$32:$F$35,MATCH($B10,'Parametri Modello'!$A$32:$A$35,0))-1)*'Parametri Modello'!$B$28))),0)))*(1-INDEX('Parametri Modello'!$B$12:$B$15,MATCH($B10,'Parametri Modello'!$A$12:$A$15,0)))),0),"")</f>
        <v>108</v>
      </c>
      <c r="H10" s="24">
        <f>IFERROR(ROUND((IF($V10&lt;=INDEX('Parametri Modello'!$C$57:$C$60,MATCH($B10,'Parametri Modello'!$A$57:$A$60,0)),IF(INDEX('Parametri Modello'!$E$57:$E$60,MATCH($B10,'Parametri Modello'!$A$57:$A$60,0))=0,0,($O10/INDEX('Parametri Modello'!$E$57:$E$60,MATCH($B10,'Parametri Modello'!$A$57:$A$60,0)))*(INDEX('Parametri Modello'!$D$57:$D$60,MATCH($B10,'Parametri Modello'!$A$57:$A$60,0))*(INDEX('Parametri Modello'!$B$50:$B$53,MATCH($B10,'Parametri Modello'!$A$50:$A$53,0))*'Parametri Modello'!$B$44))),IF(INDEX('Parametri Modello'!$F$57:$F$60,MATCH($B10,'Parametri Modello'!$A$57:$A$60,0))=0,0,($O10/INDEX('Parametri Modello'!$F$57:$F$60,MATCH($B10,'Parametri Modello'!$A$57:$A$60,0)))*((1-INDEX('Parametri Modello'!$D$57:$D$60,MATCH($B10,'Parametri Modello'!$A$57:$A$60,0)))*(INDEX('Parametri Modello'!$B$50:$B$53,MATCH($B10,'Parametri Modello'!$A$50:$A$53,0))*'Parametri Modello'!$B$44))))*(1+IF(IF($B10="D",'Info Lega'!$B$25,IF($B10="C",'Info Lega'!$B$26,"No"))="Si",'Parametri Modello'!$B$5,0))*(1+MAX(-0.25,MIN(0.25,IF(OR($T10="",$I10="",$I10=0,INDEX('Parametri Modello'!$B$19:$B$22,MATCH($B10,'Parametri Modello'!$A$19:$A$22,0))="",INDEX('Parametri Modello'!$B$19:$B$22,MATCH($B10,'Parametri Modello'!$A$19:$A$22,0))=0),0,(($T10-INDEX('Parametri Modello'!$B$19:$B$22,MATCH($B10,'Parametri Modello'!$A$19:$A$22,0)))/INDEX('Parametri Modello'!$B$19:$B$22,MATCH($B10,'Parametri Modello'!$A$19:$A$22,0)))*'Parametri Modello'!$B$9))))*(1+IF('Parametri Modello'!$B$27="Si",MAX(-'Parametri Modello'!$B$28,MIN('Parametri Modello'!$B$28*1.5,IF(OR(INDEX('Parametri Modello'!$F$32:$F$35,MATCH($B10,'Parametri Modello'!$A$32:$A$35,0))="",INDEX('Parametri Modello'!$F$32:$F$35,MATCH($B10,'Parametri Modello'!$A$32:$A$35,0))=0),0,(1/INDEX('Parametri Modello'!$F$32:$F$35,MATCH($B10,'Parametri Modello'!$A$32:$A$35,0))-1)*'Parametri Modello'!$B$28))),0)))*(1+INDEX('Parametri Modello'!$B$12:$B$15,MATCH($B10,'Parametri Modello'!$A$12:$A$15,0))),0),"")</f>
        <v>180</v>
      </c>
      <c r="I10" s="23">
        <f>IFERROR(INDEX('Input Statistiche 2025_26'!$F$3:$F$665,MATCH($A10,'Input Statistiche 2025_26'!$A$3:$A$665,0)),"")</f>
        <v>22</v>
      </c>
      <c r="J10" s="23">
        <f t="shared" si="0"/>
        <v>16</v>
      </c>
      <c r="K10" s="23">
        <f>IFERROR(INDEX('Input Statistiche 2025_26'!$I$3:$I$665,MATCH($A10,'Input Statistiche 2025_26'!$A$3:$A$665,0)),"")</f>
        <v>9</v>
      </c>
      <c r="L10" s="23">
        <f>IFERROR(INDEX('Input Statistiche 2025_26'!$O$3:$O$665,MATCH($A10,'Input Statistiche 2025_26'!$A$3:$A$665,0)),"")</f>
        <v>4</v>
      </c>
      <c r="M10" s="25"/>
      <c r="N10" s="24">
        <f>IFERROR(INDEX('Input Giocatori 2026_27'!$E$3:$E$493,MATCH($A10,'Input Giocatori 2026_27'!$A$3:$A$493,0)),"")</f>
        <v>27</v>
      </c>
      <c r="O10" s="24">
        <f>IFERROR(INDEX('Input Giocatori 2026_27'!$G$3:$G$493,MATCH($A10,'Input Giocatori 2026_27'!$A$3:$A$493,0)),"")</f>
        <v>230</v>
      </c>
      <c r="P10" s="23" t="str">
        <f>IFERROR(IF($O10="","",IF((1-(COUNTIFS($B$2:$B$492,$B10,$O$2:$O$492,"&gt;"&amp;$O10)+1-1)/COUNTIF($B$2:$B$492,$B10))&gt;='Parametri Modello'!$B$63,"Top",IF((1-(COUNTIFS($B$2:$B$492,$B10,$O$2:$O$492,"&gt;"&amp;$O10)+1-1)/COUNTIF($B$2:$B$492,$B10))&gt;='Parametri Modello'!$B$64,"Buono",IF((1-(COUNTIFS($B$2:$B$492,$B10,$O$2:$O$492,"&gt;"&amp;$O10)+1-1)/COUNTIF($B$2:$B$492,$B10))&gt;='Parametri Modello'!$B$65,"Nella Media","Scommessa/Riserva")))),"")</f>
        <v>Top</v>
      </c>
      <c r="Q10" s="26">
        <f>IF(AND($D10="",$N10&gt;1),SUMPRODUCT(($D$2:$D10="")*($N$2:$N10&gt;1)),"")</f>
        <v>9</v>
      </c>
      <c r="R10" s="26" t="str">
        <f>IF($D10='Info Lega'!$B$28,COUNTIFS($D$2:$D10,'Info Lega'!$B$28),"")</f>
        <v/>
      </c>
      <c r="S10" s="27">
        <f>IFERROR(INDEX('Input Statistiche 2025_26'!$G$3:$G$665,MATCH($A10,'Input Statistiche 2025_26'!$A$3:$A$665,0)),"")</f>
        <v>6.52</v>
      </c>
      <c r="T10" s="27">
        <f>IFERROR(INDEX('Input Statistiche 2025_26'!$H$3:$H$665,MATCH($A10,'Input Statistiche 2025_26'!$A$3:$A$665,0)),"")</f>
        <v>7.64</v>
      </c>
      <c r="U10" s="23" t="str">
        <f>IF(OR('La Mia Rosa'!$O$12="",$D10&lt;&gt;""),"",IF($F10&lt;='La Mia Rosa'!$O$12*'Parametri Modello'!$B$24,"OK",IF($F10&lt;='La Mia Rosa'!$O$12*'Parametri Modello'!$B$25,"Attenzione","Rischio Alto")))</f>
        <v>Rischio Alto</v>
      </c>
      <c r="V10" s="23">
        <f t="shared" si="1"/>
        <v>3</v>
      </c>
      <c r="W10" s="18">
        <f>'Info Lega'!$B$4-SUMIFS($M$2:$M$492,$D$2:$D$492,'Info Lega'!$B$28)</f>
        <v>1000</v>
      </c>
      <c r="X10" s="18">
        <f>('Info Lega'!$B$5-COUNTIFS($D$2:$D$492,'Info Lega'!$B$28,$B$2:$B$492,"P"))+('Info Lega'!$B$6-COUNTIFS($D$2:$D$492,'Info Lega'!$B$28,$B$2:$B$492,"D"))+('Info Lega'!$B$7-COUNTIFS($D$2:$D$492,'Info Lega'!$B$28,$B$2:$B$492,"C"))+('Info Lega'!$B$8-COUNTIFS($D$2:$D$492,'Info Lega'!$B$28,$B$2:$B$492,"A"))</f>
        <v>25</v>
      </c>
      <c r="Y10" s="18">
        <f>X10*'Parametri Modello'!$B$30</f>
        <v>25</v>
      </c>
      <c r="Z10" s="18">
        <f t="shared" si="2"/>
        <v>975</v>
      </c>
      <c r="AA10" s="18">
        <f t="shared" si="3"/>
        <v>158</v>
      </c>
      <c r="AB10" s="18"/>
      <c r="AC10" s="18" t="str">
        <f>IF($AB10="","",IF($AB10&gt;$AA10,"PASS",IF($AB10&lt;=$AA10*(1-'Parametri Modello'!$B$68),"BID","ATTENZIONE")))</f>
        <v/>
      </c>
      <c r="AD10" s="28">
        <f t="shared" si="4"/>
        <v>52</v>
      </c>
      <c r="AE10" s="5" t="str">
        <f>IFERROR(INDEX('Stato Asta'!$G$9:$G$12,MATCH($B10,'Stato Asta'!$A$9:$A$12,0)),"")</f>
        <v>🔴 Non aspettare</v>
      </c>
      <c r="AF10" t="str">
        <f>IFERROR(IF($V10&lt;=INDEX('Parametri Modello'!$C$57:$C$60,MATCH($B10,'Parametri Modello'!$A$57:$A$60,0)),"Titolare","Riserva"),"")</f>
        <v>Titolare</v>
      </c>
      <c r="AG10" t="str">
        <f>IFERROR(INDEX('Pressione Competitiva'!$F$3:$F$6,MATCH($B10,'Pressione Competitiva'!$B$3:$B$6,0)),"")</f>
        <v>🔴 Molto Alta</v>
      </c>
      <c r="AH10" t="str">
        <f t="shared" si="5"/>
        <v/>
      </c>
      <c r="AI10" t="str">
        <f>IFERROR(IF($AH10="","",IF($AH10&gt;=$AA10*'Parametri Modello'!$B$68,"🟢 Opportunita'",IF($AH10&lt;=$AA10*'Parametri Modello'!$B$69,"🔴 Sovrapprezzo","🟡 Prezzo Corretto"))),"")</f>
        <v/>
      </c>
      <c r="AJ10" t="str">
        <f t="shared" si="6"/>
        <v/>
      </c>
      <c r="AK10">
        <f t="shared" si="7"/>
        <v>3</v>
      </c>
      <c r="AL10" t="str">
        <f t="shared" si="8"/>
        <v>C|Top|3</v>
      </c>
    </row>
    <row r="11" spans="1:38" ht="14.25" customHeight="1" x14ac:dyDescent="0.25">
      <c r="A11" s="18">
        <v>5951</v>
      </c>
      <c r="B11" s="18" t="s">
        <v>18</v>
      </c>
      <c r="C11" s="18" t="s">
        <v>150</v>
      </c>
      <c r="E11" s="23" t="str">
        <f>IF(COUNTIF('Info Strategia'!$D$2:$D$51,$C11)&gt;0,"SI","NO")</f>
        <v>NO</v>
      </c>
      <c r="F11" s="24">
        <f>IFERROR(ROUND(($G11+($H11-$G11)*'Info Strategia'!$B$6)*(1+IF($E11="SI",'Parametri Modello'!$B$7*'Info Strategia'!$B$6,0)),0),"")</f>
        <v>231</v>
      </c>
      <c r="G11" s="24">
        <f>IFERROR(ROUND(MAX(1,(IF($V11&lt;=INDEX('Parametri Modello'!$C$57:$C$60,MATCH($B11,'Parametri Modello'!$A$57:$A$60,0)),IF(INDEX('Parametri Modello'!$E$57:$E$60,MATCH($B11,'Parametri Modello'!$A$57:$A$60,0))=0,0,($O11/INDEX('Parametri Modello'!$E$57:$E$60,MATCH($B11,'Parametri Modello'!$A$57:$A$60,0)))*(INDEX('Parametri Modello'!$D$57:$D$60,MATCH($B11,'Parametri Modello'!$A$57:$A$60,0))*(INDEX('Parametri Modello'!$B$50:$B$53,MATCH($B11,'Parametri Modello'!$A$50:$A$53,0))*'Parametri Modello'!$B$44))),IF(INDEX('Parametri Modello'!$F$57:$F$60,MATCH($B11,'Parametri Modello'!$A$57:$A$60,0))=0,0,($O11/INDEX('Parametri Modello'!$F$57:$F$60,MATCH($B11,'Parametri Modello'!$A$57:$A$60,0)))*((1-INDEX('Parametri Modello'!$D$57:$D$60,MATCH($B11,'Parametri Modello'!$A$57:$A$60,0)))*(INDEX('Parametri Modello'!$B$50:$B$53,MATCH($B11,'Parametri Modello'!$A$50:$A$53,0))*'Parametri Modello'!$B$44))))*(1+IF(IF($B11="D",'Info Lega'!$B$25,IF($B11="C",'Info Lega'!$B$26,"No"))="Si",'Parametri Modello'!$B$5,0))*(1+MAX(-0.25,MIN(0.25,IF(OR($T11="",$I11="",$I11=0,INDEX('Parametri Modello'!$B$19:$B$22,MATCH($B11,'Parametri Modello'!$A$19:$A$22,0))="",INDEX('Parametri Modello'!$B$19:$B$22,MATCH($B11,'Parametri Modello'!$A$19:$A$22,0))=0),0,(($T11-INDEX('Parametri Modello'!$B$19:$B$22,MATCH($B11,'Parametri Modello'!$A$19:$A$22,0)))/INDEX('Parametri Modello'!$B$19:$B$22,MATCH($B11,'Parametri Modello'!$A$19:$A$22,0)))*'Parametri Modello'!$B$9))))*(1+IF('Parametri Modello'!$B$27="Si",MAX(-'Parametri Modello'!$B$28,MIN('Parametri Modello'!$B$28*1.5,IF(OR(INDEX('Parametri Modello'!$F$32:$F$35,MATCH($B11,'Parametri Modello'!$A$32:$A$35,0))="",INDEX('Parametri Modello'!$F$32:$F$35,MATCH($B11,'Parametri Modello'!$A$32:$A$35,0))=0),0,(1/INDEX('Parametri Modello'!$F$32:$F$35,MATCH($B11,'Parametri Modello'!$A$32:$A$35,0))-1)*'Parametri Modello'!$B$28))),0)))*(1-INDEX('Parametri Modello'!$B$12:$B$15,MATCH($B11,'Parametri Modello'!$A$12:$A$15,0)))),0),"")</f>
        <v>144</v>
      </c>
      <c r="H11" s="24">
        <f>IFERROR(ROUND((IF($V11&lt;=INDEX('Parametri Modello'!$C$57:$C$60,MATCH($B11,'Parametri Modello'!$A$57:$A$60,0)),IF(INDEX('Parametri Modello'!$E$57:$E$60,MATCH($B11,'Parametri Modello'!$A$57:$A$60,0))=0,0,($O11/INDEX('Parametri Modello'!$E$57:$E$60,MATCH($B11,'Parametri Modello'!$A$57:$A$60,0)))*(INDEX('Parametri Modello'!$D$57:$D$60,MATCH($B11,'Parametri Modello'!$A$57:$A$60,0))*(INDEX('Parametri Modello'!$B$50:$B$53,MATCH($B11,'Parametri Modello'!$A$50:$A$53,0))*'Parametri Modello'!$B$44))),IF(INDEX('Parametri Modello'!$F$57:$F$60,MATCH($B11,'Parametri Modello'!$A$57:$A$60,0))=0,0,($O11/INDEX('Parametri Modello'!$F$57:$F$60,MATCH($B11,'Parametri Modello'!$A$57:$A$60,0)))*((1-INDEX('Parametri Modello'!$D$57:$D$60,MATCH($B11,'Parametri Modello'!$A$57:$A$60,0)))*(INDEX('Parametri Modello'!$B$50:$B$53,MATCH($B11,'Parametri Modello'!$A$50:$A$53,0))*'Parametri Modello'!$B$44))))*(1+IF(IF($B11="D",'Info Lega'!$B$25,IF($B11="C",'Info Lega'!$B$26,"No"))="Si",'Parametri Modello'!$B$5,0))*(1+MAX(-0.25,MIN(0.25,IF(OR($T11="",$I11="",$I11=0,INDEX('Parametri Modello'!$B$19:$B$22,MATCH($B11,'Parametri Modello'!$A$19:$A$22,0))="",INDEX('Parametri Modello'!$B$19:$B$22,MATCH($B11,'Parametri Modello'!$A$19:$A$22,0))=0),0,(($T11-INDEX('Parametri Modello'!$B$19:$B$22,MATCH($B11,'Parametri Modello'!$A$19:$A$22,0)))/INDEX('Parametri Modello'!$B$19:$B$22,MATCH($B11,'Parametri Modello'!$A$19:$A$22,0)))*'Parametri Modello'!$B$9))))*(1+IF('Parametri Modello'!$B$27="Si",MAX(-'Parametri Modello'!$B$28,MIN('Parametri Modello'!$B$28*1.5,IF(OR(INDEX('Parametri Modello'!$F$32:$F$35,MATCH($B11,'Parametri Modello'!$A$32:$A$35,0))="",INDEX('Parametri Modello'!$F$32:$F$35,MATCH($B11,'Parametri Modello'!$A$32:$A$35,0))=0),0,(1/INDEX('Parametri Modello'!$F$32:$F$35,MATCH($B11,'Parametri Modello'!$A$32:$A$35,0))-1)*'Parametri Modello'!$B$28))),0)))*(1+INDEX('Parametri Modello'!$B$12:$B$15,MATCH($B11,'Parametri Modello'!$A$12:$A$15,0))),0),"")</f>
        <v>268</v>
      </c>
      <c r="I11" s="23" t="str">
        <f>IFERROR(INDEX('Input Statistiche 2025_26'!$F$3:$F$665,MATCH($A11,'Input Statistiche 2025_26'!$A$3:$A$665,0)),"")</f>
        <v/>
      </c>
      <c r="J11" s="23" t="str">
        <f t="shared" si="0"/>
        <v/>
      </c>
      <c r="K11" s="23" t="str">
        <f>IFERROR(INDEX('Input Statistiche 2025_26'!$I$3:$I$665,MATCH($A11,'Input Statistiche 2025_26'!$A$3:$A$665,0)),"")</f>
        <v/>
      </c>
      <c r="L11" s="23" t="str">
        <f>IFERROR(INDEX('Input Statistiche 2025_26'!$O$3:$O$665,MATCH($A11,'Input Statistiche 2025_26'!$A$3:$A$665,0)),"")</f>
        <v/>
      </c>
      <c r="M11" s="25"/>
      <c r="N11" s="24">
        <f>IFERROR(INDEX('Input Giocatori 2026_27'!$E$3:$E$493,MATCH($A11,'Input Giocatori 2026_27'!$A$3:$A$493,0)),"")</f>
        <v>26</v>
      </c>
      <c r="O11" s="24">
        <f>IFERROR(INDEX('Input Giocatori 2026_27'!$G$3:$G$493,MATCH($A11,'Input Giocatori 2026_27'!$A$3:$A$493,0)),"")</f>
        <v>225</v>
      </c>
      <c r="P11" s="23" t="str">
        <f>IFERROR(IF($O11="","",IF((1-(COUNTIFS($B$2:$B$492,$B11,$O$2:$O$492,"&gt;"&amp;$O11)+1-1)/COUNTIF($B$2:$B$492,$B11))&gt;='Parametri Modello'!$B$63,"Top",IF((1-(COUNTIFS($B$2:$B$492,$B11,$O$2:$O$492,"&gt;"&amp;$O11)+1-1)/COUNTIF($B$2:$B$492,$B11))&gt;='Parametri Modello'!$B$64,"Buono",IF((1-(COUNTIFS($B$2:$B$492,$B11,$O$2:$O$492,"&gt;"&amp;$O11)+1-1)/COUNTIF($B$2:$B$492,$B11))&gt;='Parametri Modello'!$B$65,"Nella Media","Scommessa/Riserva")))),"")</f>
        <v>Top</v>
      </c>
      <c r="Q11" s="26">
        <f>IF(AND($D11="",$N11&gt;1),SUMPRODUCT(($D$2:$D11="")*($N$2:$N11&gt;1)),"")</f>
        <v>10</v>
      </c>
      <c r="R11" s="26" t="str">
        <f>IF($D11='Info Lega'!$B$28,COUNTIFS($D$2:$D11,'Info Lega'!$B$28),"")</f>
        <v/>
      </c>
      <c r="S11" s="27" t="str">
        <f>IFERROR(INDEX('Input Statistiche 2025_26'!$G$3:$G$665,MATCH($A11,'Input Statistiche 2025_26'!$A$3:$A$665,0)),"")</f>
        <v/>
      </c>
      <c r="T11" s="27" t="str">
        <f>IFERROR(INDEX('Input Statistiche 2025_26'!$H$3:$H$665,MATCH($A11,'Input Statistiche 2025_26'!$A$3:$A$665,0)),"")</f>
        <v/>
      </c>
      <c r="U11" s="23" t="str">
        <f>IF(OR('La Mia Rosa'!$O$12="",$D11&lt;&gt;""),"",IF($F11&lt;='La Mia Rosa'!$O$12*'Parametri Modello'!$B$24,"OK",IF($F11&lt;='La Mia Rosa'!$O$12*'Parametri Modello'!$B$25,"Attenzione","Rischio Alto")))</f>
        <v>Rischio Alto</v>
      </c>
      <c r="V11" s="23">
        <f t="shared" si="1"/>
        <v>6</v>
      </c>
      <c r="W11" s="18">
        <f>'Info Lega'!$B$4-SUMIFS($M$2:$M$492,$D$2:$D$492,'Info Lega'!$B$28)</f>
        <v>1000</v>
      </c>
      <c r="X11" s="18">
        <f>('Info Lega'!$B$5-COUNTIFS($D$2:$D$492,'Info Lega'!$B$28,$B$2:$B$492,"P"))+('Info Lega'!$B$6-COUNTIFS($D$2:$D$492,'Info Lega'!$B$28,$B$2:$B$492,"D"))+('Info Lega'!$B$7-COUNTIFS($D$2:$D$492,'Info Lega'!$B$28,$B$2:$B$492,"C"))+('Info Lega'!$B$8-COUNTIFS($D$2:$D$492,'Info Lega'!$B$28,$B$2:$B$492,"A"))</f>
        <v>25</v>
      </c>
      <c r="Y11" s="18">
        <f>X11*'Parametri Modello'!$B$30</f>
        <v>25</v>
      </c>
      <c r="Z11" s="18">
        <f t="shared" si="2"/>
        <v>975</v>
      </c>
      <c r="AA11" s="18">
        <f t="shared" si="3"/>
        <v>231</v>
      </c>
      <c r="AB11" s="18"/>
      <c r="AC11" s="18" t="str">
        <f>IF($AB11="","",IF($AB11&gt;$AA11,"PASS",IF($AB11&lt;=$AA11*(1-'Parametri Modello'!$B$68),"BID","ATTENZIONE")))</f>
        <v/>
      </c>
      <c r="AD11" s="28" t="str">
        <f t="shared" si="4"/>
        <v/>
      </c>
      <c r="AE11" s="5" t="str">
        <f>IFERROR(INDEX('Stato Asta'!$G$9:$G$12,MATCH($B11,'Stato Asta'!$A$9:$A$12,0)),"")</f>
        <v>🔴 Non aspettare</v>
      </c>
      <c r="AF11" t="str">
        <f>IFERROR(IF($V11&lt;=INDEX('Parametri Modello'!$C$57:$C$60,MATCH($B11,'Parametri Modello'!$A$57:$A$60,0)),"Titolare","Riserva"),"")</f>
        <v>Titolare</v>
      </c>
      <c r="AG11" t="str">
        <f>IFERROR(INDEX('Pressione Competitiva'!$F$3:$F$6,MATCH($B11,'Pressione Competitiva'!$B$3:$B$6,0)),"")</f>
        <v>🔴 Molto Alta</v>
      </c>
      <c r="AH11" t="str">
        <f t="shared" si="5"/>
        <v/>
      </c>
      <c r="AI11" t="str">
        <f>IFERROR(IF($AH11="","",IF($AH11&gt;=$AA11*'Parametri Modello'!$B$68,"🟢 Opportunita'",IF($AH11&lt;=$AA11*'Parametri Modello'!$B$69,"🔴 Sovrapprezzo","🟡 Prezzo Corretto"))),"")</f>
        <v/>
      </c>
      <c r="AJ11" t="str">
        <f t="shared" si="6"/>
        <v/>
      </c>
      <c r="AK11">
        <f t="shared" si="7"/>
        <v>6</v>
      </c>
      <c r="AL11" t="str">
        <f t="shared" si="8"/>
        <v>A|Top|6</v>
      </c>
    </row>
    <row r="12" spans="1:38" ht="14.25" customHeight="1" x14ac:dyDescent="0.25">
      <c r="A12" s="18">
        <v>2097</v>
      </c>
      <c r="B12" s="18" t="s">
        <v>18</v>
      </c>
      <c r="C12" s="18" t="s">
        <v>151</v>
      </c>
      <c r="E12" s="23" t="str">
        <f>IF(COUNTIF('Info Strategia'!$D$2:$D$51,$C12)&gt;0,"SI","NO")</f>
        <v>NO</v>
      </c>
      <c r="F12" s="24">
        <f>IFERROR(ROUND(($G12+($H12-$G12)*'Info Strategia'!$B$6)*(1+IF($E12="SI",'Parametri Modello'!$B$7*'Info Strategia'!$B$6,0)),0),"")</f>
        <v>218</v>
      </c>
      <c r="G12" s="24">
        <f>IFERROR(ROUND(MAX(1,(IF($V12&lt;=INDEX('Parametri Modello'!$C$57:$C$60,MATCH($B12,'Parametri Modello'!$A$57:$A$60,0)),IF(INDEX('Parametri Modello'!$E$57:$E$60,MATCH($B12,'Parametri Modello'!$A$57:$A$60,0))=0,0,($O12/INDEX('Parametri Modello'!$E$57:$E$60,MATCH($B12,'Parametri Modello'!$A$57:$A$60,0)))*(INDEX('Parametri Modello'!$D$57:$D$60,MATCH($B12,'Parametri Modello'!$A$57:$A$60,0))*(INDEX('Parametri Modello'!$B$50:$B$53,MATCH($B12,'Parametri Modello'!$A$50:$A$53,0))*'Parametri Modello'!$B$44))),IF(INDEX('Parametri Modello'!$F$57:$F$60,MATCH($B12,'Parametri Modello'!$A$57:$A$60,0))=0,0,($O12/INDEX('Parametri Modello'!$F$57:$F$60,MATCH($B12,'Parametri Modello'!$A$57:$A$60,0)))*((1-INDEX('Parametri Modello'!$D$57:$D$60,MATCH($B12,'Parametri Modello'!$A$57:$A$60,0)))*(INDEX('Parametri Modello'!$B$50:$B$53,MATCH($B12,'Parametri Modello'!$A$50:$A$53,0))*'Parametri Modello'!$B$44))))*(1+IF(IF($B12="D",'Info Lega'!$B$25,IF($B12="C",'Info Lega'!$B$26,"No"))="Si",'Parametri Modello'!$B$5,0))*(1+MAX(-0.25,MIN(0.25,IF(OR($T12="",$I12="",$I12=0,INDEX('Parametri Modello'!$B$19:$B$22,MATCH($B12,'Parametri Modello'!$A$19:$A$22,0))="",INDEX('Parametri Modello'!$B$19:$B$22,MATCH($B12,'Parametri Modello'!$A$19:$A$22,0))=0),0,(($T12-INDEX('Parametri Modello'!$B$19:$B$22,MATCH($B12,'Parametri Modello'!$A$19:$A$22,0)))/INDEX('Parametri Modello'!$B$19:$B$22,MATCH($B12,'Parametri Modello'!$A$19:$A$22,0)))*'Parametri Modello'!$B$9))))*(1+IF('Parametri Modello'!$B$27="Si",MAX(-'Parametri Modello'!$B$28,MIN('Parametri Modello'!$B$28*1.5,IF(OR(INDEX('Parametri Modello'!$F$32:$F$35,MATCH($B12,'Parametri Modello'!$A$32:$A$35,0))="",INDEX('Parametri Modello'!$F$32:$F$35,MATCH($B12,'Parametri Modello'!$A$32:$A$35,0))=0),0,(1/INDEX('Parametri Modello'!$F$32:$F$35,MATCH($B12,'Parametri Modello'!$A$32:$A$35,0))-1)*'Parametri Modello'!$B$28))),0)))*(1-INDEX('Parametri Modello'!$B$12:$B$15,MATCH($B12,'Parametri Modello'!$A$12:$A$15,0)))),0),"")</f>
        <v>136</v>
      </c>
      <c r="H12" s="24">
        <f>IFERROR(ROUND((IF($V12&lt;=INDEX('Parametri Modello'!$C$57:$C$60,MATCH($B12,'Parametri Modello'!$A$57:$A$60,0)),IF(INDEX('Parametri Modello'!$E$57:$E$60,MATCH($B12,'Parametri Modello'!$A$57:$A$60,0))=0,0,($O12/INDEX('Parametri Modello'!$E$57:$E$60,MATCH($B12,'Parametri Modello'!$A$57:$A$60,0)))*(INDEX('Parametri Modello'!$D$57:$D$60,MATCH($B12,'Parametri Modello'!$A$57:$A$60,0))*(INDEX('Parametri Modello'!$B$50:$B$53,MATCH($B12,'Parametri Modello'!$A$50:$A$53,0))*'Parametri Modello'!$B$44))),IF(INDEX('Parametri Modello'!$F$57:$F$60,MATCH($B12,'Parametri Modello'!$A$57:$A$60,0))=0,0,($O12/INDEX('Parametri Modello'!$F$57:$F$60,MATCH($B12,'Parametri Modello'!$A$57:$A$60,0)))*((1-INDEX('Parametri Modello'!$D$57:$D$60,MATCH($B12,'Parametri Modello'!$A$57:$A$60,0)))*(INDEX('Parametri Modello'!$B$50:$B$53,MATCH($B12,'Parametri Modello'!$A$50:$A$53,0))*'Parametri Modello'!$B$44))))*(1+IF(IF($B12="D",'Info Lega'!$B$25,IF($B12="C",'Info Lega'!$B$26,"No"))="Si",'Parametri Modello'!$B$5,0))*(1+MAX(-0.25,MIN(0.25,IF(OR($T12="",$I12="",$I12=0,INDEX('Parametri Modello'!$B$19:$B$22,MATCH($B12,'Parametri Modello'!$A$19:$A$22,0))="",INDEX('Parametri Modello'!$B$19:$B$22,MATCH($B12,'Parametri Modello'!$A$19:$A$22,0))=0),0,(($T12-INDEX('Parametri Modello'!$B$19:$B$22,MATCH($B12,'Parametri Modello'!$A$19:$A$22,0)))/INDEX('Parametri Modello'!$B$19:$B$22,MATCH($B12,'Parametri Modello'!$A$19:$A$22,0)))*'Parametri Modello'!$B$9))))*(1+IF('Parametri Modello'!$B$27="Si",MAX(-'Parametri Modello'!$B$28,MIN('Parametri Modello'!$B$28*1.5,IF(OR(INDEX('Parametri Modello'!$F$32:$F$35,MATCH($B12,'Parametri Modello'!$A$32:$A$35,0))="",INDEX('Parametri Modello'!$F$32:$F$35,MATCH($B12,'Parametri Modello'!$A$32:$A$35,0))=0),0,(1/INDEX('Parametri Modello'!$F$32:$F$35,MATCH($B12,'Parametri Modello'!$A$32:$A$35,0))-1)*'Parametri Modello'!$B$28))),0)))*(1+INDEX('Parametri Modello'!$B$12:$B$15,MATCH($B12,'Parametri Modello'!$A$12:$A$15,0))),0),"")</f>
        <v>253</v>
      </c>
      <c r="I12" s="23">
        <f>IFERROR(INDEX('Input Statistiche 2025_26'!$F$3:$F$665,MATCH($A12,'Input Statistiche 2025_26'!$A$3:$A$665,0)),"")</f>
        <v>26</v>
      </c>
      <c r="J12" s="23">
        <f t="shared" si="0"/>
        <v>12</v>
      </c>
      <c r="K12" s="23">
        <f>IFERROR(INDEX('Input Statistiche 2025_26'!$I$3:$I$665,MATCH($A12,'Input Statistiche 2025_26'!$A$3:$A$665,0)),"")</f>
        <v>8</v>
      </c>
      <c r="L12" s="23">
        <f>IFERROR(INDEX('Input Statistiche 2025_26'!$O$3:$O$665,MATCH($A12,'Input Statistiche 2025_26'!$A$3:$A$665,0)),"")</f>
        <v>1</v>
      </c>
      <c r="M12" s="25"/>
      <c r="N12" s="24">
        <f>IFERROR(INDEX('Input Giocatori 2026_27'!$E$3:$E$493,MATCH($A12,'Input Giocatori 2026_27'!$A$3:$A$493,0)),"")</f>
        <v>25</v>
      </c>
      <c r="O12" s="24">
        <f>IFERROR(INDEX('Input Giocatori 2026_27'!$G$3:$G$493,MATCH($A12,'Input Giocatori 2026_27'!$A$3:$A$493,0)),"")</f>
        <v>212</v>
      </c>
      <c r="P12" s="23" t="str">
        <f>IFERROR(IF($O12="","",IF((1-(COUNTIFS($B$2:$B$492,$B12,$O$2:$O$492,"&gt;"&amp;$O12)+1-1)/COUNTIF($B$2:$B$492,$B12))&gt;='Parametri Modello'!$B$63,"Top",IF((1-(COUNTIFS($B$2:$B$492,$B12,$O$2:$O$492,"&gt;"&amp;$O12)+1-1)/COUNTIF($B$2:$B$492,$B12))&gt;='Parametri Modello'!$B$64,"Buono",IF((1-(COUNTIFS($B$2:$B$492,$B12,$O$2:$O$492,"&gt;"&amp;$O12)+1-1)/COUNTIF($B$2:$B$492,$B12))&gt;='Parametri Modello'!$B$65,"Nella Media","Scommessa/Riserva")))),"")</f>
        <v>Top</v>
      </c>
      <c r="Q12" s="26">
        <f>IF(AND($D12="",$N12&gt;1),SUMPRODUCT(($D$2:$D12="")*($N$2:$N12&gt;1)),"")</f>
        <v>11</v>
      </c>
      <c r="R12" s="26" t="str">
        <f>IF($D12='Info Lega'!$B$28,COUNTIFS($D$2:$D12,'Info Lega'!$B$28),"")</f>
        <v/>
      </c>
      <c r="S12" s="27">
        <f>IFERROR(INDEX('Input Statistiche 2025_26'!$G$3:$G$665,MATCH($A12,'Input Statistiche 2025_26'!$A$3:$A$665,0)),"")</f>
        <v>5.88</v>
      </c>
      <c r="T12" s="27">
        <f>IFERROR(INDEX('Input Statistiche 2025_26'!$H$3:$H$665,MATCH($A12,'Input Statistiche 2025_26'!$A$3:$A$665,0)),"")</f>
        <v>6.77</v>
      </c>
      <c r="U12" s="23" t="str">
        <f>IF(OR('La Mia Rosa'!$O$12="",$D12&lt;&gt;""),"",IF($F12&lt;='La Mia Rosa'!$O$12*'Parametri Modello'!$B$24,"OK",IF($F12&lt;='La Mia Rosa'!$O$12*'Parametri Modello'!$B$25,"Attenzione","Rischio Alto")))</f>
        <v>Rischio Alto</v>
      </c>
      <c r="V12" s="23">
        <f t="shared" si="1"/>
        <v>7</v>
      </c>
      <c r="W12" s="18">
        <f>'Info Lega'!$B$4-SUMIFS($M$2:$M$492,$D$2:$D$492,'Info Lega'!$B$28)</f>
        <v>1000</v>
      </c>
      <c r="X12" s="18">
        <f>('Info Lega'!$B$5-COUNTIFS($D$2:$D$492,'Info Lega'!$B$28,$B$2:$B$492,"P"))+('Info Lega'!$B$6-COUNTIFS($D$2:$D$492,'Info Lega'!$B$28,$B$2:$B$492,"D"))+('Info Lega'!$B$7-COUNTIFS($D$2:$D$492,'Info Lega'!$B$28,$B$2:$B$492,"C"))+('Info Lega'!$B$8-COUNTIFS($D$2:$D$492,'Info Lega'!$B$28,$B$2:$B$492,"A"))</f>
        <v>25</v>
      </c>
      <c r="Y12" s="18">
        <f>X12*'Parametri Modello'!$B$30</f>
        <v>25</v>
      </c>
      <c r="Z12" s="18">
        <f t="shared" si="2"/>
        <v>975</v>
      </c>
      <c r="AA12" s="18">
        <f t="shared" si="3"/>
        <v>218</v>
      </c>
      <c r="AB12" s="18"/>
      <c r="AC12" s="18" t="str">
        <f>IF($AB12="","",IF($AB12&gt;$AA12,"PASS",IF($AB12&lt;=$AA12*(1-'Parametri Modello'!$B$68),"BID","ATTENZIONE")))</f>
        <v/>
      </c>
      <c r="AD12" s="28">
        <f t="shared" si="4"/>
        <v>58</v>
      </c>
      <c r="AE12" s="5" t="str">
        <f>IFERROR(INDEX('Stato Asta'!$G$9:$G$12,MATCH($B12,'Stato Asta'!$A$9:$A$12,0)),"")</f>
        <v>🔴 Non aspettare</v>
      </c>
      <c r="AF12" t="str">
        <f>IFERROR(IF($V12&lt;=INDEX('Parametri Modello'!$C$57:$C$60,MATCH($B12,'Parametri Modello'!$A$57:$A$60,0)),"Titolare","Riserva"),"")</f>
        <v>Titolare</v>
      </c>
      <c r="AG12" t="str">
        <f>IFERROR(INDEX('Pressione Competitiva'!$F$3:$F$6,MATCH($B12,'Pressione Competitiva'!$B$3:$B$6,0)),"")</f>
        <v>🔴 Molto Alta</v>
      </c>
      <c r="AH12" t="str">
        <f t="shared" si="5"/>
        <v/>
      </c>
      <c r="AI12" t="str">
        <f>IFERROR(IF($AH12="","",IF($AH12&gt;=$AA12*'Parametri Modello'!$B$68,"🟢 Opportunita'",IF($AH12&lt;=$AA12*'Parametri Modello'!$B$69,"🔴 Sovrapprezzo","🟡 Prezzo Corretto"))),"")</f>
        <v/>
      </c>
      <c r="AJ12" t="str">
        <f t="shared" si="6"/>
        <v/>
      </c>
      <c r="AK12">
        <f t="shared" si="7"/>
        <v>7</v>
      </c>
      <c r="AL12" t="str">
        <f t="shared" si="8"/>
        <v>A|Top|7</v>
      </c>
    </row>
    <row r="13" spans="1:38" ht="14.25" customHeight="1" x14ac:dyDescent="0.25">
      <c r="A13" s="18">
        <v>2167</v>
      </c>
      <c r="B13" s="18" t="s">
        <v>17</v>
      </c>
      <c r="C13" s="18" t="s">
        <v>152</v>
      </c>
      <c r="E13" s="23" t="str">
        <f>IF(COUNTIF('Info Strategia'!$D$2:$D$51,$C13)&gt;0,"SI","NO")</f>
        <v>NO</v>
      </c>
      <c r="F13" s="24">
        <f>IFERROR(ROUND(($G13+($H13-$G13)*'Info Strategia'!$B$6)*(1+IF($E13="SI",'Parametri Modello'!$B$7*'Info Strategia'!$B$6,0)),0),"")</f>
        <v>135</v>
      </c>
      <c r="G13" s="24">
        <f>IFERROR(ROUND(MAX(1,(IF($V13&lt;=INDEX('Parametri Modello'!$C$57:$C$60,MATCH($B13,'Parametri Modello'!$A$57:$A$60,0)),IF(INDEX('Parametri Modello'!$E$57:$E$60,MATCH($B13,'Parametri Modello'!$A$57:$A$60,0))=0,0,($O13/INDEX('Parametri Modello'!$E$57:$E$60,MATCH($B13,'Parametri Modello'!$A$57:$A$60,0)))*(INDEX('Parametri Modello'!$D$57:$D$60,MATCH($B13,'Parametri Modello'!$A$57:$A$60,0))*(INDEX('Parametri Modello'!$B$50:$B$53,MATCH($B13,'Parametri Modello'!$A$50:$A$53,0))*'Parametri Modello'!$B$44))),IF(INDEX('Parametri Modello'!$F$57:$F$60,MATCH($B13,'Parametri Modello'!$A$57:$A$60,0))=0,0,($O13/INDEX('Parametri Modello'!$F$57:$F$60,MATCH($B13,'Parametri Modello'!$A$57:$A$60,0)))*((1-INDEX('Parametri Modello'!$D$57:$D$60,MATCH($B13,'Parametri Modello'!$A$57:$A$60,0)))*(INDEX('Parametri Modello'!$B$50:$B$53,MATCH($B13,'Parametri Modello'!$A$50:$A$53,0))*'Parametri Modello'!$B$44))))*(1+IF(IF($B13="D",'Info Lega'!$B$25,IF($B13="C",'Info Lega'!$B$26,"No"))="Si",'Parametri Modello'!$B$5,0))*(1+MAX(-0.25,MIN(0.25,IF(OR($T13="",$I13="",$I13=0,INDEX('Parametri Modello'!$B$19:$B$22,MATCH($B13,'Parametri Modello'!$A$19:$A$22,0))="",INDEX('Parametri Modello'!$B$19:$B$22,MATCH($B13,'Parametri Modello'!$A$19:$A$22,0))=0),0,(($T13-INDEX('Parametri Modello'!$B$19:$B$22,MATCH($B13,'Parametri Modello'!$A$19:$A$22,0)))/INDEX('Parametri Modello'!$B$19:$B$22,MATCH($B13,'Parametri Modello'!$A$19:$A$22,0)))*'Parametri Modello'!$B$9))))*(1+IF('Parametri Modello'!$B$27="Si",MAX(-'Parametri Modello'!$B$28,MIN('Parametri Modello'!$B$28*1.5,IF(OR(INDEX('Parametri Modello'!$F$32:$F$35,MATCH($B13,'Parametri Modello'!$A$32:$A$35,0))="",INDEX('Parametri Modello'!$F$32:$F$35,MATCH($B13,'Parametri Modello'!$A$32:$A$35,0))=0),0,(1/INDEX('Parametri Modello'!$F$32:$F$35,MATCH($B13,'Parametri Modello'!$A$32:$A$35,0))-1)*'Parametri Modello'!$B$28))),0)))*(1-INDEX('Parametri Modello'!$B$12:$B$15,MATCH($B13,'Parametri Modello'!$A$12:$A$15,0)))),0),"")</f>
        <v>92</v>
      </c>
      <c r="H13" s="24">
        <f>IFERROR(ROUND((IF($V13&lt;=INDEX('Parametri Modello'!$C$57:$C$60,MATCH($B13,'Parametri Modello'!$A$57:$A$60,0)),IF(INDEX('Parametri Modello'!$E$57:$E$60,MATCH($B13,'Parametri Modello'!$A$57:$A$60,0))=0,0,($O13/INDEX('Parametri Modello'!$E$57:$E$60,MATCH($B13,'Parametri Modello'!$A$57:$A$60,0)))*(INDEX('Parametri Modello'!$D$57:$D$60,MATCH($B13,'Parametri Modello'!$A$57:$A$60,0))*(INDEX('Parametri Modello'!$B$50:$B$53,MATCH($B13,'Parametri Modello'!$A$50:$A$53,0))*'Parametri Modello'!$B$44))),IF(INDEX('Parametri Modello'!$F$57:$F$60,MATCH($B13,'Parametri Modello'!$A$57:$A$60,0))=0,0,($O13/INDEX('Parametri Modello'!$F$57:$F$60,MATCH($B13,'Parametri Modello'!$A$57:$A$60,0)))*((1-INDEX('Parametri Modello'!$D$57:$D$60,MATCH($B13,'Parametri Modello'!$A$57:$A$60,0)))*(INDEX('Parametri Modello'!$B$50:$B$53,MATCH($B13,'Parametri Modello'!$A$50:$A$53,0))*'Parametri Modello'!$B$44))))*(1+IF(IF($B13="D",'Info Lega'!$B$25,IF($B13="C",'Info Lega'!$B$26,"No"))="Si",'Parametri Modello'!$B$5,0))*(1+MAX(-0.25,MIN(0.25,IF(OR($T13="",$I13="",$I13=0,INDEX('Parametri Modello'!$B$19:$B$22,MATCH($B13,'Parametri Modello'!$A$19:$A$22,0))="",INDEX('Parametri Modello'!$B$19:$B$22,MATCH($B13,'Parametri Modello'!$A$19:$A$22,0))=0),0,(($T13-INDEX('Parametri Modello'!$B$19:$B$22,MATCH($B13,'Parametri Modello'!$A$19:$A$22,0)))/INDEX('Parametri Modello'!$B$19:$B$22,MATCH($B13,'Parametri Modello'!$A$19:$A$22,0)))*'Parametri Modello'!$B$9))))*(1+IF('Parametri Modello'!$B$27="Si",MAX(-'Parametri Modello'!$B$28,MIN('Parametri Modello'!$B$28*1.5,IF(OR(INDEX('Parametri Modello'!$F$32:$F$35,MATCH($B13,'Parametri Modello'!$A$32:$A$35,0))="",INDEX('Parametri Modello'!$F$32:$F$35,MATCH($B13,'Parametri Modello'!$A$32:$A$35,0))=0),0,(1/INDEX('Parametri Modello'!$F$32:$F$35,MATCH($B13,'Parametri Modello'!$A$32:$A$35,0))-1)*'Parametri Modello'!$B$28))),0)))*(1+INDEX('Parametri Modello'!$B$12:$B$15,MATCH($B13,'Parametri Modello'!$A$12:$A$15,0))),0),"")</f>
        <v>153</v>
      </c>
      <c r="I13" s="23">
        <f>IFERROR(INDEX('Input Statistiche 2025_26'!$F$3:$F$665,MATCH($A13,'Input Statistiche 2025_26'!$A$3:$A$665,0)),"")</f>
        <v>34</v>
      </c>
      <c r="J13" s="23">
        <f t="shared" si="0"/>
        <v>4</v>
      </c>
      <c r="K13" s="23">
        <f>IFERROR(INDEX('Input Statistiche 2025_26'!$I$3:$I$665,MATCH($A13,'Input Statistiche 2025_26'!$A$3:$A$665,0)),"")</f>
        <v>10</v>
      </c>
      <c r="L13" s="23">
        <f>IFERROR(INDEX('Input Statistiche 2025_26'!$O$3:$O$665,MATCH($A13,'Input Statistiche 2025_26'!$A$3:$A$665,0)),"")</f>
        <v>1</v>
      </c>
      <c r="M13" s="25"/>
      <c r="N13" s="24">
        <f>IFERROR(INDEX('Input Giocatori 2026_27'!$E$3:$E$493,MATCH($A13,'Input Giocatori 2026_27'!$A$3:$A$493,0)),"")</f>
        <v>26</v>
      </c>
      <c r="O13" s="24">
        <f>IFERROR(INDEX('Input Giocatori 2026_27'!$G$3:$G$493,MATCH($A13,'Input Giocatori 2026_27'!$A$3:$A$493,0)),"")</f>
        <v>200</v>
      </c>
      <c r="P13" s="23" t="str">
        <f>IFERROR(IF($O13="","",IF((1-(COUNTIFS($B$2:$B$492,$B13,$O$2:$O$492,"&gt;"&amp;$O13)+1-1)/COUNTIF($B$2:$B$492,$B13))&gt;='Parametri Modello'!$B$63,"Top",IF((1-(COUNTIFS($B$2:$B$492,$B13,$O$2:$O$492,"&gt;"&amp;$O13)+1-1)/COUNTIF($B$2:$B$492,$B13))&gt;='Parametri Modello'!$B$64,"Buono",IF((1-(COUNTIFS($B$2:$B$492,$B13,$O$2:$O$492,"&gt;"&amp;$O13)+1-1)/COUNTIF($B$2:$B$492,$B13))&gt;='Parametri Modello'!$B$65,"Nella Media","Scommessa/Riserva")))),"")</f>
        <v>Top</v>
      </c>
      <c r="Q13" s="26">
        <f>IF(AND($D13="",$N13&gt;1),SUMPRODUCT(($D$2:$D13="")*($N$2:$N13&gt;1)),"")</f>
        <v>12</v>
      </c>
      <c r="R13" s="26" t="str">
        <f>IF($D13='Info Lega'!$B$28,COUNTIFS($D$2:$D13,'Info Lega'!$B$28),"")</f>
        <v/>
      </c>
      <c r="S13" s="27">
        <f>IFERROR(INDEX('Input Statistiche 2025_26'!$G$3:$G$665,MATCH($A13,'Input Statistiche 2025_26'!$A$3:$A$665,0)),"")</f>
        <v>6.06</v>
      </c>
      <c r="T13" s="27">
        <f>IFERROR(INDEX('Input Statistiche 2025_26'!$H$3:$H$665,MATCH($A13,'Input Statistiche 2025_26'!$A$3:$A$665,0)),"")</f>
        <v>6.76</v>
      </c>
      <c r="U13" s="23" t="str">
        <f>IF(OR('La Mia Rosa'!$O$12="",$D13&lt;&gt;""),"",IF($F13&lt;='La Mia Rosa'!$O$12*'Parametri Modello'!$B$24,"OK",IF($F13&lt;='La Mia Rosa'!$O$12*'Parametri Modello'!$B$25,"Attenzione","Rischio Alto")))</f>
        <v>Rischio Alto</v>
      </c>
      <c r="V13" s="23">
        <f t="shared" si="1"/>
        <v>4</v>
      </c>
      <c r="W13" s="18">
        <f>'Info Lega'!$B$4-SUMIFS($M$2:$M$492,$D$2:$D$492,'Info Lega'!$B$28)</f>
        <v>1000</v>
      </c>
      <c r="X13" s="18">
        <f>('Info Lega'!$B$5-COUNTIFS($D$2:$D$492,'Info Lega'!$B$28,$B$2:$B$492,"P"))+('Info Lega'!$B$6-COUNTIFS($D$2:$D$492,'Info Lega'!$B$28,$B$2:$B$492,"D"))+('Info Lega'!$B$7-COUNTIFS($D$2:$D$492,'Info Lega'!$B$28,$B$2:$B$492,"C"))+('Info Lega'!$B$8-COUNTIFS($D$2:$D$492,'Info Lega'!$B$28,$B$2:$B$492,"A"))</f>
        <v>25</v>
      </c>
      <c r="Y13" s="18">
        <f>X13*'Parametri Modello'!$B$30</f>
        <v>25</v>
      </c>
      <c r="Z13" s="18">
        <f t="shared" si="2"/>
        <v>975</v>
      </c>
      <c r="AA13" s="18">
        <f t="shared" si="3"/>
        <v>135</v>
      </c>
      <c r="AB13" s="18"/>
      <c r="AC13" s="18" t="str">
        <f>IF($AB13="","",IF($AB13&gt;$AA13,"PASS",IF($AB13&lt;=$AA13*(1-'Parametri Modello'!$B$68),"BID","ATTENZIONE")))</f>
        <v/>
      </c>
      <c r="AD13" s="28">
        <f t="shared" si="4"/>
        <v>68</v>
      </c>
      <c r="AE13" s="5" t="str">
        <f>IFERROR(INDEX('Stato Asta'!$G$9:$G$12,MATCH($B13,'Stato Asta'!$A$9:$A$12,0)),"")</f>
        <v>🔴 Non aspettare</v>
      </c>
      <c r="AF13" t="str">
        <f>IFERROR(IF($V13&lt;=INDEX('Parametri Modello'!$C$57:$C$60,MATCH($B13,'Parametri Modello'!$A$57:$A$60,0)),"Titolare","Riserva"),"")</f>
        <v>Titolare</v>
      </c>
      <c r="AG13" t="str">
        <f>IFERROR(INDEX('Pressione Competitiva'!$F$3:$F$6,MATCH($B13,'Pressione Competitiva'!$B$3:$B$6,0)),"")</f>
        <v>🔴 Molto Alta</v>
      </c>
      <c r="AH13" t="str">
        <f t="shared" si="5"/>
        <v/>
      </c>
      <c r="AI13" t="str">
        <f>IFERROR(IF($AH13="","",IF($AH13&gt;=$AA13*'Parametri Modello'!$B$68,"🟢 Opportunita'",IF($AH13&lt;=$AA13*'Parametri Modello'!$B$69,"🔴 Sovrapprezzo","🟡 Prezzo Corretto"))),"")</f>
        <v/>
      </c>
      <c r="AJ13" t="str">
        <f t="shared" si="6"/>
        <v/>
      </c>
      <c r="AK13">
        <f t="shared" si="7"/>
        <v>4</v>
      </c>
      <c r="AL13" t="str">
        <f t="shared" si="8"/>
        <v>C|Top|4</v>
      </c>
    </row>
    <row r="14" spans="1:38" ht="14.25" customHeight="1" x14ac:dyDescent="0.25">
      <c r="A14" s="18">
        <v>6434</v>
      </c>
      <c r="B14" s="18" t="s">
        <v>18</v>
      </c>
      <c r="C14" s="18" t="s">
        <v>153</v>
      </c>
      <c r="E14" s="23" t="str">
        <f>IF(COUNTIF('Info Strategia'!$D$2:$D$51,$C14)&gt;0,"SI","NO")</f>
        <v>NO</v>
      </c>
      <c r="F14" s="24">
        <f>IFERROR(ROUND(($G14+($H14-$G14)*'Info Strategia'!$B$6)*(1+IF($E14="SI",'Parametri Modello'!$B$7*'Info Strategia'!$B$6,0)),0),"")</f>
        <v>209</v>
      </c>
      <c r="G14" s="24">
        <f>IFERROR(ROUND(MAX(1,(IF($V14&lt;=INDEX('Parametri Modello'!$C$57:$C$60,MATCH($B14,'Parametri Modello'!$A$57:$A$60,0)),IF(INDEX('Parametri Modello'!$E$57:$E$60,MATCH($B14,'Parametri Modello'!$A$57:$A$60,0))=0,0,($O14/INDEX('Parametri Modello'!$E$57:$E$60,MATCH($B14,'Parametri Modello'!$A$57:$A$60,0)))*(INDEX('Parametri Modello'!$D$57:$D$60,MATCH($B14,'Parametri Modello'!$A$57:$A$60,0))*(INDEX('Parametri Modello'!$B$50:$B$53,MATCH($B14,'Parametri Modello'!$A$50:$A$53,0))*'Parametri Modello'!$B$44))),IF(INDEX('Parametri Modello'!$F$57:$F$60,MATCH($B14,'Parametri Modello'!$A$57:$A$60,0))=0,0,($O14/INDEX('Parametri Modello'!$F$57:$F$60,MATCH($B14,'Parametri Modello'!$A$57:$A$60,0)))*((1-INDEX('Parametri Modello'!$D$57:$D$60,MATCH($B14,'Parametri Modello'!$A$57:$A$60,0)))*(INDEX('Parametri Modello'!$B$50:$B$53,MATCH($B14,'Parametri Modello'!$A$50:$A$53,0))*'Parametri Modello'!$B$44))))*(1+IF(IF($B14="D",'Info Lega'!$B$25,IF($B14="C",'Info Lega'!$B$26,"No"))="Si",'Parametri Modello'!$B$5,0))*(1+MAX(-0.25,MIN(0.25,IF(OR($T14="",$I14="",$I14=0,INDEX('Parametri Modello'!$B$19:$B$22,MATCH($B14,'Parametri Modello'!$A$19:$A$22,0))="",INDEX('Parametri Modello'!$B$19:$B$22,MATCH($B14,'Parametri Modello'!$A$19:$A$22,0))=0),0,(($T14-INDEX('Parametri Modello'!$B$19:$B$22,MATCH($B14,'Parametri Modello'!$A$19:$A$22,0)))/INDEX('Parametri Modello'!$B$19:$B$22,MATCH($B14,'Parametri Modello'!$A$19:$A$22,0)))*'Parametri Modello'!$B$9))))*(1+IF('Parametri Modello'!$B$27="Si",MAX(-'Parametri Modello'!$B$28,MIN('Parametri Modello'!$B$28*1.5,IF(OR(INDEX('Parametri Modello'!$F$32:$F$35,MATCH($B14,'Parametri Modello'!$A$32:$A$35,0))="",INDEX('Parametri Modello'!$F$32:$F$35,MATCH($B14,'Parametri Modello'!$A$32:$A$35,0))=0),0,(1/INDEX('Parametri Modello'!$F$32:$F$35,MATCH($B14,'Parametri Modello'!$A$32:$A$35,0))-1)*'Parametri Modello'!$B$28))),0)))*(1-INDEX('Parametri Modello'!$B$12:$B$15,MATCH($B14,'Parametri Modello'!$A$12:$A$15,0)))),0),"")</f>
        <v>131</v>
      </c>
      <c r="H14" s="24">
        <f>IFERROR(ROUND((IF($V14&lt;=INDEX('Parametri Modello'!$C$57:$C$60,MATCH($B14,'Parametri Modello'!$A$57:$A$60,0)),IF(INDEX('Parametri Modello'!$E$57:$E$60,MATCH($B14,'Parametri Modello'!$A$57:$A$60,0))=0,0,($O14/INDEX('Parametri Modello'!$E$57:$E$60,MATCH($B14,'Parametri Modello'!$A$57:$A$60,0)))*(INDEX('Parametri Modello'!$D$57:$D$60,MATCH($B14,'Parametri Modello'!$A$57:$A$60,0))*(INDEX('Parametri Modello'!$B$50:$B$53,MATCH($B14,'Parametri Modello'!$A$50:$A$53,0))*'Parametri Modello'!$B$44))),IF(INDEX('Parametri Modello'!$F$57:$F$60,MATCH($B14,'Parametri Modello'!$A$57:$A$60,0))=0,0,($O14/INDEX('Parametri Modello'!$F$57:$F$60,MATCH($B14,'Parametri Modello'!$A$57:$A$60,0)))*((1-INDEX('Parametri Modello'!$D$57:$D$60,MATCH($B14,'Parametri Modello'!$A$57:$A$60,0)))*(INDEX('Parametri Modello'!$B$50:$B$53,MATCH($B14,'Parametri Modello'!$A$50:$A$53,0))*'Parametri Modello'!$B$44))))*(1+IF(IF($B14="D",'Info Lega'!$B$25,IF($B14="C",'Info Lega'!$B$26,"No"))="Si",'Parametri Modello'!$B$5,0))*(1+MAX(-0.25,MIN(0.25,IF(OR($T14="",$I14="",$I14=0,INDEX('Parametri Modello'!$B$19:$B$22,MATCH($B14,'Parametri Modello'!$A$19:$A$22,0))="",INDEX('Parametri Modello'!$B$19:$B$22,MATCH($B14,'Parametri Modello'!$A$19:$A$22,0))=0),0,(($T14-INDEX('Parametri Modello'!$B$19:$B$22,MATCH($B14,'Parametri Modello'!$A$19:$A$22,0)))/INDEX('Parametri Modello'!$B$19:$B$22,MATCH($B14,'Parametri Modello'!$A$19:$A$22,0)))*'Parametri Modello'!$B$9))))*(1+IF('Parametri Modello'!$B$27="Si",MAX(-'Parametri Modello'!$B$28,MIN('Parametri Modello'!$B$28*1.5,IF(OR(INDEX('Parametri Modello'!$F$32:$F$35,MATCH($B14,'Parametri Modello'!$A$32:$A$35,0))="",INDEX('Parametri Modello'!$F$32:$F$35,MATCH($B14,'Parametri Modello'!$A$32:$A$35,0))=0),0,(1/INDEX('Parametri Modello'!$F$32:$F$35,MATCH($B14,'Parametri Modello'!$A$32:$A$35,0))-1)*'Parametri Modello'!$B$28))),0)))*(1+INDEX('Parametri Modello'!$B$12:$B$15,MATCH($B14,'Parametri Modello'!$A$12:$A$15,0))),0),"")</f>
        <v>243</v>
      </c>
      <c r="I14" s="23">
        <f>IFERROR(INDEX('Input Statistiche 2025_26'!$F$3:$F$665,MATCH($A14,'Input Statistiche 2025_26'!$A$3:$A$665,0)),"")</f>
        <v>35</v>
      </c>
      <c r="J14" s="23">
        <f t="shared" si="0"/>
        <v>3</v>
      </c>
      <c r="K14" s="23">
        <f>IFERROR(INDEX('Input Statistiche 2025_26'!$I$3:$I$665,MATCH($A14,'Input Statistiche 2025_26'!$A$3:$A$665,0)),"")</f>
        <v>10</v>
      </c>
      <c r="L14" s="23">
        <f>IFERROR(INDEX('Input Statistiche 2025_26'!$O$3:$O$665,MATCH($A14,'Input Statistiche 2025_26'!$A$3:$A$665,0)),"")</f>
        <v>6</v>
      </c>
      <c r="M14" s="25"/>
      <c r="N14" s="24">
        <f>IFERROR(INDEX('Input Giocatori 2026_27'!$E$3:$E$493,MATCH($A14,'Input Giocatori 2026_27'!$A$3:$A$493,0)),"")</f>
        <v>23</v>
      </c>
      <c r="O14" s="24">
        <f>IFERROR(INDEX('Input Giocatori 2026_27'!$G$3:$G$493,MATCH($A14,'Input Giocatori 2026_27'!$A$3:$A$493,0)),"")</f>
        <v>200</v>
      </c>
      <c r="P14" s="23" t="str">
        <f>IFERROR(IF($O14="","",IF((1-(COUNTIFS($B$2:$B$492,$B14,$O$2:$O$492,"&gt;"&amp;$O14)+1-1)/COUNTIF($B$2:$B$492,$B14))&gt;='Parametri Modello'!$B$63,"Top",IF((1-(COUNTIFS($B$2:$B$492,$B14,$O$2:$O$492,"&gt;"&amp;$O14)+1-1)/COUNTIF($B$2:$B$492,$B14))&gt;='Parametri Modello'!$B$64,"Buono",IF((1-(COUNTIFS($B$2:$B$492,$B14,$O$2:$O$492,"&gt;"&amp;$O14)+1-1)/COUNTIF($B$2:$B$492,$B14))&gt;='Parametri Modello'!$B$65,"Nella Media","Scommessa/Riserva")))),"")</f>
        <v>Top</v>
      </c>
      <c r="Q14" s="26">
        <f>IF(AND($D14="",$N14&gt;1),SUMPRODUCT(($D$2:$D14="")*($N$2:$N14&gt;1)),"")</f>
        <v>13</v>
      </c>
      <c r="R14" s="26" t="str">
        <f>IF($D14='Info Lega'!$B$28,COUNTIFS($D$2:$D14,'Info Lega'!$B$28),"")</f>
        <v/>
      </c>
      <c r="S14" s="27">
        <f>IFERROR(INDEX('Input Statistiche 2025_26'!$G$3:$G$665,MATCH($A14,'Input Statistiche 2025_26'!$A$3:$A$665,0)),"")</f>
        <v>6.39</v>
      </c>
      <c r="T14" s="27">
        <f>IFERROR(INDEX('Input Statistiche 2025_26'!$H$3:$H$665,MATCH($A14,'Input Statistiche 2025_26'!$A$3:$A$665,0)),"")</f>
        <v>7.3</v>
      </c>
      <c r="U14" s="23" t="str">
        <f>IF(OR('La Mia Rosa'!$O$12="",$D14&lt;&gt;""),"",IF($F14&lt;='La Mia Rosa'!$O$12*'Parametri Modello'!$B$24,"OK",IF($F14&lt;='La Mia Rosa'!$O$12*'Parametri Modello'!$B$25,"Attenzione","Rischio Alto")))</f>
        <v>Rischio Alto</v>
      </c>
      <c r="V14" s="23">
        <f t="shared" si="1"/>
        <v>8</v>
      </c>
      <c r="W14" s="18">
        <f>'Info Lega'!$B$4-SUMIFS($M$2:$M$492,$D$2:$D$492,'Info Lega'!$B$28)</f>
        <v>1000</v>
      </c>
      <c r="X14" s="18">
        <f>('Info Lega'!$B$5-COUNTIFS($D$2:$D$492,'Info Lega'!$B$28,$B$2:$B$492,"P"))+('Info Lega'!$B$6-COUNTIFS($D$2:$D$492,'Info Lega'!$B$28,$B$2:$B$492,"D"))+('Info Lega'!$B$7-COUNTIFS($D$2:$D$492,'Info Lega'!$B$28,$B$2:$B$492,"C"))+('Info Lega'!$B$8-COUNTIFS($D$2:$D$492,'Info Lega'!$B$28,$B$2:$B$492,"A"))</f>
        <v>25</v>
      </c>
      <c r="Y14" s="18">
        <f>X14*'Parametri Modello'!$B$30</f>
        <v>25</v>
      </c>
      <c r="Z14" s="18">
        <f t="shared" si="2"/>
        <v>975</v>
      </c>
      <c r="AA14" s="18">
        <f t="shared" si="3"/>
        <v>209</v>
      </c>
      <c r="AB14" s="18"/>
      <c r="AC14" s="18" t="str">
        <f>IF($AB14="","",IF($AB14&gt;$AA14,"PASS",IF($AB14&lt;=$AA14*(1-'Parametri Modello'!$B$68),"BID","ATTENZIONE")))</f>
        <v/>
      </c>
      <c r="AD14" s="28">
        <f t="shared" si="4"/>
        <v>69</v>
      </c>
      <c r="AE14" s="5" t="str">
        <f>IFERROR(INDEX('Stato Asta'!$G$9:$G$12,MATCH($B14,'Stato Asta'!$A$9:$A$12,0)),"")</f>
        <v>🔴 Non aspettare</v>
      </c>
      <c r="AF14" t="str">
        <f>IFERROR(IF($V14&lt;=INDEX('Parametri Modello'!$C$57:$C$60,MATCH($B14,'Parametri Modello'!$A$57:$A$60,0)),"Titolare","Riserva"),"")</f>
        <v>Titolare</v>
      </c>
      <c r="AG14" t="str">
        <f>IFERROR(INDEX('Pressione Competitiva'!$F$3:$F$6,MATCH($B14,'Pressione Competitiva'!$B$3:$B$6,0)),"")</f>
        <v>🔴 Molto Alta</v>
      </c>
      <c r="AH14" t="str">
        <f t="shared" si="5"/>
        <v/>
      </c>
      <c r="AI14" t="str">
        <f>IFERROR(IF($AH14="","",IF($AH14&gt;=$AA14*'Parametri Modello'!$B$68,"🟢 Opportunita'",IF($AH14&lt;=$AA14*'Parametri Modello'!$B$69,"🔴 Sovrapprezzo","🟡 Prezzo Corretto"))),"")</f>
        <v/>
      </c>
      <c r="AJ14" t="str">
        <f t="shared" si="6"/>
        <v/>
      </c>
      <c r="AK14">
        <f t="shared" si="7"/>
        <v>8</v>
      </c>
      <c r="AL14" t="str">
        <f t="shared" si="8"/>
        <v>A|Top|8</v>
      </c>
    </row>
    <row r="15" spans="1:38" ht="14.25" customHeight="1" x14ac:dyDescent="0.25">
      <c r="A15" s="18">
        <v>2423</v>
      </c>
      <c r="B15" s="18" t="s">
        <v>17</v>
      </c>
      <c r="C15" s="18" t="s">
        <v>154</v>
      </c>
      <c r="E15" s="23" t="str">
        <f>IF(COUNTIF('Info Strategia'!$D$2:$D$51,$C15)&gt;0,"SI","NO")</f>
        <v>NO</v>
      </c>
      <c r="F15" s="24">
        <f>IFERROR(ROUND(($G15+($H15-$G15)*'Info Strategia'!$B$6)*(1+IF($E15="SI",'Parametri Modello'!$B$7*'Info Strategia'!$B$6,0)),0),"")</f>
        <v>122</v>
      </c>
      <c r="G15" s="24">
        <f>IFERROR(ROUND(MAX(1,(IF($V15&lt;=INDEX('Parametri Modello'!$C$57:$C$60,MATCH($B15,'Parametri Modello'!$A$57:$A$60,0)),IF(INDEX('Parametri Modello'!$E$57:$E$60,MATCH($B15,'Parametri Modello'!$A$57:$A$60,0))=0,0,($O15/INDEX('Parametri Modello'!$E$57:$E$60,MATCH($B15,'Parametri Modello'!$A$57:$A$60,0)))*(INDEX('Parametri Modello'!$D$57:$D$60,MATCH($B15,'Parametri Modello'!$A$57:$A$60,0))*(INDEX('Parametri Modello'!$B$50:$B$53,MATCH($B15,'Parametri Modello'!$A$50:$A$53,0))*'Parametri Modello'!$B$44))),IF(INDEX('Parametri Modello'!$F$57:$F$60,MATCH($B15,'Parametri Modello'!$A$57:$A$60,0))=0,0,($O15/INDEX('Parametri Modello'!$F$57:$F$60,MATCH($B15,'Parametri Modello'!$A$57:$A$60,0)))*((1-INDEX('Parametri Modello'!$D$57:$D$60,MATCH($B15,'Parametri Modello'!$A$57:$A$60,0)))*(INDEX('Parametri Modello'!$B$50:$B$53,MATCH($B15,'Parametri Modello'!$A$50:$A$53,0))*'Parametri Modello'!$B$44))))*(1+IF(IF($B15="D",'Info Lega'!$B$25,IF($B15="C",'Info Lega'!$B$26,"No"))="Si",'Parametri Modello'!$B$5,0))*(1+MAX(-0.25,MIN(0.25,IF(OR($T15="",$I15="",$I15=0,INDEX('Parametri Modello'!$B$19:$B$22,MATCH($B15,'Parametri Modello'!$A$19:$A$22,0))="",INDEX('Parametri Modello'!$B$19:$B$22,MATCH($B15,'Parametri Modello'!$A$19:$A$22,0))=0),0,(($T15-INDEX('Parametri Modello'!$B$19:$B$22,MATCH($B15,'Parametri Modello'!$A$19:$A$22,0)))/INDEX('Parametri Modello'!$B$19:$B$22,MATCH($B15,'Parametri Modello'!$A$19:$A$22,0)))*'Parametri Modello'!$B$9))))*(1+IF('Parametri Modello'!$B$27="Si",MAX(-'Parametri Modello'!$B$28,MIN('Parametri Modello'!$B$28*1.5,IF(OR(INDEX('Parametri Modello'!$F$32:$F$35,MATCH($B15,'Parametri Modello'!$A$32:$A$35,0))="",INDEX('Parametri Modello'!$F$32:$F$35,MATCH($B15,'Parametri Modello'!$A$32:$A$35,0))=0),0,(1/INDEX('Parametri Modello'!$F$32:$F$35,MATCH($B15,'Parametri Modello'!$A$32:$A$35,0))-1)*'Parametri Modello'!$B$28))),0)))*(1-INDEX('Parametri Modello'!$B$12:$B$15,MATCH($B15,'Parametri Modello'!$A$12:$A$15,0)))),0),"")</f>
        <v>83</v>
      </c>
      <c r="H15" s="24">
        <f>IFERROR(ROUND((IF($V15&lt;=INDEX('Parametri Modello'!$C$57:$C$60,MATCH($B15,'Parametri Modello'!$A$57:$A$60,0)),IF(INDEX('Parametri Modello'!$E$57:$E$60,MATCH($B15,'Parametri Modello'!$A$57:$A$60,0))=0,0,($O15/INDEX('Parametri Modello'!$E$57:$E$60,MATCH($B15,'Parametri Modello'!$A$57:$A$60,0)))*(INDEX('Parametri Modello'!$D$57:$D$60,MATCH($B15,'Parametri Modello'!$A$57:$A$60,0))*(INDEX('Parametri Modello'!$B$50:$B$53,MATCH($B15,'Parametri Modello'!$A$50:$A$53,0))*'Parametri Modello'!$B$44))),IF(INDEX('Parametri Modello'!$F$57:$F$60,MATCH($B15,'Parametri Modello'!$A$57:$A$60,0))=0,0,($O15/INDEX('Parametri Modello'!$F$57:$F$60,MATCH($B15,'Parametri Modello'!$A$57:$A$60,0)))*((1-INDEX('Parametri Modello'!$D$57:$D$60,MATCH($B15,'Parametri Modello'!$A$57:$A$60,0)))*(INDEX('Parametri Modello'!$B$50:$B$53,MATCH($B15,'Parametri Modello'!$A$50:$A$53,0))*'Parametri Modello'!$B$44))))*(1+IF(IF($B15="D",'Info Lega'!$B$25,IF($B15="C",'Info Lega'!$B$26,"No"))="Si",'Parametri Modello'!$B$5,0))*(1+MAX(-0.25,MIN(0.25,IF(OR($T15="",$I15="",$I15=0,INDEX('Parametri Modello'!$B$19:$B$22,MATCH($B15,'Parametri Modello'!$A$19:$A$22,0))="",INDEX('Parametri Modello'!$B$19:$B$22,MATCH($B15,'Parametri Modello'!$A$19:$A$22,0))=0),0,(($T15-INDEX('Parametri Modello'!$B$19:$B$22,MATCH($B15,'Parametri Modello'!$A$19:$A$22,0)))/INDEX('Parametri Modello'!$B$19:$B$22,MATCH($B15,'Parametri Modello'!$A$19:$A$22,0)))*'Parametri Modello'!$B$9))))*(1+IF('Parametri Modello'!$B$27="Si",MAX(-'Parametri Modello'!$B$28,MIN('Parametri Modello'!$B$28*1.5,IF(OR(INDEX('Parametri Modello'!$F$32:$F$35,MATCH($B15,'Parametri Modello'!$A$32:$A$35,0))="",INDEX('Parametri Modello'!$F$32:$F$35,MATCH($B15,'Parametri Modello'!$A$32:$A$35,0))=0),0,(1/INDEX('Parametri Modello'!$F$32:$F$35,MATCH($B15,'Parametri Modello'!$A$32:$A$35,0))-1)*'Parametri Modello'!$B$28))),0)))*(1+INDEX('Parametri Modello'!$B$12:$B$15,MATCH($B15,'Parametri Modello'!$A$12:$A$15,0))),0),"")</f>
        <v>139</v>
      </c>
      <c r="I15" s="23">
        <f>IFERROR(INDEX('Input Statistiche 2025_26'!$F$3:$F$665,MATCH($A15,'Input Statistiche 2025_26'!$A$3:$A$665,0)),"")</f>
        <v>27</v>
      </c>
      <c r="J15" s="23">
        <f t="shared" si="0"/>
        <v>11</v>
      </c>
      <c r="K15" s="23">
        <f>IFERROR(INDEX('Input Statistiche 2025_26'!$I$3:$I$665,MATCH($A15,'Input Statistiche 2025_26'!$A$3:$A$665,0)),"")</f>
        <v>8</v>
      </c>
      <c r="L15" s="23">
        <f>IFERROR(INDEX('Input Statistiche 2025_26'!$O$3:$O$665,MATCH($A15,'Input Statistiche 2025_26'!$A$3:$A$665,0)),"")</f>
        <v>4</v>
      </c>
      <c r="M15" s="25"/>
      <c r="N15" s="24">
        <f>IFERROR(INDEX('Input Giocatori 2026_27'!$E$3:$E$493,MATCH($A15,'Input Giocatori 2026_27'!$A$3:$A$493,0)),"")</f>
        <v>25</v>
      </c>
      <c r="O15" s="24">
        <f>IFERROR(INDEX('Input Giocatori 2026_27'!$G$3:$G$493,MATCH($A15,'Input Giocatori 2026_27'!$A$3:$A$493,0)),"")</f>
        <v>180</v>
      </c>
      <c r="P15" s="23" t="str">
        <f>IFERROR(IF($O15="","",IF((1-(COUNTIFS($B$2:$B$492,$B15,$O$2:$O$492,"&gt;"&amp;$O15)+1-1)/COUNTIF($B$2:$B$492,$B15))&gt;='Parametri Modello'!$B$63,"Top",IF((1-(COUNTIFS($B$2:$B$492,$B15,$O$2:$O$492,"&gt;"&amp;$O15)+1-1)/COUNTIF($B$2:$B$492,$B15))&gt;='Parametri Modello'!$B$64,"Buono",IF((1-(COUNTIFS($B$2:$B$492,$B15,$O$2:$O$492,"&gt;"&amp;$O15)+1-1)/COUNTIF($B$2:$B$492,$B15))&gt;='Parametri Modello'!$B$65,"Nella Media","Scommessa/Riserva")))),"")</f>
        <v>Top</v>
      </c>
      <c r="Q15" s="26">
        <f>IF(AND($D15="",$N15&gt;1),SUMPRODUCT(($D$2:$D15="")*($N$2:$N15&gt;1)),"")</f>
        <v>14</v>
      </c>
      <c r="R15" s="26" t="str">
        <f>IF($D15='Info Lega'!$B$28,COUNTIFS($D$2:$D15,'Info Lega'!$B$28),"")</f>
        <v/>
      </c>
      <c r="S15" s="27">
        <f>IFERROR(INDEX('Input Statistiche 2025_26'!$G$3:$G$665,MATCH($A15,'Input Statistiche 2025_26'!$A$3:$A$665,0)),"")</f>
        <v>6.15</v>
      </c>
      <c r="T15" s="27">
        <f>IFERROR(INDEX('Input Statistiche 2025_26'!$H$3:$H$665,MATCH($A15,'Input Statistiche 2025_26'!$A$3:$A$665,0)),"")</f>
        <v>7.07</v>
      </c>
      <c r="U15" s="23" t="str">
        <f>IF(OR('La Mia Rosa'!$O$12="",$D15&lt;&gt;""),"",IF($F15&lt;='La Mia Rosa'!$O$12*'Parametri Modello'!$B$24,"OK",IF($F15&lt;='La Mia Rosa'!$O$12*'Parametri Modello'!$B$25,"Attenzione","Rischio Alto")))</f>
        <v>Rischio Alto</v>
      </c>
      <c r="V15" s="23">
        <f t="shared" si="1"/>
        <v>5</v>
      </c>
      <c r="W15" s="18">
        <f>'Info Lega'!$B$4-SUMIFS($M$2:$M$492,$D$2:$D$492,'Info Lega'!$B$28)</f>
        <v>1000</v>
      </c>
      <c r="X15" s="18">
        <f>('Info Lega'!$B$5-COUNTIFS($D$2:$D$492,'Info Lega'!$B$28,$B$2:$B$492,"P"))+('Info Lega'!$B$6-COUNTIFS($D$2:$D$492,'Info Lega'!$B$28,$B$2:$B$492,"D"))+('Info Lega'!$B$7-COUNTIFS($D$2:$D$492,'Info Lega'!$B$28,$B$2:$B$492,"C"))+('Info Lega'!$B$8-COUNTIFS($D$2:$D$492,'Info Lega'!$B$28,$B$2:$B$492,"A"))</f>
        <v>25</v>
      </c>
      <c r="Y15" s="18">
        <f>X15*'Parametri Modello'!$B$30</f>
        <v>25</v>
      </c>
      <c r="Z15" s="18">
        <f t="shared" si="2"/>
        <v>975</v>
      </c>
      <c r="AA15" s="18">
        <f t="shared" si="3"/>
        <v>122</v>
      </c>
      <c r="AB15" s="18"/>
      <c r="AC15" s="18" t="str">
        <f>IF($AB15="","",IF($AB15&gt;$AA15,"PASS",IF($AB15&lt;=$AA15*(1-'Parametri Modello'!$B$68),"BID","ATTENZIONE")))</f>
        <v/>
      </c>
      <c r="AD15" s="28">
        <f t="shared" si="4"/>
        <v>59</v>
      </c>
      <c r="AE15" s="5" t="str">
        <f>IFERROR(INDEX('Stato Asta'!$G$9:$G$12,MATCH($B15,'Stato Asta'!$A$9:$A$12,0)),"")</f>
        <v>🔴 Non aspettare</v>
      </c>
      <c r="AF15" t="str">
        <f>IFERROR(IF($V15&lt;=INDEX('Parametri Modello'!$C$57:$C$60,MATCH($B15,'Parametri Modello'!$A$57:$A$60,0)),"Titolare","Riserva"),"")</f>
        <v>Titolare</v>
      </c>
      <c r="AG15" t="str">
        <f>IFERROR(INDEX('Pressione Competitiva'!$F$3:$F$6,MATCH($B15,'Pressione Competitiva'!$B$3:$B$6,0)),"")</f>
        <v>🔴 Molto Alta</v>
      </c>
      <c r="AH15" t="str">
        <f t="shared" si="5"/>
        <v/>
      </c>
      <c r="AI15" t="str">
        <f>IFERROR(IF($AH15="","",IF($AH15&gt;=$AA15*'Parametri Modello'!$B$68,"🟢 Opportunita'",IF($AH15&lt;=$AA15*'Parametri Modello'!$B$69,"🔴 Sovrapprezzo","🟡 Prezzo Corretto"))),"")</f>
        <v/>
      </c>
      <c r="AJ15" t="str">
        <f t="shared" si="6"/>
        <v/>
      </c>
      <c r="AK15">
        <f t="shared" si="7"/>
        <v>5</v>
      </c>
      <c r="AL15" t="str">
        <f t="shared" si="8"/>
        <v>C|Top|5</v>
      </c>
    </row>
    <row r="16" spans="1:38" ht="14.25" customHeight="1" x14ac:dyDescent="0.25">
      <c r="A16" s="18">
        <v>7017</v>
      </c>
      <c r="B16" s="18" t="s">
        <v>18</v>
      </c>
      <c r="C16" s="18" t="s">
        <v>155</v>
      </c>
      <c r="E16" s="23" t="str">
        <f>IF(COUNTIF('Info Strategia'!$D$2:$D$51,$C16)&gt;0,"SI","NO")</f>
        <v>NO</v>
      </c>
      <c r="F16" s="24">
        <f>IFERROR(ROUND(($G16+($H16-$G16)*'Info Strategia'!$B$6)*(1+IF($E16="SI",'Parametri Modello'!$B$7*'Info Strategia'!$B$6,0)),0),"")</f>
        <v>165</v>
      </c>
      <c r="G16" s="24">
        <f>IFERROR(ROUND(MAX(1,(IF($V16&lt;=INDEX('Parametri Modello'!$C$57:$C$60,MATCH($B16,'Parametri Modello'!$A$57:$A$60,0)),IF(INDEX('Parametri Modello'!$E$57:$E$60,MATCH($B16,'Parametri Modello'!$A$57:$A$60,0))=0,0,($O16/INDEX('Parametri Modello'!$E$57:$E$60,MATCH($B16,'Parametri Modello'!$A$57:$A$60,0)))*(INDEX('Parametri Modello'!$D$57:$D$60,MATCH($B16,'Parametri Modello'!$A$57:$A$60,0))*(INDEX('Parametri Modello'!$B$50:$B$53,MATCH($B16,'Parametri Modello'!$A$50:$A$53,0))*'Parametri Modello'!$B$44))),IF(INDEX('Parametri Modello'!$F$57:$F$60,MATCH($B16,'Parametri Modello'!$A$57:$A$60,0))=0,0,($O16/INDEX('Parametri Modello'!$F$57:$F$60,MATCH($B16,'Parametri Modello'!$A$57:$A$60,0)))*((1-INDEX('Parametri Modello'!$D$57:$D$60,MATCH($B16,'Parametri Modello'!$A$57:$A$60,0)))*(INDEX('Parametri Modello'!$B$50:$B$53,MATCH($B16,'Parametri Modello'!$A$50:$A$53,0))*'Parametri Modello'!$B$44))))*(1+IF(IF($B16="D",'Info Lega'!$B$25,IF($B16="C",'Info Lega'!$B$26,"No"))="Si",'Parametri Modello'!$B$5,0))*(1+MAX(-0.25,MIN(0.25,IF(OR($T16="",$I16="",$I16=0,INDEX('Parametri Modello'!$B$19:$B$22,MATCH($B16,'Parametri Modello'!$A$19:$A$22,0))="",INDEX('Parametri Modello'!$B$19:$B$22,MATCH($B16,'Parametri Modello'!$A$19:$A$22,0))=0),0,(($T16-INDEX('Parametri Modello'!$B$19:$B$22,MATCH($B16,'Parametri Modello'!$A$19:$A$22,0)))/INDEX('Parametri Modello'!$B$19:$B$22,MATCH($B16,'Parametri Modello'!$A$19:$A$22,0)))*'Parametri Modello'!$B$9))))*(1+IF('Parametri Modello'!$B$27="Si",MAX(-'Parametri Modello'!$B$28,MIN('Parametri Modello'!$B$28*1.5,IF(OR(INDEX('Parametri Modello'!$F$32:$F$35,MATCH($B16,'Parametri Modello'!$A$32:$A$35,0))="",INDEX('Parametri Modello'!$F$32:$F$35,MATCH($B16,'Parametri Modello'!$A$32:$A$35,0))=0),0,(1/INDEX('Parametri Modello'!$F$32:$F$35,MATCH($B16,'Parametri Modello'!$A$32:$A$35,0))-1)*'Parametri Modello'!$B$28))),0)))*(1-INDEX('Parametri Modello'!$B$12:$B$15,MATCH($B16,'Parametri Modello'!$A$12:$A$15,0)))),0),"")</f>
        <v>103</v>
      </c>
      <c r="H16" s="24">
        <f>IFERROR(ROUND((IF($V16&lt;=INDEX('Parametri Modello'!$C$57:$C$60,MATCH($B16,'Parametri Modello'!$A$57:$A$60,0)),IF(INDEX('Parametri Modello'!$E$57:$E$60,MATCH($B16,'Parametri Modello'!$A$57:$A$60,0))=0,0,($O16/INDEX('Parametri Modello'!$E$57:$E$60,MATCH($B16,'Parametri Modello'!$A$57:$A$60,0)))*(INDEX('Parametri Modello'!$D$57:$D$60,MATCH($B16,'Parametri Modello'!$A$57:$A$60,0))*(INDEX('Parametri Modello'!$B$50:$B$53,MATCH($B16,'Parametri Modello'!$A$50:$A$53,0))*'Parametri Modello'!$B$44))),IF(INDEX('Parametri Modello'!$F$57:$F$60,MATCH($B16,'Parametri Modello'!$A$57:$A$60,0))=0,0,($O16/INDEX('Parametri Modello'!$F$57:$F$60,MATCH($B16,'Parametri Modello'!$A$57:$A$60,0)))*((1-INDEX('Parametri Modello'!$D$57:$D$60,MATCH($B16,'Parametri Modello'!$A$57:$A$60,0)))*(INDEX('Parametri Modello'!$B$50:$B$53,MATCH($B16,'Parametri Modello'!$A$50:$A$53,0))*'Parametri Modello'!$B$44))))*(1+IF(IF($B16="D",'Info Lega'!$B$25,IF($B16="C",'Info Lega'!$B$26,"No"))="Si",'Parametri Modello'!$B$5,0))*(1+MAX(-0.25,MIN(0.25,IF(OR($T16="",$I16="",$I16=0,INDEX('Parametri Modello'!$B$19:$B$22,MATCH($B16,'Parametri Modello'!$A$19:$A$22,0))="",INDEX('Parametri Modello'!$B$19:$B$22,MATCH($B16,'Parametri Modello'!$A$19:$A$22,0))=0),0,(($T16-INDEX('Parametri Modello'!$B$19:$B$22,MATCH($B16,'Parametri Modello'!$A$19:$A$22,0)))/INDEX('Parametri Modello'!$B$19:$B$22,MATCH($B16,'Parametri Modello'!$A$19:$A$22,0)))*'Parametri Modello'!$B$9))))*(1+IF('Parametri Modello'!$B$27="Si",MAX(-'Parametri Modello'!$B$28,MIN('Parametri Modello'!$B$28*1.5,IF(OR(INDEX('Parametri Modello'!$F$32:$F$35,MATCH($B16,'Parametri Modello'!$A$32:$A$35,0))="",INDEX('Parametri Modello'!$F$32:$F$35,MATCH($B16,'Parametri Modello'!$A$32:$A$35,0))=0),0,(1/INDEX('Parametri Modello'!$F$32:$F$35,MATCH($B16,'Parametri Modello'!$A$32:$A$35,0))-1)*'Parametri Modello'!$B$28))),0)))*(1+INDEX('Parametri Modello'!$B$12:$B$15,MATCH($B16,'Parametri Modello'!$A$12:$A$15,0))),0),"")</f>
        <v>191</v>
      </c>
      <c r="I16" s="23">
        <f>IFERROR(INDEX('Input Statistiche 2025_26'!$F$3:$F$665,MATCH($A16,'Input Statistiche 2025_26'!$A$3:$A$665,0)),"")</f>
        <v>36</v>
      </c>
      <c r="J16" s="23">
        <f t="shared" si="0"/>
        <v>2</v>
      </c>
      <c r="K16" s="23">
        <f>IFERROR(INDEX('Input Statistiche 2025_26'!$I$3:$I$665,MATCH($A16,'Input Statistiche 2025_26'!$A$3:$A$665,0)),"")</f>
        <v>14</v>
      </c>
      <c r="L16" s="23">
        <f>IFERROR(INDEX('Input Statistiche 2025_26'!$O$3:$O$665,MATCH($A16,'Input Statistiche 2025_26'!$A$3:$A$665,0)),"")</f>
        <v>1</v>
      </c>
      <c r="M16" s="25"/>
      <c r="N16" s="24">
        <f>IFERROR(INDEX('Input Giocatori 2026_27'!$E$3:$E$493,MATCH($A16,'Input Giocatori 2026_27'!$A$3:$A$493,0)),"")</f>
        <v>20</v>
      </c>
      <c r="O16" s="24">
        <f>IFERROR(INDEX('Input Giocatori 2026_27'!$G$3:$G$493,MATCH($A16,'Input Giocatori 2026_27'!$A$3:$A$493,0)),"")</f>
        <v>157</v>
      </c>
      <c r="P16" s="23" t="str">
        <f>IFERROR(IF($O16="","",IF((1-(COUNTIFS($B$2:$B$492,$B16,$O$2:$O$492,"&gt;"&amp;$O16)+1-1)/COUNTIF($B$2:$B$492,$B16))&gt;='Parametri Modello'!$B$63,"Top",IF((1-(COUNTIFS($B$2:$B$492,$B16,$O$2:$O$492,"&gt;"&amp;$O16)+1-1)/COUNTIF($B$2:$B$492,$B16))&gt;='Parametri Modello'!$B$64,"Buono",IF((1-(COUNTIFS($B$2:$B$492,$B16,$O$2:$O$492,"&gt;"&amp;$O16)+1-1)/COUNTIF($B$2:$B$492,$B16))&gt;='Parametri Modello'!$B$65,"Nella Media","Scommessa/Riserva")))),"")</f>
        <v>Top</v>
      </c>
      <c r="Q16" s="26">
        <f>IF(AND($D16="",$N16&gt;1),SUMPRODUCT(($D$2:$D16="")*($N$2:$N16&gt;1)),"")</f>
        <v>15</v>
      </c>
      <c r="R16" s="26" t="str">
        <f>IF($D16='Info Lega'!$B$28,COUNTIFS($D$2:$D16,'Info Lega'!$B$28),"")</f>
        <v/>
      </c>
      <c r="S16" s="27">
        <f>IFERROR(INDEX('Input Statistiche 2025_26'!$G$3:$G$665,MATCH($A16,'Input Statistiche 2025_26'!$A$3:$A$665,0)),"")</f>
        <v>6.18</v>
      </c>
      <c r="T16" s="27">
        <f>IFERROR(INDEX('Input Statistiche 2025_26'!$H$3:$H$665,MATCH($A16,'Input Statistiche 2025_26'!$A$3:$A$665,0)),"")</f>
        <v>7.38</v>
      </c>
      <c r="U16" s="23" t="str">
        <f>IF(OR('La Mia Rosa'!$O$12="",$D16&lt;&gt;""),"",IF($F16&lt;='La Mia Rosa'!$O$12*'Parametri Modello'!$B$24,"OK",IF($F16&lt;='La Mia Rosa'!$O$12*'Parametri Modello'!$B$25,"Attenzione","Rischio Alto")))</f>
        <v>Rischio Alto</v>
      </c>
      <c r="V16" s="23">
        <f t="shared" si="1"/>
        <v>9</v>
      </c>
      <c r="W16" s="18">
        <f>'Info Lega'!$B$4-SUMIFS($M$2:$M$492,$D$2:$D$492,'Info Lega'!$B$28)</f>
        <v>1000</v>
      </c>
      <c r="X16" s="18">
        <f>('Info Lega'!$B$5-COUNTIFS($D$2:$D$492,'Info Lega'!$B$28,$B$2:$B$492,"P"))+('Info Lega'!$B$6-COUNTIFS($D$2:$D$492,'Info Lega'!$B$28,$B$2:$B$492,"D"))+('Info Lega'!$B$7-COUNTIFS($D$2:$D$492,'Info Lega'!$B$28,$B$2:$B$492,"C"))+('Info Lega'!$B$8-COUNTIFS($D$2:$D$492,'Info Lega'!$B$28,$B$2:$B$492,"A"))</f>
        <v>25</v>
      </c>
      <c r="Y16" s="18">
        <f>X16*'Parametri Modello'!$B$30</f>
        <v>25</v>
      </c>
      <c r="Z16" s="18">
        <f t="shared" si="2"/>
        <v>975</v>
      </c>
      <c r="AA16" s="18">
        <f t="shared" si="3"/>
        <v>165</v>
      </c>
      <c r="AB16" s="18"/>
      <c r="AC16" s="18" t="str">
        <f>IF($AB16="","",IF($AB16&gt;$AA16,"PASS",IF($AB16&lt;=$AA16*(1-'Parametri Modello'!$B$68),"BID","ATTENZIONE")))</f>
        <v/>
      </c>
      <c r="AD16" s="28">
        <f t="shared" si="4"/>
        <v>70</v>
      </c>
      <c r="AE16" s="5" t="str">
        <f>IFERROR(INDEX('Stato Asta'!$G$9:$G$12,MATCH($B16,'Stato Asta'!$A$9:$A$12,0)),"")</f>
        <v>🔴 Non aspettare</v>
      </c>
      <c r="AF16" t="str">
        <f>IFERROR(IF($V16&lt;=INDEX('Parametri Modello'!$C$57:$C$60,MATCH($B16,'Parametri Modello'!$A$57:$A$60,0)),"Titolare","Riserva"),"")</f>
        <v>Titolare</v>
      </c>
      <c r="AG16" t="str">
        <f>IFERROR(INDEX('Pressione Competitiva'!$F$3:$F$6,MATCH($B16,'Pressione Competitiva'!$B$3:$B$6,0)),"")</f>
        <v>🔴 Molto Alta</v>
      </c>
      <c r="AH16" t="str">
        <f t="shared" si="5"/>
        <v/>
      </c>
      <c r="AI16" t="str">
        <f>IFERROR(IF($AH16="","",IF($AH16&gt;=$AA16*'Parametri Modello'!$B$68,"🟢 Opportunita'",IF($AH16&lt;=$AA16*'Parametri Modello'!$B$69,"🔴 Sovrapprezzo","🟡 Prezzo Corretto"))),"")</f>
        <v/>
      </c>
      <c r="AJ16" t="str">
        <f t="shared" si="6"/>
        <v/>
      </c>
      <c r="AK16">
        <f t="shared" si="7"/>
        <v>9</v>
      </c>
      <c r="AL16" t="str">
        <f t="shared" si="8"/>
        <v>A|Top|9</v>
      </c>
    </row>
    <row r="17" spans="1:38" ht="14.25" customHeight="1" x14ac:dyDescent="0.25">
      <c r="A17" s="18">
        <v>2379</v>
      </c>
      <c r="B17" s="18" t="s">
        <v>17</v>
      </c>
      <c r="C17" s="18" t="s">
        <v>156</v>
      </c>
      <c r="E17" s="23" t="str">
        <f>IF(COUNTIF('Info Strategia'!$D$2:$D$51,$C17)&gt;0,"SI","NO")</f>
        <v>NO</v>
      </c>
      <c r="F17" s="24">
        <f>IFERROR(ROUND(($G17+($H17-$G17)*'Info Strategia'!$B$6)*(1+IF($E17="SI",'Parametri Modello'!$B$7*'Info Strategia'!$B$6,0)),0),"")</f>
        <v>86</v>
      </c>
      <c r="G17" s="24">
        <f>IFERROR(ROUND(MAX(1,(IF($V17&lt;=INDEX('Parametri Modello'!$C$57:$C$60,MATCH($B17,'Parametri Modello'!$A$57:$A$60,0)),IF(INDEX('Parametri Modello'!$E$57:$E$60,MATCH($B17,'Parametri Modello'!$A$57:$A$60,0))=0,0,($O17/INDEX('Parametri Modello'!$E$57:$E$60,MATCH($B17,'Parametri Modello'!$A$57:$A$60,0)))*(INDEX('Parametri Modello'!$D$57:$D$60,MATCH($B17,'Parametri Modello'!$A$57:$A$60,0))*(INDEX('Parametri Modello'!$B$50:$B$53,MATCH($B17,'Parametri Modello'!$A$50:$A$53,0))*'Parametri Modello'!$B$44))),IF(INDEX('Parametri Modello'!$F$57:$F$60,MATCH($B17,'Parametri Modello'!$A$57:$A$60,0))=0,0,($O17/INDEX('Parametri Modello'!$F$57:$F$60,MATCH($B17,'Parametri Modello'!$A$57:$A$60,0)))*((1-INDEX('Parametri Modello'!$D$57:$D$60,MATCH($B17,'Parametri Modello'!$A$57:$A$60,0)))*(INDEX('Parametri Modello'!$B$50:$B$53,MATCH($B17,'Parametri Modello'!$A$50:$A$53,0))*'Parametri Modello'!$B$44))))*(1+IF(IF($B17="D",'Info Lega'!$B$25,IF($B17="C",'Info Lega'!$B$26,"No"))="Si",'Parametri Modello'!$B$5,0))*(1+MAX(-0.25,MIN(0.25,IF(OR($T17="",$I17="",$I17=0,INDEX('Parametri Modello'!$B$19:$B$22,MATCH($B17,'Parametri Modello'!$A$19:$A$22,0))="",INDEX('Parametri Modello'!$B$19:$B$22,MATCH($B17,'Parametri Modello'!$A$19:$A$22,0))=0),0,(($T17-INDEX('Parametri Modello'!$B$19:$B$22,MATCH($B17,'Parametri Modello'!$A$19:$A$22,0)))/INDEX('Parametri Modello'!$B$19:$B$22,MATCH($B17,'Parametri Modello'!$A$19:$A$22,0)))*'Parametri Modello'!$B$9))))*(1+IF('Parametri Modello'!$B$27="Si",MAX(-'Parametri Modello'!$B$28,MIN('Parametri Modello'!$B$28*1.5,IF(OR(INDEX('Parametri Modello'!$F$32:$F$35,MATCH($B17,'Parametri Modello'!$A$32:$A$35,0))="",INDEX('Parametri Modello'!$F$32:$F$35,MATCH($B17,'Parametri Modello'!$A$32:$A$35,0))=0),0,(1/INDEX('Parametri Modello'!$F$32:$F$35,MATCH($B17,'Parametri Modello'!$A$32:$A$35,0))-1)*'Parametri Modello'!$B$28))),0)))*(1-INDEX('Parametri Modello'!$B$12:$B$15,MATCH($B17,'Parametri Modello'!$A$12:$A$15,0)))),0),"")</f>
        <v>59</v>
      </c>
      <c r="H17" s="24">
        <f>IFERROR(ROUND((IF($V17&lt;=INDEX('Parametri Modello'!$C$57:$C$60,MATCH($B17,'Parametri Modello'!$A$57:$A$60,0)),IF(INDEX('Parametri Modello'!$E$57:$E$60,MATCH($B17,'Parametri Modello'!$A$57:$A$60,0))=0,0,($O17/INDEX('Parametri Modello'!$E$57:$E$60,MATCH($B17,'Parametri Modello'!$A$57:$A$60,0)))*(INDEX('Parametri Modello'!$D$57:$D$60,MATCH($B17,'Parametri Modello'!$A$57:$A$60,0))*(INDEX('Parametri Modello'!$B$50:$B$53,MATCH($B17,'Parametri Modello'!$A$50:$A$53,0))*'Parametri Modello'!$B$44))),IF(INDEX('Parametri Modello'!$F$57:$F$60,MATCH($B17,'Parametri Modello'!$A$57:$A$60,0))=0,0,($O17/INDEX('Parametri Modello'!$F$57:$F$60,MATCH($B17,'Parametri Modello'!$A$57:$A$60,0)))*((1-INDEX('Parametri Modello'!$D$57:$D$60,MATCH($B17,'Parametri Modello'!$A$57:$A$60,0)))*(INDEX('Parametri Modello'!$B$50:$B$53,MATCH($B17,'Parametri Modello'!$A$50:$A$53,0))*'Parametri Modello'!$B$44))))*(1+IF(IF($B17="D",'Info Lega'!$B$25,IF($B17="C",'Info Lega'!$B$26,"No"))="Si",'Parametri Modello'!$B$5,0))*(1+MAX(-0.25,MIN(0.25,IF(OR($T17="",$I17="",$I17=0,INDEX('Parametri Modello'!$B$19:$B$22,MATCH($B17,'Parametri Modello'!$A$19:$A$22,0))="",INDEX('Parametri Modello'!$B$19:$B$22,MATCH($B17,'Parametri Modello'!$A$19:$A$22,0))=0),0,(($T17-INDEX('Parametri Modello'!$B$19:$B$22,MATCH($B17,'Parametri Modello'!$A$19:$A$22,0)))/INDEX('Parametri Modello'!$B$19:$B$22,MATCH($B17,'Parametri Modello'!$A$19:$A$22,0)))*'Parametri Modello'!$B$9))))*(1+IF('Parametri Modello'!$B$27="Si",MAX(-'Parametri Modello'!$B$28,MIN('Parametri Modello'!$B$28*1.5,IF(OR(INDEX('Parametri Modello'!$F$32:$F$35,MATCH($B17,'Parametri Modello'!$A$32:$A$35,0))="",INDEX('Parametri Modello'!$F$32:$F$35,MATCH($B17,'Parametri Modello'!$A$32:$A$35,0))=0),0,(1/INDEX('Parametri Modello'!$F$32:$F$35,MATCH($B17,'Parametri Modello'!$A$32:$A$35,0))-1)*'Parametri Modello'!$B$28))),0)))*(1+INDEX('Parametri Modello'!$B$12:$B$15,MATCH($B17,'Parametri Modello'!$A$12:$A$15,0))),0),"")</f>
        <v>98</v>
      </c>
      <c r="I17" s="23">
        <f>IFERROR(INDEX('Input Statistiche 2025_26'!$F$3:$F$665,MATCH($A17,'Input Statistiche 2025_26'!$A$3:$A$665,0)),"")</f>
        <v>29</v>
      </c>
      <c r="J17" s="23">
        <f t="shared" si="0"/>
        <v>9</v>
      </c>
      <c r="K17" s="23">
        <f>IFERROR(INDEX('Input Statistiche 2025_26'!$I$3:$I$665,MATCH($A17,'Input Statistiche 2025_26'!$A$3:$A$665,0)),"")</f>
        <v>6</v>
      </c>
      <c r="L17" s="23">
        <f>IFERROR(INDEX('Input Statistiche 2025_26'!$O$3:$O$665,MATCH($A17,'Input Statistiche 2025_26'!$A$3:$A$665,0)),"")</f>
        <v>4</v>
      </c>
      <c r="M17" s="25"/>
      <c r="N17" s="24">
        <f>IFERROR(INDEX('Input Giocatori 2026_27'!$E$3:$E$493,MATCH($A17,'Input Giocatori 2026_27'!$A$3:$A$493,0)),"")</f>
        <v>22</v>
      </c>
      <c r="O17" s="24">
        <f>IFERROR(INDEX('Input Giocatori 2026_27'!$G$3:$G$493,MATCH($A17,'Input Giocatori 2026_27'!$A$3:$A$493,0)),"")</f>
        <v>128</v>
      </c>
      <c r="P17" s="23" t="str">
        <f>IFERROR(IF($O17="","",IF((1-(COUNTIFS($B$2:$B$492,$B17,$O$2:$O$492,"&gt;"&amp;$O17)+1-1)/COUNTIF($B$2:$B$492,$B17))&gt;='Parametri Modello'!$B$63,"Top",IF((1-(COUNTIFS($B$2:$B$492,$B17,$O$2:$O$492,"&gt;"&amp;$O17)+1-1)/COUNTIF($B$2:$B$492,$B17))&gt;='Parametri Modello'!$B$64,"Buono",IF((1-(COUNTIFS($B$2:$B$492,$B17,$O$2:$O$492,"&gt;"&amp;$O17)+1-1)/COUNTIF($B$2:$B$492,$B17))&gt;='Parametri Modello'!$B$65,"Nella Media","Scommessa/Riserva")))),"")</f>
        <v>Top</v>
      </c>
      <c r="Q17" s="26">
        <f>IF(AND($D17="",$N17&gt;1),SUMPRODUCT(($D$2:$D17="")*($N$2:$N17&gt;1)),"")</f>
        <v>16</v>
      </c>
      <c r="R17" s="26" t="str">
        <f>IF($D17='Info Lega'!$B$28,COUNTIFS($D$2:$D17,'Info Lega'!$B$28),"")</f>
        <v/>
      </c>
      <c r="S17" s="27">
        <f>IFERROR(INDEX('Input Statistiche 2025_26'!$G$3:$G$665,MATCH($A17,'Input Statistiche 2025_26'!$A$3:$A$665,0)),"")</f>
        <v>6.33</v>
      </c>
      <c r="T17" s="27">
        <f>IFERROR(INDEX('Input Statistiche 2025_26'!$H$3:$H$665,MATCH($A17,'Input Statistiche 2025_26'!$A$3:$A$665,0)),"")</f>
        <v>6.98</v>
      </c>
      <c r="U17" s="23" t="str">
        <f>IF(OR('La Mia Rosa'!$O$12="",$D17&lt;&gt;""),"",IF($F17&lt;='La Mia Rosa'!$O$12*'Parametri Modello'!$B$24,"OK",IF($F17&lt;='La Mia Rosa'!$O$12*'Parametri Modello'!$B$25,"Attenzione","Rischio Alto")))</f>
        <v>Attenzione</v>
      </c>
      <c r="V17" s="23">
        <f t="shared" si="1"/>
        <v>6</v>
      </c>
      <c r="W17" s="18">
        <f>'Info Lega'!$B$4-SUMIFS($M$2:$M$492,$D$2:$D$492,'Info Lega'!$B$28)</f>
        <v>1000</v>
      </c>
      <c r="X17" s="18">
        <f>('Info Lega'!$B$5-COUNTIFS($D$2:$D$492,'Info Lega'!$B$28,$B$2:$B$492,"P"))+('Info Lega'!$B$6-COUNTIFS($D$2:$D$492,'Info Lega'!$B$28,$B$2:$B$492,"D"))+('Info Lega'!$B$7-COUNTIFS($D$2:$D$492,'Info Lega'!$B$28,$B$2:$B$492,"C"))+('Info Lega'!$B$8-COUNTIFS($D$2:$D$492,'Info Lega'!$B$28,$B$2:$B$492,"A"))</f>
        <v>25</v>
      </c>
      <c r="Y17" s="18">
        <f>X17*'Parametri Modello'!$B$30</f>
        <v>25</v>
      </c>
      <c r="Z17" s="18">
        <f t="shared" si="2"/>
        <v>975</v>
      </c>
      <c r="AA17" s="18">
        <f t="shared" si="3"/>
        <v>86</v>
      </c>
      <c r="AB17" s="18"/>
      <c r="AC17" s="18" t="str">
        <f>IF($AB17="","",IF($AB17&gt;$AA17,"PASS",IF($AB17&lt;=$AA17*(1-'Parametri Modello'!$B$68),"BID","ATTENZIONE")))</f>
        <v/>
      </c>
      <c r="AD17" s="28">
        <f t="shared" si="4"/>
        <v>62</v>
      </c>
      <c r="AE17" s="5" t="str">
        <f>IFERROR(INDEX('Stato Asta'!$G$9:$G$12,MATCH($B17,'Stato Asta'!$A$9:$A$12,0)),"")</f>
        <v>🔴 Non aspettare</v>
      </c>
      <c r="AF17" t="str">
        <f>IFERROR(IF($V17&lt;=INDEX('Parametri Modello'!$C$57:$C$60,MATCH($B17,'Parametri Modello'!$A$57:$A$60,0)),"Titolare","Riserva"),"")</f>
        <v>Titolare</v>
      </c>
      <c r="AG17" t="str">
        <f>IFERROR(INDEX('Pressione Competitiva'!$F$3:$F$6,MATCH($B17,'Pressione Competitiva'!$B$3:$B$6,0)),"")</f>
        <v>🔴 Molto Alta</v>
      </c>
      <c r="AH17" t="str">
        <f t="shared" si="5"/>
        <v/>
      </c>
      <c r="AI17" t="str">
        <f>IFERROR(IF($AH17="","",IF($AH17&gt;=$AA17*'Parametri Modello'!$B$68,"🟢 Opportunita'",IF($AH17&lt;=$AA17*'Parametri Modello'!$B$69,"🔴 Sovrapprezzo","🟡 Prezzo Corretto"))),"")</f>
        <v/>
      </c>
      <c r="AJ17" t="str">
        <f t="shared" si="6"/>
        <v/>
      </c>
      <c r="AK17">
        <f t="shared" si="7"/>
        <v>6</v>
      </c>
      <c r="AL17" t="str">
        <f t="shared" si="8"/>
        <v>C|Top|6</v>
      </c>
    </row>
    <row r="18" spans="1:38" ht="14.25" customHeight="1" x14ac:dyDescent="0.25">
      <c r="A18" s="18">
        <v>2137</v>
      </c>
      <c r="B18" s="18" t="s">
        <v>18</v>
      </c>
      <c r="C18" s="18" t="s">
        <v>157</v>
      </c>
      <c r="E18" s="23" t="str">
        <f>IF(COUNTIF('Info Strategia'!$D$2:$D$51,$C18)&gt;0,"SI","NO")</f>
        <v>NO</v>
      </c>
      <c r="F18" s="24">
        <f>IFERROR(ROUND(($G18+($H18-$G18)*'Info Strategia'!$B$6)*(1+IF($E18="SI",'Parametri Modello'!$B$7*'Info Strategia'!$B$6,0)),0),"")</f>
        <v>134</v>
      </c>
      <c r="G18" s="24">
        <f>IFERROR(ROUND(MAX(1,(IF($V18&lt;=INDEX('Parametri Modello'!$C$57:$C$60,MATCH($B18,'Parametri Modello'!$A$57:$A$60,0)),IF(INDEX('Parametri Modello'!$E$57:$E$60,MATCH($B18,'Parametri Modello'!$A$57:$A$60,0))=0,0,($O18/INDEX('Parametri Modello'!$E$57:$E$60,MATCH($B18,'Parametri Modello'!$A$57:$A$60,0)))*(INDEX('Parametri Modello'!$D$57:$D$60,MATCH($B18,'Parametri Modello'!$A$57:$A$60,0))*(INDEX('Parametri Modello'!$B$50:$B$53,MATCH($B18,'Parametri Modello'!$A$50:$A$53,0))*'Parametri Modello'!$B$44))),IF(INDEX('Parametri Modello'!$F$57:$F$60,MATCH($B18,'Parametri Modello'!$A$57:$A$60,0))=0,0,($O18/INDEX('Parametri Modello'!$F$57:$F$60,MATCH($B18,'Parametri Modello'!$A$57:$A$60,0)))*((1-INDEX('Parametri Modello'!$D$57:$D$60,MATCH($B18,'Parametri Modello'!$A$57:$A$60,0)))*(INDEX('Parametri Modello'!$B$50:$B$53,MATCH($B18,'Parametri Modello'!$A$50:$A$53,0))*'Parametri Modello'!$B$44))))*(1+IF(IF($B18="D",'Info Lega'!$B$25,IF($B18="C",'Info Lega'!$B$26,"No"))="Si",'Parametri Modello'!$B$5,0))*(1+MAX(-0.25,MIN(0.25,IF(OR($T18="",$I18="",$I18=0,INDEX('Parametri Modello'!$B$19:$B$22,MATCH($B18,'Parametri Modello'!$A$19:$A$22,0))="",INDEX('Parametri Modello'!$B$19:$B$22,MATCH($B18,'Parametri Modello'!$A$19:$A$22,0))=0),0,(($T18-INDEX('Parametri Modello'!$B$19:$B$22,MATCH($B18,'Parametri Modello'!$A$19:$A$22,0)))/INDEX('Parametri Modello'!$B$19:$B$22,MATCH($B18,'Parametri Modello'!$A$19:$A$22,0)))*'Parametri Modello'!$B$9))))*(1+IF('Parametri Modello'!$B$27="Si",MAX(-'Parametri Modello'!$B$28,MIN('Parametri Modello'!$B$28*1.5,IF(OR(INDEX('Parametri Modello'!$F$32:$F$35,MATCH($B18,'Parametri Modello'!$A$32:$A$35,0))="",INDEX('Parametri Modello'!$F$32:$F$35,MATCH($B18,'Parametri Modello'!$A$32:$A$35,0))=0),0,(1/INDEX('Parametri Modello'!$F$32:$F$35,MATCH($B18,'Parametri Modello'!$A$32:$A$35,0))-1)*'Parametri Modello'!$B$28))),0)))*(1-INDEX('Parametri Modello'!$B$12:$B$15,MATCH($B18,'Parametri Modello'!$A$12:$A$15,0)))),0),"")</f>
        <v>84</v>
      </c>
      <c r="H18" s="24">
        <f>IFERROR(ROUND((IF($V18&lt;=INDEX('Parametri Modello'!$C$57:$C$60,MATCH($B18,'Parametri Modello'!$A$57:$A$60,0)),IF(INDEX('Parametri Modello'!$E$57:$E$60,MATCH($B18,'Parametri Modello'!$A$57:$A$60,0))=0,0,($O18/INDEX('Parametri Modello'!$E$57:$E$60,MATCH($B18,'Parametri Modello'!$A$57:$A$60,0)))*(INDEX('Parametri Modello'!$D$57:$D$60,MATCH($B18,'Parametri Modello'!$A$57:$A$60,0))*(INDEX('Parametri Modello'!$B$50:$B$53,MATCH($B18,'Parametri Modello'!$A$50:$A$53,0))*'Parametri Modello'!$B$44))),IF(INDEX('Parametri Modello'!$F$57:$F$60,MATCH($B18,'Parametri Modello'!$A$57:$A$60,0))=0,0,($O18/INDEX('Parametri Modello'!$F$57:$F$60,MATCH($B18,'Parametri Modello'!$A$57:$A$60,0)))*((1-INDEX('Parametri Modello'!$D$57:$D$60,MATCH($B18,'Parametri Modello'!$A$57:$A$60,0)))*(INDEX('Parametri Modello'!$B$50:$B$53,MATCH($B18,'Parametri Modello'!$A$50:$A$53,0))*'Parametri Modello'!$B$44))))*(1+IF(IF($B18="D",'Info Lega'!$B$25,IF($B18="C",'Info Lega'!$B$26,"No"))="Si",'Parametri Modello'!$B$5,0))*(1+MAX(-0.25,MIN(0.25,IF(OR($T18="",$I18="",$I18=0,INDEX('Parametri Modello'!$B$19:$B$22,MATCH($B18,'Parametri Modello'!$A$19:$A$22,0))="",INDEX('Parametri Modello'!$B$19:$B$22,MATCH($B18,'Parametri Modello'!$A$19:$A$22,0))=0),0,(($T18-INDEX('Parametri Modello'!$B$19:$B$22,MATCH($B18,'Parametri Modello'!$A$19:$A$22,0)))/INDEX('Parametri Modello'!$B$19:$B$22,MATCH($B18,'Parametri Modello'!$A$19:$A$22,0)))*'Parametri Modello'!$B$9))))*(1+IF('Parametri Modello'!$B$27="Si",MAX(-'Parametri Modello'!$B$28,MIN('Parametri Modello'!$B$28*1.5,IF(OR(INDEX('Parametri Modello'!$F$32:$F$35,MATCH($B18,'Parametri Modello'!$A$32:$A$35,0))="",INDEX('Parametri Modello'!$F$32:$F$35,MATCH($B18,'Parametri Modello'!$A$32:$A$35,0))=0),0,(1/INDEX('Parametri Modello'!$F$32:$F$35,MATCH($B18,'Parametri Modello'!$A$32:$A$35,0))-1)*'Parametri Modello'!$B$28))),0)))*(1+INDEX('Parametri Modello'!$B$12:$B$15,MATCH($B18,'Parametri Modello'!$A$12:$A$15,0))),0),"")</f>
        <v>156</v>
      </c>
      <c r="I18" s="23">
        <f>IFERROR(INDEX('Input Statistiche 2025_26'!$F$3:$F$665,MATCH($A18,'Input Statistiche 2025_26'!$A$3:$A$665,0)),"")</f>
        <v>22</v>
      </c>
      <c r="J18" s="23">
        <f t="shared" si="0"/>
        <v>16</v>
      </c>
      <c r="K18" s="23">
        <f>IFERROR(INDEX('Input Statistiche 2025_26'!$I$3:$I$665,MATCH($A18,'Input Statistiche 2025_26'!$A$3:$A$665,0)),"")</f>
        <v>10</v>
      </c>
      <c r="L18" s="23">
        <f>IFERROR(INDEX('Input Statistiche 2025_26'!$O$3:$O$665,MATCH($A18,'Input Statistiche 2025_26'!$A$3:$A$665,0)),"")</f>
        <v>1</v>
      </c>
      <c r="M18" s="25"/>
      <c r="N18" s="24">
        <f>IFERROR(INDEX('Input Giocatori 2026_27'!$E$3:$E$493,MATCH($A18,'Input Giocatori 2026_27'!$A$3:$A$493,0)),"")</f>
        <v>19</v>
      </c>
      <c r="O18" s="24">
        <f>IFERROR(INDEX('Input Giocatori 2026_27'!$G$3:$G$493,MATCH($A18,'Input Giocatori 2026_27'!$A$3:$A$493,0)),"")</f>
        <v>128</v>
      </c>
      <c r="P18" s="23" t="str">
        <f>IFERROR(IF($O18="","",IF((1-(COUNTIFS($B$2:$B$492,$B18,$O$2:$O$492,"&gt;"&amp;$O18)+1-1)/COUNTIF($B$2:$B$492,$B18))&gt;='Parametri Modello'!$B$63,"Top",IF((1-(COUNTIFS($B$2:$B$492,$B18,$O$2:$O$492,"&gt;"&amp;$O18)+1-1)/COUNTIF($B$2:$B$492,$B18))&gt;='Parametri Modello'!$B$64,"Buono",IF((1-(COUNTIFS($B$2:$B$492,$B18,$O$2:$O$492,"&gt;"&amp;$O18)+1-1)/COUNTIF($B$2:$B$492,$B18))&gt;='Parametri Modello'!$B$65,"Nella Media","Scommessa/Riserva")))),"")</f>
        <v>Buono</v>
      </c>
      <c r="Q18" s="26">
        <f>IF(AND($D18="",$N18&gt;1),SUMPRODUCT(($D$2:$D18="")*($N$2:$N18&gt;1)),"")</f>
        <v>17</v>
      </c>
      <c r="R18" s="26" t="str">
        <f>IF($D18='Info Lega'!$B$28,COUNTIFS($D$2:$D18,'Info Lega'!$B$28),"")</f>
        <v/>
      </c>
      <c r="S18" s="27">
        <f>IFERROR(INDEX('Input Statistiche 2025_26'!$G$3:$G$665,MATCH($A18,'Input Statistiche 2025_26'!$A$3:$A$665,0)),"")</f>
        <v>6.18</v>
      </c>
      <c r="T18" s="27">
        <f>IFERROR(INDEX('Input Statistiche 2025_26'!$H$3:$H$665,MATCH($A18,'Input Statistiche 2025_26'!$A$3:$A$665,0)),"")</f>
        <v>7.55</v>
      </c>
      <c r="U18" s="23" t="str">
        <f>IF(OR('La Mia Rosa'!$O$12="",$D18&lt;&gt;""),"",IF($F18&lt;='La Mia Rosa'!$O$12*'Parametri Modello'!$B$24,"OK",IF($F18&lt;='La Mia Rosa'!$O$12*'Parametri Modello'!$B$25,"Attenzione","Rischio Alto")))</f>
        <v>Rischio Alto</v>
      </c>
      <c r="V18" s="23">
        <f t="shared" si="1"/>
        <v>10</v>
      </c>
      <c r="W18" s="18">
        <f>'Info Lega'!$B$4-SUMIFS($M$2:$M$492,$D$2:$D$492,'Info Lega'!$B$28)</f>
        <v>1000</v>
      </c>
      <c r="X18" s="18">
        <f>('Info Lega'!$B$5-COUNTIFS($D$2:$D$492,'Info Lega'!$B$28,$B$2:$B$492,"P"))+('Info Lega'!$B$6-COUNTIFS($D$2:$D$492,'Info Lega'!$B$28,$B$2:$B$492,"D"))+('Info Lega'!$B$7-COUNTIFS($D$2:$D$492,'Info Lega'!$B$28,$B$2:$B$492,"C"))+('Info Lega'!$B$8-COUNTIFS($D$2:$D$492,'Info Lega'!$B$28,$B$2:$B$492,"A"))</f>
        <v>25</v>
      </c>
      <c r="Y18" s="18">
        <f>X18*'Parametri Modello'!$B$30</f>
        <v>25</v>
      </c>
      <c r="Z18" s="18">
        <f t="shared" si="2"/>
        <v>975</v>
      </c>
      <c r="AA18" s="18">
        <f t="shared" si="3"/>
        <v>134</v>
      </c>
      <c r="AB18" s="18"/>
      <c r="AC18" s="18" t="str">
        <f>IF($AB18="","",IF($AB18&gt;$AA18,"PASS",IF($AB18&lt;=$AA18*(1-'Parametri Modello'!$B$68),"BID","ATTENZIONE")))</f>
        <v/>
      </c>
      <c r="AD18" s="28">
        <f t="shared" si="4"/>
        <v>52</v>
      </c>
      <c r="AE18" s="5" t="str">
        <f>IFERROR(INDEX('Stato Asta'!$G$9:$G$12,MATCH($B18,'Stato Asta'!$A$9:$A$12,0)),"")</f>
        <v>🔴 Non aspettare</v>
      </c>
      <c r="AF18" t="str">
        <f>IFERROR(IF($V18&lt;=INDEX('Parametri Modello'!$C$57:$C$60,MATCH($B18,'Parametri Modello'!$A$57:$A$60,0)),"Titolare","Riserva"),"")</f>
        <v>Titolare</v>
      </c>
      <c r="AG18" t="str">
        <f>IFERROR(INDEX('Pressione Competitiva'!$F$3:$F$6,MATCH($B18,'Pressione Competitiva'!$B$3:$B$6,0)),"")</f>
        <v>🔴 Molto Alta</v>
      </c>
      <c r="AH18" t="str">
        <f t="shared" si="5"/>
        <v/>
      </c>
      <c r="AI18" t="str">
        <f>IFERROR(IF($AH18="","",IF($AH18&gt;=$AA18*'Parametri Modello'!$B$68,"🟢 Opportunita'",IF($AH18&lt;=$AA18*'Parametri Modello'!$B$69,"🔴 Sovrapprezzo","🟡 Prezzo Corretto"))),"")</f>
        <v/>
      </c>
      <c r="AJ18" t="str">
        <f t="shared" si="6"/>
        <v/>
      </c>
      <c r="AK18">
        <f t="shared" si="7"/>
        <v>1</v>
      </c>
      <c r="AL18" t="str">
        <f t="shared" si="8"/>
        <v>A|Buono|1</v>
      </c>
    </row>
    <row r="19" spans="1:38" ht="14.25" customHeight="1" x14ac:dyDescent="0.25">
      <c r="A19" s="18">
        <v>5637</v>
      </c>
      <c r="B19" s="18" t="s">
        <v>18</v>
      </c>
      <c r="C19" s="18" t="s">
        <v>158</v>
      </c>
      <c r="E19" s="23" t="str">
        <f>IF(COUNTIF('Info Strategia'!$D$2:$D$51,$C19)&gt;0,"SI","NO")</f>
        <v>NO</v>
      </c>
      <c r="F19" s="24">
        <f>IFERROR(ROUND(($G19+($H19-$G19)*'Info Strategia'!$B$6)*(1+IF($E19="SI",'Parametri Modello'!$B$7*'Info Strategia'!$B$6,0)),0),"")</f>
        <v>127</v>
      </c>
      <c r="G19" s="24">
        <f>IFERROR(ROUND(MAX(1,(IF($V19&lt;=INDEX('Parametri Modello'!$C$57:$C$60,MATCH($B19,'Parametri Modello'!$A$57:$A$60,0)),IF(INDEX('Parametri Modello'!$E$57:$E$60,MATCH($B19,'Parametri Modello'!$A$57:$A$60,0))=0,0,($O19/INDEX('Parametri Modello'!$E$57:$E$60,MATCH($B19,'Parametri Modello'!$A$57:$A$60,0)))*(INDEX('Parametri Modello'!$D$57:$D$60,MATCH($B19,'Parametri Modello'!$A$57:$A$60,0))*(INDEX('Parametri Modello'!$B$50:$B$53,MATCH($B19,'Parametri Modello'!$A$50:$A$53,0))*'Parametri Modello'!$B$44))),IF(INDEX('Parametri Modello'!$F$57:$F$60,MATCH($B19,'Parametri Modello'!$A$57:$A$60,0))=0,0,($O19/INDEX('Parametri Modello'!$F$57:$F$60,MATCH($B19,'Parametri Modello'!$A$57:$A$60,0)))*((1-INDEX('Parametri Modello'!$D$57:$D$60,MATCH($B19,'Parametri Modello'!$A$57:$A$60,0)))*(INDEX('Parametri Modello'!$B$50:$B$53,MATCH($B19,'Parametri Modello'!$A$50:$A$53,0))*'Parametri Modello'!$B$44))))*(1+IF(IF($B19="D",'Info Lega'!$B$25,IF($B19="C",'Info Lega'!$B$26,"No"))="Si",'Parametri Modello'!$B$5,0))*(1+MAX(-0.25,MIN(0.25,IF(OR($T19="",$I19="",$I19=0,INDEX('Parametri Modello'!$B$19:$B$22,MATCH($B19,'Parametri Modello'!$A$19:$A$22,0))="",INDEX('Parametri Modello'!$B$19:$B$22,MATCH($B19,'Parametri Modello'!$A$19:$A$22,0))=0),0,(($T19-INDEX('Parametri Modello'!$B$19:$B$22,MATCH($B19,'Parametri Modello'!$A$19:$A$22,0)))/INDEX('Parametri Modello'!$B$19:$B$22,MATCH($B19,'Parametri Modello'!$A$19:$A$22,0)))*'Parametri Modello'!$B$9))))*(1+IF('Parametri Modello'!$B$27="Si",MAX(-'Parametri Modello'!$B$28,MIN('Parametri Modello'!$B$28*1.5,IF(OR(INDEX('Parametri Modello'!$F$32:$F$35,MATCH($B19,'Parametri Modello'!$A$32:$A$35,0))="",INDEX('Parametri Modello'!$F$32:$F$35,MATCH($B19,'Parametri Modello'!$A$32:$A$35,0))=0),0,(1/INDEX('Parametri Modello'!$F$32:$F$35,MATCH($B19,'Parametri Modello'!$A$32:$A$35,0))-1)*'Parametri Modello'!$B$28))),0)))*(1-INDEX('Parametri Modello'!$B$12:$B$15,MATCH($B19,'Parametri Modello'!$A$12:$A$15,0)))),0),"")</f>
        <v>79</v>
      </c>
      <c r="H19" s="24">
        <f>IFERROR(ROUND((IF($V19&lt;=INDEX('Parametri Modello'!$C$57:$C$60,MATCH($B19,'Parametri Modello'!$A$57:$A$60,0)),IF(INDEX('Parametri Modello'!$E$57:$E$60,MATCH($B19,'Parametri Modello'!$A$57:$A$60,0))=0,0,($O19/INDEX('Parametri Modello'!$E$57:$E$60,MATCH($B19,'Parametri Modello'!$A$57:$A$60,0)))*(INDEX('Parametri Modello'!$D$57:$D$60,MATCH($B19,'Parametri Modello'!$A$57:$A$60,0))*(INDEX('Parametri Modello'!$B$50:$B$53,MATCH($B19,'Parametri Modello'!$A$50:$A$53,0))*'Parametri Modello'!$B$44))),IF(INDEX('Parametri Modello'!$F$57:$F$60,MATCH($B19,'Parametri Modello'!$A$57:$A$60,0))=0,0,($O19/INDEX('Parametri Modello'!$F$57:$F$60,MATCH($B19,'Parametri Modello'!$A$57:$A$60,0)))*((1-INDEX('Parametri Modello'!$D$57:$D$60,MATCH($B19,'Parametri Modello'!$A$57:$A$60,0)))*(INDEX('Parametri Modello'!$B$50:$B$53,MATCH($B19,'Parametri Modello'!$A$50:$A$53,0))*'Parametri Modello'!$B$44))))*(1+IF(IF($B19="D",'Info Lega'!$B$25,IF($B19="C",'Info Lega'!$B$26,"No"))="Si",'Parametri Modello'!$B$5,0))*(1+MAX(-0.25,MIN(0.25,IF(OR($T19="",$I19="",$I19=0,INDEX('Parametri Modello'!$B$19:$B$22,MATCH($B19,'Parametri Modello'!$A$19:$A$22,0))="",INDEX('Parametri Modello'!$B$19:$B$22,MATCH($B19,'Parametri Modello'!$A$19:$A$22,0))=0),0,(($T19-INDEX('Parametri Modello'!$B$19:$B$22,MATCH($B19,'Parametri Modello'!$A$19:$A$22,0)))/INDEX('Parametri Modello'!$B$19:$B$22,MATCH($B19,'Parametri Modello'!$A$19:$A$22,0)))*'Parametri Modello'!$B$9))))*(1+IF('Parametri Modello'!$B$27="Si",MAX(-'Parametri Modello'!$B$28,MIN('Parametri Modello'!$B$28*1.5,IF(OR(INDEX('Parametri Modello'!$F$32:$F$35,MATCH($B19,'Parametri Modello'!$A$32:$A$35,0))="",INDEX('Parametri Modello'!$F$32:$F$35,MATCH($B19,'Parametri Modello'!$A$32:$A$35,0))=0),0,(1/INDEX('Parametri Modello'!$F$32:$F$35,MATCH($B19,'Parametri Modello'!$A$32:$A$35,0))-1)*'Parametri Modello'!$B$28))),0)))*(1+INDEX('Parametri Modello'!$B$12:$B$15,MATCH($B19,'Parametri Modello'!$A$12:$A$15,0))),0),"")</f>
        <v>147</v>
      </c>
      <c r="I19" s="23">
        <f>IFERROR(INDEX('Input Statistiche 2025_26'!$F$3:$F$665,MATCH($A19,'Input Statistiche 2025_26'!$A$3:$A$665,0)),"")</f>
        <v>30</v>
      </c>
      <c r="J19" s="23">
        <f t="shared" si="0"/>
        <v>8</v>
      </c>
      <c r="K19" s="23">
        <f>IFERROR(INDEX('Input Statistiche 2025_26'!$I$3:$I$665,MATCH($A19,'Input Statistiche 2025_26'!$A$3:$A$665,0)),"")</f>
        <v>10</v>
      </c>
      <c r="L19" s="23">
        <f>IFERROR(INDEX('Input Statistiche 2025_26'!$O$3:$O$665,MATCH($A19,'Input Statistiche 2025_26'!$A$3:$A$665,0)),"")</f>
        <v>4</v>
      </c>
      <c r="M19" s="25"/>
      <c r="N19" s="24">
        <f>IFERROR(INDEX('Input Giocatori 2026_27'!$E$3:$E$493,MATCH($A19,'Input Giocatori 2026_27'!$A$3:$A$493,0)),"")</f>
        <v>19</v>
      </c>
      <c r="O19" s="24">
        <f>IFERROR(INDEX('Input Giocatori 2026_27'!$G$3:$G$493,MATCH($A19,'Input Giocatori 2026_27'!$A$3:$A$493,0)),"")</f>
        <v>121</v>
      </c>
      <c r="P19" s="23" t="str">
        <f>IFERROR(IF($O19="","",IF((1-(COUNTIFS($B$2:$B$492,$B19,$O$2:$O$492,"&gt;"&amp;$O19)+1-1)/COUNTIF($B$2:$B$492,$B19))&gt;='Parametri Modello'!$B$63,"Top",IF((1-(COUNTIFS($B$2:$B$492,$B19,$O$2:$O$492,"&gt;"&amp;$O19)+1-1)/COUNTIF($B$2:$B$492,$B19))&gt;='Parametri Modello'!$B$64,"Buono",IF((1-(COUNTIFS($B$2:$B$492,$B19,$O$2:$O$492,"&gt;"&amp;$O19)+1-1)/COUNTIF($B$2:$B$492,$B19))&gt;='Parametri Modello'!$B$65,"Nella Media","Scommessa/Riserva")))),"")</f>
        <v>Buono</v>
      </c>
      <c r="Q19" s="26">
        <f>IF(AND($D19="",$N19&gt;1),SUMPRODUCT(($D$2:$D19="")*($N$2:$N19&gt;1)),"")</f>
        <v>18</v>
      </c>
      <c r="R19" s="26" t="str">
        <f>IF($D19='Info Lega'!$B$28,COUNTIFS($D$2:$D19,'Info Lega'!$B$28),"")</f>
        <v/>
      </c>
      <c r="S19" s="27">
        <f>IFERROR(INDEX('Input Statistiche 2025_26'!$G$3:$G$665,MATCH($A19,'Input Statistiche 2025_26'!$A$3:$A$665,0)),"")</f>
        <v>6.32</v>
      </c>
      <c r="T19" s="27">
        <f>IFERROR(INDEX('Input Statistiche 2025_26'!$H$3:$H$665,MATCH($A19,'Input Statistiche 2025_26'!$A$3:$A$665,0)),"")</f>
        <v>7.37</v>
      </c>
      <c r="U19" s="23" t="str">
        <f>IF(OR('La Mia Rosa'!$O$12="",$D19&lt;&gt;""),"",IF($F19&lt;='La Mia Rosa'!$O$12*'Parametri Modello'!$B$24,"OK",IF($F19&lt;='La Mia Rosa'!$O$12*'Parametri Modello'!$B$25,"Attenzione","Rischio Alto")))</f>
        <v>Rischio Alto</v>
      </c>
      <c r="V19" s="23">
        <f t="shared" si="1"/>
        <v>11</v>
      </c>
      <c r="W19" s="18">
        <f>'Info Lega'!$B$4-SUMIFS($M$2:$M$492,$D$2:$D$492,'Info Lega'!$B$28)</f>
        <v>1000</v>
      </c>
      <c r="X19" s="18">
        <f>('Info Lega'!$B$5-COUNTIFS($D$2:$D$492,'Info Lega'!$B$28,$B$2:$B$492,"P"))+('Info Lega'!$B$6-COUNTIFS($D$2:$D$492,'Info Lega'!$B$28,$B$2:$B$492,"D"))+('Info Lega'!$B$7-COUNTIFS($D$2:$D$492,'Info Lega'!$B$28,$B$2:$B$492,"C"))+('Info Lega'!$B$8-COUNTIFS($D$2:$D$492,'Info Lega'!$B$28,$B$2:$B$492,"A"))</f>
        <v>25</v>
      </c>
      <c r="Y19" s="18">
        <f>X19*'Parametri Modello'!$B$30</f>
        <v>25</v>
      </c>
      <c r="Z19" s="18">
        <f t="shared" si="2"/>
        <v>975</v>
      </c>
      <c r="AA19" s="18">
        <f t="shared" si="3"/>
        <v>127</v>
      </c>
      <c r="AB19" s="18"/>
      <c r="AC19" s="18" t="str">
        <f>IF($AB19="","",IF($AB19&gt;$AA19,"PASS",IF($AB19&lt;=$AA19*(1-'Parametri Modello'!$B$68),"BID","ATTENZIONE")))</f>
        <v/>
      </c>
      <c r="AD19" s="28">
        <f t="shared" si="4"/>
        <v>63</v>
      </c>
      <c r="AE19" s="5" t="str">
        <f>IFERROR(INDEX('Stato Asta'!$G$9:$G$12,MATCH($B19,'Stato Asta'!$A$9:$A$12,0)),"")</f>
        <v>🔴 Non aspettare</v>
      </c>
      <c r="AF19" t="str">
        <f>IFERROR(IF($V19&lt;=INDEX('Parametri Modello'!$C$57:$C$60,MATCH($B19,'Parametri Modello'!$A$57:$A$60,0)),"Titolare","Riserva"),"")</f>
        <v>Titolare</v>
      </c>
      <c r="AG19" t="str">
        <f>IFERROR(INDEX('Pressione Competitiva'!$F$3:$F$6,MATCH($B19,'Pressione Competitiva'!$B$3:$B$6,0)),"")</f>
        <v>🔴 Molto Alta</v>
      </c>
      <c r="AH19" t="str">
        <f t="shared" si="5"/>
        <v/>
      </c>
      <c r="AI19" t="str">
        <f>IFERROR(IF($AH19="","",IF($AH19&gt;=$AA19*'Parametri Modello'!$B$68,"🟢 Opportunita'",IF($AH19&lt;=$AA19*'Parametri Modello'!$B$69,"🔴 Sovrapprezzo","🟡 Prezzo Corretto"))),"")</f>
        <v/>
      </c>
      <c r="AJ19" t="str">
        <f t="shared" si="6"/>
        <v/>
      </c>
      <c r="AK19">
        <f t="shared" si="7"/>
        <v>2</v>
      </c>
      <c r="AL19" t="str">
        <f t="shared" si="8"/>
        <v>A|Buono|2</v>
      </c>
    </row>
    <row r="20" spans="1:38" ht="14.25" customHeight="1" x14ac:dyDescent="0.25">
      <c r="A20" s="18">
        <v>4510</v>
      </c>
      <c r="B20" s="18" t="s">
        <v>18</v>
      </c>
      <c r="C20" s="18" t="s">
        <v>159</v>
      </c>
      <c r="E20" s="23" t="str">
        <f>IF(COUNTIF('Info Strategia'!$D$2:$D$51,$C20)&gt;0,"SI","NO")</f>
        <v>NO</v>
      </c>
      <c r="F20" s="24">
        <f>IFERROR(ROUND(($G20+($H20-$G20)*'Info Strategia'!$B$6)*(1+IF($E20="SI",'Parametri Modello'!$B$7*'Info Strategia'!$B$6,0)),0),"")</f>
        <v>124</v>
      </c>
      <c r="G20" s="24">
        <f>IFERROR(ROUND(MAX(1,(IF($V20&lt;=INDEX('Parametri Modello'!$C$57:$C$60,MATCH($B20,'Parametri Modello'!$A$57:$A$60,0)),IF(INDEX('Parametri Modello'!$E$57:$E$60,MATCH($B20,'Parametri Modello'!$A$57:$A$60,0))=0,0,($O20/INDEX('Parametri Modello'!$E$57:$E$60,MATCH($B20,'Parametri Modello'!$A$57:$A$60,0)))*(INDEX('Parametri Modello'!$D$57:$D$60,MATCH($B20,'Parametri Modello'!$A$57:$A$60,0))*(INDEX('Parametri Modello'!$B$50:$B$53,MATCH($B20,'Parametri Modello'!$A$50:$A$53,0))*'Parametri Modello'!$B$44))),IF(INDEX('Parametri Modello'!$F$57:$F$60,MATCH($B20,'Parametri Modello'!$A$57:$A$60,0))=0,0,($O20/INDEX('Parametri Modello'!$F$57:$F$60,MATCH($B20,'Parametri Modello'!$A$57:$A$60,0)))*((1-INDEX('Parametri Modello'!$D$57:$D$60,MATCH($B20,'Parametri Modello'!$A$57:$A$60,0)))*(INDEX('Parametri Modello'!$B$50:$B$53,MATCH($B20,'Parametri Modello'!$A$50:$A$53,0))*'Parametri Modello'!$B$44))))*(1+IF(IF($B20="D",'Info Lega'!$B$25,IF($B20="C",'Info Lega'!$B$26,"No"))="Si",'Parametri Modello'!$B$5,0))*(1+MAX(-0.25,MIN(0.25,IF(OR($T20="",$I20="",$I20=0,INDEX('Parametri Modello'!$B$19:$B$22,MATCH($B20,'Parametri Modello'!$A$19:$A$22,0))="",INDEX('Parametri Modello'!$B$19:$B$22,MATCH($B20,'Parametri Modello'!$A$19:$A$22,0))=0),0,(($T20-INDEX('Parametri Modello'!$B$19:$B$22,MATCH($B20,'Parametri Modello'!$A$19:$A$22,0)))/INDEX('Parametri Modello'!$B$19:$B$22,MATCH($B20,'Parametri Modello'!$A$19:$A$22,0)))*'Parametri Modello'!$B$9))))*(1+IF('Parametri Modello'!$B$27="Si",MAX(-'Parametri Modello'!$B$28,MIN('Parametri Modello'!$B$28*1.5,IF(OR(INDEX('Parametri Modello'!$F$32:$F$35,MATCH($B20,'Parametri Modello'!$A$32:$A$35,0))="",INDEX('Parametri Modello'!$F$32:$F$35,MATCH($B20,'Parametri Modello'!$A$32:$A$35,0))=0),0,(1/INDEX('Parametri Modello'!$F$32:$F$35,MATCH($B20,'Parametri Modello'!$A$32:$A$35,0))-1)*'Parametri Modello'!$B$28))),0)))*(1-INDEX('Parametri Modello'!$B$12:$B$15,MATCH($B20,'Parametri Modello'!$A$12:$A$15,0)))),0),"")</f>
        <v>77</v>
      </c>
      <c r="H20" s="24">
        <f>IFERROR(ROUND((IF($V20&lt;=INDEX('Parametri Modello'!$C$57:$C$60,MATCH($B20,'Parametri Modello'!$A$57:$A$60,0)),IF(INDEX('Parametri Modello'!$E$57:$E$60,MATCH($B20,'Parametri Modello'!$A$57:$A$60,0))=0,0,($O20/INDEX('Parametri Modello'!$E$57:$E$60,MATCH($B20,'Parametri Modello'!$A$57:$A$60,0)))*(INDEX('Parametri Modello'!$D$57:$D$60,MATCH($B20,'Parametri Modello'!$A$57:$A$60,0))*(INDEX('Parametri Modello'!$B$50:$B$53,MATCH($B20,'Parametri Modello'!$A$50:$A$53,0))*'Parametri Modello'!$B$44))),IF(INDEX('Parametri Modello'!$F$57:$F$60,MATCH($B20,'Parametri Modello'!$A$57:$A$60,0))=0,0,($O20/INDEX('Parametri Modello'!$F$57:$F$60,MATCH($B20,'Parametri Modello'!$A$57:$A$60,0)))*((1-INDEX('Parametri Modello'!$D$57:$D$60,MATCH($B20,'Parametri Modello'!$A$57:$A$60,0)))*(INDEX('Parametri Modello'!$B$50:$B$53,MATCH($B20,'Parametri Modello'!$A$50:$A$53,0))*'Parametri Modello'!$B$44))))*(1+IF(IF($B20="D",'Info Lega'!$B$25,IF($B20="C",'Info Lega'!$B$26,"No"))="Si",'Parametri Modello'!$B$5,0))*(1+MAX(-0.25,MIN(0.25,IF(OR($T20="",$I20="",$I20=0,INDEX('Parametri Modello'!$B$19:$B$22,MATCH($B20,'Parametri Modello'!$A$19:$A$22,0))="",INDEX('Parametri Modello'!$B$19:$B$22,MATCH($B20,'Parametri Modello'!$A$19:$A$22,0))=0),0,(($T20-INDEX('Parametri Modello'!$B$19:$B$22,MATCH($B20,'Parametri Modello'!$A$19:$A$22,0)))/INDEX('Parametri Modello'!$B$19:$B$22,MATCH($B20,'Parametri Modello'!$A$19:$A$22,0)))*'Parametri Modello'!$B$9))))*(1+IF('Parametri Modello'!$B$27="Si",MAX(-'Parametri Modello'!$B$28,MIN('Parametri Modello'!$B$28*1.5,IF(OR(INDEX('Parametri Modello'!$F$32:$F$35,MATCH($B20,'Parametri Modello'!$A$32:$A$35,0))="",INDEX('Parametri Modello'!$F$32:$F$35,MATCH($B20,'Parametri Modello'!$A$32:$A$35,0))=0),0,(1/INDEX('Parametri Modello'!$F$32:$F$35,MATCH($B20,'Parametri Modello'!$A$32:$A$35,0))-1)*'Parametri Modello'!$B$28))),0)))*(1+INDEX('Parametri Modello'!$B$12:$B$15,MATCH($B20,'Parametri Modello'!$A$12:$A$15,0))),0),"")</f>
        <v>144</v>
      </c>
      <c r="I20" s="23">
        <f>IFERROR(INDEX('Input Statistiche 2025_26'!$F$3:$F$665,MATCH($A20,'Input Statistiche 2025_26'!$A$3:$A$665,0)),"")</f>
        <v>28</v>
      </c>
      <c r="J20" s="23">
        <f t="shared" si="0"/>
        <v>10</v>
      </c>
      <c r="K20" s="23">
        <f>IFERROR(INDEX('Input Statistiche 2025_26'!$I$3:$I$665,MATCH($A20,'Input Statistiche 2025_26'!$A$3:$A$665,0)),"")</f>
        <v>9</v>
      </c>
      <c r="L20" s="23">
        <f>IFERROR(INDEX('Input Statistiche 2025_26'!$O$3:$O$665,MATCH($A20,'Input Statistiche 2025_26'!$A$3:$A$665,0)),"")</f>
        <v>3</v>
      </c>
      <c r="M20" s="25"/>
      <c r="N20" s="24">
        <f>IFERROR(INDEX('Input Giocatori 2026_27'!$E$3:$E$493,MATCH($A20,'Input Giocatori 2026_27'!$A$3:$A$493,0)),"")</f>
        <v>18</v>
      </c>
      <c r="O20" s="24">
        <f>IFERROR(INDEX('Input Giocatori 2026_27'!$G$3:$G$493,MATCH($A20,'Input Giocatori 2026_27'!$A$3:$A$493,0)),"")</f>
        <v>120</v>
      </c>
      <c r="P20" s="23" t="str">
        <f>IFERROR(IF($O20="","",IF((1-(COUNTIFS($B$2:$B$492,$B20,$O$2:$O$492,"&gt;"&amp;$O20)+1-1)/COUNTIF($B$2:$B$492,$B20))&gt;='Parametri Modello'!$B$63,"Top",IF((1-(COUNTIFS($B$2:$B$492,$B20,$O$2:$O$492,"&gt;"&amp;$O20)+1-1)/COUNTIF($B$2:$B$492,$B20))&gt;='Parametri Modello'!$B$64,"Buono",IF((1-(COUNTIFS($B$2:$B$492,$B20,$O$2:$O$492,"&gt;"&amp;$O20)+1-1)/COUNTIF($B$2:$B$492,$B20))&gt;='Parametri Modello'!$B$65,"Nella Media","Scommessa/Riserva")))),"")</f>
        <v>Buono</v>
      </c>
      <c r="Q20" s="26">
        <f>IF(AND($D20="",$N20&gt;1),SUMPRODUCT(($D$2:$D20="")*($N$2:$N20&gt;1)),"")</f>
        <v>19</v>
      </c>
      <c r="R20" s="26" t="str">
        <f>IF($D20='Info Lega'!$B$28,COUNTIFS($D$2:$D20,'Info Lega'!$B$28),"")</f>
        <v/>
      </c>
      <c r="S20" s="27">
        <f>IFERROR(INDEX('Input Statistiche 2025_26'!$G$3:$G$665,MATCH($A20,'Input Statistiche 2025_26'!$A$3:$A$665,0)),"")</f>
        <v>5.88</v>
      </c>
      <c r="T20" s="27">
        <f>IFERROR(INDEX('Input Statistiche 2025_26'!$H$3:$H$665,MATCH($A20,'Input Statistiche 2025_26'!$A$3:$A$665,0)),"")</f>
        <v>6.86</v>
      </c>
      <c r="U20" s="23" t="str">
        <f>IF(OR('La Mia Rosa'!$O$12="",$D20&lt;&gt;""),"",IF($F20&lt;='La Mia Rosa'!$O$12*'Parametri Modello'!$B$24,"OK",IF($F20&lt;='La Mia Rosa'!$O$12*'Parametri Modello'!$B$25,"Attenzione","Rischio Alto")))</f>
        <v>Rischio Alto</v>
      </c>
      <c r="V20" s="23">
        <f t="shared" si="1"/>
        <v>12</v>
      </c>
      <c r="W20" s="18">
        <f>'Info Lega'!$B$4-SUMIFS($M$2:$M$492,$D$2:$D$492,'Info Lega'!$B$28)</f>
        <v>1000</v>
      </c>
      <c r="X20" s="18">
        <f>('Info Lega'!$B$5-COUNTIFS($D$2:$D$492,'Info Lega'!$B$28,$B$2:$B$492,"P"))+('Info Lega'!$B$6-COUNTIFS($D$2:$D$492,'Info Lega'!$B$28,$B$2:$B$492,"D"))+('Info Lega'!$B$7-COUNTIFS($D$2:$D$492,'Info Lega'!$B$28,$B$2:$B$492,"C"))+('Info Lega'!$B$8-COUNTIFS($D$2:$D$492,'Info Lega'!$B$28,$B$2:$B$492,"A"))</f>
        <v>25</v>
      </c>
      <c r="Y20" s="18">
        <f>X20*'Parametri Modello'!$B$30</f>
        <v>25</v>
      </c>
      <c r="Z20" s="18">
        <f t="shared" si="2"/>
        <v>975</v>
      </c>
      <c r="AA20" s="18">
        <f t="shared" si="3"/>
        <v>124</v>
      </c>
      <c r="AB20" s="18"/>
      <c r="AC20" s="18" t="str">
        <f>IF($AB20="","",IF($AB20&gt;$AA20,"PASS",IF($AB20&lt;=$AA20*(1-'Parametri Modello'!$B$68),"BID","ATTENZIONE")))</f>
        <v/>
      </c>
      <c r="AD20" s="28">
        <f t="shared" si="4"/>
        <v>61</v>
      </c>
      <c r="AE20" s="5" t="str">
        <f>IFERROR(INDEX('Stato Asta'!$G$9:$G$12,MATCH($B20,'Stato Asta'!$A$9:$A$12,0)),"")</f>
        <v>🔴 Non aspettare</v>
      </c>
      <c r="AF20" t="str">
        <f>IFERROR(IF($V20&lt;=INDEX('Parametri Modello'!$C$57:$C$60,MATCH($B20,'Parametri Modello'!$A$57:$A$60,0)),"Titolare","Riserva"),"")</f>
        <v>Titolare</v>
      </c>
      <c r="AG20" t="str">
        <f>IFERROR(INDEX('Pressione Competitiva'!$F$3:$F$6,MATCH($B20,'Pressione Competitiva'!$B$3:$B$6,0)),"")</f>
        <v>🔴 Molto Alta</v>
      </c>
      <c r="AH20" t="str">
        <f t="shared" si="5"/>
        <v/>
      </c>
      <c r="AI20" t="str">
        <f>IFERROR(IF($AH20="","",IF($AH20&gt;=$AA20*'Parametri Modello'!$B$68,"🟢 Opportunita'",IF($AH20&lt;=$AA20*'Parametri Modello'!$B$69,"🔴 Sovrapprezzo","🟡 Prezzo Corretto"))),"")</f>
        <v/>
      </c>
      <c r="AJ20" t="str">
        <f t="shared" si="6"/>
        <v/>
      </c>
      <c r="AK20">
        <f t="shared" si="7"/>
        <v>3</v>
      </c>
      <c r="AL20" t="str">
        <f t="shared" si="8"/>
        <v>A|Buono|3</v>
      </c>
    </row>
    <row r="21" spans="1:38" ht="14.25" customHeight="1" x14ac:dyDescent="0.25">
      <c r="A21" s="18">
        <v>531</v>
      </c>
      <c r="B21" s="18" t="s">
        <v>18</v>
      </c>
      <c r="C21" s="18" t="s">
        <v>160</v>
      </c>
      <c r="E21" s="23" t="str">
        <f>IF(COUNTIF('Info Strategia'!$D$2:$D$51,$C21)&gt;0,"SI","NO")</f>
        <v>NO</v>
      </c>
      <c r="F21" s="24">
        <f>IFERROR(ROUND(($G21+($H21-$G21)*'Info Strategia'!$B$6)*(1+IF($E21="SI",'Parametri Modello'!$B$7*'Info Strategia'!$B$6,0)),0),"")</f>
        <v>120</v>
      </c>
      <c r="G21" s="24">
        <f>IFERROR(ROUND(MAX(1,(IF($V21&lt;=INDEX('Parametri Modello'!$C$57:$C$60,MATCH($B21,'Parametri Modello'!$A$57:$A$60,0)),IF(INDEX('Parametri Modello'!$E$57:$E$60,MATCH($B21,'Parametri Modello'!$A$57:$A$60,0))=0,0,($O21/INDEX('Parametri Modello'!$E$57:$E$60,MATCH($B21,'Parametri Modello'!$A$57:$A$60,0)))*(INDEX('Parametri Modello'!$D$57:$D$60,MATCH($B21,'Parametri Modello'!$A$57:$A$60,0))*(INDEX('Parametri Modello'!$B$50:$B$53,MATCH($B21,'Parametri Modello'!$A$50:$A$53,0))*'Parametri Modello'!$B$44))),IF(INDEX('Parametri Modello'!$F$57:$F$60,MATCH($B21,'Parametri Modello'!$A$57:$A$60,0))=0,0,($O21/INDEX('Parametri Modello'!$F$57:$F$60,MATCH($B21,'Parametri Modello'!$A$57:$A$60,0)))*((1-INDEX('Parametri Modello'!$D$57:$D$60,MATCH($B21,'Parametri Modello'!$A$57:$A$60,0)))*(INDEX('Parametri Modello'!$B$50:$B$53,MATCH($B21,'Parametri Modello'!$A$50:$A$53,0))*'Parametri Modello'!$B$44))))*(1+IF(IF($B21="D",'Info Lega'!$B$25,IF($B21="C",'Info Lega'!$B$26,"No"))="Si",'Parametri Modello'!$B$5,0))*(1+MAX(-0.25,MIN(0.25,IF(OR($T21="",$I21="",$I21=0,INDEX('Parametri Modello'!$B$19:$B$22,MATCH($B21,'Parametri Modello'!$A$19:$A$22,0))="",INDEX('Parametri Modello'!$B$19:$B$22,MATCH($B21,'Parametri Modello'!$A$19:$A$22,0))=0),0,(($T21-INDEX('Parametri Modello'!$B$19:$B$22,MATCH($B21,'Parametri Modello'!$A$19:$A$22,0)))/INDEX('Parametri Modello'!$B$19:$B$22,MATCH($B21,'Parametri Modello'!$A$19:$A$22,0)))*'Parametri Modello'!$B$9))))*(1+IF('Parametri Modello'!$B$27="Si",MAX(-'Parametri Modello'!$B$28,MIN('Parametri Modello'!$B$28*1.5,IF(OR(INDEX('Parametri Modello'!$F$32:$F$35,MATCH($B21,'Parametri Modello'!$A$32:$A$35,0))="",INDEX('Parametri Modello'!$F$32:$F$35,MATCH($B21,'Parametri Modello'!$A$32:$A$35,0))=0),0,(1/INDEX('Parametri Modello'!$F$32:$F$35,MATCH($B21,'Parametri Modello'!$A$32:$A$35,0))-1)*'Parametri Modello'!$B$28))),0)))*(1-INDEX('Parametri Modello'!$B$12:$B$15,MATCH($B21,'Parametri Modello'!$A$12:$A$15,0)))),0),"")</f>
        <v>75</v>
      </c>
      <c r="H21" s="24">
        <f>IFERROR(ROUND((IF($V21&lt;=INDEX('Parametri Modello'!$C$57:$C$60,MATCH($B21,'Parametri Modello'!$A$57:$A$60,0)),IF(INDEX('Parametri Modello'!$E$57:$E$60,MATCH($B21,'Parametri Modello'!$A$57:$A$60,0))=0,0,($O21/INDEX('Parametri Modello'!$E$57:$E$60,MATCH($B21,'Parametri Modello'!$A$57:$A$60,0)))*(INDEX('Parametri Modello'!$D$57:$D$60,MATCH($B21,'Parametri Modello'!$A$57:$A$60,0))*(INDEX('Parametri Modello'!$B$50:$B$53,MATCH($B21,'Parametri Modello'!$A$50:$A$53,0))*'Parametri Modello'!$B$44))),IF(INDEX('Parametri Modello'!$F$57:$F$60,MATCH($B21,'Parametri Modello'!$A$57:$A$60,0))=0,0,($O21/INDEX('Parametri Modello'!$F$57:$F$60,MATCH($B21,'Parametri Modello'!$A$57:$A$60,0)))*((1-INDEX('Parametri Modello'!$D$57:$D$60,MATCH($B21,'Parametri Modello'!$A$57:$A$60,0)))*(INDEX('Parametri Modello'!$B$50:$B$53,MATCH($B21,'Parametri Modello'!$A$50:$A$53,0))*'Parametri Modello'!$B$44))))*(1+IF(IF($B21="D",'Info Lega'!$B$25,IF($B21="C",'Info Lega'!$B$26,"No"))="Si",'Parametri Modello'!$B$5,0))*(1+MAX(-0.25,MIN(0.25,IF(OR($T21="",$I21="",$I21=0,INDEX('Parametri Modello'!$B$19:$B$22,MATCH($B21,'Parametri Modello'!$A$19:$A$22,0))="",INDEX('Parametri Modello'!$B$19:$B$22,MATCH($B21,'Parametri Modello'!$A$19:$A$22,0))=0),0,(($T21-INDEX('Parametri Modello'!$B$19:$B$22,MATCH($B21,'Parametri Modello'!$A$19:$A$22,0)))/INDEX('Parametri Modello'!$B$19:$B$22,MATCH($B21,'Parametri Modello'!$A$19:$A$22,0)))*'Parametri Modello'!$B$9))))*(1+IF('Parametri Modello'!$B$27="Si",MAX(-'Parametri Modello'!$B$28,MIN('Parametri Modello'!$B$28*1.5,IF(OR(INDEX('Parametri Modello'!$F$32:$F$35,MATCH($B21,'Parametri Modello'!$A$32:$A$35,0))="",INDEX('Parametri Modello'!$F$32:$F$35,MATCH($B21,'Parametri Modello'!$A$32:$A$35,0))=0),0,(1/INDEX('Parametri Modello'!$F$32:$F$35,MATCH($B21,'Parametri Modello'!$A$32:$A$35,0))-1)*'Parametri Modello'!$B$28))),0)))*(1+INDEX('Parametri Modello'!$B$12:$B$15,MATCH($B21,'Parametri Modello'!$A$12:$A$15,0))),0),"")</f>
        <v>139</v>
      </c>
      <c r="I21" s="23">
        <f>IFERROR(INDEX('Input Statistiche 2025_26'!$F$3:$F$665,MATCH($A21,'Input Statistiche 2025_26'!$A$3:$A$665,0)),"")</f>
        <v>26</v>
      </c>
      <c r="J21" s="23">
        <f t="shared" si="0"/>
        <v>12</v>
      </c>
      <c r="K21" s="23">
        <f>IFERROR(INDEX('Input Statistiche 2025_26'!$I$3:$I$665,MATCH($A21,'Input Statistiche 2025_26'!$A$3:$A$665,0)),"")</f>
        <v>8</v>
      </c>
      <c r="L21" s="23">
        <f>IFERROR(INDEX('Input Statistiche 2025_26'!$O$3:$O$665,MATCH($A21,'Input Statistiche 2025_26'!$A$3:$A$665,0)),"")</f>
        <v>4</v>
      </c>
      <c r="M21" s="25"/>
      <c r="N21" s="24">
        <f>IFERROR(INDEX('Input Giocatori 2026_27'!$E$3:$E$493,MATCH($A21,'Input Giocatori 2026_27'!$A$3:$A$493,0)),"")</f>
        <v>18</v>
      </c>
      <c r="O21" s="24">
        <f>IFERROR(INDEX('Input Giocatori 2026_27'!$G$3:$G$493,MATCH($A21,'Input Giocatori 2026_27'!$A$3:$A$493,0)),"")</f>
        <v>115</v>
      </c>
      <c r="P21" s="23" t="str">
        <f>IFERROR(IF($O21="","",IF((1-(COUNTIFS($B$2:$B$492,$B21,$O$2:$O$492,"&gt;"&amp;$O21)+1-1)/COUNTIF($B$2:$B$492,$B21))&gt;='Parametri Modello'!$B$63,"Top",IF((1-(COUNTIFS($B$2:$B$492,$B21,$O$2:$O$492,"&gt;"&amp;$O21)+1-1)/COUNTIF($B$2:$B$492,$B21))&gt;='Parametri Modello'!$B$64,"Buono",IF((1-(COUNTIFS($B$2:$B$492,$B21,$O$2:$O$492,"&gt;"&amp;$O21)+1-1)/COUNTIF($B$2:$B$492,$B21))&gt;='Parametri Modello'!$B$65,"Nella Media","Scommessa/Riserva")))),"")</f>
        <v>Buono</v>
      </c>
      <c r="Q21" s="26">
        <f>IF(AND($D21="",$N21&gt;1),SUMPRODUCT(($D$2:$D21="")*($N$2:$N21&gt;1)),"")</f>
        <v>20</v>
      </c>
      <c r="R21" s="26" t="str">
        <f>IF($D21='Info Lega'!$B$28,COUNTIFS($D$2:$D21,'Info Lega'!$B$28),"")</f>
        <v/>
      </c>
      <c r="S21" s="27">
        <f>IFERROR(INDEX('Input Statistiche 2025_26'!$G$3:$G$665,MATCH($A21,'Input Statistiche 2025_26'!$A$3:$A$665,0)),"")</f>
        <v>6.31</v>
      </c>
      <c r="T21" s="27">
        <f>IFERROR(INDEX('Input Statistiche 2025_26'!$H$3:$H$665,MATCH($A21,'Input Statistiche 2025_26'!$A$3:$A$665,0)),"")</f>
        <v>7.19</v>
      </c>
      <c r="U21" s="23" t="str">
        <f>IF(OR('La Mia Rosa'!$O$12="",$D21&lt;&gt;""),"",IF($F21&lt;='La Mia Rosa'!$O$12*'Parametri Modello'!$B$24,"OK",IF($F21&lt;='La Mia Rosa'!$O$12*'Parametri Modello'!$B$25,"Attenzione","Rischio Alto")))</f>
        <v>Attenzione</v>
      </c>
      <c r="V21" s="23">
        <f t="shared" si="1"/>
        <v>13</v>
      </c>
      <c r="W21" s="18">
        <f>'Info Lega'!$B$4-SUMIFS($M$2:$M$492,$D$2:$D$492,'Info Lega'!$B$28)</f>
        <v>1000</v>
      </c>
      <c r="X21" s="18">
        <f>('Info Lega'!$B$5-COUNTIFS($D$2:$D$492,'Info Lega'!$B$28,$B$2:$B$492,"P"))+('Info Lega'!$B$6-COUNTIFS($D$2:$D$492,'Info Lega'!$B$28,$B$2:$B$492,"D"))+('Info Lega'!$B$7-COUNTIFS($D$2:$D$492,'Info Lega'!$B$28,$B$2:$B$492,"C"))+('Info Lega'!$B$8-COUNTIFS($D$2:$D$492,'Info Lega'!$B$28,$B$2:$B$492,"A"))</f>
        <v>25</v>
      </c>
      <c r="Y21" s="18">
        <f>X21*'Parametri Modello'!$B$30</f>
        <v>25</v>
      </c>
      <c r="Z21" s="18">
        <f t="shared" si="2"/>
        <v>975</v>
      </c>
      <c r="AA21" s="18">
        <f t="shared" si="3"/>
        <v>120</v>
      </c>
      <c r="AB21" s="18"/>
      <c r="AC21" s="18" t="str">
        <f>IF($AB21="","",IF($AB21&gt;$AA21,"PASS",IF($AB21&lt;=$AA21*(1-'Parametri Modello'!$B$68),"BID","ATTENZIONE")))</f>
        <v/>
      </c>
      <c r="AD21" s="28">
        <f t="shared" si="4"/>
        <v>58</v>
      </c>
      <c r="AE21" s="5" t="str">
        <f>IFERROR(INDEX('Stato Asta'!$G$9:$G$12,MATCH($B21,'Stato Asta'!$A$9:$A$12,0)),"")</f>
        <v>🔴 Non aspettare</v>
      </c>
      <c r="AF21" t="str">
        <f>IFERROR(IF($V21&lt;=INDEX('Parametri Modello'!$C$57:$C$60,MATCH($B21,'Parametri Modello'!$A$57:$A$60,0)),"Titolare","Riserva"),"")</f>
        <v>Titolare</v>
      </c>
      <c r="AG21" t="str">
        <f>IFERROR(INDEX('Pressione Competitiva'!$F$3:$F$6,MATCH($B21,'Pressione Competitiva'!$B$3:$B$6,0)),"")</f>
        <v>🔴 Molto Alta</v>
      </c>
      <c r="AH21" t="str">
        <f t="shared" si="5"/>
        <v/>
      </c>
      <c r="AI21" t="str">
        <f>IFERROR(IF($AH21="","",IF($AH21&gt;=$AA21*'Parametri Modello'!$B$68,"🟢 Opportunita'",IF($AH21&lt;=$AA21*'Parametri Modello'!$B$69,"🔴 Sovrapprezzo","🟡 Prezzo Corretto"))),"")</f>
        <v/>
      </c>
      <c r="AJ21" t="str">
        <f t="shared" si="6"/>
        <v/>
      </c>
      <c r="AK21">
        <f t="shared" si="7"/>
        <v>4</v>
      </c>
      <c r="AL21" t="str">
        <f t="shared" si="8"/>
        <v>A|Buono|4</v>
      </c>
    </row>
    <row r="22" spans="1:38" ht="14.25" customHeight="1" x14ac:dyDescent="0.25">
      <c r="A22" s="18">
        <v>5995</v>
      </c>
      <c r="B22" s="18" t="s">
        <v>18</v>
      </c>
      <c r="C22" s="18" t="s">
        <v>161</v>
      </c>
      <c r="E22" s="23" t="str">
        <f>IF(COUNTIF('Info Strategia'!$D$2:$D$51,$C22)&gt;0,"SI","NO")</f>
        <v>NO</v>
      </c>
      <c r="F22" s="24">
        <f>IFERROR(ROUND(($G22+($H22-$G22)*'Info Strategia'!$B$6)*(1+IF($E22="SI",'Parametri Modello'!$B$7*'Info Strategia'!$B$6,0)),0),"")</f>
        <v>109</v>
      </c>
      <c r="G22" s="24">
        <f>IFERROR(ROUND(MAX(1,(IF($V22&lt;=INDEX('Parametri Modello'!$C$57:$C$60,MATCH($B22,'Parametri Modello'!$A$57:$A$60,0)),IF(INDEX('Parametri Modello'!$E$57:$E$60,MATCH($B22,'Parametri Modello'!$A$57:$A$60,0))=0,0,($O22/INDEX('Parametri Modello'!$E$57:$E$60,MATCH($B22,'Parametri Modello'!$A$57:$A$60,0)))*(INDEX('Parametri Modello'!$D$57:$D$60,MATCH($B22,'Parametri Modello'!$A$57:$A$60,0))*(INDEX('Parametri Modello'!$B$50:$B$53,MATCH($B22,'Parametri Modello'!$A$50:$A$53,0))*'Parametri Modello'!$B$44))),IF(INDEX('Parametri Modello'!$F$57:$F$60,MATCH($B22,'Parametri Modello'!$A$57:$A$60,0))=0,0,($O22/INDEX('Parametri Modello'!$F$57:$F$60,MATCH($B22,'Parametri Modello'!$A$57:$A$60,0)))*((1-INDEX('Parametri Modello'!$D$57:$D$60,MATCH($B22,'Parametri Modello'!$A$57:$A$60,0)))*(INDEX('Parametri Modello'!$B$50:$B$53,MATCH($B22,'Parametri Modello'!$A$50:$A$53,0))*'Parametri Modello'!$B$44))))*(1+IF(IF($B22="D",'Info Lega'!$B$25,IF($B22="C",'Info Lega'!$B$26,"No"))="Si",'Parametri Modello'!$B$5,0))*(1+MAX(-0.25,MIN(0.25,IF(OR($T22="",$I22="",$I22=0,INDEX('Parametri Modello'!$B$19:$B$22,MATCH($B22,'Parametri Modello'!$A$19:$A$22,0))="",INDEX('Parametri Modello'!$B$19:$B$22,MATCH($B22,'Parametri Modello'!$A$19:$A$22,0))=0),0,(($T22-INDEX('Parametri Modello'!$B$19:$B$22,MATCH($B22,'Parametri Modello'!$A$19:$A$22,0)))/INDEX('Parametri Modello'!$B$19:$B$22,MATCH($B22,'Parametri Modello'!$A$19:$A$22,0)))*'Parametri Modello'!$B$9))))*(1+IF('Parametri Modello'!$B$27="Si",MAX(-'Parametri Modello'!$B$28,MIN('Parametri Modello'!$B$28*1.5,IF(OR(INDEX('Parametri Modello'!$F$32:$F$35,MATCH($B22,'Parametri Modello'!$A$32:$A$35,0))="",INDEX('Parametri Modello'!$F$32:$F$35,MATCH($B22,'Parametri Modello'!$A$32:$A$35,0))=0),0,(1/INDEX('Parametri Modello'!$F$32:$F$35,MATCH($B22,'Parametri Modello'!$A$32:$A$35,0))-1)*'Parametri Modello'!$B$28))),0)))*(1-INDEX('Parametri Modello'!$B$12:$B$15,MATCH($B22,'Parametri Modello'!$A$12:$A$15,0)))),0),"")</f>
        <v>68</v>
      </c>
      <c r="H22" s="24">
        <f>IFERROR(ROUND((IF($V22&lt;=INDEX('Parametri Modello'!$C$57:$C$60,MATCH($B22,'Parametri Modello'!$A$57:$A$60,0)),IF(INDEX('Parametri Modello'!$E$57:$E$60,MATCH($B22,'Parametri Modello'!$A$57:$A$60,0))=0,0,($O22/INDEX('Parametri Modello'!$E$57:$E$60,MATCH($B22,'Parametri Modello'!$A$57:$A$60,0)))*(INDEX('Parametri Modello'!$D$57:$D$60,MATCH($B22,'Parametri Modello'!$A$57:$A$60,0))*(INDEX('Parametri Modello'!$B$50:$B$53,MATCH($B22,'Parametri Modello'!$A$50:$A$53,0))*'Parametri Modello'!$B$44))),IF(INDEX('Parametri Modello'!$F$57:$F$60,MATCH($B22,'Parametri Modello'!$A$57:$A$60,0))=0,0,($O22/INDEX('Parametri Modello'!$F$57:$F$60,MATCH($B22,'Parametri Modello'!$A$57:$A$60,0)))*((1-INDEX('Parametri Modello'!$D$57:$D$60,MATCH($B22,'Parametri Modello'!$A$57:$A$60,0)))*(INDEX('Parametri Modello'!$B$50:$B$53,MATCH($B22,'Parametri Modello'!$A$50:$A$53,0))*'Parametri Modello'!$B$44))))*(1+IF(IF($B22="D",'Info Lega'!$B$25,IF($B22="C",'Info Lega'!$B$26,"No"))="Si",'Parametri Modello'!$B$5,0))*(1+MAX(-0.25,MIN(0.25,IF(OR($T22="",$I22="",$I22=0,INDEX('Parametri Modello'!$B$19:$B$22,MATCH($B22,'Parametri Modello'!$A$19:$A$22,0))="",INDEX('Parametri Modello'!$B$19:$B$22,MATCH($B22,'Parametri Modello'!$A$19:$A$22,0))=0),0,(($T22-INDEX('Parametri Modello'!$B$19:$B$22,MATCH($B22,'Parametri Modello'!$A$19:$A$22,0)))/INDEX('Parametri Modello'!$B$19:$B$22,MATCH($B22,'Parametri Modello'!$A$19:$A$22,0)))*'Parametri Modello'!$B$9))))*(1+IF('Parametri Modello'!$B$27="Si",MAX(-'Parametri Modello'!$B$28,MIN('Parametri Modello'!$B$28*1.5,IF(OR(INDEX('Parametri Modello'!$F$32:$F$35,MATCH($B22,'Parametri Modello'!$A$32:$A$35,0))="",INDEX('Parametri Modello'!$F$32:$F$35,MATCH($B22,'Parametri Modello'!$A$32:$A$35,0))=0),0,(1/INDEX('Parametri Modello'!$F$32:$F$35,MATCH($B22,'Parametri Modello'!$A$32:$A$35,0))-1)*'Parametri Modello'!$B$28))),0)))*(1+INDEX('Parametri Modello'!$B$12:$B$15,MATCH($B22,'Parametri Modello'!$A$12:$A$15,0))),0),"")</f>
        <v>126</v>
      </c>
      <c r="I22" s="23">
        <f>IFERROR(INDEX('Input Statistiche 2025_26'!$F$3:$F$665,MATCH($A22,'Input Statistiche 2025_26'!$A$3:$A$665,0)),"")</f>
        <v>31</v>
      </c>
      <c r="J22" s="23">
        <f t="shared" si="0"/>
        <v>7</v>
      </c>
      <c r="K22" s="23">
        <f>IFERROR(INDEX('Input Statistiche 2025_26'!$I$3:$I$665,MATCH($A22,'Input Statistiche 2025_26'!$A$3:$A$665,0)),"")</f>
        <v>3</v>
      </c>
      <c r="L22" s="23">
        <f>IFERROR(INDEX('Input Statistiche 2025_26'!$O$3:$O$665,MATCH($A22,'Input Statistiche 2025_26'!$A$3:$A$665,0)),"")</f>
        <v>5</v>
      </c>
      <c r="M22" s="25"/>
      <c r="N22" s="24">
        <f>IFERROR(INDEX('Input Giocatori 2026_27'!$E$3:$E$493,MATCH($A22,'Input Giocatori 2026_27'!$A$3:$A$493,0)),"")</f>
        <v>17</v>
      </c>
      <c r="O22" s="24">
        <f>IFERROR(INDEX('Input Giocatori 2026_27'!$G$3:$G$493,MATCH($A22,'Input Giocatori 2026_27'!$A$3:$A$493,0)),"")</f>
        <v>106</v>
      </c>
      <c r="P22" s="23" t="str">
        <f>IFERROR(IF($O22="","",IF((1-(COUNTIFS($B$2:$B$492,$B22,$O$2:$O$492,"&gt;"&amp;$O22)+1-1)/COUNTIF($B$2:$B$492,$B22))&gt;='Parametri Modello'!$B$63,"Top",IF((1-(COUNTIFS($B$2:$B$492,$B22,$O$2:$O$492,"&gt;"&amp;$O22)+1-1)/COUNTIF($B$2:$B$492,$B22))&gt;='Parametri Modello'!$B$64,"Buono",IF((1-(COUNTIFS($B$2:$B$492,$B22,$O$2:$O$492,"&gt;"&amp;$O22)+1-1)/COUNTIF($B$2:$B$492,$B22))&gt;='Parametri Modello'!$B$65,"Nella Media","Scommessa/Riserva")))),"")</f>
        <v>Buono</v>
      </c>
      <c r="Q22" s="26">
        <f>IF(AND($D22="",$N22&gt;1),SUMPRODUCT(($D$2:$D22="")*($N$2:$N22&gt;1)),"")</f>
        <v>21</v>
      </c>
      <c r="R22" s="26" t="str">
        <f>IF($D22='Info Lega'!$B$28,COUNTIFS($D$2:$D22,'Info Lega'!$B$28),"")</f>
        <v/>
      </c>
      <c r="S22" s="27">
        <f>IFERROR(INDEX('Input Statistiche 2025_26'!$G$3:$G$665,MATCH($A22,'Input Statistiche 2025_26'!$A$3:$A$665,0)),"")</f>
        <v>6.21</v>
      </c>
      <c r="T22" s="27">
        <f>IFERROR(INDEX('Input Statistiche 2025_26'!$H$3:$H$665,MATCH($A22,'Input Statistiche 2025_26'!$A$3:$A$665,0)),"")</f>
        <v>6.6</v>
      </c>
      <c r="U22" s="23" t="str">
        <f>IF(OR('La Mia Rosa'!$O$12="",$D22&lt;&gt;""),"",IF($F22&lt;='La Mia Rosa'!$O$12*'Parametri Modello'!$B$24,"OK",IF($F22&lt;='La Mia Rosa'!$O$12*'Parametri Modello'!$B$25,"Attenzione","Rischio Alto")))</f>
        <v>Attenzione</v>
      </c>
      <c r="V22" s="23">
        <f t="shared" si="1"/>
        <v>14</v>
      </c>
      <c r="W22" s="18">
        <f>'Info Lega'!$B$4-SUMIFS($M$2:$M$492,$D$2:$D$492,'Info Lega'!$B$28)</f>
        <v>1000</v>
      </c>
      <c r="X22" s="18">
        <f>('Info Lega'!$B$5-COUNTIFS($D$2:$D$492,'Info Lega'!$B$28,$B$2:$B$492,"P"))+('Info Lega'!$B$6-COUNTIFS($D$2:$D$492,'Info Lega'!$B$28,$B$2:$B$492,"D"))+('Info Lega'!$B$7-COUNTIFS($D$2:$D$492,'Info Lega'!$B$28,$B$2:$B$492,"C"))+('Info Lega'!$B$8-COUNTIFS($D$2:$D$492,'Info Lega'!$B$28,$B$2:$B$492,"A"))</f>
        <v>25</v>
      </c>
      <c r="Y22" s="18">
        <f>X22*'Parametri Modello'!$B$30</f>
        <v>25</v>
      </c>
      <c r="Z22" s="18">
        <f t="shared" si="2"/>
        <v>975</v>
      </c>
      <c r="AA22" s="18">
        <f t="shared" si="3"/>
        <v>109</v>
      </c>
      <c r="AB22" s="18"/>
      <c r="AC22" s="18" t="str">
        <f>IF($AB22="","",IF($AB22&gt;$AA22,"PASS",IF($AB22&lt;=$AA22*(1-'Parametri Modello'!$B$68),"BID","ATTENZIONE")))</f>
        <v/>
      </c>
      <c r="AD22" s="28">
        <f t="shared" si="4"/>
        <v>64</v>
      </c>
      <c r="AE22" s="5" t="str">
        <f>IFERROR(INDEX('Stato Asta'!$G$9:$G$12,MATCH($B22,'Stato Asta'!$A$9:$A$12,0)),"")</f>
        <v>🔴 Non aspettare</v>
      </c>
      <c r="AF22" t="str">
        <f>IFERROR(IF($V22&lt;=INDEX('Parametri Modello'!$C$57:$C$60,MATCH($B22,'Parametri Modello'!$A$57:$A$60,0)),"Titolare","Riserva"),"")</f>
        <v>Titolare</v>
      </c>
      <c r="AG22" t="str">
        <f>IFERROR(INDEX('Pressione Competitiva'!$F$3:$F$6,MATCH($B22,'Pressione Competitiva'!$B$3:$B$6,0)),"")</f>
        <v>🔴 Molto Alta</v>
      </c>
      <c r="AH22" t="str">
        <f t="shared" si="5"/>
        <v/>
      </c>
      <c r="AI22" t="str">
        <f>IFERROR(IF($AH22="","",IF($AH22&gt;=$AA22*'Parametri Modello'!$B$68,"🟢 Opportunita'",IF($AH22&lt;=$AA22*'Parametri Modello'!$B$69,"🔴 Sovrapprezzo","🟡 Prezzo Corretto"))),"")</f>
        <v/>
      </c>
      <c r="AJ22" t="str">
        <f t="shared" si="6"/>
        <v/>
      </c>
      <c r="AK22">
        <f t="shared" si="7"/>
        <v>5</v>
      </c>
      <c r="AL22" t="str">
        <f t="shared" si="8"/>
        <v>A|Buono|5</v>
      </c>
    </row>
    <row r="23" spans="1:38" ht="14.25" customHeight="1" x14ac:dyDescent="0.25">
      <c r="A23" s="18">
        <v>7126</v>
      </c>
      <c r="B23" s="18" t="s">
        <v>17</v>
      </c>
      <c r="C23" s="18" t="s">
        <v>162</v>
      </c>
      <c r="E23" s="23" t="str">
        <f>IF(COUNTIF('Info Strategia'!$D$2:$D$51,$C23)&gt;0,"SI","NO")</f>
        <v>NO</v>
      </c>
      <c r="F23" s="24">
        <f>IFERROR(ROUND(($G23+($H23-$G23)*'Info Strategia'!$B$6)*(1+IF($E23="SI",'Parametri Modello'!$B$7*'Info Strategia'!$B$6,0)),0),"")</f>
        <v>69</v>
      </c>
      <c r="G23" s="24">
        <f>IFERROR(ROUND(MAX(1,(IF($V23&lt;=INDEX('Parametri Modello'!$C$57:$C$60,MATCH($B23,'Parametri Modello'!$A$57:$A$60,0)),IF(INDEX('Parametri Modello'!$E$57:$E$60,MATCH($B23,'Parametri Modello'!$A$57:$A$60,0))=0,0,($O23/INDEX('Parametri Modello'!$E$57:$E$60,MATCH($B23,'Parametri Modello'!$A$57:$A$60,0)))*(INDEX('Parametri Modello'!$D$57:$D$60,MATCH($B23,'Parametri Modello'!$A$57:$A$60,0))*(INDEX('Parametri Modello'!$B$50:$B$53,MATCH($B23,'Parametri Modello'!$A$50:$A$53,0))*'Parametri Modello'!$B$44))),IF(INDEX('Parametri Modello'!$F$57:$F$60,MATCH($B23,'Parametri Modello'!$A$57:$A$60,0))=0,0,($O23/INDEX('Parametri Modello'!$F$57:$F$60,MATCH($B23,'Parametri Modello'!$A$57:$A$60,0)))*((1-INDEX('Parametri Modello'!$D$57:$D$60,MATCH($B23,'Parametri Modello'!$A$57:$A$60,0)))*(INDEX('Parametri Modello'!$B$50:$B$53,MATCH($B23,'Parametri Modello'!$A$50:$A$53,0))*'Parametri Modello'!$B$44))))*(1+IF(IF($B23="D",'Info Lega'!$B$25,IF($B23="C",'Info Lega'!$B$26,"No"))="Si",'Parametri Modello'!$B$5,0))*(1+MAX(-0.25,MIN(0.25,IF(OR($T23="",$I23="",$I23=0,INDEX('Parametri Modello'!$B$19:$B$22,MATCH($B23,'Parametri Modello'!$A$19:$A$22,0))="",INDEX('Parametri Modello'!$B$19:$B$22,MATCH($B23,'Parametri Modello'!$A$19:$A$22,0))=0),0,(($T23-INDEX('Parametri Modello'!$B$19:$B$22,MATCH($B23,'Parametri Modello'!$A$19:$A$22,0)))/INDEX('Parametri Modello'!$B$19:$B$22,MATCH($B23,'Parametri Modello'!$A$19:$A$22,0)))*'Parametri Modello'!$B$9))))*(1+IF('Parametri Modello'!$B$27="Si",MAX(-'Parametri Modello'!$B$28,MIN('Parametri Modello'!$B$28*1.5,IF(OR(INDEX('Parametri Modello'!$F$32:$F$35,MATCH($B23,'Parametri Modello'!$A$32:$A$35,0))="",INDEX('Parametri Modello'!$F$32:$F$35,MATCH($B23,'Parametri Modello'!$A$32:$A$35,0))=0),0,(1/INDEX('Parametri Modello'!$F$32:$F$35,MATCH($B23,'Parametri Modello'!$A$32:$A$35,0))-1)*'Parametri Modello'!$B$28))),0)))*(1-INDEX('Parametri Modello'!$B$12:$B$15,MATCH($B23,'Parametri Modello'!$A$12:$A$15,0)))),0),"")</f>
        <v>47</v>
      </c>
      <c r="H23" s="24">
        <f>IFERROR(ROUND((IF($V23&lt;=INDEX('Parametri Modello'!$C$57:$C$60,MATCH($B23,'Parametri Modello'!$A$57:$A$60,0)),IF(INDEX('Parametri Modello'!$E$57:$E$60,MATCH($B23,'Parametri Modello'!$A$57:$A$60,0))=0,0,($O23/INDEX('Parametri Modello'!$E$57:$E$60,MATCH($B23,'Parametri Modello'!$A$57:$A$60,0)))*(INDEX('Parametri Modello'!$D$57:$D$60,MATCH($B23,'Parametri Modello'!$A$57:$A$60,0))*(INDEX('Parametri Modello'!$B$50:$B$53,MATCH($B23,'Parametri Modello'!$A$50:$A$53,0))*'Parametri Modello'!$B$44))),IF(INDEX('Parametri Modello'!$F$57:$F$60,MATCH($B23,'Parametri Modello'!$A$57:$A$60,0))=0,0,($O23/INDEX('Parametri Modello'!$F$57:$F$60,MATCH($B23,'Parametri Modello'!$A$57:$A$60,0)))*((1-INDEX('Parametri Modello'!$D$57:$D$60,MATCH($B23,'Parametri Modello'!$A$57:$A$60,0)))*(INDEX('Parametri Modello'!$B$50:$B$53,MATCH($B23,'Parametri Modello'!$A$50:$A$53,0))*'Parametri Modello'!$B$44))))*(1+IF(IF($B23="D",'Info Lega'!$B$25,IF($B23="C",'Info Lega'!$B$26,"No"))="Si",'Parametri Modello'!$B$5,0))*(1+MAX(-0.25,MIN(0.25,IF(OR($T23="",$I23="",$I23=0,INDEX('Parametri Modello'!$B$19:$B$22,MATCH($B23,'Parametri Modello'!$A$19:$A$22,0))="",INDEX('Parametri Modello'!$B$19:$B$22,MATCH($B23,'Parametri Modello'!$A$19:$A$22,0))=0),0,(($T23-INDEX('Parametri Modello'!$B$19:$B$22,MATCH($B23,'Parametri Modello'!$A$19:$A$22,0)))/INDEX('Parametri Modello'!$B$19:$B$22,MATCH($B23,'Parametri Modello'!$A$19:$A$22,0)))*'Parametri Modello'!$B$9))))*(1+IF('Parametri Modello'!$B$27="Si",MAX(-'Parametri Modello'!$B$28,MIN('Parametri Modello'!$B$28*1.5,IF(OR(INDEX('Parametri Modello'!$F$32:$F$35,MATCH($B23,'Parametri Modello'!$A$32:$A$35,0))="",INDEX('Parametri Modello'!$F$32:$F$35,MATCH($B23,'Parametri Modello'!$A$32:$A$35,0))=0),0,(1/INDEX('Parametri Modello'!$F$32:$F$35,MATCH($B23,'Parametri Modello'!$A$32:$A$35,0))-1)*'Parametri Modello'!$B$28))),0)))*(1+INDEX('Parametri Modello'!$B$12:$B$15,MATCH($B23,'Parametri Modello'!$A$12:$A$15,0))),0),"")</f>
        <v>79</v>
      </c>
      <c r="I23" s="23">
        <f>IFERROR(INDEX('Input Statistiche 2025_26'!$F$3:$F$665,MATCH($A23,'Input Statistiche 2025_26'!$A$3:$A$665,0)),"")</f>
        <v>25</v>
      </c>
      <c r="J23" s="23">
        <f t="shared" si="0"/>
        <v>13</v>
      </c>
      <c r="K23" s="23">
        <f>IFERROR(INDEX('Input Statistiche 2025_26'!$I$3:$I$665,MATCH($A23,'Input Statistiche 2025_26'!$A$3:$A$665,0)),"")</f>
        <v>6</v>
      </c>
      <c r="L23" s="23">
        <f>IFERROR(INDEX('Input Statistiche 2025_26'!$O$3:$O$665,MATCH($A23,'Input Statistiche 2025_26'!$A$3:$A$665,0)),"")</f>
        <v>3</v>
      </c>
      <c r="M23" s="25"/>
      <c r="N23" s="24">
        <f>IFERROR(INDEX('Input Giocatori 2026_27'!$E$3:$E$493,MATCH($A23,'Input Giocatori 2026_27'!$A$3:$A$493,0)),"")</f>
        <v>19</v>
      </c>
      <c r="O23" s="24">
        <f>IFERROR(INDEX('Input Giocatori 2026_27'!$G$3:$G$493,MATCH($A23,'Input Giocatori 2026_27'!$A$3:$A$493,0)),"")</f>
        <v>102</v>
      </c>
      <c r="P23" s="23" t="str">
        <f>IFERROR(IF($O23="","",IF((1-(COUNTIFS($B$2:$B$492,$B23,$O$2:$O$492,"&gt;"&amp;$O23)+1-1)/COUNTIF($B$2:$B$492,$B23))&gt;='Parametri Modello'!$B$63,"Top",IF((1-(COUNTIFS($B$2:$B$492,$B23,$O$2:$O$492,"&gt;"&amp;$O23)+1-1)/COUNTIF($B$2:$B$492,$B23))&gt;='Parametri Modello'!$B$64,"Buono",IF((1-(COUNTIFS($B$2:$B$492,$B23,$O$2:$O$492,"&gt;"&amp;$O23)+1-1)/COUNTIF($B$2:$B$492,$B23))&gt;='Parametri Modello'!$B$65,"Nella Media","Scommessa/Riserva")))),"")</f>
        <v>Top</v>
      </c>
      <c r="Q23" s="26">
        <f>IF(AND($D23="",$N23&gt;1),SUMPRODUCT(($D$2:$D23="")*($N$2:$N23&gt;1)),"")</f>
        <v>22</v>
      </c>
      <c r="R23" s="26" t="str">
        <f>IF($D23='Info Lega'!$B$28,COUNTIFS($D$2:$D23,'Info Lega'!$B$28),"")</f>
        <v/>
      </c>
      <c r="S23" s="27">
        <f>IFERROR(INDEX('Input Statistiche 2025_26'!$G$3:$G$665,MATCH($A23,'Input Statistiche 2025_26'!$A$3:$A$665,0)),"")</f>
        <v>6.3</v>
      </c>
      <c r="T23" s="27">
        <f>IFERROR(INDEX('Input Statistiche 2025_26'!$H$3:$H$665,MATCH($A23,'Input Statistiche 2025_26'!$A$3:$A$665,0)),"")</f>
        <v>7.14</v>
      </c>
      <c r="U23" s="23" t="str">
        <f>IF(OR('La Mia Rosa'!$O$12="",$D23&lt;&gt;""),"",IF($F23&lt;='La Mia Rosa'!$O$12*'Parametri Modello'!$B$24,"OK",IF($F23&lt;='La Mia Rosa'!$O$12*'Parametri Modello'!$B$25,"Attenzione","Rischio Alto")))</f>
        <v>Attenzione</v>
      </c>
      <c r="V23" s="23">
        <f t="shared" si="1"/>
        <v>7</v>
      </c>
      <c r="W23" s="18">
        <f>'Info Lega'!$B$4-SUMIFS($M$2:$M$492,$D$2:$D$492,'Info Lega'!$B$28)</f>
        <v>1000</v>
      </c>
      <c r="X23" s="18">
        <f>('Info Lega'!$B$5-COUNTIFS($D$2:$D$492,'Info Lega'!$B$28,$B$2:$B$492,"P"))+('Info Lega'!$B$6-COUNTIFS($D$2:$D$492,'Info Lega'!$B$28,$B$2:$B$492,"D"))+('Info Lega'!$B$7-COUNTIFS($D$2:$D$492,'Info Lega'!$B$28,$B$2:$B$492,"C"))+('Info Lega'!$B$8-COUNTIFS($D$2:$D$492,'Info Lega'!$B$28,$B$2:$B$492,"A"))</f>
        <v>25</v>
      </c>
      <c r="Y23" s="18">
        <f>X23*'Parametri Modello'!$B$30</f>
        <v>25</v>
      </c>
      <c r="Z23" s="18">
        <f t="shared" si="2"/>
        <v>975</v>
      </c>
      <c r="AA23" s="18">
        <f t="shared" si="3"/>
        <v>69</v>
      </c>
      <c r="AB23" s="18"/>
      <c r="AC23" s="18" t="str">
        <f>IF($AB23="","",IF($AB23&gt;$AA23,"PASS",IF($AB23&lt;=$AA23*(1-'Parametri Modello'!$B$68),"BID","ATTENZIONE")))</f>
        <v/>
      </c>
      <c r="AD23" s="28">
        <f t="shared" si="4"/>
        <v>57</v>
      </c>
      <c r="AE23" s="5" t="str">
        <f>IFERROR(INDEX('Stato Asta'!$G$9:$G$12,MATCH($B23,'Stato Asta'!$A$9:$A$12,0)),"")</f>
        <v>🔴 Non aspettare</v>
      </c>
      <c r="AF23" t="str">
        <f>IFERROR(IF($V23&lt;=INDEX('Parametri Modello'!$C$57:$C$60,MATCH($B23,'Parametri Modello'!$A$57:$A$60,0)),"Titolare","Riserva"),"")</f>
        <v>Titolare</v>
      </c>
      <c r="AG23" t="str">
        <f>IFERROR(INDEX('Pressione Competitiva'!$F$3:$F$6,MATCH($B23,'Pressione Competitiva'!$B$3:$B$6,0)),"")</f>
        <v>🔴 Molto Alta</v>
      </c>
      <c r="AH23" t="str">
        <f t="shared" si="5"/>
        <v/>
      </c>
      <c r="AI23" t="str">
        <f>IFERROR(IF($AH23="","",IF($AH23&gt;=$AA23*'Parametri Modello'!$B$68,"🟢 Opportunita'",IF($AH23&lt;=$AA23*'Parametri Modello'!$B$69,"🔴 Sovrapprezzo","🟡 Prezzo Corretto"))),"")</f>
        <v/>
      </c>
      <c r="AJ23" t="str">
        <f t="shared" si="6"/>
        <v/>
      </c>
      <c r="AK23">
        <f t="shared" si="7"/>
        <v>7</v>
      </c>
      <c r="AL23" t="str">
        <f t="shared" si="8"/>
        <v>C|Top|7</v>
      </c>
    </row>
    <row r="24" spans="1:38" ht="14.25" customHeight="1" x14ac:dyDescent="0.25">
      <c r="A24" s="18">
        <v>2517</v>
      </c>
      <c r="B24" s="18" t="s">
        <v>17</v>
      </c>
      <c r="C24" s="18" t="s">
        <v>163</v>
      </c>
      <c r="E24" s="23" t="str">
        <f>IF(COUNTIF('Info Strategia'!$D$2:$D$51,$C24)&gt;0,"SI","NO")</f>
        <v>NO</v>
      </c>
      <c r="F24" s="24">
        <f>IFERROR(ROUND(($G24+($H24-$G24)*'Info Strategia'!$B$6)*(1+IF($E24="SI",'Parametri Modello'!$B$7*'Info Strategia'!$B$6,0)),0),"")</f>
        <v>68</v>
      </c>
      <c r="G24" s="24">
        <f>IFERROR(ROUND(MAX(1,(IF($V24&lt;=INDEX('Parametri Modello'!$C$57:$C$60,MATCH($B24,'Parametri Modello'!$A$57:$A$60,0)),IF(INDEX('Parametri Modello'!$E$57:$E$60,MATCH($B24,'Parametri Modello'!$A$57:$A$60,0))=0,0,($O24/INDEX('Parametri Modello'!$E$57:$E$60,MATCH($B24,'Parametri Modello'!$A$57:$A$60,0)))*(INDEX('Parametri Modello'!$D$57:$D$60,MATCH($B24,'Parametri Modello'!$A$57:$A$60,0))*(INDEX('Parametri Modello'!$B$50:$B$53,MATCH($B24,'Parametri Modello'!$A$50:$A$53,0))*'Parametri Modello'!$B$44))),IF(INDEX('Parametri Modello'!$F$57:$F$60,MATCH($B24,'Parametri Modello'!$A$57:$A$60,0))=0,0,($O24/INDEX('Parametri Modello'!$F$57:$F$60,MATCH($B24,'Parametri Modello'!$A$57:$A$60,0)))*((1-INDEX('Parametri Modello'!$D$57:$D$60,MATCH($B24,'Parametri Modello'!$A$57:$A$60,0)))*(INDEX('Parametri Modello'!$B$50:$B$53,MATCH($B24,'Parametri Modello'!$A$50:$A$53,0))*'Parametri Modello'!$B$44))))*(1+IF(IF($B24="D",'Info Lega'!$B$25,IF($B24="C",'Info Lega'!$B$26,"No"))="Si",'Parametri Modello'!$B$5,0))*(1+MAX(-0.25,MIN(0.25,IF(OR($T24="",$I24="",$I24=0,INDEX('Parametri Modello'!$B$19:$B$22,MATCH($B24,'Parametri Modello'!$A$19:$A$22,0))="",INDEX('Parametri Modello'!$B$19:$B$22,MATCH($B24,'Parametri Modello'!$A$19:$A$22,0))=0),0,(($T24-INDEX('Parametri Modello'!$B$19:$B$22,MATCH($B24,'Parametri Modello'!$A$19:$A$22,0)))/INDEX('Parametri Modello'!$B$19:$B$22,MATCH($B24,'Parametri Modello'!$A$19:$A$22,0)))*'Parametri Modello'!$B$9))))*(1+IF('Parametri Modello'!$B$27="Si",MAX(-'Parametri Modello'!$B$28,MIN('Parametri Modello'!$B$28*1.5,IF(OR(INDEX('Parametri Modello'!$F$32:$F$35,MATCH($B24,'Parametri Modello'!$A$32:$A$35,0))="",INDEX('Parametri Modello'!$F$32:$F$35,MATCH($B24,'Parametri Modello'!$A$32:$A$35,0))=0),0,(1/INDEX('Parametri Modello'!$F$32:$F$35,MATCH($B24,'Parametri Modello'!$A$32:$A$35,0))-1)*'Parametri Modello'!$B$28))),0)))*(1-INDEX('Parametri Modello'!$B$12:$B$15,MATCH($B24,'Parametri Modello'!$A$12:$A$15,0)))),0),"")</f>
        <v>46</v>
      </c>
      <c r="H24" s="24">
        <f>IFERROR(ROUND((IF($V24&lt;=INDEX('Parametri Modello'!$C$57:$C$60,MATCH($B24,'Parametri Modello'!$A$57:$A$60,0)),IF(INDEX('Parametri Modello'!$E$57:$E$60,MATCH($B24,'Parametri Modello'!$A$57:$A$60,0))=0,0,($O24/INDEX('Parametri Modello'!$E$57:$E$60,MATCH($B24,'Parametri Modello'!$A$57:$A$60,0)))*(INDEX('Parametri Modello'!$D$57:$D$60,MATCH($B24,'Parametri Modello'!$A$57:$A$60,0))*(INDEX('Parametri Modello'!$B$50:$B$53,MATCH($B24,'Parametri Modello'!$A$50:$A$53,0))*'Parametri Modello'!$B$44))),IF(INDEX('Parametri Modello'!$F$57:$F$60,MATCH($B24,'Parametri Modello'!$A$57:$A$60,0))=0,0,($O24/INDEX('Parametri Modello'!$F$57:$F$60,MATCH($B24,'Parametri Modello'!$A$57:$A$60,0)))*((1-INDEX('Parametri Modello'!$D$57:$D$60,MATCH($B24,'Parametri Modello'!$A$57:$A$60,0)))*(INDEX('Parametri Modello'!$B$50:$B$53,MATCH($B24,'Parametri Modello'!$A$50:$A$53,0))*'Parametri Modello'!$B$44))))*(1+IF(IF($B24="D",'Info Lega'!$B$25,IF($B24="C",'Info Lega'!$B$26,"No"))="Si",'Parametri Modello'!$B$5,0))*(1+MAX(-0.25,MIN(0.25,IF(OR($T24="",$I24="",$I24=0,INDEX('Parametri Modello'!$B$19:$B$22,MATCH($B24,'Parametri Modello'!$A$19:$A$22,0))="",INDEX('Parametri Modello'!$B$19:$B$22,MATCH($B24,'Parametri Modello'!$A$19:$A$22,0))=0),0,(($T24-INDEX('Parametri Modello'!$B$19:$B$22,MATCH($B24,'Parametri Modello'!$A$19:$A$22,0)))/INDEX('Parametri Modello'!$B$19:$B$22,MATCH($B24,'Parametri Modello'!$A$19:$A$22,0)))*'Parametri Modello'!$B$9))))*(1+IF('Parametri Modello'!$B$27="Si",MAX(-'Parametri Modello'!$B$28,MIN('Parametri Modello'!$B$28*1.5,IF(OR(INDEX('Parametri Modello'!$F$32:$F$35,MATCH($B24,'Parametri Modello'!$A$32:$A$35,0))="",INDEX('Parametri Modello'!$F$32:$F$35,MATCH($B24,'Parametri Modello'!$A$32:$A$35,0))=0),0,(1/INDEX('Parametri Modello'!$F$32:$F$35,MATCH($B24,'Parametri Modello'!$A$32:$A$35,0))-1)*'Parametri Modello'!$B$28))),0)))*(1+INDEX('Parametri Modello'!$B$12:$B$15,MATCH($B24,'Parametri Modello'!$A$12:$A$15,0))),0),"")</f>
        <v>77</v>
      </c>
      <c r="I24" s="23">
        <f>IFERROR(INDEX('Input Statistiche 2025_26'!$F$3:$F$665,MATCH($A24,'Input Statistiche 2025_26'!$A$3:$A$665,0)),"")</f>
        <v>17</v>
      </c>
      <c r="J24" s="23">
        <f t="shared" si="0"/>
        <v>21</v>
      </c>
      <c r="K24" s="23">
        <f>IFERROR(INDEX('Input Statistiche 2025_26'!$I$3:$I$665,MATCH($A24,'Input Statistiche 2025_26'!$A$3:$A$665,0)),"")</f>
        <v>5</v>
      </c>
      <c r="L24" s="23">
        <f>IFERROR(INDEX('Input Statistiche 2025_26'!$O$3:$O$665,MATCH($A24,'Input Statistiche 2025_26'!$A$3:$A$665,0)),"")</f>
        <v>2</v>
      </c>
      <c r="M24" s="25"/>
      <c r="N24" s="24">
        <f>IFERROR(INDEX('Input Giocatori 2026_27'!$E$3:$E$493,MATCH($A24,'Input Giocatori 2026_27'!$A$3:$A$493,0)),"")</f>
        <v>15</v>
      </c>
      <c r="O24" s="24">
        <f>IFERROR(INDEX('Input Giocatori 2026_27'!$G$3:$G$493,MATCH($A24,'Input Giocatori 2026_27'!$A$3:$A$493,0)),"")</f>
        <v>100</v>
      </c>
      <c r="P24" s="23" t="str">
        <f>IFERROR(IF($O24="","",IF((1-(COUNTIFS($B$2:$B$492,$B24,$O$2:$O$492,"&gt;"&amp;$O24)+1-1)/COUNTIF($B$2:$B$492,$B24))&gt;='Parametri Modello'!$B$63,"Top",IF((1-(COUNTIFS($B$2:$B$492,$B24,$O$2:$O$492,"&gt;"&amp;$O24)+1-1)/COUNTIF($B$2:$B$492,$B24))&gt;='Parametri Modello'!$B$64,"Buono",IF((1-(COUNTIFS($B$2:$B$492,$B24,$O$2:$O$492,"&gt;"&amp;$O24)+1-1)/COUNTIF($B$2:$B$492,$B24))&gt;='Parametri Modello'!$B$65,"Nella Media","Scommessa/Riserva")))),"")</f>
        <v>Top</v>
      </c>
      <c r="Q24" s="26">
        <f>IF(AND($D24="",$N24&gt;1),SUMPRODUCT(($D$2:$D24="")*($N$2:$N24&gt;1)),"")</f>
        <v>23</v>
      </c>
      <c r="R24" s="26" t="str">
        <f>IF($D24='Info Lega'!$B$28,COUNTIFS($D$2:$D24,'Info Lega'!$B$28),"")</f>
        <v/>
      </c>
      <c r="S24" s="27">
        <f>IFERROR(INDEX('Input Statistiche 2025_26'!$G$3:$G$665,MATCH($A24,'Input Statistiche 2025_26'!$A$3:$A$665,0)),"")</f>
        <v>6.26</v>
      </c>
      <c r="T24" s="27">
        <f>IFERROR(INDEX('Input Statistiche 2025_26'!$H$3:$H$665,MATCH($A24,'Input Statistiche 2025_26'!$A$3:$A$665,0)),"")</f>
        <v>7.24</v>
      </c>
      <c r="U24" s="23" t="str">
        <f>IF(OR('La Mia Rosa'!$O$12="",$D24&lt;&gt;""),"",IF($F24&lt;='La Mia Rosa'!$O$12*'Parametri Modello'!$B$24,"OK",IF($F24&lt;='La Mia Rosa'!$O$12*'Parametri Modello'!$B$25,"Attenzione","Rischio Alto")))</f>
        <v>Attenzione</v>
      </c>
      <c r="V24" s="23">
        <f t="shared" si="1"/>
        <v>8</v>
      </c>
      <c r="W24" s="18">
        <f>'Info Lega'!$B$4-SUMIFS($M$2:$M$492,$D$2:$D$492,'Info Lega'!$B$28)</f>
        <v>1000</v>
      </c>
      <c r="X24" s="18">
        <f>('Info Lega'!$B$5-COUNTIFS($D$2:$D$492,'Info Lega'!$B$28,$B$2:$B$492,"P"))+('Info Lega'!$B$6-COUNTIFS($D$2:$D$492,'Info Lega'!$B$28,$B$2:$B$492,"D"))+('Info Lega'!$B$7-COUNTIFS($D$2:$D$492,'Info Lega'!$B$28,$B$2:$B$492,"C"))+('Info Lega'!$B$8-COUNTIFS($D$2:$D$492,'Info Lega'!$B$28,$B$2:$B$492,"A"))</f>
        <v>25</v>
      </c>
      <c r="Y24" s="18">
        <f>X24*'Parametri Modello'!$B$30</f>
        <v>25</v>
      </c>
      <c r="Z24" s="18">
        <f t="shared" si="2"/>
        <v>975</v>
      </c>
      <c r="AA24" s="18">
        <f t="shared" si="3"/>
        <v>68</v>
      </c>
      <c r="AB24" s="18"/>
      <c r="AC24" s="18" t="str">
        <f>IF($AB24="","",IF($AB24&gt;$AA24,"PASS",IF($AB24&lt;=$AA24*(1-'Parametri Modello'!$B$68),"BID","ATTENZIONE")))</f>
        <v/>
      </c>
      <c r="AD24" s="28">
        <f t="shared" si="4"/>
        <v>43</v>
      </c>
      <c r="AE24" s="5" t="str">
        <f>IFERROR(INDEX('Stato Asta'!$G$9:$G$12,MATCH($B24,'Stato Asta'!$A$9:$A$12,0)),"")</f>
        <v>🔴 Non aspettare</v>
      </c>
      <c r="AF24" t="str">
        <f>IFERROR(IF($V24&lt;=INDEX('Parametri Modello'!$C$57:$C$60,MATCH($B24,'Parametri Modello'!$A$57:$A$60,0)),"Titolare","Riserva"),"")</f>
        <v>Titolare</v>
      </c>
      <c r="AG24" t="str">
        <f>IFERROR(INDEX('Pressione Competitiva'!$F$3:$F$6,MATCH($B24,'Pressione Competitiva'!$B$3:$B$6,0)),"")</f>
        <v>🔴 Molto Alta</v>
      </c>
      <c r="AH24" t="str">
        <f t="shared" si="5"/>
        <v/>
      </c>
      <c r="AI24" t="str">
        <f>IFERROR(IF($AH24="","",IF($AH24&gt;=$AA24*'Parametri Modello'!$B$68,"🟢 Opportunita'",IF($AH24&lt;=$AA24*'Parametri Modello'!$B$69,"🔴 Sovrapprezzo","🟡 Prezzo Corretto"))),"")</f>
        <v/>
      </c>
      <c r="AJ24" t="str">
        <f t="shared" si="6"/>
        <v/>
      </c>
      <c r="AK24">
        <f t="shared" si="7"/>
        <v>8</v>
      </c>
      <c r="AL24" t="str">
        <f t="shared" si="8"/>
        <v>C|Top|8</v>
      </c>
    </row>
    <row r="25" spans="1:38" ht="14.25" customHeight="1" x14ac:dyDescent="0.25">
      <c r="A25" s="18">
        <v>6435</v>
      </c>
      <c r="B25" s="18" t="s">
        <v>18</v>
      </c>
      <c r="C25" s="18" t="s">
        <v>164</v>
      </c>
      <c r="E25" s="23" t="str">
        <f>IF(COUNTIF('Info Strategia'!$D$2:$D$51,$C25)&gt;0,"SI","NO")</f>
        <v>NO</v>
      </c>
      <c r="F25" s="24">
        <f>IFERROR(ROUND(($G25+($H25-$G25)*'Info Strategia'!$B$6)*(1+IF($E25="SI",'Parametri Modello'!$B$7*'Info Strategia'!$B$6,0)),0),"")</f>
        <v>104</v>
      </c>
      <c r="G25" s="24">
        <f>IFERROR(ROUND(MAX(1,(IF($V25&lt;=INDEX('Parametri Modello'!$C$57:$C$60,MATCH($B25,'Parametri Modello'!$A$57:$A$60,0)),IF(INDEX('Parametri Modello'!$E$57:$E$60,MATCH($B25,'Parametri Modello'!$A$57:$A$60,0))=0,0,($O25/INDEX('Parametri Modello'!$E$57:$E$60,MATCH($B25,'Parametri Modello'!$A$57:$A$60,0)))*(INDEX('Parametri Modello'!$D$57:$D$60,MATCH($B25,'Parametri Modello'!$A$57:$A$60,0))*(INDEX('Parametri Modello'!$B$50:$B$53,MATCH($B25,'Parametri Modello'!$A$50:$A$53,0))*'Parametri Modello'!$B$44))),IF(INDEX('Parametri Modello'!$F$57:$F$60,MATCH($B25,'Parametri Modello'!$A$57:$A$60,0))=0,0,($O25/INDEX('Parametri Modello'!$F$57:$F$60,MATCH($B25,'Parametri Modello'!$A$57:$A$60,0)))*((1-INDEX('Parametri Modello'!$D$57:$D$60,MATCH($B25,'Parametri Modello'!$A$57:$A$60,0)))*(INDEX('Parametri Modello'!$B$50:$B$53,MATCH($B25,'Parametri Modello'!$A$50:$A$53,0))*'Parametri Modello'!$B$44))))*(1+IF(IF($B25="D",'Info Lega'!$B$25,IF($B25="C",'Info Lega'!$B$26,"No"))="Si",'Parametri Modello'!$B$5,0))*(1+MAX(-0.25,MIN(0.25,IF(OR($T25="",$I25="",$I25=0,INDEX('Parametri Modello'!$B$19:$B$22,MATCH($B25,'Parametri Modello'!$A$19:$A$22,0))="",INDEX('Parametri Modello'!$B$19:$B$22,MATCH($B25,'Parametri Modello'!$A$19:$A$22,0))=0),0,(($T25-INDEX('Parametri Modello'!$B$19:$B$22,MATCH($B25,'Parametri Modello'!$A$19:$A$22,0)))/INDEX('Parametri Modello'!$B$19:$B$22,MATCH($B25,'Parametri Modello'!$A$19:$A$22,0)))*'Parametri Modello'!$B$9))))*(1+IF('Parametri Modello'!$B$27="Si",MAX(-'Parametri Modello'!$B$28,MIN('Parametri Modello'!$B$28*1.5,IF(OR(INDEX('Parametri Modello'!$F$32:$F$35,MATCH($B25,'Parametri Modello'!$A$32:$A$35,0))="",INDEX('Parametri Modello'!$F$32:$F$35,MATCH($B25,'Parametri Modello'!$A$32:$A$35,0))=0),0,(1/INDEX('Parametri Modello'!$F$32:$F$35,MATCH($B25,'Parametri Modello'!$A$32:$A$35,0))-1)*'Parametri Modello'!$B$28))),0)))*(1-INDEX('Parametri Modello'!$B$12:$B$15,MATCH($B25,'Parametri Modello'!$A$12:$A$15,0)))),0),"")</f>
        <v>65</v>
      </c>
      <c r="H25" s="24">
        <f>IFERROR(ROUND((IF($V25&lt;=INDEX('Parametri Modello'!$C$57:$C$60,MATCH($B25,'Parametri Modello'!$A$57:$A$60,0)),IF(INDEX('Parametri Modello'!$E$57:$E$60,MATCH($B25,'Parametri Modello'!$A$57:$A$60,0))=0,0,($O25/INDEX('Parametri Modello'!$E$57:$E$60,MATCH($B25,'Parametri Modello'!$A$57:$A$60,0)))*(INDEX('Parametri Modello'!$D$57:$D$60,MATCH($B25,'Parametri Modello'!$A$57:$A$60,0))*(INDEX('Parametri Modello'!$B$50:$B$53,MATCH($B25,'Parametri Modello'!$A$50:$A$53,0))*'Parametri Modello'!$B$44))),IF(INDEX('Parametri Modello'!$F$57:$F$60,MATCH($B25,'Parametri Modello'!$A$57:$A$60,0))=0,0,($O25/INDEX('Parametri Modello'!$F$57:$F$60,MATCH($B25,'Parametri Modello'!$A$57:$A$60,0)))*((1-INDEX('Parametri Modello'!$D$57:$D$60,MATCH($B25,'Parametri Modello'!$A$57:$A$60,0)))*(INDEX('Parametri Modello'!$B$50:$B$53,MATCH($B25,'Parametri Modello'!$A$50:$A$53,0))*'Parametri Modello'!$B$44))))*(1+IF(IF($B25="D",'Info Lega'!$B$25,IF($B25="C",'Info Lega'!$B$26,"No"))="Si",'Parametri Modello'!$B$5,0))*(1+MAX(-0.25,MIN(0.25,IF(OR($T25="",$I25="",$I25=0,INDEX('Parametri Modello'!$B$19:$B$22,MATCH($B25,'Parametri Modello'!$A$19:$A$22,0))="",INDEX('Parametri Modello'!$B$19:$B$22,MATCH($B25,'Parametri Modello'!$A$19:$A$22,0))=0),0,(($T25-INDEX('Parametri Modello'!$B$19:$B$22,MATCH($B25,'Parametri Modello'!$A$19:$A$22,0)))/INDEX('Parametri Modello'!$B$19:$B$22,MATCH($B25,'Parametri Modello'!$A$19:$A$22,0)))*'Parametri Modello'!$B$9))))*(1+IF('Parametri Modello'!$B$27="Si",MAX(-'Parametri Modello'!$B$28,MIN('Parametri Modello'!$B$28*1.5,IF(OR(INDEX('Parametri Modello'!$F$32:$F$35,MATCH($B25,'Parametri Modello'!$A$32:$A$35,0))="",INDEX('Parametri Modello'!$F$32:$F$35,MATCH($B25,'Parametri Modello'!$A$32:$A$35,0))=0),0,(1/INDEX('Parametri Modello'!$F$32:$F$35,MATCH($B25,'Parametri Modello'!$A$32:$A$35,0))-1)*'Parametri Modello'!$B$28))),0)))*(1+INDEX('Parametri Modello'!$B$12:$B$15,MATCH($B25,'Parametri Modello'!$A$12:$A$15,0))),0),"")</f>
        <v>121</v>
      </c>
      <c r="I25" s="23">
        <f>IFERROR(INDEX('Input Statistiche 2025_26'!$F$3:$F$665,MATCH($A25,'Input Statistiche 2025_26'!$A$3:$A$665,0)),"")</f>
        <v>32</v>
      </c>
      <c r="J25" s="23">
        <f t="shared" si="0"/>
        <v>6</v>
      </c>
      <c r="K25" s="23">
        <f>IFERROR(INDEX('Input Statistiche 2025_26'!$I$3:$I$665,MATCH($A25,'Input Statistiche 2025_26'!$A$3:$A$665,0)),"")</f>
        <v>10</v>
      </c>
      <c r="L25" s="23">
        <f>IFERROR(INDEX('Input Statistiche 2025_26'!$O$3:$O$665,MATCH($A25,'Input Statistiche 2025_26'!$A$3:$A$665,0)),"")</f>
        <v>5</v>
      </c>
      <c r="M25" s="25"/>
      <c r="N25" s="24">
        <f>IFERROR(INDEX('Input Giocatori 2026_27'!$E$3:$E$493,MATCH($A25,'Input Giocatori 2026_27'!$A$3:$A$493,0)),"")</f>
        <v>18</v>
      </c>
      <c r="O25" s="24">
        <f>IFERROR(INDEX('Input Giocatori 2026_27'!$G$3:$G$493,MATCH($A25,'Input Giocatori 2026_27'!$A$3:$A$493,0)),"")</f>
        <v>100</v>
      </c>
      <c r="P25" s="23" t="str">
        <f>IFERROR(IF($O25="","",IF((1-(COUNTIFS($B$2:$B$492,$B25,$O$2:$O$492,"&gt;"&amp;$O25)+1-1)/COUNTIF($B$2:$B$492,$B25))&gt;='Parametri Modello'!$B$63,"Top",IF((1-(COUNTIFS($B$2:$B$492,$B25,$O$2:$O$492,"&gt;"&amp;$O25)+1-1)/COUNTIF($B$2:$B$492,$B25))&gt;='Parametri Modello'!$B$64,"Buono",IF((1-(COUNTIFS($B$2:$B$492,$B25,$O$2:$O$492,"&gt;"&amp;$O25)+1-1)/COUNTIF($B$2:$B$492,$B25))&gt;='Parametri Modello'!$B$65,"Nella Media","Scommessa/Riserva")))),"")</f>
        <v>Buono</v>
      </c>
      <c r="Q25" s="26">
        <f>IF(AND($D25="",$N25&gt;1),SUMPRODUCT(($D$2:$D25="")*($N$2:$N25&gt;1)),"")</f>
        <v>24</v>
      </c>
      <c r="R25" s="26" t="str">
        <f>IF($D25='Info Lega'!$B$28,COUNTIFS($D$2:$D25,'Info Lega'!$B$28),"")</f>
        <v/>
      </c>
      <c r="S25" s="27">
        <f>IFERROR(INDEX('Input Statistiche 2025_26'!$G$3:$G$665,MATCH($A25,'Input Statistiche 2025_26'!$A$3:$A$665,0)),"")</f>
        <v>6.16</v>
      </c>
      <c r="T25" s="27">
        <f>IFERROR(INDEX('Input Statistiche 2025_26'!$H$3:$H$665,MATCH($A25,'Input Statistiche 2025_26'!$A$3:$A$665,0)),"")</f>
        <v>7.19</v>
      </c>
      <c r="U25" s="23" t="str">
        <f>IF(OR('La Mia Rosa'!$O$12="",$D25&lt;&gt;""),"",IF($F25&lt;='La Mia Rosa'!$O$12*'Parametri Modello'!$B$24,"OK",IF($F25&lt;='La Mia Rosa'!$O$12*'Parametri Modello'!$B$25,"Attenzione","Rischio Alto")))</f>
        <v>Attenzione</v>
      </c>
      <c r="V25" s="23">
        <f t="shared" si="1"/>
        <v>15</v>
      </c>
      <c r="W25" s="18">
        <f>'Info Lega'!$B$4-SUMIFS($M$2:$M$492,$D$2:$D$492,'Info Lega'!$B$28)</f>
        <v>1000</v>
      </c>
      <c r="X25" s="18">
        <f>('Info Lega'!$B$5-COUNTIFS($D$2:$D$492,'Info Lega'!$B$28,$B$2:$B$492,"P"))+('Info Lega'!$B$6-COUNTIFS($D$2:$D$492,'Info Lega'!$B$28,$B$2:$B$492,"D"))+('Info Lega'!$B$7-COUNTIFS($D$2:$D$492,'Info Lega'!$B$28,$B$2:$B$492,"C"))+('Info Lega'!$B$8-COUNTIFS($D$2:$D$492,'Info Lega'!$B$28,$B$2:$B$492,"A"))</f>
        <v>25</v>
      </c>
      <c r="Y25" s="18">
        <f>X25*'Parametri Modello'!$B$30</f>
        <v>25</v>
      </c>
      <c r="Z25" s="18">
        <f t="shared" si="2"/>
        <v>975</v>
      </c>
      <c r="AA25" s="18">
        <f t="shared" si="3"/>
        <v>104</v>
      </c>
      <c r="AB25" s="18"/>
      <c r="AC25" s="18" t="str">
        <f>IF($AB25="","",IF($AB25&gt;$AA25,"PASS",IF($AB25&lt;=$AA25*(1-'Parametri Modello'!$B$68),"BID","ATTENZIONE")))</f>
        <v/>
      </c>
      <c r="AD25" s="28">
        <f t="shared" si="4"/>
        <v>66</v>
      </c>
      <c r="AE25" s="5" t="str">
        <f>IFERROR(INDEX('Stato Asta'!$G$9:$G$12,MATCH($B25,'Stato Asta'!$A$9:$A$12,0)),"")</f>
        <v>🔴 Non aspettare</v>
      </c>
      <c r="AF25" t="str">
        <f>IFERROR(IF($V25&lt;=INDEX('Parametri Modello'!$C$57:$C$60,MATCH($B25,'Parametri Modello'!$A$57:$A$60,0)),"Titolare","Riserva"),"")</f>
        <v>Titolare</v>
      </c>
      <c r="AG25" t="str">
        <f>IFERROR(INDEX('Pressione Competitiva'!$F$3:$F$6,MATCH($B25,'Pressione Competitiva'!$B$3:$B$6,0)),"")</f>
        <v>🔴 Molto Alta</v>
      </c>
      <c r="AH25" t="str">
        <f t="shared" si="5"/>
        <v/>
      </c>
      <c r="AI25" t="str">
        <f>IFERROR(IF($AH25="","",IF($AH25&gt;=$AA25*'Parametri Modello'!$B$68,"🟢 Opportunita'",IF($AH25&lt;=$AA25*'Parametri Modello'!$B$69,"🔴 Sovrapprezzo","🟡 Prezzo Corretto"))),"")</f>
        <v/>
      </c>
      <c r="AJ25" t="str">
        <f t="shared" si="6"/>
        <v/>
      </c>
      <c r="AK25">
        <f t="shared" si="7"/>
        <v>6</v>
      </c>
      <c r="AL25" t="str">
        <f t="shared" si="8"/>
        <v>A|Buono|6</v>
      </c>
    </row>
    <row r="26" spans="1:38" ht="14.25" customHeight="1" x14ac:dyDescent="0.25">
      <c r="A26" s="18">
        <v>7071</v>
      </c>
      <c r="B26" s="18" t="s">
        <v>18</v>
      </c>
      <c r="C26" s="18" t="s">
        <v>165</v>
      </c>
      <c r="E26" s="23" t="str">
        <f>IF(COUNTIF('Info Strategia'!$D$2:$D$51,$C26)&gt;0,"SI","NO")</f>
        <v>NO</v>
      </c>
      <c r="F26" s="24">
        <f>IFERROR(ROUND(($G26+($H26-$G26)*'Info Strategia'!$B$6)*(1+IF($E26="SI",'Parametri Modello'!$B$7*'Info Strategia'!$B$6,0)),0),"")</f>
        <v>96</v>
      </c>
      <c r="G26" s="24">
        <f>IFERROR(ROUND(MAX(1,(IF($V26&lt;=INDEX('Parametri Modello'!$C$57:$C$60,MATCH($B26,'Parametri Modello'!$A$57:$A$60,0)),IF(INDEX('Parametri Modello'!$E$57:$E$60,MATCH($B26,'Parametri Modello'!$A$57:$A$60,0))=0,0,($O26/INDEX('Parametri Modello'!$E$57:$E$60,MATCH($B26,'Parametri Modello'!$A$57:$A$60,0)))*(INDEX('Parametri Modello'!$D$57:$D$60,MATCH($B26,'Parametri Modello'!$A$57:$A$60,0))*(INDEX('Parametri Modello'!$B$50:$B$53,MATCH($B26,'Parametri Modello'!$A$50:$A$53,0))*'Parametri Modello'!$B$44))),IF(INDEX('Parametri Modello'!$F$57:$F$60,MATCH($B26,'Parametri Modello'!$A$57:$A$60,0))=0,0,($O26/INDEX('Parametri Modello'!$F$57:$F$60,MATCH($B26,'Parametri Modello'!$A$57:$A$60,0)))*((1-INDEX('Parametri Modello'!$D$57:$D$60,MATCH($B26,'Parametri Modello'!$A$57:$A$60,0)))*(INDEX('Parametri Modello'!$B$50:$B$53,MATCH($B26,'Parametri Modello'!$A$50:$A$53,0))*'Parametri Modello'!$B$44))))*(1+IF(IF($B26="D",'Info Lega'!$B$25,IF($B26="C",'Info Lega'!$B$26,"No"))="Si",'Parametri Modello'!$B$5,0))*(1+MAX(-0.25,MIN(0.25,IF(OR($T26="",$I26="",$I26=0,INDEX('Parametri Modello'!$B$19:$B$22,MATCH($B26,'Parametri Modello'!$A$19:$A$22,0))="",INDEX('Parametri Modello'!$B$19:$B$22,MATCH($B26,'Parametri Modello'!$A$19:$A$22,0))=0),0,(($T26-INDEX('Parametri Modello'!$B$19:$B$22,MATCH($B26,'Parametri Modello'!$A$19:$A$22,0)))/INDEX('Parametri Modello'!$B$19:$B$22,MATCH($B26,'Parametri Modello'!$A$19:$A$22,0)))*'Parametri Modello'!$B$9))))*(1+IF('Parametri Modello'!$B$27="Si",MAX(-'Parametri Modello'!$B$28,MIN('Parametri Modello'!$B$28*1.5,IF(OR(INDEX('Parametri Modello'!$F$32:$F$35,MATCH($B26,'Parametri Modello'!$A$32:$A$35,0))="",INDEX('Parametri Modello'!$F$32:$F$35,MATCH($B26,'Parametri Modello'!$A$32:$A$35,0))=0),0,(1/INDEX('Parametri Modello'!$F$32:$F$35,MATCH($B26,'Parametri Modello'!$A$32:$A$35,0))-1)*'Parametri Modello'!$B$28))),0)))*(1-INDEX('Parametri Modello'!$B$12:$B$15,MATCH($B26,'Parametri Modello'!$A$12:$A$15,0)))),0),"")</f>
        <v>60</v>
      </c>
      <c r="H26" s="24">
        <f>IFERROR(ROUND((IF($V26&lt;=INDEX('Parametri Modello'!$C$57:$C$60,MATCH($B26,'Parametri Modello'!$A$57:$A$60,0)),IF(INDEX('Parametri Modello'!$E$57:$E$60,MATCH($B26,'Parametri Modello'!$A$57:$A$60,0))=0,0,($O26/INDEX('Parametri Modello'!$E$57:$E$60,MATCH($B26,'Parametri Modello'!$A$57:$A$60,0)))*(INDEX('Parametri Modello'!$D$57:$D$60,MATCH($B26,'Parametri Modello'!$A$57:$A$60,0))*(INDEX('Parametri Modello'!$B$50:$B$53,MATCH($B26,'Parametri Modello'!$A$50:$A$53,0))*'Parametri Modello'!$B$44))),IF(INDEX('Parametri Modello'!$F$57:$F$60,MATCH($B26,'Parametri Modello'!$A$57:$A$60,0))=0,0,($O26/INDEX('Parametri Modello'!$F$57:$F$60,MATCH($B26,'Parametri Modello'!$A$57:$A$60,0)))*((1-INDEX('Parametri Modello'!$D$57:$D$60,MATCH($B26,'Parametri Modello'!$A$57:$A$60,0)))*(INDEX('Parametri Modello'!$B$50:$B$53,MATCH($B26,'Parametri Modello'!$A$50:$A$53,0))*'Parametri Modello'!$B$44))))*(1+IF(IF($B26="D",'Info Lega'!$B$25,IF($B26="C",'Info Lega'!$B$26,"No"))="Si",'Parametri Modello'!$B$5,0))*(1+MAX(-0.25,MIN(0.25,IF(OR($T26="",$I26="",$I26=0,INDEX('Parametri Modello'!$B$19:$B$22,MATCH($B26,'Parametri Modello'!$A$19:$A$22,0))="",INDEX('Parametri Modello'!$B$19:$B$22,MATCH($B26,'Parametri Modello'!$A$19:$A$22,0))=0),0,(($T26-INDEX('Parametri Modello'!$B$19:$B$22,MATCH($B26,'Parametri Modello'!$A$19:$A$22,0)))/INDEX('Parametri Modello'!$B$19:$B$22,MATCH($B26,'Parametri Modello'!$A$19:$A$22,0)))*'Parametri Modello'!$B$9))))*(1+IF('Parametri Modello'!$B$27="Si",MAX(-'Parametri Modello'!$B$28,MIN('Parametri Modello'!$B$28*1.5,IF(OR(INDEX('Parametri Modello'!$F$32:$F$35,MATCH($B26,'Parametri Modello'!$A$32:$A$35,0))="",INDEX('Parametri Modello'!$F$32:$F$35,MATCH($B26,'Parametri Modello'!$A$32:$A$35,0))=0),0,(1/INDEX('Parametri Modello'!$F$32:$F$35,MATCH($B26,'Parametri Modello'!$A$32:$A$35,0))-1)*'Parametri Modello'!$B$28))),0)))*(1+INDEX('Parametri Modello'!$B$12:$B$15,MATCH($B26,'Parametri Modello'!$A$12:$A$15,0))),0),"")</f>
        <v>112</v>
      </c>
      <c r="I26" s="23">
        <f>IFERROR(INDEX('Input Statistiche 2025_26'!$F$3:$F$665,MATCH($A26,'Input Statistiche 2025_26'!$A$3:$A$665,0)),"")</f>
        <v>31</v>
      </c>
      <c r="J26" s="23">
        <f t="shared" si="0"/>
        <v>7</v>
      </c>
      <c r="K26" s="23">
        <f>IFERROR(INDEX('Input Statistiche 2025_26'!$I$3:$I$665,MATCH($A26,'Input Statistiche 2025_26'!$A$3:$A$665,0)),"")</f>
        <v>7</v>
      </c>
      <c r="L26" s="23">
        <f>IFERROR(INDEX('Input Statistiche 2025_26'!$O$3:$O$665,MATCH($A26,'Input Statistiche 2025_26'!$A$3:$A$665,0)),"")</f>
        <v>3</v>
      </c>
      <c r="M26" s="25"/>
      <c r="N26" s="24">
        <f>IFERROR(INDEX('Input Giocatori 2026_27'!$E$3:$E$493,MATCH($A26,'Input Giocatori 2026_27'!$A$3:$A$493,0)),"")</f>
        <v>16</v>
      </c>
      <c r="O26" s="24">
        <f>IFERROR(INDEX('Input Giocatori 2026_27'!$G$3:$G$493,MATCH($A26,'Input Giocatori 2026_27'!$A$3:$A$493,0)),"")</f>
        <v>93</v>
      </c>
      <c r="P26" s="23" t="str">
        <f>IFERROR(IF($O26="","",IF((1-(COUNTIFS($B$2:$B$492,$B26,$O$2:$O$492,"&gt;"&amp;$O26)+1-1)/COUNTIF($B$2:$B$492,$B26))&gt;='Parametri Modello'!$B$63,"Top",IF((1-(COUNTIFS($B$2:$B$492,$B26,$O$2:$O$492,"&gt;"&amp;$O26)+1-1)/COUNTIF($B$2:$B$492,$B26))&gt;='Parametri Modello'!$B$64,"Buono",IF((1-(COUNTIFS($B$2:$B$492,$B26,$O$2:$O$492,"&gt;"&amp;$O26)+1-1)/COUNTIF($B$2:$B$492,$B26))&gt;='Parametri Modello'!$B$65,"Nella Media","Scommessa/Riserva")))),"")</f>
        <v>Buono</v>
      </c>
      <c r="Q26" s="26">
        <f>IF(AND($D26="",$N26&gt;1),SUMPRODUCT(($D$2:$D26="")*($N$2:$N26&gt;1)),"")</f>
        <v>25</v>
      </c>
      <c r="R26" s="26" t="str">
        <f>IF($D26='Info Lega'!$B$28,COUNTIFS($D$2:$D26,'Info Lega'!$B$28),"")</f>
        <v/>
      </c>
      <c r="S26" s="27">
        <f>IFERROR(INDEX('Input Statistiche 2025_26'!$G$3:$G$665,MATCH($A26,'Input Statistiche 2025_26'!$A$3:$A$665,0)),"")</f>
        <v>6.26</v>
      </c>
      <c r="T26" s="27">
        <f>IFERROR(INDEX('Input Statistiche 2025_26'!$H$3:$H$665,MATCH($A26,'Input Statistiche 2025_26'!$A$3:$A$665,0)),"")</f>
        <v>7.02</v>
      </c>
      <c r="U26" s="23" t="str">
        <f>IF(OR('La Mia Rosa'!$O$12="",$D26&lt;&gt;""),"",IF($F26&lt;='La Mia Rosa'!$O$12*'Parametri Modello'!$B$24,"OK",IF($F26&lt;='La Mia Rosa'!$O$12*'Parametri Modello'!$B$25,"Attenzione","Rischio Alto")))</f>
        <v>Attenzione</v>
      </c>
      <c r="V26" s="23">
        <f t="shared" si="1"/>
        <v>16</v>
      </c>
      <c r="W26" s="18">
        <f>'Info Lega'!$B$4-SUMIFS($M$2:$M$492,$D$2:$D$492,'Info Lega'!$B$28)</f>
        <v>1000</v>
      </c>
      <c r="X26" s="18">
        <f>('Info Lega'!$B$5-COUNTIFS($D$2:$D$492,'Info Lega'!$B$28,$B$2:$B$492,"P"))+('Info Lega'!$B$6-COUNTIFS($D$2:$D$492,'Info Lega'!$B$28,$B$2:$B$492,"D"))+('Info Lega'!$B$7-COUNTIFS($D$2:$D$492,'Info Lega'!$B$28,$B$2:$B$492,"C"))+('Info Lega'!$B$8-COUNTIFS($D$2:$D$492,'Info Lega'!$B$28,$B$2:$B$492,"A"))</f>
        <v>25</v>
      </c>
      <c r="Y26" s="18">
        <f>X26*'Parametri Modello'!$B$30</f>
        <v>25</v>
      </c>
      <c r="Z26" s="18">
        <f t="shared" si="2"/>
        <v>975</v>
      </c>
      <c r="AA26" s="18">
        <f t="shared" si="3"/>
        <v>96</v>
      </c>
      <c r="AB26" s="18"/>
      <c r="AC26" s="18" t="str">
        <f>IF($AB26="","",IF($AB26&gt;$AA26,"PASS",IF($AB26&lt;=$AA26*(1-'Parametri Modello'!$B$68),"BID","ATTENZIONE")))</f>
        <v/>
      </c>
      <c r="AD26" s="28">
        <f t="shared" si="4"/>
        <v>64</v>
      </c>
      <c r="AE26" s="5" t="str">
        <f>IFERROR(INDEX('Stato Asta'!$G$9:$G$12,MATCH($B26,'Stato Asta'!$A$9:$A$12,0)),"")</f>
        <v>🔴 Non aspettare</v>
      </c>
      <c r="AF26" t="str">
        <f>IFERROR(IF($V26&lt;=INDEX('Parametri Modello'!$C$57:$C$60,MATCH($B26,'Parametri Modello'!$A$57:$A$60,0)),"Titolare","Riserva"),"")</f>
        <v>Titolare</v>
      </c>
      <c r="AG26" t="str">
        <f>IFERROR(INDEX('Pressione Competitiva'!$F$3:$F$6,MATCH($B26,'Pressione Competitiva'!$B$3:$B$6,0)),"")</f>
        <v>🔴 Molto Alta</v>
      </c>
      <c r="AH26" t="str">
        <f t="shared" si="5"/>
        <v/>
      </c>
      <c r="AI26" t="str">
        <f>IFERROR(IF($AH26="","",IF($AH26&gt;=$AA26*'Parametri Modello'!$B$68,"🟢 Opportunita'",IF($AH26&lt;=$AA26*'Parametri Modello'!$B$69,"🔴 Sovrapprezzo","🟡 Prezzo Corretto"))),"")</f>
        <v/>
      </c>
      <c r="AJ26" t="str">
        <f t="shared" si="6"/>
        <v/>
      </c>
      <c r="AK26">
        <f t="shared" si="7"/>
        <v>7</v>
      </c>
      <c r="AL26" t="str">
        <f t="shared" si="8"/>
        <v>A|Buono|7</v>
      </c>
    </row>
    <row r="27" spans="1:38" ht="14.25" customHeight="1" x14ac:dyDescent="0.25">
      <c r="A27" s="18">
        <v>632</v>
      </c>
      <c r="B27" s="18" t="s">
        <v>17</v>
      </c>
      <c r="C27" s="18" t="s">
        <v>166</v>
      </c>
      <c r="E27" s="23" t="str">
        <f>IF(COUNTIF('Info Strategia'!$D$2:$D$51,$C27)&gt;0,"SI","NO")</f>
        <v>NO</v>
      </c>
      <c r="F27" s="24">
        <f>IFERROR(ROUND(($G27+($H27-$G27)*'Info Strategia'!$B$6)*(1+IF($E27="SI",'Parametri Modello'!$B$7*'Info Strategia'!$B$6,0)),0),"")</f>
        <v>60</v>
      </c>
      <c r="G27" s="24">
        <f>IFERROR(ROUND(MAX(1,(IF($V27&lt;=INDEX('Parametri Modello'!$C$57:$C$60,MATCH($B27,'Parametri Modello'!$A$57:$A$60,0)),IF(INDEX('Parametri Modello'!$E$57:$E$60,MATCH($B27,'Parametri Modello'!$A$57:$A$60,0))=0,0,($O27/INDEX('Parametri Modello'!$E$57:$E$60,MATCH($B27,'Parametri Modello'!$A$57:$A$60,0)))*(INDEX('Parametri Modello'!$D$57:$D$60,MATCH($B27,'Parametri Modello'!$A$57:$A$60,0))*(INDEX('Parametri Modello'!$B$50:$B$53,MATCH($B27,'Parametri Modello'!$A$50:$A$53,0))*'Parametri Modello'!$B$44))),IF(INDEX('Parametri Modello'!$F$57:$F$60,MATCH($B27,'Parametri Modello'!$A$57:$A$60,0))=0,0,($O27/INDEX('Parametri Modello'!$F$57:$F$60,MATCH($B27,'Parametri Modello'!$A$57:$A$60,0)))*((1-INDEX('Parametri Modello'!$D$57:$D$60,MATCH($B27,'Parametri Modello'!$A$57:$A$60,0)))*(INDEX('Parametri Modello'!$B$50:$B$53,MATCH($B27,'Parametri Modello'!$A$50:$A$53,0))*'Parametri Modello'!$B$44))))*(1+IF(IF($B27="D",'Info Lega'!$B$25,IF($B27="C",'Info Lega'!$B$26,"No"))="Si",'Parametri Modello'!$B$5,0))*(1+MAX(-0.25,MIN(0.25,IF(OR($T27="",$I27="",$I27=0,INDEX('Parametri Modello'!$B$19:$B$22,MATCH($B27,'Parametri Modello'!$A$19:$A$22,0))="",INDEX('Parametri Modello'!$B$19:$B$22,MATCH($B27,'Parametri Modello'!$A$19:$A$22,0))=0),0,(($T27-INDEX('Parametri Modello'!$B$19:$B$22,MATCH($B27,'Parametri Modello'!$A$19:$A$22,0)))/INDEX('Parametri Modello'!$B$19:$B$22,MATCH($B27,'Parametri Modello'!$A$19:$A$22,0)))*'Parametri Modello'!$B$9))))*(1+IF('Parametri Modello'!$B$27="Si",MAX(-'Parametri Modello'!$B$28,MIN('Parametri Modello'!$B$28*1.5,IF(OR(INDEX('Parametri Modello'!$F$32:$F$35,MATCH($B27,'Parametri Modello'!$A$32:$A$35,0))="",INDEX('Parametri Modello'!$F$32:$F$35,MATCH($B27,'Parametri Modello'!$A$32:$A$35,0))=0),0,(1/INDEX('Parametri Modello'!$F$32:$F$35,MATCH($B27,'Parametri Modello'!$A$32:$A$35,0))-1)*'Parametri Modello'!$B$28))),0)))*(1-INDEX('Parametri Modello'!$B$12:$B$15,MATCH($B27,'Parametri Modello'!$A$12:$A$15,0)))),0),"")</f>
        <v>41</v>
      </c>
      <c r="H27" s="24">
        <f>IFERROR(ROUND((IF($V27&lt;=INDEX('Parametri Modello'!$C$57:$C$60,MATCH($B27,'Parametri Modello'!$A$57:$A$60,0)),IF(INDEX('Parametri Modello'!$E$57:$E$60,MATCH($B27,'Parametri Modello'!$A$57:$A$60,0))=0,0,($O27/INDEX('Parametri Modello'!$E$57:$E$60,MATCH($B27,'Parametri Modello'!$A$57:$A$60,0)))*(INDEX('Parametri Modello'!$D$57:$D$60,MATCH($B27,'Parametri Modello'!$A$57:$A$60,0))*(INDEX('Parametri Modello'!$B$50:$B$53,MATCH($B27,'Parametri Modello'!$A$50:$A$53,0))*'Parametri Modello'!$B$44))),IF(INDEX('Parametri Modello'!$F$57:$F$60,MATCH($B27,'Parametri Modello'!$A$57:$A$60,0))=0,0,($O27/INDEX('Parametri Modello'!$F$57:$F$60,MATCH($B27,'Parametri Modello'!$A$57:$A$60,0)))*((1-INDEX('Parametri Modello'!$D$57:$D$60,MATCH($B27,'Parametri Modello'!$A$57:$A$60,0)))*(INDEX('Parametri Modello'!$B$50:$B$53,MATCH($B27,'Parametri Modello'!$A$50:$A$53,0))*'Parametri Modello'!$B$44))))*(1+IF(IF($B27="D",'Info Lega'!$B$25,IF($B27="C",'Info Lega'!$B$26,"No"))="Si",'Parametri Modello'!$B$5,0))*(1+MAX(-0.25,MIN(0.25,IF(OR($T27="",$I27="",$I27=0,INDEX('Parametri Modello'!$B$19:$B$22,MATCH($B27,'Parametri Modello'!$A$19:$A$22,0))="",INDEX('Parametri Modello'!$B$19:$B$22,MATCH($B27,'Parametri Modello'!$A$19:$A$22,0))=0),0,(($T27-INDEX('Parametri Modello'!$B$19:$B$22,MATCH($B27,'Parametri Modello'!$A$19:$A$22,0)))/INDEX('Parametri Modello'!$B$19:$B$22,MATCH($B27,'Parametri Modello'!$A$19:$A$22,0)))*'Parametri Modello'!$B$9))))*(1+IF('Parametri Modello'!$B$27="Si",MAX(-'Parametri Modello'!$B$28,MIN('Parametri Modello'!$B$28*1.5,IF(OR(INDEX('Parametri Modello'!$F$32:$F$35,MATCH($B27,'Parametri Modello'!$A$32:$A$35,0))="",INDEX('Parametri Modello'!$F$32:$F$35,MATCH($B27,'Parametri Modello'!$A$32:$A$35,0))=0),0,(1/INDEX('Parametri Modello'!$F$32:$F$35,MATCH($B27,'Parametri Modello'!$A$32:$A$35,0))-1)*'Parametri Modello'!$B$28))),0)))*(1+INDEX('Parametri Modello'!$B$12:$B$15,MATCH($B27,'Parametri Modello'!$A$12:$A$15,0))),0),"")</f>
        <v>68</v>
      </c>
      <c r="I27" s="23">
        <f>IFERROR(INDEX('Input Statistiche 2025_26'!$F$3:$F$665,MATCH($A27,'Input Statistiche 2025_26'!$A$3:$A$665,0)),"")</f>
        <v>26</v>
      </c>
      <c r="J27" s="23">
        <f t="shared" si="0"/>
        <v>12</v>
      </c>
      <c r="K27" s="23">
        <f>IFERROR(INDEX('Input Statistiche 2025_26'!$I$3:$I$665,MATCH($A27,'Input Statistiche 2025_26'!$A$3:$A$665,0)),"")</f>
        <v>3</v>
      </c>
      <c r="L27" s="23">
        <f>IFERROR(INDEX('Input Statistiche 2025_26'!$O$3:$O$665,MATCH($A27,'Input Statistiche 2025_26'!$A$3:$A$665,0)),"")</f>
        <v>0</v>
      </c>
      <c r="M27" s="25"/>
      <c r="N27" s="24">
        <f>IFERROR(INDEX('Input Giocatori 2026_27'!$E$3:$E$493,MATCH($A27,'Input Giocatori 2026_27'!$A$3:$A$493,0)),"")</f>
        <v>16</v>
      </c>
      <c r="O27" s="24">
        <f>IFERROR(INDEX('Input Giocatori 2026_27'!$G$3:$G$493,MATCH($A27,'Input Giocatori 2026_27'!$A$3:$A$493,0)),"")</f>
        <v>91</v>
      </c>
      <c r="P27" s="23" t="str">
        <f>IFERROR(IF($O27="","",IF((1-(COUNTIFS($B$2:$B$492,$B27,$O$2:$O$492,"&gt;"&amp;$O27)+1-1)/COUNTIF($B$2:$B$492,$B27))&gt;='Parametri Modello'!$B$63,"Top",IF((1-(COUNTIFS($B$2:$B$492,$B27,$O$2:$O$492,"&gt;"&amp;$O27)+1-1)/COUNTIF($B$2:$B$492,$B27))&gt;='Parametri Modello'!$B$64,"Buono",IF((1-(COUNTIFS($B$2:$B$492,$B27,$O$2:$O$492,"&gt;"&amp;$O27)+1-1)/COUNTIF($B$2:$B$492,$B27))&gt;='Parametri Modello'!$B$65,"Nella Media","Scommessa/Riserva")))),"")</f>
        <v>Top</v>
      </c>
      <c r="Q27" s="26">
        <f>IF(AND($D27="",$N27&gt;1),SUMPRODUCT(($D$2:$D27="")*($N$2:$N27&gt;1)),"")</f>
        <v>26</v>
      </c>
      <c r="R27" s="26" t="str">
        <f>IF($D27='Info Lega'!$B$28,COUNTIFS($D$2:$D27,'Info Lega'!$B$28),"")</f>
        <v/>
      </c>
      <c r="S27" s="27">
        <f>IFERROR(INDEX('Input Statistiche 2025_26'!$G$3:$G$665,MATCH($A27,'Input Statistiche 2025_26'!$A$3:$A$665,0)),"")</f>
        <v>5.88</v>
      </c>
      <c r="T27" s="27">
        <f>IFERROR(INDEX('Input Statistiche 2025_26'!$H$3:$H$665,MATCH($A27,'Input Statistiche 2025_26'!$A$3:$A$665,0)),"")</f>
        <v>5.96</v>
      </c>
      <c r="U27" s="23" t="str">
        <f>IF(OR('La Mia Rosa'!$O$12="",$D27&lt;&gt;""),"",IF($F27&lt;='La Mia Rosa'!$O$12*'Parametri Modello'!$B$24,"OK",IF($F27&lt;='La Mia Rosa'!$O$12*'Parametri Modello'!$B$25,"Attenzione","Rischio Alto")))</f>
        <v>OK</v>
      </c>
      <c r="V27" s="23">
        <f t="shared" si="1"/>
        <v>9</v>
      </c>
      <c r="W27" s="18">
        <f>'Info Lega'!$B$4-SUMIFS($M$2:$M$492,$D$2:$D$492,'Info Lega'!$B$28)</f>
        <v>1000</v>
      </c>
      <c r="X27" s="18">
        <f>('Info Lega'!$B$5-COUNTIFS($D$2:$D$492,'Info Lega'!$B$28,$B$2:$B$492,"P"))+('Info Lega'!$B$6-COUNTIFS($D$2:$D$492,'Info Lega'!$B$28,$B$2:$B$492,"D"))+('Info Lega'!$B$7-COUNTIFS($D$2:$D$492,'Info Lega'!$B$28,$B$2:$B$492,"C"))+('Info Lega'!$B$8-COUNTIFS($D$2:$D$492,'Info Lega'!$B$28,$B$2:$B$492,"A"))</f>
        <v>25</v>
      </c>
      <c r="Y27" s="18">
        <f>X27*'Parametri Modello'!$B$30</f>
        <v>25</v>
      </c>
      <c r="Z27" s="18">
        <f t="shared" si="2"/>
        <v>975</v>
      </c>
      <c r="AA27" s="18">
        <f t="shared" si="3"/>
        <v>60</v>
      </c>
      <c r="AB27" s="18"/>
      <c r="AC27" s="18" t="str">
        <f>IF($AB27="","",IF($AB27&gt;$AA27,"PASS",IF($AB27&lt;=$AA27*(1-'Parametri Modello'!$B$68),"BID","ATTENZIONE")))</f>
        <v/>
      </c>
      <c r="AD27" s="28">
        <f t="shared" si="4"/>
        <v>58</v>
      </c>
      <c r="AE27" s="5" t="str">
        <f>IFERROR(INDEX('Stato Asta'!$G$9:$G$12,MATCH($B27,'Stato Asta'!$A$9:$A$12,0)),"")</f>
        <v>🔴 Non aspettare</v>
      </c>
      <c r="AF27" t="str">
        <f>IFERROR(IF($V27&lt;=INDEX('Parametri Modello'!$C$57:$C$60,MATCH($B27,'Parametri Modello'!$A$57:$A$60,0)),"Titolare","Riserva"),"")</f>
        <v>Titolare</v>
      </c>
      <c r="AG27" t="str">
        <f>IFERROR(INDEX('Pressione Competitiva'!$F$3:$F$6,MATCH($B27,'Pressione Competitiva'!$B$3:$B$6,0)),"")</f>
        <v>🔴 Molto Alta</v>
      </c>
      <c r="AH27" t="str">
        <f t="shared" si="5"/>
        <v/>
      </c>
      <c r="AI27" t="str">
        <f>IFERROR(IF($AH27="","",IF($AH27&gt;=$AA27*'Parametri Modello'!$B$68,"🟢 Opportunita'",IF($AH27&lt;=$AA27*'Parametri Modello'!$B$69,"🔴 Sovrapprezzo","🟡 Prezzo Corretto"))),"")</f>
        <v/>
      </c>
      <c r="AJ27" t="str">
        <f t="shared" si="6"/>
        <v/>
      </c>
      <c r="AK27">
        <f t="shared" si="7"/>
        <v>9</v>
      </c>
      <c r="AL27" t="str">
        <f t="shared" si="8"/>
        <v>C|Top|9</v>
      </c>
    </row>
    <row r="28" spans="1:38" ht="14.25" customHeight="1" x14ac:dyDescent="0.25">
      <c r="A28" s="18">
        <v>7181</v>
      </c>
      <c r="B28" s="18" t="s">
        <v>16</v>
      </c>
      <c r="C28" s="18" t="s">
        <v>167</v>
      </c>
      <c r="E28" s="23" t="str">
        <f>IF(COUNTIF('Info Strategia'!$D$2:$D$51,$C28)&gt;0,"SI","NO")</f>
        <v>NO</v>
      </c>
      <c r="F28" s="24">
        <f>IFERROR(ROUND(($G28+($H28-$G28)*'Info Strategia'!$B$6)*(1+IF($E28="SI",'Parametri Modello'!$B$7*'Info Strategia'!$B$6,0)),0),"")</f>
        <v>62</v>
      </c>
      <c r="G28" s="24">
        <f>IFERROR(ROUND(MAX(1,(IF($V28&lt;=INDEX('Parametri Modello'!$C$57:$C$60,MATCH($B28,'Parametri Modello'!$A$57:$A$60,0)),IF(INDEX('Parametri Modello'!$E$57:$E$60,MATCH($B28,'Parametri Modello'!$A$57:$A$60,0))=0,0,($O28/INDEX('Parametri Modello'!$E$57:$E$60,MATCH($B28,'Parametri Modello'!$A$57:$A$60,0)))*(INDEX('Parametri Modello'!$D$57:$D$60,MATCH($B28,'Parametri Modello'!$A$57:$A$60,0))*(INDEX('Parametri Modello'!$B$50:$B$53,MATCH($B28,'Parametri Modello'!$A$50:$A$53,0))*'Parametri Modello'!$B$44))),IF(INDEX('Parametri Modello'!$F$57:$F$60,MATCH($B28,'Parametri Modello'!$A$57:$A$60,0))=0,0,($O28/INDEX('Parametri Modello'!$F$57:$F$60,MATCH($B28,'Parametri Modello'!$A$57:$A$60,0)))*((1-INDEX('Parametri Modello'!$D$57:$D$60,MATCH($B28,'Parametri Modello'!$A$57:$A$60,0)))*(INDEX('Parametri Modello'!$B$50:$B$53,MATCH($B28,'Parametri Modello'!$A$50:$A$53,0))*'Parametri Modello'!$B$44))))*(1+IF(IF($B28="D",'Info Lega'!$B$25,IF($B28="C",'Info Lega'!$B$26,"No"))="Si",'Parametri Modello'!$B$5,0))*(1+MAX(-0.25,MIN(0.25,IF(OR($T28="",$I28="",$I28=0,INDEX('Parametri Modello'!$B$19:$B$22,MATCH($B28,'Parametri Modello'!$A$19:$A$22,0))="",INDEX('Parametri Modello'!$B$19:$B$22,MATCH($B28,'Parametri Modello'!$A$19:$A$22,0))=0),0,(($T28-INDEX('Parametri Modello'!$B$19:$B$22,MATCH($B28,'Parametri Modello'!$A$19:$A$22,0)))/INDEX('Parametri Modello'!$B$19:$B$22,MATCH($B28,'Parametri Modello'!$A$19:$A$22,0)))*'Parametri Modello'!$B$9))))*(1+IF('Parametri Modello'!$B$27="Si",MAX(-'Parametri Modello'!$B$28,MIN('Parametri Modello'!$B$28*1.5,IF(OR(INDEX('Parametri Modello'!$F$32:$F$35,MATCH($B28,'Parametri Modello'!$A$32:$A$35,0))="",INDEX('Parametri Modello'!$F$32:$F$35,MATCH($B28,'Parametri Modello'!$A$32:$A$35,0))=0),0,(1/INDEX('Parametri Modello'!$F$32:$F$35,MATCH($B28,'Parametri Modello'!$A$32:$A$35,0))-1)*'Parametri Modello'!$B$28))),0)))*(1-INDEX('Parametri Modello'!$B$12:$B$15,MATCH($B28,'Parametri Modello'!$A$12:$A$15,0)))),0),"")</f>
        <v>46</v>
      </c>
      <c r="H28" s="24">
        <f>IFERROR(ROUND((IF($V28&lt;=INDEX('Parametri Modello'!$C$57:$C$60,MATCH($B28,'Parametri Modello'!$A$57:$A$60,0)),IF(INDEX('Parametri Modello'!$E$57:$E$60,MATCH($B28,'Parametri Modello'!$A$57:$A$60,0))=0,0,($O28/INDEX('Parametri Modello'!$E$57:$E$60,MATCH($B28,'Parametri Modello'!$A$57:$A$60,0)))*(INDEX('Parametri Modello'!$D$57:$D$60,MATCH($B28,'Parametri Modello'!$A$57:$A$60,0))*(INDEX('Parametri Modello'!$B$50:$B$53,MATCH($B28,'Parametri Modello'!$A$50:$A$53,0))*'Parametri Modello'!$B$44))),IF(INDEX('Parametri Modello'!$F$57:$F$60,MATCH($B28,'Parametri Modello'!$A$57:$A$60,0))=0,0,($O28/INDEX('Parametri Modello'!$F$57:$F$60,MATCH($B28,'Parametri Modello'!$A$57:$A$60,0)))*((1-INDEX('Parametri Modello'!$D$57:$D$60,MATCH($B28,'Parametri Modello'!$A$57:$A$60,0)))*(INDEX('Parametri Modello'!$B$50:$B$53,MATCH($B28,'Parametri Modello'!$A$50:$A$53,0))*'Parametri Modello'!$B$44))))*(1+IF(IF($B28="D",'Info Lega'!$B$25,IF($B28="C",'Info Lega'!$B$26,"No"))="Si",'Parametri Modello'!$B$5,0))*(1+MAX(-0.25,MIN(0.25,IF(OR($T28="",$I28="",$I28=0,INDEX('Parametri Modello'!$B$19:$B$22,MATCH($B28,'Parametri Modello'!$A$19:$A$22,0))="",INDEX('Parametri Modello'!$B$19:$B$22,MATCH($B28,'Parametri Modello'!$A$19:$A$22,0))=0),0,(($T28-INDEX('Parametri Modello'!$B$19:$B$22,MATCH($B28,'Parametri Modello'!$A$19:$A$22,0)))/INDEX('Parametri Modello'!$B$19:$B$22,MATCH($B28,'Parametri Modello'!$A$19:$A$22,0)))*'Parametri Modello'!$B$9))))*(1+IF('Parametri Modello'!$B$27="Si",MAX(-'Parametri Modello'!$B$28,MIN('Parametri Modello'!$B$28*1.5,IF(OR(INDEX('Parametri Modello'!$F$32:$F$35,MATCH($B28,'Parametri Modello'!$A$32:$A$35,0))="",INDEX('Parametri Modello'!$F$32:$F$35,MATCH($B28,'Parametri Modello'!$A$32:$A$35,0))=0),0,(1/INDEX('Parametri Modello'!$F$32:$F$35,MATCH($B28,'Parametri Modello'!$A$32:$A$35,0))-1)*'Parametri Modello'!$B$28))),0)))*(1+INDEX('Parametri Modello'!$B$12:$B$15,MATCH($B28,'Parametri Modello'!$A$12:$A$15,0))),0),"")</f>
        <v>69</v>
      </c>
      <c r="I28" s="23">
        <f>IFERROR(INDEX('Input Statistiche 2025_26'!$F$3:$F$665,MATCH($A28,'Input Statistiche 2025_26'!$A$3:$A$665,0)),"")</f>
        <v>30</v>
      </c>
      <c r="J28" s="23">
        <f t="shared" si="0"/>
        <v>8</v>
      </c>
      <c r="K28" s="23">
        <f>IFERROR(INDEX('Input Statistiche 2025_26'!$I$3:$I$665,MATCH($A28,'Input Statistiche 2025_26'!$A$3:$A$665,0)),"")</f>
        <v>5</v>
      </c>
      <c r="L28" s="23">
        <f>IFERROR(INDEX('Input Statistiche 2025_26'!$O$3:$O$665,MATCH($A28,'Input Statistiche 2025_26'!$A$3:$A$665,0)),"")</f>
        <v>0</v>
      </c>
      <c r="M28" s="25"/>
      <c r="N28" s="24">
        <f>IFERROR(INDEX('Input Giocatori 2026_27'!$E$3:$E$493,MATCH($A28,'Input Giocatori 2026_27'!$A$3:$A$493,0)),"")</f>
        <v>17</v>
      </c>
      <c r="O28" s="24">
        <f>IFERROR(INDEX('Input Giocatori 2026_27'!$G$3:$G$493,MATCH($A28,'Input Giocatori 2026_27'!$A$3:$A$493,0)),"")</f>
        <v>90</v>
      </c>
      <c r="P28" s="23" t="str">
        <f>IFERROR(IF($O28="","",IF((1-(COUNTIFS($B$2:$B$492,$B28,$O$2:$O$492,"&gt;"&amp;$O28)+1-1)/COUNTIF($B$2:$B$492,$B28))&gt;='Parametri Modello'!$B$63,"Top",IF((1-(COUNTIFS($B$2:$B$492,$B28,$O$2:$O$492,"&gt;"&amp;$O28)+1-1)/COUNTIF($B$2:$B$492,$B28))&gt;='Parametri Modello'!$B$64,"Buono",IF((1-(COUNTIFS($B$2:$B$492,$B28,$O$2:$O$492,"&gt;"&amp;$O28)+1-1)/COUNTIF($B$2:$B$492,$B28))&gt;='Parametri Modello'!$B$65,"Nella Media","Scommessa/Riserva")))),"")</f>
        <v>Top</v>
      </c>
      <c r="Q28" s="26">
        <f>IF(AND($D28="",$N28&gt;1),SUMPRODUCT(($D$2:$D28="")*($N$2:$N28&gt;1)),"")</f>
        <v>27</v>
      </c>
      <c r="R28" s="26" t="str">
        <f>IF($D28='Info Lega'!$B$28,COUNTIFS($D$2:$D28,'Info Lega'!$B$28),"")</f>
        <v/>
      </c>
      <c r="S28" s="27">
        <f>IFERROR(INDEX('Input Statistiche 2025_26'!$G$3:$G$665,MATCH($A28,'Input Statistiche 2025_26'!$A$3:$A$665,0)),"")</f>
        <v>6.12</v>
      </c>
      <c r="T28" s="27">
        <f>IFERROR(INDEX('Input Statistiche 2025_26'!$H$3:$H$665,MATCH($A28,'Input Statistiche 2025_26'!$A$3:$A$665,0)),"")</f>
        <v>6.47</v>
      </c>
      <c r="U28" s="23" t="str">
        <f>IF(OR('La Mia Rosa'!$O$12="",$D28&lt;&gt;""),"",IF($F28&lt;='La Mia Rosa'!$O$12*'Parametri Modello'!$B$24,"OK",IF($F28&lt;='La Mia Rosa'!$O$12*'Parametri Modello'!$B$25,"Attenzione","Rischio Alto")))</f>
        <v>Attenzione</v>
      </c>
      <c r="V28" s="23">
        <f t="shared" si="1"/>
        <v>2</v>
      </c>
      <c r="W28" s="18">
        <f>'Info Lega'!$B$4-SUMIFS($M$2:$M$492,$D$2:$D$492,'Info Lega'!$B$28)</f>
        <v>1000</v>
      </c>
      <c r="X28" s="18">
        <f>('Info Lega'!$B$5-COUNTIFS($D$2:$D$492,'Info Lega'!$B$28,$B$2:$B$492,"P"))+('Info Lega'!$B$6-COUNTIFS($D$2:$D$492,'Info Lega'!$B$28,$B$2:$B$492,"D"))+('Info Lega'!$B$7-COUNTIFS($D$2:$D$492,'Info Lega'!$B$28,$B$2:$B$492,"C"))+('Info Lega'!$B$8-COUNTIFS($D$2:$D$492,'Info Lega'!$B$28,$B$2:$B$492,"A"))</f>
        <v>25</v>
      </c>
      <c r="Y28" s="18">
        <f>X28*'Parametri Modello'!$B$30</f>
        <v>25</v>
      </c>
      <c r="Z28" s="18">
        <f t="shared" si="2"/>
        <v>975</v>
      </c>
      <c r="AA28" s="18">
        <f t="shared" si="3"/>
        <v>62</v>
      </c>
      <c r="AB28" s="18"/>
      <c r="AC28" s="18" t="str">
        <f>IF($AB28="","",IF($AB28&gt;$AA28,"PASS",IF($AB28&lt;=$AA28*(1-'Parametri Modello'!$B$68),"BID","ATTENZIONE")))</f>
        <v/>
      </c>
      <c r="AD28" s="28">
        <f t="shared" si="4"/>
        <v>63</v>
      </c>
      <c r="AE28" s="5" t="str">
        <f>IFERROR(INDEX('Stato Asta'!$G$9:$G$12,MATCH($B28,'Stato Asta'!$A$9:$A$12,0)),"")</f>
        <v>🔴 Non aspettare</v>
      </c>
      <c r="AF28" t="str">
        <f>IFERROR(IF($V28&lt;=INDEX('Parametri Modello'!$C$57:$C$60,MATCH($B28,'Parametri Modello'!$A$57:$A$60,0)),"Titolare","Riserva"),"")</f>
        <v>Titolare</v>
      </c>
      <c r="AG28" t="str">
        <f>IFERROR(INDEX('Pressione Competitiva'!$F$3:$F$6,MATCH($B28,'Pressione Competitiva'!$B$3:$B$6,0)),"")</f>
        <v>🔴 Molto Alta</v>
      </c>
      <c r="AH28" t="str">
        <f t="shared" si="5"/>
        <v/>
      </c>
      <c r="AI28" t="str">
        <f>IFERROR(IF($AH28="","",IF($AH28&gt;=$AA28*'Parametri Modello'!$B$68,"🟢 Opportunita'",IF($AH28&lt;=$AA28*'Parametri Modello'!$B$69,"🔴 Sovrapprezzo","🟡 Prezzo Corretto"))),"")</f>
        <v/>
      </c>
      <c r="AJ28" t="str">
        <f t="shared" si="6"/>
        <v/>
      </c>
      <c r="AK28">
        <f t="shared" si="7"/>
        <v>2</v>
      </c>
      <c r="AL28" t="str">
        <f t="shared" si="8"/>
        <v>D|Top|2</v>
      </c>
    </row>
    <row r="29" spans="1:38" ht="14.25" customHeight="1" x14ac:dyDescent="0.25">
      <c r="A29" s="18">
        <v>5559</v>
      </c>
      <c r="B29" s="18" t="s">
        <v>17</v>
      </c>
      <c r="C29" s="18" t="s">
        <v>168</v>
      </c>
      <c r="E29" s="23" t="str">
        <f>IF(COUNTIF('Info Strategia'!$D$2:$D$51,$C29)&gt;0,"SI","NO")</f>
        <v>NO</v>
      </c>
      <c r="F29" s="24">
        <f>IFERROR(ROUND(($G29+($H29-$G29)*'Info Strategia'!$B$6)*(1+IF($E29="SI",'Parametri Modello'!$B$7*'Info Strategia'!$B$6,0)),0),"")</f>
        <v>61</v>
      </c>
      <c r="G29" s="24">
        <f>IFERROR(ROUND(MAX(1,(IF($V29&lt;=INDEX('Parametri Modello'!$C$57:$C$60,MATCH($B29,'Parametri Modello'!$A$57:$A$60,0)),IF(INDEX('Parametri Modello'!$E$57:$E$60,MATCH($B29,'Parametri Modello'!$A$57:$A$60,0))=0,0,($O29/INDEX('Parametri Modello'!$E$57:$E$60,MATCH($B29,'Parametri Modello'!$A$57:$A$60,0)))*(INDEX('Parametri Modello'!$D$57:$D$60,MATCH($B29,'Parametri Modello'!$A$57:$A$60,0))*(INDEX('Parametri Modello'!$B$50:$B$53,MATCH($B29,'Parametri Modello'!$A$50:$A$53,0))*'Parametri Modello'!$B$44))),IF(INDEX('Parametri Modello'!$F$57:$F$60,MATCH($B29,'Parametri Modello'!$A$57:$A$60,0))=0,0,($O29/INDEX('Parametri Modello'!$F$57:$F$60,MATCH($B29,'Parametri Modello'!$A$57:$A$60,0)))*((1-INDEX('Parametri Modello'!$D$57:$D$60,MATCH($B29,'Parametri Modello'!$A$57:$A$60,0)))*(INDEX('Parametri Modello'!$B$50:$B$53,MATCH($B29,'Parametri Modello'!$A$50:$A$53,0))*'Parametri Modello'!$B$44))))*(1+IF(IF($B29="D",'Info Lega'!$B$25,IF($B29="C",'Info Lega'!$B$26,"No"))="Si",'Parametri Modello'!$B$5,0))*(1+MAX(-0.25,MIN(0.25,IF(OR($T29="",$I29="",$I29=0,INDEX('Parametri Modello'!$B$19:$B$22,MATCH($B29,'Parametri Modello'!$A$19:$A$22,0))="",INDEX('Parametri Modello'!$B$19:$B$22,MATCH($B29,'Parametri Modello'!$A$19:$A$22,0))=0),0,(($T29-INDEX('Parametri Modello'!$B$19:$B$22,MATCH($B29,'Parametri Modello'!$A$19:$A$22,0)))/INDEX('Parametri Modello'!$B$19:$B$22,MATCH($B29,'Parametri Modello'!$A$19:$A$22,0)))*'Parametri Modello'!$B$9))))*(1+IF('Parametri Modello'!$B$27="Si",MAX(-'Parametri Modello'!$B$28,MIN('Parametri Modello'!$B$28*1.5,IF(OR(INDEX('Parametri Modello'!$F$32:$F$35,MATCH($B29,'Parametri Modello'!$A$32:$A$35,0))="",INDEX('Parametri Modello'!$F$32:$F$35,MATCH($B29,'Parametri Modello'!$A$32:$A$35,0))=0),0,(1/INDEX('Parametri Modello'!$F$32:$F$35,MATCH($B29,'Parametri Modello'!$A$32:$A$35,0))-1)*'Parametri Modello'!$B$28))),0)))*(1-INDEX('Parametri Modello'!$B$12:$B$15,MATCH($B29,'Parametri Modello'!$A$12:$A$15,0)))),0),"")</f>
        <v>41</v>
      </c>
      <c r="H29" s="24">
        <f>IFERROR(ROUND((IF($V29&lt;=INDEX('Parametri Modello'!$C$57:$C$60,MATCH($B29,'Parametri Modello'!$A$57:$A$60,0)),IF(INDEX('Parametri Modello'!$E$57:$E$60,MATCH($B29,'Parametri Modello'!$A$57:$A$60,0))=0,0,($O29/INDEX('Parametri Modello'!$E$57:$E$60,MATCH($B29,'Parametri Modello'!$A$57:$A$60,0)))*(INDEX('Parametri Modello'!$D$57:$D$60,MATCH($B29,'Parametri Modello'!$A$57:$A$60,0))*(INDEX('Parametri Modello'!$B$50:$B$53,MATCH($B29,'Parametri Modello'!$A$50:$A$53,0))*'Parametri Modello'!$B$44))),IF(INDEX('Parametri Modello'!$F$57:$F$60,MATCH($B29,'Parametri Modello'!$A$57:$A$60,0))=0,0,($O29/INDEX('Parametri Modello'!$F$57:$F$60,MATCH($B29,'Parametri Modello'!$A$57:$A$60,0)))*((1-INDEX('Parametri Modello'!$D$57:$D$60,MATCH($B29,'Parametri Modello'!$A$57:$A$60,0)))*(INDEX('Parametri Modello'!$B$50:$B$53,MATCH($B29,'Parametri Modello'!$A$50:$A$53,0))*'Parametri Modello'!$B$44))))*(1+IF(IF($B29="D",'Info Lega'!$B$25,IF($B29="C",'Info Lega'!$B$26,"No"))="Si",'Parametri Modello'!$B$5,0))*(1+MAX(-0.25,MIN(0.25,IF(OR($T29="",$I29="",$I29=0,INDEX('Parametri Modello'!$B$19:$B$22,MATCH($B29,'Parametri Modello'!$A$19:$A$22,0))="",INDEX('Parametri Modello'!$B$19:$B$22,MATCH($B29,'Parametri Modello'!$A$19:$A$22,0))=0),0,(($T29-INDEX('Parametri Modello'!$B$19:$B$22,MATCH($B29,'Parametri Modello'!$A$19:$A$22,0)))/INDEX('Parametri Modello'!$B$19:$B$22,MATCH($B29,'Parametri Modello'!$A$19:$A$22,0)))*'Parametri Modello'!$B$9))))*(1+IF('Parametri Modello'!$B$27="Si",MAX(-'Parametri Modello'!$B$28,MIN('Parametri Modello'!$B$28*1.5,IF(OR(INDEX('Parametri Modello'!$F$32:$F$35,MATCH($B29,'Parametri Modello'!$A$32:$A$35,0))="",INDEX('Parametri Modello'!$F$32:$F$35,MATCH($B29,'Parametri Modello'!$A$32:$A$35,0))=0),0,(1/INDEX('Parametri Modello'!$F$32:$F$35,MATCH($B29,'Parametri Modello'!$A$32:$A$35,0))-1)*'Parametri Modello'!$B$28))),0)))*(1+INDEX('Parametri Modello'!$B$12:$B$15,MATCH($B29,'Parametri Modello'!$A$12:$A$15,0))),0),"")</f>
        <v>69</v>
      </c>
      <c r="I29" s="23">
        <f>IFERROR(INDEX('Input Statistiche 2025_26'!$F$3:$F$665,MATCH($A29,'Input Statistiche 2025_26'!$A$3:$A$665,0)),"")</f>
        <v>35</v>
      </c>
      <c r="J29" s="23">
        <f t="shared" si="0"/>
        <v>3</v>
      </c>
      <c r="K29" s="23">
        <f>IFERROR(INDEX('Input Statistiche 2025_26'!$I$3:$I$665,MATCH($A29,'Input Statistiche 2025_26'!$A$3:$A$665,0)),"")</f>
        <v>6</v>
      </c>
      <c r="L29" s="23">
        <f>IFERROR(INDEX('Input Statistiche 2025_26'!$O$3:$O$665,MATCH($A29,'Input Statistiche 2025_26'!$A$3:$A$665,0)),"")</f>
        <v>4</v>
      </c>
      <c r="M29" s="25"/>
      <c r="N29" s="24">
        <f>IFERROR(INDEX('Input Giocatori 2026_27'!$E$3:$E$493,MATCH($A29,'Input Giocatori 2026_27'!$A$3:$A$493,0)),"")</f>
        <v>18</v>
      </c>
      <c r="O29" s="24">
        <f>IFERROR(INDEX('Input Giocatori 2026_27'!$G$3:$G$493,MATCH($A29,'Input Giocatori 2026_27'!$A$3:$A$493,0)),"")</f>
        <v>90</v>
      </c>
      <c r="P29" s="23" t="str">
        <f>IFERROR(IF($O29="","",IF((1-(COUNTIFS($B$2:$B$492,$B29,$O$2:$O$492,"&gt;"&amp;$O29)+1-1)/COUNTIF($B$2:$B$492,$B29))&gt;='Parametri Modello'!$B$63,"Top",IF((1-(COUNTIFS($B$2:$B$492,$B29,$O$2:$O$492,"&gt;"&amp;$O29)+1-1)/COUNTIF($B$2:$B$492,$B29))&gt;='Parametri Modello'!$B$64,"Buono",IF((1-(COUNTIFS($B$2:$B$492,$B29,$O$2:$O$492,"&gt;"&amp;$O29)+1-1)/COUNTIF($B$2:$B$492,$B29))&gt;='Parametri Modello'!$B$65,"Nella Media","Scommessa/Riserva")))),"")</f>
        <v>Top</v>
      </c>
      <c r="Q29" s="26">
        <f>IF(AND($D29="",$N29&gt;1),SUMPRODUCT(($D$2:$D29="")*($N$2:$N29&gt;1)),"")</f>
        <v>28</v>
      </c>
      <c r="R29" s="26" t="str">
        <f>IF($D29='Info Lega'!$B$28,COUNTIFS($D$2:$D29,'Info Lega'!$B$28),"")</f>
        <v/>
      </c>
      <c r="S29" s="27">
        <f>IFERROR(INDEX('Input Statistiche 2025_26'!$G$3:$G$665,MATCH($A29,'Input Statistiche 2025_26'!$A$3:$A$665,0)),"")</f>
        <v>6.34</v>
      </c>
      <c r="T29" s="27">
        <f>IFERROR(INDEX('Input Statistiche 2025_26'!$H$3:$H$665,MATCH($A29,'Input Statistiche 2025_26'!$A$3:$A$665,0)),"")</f>
        <v>6.91</v>
      </c>
      <c r="U29" s="23" t="str">
        <f>IF(OR('La Mia Rosa'!$O$12="",$D29&lt;&gt;""),"",IF($F29&lt;='La Mia Rosa'!$O$12*'Parametri Modello'!$B$24,"OK",IF($F29&lt;='La Mia Rosa'!$O$12*'Parametri Modello'!$B$25,"Attenzione","Rischio Alto")))</f>
        <v>Attenzione</v>
      </c>
      <c r="V29" s="23">
        <f t="shared" si="1"/>
        <v>10</v>
      </c>
      <c r="W29" s="18">
        <f>'Info Lega'!$B$4-SUMIFS($M$2:$M$492,$D$2:$D$492,'Info Lega'!$B$28)</f>
        <v>1000</v>
      </c>
      <c r="X29" s="18">
        <f>('Info Lega'!$B$5-COUNTIFS($D$2:$D$492,'Info Lega'!$B$28,$B$2:$B$492,"P"))+('Info Lega'!$B$6-COUNTIFS($D$2:$D$492,'Info Lega'!$B$28,$B$2:$B$492,"D"))+('Info Lega'!$B$7-COUNTIFS($D$2:$D$492,'Info Lega'!$B$28,$B$2:$B$492,"C"))+('Info Lega'!$B$8-COUNTIFS($D$2:$D$492,'Info Lega'!$B$28,$B$2:$B$492,"A"))</f>
        <v>25</v>
      </c>
      <c r="Y29" s="18">
        <f>X29*'Parametri Modello'!$B$30</f>
        <v>25</v>
      </c>
      <c r="Z29" s="18">
        <f t="shared" si="2"/>
        <v>975</v>
      </c>
      <c r="AA29" s="18">
        <f t="shared" si="3"/>
        <v>61</v>
      </c>
      <c r="AB29" s="18"/>
      <c r="AC29" s="18" t="str">
        <f>IF($AB29="","",IF($AB29&gt;$AA29,"PASS",IF($AB29&lt;=$AA29*(1-'Parametri Modello'!$B$68),"BID","ATTENZIONE")))</f>
        <v/>
      </c>
      <c r="AD29" s="28">
        <f t="shared" si="4"/>
        <v>69</v>
      </c>
      <c r="AE29" s="5" t="str">
        <f>IFERROR(INDEX('Stato Asta'!$G$9:$G$12,MATCH($B29,'Stato Asta'!$A$9:$A$12,0)),"")</f>
        <v>🔴 Non aspettare</v>
      </c>
      <c r="AF29" t="str">
        <f>IFERROR(IF($V29&lt;=INDEX('Parametri Modello'!$C$57:$C$60,MATCH($B29,'Parametri Modello'!$A$57:$A$60,0)),"Titolare","Riserva"),"")</f>
        <v>Titolare</v>
      </c>
      <c r="AG29" t="str">
        <f>IFERROR(INDEX('Pressione Competitiva'!$F$3:$F$6,MATCH($B29,'Pressione Competitiva'!$B$3:$B$6,0)),"")</f>
        <v>🔴 Molto Alta</v>
      </c>
      <c r="AH29" t="str">
        <f t="shared" si="5"/>
        <v/>
      </c>
      <c r="AI29" t="str">
        <f>IFERROR(IF($AH29="","",IF($AH29&gt;=$AA29*'Parametri Modello'!$B$68,"🟢 Opportunita'",IF($AH29&lt;=$AA29*'Parametri Modello'!$B$69,"🔴 Sovrapprezzo","🟡 Prezzo Corretto"))),"")</f>
        <v/>
      </c>
      <c r="AJ29" t="str">
        <f t="shared" si="6"/>
        <v/>
      </c>
      <c r="AK29">
        <f t="shared" si="7"/>
        <v>10</v>
      </c>
      <c r="AL29" t="str">
        <f t="shared" si="8"/>
        <v>C|Top|10</v>
      </c>
    </row>
    <row r="30" spans="1:38" ht="14.25" customHeight="1" x14ac:dyDescent="0.25">
      <c r="A30" s="18">
        <v>2766</v>
      </c>
      <c r="B30" s="18" t="s">
        <v>17</v>
      </c>
      <c r="C30" s="18" t="s">
        <v>169</v>
      </c>
      <c r="E30" s="23" t="str">
        <f>IF(COUNTIF('Info Strategia'!$D$2:$D$51,$C30)&gt;0,"SI","NO")</f>
        <v>NO</v>
      </c>
      <c r="F30" s="24">
        <f>IFERROR(ROUND(($G30+($H30-$G30)*'Info Strategia'!$B$6)*(1+IF($E30="SI",'Parametri Modello'!$B$7*'Info Strategia'!$B$6,0)),0),"")</f>
        <v>61</v>
      </c>
      <c r="G30" s="24">
        <f>IFERROR(ROUND(MAX(1,(IF($V30&lt;=INDEX('Parametri Modello'!$C$57:$C$60,MATCH($B30,'Parametri Modello'!$A$57:$A$60,0)),IF(INDEX('Parametri Modello'!$E$57:$E$60,MATCH($B30,'Parametri Modello'!$A$57:$A$60,0))=0,0,($O30/INDEX('Parametri Modello'!$E$57:$E$60,MATCH($B30,'Parametri Modello'!$A$57:$A$60,0)))*(INDEX('Parametri Modello'!$D$57:$D$60,MATCH($B30,'Parametri Modello'!$A$57:$A$60,0))*(INDEX('Parametri Modello'!$B$50:$B$53,MATCH($B30,'Parametri Modello'!$A$50:$A$53,0))*'Parametri Modello'!$B$44))),IF(INDEX('Parametri Modello'!$F$57:$F$60,MATCH($B30,'Parametri Modello'!$A$57:$A$60,0))=0,0,($O30/INDEX('Parametri Modello'!$F$57:$F$60,MATCH($B30,'Parametri Modello'!$A$57:$A$60,0)))*((1-INDEX('Parametri Modello'!$D$57:$D$60,MATCH($B30,'Parametri Modello'!$A$57:$A$60,0)))*(INDEX('Parametri Modello'!$B$50:$B$53,MATCH($B30,'Parametri Modello'!$A$50:$A$53,0))*'Parametri Modello'!$B$44))))*(1+IF(IF($B30="D",'Info Lega'!$B$25,IF($B30="C",'Info Lega'!$B$26,"No"))="Si",'Parametri Modello'!$B$5,0))*(1+MAX(-0.25,MIN(0.25,IF(OR($T30="",$I30="",$I30=0,INDEX('Parametri Modello'!$B$19:$B$22,MATCH($B30,'Parametri Modello'!$A$19:$A$22,0))="",INDEX('Parametri Modello'!$B$19:$B$22,MATCH($B30,'Parametri Modello'!$A$19:$A$22,0))=0),0,(($T30-INDEX('Parametri Modello'!$B$19:$B$22,MATCH($B30,'Parametri Modello'!$A$19:$A$22,0)))/INDEX('Parametri Modello'!$B$19:$B$22,MATCH($B30,'Parametri Modello'!$A$19:$A$22,0)))*'Parametri Modello'!$B$9))))*(1+IF('Parametri Modello'!$B$27="Si",MAX(-'Parametri Modello'!$B$28,MIN('Parametri Modello'!$B$28*1.5,IF(OR(INDEX('Parametri Modello'!$F$32:$F$35,MATCH($B30,'Parametri Modello'!$A$32:$A$35,0))="",INDEX('Parametri Modello'!$F$32:$F$35,MATCH($B30,'Parametri Modello'!$A$32:$A$35,0))=0),0,(1/INDEX('Parametri Modello'!$F$32:$F$35,MATCH($B30,'Parametri Modello'!$A$32:$A$35,0))-1)*'Parametri Modello'!$B$28))),0)))*(1-INDEX('Parametri Modello'!$B$12:$B$15,MATCH($B30,'Parametri Modello'!$A$12:$A$15,0)))),0),"")</f>
        <v>41</v>
      </c>
      <c r="H30" s="24">
        <f>IFERROR(ROUND((IF($V30&lt;=INDEX('Parametri Modello'!$C$57:$C$60,MATCH($B30,'Parametri Modello'!$A$57:$A$60,0)),IF(INDEX('Parametri Modello'!$E$57:$E$60,MATCH($B30,'Parametri Modello'!$A$57:$A$60,0))=0,0,($O30/INDEX('Parametri Modello'!$E$57:$E$60,MATCH($B30,'Parametri Modello'!$A$57:$A$60,0)))*(INDEX('Parametri Modello'!$D$57:$D$60,MATCH($B30,'Parametri Modello'!$A$57:$A$60,0))*(INDEX('Parametri Modello'!$B$50:$B$53,MATCH($B30,'Parametri Modello'!$A$50:$A$53,0))*'Parametri Modello'!$B$44))),IF(INDEX('Parametri Modello'!$F$57:$F$60,MATCH($B30,'Parametri Modello'!$A$57:$A$60,0))=0,0,($O30/INDEX('Parametri Modello'!$F$57:$F$60,MATCH($B30,'Parametri Modello'!$A$57:$A$60,0)))*((1-INDEX('Parametri Modello'!$D$57:$D$60,MATCH($B30,'Parametri Modello'!$A$57:$A$60,0)))*(INDEX('Parametri Modello'!$B$50:$B$53,MATCH($B30,'Parametri Modello'!$A$50:$A$53,0))*'Parametri Modello'!$B$44))))*(1+IF(IF($B30="D",'Info Lega'!$B$25,IF($B30="C",'Info Lega'!$B$26,"No"))="Si",'Parametri Modello'!$B$5,0))*(1+MAX(-0.25,MIN(0.25,IF(OR($T30="",$I30="",$I30=0,INDEX('Parametri Modello'!$B$19:$B$22,MATCH($B30,'Parametri Modello'!$A$19:$A$22,0))="",INDEX('Parametri Modello'!$B$19:$B$22,MATCH($B30,'Parametri Modello'!$A$19:$A$22,0))=0),0,(($T30-INDEX('Parametri Modello'!$B$19:$B$22,MATCH($B30,'Parametri Modello'!$A$19:$A$22,0)))/INDEX('Parametri Modello'!$B$19:$B$22,MATCH($B30,'Parametri Modello'!$A$19:$A$22,0)))*'Parametri Modello'!$B$9))))*(1+IF('Parametri Modello'!$B$27="Si",MAX(-'Parametri Modello'!$B$28,MIN('Parametri Modello'!$B$28*1.5,IF(OR(INDEX('Parametri Modello'!$F$32:$F$35,MATCH($B30,'Parametri Modello'!$A$32:$A$35,0))="",INDEX('Parametri Modello'!$F$32:$F$35,MATCH($B30,'Parametri Modello'!$A$32:$A$35,0))=0),0,(1/INDEX('Parametri Modello'!$F$32:$F$35,MATCH($B30,'Parametri Modello'!$A$32:$A$35,0))-1)*'Parametri Modello'!$B$28))),0)))*(1+INDEX('Parametri Modello'!$B$12:$B$15,MATCH($B30,'Parametri Modello'!$A$12:$A$15,0))),0),"")</f>
        <v>69</v>
      </c>
      <c r="I30" s="23">
        <f>IFERROR(INDEX('Input Statistiche 2025_26'!$F$3:$F$665,MATCH($A30,'Input Statistiche 2025_26'!$A$3:$A$665,0)),"")</f>
        <v>31</v>
      </c>
      <c r="J30" s="23">
        <f t="shared" si="0"/>
        <v>7</v>
      </c>
      <c r="K30" s="23">
        <f>IFERROR(INDEX('Input Statistiche 2025_26'!$I$3:$I$665,MATCH($A30,'Input Statistiche 2025_26'!$A$3:$A$665,0)),"")</f>
        <v>5</v>
      </c>
      <c r="L30" s="23">
        <f>IFERROR(INDEX('Input Statistiche 2025_26'!$O$3:$O$665,MATCH($A30,'Input Statistiche 2025_26'!$A$3:$A$665,0)),"")</f>
        <v>5</v>
      </c>
      <c r="M30" s="25"/>
      <c r="N30" s="24">
        <f>IFERROR(INDEX('Input Giocatori 2026_27'!$E$3:$E$493,MATCH($A30,'Input Giocatori 2026_27'!$A$3:$A$493,0)),"")</f>
        <v>18</v>
      </c>
      <c r="O30" s="24">
        <f>IFERROR(INDEX('Input Giocatori 2026_27'!$G$3:$G$493,MATCH($A30,'Input Giocatori 2026_27'!$A$3:$A$493,0)),"")</f>
        <v>90</v>
      </c>
      <c r="P30" s="23" t="str">
        <f>IFERROR(IF($O30="","",IF((1-(COUNTIFS($B$2:$B$492,$B30,$O$2:$O$492,"&gt;"&amp;$O30)+1-1)/COUNTIF($B$2:$B$492,$B30))&gt;='Parametri Modello'!$B$63,"Top",IF((1-(COUNTIFS($B$2:$B$492,$B30,$O$2:$O$492,"&gt;"&amp;$O30)+1-1)/COUNTIF($B$2:$B$492,$B30))&gt;='Parametri Modello'!$B$64,"Buono",IF((1-(COUNTIFS($B$2:$B$492,$B30,$O$2:$O$492,"&gt;"&amp;$O30)+1-1)/COUNTIF($B$2:$B$492,$B30))&gt;='Parametri Modello'!$B$65,"Nella Media","Scommessa/Riserva")))),"")</f>
        <v>Top</v>
      </c>
      <c r="Q30" s="26">
        <f>IF(AND($D30="",$N30&gt;1),SUMPRODUCT(($D$2:$D30="")*($N$2:$N30&gt;1)),"")</f>
        <v>29</v>
      </c>
      <c r="R30" s="26" t="str">
        <f>IF($D30='Info Lega'!$B$28,COUNTIFS($D$2:$D30,'Info Lega'!$B$28),"")</f>
        <v/>
      </c>
      <c r="S30" s="27">
        <f>IFERROR(INDEX('Input Statistiche 2025_26'!$G$3:$G$665,MATCH($A30,'Input Statistiche 2025_26'!$A$3:$A$665,0)),"")</f>
        <v>6.26</v>
      </c>
      <c r="T30" s="27">
        <f>IFERROR(INDEX('Input Statistiche 2025_26'!$H$3:$H$665,MATCH($A30,'Input Statistiche 2025_26'!$A$3:$A$665,0)),"")</f>
        <v>6.77</v>
      </c>
      <c r="U30" s="23" t="str">
        <f>IF(OR('La Mia Rosa'!$O$12="",$D30&lt;&gt;""),"",IF($F30&lt;='La Mia Rosa'!$O$12*'Parametri Modello'!$B$24,"OK",IF($F30&lt;='La Mia Rosa'!$O$12*'Parametri Modello'!$B$25,"Attenzione","Rischio Alto")))</f>
        <v>Attenzione</v>
      </c>
      <c r="V30" s="23">
        <f t="shared" si="1"/>
        <v>10</v>
      </c>
      <c r="W30" s="18">
        <f>'Info Lega'!$B$4-SUMIFS($M$2:$M$492,$D$2:$D$492,'Info Lega'!$B$28)</f>
        <v>1000</v>
      </c>
      <c r="X30" s="18">
        <f>('Info Lega'!$B$5-COUNTIFS($D$2:$D$492,'Info Lega'!$B$28,$B$2:$B$492,"P"))+('Info Lega'!$B$6-COUNTIFS($D$2:$D$492,'Info Lega'!$B$28,$B$2:$B$492,"D"))+('Info Lega'!$B$7-COUNTIFS($D$2:$D$492,'Info Lega'!$B$28,$B$2:$B$492,"C"))+('Info Lega'!$B$8-COUNTIFS($D$2:$D$492,'Info Lega'!$B$28,$B$2:$B$492,"A"))</f>
        <v>25</v>
      </c>
      <c r="Y30" s="18">
        <f>X30*'Parametri Modello'!$B$30</f>
        <v>25</v>
      </c>
      <c r="Z30" s="18">
        <f t="shared" si="2"/>
        <v>975</v>
      </c>
      <c r="AA30" s="18">
        <f t="shared" si="3"/>
        <v>61</v>
      </c>
      <c r="AB30" s="18"/>
      <c r="AC30" s="18" t="str">
        <f>IF($AB30="","",IF($AB30&gt;$AA30,"PASS",IF($AB30&lt;=$AA30*(1-'Parametri Modello'!$B$68),"BID","ATTENZIONE")))</f>
        <v/>
      </c>
      <c r="AD30" s="28">
        <f t="shared" si="4"/>
        <v>64</v>
      </c>
      <c r="AE30" s="5" t="str">
        <f>IFERROR(INDEX('Stato Asta'!$G$9:$G$12,MATCH($B30,'Stato Asta'!$A$9:$A$12,0)),"")</f>
        <v>🔴 Non aspettare</v>
      </c>
      <c r="AF30" t="str">
        <f>IFERROR(IF($V30&lt;=INDEX('Parametri Modello'!$C$57:$C$60,MATCH($B30,'Parametri Modello'!$A$57:$A$60,0)),"Titolare","Riserva"),"")</f>
        <v>Titolare</v>
      </c>
      <c r="AG30" t="str">
        <f>IFERROR(INDEX('Pressione Competitiva'!$F$3:$F$6,MATCH($B30,'Pressione Competitiva'!$B$3:$B$6,0)),"")</f>
        <v>🔴 Molto Alta</v>
      </c>
      <c r="AH30" t="str">
        <f t="shared" si="5"/>
        <v/>
      </c>
      <c r="AI30" t="str">
        <f>IFERROR(IF($AH30="","",IF($AH30&gt;=$AA30*'Parametri Modello'!$B$68,"🟢 Opportunita'",IF($AH30&lt;=$AA30*'Parametri Modello'!$B$69,"🔴 Sovrapprezzo","🟡 Prezzo Corretto"))),"")</f>
        <v/>
      </c>
      <c r="AJ30" t="str">
        <f t="shared" si="6"/>
        <v/>
      </c>
      <c r="AK30">
        <f t="shared" si="7"/>
        <v>10</v>
      </c>
      <c r="AL30" t="str">
        <f t="shared" si="8"/>
        <v>C|Top|10</v>
      </c>
    </row>
    <row r="31" spans="1:38" ht="14.25" customHeight="1" x14ac:dyDescent="0.25">
      <c r="A31" s="18">
        <v>6060</v>
      </c>
      <c r="B31" s="18" t="s">
        <v>18</v>
      </c>
      <c r="C31" s="18" t="s">
        <v>170</v>
      </c>
      <c r="E31" s="23" t="str">
        <f>IF(COUNTIF('Info Strategia'!$D$2:$D$51,$C31)&gt;0,"SI","NO")</f>
        <v>NO</v>
      </c>
      <c r="F31" s="24">
        <f>IFERROR(ROUND(($G31+($H31-$G31)*'Info Strategia'!$B$6)*(1+IF($E31="SI",'Parametri Modello'!$B$7*'Info Strategia'!$B$6,0)),0),"")</f>
        <v>91</v>
      </c>
      <c r="G31" s="24">
        <f>IFERROR(ROUND(MAX(1,(IF($V31&lt;=INDEX('Parametri Modello'!$C$57:$C$60,MATCH($B31,'Parametri Modello'!$A$57:$A$60,0)),IF(INDEX('Parametri Modello'!$E$57:$E$60,MATCH($B31,'Parametri Modello'!$A$57:$A$60,0))=0,0,($O31/INDEX('Parametri Modello'!$E$57:$E$60,MATCH($B31,'Parametri Modello'!$A$57:$A$60,0)))*(INDEX('Parametri Modello'!$D$57:$D$60,MATCH($B31,'Parametri Modello'!$A$57:$A$60,0))*(INDEX('Parametri Modello'!$B$50:$B$53,MATCH($B31,'Parametri Modello'!$A$50:$A$53,0))*'Parametri Modello'!$B$44))),IF(INDEX('Parametri Modello'!$F$57:$F$60,MATCH($B31,'Parametri Modello'!$A$57:$A$60,0))=0,0,($O31/INDEX('Parametri Modello'!$F$57:$F$60,MATCH($B31,'Parametri Modello'!$A$57:$A$60,0)))*((1-INDEX('Parametri Modello'!$D$57:$D$60,MATCH($B31,'Parametri Modello'!$A$57:$A$60,0)))*(INDEX('Parametri Modello'!$B$50:$B$53,MATCH($B31,'Parametri Modello'!$A$50:$A$53,0))*'Parametri Modello'!$B$44))))*(1+IF(IF($B31="D",'Info Lega'!$B$25,IF($B31="C",'Info Lega'!$B$26,"No"))="Si",'Parametri Modello'!$B$5,0))*(1+MAX(-0.25,MIN(0.25,IF(OR($T31="",$I31="",$I31=0,INDEX('Parametri Modello'!$B$19:$B$22,MATCH($B31,'Parametri Modello'!$A$19:$A$22,0))="",INDEX('Parametri Modello'!$B$19:$B$22,MATCH($B31,'Parametri Modello'!$A$19:$A$22,0))=0),0,(($T31-INDEX('Parametri Modello'!$B$19:$B$22,MATCH($B31,'Parametri Modello'!$A$19:$A$22,0)))/INDEX('Parametri Modello'!$B$19:$B$22,MATCH($B31,'Parametri Modello'!$A$19:$A$22,0)))*'Parametri Modello'!$B$9))))*(1+IF('Parametri Modello'!$B$27="Si",MAX(-'Parametri Modello'!$B$28,MIN('Parametri Modello'!$B$28*1.5,IF(OR(INDEX('Parametri Modello'!$F$32:$F$35,MATCH($B31,'Parametri Modello'!$A$32:$A$35,0))="",INDEX('Parametri Modello'!$F$32:$F$35,MATCH($B31,'Parametri Modello'!$A$32:$A$35,0))=0),0,(1/INDEX('Parametri Modello'!$F$32:$F$35,MATCH($B31,'Parametri Modello'!$A$32:$A$35,0))-1)*'Parametri Modello'!$B$28))),0)))*(1-INDEX('Parametri Modello'!$B$12:$B$15,MATCH($B31,'Parametri Modello'!$A$12:$A$15,0)))),0),"")</f>
        <v>57</v>
      </c>
      <c r="H31" s="24">
        <f>IFERROR(ROUND((IF($V31&lt;=INDEX('Parametri Modello'!$C$57:$C$60,MATCH($B31,'Parametri Modello'!$A$57:$A$60,0)),IF(INDEX('Parametri Modello'!$E$57:$E$60,MATCH($B31,'Parametri Modello'!$A$57:$A$60,0))=0,0,($O31/INDEX('Parametri Modello'!$E$57:$E$60,MATCH($B31,'Parametri Modello'!$A$57:$A$60,0)))*(INDEX('Parametri Modello'!$D$57:$D$60,MATCH($B31,'Parametri Modello'!$A$57:$A$60,0))*(INDEX('Parametri Modello'!$B$50:$B$53,MATCH($B31,'Parametri Modello'!$A$50:$A$53,0))*'Parametri Modello'!$B$44))),IF(INDEX('Parametri Modello'!$F$57:$F$60,MATCH($B31,'Parametri Modello'!$A$57:$A$60,0))=0,0,($O31/INDEX('Parametri Modello'!$F$57:$F$60,MATCH($B31,'Parametri Modello'!$A$57:$A$60,0)))*((1-INDEX('Parametri Modello'!$D$57:$D$60,MATCH($B31,'Parametri Modello'!$A$57:$A$60,0)))*(INDEX('Parametri Modello'!$B$50:$B$53,MATCH($B31,'Parametri Modello'!$A$50:$A$53,0))*'Parametri Modello'!$B$44))))*(1+IF(IF($B31="D",'Info Lega'!$B$25,IF($B31="C",'Info Lega'!$B$26,"No"))="Si",'Parametri Modello'!$B$5,0))*(1+MAX(-0.25,MIN(0.25,IF(OR($T31="",$I31="",$I31=0,INDEX('Parametri Modello'!$B$19:$B$22,MATCH($B31,'Parametri Modello'!$A$19:$A$22,0))="",INDEX('Parametri Modello'!$B$19:$B$22,MATCH($B31,'Parametri Modello'!$A$19:$A$22,0))=0),0,(($T31-INDEX('Parametri Modello'!$B$19:$B$22,MATCH($B31,'Parametri Modello'!$A$19:$A$22,0)))/INDEX('Parametri Modello'!$B$19:$B$22,MATCH($B31,'Parametri Modello'!$A$19:$A$22,0)))*'Parametri Modello'!$B$9))))*(1+IF('Parametri Modello'!$B$27="Si",MAX(-'Parametri Modello'!$B$28,MIN('Parametri Modello'!$B$28*1.5,IF(OR(INDEX('Parametri Modello'!$F$32:$F$35,MATCH($B31,'Parametri Modello'!$A$32:$A$35,0))="",INDEX('Parametri Modello'!$F$32:$F$35,MATCH($B31,'Parametri Modello'!$A$32:$A$35,0))=0),0,(1/INDEX('Parametri Modello'!$F$32:$F$35,MATCH($B31,'Parametri Modello'!$A$32:$A$35,0))-1)*'Parametri Modello'!$B$28))),0)))*(1+INDEX('Parametri Modello'!$B$12:$B$15,MATCH($B31,'Parametri Modello'!$A$12:$A$15,0))),0),"")</f>
        <v>106</v>
      </c>
      <c r="I31" s="23">
        <f>IFERROR(INDEX('Input Statistiche 2025_26'!$F$3:$F$665,MATCH($A31,'Input Statistiche 2025_26'!$A$3:$A$665,0)),"")</f>
        <v>37</v>
      </c>
      <c r="J31" s="23">
        <f t="shared" si="0"/>
        <v>1</v>
      </c>
      <c r="K31" s="23">
        <f>IFERROR(INDEX('Input Statistiche 2025_26'!$I$3:$I$665,MATCH($A31,'Input Statistiche 2025_26'!$A$3:$A$665,0)),"")</f>
        <v>7</v>
      </c>
      <c r="L31" s="23">
        <f>IFERROR(INDEX('Input Statistiche 2025_26'!$O$3:$O$665,MATCH($A31,'Input Statistiche 2025_26'!$A$3:$A$665,0)),"")</f>
        <v>9</v>
      </c>
      <c r="M31" s="25"/>
      <c r="N31" s="24">
        <f>IFERROR(INDEX('Input Giocatori 2026_27'!$E$3:$E$493,MATCH($A31,'Input Giocatori 2026_27'!$A$3:$A$493,0)),"")</f>
        <v>15</v>
      </c>
      <c r="O31" s="24">
        <f>IFERROR(INDEX('Input Giocatori 2026_27'!$G$3:$G$493,MATCH($A31,'Input Giocatori 2026_27'!$A$3:$A$493,0)),"")</f>
        <v>88</v>
      </c>
      <c r="P31" s="23" t="str">
        <f>IFERROR(IF($O31="","",IF((1-(COUNTIFS($B$2:$B$492,$B31,$O$2:$O$492,"&gt;"&amp;$O31)+1-1)/COUNTIF($B$2:$B$492,$B31))&gt;='Parametri Modello'!$B$63,"Top",IF((1-(COUNTIFS($B$2:$B$492,$B31,$O$2:$O$492,"&gt;"&amp;$O31)+1-1)/COUNTIF($B$2:$B$492,$B31))&gt;='Parametri Modello'!$B$64,"Buono",IF((1-(COUNTIFS($B$2:$B$492,$B31,$O$2:$O$492,"&gt;"&amp;$O31)+1-1)/COUNTIF($B$2:$B$492,$B31))&gt;='Parametri Modello'!$B$65,"Nella Media","Scommessa/Riserva")))),"")</f>
        <v>Buono</v>
      </c>
      <c r="Q31" s="26">
        <f>IF(AND($D31="",$N31&gt;1),SUMPRODUCT(($D$2:$D31="")*($N$2:$N31&gt;1)),"")</f>
        <v>30</v>
      </c>
      <c r="R31" s="26" t="str">
        <f>IF($D31='Info Lega'!$B$28,COUNTIFS($D$2:$D31,'Info Lega'!$B$28),"")</f>
        <v/>
      </c>
      <c r="S31" s="27">
        <f>IFERROR(INDEX('Input Statistiche 2025_26'!$G$3:$G$665,MATCH($A31,'Input Statistiche 2025_26'!$A$3:$A$665,0)),"")</f>
        <v>6.23</v>
      </c>
      <c r="T31" s="27">
        <f>IFERROR(INDEX('Input Statistiche 2025_26'!$H$3:$H$665,MATCH($A31,'Input Statistiche 2025_26'!$A$3:$A$665,0)),"")</f>
        <v>6.99</v>
      </c>
      <c r="U31" s="23" t="str">
        <f>IF(OR('La Mia Rosa'!$O$12="",$D31&lt;&gt;""),"",IF($F31&lt;='La Mia Rosa'!$O$12*'Parametri Modello'!$B$24,"OK",IF($F31&lt;='La Mia Rosa'!$O$12*'Parametri Modello'!$B$25,"Attenzione","Rischio Alto")))</f>
        <v>Attenzione</v>
      </c>
      <c r="V31" s="23">
        <f t="shared" si="1"/>
        <v>17</v>
      </c>
      <c r="W31" s="18">
        <f>'Info Lega'!$B$4-SUMIFS($M$2:$M$492,$D$2:$D$492,'Info Lega'!$B$28)</f>
        <v>1000</v>
      </c>
      <c r="X31" s="18">
        <f>('Info Lega'!$B$5-COUNTIFS($D$2:$D$492,'Info Lega'!$B$28,$B$2:$B$492,"P"))+('Info Lega'!$B$6-COUNTIFS($D$2:$D$492,'Info Lega'!$B$28,$B$2:$B$492,"D"))+('Info Lega'!$B$7-COUNTIFS($D$2:$D$492,'Info Lega'!$B$28,$B$2:$B$492,"C"))+('Info Lega'!$B$8-COUNTIFS($D$2:$D$492,'Info Lega'!$B$28,$B$2:$B$492,"A"))</f>
        <v>25</v>
      </c>
      <c r="Y31" s="18">
        <f>X31*'Parametri Modello'!$B$30</f>
        <v>25</v>
      </c>
      <c r="Z31" s="18">
        <f t="shared" si="2"/>
        <v>975</v>
      </c>
      <c r="AA31" s="18">
        <f t="shared" si="3"/>
        <v>91</v>
      </c>
      <c r="AB31" s="18"/>
      <c r="AC31" s="18" t="str">
        <f>IF($AB31="","",IF($AB31&gt;$AA31,"PASS",IF($AB31&lt;=$AA31*(1-'Parametri Modello'!$B$68),"BID","ATTENZIONE")))</f>
        <v/>
      </c>
      <c r="AD31" s="28">
        <f t="shared" si="4"/>
        <v>71</v>
      </c>
      <c r="AE31" s="5" t="str">
        <f>IFERROR(INDEX('Stato Asta'!$G$9:$G$12,MATCH($B31,'Stato Asta'!$A$9:$A$12,0)),"")</f>
        <v>🔴 Non aspettare</v>
      </c>
      <c r="AF31" t="str">
        <f>IFERROR(IF($V31&lt;=INDEX('Parametri Modello'!$C$57:$C$60,MATCH($B31,'Parametri Modello'!$A$57:$A$60,0)),"Titolare","Riserva"),"")</f>
        <v>Titolare</v>
      </c>
      <c r="AG31" t="str">
        <f>IFERROR(INDEX('Pressione Competitiva'!$F$3:$F$6,MATCH($B31,'Pressione Competitiva'!$B$3:$B$6,0)),"")</f>
        <v>🔴 Molto Alta</v>
      </c>
      <c r="AH31" t="str">
        <f t="shared" si="5"/>
        <v/>
      </c>
      <c r="AI31" t="str">
        <f>IFERROR(IF($AH31="","",IF($AH31&gt;=$AA31*'Parametri Modello'!$B$68,"🟢 Opportunita'",IF($AH31&lt;=$AA31*'Parametri Modello'!$B$69,"🔴 Sovrapprezzo","🟡 Prezzo Corretto"))),"")</f>
        <v/>
      </c>
      <c r="AJ31" t="str">
        <f t="shared" si="6"/>
        <v/>
      </c>
      <c r="AK31">
        <f t="shared" si="7"/>
        <v>8</v>
      </c>
      <c r="AL31" t="str">
        <f t="shared" si="8"/>
        <v>A|Buono|8</v>
      </c>
    </row>
    <row r="32" spans="1:38" ht="14.25" customHeight="1" x14ac:dyDescent="0.25">
      <c r="A32" s="18">
        <v>6908</v>
      </c>
      <c r="B32" s="18" t="s">
        <v>17</v>
      </c>
      <c r="C32" s="18" t="s">
        <v>171</v>
      </c>
      <c r="E32" s="23" t="str">
        <f>IF(COUNTIF('Info Strategia'!$D$2:$D$51,$C32)&gt;0,"SI","NO")</f>
        <v>NO</v>
      </c>
      <c r="F32" s="24">
        <f>IFERROR(ROUND(($G32+($H32-$G32)*'Info Strategia'!$B$6)*(1+IF($E32="SI",'Parametri Modello'!$B$7*'Info Strategia'!$B$6,0)),0),"")</f>
        <v>59</v>
      </c>
      <c r="G32" s="24">
        <f>IFERROR(ROUND(MAX(1,(IF($V32&lt;=INDEX('Parametri Modello'!$C$57:$C$60,MATCH($B32,'Parametri Modello'!$A$57:$A$60,0)),IF(INDEX('Parametri Modello'!$E$57:$E$60,MATCH($B32,'Parametri Modello'!$A$57:$A$60,0))=0,0,($O32/INDEX('Parametri Modello'!$E$57:$E$60,MATCH($B32,'Parametri Modello'!$A$57:$A$60,0)))*(INDEX('Parametri Modello'!$D$57:$D$60,MATCH($B32,'Parametri Modello'!$A$57:$A$60,0))*(INDEX('Parametri Modello'!$B$50:$B$53,MATCH($B32,'Parametri Modello'!$A$50:$A$53,0))*'Parametri Modello'!$B$44))),IF(INDEX('Parametri Modello'!$F$57:$F$60,MATCH($B32,'Parametri Modello'!$A$57:$A$60,0))=0,0,($O32/INDEX('Parametri Modello'!$F$57:$F$60,MATCH($B32,'Parametri Modello'!$A$57:$A$60,0)))*((1-INDEX('Parametri Modello'!$D$57:$D$60,MATCH($B32,'Parametri Modello'!$A$57:$A$60,0)))*(INDEX('Parametri Modello'!$B$50:$B$53,MATCH($B32,'Parametri Modello'!$A$50:$A$53,0))*'Parametri Modello'!$B$44))))*(1+IF(IF($B32="D",'Info Lega'!$B$25,IF($B32="C",'Info Lega'!$B$26,"No"))="Si",'Parametri Modello'!$B$5,0))*(1+MAX(-0.25,MIN(0.25,IF(OR($T32="",$I32="",$I32=0,INDEX('Parametri Modello'!$B$19:$B$22,MATCH($B32,'Parametri Modello'!$A$19:$A$22,0))="",INDEX('Parametri Modello'!$B$19:$B$22,MATCH($B32,'Parametri Modello'!$A$19:$A$22,0))=0),0,(($T32-INDEX('Parametri Modello'!$B$19:$B$22,MATCH($B32,'Parametri Modello'!$A$19:$A$22,0)))/INDEX('Parametri Modello'!$B$19:$B$22,MATCH($B32,'Parametri Modello'!$A$19:$A$22,0)))*'Parametri Modello'!$B$9))))*(1+IF('Parametri Modello'!$B$27="Si",MAX(-'Parametri Modello'!$B$28,MIN('Parametri Modello'!$B$28*1.5,IF(OR(INDEX('Parametri Modello'!$F$32:$F$35,MATCH($B32,'Parametri Modello'!$A$32:$A$35,0))="",INDEX('Parametri Modello'!$F$32:$F$35,MATCH($B32,'Parametri Modello'!$A$32:$A$35,0))=0),0,(1/INDEX('Parametri Modello'!$F$32:$F$35,MATCH($B32,'Parametri Modello'!$A$32:$A$35,0))-1)*'Parametri Modello'!$B$28))),0)))*(1-INDEX('Parametri Modello'!$B$12:$B$15,MATCH($B32,'Parametri Modello'!$A$12:$A$15,0)))),0),"")</f>
        <v>40</v>
      </c>
      <c r="H32" s="24">
        <f>IFERROR(ROUND((IF($V32&lt;=INDEX('Parametri Modello'!$C$57:$C$60,MATCH($B32,'Parametri Modello'!$A$57:$A$60,0)),IF(INDEX('Parametri Modello'!$E$57:$E$60,MATCH($B32,'Parametri Modello'!$A$57:$A$60,0))=0,0,($O32/INDEX('Parametri Modello'!$E$57:$E$60,MATCH($B32,'Parametri Modello'!$A$57:$A$60,0)))*(INDEX('Parametri Modello'!$D$57:$D$60,MATCH($B32,'Parametri Modello'!$A$57:$A$60,0))*(INDEX('Parametri Modello'!$B$50:$B$53,MATCH($B32,'Parametri Modello'!$A$50:$A$53,0))*'Parametri Modello'!$B$44))),IF(INDEX('Parametri Modello'!$F$57:$F$60,MATCH($B32,'Parametri Modello'!$A$57:$A$60,0))=0,0,($O32/INDEX('Parametri Modello'!$F$57:$F$60,MATCH($B32,'Parametri Modello'!$A$57:$A$60,0)))*((1-INDEX('Parametri Modello'!$D$57:$D$60,MATCH($B32,'Parametri Modello'!$A$57:$A$60,0)))*(INDEX('Parametri Modello'!$B$50:$B$53,MATCH($B32,'Parametri Modello'!$A$50:$A$53,0))*'Parametri Modello'!$B$44))))*(1+IF(IF($B32="D",'Info Lega'!$B$25,IF($B32="C",'Info Lega'!$B$26,"No"))="Si",'Parametri Modello'!$B$5,0))*(1+MAX(-0.25,MIN(0.25,IF(OR($T32="",$I32="",$I32=0,INDEX('Parametri Modello'!$B$19:$B$22,MATCH($B32,'Parametri Modello'!$A$19:$A$22,0))="",INDEX('Parametri Modello'!$B$19:$B$22,MATCH($B32,'Parametri Modello'!$A$19:$A$22,0))=0),0,(($T32-INDEX('Parametri Modello'!$B$19:$B$22,MATCH($B32,'Parametri Modello'!$A$19:$A$22,0)))/INDEX('Parametri Modello'!$B$19:$B$22,MATCH($B32,'Parametri Modello'!$A$19:$A$22,0)))*'Parametri Modello'!$B$9))))*(1+IF('Parametri Modello'!$B$27="Si",MAX(-'Parametri Modello'!$B$28,MIN('Parametri Modello'!$B$28*1.5,IF(OR(INDEX('Parametri Modello'!$F$32:$F$35,MATCH($B32,'Parametri Modello'!$A$32:$A$35,0))="",INDEX('Parametri Modello'!$F$32:$F$35,MATCH($B32,'Parametri Modello'!$A$32:$A$35,0))=0),0,(1/INDEX('Parametri Modello'!$F$32:$F$35,MATCH($B32,'Parametri Modello'!$A$32:$A$35,0))-1)*'Parametri Modello'!$B$28))),0)))*(1+INDEX('Parametri Modello'!$B$12:$B$15,MATCH($B32,'Parametri Modello'!$A$12:$A$15,0))),0),"")</f>
        <v>67</v>
      </c>
      <c r="I32" s="23">
        <f>IFERROR(INDEX('Input Statistiche 2025_26'!$F$3:$F$665,MATCH($A32,'Input Statistiche 2025_26'!$A$3:$A$665,0)),"")</f>
        <v>32</v>
      </c>
      <c r="J32" s="23">
        <f t="shared" si="0"/>
        <v>6</v>
      </c>
      <c r="K32" s="23">
        <f>IFERROR(INDEX('Input Statistiche 2025_26'!$I$3:$I$665,MATCH($A32,'Input Statistiche 2025_26'!$A$3:$A$665,0)),"")</f>
        <v>5</v>
      </c>
      <c r="L32" s="23">
        <f>IFERROR(INDEX('Input Statistiche 2025_26'!$O$3:$O$665,MATCH($A32,'Input Statistiche 2025_26'!$A$3:$A$665,0)),"")</f>
        <v>3</v>
      </c>
      <c r="M32" s="25"/>
      <c r="N32" s="24">
        <f>IFERROR(INDEX('Input Giocatori 2026_27'!$E$3:$E$493,MATCH($A32,'Input Giocatori 2026_27'!$A$3:$A$493,0)),"")</f>
        <v>17</v>
      </c>
      <c r="O32" s="24">
        <f>IFERROR(INDEX('Input Giocatori 2026_27'!$G$3:$G$493,MATCH($A32,'Input Giocatori 2026_27'!$A$3:$A$493,0)),"")</f>
        <v>87</v>
      </c>
      <c r="P32" s="23" t="str">
        <f>IFERROR(IF($O32="","",IF((1-(COUNTIFS($B$2:$B$492,$B32,$O$2:$O$492,"&gt;"&amp;$O32)+1-1)/COUNTIF($B$2:$B$492,$B32))&gt;='Parametri Modello'!$B$63,"Top",IF((1-(COUNTIFS($B$2:$B$492,$B32,$O$2:$O$492,"&gt;"&amp;$O32)+1-1)/COUNTIF($B$2:$B$492,$B32))&gt;='Parametri Modello'!$B$64,"Buono",IF((1-(COUNTIFS($B$2:$B$492,$B32,$O$2:$O$492,"&gt;"&amp;$O32)+1-1)/COUNTIF($B$2:$B$492,$B32))&gt;='Parametri Modello'!$B$65,"Nella Media","Scommessa/Riserva")))),"")</f>
        <v>Top</v>
      </c>
      <c r="Q32" s="26">
        <f>IF(AND($D32="",$N32&gt;1),SUMPRODUCT(($D$2:$D32="")*($N$2:$N32&gt;1)),"")</f>
        <v>31</v>
      </c>
      <c r="R32" s="26" t="str">
        <f>IF($D32='Info Lega'!$B$28,COUNTIFS($D$2:$D32,'Info Lega'!$B$28),"")</f>
        <v/>
      </c>
      <c r="S32" s="27">
        <f>IFERROR(INDEX('Input Statistiche 2025_26'!$G$3:$G$665,MATCH($A32,'Input Statistiche 2025_26'!$A$3:$A$665,0)),"")</f>
        <v>6.36</v>
      </c>
      <c r="T32" s="27">
        <f>IFERROR(INDEX('Input Statistiche 2025_26'!$H$3:$H$665,MATCH($A32,'Input Statistiche 2025_26'!$A$3:$A$665,0)),"")</f>
        <v>6.88</v>
      </c>
      <c r="U32" s="23" t="str">
        <f>IF(OR('La Mia Rosa'!$O$12="",$D32&lt;&gt;""),"",IF($F32&lt;='La Mia Rosa'!$O$12*'Parametri Modello'!$B$24,"OK",IF($F32&lt;='La Mia Rosa'!$O$12*'Parametri Modello'!$B$25,"Attenzione","Rischio Alto")))</f>
        <v>OK</v>
      </c>
      <c r="V32" s="23">
        <f t="shared" si="1"/>
        <v>12</v>
      </c>
      <c r="W32" s="18">
        <f>'Info Lega'!$B$4-SUMIFS($M$2:$M$492,$D$2:$D$492,'Info Lega'!$B$28)</f>
        <v>1000</v>
      </c>
      <c r="X32" s="18">
        <f>('Info Lega'!$B$5-COUNTIFS($D$2:$D$492,'Info Lega'!$B$28,$B$2:$B$492,"P"))+('Info Lega'!$B$6-COUNTIFS($D$2:$D$492,'Info Lega'!$B$28,$B$2:$B$492,"D"))+('Info Lega'!$B$7-COUNTIFS($D$2:$D$492,'Info Lega'!$B$28,$B$2:$B$492,"C"))+('Info Lega'!$B$8-COUNTIFS($D$2:$D$492,'Info Lega'!$B$28,$B$2:$B$492,"A"))</f>
        <v>25</v>
      </c>
      <c r="Y32" s="18">
        <f>X32*'Parametri Modello'!$B$30</f>
        <v>25</v>
      </c>
      <c r="Z32" s="18">
        <f t="shared" si="2"/>
        <v>975</v>
      </c>
      <c r="AA32" s="18">
        <f t="shared" si="3"/>
        <v>59</v>
      </c>
      <c r="AB32" s="18"/>
      <c r="AC32" s="18" t="str">
        <f>IF($AB32="","",IF($AB32&gt;$AA32,"PASS",IF($AB32&lt;=$AA32*(1-'Parametri Modello'!$B$68),"BID","ATTENZIONE")))</f>
        <v/>
      </c>
      <c r="AD32" s="28">
        <f t="shared" si="4"/>
        <v>66</v>
      </c>
      <c r="AE32" s="5" t="str">
        <f>IFERROR(INDEX('Stato Asta'!$G$9:$G$12,MATCH($B32,'Stato Asta'!$A$9:$A$12,0)),"")</f>
        <v>🔴 Non aspettare</v>
      </c>
      <c r="AF32" t="str">
        <f>IFERROR(IF($V32&lt;=INDEX('Parametri Modello'!$C$57:$C$60,MATCH($B32,'Parametri Modello'!$A$57:$A$60,0)),"Titolare","Riserva"),"")</f>
        <v>Titolare</v>
      </c>
      <c r="AG32" t="str">
        <f>IFERROR(INDEX('Pressione Competitiva'!$F$3:$F$6,MATCH($B32,'Pressione Competitiva'!$B$3:$B$6,0)),"")</f>
        <v>🔴 Molto Alta</v>
      </c>
      <c r="AH32" t="str">
        <f t="shared" si="5"/>
        <v/>
      </c>
      <c r="AI32" t="str">
        <f>IFERROR(IF($AH32="","",IF($AH32&gt;=$AA32*'Parametri Modello'!$B$68,"🟢 Opportunita'",IF($AH32&lt;=$AA32*'Parametri Modello'!$B$69,"🔴 Sovrapprezzo","🟡 Prezzo Corretto"))),"")</f>
        <v/>
      </c>
      <c r="AJ32" t="str">
        <f t="shared" si="6"/>
        <v/>
      </c>
      <c r="AK32">
        <f t="shared" si="7"/>
        <v>12</v>
      </c>
      <c r="AL32" t="str">
        <f t="shared" si="8"/>
        <v>C|Top|12</v>
      </c>
    </row>
    <row r="33" spans="1:38" ht="14.25" customHeight="1" x14ac:dyDescent="0.25">
      <c r="A33" s="18">
        <v>6675</v>
      </c>
      <c r="B33" s="18" t="s">
        <v>18</v>
      </c>
      <c r="C33" s="18" t="s">
        <v>172</v>
      </c>
      <c r="E33" s="23" t="str">
        <f>IF(COUNTIF('Info Strategia'!$D$2:$D$51,$C33)&gt;0,"SI","NO")</f>
        <v>NO</v>
      </c>
      <c r="F33" s="24">
        <f>IFERROR(ROUND(($G33+($H33-$G33)*'Info Strategia'!$B$6)*(1+IF($E33="SI",'Parametri Modello'!$B$7*'Info Strategia'!$B$6,0)),0),"")</f>
        <v>86</v>
      </c>
      <c r="G33" s="24">
        <f>IFERROR(ROUND(MAX(1,(IF($V33&lt;=INDEX('Parametri Modello'!$C$57:$C$60,MATCH($B33,'Parametri Modello'!$A$57:$A$60,0)),IF(INDEX('Parametri Modello'!$E$57:$E$60,MATCH($B33,'Parametri Modello'!$A$57:$A$60,0))=0,0,($O33/INDEX('Parametri Modello'!$E$57:$E$60,MATCH($B33,'Parametri Modello'!$A$57:$A$60,0)))*(INDEX('Parametri Modello'!$D$57:$D$60,MATCH($B33,'Parametri Modello'!$A$57:$A$60,0))*(INDEX('Parametri Modello'!$B$50:$B$53,MATCH($B33,'Parametri Modello'!$A$50:$A$53,0))*'Parametri Modello'!$B$44))),IF(INDEX('Parametri Modello'!$F$57:$F$60,MATCH($B33,'Parametri Modello'!$A$57:$A$60,0))=0,0,($O33/INDEX('Parametri Modello'!$F$57:$F$60,MATCH($B33,'Parametri Modello'!$A$57:$A$60,0)))*((1-INDEX('Parametri Modello'!$D$57:$D$60,MATCH($B33,'Parametri Modello'!$A$57:$A$60,0)))*(INDEX('Parametri Modello'!$B$50:$B$53,MATCH($B33,'Parametri Modello'!$A$50:$A$53,0))*'Parametri Modello'!$B$44))))*(1+IF(IF($B33="D",'Info Lega'!$B$25,IF($B33="C",'Info Lega'!$B$26,"No"))="Si",'Parametri Modello'!$B$5,0))*(1+MAX(-0.25,MIN(0.25,IF(OR($T33="",$I33="",$I33=0,INDEX('Parametri Modello'!$B$19:$B$22,MATCH($B33,'Parametri Modello'!$A$19:$A$22,0))="",INDEX('Parametri Modello'!$B$19:$B$22,MATCH($B33,'Parametri Modello'!$A$19:$A$22,0))=0),0,(($T33-INDEX('Parametri Modello'!$B$19:$B$22,MATCH($B33,'Parametri Modello'!$A$19:$A$22,0)))/INDEX('Parametri Modello'!$B$19:$B$22,MATCH($B33,'Parametri Modello'!$A$19:$A$22,0)))*'Parametri Modello'!$B$9))))*(1+IF('Parametri Modello'!$B$27="Si",MAX(-'Parametri Modello'!$B$28,MIN('Parametri Modello'!$B$28*1.5,IF(OR(INDEX('Parametri Modello'!$F$32:$F$35,MATCH($B33,'Parametri Modello'!$A$32:$A$35,0))="",INDEX('Parametri Modello'!$F$32:$F$35,MATCH($B33,'Parametri Modello'!$A$32:$A$35,0))=0),0,(1/INDEX('Parametri Modello'!$F$32:$F$35,MATCH($B33,'Parametri Modello'!$A$32:$A$35,0))-1)*'Parametri Modello'!$B$28))),0)))*(1-INDEX('Parametri Modello'!$B$12:$B$15,MATCH($B33,'Parametri Modello'!$A$12:$A$15,0)))),0),"")</f>
        <v>54</v>
      </c>
      <c r="H33" s="24">
        <f>IFERROR(ROUND((IF($V33&lt;=INDEX('Parametri Modello'!$C$57:$C$60,MATCH($B33,'Parametri Modello'!$A$57:$A$60,0)),IF(INDEX('Parametri Modello'!$E$57:$E$60,MATCH($B33,'Parametri Modello'!$A$57:$A$60,0))=0,0,($O33/INDEX('Parametri Modello'!$E$57:$E$60,MATCH($B33,'Parametri Modello'!$A$57:$A$60,0)))*(INDEX('Parametri Modello'!$D$57:$D$60,MATCH($B33,'Parametri Modello'!$A$57:$A$60,0))*(INDEX('Parametri Modello'!$B$50:$B$53,MATCH($B33,'Parametri Modello'!$A$50:$A$53,0))*'Parametri Modello'!$B$44))),IF(INDEX('Parametri Modello'!$F$57:$F$60,MATCH($B33,'Parametri Modello'!$A$57:$A$60,0))=0,0,($O33/INDEX('Parametri Modello'!$F$57:$F$60,MATCH($B33,'Parametri Modello'!$A$57:$A$60,0)))*((1-INDEX('Parametri Modello'!$D$57:$D$60,MATCH($B33,'Parametri Modello'!$A$57:$A$60,0)))*(INDEX('Parametri Modello'!$B$50:$B$53,MATCH($B33,'Parametri Modello'!$A$50:$A$53,0))*'Parametri Modello'!$B$44))))*(1+IF(IF($B33="D",'Info Lega'!$B$25,IF($B33="C",'Info Lega'!$B$26,"No"))="Si",'Parametri Modello'!$B$5,0))*(1+MAX(-0.25,MIN(0.25,IF(OR($T33="",$I33="",$I33=0,INDEX('Parametri Modello'!$B$19:$B$22,MATCH($B33,'Parametri Modello'!$A$19:$A$22,0))="",INDEX('Parametri Modello'!$B$19:$B$22,MATCH($B33,'Parametri Modello'!$A$19:$A$22,0))=0),0,(($T33-INDEX('Parametri Modello'!$B$19:$B$22,MATCH($B33,'Parametri Modello'!$A$19:$A$22,0)))/INDEX('Parametri Modello'!$B$19:$B$22,MATCH($B33,'Parametri Modello'!$A$19:$A$22,0)))*'Parametri Modello'!$B$9))))*(1+IF('Parametri Modello'!$B$27="Si",MAX(-'Parametri Modello'!$B$28,MIN('Parametri Modello'!$B$28*1.5,IF(OR(INDEX('Parametri Modello'!$F$32:$F$35,MATCH($B33,'Parametri Modello'!$A$32:$A$35,0))="",INDEX('Parametri Modello'!$F$32:$F$35,MATCH($B33,'Parametri Modello'!$A$32:$A$35,0))=0),0,(1/INDEX('Parametri Modello'!$F$32:$F$35,MATCH($B33,'Parametri Modello'!$A$32:$A$35,0))-1)*'Parametri Modello'!$B$28))),0)))*(1+INDEX('Parametri Modello'!$B$12:$B$15,MATCH($B33,'Parametri Modello'!$A$12:$A$15,0))),0),"")</f>
        <v>100</v>
      </c>
      <c r="I33" s="23">
        <f>IFERROR(INDEX('Input Statistiche 2025_26'!$F$3:$F$665,MATCH($A33,'Input Statistiche 2025_26'!$A$3:$A$665,0)),"")</f>
        <v>13</v>
      </c>
      <c r="J33" s="23">
        <f t="shared" si="0"/>
        <v>25</v>
      </c>
      <c r="K33" s="23">
        <f>IFERROR(INDEX('Input Statistiche 2025_26'!$I$3:$I$665,MATCH($A33,'Input Statistiche 2025_26'!$A$3:$A$665,0)),"")</f>
        <v>3</v>
      </c>
      <c r="L33" s="23">
        <f>IFERROR(INDEX('Input Statistiche 2025_26'!$O$3:$O$665,MATCH($A33,'Input Statistiche 2025_26'!$A$3:$A$665,0)),"")</f>
        <v>1</v>
      </c>
      <c r="M33" s="25"/>
      <c r="N33" s="24">
        <f>IFERROR(INDEX('Input Giocatori 2026_27'!$E$3:$E$493,MATCH($A33,'Input Giocatori 2026_27'!$A$3:$A$493,0)),"")</f>
        <v>16</v>
      </c>
      <c r="O33" s="24">
        <f>IFERROR(INDEX('Input Giocatori 2026_27'!$G$3:$G$493,MATCH($A33,'Input Giocatori 2026_27'!$A$3:$A$493,0)),"")</f>
        <v>84</v>
      </c>
      <c r="P33" s="23" t="str">
        <f>IFERROR(IF($O33="","",IF((1-(COUNTIFS($B$2:$B$492,$B33,$O$2:$O$492,"&gt;"&amp;$O33)+1-1)/COUNTIF($B$2:$B$492,$B33))&gt;='Parametri Modello'!$B$63,"Top",IF((1-(COUNTIFS($B$2:$B$492,$B33,$O$2:$O$492,"&gt;"&amp;$O33)+1-1)/COUNTIF($B$2:$B$492,$B33))&gt;='Parametri Modello'!$B$64,"Buono",IF((1-(COUNTIFS($B$2:$B$492,$B33,$O$2:$O$492,"&gt;"&amp;$O33)+1-1)/COUNTIF($B$2:$B$492,$B33))&gt;='Parametri Modello'!$B$65,"Nella Media","Scommessa/Riserva")))),"")</f>
        <v>Buono</v>
      </c>
      <c r="Q33" s="26">
        <f>IF(AND($D33="",$N33&gt;1),SUMPRODUCT(($D$2:$D33="")*($N$2:$N33&gt;1)),"")</f>
        <v>32</v>
      </c>
      <c r="R33" s="26" t="str">
        <f>IF($D33='Info Lega'!$B$28,COUNTIFS($D$2:$D33,'Info Lega'!$B$28),"")</f>
        <v/>
      </c>
      <c r="S33" s="27">
        <f>IFERROR(INDEX('Input Statistiche 2025_26'!$G$3:$G$665,MATCH($A33,'Input Statistiche 2025_26'!$A$3:$A$665,0)),"")</f>
        <v>6</v>
      </c>
      <c r="T33" s="27">
        <f>IFERROR(INDEX('Input Statistiche 2025_26'!$H$3:$H$665,MATCH($A33,'Input Statistiche 2025_26'!$A$3:$A$665,0)),"")</f>
        <v>6.77</v>
      </c>
      <c r="U33" s="23" t="str">
        <f>IF(OR('La Mia Rosa'!$O$12="",$D33&lt;&gt;""),"",IF($F33&lt;='La Mia Rosa'!$O$12*'Parametri Modello'!$B$24,"OK",IF($F33&lt;='La Mia Rosa'!$O$12*'Parametri Modello'!$B$25,"Attenzione","Rischio Alto")))</f>
        <v>Attenzione</v>
      </c>
      <c r="V33" s="23">
        <f t="shared" si="1"/>
        <v>18</v>
      </c>
      <c r="W33" s="18">
        <f>'Info Lega'!$B$4-SUMIFS($M$2:$M$492,$D$2:$D$492,'Info Lega'!$B$28)</f>
        <v>1000</v>
      </c>
      <c r="X33" s="18">
        <f>('Info Lega'!$B$5-COUNTIFS($D$2:$D$492,'Info Lega'!$B$28,$B$2:$B$492,"P"))+('Info Lega'!$B$6-COUNTIFS($D$2:$D$492,'Info Lega'!$B$28,$B$2:$B$492,"D"))+('Info Lega'!$B$7-COUNTIFS($D$2:$D$492,'Info Lega'!$B$28,$B$2:$B$492,"C"))+('Info Lega'!$B$8-COUNTIFS($D$2:$D$492,'Info Lega'!$B$28,$B$2:$B$492,"A"))</f>
        <v>25</v>
      </c>
      <c r="Y33" s="18">
        <f>X33*'Parametri Modello'!$B$30</f>
        <v>25</v>
      </c>
      <c r="Z33" s="18">
        <f t="shared" si="2"/>
        <v>975</v>
      </c>
      <c r="AA33" s="18">
        <f t="shared" si="3"/>
        <v>86</v>
      </c>
      <c r="AB33" s="18"/>
      <c r="AC33" s="18" t="str">
        <f>IF($AB33="","",IF($AB33&gt;$AA33,"PASS",IF($AB33&lt;=$AA33*(1-'Parametri Modello'!$B$68),"BID","ATTENZIONE")))</f>
        <v/>
      </c>
      <c r="AD33" s="28">
        <f t="shared" si="4"/>
        <v>35</v>
      </c>
      <c r="AE33" s="5" t="str">
        <f>IFERROR(INDEX('Stato Asta'!$G$9:$G$12,MATCH($B33,'Stato Asta'!$A$9:$A$12,0)),"")</f>
        <v>🔴 Non aspettare</v>
      </c>
      <c r="AF33" t="str">
        <f>IFERROR(IF($V33&lt;=INDEX('Parametri Modello'!$C$57:$C$60,MATCH($B33,'Parametri Modello'!$A$57:$A$60,0)),"Titolare","Riserva"),"")</f>
        <v>Titolare</v>
      </c>
      <c r="AG33" t="str">
        <f>IFERROR(INDEX('Pressione Competitiva'!$F$3:$F$6,MATCH($B33,'Pressione Competitiva'!$B$3:$B$6,0)),"")</f>
        <v>🔴 Molto Alta</v>
      </c>
      <c r="AH33" t="str">
        <f t="shared" si="5"/>
        <v/>
      </c>
      <c r="AI33" t="str">
        <f>IFERROR(IF($AH33="","",IF($AH33&gt;=$AA33*'Parametri Modello'!$B$68,"🟢 Opportunita'",IF($AH33&lt;=$AA33*'Parametri Modello'!$B$69,"🔴 Sovrapprezzo","🟡 Prezzo Corretto"))),"")</f>
        <v/>
      </c>
      <c r="AJ33" t="str">
        <f t="shared" si="6"/>
        <v/>
      </c>
      <c r="AK33">
        <f t="shared" si="7"/>
        <v>9</v>
      </c>
      <c r="AL33" t="str">
        <f t="shared" si="8"/>
        <v>A|Buono|9</v>
      </c>
    </row>
    <row r="34" spans="1:38" ht="14.25" customHeight="1" x14ac:dyDescent="0.25">
      <c r="A34" s="18">
        <v>6572</v>
      </c>
      <c r="B34" s="18" t="s">
        <v>18</v>
      </c>
      <c r="C34" s="18" t="s">
        <v>173</v>
      </c>
      <c r="E34" s="23" t="str">
        <f>IF(COUNTIF('Info Strategia'!$D$2:$D$51,$C34)&gt;0,"SI","NO")</f>
        <v>NO</v>
      </c>
      <c r="F34" s="24">
        <f>IFERROR(ROUND(($G34+($H34-$G34)*'Info Strategia'!$B$6)*(1+IF($E34="SI",'Parametri Modello'!$B$7*'Info Strategia'!$B$6,0)),0),"")</f>
        <v>85</v>
      </c>
      <c r="G34" s="24">
        <f>IFERROR(ROUND(MAX(1,(IF($V34&lt;=INDEX('Parametri Modello'!$C$57:$C$60,MATCH($B34,'Parametri Modello'!$A$57:$A$60,0)),IF(INDEX('Parametri Modello'!$E$57:$E$60,MATCH($B34,'Parametri Modello'!$A$57:$A$60,0))=0,0,($O34/INDEX('Parametri Modello'!$E$57:$E$60,MATCH($B34,'Parametri Modello'!$A$57:$A$60,0)))*(INDEX('Parametri Modello'!$D$57:$D$60,MATCH($B34,'Parametri Modello'!$A$57:$A$60,0))*(INDEX('Parametri Modello'!$B$50:$B$53,MATCH($B34,'Parametri Modello'!$A$50:$A$53,0))*'Parametri Modello'!$B$44))),IF(INDEX('Parametri Modello'!$F$57:$F$60,MATCH($B34,'Parametri Modello'!$A$57:$A$60,0))=0,0,($O34/INDEX('Parametri Modello'!$F$57:$F$60,MATCH($B34,'Parametri Modello'!$A$57:$A$60,0)))*((1-INDEX('Parametri Modello'!$D$57:$D$60,MATCH($B34,'Parametri Modello'!$A$57:$A$60,0)))*(INDEX('Parametri Modello'!$B$50:$B$53,MATCH($B34,'Parametri Modello'!$A$50:$A$53,0))*'Parametri Modello'!$B$44))))*(1+IF(IF($B34="D",'Info Lega'!$B$25,IF($B34="C",'Info Lega'!$B$26,"No"))="Si",'Parametri Modello'!$B$5,0))*(1+MAX(-0.25,MIN(0.25,IF(OR($T34="",$I34="",$I34=0,INDEX('Parametri Modello'!$B$19:$B$22,MATCH($B34,'Parametri Modello'!$A$19:$A$22,0))="",INDEX('Parametri Modello'!$B$19:$B$22,MATCH($B34,'Parametri Modello'!$A$19:$A$22,0))=0),0,(($T34-INDEX('Parametri Modello'!$B$19:$B$22,MATCH($B34,'Parametri Modello'!$A$19:$A$22,0)))/INDEX('Parametri Modello'!$B$19:$B$22,MATCH($B34,'Parametri Modello'!$A$19:$A$22,0)))*'Parametri Modello'!$B$9))))*(1+IF('Parametri Modello'!$B$27="Si",MAX(-'Parametri Modello'!$B$28,MIN('Parametri Modello'!$B$28*1.5,IF(OR(INDEX('Parametri Modello'!$F$32:$F$35,MATCH($B34,'Parametri Modello'!$A$32:$A$35,0))="",INDEX('Parametri Modello'!$F$32:$F$35,MATCH($B34,'Parametri Modello'!$A$32:$A$35,0))=0),0,(1/INDEX('Parametri Modello'!$F$32:$F$35,MATCH($B34,'Parametri Modello'!$A$32:$A$35,0))-1)*'Parametri Modello'!$B$28))),0)))*(1-INDEX('Parametri Modello'!$B$12:$B$15,MATCH($B34,'Parametri Modello'!$A$12:$A$15,0)))),0),"")</f>
        <v>53</v>
      </c>
      <c r="H34" s="24">
        <f>IFERROR(ROUND((IF($V34&lt;=INDEX('Parametri Modello'!$C$57:$C$60,MATCH($B34,'Parametri Modello'!$A$57:$A$60,0)),IF(INDEX('Parametri Modello'!$E$57:$E$60,MATCH($B34,'Parametri Modello'!$A$57:$A$60,0))=0,0,($O34/INDEX('Parametri Modello'!$E$57:$E$60,MATCH($B34,'Parametri Modello'!$A$57:$A$60,0)))*(INDEX('Parametri Modello'!$D$57:$D$60,MATCH($B34,'Parametri Modello'!$A$57:$A$60,0))*(INDEX('Parametri Modello'!$B$50:$B$53,MATCH($B34,'Parametri Modello'!$A$50:$A$53,0))*'Parametri Modello'!$B$44))),IF(INDEX('Parametri Modello'!$F$57:$F$60,MATCH($B34,'Parametri Modello'!$A$57:$A$60,0))=0,0,($O34/INDEX('Parametri Modello'!$F$57:$F$60,MATCH($B34,'Parametri Modello'!$A$57:$A$60,0)))*((1-INDEX('Parametri Modello'!$D$57:$D$60,MATCH($B34,'Parametri Modello'!$A$57:$A$60,0)))*(INDEX('Parametri Modello'!$B$50:$B$53,MATCH($B34,'Parametri Modello'!$A$50:$A$53,0))*'Parametri Modello'!$B$44))))*(1+IF(IF($B34="D",'Info Lega'!$B$25,IF($B34="C",'Info Lega'!$B$26,"No"))="Si",'Parametri Modello'!$B$5,0))*(1+MAX(-0.25,MIN(0.25,IF(OR($T34="",$I34="",$I34=0,INDEX('Parametri Modello'!$B$19:$B$22,MATCH($B34,'Parametri Modello'!$A$19:$A$22,0))="",INDEX('Parametri Modello'!$B$19:$B$22,MATCH($B34,'Parametri Modello'!$A$19:$A$22,0))=0),0,(($T34-INDEX('Parametri Modello'!$B$19:$B$22,MATCH($B34,'Parametri Modello'!$A$19:$A$22,0)))/INDEX('Parametri Modello'!$B$19:$B$22,MATCH($B34,'Parametri Modello'!$A$19:$A$22,0)))*'Parametri Modello'!$B$9))))*(1+IF('Parametri Modello'!$B$27="Si",MAX(-'Parametri Modello'!$B$28,MIN('Parametri Modello'!$B$28*1.5,IF(OR(INDEX('Parametri Modello'!$F$32:$F$35,MATCH($B34,'Parametri Modello'!$A$32:$A$35,0))="",INDEX('Parametri Modello'!$F$32:$F$35,MATCH($B34,'Parametri Modello'!$A$32:$A$35,0))=0),0,(1/INDEX('Parametri Modello'!$F$32:$F$35,MATCH($B34,'Parametri Modello'!$A$32:$A$35,0))-1)*'Parametri Modello'!$B$28))),0)))*(1+INDEX('Parametri Modello'!$B$12:$B$15,MATCH($B34,'Parametri Modello'!$A$12:$A$15,0))),0),"")</f>
        <v>98</v>
      </c>
      <c r="I34" s="23">
        <f>IFERROR(INDEX('Input Statistiche 2025_26'!$F$3:$F$665,MATCH($A34,'Input Statistiche 2025_26'!$A$3:$A$665,0)),"")</f>
        <v>35</v>
      </c>
      <c r="J34" s="23">
        <f t="shared" si="0"/>
        <v>3</v>
      </c>
      <c r="K34" s="23">
        <f>IFERROR(INDEX('Input Statistiche 2025_26'!$I$3:$I$665,MATCH($A34,'Input Statistiche 2025_26'!$A$3:$A$665,0)),"")</f>
        <v>7</v>
      </c>
      <c r="L34" s="23">
        <f>IFERROR(INDEX('Input Statistiche 2025_26'!$O$3:$O$665,MATCH($A34,'Input Statistiche 2025_26'!$A$3:$A$665,0)),"")</f>
        <v>1</v>
      </c>
      <c r="M34" s="25"/>
      <c r="N34" s="24">
        <f>IFERROR(INDEX('Input Giocatori 2026_27'!$E$3:$E$493,MATCH($A34,'Input Giocatori 2026_27'!$A$3:$A$493,0)),"")</f>
        <v>14</v>
      </c>
      <c r="O34" s="24">
        <f>IFERROR(INDEX('Input Giocatori 2026_27'!$G$3:$G$493,MATCH($A34,'Input Giocatori 2026_27'!$A$3:$A$493,0)),"")</f>
        <v>83</v>
      </c>
      <c r="P34" s="23" t="str">
        <f>IFERROR(IF($O34="","",IF((1-(COUNTIFS($B$2:$B$492,$B34,$O$2:$O$492,"&gt;"&amp;$O34)+1-1)/COUNTIF($B$2:$B$492,$B34))&gt;='Parametri Modello'!$B$63,"Top",IF((1-(COUNTIFS($B$2:$B$492,$B34,$O$2:$O$492,"&gt;"&amp;$O34)+1-1)/COUNTIF($B$2:$B$492,$B34))&gt;='Parametri Modello'!$B$64,"Buono",IF((1-(COUNTIFS($B$2:$B$492,$B34,$O$2:$O$492,"&gt;"&amp;$O34)+1-1)/COUNTIF($B$2:$B$492,$B34))&gt;='Parametri Modello'!$B$65,"Nella Media","Scommessa/Riserva")))),"")</f>
        <v>Buono</v>
      </c>
      <c r="Q34" s="26">
        <f>IF(AND($D34="",$N34&gt;1),SUMPRODUCT(($D$2:$D34="")*($N$2:$N34&gt;1)),"")</f>
        <v>33</v>
      </c>
      <c r="R34" s="26" t="str">
        <f>IF($D34='Info Lega'!$B$28,COUNTIFS($D$2:$D34,'Info Lega'!$B$28),"")</f>
        <v/>
      </c>
      <c r="S34" s="27">
        <f>IFERROR(INDEX('Input Statistiche 2025_26'!$G$3:$G$665,MATCH($A34,'Input Statistiche 2025_26'!$A$3:$A$665,0)),"")</f>
        <v>5.93</v>
      </c>
      <c r="T34" s="27">
        <f>IFERROR(INDEX('Input Statistiche 2025_26'!$H$3:$H$665,MATCH($A34,'Input Statistiche 2025_26'!$A$3:$A$665,0)),"")</f>
        <v>6.51</v>
      </c>
      <c r="U34" s="23" t="str">
        <f>IF(OR('La Mia Rosa'!$O$12="",$D34&lt;&gt;""),"",IF($F34&lt;='La Mia Rosa'!$O$12*'Parametri Modello'!$B$24,"OK",IF($F34&lt;='La Mia Rosa'!$O$12*'Parametri Modello'!$B$25,"Attenzione","Rischio Alto")))</f>
        <v>Attenzione</v>
      </c>
      <c r="V34" s="23">
        <f t="shared" si="1"/>
        <v>19</v>
      </c>
      <c r="W34" s="18">
        <f>'Info Lega'!$B$4-SUMIFS($M$2:$M$492,$D$2:$D$492,'Info Lega'!$B$28)</f>
        <v>1000</v>
      </c>
      <c r="X34" s="18">
        <f>('Info Lega'!$B$5-COUNTIFS($D$2:$D$492,'Info Lega'!$B$28,$B$2:$B$492,"P"))+('Info Lega'!$B$6-COUNTIFS($D$2:$D$492,'Info Lega'!$B$28,$B$2:$B$492,"D"))+('Info Lega'!$B$7-COUNTIFS($D$2:$D$492,'Info Lega'!$B$28,$B$2:$B$492,"C"))+('Info Lega'!$B$8-COUNTIFS($D$2:$D$492,'Info Lega'!$B$28,$B$2:$B$492,"A"))</f>
        <v>25</v>
      </c>
      <c r="Y34" s="18">
        <f>X34*'Parametri Modello'!$B$30</f>
        <v>25</v>
      </c>
      <c r="Z34" s="18">
        <f t="shared" si="2"/>
        <v>975</v>
      </c>
      <c r="AA34" s="18">
        <f t="shared" si="3"/>
        <v>85</v>
      </c>
      <c r="AB34" s="18"/>
      <c r="AC34" s="18" t="str">
        <f>IF($AB34="","",IF($AB34&gt;$AA34,"PASS",IF($AB34&lt;=$AA34*(1-'Parametri Modello'!$B$68),"BID","ATTENZIONE")))</f>
        <v/>
      </c>
      <c r="AD34" s="28">
        <f t="shared" si="4"/>
        <v>69</v>
      </c>
      <c r="AE34" s="5" t="str">
        <f>IFERROR(INDEX('Stato Asta'!$G$9:$G$12,MATCH($B34,'Stato Asta'!$A$9:$A$12,0)),"")</f>
        <v>🔴 Non aspettare</v>
      </c>
      <c r="AF34" t="str">
        <f>IFERROR(IF($V34&lt;=INDEX('Parametri Modello'!$C$57:$C$60,MATCH($B34,'Parametri Modello'!$A$57:$A$60,0)),"Titolare","Riserva"),"")</f>
        <v>Titolare</v>
      </c>
      <c r="AG34" t="str">
        <f>IFERROR(INDEX('Pressione Competitiva'!$F$3:$F$6,MATCH($B34,'Pressione Competitiva'!$B$3:$B$6,0)),"")</f>
        <v>🔴 Molto Alta</v>
      </c>
      <c r="AH34" t="str">
        <f t="shared" si="5"/>
        <v/>
      </c>
      <c r="AI34" t="str">
        <f>IFERROR(IF($AH34="","",IF($AH34&gt;=$AA34*'Parametri Modello'!$B$68,"🟢 Opportunita'",IF($AH34&lt;=$AA34*'Parametri Modello'!$B$69,"🔴 Sovrapprezzo","🟡 Prezzo Corretto"))),"")</f>
        <v/>
      </c>
      <c r="AJ34" t="str">
        <f t="shared" si="6"/>
        <v/>
      </c>
      <c r="AK34">
        <f t="shared" si="7"/>
        <v>10</v>
      </c>
      <c r="AL34" t="str">
        <f t="shared" si="8"/>
        <v>A|Buono|10</v>
      </c>
    </row>
    <row r="35" spans="1:38" ht="14.25" customHeight="1" x14ac:dyDescent="0.25">
      <c r="A35" s="18">
        <v>1870</v>
      </c>
      <c r="B35" s="18" t="s">
        <v>17</v>
      </c>
      <c r="C35" s="18" t="s">
        <v>174</v>
      </c>
      <c r="E35" s="23" t="str">
        <f>IF(COUNTIF('Info Strategia'!$D$2:$D$51,$C35)&gt;0,"SI","NO")</f>
        <v>NO</v>
      </c>
      <c r="F35" s="24">
        <f>IFERROR(ROUND(($G35+($H35-$G35)*'Info Strategia'!$B$6)*(1+IF($E35="SI",'Parametri Modello'!$B$7*'Info Strategia'!$B$6,0)),0),"")</f>
        <v>55</v>
      </c>
      <c r="G35" s="24">
        <f>IFERROR(ROUND(MAX(1,(IF($V35&lt;=INDEX('Parametri Modello'!$C$57:$C$60,MATCH($B35,'Parametri Modello'!$A$57:$A$60,0)),IF(INDEX('Parametri Modello'!$E$57:$E$60,MATCH($B35,'Parametri Modello'!$A$57:$A$60,0))=0,0,($O35/INDEX('Parametri Modello'!$E$57:$E$60,MATCH($B35,'Parametri Modello'!$A$57:$A$60,0)))*(INDEX('Parametri Modello'!$D$57:$D$60,MATCH($B35,'Parametri Modello'!$A$57:$A$60,0))*(INDEX('Parametri Modello'!$B$50:$B$53,MATCH($B35,'Parametri Modello'!$A$50:$A$53,0))*'Parametri Modello'!$B$44))),IF(INDEX('Parametri Modello'!$F$57:$F$60,MATCH($B35,'Parametri Modello'!$A$57:$A$60,0))=0,0,($O35/INDEX('Parametri Modello'!$F$57:$F$60,MATCH($B35,'Parametri Modello'!$A$57:$A$60,0)))*((1-INDEX('Parametri Modello'!$D$57:$D$60,MATCH($B35,'Parametri Modello'!$A$57:$A$60,0)))*(INDEX('Parametri Modello'!$B$50:$B$53,MATCH($B35,'Parametri Modello'!$A$50:$A$53,0))*'Parametri Modello'!$B$44))))*(1+IF(IF($B35="D",'Info Lega'!$B$25,IF($B35="C",'Info Lega'!$B$26,"No"))="Si",'Parametri Modello'!$B$5,0))*(1+MAX(-0.25,MIN(0.25,IF(OR($T35="",$I35="",$I35=0,INDEX('Parametri Modello'!$B$19:$B$22,MATCH($B35,'Parametri Modello'!$A$19:$A$22,0))="",INDEX('Parametri Modello'!$B$19:$B$22,MATCH($B35,'Parametri Modello'!$A$19:$A$22,0))=0),0,(($T35-INDEX('Parametri Modello'!$B$19:$B$22,MATCH($B35,'Parametri Modello'!$A$19:$A$22,0)))/INDEX('Parametri Modello'!$B$19:$B$22,MATCH($B35,'Parametri Modello'!$A$19:$A$22,0)))*'Parametri Modello'!$B$9))))*(1+IF('Parametri Modello'!$B$27="Si",MAX(-'Parametri Modello'!$B$28,MIN('Parametri Modello'!$B$28*1.5,IF(OR(INDEX('Parametri Modello'!$F$32:$F$35,MATCH($B35,'Parametri Modello'!$A$32:$A$35,0))="",INDEX('Parametri Modello'!$F$32:$F$35,MATCH($B35,'Parametri Modello'!$A$32:$A$35,0))=0),0,(1/INDEX('Parametri Modello'!$F$32:$F$35,MATCH($B35,'Parametri Modello'!$A$32:$A$35,0))-1)*'Parametri Modello'!$B$28))),0)))*(1-INDEX('Parametri Modello'!$B$12:$B$15,MATCH($B35,'Parametri Modello'!$A$12:$A$15,0)))),0),"")</f>
        <v>37</v>
      </c>
      <c r="H35" s="24">
        <f>IFERROR(ROUND((IF($V35&lt;=INDEX('Parametri Modello'!$C$57:$C$60,MATCH($B35,'Parametri Modello'!$A$57:$A$60,0)),IF(INDEX('Parametri Modello'!$E$57:$E$60,MATCH($B35,'Parametri Modello'!$A$57:$A$60,0))=0,0,($O35/INDEX('Parametri Modello'!$E$57:$E$60,MATCH($B35,'Parametri Modello'!$A$57:$A$60,0)))*(INDEX('Parametri Modello'!$D$57:$D$60,MATCH($B35,'Parametri Modello'!$A$57:$A$60,0))*(INDEX('Parametri Modello'!$B$50:$B$53,MATCH($B35,'Parametri Modello'!$A$50:$A$53,0))*'Parametri Modello'!$B$44))),IF(INDEX('Parametri Modello'!$F$57:$F$60,MATCH($B35,'Parametri Modello'!$A$57:$A$60,0))=0,0,($O35/INDEX('Parametri Modello'!$F$57:$F$60,MATCH($B35,'Parametri Modello'!$A$57:$A$60,0)))*((1-INDEX('Parametri Modello'!$D$57:$D$60,MATCH($B35,'Parametri Modello'!$A$57:$A$60,0)))*(INDEX('Parametri Modello'!$B$50:$B$53,MATCH($B35,'Parametri Modello'!$A$50:$A$53,0))*'Parametri Modello'!$B$44))))*(1+IF(IF($B35="D",'Info Lega'!$B$25,IF($B35="C",'Info Lega'!$B$26,"No"))="Si",'Parametri Modello'!$B$5,0))*(1+MAX(-0.25,MIN(0.25,IF(OR($T35="",$I35="",$I35=0,INDEX('Parametri Modello'!$B$19:$B$22,MATCH($B35,'Parametri Modello'!$A$19:$A$22,0))="",INDEX('Parametri Modello'!$B$19:$B$22,MATCH($B35,'Parametri Modello'!$A$19:$A$22,0))=0),0,(($T35-INDEX('Parametri Modello'!$B$19:$B$22,MATCH($B35,'Parametri Modello'!$A$19:$A$22,0)))/INDEX('Parametri Modello'!$B$19:$B$22,MATCH($B35,'Parametri Modello'!$A$19:$A$22,0)))*'Parametri Modello'!$B$9))))*(1+IF('Parametri Modello'!$B$27="Si",MAX(-'Parametri Modello'!$B$28,MIN('Parametri Modello'!$B$28*1.5,IF(OR(INDEX('Parametri Modello'!$F$32:$F$35,MATCH($B35,'Parametri Modello'!$A$32:$A$35,0))="",INDEX('Parametri Modello'!$F$32:$F$35,MATCH($B35,'Parametri Modello'!$A$32:$A$35,0))=0),0,(1/INDEX('Parametri Modello'!$F$32:$F$35,MATCH($B35,'Parametri Modello'!$A$32:$A$35,0))-1)*'Parametri Modello'!$B$28))),0)))*(1+INDEX('Parametri Modello'!$B$12:$B$15,MATCH($B35,'Parametri Modello'!$A$12:$A$15,0))),0),"")</f>
        <v>62</v>
      </c>
      <c r="I35" s="23">
        <f>IFERROR(INDEX('Input Statistiche 2025_26'!$F$3:$F$665,MATCH($A35,'Input Statistiche 2025_26'!$A$3:$A$665,0)),"")</f>
        <v>34</v>
      </c>
      <c r="J35" s="23">
        <f t="shared" si="0"/>
        <v>4</v>
      </c>
      <c r="K35" s="23">
        <f>IFERROR(INDEX('Input Statistiche 2025_26'!$I$3:$I$665,MATCH($A35,'Input Statistiche 2025_26'!$A$3:$A$665,0)),"")</f>
        <v>3</v>
      </c>
      <c r="L35" s="23">
        <f>IFERROR(INDEX('Input Statistiche 2025_26'!$O$3:$O$665,MATCH($A35,'Input Statistiche 2025_26'!$A$3:$A$665,0)),"")</f>
        <v>9</v>
      </c>
      <c r="M35" s="25"/>
      <c r="N35" s="24">
        <f>IFERROR(INDEX('Input Giocatori 2026_27'!$E$3:$E$493,MATCH($A35,'Input Giocatori 2026_27'!$A$3:$A$493,0)),"")</f>
        <v>17</v>
      </c>
      <c r="O35" s="24">
        <f>IFERROR(INDEX('Input Giocatori 2026_27'!$G$3:$G$493,MATCH($A35,'Input Giocatori 2026_27'!$A$3:$A$493,0)),"")</f>
        <v>82</v>
      </c>
      <c r="P35" s="23" t="str">
        <f>IFERROR(IF($O35="","",IF((1-(COUNTIFS($B$2:$B$492,$B35,$O$2:$O$492,"&gt;"&amp;$O35)+1-1)/COUNTIF($B$2:$B$492,$B35))&gt;='Parametri Modello'!$B$63,"Top",IF((1-(COUNTIFS($B$2:$B$492,$B35,$O$2:$O$492,"&gt;"&amp;$O35)+1-1)/COUNTIF($B$2:$B$492,$B35))&gt;='Parametri Modello'!$B$64,"Buono",IF((1-(COUNTIFS($B$2:$B$492,$B35,$O$2:$O$492,"&gt;"&amp;$O35)+1-1)/COUNTIF($B$2:$B$492,$B35))&gt;='Parametri Modello'!$B$65,"Nella Media","Scommessa/Riserva")))),"")</f>
        <v>Top</v>
      </c>
      <c r="Q35" s="26">
        <f>IF(AND($D35="",$N35&gt;1),SUMPRODUCT(($D$2:$D35="")*($N$2:$N35&gt;1)),"")</f>
        <v>34</v>
      </c>
      <c r="R35" s="26" t="str">
        <f>IF($D35='Info Lega'!$B$28,COUNTIFS($D$2:$D35,'Info Lega'!$B$28),"")</f>
        <v/>
      </c>
      <c r="S35" s="27">
        <f>IFERROR(INDEX('Input Statistiche 2025_26'!$G$3:$G$665,MATCH($A35,'Input Statistiche 2025_26'!$A$3:$A$665,0)),"")</f>
        <v>6.28</v>
      </c>
      <c r="T35" s="27">
        <f>IFERROR(INDEX('Input Statistiche 2025_26'!$H$3:$H$665,MATCH($A35,'Input Statistiche 2025_26'!$A$3:$A$665,0)),"")</f>
        <v>6.71</v>
      </c>
      <c r="U35" s="23" t="str">
        <f>IF(OR('La Mia Rosa'!$O$12="",$D35&lt;&gt;""),"",IF($F35&lt;='La Mia Rosa'!$O$12*'Parametri Modello'!$B$24,"OK",IF($F35&lt;='La Mia Rosa'!$O$12*'Parametri Modello'!$B$25,"Attenzione","Rischio Alto")))</f>
        <v>OK</v>
      </c>
      <c r="V35" s="23">
        <f t="shared" si="1"/>
        <v>13</v>
      </c>
      <c r="W35" s="18">
        <f>'Info Lega'!$B$4-SUMIFS($M$2:$M$492,$D$2:$D$492,'Info Lega'!$B$28)</f>
        <v>1000</v>
      </c>
      <c r="X35" s="18">
        <f>('Info Lega'!$B$5-COUNTIFS($D$2:$D$492,'Info Lega'!$B$28,$B$2:$B$492,"P"))+('Info Lega'!$B$6-COUNTIFS($D$2:$D$492,'Info Lega'!$B$28,$B$2:$B$492,"D"))+('Info Lega'!$B$7-COUNTIFS($D$2:$D$492,'Info Lega'!$B$28,$B$2:$B$492,"C"))+('Info Lega'!$B$8-COUNTIFS($D$2:$D$492,'Info Lega'!$B$28,$B$2:$B$492,"A"))</f>
        <v>25</v>
      </c>
      <c r="Y35" s="18">
        <f>X35*'Parametri Modello'!$B$30</f>
        <v>25</v>
      </c>
      <c r="Z35" s="18">
        <f t="shared" si="2"/>
        <v>975</v>
      </c>
      <c r="AA35" s="18">
        <f t="shared" si="3"/>
        <v>55</v>
      </c>
      <c r="AB35" s="18"/>
      <c r="AC35" s="18" t="str">
        <f>IF($AB35="","",IF($AB35&gt;$AA35,"PASS",IF($AB35&lt;=$AA35*(1-'Parametri Modello'!$B$68),"BID","ATTENZIONE")))</f>
        <v/>
      </c>
      <c r="AD35" s="28">
        <f t="shared" si="4"/>
        <v>68</v>
      </c>
      <c r="AE35" s="5" t="str">
        <f>IFERROR(INDEX('Stato Asta'!$G$9:$G$12,MATCH($B35,'Stato Asta'!$A$9:$A$12,0)),"")</f>
        <v>🔴 Non aspettare</v>
      </c>
      <c r="AF35" t="str">
        <f>IFERROR(IF($V35&lt;=INDEX('Parametri Modello'!$C$57:$C$60,MATCH($B35,'Parametri Modello'!$A$57:$A$60,0)),"Titolare","Riserva"),"")</f>
        <v>Titolare</v>
      </c>
      <c r="AG35" t="str">
        <f>IFERROR(INDEX('Pressione Competitiva'!$F$3:$F$6,MATCH($B35,'Pressione Competitiva'!$B$3:$B$6,0)),"")</f>
        <v>🔴 Molto Alta</v>
      </c>
      <c r="AH35" t="str">
        <f t="shared" si="5"/>
        <v/>
      </c>
      <c r="AI35" t="str">
        <f>IFERROR(IF($AH35="","",IF($AH35&gt;=$AA35*'Parametri Modello'!$B$68,"🟢 Opportunita'",IF($AH35&lt;=$AA35*'Parametri Modello'!$B$69,"🔴 Sovrapprezzo","🟡 Prezzo Corretto"))),"")</f>
        <v/>
      </c>
      <c r="AJ35" t="str">
        <f t="shared" si="6"/>
        <v/>
      </c>
      <c r="AK35">
        <f t="shared" si="7"/>
        <v>13</v>
      </c>
      <c r="AL35" t="str">
        <f t="shared" si="8"/>
        <v>C|Top|13</v>
      </c>
    </row>
    <row r="36" spans="1:38" ht="14.25" customHeight="1" x14ac:dyDescent="0.25">
      <c r="A36" s="18">
        <v>2061</v>
      </c>
      <c r="B36" s="18" t="s">
        <v>18</v>
      </c>
      <c r="C36" s="18" t="s">
        <v>175</v>
      </c>
      <c r="E36" s="23" t="str">
        <f>IF(COUNTIF('Info Strategia'!$D$2:$D$51,$C36)&gt;0,"SI","NO")</f>
        <v>NO</v>
      </c>
      <c r="F36" s="24">
        <f>IFERROR(ROUND(($G36+($H36-$G36)*'Info Strategia'!$B$6)*(1+IF($E36="SI",'Parametri Modello'!$B$7*'Info Strategia'!$B$6,0)),0),"")</f>
        <v>85</v>
      </c>
      <c r="G36" s="24">
        <f>IFERROR(ROUND(MAX(1,(IF($V36&lt;=INDEX('Parametri Modello'!$C$57:$C$60,MATCH($B36,'Parametri Modello'!$A$57:$A$60,0)),IF(INDEX('Parametri Modello'!$E$57:$E$60,MATCH($B36,'Parametri Modello'!$A$57:$A$60,0))=0,0,($O36/INDEX('Parametri Modello'!$E$57:$E$60,MATCH($B36,'Parametri Modello'!$A$57:$A$60,0)))*(INDEX('Parametri Modello'!$D$57:$D$60,MATCH($B36,'Parametri Modello'!$A$57:$A$60,0))*(INDEX('Parametri Modello'!$B$50:$B$53,MATCH($B36,'Parametri Modello'!$A$50:$A$53,0))*'Parametri Modello'!$B$44))),IF(INDEX('Parametri Modello'!$F$57:$F$60,MATCH($B36,'Parametri Modello'!$A$57:$A$60,0))=0,0,($O36/INDEX('Parametri Modello'!$F$57:$F$60,MATCH($B36,'Parametri Modello'!$A$57:$A$60,0)))*((1-INDEX('Parametri Modello'!$D$57:$D$60,MATCH($B36,'Parametri Modello'!$A$57:$A$60,0)))*(INDEX('Parametri Modello'!$B$50:$B$53,MATCH($B36,'Parametri Modello'!$A$50:$A$53,0))*'Parametri Modello'!$B$44))))*(1+IF(IF($B36="D",'Info Lega'!$B$25,IF($B36="C",'Info Lega'!$B$26,"No"))="Si",'Parametri Modello'!$B$5,0))*(1+MAX(-0.25,MIN(0.25,IF(OR($T36="",$I36="",$I36=0,INDEX('Parametri Modello'!$B$19:$B$22,MATCH($B36,'Parametri Modello'!$A$19:$A$22,0))="",INDEX('Parametri Modello'!$B$19:$B$22,MATCH($B36,'Parametri Modello'!$A$19:$A$22,0))=0),0,(($T36-INDEX('Parametri Modello'!$B$19:$B$22,MATCH($B36,'Parametri Modello'!$A$19:$A$22,0)))/INDEX('Parametri Modello'!$B$19:$B$22,MATCH($B36,'Parametri Modello'!$A$19:$A$22,0)))*'Parametri Modello'!$B$9))))*(1+IF('Parametri Modello'!$B$27="Si",MAX(-'Parametri Modello'!$B$28,MIN('Parametri Modello'!$B$28*1.5,IF(OR(INDEX('Parametri Modello'!$F$32:$F$35,MATCH($B36,'Parametri Modello'!$A$32:$A$35,0))="",INDEX('Parametri Modello'!$F$32:$F$35,MATCH($B36,'Parametri Modello'!$A$32:$A$35,0))=0),0,(1/INDEX('Parametri Modello'!$F$32:$F$35,MATCH($B36,'Parametri Modello'!$A$32:$A$35,0))-1)*'Parametri Modello'!$B$28))),0)))*(1-INDEX('Parametri Modello'!$B$12:$B$15,MATCH($B36,'Parametri Modello'!$A$12:$A$15,0)))),0),"")</f>
        <v>53</v>
      </c>
      <c r="H36" s="24">
        <f>IFERROR(ROUND((IF($V36&lt;=INDEX('Parametri Modello'!$C$57:$C$60,MATCH($B36,'Parametri Modello'!$A$57:$A$60,0)),IF(INDEX('Parametri Modello'!$E$57:$E$60,MATCH($B36,'Parametri Modello'!$A$57:$A$60,0))=0,0,($O36/INDEX('Parametri Modello'!$E$57:$E$60,MATCH($B36,'Parametri Modello'!$A$57:$A$60,0)))*(INDEX('Parametri Modello'!$D$57:$D$60,MATCH($B36,'Parametri Modello'!$A$57:$A$60,0))*(INDEX('Parametri Modello'!$B$50:$B$53,MATCH($B36,'Parametri Modello'!$A$50:$A$53,0))*'Parametri Modello'!$B$44))),IF(INDEX('Parametri Modello'!$F$57:$F$60,MATCH($B36,'Parametri Modello'!$A$57:$A$60,0))=0,0,($O36/INDEX('Parametri Modello'!$F$57:$F$60,MATCH($B36,'Parametri Modello'!$A$57:$A$60,0)))*((1-INDEX('Parametri Modello'!$D$57:$D$60,MATCH($B36,'Parametri Modello'!$A$57:$A$60,0)))*(INDEX('Parametri Modello'!$B$50:$B$53,MATCH($B36,'Parametri Modello'!$A$50:$A$53,0))*'Parametri Modello'!$B$44))))*(1+IF(IF($B36="D",'Info Lega'!$B$25,IF($B36="C",'Info Lega'!$B$26,"No"))="Si",'Parametri Modello'!$B$5,0))*(1+MAX(-0.25,MIN(0.25,IF(OR($T36="",$I36="",$I36=0,INDEX('Parametri Modello'!$B$19:$B$22,MATCH($B36,'Parametri Modello'!$A$19:$A$22,0))="",INDEX('Parametri Modello'!$B$19:$B$22,MATCH($B36,'Parametri Modello'!$A$19:$A$22,0))=0),0,(($T36-INDEX('Parametri Modello'!$B$19:$B$22,MATCH($B36,'Parametri Modello'!$A$19:$A$22,0)))/INDEX('Parametri Modello'!$B$19:$B$22,MATCH($B36,'Parametri Modello'!$A$19:$A$22,0)))*'Parametri Modello'!$B$9))))*(1+IF('Parametri Modello'!$B$27="Si",MAX(-'Parametri Modello'!$B$28,MIN('Parametri Modello'!$B$28*1.5,IF(OR(INDEX('Parametri Modello'!$F$32:$F$35,MATCH($B36,'Parametri Modello'!$A$32:$A$35,0))="",INDEX('Parametri Modello'!$F$32:$F$35,MATCH($B36,'Parametri Modello'!$A$32:$A$35,0))=0),0,(1/INDEX('Parametri Modello'!$F$32:$F$35,MATCH($B36,'Parametri Modello'!$A$32:$A$35,0))-1)*'Parametri Modello'!$B$28))),0)))*(1+INDEX('Parametri Modello'!$B$12:$B$15,MATCH($B36,'Parametri Modello'!$A$12:$A$15,0))),0),"")</f>
        <v>99</v>
      </c>
      <c r="I36" s="23">
        <f>IFERROR(INDEX('Input Statistiche 2025_26'!$F$3:$F$665,MATCH($A36,'Input Statistiche 2025_26'!$A$3:$A$665,0)),"")</f>
        <v>32</v>
      </c>
      <c r="J36" s="23">
        <f t="shared" si="0"/>
        <v>6</v>
      </c>
      <c r="K36" s="23">
        <f>IFERROR(INDEX('Input Statistiche 2025_26'!$I$3:$I$665,MATCH($A36,'Input Statistiche 2025_26'!$A$3:$A$665,0)),"")</f>
        <v>11</v>
      </c>
      <c r="L36" s="23">
        <f>IFERROR(INDEX('Input Statistiche 2025_26'!$O$3:$O$665,MATCH($A36,'Input Statistiche 2025_26'!$A$3:$A$665,0)),"")</f>
        <v>0</v>
      </c>
      <c r="M36" s="25"/>
      <c r="N36" s="24">
        <f>IFERROR(INDEX('Input Giocatori 2026_27'!$E$3:$E$493,MATCH($A36,'Input Giocatori 2026_27'!$A$3:$A$493,0)),"")</f>
        <v>15</v>
      </c>
      <c r="O36" s="24">
        <f>IFERROR(INDEX('Input Giocatori 2026_27'!$G$3:$G$493,MATCH($A36,'Input Giocatori 2026_27'!$A$3:$A$493,0)),"")</f>
        <v>82</v>
      </c>
      <c r="P36" s="23" t="str">
        <f>IFERROR(IF($O36="","",IF((1-(COUNTIFS($B$2:$B$492,$B36,$O$2:$O$492,"&gt;"&amp;$O36)+1-1)/COUNTIF($B$2:$B$492,$B36))&gt;='Parametri Modello'!$B$63,"Top",IF((1-(COUNTIFS($B$2:$B$492,$B36,$O$2:$O$492,"&gt;"&amp;$O36)+1-1)/COUNTIF($B$2:$B$492,$B36))&gt;='Parametri Modello'!$B$64,"Buono",IF((1-(COUNTIFS($B$2:$B$492,$B36,$O$2:$O$492,"&gt;"&amp;$O36)+1-1)/COUNTIF($B$2:$B$492,$B36))&gt;='Parametri Modello'!$B$65,"Nella Media","Scommessa/Riserva")))),"")</f>
        <v>Buono</v>
      </c>
      <c r="Q36" s="26">
        <f>IF(AND($D36="",$N36&gt;1),SUMPRODUCT(($D$2:$D36="")*($N$2:$N36&gt;1)),"")</f>
        <v>35</v>
      </c>
      <c r="R36" s="26" t="str">
        <f>IF($D36='Info Lega'!$B$28,COUNTIFS($D$2:$D36,'Info Lega'!$B$28),"")</f>
        <v/>
      </c>
      <c r="S36" s="27">
        <f>IFERROR(INDEX('Input Statistiche 2025_26'!$G$3:$G$665,MATCH($A36,'Input Statistiche 2025_26'!$A$3:$A$665,0)),"")</f>
        <v>6.08</v>
      </c>
      <c r="T36" s="27">
        <f>IFERROR(INDEX('Input Statistiche 2025_26'!$H$3:$H$665,MATCH($A36,'Input Statistiche 2025_26'!$A$3:$A$665,0)),"")</f>
        <v>7.09</v>
      </c>
      <c r="U36" s="23" t="str">
        <f>IF(OR('La Mia Rosa'!$O$12="",$D36&lt;&gt;""),"",IF($F36&lt;='La Mia Rosa'!$O$12*'Parametri Modello'!$B$24,"OK",IF($F36&lt;='La Mia Rosa'!$O$12*'Parametri Modello'!$B$25,"Attenzione","Rischio Alto")))</f>
        <v>Attenzione</v>
      </c>
      <c r="V36" s="23">
        <f t="shared" si="1"/>
        <v>20</v>
      </c>
      <c r="W36" s="18">
        <f>'Info Lega'!$B$4-SUMIFS($M$2:$M$492,$D$2:$D$492,'Info Lega'!$B$28)</f>
        <v>1000</v>
      </c>
      <c r="X36" s="18">
        <f>('Info Lega'!$B$5-COUNTIFS($D$2:$D$492,'Info Lega'!$B$28,$B$2:$B$492,"P"))+('Info Lega'!$B$6-COUNTIFS($D$2:$D$492,'Info Lega'!$B$28,$B$2:$B$492,"D"))+('Info Lega'!$B$7-COUNTIFS($D$2:$D$492,'Info Lega'!$B$28,$B$2:$B$492,"C"))+('Info Lega'!$B$8-COUNTIFS($D$2:$D$492,'Info Lega'!$B$28,$B$2:$B$492,"A"))</f>
        <v>25</v>
      </c>
      <c r="Y36" s="18">
        <f>X36*'Parametri Modello'!$B$30</f>
        <v>25</v>
      </c>
      <c r="Z36" s="18">
        <f t="shared" si="2"/>
        <v>975</v>
      </c>
      <c r="AA36" s="18">
        <f t="shared" si="3"/>
        <v>85</v>
      </c>
      <c r="AB36" s="18"/>
      <c r="AC36" s="18" t="str">
        <f>IF($AB36="","",IF($AB36&gt;$AA36,"PASS",IF($AB36&lt;=$AA36*(1-'Parametri Modello'!$B$68),"BID","ATTENZIONE")))</f>
        <v/>
      </c>
      <c r="AD36" s="28">
        <f t="shared" si="4"/>
        <v>66</v>
      </c>
      <c r="AE36" s="5" t="str">
        <f>IFERROR(INDEX('Stato Asta'!$G$9:$G$12,MATCH($B36,'Stato Asta'!$A$9:$A$12,0)),"")</f>
        <v>🔴 Non aspettare</v>
      </c>
      <c r="AF36" t="str">
        <f>IFERROR(IF($V36&lt;=INDEX('Parametri Modello'!$C$57:$C$60,MATCH($B36,'Parametri Modello'!$A$57:$A$60,0)),"Titolare","Riserva"),"")</f>
        <v>Titolare</v>
      </c>
      <c r="AG36" t="str">
        <f>IFERROR(INDEX('Pressione Competitiva'!$F$3:$F$6,MATCH($B36,'Pressione Competitiva'!$B$3:$B$6,0)),"")</f>
        <v>🔴 Molto Alta</v>
      </c>
      <c r="AH36" t="str">
        <f t="shared" si="5"/>
        <v/>
      </c>
      <c r="AI36" t="str">
        <f>IFERROR(IF($AH36="","",IF($AH36&gt;=$AA36*'Parametri Modello'!$B$68,"🟢 Opportunita'",IF($AH36&lt;=$AA36*'Parametri Modello'!$B$69,"🔴 Sovrapprezzo","🟡 Prezzo Corretto"))),"")</f>
        <v/>
      </c>
      <c r="AJ36" t="str">
        <f t="shared" si="6"/>
        <v/>
      </c>
      <c r="AK36">
        <f t="shared" si="7"/>
        <v>11</v>
      </c>
      <c r="AL36" t="str">
        <f t="shared" si="8"/>
        <v>A|Buono|11</v>
      </c>
    </row>
    <row r="37" spans="1:38" ht="14.25" customHeight="1" x14ac:dyDescent="0.25">
      <c r="A37" s="18">
        <v>7023</v>
      </c>
      <c r="B37" s="18" t="s">
        <v>18</v>
      </c>
      <c r="C37" s="18" t="s">
        <v>176</v>
      </c>
      <c r="E37" s="23" t="str">
        <f>IF(COUNTIF('Info Strategia'!$D$2:$D$51,$C37)&gt;0,"SI","NO")</f>
        <v>NO</v>
      </c>
      <c r="F37" s="24">
        <f>IFERROR(ROUND(($G37+($H37-$G37)*'Info Strategia'!$B$6)*(1+IF($E37="SI",'Parametri Modello'!$B$7*'Info Strategia'!$B$6,0)),0),"")</f>
        <v>83</v>
      </c>
      <c r="G37" s="24">
        <f>IFERROR(ROUND(MAX(1,(IF($V37&lt;=INDEX('Parametri Modello'!$C$57:$C$60,MATCH($B37,'Parametri Modello'!$A$57:$A$60,0)),IF(INDEX('Parametri Modello'!$E$57:$E$60,MATCH($B37,'Parametri Modello'!$A$57:$A$60,0))=0,0,($O37/INDEX('Parametri Modello'!$E$57:$E$60,MATCH($B37,'Parametri Modello'!$A$57:$A$60,0)))*(INDEX('Parametri Modello'!$D$57:$D$60,MATCH($B37,'Parametri Modello'!$A$57:$A$60,0))*(INDEX('Parametri Modello'!$B$50:$B$53,MATCH($B37,'Parametri Modello'!$A$50:$A$53,0))*'Parametri Modello'!$B$44))),IF(INDEX('Parametri Modello'!$F$57:$F$60,MATCH($B37,'Parametri Modello'!$A$57:$A$60,0))=0,0,($O37/INDEX('Parametri Modello'!$F$57:$F$60,MATCH($B37,'Parametri Modello'!$A$57:$A$60,0)))*((1-INDEX('Parametri Modello'!$D$57:$D$60,MATCH($B37,'Parametri Modello'!$A$57:$A$60,0)))*(INDEX('Parametri Modello'!$B$50:$B$53,MATCH($B37,'Parametri Modello'!$A$50:$A$53,0))*'Parametri Modello'!$B$44))))*(1+IF(IF($B37="D",'Info Lega'!$B$25,IF($B37="C",'Info Lega'!$B$26,"No"))="Si",'Parametri Modello'!$B$5,0))*(1+MAX(-0.25,MIN(0.25,IF(OR($T37="",$I37="",$I37=0,INDEX('Parametri Modello'!$B$19:$B$22,MATCH($B37,'Parametri Modello'!$A$19:$A$22,0))="",INDEX('Parametri Modello'!$B$19:$B$22,MATCH($B37,'Parametri Modello'!$A$19:$A$22,0))=0),0,(($T37-INDEX('Parametri Modello'!$B$19:$B$22,MATCH($B37,'Parametri Modello'!$A$19:$A$22,0)))/INDEX('Parametri Modello'!$B$19:$B$22,MATCH($B37,'Parametri Modello'!$A$19:$A$22,0)))*'Parametri Modello'!$B$9))))*(1+IF('Parametri Modello'!$B$27="Si",MAX(-'Parametri Modello'!$B$28,MIN('Parametri Modello'!$B$28*1.5,IF(OR(INDEX('Parametri Modello'!$F$32:$F$35,MATCH($B37,'Parametri Modello'!$A$32:$A$35,0))="",INDEX('Parametri Modello'!$F$32:$F$35,MATCH($B37,'Parametri Modello'!$A$32:$A$35,0))=0),0,(1/INDEX('Parametri Modello'!$F$32:$F$35,MATCH($B37,'Parametri Modello'!$A$32:$A$35,0))-1)*'Parametri Modello'!$B$28))),0)))*(1-INDEX('Parametri Modello'!$B$12:$B$15,MATCH($B37,'Parametri Modello'!$A$12:$A$15,0)))),0),"")</f>
        <v>52</v>
      </c>
      <c r="H37" s="24">
        <f>IFERROR(ROUND((IF($V37&lt;=INDEX('Parametri Modello'!$C$57:$C$60,MATCH($B37,'Parametri Modello'!$A$57:$A$60,0)),IF(INDEX('Parametri Modello'!$E$57:$E$60,MATCH($B37,'Parametri Modello'!$A$57:$A$60,0))=0,0,($O37/INDEX('Parametri Modello'!$E$57:$E$60,MATCH($B37,'Parametri Modello'!$A$57:$A$60,0)))*(INDEX('Parametri Modello'!$D$57:$D$60,MATCH($B37,'Parametri Modello'!$A$57:$A$60,0))*(INDEX('Parametri Modello'!$B$50:$B$53,MATCH($B37,'Parametri Modello'!$A$50:$A$53,0))*'Parametri Modello'!$B$44))),IF(INDEX('Parametri Modello'!$F$57:$F$60,MATCH($B37,'Parametri Modello'!$A$57:$A$60,0))=0,0,($O37/INDEX('Parametri Modello'!$F$57:$F$60,MATCH($B37,'Parametri Modello'!$A$57:$A$60,0)))*((1-INDEX('Parametri Modello'!$D$57:$D$60,MATCH($B37,'Parametri Modello'!$A$57:$A$60,0)))*(INDEX('Parametri Modello'!$B$50:$B$53,MATCH($B37,'Parametri Modello'!$A$50:$A$53,0))*'Parametri Modello'!$B$44))))*(1+IF(IF($B37="D",'Info Lega'!$B$25,IF($B37="C",'Info Lega'!$B$26,"No"))="Si",'Parametri Modello'!$B$5,0))*(1+MAX(-0.25,MIN(0.25,IF(OR($T37="",$I37="",$I37=0,INDEX('Parametri Modello'!$B$19:$B$22,MATCH($B37,'Parametri Modello'!$A$19:$A$22,0))="",INDEX('Parametri Modello'!$B$19:$B$22,MATCH($B37,'Parametri Modello'!$A$19:$A$22,0))=0),0,(($T37-INDEX('Parametri Modello'!$B$19:$B$22,MATCH($B37,'Parametri Modello'!$A$19:$A$22,0)))/INDEX('Parametri Modello'!$B$19:$B$22,MATCH($B37,'Parametri Modello'!$A$19:$A$22,0)))*'Parametri Modello'!$B$9))))*(1+IF('Parametri Modello'!$B$27="Si",MAX(-'Parametri Modello'!$B$28,MIN('Parametri Modello'!$B$28*1.5,IF(OR(INDEX('Parametri Modello'!$F$32:$F$35,MATCH($B37,'Parametri Modello'!$A$32:$A$35,0))="",INDEX('Parametri Modello'!$F$32:$F$35,MATCH($B37,'Parametri Modello'!$A$32:$A$35,0))=0),0,(1/INDEX('Parametri Modello'!$F$32:$F$35,MATCH($B37,'Parametri Modello'!$A$32:$A$35,0))-1)*'Parametri Modello'!$B$28))),0)))*(1+INDEX('Parametri Modello'!$B$12:$B$15,MATCH($B37,'Parametri Modello'!$A$12:$A$15,0))),0),"")</f>
        <v>96</v>
      </c>
      <c r="I37" s="23">
        <f>IFERROR(INDEX('Input Statistiche 2025_26'!$F$3:$F$665,MATCH($A37,'Input Statistiche 2025_26'!$A$3:$A$665,0)),"")</f>
        <v>37</v>
      </c>
      <c r="J37" s="23">
        <f t="shared" si="0"/>
        <v>1</v>
      </c>
      <c r="K37" s="23">
        <f>IFERROR(INDEX('Input Statistiche 2025_26'!$I$3:$I$665,MATCH($A37,'Input Statistiche 2025_26'!$A$3:$A$665,0)),"")</f>
        <v>9</v>
      </c>
      <c r="L37" s="23">
        <f>IFERROR(INDEX('Input Statistiche 2025_26'!$O$3:$O$665,MATCH($A37,'Input Statistiche 2025_26'!$A$3:$A$665,0)),"")</f>
        <v>0</v>
      </c>
      <c r="M37" s="25"/>
      <c r="N37" s="24">
        <f>IFERROR(INDEX('Input Giocatori 2026_27'!$E$3:$E$493,MATCH($A37,'Input Giocatori 2026_27'!$A$3:$A$493,0)),"")</f>
        <v>15</v>
      </c>
      <c r="O37" s="24">
        <f>IFERROR(INDEX('Input Giocatori 2026_27'!$G$3:$G$493,MATCH($A37,'Input Giocatori 2026_27'!$A$3:$A$493,0)),"")</f>
        <v>81</v>
      </c>
      <c r="P37" s="23" t="str">
        <f>IFERROR(IF($O37="","",IF((1-(COUNTIFS($B$2:$B$492,$B37,$O$2:$O$492,"&gt;"&amp;$O37)+1-1)/COUNTIF($B$2:$B$492,$B37))&gt;='Parametri Modello'!$B$63,"Top",IF((1-(COUNTIFS($B$2:$B$492,$B37,$O$2:$O$492,"&gt;"&amp;$O37)+1-1)/COUNTIF($B$2:$B$492,$B37))&gt;='Parametri Modello'!$B$64,"Buono",IF((1-(COUNTIFS($B$2:$B$492,$B37,$O$2:$O$492,"&gt;"&amp;$O37)+1-1)/COUNTIF($B$2:$B$492,$B37))&gt;='Parametri Modello'!$B$65,"Nella Media","Scommessa/Riserva")))),"")</f>
        <v>Buono</v>
      </c>
      <c r="Q37" s="26">
        <f>IF(AND($D37="",$N37&gt;1),SUMPRODUCT(($D$2:$D37="")*($N$2:$N37&gt;1)),"")</f>
        <v>36</v>
      </c>
      <c r="R37" s="26" t="str">
        <f>IF($D37='Info Lega'!$B$28,COUNTIFS($D$2:$D37,'Info Lega'!$B$28),"")</f>
        <v/>
      </c>
      <c r="S37" s="27">
        <f>IFERROR(INDEX('Input Statistiche 2025_26'!$G$3:$G$665,MATCH($A37,'Input Statistiche 2025_26'!$A$3:$A$665,0)),"")</f>
        <v>5.99</v>
      </c>
      <c r="T37" s="27">
        <f>IFERROR(INDEX('Input Statistiche 2025_26'!$H$3:$H$665,MATCH($A37,'Input Statistiche 2025_26'!$A$3:$A$665,0)),"")</f>
        <v>6.65</v>
      </c>
      <c r="U37" s="23" t="str">
        <f>IF(OR('La Mia Rosa'!$O$12="",$D37&lt;&gt;""),"",IF($F37&lt;='La Mia Rosa'!$O$12*'Parametri Modello'!$B$24,"OK",IF($F37&lt;='La Mia Rosa'!$O$12*'Parametri Modello'!$B$25,"Attenzione","Rischio Alto")))</f>
        <v>Attenzione</v>
      </c>
      <c r="V37" s="23">
        <f t="shared" si="1"/>
        <v>21</v>
      </c>
      <c r="W37" s="18">
        <f>'Info Lega'!$B$4-SUMIFS($M$2:$M$492,$D$2:$D$492,'Info Lega'!$B$28)</f>
        <v>1000</v>
      </c>
      <c r="X37" s="18">
        <f>('Info Lega'!$B$5-COUNTIFS($D$2:$D$492,'Info Lega'!$B$28,$B$2:$B$492,"P"))+('Info Lega'!$B$6-COUNTIFS($D$2:$D$492,'Info Lega'!$B$28,$B$2:$B$492,"D"))+('Info Lega'!$B$7-COUNTIFS($D$2:$D$492,'Info Lega'!$B$28,$B$2:$B$492,"C"))+('Info Lega'!$B$8-COUNTIFS($D$2:$D$492,'Info Lega'!$B$28,$B$2:$B$492,"A"))</f>
        <v>25</v>
      </c>
      <c r="Y37" s="18">
        <f>X37*'Parametri Modello'!$B$30</f>
        <v>25</v>
      </c>
      <c r="Z37" s="18">
        <f t="shared" si="2"/>
        <v>975</v>
      </c>
      <c r="AA37" s="18">
        <f t="shared" si="3"/>
        <v>83</v>
      </c>
      <c r="AB37" s="18"/>
      <c r="AC37" s="18" t="str">
        <f>IF($AB37="","",IF($AB37&gt;$AA37,"PASS",IF($AB37&lt;=$AA37*(1-'Parametri Modello'!$B$68),"BID","ATTENZIONE")))</f>
        <v/>
      </c>
      <c r="AD37" s="28">
        <f t="shared" si="4"/>
        <v>71</v>
      </c>
      <c r="AE37" s="5" t="str">
        <f>IFERROR(INDEX('Stato Asta'!$G$9:$G$12,MATCH($B37,'Stato Asta'!$A$9:$A$12,0)),"")</f>
        <v>🔴 Non aspettare</v>
      </c>
      <c r="AF37" t="str">
        <f>IFERROR(IF($V37&lt;=INDEX('Parametri Modello'!$C$57:$C$60,MATCH($B37,'Parametri Modello'!$A$57:$A$60,0)),"Titolare","Riserva"),"")</f>
        <v>Titolare</v>
      </c>
      <c r="AG37" t="str">
        <f>IFERROR(INDEX('Pressione Competitiva'!$F$3:$F$6,MATCH($B37,'Pressione Competitiva'!$B$3:$B$6,0)),"")</f>
        <v>🔴 Molto Alta</v>
      </c>
      <c r="AH37" t="str">
        <f t="shared" si="5"/>
        <v/>
      </c>
      <c r="AI37" t="str">
        <f>IFERROR(IF($AH37="","",IF($AH37&gt;=$AA37*'Parametri Modello'!$B$68,"🟢 Opportunita'",IF($AH37&lt;=$AA37*'Parametri Modello'!$B$69,"🔴 Sovrapprezzo","🟡 Prezzo Corretto"))),"")</f>
        <v/>
      </c>
      <c r="AJ37" t="str">
        <f t="shared" si="6"/>
        <v/>
      </c>
      <c r="AK37">
        <f t="shared" si="7"/>
        <v>12</v>
      </c>
      <c r="AL37" t="str">
        <f t="shared" si="8"/>
        <v>A|Buono|12</v>
      </c>
    </row>
    <row r="38" spans="1:38" ht="14.25" customHeight="1" x14ac:dyDescent="0.25">
      <c r="A38" s="18">
        <v>5687</v>
      </c>
      <c r="B38" s="18" t="s">
        <v>17</v>
      </c>
      <c r="C38" s="18" t="s">
        <v>177</v>
      </c>
      <c r="E38" s="23" t="str">
        <f>IF(COUNTIF('Info Strategia'!$D$2:$D$51,$C38)&gt;0,"SI","NO")</f>
        <v>NO</v>
      </c>
      <c r="F38" s="24">
        <f>IFERROR(ROUND(($G38+($H38-$G38)*'Info Strategia'!$B$6)*(1+IF($E38="SI",'Parametri Modello'!$B$7*'Info Strategia'!$B$6,0)),0),"")</f>
        <v>54</v>
      </c>
      <c r="G38" s="24">
        <f>IFERROR(ROUND(MAX(1,(IF($V38&lt;=INDEX('Parametri Modello'!$C$57:$C$60,MATCH($B38,'Parametri Modello'!$A$57:$A$60,0)),IF(INDEX('Parametri Modello'!$E$57:$E$60,MATCH($B38,'Parametri Modello'!$A$57:$A$60,0))=0,0,($O38/INDEX('Parametri Modello'!$E$57:$E$60,MATCH($B38,'Parametri Modello'!$A$57:$A$60,0)))*(INDEX('Parametri Modello'!$D$57:$D$60,MATCH($B38,'Parametri Modello'!$A$57:$A$60,0))*(INDEX('Parametri Modello'!$B$50:$B$53,MATCH($B38,'Parametri Modello'!$A$50:$A$53,0))*'Parametri Modello'!$B$44))),IF(INDEX('Parametri Modello'!$F$57:$F$60,MATCH($B38,'Parametri Modello'!$A$57:$A$60,0))=0,0,($O38/INDEX('Parametri Modello'!$F$57:$F$60,MATCH($B38,'Parametri Modello'!$A$57:$A$60,0)))*((1-INDEX('Parametri Modello'!$D$57:$D$60,MATCH($B38,'Parametri Modello'!$A$57:$A$60,0)))*(INDEX('Parametri Modello'!$B$50:$B$53,MATCH($B38,'Parametri Modello'!$A$50:$A$53,0))*'Parametri Modello'!$B$44))))*(1+IF(IF($B38="D",'Info Lega'!$B$25,IF($B38="C",'Info Lega'!$B$26,"No"))="Si",'Parametri Modello'!$B$5,0))*(1+MAX(-0.25,MIN(0.25,IF(OR($T38="",$I38="",$I38=0,INDEX('Parametri Modello'!$B$19:$B$22,MATCH($B38,'Parametri Modello'!$A$19:$A$22,0))="",INDEX('Parametri Modello'!$B$19:$B$22,MATCH($B38,'Parametri Modello'!$A$19:$A$22,0))=0),0,(($T38-INDEX('Parametri Modello'!$B$19:$B$22,MATCH($B38,'Parametri Modello'!$A$19:$A$22,0)))/INDEX('Parametri Modello'!$B$19:$B$22,MATCH($B38,'Parametri Modello'!$A$19:$A$22,0)))*'Parametri Modello'!$B$9))))*(1+IF('Parametri Modello'!$B$27="Si",MAX(-'Parametri Modello'!$B$28,MIN('Parametri Modello'!$B$28*1.5,IF(OR(INDEX('Parametri Modello'!$F$32:$F$35,MATCH($B38,'Parametri Modello'!$A$32:$A$35,0))="",INDEX('Parametri Modello'!$F$32:$F$35,MATCH($B38,'Parametri Modello'!$A$32:$A$35,0))=0),0,(1/INDEX('Parametri Modello'!$F$32:$F$35,MATCH($B38,'Parametri Modello'!$A$32:$A$35,0))-1)*'Parametri Modello'!$B$28))),0)))*(1-INDEX('Parametri Modello'!$B$12:$B$15,MATCH($B38,'Parametri Modello'!$A$12:$A$15,0)))),0),"")</f>
        <v>36</v>
      </c>
      <c r="H38" s="24">
        <f>IFERROR(ROUND((IF($V38&lt;=INDEX('Parametri Modello'!$C$57:$C$60,MATCH($B38,'Parametri Modello'!$A$57:$A$60,0)),IF(INDEX('Parametri Modello'!$E$57:$E$60,MATCH($B38,'Parametri Modello'!$A$57:$A$60,0))=0,0,($O38/INDEX('Parametri Modello'!$E$57:$E$60,MATCH($B38,'Parametri Modello'!$A$57:$A$60,0)))*(INDEX('Parametri Modello'!$D$57:$D$60,MATCH($B38,'Parametri Modello'!$A$57:$A$60,0))*(INDEX('Parametri Modello'!$B$50:$B$53,MATCH($B38,'Parametri Modello'!$A$50:$A$53,0))*'Parametri Modello'!$B$44))),IF(INDEX('Parametri Modello'!$F$57:$F$60,MATCH($B38,'Parametri Modello'!$A$57:$A$60,0))=0,0,($O38/INDEX('Parametri Modello'!$F$57:$F$60,MATCH($B38,'Parametri Modello'!$A$57:$A$60,0)))*((1-INDEX('Parametri Modello'!$D$57:$D$60,MATCH($B38,'Parametri Modello'!$A$57:$A$60,0)))*(INDEX('Parametri Modello'!$B$50:$B$53,MATCH($B38,'Parametri Modello'!$A$50:$A$53,0))*'Parametri Modello'!$B$44))))*(1+IF(IF($B38="D",'Info Lega'!$B$25,IF($B38="C",'Info Lega'!$B$26,"No"))="Si",'Parametri Modello'!$B$5,0))*(1+MAX(-0.25,MIN(0.25,IF(OR($T38="",$I38="",$I38=0,INDEX('Parametri Modello'!$B$19:$B$22,MATCH($B38,'Parametri Modello'!$A$19:$A$22,0))="",INDEX('Parametri Modello'!$B$19:$B$22,MATCH($B38,'Parametri Modello'!$A$19:$A$22,0))=0),0,(($T38-INDEX('Parametri Modello'!$B$19:$B$22,MATCH($B38,'Parametri Modello'!$A$19:$A$22,0)))/INDEX('Parametri Modello'!$B$19:$B$22,MATCH($B38,'Parametri Modello'!$A$19:$A$22,0)))*'Parametri Modello'!$B$9))))*(1+IF('Parametri Modello'!$B$27="Si",MAX(-'Parametri Modello'!$B$28,MIN('Parametri Modello'!$B$28*1.5,IF(OR(INDEX('Parametri Modello'!$F$32:$F$35,MATCH($B38,'Parametri Modello'!$A$32:$A$35,0))="",INDEX('Parametri Modello'!$F$32:$F$35,MATCH($B38,'Parametri Modello'!$A$32:$A$35,0))=0),0,(1/INDEX('Parametri Modello'!$F$32:$F$35,MATCH($B38,'Parametri Modello'!$A$32:$A$35,0))-1)*'Parametri Modello'!$B$28))),0)))*(1+INDEX('Parametri Modello'!$B$12:$B$15,MATCH($B38,'Parametri Modello'!$A$12:$A$15,0))),0),"")</f>
        <v>61</v>
      </c>
      <c r="I38" s="23">
        <f>IFERROR(INDEX('Input Statistiche 2025_26'!$F$3:$F$665,MATCH($A38,'Input Statistiche 2025_26'!$A$3:$A$665,0)),"")</f>
        <v>37</v>
      </c>
      <c r="J38" s="23">
        <f t="shared" si="0"/>
        <v>1</v>
      </c>
      <c r="K38" s="23">
        <f>IFERROR(INDEX('Input Statistiche 2025_26'!$I$3:$I$665,MATCH($A38,'Input Statistiche 2025_26'!$A$3:$A$665,0)),"")</f>
        <v>8</v>
      </c>
      <c r="L38" s="23">
        <f>IFERROR(INDEX('Input Statistiche 2025_26'!$O$3:$O$665,MATCH($A38,'Input Statistiche 2025_26'!$A$3:$A$665,0)),"")</f>
        <v>3</v>
      </c>
      <c r="M38" s="25"/>
      <c r="N38" s="24">
        <f>IFERROR(INDEX('Input Giocatori 2026_27'!$E$3:$E$493,MATCH($A38,'Input Giocatori 2026_27'!$A$3:$A$493,0)),"")</f>
        <v>14</v>
      </c>
      <c r="O38" s="24">
        <f>IFERROR(INDEX('Input Giocatori 2026_27'!$G$3:$G$493,MATCH($A38,'Input Giocatori 2026_27'!$A$3:$A$493,0)),"")</f>
        <v>80</v>
      </c>
      <c r="P38" s="23" t="str">
        <f>IFERROR(IF($O38="","",IF((1-(COUNTIFS($B$2:$B$492,$B38,$O$2:$O$492,"&gt;"&amp;$O38)+1-1)/COUNTIF($B$2:$B$492,$B38))&gt;='Parametri Modello'!$B$63,"Top",IF((1-(COUNTIFS($B$2:$B$492,$B38,$O$2:$O$492,"&gt;"&amp;$O38)+1-1)/COUNTIF($B$2:$B$492,$B38))&gt;='Parametri Modello'!$B$64,"Buono",IF((1-(COUNTIFS($B$2:$B$492,$B38,$O$2:$O$492,"&gt;"&amp;$O38)+1-1)/COUNTIF($B$2:$B$492,$B38))&gt;='Parametri Modello'!$B$65,"Nella Media","Scommessa/Riserva")))),"")</f>
        <v>Top</v>
      </c>
      <c r="Q38" s="26">
        <f>IF(AND($D38="",$N38&gt;1),SUMPRODUCT(($D$2:$D38="")*($N$2:$N38&gt;1)),"")</f>
        <v>37</v>
      </c>
      <c r="R38" s="26" t="str">
        <f>IF($D38='Info Lega'!$B$28,COUNTIFS($D$2:$D38,'Info Lega'!$B$28),"")</f>
        <v/>
      </c>
      <c r="S38" s="27">
        <f>IFERROR(INDEX('Input Statistiche 2025_26'!$G$3:$G$665,MATCH($A38,'Input Statistiche 2025_26'!$A$3:$A$665,0)),"")</f>
        <v>6.03</v>
      </c>
      <c r="T38" s="27">
        <f>IFERROR(INDEX('Input Statistiche 2025_26'!$H$3:$H$665,MATCH($A38,'Input Statistiche 2025_26'!$A$3:$A$665,0)),"")</f>
        <v>6.66</v>
      </c>
      <c r="U38" s="23" t="str">
        <f>IF(OR('La Mia Rosa'!$O$12="",$D38&lt;&gt;""),"",IF($F38&lt;='La Mia Rosa'!$O$12*'Parametri Modello'!$B$24,"OK",IF($F38&lt;='La Mia Rosa'!$O$12*'Parametri Modello'!$B$25,"Attenzione","Rischio Alto")))</f>
        <v>OK</v>
      </c>
      <c r="V38" s="23">
        <f t="shared" si="1"/>
        <v>14</v>
      </c>
      <c r="W38" s="18">
        <f>'Info Lega'!$B$4-SUMIFS($M$2:$M$492,$D$2:$D$492,'Info Lega'!$B$28)</f>
        <v>1000</v>
      </c>
      <c r="X38" s="18">
        <f>('Info Lega'!$B$5-COUNTIFS($D$2:$D$492,'Info Lega'!$B$28,$B$2:$B$492,"P"))+('Info Lega'!$B$6-COUNTIFS($D$2:$D$492,'Info Lega'!$B$28,$B$2:$B$492,"D"))+('Info Lega'!$B$7-COUNTIFS($D$2:$D$492,'Info Lega'!$B$28,$B$2:$B$492,"C"))+('Info Lega'!$B$8-COUNTIFS($D$2:$D$492,'Info Lega'!$B$28,$B$2:$B$492,"A"))</f>
        <v>25</v>
      </c>
      <c r="Y38" s="18">
        <f>X38*'Parametri Modello'!$B$30</f>
        <v>25</v>
      </c>
      <c r="Z38" s="18">
        <f t="shared" si="2"/>
        <v>975</v>
      </c>
      <c r="AA38" s="18">
        <f t="shared" si="3"/>
        <v>54</v>
      </c>
      <c r="AB38" s="18"/>
      <c r="AC38" s="18" t="str">
        <f>IF($AB38="","",IF($AB38&gt;$AA38,"PASS",IF($AB38&lt;=$AA38*(1-'Parametri Modello'!$B$68),"BID","ATTENZIONE")))</f>
        <v/>
      </c>
      <c r="AD38" s="28">
        <f t="shared" si="4"/>
        <v>71</v>
      </c>
      <c r="AE38" s="5" t="str">
        <f>IFERROR(INDEX('Stato Asta'!$G$9:$G$12,MATCH($B38,'Stato Asta'!$A$9:$A$12,0)),"")</f>
        <v>🔴 Non aspettare</v>
      </c>
      <c r="AF38" t="str">
        <f>IFERROR(IF($V38&lt;=INDEX('Parametri Modello'!$C$57:$C$60,MATCH($B38,'Parametri Modello'!$A$57:$A$60,0)),"Titolare","Riserva"),"")</f>
        <v>Titolare</v>
      </c>
      <c r="AG38" t="str">
        <f>IFERROR(INDEX('Pressione Competitiva'!$F$3:$F$6,MATCH($B38,'Pressione Competitiva'!$B$3:$B$6,0)),"")</f>
        <v>🔴 Molto Alta</v>
      </c>
      <c r="AH38" t="str">
        <f t="shared" si="5"/>
        <v/>
      </c>
      <c r="AI38" t="str">
        <f>IFERROR(IF($AH38="","",IF($AH38&gt;=$AA38*'Parametri Modello'!$B$68,"🟢 Opportunita'",IF($AH38&lt;=$AA38*'Parametri Modello'!$B$69,"🔴 Sovrapprezzo","🟡 Prezzo Corretto"))),"")</f>
        <v/>
      </c>
      <c r="AJ38" t="str">
        <f t="shared" si="6"/>
        <v/>
      </c>
      <c r="AK38">
        <f t="shared" si="7"/>
        <v>14</v>
      </c>
      <c r="AL38" t="str">
        <f t="shared" si="8"/>
        <v>C|Top|14</v>
      </c>
    </row>
    <row r="39" spans="1:38" ht="14.25" customHeight="1" x14ac:dyDescent="0.25">
      <c r="A39" s="18">
        <v>4973</v>
      </c>
      <c r="B39" s="18" t="s">
        <v>17</v>
      </c>
      <c r="C39" s="18" t="s">
        <v>178</v>
      </c>
      <c r="E39" s="23" t="str">
        <f>IF(COUNTIF('Info Strategia'!$D$2:$D$51,$C39)&gt;0,"SI","NO")</f>
        <v>NO</v>
      </c>
      <c r="F39" s="24">
        <f>IFERROR(ROUND(($G39+($H39-$G39)*'Info Strategia'!$B$6)*(1+IF($E39="SI",'Parametri Modello'!$B$7*'Info Strategia'!$B$6,0)),0),"")</f>
        <v>46</v>
      </c>
      <c r="G39" s="24">
        <f>IFERROR(ROUND(MAX(1,(IF($V39&lt;=INDEX('Parametri Modello'!$C$57:$C$60,MATCH($B39,'Parametri Modello'!$A$57:$A$60,0)),IF(INDEX('Parametri Modello'!$E$57:$E$60,MATCH($B39,'Parametri Modello'!$A$57:$A$60,0))=0,0,($O39/INDEX('Parametri Modello'!$E$57:$E$60,MATCH($B39,'Parametri Modello'!$A$57:$A$60,0)))*(INDEX('Parametri Modello'!$D$57:$D$60,MATCH($B39,'Parametri Modello'!$A$57:$A$60,0))*(INDEX('Parametri Modello'!$B$50:$B$53,MATCH($B39,'Parametri Modello'!$A$50:$A$53,0))*'Parametri Modello'!$B$44))),IF(INDEX('Parametri Modello'!$F$57:$F$60,MATCH($B39,'Parametri Modello'!$A$57:$A$60,0))=0,0,($O39/INDEX('Parametri Modello'!$F$57:$F$60,MATCH($B39,'Parametri Modello'!$A$57:$A$60,0)))*((1-INDEX('Parametri Modello'!$D$57:$D$60,MATCH($B39,'Parametri Modello'!$A$57:$A$60,0)))*(INDEX('Parametri Modello'!$B$50:$B$53,MATCH($B39,'Parametri Modello'!$A$50:$A$53,0))*'Parametri Modello'!$B$44))))*(1+IF(IF($B39="D",'Info Lega'!$B$25,IF($B39="C",'Info Lega'!$B$26,"No"))="Si",'Parametri Modello'!$B$5,0))*(1+MAX(-0.25,MIN(0.25,IF(OR($T39="",$I39="",$I39=0,INDEX('Parametri Modello'!$B$19:$B$22,MATCH($B39,'Parametri Modello'!$A$19:$A$22,0))="",INDEX('Parametri Modello'!$B$19:$B$22,MATCH($B39,'Parametri Modello'!$A$19:$A$22,0))=0),0,(($T39-INDEX('Parametri Modello'!$B$19:$B$22,MATCH($B39,'Parametri Modello'!$A$19:$A$22,0)))/INDEX('Parametri Modello'!$B$19:$B$22,MATCH($B39,'Parametri Modello'!$A$19:$A$22,0)))*'Parametri Modello'!$B$9))))*(1+IF('Parametri Modello'!$B$27="Si",MAX(-'Parametri Modello'!$B$28,MIN('Parametri Modello'!$B$28*1.5,IF(OR(INDEX('Parametri Modello'!$F$32:$F$35,MATCH($B39,'Parametri Modello'!$A$32:$A$35,0))="",INDEX('Parametri Modello'!$F$32:$F$35,MATCH($B39,'Parametri Modello'!$A$32:$A$35,0))=0),0,(1/INDEX('Parametri Modello'!$F$32:$F$35,MATCH($B39,'Parametri Modello'!$A$32:$A$35,0))-1)*'Parametri Modello'!$B$28))),0)))*(1-INDEX('Parametri Modello'!$B$12:$B$15,MATCH($B39,'Parametri Modello'!$A$12:$A$15,0)))),0),"")</f>
        <v>31</v>
      </c>
      <c r="H39" s="24">
        <f>IFERROR(ROUND((IF($V39&lt;=INDEX('Parametri Modello'!$C$57:$C$60,MATCH($B39,'Parametri Modello'!$A$57:$A$60,0)),IF(INDEX('Parametri Modello'!$E$57:$E$60,MATCH($B39,'Parametri Modello'!$A$57:$A$60,0))=0,0,($O39/INDEX('Parametri Modello'!$E$57:$E$60,MATCH($B39,'Parametri Modello'!$A$57:$A$60,0)))*(INDEX('Parametri Modello'!$D$57:$D$60,MATCH($B39,'Parametri Modello'!$A$57:$A$60,0))*(INDEX('Parametri Modello'!$B$50:$B$53,MATCH($B39,'Parametri Modello'!$A$50:$A$53,0))*'Parametri Modello'!$B$44))),IF(INDEX('Parametri Modello'!$F$57:$F$60,MATCH($B39,'Parametri Modello'!$A$57:$A$60,0))=0,0,($O39/INDEX('Parametri Modello'!$F$57:$F$60,MATCH($B39,'Parametri Modello'!$A$57:$A$60,0)))*((1-INDEX('Parametri Modello'!$D$57:$D$60,MATCH($B39,'Parametri Modello'!$A$57:$A$60,0)))*(INDEX('Parametri Modello'!$B$50:$B$53,MATCH($B39,'Parametri Modello'!$A$50:$A$53,0))*'Parametri Modello'!$B$44))))*(1+IF(IF($B39="D",'Info Lega'!$B$25,IF($B39="C",'Info Lega'!$B$26,"No"))="Si",'Parametri Modello'!$B$5,0))*(1+MAX(-0.25,MIN(0.25,IF(OR($T39="",$I39="",$I39=0,INDEX('Parametri Modello'!$B$19:$B$22,MATCH($B39,'Parametri Modello'!$A$19:$A$22,0))="",INDEX('Parametri Modello'!$B$19:$B$22,MATCH($B39,'Parametri Modello'!$A$19:$A$22,0))=0),0,(($T39-INDEX('Parametri Modello'!$B$19:$B$22,MATCH($B39,'Parametri Modello'!$A$19:$A$22,0)))/INDEX('Parametri Modello'!$B$19:$B$22,MATCH($B39,'Parametri Modello'!$A$19:$A$22,0)))*'Parametri Modello'!$B$9))))*(1+IF('Parametri Modello'!$B$27="Si",MAX(-'Parametri Modello'!$B$28,MIN('Parametri Modello'!$B$28*1.5,IF(OR(INDEX('Parametri Modello'!$F$32:$F$35,MATCH($B39,'Parametri Modello'!$A$32:$A$35,0))="",INDEX('Parametri Modello'!$F$32:$F$35,MATCH($B39,'Parametri Modello'!$A$32:$A$35,0))=0),0,(1/INDEX('Parametri Modello'!$F$32:$F$35,MATCH($B39,'Parametri Modello'!$A$32:$A$35,0))-1)*'Parametri Modello'!$B$28))),0)))*(1+INDEX('Parametri Modello'!$B$12:$B$15,MATCH($B39,'Parametri Modello'!$A$12:$A$15,0))),0),"")</f>
        <v>52</v>
      </c>
      <c r="I39" s="23">
        <f>IFERROR(INDEX('Input Statistiche 2025_26'!$F$3:$F$665,MATCH($A39,'Input Statistiche 2025_26'!$A$3:$A$665,0)),"")</f>
        <v>34</v>
      </c>
      <c r="J39" s="23">
        <f t="shared" si="0"/>
        <v>4</v>
      </c>
      <c r="K39" s="23">
        <f>IFERROR(INDEX('Input Statistiche 2025_26'!$I$3:$I$665,MATCH($A39,'Input Statistiche 2025_26'!$A$3:$A$665,0)),"")</f>
        <v>5</v>
      </c>
      <c r="L39" s="23">
        <f>IFERROR(INDEX('Input Statistiche 2025_26'!$O$3:$O$665,MATCH($A39,'Input Statistiche 2025_26'!$A$3:$A$665,0)),"")</f>
        <v>6</v>
      </c>
      <c r="M39" s="25"/>
      <c r="N39" s="24">
        <f>IFERROR(INDEX('Input Giocatori 2026_27'!$E$3:$E$493,MATCH($A39,'Input Giocatori 2026_27'!$A$3:$A$493,0)),"")</f>
        <v>17</v>
      </c>
      <c r="O39" s="24">
        <f>IFERROR(INDEX('Input Giocatori 2026_27'!$G$3:$G$493,MATCH($A39,'Input Giocatori 2026_27'!$A$3:$A$493,0)),"")</f>
        <v>68</v>
      </c>
      <c r="P39" s="23" t="str">
        <f>IFERROR(IF($O39="","",IF((1-(COUNTIFS($B$2:$B$492,$B39,$O$2:$O$492,"&gt;"&amp;$O39)+1-1)/COUNTIF($B$2:$B$492,$B39))&gt;='Parametri Modello'!$B$63,"Top",IF((1-(COUNTIFS($B$2:$B$492,$B39,$O$2:$O$492,"&gt;"&amp;$O39)+1-1)/COUNTIF($B$2:$B$492,$B39))&gt;='Parametri Modello'!$B$64,"Buono",IF((1-(COUNTIFS($B$2:$B$492,$B39,$O$2:$O$492,"&gt;"&amp;$O39)+1-1)/COUNTIF($B$2:$B$492,$B39))&gt;='Parametri Modello'!$B$65,"Nella Media","Scommessa/Riserva")))),"")</f>
        <v>Top</v>
      </c>
      <c r="Q39" s="26">
        <f>IF(AND($D39="",$N39&gt;1),SUMPRODUCT(($D$2:$D39="")*($N$2:$N39&gt;1)),"")</f>
        <v>38</v>
      </c>
      <c r="R39" s="26" t="str">
        <f>IF($D39='Info Lega'!$B$28,COUNTIFS($D$2:$D39,'Info Lega'!$B$28),"")</f>
        <v/>
      </c>
      <c r="S39" s="27">
        <f>IFERROR(INDEX('Input Statistiche 2025_26'!$G$3:$G$665,MATCH($A39,'Input Statistiche 2025_26'!$A$3:$A$665,0)),"")</f>
        <v>6.13</v>
      </c>
      <c r="T39" s="27">
        <f>IFERROR(INDEX('Input Statistiche 2025_26'!$H$3:$H$665,MATCH($A39,'Input Statistiche 2025_26'!$A$3:$A$665,0)),"")</f>
        <v>6.68</v>
      </c>
      <c r="U39" s="23" t="str">
        <f>IF(OR('La Mia Rosa'!$O$12="",$D39&lt;&gt;""),"",IF($F39&lt;='La Mia Rosa'!$O$12*'Parametri Modello'!$B$24,"OK",IF($F39&lt;='La Mia Rosa'!$O$12*'Parametri Modello'!$B$25,"Attenzione","Rischio Alto")))</f>
        <v>OK</v>
      </c>
      <c r="V39" s="23">
        <f t="shared" si="1"/>
        <v>15</v>
      </c>
      <c r="W39" s="18">
        <f>'Info Lega'!$B$4-SUMIFS($M$2:$M$492,$D$2:$D$492,'Info Lega'!$B$28)</f>
        <v>1000</v>
      </c>
      <c r="X39" s="18">
        <f>('Info Lega'!$B$5-COUNTIFS($D$2:$D$492,'Info Lega'!$B$28,$B$2:$B$492,"P"))+('Info Lega'!$B$6-COUNTIFS($D$2:$D$492,'Info Lega'!$B$28,$B$2:$B$492,"D"))+('Info Lega'!$B$7-COUNTIFS($D$2:$D$492,'Info Lega'!$B$28,$B$2:$B$492,"C"))+('Info Lega'!$B$8-COUNTIFS($D$2:$D$492,'Info Lega'!$B$28,$B$2:$B$492,"A"))</f>
        <v>25</v>
      </c>
      <c r="Y39" s="18">
        <f>X39*'Parametri Modello'!$B$30</f>
        <v>25</v>
      </c>
      <c r="Z39" s="18">
        <f t="shared" si="2"/>
        <v>975</v>
      </c>
      <c r="AA39" s="18">
        <f t="shared" si="3"/>
        <v>46</v>
      </c>
      <c r="AB39" s="18"/>
      <c r="AC39" s="18" t="str">
        <f>IF($AB39="","",IF($AB39&gt;$AA39,"PASS",IF($AB39&lt;=$AA39*(1-'Parametri Modello'!$B$68),"BID","ATTENZIONE")))</f>
        <v/>
      </c>
      <c r="AD39" s="28">
        <f t="shared" si="4"/>
        <v>68</v>
      </c>
      <c r="AE39" s="5" t="str">
        <f>IFERROR(INDEX('Stato Asta'!$G$9:$G$12,MATCH($B39,'Stato Asta'!$A$9:$A$12,0)),"")</f>
        <v>🔴 Non aspettare</v>
      </c>
      <c r="AF39" t="str">
        <f>IFERROR(IF($V39&lt;=INDEX('Parametri Modello'!$C$57:$C$60,MATCH($B39,'Parametri Modello'!$A$57:$A$60,0)),"Titolare","Riserva"),"")</f>
        <v>Titolare</v>
      </c>
      <c r="AG39" t="str">
        <f>IFERROR(INDEX('Pressione Competitiva'!$F$3:$F$6,MATCH($B39,'Pressione Competitiva'!$B$3:$B$6,0)),"")</f>
        <v>🔴 Molto Alta</v>
      </c>
      <c r="AH39" t="str">
        <f t="shared" si="5"/>
        <v/>
      </c>
      <c r="AI39" t="str">
        <f>IFERROR(IF($AH39="","",IF($AH39&gt;=$AA39*'Parametri Modello'!$B$68,"🟢 Opportunita'",IF($AH39&lt;=$AA39*'Parametri Modello'!$B$69,"🔴 Sovrapprezzo","🟡 Prezzo Corretto"))),"")</f>
        <v/>
      </c>
      <c r="AJ39" t="str">
        <f t="shared" si="6"/>
        <v/>
      </c>
      <c r="AK39">
        <f t="shared" si="7"/>
        <v>15</v>
      </c>
      <c r="AL39" t="str">
        <f t="shared" si="8"/>
        <v>C|Top|15</v>
      </c>
    </row>
    <row r="40" spans="1:38" ht="14.25" customHeight="1" x14ac:dyDescent="0.25">
      <c r="A40" s="18">
        <v>309</v>
      </c>
      <c r="B40" s="18" t="s">
        <v>18</v>
      </c>
      <c r="C40" s="18" t="s">
        <v>179</v>
      </c>
      <c r="E40" s="23" t="str">
        <f>IF(COUNTIF('Info Strategia'!$D$2:$D$51,$C40)&gt;0,"SI","NO")</f>
        <v>NO</v>
      </c>
      <c r="F40" s="24">
        <f>IFERROR(ROUND(($G40+($H40-$G40)*'Info Strategia'!$B$6)*(1+IF($E40="SI",'Parametri Modello'!$B$7*'Info Strategia'!$B$6,0)),0),"")</f>
        <v>69</v>
      </c>
      <c r="G40" s="24">
        <f>IFERROR(ROUND(MAX(1,(IF($V40&lt;=INDEX('Parametri Modello'!$C$57:$C$60,MATCH($B40,'Parametri Modello'!$A$57:$A$60,0)),IF(INDEX('Parametri Modello'!$E$57:$E$60,MATCH($B40,'Parametri Modello'!$A$57:$A$60,0))=0,0,($O40/INDEX('Parametri Modello'!$E$57:$E$60,MATCH($B40,'Parametri Modello'!$A$57:$A$60,0)))*(INDEX('Parametri Modello'!$D$57:$D$60,MATCH($B40,'Parametri Modello'!$A$57:$A$60,0))*(INDEX('Parametri Modello'!$B$50:$B$53,MATCH($B40,'Parametri Modello'!$A$50:$A$53,0))*'Parametri Modello'!$B$44))),IF(INDEX('Parametri Modello'!$F$57:$F$60,MATCH($B40,'Parametri Modello'!$A$57:$A$60,0))=0,0,($O40/INDEX('Parametri Modello'!$F$57:$F$60,MATCH($B40,'Parametri Modello'!$A$57:$A$60,0)))*((1-INDEX('Parametri Modello'!$D$57:$D$60,MATCH($B40,'Parametri Modello'!$A$57:$A$60,0)))*(INDEX('Parametri Modello'!$B$50:$B$53,MATCH($B40,'Parametri Modello'!$A$50:$A$53,0))*'Parametri Modello'!$B$44))))*(1+IF(IF($B40="D",'Info Lega'!$B$25,IF($B40="C",'Info Lega'!$B$26,"No"))="Si",'Parametri Modello'!$B$5,0))*(1+MAX(-0.25,MIN(0.25,IF(OR($T40="",$I40="",$I40=0,INDEX('Parametri Modello'!$B$19:$B$22,MATCH($B40,'Parametri Modello'!$A$19:$A$22,0))="",INDEX('Parametri Modello'!$B$19:$B$22,MATCH($B40,'Parametri Modello'!$A$19:$A$22,0))=0),0,(($T40-INDEX('Parametri Modello'!$B$19:$B$22,MATCH($B40,'Parametri Modello'!$A$19:$A$22,0)))/INDEX('Parametri Modello'!$B$19:$B$22,MATCH($B40,'Parametri Modello'!$A$19:$A$22,0)))*'Parametri Modello'!$B$9))))*(1+IF('Parametri Modello'!$B$27="Si",MAX(-'Parametri Modello'!$B$28,MIN('Parametri Modello'!$B$28*1.5,IF(OR(INDEX('Parametri Modello'!$F$32:$F$35,MATCH($B40,'Parametri Modello'!$A$32:$A$35,0))="",INDEX('Parametri Modello'!$F$32:$F$35,MATCH($B40,'Parametri Modello'!$A$32:$A$35,0))=0),0,(1/INDEX('Parametri Modello'!$F$32:$F$35,MATCH($B40,'Parametri Modello'!$A$32:$A$35,0))-1)*'Parametri Modello'!$B$28))),0)))*(1-INDEX('Parametri Modello'!$B$12:$B$15,MATCH($B40,'Parametri Modello'!$A$12:$A$15,0)))),0),"")</f>
        <v>43</v>
      </c>
      <c r="H40" s="24">
        <f>IFERROR(ROUND((IF($V40&lt;=INDEX('Parametri Modello'!$C$57:$C$60,MATCH($B40,'Parametri Modello'!$A$57:$A$60,0)),IF(INDEX('Parametri Modello'!$E$57:$E$60,MATCH($B40,'Parametri Modello'!$A$57:$A$60,0))=0,0,($O40/INDEX('Parametri Modello'!$E$57:$E$60,MATCH($B40,'Parametri Modello'!$A$57:$A$60,0)))*(INDEX('Parametri Modello'!$D$57:$D$60,MATCH($B40,'Parametri Modello'!$A$57:$A$60,0))*(INDEX('Parametri Modello'!$B$50:$B$53,MATCH($B40,'Parametri Modello'!$A$50:$A$53,0))*'Parametri Modello'!$B$44))),IF(INDEX('Parametri Modello'!$F$57:$F$60,MATCH($B40,'Parametri Modello'!$A$57:$A$60,0))=0,0,($O40/INDEX('Parametri Modello'!$F$57:$F$60,MATCH($B40,'Parametri Modello'!$A$57:$A$60,0)))*((1-INDEX('Parametri Modello'!$D$57:$D$60,MATCH($B40,'Parametri Modello'!$A$57:$A$60,0)))*(INDEX('Parametri Modello'!$B$50:$B$53,MATCH($B40,'Parametri Modello'!$A$50:$A$53,0))*'Parametri Modello'!$B$44))))*(1+IF(IF($B40="D",'Info Lega'!$B$25,IF($B40="C",'Info Lega'!$B$26,"No"))="Si",'Parametri Modello'!$B$5,0))*(1+MAX(-0.25,MIN(0.25,IF(OR($T40="",$I40="",$I40=0,INDEX('Parametri Modello'!$B$19:$B$22,MATCH($B40,'Parametri Modello'!$A$19:$A$22,0))="",INDEX('Parametri Modello'!$B$19:$B$22,MATCH($B40,'Parametri Modello'!$A$19:$A$22,0))=0),0,(($T40-INDEX('Parametri Modello'!$B$19:$B$22,MATCH($B40,'Parametri Modello'!$A$19:$A$22,0)))/INDEX('Parametri Modello'!$B$19:$B$22,MATCH($B40,'Parametri Modello'!$A$19:$A$22,0)))*'Parametri Modello'!$B$9))))*(1+IF('Parametri Modello'!$B$27="Si",MAX(-'Parametri Modello'!$B$28,MIN('Parametri Modello'!$B$28*1.5,IF(OR(INDEX('Parametri Modello'!$F$32:$F$35,MATCH($B40,'Parametri Modello'!$A$32:$A$35,0))="",INDEX('Parametri Modello'!$F$32:$F$35,MATCH($B40,'Parametri Modello'!$A$32:$A$35,0))=0),0,(1/INDEX('Parametri Modello'!$F$32:$F$35,MATCH($B40,'Parametri Modello'!$A$32:$A$35,0))-1)*'Parametri Modello'!$B$28))),0)))*(1+INDEX('Parametri Modello'!$B$12:$B$15,MATCH($B40,'Parametri Modello'!$A$12:$A$15,0))),0),"")</f>
        <v>80</v>
      </c>
      <c r="I40" s="23">
        <f>IFERROR(INDEX('Input Statistiche 2025_26'!$F$3:$F$665,MATCH($A40,'Input Statistiche 2025_26'!$A$3:$A$665,0)),"")</f>
        <v>21</v>
      </c>
      <c r="J40" s="23">
        <f t="shared" si="0"/>
        <v>17</v>
      </c>
      <c r="K40" s="23">
        <f>IFERROR(INDEX('Input Statistiche 2025_26'!$I$3:$I$665,MATCH($A40,'Input Statistiche 2025_26'!$A$3:$A$665,0)),"")</f>
        <v>2</v>
      </c>
      <c r="L40" s="23">
        <f>IFERROR(INDEX('Input Statistiche 2025_26'!$O$3:$O$665,MATCH($A40,'Input Statistiche 2025_26'!$A$3:$A$665,0)),"")</f>
        <v>7</v>
      </c>
      <c r="M40" s="25"/>
      <c r="N40" s="24">
        <f>IFERROR(INDEX('Input Giocatori 2026_27'!$E$3:$E$493,MATCH($A40,'Input Giocatori 2026_27'!$A$3:$A$493,0)),"")</f>
        <v>14</v>
      </c>
      <c r="O40" s="24">
        <f>IFERROR(INDEX('Input Giocatori 2026_27'!$G$3:$G$493,MATCH($A40,'Input Giocatori 2026_27'!$A$3:$A$493,0)),"")</f>
        <v>67</v>
      </c>
      <c r="P40" s="23" t="str">
        <f>IFERROR(IF($O40="","",IF((1-(COUNTIFS($B$2:$B$492,$B40,$O$2:$O$492,"&gt;"&amp;$O40)+1-1)/COUNTIF($B$2:$B$492,$B40))&gt;='Parametri Modello'!$B$63,"Top",IF((1-(COUNTIFS($B$2:$B$492,$B40,$O$2:$O$492,"&gt;"&amp;$O40)+1-1)/COUNTIF($B$2:$B$492,$B40))&gt;='Parametri Modello'!$B$64,"Buono",IF((1-(COUNTIFS($B$2:$B$492,$B40,$O$2:$O$492,"&gt;"&amp;$O40)+1-1)/COUNTIF($B$2:$B$492,$B40))&gt;='Parametri Modello'!$B$65,"Nella Media","Scommessa/Riserva")))),"")</f>
        <v>Buono</v>
      </c>
      <c r="Q40" s="26">
        <f>IF(AND($D40="",$N40&gt;1),SUMPRODUCT(($D$2:$D40="")*($N$2:$N40&gt;1)),"")</f>
        <v>39</v>
      </c>
      <c r="R40" s="26" t="str">
        <f>IF($D40='Info Lega'!$B$28,COUNTIFS($D$2:$D40,'Info Lega'!$B$28),"")</f>
        <v/>
      </c>
      <c r="S40" s="27">
        <f>IFERROR(INDEX('Input Statistiche 2025_26'!$G$3:$G$665,MATCH($A40,'Input Statistiche 2025_26'!$A$3:$A$665,0)),"")</f>
        <v>6.26</v>
      </c>
      <c r="T40" s="27">
        <f>IFERROR(INDEX('Input Statistiche 2025_26'!$H$3:$H$665,MATCH($A40,'Input Statistiche 2025_26'!$A$3:$A$665,0)),"")</f>
        <v>6.74</v>
      </c>
      <c r="U40" s="23" t="str">
        <f>IF(OR('La Mia Rosa'!$O$12="",$D40&lt;&gt;""),"",IF($F40&lt;='La Mia Rosa'!$O$12*'Parametri Modello'!$B$24,"OK",IF($F40&lt;='La Mia Rosa'!$O$12*'Parametri Modello'!$B$25,"Attenzione","Rischio Alto")))</f>
        <v>Attenzione</v>
      </c>
      <c r="V40" s="23">
        <f t="shared" si="1"/>
        <v>22</v>
      </c>
      <c r="W40" s="18">
        <f>'Info Lega'!$B$4-SUMIFS($M$2:$M$492,$D$2:$D$492,'Info Lega'!$B$28)</f>
        <v>1000</v>
      </c>
      <c r="X40" s="18">
        <f>('Info Lega'!$B$5-COUNTIFS($D$2:$D$492,'Info Lega'!$B$28,$B$2:$B$492,"P"))+('Info Lega'!$B$6-COUNTIFS($D$2:$D$492,'Info Lega'!$B$28,$B$2:$B$492,"D"))+('Info Lega'!$B$7-COUNTIFS($D$2:$D$492,'Info Lega'!$B$28,$B$2:$B$492,"C"))+('Info Lega'!$B$8-COUNTIFS($D$2:$D$492,'Info Lega'!$B$28,$B$2:$B$492,"A"))</f>
        <v>25</v>
      </c>
      <c r="Y40" s="18">
        <f>X40*'Parametri Modello'!$B$30</f>
        <v>25</v>
      </c>
      <c r="Z40" s="18">
        <f t="shared" si="2"/>
        <v>975</v>
      </c>
      <c r="AA40" s="18">
        <f t="shared" si="3"/>
        <v>69</v>
      </c>
      <c r="AB40" s="18"/>
      <c r="AC40" s="18" t="str">
        <f>IF($AB40="","",IF($AB40&gt;$AA40,"PASS",IF($AB40&lt;=$AA40*(1-'Parametri Modello'!$B$68),"BID","ATTENZIONE")))</f>
        <v/>
      </c>
      <c r="AD40" s="28">
        <f t="shared" si="4"/>
        <v>50</v>
      </c>
      <c r="AE40" s="5" t="str">
        <f>IFERROR(INDEX('Stato Asta'!$G$9:$G$12,MATCH($B40,'Stato Asta'!$A$9:$A$12,0)),"")</f>
        <v>🔴 Non aspettare</v>
      </c>
      <c r="AF40" t="str">
        <f>IFERROR(IF($V40&lt;=INDEX('Parametri Modello'!$C$57:$C$60,MATCH($B40,'Parametri Modello'!$A$57:$A$60,0)),"Titolare","Riserva"),"")</f>
        <v>Titolare</v>
      </c>
      <c r="AG40" t="str">
        <f>IFERROR(INDEX('Pressione Competitiva'!$F$3:$F$6,MATCH($B40,'Pressione Competitiva'!$B$3:$B$6,0)),"")</f>
        <v>🔴 Molto Alta</v>
      </c>
      <c r="AH40" t="str">
        <f t="shared" si="5"/>
        <v/>
      </c>
      <c r="AI40" t="str">
        <f>IFERROR(IF($AH40="","",IF($AH40&gt;=$AA40*'Parametri Modello'!$B$68,"🟢 Opportunita'",IF($AH40&lt;=$AA40*'Parametri Modello'!$B$69,"🔴 Sovrapprezzo","🟡 Prezzo Corretto"))),"")</f>
        <v/>
      </c>
      <c r="AJ40" t="str">
        <f t="shared" si="6"/>
        <v/>
      </c>
      <c r="AK40">
        <f t="shared" si="7"/>
        <v>13</v>
      </c>
      <c r="AL40" t="str">
        <f t="shared" si="8"/>
        <v>A|Buono|13</v>
      </c>
    </row>
    <row r="41" spans="1:38" ht="14.25" customHeight="1" x14ac:dyDescent="0.25">
      <c r="A41" s="18">
        <v>5841</v>
      </c>
      <c r="B41" s="18" t="s">
        <v>15</v>
      </c>
      <c r="C41" s="18" t="s">
        <v>180</v>
      </c>
      <c r="E41" s="23" t="str">
        <f>IF(COUNTIF('Info Strategia'!$D$2:$D$51,$C41)&gt;0,"SI","NO")</f>
        <v>NO</v>
      </c>
      <c r="F41" s="24">
        <f>IFERROR(ROUND(($G41+($H41-$G41)*'Info Strategia'!$B$6)*(1+IF($E41="SI",'Parametri Modello'!$B$7*'Info Strategia'!$B$6,0)),0),"")</f>
        <v>110</v>
      </c>
      <c r="G41" s="24">
        <f>IFERROR(ROUND(MAX(1,(IF($V41&lt;=INDEX('Parametri Modello'!$C$57:$C$60,MATCH($B41,'Parametri Modello'!$A$57:$A$60,0)),IF(INDEX('Parametri Modello'!$E$57:$E$60,MATCH($B41,'Parametri Modello'!$A$57:$A$60,0))=0,0,($O41/INDEX('Parametri Modello'!$E$57:$E$60,MATCH($B41,'Parametri Modello'!$A$57:$A$60,0)))*(INDEX('Parametri Modello'!$D$57:$D$60,MATCH($B41,'Parametri Modello'!$A$57:$A$60,0))*(INDEX('Parametri Modello'!$B$50:$B$53,MATCH($B41,'Parametri Modello'!$A$50:$A$53,0))*'Parametri Modello'!$B$44))),IF(INDEX('Parametri Modello'!$F$57:$F$60,MATCH($B41,'Parametri Modello'!$A$57:$A$60,0))=0,0,($O41/INDEX('Parametri Modello'!$F$57:$F$60,MATCH($B41,'Parametri Modello'!$A$57:$A$60,0)))*((1-INDEX('Parametri Modello'!$D$57:$D$60,MATCH($B41,'Parametri Modello'!$A$57:$A$60,0)))*(INDEX('Parametri Modello'!$B$50:$B$53,MATCH($B41,'Parametri Modello'!$A$50:$A$53,0))*'Parametri Modello'!$B$44))))*(1+IF(IF($B41="D",'Info Lega'!$B$25,IF($B41="C",'Info Lega'!$B$26,"No"))="Si",'Parametri Modello'!$B$5,0))*(1+MAX(-0.25,MIN(0.25,IF(OR($T41="",$I41="",$I41=0,INDEX('Parametri Modello'!$B$19:$B$22,MATCH($B41,'Parametri Modello'!$A$19:$A$22,0))="",INDEX('Parametri Modello'!$B$19:$B$22,MATCH($B41,'Parametri Modello'!$A$19:$A$22,0))=0),0,(($T41-INDEX('Parametri Modello'!$B$19:$B$22,MATCH($B41,'Parametri Modello'!$A$19:$A$22,0)))/INDEX('Parametri Modello'!$B$19:$B$22,MATCH($B41,'Parametri Modello'!$A$19:$A$22,0)))*'Parametri Modello'!$B$9))))*(1+IF('Parametri Modello'!$B$27="Si",MAX(-'Parametri Modello'!$B$28,MIN('Parametri Modello'!$B$28*1.5,IF(OR(INDEX('Parametri Modello'!$F$32:$F$35,MATCH($B41,'Parametri Modello'!$A$32:$A$35,0))="",INDEX('Parametri Modello'!$F$32:$F$35,MATCH($B41,'Parametri Modello'!$A$32:$A$35,0))=0),0,(1/INDEX('Parametri Modello'!$F$32:$F$35,MATCH($B41,'Parametri Modello'!$A$32:$A$35,0))-1)*'Parametri Modello'!$B$28))),0)))*(1-INDEX('Parametri Modello'!$B$12:$B$15,MATCH($B41,'Parametri Modello'!$A$12:$A$15,0)))),0),"")</f>
        <v>88</v>
      </c>
      <c r="H41" s="24">
        <f>IFERROR(ROUND((IF($V41&lt;=INDEX('Parametri Modello'!$C$57:$C$60,MATCH($B41,'Parametri Modello'!$A$57:$A$60,0)),IF(INDEX('Parametri Modello'!$E$57:$E$60,MATCH($B41,'Parametri Modello'!$A$57:$A$60,0))=0,0,($O41/INDEX('Parametri Modello'!$E$57:$E$60,MATCH($B41,'Parametri Modello'!$A$57:$A$60,0)))*(INDEX('Parametri Modello'!$D$57:$D$60,MATCH($B41,'Parametri Modello'!$A$57:$A$60,0))*(INDEX('Parametri Modello'!$B$50:$B$53,MATCH($B41,'Parametri Modello'!$A$50:$A$53,0))*'Parametri Modello'!$B$44))),IF(INDEX('Parametri Modello'!$F$57:$F$60,MATCH($B41,'Parametri Modello'!$A$57:$A$60,0))=0,0,($O41/INDEX('Parametri Modello'!$F$57:$F$60,MATCH($B41,'Parametri Modello'!$A$57:$A$60,0)))*((1-INDEX('Parametri Modello'!$D$57:$D$60,MATCH($B41,'Parametri Modello'!$A$57:$A$60,0)))*(INDEX('Parametri Modello'!$B$50:$B$53,MATCH($B41,'Parametri Modello'!$A$50:$A$53,0))*'Parametri Modello'!$B$44))))*(1+IF(IF($B41="D",'Info Lega'!$B$25,IF($B41="C",'Info Lega'!$B$26,"No"))="Si",'Parametri Modello'!$B$5,0))*(1+MAX(-0.25,MIN(0.25,IF(OR($T41="",$I41="",$I41=0,INDEX('Parametri Modello'!$B$19:$B$22,MATCH($B41,'Parametri Modello'!$A$19:$A$22,0))="",INDEX('Parametri Modello'!$B$19:$B$22,MATCH($B41,'Parametri Modello'!$A$19:$A$22,0))=0),0,(($T41-INDEX('Parametri Modello'!$B$19:$B$22,MATCH($B41,'Parametri Modello'!$A$19:$A$22,0)))/INDEX('Parametri Modello'!$B$19:$B$22,MATCH($B41,'Parametri Modello'!$A$19:$A$22,0)))*'Parametri Modello'!$B$9))))*(1+IF('Parametri Modello'!$B$27="Si",MAX(-'Parametri Modello'!$B$28,MIN('Parametri Modello'!$B$28*1.5,IF(OR(INDEX('Parametri Modello'!$F$32:$F$35,MATCH($B41,'Parametri Modello'!$A$32:$A$35,0))="",INDEX('Parametri Modello'!$F$32:$F$35,MATCH($B41,'Parametri Modello'!$A$32:$A$35,0))=0),0,(1/INDEX('Parametri Modello'!$F$32:$F$35,MATCH($B41,'Parametri Modello'!$A$32:$A$35,0))-1)*'Parametri Modello'!$B$28))),0)))*(1+INDEX('Parametri Modello'!$B$12:$B$15,MATCH($B41,'Parametri Modello'!$A$12:$A$15,0))),0),"")</f>
        <v>119</v>
      </c>
      <c r="I41" s="23">
        <f>IFERROR(INDEX('Input Statistiche 2025_26'!$F$3:$F$665,MATCH($A41,'Input Statistiche 2025_26'!$A$3:$A$665,0)),"")</f>
        <v>38</v>
      </c>
      <c r="J41" s="23">
        <f t="shared" si="0"/>
        <v>0</v>
      </c>
      <c r="K41" s="23">
        <f>IFERROR(INDEX('Input Statistiche 2025_26'!$I$3:$I$665,MATCH($A41,'Input Statistiche 2025_26'!$A$3:$A$665,0)),"")</f>
        <v>0</v>
      </c>
      <c r="L41" s="23">
        <f>IFERROR(INDEX('Input Statistiche 2025_26'!$O$3:$O$665,MATCH($A41,'Input Statistiche 2025_26'!$A$3:$A$665,0)),"")</f>
        <v>0</v>
      </c>
      <c r="M41" s="25"/>
      <c r="N41" s="24">
        <f>IFERROR(INDEX('Input Giocatori 2026_27'!$E$3:$E$493,MATCH($A41,'Input Giocatori 2026_27'!$A$3:$A$493,0)),"")</f>
        <v>18</v>
      </c>
      <c r="O41" s="24">
        <f>IFERROR(INDEX('Input Giocatori 2026_27'!$G$3:$G$493,MATCH($A41,'Input Giocatori 2026_27'!$A$3:$A$493,0)),"")</f>
        <v>65</v>
      </c>
      <c r="P41" s="23" t="str">
        <f>IFERROR(IF($O41="","",IF((1-(COUNTIFS($B$2:$B$492,$B41,$O$2:$O$492,"&gt;"&amp;$O41)+1-1)/COUNTIF($B$2:$B$492,$B41))&gt;='Parametri Modello'!$B$63,"Top",IF((1-(COUNTIFS($B$2:$B$492,$B41,$O$2:$O$492,"&gt;"&amp;$O41)+1-1)/COUNTIF($B$2:$B$492,$B41))&gt;='Parametri Modello'!$B$64,"Buono",IF((1-(COUNTIFS($B$2:$B$492,$B41,$O$2:$O$492,"&gt;"&amp;$O41)+1-1)/COUNTIF($B$2:$B$492,$B41))&gt;='Parametri Modello'!$B$65,"Nella Media","Scommessa/Riserva")))),"")</f>
        <v>Top</v>
      </c>
      <c r="Q41" s="26">
        <f>IF(AND($D41="",$N41&gt;1),SUMPRODUCT(($D$2:$D41="")*($N$2:$N41&gt;1)),"")</f>
        <v>40</v>
      </c>
      <c r="R41" s="26" t="str">
        <f>IF($D41='Info Lega'!$B$28,COUNTIFS($D$2:$D41,'Info Lega'!$B$28),"")</f>
        <v/>
      </c>
      <c r="S41" s="27">
        <f>IFERROR(INDEX('Input Statistiche 2025_26'!$G$3:$G$665,MATCH($A41,'Input Statistiche 2025_26'!$A$3:$A$665,0)),"")</f>
        <v>6.26</v>
      </c>
      <c r="T41" s="27">
        <f>IFERROR(INDEX('Input Statistiche 2025_26'!$H$3:$H$665,MATCH($A41,'Input Statistiche 2025_26'!$A$3:$A$665,0)),"")</f>
        <v>5.45</v>
      </c>
      <c r="U41" s="23" t="str">
        <f>IF(OR('La Mia Rosa'!$O$12="",$D41&lt;&gt;""),"",IF($F41&lt;='La Mia Rosa'!$O$12*'Parametri Modello'!$B$24,"OK",IF($F41&lt;='La Mia Rosa'!$O$12*'Parametri Modello'!$B$25,"Attenzione","Rischio Alto")))</f>
        <v>Attenzione</v>
      </c>
      <c r="V41" s="23">
        <f t="shared" si="1"/>
        <v>1</v>
      </c>
      <c r="W41" s="18">
        <f>'Info Lega'!$B$4-SUMIFS($M$2:$M$492,$D$2:$D$492,'Info Lega'!$B$28)</f>
        <v>1000</v>
      </c>
      <c r="X41" s="18">
        <f>('Info Lega'!$B$5-COUNTIFS($D$2:$D$492,'Info Lega'!$B$28,$B$2:$B$492,"P"))+('Info Lega'!$B$6-COUNTIFS($D$2:$D$492,'Info Lega'!$B$28,$B$2:$B$492,"D"))+('Info Lega'!$B$7-COUNTIFS($D$2:$D$492,'Info Lega'!$B$28,$B$2:$B$492,"C"))+('Info Lega'!$B$8-COUNTIFS($D$2:$D$492,'Info Lega'!$B$28,$B$2:$B$492,"A"))</f>
        <v>25</v>
      </c>
      <c r="Y41" s="18">
        <f>X41*'Parametri Modello'!$B$30</f>
        <v>25</v>
      </c>
      <c r="Z41" s="18">
        <f t="shared" si="2"/>
        <v>975</v>
      </c>
      <c r="AA41" s="18">
        <f t="shared" si="3"/>
        <v>110</v>
      </c>
      <c r="AB41" s="18"/>
      <c r="AC41" s="18" t="str">
        <f>IF($AB41="","",IF($AB41&gt;$AA41,"PASS",IF($AB41&lt;=$AA41*(1-'Parametri Modello'!$B$68),"BID","ATTENZIONE")))</f>
        <v/>
      </c>
      <c r="AD41" s="28">
        <f t="shared" si="4"/>
        <v>72</v>
      </c>
      <c r="AE41" s="5" t="str">
        <f>IFERROR(INDEX('Stato Asta'!$G$9:$G$12,MATCH($B41,'Stato Asta'!$A$9:$A$12,0)),"")</f>
        <v>🔴 Non aspettare</v>
      </c>
      <c r="AF41" t="str">
        <f>IFERROR(IF($V41&lt;=INDEX('Parametri Modello'!$C$57:$C$60,MATCH($B41,'Parametri Modello'!$A$57:$A$60,0)),"Titolare","Riserva"),"")</f>
        <v>Titolare</v>
      </c>
      <c r="AG41" t="str">
        <f>IFERROR(INDEX('Pressione Competitiva'!$F$3:$F$6,MATCH($B41,'Pressione Competitiva'!$B$3:$B$6,0)),"")</f>
        <v>🔴 Molto Alta</v>
      </c>
      <c r="AH41" t="str">
        <f t="shared" si="5"/>
        <v/>
      </c>
      <c r="AI41" t="str">
        <f>IFERROR(IF($AH41="","",IF($AH41&gt;=$AA41*'Parametri Modello'!$B$68,"🟢 Opportunita'",IF($AH41&lt;=$AA41*'Parametri Modello'!$B$69,"🔴 Sovrapprezzo","🟡 Prezzo Corretto"))),"")</f>
        <v/>
      </c>
      <c r="AJ41" t="str">
        <f t="shared" si="6"/>
        <v/>
      </c>
      <c r="AK41">
        <f t="shared" si="7"/>
        <v>1</v>
      </c>
      <c r="AL41" t="str">
        <f t="shared" si="8"/>
        <v>P|Top|1</v>
      </c>
    </row>
    <row r="42" spans="1:38" ht="14.25" customHeight="1" x14ac:dyDescent="0.25">
      <c r="A42" s="18">
        <v>7314</v>
      </c>
      <c r="B42" s="18" t="s">
        <v>17</v>
      </c>
      <c r="C42" s="18" t="s">
        <v>181</v>
      </c>
      <c r="E42" s="23" t="str">
        <f>IF(COUNTIF('Info Strategia'!$D$2:$D$51,$C42)&gt;0,"SI","NO")</f>
        <v>NO</v>
      </c>
      <c r="F42" s="24">
        <f>IFERROR(ROUND(($G42+($H42-$G42)*'Info Strategia'!$B$6)*(1+IF($E42="SI",'Parametri Modello'!$B$7*'Info Strategia'!$B$6,0)),0),"")</f>
        <v>42</v>
      </c>
      <c r="G42" s="24">
        <f>IFERROR(ROUND(MAX(1,(IF($V42&lt;=INDEX('Parametri Modello'!$C$57:$C$60,MATCH($B42,'Parametri Modello'!$A$57:$A$60,0)),IF(INDEX('Parametri Modello'!$E$57:$E$60,MATCH($B42,'Parametri Modello'!$A$57:$A$60,0))=0,0,($O42/INDEX('Parametri Modello'!$E$57:$E$60,MATCH($B42,'Parametri Modello'!$A$57:$A$60,0)))*(INDEX('Parametri Modello'!$D$57:$D$60,MATCH($B42,'Parametri Modello'!$A$57:$A$60,0))*(INDEX('Parametri Modello'!$B$50:$B$53,MATCH($B42,'Parametri Modello'!$A$50:$A$53,0))*'Parametri Modello'!$B$44))),IF(INDEX('Parametri Modello'!$F$57:$F$60,MATCH($B42,'Parametri Modello'!$A$57:$A$60,0))=0,0,($O42/INDEX('Parametri Modello'!$F$57:$F$60,MATCH($B42,'Parametri Modello'!$A$57:$A$60,0)))*((1-INDEX('Parametri Modello'!$D$57:$D$60,MATCH($B42,'Parametri Modello'!$A$57:$A$60,0)))*(INDEX('Parametri Modello'!$B$50:$B$53,MATCH($B42,'Parametri Modello'!$A$50:$A$53,0))*'Parametri Modello'!$B$44))))*(1+IF(IF($B42="D",'Info Lega'!$B$25,IF($B42="C",'Info Lega'!$B$26,"No"))="Si",'Parametri Modello'!$B$5,0))*(1+MAX(-0.25,MIN(0.25,IF(OR($T42="",$I42="",$I42=0,INDEX('Parametri Modello'!$B$19:$B$22,MATCH($B42,'Parametri Modello'!$A$19:$A$22,0))="",INDEX('Parametri Modello'!$B$19:$B$22,MATCH($B42,'Parametri Modello'!$A$19:$A$22,0))=0),0,(($T42-INDEX('Parametri Modello'!$B$19:$B$22,MATCH($B42,'Parametri Modello'!$A$19:$A$22,0)))/INDEX('Parametri Modello'!$B$19:$B$22,MATCH($B42,'Parametri Modello'!$A$19:$A$22,0)))*'Parametri Modello'!$B$9))))*(1+IF('Parametri Modello'!$B$27="Si",MAX(-'Parametri Modello'!$B$28,MIN('Parametri Modello'!$B$28*1.5,IF(OR(INDEX('Parametri Modello'!$F$32:$F$35,MATCH($B42,'Parametri Modello'!$A$32:$A$35,0))="",INDEX('Parametri Modello'!$F$32:$F$35,MATCH($B42,'Parametri Modello'!$A$32:$A$35,0))=0),0,(1/INDEX('Parametri Modello'!$F$32:$F$35,MATCH($B42,'Parametri Modello'!$A$32:$A$35,0))-1)*'Parametri Modello'!$B$28))),0)))*(1-INDEX('Parametri Modello'!$B$12:$B$15,MATCH($B42,'Parametri Modello'!$A$12:$A$15,0)))),0),"")</f>
        <v>29</v>
      </c>
      <c r="H42" s="24">
        <f>IFERROR(ROUND((IF($V42&lt;=INDEX('Parametri Modello'!$C$57:$C$60,MATCH($B42,'Parametri Modello'!$A$57:$A$60,0)),IF(INDEX('Parametri Modello'!$E$57:$E$60,MATCH($B42,'Parametri Modello'!$A$57:$A$60,0))=0,0,($O42/INDEX('Parametri Modello'!$E$57:$E$60,MATCH($B42,'Parametri Modello'!$A$57:$A$60,0)))*(INDEX('Parametri Modello'!$D$57:$D$60,MATCH($B42,'Parametri Modello'!$A$57:$A$60,0))*(INDEX('Parametri Modello'!$B$50:$B$53,MATCH($B42,'Parametri Modello'!$A$50:$A$53,0))*'Parametri Modello'!$B$44))),IF(INDEX('Parametri Modello'!$F$57:$F$60,MATCH($B42,'Parametri Modello'!$A$57:$A$60,0))=0,0,($O42/INDEX('Parametri Modello'!$F$57:$F$60,MATCH($B42,'Parametri Modello'!$A$57:$A$60,0)))*((1-INDEX('Parametri Modello'!$D$57:$D$60,MATCH($B42,'Parametri Modello'!$A$57:$A$60,0)))*(INDEX('Parametri Modello'!$B$50:$B$53,MATCH($B42,'Parametri Modello'!$A$50:$A$53,0))*'Parametri Modello'!$B$44))))*(1+IF(IF($B42="D",'Info Lega'!$B$25,IF($B42="C",'Info Lega'!$B$26,"No"))="Si",'Parametri Modello'!$B$5,0))*(1+MAX(-0.25,MIN(0.25,IF(OR($T42="",$I42="",$I42=0,INDEX('Parametri Modello'!$B$19:$B$22,MATCH($B42,'Parametri Modello'!$A$19:$A$22,0))="",INDEX('Parametri Modello'!$B$19:$B$22,MATCH($B42,'Parametri Modello'!$A$19:$A$22,0))=0),0,(($T42-INDEX('Parametri Modello'!$B$19:$B$22,MATCH($B42,'Parametri Modello'!$A$19:$A$22,0)))/INDEX('Parametri Modello'!$B$19:$B$22,MATCH($B42,'Parametri Modello'!$A$19:$A$22,0)))*'Parametri Modello'!$B$9))))*(1+IF('Parametri Modello'!$B$27="Si",MAX(-'Parametri Modello'!$B$28,MIN('Parametri Modello'!$B$28*1.5,IF(OR(INDEX('Parametri Modello'!$F$32:$F$35,MATCH($B42,'Parametri Modello'!$A$32:$A$35,0))="",INDEX('Parametri Modello'!$F$32:$F$35,MATCH($B42,'Parametri Modello'!$A$32:$A$35,0))=0),0,(1/INDEX('Parametri Modello'!$F$32:$F$35,MATCH($B42,'Parametri Modello'!$A$32:$A$35,0))-1)*'Parametri Modello'!$B$28))),0)))*(1+INDEX('Parametri Modello'!$B$12:$B$15,MATCH($B42,'Parametri Modello'!$A$12:$A$15,0))),0),"")</f>
        <v>48</v>
      </c>
      <c r="I42" s="23">
        <f>IFERROR(INDEX('Input Statistiche 2025_26'!$F$3:$F$665,MATCH($A42,'Input Statistiche 2025_26'!$A$3:$A$665,0)),"")</f>
        <v>17</v>
      </c>
      <c r="J42" s="23">
        <f t="shared" si="0"/>
        <v>21</v>
      </c>
      <c r="K42" s="23">
        <f>IFERROR(INDEX('Input Statistiche 2025_26'!$I$3:$I$665,MATCH($A42,'Input Statistiche 2025_26'!$A$3:$A$665,0)),"")</f>
        <v>3</v>
      </c>
      <c r="L42" s="23">
        <f>IFERROR(INDEX('Input Statistiche 2025_26'!$O$3:$O$665,MATCH($A42,'Input Statistiche 2025_26'!$A$3:$A$665,0)),"")</f>
        <v>2</v>
      </c>
      <c r="M42" s="25"/>
      <c r="N42" s="24">
        <f>IFERROR(INDEX('Input Giocatori 2026_27'!$E$3:$E$493,MATCH($A42,'Input Giocatori 2026_27'!$A$3:$A$493,0)),"")</f>
        <v>13</v>
      </c>
      <c r="O42" s="24">
        <f>IFERROR(INDEX('Input Giocatori 2026_27'!$G$3:$G$493,MATCH($A42,'Input Giocatori 2026_27'!$A$3:$A$493,0)),"")</f>
        <v>64</v>
      </c>
      <c r="P42" s="23" t="str">
        <f>IFERROR(IF($O42="","",IF((1-(COUNTIFS($B$2:$B$492,$B42,$O$2:$O$492,"&gt;"&amp;$O42)+1-1)/COUNTIF($B$2:$B$492,$B42))&gt;='Parametri Modello'!$B$63,"Top",IF((1-(COUNTIFS($B$2:$B$492,$B42,$O$2:$O$492,"&gt;"&amp;$O42)+1-1)/COUNTIF($B$2:$B$492,$B42))&gt;='Parametri Modello'!$B$64,"Buono",IF((1-(COUNTIFS($B$2:$B$492,$B42,$O$2:$O$492,"&gt;"&amp;$O42)+1-1)/COUNTIF($B$2:$B$492,$B42))&gt;='Parametri Modello'!$B$65,"Nella Media","Scommessa/Riserva")))),"")</f>
        <v>Top</v>
      </c>
      <c r="Q42" s="26">
        <f>IF(AND($D42="",$N42&gt;1),SUMPRODUCT(($D$2:$D42="")*($N$2:$N42&gt;1)),"")</f>
        <v>41</v>
      </c>
      <c r="R42" s="26" t="str">
        <f>IF($D42='Info Lega'!$B$28,COUNTIFS($D$2:$D42,'Info Lega'!$B$28),"")</f>
        <v/>
      </c>
      <c r="S42" s="27">
        <f>IFERROR(INDEX('Input Statistiche 2025_26'!$G$3:$G$665,MATCH($A42,'Input Statistiche 2025_26'!$A$3:$A$665,0)),"")</f>
        <v>6.06</v>
      </c>
      <c r="T42" s="27">
        <f>IFERROR(INDEX('Input Statistiche 2025_26'!$H$3:$H$665,MATCH($A42,'Input Statistiche 2025_26'!$A$3:$A$665,0)),"")</f>
        <v>6.56</v>
      </c>
      <c r="U42" s="23" t="str">
        <f>IF(OR('La Mia Rosa'!$O$12="",$D42&lt;&gt;""),"",IF($F42&lt;='La Mia Rosa'!$O$12*'Parametri Modello'!$B$24,"OK",IF($F42&lt;='La Mia Rosa'!$O$12*'Parametri Modello'!$B$25,"Attenzione","Rischio Alto")))</f>
        <v>OK</v>
      </c>
      <c r="V42" s="23">
        <f t="shared" si="1"/>
        <v>16</v>
      </c>
      <c r="W42" s="18">
        <f>'Info Lega'!$B$4-SUMIFS($M$2:$M$492,$D$2:$D$492,'Info Lega'!$B$28)</f>
        <v>1000</v>
      </c>
      <c r="X42" s="18">
        <f>('Info Lega'!$B$5-COUNTIFS($D$2:$D$492,'Info Lega'!$B$28,$B$2:$B$492,"P"))+('Info Lega'!$B$6-COUNTIFS($D$2:$D$492,'Info Lega'!$B$28,$B$2:$B$492,"D"))+('Info Lega'!$B$7-COUNTIFS($D$2:$D$492,'Info Lega'!$B$28,$B$2:$B$492,"C"))+('Info Lega'!$B$8-COUNTIFS($D$2:$D$492,'Info Lega'!$B$28,$B$2:$B$492,"A"))</f>
        <v>25</v>
      </c>
      <c r="Y42" s="18">
        <f>X42*'Parametri Modello'!$B$30</f>
        <v>25</v>
      </c>
      <c r="Z42" s="18">
        <f t="shared" si="2"/>
        <v>975</v>
      </c>
      <c r="AA42" s="18">
        <f t="shared" si="3"/>
        <v>42</v>
      </c>
      <c r="AB42" s="18"/>
      <c r="AC42" s="18" t="str">
        <f>IF($AB42="","",IF($AB42&gt;$AA42,"PASS",IF($AB42&lt;=$AA42*(1-'Parametri Modello'!$B$68),"BID","ATTENZIONE")))</f>
        <v/>
      </c>
      <c r="AD42" s="28">
        <f t="shared" si="4"/>
        <v>43</v>
      </c>
      <c r="AE42" s="5" t="str">
        <f>IFERROR(INDEX('Stato Asta'!$G$9:$G$12,MATCH($B42,'Stato Asta'!$A$9:$A$12,0)),"")</f>
        <v>🔴 Non aspettare</v>
      </c>
      <c r="AF42" t="str">
        <f>IFERROR(IF($V42&lt;=INDEX('Parametri Modello'!$C$57:$C$60,MATCH($B42,'Parametri Modello'!$A$57:$A$60,0)),"Titolare","Riserva"),"")</f>
        <v>Titolare</v>
      </c>
      <c r="AG42" t="str">
        <f>IFERROR(INDEX('Pressione Competitiva'!$F$3:$F$6,MATCH($B42,'Pressione Competitiva'!$B$3:$B$6,0)),"")</f>
        <v>🔴 Molto Alta</v>
      </c>
      <c r="AH42" t="str">
        <f t="shared" si="5"/>
        <v/>
      </c>
      <c r="AI42" t="str">
        <f>IFERROR(IF($AH42="","",IF($AH42&gt;=$AA42*'Parametri Modello'!$B$68,"🟢 Opportunita'",IF($AH42&lt;=$AA42*'Parametri Modello'!$B$69,"🔴 Sovrapprezzo","🟡 Prezzo Corretto"))),"")</f>
        <v/>
      </c>
      <c r="AJ42" t="str">
        <f t="shared" si="6"/>
        <v/>
      </c>
      <c r="AK42">
        <f t="shared" si="7"/>
        <v>16</v>
      </c>
      <c r="AL42" t="str">
        <f t="shared" si="8"/>
        <v>C|Top|16</v>
      </c>
    </row>
    <row r="43" spans="1:38" ht="14.25" customHeight="1" x14ac:dyDescent="0.25">
      <c r="A43" s="18">
        <v>5116</v>
      </c>
      <c r="B43" s="18" t="s">
        <v>15</v>
      </c>
      <c r="C43" s="18" t="s">
        <v>182</v>
      </c>
      <c r="E43" s="23" t="str">
        <f>IF(COUNTIF('Info Strategia'!$D$2:$D$51,$C43)&gt;0,"SI","NO")</f>
        <v>NO</v>
      </c>
      <c r="F43" s="24">
        <f>IFERROR(ROUND(($G43+($H43-$G43)*'Info Strategia'!$B$6)*(1+IF($E43="SI",'Parametri Modello'!$B$7*'Info Strategia'!$B$6,0)),0),"")</f>
        <v>105</v>
      </c>
      <c r="G43" s="24">
        <f>IFERROR(ROUND(MAX(1,(IF($V43&lt;=INDEX('Parametri Modello'!$C$57:$C$60,MATCH($B43,'Parametri Modello'!$A$57:$A$60,0)),IF(INDEX('Parametri Modello'!$E$57:$E$60,MATCH($B43,'Parametri Modello'!$A$57:$A$60,0))=0,0,($O43/INDEX('Parametri Modello'!$E$57:$E$60,MATCH($B43,'Parametri Modello'!$A$57:$A$60,0)))*(INDEX('Parametri Modello'!$D$57:$D$60,MATCH($B43,'Parametri Modello'!$A$57:$A$60,0))*(INDEX('Parametri Modello'!$B$50:$B$53,MATCH($B43,'Parametri Modello'!$A$50:$A$53,0))*'Parametri Modello'!$B$44))),IF(INDEX('Parametri Modello'!$F$57:$F$60,MATCH($B43,'Parametri Modello'!$A$57:$A$60,0))=0,0,($O43/INDEX('Parametri Modello'!$F$57:$F$60,MATCH($B43,'Parametri Modello'!$A$57:$A$60,0)))*((1-INDEX('Parametri Modello'!$D$57:$D$60,MATCH($B43,'Parametri Modello'!$A$57:$A$60,0)))*(INDEX('Parametri Modello'!$B$50:$B$53,MATCH($B43,'Parametri Modello'!$A$50:$A$53,0))*'Parametri Modello'!$B$44))))*(1+IF(IF($B43="D",'Info Lega'!$B$25,IF($B43="C",'Info Lega'!$B$26,"No"))="Si",'Parametri Modello'!$B$5,0))*(1+MAX(-0.25,MIN(0.25,IF(OR($T43="",$I43="",$I43=0,INDEX('Parametri Modello'!$B$19:$B$22,MATCH($B43,'Parametri Modello'!$A$19:$A$22,0))="",INDEX('Parametri Modello'!$B$19:$B$22,MATCH($B43,'Parametri Modello'!$A$19:$A$22,0))=0),0,(($T43-INDEX('Parametri Modello'!$B$19:$B$22,MATCH($B43,'Parametri Modello'!$A$19:$A$22,0)))/INDEX('Parametri Modello'!$B$19:$B$22,MATCH($B43,'Parametri Modello'!$A$19:$A$22,0)))*'Parametri Modello'!$B$9))))*(1+IF('Parametri Modello'!$B$27="Si",MAX(-'Parametri Modello'!$B$28,MIN('Parametri Modello'!$B$28*1.5,IF(OR(INDEX('Parametri Modello'!$F$32:$F$35,MATCH($B43,'Parametri Modello'!$A$32:$A$35,0))="",INDEX('Parametri Modello'!$F$32:$F$35,MATCH($B43,'Parametri Modello'!$A$32:$A$35,0))=0),0,(1/INDEX('Parametri Modello'!$F$32:$F$35,MATCH($B43,'Parametri Modello'!$A$32:$A$35,0))-1)*'Parametri Modello'!$B$28))),0)))*(1-INDEX('Parametri Modello'!$B$12:$B$15,MATCH($B43,'Parametri Modello'!$A$12:$A$15,0)))),0),"")</f>
        <v>84</v>
      </c>
      <c r="H43" s="24">
        <f>IFERROR(ROUND((IF($V43&lt;=INDEX('Parametri Modello'!$C$57:$C$60,MATCH($B43,'Parametri Modello'!$A$57:$A$60,0)),IF(INDEX('Parametri Modello'!$E$57:$E$60,MATCH($B43,'Parametri Modello'!$A$57:$A$60,0))=0,0,($O43/INDEX('Parametri Modello'!$E$57:$E$60,MATCH($B43,'Parametri Modello'!$A$57:$A$60,0)))*(INDEX('Parametri Modello'!$D$57:$D$60,MATCH($B43,'Parametri Modello'!$A$57:$A$60,0))*(INDEX('Parametri Modello'!$B$50:$B$53,MATCH($B43,'Parametri Modello'!$A$50:$A$53,0))*'Parametri Modello'!$B$44))),IF(INDEX('Parametri Modello'!$F$57:$F$60,MATCH($B43,'Parametri Modello'!$A$57:$A$60,0))=0,0,($O43/INDEX('Parametri Modello'!$F$57:$F$60,MATCH($B43,'Parametri Modello'!$A$57:$A$60,0)))*((1-INDEX('Parametri Modello'!$D$57:$D$60,MATCH($B43,'Parametri Modello'!$A$57:$A$60,0)))*(INDEX('Parametri Modello'!$B$50:$B$53,MATCH($B43,'Parametri Modello'!$A$50:$A$53,0))*'Parametri Modello'!$B$44))))*(1+IF(IF($B43="D",'Info Lega'!$B$25,IF($B43="C",'Info Lega'!$B$26,"No"))="Si",'Parametri Modello'!$B$5,0))*(1+MAX(-0.25,MIN(0.25,IF(OR($T43="",$I43="",$I43=0,INDEX('Parametri Modello'!$B$19:$B$22,MATCH($B43,'Parametri Modello'!$A$19:$A$22,0))="",INDEX('Parametri Modello'!$B$19:$B$22,MATCH($B43,'Parametri Modello'!$A$19:$A$22,0))=0),0,(($T43-INDEX('Parametri Modello'!$B$19:$B$22,MATCH($B43,'Parametri Modello'!$A$19:$A$22,0)))/INDEX('Parametri Modello'!$B$19:$B$22,MATCH($B43,'Parametri Modello'!$A$19:$A$22,0)))*'Parametri Modello'!$B$9))))*(1+IF('Parametri Modello'!$B$27="Si",MAX(-'Parametri Modello'!$B$28,MIN('Parametri Modello'!$B$28*1.5,IF(OR(INDEX('Parametri Modello'!$F$32:$F$35,MATCH($B43,'Parametri Modello'!$A$32:$A$35,0))="",INDEX('Parametri Modello'!$F$32:$F$35,MATCH($B43,'Parametri Modello'!$A$32:$A$35,0))=0),0,(1/INDEX('Parametri Modello'!$F$32:$F$35,MATCH($B43,'Parametri Modello'!$A$32:$A$35,0))-1)*'Parametri Modello'!$B$28))),0)))*(1+INDEX('Parametri Modello'!$B$12:$B$15,MATCH($B43,'Parametri Modello'!$A$12:$A$15,0))),0),"")</f>
        <v>114</v>
      </c>
      <c r="I43" s="23">
        <f>IFERROR(INDEX('Input Statistiche 2025_26'!$F$3:$F$665,MATCH($A43,'Input Statistiche 2025_26'!$A$3:$A$665,0)),"")</f>
        <v>5</v>
      </c>
      <c r="J43" s="23">
        <f t="shared" si="0"/>
        <v>33</v>
      </c>
      <c r="K43" s="23">
        <f>IFERROR(INDEX('Input Statistiche 2025_26'!$I$3:$I$665,MATCH($A43,'Input Statistiche 2025_26'!$A$3:$A$665,0)),"")</f>
        <v>0</v>
      </c>
      <c r="L43" s="23">
        <f>IFERROR(INDEX('Input Statistiche 2025_26'!$O$3:$O$665,MATCH($A43,'Input Statistiche 2025_26'!$A$3:$A$665,0)),"")</f>
        <v>0</v>
      </c>
      <c r="M43" s="25"/>
      <c r="N43" s="24">
        <f>IFERROR(INDEX('Input Giocatori 2026_27'!$E$3:$E$493,MATCH($A43,'Input Giocatori 2026_27'!$A$3:$A$493,0)),"")</f>
        <v>17</v>
      </c>
      <c r="O43" s="24">
        <f>IFERROR(INDEX('Input Giocatori 2026_27'!$G$3:$G$493,MATCH($A43,'Input Giocatori 2026_27'!$A$3:$A$493,0)),"")</f>
        <v>63</v>
      </c>
      <c r="P43" s="23" t="str">
        <f>IFERROR(IF($O43="","",IF((1-(COUNTIFS($B$2:$B$492,$B43,$O$2:$O$492,"&gt;"&amp;$O43)+1-1)/COUNTIF($B$2:$B$492,$B43))&gt;='Parametri Modello'!$B$63,"Top",IF((1-(COUNTIFS($B$2:$B$492,$B43,$O$2:$O$492,"&gt;"&amp;$O43)+1-1)/COUNTIF($B$2:$B$492,$B43))&gt;='Parametri Modello'!$B$64,"Buono",IF((1-(COUNTIFS($B$2:$B$492,$B43,$O$2:$O$492,"&gt;"&amp;$O43)+1-1)/COUNTIF($B$2:$B$492,$B43))&gt;='Parametri Modello'!$B$65,"Nella Media","Scommessa/Riserva")))),"")</f>
        <v>Top</v>
      </c>
      <c r="Q43" s="26">
        <f>IF(AND($D43="",$N43&gt;1),SUMPRODUCT(($D$2:$D43="")*($N$2:$N43&gt;1)),"")</f>
        <v>42</v>
      </c>
      <c r="R43" s="26" t="str">
        <f>IF($D43='Info Lega'!$B$28,COUNTIFS($D$2:$D43,'Info Lega'!$B$28),"")</f>
        <v/>
      </c>
      <c r="S43" s="27">
        <f>IFERROR(INDEX('Input Statistiche 2025_26'!$G$3:$G$665,MATCH($A43,'Input Statistiche 2025_26'!$A$3:$A$665,0)),"")</f>
        <v>6</v>
      </c>
      <c r="T43" s="27">
        <f>IFERROR(INDEX('Input Statistiche 2025_26'!$H$3:$H$665,MATCH($A43,'Input Statistiche 2025_26'!$A$3:$A$665,0)),"")</f>
        <v>5.2</v>
      </c>
      <c r="U43" s="23" t="str">
        <f>IF(OR('La Mia Rosa'!$O$12="",$D43&lt;&gt;""),"",IF($F43&lt;='La Mia Rosa'!$O$12*'Parametri Modello'!$B$24,"OK",IF($F43&lt;='La Mia Rosa'!$O$12*'Parametri Modello'!$B$25,"Attenzione","Rischio Alto")))</f>
        <v>Attenzione</v>
      </c>
      <c r="V43" s="23">
        <f t="shared" si="1"/>
        <v>2</v>
      </c>
      <c r="W43" s="18">
        <f>'Info Lega'!$B$4-SUMIFS($M$2:$M$492,$D$2:$D$492,'Info Lega'!$B$28)</f>
        <v>1000</v>
      </c>
      <c r="X43" s="18">
        <f>('Info Lega'!$B$5-COUNTIFS($D$2:$D$492,'Info Lega'!$B$28,$B$2:$B$492,"P"))+('Info Lega'!$B$6-COUNTIFS($D$2:$D$492,'Info Lega'!$B$28,$B$2:$B$492,"D"))+('Info Lega'!$B$7-COUNTIFS($D$2:$D$492,'Info Lega'!$B$28,$B$2:$B$492,"C"))+('Info Lega'!$B$8-COUNTIFS($D$2:$D$492,'Info Lega'!$B$28,$B$2:$B$492,"A"))</f>
        <v>25</v>
      </c>
      <c r="Y43" s="18">
        <f>X43*'Parametri Modello'!$B$30</f>
        <v>25</v>
      </c>
      <c r="Z43" s="18">
        <f t="shared" si="2"/>
        <v>975</v>
      </c>
      <c r="AA43" s="18">
        <f t="shared" si="3"/>
        <v>105</v>
      </c>
      <c r="AB43" s="18"/>
      <c r="AC43" s="18" t="str">
        <f>IF($AB43="","",IF($AB43&gt;$AA43,"PASS",IF($AB43&lt;=$AA43*(1-'Parametri Modello'!$B$68),"BID","ATTENZIONE")))</f>
        <v/>
      </c>
      <c r="AD43" s="28">
        <f t="shared" si="4"/>
        <v>15</v>
      </c>
      <c r="AE43" s="5" t="str">
        <f>IFERROR(INDEX('Stato Asta'!$G$9:$G$12,MATCH($B43,'Stato Asta'!$A$9:$A$12,0)),"")</f>
        <v>🔴 Non aspettare</v>
      </c>
      <c r="AF43" t="str">
        <f>IFERROR(IF($V43&lt;=INDEX('Parametri Modello'!$C$57:$C$60,MATCH($B43,'Parametri Modello'!$A$57:$A$60,0)),"Titolare","Riserva"),"")</f>
        <v>Titolare</v>
      </c>
      <c r="AG43" t="str">
        <f>IFERROR(INDEX('Pressione Competitiva'!$F$3:$F$6,MATCH($B43,'Pressione Competitiva'!$B$3:$B$6,0)),"")</f>
        <v>🔴 Molto Alta</v>
      </c>
      <c r="AH43" t="str">
        <f t="shared" si="5"/>
        <v/>
      </c>
      <c r="AI43" t="str">
        <f>IFERROR(IF($AH43="","",IF($AH43&gt;=$AA43*'Parametri Modello'!$B$68,"🟢 Opportunita'",IF($AH43&lt;=$AA43*'Parametri Modello'!$B$69,"🔴 Sovrapprezzo","🟡 Prezzo Corretto"))),"")</f>
        <v/>
      </c>
      <c r="AJ43" t="str">
        <f t="shared" si="6"/>
        <v/>
      </c>
      <c r="AK43">
        <f t="shared" si="7"/>
        <v>2</v>
      </c>
      <c r="AL43" t="str">
        <f t="shared" si="8"/>
        <v>P|Top|2</v>
      </c>
    </row>
    <row r="44" spans="1:38" ht="14.25" customHeight="1" x14ac:dyDescent="0.25">
      <c r="A44" s="18">
        <v>4923</v>
      </c>
      <c r="B44" s="18" t="s">
        <v>18</v>
      </c>
      <c r="C44" s="18" t="s">
        <v>183</v>
      </c>
      <c r="E44" s="23" t="str">
        <f>IF(COUNTIF('Info Strategia'!$D$2:$D$51,$C44)&gt;0,"SI","NO")</f>
        <v>NO</v>
      </c>
      <c r="F44" s="24">
        <f>IFERROR(ROUND(($G44+($H44-$G44)*'Info Strategia'!$B$6)*(1+IF($E44="SI",'Parametri Modello'!$B$7*'Info Strategia'!$B$6,0)),0),"")</f>
        <v>64</v>
      </c>
      <c r="G44" s="24">
        <f>IFERROR(ROUND(MAX(1,(IF($V44&lt;=INDEX('Parametri Modello'!$C$57:$C$60,MATCH($B44,'Parametri Modello'!$A$57:$A$60,0)),IF(INDEX('Parametri Modello'!$E$57:$E$60,MATCH($B44,'Parametri Modello'!$A$57:$A$60,0))=0,0,($O44/INDEX('Parametri Modello'!$E$57:$E$60,MATCH($B44,'Parametri Modello'!$A$57:$A$60,0)))*(INDEX('Parametri Modello'!$D$57:$D$60,MATCH($B44,'Parametri Modello'!$A$57:$A$60,0))*(INDEX('Parametri Modello'!$B$50:$B$53,MATCH($B44,'Parametri Modello'!$A$50:$A$53,0))*'Parametri Modello'!$B$44))),IF(INDEX('Parametri Modello'!$F$57:$F$60,MATCH($B44,'Parametri Modello'!$A$57:$A$60,0))=0,0,($O44/INDEX('Parametri Modello'!$F$57:$F$60,MATCH($B44,'Parametri Modello'!$A$57:$A$60,0)))*((1-INDEX('Parametri Modello'!$D$57:$D$60,MATCH($B44,'Parametri Modello'!$A$57:$A$60,0)))*(INDEX('Parametri Modello'!$B$50:$B$53,MATCH($B44,'Parametri Modello'!$A$50:$A$53,0))*'Parametri Modello'!$B$44))))*(1+IF(IF($B44="D",'Info Lega'!$B$25,IF($B44="C",'Info Lega'!$B$26,"No"))="Si",'Parametri Modello'!$B$5,0))*(1+MAX(-0.25,MIN(0.25,IF(OR($T44="",$I44="",$I44=0,INDEX('Parametri Modello'!$B$19:$B$22,MATCH($B44,'Parametri Modello'!$A$19:$A$22,0))="",INDEX('Parametri Modello'!$B$19:$B$22,MATCH($B44,'Parametri Modello'!$A$19:$A$22,0))=0),0,(($T44-INDEX('Parametri Modello'!$B$19:$B$22,MATCH($B44,'Parametri Modello'!$A$19:$A$22,0)))/INDEX('Parametri Modello'!$B$19:$B$22,MATCH($B44,'Parametri Modello'!$A$19:$A$22,0)))*'Parametri Modello'!$B$9))))*(1+IF('Parametri Modello'!$B$27="Si",MAX(-'Parametri Modello'!$B$28,MIN('Parametri Modello'!$B$28*1.5,IF(OR(INDEX('Parametri Modello'!$F$32:$F$35,MATCH($B44,'Parametri Modello'!$A$32:$A$35,0))="",INDEX('Parametri Modello'!$F$32:$F$35,MATCH($B44,'Parametri Modello'!$A$32:$A$35,0))=0),0,(1/INDEX('Parametri Modello'!$F$32:$F$35,MATCH($B44,'Parametri Modello'!$A$32:$A$35,0))-1)*'Parametri Modello'!$B$28))),0)))*(1-INDEX('Parametri Modello'!$B$12:$B$15,MATCH($B44,'Parametri Modello'!$A$12:$A$15,0)))),0),"")</f>
        <v>40</v>
      </c>
      <c r="H44" s="24">
        <f>IFERROR(ROUND((IF($V44&lt;=INDEX('Parametri Modello'!$C$57:$C$60,MATCH($B44,'Parametri Modello'!$A$57:$A$60,0)),IF(INDEX('Parametri Modello'!$E$57:$E$60,MATCH($B44,'Parametri Modello'!$A$57:$A$60,0))=0,0,($O44/INDEX('Parametri Modello'!$E$57:$E$60,MATCH($B44,'Parametri Modello'!$A$57:$A$60,0)))*(INDEX('Parametri Modello'!$D$57:$D$60,MATCH($B44,'Parametri Modello'!$A$57:$A$60,0))*(INDEX('Parametri Modello'!$B$50:$B$53,MATCH($B44,'Parametri Modello'!$A$50:$A$53,0))*'Parametri Modello'!$B$44))),IF(INDEX('Parametri Modello'!$F$57:$F$60,MATCH($B44,'Parametri Modello'!$A$57:$A$60,0))=0,0,($O44/INDEX('Parametri Modello'!$F$57:$F$60,MATCH($B44,'Parametri Modello'!$A$57:$A$60,0)))*((1-INDEX('Parametri Modello'!$D$57:$D$60,MATCH($B44,'Parametri Modello'!$A$57:$A$60,0)))*(INDEX('Parametri Modello'!$B$50:$B$53,MATCH($B44,'Parametri Modello'!$A$50:$A$53,0))*'Parametri Modello'!$B$44))))*(1+IF(IF($B44="D",'Info Lega'!$B$25,IF($B44="C",'Info Lega'!$B$26,"No"))="Si",'Parametri Modello'!$B$5,0))*(1+MAX(-0.25,MIN(0.25,IF(OR($T44="",$I44="",$I44=0,INDEX('Parametri Modello'!$B$19:$B$22,MATCH($B44,'Parametri Modello'!$A$19:$A$22,0))="",INDEX('Parametri Modello'!$B$19:$B$22,MATCH($B44,'Parametri Modello'!$A$19:$A$22,0))=0),0,(($T44-INDEX('Parametri Modello'!$B$19:$B$22,MATCH($B44,'Parametri Modello'!$A$19:$A$22,0)))/INDEX('Parametri Modello'!$B$19:$B$22,MATCH($B44,'Parametri Modello'!$A$19:$A$22,0)))*'Parametri Modello'!$B$9))))*(1+IF('Parametri Modello'!$B$27="Si",MAX(-'Parametri Modello'!$B$28,MIN('Parametri Modello'!$B$28*1.5,IF(OR(INDEX('Parametri Modello'!$F$32:$F$35,MATCH($B44,'Parametri Modello'!$A$32:$A$35,0))="",INDEX('Parametri Modello'!$F$32:$F$35,MATCH($B44,'Parametri Modello'!$A$32:$A$35,0))=0),0,(1/INDEX('Parametri Modello'!$F$32:$F$35,MATCH($B44,'Parametri Modello'!$A$32:$A$35,0))-1)*'Parametri Modello'!$B$28))),0)))*(1+INDEX('Parametri Modello'!$B$12:$B$15,MATCH($B44,'Parametri Modello'!$A$12:$A$15,0))),0),"")</f>
        <v>74</v>
      </c>
      <c r="I44" s="23">
        <f>IFERROR(INDEX('Input Statistiche 2025_26'!$F$3:$F$665,MATCH($A44,'Input Statistiche 2025_26'!$A$3:$A$665,0)),"")</f>
        <v>37</v>
      </c>
      <c r="J44" s="23">
        <f t="shared" si="0"/>
        <v>1</v>
      </c>
      <c r="K44" s="23">
        <f>IFERROR(INDEX('Input Statistiche 2025_26'!$I$3:$I$665,MATCH($A44,'Input Statistiche 2025_26'!$A$3:$A$665,0)),"")</f>
        <v>7</v>
      </c>
      <c r="L44" s="23">
        <f>IFERROR(INDEX('Input Statistiche 2025_26'!$O$3:$O$665,MATCH($A44,'Input Statistiche 2025_26'!$A$3:$A$665,0)),"")</f>
        <v>1</v>
      </c>
      <c r="M44" s="25"/>
      <c r="N44" s="24">
        <f>IFERROR(INDEX('Input Giocatori 2026_27'!$E$3:$E$493,MATCH($A44,'Input Giocatori 2026_27'!$A$3:$A$493,0)),"")</f>
        <v>11</v>
      </c>
      <c r="O44" s="24">
        <f>IFERROR(INDEX('Input Giocatori 2026_27'!$G$3:$G$493,MATCH($A44,'Input Giocatori 2026_27'!$A$3:$A$493,0)),"")</f>
        <v>63</v>
      </c>
      <c r="P44" s="23" t="str">
        <f>IFERROR(IF($O44="","",IF((1-(COUNTIFS($B$2:$B$492,$B44,$O$2:$O$492,"&gt;"&amp;$O44)+1-1)/COUNTIF($B$2:$B$492,$B44))&gt;='Parametri Modello'!$B$63,"Top",IF((1-(COUNTIFS($B$2:$B$492,$B44,$O$2:$O$492,"&gt;"&amp;$O44)+1-1)/COUNTIF($B$2:$B$492,$B44))&gt;='Parametri Modello'!$B$64,"Buono",IF((1-(COUNTIFS($B$2:$B$492,$B44,$O$2:$O$492,"&gt;"&amp;$O44)+1-1)/COUNTIF($B$2:$B$492,$B44))&gt;='Parametri Modello'!$B$65,"Nella Media","Scommessa/Riserva")))),"")</f>
        <v>Buono</v>
      </c>
      <c r="Q44" s="26">
        <f>IF(AND($D44="",$N44&gt;1),SUMPRODUCT(($D$2:$D44="")*($N$2:$N44&gt;1)),"")</f>
        <v>43</v>
      </c>
      <c r="R44" s="26" t="str">
        <f>IF($D44='Info Lega'!$B$28,COUNTIFS($D$2:$D44,'Info Lega'!$B$28),"")</f>
        <v/>
      </c>
      <c r="S44" s="27">
        <f>IFERROR(INDEX('Input Statistiche 2025_26'!$G$3:$G$665,MATCH($A44,'Input Statistiche 2025_26'!$A$3:$A$665,0)),"")</f>
        <v>5.92</v>
      </c>
      <c r="T44" s="27">
        <f>IFERROR(INDEX('Input Statistiche 2025_26'!$H$3:$H$665,MATCH($A44,'Input Statistiche 2025_26'!$A$3:$A$665,0)),"")</f>
        <v>6.41</v>
      </c>
      <c r="U44" s="23" t="str">
        <f>IF(OR('La Mia Rosa'!$O$12="",$D44&lt;&gt;""),"",IF($F44&lt;='La Mia Rosa'!$O$12*'Parametri Modello'!$B$24,"OK",IF($F44&lt;='La Mia Rosa'!$O$12*'Parametri Modello'!$B$25,"Attenzione","Rischio Alto")))</f>
        <v>Attenzione</v>
      </c>
      <c r="V44" s="23">
        <f t="shared" si="1"/>
        <v>23</v>
      </c>
      <c r="W44" s="18">
        <f>'Info Lega'!$B$4-SUMIFS($M$2:$M$492,$D$2:$D$492,'Info Lega'!$B$28)</f>
        <v>1000</v>
      </c>
      <c r="X44" s="18">
        <f>('Info Lega'!$B$5-COUNTIFS($D$2:$D$492,'Info Lega'!$B$28,$B$2:$B$492,"P"))+('Info Lega'!$B$6-COUNTIFS($D$2:$D$492,'Info Lega'!$B$28,$B$2:$B$492,"D"))+('Info Lega'!$B$7-COUNTIFS($D$2:$D$492,'Info Lega'!$B$28,$B$2:$B$492,"C"))+('Info Lega'!$B$8-COUNTIFS($D$2:$D$492,'Info Lega'!$B$28,$B$2:$B$492,"A"))</f>
        <v>25</v>
      </c>
      <c r="Y44" s="18">
        <f>X44*'Parametri Modello'!$B$30</f>
        <v>25</v>
      </c>
      <c r="Z44" s="18">
        <f t="shared" si="2"/>
        <v>975</v>
      </c>
      <c r="AA44" s="18">
        <f t="shared" si="3"/>
        <v>64</v>
      </c>
      <c r="AB44" s="18"/>
      <c r="AC44" s="18" t="str">
        <f>IF($AB44="","",IF($AB44&gt;$AA44,"PASS",IF($AB44&lt;=$AA44*(1-'Parametri Modello'!$B$68),"BID","ATTENZIONE")))</f>
        <v/>
      </c>
      <c r="AD44" s="28">
        <f t="shared" si="4"/>
        <v>71</v>
      </c>
      <c r="AE44" s="5" t="str">
        <f>IFERROR(INDEX('Stato Asta'!$G$9:$G$12,MATCH($B44,'Stato Asta'!$A$9:$A$12,0)),"")</f>
        <v>🔴 Non aspettare</v>
      </c>
      <c r="AF44" t="str">
        <f>IFERROR(IF($V44&lt;=INDEX('Parametri Modello'!$C$57:$C$60,MATCH($B44,'Parametri Modello'!$A$57:$A$60,0)),"Titolare","Riserva"),"")</f>
        <v>Titolare</v>
      </c>
      <c r="AG44" t="str">
        <f>IFERROR(INDEX('Pressione Competitiva'!$F$3:$F$6,MATCH($B44,'Pressione Competitiva'!$B$3:$B$6,0)),"")</f>
        <v>🔴 Molto Alta</v>
      </c>
      <c r="AH44" t="str">
        <f t="shared" si="5"/>
        <v/>
      </c>
      <c r="AI44" t="str">
        <f>IFERROR(IF($AH44="","",IF($AH44&gt;=$AA44*'Parametri Modello'!$B$68,"🟢 Opportunita'",IF($AH44&lt;=$AA44*'Parametri Modello'!$B$69,"🔴 Sovrapprezzo","🟡 Prezzo Corretto"))),"")</f>
        <v/>
      </c>
      <c r="AJ44" t="str">
        <f t="shared" si="6"/>
        <v/>
      </c>
      <c r="AK44">
        <f t="shared" si="7"/>
        <v>14</v>
      </c>
      <c r="AL44" t="str">
        <f t="shared" si="8"/>
        <v>A|Buono|14</v>
      </c>
    </row>
    <row r="45" spans="1:38" ht="14.25" customHeight="1" x14ac:dyDescent="0.25">
      <c r="A45" s="18">
        <v>4371</v>
      </c>
      <c r="B45" s="18" t="s">
        <v>18</v>
      </c>
      <c r="C45" s="18" t="s">
        <v>184</v>
      </c>
      <c r="E45" s="23" t="str">
        <f>IF(COUNTIF('Info Strategia'!$D$2:$D$51,$C45)&gt;0,"SI","NO")</f>
        <v>NO</v>
      </c>
      <c r="F45" s="24">
        <f>IFERROR(ROUND(($G45+($H45-$G45)*'Info Strategia'!$B$6)*(1+IF($E45="SI",'Parametri Modello'!$B$7*'Info Strategia'!$B$6,0)),0),"")</f>
        <v>64</v>
      </c>
      <c r="G45" s="24">
        <f>IFERROR(ROUND(MAX(1,(IF($V45&lt;=INDEX('Parametri Modello'!$C$57:$C$60,MATCH($B45,'Parametri Modello'!$A$57:$A$60,0)),IF(INDEX('Parametri Modello'!$E$57:$E$60,MATCH($B45,'Parametri Modello'!$A$57:$A$60,0))=0,0,($O45/INDEX('Parametri Modello'!$E$57:$E$60,MATCH($B45,'Parametri Modello'!$A$57:$A$60,0)))*(INDEX('Parametri Modello'!$D$57:$D$60,MATCH($B45,'Parametri Modello'!$A$57:$A$60,0))*(INDEX('Parametri Modello'!$B$50:$B$53,MATCH($B45,'Parametri Modello'!$A$50:$A$53,0))*'Parametri Modello'!$B$44))),IF(INDEX('Parametri Modello'!$F$57:$F$60,MATCH($B45,'Parametri Modello'!$A$57:$A$60,0))=0,0,($O45/INDEX('Parametri Modello'!$F$57:$F$60,MATCH($B45,'Parametri Modello'!$A$57:$A$60,0)))*((1-INDEX('Parametri Modello'!$D$57:$D$60,MATCH($B45,'Parametri Modello'!$A$57:$A$60,0)))*(INDEX('Parametri Modello'!$B$50:$B$53,MATCH($B45,'Parametri Modello'!$A$50:$A$53,0))*'Parametri Modello'!$B$44))))*(1+IF(IF($B45="D",'Info Lega'!$B$25,IF($B45="C",'Info Lega'!$B$26,"No"))="Si",'Parametri Modello'!$B$5,0))*(1+MAX(-0.25,MIN(0.25,IF(OR($T45="",$I45="",$I45=0,INDEX('Parametri Modello'!$B$19:$B$22,MATCH($B45,'Parametri Modello'!$A$19:$A$22,0))="",INDEX('Parametri Modello'!$B$19:$B$22,MATCH($B45,'Parametri Modello'!$A$19:$A$22,0))=0),0,(($T45-INDEX('Parametri Modello'!$B$19:$B$22,MATCH($B45,'Parametri Modello'!$A$19:$A$22,0)))/INDEX('Parametri Modello'!$B$19:$B$22,MATCH($B45,'Parametri Modello'!$A$19:$A$22,0)))*'Parametri Modello'!$B$9))))*(1+IF('Parametri Modello'!$B$27="Si",MAX(-'Parametri Modello'!$B$28,MIN('Parametri Modello'!$B$28*1.5,IF(OR(INDEX('Parametri Modello'!$F$32:$F$35,MATCH($B45,'Parametri Modello'!$A$32:$A$35,0))="",INDEX('Parametri Modello'!$F$32:$F$35,MATCH($B45,'Parametri Modello'!$A$32:$A$35,0))=0),0,(1/INDEX('Parametri Modello'!$F$32:$F$35,MATCH($B45,'Parametri Modello'!$A$32:$A$35,0))-1)*'Parametri Modello'!$B$28))),0)))*(1-INDEX('Parametri Modello'!$B$12:$B$15,MATCH($B45,'Parametri Modello'!$A$12:$A$15,0)))),0),"")</f>
        <v>40</v>
      </c>
      <c r="H45" s="24">
        <f>IFERROR(ROUND((IF($V45&lt;=INDEX('Parametri Modello'!$C$57:$C$60,MATCH($B45,'Parametri Modello'!$A$57:$A$60,0)),IF(INDEX('Parametri Modello'!$E$57:$E$60,MATCH($B45,'Parametri Modello'!$A$57:$A$60,0))=0,0,($O45/INDEX('Parametri Modello'!$E$57:$E$60,MATCH($B45,'Parametri Modello'!$A$57:$A$60,0)))*(INDEX('Parametri Modello'!$D$57:$D$60,MATCH($B45,'Parametri Modello'!$A$57:$A$60,0))*(INDEX('Parametri Modello'!$B$50:$B$53,MATCH($B45,'Parametri Modello'!$A$50:$A$53,0))*'Parametri Modello'!$B$44))),IF(INDEX('Parametri Modello'!$F$57:$F$60,MATCH($B45,'Parametri Modello'!$A$57:$A$60,0))=0,0,($O45/INDEX('Parametri Modello'!$F$57:$F$60,MATCH($B45,'Parametri Modello'!$A$57:$A$60,0)))*((1-INDEX('Parametri Modello'!$D$57:$D$60,MATCH($B45,'Parametri Modello'!$A$57:$A$60,0)))*(INDEX('Parametri Modello'!$B$50:$B$53,MATCH($B45,'Parametri Modello'!$A$50:$A$53,0))*'Parametri Modello'!$B$44))))*(1+IF(IF($B45="D",'Info Lega'!$B$25,IF($B45="C",'Info Lega'!$B$26,"No"))="Si",'Parametri Modello'!$B$5,0))*(1+MAX(-0.25,MIN(0.25,IF(OR($T45="",$I45="",$I45=0,INDEX('Parametri Modello'!$B$19:$B$22,MATCH($B45,'Parametri Modello'!$A$19:$A$22,0))="",INDEX('Parametri Modello'!$B$19:$B$22,MATCH($B45,'Parametri Modello'!$A$19:$A$22,0))=0),0,(($T45-INDEX('Parametri Modello'!$B$19:$B$22,MATCH($B45,'Parametri Modello'!$A$19:$A$22,0)))/INDEX('Parametri Modello'!$B$19:$B$22,MATCH($B45,'Parametri Modello'!$A$19:$A$22,0)))*'Parametri Modello'!$B$9))))*(1+IF('Parametri Modello'!$B$27="Si",MAX(-'Parametri Modello'!$B$28,MIN('Parametri Modello'!$B$28*1.5,IF(OR(INDEX('Parametri Modello'!$F$32:$F$35,MATCH($B45,'Parametri Modello'!$A$32:$A$35,0))="",INDEX('Parametri Modello'!$F$32:$F$35,MATCH($B45,'Parametri Modello'!$A$32:$A$35,0))=0),0,(1/INDEX('Parametri Modello'!$F$32:$F$35,MATCH($B45,'Parametri Modello'!$A$32:$A$35,0))-1)*'Parametri Modello'!$B$28))),0)))*(1+INDEX('Parametri Modello'!$B$12:$B$15,MATCH($B45,'Parametri Modello'!$A$12:$A$15,0))),0),"")</f>
        <v>74</v>
      </c>
      <c r="I45" s="23">
        <f>IFERROR(INDEX('Input Statistiche 2025_26'!$F$3:$F$665,MATCH($A45,'Input Statistiche 2025_26'!$A$3:$A$665,0)),"")</f>
        <v>13</v>
      </c>
      <c r="J45" s="23">
        <f t="shared" si="0"/>
        <v>25</v>
      </c>
      <c r="K45" s="23">
        <f>IFERROR(INDEX('Input Statistiche 2025_26'!$I$3:$I$665,MATCH($A45,'Input Statistiche 2025_26'!$A$3:$A$665,0)),"")</f>
        <v>3</v>
      </c>
      <c r="L45" s="23">
        <f>IFERROR(INDEX('Input Statistiche 2025_26'!$O$3:$O$665,MATCH($A45,'Input Statistiche 2025_26'!$A$3:$A$665,0)),"")</f>
        <v>1</v>
      </c>
      <c r="M45" s="25"/>
      <c r="N45" s="24">
        <f>IFERROR(INDEX('Input Giocatori 2026_27'!$E$3:$E$493,MATCH($A45,'Input Giocatori 2026_27'!$A$3:$A$493,0)),"")</f>
        <v>13</v>
      </c>
      <c r="O45" s="24">
        <f>IFERROR(INDEX('Input Giocatori 2026_27'!$G$3:$G$493,MATCH($A45,'Input Giocatori 2026_27'!$A$3:$A$493,0)),"")</f>
        <v>62</v>
      </c>
      <c r="P45" s="23" t="str">
        <f>IFERROR(IF($O45="","",IF((1-(COUNTIFS($B$2:$B$492,$B45,$O$2:$O$492,"&gt;"&amp;$O45)+1-1)/COUNTIF($B$2:$B$492,$B45))&gt;='Parametri Modello'!$B$63,"Top",IF((1-(COUNTIFS($B$2:$B$492,$B45,$O$2:$O$492,"&gt;"&amp;$O45)+1-1)/COUNTIF($B$2:$B$492,$B45))&gt;='Parametri Modello'!$B$64,"Buono",IF((1-(COUNTIFS($B$2:$B$492,$B45,$O$2:$O$492,"&gt;"&amp;$O45)+1-1)/COUNTIF($B$2:$B$492,$B45))&gt;='Parametri Modello'!$B$65,"Nella Media","Scommessa/Riserva")))),"")</f>
        <v>Buono</v>
      </c>
      <c r="Q45" s="26">
        <f>IF(AND($D45="",$N45&gt;1),SUMPRODUCT(($D$2:$D45="")*($N$2:$N45&gt;1)),"")</f>
        <v>44</v>
      </c>
      <c r="R45" s="26" t="str">
        <f>IF($D45='Info Lega'!$B$28,COUNTIFS($D$2:$D45,'Info Lega'!$B$28),"")</f>
        <v/>
      </c>
      <c r="S45" s="27">
        <f>IFERROR(INDEX('Input Statistiche 2025_26'!$G$3:$G$665,MATCH($A45,'Input Statistiche 2025_26'!$A$3:$A$665,0)),"")</f>
        <v>6.12</v>
      </c>
      <c r="T45" s="27">
        <f>IFERROR(INDEX('Input Statistiche 2025_26'!$H$3:$H$665,MATCH($A45,'Input Statistiche 2025_26'!$A$3:$A$665,0)),"")</f>
        <v>6.88</v>
      </c>
      <c r="U45" s="23" t="str">
        <f>IF(OR('La Mia Rosa'!$O$12="",$D45&lt;&gt;""),"",IF($F45&lt;='La Mia Rosa'!$O$12*'Parametri Modello'!$B$24,"OK",IF($F45&lt;='La Mia Rosa'!$O$12*'Parametri Modello'!$B$25,"Attenzione","Rischio Alto")))</f>
        <v>Attenzione</v>
      </c>
      <c r="V45" s="23">
        <f t="shared" si="1"/>
        <v>24</v>
      </c>
      <c r="W45" s="18">
        <f>'Info Lega'!$B$4-SUMIFS($M$2:$M$492,$D$2:$D$492,'Info Lega'!$B$28)</f>
        <v>1000</v>
      </c>
      <c r="X45" s="18">
        <f>('Info Lega'!$B$5-COUNTIFS($D$2:$D$492,'Info Lega'!$B$28,$B$2:$B$492,"P"))+('Info Lega'!$B$6-COUNTIFS($D$2:$D$492,'Info Lega'!$B$28,$B$2:$B$492,"D"))+('Info Lega'!$B$7-COUNTIFS($D$2:$D$492,'Info Lega'!$B$28,$B$2:$B$492,"C"))+('Info Lega'!$B$8-COUNTIFS($D$2:$D$492,'Info Lega'!$B$28,$B$2:$B$492,"A"))</f>
        <v>25</v>
      </c>
      <c r="Y45" s="18">
        <f>X45*'Parametri Modello'!$B$30</f>
        <v>25</v>
      </c>
      <c r="Z45" s="18">
        <f t="shared" si="2"/>
        <v>975</v>
      </c>
      <c r="AA45" s="18">
        <f t="shared" si="3"/>
        <v>64</v>
      </c>
      <c r="AB45" s="18"/>
      <c r="AC45" s="18" t="str">
        <f>IF($AB45="","",IF($AB45&gt;$AA45,"PASS",IF($AB45&lt;=$AA45*(1-'Parametri Modello'!$B$68),"BID","ATTENZIONE")))</f>
        <v/>
      </c>
      <c r="AD45" s="28">
        <f t="shared" si="4"/>
        <v>35</v>
      </c>
      <c r="AE45" s="5" t="str">
        <f>IFERROR(INDEX('Stato Asta'!$G$9:$G$12,MATCH($B45,'Stato Asta'!$A$9:$A$12,0)),"")</f>
        <v>🔴 Non aspettare</v>
      </c>
      <c r="AF45" t="str">
        <f>IFERROR(IF($V45&lt;=INDEX('Parametri Modello'!$C$57:$C$60,MATCH($B45,'Parametri Modello'!$A$57:$A$60,0)),"Titolare","Riserva"),"")</f>
        <v>Titolare</v>
      </c>
      <c r="AG45" t="str">
        <f>IFERROR(INDEX('Pressione Competitiva'!$F$3:$F$6,MATCH($B45,'Pressione Competitiva'!$B$3:$B$6,0)),"")</f>
        <v>🔴 Molto Alta</v>
      </c>
      <c r="AH45" t="str">
        <f t="shared" si="5"/>
        <v/>
      </c>
      <c r="AI45" t="str">
        <f>IFERROR(IF($AH45="","",IF($AH45&gt;=$AA45*'Parametri Modello'!$B$68,"🟢 Opportunita'",IF($AH45&lt;=$AA45*'Parametri Modello'!$B$69,"🔴 Sovrapprezzo","🟡 Prezzo Corretto"))),"")</f>
        <v/>
      </c>
      <c r="AJ45" t="str">
        <f t="shared" si="6"/>
        <v/>
      </c>
      <c r="AK45">
        <f t="shared" si="7"/>
        <v>15</v>
      </c>
      <c r="AL45" t="str">
        <f t="shared" si="8"/>
        <v>A|Buono|15</v>
      </c>
    </row>
    <row r="46" spans="1:38" ht="14.25" customHeight="1" x14ac:dyDescent="0.25">
      <c r="A46" s="18">
        <v>5800</v>
      </c>
      <c r="B46" s="18" t="s">
        <v>17</v>
      </c>
      <c r="C46" s="18" t="s">
        <v>185</v>
      </c>
      <c r="E46" s="23" t="str">
        <f>IF(COUNTIF('Info Strategia'!$D$2:$D$51,$C46)&gt;0,"SI","NO")</f>
        <v>NO</v>
      </c>
      <c r="F46" s="24">
        <f>IFERROR(ROUND(($G46+($H46-$G46)*'Info Strategia'!$B$6)*(1+IF($E46="SI",'Parametri Modello'!$B$7*'Info Strategia'!$B$6,0)),0),"")</f>
        <v>41</v>
      </c>
      <c r="G46" s="24">
        <f>IFERROR(ROUND(MAX(1,(IF($V46&lt;=INDEX('Parametri Modello'!$C$57:$C$60,MATCH($B46,'Parametri Modello'!$A$57:$A$60,0)),IF(INDEX('Parametri Modello'!$E$57:$E$60,MATCH($B46,'Parametri Modello'!$A$57:$A$60,0))=0,0,($O46/INDEX('Parametri Modello'!$E$57:$E$60,MATCH($B46,'Parametri Modello'!$A$57:$A$60,0)))*(INDEX('Parametri Modello'!$D$57:$D$60,MATCH($B46,'Parametri Modello'!$A$57:$A$60,0))*(INDEX('Parametri Modello'!$B$50:$B$53,MATCH($B46,'Parametri Modello'!$A$50:$A$53,0))*'Parametri Modello'!$B$44))),IF(INDEX('Parametri Modello'!$F$57:$F$60,MATCH($B46,'Parametri Modello'!$A$57:$A$60,0))=0,0,($O46/INDEX('Parametri Modello'!$F$57:$F$60,MATCH($B46,'Parametri Modello'!$A$57:$A$60,0)))*((1-INDEX('Parametri Modello'!$D$57:$D$60,MATCH($B46,'Parametri Modello'!$A$57:$A$60,0)))*(INDEX('Parametri Modello'!$B$50:$B$53,MATCH($B46,'Parametri Modello'!$A$50:$A$53,0))*'Parametri Modello'!$B$44))))*(1+IF(IF($B46="D",'Info Lega'!$B$25,IF($B46="C",'Info Lega'!$B$26,"No"))="Si",'Parametri Modello'!$B$5,0))*(1+MAX(-0.25,MIN(0.25,IF(OR($T46="",$I46="",$I46=0,INDEX('Parametri Modello'!$B$19:$B$22,MATCH($B46,'Parametri Modello'!$A$19:$A$22,0))="",INDEX('Parametri Modello'!$B$19:$B$22,MATCH($B46,'Parametri Modello'!$A$19:$A$22,0))=0),0,(($T46-INDEX('Parametri Modello'!$B$19:$B$22,MATCH($B46,'Parametri Modello'!$A$19:$A$22,0)))/INDEX('Parametri Modello'!$B$19:$B$22,MATCH($B46,'Parametri Modello'!$A$19:$A$22,0)))*'Parametri Modello'!$B$9))))*(1+IF('Parametri Modello'!$B$27="Si",MAX(-'Parametri Modello'!$B$28,MIN('Parametri Modello'!$B$28*1.5,IF(OR(INDEX('Parametri Modello'!$F$32:$F$35,MATCH($B46,'Parametri Modello'!$A$32:$A$35,0))="",INDEX('Parametri Modello'!$F$32:$F$35,MATCH($B46,'Parametri Modello'!$A$32:$A$35,0))=0),0,(1/INDEX('Parametri Modello'!$F$32:$F$35,MATCH($B46,'Parametri Modello'!$A$32:$A$35,0))-1)*'Parametri Modello'!$B$28))),0)))*(1-INDEX('Parametri Modello'!$B$12:$B$15,MATCH($B46,'Parametri Modello'!$A$12:$A$15,0)))),0),"")</f>
        <v>28</v>
      </c>
      <c r="H46" s="24">
        <f>IFERROR(ROUND((IF($V46&lt;=INDEX('Parametri Modello'!$C$57:$C$60,MATCH($B46,'Parametri Modello'!$A$57:$A$60,0)),IF(INDEX('Parametri Modello'!$E$57:$E$60,MATCH($B46,'Parametri Modello'!$A$57:$A$60,0))=0,0,($O46/INDEX('Parametri Modello'!$E$57:$E$60,MATCH($B46,'Parametri Modello'!$A$57:$A$60,0)))*(INDEX('Parametri Modello'!$D$57:$D$60,MATCH($B46,'Parametri Modello'!$A$57:$A$60,0))*(INDEX('Parametri Modello'!$B$50:$B$53,MATCH($B46,'Parametri Modello'!$A$50:$A$53,0))*'Parametri Modello'!$B$44))),IF(INDEX('Parametri Modello'!$F$57:$F$60,MATCH($B46,'Parametri Modello'!$A$57:$A$60,0))=0,0,($O46/INDEX('Parametri Modello'!$F$57:$F$60,MATCH($B46,'Parametri Modello'!$A$57:$A$60,0)))*((1-INDEX('Parametri Modello'!$D$57:$D$60,MATCH($B46,'Parametri Modello'!$A$57:$A$60,0)))*(INDEX('Parametri Modello'!$B$50:$B$53,MATCH($B46,'Parametri Modello'!$A$50:$A$53,0))*'Parametri Modello'!$B$44))))*(1+IF(IF($B46="D",'Info Lega'!$B$25,IF($B46="C",'Info Lega'!$B$26,"No"))="Si",'Parametri Modello'!$B$5,0))*(1+MAX(-0.25,MIN(0.25,IF(OR($T46="",$I46="",$I46=0,INDEX('Parametri Modello'!$B$19:$B$22,MATCH($B46,'Parametri Modello'!$A$19:$A$22,0))="",INDEX('Parametri Modello'!$B$19:$B$22,MATCH($B46,'Parametri Modello'!$A$19:$A$22,0))=0),0,(($T46-INDEX('Parametri Modello'!$B$19:$B$22,MATCH($B46,'Parametri Modello'!$A$19:$A$22,0)))/INDEX('Parametri Modello'!$B$19:$B$22,MATCH($B46,'Parametri Modello'!$A$19:$A$22,0)))*'Parametri Modello'!$B$9))))*(1+IF('Parametri Modello'!$B$27="Si",MAX(-'Parametri Modello'!$B$28,MIN('Parametri Modello'!$B$28*1.5,IF(OR(INDEX('Parametri Modello'!$F$32:$F$35,MATCH($B46,'Parametri Modello'!$A$32:$A$35,0))="",INDEX('Parametri Modello'!$F$32:$F$35,MATCH($B46,'Parametri Modello'!$A$32:$A$35,0))=0),0,(1/INDEX('Parametri Modello'!$F$32:$F$35,MATCH($B46,'Parametri Modello'!$A$32:$A$35,0))-1)*'Parametri Modello'!$B$28))),0)))*(1+INDEX('Parametri Modello'!$B$12:$B$15,MATCH($B46,'Parametri Modello'!$A$12:$A$15,0))),0),"")</f>
        <v>46</v>
      </c>
      <c r="I46" s="23">
        <f>IFERROR(INDEX('Input Statistiche 2025_26'!$F$3:$F$665,MATCH($A46,'Input Statistiche 2025_26'!$A$3:$A$665,0)),"")</f>
        <v>32</v>
      </c>
      <c r="J46" s="23">
        <f t="shared" si="0"/>
        <v>6</v>
      </c>
      <c r="K46" s="23">
        <f>IFERROR(INDEX('Input Statistiche 2025_26'!$I$3:$I$665,MATCH($A46,'Input Statistiche 2025_26'!$A$3:$A$665,0)),"")</f>
        <v>5</v>
      </c>
      <c r="L46" s="23">
        <f>IFERROR(INDEX('Input Statistiche 2025_26'!$O$3:$O$665,MATCH($A46,'Input Statistiche 2025_26'!$A$3:$A$665,0)),"")</f>
        <v>3</v>
      </c>
      <c r="M46" s="25"/>
      <c r="N46" s="24">
        <f>IFERROR(INDEX('Input Giocatori 2026_27'!$E$3:$E$493,MATCH($A46,'Input Giocatori 2026_27'!$A$3:$A$493,0)),"")</f>
        <v>13</v>
      </c>
      <c r="O46" s="24">
        <f>IFERROR(INDEX('Input Giocatori 2026_27'!$G$3:$G$493,MATCH($A46,'Input Giocatori 2026_27'!$A$3:$A$493,0)),"")</f>
        <v>61</v>
      </c>
      <c r="P46" s="23" t="str">
        <f>IFERROR(IF($O46="","",IF((1-(COUNTIFS($B$2:$B$492,$B46,$O$2:$O$492,"&gt;"&amp;$O46)+1-1)/COUNTIF($B$2:$B$492,$B46))&gt;='Parametri Modello'!$B$63,"Top",IF((1-(COUNTIFS($B$2:$B$492,$B46,$O$2:$O$492,"&gt;"&amp;$O46)+1-1)/COUNTIF($B$2:$B$492,$B46))&gt;='Parametri Modello'!$B$64,"Buono",IF((1-(COUNTIFS($B$2:$B$492,$B46,$O$2:$O$492,"&gt;"&amp;$O46)+1-1)/COUNTIF($B$2:$B$492,$B46))&gt;='Parametri Modello'!$B$65,"Nella Media","Scommessa/Riserva")))),"")</f>
        <v>Top</v>
      </c>
      <c r="Q46" s="26">
        <f>IF(AND($D46="",$N46&gt;1),SUMPRODUCT(($D$2:$D46="")*($N$2:$N46&gt;1)),"")</f>
        <v>45</v>
      </c>
      <c r="R46" s="26" t="str">
        <f>IF($D46='Info Lega'!$B$28,COUNTIFS($D$2:$D46,'Info Lega'!$B$28),"")</f>
        <v/>
      </c>
      <c r="S46" s="27">
        <f>IFERROR(INDEX('Input Statistiche 2025_26'!$G$3:$G$665,MATCH($A46,'Input Statistiche 2025_26'!$A$3:$A$665,0)),"")</f>
        <v>5.88</v>
      </c>
      <c r="T46" s="27">
        <f>IFERROR(INDEX('Input Statistiche 2025_26'!$H$3:$H$665,MATCH($A46,'Input Statistiche 2025_26'!$A$3:$A$665,0)),"")</f>
        <v>6.34</v>
      </c>
      <c r="U46" s="23" t="str">
        <f>IF(OR('La Mia Rosa'!$O$12="",$D46&lt;&gt;""),"",IF($F46&lt;='La Mia Rosa'!$O$12*'Parametri Modello'!$B$24,"OK",IF($F46&lt;='La Mia Rosa'!$O$12*'Parametri Modello'!$B$25,"Attenzione","Rischio Alto")))</f>
        <v>OK</v>
      </c>
      <c r="V46" s="23">
        <f t="shared" si="1"/>
        <v>17</v>
      </c>
      <c r="W46" s="18">
        <f>'Info Lega'!$B$4-SUMIFS($M$2:$M$492,$D$2:$D$492,'Info Lega'!$B$28)</f>
        <v>1000</v>
      </c>
      <c r="X46" s="18">
        <f>('Info Lega'!$B$5-COUNTIFS($D$2:$D$492,'Info Lega'!$B$28,$B$2:$B$492,"P"))+('Info Lega'!$B$6-COUNTIFS($D$2:$D$492,'Info Lega'!$B$28,$B$2:$B$492,"D"))+('Info Lega'!$B$7-COUNTIFS($D$2:$D$492,'Info Lega'!$B$28,$B$2:$B$492,"C"))+('Info Lega'!$B$8-COUNTIFS($D$2:$D$492,'Info Lega'!$B$28,$B$2:$B$492,"A"))</f>
        <v>25</v>
      </c>
      <c r="Y46" s="18">
        <f>X46*'Parametri Modello'!$B$30</f>
        <v>25</v>
      </c>
      <c r="Z46" s="18">
        <f t="shared" si="2"/>
        <v>975</v>
      </c>
      <c r="AA46" s="18">
        <f t="shared" si="3"/>
        <v>41</v>
      </c>
      <c r="AB46" s="18"/>
      <c r="AC46" s="18" t="str">
        <f>IF($AB46="","",IF($AB46&gt;$AA46,"PASS",IF($AB46&lt;=$AA46*(1-'Parametri Modello'!$B$68),"BID","ATTENZIONE")))</f>
        <v/>
      </c>
      <c r="AD46" s="28">
        <f t="shared" si="4"/>
        <v>66</v>
      </c>
      <c r="AE46" s="5" t="str">
        <f>IFERROR(INDEX('Stato Asta'!$G$9:$G$12,MATCH($B46,'Stato Asta'!$A$9:$A$12,0)),"")</f>
        <v>🔴 Non aspettare</v>
      </c>
      <c r="AF46" t="str">
        <f>IFERROR(IF($V46&lt;=INDEX('Parametri Modello'!$C$57:$C$60,MATCH($B46,'Parametri Modello'!$A$57:$A$60,0)),"Titolare","Riserva"),"")</f>
        <v>Titolare</v>
      </c>
      <c r="AG46" t="str">
        <f>IFERROR(INDEX('Pressione Competitiva'!$F$3:$F$6,MATCH($B46,'Pressione Competitiva'!$B$3:$B$6,0)),"")</f>
        <v>🔴 Molto Alta</v>
      </c>
      <c r="AH46" t="str">
        <f t="shared" si="5"/>
        <v/>
      </c>
      <c r="AI46" t="str">
        <f>IFERROR(IF($AH46="","",IF($AH46&gt;=$AA46*'Parametri Modello'!$B$68,"🟢 Opportunita'",IF($AH46&lt;=$AA46*'Parametri Modello'!$B$69,"🔴 Sovrapprezzo","🟡 Prezzo Corretto"))),"")</f>
        <v/>
      </c>
      <c r="AJ46" t="str">
        <f t="shared" si="6"/>
        <v/>
      </c>
      <c r="AK46">
        <f t="shared" si="7"/>
        <v>17</v>
      </c>
      <c r="AL46" t="str">
        <f t="shared" si="8"/>
        <v>C|Top|17</v>
      </c>
    </row>
    <row r="47" spans="1:38" ht="14.25" customHeight="1" x14ac:dyDescent="0.25">
      <c r="A47" s="18">
        <v>6884</v>
      </c>
      <c r="B47" s="18" t="s">
        <v>17</v>
      </c>
      <c r="C47" s="18" t="s">
        <v>186</v>
      </c>
      <c r="E47" s="23" t="str">
        <f>IF(COUNTIF('Info Strategia'!$D$2:$D$51,$C47)&gt;0,"SI","NO")</f>
        <v>NO</v>
      </c>
      <c r="F47" s="24">
        <f>IFERROR(ROUND(($G47+($H47-$G47)*'Info Strategia'!$B$6)*(1+IF($E47="SI",'Parametri Modello'!$B$7*'Info Strategia'!$B$6,0)),0),"")</f>
        <v>40</v>
      </c>
      <c r="G47" s="24">
        <f>IFERROR(ROUND(MAX(1,(IF($V47&lt;=INDEX('Parametri Modello'!$C$57:$C$60,MATCH($B47,'Parametri Modello'!$A$57:$A$60,0)),IF(INDEX('Parametri Modello'!$E$57:$E$60,MATCH($B47,'Parametri Modello'!$A$57:$A$60,0))=0,0,($O47/INDEX('Parametri Modello'!$E$57:$E$60,MATCH($B47,'Parametri Modello'!$A$57:$A$60,0)))*(INDEX('Parametri Modello'!$D$57:$D$60,MATCH($B47,'Parametri Modello'!$A$57:$A$60,0))*(INDEX('Parametri Modello'!$B$50:$B$53,MATCH($B47,'Parametri Modello'!$A$50:$A$53,0))*'Parametri Modello'!$B$44))),IF(INDEX('Parametri Modello'!$F$57:$F$60,MATCH($B47,'Parametri Modello'!$A$57:$A$60,0))=0,0,($O47/INDEX('Parametri Modello'!$F$57:$F$60,MATCH($B47,'Parametri Modello'!$A$57:$A$60,0)))*((1-INDEX('Parametri Modello'!$D$57:$D$60,MATCH($B47,'Parametri Modello'!$A$57:$A$60,0)))*(INDEX('Parametri Modello'!$B$50:$B$53,MATCH($B47,'Parametri Modello'!$A$50:$A$53,0))*'Parametri Modello'!$B$44))))*(1+IF(IF($B47="D",'Info Lega'!$B$25,IF($B47="C",'Info Lega'!$B$26,"No"))="Si",'Parametri Modello'!$B$5,0))*(1+MAX(-0.25,MIN(0.25,IF(OR($T47="",$I47="",$I47=0,INDEX('Parametri Modello'!$B$19:$B$22,MATCH($B47,'Parametri Modello'!$A$19:$A$22,0))="",INDEX('Parametri Modello'!$B$19:$B$22,MATCH($B47,'Parametri Modello'!$A$19:$A$22,0))=0),0,(($T47-INDEX('Parametri Modello'!$B$19:$B$22,MATCH($B47,'Parametri Modello'!$A$19:$A$22,0)))/INDEX('Parametri Modello'!$B$19:$B$22,MATCH($B47,'Parametri Modello'!$A$19:$A$22,0)))*'Parametri Modello'!$B$9))))*(1+IF('Parametri Modello'!$B$27="Si",MAX(-'Parametri Modello'!$B$28,MIN('Parametri Modello'!$B$28*1.5,IF(OR(INDEX('Parametri Modello'!$F$32:$F$35,MATCH($B47,'Parametri Modello'!$A$32:$A$35,0))="",INDEX('Parametri Modello'!$F$32:$F$35,MATCH($B47,'Parametri Modello'!$A$32:$A$35,0))=0),0,(1/INDEX('Parametri Modello'!$F$32:$F$35,MATCH($B47,'Parametri Modello'!$A$32:$A$35,0))-1)*'Parametri Modello'!$B$28))),0)))*(1-INDEX('Parametri Modello'!$B$12:$B$15,MATCH($B47,'Parametri Modello'!$A$12:$A$15,0)))),0),"")</f>
        <v>27</v>
      </c>
      <c r="H47" s="24">
        <f>IFERROR(ROUND((IF($V47&lt;=INDEX('Parametri Modello'!$C$57:$C$60,MATCH($B47,'Parametri Modello'!$A$57:$A$60,0)),IF(INDEX('Parametri Modello'!$E$57:$E$60,MATCH($B47,'Parametri Modello'!$A$57:$A$60,0))=0,0,($O47/INDEX('Parametri Modello'!$E$57:$E$60,MATCH($B47,'Parametri Modello'!$A$57:$A$60,0)))*(INDEX('Parametri Modello'!$D$57:$D$60,MATCH($B47,'Parametri Modello'!$A$57:$A$60,0))*(INDEX('Parametri Modello'!$B$50:$B$53,MATCH($B47,'Parametri Modello'!$A$50:$A$53,0))*'Parametri Modello'!$B$44))),IF(INDEX('Parametri Modello'!$F$57:$F$60,MATCH($B47,'Parametri Modello'!$A$57:$A$60,0))=0,0,($O47/INDEX('Parametri Modello'!$F$57:$F$60,MATCH($B47,'Parametri Modello'!$A$57:$A$60,0)))*((1-INDEX('Parametri Modello'!$D$57:$D$60,MATCH($B47,'Parametri Modello'!$A$57:$A$60,0)))*(INDEX('Parametri Modello'!$B$50:$B$53,MATCH($B47,'Parametri Modello'!$A$50:$A$53,0))*'Parametri Modello'!$B$44))))*(1+IF(IF($B47="D",'Info Lega'!$B$25,IF($B47="C",'Info Lega'!$B$26,"No"))="Si",'Parametri Modello'!$B$5,0))*(1+MAX(-0.25,MIN(0.25,IF(OR($T47="",$I47="",$I47=0,INDEX('Parametri Modello'!$B$19:$B$22,MATCH($B47,'Parametri Modello'!$A$19:$A$22,0))="",INDEX('Parametri Modello'!$B$19:$B$22,MATCH($B47,'Parametri Modello'!$A$19:$A$22,0))=0),0,(($T47-INDEX('Parametri Modello'!$B$19:$B$22,MATCH($B47,'Parametri Modello'!$A$19:$A$22,0)))/INDEX('Parametri Modello'!$B$19:$B$22,MATCH($B47,'Parametri Modello'!$A$19:$A$22,0)))*'Parametri Modello'!$B$9))))*(1+IF('Parametri Modello'!$B$27="Si",MAX(-'Parametri Modello'!$B$28,MIN('Parametri Modello'!$B$28*1.5,IF(OR(INDEX('Parametri Modello'!$F$32:$F$35,MATCH($B47,'Parametri Modello'!$A$32:$A$35,0))="",INDEX('Parametri Modello'!$F$32:$F$35,MATCH($B47,'Parametri Modello'!$A$32:$A$35,0))=0),0,(1/INDEX('Parametri Modello'!$F$32:$F$35,MATCH($B47,'Parametri Modello'!$A$32:$A$35,0))-1)*'Parametri Modello'!$B$28))),0)))*(1+INDEX('Parametri Modello'!$B$12:$B$15,MATCH($B47,'Parametri Modello'!$A$12:$A$15,0))),0),"")</f>
        <v>46</v>
      </c>
      <c r="I47" s="23">
        <f>IFERROR(INDEX('Input Statistiche 2025_26'!$F$3:$F$665,MATCH($A47,'Input Statistiche 2025_26'!$A$3:$A$665,0)),"")</f>
        <v>30</v>
      </c>
      <c r="J47" s="23">
        <f t="shared" si="0"/>
        <v>8</v>
      </c>
      <c r="K47" s="23">
        <f>IFERROR(INDEX('Input Statistiche 2025_26'!$I$3:$I$665,MATCH($A47,'Input Statistiche 2025_26'!$A$3:$A$665,0)),"")</f>
        <v>3</v>
      </c>
      <c r="L47" s="23">
        <f>IFERROR(INDEX('Input Statistiche 2025_26'!$O$3:$O$665,MATCH($A47,'Input Statistiche 2025_26'!$A$3:$A$665,0)),"")</f>
        <v>5</v>
      </c>
      <c r="M47" s="25"/>
      <c r="N47" s="24">
        <f>IFERROR(INDEX('Input Giocatori 2026_27'!$E$3:$E$493,MATCH($A47,'Input Giocatori 2026_27'!$A$3:$A$493,0)),"")</f>
        <v>12</v>
      </c>
      <c r="O47" s="24">
        <f>IFERROR(INDEX('Input Giocatori 2026_27'!$G$3:$G$493,MATCH($A47,'Input Giocatori 2026_27'!$A$3:$A$493,0)),"")</f>
        <v>60</v>
      </c>
      <c r="P47" s="23" t="str">
        <f>IFERROR(IF($O47="","",IF((1-(COUNTIFS($B$2:$B$492,$B47,$O$2:$O$492,"&gt;"&amp;$O47)+1-1)/COUNTIF($B$2:$B$492,$B47))&gt;='Parametri Modello'!$B$63,"Top",IF((1-(COUNTIFS($B$2:$B$492,$B47,$O$2:$O$492,"&gt;"&amp;$O47)+1-1)/COUNTIF($B$2:$B$492,$B47))&gt;='Parametri Modello'!$B$64,"Buono",IF((1-(COUNTIFS($B$2:$B$492,$B47,$O$2:$O$492,"&gt;"&amp;$O47)+1-1)/COUNTIF($B$2:$B$492,$B47))&gt;='Parametri Modello'!$B$65,"Nella Media","Scommessa/Riserva")))),"")</f>
        <v>Top</v>
      </c>
      <c r="Q47" s="26">
        <f>IF(AND($D47="",$N47&gt;1),SUMPRODUCT(($D$2:$D47="")*($N$2:$N47&gt;1)),"")</f>
        <v>46</v>
      </c>
      <c r="R47" s="26" t="str">
        <f>IF($D47='Info Lega'!$B$28,COUNTIFS($D$2:$D47,'Info Lega'!$B$28),"")</f>
        <v/>
      </c>
      <c r="S47" s="27">
        <f>IFERROR(INDEX('Input Statistiche 2025_26'!$G$3:$G$665,MATCH($A47,'Input Statistiche 2025_26'!$A$3:$A$665,0)),"")</f>
        <v>6.28</v>
      </c>
      <c r="T47" s="27">
        <f>IFERROR(INDEX('Input Statistiche 2025_26'!$H$3:$H$665,MATCH($A47,'Input Statistiche 2025_26'!$A$3:$A$665,0)),"")</f>
        <v>6.7</v>
      </c>
      <c r="U47" s="23" t="str">
        <f>IF(OR('La Mia Rosa'!$O$12="",$D47&lt;&gt;""),"",IF($F47&lt;='La Mia Rosa'!$O$12*'Parametri Modello'!$B$24,"OK",IF($F47&lt;='La Mia Rosa'!$O$12*'Parametri Modello'!$B$25,"Attenzione","Rischio Alto")))</f>
        <v>OK</v>
      </c>
      <c r="V47" s="23">
        <f t="shared" si="1"/>
        <v>18</v>
      </c>
      <c r="W47" s="18">
        <f>'Info Lega'!$B$4-SUMIFS($M$2:$M$492,$D$2:$D$492,'Info Lega'!$B$28)</f>
        <v>1000</v>
      </c>
      <c r="X47" s="18">
        <f>('Info Lega'!$B$5-COUNTIFS($D$2:$D$492,'Info Lega'!$B$28,$B$2:$B$492,"P"))+('Info Lega'!$B$6-COUNTIFS($D$2:$D$492,'Info Lega'!$B$28,$B$2:$B$492,"D"))+('Info Lega'!$B$7-COUNTIFS($D$2:$D$492,'Info Lega'!$B$28,$B$2:$B$492,"C"))+('Info Lega'!$B$8-COUNTIFS($D$2:$D$492,'Info Lega'!$B$28,$B$2:$B$492,"A"))</f>
        <v>25</v>
      </c>
      <c r="Y47" s="18">
        <f>X47*'Parametri Modello'!$B$30</f>
        <v>25</v>
      </c>
      <c r="Z47" s="18">
        <f t="shared" si="2"/>
        <v>975</v>
      </c>
      <c r="AA47" s="18">
        <f t="shared" si="3"/>
        <v>40</v>
      </c>
      <c r="AB47" s="18"/>
      <c r="AC47" s="18" t="str">
        <f>IF($AB47="","",IF($AB47&gt;$AA47,"PASS",IF($AB47&lt;=$AA47*(1-'Parametri Modello'!$B$68),"BID","ATTENZIONE")))</f>
        <v/>
      </c>
      <c r="AD47" s="28">
        <f t="shared" si="4"/>
        <v>63</v>
      </c>
      <c r="AE47" s="5" t="str">
        <f>IFERROR(INDEX('Stato Asta'!$G$9:$G$12,MATCH($B47,'Stato Asta'!$A$9:$A$12,0)),"")</f>
        <v>🔴 Non aspettare</v>
      </c>
      <c r="AF47" t="str">
        <f>IFERROR(IF($V47&lt;=INDEX('Parametri Modello'!$C$57:$C$60,MATCH($B47,'Parametri Modello'!$A$57:$A$60,0)),"Titolare","Riserva"),"")</f>
        <v>Titolare</v>
      </c>
      <c r="AG47" t="str">
        <f>IFERROR(INDEX('Pressione Competitiva'!$F$3:$F$6,MATCH($B47,'Pressione Competitiva'!$B$3:$B$6,0)),"")</f>
        <v>🔴 Molto Alta</v>
      </c>
      <c r="AH47" t="str">
        <f t="shared" si="5"/>
        <v/>
      </c>
      <c r="AI47" t="str">
        <f>IFERROR(IF($AH47="","",IF($AH47&gt;=$AA47*'Parametri Modello'!$B$68,"🟢 Opportunita'",IF($AH47&lt;=$AA47*'Parametri Modello'!$B$69,"🔴 Sovrapprezzo","🟡 Prezzo Corretto"))),"")</f>
        <v/>
      </c>
      <c r="AJ47" t="str">
        <f t="shared" si="6"/>
        <v/>
      </c>
      <c r="AK47">
        <f t="shared" si="7"/>
        <v>18</v>
      </c>
      <c r="AL47" t="str">
        <f t="shared" si="8"/>
        <v>C|Top|18</v>
      </c>
    </row>
    <row r="48" spans="1:38" ht="14.25" customHeight="1" x14ac:dyDescent="0.25">
      <c r="A48" s="18">
        <v>7351</v>
      </c>
      <c r="B48" s="18" t="s">
        <v>18</v>
      </c>
      <c r="C48" s="18" t="s">
        <v>187</v>
      </c>
      <c r="E48" s="23" t="str">
        <f>IF(COUNTIF('Info Strategia'!$D$2:$D$51,$C48)&gt;0,"SI","NO")</f>
        <v>NO</v>
      </c>
      <c r="F48" s="24">
        <f>IFERROR(ROUND(($G48+($H48-$G48)*'Info Strategia'!$B$6)*(1+IF($E48="SI",'Parametri Modello'!$B$7*'Info Strategia'!$B$6,0)),0),"")</f>
        <v>20</v>
      </c>
      <c r="G48" s="24">
        <f>IFERROR(ROUND(MAX(1,(IF($V48&lt;=INDEX('Parametri Modello'!$C$57:$C$60,MATCH($B48,'Parametri Modello'!$A$57:$A$60,0)),IF(INDEX('Parametri Modello'!$E$57:$E$60,MATCH($B48,'Parametri Modello'!$A$57:$A$60,0))=0,0,($O48/INDEX('Parametri Modello'!$E$57:$E$60,MATCH($B48,'Parametri Modello'!$A$57:$A$60,0)))*(INDEX('Parametri Modello'!$D$57:$D$60,MATCH($B48,'Parametri Modello'!$A$57:$A$60,0))*(INDEX('Parametri Modello'!$B$50:$B$53,MATCH($B48,'Parametri Modello'!$A$50:$A$53,0))*'Parametri Modello'!$B$44))),IF(INDEX('Parametri Modello'!$F$57:$F$60,MATCH($B48,'Parametri Modello'!$A$57:$A$60,0))=0,0,($O48/INDEX('Parametri Modello'!$F$57:$F$60,MATCH($B48,'Parametri Modello'!$A$57:$A$60,0)))*((1-INDEX('Parametri Modello'!$D$57:$D$60,MATCH($B48,'Parametri Modello'!$A$57:$A$60,0)))*(INDEX('Parametri Modello'!$B$50:$B$53,MATCH($B48,'Parametri Modello'!$A$50:$A$53,0))*'Parametri Modello'!$B$44))))*(1+IF(IF($B48="D",'Info Lega'!$B$25,IF($B48="C",'Info Lega'!$B$26,"No"))="Si",'Parametri Modello'!$B$5,0))*(1+MAX(-0.25,MIN(0.25,IF(OR($T48="",$I48="",$I48=0,INDEX('Parametri Modello'!$B$19:$B$22,MATCH($B48,'Parametri Modello'!$A$19:$A$22,0))="",INDEX('Parametri Modello'!$B$19:$B$22,MATCH($B48,'Parametri Modello'!$A$19:$A$22,0))=0),0,(($T48-INDEX('Parametri Modello'!$B$19:$B$22,MATCH($B48,'Parametri Modello'!$A$19:$A$22,0)))/INDEX('Parametri Modello'!$B$19:$B$22,MATCH($B48,'Parametri Modello'!$A$19:$A$22,0)))*'Parametri Modello'!$B$9))))*(1+IF('Parametri Modello'!$B$27="Si",MAX(-'Parametri Modello'!$B$28,MIN('Parametri Modello'!$B$28*1.5,IF(OR(INDEX('Parametri Modello'!$F$32:$F$35,MATCH($B48,'Parametri Modello'!$A$32:$A$35,0))="",INDEX('Parametri Modello'!$F$32:$F$35,MATCH($B48,'Parametri Modello'!$A$32:$A$35,0))=0),0,(1/INDEX('Parametri Modello'!$F$32:$F$35,MATCH($B48,'Parametri Modello'!$A$32:$A$35,0))-1)*'Parametri Modello'!$B$28))),0)))*(1-INDEX('Parametri Modello'!$B$12:$B$15,MATCH($B48,'Parametri Modello'!$A$12:$A$15,0)))),0),"")</f>
        <v>12</v>
      </c>
      <c r="H48" s="24">
        <f>IFERROR(ROUND((IF($V48&lt;=INDEX('Parametri Modello'!$C$57:$C$60,MATCH($B48,'Parametri Modello'!$A$57:$A$60,0)),IF(INDEX('Parametri Modello'!$E$57:$E$60,MATCH($B48,'Parametri Modello'!$A$57:$A$60,0))=0,0,($O48/INDEX('Parametri Modello'!$E$57:$E$60,MATCH($B48,'Parametri Modello'!$A$57:$A$60,0)))*(INDEX('Parametri Modello'!$D$57:$D$60,MATCH($B48,'Parametri Modello'!$A$57:$A$60,0))*(INDEX('Parametri Modello'!$B$50:$B$53,MATCH($B48,'Parametri Modello'!$A$50:$A$53,0))*'Parametri Modello'!$B$44))),IF(INDEX('Parametri Modello'!$F$57:$F$60,MATCH($B48,'Parametri Modello'!$A$57:$A$60,0))=0,0,($O48/INDEX('Parametri Modello'!$F$57:$F$60,MATCH($B48,'Parametri Modello'!$A$57:$A$60,0)))*((1-INDEX('Parametri Modello'!$D$57:$D$60,MATCH($B48,'Parametri Modello'!$A$57:$A$60,0)))*(INDEX('Parametri Modello'!$B$50:$B$53,MATCH($B48,'Parametri Modello'!$A$50:$A$53,0))*'Parametri Modello'!$B$44))))*(1+IF(IF($B48="D",'Info Lega'!$B$25,IF($B48="C",'Info Lega'!$B$26,"No"))="Si",'Parametri Modello'!$B$5,0))*(1+MAX(-0.25,MIN(0.25,IF(OR($T48="",$I48="",$I48=0,INDEX('Parametri Modello'!$B$19:$B$22,MATCH($B48,'Parametri Modello'!$A$19:$A$22,0))="",INDEX('Parametri Modello'!$B$19:$B$22,MATCH($B48,'Parametri Modello'!$A$19:$A$22,0))=0),0,(($T48-INDEX('Parametri Modello'!$B$19:$B$22,MATCH($B48,'Parametri Modello'!$A$19:$A$22,0)))/INDEX('Parametri Modello'!$B$19:$B$22,MATCH($B48,'Parametri Modello'!$A$19:$A$22,0)))*'Parametri Modello'!$B$9))))*(1+IF('Parametri Modello'!$B$27="Si",MAX(-'Parametri Modello'!$B$28,MIN('Parametri Modello'!$B$28*1.5,IF(OR(INDEX('Parametri Modello'!$F$32:$F$35,MATCH($B48,'Parametri Modello'!$A$32:$A$35,0))="",INDEX('Parametri Modello'!$F$32:$F$35,MATCH($B48,'Parametri Modello'!$A$32:$A$35,0))=0),0,(1/INDEX('Parametri Modello'!$F$32:$F$35,MATCH($B48,'Parametri Modello'!$A$32:$A$35,0))-1)*'Parametri Modello'!$B$28))),0)))*(1+INDEX('Parametri Modello'!$B$12:$B$15,MATCH($B48,'Parametri Modello'!$A$12:$A$15,0))),0),"")</f>
        <v>23</v>
      </c>
      <c r="I48" s="23">
        <f>IFERROR(INDEX('Input Statistiche 2025_26'!$F$3:$F$665,MATCH($A48,'Input Statistiche 2025_26'!$A$3:$A$665,0)),"")</f>
        <v>13</v>
      </c>
      <c r="J48" s="23">
        <f t="shared" si="0"/>
        <v>25</v>
      </c>
      <c r="K48" s="23">
        <f>IFERROR(INDEX('Input Statistiche 2025_26'!$I$3:$I$665,MATCH($A48,'Input Statistiche 2025_26'!$A$3:$A$665,0)),"")</f>
        <v>4</v>
      </c>
      <c r="L48" s="23">
        <f>IFERROR(INDEX('Input Statistiche 2025_26'!$O$3:$O$665,MATCH($A48,'Input Statistiche 2025_26'!$A$3:$A$665,0)),"")</f>
        <v>0</v>
      </c>
      <c r="M48" s="25"/>
      <c r="N48" s="24">
        <f>IFERROR(INDEX('Input Giocatori 2026_27'!$E$3:$E$493,MATCH($A48,'Input Giocatori 2026_27'!$A$3:$A$493,0)),"")</f>
        <v>14</v>
      </c>
      <c r="O48" s="24">
        <f>IFERROR(INDEX('Input Giocatori 2026_27'!$G$3:$G$493,MATCH($A48,'Input Giocatori 2026_27'!$A$3:$A$493,0)),"")</f>
        <v>60</v>
      </c>
      <c r="P48" s="23" t="str">
        <f>IFERROR(IF($O48="","",IF((1-(COUNTIFS($B$2:$B$492,$B48,$O$2:$O$492,"&gt;"&amp;$O48)+1-1)/COUNTIF($B$2:$B$492,$B48))&gt;='Parametri Modello'!$B$63,"Top",IF((1-(COUNTIFS($B$2:$B$492,$B48,$O$2:$O$492,"&gt;"&amp;$O48)+1-1)/COUNTIF($B$2:$B$492,$B48))&gt;='Parametri Modello'!$B$64,"Buono",IF((1-(COUNTIFS($B$2:$B$492,$B48,$O$2:$O$492,"&gt;"&amp;$O48)+1-1)/COUNTIF($B$2:$B$492,$B48))&gt;='Parametri Modello'!$B$65,"Nella Media","Scommessa/Riserva")))),"")</f>
        <v>Buono</v>
      </c>
      <c r="Q48" s="26">
        <f>IF(AND($D48="",$N48&gt;1),SUMPRODUCT(($D$2:$D48="")*($N$2:$N48&gt;1)),"")</f>
        <v>47</v>
      </c>
      <c r="R48" s="26" t="str">
        <f>IF($D48='Info Lega'!$B$28,COUNTIFS($D$2:$D48,'Info Lega'!$B$28),"")</f>
        <v/>
      </c>
      <c r="S48" s="27">
        <f>IFERROR(INDEX('Input Statistiche 2025_26'!$G$3:$G$665,MATCH($A48,'Input Statistiche 2025_26'!$A$3:$A$665,0)),"")</f>
        <v>6.35</v>
      </c>
      <c r="T48" s="27">
        <f>IFERROR(INDEX('Input Statistiche 2025_26'!$H$3:$H$665,MATCH($A48,'Input Statistiche 2025_26'!$A$3:$A$665,0)),"")</f>
        <v>7.23</v>
      </c>
      <c r="U48" s="23" t="str">
        <f>IF(OR('La Mia Rosa'!$O$12="",$D48&lt;&gt;""),"",IF($F48&lt;='La Mia Rosa'!$O$12*'Parametri Modello'!$B$24,"OK",IF($F48&lt;='La Mia Rosa'!$O$12*'Parametri Modello'!$B$25,"Attenzione","Rischio Alto")))</f>
        <v>OK</v>
      </c>
      <c r="V48" s="23">
        <f t="shared" si="1"/>
        <v>25</v>
      </c>
      <c r="W48" s="18">
        <f>'Info Lega'!$B$4-SUMIFS($M$2:$M$492,$D$2:$D$492,'Info Lega'!$B$28)</f>
        <v>1000</v>
      </c>
      <c r="X48" s="18">
        <f>('Info Lega'!$B$5-COUNTIFS($D$2:$D$492,'Info Lega'!$B$28,$B$2:$B$492,"P"))+('Info Lega'!$B$6-COUNTIFS($D$2:$D$492,'Info Lega'!$B$28,$B$2:$B$492,"D"))+('Info Lega'!$B$7-COUNTIFS($D$2:$D$492,'Info Lega'!$B$28,$B$2:$B$492,"C"))+('Info Lega'!$B$8-COUNTIFS($D$2:$D$492,'Info Lega'!$B$28,$B$2:$B$492,"A"))</f>
        <v>25</v>
      </c>
      <c r="Y48" s="18">
        <f>X48*'Parametri Modello'!$B$30</f>
        <v>25</v>
      </c>
      <c r="Z48" s="18">
        <f t="shared" si="2"/>
        <v>975</v>
      </c>
      <c r="AA48" s="18">
        <f t="shared" si="3"/>
        <v>20</v>
      </c>
      <c r="AB48" s="18"/>
      <c r="AC48" s="18" t="str">
        <f>IF($AB48="","",IF($AB48&gt;$AA48,"PASS",IF($AB48&lt;=$AA48*(1-'Parametri Modello'!$B$68),"BID","ATTENZIONE")))</f>
        <v/>
      </c>
      <c r="AD48" s="28">
        <f t="shared" si="4"/>
        <v>35</v>
      </c>
      <c r="AE48" s="5" t="str">
        <f>IFERROR(INDEX('Stato Asta'!$G$9:$G$12,MATCH($B48,'Stato Asta'!$A$9:$A$12,0)),"")</f>
        <v>🔴 Non aspettare</v>
      </c>
      <c r="AF48" t="str">
        <f>IFERROR(IF($V48&lt;=INDEX('Parametri Modello'!$C$57:$C$60,MATCH($B48,'Parametri Modello'!$A$57:$A$60,0)),"Titolare","Riserva"),"")</f>
        <v>Riserva</v>
      </c>
      <c r="AG48" t="str">
        <f>IFERROR(INDEX('Pressione Competitiva'!$F$3:$F$6,MATCH($B48,'Pressione Competitiva'!$B$3:$B$6,0)),"")</f>
        <v>🔴 Molto Alta</v>
      </c>
      <c r="AH48" t="str">
        <f t="shared" si="5"/>
        <v/>
      </c>
      <c r="AI48" t="str">
        <f>IFERROR(IF($AH48="","",IF($AH48&gt;=$AA48*'Parametri Modello'!$B$68,"🟢 Opportunita'",IF($AH48&lt;=$AA48*'Parametri Modello'!$B$69,"🔴 Sovrapprezzo","🟡 Prezzo Corretto"))),"")</f>
        <v/>
      </c>
      <c r="AJ48" t="str">
        <f t="shared" si="6"/>
        <v/>
      </c>
      <c r="AK48">
        <f t="shared" si="7"/>
        <v>16</v>
      </c>
      <c r="AL48" t="str">
        <f t="shared" si="8"/>
        <v>A|Buono|16</v>
      </c>
    </row>
    <row r="49" spans="1:38" ht="14.25" customHeight="1" x14ac:dyDescent="0.25">
      <c r="A49" s="18">
        <v>2038</v>
      </c>
      <c r="B49" s="18" t="s">
        <v>18</v>
      </c>
      <c r="C49" s="18" t="s">
        <v>188</v>
      </c>
      <c r="E49" s="23" t="str">
        <f>IF(COUNTIF('Info Strategia'!$D$2:$D$51,$C49)&gt;0,"SI","NO")</f>
        <v>NO</v>
      </c>
      <c r="F49" s="24">
        <f>IFERROR(ROUND(($G49+($H49-$G49)*'Info Strategia'!$B$6)*(1+IF($E49="SI",'Parametri Modello'!$B$7*'Info Strategia'!$B$6,0)),0),"")</f>
        <v>19</v>
      </c>
      <c r="G49" s="24">
        <f>IFERROR(ROUND(MAX(1,(IF($V49&lt;=INDEX('Parametri Modello'!$C$57:$C$60,MATCH($B49,'Parametri Modello'!$A$57:$A$60,0)),IF(INDEX('Parametri Modello'!$E$57:$E$60,MATCH($B49,'Parametri Modello'!$A$57:$A$60,0))=0,0,($O49/INDEX('Parametri Modello'!$E$57:$E$60,MATCH($B49,'Parametri Modello'!$A$57:$A$60,0)))*(INDEX('Parametri Modello'!$D$57:$D$60,MATCH($B49,'Parametri Modello'!$A$57:$A$60,0))*(INDEX('Parametri Modello'!$B$50:$B$53,MATCH($B49,'Parametri Modello'!$A$50:$A$53,0))*'Parametri Modello'!$B$44))),IF(INDEX('Parametri Modello'!$F$57:$F$60,MATCH($B49,'Parametri Modello'!$A$57:$A$60,0))=0,0,($O49/INDEX('Parametri Modello'!$F$57:$F$60,MATCH($B49,'Parametri Modello'!$A$57:$A$60,0)))*((1-INDEX('Parametri Modello'!$D$57:$D$60,MATCH($B49,'Parametri Modello'!$A$57:$A$60,0)))*(INDEX('Parametri Modello'!$B$50:$B$53,MATCH($B49,'Parametri Modello'!$A$50:$A$53,0))*'Parametri Modello'!$B$44))))*(1+IF(IF($B49="D",'Info Lega'!$B$25,IF($B49="C",'Info Lega'!$B$26,"No"))="Si",'Parametri Modello'!$B$5,0))*(1+MAX(-0.25,MIN(0.25,IF(OR($T49="",$I49="",$I49=0,INDEX('Parametri Modello'!$B$19:$B$22,MATCH($B49,'Parametri Modello'!$A$19:$A$22,0))="",INDEX('Parametri Modello'!$B$19:$B$22,MATCH($B49,'Parametri Modello'!$A$19:$A$22,0))=0),0,(($T49-INDEX('Parametri Modello'!$B$19:$B$22,MATCH($B49,'Parametri Modello'!$A$19:$A$22,0)))/INDEX('Parametri Modello'!$B$19:$B$22,MATCH($B49,'Parametri Modello'!$A$19:$A$22,0)))*'Parametri Modello'!$B$9))))*(1+IF('Parametri Modello'!$B$27="Si",MAX(-'Parametri Modello'!$B$28,MIN('Parametri Modello'!$B$28*1.5,IF(OR(INDEX('Parametri Modello'!$F$32:$F$35,MATCH($B49,'Parametri Modello'!$A$32:$A$35,0))="",INDEX('Parametri Modello'!$F$32:$F$35,MATCH($B49,'Parametri Modello'!$A$32:$A$35,0))=0),0,(1/INDEX('Parametri Modello'!$F$32:$F$35,MATCH($B49,'Parametri Modello'!$A$32:$A$35,0))-1)*'Parametri Modello'!$B$28))),0)))*(1-INDEX('Parametri Modello'!$B$12:$B$15,MATCH($B49,'Parametri Modello'!$A$12:$A$15,0)))),0),"")</f>
        <v>12</v>
      </c>
      <c r="H49" s="24">
        <f>IFERROR(ROUND((IF($V49&lt;=INDEX('Parametri Modello'!$C$57:$C$60,MATCH($B49,'Parametri Modello'!$A$57:$A$60,0)),IF(INDEX('Parametri Modello'!$E$57:$E$60,MATCH($B49,'Parametri Modello'!$A$57:$A$60,0))=0,0,($O49/INDEX('Parametri Modello'!$E$57:$E$60,MATCH($B49,'Parametri Modello'!$A$57:$A$60,0)))*(INDEX('Parametri Modello'!$D$57:$D$60,MATCH($B49,'Parametri Modello'!$A$57:$A$60,0))*(INDEX('Parametri Modello'!$B$50:$B$53,MATCH($B49,'Parametri Modello'!$A$50:$A$53,0))*'Parametri Modello'!$B$44))),IF(INDEX('Parametri Modello'!$F$57:$F$60,MATCH($B49,'Parametri Modello'!$A$57:$A$60,0))=0,0,($O49/INDEX('Parametri Modello'!$F$57:$F$60,MATCH($B49,'Parametri Modello'!$A$57:$A$60,0)))*((1-INDEX('Parametri Modello'!$D$57:$D$60,MATCH($B49,'Parametri Modello'!$A$57:$A$60,0)))*(INDEX('Parametri Modello'!$B$50:$B$53,MATCH($B49,'Parametri Modello'!$A$50:$A$53,0))*'Parametri Modello'!$B$44))))*(1+IF(IF($B49="D",'Info Lega'!$B$25,IF($B49="C",'Info Lega'!$B$26,"No"))="Si",'Parametri Modello'!$B$5,0))*(1+MAX(-0.25,MIN(0.25,IF(OR($T49="",$I49="",$I49=0,INDEX('Parametri Modello'!$B$19:$B$22,MATCH($B49,'Parametri Modello'!$A$19:$A$22,0))="",INDEX('Parametri Modello'!$B$19:$B$22,MATCH($B49,'Parametri Modello'!$A$19:$A$22,0))=0),0,(($T49-INDEX('Parametri Modello'!$B$19:$B$22,MATCH($B49,'Parametri Modello'!$A$19:$A$22,0)))/INDEX('Parametri Modello'!$B$19:$B$22,MATCH($B49,'Parametri Modello'!$A$19:$A$22,0)))*'Parametri Modello'!$B$9))))*(1+IF('Parametri Modello'!$B$27="Si",MAX(-'Parametri Modello'!$B$28,MIN('Parametri Modello'!$B$28*1.5,IF(OR(INDEX('Parametri Modello'!$F$32:$F$35,MATCH($B49,'Parametri Modello'!$A$32:$A$35,0))="",INDEX('Parametri Modello'!$F$32:$F$35,MATCH($B49,'Parametri Modello'!$A$32:$A$35,0))=0),0,(1/INDEX('Parametri Modello'!$F$32:$F$35,MATCH($B49,'Parametri Modello'!$A$32:$A$35,0))-1)*'Parametri Modello'!$B$28))),0)))*(1+INDEX('Parametri Modello'!$B$12:$B$15,MATCH($B49,'Parametri Modello'!$A$12:$A$15,0))),0),"")</f>
        <v>22</v>
      </c>
      <c r="I49" s="23">
        <f>IFERROR(INDEX('Input Statistiche 2025_26'!$F$3:$F$665,MATCH($A49,'Input Statistiche 2025_26'!$A$3:$A$665,0)),"")</f>
        <v>34</v>
      </c>
      <c r="J49" s="23">
        <f t="shared" si="0"/>
        <v>4</v>
      </c>
      <c r="K49" s="23">
        <f>IFERROR(INDEX('Input Statistiche 2025_26'!$I$3:$I$665,MATCH($A49,'Input Statistiche 2025_26'!$A$3:$A$665,0)),"")</f>
        <v>9</v>
      </c>
      <c r="L49" s="23">
        <f>IFERROR(INDEX('Input Statistiche 2025_26'!$O$3:$O$665,MATCH($A49,'Input Statistiche 2025_26'!$A$3:$A$665,0)),"")</f>
        <v>3</v>
      </c>
      <c r="M49" s="25"/>
      <c r="N49" s="24">
        <f>IFERROR(INDEX('Input Giocatori 2026_27'!$E$3:$E$493,MATCH($A49,'Input Giocatori 2026_27'!$A$3:$A$493,0)),"")</f>
        <v>13</v>
      </c>
      <c r="O49" s="24">
        <f>IFERROR(INDEX('Input Giocatori 2026_27'!$G$3:$G$493,MATCH($A49,'Input Giocatori 2026_27'!$A$3:$A$493,0)),"")</f>
        <v>58</v>
      </c>
      <c r="P49" s="23" t="str">
        <f>IFERROR(IF($O49="","",IF((1-(COUNTIFS($B$2:$B$492,$B49,$O$2:$O$492,"&gt;"&amp;$O49)+1-1)/COUNTIF($B$2:$B$492,$B49))&gt;='Parametri Modello'!$B$63,"Top",IF((1-(COUNTIFS($B$2:$B$492,$B49,$O$2:$O$492,"&gt;"&amp;$O49)+1-1)/COUNTIF($B$2:$B$492,$B49))&gt;='Parametri Modello'!$B$64,"Buono",IF((1-(COUNTIFS($B$2:$B$492,$B49,$O$2:$O$492,"&gt;"&amp;$O49)+1-1)/COUNTIF($B$2:$B$492,$B49))&gt;='Parametri Modello'!$B$65,"Nella Media","Scommessa/Riserva")))),"")</f>
        <v>Buono</v>
      </c>
      <c r="Q49" s="26">
        <f>IF(AND($D49="",$N49&gt;1),SUMPRODUCT(($D$2:$D49="")*($N$2:$N49&gt;1)),"")</f>
        <v>48</v>
      </c>
      <c r="R49" s="26" t="str">
        <f>IF($D49='Info Lega'!$B$28,COUNTIFS($D$2:$D49,'Info Lega'!$B$28),"")</f>
        <v/>
      </c>
      <c r="S49" s="27">
        <f>IFERROR(INDEX('Input Statistiche 2025_26'!$G$3:$G$665,MATCH($A49,'Input Statistiche 2025_26'!$A$3:$A$665,0)),"")</f>
        <v>5.88</v>
      </c>
      <c r="T49" s="27">
        <f>IFERROR(INDEX('Input Statistiche 2025_26'!$H$3:$H$665,MATCH($A49,'Input Statistiche 2025_26'!$A$3:$A$665,0)),"")</f>
        <v>6.62</v>
      </c>
      <c r="U49" s="23" t="str">
        <f>IF(OR('La Mia Rosa'!$O$12="",$D49&lt;&gt;""),"",IF($F49&lt;='La Mia Rosa'!$O$12*'Parametri Modello'!$B$24,"OK",IF($F49&lt;='La Mia Rosa'!$O$12*'Parametri Modello'!$B$25,"Attenzione","Rischio Alto")))</f>
        <v>OK</v>
      </c>
      <c r="V49" s="23">
        <f t="shared" si="1"/>
        <v>26</v>
      </c>
      <c r="W49" s="18">
        <f>'Info Lega'!$B$4-SUMIFS($M$2:$M$492,$D$2:$D$492,'Info Lega'!$B$28)</f>
        <v>1000</v>
      </c>
      <c r="X49" s="18">
        <f>('Info Lega'!$B$5-COUNTIFS($D$2:$D$492,'Info Lega'!$B$28,$B$2:$B$492,"P"))+('Info Lega'!$B$6-COUNTIFS($D$2:$D$492,'Info Lega'!$B$28,$B$2:$B$492,"D"))+('Info Lega'!$B$7-COUNTIFS($D$2:$D$492,'Info Lega'!$B$28,$B$2:$B$492,"C"))+('Info Lega'!$B$8-COUNTIFS($D$2:$D$492,'Info Lega'!$B$28,$B$2:$B$492,"A"))</f>
        <v>25</v>
      </c>
      <c r="Y49" s="18">
        <f>X49*'Parametri Modello'!$B$30</f>
        <v>25</v>
      </c>
      <c r="Z49" s="18">
        <f t="shared" si="2"/>
        <v>975</v>
      </c>
      <c r="AA49" s="18">
        <f t="shared" si="3"/>
        <v>19</v>
      </c>
      <c r="AB49" s="18"/>
      <c r="AC49" s="18" t="str">
        <f>IF($AB49="","",IF($AB49&gt;$AA49,"PASS",IF($AB49&lt;=$AA49*(1-'Parametri Modello'!$B$68),"BID","ATTENZIONE")))</f>
        <v/>
      </c>
      <c r="AD49" s="28">
        <f t="shared" si="4"/>
        <v>68</v>
      </c>
      <c r="AE49" s="5" t="str">
        <f>IFERROR(INDEX('Stato Asta'!$G$9:$G$12,MATCH($B49,'Stato Asta'!$A$9:$A$12,0)),"")</f>
        <v>🔴 Non aspettare</v>
      </c>
      <c r="AF49" t="str">
        <f>IFERROR(IF($V49&lt;=INDEX('Parametri Modello'!$C$57:$C$60,MATCH($B49,'Parametri Modello'!$A$57:$A$60,0)),"Titolare","Riserva"),"")</f>
        <v>Riserva</v>
      </c>
      <c r="AG49" t="str">
        <f>IFERROR(INDEX('Pressione Competitiva'!$F$3:$F$6,MATCH($B49,'Pressione Competitiva'!$B$3:$B$6,0)),"")</f>
        <v>🔴 Molto Alta</v>
      </c>
      <c r="AH49" t="str">
        <f t="shared" si="5"/>
        <v/>
      </c>
      <c r="AI49" t="str">
        <f>IFERROR(IF($AH49="","",IF($AH49&gt;=$AA49*'Parametri Modello'!$B$68,"🟢 Opportunita'",IF($AH49&lt;=$AA49*'Parametri Modello'!$B$69,"🔴 Sovrapprezzo","🟡 Prezzo Corretto"))),"")</f>
        <v/>
      </c>
      <c r="AJ49" t="str">
        <f t="shared" si="6"/>
        <v/>
      </c>
      <c r="AK49">
        <f t="shared" si="7"/>
        <v>17</v>
      </c>
      <c r="AL49" t="str">
        <f t="shared" si="8"/>
        <v>A|Buono|17</v>
      </c>
    </row>
    <row r="50" spans="1:38" ht="14.25" customHeight="1" x14ac:dyDescent="0.25">
      <c r="A50" s="18">
        <v>7436</v>
      </c>
      <c r="B50" s="18" t="s">
        <v>17</v>
      </c>
      <c r="C50" s="18" t="s">
        <v>189</v>
      </c>
      <c r="E50" s="23" t="str">
        <f>IF(COUNTIF('Info Strategia'!$D$2:$D$51,$C50)&gt;0,"SI","NO")</f>
        <v>NO</v>
      </c>
      <c r="F50" s="24">
        <f>IFERROR(ROUND(($G50+($H50-$G50)*'Info Strategia'!$B$6)*(1+IF($E50="SI",'Parametri Modello'!$B$7*'Info Strategia'!$B$6,0)),0),"")</f>
        <v>38</v>
      </c>
      <c r="G50" s="24">
        <f>IFERROR(ROUND(MAX(1,(IF($V50&lt;=INDEX('Parametri Modello'!$C$57:$C$60,MATCH($B50,'Parametri Modello'!$A$57:$A$60,0)),IF(INDEX('Parametri Modello'!$E$57:$E$60,MATCH($B50,'Parametri Modello'!$A$57:$A$60,0))=0,0,($O50/INDEX('Parametri Modello'!$E$57:$E$60,MATCH($B50,'Parametri Modello'!$A$57:$A$60,0)))*(INDEX('Parametri Modello'!$D$57:$D$60,MATCH($B50,'Parametri Modello'!$A$57:$A$60,0))*(INDEX('Parametri Modello'!$B$50:$B$53,MATCH($B50,'Parametri Modello'!$A$50:$A$53,0))*'Parametri Modello'!$B$44))),IF(INDEX('Parametri Modello'!$F$57:$F$60,MATCH($B50,'Parametri Modello'!$A$57:$A$60,0))=0,0,($O50/INDEX('Parametri Modello'!$F$57:$F$60,MATCH($B50,'Parametri Modello'!$A$57:$A$60,0)))*((1-INDEX('Parametri Modello'!$D$57:$D$60,MATCH($B50,'Parametri Modello'!$A$57:$A$60,0)))*(INDEX('Parametri Modello'!$B$50:$B$53,MATCH($B50,'Parametri Modello'!$A$50:$A$53,0))*'Parametri Modello'!$B$44))))*(1+IF(IF($B50="D",'Info Lega'!$B$25,IF($B50="C",'Info Lega'!$B$26,"No"))="Si",'Parametri Modello'!$B$5,0))*(1+MAX(-0.25,MIN(0.25,IF(OR($T50="",$I50="",$I50=0,INDEX('Parametri Modello'!$B$19:$B$22,MATCH($B50,'Parametri Modello'!$A$19:$A$22,0))="",INDEX('Parametri Modello'!$B$19:$B$22,MATCH($B50,'Parametri Modello'!$A$19:$A$22,0))=0),0,(($T50-INDEX('Parametri Modello'!$B$19:$B$22,MATCH($B50,'Parametri Modello'!$A$19:$A$22,0)))/INDEX('Parametri Modello'!$B$19:$B$22,MATCH($B50,'Parametri Modello'!$A$19:$A$22,0)))*'Parametri Modello'!$B$9))))*(1+IF('Parametri Modello'!$B$27="Si",MAX(-'Parametri Modello'!$B$28,MIN('Parametri Modello'!$B$28*1.5,IF(OR(INDEX('Parametri Modello'!$F$32:$F$35,MATCH($B50,'Parametri Modello'!$A$32:$A$35,0))="",INDEX('Parametri Modello'!$F$32:$F$35,MATCH($B50,'Parametri Modello'!$A$32:$A$35,0))=0),0,(1/INDEX('Parametri Modello'!$F$32:$F$35,MATCH($B50,'Parametri Modello'!$A$32:$A$35,0))-1)*'Parametri Modello'!$B$28))),0)))*(1-INDEX('Parametri Modello'!$B$12:$B$15,MATCH($B50,'Parametri Modello'!$A$12:$A$15,0)))),0),"")</f>
        <v>26</v>
      </c>
      <c r="H50" s="24">
        <f>IFERROR(ROUND((IF($V50&lt;=INDEX('Parametri Modello'!$C$57:$C$60,MATCH($B50,'Parametri Modello'!$A$57:$A$60,0)),IF(INDEX('Parametri Modello'!$E$57:$E$60,MATCH($B50,'Parametri Modello'!$A$57:$A$60,0))=0,0,($O50/INDEX('Parametri Modello'!$E$57:$E$60,MATCH($B50,'Parametri Modello'!$A$57:$A$60,0)))*(INDEX('Parametri Modello'!$D$57:$D$60,MATCH($B50,'Parametri Modello'!$A$57:$A$60,0))*(INDEX('Parametri Modello'!$B$50:$B$53,MATCH($B50,'Parametri Modello'!$A$50:$A$53,0))*'Parametri Modello'!$B$44))),IF(INDEX('Parametri Modello'!$F$57:$F$60,MATCH($B50,'Parametri Modello'!$A$57:$A$60,0))=0,0,($O50/INDEX('Parametri Modello'!$F$57:$F$60,MATCH($B50,'Parametri Modello'!$A$57:$A$60,0)))*((1-INDEX('Parametri Modello'!$D$57:$D$60,MATCH($B50,'Parametri Modello'!$A$57:$A$60,0)))*(INDEX('Parametri Modello'!$B$50:$B$53,MATCH($B50,'Parametri Modello'!$A$50:$A$53,0))*'Parametri Modello'!$B$44))))*(1+IF(IF($B50="D",'Info Lega'!$B$25,IF($B50="C",'Info Lega'!$B$26,"No"))="Si",'Parametri Modello'!$B$5,0))*(1+MAX(-0.25,MIN(0.25,IF(OR($T50="",$I50="",$I50=0,INDEX('Parametri Modello'!$B$19:$B$22,MATCH($B50,'Parametri Modello'!$A$19:$A$22,0))="",INDEX('Parametri Modello'!$B$19:$B$22,MATCH($B50,'Parametri Modello'!$A$19:$A$22,0))=0),0,(($T50-INDEX('Parametri Modello'!$B$19:$B$22,MATCH($B50,'Parametri Modello'!$A$19:$A$22,0)))/INDEX('Parametri Modello'!$B$19:$B$22,MATCH($B50,'Parametri Modello'!$A$19:$A$22,0)))*'Parametri Modello'!$B$9))))*(1+IF('Parametri Modello'!$B$27="Si",MAX(-'Parametri Modello'!$B$28,MIN('Parametri Modello'!$B$28*1.5,IF(OR(INDEX('Parametri Modello'!$F$32:$F$35,MATCH($B50,'Parametri Modello'!$A$32:$A$35,0))="",INDEX('Parametri Modello'!$F$32:$F$35,MATCH($B50,'Parametri Modello'!$A$32:$A$35,0))=0),0,(1/INDEX('Parametri Modello'!$F$32:$F$35,MATCH($B50,'Parametri Modello'!$A$32:$A$35,0))-1)*'Parametri Modello'!$B$28))),0)))*(1+INDEX('Parametri Modello'!$B$12:$B$15,MATCH($B50,'Parametri Modello'!$A$12:$A$15,0))),0),"")</f>
        <v>43</v>
      </c>
      <c r="I50" s="23" t="str">
        <f>IFERROR(INDEX('Input Statistiche 2025_26'!$F$3:$F$665,MATCH($A50,'Input Statistiche 2025_26'!$A$3:$A$665,0)),"")</f>
        <v/>
      </c>
      <c r="J50" s="23" t="str">
        <f t="shared" si="0"/>
        <v/>
      </c>
      <c r="K50" s="23" t="str">
        <f>IFERROR(INDEX('Input Statistiche 2025_26'!$I$3:$I$665,MATCH($A50,'Input Statistiche 2025_26'!$A$3:$A$665,0)),"")</f>
        <v/>
      </c>
      <c r="L50" s="23" t="str">
        <f>IFERROR(INDEX('Input Statistiche 2025_26'!$O$3:$O$665,MATCH($A50,'Input Statistiche 2025_26'!$A$3:$A$665,0)),"")</f>
        <v/>
      </c>
      <c r="M50" s="25"/>
      <c r="N50" s="24">
        <f>IFERROR(INDEX('Input Giocatori 2026_27'!$E$3:$E$493,MATCH($A50,'Input Giocatori 2026_27'!$A$3:$A$493,0)),"")</f>
        <v>12</v>
      </c>
      <c r="O50" s="24">
        <f>IFERROR(INDEX('Input Giocatori 2026_27'!$G$3:$G$493,MATCH($A50,'Input Giocatori 2026_27'!$A$3:$A$493,0)),"")</f>
        <v>57</v>
      </c>
      <c r="P50" s="23" t="str">
        <f>IFERROR(IF($O50="","",IF((1-(COUNTIFS($B$2:$B$492,$B50,$O$2:$O$492,"&gt;"&amp;$O50)+1-1)/COUNTIF($B$2:$B$492,$B50))&gt;='Parametri Modello'!$B$63,"Top",IF((1-(COUNTIFS($B$2:$B$492,$B50,$O$2:$O$492,"&gt;"&amp;$O50)+1-1)/COUNTIF($B$2:$B$492,$B50))&gt;='Parametri Modello'!$B$64,"Buono",IF((1-(COUNTIFS($B$2:$B$492,$B50,$O$2:$O$492,"&gt;"&amp;$O50)+1-1)/COUNTIF($B$2:$B$492,$B50))&gt;='Parametri Modello'!$B$65,"Nella Media","Scommessa/Riserva")))),"")</f>
        <v>Buono</v>
      </c>
      <c r="Q50" s="26">
        <f>IF(AND($D50="",$N50&gt;1),SUMPRODUCT(($D$2:$D50="")*($N$2:$N50&gt;1)),"")</f>
        <v>49</v>
      </c>
      <c r="R50" s="26" t="str">
        <f>IF($D50='Info Lega'!$B$28,COUNTIFS($D$2:$D50,'Info Lega'!$B$28),"")</f>
        <v/>
      </c>
      <c r="S50" s="27" t="str">
        <f>IFERROR(INDEX('Input Statistiche 2025_26'!$G$3:$G$665,MATCH($A50,'Input Statistiche 2025_26'!$A$3:$A$665,0)),"")</f>
        <v/>
      </c>
      <c r="T50" s="27" t="str">
        <f>IFERROR(INDEX('Input Statistiche 2025_26'!$H$3:$H$665,MATCH($A50,'Input Statistiche 2025_26'!$A$3:$A$665,0)),"")</f>
        <v/>
      </c>
      <c r="U50" s="23" t="str">
        <f>IF(OR('La Mia Rosa'!$O$12="",$D50&lt;&gt;""),"",IF($F50&lt;='La Mia Rosa'!$O$12*'Parametri Modello'!$B$24,"OK",IF($F50&lt;='La Mia Rosa'!$O$12*'Parametri Modello'!$B$25,"Attenzione","Rischio Alto")))</f>
        <v>OK</v>
      </c>
      <c r="V50" s="23">
        <f t="shared" si="1"/>
        <v>19</v>
      </c>
      <c r="W50" s="18">
        <f>'Info Lega'!$B$4-SUMIFS($M$2:$M$492,$D$2:$D$492,'Info Lega'!$B$28)</f>
        <v>1000</v>
      </c>
      <c r="X50" s="18">
        <f>('Info Lega'!$B$5-COUNTIFS($D$2:$D$492,'Info Lega'!$B$28,$B$2:$B$492,"P"))+('Info Lega'!$B$6-COUNTIFS($D$2:$D$492,'Info Lega'!$B$28,$B$2:$B$492,"D"))+('Info Lega'!$B$7-COUNTIFS($D$2:$D$492,'Info Lega'!$B$28,$B$2:$B$492,"C"))+('Info Lega'!$B$8-COUNTIFS($D$2:$D$492,'Info Lega'!$B$28,$B$2:$B$492,"A"))</f>
        <v>25</v>
      </c>
      <c r="Y50" s="18">
        <f>X50*'Parametri Modello'!$B$30</f>
        <v>25</v>
      </c>
      <c r="Z50" s="18">
        <f t="shared" si="2"/>
        <v>975</v>
      </c>
      <c r="AA50" s="18">
        <f t="shared" si="3"/>
        <v>38</v>
      </c>
      <c r="AB50" s="18"/>
      <c r="AC50" s="18" t="str">
        <f>IF($AB50="","",IF($AB50&gt;$AA50,"PASS",IF($AB50&lt;=$AA50*(1-'Parametri Modello'!$B$68),"BID","ATTENZIONE")))</f>
        <v/>
      </c>
      <c r="AD50" s="28" t="str">
        <f t="shared" si="4"/>
        <v/>
      </c>
      <c r="AE50" s="5" t="str">
        <f>IFERROR(INDEX('Stato Asta'!$G$9:$G$12,MATCH($B50,'Stato Asta'!$A$9:$A$12,0)),"")</f>
        <v>🔴 Non aspettare</v>
      </c>
      <c r="AF50" t="str">
        <f>IFERROR(IF($V50&lt;=INDEX('Parametri Modello'!$C$57:$C$60,MATCH($B50,'Parametri Modello'!$A$57:$A$60,0)),"Titolare","Riserva"),"")</f>
        <v>Titolare</v>
      </c>
      <c r="AG50" t="str">
        <f>IFERROR(INDEX('Pressione Competitiva'!$F$3:$F$6,MATCH($B50,'Pressione Competitiva'!$B$3:$B$6,0)),"")</f>
        <v>🔴 Molto Alta</v>
      </c>
      <c r="AH50" t="str">
        <f t="shared" si="5"/>
        <v/>
      </c>
      <c r="AI50" t="str">
        <f>IFERROR(IF($AH50="","",IF($AH50&gt;=$AA50*'Parametri Modello'!$B$68,"🟢 Opportunita'",IF($AH50&lt;=$AA50*'Parametri Modello'!$B$69,"🔴 Sovrapprezzo","🟡 Prezzo Corretto"))),"")</f>
        <v/>
      </c>
      <c r="AJ50" t="str">
        <f t="shared" si="6"/>
        <v/>
      </c>
      <c r="AK50">
        <f t="shared" si="7"/>
        <v>1</v>
      </c>
      <c r="AL50" t="str">
        <f t="shared" si="8"/>
        <v>C|Buono|1</v>
      </c>
    </row>
    <row r="51" spans="1:38" ht="14.25" customHeight="1" x14ac:dyDescent="0.25">
      <c r="A51" s="18">
        <v>6966</v>
      </c>
      <c r="B51" s="18" t="s">
        <v>15</v>
      </c>
      <c r="C51" s="18" t="s">
        <v>190</v>
      </c>
      <c r="E51" s="23" t="str">
        <f>IF(COUNTIF('Info Strategia'!$D$2:$D$51,$C51)&gt;0,"SI","NO")</f>
        <v>NO</v>
      </c>
      <c r="F51" s="24">
        <f>IFERROR(ROUND(($G51+($H51-$G51)*'Info Strategia'!$B$6)*(1+IF($E51="SI",'Parametri Modello'!$B$7*'Info Strategia'!$B$6,0)),0),"")</f>
        <v>94</v>
      </c>
      <c r="G51" s="24">
        <f>IFERROR(ROUND(MAX(1,(IF($V51&lt;=INDEX('Parametri Modello'!$C$57:$C$60,MATCH($B51,'Parametri Modello'!$A$57:$A$60,0)),IF(INDEX('Parametri Modello'!$E$57:$E$60,MATCH($B51,'Parametri Modello'!$A$57:$A$60,0))=0,0,($O51/INDEX('Parametri Modello'!$E$57:$E$60,MATCH($B51,'Parametri Modello'!$A$57:$A$60,0)))*(INDEX('Parametri Modello'!$D$57:$D$60,MATCH($B51,'Parametri Modello'!$A$57:$A$60,0))*(INDEX('Parametri Modello'!$B$50:$B$53,MATCH($B51,'Parametri Modello'!$A$50:$A$53,0))*'Parametri Modello'!$B$44))),IF(INDEX('Parametri Modello'!$F$57:$F$60,MATCH($B51,'Parametri Modello'!$A$57:$A$60,0))=0,0,($O51/INDEX('Parametri Modello'!$F$57:$F$60,MATCH($B51,'Parametri Modello'!$A$57:$A$60,0)))*((1-INDEX('Parametri Modello'!$D$57:$D$60,MATCH($B51,'Parametri Modello'!$A$57:$A$60,0)))*(INDEX('Parametri Modello'!$B$50:$B$53,MATCH($B51,'Parametri Modello'!$A$50:$A$53,0))*'Parametri Modello'!$B$44))))*(1+IF(IF($B51="D",'Info Lega'!$B$25,IF($B51="C",'Info Lega'!$B$26,"No"))="Si",'Parametri Modello'!$B$5,0))*(1+MAX(-0.25,MIN(0.25,IF(OR($T51="",$I51="",$I51=0,INDEX('Parametri Modello'!$B$19:$B$22,MATCH($B51,'Parametri Modello'!$A$19:$A$22,0))="",INDEX('Parametri Modello'!$B$19:$B$22,MATCH($B51,'Parametri Modello'!$A$19:$A$22,0))=0),0,(($T51-INDEX('Parametri Modello'!$B$19:$B$22,MATCH($B51,'Parametri Modello'!$A$19:$A$22,0)))/INDEX('Parametri Modello'!$B$19:$B$22,MATCH($B51,'Parametri Modello'!$A$19:$A$22,0)))*'Parametri Modello'!$B$9))))*(1+IF('Parametri Modello'!$B$27="Si",MAX(-'Parametri Modello'!$B$28,MIN('Parametri Modello'!$B$28*1.5,IF(OR(INDEX('Parametri Modello'!$F$32:$F$35,MATCH($B51,'Parametri Modello'!$A$32:$A$35,0))="",INDEX('Parametri Modello'!$F$32:$F$35,MATCH($B51,'Parametri Modello'!$A$32:$A$35,0))=0),0,(1/INDEX('Parametri Modello'!$F$32:$F$35,MATCH($B51,'Parametri Modello'!$A$32:$A$35,0))-1)*'Parametri Modello'!$B$28))),0)))*(1-INDEX('Parametri Modello'!$B$12:$B$15,MATCH($B51,'Parametri Modello'!$A$12:$A$15,0)))),0),"")</f>
        <v>76</v>
      </c>
      <c r="H51" s="24">
        <f>IFERROR(ROUND((IF($V51&lt;=INDEX('Parametri Modello'!$C$57:$C$60,MATCH($B51,'Parametri Modello'!$A$57:$A$60,0)),IF(INDEX('Parametri Modello'!$E$57:$E$60,MATCH($B51,'Parametri Modello'!$A$57:$A$60,0))=0,0,($O51/INDEX('Parametri Modello'!$E$57:$E$60,MATCH($B51,'Parametri Modello'!$A$57:$A$60,0)))*(INDEX('Parametri Modello'!$D$57:$D$60,MATCH($B51,'Parametri Modello'!$A$57:$A$60,0))*(INDEX('Parametri Modello'!$B$50:$B$53,MATCH($B51,'Parametri Modello'!$A$50:$A$53,0))*'Parametri Modello'!$B$44))),IF(INDEX('Parametri Modello'!$F$57:$F$60,MATCH($B51,'Parametri Modello'!$A$57:$A$60,0))=0,0,($O51/INDEX('Parametri Modello'!$F$57:$F$60,MATCH($B51,'Parametri Modello'!$A$57:$A$60,0)))*((1-INDEX('Parametri Modello'!$D$57:$D$60,MATCH($B51,'Parametri Modello'!$A$57:$A$60,0)))*(INDEX('Parametri Modello'!$B$50:$B$53,MATCH($B51,'Parametri Modello'!$A$50:$A$53,0))*'Parametri Modello'!$B$44))))*(1+IF(IF($B51="D",'Info Lega'!$B$25,IF($B51="C",'Info Lega'!$B$26,"No"))="Si",'Parametri Modello'!$B$5,0))*(1+MAX(-0.25,MIN(0.25,IF(OR($T51="",$I51="",$I51=0,INDEX('Parametri Modello'!$B$19:$B$22,MATCH($B51,'Parametri Modello'!$A$19:$A$22,0))="",INDEX('Parametri Modello'!$B$19:$B$22,MATCH($B51,'Parametri Modello'!$A$19:$A$22,0))=0),0,(($T51-INDEX('Parametri Modello'!$B$19:$B$22,MATCH($B51,'Parametri Modello'!$A$19:$A$22,0)))/INDEX('Parametri Modello'!$B$19:$B$22,MATCH($B51,'Parametri Modello'!$A$19:$A$22,0)))*'Parametri Modello'!$B$9))))*(1+IF('Parametri Modello'!$B$27="Si",MAX(-'Parametri Modello'!$B$28,MIN('Parametri Modello'!$B$28*1.5,IF(OR(INDEX('Parametri Modello'!$F$32:$F$35,MATCH($B51,'Parametri Modello'!$A$32:$A$35,0))="",INDEX('Parametri Modello'!$F$32:$F$35,MATCH($B51,'Parametri Modello'!$A$32:$A$35,0))=0),0,(1/INDEX('Parametri Modello'!$F$32:$F$35,MATCH($B51,'Parametri Modello'!$A$32:$A$35,0))-1)*'Parametri Modello'!$B$28))),0)))*(1+INDEX('Parametri Modello'!$B$12:$B$15,MATCH($B51,'Parametri Modello'!$A$12:$A$15,0))),0),"")</f>
        <v>102</v>
      </c>
      <c r="I51" s="23">
        <f>IFERROR(INDEX('Input Statistiche 2025_26'!$F$3:$F$665,MATCH($A51,'Input Statistiche 2025_26'!$A$3:$A$665,0)),"")</f>
        <v>38</v>
      </c>
      <c r="J51" s="23">
        <f t="shared" si="0"/>
        <v>0</v>
      </c>
      <c r="K51" s="23">
        <f>IFERROR(INDEX('Input Statistiche 2025_26'!$I$3:$I$665,MATCH($A51,'Input Statistiche 2025_26'!$A$3:$A$665,0)),"")</f>
        <v>0</v>
      </c>
      <c r="L51" s="23">
        <f>IFERROR(INDEX('Input Statistiche 2025_26'!$O$3:$O$665,MATCH($A51,'Input Statistiche 2025_26'!$A$3:$A$665,0)),"")</f>
        <v>1</v>
      </c>
      <c r="M51" s="25"/>
      <c r="N51" s="24">
        <f>IFERROR(INDEX('Input Giocatori 2026_27'!$E$3:$E$493,MATCH($A51,'Input Giocatori 2026_27'!$A$3:$A$493,0)),"")</f>
        <v>16</v>
      </c>
      <c r="O51" s="24">
        <f>IFERROR(INDEX('Input Giocatori 2026_27'!$G$3:$G$493,MATCH($A51,'Input Giocatori 2026_27'!$A$3:$A$493,0)),"")</f>
        <v>56</v>
      </c>
      <c r="P51" s="23" t="str">
        <f>IFERROR(IF($O51="","",IF((1-(COUNTIFS($B$2:$B$492,$B51,$O$2:$O$492,"&gt;"&amp;$O51)+1-1)/COUNTIF($B$2:$B$492,$B51))&gt;='Parametri Modello'!$B$63,"Top",IF((1-(COUNTIFS($B$2:$B$492,$B51,$O$2:$O$492,"&gt;"&amp;$O51)+1-1)/COUNTIF($B$2:$B$492,$B51))&gt;='Parametri Modello'!$B$64,"Buono",IF((1-(COUNTIFS($B$2:$B$492,$B51,$O$2:$O$492,"&gt;"&amp;$O51)+1-1)/COUNTIF($B$2:$B$492,$B51))&gt;='Parametri Modello'!$B$65,"Nella Media","Scommessa/Riserva")))),"")</f>
        <v>Top</v>
      </c>
      <c r="Q51" s="26">
        <f>IF(AND($D51="",$N51&gt;1),SUMPRODUCT(($D$2:$D51="")*($N$2:$N51&gt;1)),"")</f>
        <v>50</v>
      </c>
      <c r="R51" s="26" t="str">
        <f>IF($D51='Info Lega'!$B$28,COUNTIFS($D$2:$D51,'Info Lega'!$B$28),"")</f>
        <v/>
      </c>
      <c r="S51" s="27">
        <f>IFERROR(INDEX('Input Statistiche 2025_26'!$G$3:$G$665,MATCH($A51,'Input Statistiche 2025_26'!$A$3:$A$665,0)),"")</f>
        <v>6.07</v>
      </c>
      <c r="T51" s="27">
        <f>IFERROR(INDEX('Input Statistiche 2025_26'!$H$3:$H$665,MATCH($A51,'Input Statistiche 2025_26'!$A$3:$A$665,0)),"")</f>
        <v>5.37</v>
      </c>
      <c r="U51" s="23" t="str">
        <f>IF(OR('La Mia Rosa'!$O$12="",$D51&lt;&gt;""),"",IF($F51&lt;='La Mia Rosa'!$O$12*'Parametri Modello'!$B$24,"OK",IF($F51&lt;='La Mia Rosa'!$O$12*'Parametri Modello'!$B$25,"Attenzione","Rischio Alto")))</f>
        <v>Attenzione</v>
      </c>
      <c r="V51" s="23">
        <f t="shared" si="1"/>
        <v>3</v>
      </c>
      <c r="W51" s="18">
        <f>'Info Lega'!$B$4-SUMIFS($M$2:$M$492,$D$2:$D$492,'Info Lega'!$B$28)</f>
        <v>1000</v>
      </c>
      <c r="X51" s="18">
        <f>('Info Lega'!$B$5-COUNTIFS($D$2:$D$492,'Info Lega'!$B$28,$B$2:$B$492,"P"))+('Info Lega'!$B$6-COUNTIFS($D$2:$D$492,'Info Lega'!$B$28,$B$2:$B$492,"D"))+('Info Lega'!$B$7-COUNTIFS($D$2:$D$492,'Info Lega'!$B$28,$B$2:$B$492,"C"))+('Info Lega'!$B$8-COUNTIFS($D$2:$D$492,'Info Lega'!$B$28,$B$2:$B$492,"A"))</f>
        <v>25</v>
      </c>
      <c r="Y51" s="18">
        <f>X51*'Parametri Modello'!$B$30</f>
        <v>25</v>
      </c>
      <c r="Z51" s="18">
        <f t="shared" si="2"/>
        <v>975</v>
      </c>
      <c r="AA51" s="18">
        <f t="shared" si="3"/>
        <v>94</v>
      </c>
      <c r="AB51" s="18"/>
      <c r="AC51" s="18" t="str">
        <f>IF($AB51="","",IF($AB51&gt;$AA51,"PASS",IF($AB51&lt;=$AA51*(1-'Parametri Modello'!$B$68),"BID","ATTENZIONE")))</f>
        <v/>
      </c>
      <c r="AD51" s="28">
        <f t="shared" si="4"/>
        <v>72</v>
      </c>
      <c r="AE51" s="5" t="str">
        <f>IFERROR(INDEX('Stato Asta'!$G$9:$G$12,MATCH($B51,'Stato Asta'!$A$9:$A$12,0)),"")</f>
        <v>🔴 Non aspettare</v>
      </c>
      <c r="AF51" t="str">
        <f>IFERROR(IF($V51&lt;=INDEX('Parametri Modello'!$C$57:$C$60,MATCH($B51,'Parametri Modello'!$A$57:$A$60,0)),"Titolare","Riserva"),"")</f>
        <v>Titolare</v>
      </c>
      <c r="AG51" t="str">
        <f>IFERROR(INDEX('Pressione Competitiva'!$F$3:$F$6,MATCH($B51,'Pressione Competitiva'!$B$3:$B$6,0)),"")</f>
        <v>🔴 Molto Alta</v>
      </c>
      <c r="AH51" t="str">
        <f t="shared" si="5"/>
        <v/>
      </c>
      <c r="AI51" t="str">
        <f>IFERROR(IF($AH51="","",IF($AH51&gt;=$AA51*'Parametri Modello'!$B$68,"🟢 Opportunita'",IF($AH51&lt;=$AA51*'Parametri Modello'!$B$69,"🔴 Sovrapprezzo","🟡 Prezzo Corretto"))),"")</f>
        <v/>
      </c>
      <c r="AJ51" t="str">
        <f t="shared" si="6"/>
        <v/>
      </c>
      <c r="AK51">
        <f t="shared" si="7"/>
        <v>3</v>
      </c>
      <c r="AL51" t="str">
        <f t="shared" si="8"/>
        <v>P|Top|3</v>
      </c>
    </row>
    <row r="52" spans="1:38" ht="14.25" customHeight="1" x14ac:dyDescent="0.25">
      <c r="A52" s="18">
        <v>4159</v>
      </c>
      <c r="B52" s="18" t="s">
        <v>16</v>
      </c>
      <c r="C52" s="18" t="s">
        <v>191</v>
      </c>
      <c r="E52" s="23" t="str">
        <f>IF(COUNTIF('Info Strategia'!$D$2:$D$51,$C52)&gt;0,"SI","NO")</f>
        <v>NO</v>
      </c>
      <c r="F52" s="24">
        <f>IFERROR(ROUND(($G52+($H52-$G52)*'Info Strategia'!$B$6)*(1+IF($E52="SI",'Parametri Modello'!$B$7*'Info Strategia'!$B$6,0)),0),"")</f>
        <v>38</v>
      </c>
      <c r="G52" s="24">
        <f>IFERROR(ROUND(MAX(1,(IF($V52&lt;=INDEX('Parametri Modello'!$C$57:$C$60,MATCH($B52,'Parametri Modello'!$A$57:$A$60,0)),IF(INDEX('Parametri Modello'!$E$57:$E$60,MATCH($B52,'Parametri Modello'!$A$57:$A$60,0))=0,0,($O52/INDEX('Parametri Modello'!$E$57:$E$60,MATCH($B52,'Parametri Modello'!$A$57:$A$60,0)))*(INDEX('Parametri Modello'!$D$57:$D$60,MATCH($B52,'Parametri Modello'!$A$57:$A$60,0))*(INDEX('Parametri Modello'!$B$50:$B$53,MATCH($B52,'Parametri Modello'!$A$50:$A$53,0))*'Parametri Modello'!$B$44))),IF(INDEX('Parametri Modello'!$F$57:$F$60,MATCH($B52,'Parametri Modello'!$A$57:$A$60,0))=0,0,($O52/INDEX('Parametri Modello'!$F$57:$F$60,MATCH($B52,'Parametri Modello'!$A$57:$A$60,0)))*((1-INDEX('Parametri Modello'!$D$57:$D$60,MATCH($B52,'Parametri Modello'!$A$57:$A$60,0)))*(INDEX('Parametri Modello'!$B$50:$B$53,MATCH($B52,'Parametri Modello'!$A$50:$A$53,0))*'Parametri Modello'!$B$44))))*(1+IF(IF($B52="D",'Info Lega'!$B$25,IF($B52="C",'Info Lega'!$B$26,"No"))="Si",'Parametri Modello'!$B$5,0))*(1+MAX(-0.25,MIN(0.25,IF(OR($T52="",$I52="",$I52=0,INDEX('Parametri Modello'!$B$19:$B$22,MATCH($B52,'Parametri Modello'!$A$19:$A$22,0))="",INDEX('Parametri Modello'!$B$19:$B$22,MATCH($B52,'Parametri Modello'!$A$19:$A$22,0))=0),0,(($T52-INDEX('Parametri Modello'!$B$19:$B$22,MATCH($B52,'Parametri Modello'!$A$19:$A$22,0)))/INDEX('Parametri Modello'!$B$19:$B$22,MATCH($B52,'Parametri Modello'!$A$19:$A$22,0)))*'Parametri Modello'!$B$9))))*(1+IF('Parametri Modello'!$B$27="Si",MAX(-'Parametri Modello'!$B$28,MIN('Parametri Modello'!$B$28*1.5,IF(OR(INDEX('Parametri Modello'!$F$32:$F$35,MATCH($B52,'Parametri Modello'!$A$32:$A$35,0))="",INDEX('Parametri Modello'!$F$32:$F$35,MATCH($B52,'Parametri Modello'!$A$32:$A$35,0))=0),0,(1/INDEX('Parametri Modello'!$F$32:$F$35,MATCH($B52,'Parametri Modello'!$A$32:$A$35,0))-1)*'Parametri Modello'!$B$28))),0)))*(1-INDEX('Parametri Modello'!$B$12:$B$15,MATCH($B52,'Parametri Modello'!$A$12:$A$15,0)))),0),"")</f>
        <v>28</v>
      </c>
      <c r="H52" s="24">
        <f>IFERROR(ROUND((IF($V52&lt;=INDEX('Parametri Modello'!$C$57:$C$60,MATCH($B52,'Parametri Modello'!$A$57:$A$60,0)),IF(INDEX('Parametri Modello'!$E$57:$E$60,MATCH($B52,'Parametri Modello'!$A$57:$A$60,0))=0,0,($O52/INDEX('Parametri Modello'!$E$57:$E$60,MATCH($B52,'Parametri Modello'!$A$57:$A$60,0)))*(INDEX('Parametri Modello'!$D$57:$D$60,MATCH($B52,'Parametri Modello'!$A$57:$A$60,0))*(INDEX('Parametri Modello'!$B$50:$B$53,MATCH($B52,'Parametri Modello'!$A$50:$A$53,0))*'Parametri Modello'!$B$44))),IF(INDEX('Parametri Modello'!$F$57:$F$60,MATCH($B52,'Parametri Modello'!$A$57:$A$60,0))=0,0,($O52/INDEX('Parametri Modello'!$F$57:$F$60,MATCH($B52,'Parametri Modello'!$A$57:$A$60,0)))*((1-INDEX('Parametri Modello'!$D$57:$D$60,MATCH($B52,'Parametri Modello'!$A$57:$A$60,0)))*(INDEX('Parametri Modello'!$B$50:$B$53,MATCH($B52,'Parametri Modello'!$A$50:$A$53,0))*'Parametri Modello'!$B$44))))*(1+IF(IF($B52="D",'Info Lega'!$B$25,IF($B52="C",'Info Lega'!$B$26,"No"))="Si",'Parametri Modello'!$B$5,0))*(1+MAX(-0.25,MIN(0.25,IF(OR($T52="",$I52="",$I52=0,INDEX('Parametri Modello'!$B$19:$B$22,MATCH($B52,'Parametri Modello'!$A$19:$A$22,0))="",INDEX('Parametri Modello'!$B$19:$B$22,MATCH($B52,'Parametri Modello'!$A$19:$A$22,0))=0),0,(($T52-INDEX('Parametri Modello'!$B$19:$B$22,MATCH($B52,'Parametri Modello'!$A$19:$A$22,0)))/INDEX('Parametri Modello'!$B$19:$B$22,MATCH($B52,'Parametri Modello'!$A$19:$A$22,0)))*'Parametri Modello'!$B$9))))*(1+IF('Parametri Modello'!$B$27="Si",MAX(-'Parametri Modello'!$B$28,MIN('Parametri Modello'!$B$28*1.5,IF(OR(INDEX('Parametri Modello'!$F$32:$F$35,MATCH($B52,'Parametri Modello'!$A$32:$A$35,0))="",INDEX('Parametri Modello'!$F$32:$F$35,MATCH($B52,'Parametri Modello'!$A$32:$A$35,0))=0),0,(1/INDEX('Parametri Modello'!$F$32:$F$35,MATCH($B52,'Parametri Modello'!$A$32:$A$35,0))-1)*'Parametri Modello'!$B$28))),0)))*(1+INDEX('Parametri Modello'!$B$12:$B$15,MATCH($B52,'Parametri Modello'!$A$12:$A$15,0))),0),"")</f>
        <v>42</v>
      </c>
      <c r="I52" s="23">
        <f>IFERROR(INDEX('Input Statistiche 2025_26'!$F$3:$F$665,MATCH($A52,'Input Statistiche 2025_26'!$A$3:$A$665,0)),"")</f>
        <v>32</v>
      </c>
      <c r="J52" s="23">
        <f t="shared" si="0"/>
        <v>6</v>
      </c>
      <c r="K52" s="23">
        <f>IFERROR(INDEX('Input Statistiche 2025_26'!$I$3:$I$665,MATCH($A52,'Input Statistiche 2025_26'!$A$3:$A$665,0)),"")</f>
        <v>2</v>
      </c>
      <c r="L52" s="23">
        <f>IFERROR(INDEX('Input Statistiche 2025_26'!$O$3:$O$665,MATCH($A52,'Input Statistiche 2025_26'!$A$3:$A$665,0)),"")</f>
        <v>0</v>
      </c>
      <c r="M52" s="25"/>
      <c r="N52" s="24">
        <f>IFERROR(INDEX('Input Giocatori 2026_27'!$E$3:$E$493,MATCH($A52,'Input Giocatori 2026_27'!$A$3:$A$493,0)),"")</f>
        <v>16</v>
      </c>
      <c r="O52" s="24">
        <f>IFERROR(INDEX('Input Giocatori 2026_27'!$G$3:$G$493,MATCH($A52,'Input Giocatori 2026_27'!$A$3:$A$493,0)),"")</f>
        <v>55</v>
      </c>
      <c r="P52" s="23" t="str">
        <f>IFERROR(IF($O52="","",IF((1-(COUNTIFS($B$2:$B$492,$B52,$O$2:$O$492,"&gt;"&amp;$O52)+1-1)/COUNTIF($B$2:$B$492,$B52))&gt;='Parametri Modello'!$B$63,"Top",IF((1-(COUNTIFS($B$2:$B$492,$B52,$O$2:$O$492,"&gt;"&amp;$O52)+1-1)/COUNTIF($B$2:$B$492,$B52))&gt;='Parametri Modello'!$B$64,"Buono",IF((1-(COUNTIFS($B$2:$B$492,$B52,$O$2:$O$492,"&gt;"&amp;$O52)+1-1)/COUNTIF($B$2:$B$492,$B52))&gt;='Parametri Modello'!$B$65,"Nella Media","Scommessa/Riserva")))),"")</f>
        <v>Top</v>
      </c>
      <c r="Q52" s="26">
        <f>IF(AND($D52="",$N52&gt;1),SUMPRODUCT(($D$2:$D52="")*($N$2:$N52&gt;1)),"")</f>
        <v>51</v>
      </c>
      <c r="R52" s="26" t="str">
        <f>IF($D52='Info Lega'!$B$28,COUNTIFS($D$2:$D52,'Info Lega'!$B$28),"")</f>
        <v/>
      </c>
      <c r="S52" s="27">
        <f>IFERROR(INDEX('Input Statistiche 2025_26'!$G$3:$G$665,MATCH($A52,'Input Statistiche 2025_26'!$A$3:$A$665,0)),"")</f>
        <v>6.28</v>
      </c>
      <c r="T52" s="27">
        <f>IFERROR(INDEX('Input Statistiche 2025_26'!$H$3:$H$665,MATCH($A52,'Input Statistiche 2025_26'!$A$3:$A$665,0)),"")</f>
        <v>6.41</v>
      </c>
      <c r="U52" s="23" t="str">
        <f>IF(OR('La Mia Rosa'!$O$12="",$D52&lt;&gt;""),"",IF($F52&lt;='La Mia Rosa'!$O$12*'Parametri Modello'!$B$24,"OK",IF($F52&lt;='La Mia Rosa'!$O$12*'Parametri Modello'!$B$25,"Attenzione","Rischio Alto")))</f>
        <v>OK</v>
      </c>
      <c r="V52" s="23">
        <f t="shared" si="1"/>
        <v>3</v>
      </c>
      <c r="W52" s="18">
        <f>'Info Lega'!$B$4-SUMIFS($M$2:$M$492,$D$2:$D$492,'Info Lega'!$B$28)</f>
        <v>1000</v>
      </c>
      <c r="X52" s="18">
        <f>('Info Lega'!$B$5-COUNTIFS($D$2:$D$492,'Info Lega'!$B$28,$B$2:$B$492,"P"))+('Info Lega'!$B$6-COUNTIFS($D$2:$D$492,'Info Lega'!$B$28,$B$2:$B$492,"D"))+('Info Lega'!$B$7-COUNTIFS($D$2:$D$492,'Info Lega'!$B$28,$B$2:$B$492,"C"))+('Info Lega'!$B$8-COUNTIFS($D$2:$D$492,'Info Lega'!$B$28,$B$2:$B$492,"A"))</f>
        <v>25</v>
      </c>
      <c r="Y52" s="18">
        <f>X52*'Parametri Modello'!$B$30</f>
        <v>25</v>
      </c>
      <c r="Z52" s="18">
        <f t="shared" si="2"/>
        <v>975</v>
      </c>
      <c r="AA52" s="18">
        <f t="shared" si="3"/>
        <v>38</v>
      </c>
      <c r="AB52" s="18"/>
      <c r="AC52" s="18" t="str">
        <f>IF($AB52="","",IF($AB52&gt;$AA52,"PASS",IF($AB52&lt;=$AA52*(1-'Parametri Modello'!$B$68),"BID","ATTENZIONE")))</f>
        <v/>
      </c>
      <c r="AD52" s="28">
        <f t="shared" si="4"/>
        <v>66</v>
      </c>
      <c r="AE52" s="5" t="str">
        <f>IFERROR(INDEX('Stato Asta'!$G$9:$G$12,MATCH($B52,'Stato Asta'!$A$9:$A$12,0)),"")</f>
        <v>🔴 Non aspettare</v>
      </c>
      <c r="AF52" t="str">
        <f>IFERROR(IF($V52&lt;=INDEX('Parametri Modello'!$C$57:$C$60,MATCH($B52,'Parametri Modello'!$A$57:$A$60,0)),"Titolare","Riserva"),"")</f>
        <v>Titolare</v>
      </c>
      <c r="AG52" t="str">
        <f>IFERROR(INDEX('Pressione Competitiva'!$F$3:$F$6,MATCH($B52,'Pressione Competitiva'!$B$3:$B$6,0)),"")</f>
        <v>🔴 Molto Alta</v>
      </c>
      <c r="AH52" t="str">
        <f t="shared" si="5"/>
        <v/>
      </c>
      <c r="AI52" t="str">
        <f>IFERROR(IF($AH52="","",IF($AH52&gt;=$AA52*'Parametri Modello'!$B$68,"🟢 Opportunita'",IF($AH52&lt;=$AA52*'Parametri Modello'!$B$69,"🔴 Sovrapprezzo","🟡 Prezzo Corretto"))),"")</f>
        <v/>
      </c>
      <c r="AJ52" t="str">
        <f t="shared" si="6"/>
        <v/>
      </c>
      <c r="AK52">
        <f t="shared" si="7"/>
        <v>3</v>
      </c>
      <c r="AL52" t="str">
        <f t="shared" si="8"/>
        <v>D|Top|3</v>
      </c>
    </row>
    <row r="53" spans="1:38" ht="14.25" customHeight="1" x14ac:dyDescent="0.25">
      <c r="A53" s="18">
        <v>4220</v>
      </c>
      <c r="B53" s="18" t="s">
        <v>17</v>
      </c>
      <c r="C53" s="18" t="s">
        <v>192</v>
      </c>
      <c r="E53" s="23" t="str">
        <f>IF(COUNTIF('Info Strategia'!$D$2:$D$51,$C53)&gt;0,"SI","NO")</f>
        <v>NO</v>
      </c>
      <c r="F53" s="24">
        <f>IFERROR(ROUND(($G53+($H53-$G53)*'Info Strategia'!$B$6)*(1+IF($E53="SI",'Parametri Modello'!$B$7*'Info Strategia'!$B$6,0)),0),"")</f>
        <v>37</v>
      </c>
      <c r="G53" s="24">
        <f>IFERROR(ROUND(MAX(1,(IF($V53&lt;=INDEX('Parametri Modello'!$C$57:$C$60,MATCH($B53,'Parametri Modello'!$A$57:$A$60,0)),IF(INDEX('Parametri Modello'!$E$57:$E$60,MATCH($B53,'Parametri Modello'!$A$57:$A$60,0))=0,0,($O53/INDEX('Parametri Modello'!$E$57:$E$60,MATCH($B53,'Parametri Modello'!$A$57:$A$60,0)))*(INDEX('Parametri Modello'!$D$57:$D$60,MATCH($B53,'Parametri Modello'!$A$57:$A$60,0))*(INDEX('Parametri Modello'!$B$50:$B$53,MATCH($B53,'Parametri Modello'!$A$50:$A$53,0))*'Parametri Modello'!$B$44))),IF(INDEX('Parametri Modello'!$F$57:$F$60,MATCH($B53,'Parametri Modello'!$A$57:$A$60,0))=0,0,($O53/INDEX('Parametri Modello'!$F$57:$F$60,MATCH($B53,'Parametri Modello'!$A$57:$A$60,0)))*((1-INDEX('Parametri Modello'!$D$57:$D$60,MATCH($B53,'Parametri Modello'!$A$57:$A$60,0)))*(INDEX('Parametri Modello'!$B$50:$B$53,MATCH($B53,'Parametri Modello'!$A$50:$A$53,0))*'Parametri Modello'!$B$44))))*(1+IF(IF($B53="D",'Info Lega'!$B$25,IF($B53="C",'Info Lega'!$B$26,"No"))="Si",'Parametri Modello'!$B$5,0))*(1+MAX(-0.25,MIN(0.25,IF(OR($T53="",$I53="",$I53=0,INDEX('Parametri Modello'!$B$19:$B$22,MATCH($B53,'Parametri Modello'!$A$19:$A$22,0))="",INDEX('Parametri Modello'!$B$19:$B$22,MATCH($B53,'Parametri Modello'!$A$19:$A$22,0))=0),0,(($T53-INDEX('Parametri Modello'!$B$19:$B$22,MATCH($B53,'Parametri Modello'!$A$19:$A$22,0)))/INDEX('Parametri Modello'!$B$19:$B$22,MATCH($B53,'Parametri Modello'!$A$19:$A$22,0)))*'Parametri Modello'!$B$9))))*(1+IF('Parametri Modello'!$B$27="Si",MAX(-'Parametri Modello'!$B$28,MIN('Parametri Modello'!$B$28*1.5,IF(OR(INDEX('Parametri Modello'!$F$32:$F$35,MATCH($B53,'Parametri Modello'!$A$32:$A$35,0))="",INDEX('Parametri Modello'!$F$32:$F$35,MATCH($B53,'Parametri Modello'!$A$32:$A$35,0))=0),0,(1/INDEX('Parametri Modello'!$F$32:$F$35,MATCH($B53,'Parametri Modello'!$A$32:$A$35,0))-1)*'Parametri Modello'!$B$28))),0)))*(1-INDEX('Parametri Modello'!$B$12:$B$15,MATCH($B53,'Parametri Modello'!$A$12:$A$15,0)))),0),"")</f>
        <v>25</v>
      </c>
      <c r="H53" s="24">
        <f>IFERROR(ROUND((IF($V53&lt;=INDEX('Parametri Modello'!$C$57:$C$60,MATCH($B53,'Parametri Modello'!$A$57:$A$60,0)),IF(INDEX('Parametri Modello'!$E$57:$E$60,MATCH($B53,'Parametri Modello'!$A$57:$A$60,0))=0,0,($O53/INDEX('Parametri Modello'!$E$57:$E$60,MATCH($B53,'Parametri Modello'!$A$57:$A$60,0)))*(INDEX('Parametri Modello'!$D$57:$D$60,MATCH($B53,'Parametri Modello'!$A$57:$A$60,0))*(INDEX('Parametri Modello'!$B$50:$B$53,MATCH($B53,'Parametri Modello'!$A$50:$A$53,0))*'Parametri Modello'!$B$44))),IF(INDEX('Parametri Modello'!$F$57:$F$60,MATCH($B53,'Parametri Modello'!$A$57:$A$60,0))=0,0,($O53/INDEX('Parametri Modello'!$F$57:$F$60,MATCH($B53,'Parametri Modello'!$A$57:$A$60,0)))*((1-INDEX('Parametri Modello'!$D$57:$D$60,MATCH($B53,'Parametri Modello'!$A$57:$A$60,0)))*(INDEX('Parametri Modello'!$B$50:$B$53,MATCH($B53,'Parametri Modello'!$A$50:$A$53,0))*'Parametri Modello'!$B$44))))*(1+IF(IF($B53="D",'Info Lega'!$B$25,IF($B53="C",'Info Lega'!$B$26,"No"))="Si",'Parametri Modello'!$B$5,0))*(1+MAX(-0.25,MIN(0.25,IF(OR($T53="",$I53="",$I53=0,INDEX('Parametri Modello'!$B$19:$B$22,MATCH($B53,'Parametri Modello'!$A$19:$A$22,0))="",INDEX('Parametri Modello'!$B$19:$B$22,MATCH($B53,'Parametri Modello'!$A$19:$A$22,0))=0),0,(($T53-INDEX('Parametri Modello'!$B$19:$B$22,MATCH($B53,'Parametri Modello'!$A$19:$A$22,0)))/INDEX('Parametri Modello'!$B$19:$B$22,MATCH($B53,'Parametri Modello'!$A$19:$A$22,0)))*'Parametri Modello'!$B$9))))*(1+IF('Parametri Modello'!$B$27="Si",MAX(-'Parametri Modello'!$B$28,MIN('Parametri Modello'!$B$28*1.5,IF(OR(INDEX('Parametri Modello'!$F$32:$F$35,MATCH($B53,'Parametri Modello'!$A$32:$A$35,0))="",INDEX('Parametri Modello'!$F$32:$F$35,MATCH($B53,'Parametri Modello'!$A$32:$A$35,0))=0),0,(1/INDEX('Parametri Modello'!$F$32:$F$35,MATCH($B53,'Parametri Modello'!$A$32:$A$35,0))-1)*'Parametri Modello'!$B$28))),0)))*(1+INDEX('Parametri Modello'!$B$12:$B$15,MATCH($B53,'Parametri Modello'!$A$12:$A$15,0))),0),"")</f>
        <v>42</v>
      </c>
      <c r="I53" s="23">
        <f>IFERROR(INDEX('Input Statistiche 2025_26'!$F$3:$F$665,MATCH($A53,'Input Statistiche 2025_26'!$A$3:$A$665,0)),"")</f>
        <v>18</v>
      </c>
      <c r="J53" s="23">
        <f t="shared" si="0"/>
        <v>20</v>
      </c>
      <c r="K53" s="23">
        <f>IFERROR(INDEX('Input Statistiche 2025_26'!$I$3:$I$665,MATCH($A53,'Input Statistiche 2025_26'!$A$3:$A$665,0)),"")</f>
        <v>4</v>
      </c>
      <c r="L53" s="23">
        <f>IFERROR(INDEX('Input Statistiche 2025_26'!$O$3:$O$665,MATCH($A53,'Input Statistiche 2025_26'!$A$3:$A$665,0)),"")</f>
        <v>1</v>
      </c>
      <c r="M53" s="25"/>
      <c r="N53" s="24">
        <f>IFERROR(INDEX('Input Giocatori 2026_27'!$E$3:$E$493,MATCH($A53,'Input Giocatori 2026_27'!$A$3:$A$493,0)),"")</f>
        <v>11</v>
      </c>
      <c r="O53" s="24">
        <f>IFERROR(INDEX('Input Giocatori 2026_27'!$G$3:$G$493,MATCH($A53,'Input Giocatori 2026_27'!$A$3:$A$493,0)),"")</f>
        <v>55</v>
      </c>
      <c r="P53" s="23" t="str">
        <f>IFERROR(IF($O53="","",IF((1-(COUNTIFS($B$2:$B$492,$B53,$O$2:$O$492,"&gt;"&amp;$O53)+1-1)/COUNTIF($B$2:$B$492,$B53))&gt;='Parametri Modello'!$B$63,"Top",IF((1-(COUNTIFS($B$2:$B$492,$B53,$O$2:$O$492,"&gt;"&amp;$O53)+1-1)/COUNTIF($B$2:$B$492,$B53))&gt;='Parametri Modello'!$B$64,"Buono",IF((1-(COUNTIFS($B$2:$B$492,$B53,$O$2:$O$492,"&gt;"&amp;$O53)+1-1)/COUNTIF($B$2:$B$492,$B53))&gt;='Parametri Modello'!$B$65,"Nella Media","Scommessa/Riserva")))),"")</f>
        <v>Buono</v>
      </c>
      <c r="Q53" s="26">
        <f>IF(AND($D53="",$N53&gt;1),SUMPRODUCT(($D$2:$D53="")*($N$2:$N53&gt;1)),"")</f>
        <v>52</v>
      </c>
      <c r="R53" s="26" t="str">
        <f>IF($D53='Info Lega'!$B$28,COUNTIFS($D$2:$D53,'Info Lega'!$B$28),"")</f>
        <v/>
      </c>
      <c r="S53" s="27">
        <f>IFERROR(INDEX('Input Statistiche 2025_26'!$G$3:$G$665,MATCH($A53,'Input Statistiche 2025_26'!$A$3:$A$665,0)),"")</f>
        <v>6.17</v>
      </c>
      <c r="T53" s="27">
        <f>IFERROR(INDEX('Input Statistiche 2025_26'!$H$3:$H$665,MATCH($A53,'Input Statistiche 2025_26'!$A$3:$A$665,0)),"")</f>
        <v>6.86</v>
      </c>
      <c r="U53" s="23" t="str">
        <f>IF(OR('La Mia Rosa'!$O$12="",$D53&lt;&gt;""),"",IF($F53&lt;='La Mia Rosa'!$O$12*'Parametri Modello'!$B$24,"OK",IF($F53&lt;='La Mia Rosa'!$O$12*'Parametri Modello'!$B$25,"Attenzione","Rischio Alto")))</f>
        <v>OK</v>
      </c>
      <c r="V53" s="23">
        <f t="shared" si="1"/>
        <v>20</v>
      </c>
      <c r="W53" s="18">
        <f>'Info Lega'!$B$4-SUMIFS($M$2:$M$492,$D$2:$D$492,'Info Lega'!$B$28)</f>
        <v>1000</v>
      </c>
      <c r="X53" s="18">
        <f>('Info Lega'!$B$5-COUNTIFS($D$2:$D$492,'Info Lega'!$B$28,$B$2:$B$492,"P"))+('Info Lega'!$B$6-COUNTIFS($D$2:$D$492,'Info Lega'!$B$28,$B$2:$B$492,"D"))+('Info Lega'!$B$7-COUNTIFS($D$2:$D$492,'Info Lega'!$B$28,$B$2:$B$492,"C"))+('Info Lega'!$B$8-COUNTIFS($D$2:$D$492,'Info Lega'!$B$28,$B$2:$B$492,"A"))</f>
        <v>25</v>
      </c>
      <c r="Y53" s="18">
        <f>X53*'Parametri Modello'!$B$30</f>
        <v>25</v>
      </c>
      <c r="Z53" s="18">
        <f t="shared" si="2"/>
        <v>975</v>
      </c>
      <c r="AA53" s="18">
        <f t="shared" si="3"/>
        <v>37</v>
      </c>
      <c r="AB53" s="18"/>
      <c r="AC53" s="18" t="str">
        <f>IF($AB53="","",IF($AB53&gt;$AA53,"PASS",IF($AB53&lt;=$AA53*(1-'Parametri Modello'!$B$68),"BID","ATTENZIONE")))</f>
        <v/>
      </c>
      <c r="AD53" s="28">
        <f t="shared" si="4"/>
        <v>45</v>
      </c>
      <c r="AE53" s="5" t="str">
        <f>IFERROR(INDEX('Stato Asta'!$G$9:$G$12,MATCH($B53,'Stato Asta'!$A$9:$A$12,0)),"")</f>
        <v>🔴 Non aspettare</v>
      </c>
      <c r="AF53" t="str">
        <f>IFERROR(IF($V53&lt;=INDEX('Parametri Modello'!$C$57:$C$60,MATCH($B53,'Parametri Modello'!$A$57:$A$60,0)),"Titolare","Riserva"),"")</f>
        <v>Titolare</v>
      </c>
      <c r="AG53" t="str">
        <f>IFERROR(INDEX('Pressione Competitiva'!$F$3:$F$6,MATCH($B53,'Pressione Competitiva'!$B$3:$B$6,0)),"")</f>
        <v>🔴 Molto Alta</v>
      </c>
      <c r="AH53" t="str">
        <f t="shared" si="5"/>
        <v/>
      </c>
      <c r="AI53" t="str">
        <f>IFERROR(IF($AH53="","",IF($AH53&gt;=$AA53*'Parametri Modello'!$B$68,"🟢 Opportunita'",IF($AH53&lt;=$AA53*'Parametri Modello'!$B$69,"🔴 Sovrapprezzo","🟡 Prezzo Corretto"))),"")</f>
        <v/>
      </c>
      <c r="AJ53" t="str">
        <f t="shared" si="6"/>
        <v/>
      </c>
      <c r="AK53">
        <f t="shared" si="7"/>
        <v>2</v>
      </c>
      <c r="AL53" t="str">
        <f t="shared" si="8"/>
        <v>C|Buono|2</v>
      </c>
    </row>
    <row r="54" spans="1:38" ht="14.25" customHeight="1" x14ac:dyDescent="0.25">
      <c r="A54" s="18">
        <v>5734</v>
      </c>
      <c r="B54" s="18" t="s">
        <v>18</v>
      </c>
      <c r="C54" s="18" t="s">
        <v>193</v>
      </c>
      <c r="E54" s="23" t="str">
        <f>IF(COUNTIF('Info Strategia'!$D$2:$D$51,$C54)&gt;0,"SI","NO")</f>
        <v>NO</v>
      </c>
      <c r="F54" s="24">
        <f>IFERROR(ROUND(($G54+($H54-$G54)*'Info Strategia'!$B$6)*(1+IF($E54="SI",'Parametri Modello'!$B$7*'Info Strategia'!$B$6,0)),0),"")</f>
        <v>18</v>
      </c>
      <c r="G54" s="24">
        <f>IFERROR(ROUND(MAX(1,(IF($V54&lt;=INDEX('Parametri Modello'!$C$57:$C$60,MATCH($B54,'Parametri Modello'!$A$57:$A$60,0)),IF(INDEX('Parametri Modello'!$E$57:$E$60,MATCH($B54,'Parametri Modello'!$A$57:$A$60,0))=0,0,($O54/INDEX('Parametri Modello'!$E$57:$E$60,MATCH($B54,'Parametri Modello'!$A$57:$A$60,0)))*(INDEX('Parametri Modello'!$D$57:$D$60,MATCH($B54,'Parametri Modello'!$A$57:$A$60,0))*(INDEX('Parametri Modello'!$B$50:$B$53,MATCH($B54,'Parametri Modello'!$A$50:$A$53,0))*'Parametri Modello'!$B$44))),IF(INDEX('Parametri Modello'!$F$57:$F$60,MATCH($B54,'Parametri Modello'!$A$57:$A$60,0))=0,0,($O54/INDEX('Parametri Modello'!$F$57:$F$60,MATCH($B54,'Parametri Modello'!$A$57:$A$60,0)))*((1-INDEX('Parametri Modello'!$D$57:$D$60,MATCH($B54,'Parametri Modello'!$A$57:$A$60,0)))*(INDEX('Parametri Modello'!$B$50:$B$53,MATCH($B54,'Parametri Modello'!$A$50:$A$53,0))*'Parametri Modello'!$B$44))))*(1+IF(IF($B54="D",'Info Lega'!$B$25,IF($B54="C",'Info Lega'!$B$26,"No"))="Si",'Parametri Modello'!$B$5,0))*(1+MAX(-0.25,MIN(0.25,IF(OR($T54="",$I54="",$I54=0,INDEX('Parametri Modello'!$B$19:$B$22,MATCH($B54,'Parametri Modello'!$A$19:$A$22,0))="",INDEX('Parametri Modello'!$B$19:$B$22,MATCH($B54,'Parametri Modello'!$A$19:$A$22,0))=0),0,(($T54-INDEX('Parametri Modello'!$B$19:$B$22,MATCH($B54,'Parametri Modello'!$A$19:$A$22,0)))/INDEX('Parametri Modello'!$B$19:$B$22,MATCH($B54,'Parametri Modello'!$A$19:$A$22,0)))*'Parametri Modello'!$B$9))))*(1+IF('Parametri Modello'!$B$27="Si",MAX(-'Parametri Modello'!$B$28,MIN('Parametri Modello'!$B$28*1.5,IF(OR(INDEX('Parametri Modello'!$F$32:$F$35,MATCH($B54,'Parametri Modello'!$A$32:$A$35,0))="",INDEX('Parametri Modello'!$F$32:$F$35,MATCH($B54,'Parametri Modello'!$A$32:$A$35,0))=0),0,(1/INDEX('Parametri Modello'!$F$32:$F$35,MATCH($B54,'Parametri Modello'!$A$32:$A$35,0))-1)*'Parametri Modello'!$B$28))),0)))*(1-INDEX('Parametri Modello'!$B$12:$B$15,MATCH($B54,'Parametri Modello'!$A$12:$A$15,0)))),0),"")</f>
        <v>11</v>
      </c>
      <c r="H54" s="24">
        <f>IFERROR(ROUND((IF($V54&lt;=INDEX('Parametri Modello'!$C$57:$C$60,MATCH($B54,'Parametri Modello'!$A$57:$A$60,0)),IF(INDEX('Parametri Modello'!$E$57:$E$60,MATCH($B54,'Parametri Modello'!$A$57:$A$60,0))=0,0,($O54/INDEX('Parametri Modello'!$E$57:$E$60,MATCH($B54,'Parametri Modello'!$A$57:$A$60,0)))*(INDEX('Parametri Modello'!$D$57:$D$60,MATCH($B54,'Parametri Modello'!$A$57:$A$60,0))*(INDEX('Parametri Modello'!$B$50:$B$53,MATCH($B54,'Parametri Modello'!$A$50:$A$53,0))*'Parametri Modello'!$B$44))),IF(INDEX('Parametri Modello'!$F$57:$F$60,MATCH($B54,'Parametri Modello'!$A$57:$A$60,0))=0,0,($O54/INDEX('Parametri Modello'!$F$57:$F$60,MATCH($B54,'Parametri Modello'!$A$57:$A$60,0)))*((1-INDEX('Parametri Modello'!$D$57:$D$60,MATCH($B54,'Parametri Modello'!$A$57:$A$60,0)))*(INDEX('Parametri Modello'!$B$50:$B$53,MATCH($B54,'Parametri Modello'!$A$50:$A$53,0))*'Parametri Modello'!$B$44))))*(1+IF(IF($B54="D",'Info Lega'!$B$25,IF($B54="C",'Info Lega'!$B$26,"No"))="Si",'Parametri Modello'!$B$5,0))*(1+MAX(-0.25,MIN(0.25,IF(OR($T54="",$I54="",$I54=0,INDEX('Parametri Modello'!$B$19:$B$22,MATCH($B54,'Parametri Modello'!$A$19:$A$22,0))="",INDEX('Parametri Modello'!$B$19:$B$22,MATCH($B54,'Parametri Modello'!$A$19:$A$22,0))=0),0,(($T54-INDEX('Parametri Modello'!$B$19:$B$22,MATCH($B54,'Parametri Modello'!$A$19:$A$22,0)))/INDEX('Parametri Modello'!$B$19:$B$22,MATCH($B54,'Parametri Modello'!$A$19:$A$22,0)))*'Parametri Modello'!$B$9))))*(1+IF('Parametri Modello'!$B$27="Si",MAX(-'Parametri Modello'!$B$28,MIN('Parametri Modello'!$B$28*1.5,IF(OR(INDEX('Parametri Modello'!$F$32:$F$35,MATCH($B54,'Parametri Modello'!$A$32:$A$35,0))="",INDEX('Parametri Modello'!$F$32:$F$35,MATCH($B54,'Parametri Modello'!$A$32:$A$35,0))=0),0,(1/INDEX('Parametri Modello'!$F$32:$F$35,MATCH($B54,'Parametri Modello'!$A$32:$A$35,0))-1)*'Parametri Modello'!$B$28))),0)))*(1+INDEX('Parametri Modello'!$B$12:$B$15,MATCH($B54,'Parametri Modello'!$A$12:$A$15,0))),0),"")</f>
        <v>21</v>
      </c>
      <c r="I54" s="23">
        <f>IFERROR(INDEX('Input Statistiche 2025_26'!$F$3:$F$665,MATCH($A54,'Input Statistiche 2025_26'!$A$3:$A$665,0)),"")</f>
        <v>32</v>
      </c>
      <c r="J54" s="23">
        <f t="shared" si="0"/>
        <v>6</v>
      </c>
      <c r="K54" s="23">
        <f>IFERROR(INDEX('Input Statistiche 2025_26'!$I$3:$I$665,MATCH($A54,'Input Statistiche 2025_26'!$A$3:$A$665,0)),"")</f>
        <v>6</v>
      </c>
      <c r="L54" s="23">
        <f>IFERROR(INDEX('Input Statistiche 2025_26'!$O$3:$O$665,MATCH($A54,'Input Statistiche 2025_26'!$A$3:$A$665,0)),"")</f>
        <v>5</v>
      </c>
      <c r="M54" s="25"/>
      <c r="N54" s="24">
        <f>IFERROR(INDEX('Input Giocatori 2026_27'!$E$3:$E$493,MATCH($A54,'Input Giocatori 2026_27'!$A$3:$A$493,0)),"")</f>
        <v>12</v>
      </c>
      <c r="O54" s="24">
        <f>IFERROR(INDEX('Input Giocatori 2026_27'!$G$3:$G$493,MATCH($A54,'Input Giocatori 2026_27'!$A$3:$A$493,0)),"")</f>
        <v>55</v>
      </c>
      <c r="P54" s="23" t="str">
        <f>IFERROR(IF($O54="","",IF((1-(COUNTIFS($B$2:$B$492,$B54,$O$2:$O$492,"&gt;"&amp;$O54)+1-1)/COUNTIF($B$2:$B$492,$B54))&gt;='Parametri Modello'!$B$63,"Top",IF((1-(COUNTIFS($B$2:$B$492,$B54,$O$2:$O$492,"&gt;"&amp;$O54)+1-1)/COUNTIF($B$2:$B$492,$B54))&gt;='Parametri Modello'!$B$64,"Buono",IF((1-(COUNTIFS($B$2:$B$492,$B54,$O$2:$O$492,"&gt;"&amp;$O54)+1-1)/COUNTIF($B$2:$B$492,$B54))&gt;='Parametri Modello'!$B$65,"Nella Media","Scommessa/Riserva")))),"")</f>
        <v>Nella Media</v>
      </c>
      <c r="Q54" s="26">
        <f>IF(AND($D54="",$N54&gt;1),SUMPRODUCT(($D$2:$D54="")*($N$2:$N54&gt;1)),"")</f>
        <v>53</v>
      </c>
      <c r="R54" s="26" t="str">
        <f>IF($D54='Info Lega'!$B$28,COUNTIFS($D$2:$D54,'Info Lega'!$B$28),"")</f>
        <v/>
      </c>
      <c r="S54" s="27">
        <f>IFERROR(INDEX('Input Statistiche 2025_26'!$G$3:$G$665,MATCH($A54,'Input Statistiche 2025_26'!$A$3:$A$665,0)),"")</f>
        <v>6.12</v>
      </c>
      <c r="T54" s="27">
        <f>IFERROR(INDEX('Input Statistiche 2025_26'!$H$3:$H$665,MATCH($A54,'Input Statistiche 2025_26'!$A$3:$A$665,0)),"")</f>
        <v>6.83</v>
      </c>
      <c r="U54" s="23" t="str">
        <f>IF(OR('La Mia Rosa'!$O$12="",$D54&lt;&gt;""),"",IF($F54&lt;='La Mia Rosa'!$O$12*'Parametri Modello'!$B$24,"OK",IF($F54&lt;='La Mia Rosa'!$O$12*'Parametri Modello'!$B$25,"Attenzione","Rischio Alto")))</f>
        <v>OK</v>
      </c>
      <c r="V54" s="23">
        <f t="shared" si="1"/>
        <v>27</v>
      </c>
      <c r="W54" s="18">
        <f>'Info Lega'!$B$4-SUMIFS($M$2:$M$492,$D$2:$D$492,'Info Lega'!$B$28)</f>
        <v>1000</v>
      </c>
      <c r="X54" s="18">
        <f>('Info Lega'!$B$5-COUNTIFS($D$2:$D$492,'Info Lega'!$B$28,$B$2:$B$492,"P"))+('Info Lega'!$B$6-COUNTIFS($D$2:$D$492,'Info Lega'!$B$28,$B$2:$B$492,"D"))+('Info Lega'!$B$7-COUNTIFS($D$2:$D$492,'Info Lega'!$B$28,$B$2:$B$492,"C"))+('Info Lega'!$B$8-COUNTIFS($D$2:$D$492,'Info Lega'!$B$28,$B$2:$B$492,"A"))</f>
        <v>25</v>
      </c>
      <c r="Y54" s="18">
        <f>X54*'Parametri Modello'!$B$30</f>
        <v>25</v>
      </c>
      <c r="Z54" s="18">
        <f t="shared" si="2"/>
        <v>975</v>
      </c>
      <c r="AA54" s="18">
        <f t="shared" si="3"/>
        <v>18</v>
      </c>
      <c r="AB54" s="18"/>
      <c r="AC54" s="18" t="str">
        <f>IF($AB54="","",IF($AB54&gt;$AA54,"PASS",IF($AB54&lt;=$AA54*(1-'Parametri Modello'!$B$68),"BID","ATTENZIONE")))</f>
        <v/>
      </c>
      <c r="AD54" s="28">
        <f t="shared" si="4"/>
        <v>66</v>
      </c>
      <c r="AE54" s="5" t="str">
        <f>IFERROR(INDEX('Stato Asta'!$G$9:$G$12,MATCH($B54,'Stato Asta'!$A$9:$A$12,0)),"")</f>
        <v>🔴 Non aspettare</v>
      </c>
      <c r="AF54" t="str">
        <f>IFERROR(IF($V54&lt;=INDEX('Parametri Modello'!$C$57:$C$60,MATCH($B54,'Parametri Modello'!$A$57:$A$60,0)),"Titolare","Riserva"),"")</f>
        <v>Riserva</v>
      </c>
      <c r="AG54" t="str">
        <f>IFERROR(INDEX('Pressione Competitiva'!$F$3:$F$6,MATCH($B54,'Pressione Competitiva'!$B$3:$B$6,0)),"")</f>
        <v>🔴 Molto Alta</v>
      </c>
      <c r="AH54" t="str">
        <f t="shared" si="5"/>
        <v/>
      </c>
      <c r="AI54" t="str">
        <f>IFERROR(IF($AH54="","",IF($AH54&gt;=$AA54*'Parametri Modello'!$B$68,"🟢 Opportunita'",IF($AH54&lt;=$AA54*'Parametri Modello'!$B$69,"🔴 Sovrapprezzo","🟡 Prezzo Corretto"))),"")</f>
        <v/>
      </c>
      <c r="AJ54" t="str">
        <f t="shared" si="6"/>
        <v/>
      </c>
      <c r="AK54">
        <f t="shared" si="7"/>
        <v>1</v>
      </c>
      <c r="AL54" t="str">
        <f t="shared" si="8"/>
        <v>A|Nella Media|1</v>
      </c>
    </row>
    <row r="55" spans="1:38" ht="14.25" customHeight="1" x14ac:dyDescent="0.25">
      <c r="A55" s="18">
        <v>4431</v>
      </c>
      <c r="B55" s="18" t="s">
        <v>15</v>
      </c>
      <c r="C55" s="18" t="s">
        <v>194</v>
      </c>
      <c r="E55" s="23" t="str">
        <f>IF(COUNTIF('Info Strategia'!$D$2:$D$51,$C55)&gt;0,"SI","NO")</f>
        <v>NO</v>
      </c>
      <c r="F55" s="24">
        <f>IFERROR(ROUND(($G55+($H55-$G55)*'Info Strategia'!$B$6)*(1+IF($E55="SI",'Parametri Modello'!$B$7*'Info Strategia'!$B$6,0)),0),"")</f>
        <v>89</v>
      </c>
      <c r="G55" s="24">
        <f>IFERROR(ROUND(MAX(1,(IF($V55&lt;=INDEX('Parametri Modello'!$C$57:$C$60,MATCH($B55,'Parametri Modello'!$A$57:$A$60,0)),IF(INDEX('Parametri Modello'!$E$57:$E$60,MATCH($B55,'Parametri Modello'!$A$57:$A$60,0))=0,0,($O55/INDEX('Parametri Modello'!$E$57:$E$60,MATCH($B55,'Parametri Modello'!$A$57:$A$60,0)))*(INDEX('Parametri Modello'!$D$57:$D$60,MATCH($B55,'Parametri Modello'!$A$57:$A$60,0))*(INDEX('Parametri Modello'!$B$50:$B$53,MATCH($B55,'Parametri Modello'!$A$50:$A$53,0))*'Parametri Modello'!$B$44))),IF(INDEX('Parametri Modello'!$F$57:$F$60,MATCH($B55,'Parametri Modello'!$A$57:$A$60,0))=0,0,($O55/INDEX('Parametri Modello'!$F$57:$F$60,MATCH($B55,'Parametri Modello'!$A$57:$A$60,0)))*((1-INDEX('Parametri Modello'!$D$57:$D$60,MATCH($B55,'Parametri Modello'!$A$57:$A$60,0)))*(INDEX('Parametri Modello'!$B$50:$B$53,MATCH($B55,'Parametri Modello'!$A$50:$A$53,0))*'Parametri Modello'!$B$44))))*(1+IF(IF($B55="D",'Info Lega'!$B$25,IF($B55="C",'Info Lega'!$B$26,"No"))="Si",'Parametri Modello'!$B$5,0))*(1+MAX(-0.25,MIN(0.25,IF(OR($T55="",$I55="",$I55=0,INDEX('Parametri Modello'!$B$19:$B$22,MATCH($B55,'Parametri Modello'!$A$19:$A$22,0))="",INDEX('Parametri Modello'!$B$19:$B$22,MATCH($B55,'Parametri Modello'!$A$19:$A$22,0))=0),0,(($T55-INDEX('Parametri Modello'!$B$19:$B$22,MATCH($B55,'Parametri Modello'!$A$19:$A$22,0)))/INDEX('Parametri Modello'!$B$19:$B$22,MATCH($B55,'Parametri Modello'!$A$19:$A$22,0)))*'Parametri Modello'!$B$9))))*(1+IF('Parametri Modello'!$B$27="Si",MAX(-'Parametri Modello'!$B$28,MIN('Parametri Modello'!$B$28*1.5,IF(OR(INDEX('Parametri Modello'!$F$32:$F$35,MATCH($B55,'Parametri Modello'!$A$32:$A$35,0))="",INDEX('Parametri Modello'!$F$32:$F$35,MATCH($B55,'Parametri Modello'!$A$32:$A$35,0))=0),0,(1/INDEX('Parametri Modello'!$F$32:$F$35,MATCH($B55,'Parametri Modello'!$A$32:$A$35,0))-1)*'Parametri Modello'!$B$28))),0)))*(1-INDEX('Parametri Modello'!$B$12:$B$15,MATCH($B55,'Parametri Modello'!$A$12:$A$15,0)))),0),"")</f>
        <v>71</v>
      </c>
      <c r="H55" s="24">
        <f>IFERROR(ROUND((IF($V55&lt;=INDEX('Parametri Modello'!$C$57:$C$60,MATCH($B55,'Parametri Modello'!$A$57:$A$60,0)),IF(INDEX('Parametri Modello'!$E$57:$E$60,MATCH($B55,'Parametri Modello'!$A$57:$A$60,0))=0,0,($O55/INDEX('Parametri Modello'!$E$57:$E$60,MATCH($B55,'Parametri Modello'!$A$57:$A$60,0)))*(INDEX('Parametri Modello'!$D$57:$D$60,MATCH($B55,'Parametri Modello'!$A$57:$A$60,0))*(INDEX('Parametri Modello'!$B$50:$B$53,MATCH($B55,'Parametri Modello'!$A$50:$A$53,0))*'Parametri Modello'!$B$44))),IF(INDEX('Parametri Modello'!$F$57:$F$60,MATCH($B55,'Parametri Modello'!$A$57:$A$60,0))=0,0,($O55/INDEX('Parametri Modello'!$F$57:$F$60,MATCH($B55,'Parametri Modello'!$A$57:$A$60,0)))*((1-INDEX('Parametri Modello'!$D$57:$D$60,MATCH($B55,'Parametri Modello'!$A$57:$A$60,0)))*(INDEX('Parametri Modello'!$B$50:$B$53,MATCH($B55,'Parametri Modello'!$A$50:$A$53,0))*'Parametri Modello'!$B$44))))*(1+IF(IF($B55="D",'Info Lega'!$B$25,IF($B55="C",'Info Lega'!$B$26,"No"))="Si",'Parametri Modello'!$B$5,0))*(1+MAX(-0.25,MIN(0.25,IF(OR($T55="",$I55="",$I55=0,INDEX('Parametri Modello'!$B$19:$B$22,MATCH($B55,'Parametri Modello'!$A$19:$A$22,0))="",INDEX('Parametri Modello'!$B$19:$B$22,MATCH($B55,'Parametri Modello'!$A$19:$A$22,0))=0),0,(($T55-INDEX('Parametri Modello'!$B$19:$B$22,MATCH($B55,'Parametri Modello'!$A$19:$A$22,0)))/INDEX('Parametri Modello'!$B$19:$B$22,MATCH($B55,'Parametri Modello'!$A$19:$A$22,0)))*'Parametri Modello'!$B$9))))*(1+IF('Parametri Modello'!$B$27="Si",MAX(-'Parametri Modello'!$B$28,MIN('Parametri Modello'!$B$28*1.5,IF(OR(INDEX('Parametri Modello'!$F$32:$F$35,MATCH($B55,'Parametri Modello'!$A$32:$A$35,0))="",INDEX('Parametri Modello'!$F$32:$F$35,MATCH($B55,'Parametri Modello'!$A$32:$A$35,0))=0),0,(1/INDEX('Parametri Modello'!$F$32:$F$35,MATCH($B55,'Parametri Modello'!$A$32:$A$35,0))-1)*'Parametri Modello'!$B$28))),0)))*(1+INDEX('Parametri Modello'!$B$12:$B$15,MATCH($B55,'Parametri Modello'!$A$12:$A$15,0))),0),"")</f>
        <v>96</v>
      </c>
      <c r="I55" s="23">
        <f>IFERROR(INDEX('Input Statistiche 2025_26'!$F$3:$F$665,MATCH($A55,'Input Statistiche 2025_26'!$A$3:$A$665,0)),"")</f>
        <v>37</v>
      </c>
      <c r="J55" s="23">
        <f t="shared" si="0"/>
        <v>1</v>
      </c>
      <c r="K55" s="23">
        <f>IFERROR(INDEX('Input Statistiche 2025_26'!$I$3:$I$665,MATCH($A55,'Input Statistiche 2025_26'!$A$3:$A$665,0)),"")</f>
        <v>0</v>
      </c>
      <c r="L55" s="23">
        <f>IFERROR(INDEX('Input Statistiche 2025_26'!$O$3:$O$665,MATCH($A55,'Input Statistiche 2025_26'!$A$3:$A$665,0)),"")</f>
        <v>0</v>
      </c>
      <c r="M55" s="25"/>
      <c r="N55" s="24">
        <f>IFERROR(INDEX('Input Giocatori 2026_27'!$E$3:$E$493,MATCH($A55,'Input Giocatori 2026_27'!$A$3:$A$493,0)),"")</f>
        <v>16</v>
      </c>
      <c r="O55" s="24">
        <f>IFERROR(INDEX('Input Giocatori 2026_27'!$G$3:$G$493,MATCH($A55,'Input Giocatori 2026_27'!$A$3:$A$493,0)),"")</f>
        <v>52</v>
      </c>
      <c r="P55" s="23" t="str">
        <f>IFERROR(IF($O55="","",IF((1-(COUNTIFS($B$2:$B$492,$B55,$O$2:$O$492,"&gt;"&amp;$O55)+1-1)/COUNTIF($B$2:$B$492,$B55))&gt;='Parametri Modello'!$B$63,"Top",IF((1-(COUNTIFS($B$2:$B$492,$B55,$O$2:$O$492,"&gt;"&amp;$O55)+1-1)/COUNTIF($B$2:$B$492,$B55))&gt;='Parametri Modello'!$B$64,"Buono",IF((1-(COUNTIFS($B$2:$B$492,$B55,$O$2:$O$492,"&gt;"&amp;$O55)+1-1)/COUNTIF($B$2:$B$492,$B55))&gt;='Parametri Modello'!$B$65,"Nella Media","Scommessa/Riserva")))),"")</f>
        <v>Top</v>
      </c>
      <c r="Q55" s="26">
        <f>IF(AND($D55="",$N55&gt;1),SUMPRODUCT(($D$2:$D55="")*($N$2:$N55&gt;1)),"")</f>
        <v>54</v>
      </c>
      <c r="R55" s="26" t="str">
        <f>IF($D55='Info Lega'!$B$28,COUNTIFS($D$2:$D55,'Info Lega'!$B$28),"")</f>
        <v/>
      </c>
      <c r="S55" s="27">
        <f>IFERROR(INDEX('Input Statistiche 2025_26'!$G$3:$G$665,MATCH($A55,'Input Statistiche 2025_26'!$A$3:$A$665,0)),"")</f>
        <v>6.36</v>
      </c>
      <c r="T55" s="27">
        <f>IFERROR(INDEX('Input Statistiche 2025_26'!$H$3:$H$665,MATCH($A55,'Input Statistiche 2025_26'!$A$3:$A$665,0)),"")</f>
        <v>5.58</v>
      </c>
      <c r="U55" s="23" t="str">
        <f>IF(OR('La Mia Rosa'!$O$12="",$D55&lt;&gt;""),"",IF($F55&lt;='La Mia Rosa'!$O$12*'Parametri Modello'!$B$24,"OK",IF($F55&lt;='La Mia Rosa'!$O$12*'Parametri Modello'!$B$25,"Attenzione","Rischio Alto")))</f>
        <v>Attenzione</v>
      </c>
      <c r="V55" s="23">
        <f t="shared" si="1"/>
        <v>4</v>
      </c>
      <c r="W55" s="18">
        <f>'Info Lega'!$B$4-SUMIFS($M$2:$M$492,$D$2:$D$492,'Info Lega'!$B$28)</f>
        <v>1000</v>
      </c>
      <c r="X55" s="18">
        <f>('Info Lega'!$B$5-COUNTIFS($D$2:$D$492,'Info Lega'!$B$28,$B$2:$B$492,"P"))+('Info Lega'!$B$6-COUNTIFS($D$2:$D$492,'Info Lega'!$B$28,$B$2:$B$492,"D"))+('Info Lega'!$B$7-COUNTIFS($D$2:$D$492,'Info Lega'!$B$28,$B$2:$B$492,"C"))+('Info Lega'!$B$8-COUNTIFS($D$2:$D$492,'Info Lega'!$B$28,$B$2:$B$492,"A"))</f>
        <v>25</v>
      </c>
      <c r="Y55" s="18">
        <f>X55*'Parametri Modello'!$B$30</f>
        <v>25</v>
      </c>
      <c r="Z55" s="18">
        <f t="shared" si="2"/>
        <v>975</v>
      </c>
      <c r="AA55" s="18">
        <f t="shared" si="3"/>
        <v>89</v>
      </c>
      <c r="AB55" s="18"/>
      <c r="AC55" s="18" t="str">
        <f>IF($AB55="","",IF($AB55&gt;$AA55,"PASS",IF($AB55&lt;=$AA55*(1-'Parametri Modello'!$B$68),"BID","ATTENZIONE")))</f>
        <v/>
      </c>
      <c r="AD55" s="28">
        <f t="shared" si="4"/>
        <v>71</v>
      </c>
      <c r="AE55" s="5" t="str">
        <f>IFERROR(INDEX('Stato Asta'!$G$9:$G$12,MATCH($B55,'Stato Asta'!$A$9:$A$12,0)),"")</f>
        <v>🔴 Non aspettare</v>
      </c>
      <c r="AF55" t="str">
        <f>IFERROR(IF($V55&lt;=INDEX('Parametri Modello'!$C$57:$C$60,MATCH($B55,'Parametri Modello'!$A$57:$A$60,0)),"Titolare","Riserva"),"")</f>
        <v>Titolare</v>
      </c>
      <c r="AG55" t="str">
        <f>IFERROR(INDEX('Pressione Competitiva'!$F$3:$F$6,MATCH($B55,'Pressione Competitiva'!$B$3:$B$6,0)),"")</f>
        <v>🔴 Molto Alta</v>
      </c>
      <c r="AH55" t="str">
        <f t="shared" si="5"/>
        <v/>
      </c>
      <c r="AI55" t="str">
        <f>IFERROR(IF($AH55="","",IF($AH55&gt;=$AA55*'Parametri Modello'!$B$68,"🟢 Opportunita'",IF($AH55&lt;=$AA55*'Parametri Modello'!$B$69,"🔴 Sovrapprezzo","🟡 Prezzo Corretto"))),"")</f>
        <v/>
      </c>
      <c r="AJ55" t="str">
        <f t="shared" si="6"/>
        <v/>
      </c>
      <c r="AK55">
        <f t="shared" si="7"/>
        <v>4</v>
      </c>
      <c r="AL55" t="str">
        <f t="shared" si="8"/>
        <v>P|Top|4</v>
      </c>
    </row>
    <row r="56" spans="1:38" ht="14.25" customHeight="1" x14ac:dyDescent="0.25">
      <c r="A56" s="18">
        <v>4728</v>
      </c>
      <c r="B56" s="18" t="s">
        <v>18</v>
      </c>
      <c r="C56" s="18" t="s">
        <v>195</v>
      </c>
      <c r="E56" s="23" t="str">
        <f>IF(COUNTIF('Info Strategia'!$D$2:$D$51,$C56)&gt;0,"SI","NO")</f>
        <v>NO</v>
      </c>
      <c r="F56" s="24">
        <f>IFERROR(ROUND(($G56+($H56-$G56)*'Info Strategia'!$B$6)*(1+IF($E56="SI",'Parametri Modello'!$B$7*'Info Strategia'!$B$6,0)),0),"")</f>
        <v>17</v>
      </c>
      <c r="G56" s="24">
        <f>IFERROR(ROUND(MAX(1,(IF($V56&lt;=INDEX('Parametri Modello'!$C$57:$C$60,MATCH($B56,'Parametri Modello'!$A$57:$A$60,0)),IF(INDEX('Parametri Modello'!$E$57:$E$60,MATCH($B56,'Parametri Modello'!$A$57:$A$60,0))=0,0,($O56/INDEX('Parametri Modello'!$E$57:$E$60,MATCH($B56,'Parametri Modello'!$A$57:$A$60,0)))*(INDEX('Parametri Modello'!$D$57:$D$60,MATCH($B56,'Parametri Modello'!$A$57:$A$60,0))*(INDEX('Parametri Modello'!$B$50:$B$53,MATCH($B56,'Parametri Modello'!$A$50:$A$53,0))*'Parametri Modello'!$B$44))),IF(INDEX('Parametri Modello'!$F$57:$F$60,MATCH($B56,'Parametri Modello'!$A$57:$A$60,0))=0,0,($O56/INDEX('Parametri Modello'!$F$57:$F$60,MATCH($B56,'Parametri Modello'!$A$57:$A$60,0)))*((1-INDEX('Parametri Modello'!$D$57:$D$60,MATCH($B56,'Parametri Modello'!$A$57:$A$60,0)))*(INDEX('Parametri Modello'!$B$50:$B$53,MATCH($B56,'Parametri Modello'!$A$50:$A$53,0))*'Parametri Modello'!$B$44))))*(1+IF(IF($B56="D",'Info Lega'!$B$25,IF($B56="C",'Info Lega'!$B$26,"No"))="Si",'Parametri Modello'!$B$5,0))*(1+MAX(-0.25,MIN(0.25,IF(OR($T56="",$I56="",$I56=0,INDEX('Parametri Modello'!$B$19:$B$22,MATCH($B56,'Parametri Modello'!$A$19:$A$22,0))="",INDEX('Parametri Modello'!$B$19:$B$22,MATCH($B56,'Parametri Modello'!$A$19:$A$22,0))=0),0,(($T56-INDEX('Parametri Modello'!$B$19:$B$22,MATCH($B56,'Parametri Modello'!$A$19:$A$22,0)))/INDEX('Parametri Modello'!$B$19:$B$22,MATCH($B56,'Parametri Modello'!$A$19:$A$22,0)))*'Parametri Modello'!$B$9))))*(1+IF('Parametri Modello'!$B$27="Si",MAX(-'Parametri Modello'!$B$28,MIN('Parametri Modello'!$B$28*1.5,IF(OR(INDEX('Parametri Modello'!$F$32:$F$35,MATCH($B56,'Parametri Modello'!$A$32:$A$35,0))="",INDEX('Parametri Modello'!$F$32:$F$35,MATCH($B56,'Parametri Modello'!$A$32:$A$35,0))=0),0,(1/INDEX('Parametri Modello'!$F$32:$F$35,MATCH($B56,'Parametri Modello'!$A$32:$A$35,0))-1)*'Parametri Modello'!$B$28))),0)))*(1-INDEX('Parametri Modello'!$B$12:$B$15,MATCH($B56,'Parametri Modello'!$A$12:$A$15,0)))),0),"")</f>
        <v>11</v>
      </c>
      <c r="H56" s="24">
        <f>IFERROR(ROUND((IF($V56&lt;=INDEX('Parametri Modello'!$C$57:$C$60,MATCH($B56,'Parametri Modello'!$A$57:$A$60,0)),IF(INDEX('Parametri Modello'!$E$57:$E$60,MATCH($B56,'Parametri Modello'!$A$57:$A$60,0))=0,0,($O56/INDEX('Parametri Modello'!$E$57:$E$60,MATCH($B56,'Parametri Modello'!$A$57:$A$60,0)))*(INDEX('Parametri Modello'!$D$57:$D$60,MATCH($B56,'Parametri Modello'!$A$57:$A$60,0))*(INDEX('Parametri Modello'!$B$50:$B$53,MATCH($B56,'Parametri Modello'!$A$50:$A$53,0))*'Parametri Modello'!$B$44))),IF(INDEX('Parametri Modello'!$F$57:$F$60,MATCH($B56,'Parametri Modello'!$A$57:$A$60,0))=0,0,($O56/INDEX('Parametri Modello'!$F$57:$F$60,MATCH($B56,'Parametri Modello'!$A$57:$A$60,0)))*((1-INDEX('Parametri Modello'!$D$57:$D$60,MATCH($B56,'Parametri Modello'!$A$57:$A$60,0)))*(INDEX('Parametri Modello'!$B$50:$B$53,MATCH($B56,'Parametri Modello'!$A$50:$A$53,0))*'Parametri Modello'!$B$44))))*(1+IF(IF($B56="D",'Info Lega'!$B$25,IF($B56="C",'Info Lega'!$B$26,"No"))="Si",'Parametri Modello'!$B$5,0))*(1+MAX(-0.25,MIN(0.25,IF(OR($T56="",$I56="",$I56=0,INDEX('Parametri Modello'!$B$19:$B$22,MATCH($B56,'Parametri Modello'!$A$19:$A$22,0))="",INDEX('Parametri Modello'!$B$19:$B$22,MATCH($B56,'Parametri Modello'!$A$19:$A$22,0))=0),0,(($T56-INDEX('Parametri Modello'!$B$19:$B$22,MATCH($B56,'Parametri Modello'!$A$19:$A$22,0)))/INDEX('Parametri Modello'!$B$19:$B$22,MATCH($B56,'Parametri Modello'!$A$19:$A$22,0)))*'Parametri Modello'!$B$9))))*(1+IF('Parametri Modello'!$B$27="Si",MAX(-'Parametri Modello'!$B$28,MIN('Parametri Modello'!$B$28*1.5,IF(OR(INDEX('Parametri Modello'!$F$32:$F$35,MATCH($B56,'Parametri Modello'!$A$32:$A$35,0))="",INDEX('Parametri Modello'!$F$32:$F$35,MATCH($B56,'Parametri Modello'!$A$32:$A$35,0))=0),0,(1/INDEX('Parametri Modello'!$F$32:$F$35,MATCH($B56,'Parametri Modello'!$A$32:$A$35,0))-1)*'Parametri Modello'!$B$28))),0)))*(1+INDEX('Parametri Modello'!$B$12:$B$15,MATCH($B56,'Parametri Modello'!$A$12:$A$15,0))),0),"")</f>
        <v>20</v>
      </c>
      <c r="I56" s="23">
        <f>IFERROR(INDEX('Input Statistiche 2025_26'!$F$3:$F$665,MATCH($A56,'Input Statistiche 2025_26'!$A$3:$A$665,0)),"")</f>
        <v>26</v>
      </c>
      <c r="J56" s="23">
        <f t="shared" si="0"/>
        <v>12</v>
      </c>
      <c r="K56" s="23">
        <f>IFERROR(INDEX('Input Statistiche 2025_26'!$I$3:$I$665,MATCH($A56,'Input Statistiche 2025_26'!$A$3:$A$665,0)),"")</f>
        <v>7</v>
      </c>
      <c r="L56" s="23">
        <f>IFERROR(INDEX('Input Statistiche 2025_26'!$O$3:$O$665,MATCH($A56,'Input Statistiche 2025_26'!$A$3:$A$665,0)),"")</f>
        <v>3</v>
      </c>
      <c r="M56" s="25"/>
      <c r="N56" s="24">
        <f>IFERROR(INDEX('Input Giocatori 2026_27'!$E$3:$E$493,MATCH($A56,'Input Giocatori 2026_27'!$A$3:$A$493,0)),"")</f>
        <v>13</v>
      </c>
      <c r="O56" s="24">
        <f>IFERROR(INDEX('Input Giocatori 2026_27'!$G$3:$G$493,MATCH($A56,'Input Giocatori 2026_27'!$A$3:$A$493,0)),"")</f>
        <v>52</v>
      </c>
      <c r="P56" s="23" t="str">
        <f>IFERROR(IF($O56="","",IF((1-(COUNTIFS($B$2:$B$492,$B56,$O$2:$O$492,"&gt;"&amp;$O56)+1-1)/COUNTIF($B$2:$B$492,$B56))&gt;='Parametri Modello'!$B$63,"Top",IF((1-(COUNTIFS($B$2:$B$492,$B56,$O$2:$O$492,"&gt;"&amp;$O56)+1-1)/COUNTIF($B$2:$B$492,$B56))&gt;='Parametri Modello'!$B$64,"Buono",IF((1-(COUNTIFS($B$2:$B$492,$B56,$O$2:$O$492,"&gt;"&amp;$O56)+1-1)/COUNTIF($B$2:$B$492,$B56))&gt;='Parametri Modello'!$B$65,"Nella Media","Scommessa/Riserva")))),"")</f>
        <v>Nella Media</v>
      </c>
      <c r="Q56" s="26">
        <f>IF(AND($D56="",$N56&gt;1),SUMPRODUCT(($D$2:$D56="")*($N$2:$N56&gt;1)),"")</f>
        <v>55</v>
      </c>
      <c r="R56" s="26" t="str">
        <f>IF($D56='Info Lega'!$B$28,COUNTIFS($D$2:$D56,'Info Lega'!$B$28),"")</f>
        <v/>
      </c>
      <c r="S56" s="27">
        <f>IFERROR(INDEX('Input Statistiche 2025_26'!$G$3:$G$665,MATCH($A56,'Input Statistiche 2025_26'!$A$3:$A$665,0)),"")</f>
        <v>5.94</v>
      </c>
      <c r="T56" s="27">
        <f>IFERROR(INDEX('Input Statistiche 2025_26'!$H$3:$H$665,MATCH($A56,'Input Statistiche 2025_26'!$A$3:$A$665,0)),"")</f>
        <v>6.87</v>
      </c>
      <c r="U56" s="23" t="str">
        <f>IF(OR('La Mia Rosa'!$O$12="",$D56&lt;&gt;""),"",IF($F56&lt;='La Mia Rosa'!$O$12*'Parametri Modello'!$B$24,"OK",IF($F56&lt;='La Mia Rosa'!$O$12*'Parametri Modello'!$B$25,"Attenzione","Rischio Alto")))</f>
        <v>OK</v>
      </c>
      <c r="V56" s="23">
        <f t="shared" si="1"/>
        <v>28</v>
      </c>
      <c r="W56" s="18">
        <f>'Info Lega'!$B$4-SUMIFS($M$2:$M$492,$D$2:$D$492,'Info Lega'!$B$28)</f>
        <v>1000</v>
      </c>
      <c r="X56" s="18">
        <f>('Info Lega'!$B$5-COUNTIFS($D$2:$D$492,'Info Lega'!$B$28,$B$2:$B$492,"P"))+('Info Lega'!$B$6-COUNTIFS($D$2:$D$492,'Info Lega'!$B$28,$B$2:$B$492,"D"))+('Info Lega'!$B$7-COUNTIFS($D$2:$D$492,'Info Lega'!$B$28,$B$2:$B$492,"C"))+('Info Lega'!$B$8-COUNTIFS($D$2:$D$492,'Info Lega'!$B$28,$B$2:$B$492,"A"))</f>
        <v>25</v>
      </c>
      <c r="Y56" s="18">
        <f>X56*'Parametri Modello'!$B$30</f>
        <v>25</v>
      </c>
      <c r="Z56" s="18">
        <f t="shared" si="2"/>
        <v>975</v>
      </c>
      <c r="AA56" s="18">
        <f t="shared" si="3"/>
        <v>17</v>
      </c>
      <c r="AB56" s="18"/>
      <c r="AC56" s="18" t="str">
        <f>IF($AB56="","",IF($AB56&gt;$AA56,"PASS",IF($AB56&lt;=$AA56*(1-'Parametri Modello'!$B$68),"BID","ATTENZIONE")))</f>
        <v/>
      </c>
      <c r="AD56" s="28">
        <f t="shared" si="4"/>
        <v>58</v>
      </c>
      <c r="AE56" s="5" t="str">
        <f>IFERROR(INDEX('Stato Asta'!$G$9:$G$12,MATCH($B56,'Stato Asta'!$A$9:$A$12,0)),"")</f>
        <v>🔴 Non aspettare</v>
      </c>
      <c r="AF56" t="str">
        <f>IFERROR(IF($V56&lt;=INDEX('Parametri Modello'!$C$57:$C$60,MATCH($B56,'Parametri Modello'!$A$57:$A$60,0)),"Titolare","Riserva"),"")</f>
        <v>Riserva</v>
      </c>
      <c r="AG56" t="str">
        <f>IFERROR(INDEX('Pressione Competitiva'!$F$3:$F$6,MATCH($B56,'Pressione Competitiva'!$B$3:$B$6,0)),"")</f>
        <v>🔴 Molto Alta</v>
      </c>
      <c r="AH56" t="str">
        <f t="shared" si="5"/>
        <v/>
      </c>
      <c r="AI56" t="str">
        <f>IFERROR(IF($AH56="","",IF($AH56&gt;=$AA56*'Parametri Modello'!$B$68,"🟢 Opportunita'",IF($AH56&lt;=$AA56*'Parametri Modello'!$B$69,"🔴 Sovrapprezzo","🟡 Prezzo Corretto"))),"")</f>
        <v/>
      </c>
      <c r="AJ56" t="str">
        <f t="shared" si="6"/>
        <v/>
      </c>
      <c r="AK56">
        <f t="shared" si="7"/>
        <v>2</v>
      </c>
      <c r="AL56" t="str">
        <f t="shared" si="8"/>
        <v>A|Nella Media|2</v>
      </c>
    </row>
    <row r="57" spans="1:38" ht="14.25" customHeight="1" x14ac:dyDescent="0.25">
      <c r="A57" s="18">
        <v>7484</v>
      </c>
      <c r="B57" s="18" t="s">
        <v>18</v>
      </c>
      <c r="C57" s="18" t="s">
        <v>196</v>
      </c>
      <c r="E57" s="23" t="str">
        <f>IF(COUNTIF('Info Strategia'!$D$2:$D$51,$C57)&gt;0,"SI","NO")</f>
        <v>NO</v>
      </c>
      <c r="F57" s="24">
        <f>IFERROR(ROUND(($G57+($H57-$G57)*'Info Strategia'!$B$6)*(1+IF($E57="SI",'Parametri Modello'!$B$7*'Info Strategia'!$B$6,0)),0),"")</f>
        <v>16</v>
      </c>
      <c r="G57" s="24">
        <f>IFERROR(ROUND(MAX(1,(IF($V57&lt;=INDEX('Parametri Modello'!$C$57:$C$60,MATCH($B57,'Parametri Modello'!$A$57:$A$60,0)),IF(INDEX('Parametri Modello'!$E$57:$E$60,MATCH($B57,'Parametri Modello'!$A$57:$A$60,0))=0,0,($O57/INDEX('Parametri Modello'!$E$57:$E$60,MATCH($B57,'Parametri Modello'!$A$57:$A$60,0)))*(INDEX('Parametri Modello'!$D$57:$D$60,MATCH($B57,'Parametri Modello'!$A$57:$A$60,0))*(INDEX('Parametri Modello'!$B$50:$B$53,MATCH($B57,'Parametri Modello'!$A$50:$A$53,0))*'Parametri Modello'!$B$44))),IF(INDEX('Parametri Modello'!$F$57:$F$60,MATCH($B57,'Parametri Modello'!$A$57:$A$60,0))=0,0,($O57/INDEX('Parametri Modello'!$F$57:$F$60,MATCH($B57,'Parametri Modello'!$A$57:$A$60,0)))*((1-INDEX('Parametri Modello'!$D$57:$D$60,MATCH($B57,'Parametri Modello'!$A$57:$A$60,0)))*(INDEX('Parametri Modello'!$B$50:$B$53,MATCH($B57,'Parametri Modello'!$A$50:$A$53,0))*'Parametri Modello'!$B$44))))*(1+IF(IF($B57="D",'Info Lega'!$B$25,IF($B57="C",'Info Lega'!$B$26,"No"))="Si",'Parametri Modello'!$B$5,0))*(1+MAX(-0.25,MIN(0.25,IF(OR($T57="",$I57="",$I57=0,INDEX('Parametri Modello'!$B$19:$B$22,MATCH($B57,'Parametri Modello'!$A$19:$A$22,0))="",INDEX('Parametri Modello'!$B$19:$B$22,MATCH($B57,'Parametri Modello'!$A$19:$A$22,0))=0),0,(($T57-INDEX('Parametri Modello'!$B$19:$B$22,MATCH($B57,'Parametri Modello'!$A$19:$A$22,0)))/INDEX('Parametri Modello'!$B$19:$B$22,MATCH($B57,'Parametri Modello'!$A$19:$A$22,0)))*'Parametri Modello'!$B$9))))*(1+IF('Parametri Modello'!$B$27="Si",MAX(-'Parametri Modello'!$B$28,MIN('Parametri Modello'!$B$28*1.5,IF(OR(INDEX('Parametri Modello'!$F$32:$F$35,MATCH($B57,'Parametri Modello'!$A$32:$A$35,0))="",INDEX('Parametri Modello'!$F$32:$F$35,MATCH($B57,'Parametri Modello'!$A$32:$A$35,0))=0),0,(1/INDEX('Parametri Modello'!$F$32:$F$35,MATCH($B57,'Parametri Modello'!$A$32:$A$35,0))-1)*'Parametri Modello'!$B$28))),0)))*(1-INDEX('Parametri Modello'!$B$12:$B$15,MATCH($B57,'Parametri Modello'!$A$12:$A$15,0)))),0),"")</f>
        <v>10</v>
      </c>
      <c r="H57" s="24">
        <f>IFERROR(ROUND((IF($V57&lt;=INDEX('Parametri Modello'!$C$57:$C$60,MATCH($B57,'Parametri Modello'!$A$57:$A$60,0)),IF(INDEX('Parametri Modello'!$E$57:$E$60,MATCH($B57,'Parametri Modello'!$A$57:$A$60,0))=0,0,($O57/INDEX('Parametri Modello'!$E$57:$E$60,MATCH($B57,'Parametri Modello'!$A$57:$A$60,0)))*(INDEX('Parametri Modello'!$D$57:$D$60,MATCH($B57,'Parametri Modello'!$A$57:$A$60,0))*(INDEX('Parametri Modello'!$B$50:$B$53,MATCH($B57,'Parametri Modello'!$A$50:$A$53,0))*'Parametri Modello'!$B$44))),IF(INDEX('Parametri Modello'!$F$57:$F$60,MATCH($B57,'Parametri Modello'!$A$57:$A$60,0))=0,0,($O57/INDEX('Parametri Modello'!$F$57:$F$60,MATCH($B57,'Parametri Modello'!$A$57:$A$60,0)))*((1-INDEX('Parametri Modello'!$D$57:$D$60,MATCH($B57,'Parametri Modello'!$A$57:$A$60,0)))*(INDEX('Parametri Modello'!$B$50:$B$53,MATCH($B57,'Parametri Modello'!$A$50:$A$53,0))*'Parametri Modello'!$B$44))))*(1+IF(IF($B57="D",'Info Lega'!$B$25,IF($B57="C",'Info Lega'!$B$26,"No"))="Si",'Parametri Modello'!$B$5,0))*(1+MAX(-0.25,MIN(0.25,IF(OR($T57="",$I57="",$I57=0,INDEX('Parametri Modello'!$B$19:$B$22,MATCH($B57,'Parametri Modello'!$A$19:$A$22,0))="",INDEX('Parametri Modello'!$B$19:$B$22,MATCH($B57,'Parametri Modello'!$A$19:$A$22,0))=0),0,(($T57-INDEX('Parametri Modello'!$B$19:$B$22,MATCH($B57,'Parametri Modello'!$A$19:$A$22,0)))/INDEX('Parametri Modello'!$B$19:$B$22,MATCH($B57,'Parametri Modello'!$A$19:$A$22,0)))*'Parametri Modello'!$B$9))))*(1+IF('Parametri Modello'!$B$27="Si",MAX(-'Parametri Modello'!$B$28,MIN('Parametri Modello'!$B$28*1.5,IF(OR(INDEX('Parametri Modello'!$F$32:$F$35,MATCH($B57,'Parametri Modello'!$A$32:$A$35,0))="",INDEX('Parametri Modello'!$F$32:$F$35,MATCH($B57,'Parametri Modello'!$A$32:$A$35,0))=0),0,(1/INDEX('Parametri Modello'!$F$32:$F$35,MATCH($B57,'Parametri Modello'!$A$32:$A$35,0))-1)*'Parametri Modello'!$B$28))),0)))*(1+INDEX('Parametri Modello'!$B$12:$B$15,MATCH($B57,'Parametri Modello'!$A$12:$A$15,0))),0),"")</f>
        <v>19</v>
      </c>
      <c r="I57" s="23" t="str">
        <f>IFERROR(INDEX('Input Statistiche 2025_26'!$F$3:$F$665,MATCH($A57,'Input Statistiche 2025_26'!$A$3:$A$665,0)),"")</f>
        <v/>
      </c>
      <c r="J57" s="23" t="str">
        <f t="shared" si="0"/>
        <v/>
      </c>
      <c r="K57" s="23" t="str">
        <f>IFERROR(INDEX('Input Statistiche 2025_26'!$I$3:$I$665,MATCH($A57,'Input Statistiche 2025_26'!$A$3:$A$665,0)),"")</f>
        <v/>
      </c>
      <c r="L57" s="23" t="str">
        <f>IFERROR(INDEX('Input Statistiche 2025_26'!$O$3:$O$665,MATCH($A57,'Input Statistiche 2025_26'!$A$3:$A$665,0)),"")</f>
        <v/>
      </c>
      <c r="M57" s="25"/>
      <c r="N57" s="24">
        <f>IFERROR(INDEX('Input Giocatori 2026_27'!$E$3:$E$493,MATCH($A57,'Input Giocatori 2026_27'!$A$3:$A$493,0)),"")</f>
        <v>12</v>
      </c>
      <c r="O57" s="24">
        <f>IFERROR(INDEX('Input Giocatori 2026_27'!$G$3:$G$493,MATCH($A57,'Input Giocatori 2026_27'!$A$3:$A$493,0)),"")</f>
        <v>52</v>
      </c>
      <c r="P57" s="23" t="str">
        <f>IFERROR(IF($O57="","",IF((1-(COUNTIFS($B$2:$B$492,$B57,$O$2:$O$492,"&gt;"&amp;$O57)+1-1)/COUNTIF($B$2:$B$492,$B57))&gt;='Parametri Modello'!$B$63,"Top",IF((1-(COUNTIFS($B$2:$B$492,$B57,$O$2:$O$492,"&gt;"&amp;$O57)+1-1)/COUNTIF($B$2:$B$492,$B57))&gt;='Parametri Modello'!$B$64,"Buono",IF((1-(COUNTIFS($B$2:$B$492,$B57,$O$2:$O$492,"&gt;"&amp;$O57)+1-1)/COUNTIF($B$2:$B$492,$B57))&gt;='Parametri Modello'!$B$65,"Nella Media","Scommessa/Riserva")))),"")</f>
        <v>Nella Media</v>
      </c>
      <c r="Q57" s="26">
        <f>IF(AND($D57="",$N57&gt;1),SUMPRODUCT(($D$2:$D57="")*($N$2:$N57&gt;1)),"")</f>
        <v>56</v>
      </c>
      <c r="R57" s="26" t="str">
        <f>IF($D57='Info Lega'!$B$28,COUNTIFS($D$2:$D57,'Info Lega'!$B$28),"")</f>
        <v/>
      </c>
      <c r="S57" s="27" t="str">
        <f>IFERROR(INDEX('Input Statistiche 2025_26'!$G$3:$G$665,MATCH($A57,'Input Statistiche 2025_26'!$A$3:$A$665,0)),"")</f>
        <v/>
      </c>
      <c r="T57" s="27" t="str">
        <f>IFERROR(INDEX('Input Statistiche 2025_26'!$H$3:$H$665,MATCH($A57,'Input Statistiche 2025_26'!$A$3:$A$665,0)),"")</f>
        <v/>
      </c>
      <c r="U57" s="23" t="str">
        <f>IF(OR('La Mia Rosa'!$O$12="",$D57&lt;&gt;""),"",IF($F57&lt;='La Mia Rosa'!$O$12*'Parametri Modello'!$B$24,"OK",IF($F57&lt;='La Mia Rosa'!$O$12*'Parametri Modello'!$B$25,"Attenzione","Rischio Alto")))</f>
        <v>OK</v>
      </c>
      <c r="V57" s="23">
        <f t="shared" si="1"/>
        <v>28</v>
      </c>
      <c r="W57" s="18">
        <f>'Info Lega'!$B$4-SUMIFS($M$2:$M$492,$D$2:$D$492,'Info Lega'!$B$28)</f>
        <v>1000</v>
      </c>
      <c r="X57" s="18">
        <f>('Info Lega'!$B$5-COUNTIFS($D$2:$D$492,'Info Lega'!$B$28,$B$2:$B$492,"P"))+('Info Lega'!$B$6-COUNTIFS($D$2:$D$492,'Info Lega'!$B$28,$B$2:$B$492,"D"))+('Info Lega'!$B$7-COUNTIFS($D$2:$D$492,'Info Lega'!$B$28,$B$2:$B$492,"C"))+('Info Lega'!$B$8-COUNTIFS($D$2:$D$492,'Info Lega'!$B$28,$B$2:$B$492,"A"))</f>
        <v>25</v>
      </c>
      <c r="Y57" s="18">
        <f>X57*'Parametri Modello'!$B$30</f>
        <v>25</v>
      </c>
      <c r="Z57" s="18">
        <f t="shared" si="2"/>
        <v>975</v>
      </c>
      <c r="AA57" s="18">
        <f t="shared" si="3"/>
        <v>16</v>
      </c>
      <c r="AB57" s="18"/>
      <c r="AC57" s="18" t="str">
        <f>IF($AB57="","",IF($AB57&gt;$AA57,"PASS",IF($AB57&lt;=$AA57*(1-'Parametri Modello'!$B$68),"BID","ATTENZIONE")))</f>
        <v/>
      </c>
      <c r="AD57" s="28" t="str">
        <f t="shared" si="4"/>
        <v/>
      </c>
      <c r="AE57" s="5" t="str">
        <f>IFERROR(INDEX('Stato Asta'!$G$9:$G$12,MATCH($B57,'Stato Asta'!$A$9:$A$12,0)),"")</f>
        <v>🔴 Non aspettare</v>
      </c>
      <c r="AF57" t="str">
        <f>IFERROR(IF($V57&lt;=INDEX('Parametri Modello'!$C$57:$C$60,MATCH($B57,'Parametri Modello'!$A$57:$A$60,0)),"Titolare","Riserva"),"")</f>
        <v>Riserva</v>
      </c>
      <c r="AG57" t="str">
        <f>IFERROR(INDEX('Pressione Competitiva'!$F$3:$F$6,MATCH($B57,'Pressione Competitiva'!$B$3:$B$6,0)),"")</f>
        <v>🔴 Molto Alta</v>
      </c>
      <c r="AH57" t="str">
        <f t="shared" si="5"/>
        <v/>
      </c>
      <c r="AI57" t="str">
        <f>IFERROR(IF($AH57="","",IF($AH57&gt;=$AA57*'Parametri Modello'!$B$68,"🟢 Opportunita'",IF($AH57&lt;=$AA57*'Parametri Modello'!$B$69,"🔴 Sovrapprezzo","🟡 Prezzo Corretto"))),"")</f>
        <v/>
      </c>
      <c r="AJ57" t="str">
        <f t="shared" si="6"/>
        <v/>
      </c>
      <c r="AK57">
        <f t="shared" si="7"/>
        <v>2</v>
      </c>
      <c r="AL57" t="str">
        <f t="shared" si="8"/>
        <v>A|Nella Media|2</v>
      </c>
    </row>
    <row r="58" spans="1:38" ht="14.25" customHeight="1" x14ac:dyDescent="0.25">
      <c r="A58" s="18">
        <v>4312</v>
      </c>
      <c r="B58" s="18" t="s">
        <v>15</v>
      </c>
      <c r="C58" s="18" t="s">
        <v>197</v>
      </c>
      <c r="E58" s="23" t="str">
        <f>IF(COUNTIF('Info Strategia'!$D$2:$D$51,$C58)&gt;0,"SI","NO")</f>
        <v>NO</v>
      </c>
      <c r="F58" s="24">
        <f>IFERROR(ROUND(($G58+($H58-$G58)*'Info Strategia'!$B$6)*(1+IF($E58="SI",'Parametri Modello'!$B$7*'Info Strategia'!$B$6,0)),0),"")</f>
        <v>84</v>
      </c>
      <c r="G58" s="24">
        <f>IFERROR(ROUND(MAX(1,(IF($V58&lt;=INDEX('Parametri Modello'!$C$57:$C$60,MATCH($B58,'Parametri Modello'!$A$57:$A$60,0)),IF(INDEX('Parametri Modello'!$E$57:$E$60,MATCH($B58,'Parametri Modello'!$A$57:$A$60,0))=0,0,($O58/INDEX('Parametri Modello'!$E$57:$E$60,MATCH($B58,'Parametri Modello'!$A$57:$A$60,0)))*(INDEX('Parametri Modello'!$D$57:$D$60,MATCH($B58,'Parametri Modello'!$A$57:$A$60,0))*(INDEX('Parametri Modello'!$B$50:$B$53,MATCH($B58,'Parametri Modello'!$A$50:$A$53,0))*'Parametri Modello'!$B$44))),IF(INDEX('Parametri Modello'!$F$57:$F$60,MATCH($B58,'Parametri Modello'!$A$57:$A$60,0))=0,0,($O58/INDEX('Parametri Modello'!$F$57:$F$60,MATCH($B58,'Parametri Modello'!$A$57:$A$60,0)))*((1-INDEX('Parametri Modello'!$D$57:$D$60,MATCH($B58,'Parametri Modello'!$A$57:$A$60,0)))*(INDEX('Parametri Modello'!$B$50:$B$53,MATCH($B58,'Parametri Modello'!$A$50:$A$53,0))*'Parametri Modello'!$B$44))))*(1+IF(IF($B58="D",'Info Lega'!$B$25,IF($B58="C",'Info Lega'!$B$26,"No"))="Si",'Parametri Modello'!$B$5,0))*(1+MAX(-0.25,MIN(0.25,IF(OR($T58="",$I58="",$I58=0,INDEX('Parametri Modello'!$B$19:$B$22,MATCH($B58,'Parametri Modello'!$A$19:$A$22,0))="",INDEX('Parametri Modello'!$B$19:$B$22,MATCH($B58,'Parametri Modello'!$A$19:$A$22,0))=0),0,(($T58-INDEX('Parametri Modello'!$B$19:$B$22,MATCH($B58,'Parametri Modello'!$A$19:$A$22,0)))/INDEX('Parametri Modello'!$B$19:$B$22,MATCH($B58,'Parametri Modello'!$A$19:$A$22,0)))*'Parametri Modello'!$B$9))))*(1+IF('Parametri Modello'!$B$27="Si",MAX(-'Parametri Modello'!$B$28,MIN('Parametri Modello'!$B$28*1.5,IF(OR(INDEX('Parametri Modello'!$F$32:$F$35,MATCH($B58,'Parametri Modello'!$A$32:$A$35,0))="",INDEX('Parametri Modello'!$F$32:$F$35,MATCH($B58,'Parametri Modello'!$A$32:$A$35,0))=0),0,(1/INDEX('Parametri Modello'!$F$32:$F$35,MATCH($B58,'Parametri Modello'!$A$32:$A$35,0))-1)*'Parametri Modello'!$B$28))),0)))*(1-INDEX('Parametri Modello'!$B$12:$B$15,MATCH($B58,'Parametri Modello'!$A$12:$A$15,0)))),0),"")</f>
        <v>68</v>
      </c>
      <c r="H58" s="24">
        <f>IFERROR(ROUND((IF($V58&lt;=INDEX('Parametri Modello'!$C$57:$C$60,MATCH($B58,'Parametri Modello'!$A$57:$A$60,0)),IF(INDEX('Parametri Modello'!$E$57:$E$60,MATCH($B58,'Parametri Modello'!$A$57:$A$60,0))=0,0,($O58/INDEX('Parametri Modello'!$E$57:$E$60,MATCH($B58,'Parametri Modello'!$A$57:$A$60,0)))*(INDEX('Parametri Modello'!$D$57:$D$60,MATCH($B58,'Parametri Modello'!$A$57:$A$60,0))*(INDEX('Parametri Modello'!$B$50:$B$53,MATCH($B58,'Parametri Modello'!$A$50:$A$53,0))*'Parametri Modello'!$B$44))),IF(INDEX('Parametri Modello'!$F$57:$F$60,MATCH($B58,'Parametri Modello'!$A$57:$A$60,0))=0,0,($O58/INDEX('Parametri Modello'!$F$57:$F$60,MATCH($B58,'Parametri Modello'!$A$57:$A$60,0)))*((1-INDEX('Parametri Modello'!$D$57:$D$60,MATCH($B58,'Parametri Modello'!$A$57:$A$60,0)))*(INDEX('Parametri Modello'!$B$50:$B$53,MATCH($B58,'Parametri Modello'!$A$50:$A$53,0))*'Parametri Modello'!$B$44))))*(1+IF(IF($B58="D",'Info Lega'!$B$25,IF($B58="C",'Info Lega'!$B$26,"No"))="Si",'Parametri Modello'!$B$5,0))*(1+MAX(-0.25,MIN(0.25,IF(OR($T58="",$I58="",$I58=0,INDEX('Parametri Modello'!$B$19:$B$22,MATCH($B58,'Parametri Modello'!$A$19:$A$22,0))="",INDEX('Parametri Modello'!$B$19:$B$22,MATCH($B58,'Parametri Modello'!$A$19:$A$22,0))=0),0,(($T58-INDEX('Parametri Modello'!$B$19:$B$22,MATCH($B58,'Parametri Modello'!$A$19:$A$22,0)))/INDEX('Parametri Modello'!$B$19:$B$22,MATCH($B58,'Parametri Modello'!$A$19:$A$22,0)))*'Parametri Modello'!$B$9))))*(1+IF('Parametri Modello'!$B$27="Si",MAX(-'Parametri Modello'!$B$28,MIN('Parametri Modello'!$B$28*1.5,IF(OR(INDEX('Parametri Modello'!$F$32:$F$35,MATCH($B58,'Parametri Modello'!$A$32:$A$35,0))="",INDEX('Parametri Modello'!$F$32:$F$35,MATCH($B58,'Parametri Modello'!$A$32:$A$35,0))=0),0,(1/INDEX('Parametri Modello'!$F$32:$F$35,MATCH($B58,'Parametri Modello'!$A$32:$A$35,0))-1)*'Parametri Modello'!$B$28))),0)))*(1+INDEX('Parametri Modello'!$B$12:$B$15,MATCH($B58,'Parametri Modello'!$A$12:$A$15,0))),0),"")</f>
        <v>91</v>
      </c>
      <c r="I58" s="23">
        <f>IFERROR(INDEX('Input Statistiche 2025_26'!$F$3:$F$665,MATCH($A58,'Input Statistiche 2025_26'!$A$3:$A$665,0)),"")</f>
        <v>37</v>
      </c>
      <c r="J58" s="23">
        <f t="shared" si="0"/>
        <v>1</v>
      </c>
      <c r="K58" s="23">
        <f>IFERROR(INDEX('Input Statistiche 2025_26'!$I$3:$I$665,MATCH($A58,'Input Statistiche 2025_26'!$A$3:$A$665,0)),"")</f>
        <v>0</v>
      </c>
      <c r="L58" s="23">
        <f>IFERROR(INDEX('Input Statistiche 2025_26'!$O$3:$O$665,MATCH($A58,'Input Statistiche 2025_26'!$A$3:$A$665,0)),"")</f>
        <v>0</v>
      </c>
      <c r="M58" s="25"/>
      <c r="N58" s="24">
        <f>IFERROR(INDEX('Input Giocatori 2026_27'!$E$3:$E$493,MATCH($A58,'Input Giocatori 2026_27'!$A$3:$A$493,0)),"")</f>
        <v>15</v>
      </c>
      <c r="O58" s="24">
        <f>IFERROR(INDEX('Input Giocatori 2026_27'!$G$3:$G$493,MATCH($A58,'Input Giocatori 2026_27'!$A$3:$A$493,0)),"")</f>
        <v>50</v>
      </c>
      <c r="P58" s="23" t="str">
        <f>IFERROR(IF($O58="","",IF((1-(COUNTIFS($B$2:$B$492,$B58,$O$2:$O$492,"&gt;"&amp;$O58)+1-1)/COUNTIF($B$2:$B$492,$B58))&gt;='Parametri Modello'!$B$63,"Top",IF((1-(COUNTIFS($B$2:$B$492,$B58,$O$2:$O$492,"&gt;"&amp;$O58)+1-1)/COUNTIF($B$2:$B$492,$B58))&gt;='Parametri Modello'!$B$64,"Buono",IF((1-(COUNTIFS($B$2:$B$492,$B58,$O$2:$O$492,"&gt;"&amp;$O58)+1-1)/COUNTIF($B$2:$B$492,$B58))&gt;='Parametri Modello'!$B$65,"Nella Media","Scommessa/Riserva")))),"")</f>
        <v>Top</v>
      </c>
      <c r="Q58" s="26">
        <f>IF(AND($D58="",$N58&gt;1),SUMPRODUCT(($D$2:$D58="")*($N$2:$N58&gt;1)),"")</f>
        <v>57</v>
      </c>
      <c r="R58" s="26" t="str">
        <f>IF($D58='Info Lega'!$B$28,COUNTIFS($D$2:$D58,'Info Lega'!$B$28),"")</f>
        <v/>
      </c>
      <c r="S58" s="27">
        <f>IFERROR(INDEX('Input Statistiche 2025_26'!$G$3:$G$665,MATCH($A58,'Input Statistiche 2025_26'!$A$3:$A$665,0)),"")</f>
        <v>6.26</v>
      </c>
      <c r="T58" s="27">
        <f>IFERROR(INDEX('Input Statistiche 2025_26'!$H$3:$H$665,MATCH($A58,'Input Statistiche 2025_26'!$A$3:$A$665,0)),"")</f>
        <v>5.42</v>
      </c>
      <c r="U58" s="23" t="str">
        <f>IF(OR('La Mia Rosa'!$O$12="",$D58&lt;&gt;""),"",IF($F58&lt;='La Mia Rosa'!$O$12*'Parametri Modello'!$B$24,"OK",IF($F58&lt;='La Mia Rosa'!$O$12*'Parametri Modello'!$B$25,"Attenzione","Rischio Alto")))</f>
        <v>Attenzione</v>
      </c>
      <c r="V58" s="23">
        <f t="shared" si="1"/>
        <v>5</v>
      </c>
      <c r="W58" s="18">
        <f>'Info Lega'!$B$4-SUMIFS($M$2:$M$492,$D$2:$D$492,'Info Lega'!$B$28)</f>
        <v>1000</v>
      </c>
      <c r="X58" s="18">
        <f>('Info Lega'!$B$5-COUNTIFS($D$2:$D$492,'Info Lega'!$B$28,$B$2:$B$492,"P"))+('Info Lega'!$B$6-COUNTIFS($D$2:$D$492,'Info Lega'!$B$28,$B$2:$B$492,"D"))+('Info Lega'!$B$7-COUNTIFS($D$2:$D$492,'Info Lega'!$B$28,$B$2:$B$492,"C"))+('Info Lega'!$B$8-COUNTIFS($D$2:$D$492,'Info Lega'!$B$28,$B$2:$B$492,"A"))</f>
        <v>25</v>
      </c>
      <c r="Y58" s="18">
        <f>X58*'Parametri Modello'!$B$30</f>
        <v>25</v>
      </c>
      <c r="Z58" s="18">
        <f t="shared" si="2"/>
        <v>975</v>
      </c>
      <c r="AA58" s="18">
        <f t="shared" si="3"/>
        <v>84</v>
      </c>
      <c r="AB58" s="18"/>
      <c r="AC58" s="18" t="str">
        <f>IF($AB58="","",IF($AB58&gt;$AA58,"PASS",IF($AB58&lt;=$AA58*(1-'Parametri Modello'!$B$68),"BID","ATTENZIONE")))</f>
        <v/>
      </c>
      <c r="AD58" s="28">
        <f t="shared" si="4"/>
        <v>71</v>
      </c>
      <c r="AE58" s="5" t="str">
        <f>IFERROR(INDEX('Stato Asta'!$G$9:$G$12,MATCH($B58,'Stato Asta'!$A$9:$A$12,0)),"")</f>
        <v>🔴 Non aspettare</v>
      </c>
      <c r="AF58" t="str">
        <f>IFERROR(IF($V58&lt;=INDEX('Parametri Modello'!$C$57:$C$60,MATCH($B58,'Parametri Modello'!$A$57:$A$60,0)),"Titolare","Riserva"),"")</f>
        <v>Titolare</v>
      </c>
      <c r="AG58" t="str">
        <f>IFERROR(INDEX('Pressione Competitiva'!$F$3:$F$6,MATCH($B58,'Pressione Competitiva'!$B$3:$B$6,0)),"")</f>
        <v>🔴 Molto Alta</v>
      </c>
      <c r="AH58" t="str">
        <f t="shared" si="5"/>
        <v/>
      </c>
      <c r="AI58" t="str">
        <f>IFERROR(IF($AH58="","",IF($AH58&gt;=$AA58*'Parametri Modello'!$B$68,"🟢 Opportunita'",IF($AH58&lt;=$AA58*'Parametri Modello'!$B$69,"🔴 Sovrapprezzo","🟡 Prezzo Corretto"))),"")</f>
        <v/>
      </c>
      <c r="AJ58" t="str">
        <f t="shared" si="6"/>
        <v/>
      </c>
      <c r="AK58">
        <f t="shared" si="7"/>
        <v>5</v>
      </c>
      <c r="AL58" t="str">
        <f t="shared" si="8"/>
        <v>P|Top|5</v>
      </c>
    </row>
    <row r="59" spans="1:38" ht="14.25" customHeight="1" x14ac:dyDescent="0.25">
      <c r="A59" s="18">
        <v>2788</v>
      </c>
      <c r="B59" s="18" t="s">
        <v>16</v>
      </c>
      <c r="C59" s="18" t="s">
        <v>198</v>
      </c>
      <c r="E59" s="23" t="str">
        <f>IF(COUNTIF('Info Strategia'!$D$2:$D$51,$C59)&gt;0,"SI","NO")</f>
        <v>NO</v>
      </c>
      <c r="F59" s="24">
        <f>IFERROR(ROUND(($G59+($H59-$G59)*'Info Strategia'!$B$6)*(1+IF($E59="SI",'Parametri Modello'!$B$7*'Info Strategia'!$B$6,0)),0),"")</f>
        <v>35</v>
      </c>
      <c r="G59" s="24">
        <f>IFERROR(ROUND(MAX(1,(IF($V59&lt;=INDEX('Parametri Modello'!$C$57:$C$60,MATCH($B59,'Parametri Modello'!$A$57:$A$60,0)),IF(INDEX('Parametri Modello'!$E$57:$E$60,MATCH($B59,'Parametri Modello'!$A$57:$A$60,0))=0,0,($O59/INDEX('Parametri Modello'!$E$57:$E$60,MATCH($B59,'Parametri Modello'!$A$57:$A$60,0)))*(INDEX('Parametri Modello'!$D$57:$D$60,MATCH($B59,'Parametri Modello'!$A$57:$A$60,0))*(INDEX('Parametri Modello'!$B$50:$B$53,MATCH($B59,'Parametri Modello'!$A$50:$A$53,0))*'Parametri Modello'!$B$44))),IF(INDEX('Parametri Modello'!$F$57:$F$60,MATCH($B59,'Parametri Modello'!$A$57:$A$60,0))=0,0,($O59/INDEX('Parametri Modello'!$F$57:$F$60,MATCH($B59,'Parametri Modello'!$A$57:$A$60,0)))*((1-INDEX('Parametri Modello'!$D$57:$D$60,MATCH($B59,'Parametri Modello'!$A$57:$A$60,0)))*(INDEX('Parametri Modello'!$B$50:$B$53,MATCH($B59,'Parametri Modello'!$A$50:$A$53,0))*'Parametri Modello'!$B$44))))*(1+IF(IF($B59="D",'Info Lega'!$B$25,IF($B59="C",'Info Lega'!$B$26,"No"))="Si",'Parametri Modello'!$B$5,0))*(1+MAX(-0.25,MIN(0.25,IF(OR($T59="",$I59="",$I59=0,INDEX('Parametri Modello'!$B$19:$B$22,MATCH($B59,'Parametri Modello'!$A$19:$A$22,0))="",INDEX('Parametri Modello'!$B$19:$B$22,MATCH($B59,'Parametri Modello'!$A$19:$A$22,0))=0),0,(($T59-INDEX('Parametri Modello'!$B$19:$B$22,MATCH($B59,'Parametri Modello'!$A$19:$A$22,0)))/INDEX('Parametri Modello'!$B$19:$B$22,MATCH($B59,'Parametri Modello'!$A$19:$A$22,0)))*'Parametri Modello'!$B$9))))*(1+IF('Parametri Modello'!$B$27="Si",MAX(-'Parametri Modello'!$B$28,MIN('Parametri Modello'!$B$28*1.5,IF(OR(INDEX('Parametri Modello'!$F$32:$F$35,MATCH($B59,'Parametri Modello'!$A$32:$A$35,0))="",INDEX('Parametri Modello'!$F$32:$F$35,MATCH($B59,'Parametri Modello'!$A$32:$A$35,0))=0),0,(1/INDEX('Parametri Modello'!$F$32:$F$35,MATCH($B59,'Parametri Modello'!$A$32:$A$35,0))-1)*'Parametri Modello'!$B$28))),0)))*(1-INDEX('Parametri Modello'!$B$12:$B$15,MATCH($B59,'Parametri Modello'!$A$12:$A$15,0)))),0),"")</f>
        <v>26</v>
      </c>
      <c r="H59" s="24">
        <f>IFERROR(ROUND((IF($V59&lt;=INDEX('Parametri Modello'!$C$57:$C$60,MATCH($B59,'Parametri Modello'!$A$57:$A$60,0)),IF(INDEX('Parametri Modello'!$E$57:$E$60,MATCH($B59,'Parametri Modello'!$A$57:$A$60,0))=0,0,($O59/INDEX('Parametri Modello'!$E$57:$E$60,MATCH($B59,'Parametri Modello'!$A$57:$A$60,0)))*(INDEX('Parametri Modello'!$D$57:$D$60,MATCH($B59,'Parametri Modello'!$A$57:$A$60,0))*(INDEX('Parametri Modello'!$B$50:$B$53,MATCH($B59,'Parametri Modello'!$A$50:$A$53,0))*'Parametri Modello'!$B$44))),IF(INDEX('Parametri Modello'!$F$57:$F$60,MATCH($B59,'Parametri Modello'!$A$57:$A$60,0))=0,0,($O59/INDEX('Parametri Modello'!$F$57:$F$60,MATCH($B59,'Parametri Modello'!$A$57:$A$60,0)))*((1-INDEX('Parametri Modello'!$D$57:$D$60,MATCH($B59,'Parametri Modello'!$A$57:$A$60,0)))*(INDEX('Parametri Modello'!$B$50:$B$53,MATCH($B59,'Parametri Modello'!$A$50:$A$53,0))*'Parametri Modello'!$B$44))))*(1+IF(IF($B59="D",'Info Lega'!$B$25,IF($B59="C",'Info Lega'!$B$26,"No"))="Si",'Parametri Modello'!$B$5,0))*(1+MAX(-0.25,MIN(0.25,IF(OR($T59="",$I59="",$I59=0,INDEX('Parametri Modello'!$B$19:$B$22,MATCH($B59,'Parametri Modello'!$A$19:$A$22,0))="",INDEX('Parametri Modello'!$B$19:$B$22,MATCH($B59,'Parametri Modello'!$A$19:$A$22,0))=0),0,(($T59-INDEX('Parametri Modello'!$B$19:$B$22,MATCH($B59,'Parametri Modello'!$A$19:$A$22,0)))/INDEX('Parametri Modello'!$B$19:$B$22,MATCH($B59,'Parametri Modello'!$A$19:$A$22,0)))*'Parametri Modello'!$B$9))))*(1+IF('Parametri Modello'!$B$27="Si",MAX(-'Parametri Modello'!$B$28,MIN('Parametri Modello'!$B$28*1.5,IF(OR(INDEX('Parametri Modello'!$F$32:$F$35,MATCH($B59,'Parametri Modello'!$A$32:$A$35,0))="",INDEX('Parametri Modello'!$F$32:$F$35,MATCH($B59,'Parametri Modello'!$A$32:$A$35,0))=0),0,(1/INDEX('Parametri Modello'!$F$32:$F$35,MATCH($B59,'Parametri Modello'!$A$32:$A$35,0))-1)*'Parametri Modello'!$B$28))),0)))*(1+INDEX('Parametri Modello'!$B$12:$B$15,MATCH($B59,'Parametri Modello'!$A$12:$A$15,0))),0),"")</f>
        <v>39</v>
      </c>
      <c r="I59" s="23">
        <f>IFERROR(INDEX('Input Statistiche 2025_26'!$F$3:$F$665,MATCH($A59,'Input Statistiche 2025_26'!$A$3:$A$665,0)),"")</f>
        <v>26</v>
      </c>
      <c r="J59" s="23">
        <f t="shared" si="0"/>
        <v>12</v>
      </c>
      <c r="K59" s="23">
        <f>IFERROR(INDEX('Input Statistiche 2025_26'!$I$3:$I$665,MATCH($A59,'Input Statistiche 2025_26'!$A$3:$A$665,0)),"")</f>
        <v>4</v>
      </c>
      <c r="L59" s="23">
        <f>IFERROR(INDEX('Input Statistiche 2025_26'!$O$3:$O$665,MATCH($A59,'Input Statistiche 2025_26'!$A$3:$A$665,0)),"")</f>
        <v>3</v>
      </c>
      <c r="M59" s="25"/>
      <c r="N59" s="24">
        <f>IFERROR(INDEX('Input Giocatori 2026_27'!$E$3:$E$493,MATCH($A59,'Input Giocatori 2026_27'!$A$3:$A$493,0)),"")</f>
        <v>15</v>
      </c>
      <c r="O59" s="24">
        <f>IFERROR(INDEX('Input Giocatori 2026_27'!$G$3:$G$493,MATCH($A59,'Input Giocatori 2026_27'!$A$3:$A$493,0)),"")</f>
        <v>50</v>
      </c>
      <c r="P59" s="23" t="str">
        <f>IFERROR(IF($O59="","",IF((1-(COUNTIFS($B$2:$B$492,$B59,$O$2:$O$492,"&gt;"&amp;$O59)+1-1)/COUNTIF($B$2:$B$492,$B59))&gt;='Parametri Modello'!$B$63,"Top",IF((1-(COUNTIFS($B$2:$B$492,$B59,$O$2:$O$492,"&gt;"&amp;$O59)+1-1)/COUNTIF($B$2:$B$492,$B59))&gt;='Parametri Modello'!$B$64,"Buono",IF((1-(COUNTIFS($B$2:$B$492,$B59,$O$2:$O$492,"&gt;"&amp;$O59)+1-1)/COUNTIF($B$2:$B$492,$B59))&gt;='Parametri Modello'!$B$65,"Nella Media","Scommessa/Riserva")))),"")</f>
        <v>Top</v>
      </c>
      <c r="Q59" s="26">
        <f>IF(AND($D59="",$N59&gt;1),SUMPRODUCT(($D$2:$D59="")*($N$2:$N59&gt;1)),"")</f>
        <v>58</v>
      </c>
      <c r="R59" s="26" t="str">
        <f>IF($D59='Info Lega'!$B$28,COUNTIFS($D$2:$D59,'Info Lega'!$B$28),"")</f>
        <v/>
      </c>
      <c r="S59" s="27">
        <f>IFERROR(INDEX('Input Statistiche 2025_26'!$G$3:$G$665,MATCH($A59,'Input Statistiche 2025_26'!$A$3:$A$665,0)),"")</f>
        <v>6.33</v>
      </c>
      <c r="T59" s="27">
        <f>IFERROR(INDEX('Input Statistiche 2025_26'!$H$3:$H$665,MATCH($A59,'Input Statistiche 2025_26'!$A$3:$A$665,0)),"")</f>
        <v>6.81</v>
      </c>
      <c r="U59" s="23" t="str">
        <f>IF(OR('La Mia Rosa'!$O$12="",$D59&lt;&gt;""),"",IF($F59&lt;='La Mia Rosa'!$O$12*'Parametri Modello'!$B$24,"OK",IF($F59&lt;='La Mia Rosa'!$O$12*'Parametri Modello'!$B$25,"Attenzione","Rischio Alto")))</f>
        <v>OK</v>
      </c>
      <c r="V59" s="23">
        <f t="shared" si="1"/>
        <v>4</v>
      </c>
      <c r="W59" s="18">
        <f>'Info Lega'!$B$4-SUMIFS($M$2:$M$492,$D$2:$D$492,'Info Lega'!$B$28)</f>
        <v>1000</v>
      </c>
      <c r="X59" s="18">
        <f>('Info Lega'!$B$5-COUNTIFS($D$2:$D$492,'Info Lega'!$B$28,$B$2:$B$492,"P"))+('Info Lega'!$B$6-COUNTIFS($D$2:$D$492,'Info Lega'!$B$28,$B$2:$B$492,"D"))+('Info Lega'!$B$7-COUNTIFS($D$2:$D$492,'Info Lega'!$B$28,$B$2:$B$492,"C"))+('Info Lega'!$B$8-COUNTIFS($D$2:$D$492,'Info Lega'!$B$28,$B$2:$B$492,"A"))</f>
        <v>25</v>
      </c>
      <c r="Y59" s="18">
        <f>X59*'Parametri Modello'!$B$30</f>
        <v>25</v>
      </c>
      <c r="Z59" s="18">
        <f t="shared" si="2"/>
        <v>975</v>
      </c>
      <c r="AA59" s="18">
        <f t="shared" si="3"/>
        <v>35</v>
      </c>
      <c r="AB59" s="18"/>
      <c r="AC59" s="18" t="str">
        <f>IF($AB59="","",IF($AB59&gt;$AA59,"PASS",IF($AB59&lt;=$AA59*(1-'Parametri Modello'!$B$68),"BID","ATTENZIONE")))</f>
        <v/>
      </c>
      <c r="AD59" s="28">
        <f t="shared" si="4"/>
        <v>58</v>
      </c>
      <c r="AE59" s="5" t="str">
        <f>IFERROR(INDEX('Stato Asta'!$G$9:$G$12,MATCH($B59,'Stato Asta'!$A$9:$A$12,0)),"")</f>
        <v>🔴 Non aspettare</v>
      </c>
      <c r="AF59" t="str">
        <f>IFERROR(IF($V59&lt;=INDEX('Parametri Modello'!$C$57:$C$60,MATCH($B59,'Parametri Modello'!$A$57:$A$60,0)),"Titolare","Riserva"),"")</f>
        <v>Titolare</v>
      </c>
      <c r="AG59" t="str">
        <f>IFERROR(INDEX('Pressione Competitiva'!$F$3:$F$6,MATCH($B59,'Pressione Competitiva'!$B$3:$B$6,0)),"")</f>
        <v>🔴 Molto Alta</v>
      </c>
      <c r="AH59" t="str">
        <f t="shared" si="5"/>
        <v/>
      </c>
      <c r="AI59" t="str">
        <f>IFERROR(IF($AH59="","",IF($AH59&gt;=$AA59*'Parametri Modello'!$B$68,"🟢 Opportunita'",IF($AH59&lt;=$AA59*'Parametri Modello'!$B$69,"🔴 Sovrapprezzo","🟡 Prezzo Corretto"))),"")</f>
        <v/>
      </c>
      <c r="AJ59" t="str">
        <f t="shared" si="6"/>
        <v/>
      </c>
      <c r="AK59">
        <f t="shared" si="7"/>
        <v>4</v>
      </c>
      <c r="AL59" t="str">
        <f t="shared" si="8"/>
        <v>D|Top|4</v>
      </c>
    </row>
    <row r="60" spans="1:38" ht="14.25" customHeight="1" x14ac:dyDescent="0.25">
      <c r="A60" s="18">
        <v>2606</v>
      </c>
      <c r="B60" s="18" t="s">
        <v>17</v>
      </c>
      <c r="C60" s="18" t="s">
        <v>199</v>
      </c>
      <c r="E60" s="23" t="str">
        <f>IF(COUNTIF('Info Strategia'!$D$2:$D$51,$C60)&gt;0,"SI","NO")</f>
        <v>NO</v>
      </c>
      <c r="F60" s="24">
        <f>IFERROR(ROUND(($G60+($H60-$G60)*'Info Strategia'!$B$6)*(1+IF($E60="SI",'Parametri Modello'!$B$7*'Info Strategia'!$B$6,0)),0),"")</f>
        <v>34</v>
      </c>
      <c r="G60" s="24">
        <f>IFERROR(ROUND(MAX(1,(IF($V60&lt;=INDEX('Parametri Modello'!$C$57:$C$60,MATCH($B60,'Parametri Modello'!$A$57:$A$60,0)),IF(INDEX('Parametri Modello'!$E$57:$E$60,MATCH($B60,'Parametri Modello'!$A$57:$A$60,0))=0,0,($O60/INDEX('Parametri Modello'!$E$57:$E$60,MATCH($B60,'Parametri Modello'!$A$57:$A$60,0)))*(INDEX('Parametri Modello'!$D$57:$D$60,MATCH($B60,'Parametri Modello'!$A$57:$A$60,0))*(INDEX('Parametri Modello'!$B$50:$B$53,MATCH($B60,'Parametri Modello'!$A$50:$A$53,0))*'Parametri Modello'!$B$44))),IF(INDEX('Parametri Modello'!$F$57:$F$60,MATCH($B60,'Parametri Modello'!$A$57:$A$60,0))=0,0,($O60/INDEX('Parametri Modello'!$F$57:$F$60,MATCH($B60,'Parametri Modello'!$A$57:$A$60,0)))*((1-INDEX('Parametri Modello'!$D$57:$D$60,MATCH($B60,'Parametri Modello'!$A$57:$A$60,0)))*(INDEX('Parametri Modello'!$B$50:$B$53,MATCH($B60,'Parametri Modello'!$A$50:$A$53,0))*'Parametri Modello'!$B$44))))*(1+IF(IF($B60="D",'Info Lega'!$B$25,IF($B60="C",'Info Lega'!$B$26,"No"))="Si",'Parametri Modello'!$B$5,0))*(1+MAX(-0.25,MIN(0.25,IF(OR($T60="",$I60="",$I60=0,INDEX('Parametri Modello'!$B$19:$B$22,MATCH($B60,'Parametri Modello'!$A$19:$A$22,0))="",INDEX('Parametri Modello'!$B$19:$B$22,MATCH($B60,'Parametri Modello'!$A$19:$A$22,0))=0),0,(($T60-INDEX('Parametri Modello'!$B$19:$B$22,MATCH($B60,'Parametri Modello'!$A$19:$A$22,0)))/INDEX('Parametri Modello'!$B$19:$B$22,MATCH($B60,'Parametri Modello'!$A$19:$A$22,0)))*'Parametri Modello'!$B$9))))*(1+IF('Parametri Modello'!$B$27="Si",MAX(-'Parametri Modello'!$B$28,MIN('Parametri Modello'!$B$28*1.5,IF(OR(INDEX('Parametri Modello'!$F$32:$F$35,MATCH($B60,'Parametri Modello'!$A$32:$A$35,0))="",INDEX('Parametri Modello'!$F$32:$F$35,MATCH($B60,'Parametri Modello'!$A$32:$A$35,0))=0),0,(1/INDEX('Parametri Modello'!$F$32:$F$35,MATCH($B60,'Parametri Modello'!$A$32:$A$35,0))-1)*'Parametri Modello'!$B$28))),0)))*(1-INDEX('Parametri Modello'!$B$12:$B$15,MATCH($B60,'Parametri Modello'!$A$12:$A$15,0)))),0),"")</f>
        <v>23</v>
      </c>
      <c r="H60" s="24">
        <f>IFERROR(ROUND((IF($V60&lt;=INDEX('Parametri Modello'!$C$57:$C$60,MATCH($B60,'Parametri Modello'!$A$57:$A$60,0)),IF(INDEX('Parametri Modello'!$E$57:$E$60,MATCH($B60,'Parametri Modello'!$A$57:$A$60,0))=0,0,($O60/INDEX('Parametri Modello'!$E$57:$E$60,MATCH($B60,'Parametri Modello'!$A$57:$A$60,0)))*(INDEX('Parametri Modello'!$D$57:$D$60,MATCH($B60,'Parametri Modello'!$A$57:$A$60,0))*(INDEX('Parametri Modello'!$B$50:$B$53,MATCH($B60,'Parametri Modello'!$A$50:$A$53,0))*'Parametri Modello'!$B$44))),IF(INDEX('Parametri Modello'!$F$57:$F$60,MATCH($B60,'Parametri Modello'!$A$57:$A$60,0))=0,0,($O60/INDEX('Parametri Modello'!$F$57:$F$60,MATCH($B60,'Parametri Modello'!$A$57:$A$60,0)))*((1-INDEX('Parametri Modello'!$D$57:$D$60,MATCH($B60,'Parametri Modello'!$A$57:$A$60,0)))*(INDEX('Parametri Modello'!$B$50:$B$53,MATCH($B60,'Parametri Modello'!$A$50:$A$53,0))*'Parametri Modello'!$B$44))))*(1+IF(IF($B60="D",'Info Lega'!$B$25,IF($B60="C",'Info Lega'!$B$26,"No"))="Si",'Parametri Modello'!$B$5,0))*(1+MAX(-0.25,MIN(0.25,IF(OR($T60="",$I60="",$I60=0,INDEX('Parametri Modello'!$B$19:$B$22,MATCH($B60,'Parametri Modello'!$A$19:$A$22,0))="",INDEX('Parametri Modello'!$B$19:$B$22,MATCH($B60,'Parametri Modello'!$A$19:$A$22,0))=0),0,(($T60-INDEX('Parametri Modello'!$B$19:$B$22,MATCH($B60,'Parametri Modello'!$A$19:$A$22,0)))/INDEX('Parametri Modello'!$B$19:$B$22,MATCH($B60,'Parametri Modello'!$A$19:$A$22,0)))*'Parametri Modello'!$B$9))))*(1+IF('Parametri Modello'!$B$27="Si",MAX(-'Parametri Modello'!$B$28,MIN('Parametri Modello'!$B$28*1.5,IF(OR(INDEX('Parametri Modello'!$F$32:$F$35,MATCH($B60,'Parametri Modello'!$A$32:$A$35,0))="",INDEX('Parametri Modello'!$F$32:$F$35,MATCH($B60,'Parametri Modello'!$A$32:$A$35,0))=0),0,(1/INDEX('Parametri Modello'!$F$32:$F$35,MATCH($B60,'Parametri Modello'!$A$32:$A$35,0))-1)*'Parametri Modello'!$B$28))),0)))*(1+INDEX('Parametri Modello'!$B$12:$B$15,MATCH($B60,'Parametri Modello'!$A$12:$A$15,0))),0),"")</f>
        <v>38</v>
      </c>
      <c r="I60" s="23">
        <f>IFERROR(INDEX('Input Statistiche 2025_26'!$F$3:$F$665,MATCH($A60,'Input Statistiche 2025_26'!$A$3:$A$665,0)),"")</f>
        <v>33</v>
      </c>
      <c r="J60" s="23">
        <f t="shared" si="0"/>
        <v>5</v>
      </c>
      <c r="K60" s="23">
        <f>IFERROR(INDEX('Input Statistiche 2025_26'!$I$3:$I$665,MATCH($A60,'Input Statistiche 2025_26'!$A$3:$A$665,0)),"")</f>
        <v>2</v>
      </c>
      <c r="L60" s="23">
        <f>IFERROR(INDEX('Input Statistiche 2025_26'!$O$3:$O$665,MATCH($A60,'Input Statistiche 2025_26'!$A$3:$A$665,0)),"")</f>
        <v>3</v>
      </c>
      <c r="M60" s="25"/>
      <c r="N60" s="24">
        <f>IFERROR(INDEX('Input Giocatori 2026_27'!$E$3:$E$493,MATCH($A60,'Input Giocatori 2026_27'!$A$3:$A$493,0)),"")</f>
        <v>12</v>
      </c>
      <c r="O60" s="24">
        <f>IFERROR(INDEX('Input Giocatori 2026_27'!$G$3:$G$493,MATCH($A60,'Input Giocatori 2026_27'!$A$3:$A$493,0)),"")</f>
        <v>50</v>
      </c>
      <c r="P60" s="23" t="str">
        <f>IFERROR(IF($O60="","",IF((1-(COUNTIFS($B$2:$B$492,$B60,$O$2:$O$492,"&gt;"&amp;$O60)+1-1)/COUNTIF($B$2:$B$492,$B60))&gt;='Parametri Modello'!$B$63,"Top",IF((1-(COUNTIFS($B$2:$B$492,$B60,$O$2:$O$492,"&gt;"&amp;$O60)+1-1)/COUNTIF($B$2:$B$492,$B60))&gt;='Parametri Modello'!$B$64,"Buono",IF((1-(COUNTIFS($B$2:$B$492,$B60,$O$2:$O$492,"&gt;"&amp;$O60)+1-1)/COUNTIF($B$2:$B$492,$B60))&gt;='Parametri Modello'!$B$65,"Nella Media","Scommessa/Riserva")))),"")</f>
        <v>Buono</v>
      </c>
      <c r="Q60" s="26">
        <f>IF(AND($D60="",$N60&gt;1),SUMPRODUCT(($D$2:$D60="")*($N$2:$N60&gt;1)),"")</f>
        <v>59</v>
      </c>
      <c r="R60" s="26" t="str">
        <f>IF($D60='Info Lega'!$B$28,COUNTIFS($D$2:$D60,'Info Lega'!$B$28),"")</f>
        <v/>
      </c>
      <c r="S60" s="27">
        <f>IFERROR(INDEX('Input Statistiche 2025_26'!$G$3:$G$665,MATCH($A60,'Input Statistiche 2025_26'!$A$3:$A$665,0)),"")</f>
        <v>6.45</v>
      </c>
      <c r="T60" s="27">
        <f>IFERROR(INDEX('Input Statistiche 2025_26'!$H$3:$H$665,MATCH($A60,'Input Statistiche 2025_26'!$A$3:$A$665,0)),"")</f>
        <v>6.67</v>
      </c>
      <c r="U60" s="23" t="str">
        <f>IF(OR('La Mia Rosa'!$O$12="",$D60&lt;&gt;""),"",IF($F60&lt;='La Mia Rosa'!$O$12*'Parametri Modello'!$B$24,"OK",IF($F60&lt;='La Mia Rosa'!$O$12*'Parametri Modello'!$B$25,"Attenzione","Rischio Alto")))</f>
        <v>OK</v>
      </c>
      <c r="V60" s="23">
        <f t="shared" si="1"/>
        <v>21</v>
      </c>
      <c r="W60" s="18">
        <f>'Info Lega'!$B$4-SUMIFS($M$2:$M$492,$D$2:$D$492,'Info Lega'!$B$28)</f>
        <v>1000</v>
      </c>
      <c r="X60" s="18">
        <f>('Info Lega'!$B$5-COUNTIFS($D$2:$D$492,'Info Lega'!$B$28,$B$2:$B$492,"P"))+('Info Lega'!$B$6-COUNTIFS($D$2:$D$492,'Info Lega'!$B$28,$B$2:$B$492,"D"))+('Info Lega'!$B$7-COUNTIFS($D$2:$D$492,'Info Lega'!$B$28,$B$2:$B$492,"C"))+('Info Lega'!$B$8-COUNTIFS($D$2:$D$492,'Info Lega'!$B$28,$B$2:$B$492,"A"))</f>
        <v>25</v>
      </c>
      <c r="Y60" s="18">
        <f>X60*'Parametri Modello'!$B$30</f>
        <v>25</v>
      </c>
      <c r="Z60" s="18">
        <f t="shared" si="2"/>
        <v>975</v>
      </c>
      <c r="AA60" s="18">
        <f t="shared" si="3"/>
        <v>34</v>
      </c>
      <c r="AB60" s="18"/>
      <c r="AC60" s="18" t="str">
        <f>IF($AB60="","",IF($AB60&gt;$AA60,"PASS",IF($AB60&lt;=$AA60*(1-'Parametri Modello'!$B$68),"BID","ATTENZIONE")))</f>
        <v/>
      </c>
      <c r="AD60" s="28">
        <f t="shared" si="4"/>
        <v>67</v>
      </c>
      <c r="AE60" s="5" t="str">
        <f>IFERROR(INDEX('Stato Asta'!$G$9:$G$12,MATCH($B60,'Stato Asta'!$A$9:$A$12,0)),"")</f>
        <v>🔴 Non aspettare</v>
      </c>
      <c r="AF60" t="str">
        <f>IFERROR(IF($V60&lt;=INDEX('Parametri Modello'!$C$57:$C$60,MATCH($B60,'Parametri Modello'!$A$57:$A$60,0)),"Titolare","Riserva"),"")</f>
        <v>Titolare</v>
      </c>
      <c r="AG60" t="str">
        <f>IFERROR(INDEX('Pressione Competitiva'!$F$3:$F$6,MATCH($B60,'Pressione Competitiva'!$B$3:$B$6,0)),"")</f>
        <v>🔴 Molto Alta</v>
      </c>
      <c r="AH60" t="str">
        <f t="shared" si="5"/>
        <v/>
      </c>
      <c r="AI60" t="str">
        <f>IFERROR(IF($AH60="","",IF($AH60&gt;=$AA60*'Parametri Modello'!$B$68,"🟢 Opportunita'",IF($AH60&lt;=$AA60*'Parametri Modello'!$B$69,"🔴 Sovrapprezzo","🟡 Prezzo Corretto"))),"")</f>
        <v/>
      </c>
      <c r="AJ60" t="str">
        <f t="shared" si="6"/>
        <v/>
      </c>
      <c r="AK60">
        <f t="shared" si="7"/>
        <v>3</v>
      </c>
      <c r="AL60" t="str">
        <f t="shared" si="8"/>
        <v>C|Buono|3</v>
      </c>
    </row>
    <row r="61" spans="1:38" ht="14.25" customHeight="1" x14ac:dyDescent="0.25">
      <c r="A61" s="18">
        <v>4463</v>
      </c>
      <c r="B61" s="18" t="s">
        <v>18</v>
      </c>
      <c r="C61" s="18" t="s">
        <v>200</v>
      </c>
      <c r="E61" s="23" t="str">
        <f>IF(COUNTIF('Info Strategia'!$D$2:$D$51,$C61)&gt;0,"SI","NO")</f>
        <v>NO</v>
      </c>
      <c r="F61" s="24">
        <f>IFERROR(ROUND(($G61+($H61-$G61)*'Info Strategia'!$B$6)*(1+IF($E61="SI",'Parametri Modello'!$B$7*'Info Strategia'!$B$6,0)),0),"")</f>
        <v>16</v>
      </c>
      <c r="G61" s="24">
        <f>IFERROR(ROUND(MAX(1,(IF($V61&lt;=INDEX('Parametri Modello'!$C$57:$C$60,MATCH($B61,'Parametri Modello'!$A$57:$A$60,0)),IF(INDEX('Parametri Modello'!$E$57:$E$60,MATCH($B61,'Parametri Modello'!$A$57:$A$60,0))=0,0,($O61/INDEX('Parametri Modello'!$E$57:$E$60,MATCH($B61,'Parametri Modello'!$A$57:$A$60,0)))*(INDEX('Parametri Modello'!$D$57:$D$60,MATCH($B61,'Parametri Modello'!$A$57:$A$60,0))*(INDEX('Parametri Modello'!$B$50:$B$53,MATCH($B61,'Parametri Modello'!$A$50:$A$53,0))*'Parametri Modello'!$B$44))),IF(INDEX('Parametri Modello'!$F$57:$F$60,MATCH($B61,'Parametri Modello'!$A$57:$A$60,0))=0,0,($O61/INDEX('Parametri Modello'!$F$57:$F$60,MATCH($B61,'Parametri Modello'!$A$57:$A$60,0)))*((1-INDEX('Parametri Modello'!$D$57:$D$60,MATCH($B61,'Parametri Modello'!$A$57:$A$60,0)))*(INDEX('Parametri Modello'!$B$50:$B$53,MATCH($B61,'Parametri Modello'!$A$50:$A$53,0))*'Parametri Modello'!$B$44))))*(1+IF(IF($B61="D",'Info Lega'!$B$25,IF($B61="C",'Info Lega'!$B$26,"No"))="Si",'Parametri Modello'!$B$5,0))*(1+MAX(-0.25,MIN(0.25,IF(OR($T61="",$I61="",$I61=0,INDEX('Parametri Modello'!$B$19:$B$22,MATCH($B61,'Parametri Modello'!$A$19:$A$22,0))="",INDEX('Parametri Modello'!$B$19:$B$22,MATCH($B61,'Parametri Modello'!$A$19:$A$22,0))=0),0,(($T61-INDEX('Parametri Modello'!$B$19:$B$22,MATCH($B61,'Parametri Modello'!$A$19:$A$22,0)))/INDEX('Parametri Modello'!$B$19:$B$22,MATCH($B61,'Parametri Modello'!$A$19:$A$22,0)))*'Parametri Modello'!$B$9))))*(1+IF('Parametri Modello'!$B$27="Si",MAX(-'Parametri Modello'!$B$28,MIN('Parametri Modello'!$B$28*1.5,IF(OR(INDEX('Parametri Modello'!$F$32:$F$35,MATCH($B61,'Parametri Modello'!$A$32:$A$35,0))="",INDEX('Parametri Modello'!$F$32:$F$35,MATCH($B61,'Parametri Modello'!$A$32:$A$35,0))=0),0,(1/INDEX('Parametri Modello'!$F$32:$F$35,MATCH($B61,'Parametri Modello'!$A$32:$A$35,0))-1)*'Parametri Modello'!$B$28))),0)))*(1-INDEX('Parametri Modello'!$B$12:$B$15,MATCH($B61,'Parametri Modello'!$A$12:$A$15,0)))),0),"")</f>
        <v>10</v>
      </c>
      <c r="H61" s="24">
        <f>IFERROR(ROUND((IF($V61&lt;=INDEX('Parametri Modello'!$C$57:$C$60,MATCH($B61,'Parametri Modello'!$A$57:$A$60,0)),IF(INDEX('Parametri Modello'!$E$57:$E$60,MATCH($B61,'Parametri Modello'!$A$57:$A$60,0))=0,0,($O61/INDEX('Parametri Modello'!$E$57:$E$60,MATCH($B61,'Parametri Modello'!$A$57:$A$60,0)))*(INDEX('Parametri Modello'!$D$57:$D$60,MATCH($B61,'Parametri Modello'!$A$57:$A$60,0))*(INDEX('Parametri Modello'!$B$50:$B$53,MATCH($B61,'Parametri Modello'!$A$50:$A$53,0))*'Parametri Modello'!$B$44))),IF(INDEX('Parametri Modello'!$F$57:$F$60,MATCH($B61,'Parametri Modello'!$A$57:$A$60,0))=0,0,($O61/INDEX('Parametri Modello'!$F$57:$F$60,MATCH($B61,'Parametri Modello'!$A$57:$A$60,0)))*((1-INDEX('Parametri Modello'!$D$57:$D$60,MATCH($B61,'Parametri Modello'!$A$57:$A$60,0)))*(INDEX('Parametri Modello'!$B$50:$B$53,MATCH($B61,'Parametri Modello'!$A$50:$A$53,0))*'Parametri Modello'!$B$44))))*(1+IF(IF($B61="D",'Info Lega'!$B$25,IF($B61="C",'Info Lega'!$B$26,"No"))="Si",'Parametri Modello'!$B$5,0))*(1+MAX(-0.25,MIN(0.25,IF(OR($T61="",$I61="",$I61=0,INDEX('Parametri Modello'!$B$19:$B$22,MATCH($B61,'Parametri Modello'!$A$19:$A$22,0))="",INDEX('Parametri Modello'!$B$19:$B$22,MATCH($B61,'Parametri Modello'!$A$19:$A$22,0))=0),0,(($T61-INDEX('Parametri Modello'!$B$19:$B$22,MATCH($B61,'Parametri Modello'!$A$19:$A$22,0)))/INDEX('Parametri Modello'!$B$19:$B$22,MATCH($B61,'Parametri Modello'!$A$19:$A$22,0)))*'Parametri Modello'!$B$9))))*(1+IF('Parametri Modello'!$B$27="Si",MAX(-'Parametri Modello'!$B$28,MIN('Parametri Modello'!$B$28*1.5,IF(OR(INDEX('Parametri Modello'!$F$32:$F$35,MATCH($B61,'Parametri Modello'!$A$32:$A$35,0))="",INDEX('Parametri Modello'!$F$32:$F$35,MATCH($B61,'Parametri Modello'!$A$32:$A$35,0))=0),0,(1/INDEX('Parametri Modello'!$F$32:$F$35,MATCH($B61,'Parametri Modello'!$A$32:$A$35,0))-1)*'Parametri Modello'!$B$28))),0)))*(1+INDEX('Parametri Modello'!$B$12:$B$15,MATCH($B61,'Parametri Modello'!$A$12:$A$15,0))),0),"")</f>
        <v>19</v>
      </c>
      <c r="I61" s="23">
        <f>IFERROR(INDEX('Input Statistiche 2025_26'!$F$3:$F$665,MATCH($A61,'Input Statistiche 2025_26'!$A$3:$A$665,0)),"")</f>
        <v>36</v>
      </c>
      <c r="J61" s="23">
        <f t="shared" si="0"/>
        <v>2</v>
      </c>
      <c r="K61" s="23">
        <f>IFERROR(INDEX('Input Statistiche 2025_26'!$I$3:$I$665,MATCH($A61,'Input Statistiche 2025_26'!$A$3:$A$665,0)),"")</f>
        <v>7</v>
      </c>
      <c r="L61" s="23">
        <f>IFERROR(INDEX('Input Statistiche 2025_26'!$O$3:$O$665,MATCH($A61,'Input Statistiche 2025_26'!$A$3:$A$665,0)),"")</f>
        <v>4</v>
      </c>
      <c r="M61" s="25"/>
      <c r="N61" s="24">
        <f>IFERROR(INDEX('Input Giocatori 2026_27'!$E$3:$E$493,MATCH($A61,'Input Giocatori 2026_27'!$A$3:$A$493,0)),"")</f>
        <v>13</v>
      </c>
      <c r="O61" s="24">
        <f>IFERROR(INDEX('Input Giocatori 2026_27'!$G$3:$G$493,MATCH($A61,'Input Giocatori 2026_27'!$A$3:$A$493,0)),"")</f>
        <v>50</v>
      </c>
      <c r="P61" s="23" t="str">
        <f>IFERROR(IF($O61="","",IF((1-(COUNTIFS($B$2:$B$492,$B61,$O$2:$O$492,"&gt;"&amp;$O61)+1-1)/COUNTIF($B$2:$B$492,$B61))&gt;='Parametri Modello'!$B$63,"Top",IF((1-(COUNTIFS($B$2:$B$492,$B61,$O$2:$O$492,"&gt;"&amp;$O61)+1-1)/COUNTIF($B$2:$B$492,$B61))&gt;='Parametri Modello'!$B$64,"Buono",IF((1-(COUNTIFS($B$2:$B$492,$B61,$O$2:$O$492,"&gt;"&amp;$O61)+1-1)/COUNTIF($B$2:$B$492,$B61))&gt;='Parametri Modello'!$B$65,"Nella Media","Scommessa/Riserva")))),"")</f>
        <v>Nella Media</v>
      </c>
      <c r="Q61" s="26">
        <f>IF(AND($D61="",$N61&gt;1),SUMPRODUCT(($D$2:$D61="")*($N$2:$N61&gt;1)),"")</f>
        <v>60</v>
      </c>
      <c r="R61" s="26" t="str">
        <f>IF($D61='Info Lega'!$B$28,COUNTIFS($D$2:$D61,'Info Lega'!$B$28),"")</f>
        <v/>
      </c>
      <c r="S61" s="27">
        <f>IFERROR(INDEX('Input Statistiche 2025_26'!$G$3:$G$665,MATCH($A61,'Input Statistiche 2025_26'!$A$3:$A$665,0)),"")</f>
        <v>6.26</v>
      </c>
      <c r="T61" s="27">
        <f>IFERROR(INDEX('Input Statistiche 2025_26'!$H$3:$H$665,MATCH($A61,'Input Statistiche 2025_26'!$A$3:$A$665,0)),"")</f>
        <v>6.88</v>
      </c>
      <c r="U61" s="23" t="str">
        <f>IF(OR('La Mia Rosa'!$O$12="",$D61&lt;&gt;""),"",IF($F61&lt;='La Mia Rosa'!$O$12*'Parametri Modello'!$B$24,"OK",IF($F61&lt;='La Mia Rosa'!$O$12*'Parametri Modello'!$B$25,"Attenzione","Rischio Alto")))</f>
        <v>OK</v>
      </c>
      <c r="V61" s="23">
        <f t="shared" si="1"/>
        <v>30</v>
      </c>
      <c r="W61" s="18">
        <f>'Info Lega'!$B$4-SUMIFS($M$2:$M$492,$D$2:$D$492,'Info Lega'!$B$28)</f>
        <v>1000</v>
      </c>
      <c r="X61" s="18">
        <f>('Info Lega'!$B$5-COUNTIFS($D$2:$D$492,'Info Lega'!$B$28,$B$2:$B$492,"P"))+('Info Lega'!$B$6-COUNTIFS($D$2:$D$492,'Info Lega'!$B$28,$B$2:$B$492,"D"))+('Info Lega'!$B$7-COUNTIFS($D$2:$D$492,'Info Lega'!$B$28,$B$2:$B$492,"C"))+('Info Lega'!$B$8-COUNTIFS($D$2:$D$492,'Info Lega'!$B$28,$B$2:$B$492,"A"))</f>
        <v>25</v>
      </c>
      <c r="Y61" s="18">
        <f>X61*'Parametri Modello'!$B$30</f>
        <v>25</v>
      </c>
      <c r="Z61" s="18">
        <f t="shared" si="2"/>
        <v>975</v>
      </c>
      <c r="AA61" s="18">
        <f t="shared" si="3"/>
        <v>16</v>
      </c>
      <c r="AB61" s="18"/>
      <c r="AC61" s="18" t="str">
        <f>IF($AB61="","",IF($AB61&gt;$AA61,"PASS",IF($AB61&lt;=$AA61*(1-'Parametri Modello'!$B$68),"BID","ATTENZIONE")))</f>
        <v/>
      </c>
      <c r="AD61" s="28">
        <f t="shared" si="4"/>
        <v>70</v>
      </c>
      <c r="AE61" s="5" t="str">
        <f>IFERROR(INDEX('Stato Asta'!$G$9:$G$12,MATCH($B61,'Stato Asta'!$A$9:$A$12,0)),"")</f>
        <v>🔴 Non aspettare</v>
      </c>
      <c r="AF61" t="str">
        <f>IFERROR(IF($V61&lt;=INDEX('Parametri Modello'!$C$57:$C$60,MATCH($B61,'Parametri Modello'!$A$57:$A$60,0)),"Titolare","Riserva"),"")</f>
        <v>Riserva</v>
      </c>
      <c r="AG61" t="str">
        <f>IFERROR(INDEX('Pressione Competitiva'!$F$3:$F$6,MATCH($B61,'Pressione Competitiva'!$B$3:$B$6,0)),"")</f>
        <v>🔴 Molto Alta</v>
      </c>
      <c r="AH61" t="str">
        <f t="shared" si="5"/>
        <v/>
      </c>
      <c r="AI61" t="str">
        <f>IFERROR(IF($AH61="","",IF($AH61&gt;=$AA61*'Parametri Modello'!$B$68,"🟢 Opportunita'",IF($AH61&lt;=$AA61*'Parametri Modello'!$B$69,"🔴 Sovrapprezzo","🟡 Prezzo Corretto"))),"")</f>
        <v/>
      </c>
      <c r="AJ61" t="str">
        <f t="shared" si="6"/>
        <v/>
      </c>
      <c r="AK61">
        <f t="shared" si="7"/>
        <v>4</v>
      </c>
      <c r="AL61" t="str">
        <f t="shared" si="8"/>
        <v>A|Nella Media|4</v>
      </c>
    </row>
    <row r="62" spans="1:38" ht="14.25" customHeight="1" x14ac:dyDescent="0.25">
      <c r="A62" s="18">
        <v>6967</v>
      </c>
      <c r="B62" s="18" t="s">
        <v>18</v>
      </c>
      <c r="C62" s="18" t="s">
        <v>201</v>
      </c>
      <c r="E62" s="23" t="str">
        <f>IF(COUNTIF('Info Strategia'!$D$2:$D$51,$C62)&gt;0,"SI","NO")</f>
        <v>NO</v>
      </c>
      <c r="F62" s="24">
        <f>IFERROR(ROUND(($G62+($H62-$G62)*'Info Strategia'!$B$6)*(1+IF($E62="SI",'Parametri Modello'!$B$7*'Info Strategia'!$B$6,0)),0),"")</f>
        <v>16</v>
      </c>
      <c r="G62" s="24">
        <f>IFERROR(ROUND(MAX(1,(IF($V62&lt;=INDEX('Parametri Modello'!$C$57:$C$60,MATCH($B62,'Parametri Modello'!$A$57:$A$60,0)),IF(INDEX('Parametri Modello'!$E$57:$E$60,MATCH($B62,'Parametri Modello'!$A$57:$A$60,0))=0,0,($O62/INDEX('Parametri Modello'!$E$57:$E$60,MATCH($B62,'Parametri Modello'!$A$57:$A$60,0)))*(INDEX('Parametri Modello'!$D$57:$D$60,MATCH($B62,'Parametri Modello'!$A$57:$A$60,0))*(INDEX('Parametri Modello'!$B$50:$B$53,MATCH($B62,'Parametri Modello'!$A$50:$A$53,0))*'Parametri Modello'!$B$44))),IF(INDEX('Parametri Modello'!$F$57:$F$60,MATCH($B62,'Parametri Modello'!$A$57:$A$60,0))=0,0,($O62/INDEX('Parametri Modello'!$F$57:$F$60,MATCH($B62,'Parametri Modello'!$A$57:$A$60,0)))*((1-INDEX('Parametri Modello'!$D$57:$D$60,MATCH($B62,'Parametri Modello'!$A$57:$A$60,0)))*(INDEX('Parametri Modello'!$B$50:$B$53,MATCH($B62,'Parametri Modello'!$A$50:$A$53,0))*'Parametri Modello'!$B$44))))*(1+IF(IF($B62="D",'Info Lega'!$B$25,IF($B62="C",'Info Lega'!$B$26,"No"))="Si",'Parametri Modello'!$B$5,0))*(1+MAX(-0.25,MIN(0.25,IF(OR($T62="",$I62="",$I62=0,INDEX('Parametri Modello'!$B$19:$B$22,MATCH($B62,'Parametri Modello'!$A$19:$A$22,0))="",INDEX('Parametri Modello'!$B$19:$B$22,MATCH($B62,'Parametri Modello'!$A$19:$A$22,0))=0),0,(($T62-INDEX('Parametri Modello'!$B$19:$B$22,MATCH($B62,'Parametri Modello'!$A$19:$A$22,0)))/INDEX('Parametri Modello'!$B$19:$B$22,MATCH($B62,'Parametri Modello'!$A$19:$A$22,0)))*'Parametri Modello'!$B$9))))*(1+IF('Parametri Modello'!$B$27="Si",MAX(-'Parametri Modello'!$B$28,MIN('Parametri Modello'!$B$28*1.5,IF(OR(INDEX('Parametri Modello'!$F$32:$F$35,MATCH($B62,'Parametri Modello'!$A$32:$A$35,0))="",INDEX('Parametri Modello'!$F$32:$F$35,MATCH($B62,'Parametri Modello'!$A$32:$A$35,0))=0),0,(1/INDEX('Parametri Modello'!$F$32:$F$35,MATCH($B62,'Parametri Modello'!$A$32:$A$35,0))-1)*'Parametri Modello'!$B$28))),0)))*(1-INDEX('Parametri Modello'!$B$12:$B$15,MATCH($B62,'Parametri Modello'!$A$12:$A$15,0)))),0),"")</f>
        <v>10</v>
      </c>
      <c r="H62" s="24">
        <f>IFERROR(ROUND((IF($V62&lt;=INDEX('Parametri Modello'!$C$57:$C$60,MATCH($B62,'Parametri Modello'!$A$57:$A$60,0)),IF(INDEX('Parametri Modello'!$E$57:$E$60,MATCH($B62,'Parametri Modello'!$A$57:$A$60,0))=0,0,($O62/INDEX('Parametri Modello'!$E$57:$E$60,MATCH($B62,'Parametri Modello'!$A$57:$A$60,0)))*(INDEX('Parametri Modello'!$D$57:$D$60,MATCH($B62,'Parametri Modello'!$A$57:$A$60,0))*(INDEX('Parametri Modello'!$B$50:$B$53,MATCH($B62,'Parametri Modello'!$A$50:$A$53,0))*'Parametri Modello'!$B$44))),IF(INDEX('Parametri Modello'!$F$57:$F$60,MATCH($B62,'Parametri Modello'!$A$57:$A$60,0))=0,0,($O62/INDEX('Parametri Modello'!$F$57:$F$60,MATCH($B62,'Parametri Modello'!$A$57:$A$60,0)))*((1-INDEX('Parametri Modello'!$D$57:$D$60,MATCH($B62,'Parametri Modello'!$A$57:$A$60,0)))*(INDEX('Parametri Modello'!$B$50:$B$53,MATCH($B62,'Parametri Modello'!$A$50:$A$53,0))*'Parametri Modello'!$B$44))))*(1+IF(IF($B62="D",'Info Lega'!$B$25,IF($B62="C",'Info Lega'!$B$26,"No"))="Si",'Parametri Modello'!$B$5,0))*(1+MAX(-0.25,MIN(0.25,IF(OR($T62="",$I62="",$I62=0,INDEX('Parametri Modello'!$B$19:$B$22,MATCH($B62,'Parametri Modello'!$A$19:$A$22,0))="",INDEX('Parametri Modello'!$B$19:$B$22,MATCH($B62,'Parametri Modello'!$A$19:$A$22,0))=0),0,(($T62-INDEX('Parametri Modello'!$B$19:$B$22,MATCH($B62,'Parametri Modello'!$A$19:$A$22,0)))/INDEX('Parametri Modello'!$B$19:$B$22,MATCH($B62,'Parametri Modello'!$A$19:$A$22,0)))*'Parametri Modello'!$B$9))))*(1+IF('Parametri Modello'!$B$27="Si",MAX(-'Parametri Modello'!$B$28,MIN('Parametri Modello'!$B$28*1.5,IF(OR(INDEX('Parametri Modello'!$F$32:$F$35,MATCH($B62,'Parametri Modello'!$A$32:$A$35,0))="",INDEX('Parametri Modello'!$F$32:$F$35,MATCH($B62,'Parametri Modello'!$A$32:$A$35,0))=0),0,(1/INDEX('Parametri Modello'!$F$32:$F$35,MATCH($B62,'Parametri Modello'!$A$32:$A$35,0))-1)*'Parametri Modello'!$B$28))),0)))*(1+INDEX('Parametri Modello'!$B$12:$B$15,MATCH($B62,'Parametri Modello'!$A$12:$A$15,0))),0),"")</f>
        <v>19</v>
      </c>
      <c r="I62" s="23">
        <f>IFERROR(INDEX('Input Statistiche 2025_26'!$F$3:$F$665,MATCH($A62,'Input Statistiche 2025_26'!$A$3:$A$665,0)),"")</f>
        <v>16</v>
      </c>
      <c r="J62" s="23">
        <f t="shared" si="0"/>
        <v>22</v>
      </c>
      <c r="K62" s="23">
        <f>IFERROR(INDEX('Input Statistiche 2025_26'!$I$3:$I$665,MATCH($A62,'Input Statistiche 2025_26'!$A$3:$A$665,0)),"")</f>
        <v>2</v>
      </c>
      <c r="L62" s="23">
        <f>IFERROR(INDEX('Input Statistiche 2025_26'!$O$3:$O$665,MATCH($A62,'Input Statistiche 2025_26'!$A$3:$A$665,0)),"")</f>
        <v>1</v>
      </c>
      <c r="M62" s="25"/>
      <c r="N62" s="24">
        <f>IFERROR(INDEX('Input Giocatori 2026_27'!$E$3:$E$493,MATCH($A62,'Input Giocatori 2026_27'!$A$3:$A$493,0)),"")</f>
        <v>11</v>
      </c>
      <c r="O62" s="24">
        <f>IFERROR(INDEX('Input Giocatori 2026_27'!$G$3:$G$493,MATCH($A62,'Input Giocatori 2026_27'!$A$3:$A$493,0)),"")</f>
        <v>50</v>
      </c>
      <c r="P62" s="23" t="str">
        <f>IFERROR(IF($O62="","",IF((1-(COUNTIFS($B$2:$B$492,$B62,$O$2:$O$492,"&gt;"&amp;$O62)+1-1)/COUNTIF($B$2:$B$492,$B62))&gt;='Parametri Modello'!$B$63,"Top",IF((1-(COUNTIFS($B$2:$B$492,$B62,$O$2:$O$492,"&gt;"&amp;$O62)+1-1)/COUNTIF($B$2:$B$492,$B62))&gt;='Parametri Modello'!$B$64,"Buono",IF((1-(COUNTIFS($B$2:$B$492,$B62,$O$2:$O$492,"&gt;"&amp;$O62)+1-1)/COUNTIF($B$2:$B$492,$B62))&gt;='Parametri Modello'!$B$65,"Nella Media","Scommessa/Riserva")))),"")</f>
        <v>Nella Media</v>
      </c>
      <c r="Q62" s="26">
        <f>IF(AND($D62="",$N62&gt;1),SUMPRODUCT(($D$2:$D62="")*($N$2:$N62&gt;1)),"")</f>
        <v>61</v>
      </c>
      <c r="R62" s="26" t="str">
        <f>IF($D62='Info Lega'!$B$28,COUNTIFS($D$2:$D62,'Info Lega'!$B$28),"")</f>
        <v/>
      </c>
      <c r="S62" s="27">
        <f>IFERROR(INDEX('Input Statistiche 2025_26'!$G$3:$G$665,MATCH($A62,'Input Statistiche 2025_26'!$A$3:$A$665,0)),"")</f>
        <v>6</v>
      </c>
      <c r="T62" s="27">
        <f>IFERROR(INDEX('Input Statistiche 2025_26'!$H$3:$H$665,MATCH($A62,'Input Statistiche 2025_26'!$A$3:$A$665,0)),"")</f>
        <v>6.38</v>
      </c>
      <c r="U62" s="23" t="str">
        <f>IF(OR('La Mia Rosa'!$O$12="",$D62&lt;&gt;""),"",IF($F62&lt;='La Mia Rosa'!$O$12*'Parametri Modello'!$B$24,"OK",IF($F62&lt;='La Mia Rosa'!$O$12*'Parametri Modello'!$B$25,"Attenzione","Rischio Alto")))</f>
        <v>OK</v>
      </c>
      <c r="V62" s="23">
        <f t="shared" si="1"/>
        <v>30</v>
      </c>
      <c r="W62" s="18">
        <f>'Info Lega'!$B$4-SUMIFS($M$2:$M$492,$D$2:$D$492,'Info Lega'!$B$28)</f>
        <v>1000</v>
      </c>
      <c r="X62" s="18">
        <f>('Info Lega'!$B$5-COUNTIFS($D$2:$D$492,'Info Lega'!$B$28,$B$2:$B$492,"P"))+('Info Lega'!$B$6-COUNTIFS($D$2:$D$492,'Info Lega'!$B$28,$B$2:$B$492,"D"))+('Info Lega'!$B$7-COUNTIFS($D$2:$D$492,'Info Lega'!$B$28,$B$2:$B$492,"C"))+('Info Lega'!$B$8-COUNTIFS($D$2:$D$492,'Info Lega'!$B$28,$B$2:$B$492,"A"))</f>
        <v>25</v>
      </c>
      <c r="Y62" s="18">
        <f>X62*'Parametri Modello'!$B$30</f>
        <v>25</v>
      </c>
      <c r="Z62" s="18">
        <f t="shared" si="2"/>
        <v>975</v>
      </c>
      <c r="AA62" s="18">
        <f t="shared" si="3"/>
        <v>16</v>
      </c>
      <c r="AB62" s="18"/>
      <c r="AC62" s="18" t="str">
        <f>IF($AB62="","",IF($AB62&gt;$AA62,"PASS",IF($AB62&lt;=$AA62*(1-'Parametri Modello'!$B$68),"BID","ATTENZIONE")))</f>
        <v/>
      </c>
      <c r="AD62" s="28">
        <f t="shared" si="4"/>
        <v>41</v>
      </c>
      <c r="AE62" s="5" t="str">
        <f>IFERROR(INDEX('Stato Asta'!$G$9:$G$12,MATCH($B62,'Stato Asta'!$A$9:$A$12,0)),"")</f>
        <v>🔴 Non aspettare</v>
      </c>
      <c r="AF62" t="str">
        <f>IFERROR(IF($V62&lt;=INDEX('Parametri Modello'!$C$57:$C$60,MATCH($B62,'Parametri Modello'!$A$57:$A$60,0)),"Titolare","Riserva"),"")</f>
        <v>Riserva</v>
      </c>
      <c r="AG62" t="str">
        <f>IFERROR(INDEX('Pressione Competitiva'!$F$3:$F$6,MATCH($B62,'Pressione Competitiva'!$B$3:$B$6,0)),"")</f>
        <v>🔴 Molto Alta</v>
      </c>
      <c r="AH62" t="str">
        <f t="shared" si="5"/>
        <v/>
      </c>
      <c r="AI62" t="str">
        <f>IFERROR(IF($AH62="","",IF($AH62&gt;=$AA62*'Parametri Modello'!$B$68,"🟢 Opportunita'",IF($AH62&lt;=$AA62*'Parametri Modello'!$B$69,"🔴 Sovrapprezzo","🟡 Prezzo Corretto"))),"")</f>
        <v/>
      </c>
      <c r="AJ62" t="str">
        <f t="shared" si="6"/>
        <v/>
      </c>
      <c r="AK62">
        <f t="shared" si="7"/>
        <v>4</v>
      </c>
      <c r="AL62" t="str">
        <f t="shared" si="8"/>
        <v>A|Nella Media|4</v>
      </c>
    </row>
    <row r="63" spans="1:38" ht="14.25" customHeight="1" x14ac:dyDescent="0.25">
      <c r="A63" s="18">
        <v>2296</v>
      </c>
      <c r="B63" s="18" t="s">
        <v>16</v>
      </c>
      <c r="C63" s="18" t="s">
        <v>202</v>
      </c>
      <c r="E63" s="23" t="str">
        <f>IF(COUNTIF('Info Strategia'!$D$2:$D$51,$C63)&gt;0,"SI","NO")</f>
        <v>NO</v>
      </c>
      <c r="F63" s="24">
        <f>IFERROR(ROUND(($G63+($H63-$G63)*'Info Strategia'!$B$6)*(1+IF($E63="SI",'Parametri Modello'!$B$7*'Info Strategia'!$B$6,0)),0),"")</f>
        <v>34</v>
      </c>
      <c r="G63" s="24">
        <f>IFERROR(ROUND(MAX(1,(IF($V63&lt;=INDEX('Parametri Modello'!$C$57:$C$60,MATCH($B63,'Parametri Modello'!$A$57:$A$60,0)),IF(INDEX('Parametri Modello'!$E$57:$E$60,MATCH($B63,'Parametri Modello'!$A$57:$A$60,0))=0,0,($O63/INDEX('Parametri Modello'!$E$57:$E$60,MATCH($B63,'Parametri Modello'!$A$57:$A$60,0)))*(INDEX('Parametri Modello'!$D$57:$D$60,MATCH($B63,'Parametri Modello'!$A$57:$A$60,0))*(INDEX('Parametri Modello'!$B$50:$B$53,MATCH($B63,'Parametri Modello'!$A$50:$A$53,0))*'Parametri Modello'!$B$44))),IF(INDEX('Parametri Modello'!$F$57:$F$60,MATCH($B63,'Parametri Modello'!$A$57:$A$60,0))=0,0,($O63/INDEX('Parametri Modello'!$F$57:$F$60,MATCH($B63,'Parametri Modello'!$A$57:$A$60,0)))*((1-INDEX('Parametri Modello'!$D$57:$D$60,MATCH($B63,'Parametri Modello'!$A$57:$A$60,0)))*(INDEX('Parametri Modello'!$B$50:$B$53,MATCH($B63,'Parametri Modello'!$A$50:$A$53,0))*'Parametri Modello'!$B$44))))*(1+IF(IF($B63="D",'Info Lega'!$B$25,IF($B63="C",'Info Lega'!$B$26,"No"))="Si",'Parametri Modello'!$B$5,0))*(1+MAX(-0.25,MIN(0.25,IF(OR($T63="",$I63="",$I63=0,INDEX('Parametri Modello'!$B$19:$B$22,MATCH($B63,'Parametri Modello'!$A$19:$A$22,0))="",INDEX('Parametri Modello'!$B$19:$B$22,MATCH($B63,'Parametri Modello'!$A$19:$A$22,0))=0),0,(($T63-INDEX('Parametri Modello'!$B$19:$B$22,MATCH($B63,'Parametri Modello'!$A$19:$A$22,0)))/INDEX('Parametri Modello'!$B$19:$B$22,MATCH($B63,'Parametri Modello'!$A$19:$A$22,0)))*'Parametri Modello'!$B$9))))*(1+IF('Parametri Modello'!$B$27="Si",MAX(-'Parametri Modello'!$B$28,MIN('Parametri Modello'!$B$28*1.5,IF(OR(INDEX('Parametri Modello'!$F$32:$F$35,MATCH($B63,'Parametri Modello'!$A$32:$A$35,0))="",INDEX('Parametri Modello'!$F$32:$F$35,MATCH($B63,'Parametri Modello'!$A$32:$A$35,0))=0),0,(1/INDEX('Parametri Modello'!$F$32:$F$35,MATCH($B63,'Parametri Modello'!$A$32:$A$35,0))-1)*'Parametri Modello'!$B$28))),0)))*(1-INDEX('Parametri Modello'!$B$12:$B$15,MATCH($B63,'Parametri Modello'!$A$12:$A$15,0)))),0),"")</f>
        <v>25</v>
      </c>
      <c r="H63" s="24">
        <f>IFERROR(ROUND((IF($V63&lt;=INDEX('Parametri Modello'!$C$57:$C$60,MATCH($B63,'Parametri Modello'!$A$57:$A$60,0)),IF(INDEX('Parametri Modello'!$E$57:$E$60,MATCH($B63,'Parametri Modello'!$A$57:$A$60,0))=0,0,($O63/INDEX('Parametri Modello'!$E$57:$E$60,MATCH($B63,'Parametri Modello'!$A$57:$A$60,0)))*(INDEX('Parametri Modello'!$D$57:$D$60,MATCH($B63,'Parametri Modello'!$A$57:$A$60,0))*(INDEX('Parametri Modello'!$B$50:$B$53,MATCH($B63,'Parametri Modello'!$A$50:$A$53,0))*'Parametri Modello'!$B$44))),IF(INDEX('Parametri Modello'!$F$57:$F$60,MATCH($B63,'Parametri Modello'!$A$57:$A$60,0))=0,0,($O63/INDEX('Parametri Modello'!$F$57:$F$60,MATCH($B63,'Parametri Modello'!$A$57:$A$60,0)))*((1-INDEX('Parametri Modello'!$D$57:$D$60,MATCH($B63,'Parametri Modello'!$A$57:$A$60,0)))*(INDEX('Parametri Modello'!$B$50:$B$53,MATCH($B63,'Parametri Modello'!$A$50:$A$53,0))*'Parametri Modello'!$B$44))))*(1+IF(IF($B63="D",'Info Lega'!$B$25,IF($B63="C",'Info Lega'!$B$26,"No"))="Si",'Parametri Modello'!$B$5,0))*(1+MAX(-0.25,MIN(0.25,IF(OR($T63="",$I63="",$I63=0,INDEX('Parametri Modello'!$B$19:$B$22,MATCH($B63,'Parametri Modello'!$A$19:$A$22,0))="",INDEX('Parametri Modello'!$B$19:$B$22,MATCH($B63,'Parametri Modello'!$A$19:$A$22,0))=0),0,(($T63-INDEX('Parametri Modello'!$B$19:$B$22,MATCH($B63,'Parametri Modello'!$A$19:$A$22,0)))/INDEX('Parametri Modello'!$B$19:$B$22,MATCH($B63,'Parametri Modello'!$A$19:$A$22,0)))*'Parametri Modello'!$B$9))))*(1+IF('Parametri Modello'!$B$27="Si",MAX(-'Parametri Modello'!$B$28,MIN('Parametri Modello'!$B$28*1.5,IF(OR(INDEX('Parametri Modello'!$F$32:$F$35,MATCH($B63,'Parametri Modello'!$A$32:$A$35,0))="",INDEX('Parametri Modello'!$F$32:$F$35,MATCH($B63,'Parametri Modello'!$A$32:$A$35,0))=0),0,(1/INDEX('Parametri Modello'!$F$32:$F$35,MATCH($B63,'Parametri Modello'!$A$32:$A$35,0))-1)*'Parametri Modello'!$B$28))),0)))*(1+INDEX('Parametri Modello'!$B$12:$B$15,MATCH($B63,'Parametri Modello'!$A$12:$A$15,0))),0),"")</f>
        <v>38</v>
      </c>
      <c r="I63" s="23">
        <f>IFERROR(INDEX('Input Statistiche 2025_26'!$F$3:$F$665,MATCH($A63,'Input Statistiche 2025_26'!$A$3:$A$665,0)),"")</f>
        <v>36</v>
      </c>
      <c r="J63" s="23">
        <f t="shared" si="0"/>
        <v>2</v>
      </c>
      <c r="K63" s="23">
        <f>IFERROR(INDEX('Input Statistiche 2025_26'!$I$3:$I$665,MATCH($A63,'Input Statistiche 2025_26'!$A$3:$A$665,0)),"")</f>
        <v>4</v>
      </c>
      <c r="L63" s="23">
        <f>IFERROR(INDEX('Input Statistiche 2025_26'!$O$3:$O$665,MATCH($A63,'Input Statistiche 2025_26'!$A$3:$A$665,0)),"")</f>
        <v>2</v>
      </c>
      <c r="M63" s="25"/>
      <c r="N63" s="24">
        <f>IFERROR(INDEX('Input Giocatori 2026_27'!$E$3:$E$493,MATCH($A63,'Input Giocatori 2026_27'!$A$3:$A$493,0)),"")</f>
        <v>15</v>
      </c>
      <c r="O63" s="24">
        <f>IFERROR(INDEX('Input Giocatori 2026_27'!$G$3:$G$493,MATCH($A63,'Input Giocatori 2026_27'!$A$3:$A$493,0)),"")</f>
        <v>49</v>
      </c>
      <c r="P63" s="23" t="str">
        <f>IFERROR(IF($O63="","",IF((1-(COUNTIFS($B$2:$B$492,$B63,$O$2:$O$492,"&gt;"&amp;$O63)+1-1)/COUNTIF($B$2:$B$492,$B63))&gt;='Parametri Modello'!$B$63,"Top",IF((1-(COUNTIFS($B$2:$B$492,$B63,$O$2:$O$492,"&gt;"&amp;$O63)+1-1)/COUNTIF($B$2:$B$492,$B63))&gt;='Parametri Modello'!$B$64,"Buono",IF((1-(COUNTIFS($B$2:$B$492,$B63,$O$2:$O$492,"&gt;"&amp;$O63)+1-1)/COUNTIF($B$2:$B$492,$B63))&gt;='Parametri Modello'!$B$65,"Nella Media","Scommessa/Riserva")))),"")</f>
        <v>Top</v>
      </c>
      <c r="Q63" s="26">
        <f>IF(AND($D63="",$N63&gt;1),SUMPRODUCT(($D$2:$D63="")*($N$2:$N63&gt;1)),"")</f>
        <v>62</v>
      </c>
      <c r="R63" s="26" t="str">
        <f>IF($D63='Info Lega'!$B$28,COUNTIFS($D$2:$D63,'Info Lega'!$B$28),"")</f>
        <v/>
      </c>
      <c r="S63" s="27">
        <f>IFERROR(INDEX('Input Statistiche 2025_26'!$G$3:$G$665,MATCH($A63,'Input Statistiche 2025_26'!$A$3:$A$665,0)),"")</f>
        <v>6.25</v>
      </c>
      <c r="T63" s="27">
        <f>IFERROR(INDEX('Input Statistiche 2025_26'!$H$3:$H$665,MATCH($A63,'Input Statistiche 2025_26'!$A$3:$A$665,0)),"")</f>
        <v>6.51</v>
      </c>
      <c r="U63" s="23" t="str">
        <f>IF(OR('La Mia Rosa'!$O$12="",$D63&lt;&gt;""),"",IF($F63&lt;='La Mia Rosa'!$O$12*'Parametri Modello'!$B$24,"OK",IF($F63&lt;='La Mia Rosa'!$O$12*'Parametri Modello'!$B$25,"Attenzione","Rischio Alto")))</f>
        <v>OK</v>
      </c>
      <c r="V63" s="23">
        <f t="shared" si="1"/>
        <v>5</v>
      </c>
      <c r="W63" s="18">
        <f>'Info Lega'!$B$4-SUMIFS($M$2:$M$492,$D$2:$D$492,'Info Lega'!$B$28)</f>
        <v>1000</v>
      </c>
      <c r="X63" s="18">
        <f>('Info Lega'!$B$5-COUNTIFS($D$2:$D$492,'Info Lega'!$B$28,$B$2:$B$492,"P"))+('Info Lega'!$B$6-COUNTIFS($D$2:$D$492,'Info Lega'!$B$28,$B$2:$B$492,"D"))+('Info Lega'!$B$7-COUNTIFS($D$2:$D$492,'Info Lega'!$B$28,$B$2:$B$492,"C"))+('Info Lega'!$B$8-COUNTIFS($D$2:$D$492,'Info Lega'!$B$28,$B$2:$B$492,"A"))</f>
        <v>25</v>
      </c>
      <c r="Y63" s="18">
        <f>X63*'Parametri Modello'!$B$30</f>
        <v>25</v>
      </c>
      <c r="Z63" s="18">
        <f t="shared" si="2"/>
        <v>975</v>
      </c>
      <c r="AA63" s="18">
        <f t="shared" si="3"/>
        <v>34</v>
      </c>
      <c r="AB63" s="18"/>
      <c r="AC63" s="18" t="str">
        <f>IF($AB63="","",IF($AB63&gt;$AA63,"PASS",IF($AB63&lt;=$AA63*(1-'Parametri Modello'!$B$68),"BID","ATTENZIONE")))</f>
        <v/>
      </c>
      <c r="AD63" s="28">
        <f t="shared" si="4"/>
        <v>70</v>
      </c>
      <c r="AE63" s="5" t="str">
        <f>IFERROR(INDEX('Stato Asta'!$G$9:$G$12,MATCH($B63,'Stato Asta'!$A$9:$A$12,0)),"")</f>
        <v>🔴 Non aspettare</v>
      </c>
      <c r="AF63" t="str">
        <f>IFERROR(IF($V63&lt;=INDEX('Parametri Modello'!$C$57:$C$60,MATCH($B63,'Parametri Modello'!$A$57:$A$60,0)),"Titolare","Riserva"),"")</f>
        <v>Titolare</v>
      </c>
      <c r="AG63" t="str">
        <f>IFERROR(INDEX('Pressione Competitiva'!$F$3:$F$6,MATCH($B63,'Pressione Competitiva'!$B$3:$B$6,0)),"")</f>
        <v>🔴 Molto Alta</v>
      </c>
      <c r="AH63" t="str">
        <f t="shared" si="5"/>
        <v/>
      </c>
      <c r="AI63" t="str">
        <f>IFERROR(IF($AH63="","",IF($AH63&gt;=$AA63*'Parametri Modello'!$B$68,"🟢 Opportunita'",IF($AH63&lt;=$AA63*'Parametri Modello'!$B$69,"🔴 Sovrapprezzo","🟡 Prezzo Corretto"))),"")</f>
        <v/>
      </c>
      <c r="AJ63" t="str">
        <f t="shared" si="6"/>
        <v/>
      </c>
      <c r="AK63">
        <f t="shared" si="7"/>
        <v>5</v>
      </c>
      <c r="AL63" t="str">
        <f t="shared" si="8"/>
        <v>D|Top|5</v>
      </c>
    </row>
    <row r="64" spans="1:38" ht="14.25" customHeight="1" x14ac:dyDescent="0.25">
      <c r="A64" s="18">
        <v>5022</v>
      </c>
      <c r="B64" s="18" t="s">
        <v>16</v>
      </c>
      <c r="C64" s="18" t="s">
        <v>203</v>
      </c>
      <c r="E64" s="23" t="str">
        <f>IF(COUNTIF('Info Strategia'!$D$2:$D$51,$C64)&gt;0,"SI","NO")</f>
        <v>NO</v>
      </c>
      <c r="F64" s="24">
        <f>IFERROR(ROUND(($G64+($H64-$G64)*'Info Strategia'!$B$6)*(1+IF($E64="SI",'Parametri Modello'!$B$7*'Info Strategia'!$B$6,0)),0),"")</f>
        <v>33</v>
      </c>
      <c r="G64" s="24">
        <f>IFERROR(ROUND(MAX(1,(IF($V64&lt;=INDEX('Parametri Modello'!$C$57:$C$60,MATCH($B64,'Parametri Modello'!$A$57:$A$60,0)),IF(INDEX('Parametri Modello'!$E$57:$E$60,MATCH($B64,'Parametri Modello'!$A$57:$A$60,0))=0,0,($O64/INDEX('Parametri Modello'!$E$57:$E$60,MATCH($B64,'Parametri Modello'!$A$57:$A$60,0)))*(INDEX('Parametri Modello'!$D$57:$D$60,MATCH($B64,'Parametri Modello'!$A$57:$A$60,0))*(INDEX('Parametri Modello'!$B$50:$B$53,MATCH($B64,'Parametri Modello'!$A$50:$A$53,0))*'Parametri Modello'!$B$44))),IF(INDEX('Parametri Modello'!$F$57:$F$60,MATCH($B64,'Parametri Modello'!$A$57:$A$60,0))=0,0,($O64/INDEX('Parametri Modello'!$F$57:$F$60,MATCH($B64,'Parametri Modello'!$A$57:$A$60,0)))*((1-INDEX('Parametri Modello'!$D$57:$D$60,MATCH($B64,'Parametri Modello'!$A$57:$A$60,0)))*(INDEX('Parametri Modello'!$B$50:$B$53,MATCH($B64,'Parametri Modello'!$A$50:$A$53,0))*'Parametri Modello'!$B$44))))*(1+IF(IF($B64="D",'Info Lega'!$B$25,IF($B64="C",'Info Lega'!$B$26,"No"))="Si",'Parametri Modello'!$B$5,0))*(1+MAX(-0.25,MIN(0.25,IF(OR($T64="",$I64="",$I64=0,INDEX('Parametri Modello'!$B$19:$B$22,MATCH($B64,'Parametri Modello'!$A$19:$A$22,0))="",INDEX('Parametri Modello'!$B$19:$B$22,MATCH($B64,'Parametri Modello'!$A$19:$A$22,0))=0),0,(($T64-INDEX('Parametri Modello'!$B$19:$B$22,MATCH($B64,'Parametri Modello'!$A$19:$A$22,0)))/INDEX('Parametri Modello'!$B$19:$B$22,MATCH($B64,'Parametri Modello'!$A$19:$A$22,0)))*'Parametri Modello'!$B$9))))*(1+IF('Parametri Modello'!$B$27="Si",MAX(-'Parametri Modello'!$B$28,MIN('Parametri Modello'!$B$28*1.5,IF(OR(INDEX('Parametri Modello'!$F$32:$F$35,MATCH($B64,'Parametri Modello'!$A$32:$A$35,0))="",INDEX('Parametri Modello'!$F$32:$F$35,MATCH($B64,'Parametri Modello'!$A$32:$A$35,0))=0),0,(1/INDEX('Parametri Modello'!$F$32:$F$35,MATCH($B64,'Parametri Modello'!$A$32:$A$35,0))-1)*'Parametri Modello'!$B$28))),0)))*(1-INDEX('Parametri Modello'!$B$12:$B$15,MATCH($B64,'Parametri Modello'!$A$12:$A$15,0)))),0),"")</f>
        <v>25</v>
      </c>
      <c r="H64" s="24">
        <f>IFERROR(ROUND((IF($V64&lt;=INDEX('Parametri Modello'!$C$57:$C$60,MATCH($B64,'Parametri Modello'!$A$57:$A$60,0)),IF(INDEX('Parametri Modello'!$E$57:$E$60,MATCH($B64,'Parametri Modello'!$A$57:$A$60,0))=0,0,($O64/INDEX('Parametri Modello'!$E$57:$E$60,MATCH($B64,'Parametri Modello'!$A$57:$A$60,0)))*(INDEX('Parametri Modello'!$D$57:$D$60,MATCH($B64,'Parametri Modello'!$A$57:$A$60,0))*(INDEX('Parametri Modello'!$B$50:$B$53,MATCH($B64,'Parametri Modello'!$A$50:$A$53,0))*'Parametri Modello'!$B$44))),IF(INDEX('Parametri Modello'!$F$57:$F$60,MATCH($B64,'Parametri Modello'!$A$57:$A$60,0))=0,0,($O64/INDEX('Parametri Modello'!$F$57:$F$60,MATCH($B64,'Parametri Modello'!$A$57:$A$60,0)))*((1-INDEX('Parametri Modello'!$D$57:$D$60,MATCH($B64,'Parametri Modello'!$A$57:$A$60,0)))*(INDEX('Parametri Modello'!$B$50:$B$53,MATCH($B64,'Parametri Modello'!$A$50:$A$53,0))*'Parametri Modello'!$B$44))))*(1+IF(IF($B64="D",'Info Lega'!$B$25,IF($B64="C",'Info Lega'!$B$26,"No"))="Si",'Parametri Modello'!$B$5,0))*(1+MAX(-0.25,MIN(0.25,IF(OR($T64="",$I64="",$I64=0,INDEX('Parametri Modello'!$B$19:$B$22,MATCH($B64,'Parametri Modello'!$A$19:$A$22,0))="",INDEX('Parametri Modello'!$B$19:$B$22,MATCH($B64,'Parametri Modello'!$A$19:$A$22,0))=0),0,(($T64-INDEX('Parametri Modello'!$B$19:$B$22,MATCH($B64,'Parametri Modello'!$A$19:$A$22,0)))/INDEX('Parametri Modello'!$B$19:$B$22,MATCH($B64,'Parametri Modello'!$A$19:$A$22,0)))*'Parametri Modello'!$B$9))))*(1+IF('Parametri Modello'!$B$27="Si",MAX(-'Parametri Modello'!$B$28,MIN('Parametri Modello'!$B$28*1.5,IF(OR(INDEX('Parametri Modello'!$F$32:$F$35,MATCH($B64,'Parametri Modello'!$A$32:$A$35,0))="",INDEX('Parametri Modello'!$F$32:$F$35,MATCH($B64,'Parametri Modello'!$A$32:$A$35,0))=0),0,(1/INDEX('Parametri Modello'!$F$32:$F$35,MATCH($B64,'Parametri Modello'!$A$32:$A$35,0))-1)*'Parametri Modello'!$B$28))),0)))*(1+INDEX('Parametri Modello'!$B$12:$B$15,MATCH($B64,'Parametri Modello'!$A$12:$A$15,0))),0),"")</f>
        <v>37</v>
      </c>
      <c r="I64" s="23">
        <f>IFERROR(INDEX('Input Statistiche 2025_26'!$F$3:$F$665,MATCH($A64,'Input Statistiche 2025_26'!$A$3:$A$665,0)),"")</f>
        <v>34</v>
      </c>
      <c r="J64" s="23">
        <f t="shared" si="0"/>
        <v>4</v>
      </c>
      <c r="K64" s="23">
        <f>IFERROR(INDEX('Input Statistiche 2025_26'!$I$3:$I$665,MATCH($A64,'Input Statistiche 2025_26'!$A$3:$A$665,0)),"")</f>
        <v>5</v>
      </c>
      <c r="L64" s="23">
        <f>IFERROR(INDEX('Input Statistiche 2025_26'!$O$3:$O$665,MATCH($A64,'Input Statistiche 2025_26'!$A$3:$A$665,0)),"")</f>
        <v>0</v>
      </c>
      <c r="M64" s="25"/>
      <c r="N64" s="24">
        <f>IFERROR(INDEX('Input Giocatori 2026_27'!$E$3:$E$493,MATCH($A64,'Input Giocatori 2026_27'!$A$3:$A$493,0)),"")</f>
        <v>14</v>
      </c>
      <c r="O64" s="24">
        <f>IFERROR(INDEX('Input Giocatori 2026_27'!$G$3:$G$493,MATCH($A64,'Input Giocatori 2026_27'!$A$3:$A$493,0)),"")</f>
        <v>48</v>
      </c>
      <c r="P64" s="23" t="str">
        <f>IFERROR(IF($O64="","",IF((1-(COUNTIFS($B$2:$B$492,$B64,$O$2:$O$492,"&gt;"&amp;$O64)+1-1)/COUNTIF($B$2:$B$492,$B64))&gt;='Parametri Modello'!$B$63,"Top",IF((1-(COUNTIFS($B$2:$B$492,$B64,$O$2:$O$492,"&gt;"&amp;$O64)+1-1)/COUNTIF($B$2:$B$492,$B64))&gt;='Parametri Modello'!$B$64,"Buono",IF((1-(COUNTIFS($B$2:$B$492,$B64,$O$2:$O$492,"&gt;"&amp;$O64)+1-1)/COUNTIF($B$2:$B$492,$B64))&gt;='Parametri Modello'!$B$65,"Nella Media","Scommessa/Riserva")))),"")</f>
        <v>Top</v>
      </c>
      <c r="Q64" s="26">
        <f>IF(AND($D64="",$N64&gt;1),SUMPRODUCT(($D$2:$D64="")*($N$2:$N64&gt;1)),"")</f>
        <v>63</v>
      </c>
      <c r="R64" s="26" t="str">
        <f>IF($D64='Info Lega'!$B$28,COUNTIFS($D$2:$D64,'Info Lega'!$B$28),"")</f>
        <v/>
      </c>
      <c r="S64" s="27">
        <f>IFERROR(INDEX('Input Statistiche 2025_26'!$G$3:$G$665,MATCH($A64,'Input Statistiche 2025_26'!$A$3:$A$665,0)),"")</f>
        <v>6.24</v>
      </c>
      <c r="T64" s="27">
        <f>IFERROR(INDEX('Input Statistiche 2025_26'!$H$3:$H$665,MATCH($A64,'Input Statistiche 2025_26'!$A$3:$A$665,0)),"")</f>
        <v>6.62</v>
      </c>
      <c r="U64" s="23" t="str">
        <f>IF(OR('La Mia Rosa'!$O$12="",$D64&lt;&gt;""),"",IF($F64&lt;='La Mia Rosa'!$O$12*'Parametri Modello'!$B$24,"OK",IF($F64&lt;='La Mia Rosa'!$O$12*'Parametri Modello'!$B$25,"Attenzione","Rischio Alto")))</f>
        <v>OK</v>
      </c>
      <c r="V64" s="23">
        <f t="shared" si="1"/>
        <v>6</v>
      </c>
      <c r="W64" s="18">
        <f>'Info Lega'!$B$4-SUMIFS($M$2:$M$492,$D$2:$D$492,'Info Lega'!$B$28)</f>
        <v>1000</v>
      </c>
      <c r="X64" s="18">
        <f>('Info Lega'!$B$5-COUNTIFS($D$2:$D$492,'Info Lega'!$B$28,$B$2:$B$492,"P"))+('Info Lega'!$B$6-COUNTIFS($D$2:$D$492,'Info Lega'!$B$28,$B$2:$B$492,"D"))+('Info Lega'!$B$7-COUNTIFS($D$2:$D$492,'Info Lega'!$B$28,$B$2:$B$492,"C"))+('Info Lega'!$B$8-COUNTIFS($D$2:$D$492,'Info Lega'!$B$28,$B$2:$B$492,"A"))</f>
        <v>25</v>
      </c>
      <c r="Y64" s="18">
        <f>X64*'Parametri Modello'!$B$30</f>
        <v>25</v>
      </c>
      <c r="Z64" s="18">
        <f t="shared" si="2"/>
        <v>975</v>
      </c>
      <c r="AA64" s="18">
        <f t="shared" si="3"/>
        <v>33</v>
      </c>
      <c r="AB64" s="18"/>
      <c r="AC64" s="18" t="str">
        <f>IF($AB64="","",IF($AB64&gt;$AA64,"PASS",IF($AB64&lt;=$AA64*(1-'Parametri Modello'!$B$68),"BID","ATTENZIONE")))</f>
        <v/>
      </c>
      <c r="AD64" s="28">
        <f t="shared" si="4"/>
        <v>68</v>
      </c>
      <c r="AE64" s="5" t="str">
        <f>IFERROR(INDEX('Stato Asta'!$G$9:$G$12,MATCH($B64,'Stato Asta'!$A$9:$A$12,0)),"")</f>
        <v>🔴 Non aspettare</v>
      </c>
      <c r="AF64" t="str">
        <f>IFERROR(IF($V64&lt;=INDEX('Parametri Modello'!$C$57:$C$60,MATCH($B64,'Parametri Modello'!$A$57:$A$60,0)),"Titolare","Riserva"),"")</f>
        <v>Titolare</v>
      </c>
      <c r="AG64" t="str">
        <f>IFERROR(INDEX('Pressione Competitiva'!$F$3:$F$6,MATCH($B64,'Pressione Competitiva'!$B$3:$B$6,0)),"")</f>
        <v>🔴 Molto Alta</v>
      </c>
      <c r="AH64" t="str">
        <f t="shared" si="5"/>
        <v/>
      </c>
      <c r="AI64" t="str">
        <f>IFERROR(IF($AH64="","",IF($AH64&gt;=$AA64*'Parametri Modello'!$B$68,"🟢 Opportunita'",IF($AH64&lt;=$AA64*'Parametri Modello'!$B$69,"🔴 Sovrapprezzo","🟡 Prezzo Corretto"))),"")</f>
        <v/>
      </c>
      <c r="AJ64" t="str">
        <f t="shared" si="6"/>
        <v/>
      </c>
      <c r="AK64">
        <f t="shared" si="7"/>
        <v>6</v>
      </c>
      <c r="AL64" t="str">
        <f t="shared" si="8"/>
        <v>D|Top|6</v>
      </c>
    </row>
    <row r="65" spans="1:38" ht="14.25" customHeight="1" x14ac:dyDescent="0.25">
      <c r="A65" s="18">
        <v>4409</v>
      </c>
      <c r="B65" s="18" t="s">
        <v>16</v>
      </c>
      <c r="C65" s="18" t="s">
        <v>204</v>
      </c>
      <c r="E65" s="23" t="str">
        <f>IF(COUNTIF('Info Strategia'!$D$2:$D$51,$C65)&gt;0,"SI","NO")</f>
        <v>NO</v>
      </c>
      <c r="F65" s="24">
        <f>IFERROR(ROUND(($G65+($H65-$G65)*'Info Strategia'!$B$6)*(1+IF($E65="SI",'Parametri Modello'!$B$7*'Info Strategia'!$B$6,0)),0),"")</f>
        <v>32</v>
      </c>
      <c r="G65" s="24">
        <f>IFERROR(ROUND(MAX(1,(IF($V65&lt;=INDEX('Parametri Modello'!$C$57:$C$60,MATCH($B65,'Parametri Modello'!$A$57:$A$60,0)),IF(INDEX('Parametri Modello'!$E$57:$E$60,MATCH($B65,'Parametri Modello'!$A$57:$A$60,0))=0,0,($O65/INDEX('Parametri Modello'!$E$57:$E$60,MATCH($B65,'Parametri Modello'!$A$57:$A$60,0)))*(INDEX('Parametri Modello'!$D$57:$D$60,MATCH($B65,'Parametri Modello'!$A$57:$A$60,0))*(INDEX('Parametri Modello'!$B$50:$B$53,MATCH($B65,'Parametri Modello'!$A$50:$A$53,0))*'Parametri Modello'!$B$44))),IF(INDEX('Parametri Modello'!$F$57:$F$60,MATCH($B65,'Parametri Modello'!$A$57:$A$60,0))=0,0,($O65/INDEX('Parametri Modello'!$F$57:$F$60,MATCH($B65,'Parametri Modello'!$A$57:$A$60,0)))*((1-INDEX('Parametri Modello'!$D$57:$D$60,MATCH($B65,'Parametri Modello'!$A$57:$A$60,0)))*(INDEX('Parametri Modello'!$B$50:$B$53,MATCH($B65,'Parametri Modello'!$A$50:$A$53,0))*'Parametri Modello'!$B$44))))*(1+IF(IF($B65="D",'Info Lega'!$B$25,IF($B65="C",'Info Lega'!$B$26,"No"))="Si",'Parametri Modello'!$B$5,0))*(1+MAX(-0.25,MIN(0.25,IF(OR($T65="",$I65="",$I65=0,INDEX('Parametri Modello'!$B$19:$B$22,MATCH($B65,'Parametri Modello'!$A$19:$A$22,0))="",INDEX('Parametri Modello'!$B$19:$B$22,MATCH($B65,'Parametri Modello'!$A$19:$A$22,0))=0),0,(($T65-INDEX('Parametri Modello'!$B$19:$B$22,MATCH($B65,'Parametri Modello'!$A$19:$A$22,0)))/INDEX('Parametri Modello'!$B$19:$B$22,MATCH($B65,'Parametri Modello'!$A$19:$A$22,0)))*'Parametri Modello'!$B$9))))*(1+IF('Parametri Modello'!$B$27="Si",MAX(-'Parametri Modello'!$B$28,MIN('Parametri Modello'!$B$28*1.5,IF(OR(INDEX('Parametri Modello'!$F$32:$F$35,MATCH($B65,'Parametri Modello'!$A$32:$A$35,0))="",INDEX('Parametri Modello'!$F$32:$F$35,MATCH($B65,'Parametri Modello'!$A$32:$A$35,0))=0),0,(1/INDEX('Parametri Modello'!$F$32:$F$35,MATCH($B65,'Parametri Modello'!$A$32:$A$35,0))-1)*'Parametri Modello'!$B$28))),0)))*(1-INDEX('Parametri Modello'!$B$12:$B$15,MATCH($B65,'Parametri Modello'!$A$12:$A$15,0)))),0),"")</f>
        <v>24</v>
      </c>
      <c r="H65" s="24">
        <f>IFERROR(ROUND((IF($V65&lt;=INDEX('Parametri Modello'!$C$57:$C$60,MATCH($B65,'Parametri Modello'!$A$57:$A$60,0)),IF(INDEX('Parametri Modello'!$E$57:$E$60,MATCH($B65,'Parametri Modello'!$A$57:$A$60,0))=0,0,($O65/INDEX('Parametri Modello'!$E$57:$E$60,MATCH($B65,'Parametri Modello'!$A$57:$A$60,0)))*(INDEX('Parametri Modello'!$D$57:$D$60,MATCH($B65,'Parametri Modello'!$A$57:$A$60,0))*(INDEX('Parametri Modello'!$B$50:$B$53,MATCH($B65,'Parametri Modello'!$A$50:$A$53,0))*'Parametri Modello'!$B$44))),IF(INDEX('Parametri Modello'!$F$57:$F$60,MATCH($B65,'Parametri Modello'!$A$57:$A$60,0))=0,0,($O65/INDEX('Parametri Modello'!$F$57:$F$60,MATCH($B65,'Parametri Modello'!$A$57:$A$60,0)))*((1-INDEX('Parametri Modello'!$D$57:$D$60,MATCH($B65,'Parametri Modello'!$A$57:$A$60,0)))*(INDEX('Parametri Modello'!$B$50:$B$53,MATCH($B65,'Parametri Modello'!$A$50:$A$53,0))*'Parametri Modello'!$B$44))))*(1+IF(IF($B65="D",'Info Lega'!$B$25,IF($B65="C",'Info Lega'!$B$26,"No"))="Si",'Parametri Modello'!$B$5,0))*(1+MAX(-0.25,MIN(0.25,IF(OR($T65="",$I65="",$I65=0,INDEX('Parametri Modello'!$B$19:$B$22,MATCH($B65,'Parametri Modello'!$A$19:$A$22,0))="",INDEX('Parametri Modello'!$B$19:$B$22,MATCH($B65,'Parametri Modello'!$A$19:$A$22,0))=0),0,(($T65-INDEX('Parametri Modello'!$B$19:$B$22,MATCH($B65,'Parametri Modello'!$A$19:$A$22,0)))/INDEX('Parametri Modello'!$B$19:$B$22,MATCH($B65,'Parametri Modello'!$A$19:$A$22,0)))*'Parametri Modello'!$B$9))))*(1+IF('Parametri Modello'!$B$27="Si",MAX(-'Parametri Modello'!$B$28,MIN('Parametri Modello'!$B$28*1.5,IF(OR(INDEX('Parametri Modello'!$F$32:$F$35,MATCH($B65,'Parametri Modello'!$A$32:$A$35,0))="",INDEX('Parametri Modello'!$F$32:$F$35,MATCH($B65,'Parametri Modello'!$A$32:$A$35,0))=0),0,(1/INDEX('Parametri Modello'!$F$32:$F$35,MATCH($B65,'Parametri Modello'!$A$32:$A$35,0))-1)*'Parametri Modello'!$B$28))),0)))*(1+INDEX('Parametri Modello'!$B$12:$B$15,MATCH($B65,'Parametri Modello'!$A$12:$A$15,0))),0),"")</f>
        <v>36</v>
      </c>
      <c r="I65" s="23">
        <f>IFERROR(INDEX('Input Statistiche 2025_26'!$F$3:$F$665,MATCH($A65,'Input Statistiche 2025_26'!$A$3:$A$665,0)),"")</f>
        <v>21</v>
      </c>
      <c r="J65" s="23">
        <f t="shared" si="0"/>
        <v>17</v>
      </c>
      <c r="K65" s="23">
        <f>IFERROR(INDEX('Input Statistiche 2025_26'!$I$3:$I$665,MATCH($A65,'Input Statistiche 2025_26'!$A$3:$A$665,0)),"")</f>
        <v>2</v>
      </c>
      <c r="L65" s="23">
        <f>IFERROR(INDEX('Input Statistiche 2025_26'!$O$3:$O$665,MATCH($A65,'Input Statistiche 2025_26'!$A$3:$A$665,0)),"")</f>
        <v>0</v>
      </c>
      <c r="M65" s="25"/>
      <c r="N65" s="24">
        <f>IFERROR(INDEX('Input Giocatori 2026_27'!$E$3:$E$493,MATCH($A65,'Input Giocatori 2026_27'!$A$3:$A$493,0)),"")</f>
        <v>14</v>
      </c>
      <c r="O65" s="24">
        <f>IFERROR(INDEX('Input Giocatori 2026_27'!$G$3:$G$493,MATCH($A65,'Input Giocatori 2026_27'!$A$3:$A$493,0)),"")</f>
        <v>47</v>
      </c>
      <c r="P65" s="23" t="str">
        <f>IFERROR(IF($O65="","",IF((1-(COUNTIFS($B$2:$B$492,$B65,$O$2:$O$492,"&gt;"&amp;$O65)+1-1)/COUNTIF($B$2:$B$492,$B65))&gt;='Parametri Modello'!$B$63,"Top",IF((1-(COUNTIFS($B$2:$B$492,$B65,$O$2:$O$492,"&gt;"&amp;$O65)+1-1)/COUNTIF($B$2:$B$492,$B65))&gt;='Parametri Modello'!$B$64,"Buono",IF((1-(COUNTIFS($B$2:$B$492,$B65,$O$2:$O$492,"&gt;"&amp;$O65)+1-1)/COUNTIF($B$2:$B$492,$B65))&gt;='Parametri Modello'!$B$65,"Nella Media","Scommessa/Riserva")))),"")</f>
        <v>Top</v>
      </c>
      <c r="Q65" s="26">
        <f>IF(AND($D65="",$N65&gt;1),SUMPRODUCT(($D$2:$D65="")*($N$2:$N65&gt;1)),"")</f>
        <v>64</v>
      </c>
      <c r="R65" s="26" t="str">
        <f>IF($D65='Info Lega'!$B$28,COUNTIFS($D$2:$D65,'Info Lega'!$B$28),"")</f>
        <v/>
      </c>
      <c r="S65" s="27">
        <f>IFERROR(INDEX('Input Statistiche 2025_26'!$G$3:$G$665,MATCH($A65,'Input Statistiche 2025_26'!$A$3:$A$665,0)),"")</f>
        <v>6.24</v>
      </c>
      <c r="T65" s="27">
        <f>IFERROR(INDEX('Input Statistiche 2025_26'!$H$3:$H$665,MATCH($A65,'Input Statistiche 2025_26'!$A$3:$A$665,0)),"")</f>
        <v>6.45</v>
      </c>
      <c r="U65" s="23" t="str">
        <f>IF(OR('La Mia Rosa'!$O$12="",$D65&lt;&gt;""),"",IF($F65&lt;='La Mia Rosa'!$O$12*'Parametri Modello'!$B$24,"OK",IF($F65&lt;='La Mia Rosa'!$O$12*'Parametri Modello'!$B$25,"Attenzione","Rischio Alto")))</f>
        <v>OK</v>
      </c>
      <c r="V65" s="23">
        <f t="shared" si="1"/>
        <v>7</v>
      </c>
      <c r="W65" s="18">
        <f>'Info Lega'!$B$4-SUMIFS($M$2:$M$492,$D$2:$D$492,'Info Lega'!$B$28)</f>
        <v>1000</v>
      </c>
      <c r="X65" s="18">
        <f>('Info Lega'!$B$5-COUNTIFS($D$2:$D$492,'Info Lega'!$B$28,$B$2:$B$492,"P"))+('Info Lega'!$B$6-COUNTIFS($D$2:$D$492,'Info Lega'!$B$28,$B$2:$B$492,"D"))+('Info Lega'!$B$7-COUNTIFS($D$2:$D$492,'Info Lega'!$B$28,$B$2:$B$492,"C"))+('Info Lega'!$B$8-COUNTIFS($D$2:$D$492,'Info Lega'!$B$28,$B$2:$B$492,"A"))</f>
        <v>25</v>
      </c>
      <c r="Y65" s="18">
        <f>X65*'Parametri Modello'!$B$30</f>
        <v>25</v>
      </c>
      <c r="Z65" s="18">
        <f t="shared" si="2"/>
        <v>975</v>
      </c>
      <c r="AA65" s="18">
        <f t="shared" si="3"/>
        <v>32</v>
      </c>
      <c r="AB65" s="18"/>
      <c r="AC65" s="18" t="str">
        <f>IF($AB65="","",IF($AB65&gt;$AA65,"PASS",IF($AB65&lt;=$AA65*(1-'Parametri Modello'!$B$68),"BID","ATTENZIONE")))</f>
        <v/>
      </c>
      <c r="AD65" s="28">
        <f t="shared" si="4"/>
        <v>50</v>
      </c>
      <c r="AE65" s="5" t="str">
        <f>IFERROR(INDEX('Stato Asta'!$G$9:$G$12,MATCH($B65,'Stato Asta'!$A$9:$A$12,0)),"")</f>
        <v>🔴 Non aspettare</v>
      </c>
      <c r="AF65" t="str">
        <f>IFERROR(IF($V65&lt;=INDEX('Parametri Modello'!$C$57:$C$60,MATCH($B65,'Parametri Modello'!$A$57:$A$60,0)),"Titolare","Riserva"),"")</f>
        <v>Titolare</v>
      </c>
      <c r="AG65" t="str">
        <f>IFERROR(INDEX('Pressione Competitiva'!$F$3:$F$6,MATCH($B65,'Pressione Competitiva'!$B$3:$B$6,0)),"")</f>
        <v>🔴 Molto Alta</v>
      </c>
      <c r="AH65" t="str">
        <f t="shared" si="5"/>
        <v/>
      </c>
      <c r="AI65" t="str">
        <f>IFERROR(IF($AH65="","",IF($AH65&gt;=$AA65*'Parametri Modello'!$B$68,"🟢 Opportunita'",IF($AH65&lt;=$AA65*'Parametri Modello'!$B$69,"🔴 Sovrapprezzo","🟡 Prezzo Corretto"))),"")</f>
        <v/>
      </c>
      <c r="AJ65" t="str">
        <f t="shared" si="6"/>
        <v/>
      </c>
      <c r="AK65">
        <f t="shared" si="7"/>
        <v>7</v>
      </c>
      <c r="AL65" t="str">
        <f t="shared" si="8"/>
        <v>D|Top|7</v>
      </c>
    </row>
    <row r="66" spans="1:38" ht="14.25" customHeight="1" x14ac:dyDescent="0.25">
      <c r="A66" s="18">
        <v>536</v>
      </c>
      <c r="B66" s="18" t="s">
        <v>17</v>
      </c>
      <c r="C66" s="18" t="s">
        <v>205</v>
      </c>
      <c r="E66" s="23" t="str">
        <f>IF(COUNTIF('Info Strategia'!$D$2:$D$51,$C66)&gt;0,"SI","NO")</f>
        <v>NO</v>
      </c>
      <c r="F66" s="24">
        <f>IFERROR(ROUND(($G66+($H66-$G66)*'Info Strategia'!$B$6)*(1+IF($E66="SI",'Parametri Modello'!$B$7*'Info Strategia'!$B$6,0)),0),"")</f>
        <v>31</v>
      </c>
      <c r="G66" s="24">
        <f>IFERROR(ROUND(MAX(1,(IF($V66&lt;=INDEX('Parametri Modello'!$C$57:$C$60,MATCH($B66,'Parametri Modello'!$A$57:$A$60,0)),IF(INDEX('Parametri Modello'!$E$57:$E$60,MATCH($B66,'Parametri Modello'!$A$57:$A$60,0))=0,0,($O66/INDEX('Parametri Modello'!$E$57:$E$60,MATCH($B66,'Parametri Modello'!$A$57:$A$60,0)))*(INDEX('Parametri Modello'!$D$57:$D$60,MATCH($B66,'Parametri Modello'!$A$57:$A$60,0))*(INDEX('Parametri Modello'!$B$50:$B$53,MATCH($B66,'Parametri Modello'!$A$50:$A$53,0))*'Parametri Modello'!$B$44))),IF(INDEX('Parametri Modello'!$F$57:$F$60,MATCH($B66,'Parametri Modello'!$A$57:$A$60,0))=0,0,($O66/INDEX('Parametri Modello'!$F$57:$F$60,MATCH($B66,'Parametri Modello'!$A$57:$A$60,0)))*((1-INDEX('Parametri Modello'!$D$57:$D$60,MATCH($B66,'Parametri Modello'!$A$57:$A$60,0)))*(INDEX('Parametri Modello'!$B$50:$B$53,MATCH($B66,'Parametri Modello'!$A$50:$A$53,0))*'Parametri Modello'!$B$44))))*(1+IF(IF($B66="D",'Info Lega'!$B$25,IF($B66="C",'Info Lega'!$B$26,"No"))="Si",'Parametri Modello'!$B$5,0))*(1+MAX(-0.25,MIN(0.25,IF(OR($T66="",$I66="",$I66=0,INDEX('Parametri Modello'!$B$19:$B$22,MATCH($B66,'Parametri Modello'!$A$19:$A$22,0))="",INDEX('Parametri Modello'!$B$19:$B$22,MATCH($B66,'Parametri Modello'!$A$19:$A$22,0))=0),0,(($T66-INDEX('Parametri Modello'!$B$19:$B$22,MATCH($B66,'Parametri Modello'!$A$19:$A$22,0)))/INDEX('Parametri Modello'!$B$19:$B$22,MATCH($B66,'Parametri Modello'!$A$19:$A$22,0)))*'Parametri Modello'!$B$9))))*(1+IF('Parametri Modello'!$B$27="Si",MAX(-'Parametri Modello'!$B$28,MIN('Parametri Modello'!$B$28*1.5,IF(OR(INDEX('Parametri Modello'!$F$32:$F$35,MATCH($B66,'Parametri Modello'!$A$32:$A$35,0))="",INDEX('Parametri Modello'!$F$32:$F$35,MATCH($B66,'Parametri Modello'!$A$32:$A$35,0))=0),0,(1/INDEX('Parametri Modello'!$F$32:$F$35,MATCH($B66,'Parametri Modello'!$A$32:$A$35,0))-1)*'Parametri Modello'!$B$28))),0)))*(1-INDEX('Parametri Modello'!$B$12:$B$15,MATCH($B66,'Parametri Modello'!$A$12:$A$15,0)))),0),"")</f>
        <v>21</v>
      </c>
      <c r="H66" s="24">
        <f>IFERROR(ROUND((IF($V66&lt;=INDEX('Parametri Modello'!$C$57:$C$60,MATCH($B66,'Parametri Modello'!$A$57:$A$60,0)),IF(INDEX('Parametri Modello'!$E$57:$E$60,MATCH($B66,'Parametri Modello'!$A$57:$A$60,0))=0,0,($O66/INDEX('Parametri Modello'!$E$57:$E$60,MATCH($B66,'Parametri Modello'!$A$57:$A$60,0)))*(INDEX('Parametri Modello'!$D$57:$D$60,MATCH($B66,'Parametri Modello'!$A$57:$A$60,0))*(INDEX('Parametri Modello'!$B$50:$B$53,MATCH($B66,'Parametri Modello'!$A$50:$A$53,0))*'Parametri Modello'!$B$44))),IF(INDEX('Parametri Modello'!$F$57:$F$60,MATCH($B66,'Parametri Modello'!$A$57:$A$60,0))=0,0,($O66/INDEX('Parametri Modello'!$F$57:$F$60,MATCH($B66,'Parametri Modello'!$A$57:$A$60,0)))*((1-INDEX('Parametri Modello'!$D$57:$D$60,MATCH($B66,'Parametri Modello'!$A$57:$A$60,0)))*(INDEX('Parametri Modello'!$B$50:$B$53,MATCH($B66,'Parametri Modello'!$A$50:$A$53,0))*'Parametri Modello'!$B$44))))*(1+IF(IF($B66="D",'Info Lega'!$B$25,IF($B66="C",'Info Lega'!$B$26,"No"))="Si",'Parametri Modello'!$B$5,0))*(1+MAX(-0.25,MIN(0.25,IF(OR($T66="",$I66="",$I66=0,INDEX('Parametri Modello'!$B$19:$B$22,MATCH($B66,'Parametri Modello'!$A$19:$A$22,0))="",INDEX('Parametri Modello'!$B$19:$B$22,MATCH($B66,'Parametri Modello'!$A$19:$A$22,0))=0),0,(($T66-INDEX('Parametri Modello'!$B$19:$B$22,MATCH($B66,'Parametri Modello'!$A$19:$A$22,0)))/INDEX('Parametri Modello'!$B$19:$B$22,MATCH($B66,'Parametri Modello'!$A$19:$A$22,0)))*'Parametri Modello'!$B$9))))*(1+IF('Parametri Modello'!$B$27="Si",MAX(-'Parametri Modello'!$B$28,MIN('Parametri Modello'!$B$28*1.5,IF(OR(INDEX('Parametri Modello'!$F$32:$F$35,MATCH($B66,'Parametri Modello'!$A$32:$A$35,0))="",INDEX('Parametri Modello'!$F$32:$F$35,MATCH($B66,'Parametri Modello'!$A$32:$A$35,0))=0),0,(1/INDEX('Parametri Modello'!$F$32:$F$35,MATCH($B66,'Parametri Modello'!$A$32:$A$35,0))-1)*'Parametri Modello'!$B$28))),0)))*(1+INDEX('Parametri Modello'!$B$12:$B$15,MATCH($B66,'Parametri Modello'!$A$12:$A$15,0))),0),"")</f>
        <v>35</v>
      </c>
      <c r="I66" s="23">
        <f>IFERROR(INDEX('Input Statistiche 2025_26'!$F$3:$F$665,MATCH($A66,'Input Statistiche 2025_26'!$A$3:$A$665,0)),"")</f>
        <v>33</v>
      </c>
      <c r="J66" s="23">
        <f t="shared" ref="J66:J129" si="9">IFERROR(IF($I66="","",MAX(0,38-$I66)),"")</f>
        <v>5</v>
      </c>
      <c r="K66" s="23">
        <f>IFERROR(INDEX('Input Statistiche 2025_26'!$I$3:$I$665,MATCH($A66,'Input Statistiche 2025_26'!$A$3:$A$665,0)),"")</f>
        <v>2</v>
      </c>
      <c r="L66" s="23">
        <f>IFERROR(INDEX('Input Statistiche 2025_26'!$O$3:$O$665,MATCH($A66,'Input Statistiche 2025_26'!$A$3:$A$665,0)),"")</f>
        <v>5</v>
      </c>
      <c r="M66" s="25"/>
      <c r="N66" s="24">
        <f>IFERROR(INDEX('Input Giocatori 2026_27'!$E$3:$E$493,MATCH($A66,'Input Giocatori 2026_27'!$A$3:$A$493,0)),"")</f>
        <v>10</v>
      </c>
      <c r="O66" s="24">
        <f>IFERROR(INDEX('Input Giocatori 2026_27'!$G$3:$G$493,MATCH($A66,'Input Giocatori 2026_27'!$A$3:$A$493,0)),"")</f>
        <v>47</v>
      </c>
      <c r="P66" s="23" t="str">
        <f>IFERROR(IF($O66="","",IF((1-(COUNTIFS($B$2:$B$492,$B66,$O$2:$O$492,"&gt;"&amp;$O66)+1-1)/COUNTIF($B$2:$B$492,$B66))&gt;='Parametri Modello'!$B$63,"Top",IF((1-(COUNTIFS($B$2:$B$492,$B66,$O$2:$O$492,"&gt;"&amp;$O66)+1-1)/COUNTIF($B$2:$B$492,$B66))&gt;='Parametri Modello'!$B$64,"Buono",IF((1-(COUNTIFS($B$2:$B$492,$B66,$O$2:$O$492,"&gt;"&amp;$O66)+1-1)/COUNTIF($B$2:$B$492,$B66))&gt;='Parametri Modello'!$B$65,"Nella Media","Scommessa/Riserva")))),"")</f>
        <v>Buono</v>
      </c>
      <c r="Q66" s="26">
        <f>IF(AND($D66="",$N66&gt;1),SUMPRODUCT(($D$2:$D66="")*($N$2:$N66&gt;1)),"")</f>
        <v>65</v>
      </c>
      <c r="R66" s="26" t="str">
        <f>IF($D66='Info Lega'!$B$28,COUNTIFS($D$2:$D66,'Info Lega'!$B$28),"")</f>
        <v/>
      </c>
      <c r="S66" s="27">
        <f>IFERROR(INDEX('Input Statistiche 2025_26'!$G$3:$G$665,MATCH($A66,'Input Statistiche 2025_26'!$A$3:$A$665,0)),"")</f>
        <v>6.09</v>
      </c>
      <c r="T66" s="27">
        <f>IFERROR(INDEX('Input Statistiche 2025_26'!$H$3:$H$665,MATCH($A66,'Input Statistiche 2025_26'!$A$3:$A$665,0)),"")</f>
        <v>6.36</v>
      </c>
      <c r="U66" s="23" t="str">
        <f>IF(OR('La Mia Rosa'!$O$12="",$D66&lt;&gt;""),"",IF($F66&lt;='La Mia Rosa'!$O$12*'Parametri Modello'!$B$24,"OK",IF($F66&lt;='La Mia Rosa'!$O$12*'Parametri Modello'!$B$25,"Attenzione","Rischio Alto")))</f>
        <v>OK</v>
      </c>
      <c r="V66" s="23">
        <f t="shared" ref="V66:V129" si="10">IFERROR(COUNTIFS($B$2:$B$492,$B66,$O$2:$O$492,"&gt;"&amp;$O66)+1,"")</f>
        <v>22</v>
      </c>
      <c r="W66" s="18">
        <f>'Info Lega'!$B$4-SUMIFS($M$2:$M$492,$D$2:$D$492,'Info Lega'!$B$28)</f>
        <v>1000</v>
      </c>
      <c r="X66" s="18">
        <f>('Info Lega'!$B$5-COUNTIFS($D$2:$D$492,'Info Lega'!$B$28,$B$2:$B$492,"P"))+('Info Lega'!$B$6-COUNTIFS($D$2:$D$492,'Info Lega'!$B$28,$B$2:$B$492,"D"))+('Info Lega'!$B$7-COUNTIFS($D$2:$D$492,'Info Lega'!$B$28,$B$2:$B$492,"C"))+('Info Lega'!$B$8-COUNTIFS($D$2:$D$492,'Info Lega'!$B$28,$B$2:$B$492,"A"))</f>
        <v>25</v>
      </c>
      <c r="Y66" s="18">
        <f>X66*'Parametri Modello'!$B$30</f>
        <v>25</v>
      </c>
      <c r="Z66" s="18">
        <f t="shared" ref="Z66:Z129" si="11">MAX(0,W66-Y66)</f>
        <v>975</v>
      </c>
      <c r="AA66" s="18">
        <f t="shared" ref="AA66:AA129" si="12">MIN(F66,Z66)</f>
        <v>31</v>
      </c>
      <c r="AB66" s="18"/>
      <c r="AC66" s="18" t="str">
        <f>IF($AB66="","",IF($AB66&gt;$AA66,"PASS",IF($AB66&lt;=$AA66*(1-'Parametri Modello'!$B$68),"BID","ATTENZIONE")))</f>
        <v/>
      </c>
      <c r="AD66" s="28">
        <f t="shared" ref="AD66:AD129" si="13">IF(I66="","",ROUND(100*(1-EXP(-I66/30)),0))</f>
        <v>67</v>
      </c>
      <c r="AE66" s="5" t="str">
        <f>IFERROR(INDEX('Stato Asta'!$G$9:$G$12,MATCH($B66,'Stato Asta'!$A$9:$A$12,0)),"")</f>
        <v>🔴 Non aspettare</v>
      </c>
      <c r="AF66" t="str">
        <f>IFERROR(IF($V66&lt;=INDEX('Parametri Modello'!$C$57:$C$60,MATCH($B66,'Parametri Modello'!$A$57:$A$60,0)),"Titolare","Riserva"),"")</f>
        <v>Titolare</v>
      </c>
      <c r="AG66" t="str">
        <f>IFERROR(INDEX('Pressione Competitiva'!$F$3:$F$6,MATCH($B66,'Pressione Competitiva'!$B$3:$B$6,0)),"")</f>
        <v>🔴 Molto Alta</v>
      </c>
      <c r="AH66" t="str">
        <f t="shared" ref="AH66:AH129" si="14">IF($AB66="","",$AA66-$AB66)</f>
        <v/>
      </c>
      <c r="AI66" t="str">
        <f>IFERROR(IF($AH66="","",IF($AH66&gt;=$AA66*'Parametri Modello'!$B$68,"🟢 Opportunita'",IF($AH66&lt;=$AA66*'Parametri Modello'!$B$69,"🔴 Sovrapprezzo","🟡 Prezzo Corretto"))),"")</f>
        <v/>
      </c>
      <c r="AJ66" t="str">
        <f t="shared" ref="AJ66:AJ129" si="15">IF($AB66="","",IF($AC66="PASS","Prezzo sopra la tua Offerta Max Dinamica ("&amp;$AA66&amp;" cr).",IF($AC66="BID","Margine ampio sul tuo tetto (+"&amp;($AA66-$AB66)&amp;" cr).","Margine ridotto: sei vicino al tuo tetto ("&amp;($AA66-$AB66)&amp;" cr residui).")))</f>
        <v/>
      </c>
      <c r="AK66">
        <f t="shared" ref="AK66:AK129" si="16">IF(AND($D66="",$N66&gt;1),COUNTIFS($B$2:$B$492,$B66,$P$2:$P$492,$P66,$D$2:$D$492,"",$N$2:$N$492,"&gt;1",$O$2:$O$492,"&gt;"&amp;$O66)+1,"")</f>
        <v>4</v>
      </c>
      <c r="AL66" t="str">
        <f t="shared" ref="AL66:AL129" si="17">IF($AK66="","",$B66&amp;"|"&amp;$P66&amp;"|"&amp;$AK66)</f>
        <v>C|Buono|4</v>
      </c>
    </row>
    <row r="67" spans="1:38" ht="14.25" customHeight="1" x14ac:dyDescent="0.25">
      <c r="A67" s="18">
        <v>4976</v>
      </c>
      <c r="B67" s="18" t="s">
        <v>16</v>
      </c>
      <c r="C67" s="18" t="s">
        <v>206</v>
      </c>
      <c r="E67" s="23" t="str">
        <f>IF(COUNTIF('Info Strategia'!$D$2:$D$51,$C67)&gt;0,"SI","NO")</f>
        <v>NO</v>
      </c>
      <c r="F67" s="24">
        <f>IFERROR(ROUND(($G67+($H67-$G67)*'Info Strategia'!$B$6)*(1+IF($E67="SI",'Parametri Modello'!$B$7*'Info Strategia'!$B$6,0)),0),"")</f>
        <v>31</v>
      </c>
      <c r="G67" s="24">
        <f>IFERROR(ROUND(MAX(1,(IF($V67&lt;=INDEX('Parametri Modello'!$C$57:$C$60,MATCH($B67,'Parametri Modello'!$A$57:$A$60,0)),IF(INDEX('Parametri Modello'!$E$57:$E$60,MATCH($B67,'Parametri Modello'!$A$57:$A$60,0))=0,0,($O67/INDEX('Parametri Modello'!$E$57:$E$60,MATCH($B67,'Parametri Modello'!$A$57:$A$60,0)))*(INDEX('Parametri Modello'!$D$57:$D$60,MATCH($B67,'Parametri Modello'!$A$57:$A$60,0))*(INDEX('Parametri Modello'!$B$50:$B$53,MATCH($B67,'Parametri Modello'!$A$50:$A$53,0))*'Parametri Modello'!$B$44))),IF(INDEX('Parametri Modello'!$F$57:$F$60,MATCH($B67,'Parametri Modello'!$A$57:$A$60,0))=0,0,($O67/INDEX('Parametri Modello'!$F$57:$F$60,MATCH($B67,'Parametri Modello'!$A$57:$A$60,0)))*((1-INDEX('Parametri Modello'!$D$57:$D$60,MATCH($B67,'Parametri Modello'!$A$57:$A$60,0)))*(INDEX('Parametri Modello'!$B$50:$B$53,MATCH($B67,'Parametri Modello'!$A$50:$A$53,0))*'Parametri Modello'!$B$44))))*(1+IF(IF($B67="D",'Info Lega'!$B$25,IF($B67="C",'Info Lega'!$B$26,"No"))="Si",'Parametri Modello'!$B$5,0))*(1+MAX(-0.25,MIN(0.25,IF(OR($T67="",$I67="",$I67=0,INDEX('Parametri Modello'!$B$19:$B$22,MATCH($B67,'Parametri Modello'!$A$19:$A$22,0))="",INDEX('Parametri Modello'!$B$19:$B$22,MATCH($B67,'Parametri Modello'!$A$19:$A$22,0))=0),0,(($T67-INDEX('Parametri Modello'!$B$19:$B$22,MATCH($B67,'Parametri Modello'!$A$19:$A$22,0)))/INDEX('Parametri Modello'!$B$19:$B$22,MATCH($B67,'Parametri Modello'!$A$19:$A$22,0)))*'Parametri Modello'!$B$9))))*(1+IF('Parametri Modello'!$B$27="Si",MAX(-'Parametri Modello'!$B$28,MIN('Parametri Modello'!$B$28*1.5,IF(OR(INDEX('Parametri Modello'!$F$32:$F$35,MATCH($B67,'Parametri Modello'!$A$32:$A$35,0))="",INDEX('Parametri Modello'!$F$32:$F$35,MATCH($B67,'Parametri Modello'!$A$32:$A$35,0))=0),0,(1/INDEX('Parametri Modello'!$F$32:$F$35,MATCH($B67,'Parametri Modello'!$A$32:$A$35,0))-1)*'Parametri Modello'!$B$28))),0)))*(1-INDEX('Parametri Modello'!$B$12:$B$15,MATCH($B67,'Parametri Modello'!$A$12:$A$15,0)))),0),"")</f>
        <v>23</v>
      </c>
      <c r="H67" s="24">
        <f>IFERROR(ROUND((IF($V67&lt;=INDEX('Parametri Modello'!$C$57:$C$60,MATCH($B67,'Parametri Modello'!$A$57:$A$60,0)),IF(INDEX('Parametri Modello'!$E$57:$E$60,MATCH($B67,'Parametri Modello'!$A$57:$A$60,0))=0,0,($O67/INDEX('Parametri Modello'!$E$57:$E$60,MATCH($B67,'Parametri Modello'!$A$57:$A$60,0)))*(INDEX('Parametri Modello'!$D$57:$D$60,MATCH($B67,'Parametri Modello'!$A$57:$A$60,0))*(INDEX('Parametri Modello'!$B$50:$B$53,MATCH($B67,'Parametri Modello'!$A$50:$A$53,0))*'Parametri Modello'!$B$44))),IF(INDEX('Parametri Modello'!$F$57:$F$60,MATCH($B67,'Parametri Modello'!$A$57:$A$60,0))=0,0,($O67/INDEX('Parametri Modello'!$F$57:$F$60,MATCH($B67,'Parametri Modello'!$A$57:$A$60,0)))*((1-INDEX('Parametri Modello'!$D$57:$D$60,MATCH($B67,'Parametri Modello'!$A$57:$A$60,0)))*(INDEX('Parametri Modello'!$B$50:$B$53,MATCH($B67,'Parametri Modello'!$A$50:$A$53,0))*'Parametri Modello'!$B$44))))*(1+IF(IF($B67="D",'Info Lega'!$B$25,IF($B67="C",'Info Lega'!$B$26,"No"))="Si",'Parametri Modello'!$B$5,0))*(1+MAX(-0.25,MIN(0.25,IF(OR($T67="",$I67="",$I67=0,INDEX('Parametri Modello'!$B$19:$B$22,MATCH($B67,'Parametri Modello'!$A$19:$A$22,0))="",INDEX('Parametri Modello'!$B$19:$B$22,MATCH($B67,'Parametri Modello'!$A$19:$A$22,0))=0),0,(($T67-INDEX('Parametri Modello'!$B$19:$B$22,MATCH($B67,'Parametri Modello'!$A$19:$A$22,0)))/INDEX('Parametri Modello'!$B$19:$B$22,MATCH($B67,'Parametri Modello'!$A$19:$A$22,0)))*'Parametri Modello'!$B$9))))*(1+IF('Parametri Modello'!$B$27="Si",MAX(-'Parametri Modello'!$B$28,MIN('Parametri Modello'!$B$28*1.5,IF(OR(INDEX('Parametri Modello'!$F$32:$F$35,MATCH($B67,'Parametri Modello'!$A$32:$A$35,0))="",INDEX('Parametri Modello'!$F$32:$F$35,MATCH($B67,'Parametri Modello'!$A$32:$A$35,0))=0),0,(1/INDEX('Parametri Modello'!$F$32:$F$35,MATCH($B67,'Parametri Modello'!$A$32:$A$35,0))-1)*'Parametri Modello'!$B$28))),0)))*(1+INDEX('Parametri Modello'!$B$12:$B$15,MATCH($B67,'Parametri Modello'!$A$12:$A$15,0))),0),"")</f>
        <v>35</v>
      </c>
      <c r="I67" s="23">
        <f>IFERROR(INDEX('Input Statistiche 2025_26'!$F$3:$F$665,MATCH($A67,'Input Statistiche 2025_26'!$A$3:$A$665,0)),"")</f>
        <v>37</v>
      </c>
      <c r="J67" s="23">
        <f t="shared" si="9"/>
        <v>1</v>
      </c>
      <c r="K67" s="23">
        <f>IFERROR(INDEX('Input Statistiche 2025_26'!$I$3:$I$665,MATCH($A67,'Input Statistiche 2025_26'!$A$3:$A$665,0)),"")</f>
        <v>2</v>
      </c>
      <c r="L67" s="23">
        <f>IFERROR(INDEX('Input Statistiche 2025_26'!$O$3:$O$665,MATCH($A67,'Input Statistiche 2025_26'!$A$3:$A$665,0)),"")</f>
        <v>4</v>
      </c>
      <c r="M67" s="25"/>
      <c r="N67" s="24">
        <f>IFERROR(INDEX('Input Giocatori 2026_27'!$E$3:$E$493,MATCH($A67,'Input Giocatori 2026_27'!$A$3:$A$493,0)),"")</f>
        <v>13</v>
      </c>
      <c r="O67" s="24">
        <f>IFERROR(INDEX('Input Giocatori 2026_27'!$G$3:$G$493,MATCH($A67,'Input Giocatori 2026_27'!$A$3:$A$493,0)),"")</f>
        <v>46</v>
      </c>
      <c r="P67" s="23" t="str">
        <f>IFERROR(IF($O67="","",IF((1-(COUNTIFS($B$2:$B$492,$B67,$O$2:$O$492,"&gt;"&amp;$O67)+1-1)/COUNTIF($B$2:$B$492,$B67))&gt;='Parametri Modello'!$B$63,"Top",IF((1-(COUNTIFS($B$2:$B$492,$B67,$O$2:$O$492,"&gt;"&amp;$O67)+1-1)/COUNTIF($B$2:$B$492,$B67))&gt;='Parametri Modello'!$B$64,"Buono",IF((1-(COUNTIFS($B$2:$B$492,$B67,$O$2:$O$492,"&gt;"&amp;$O67)+1-1)/COUNTIF($B$2:$B$492,$B67))&gt;='Parametri Modello'!$B$65,"Nella Media","Scommessa/Riserva")))),"")</f>
        <v>Top</v>
      </c>
      <c r="Q67" s="26">
        <f>IF(AND($D67="",$N67&gt;1),SUMPRODUCT(($D$2:$D67="")*($N$2:$N67&gt;1)),"")</f>
        <v>66</v>
      </c>
      <c r="R67" s="26" t="str">
        <f>IF($D67='Info Lega'!$B$28,COUNTIFS($D$2:$D67,'Info Lega'!$B$28),"")</f>
        <v/>
      </c>
      <c r="S67" s="27">
        <f>IFERROR(INDEX('Input Statistiche 2025_26'!$G$3:$G$665,MATCH($A67,'Input Statistiche 2025_26'!$A$3:$A$665,0)),"")</f>
        <v>6.14</v>
      </c>
      <c r="T67" s="27">
        <f>IFERROR(INDEX('Input Statistiche 2025_26'!$H$3:$H$665,MATCH($A67,'Input Statistiche 2025_26'!$A$3:$A$665,0)),"")</f>
        <v>6.35</v>
      </c>
      <c r="U67" s="23" t="str">
        <f>IF(OR('La Mia Rosa'!$O$12="",$D67&lt;&gt;""),"",IF($F67&lt;='La Mia Rosa'!$O$12*'Parametri Modello'!$B$24,"OK",IF($F67&lt;='La Mia Rosa'!$O$12*'Parametri Modello'!$B$25,"Attenzione","Rischio Alto")))</f>
        <v>OK</v>
      </c>
      <c r="V67" s="23">
        <f t="shared" si="10"/>
        <v>8</v>
      </c>
      <c r="W67" s="18">
        <f>'Info Lega'!$B$4-SUMIFS($M$2:$M$492,$D$2:$D$492,'Info Lega'!$B$28)</f>
        <v>1000</v>
      </c>
      <c r="X67" s="18">
        <f>('Info Lega'!$B$5-COUNTIFS($D$2:$D$492,'Info Lega'!$B$28,$B$2:$B$492,"P"))+('Info Lega'!$B$6-COUNTIFS($D$2:$D$492,'Info Lega'!$B$28,$B$2:$B$492,"D"))+('Info Lega'!$B$7-COUNTIFS($D$2:$D$492,'Info Lega'!$B$28,$B$2:$B$492,"C"))+('Info Lega'!$B$8-COUNTIFS($D$2:$D$492,'Info Lega'!$B$28,$B$2:$B$492,"A"))</f>
        <v>25</v>
      </c>
      <c r="Y67" s="18">
        <f>X67*'Parametri Modello'!$B$30</f>
        <v>25</v>
      </c>
      <c r="Z67" s="18">
        <f t="shared" si="11"/>
        <v>975</v>
      </c>
      <c r="AA67" s="18">
        <f t="shared" si="12"/>
        <v>31</v>
      </c>
      <c r="AB67" s="18"/>
      <c r="AC67" s="18" t="str">
        <f>IF($AB67="","",IF($AB67&gt;$AA67,"PASS",IF($AB67&lt;=$AA67*(1-'Parametri Modello'!$B$68),"BID","ATTENZIONE")))</f>
        <v/>
      </c>
      <c r="AD67" s="28">
        <f t="shared" si="13"/>
        <v>71</v>
      </c>
      <c r="AE67" s="5" t="str">
        <f>IFERROR(INDEX('Stato Asta'!$G$9:$G$12,MATCH($B67,'Stato Asta'!$A$9:$A$12,0)),"")</f>
        <v>🔴 Non aspettare</v>
      </c>
      <c r="AF67" t="str">
        <f>IFERROR(IF($V67&lt;=INDEX('Parametri Modello'!$C$57:$C$60,MATCH($B67,'Parametri Modello'!$A$57:$A$60,0)),"Titolare","Riserva"),"")</f>
        <v>Titolare</v>
      </c>
      <c r="AG67" t="str">
        <f>IFERROR(INDEX('Pressione Competitiva'!$F$3:$F$6,MATCH($B67,'Pressione Competitiva'!$B$3:$B$6,0)),"")</f>
        <v>🔴 Molto Alta</v>
      </c>
      <c r="AH67" t="str">
        <f t="shared" si="14"/>
        <v/>
      </c>
      <c r="AI67" t="str">
        <f>IFERROR(IF($AH67="","",IF($AH67&gt;=$AA67*'Parametri Modello'!$B$68,"🟢 Opportunita'",IF($AH67&lt;=$AA67*'Parametri Modello'!$B$69,"🔴 Sovrapprezzo","🟡 Prezzo Corretto"))),"")</f>
        <v/>
      </c>
      <c r="AJ67" t="str">
        <f t="shared" si="15"/>
        <v/>
      </c>
      <c r="AK67">
        <f t="shared" si="16"/>
        <v>8</v>
      </c>
      <c r="AL67" t="str">
        <f t="shared" si="17"/>
        <v>D|Top|8</v>
      </c>
    </row>
    <row r="68" spans="1:38" ht="14.25" customHeight="1" x14ac:dyDescent="0.25">
      <c r="A68" s="18">
        <v>6956</v>
      </c>
      <c r="B68" s="18" t="s">
        <v>16</v>
      </c>
      <c r="C68" s="18" t="s">
        <v>207</v>
      </c>
      <c r="E68" s="23" t="str">
        <f>IF(COUNTIF('Info Strategia'!$D$2:$D$51,$C68)&gt;0,"SI","NO")</f>
        <v>NO</v>
      </c>
      <c r="F68" s="24">
        <f>IFERROR(ROUND(($G68+($H68-$G68)*'Info Strategia'!$B$6)*(1+IF($E68="SI",'Parametri Modello'!$B$7*'Info Strategia'!$B$6,0)),0),"")</f>
        <v>31</v>
      </c>
      <c r="G68" s="24">
        <f>IFERROR(ROUND(MAX(1,(IF($V68&lt;=INDEX('Parametri Modello'!$C$57:$C$60,MATCH($B68,'Parametri Modello'!$A$57:$A$60,0)),IF(INDEX('Parametri Modello'!$E$57:$E$60,MATCH($B68,'Parametri Modello'!$A$57:$A$60,0))=0,0,($O68/INDEX('Parametri Modello'!$E$57:$E$60,MATCH($B68,'Parametri Modello'!$A$57:$A$60,0)))*(INDEX('Parametri Modello'!$D$57:$D$60,MATCH($B68,'Parametri Modello'!$A$57:$A$60,0))*(INDEX('Parametri Modello'!$B$50:$B$53,MATCH($B68,'Parametri Modello'!$A$50:$A$53,0))*'Parametri Modello'!$B$44))),IF(INDEX('Parametri Modello'!$F$57:$F$60,MATCH($B68,'Parametri Modello'!$A$57:$A$60,0))=0,0,($O68/INDEX('Parametri Modello'!$F$57:$F$60,MATCH($B68,'Parametri Modello'!$A$57:$A$60,0)))*((1-INDEX('Parametri Modello'!$D$57:$D$60,MATCH($B68,'Parametri Modello'!$A$57:$A$60,0)))*(INDEX('Parametri Modello'!$B$50:$B$53,MATCH($B68,'Parametri Modello'!$A$50:$A$53,0))*'Parametri Modello'!$B$44))))*(1+IF(IF($B68="D",'Info Lega'!$B$25,IF($B68="C",'Info Lega'!$B$26,"No"))="Si",'Parametri Modello'!$B$5,0))*(1+MAX(-0.25,MIN(0.25,IF(OR($T68="",$I68="",$I68=0,INDEX('Parametri Modello'!$B$19:$B$22,MATCH($B68,'Parametri Modello'!$A$19:$A$22,0))="",INDEX('Parametri Modello'!$B$19:$B$22,MATCH($B68,'Parametri Modello'!$A$19:$A$22,0))=0),0,(($T68-INDEX('Parametri Modello'!$B$19:$B$22,MATCH($B68,'Parametri Modello'!$A$19:$A$22,0)))/INDEX('Parametri Modello'!$B$19:$B$22,MATCH($B68,'Parametri Modello'!$A$19:$A$22,0)))*'Parametri Modello'!$B$9))))*(1+IF('Parametri Modello'!$B$27="Si",MAX(-'Parametri Modello'!$B$28,MIN('Parametri Modello'!$B$28*1.5,IF(OR(INDEX('Parametri Modello'!$F$32:$F$35,MATCH($B68,'Parametri Modello'!$A$32:$A$35,0))="",INDEX('Parametri Modello'!$F$32:$F$35,MATCH($B68,'Parametri Modello'!$A$32:$A$35,0))=0),0,(1/INDEX('Parametri Modello'!$F$32:$F$35,MATCH($B68,'Parametri Modello'!$A$32:$A$35,0))-1)*'Parametri Modello'!$B$28))),0)))*(1-INDEX('Parametri Modello'!$B$12:$B$15,MATCH($B68,'Parametri Modello'!$A$12:$A$15,0)))),0),"")</f>
        <v>23</v>
      </c>
      <c r="H68" s="24">
        <f>IFERROR(ROUND((IF($V68&lt;=INDEX('Parametri Modello'!$C$57:$C$60,MATCH($B68,'Parametri Modello'!$A$57:$A$60,0)),IF(INDEX('Parametri Modello'!$E$57:$E$60,MATCH($B68,'Parametri Modello'!$A$57:$A$60,0))=0,0,($O68/INDEX('Parametri Modello'!$E$57:$E$60,MATCH($B68,'Parametri Modello'!$A$57:$A$60,0)))*(INDEX('Parametri Modello'!$D$57:$D$60,MATCH($B68,'Parametri Modello'!$A$57:$A$60,0))*(INDEX('Parametri Modello'!$B$50:$B$53,MATCH($B68,'Parametri Modello'!$A$50:$A$53,0))*'Parametri Modello'!$B$44))),IF(INDEX('Parametri Modello'!$F$57:$F$60,MATCH($B68,'Parametri Modello'!$A$57:$A$60,0))=0,0,($O68/INDEX('Parametri Modello'!$F$57:$F$60,MATCH($B68,'Parametri Modello'!$A$57:$A$60,0)))*((1-INDEX('Parametri Modello'!$D$57:$D$60,MATCH($B68,'Parametri Modello'!$A$57:$A$60,0)))*(INDEX('Parametri Modello'!$B$50:$B$53,MATCH($B68,'Parametri Modello'!$A$50:$A$53,0))*'Parametri Modello'!$B$44))))*(1+IF(IF($B68="D",'Info Lega'!$B$25,IF($B68="C",'Info Lega'!$B$26,"No"))="Si",'Parametri Modello'!$B$5,0))*(1+MAX(-0.25,MIN(0.25,IF(OR($T68="",$I68="",$I68=0,INDEX('Parametri Modello'!$B$19:$B$22,MATCH($B68,'Parametri Modello'!$A$19:$A$22,0))="",INDEX('Parametri Modello'!$B$19:$B$22,MATCH($B68,'Parametri Modello'!$A$19:$A$22,0))=0),0,(($T68-INDEX('Parametri Modello'!$B$19:$B$22,MATCH($B68,'Parametri Modello'!$A$19:$A$22,0)))/INDEX('Parametri Modello'!$B$19:$B$22,MATCH($B68,'Parametri Modello'!$A$19:$A$22,0)))*'Parametri Modello'!$B$9))))*(1+IF('Parametri Modello'!$B$27="Si",MAX(-'Parametri Modello'!$B$28,MIN('Parametri Modello'!$B$28*1.5,IF(OR(INDEX('Parametri Modello'!$F$32:$F$35,MATCH($B68,'Parametri Modello'!$A$32:$A$35,0))="",INDEX('Parametri Modello'!$F$32:$F$35,MATCH($B68,'Parametri Modello'!$A$32:$A$35,0))=0),0,(1/INDEX('Parametri Modello'!$F$32:$F$35,MATCH($B68,'Parametri Modello'!$A$32:$A$35,0))-1)*'Parametri Modello'!$B$28))),0)))*(1+INDEX('Parametri Modello'!$B$12:$B$15,MATCH($B68,'Parametri Modello'!$A$12:$A$15,0))),0),"")</f>
        <v>35</v>
      </c>
      <c r="I68" s="23">
        <f>IFERROR(INDEX('Input Statistiche 2025_26'!$F$3:$F$665,MATCH($A68,'Input Statistiche 2025_26'!$A$3:$A$665,0)),"")</f>
        <v>34</v>
      </c>
      <c r="J68" s="23">
        <f t="shared" si="9"/>
        <v>4</v>
      </c>
      <c r="K68" s="23">
        <f>IFERROR(INDEX('Input Statistiche 2025_26'!$I$3:$I$665,MATCH($A68,'Input Statistiche 2025_26'!$A$3:$A$665,0)),"")</f>
        <v>3</v>
      </c>
      <c r="L68" s="23">
        <f>IFERROR(INDEX('Input Statistiche 2025_26'!$O$3:$O$665,MATCH($A68,'Input Statistiche 2025_26'!$A$3:$A$665,0)),"")</f>
        <v>1</v>
      </c>
      <c r="M68" s="25"/>
      <c r="N68" s="24">
        <f>IFERROR(INDEX('Input Giocatori 2026_27'!$E$3:$E$493,MATCH($A68,'Input Giocatori 2026_27'!$A$3:$A$493,0)),"")</f>
        <v>13</v>
      </c>
      <c r="O68" s="24">
        <f>IFERROR(INDEX('Input Giocatori 2026_27'!$G$3:$G$493,MATCH($A68,'Input Giocatori 2026_27'!$A$3:$A$493,0)),"")</f>
        <v>46</v>
      </c>
      <c r="P68" s="23" t="str">
        <f>IFERROR(IF($O68="","",IF((1-(COUNTIFS($B$2:$B$492,$B68,$O$2:$O$492,"&gt;"&amp;$O68)+1-1)/COUNTIF($B$2:$B$492,$B68))&gt;='Parametri Modello'!$B$63,"Top",IF((1-(COUNTIFS($B$2:$B$492,$B68,$O$2:$O$492,"&gt;"&amp;$O68)+1-1)/COUNTIF($B$2:$B$492,$B68))&gt;='Parametri Modello'!$B$64,"Buono",IF((1-(COUNTIFS($B$2:$B$492,$B68,$O$2:$O$492,"&gt;"&amp;$O68)+1-1)/COUNTIF($B$2:$B$492,$B68))&gt;='Parametri Modello'!$B$65,"Nella Media","Scommessa/Riserva")))),"")</f>
        <v>Top</v>
      </c>
      <c r="Q68" s="26">
        <f>IF(AND($D68="",$N68&gt;1),SUMPRODUCT(($D$2:$D68="")*($N$2:$N68&gt;1)),"")</f>
        <v>67</v>
      </c>
      <c r="R68" s="26" t="str">
        <f>IF($D68='Info Lega'!$B$28,COUNTIFS($D$2:$D68,'Info Lega'!$B$28),"")</f>
        <v/>
      </c>
      <c r="S68" s="27">
        <f>IFERROR(INDEX('Input Statistiche 2025_26'!$G$3:$G$665,MATCH($A68,'Input Statistiche 2025_26'!$A$3:$A$665,0)),"")</f>
        <v>6.18</v>
      </c>
      <c r="T68" s="27">
        <f>IFERROR(INDEX('Input Statistiche 2025_26'!$H$3:$H$665,MATCH($A68,'Input Statistiche 2025_26'!$A$3:$A$665,0)),"")</f>
        <v>6.4</v>
      </c>
      <c r="U68" s="23" t="str">
        <f>IF(OR('La Mia Rosa'!$O$12="",$D68&lt;&gt;""),"",IF($F68&lt;='La Mia Rosa'!$O$12*'Parametri Modello'!$B$24,"OK",IF($F68&lt;='La Mia Rosa'!$O$12*'Parametri Modello'!$B$25,"Attenzione","Rischio Alto")))</f>
        <v>OK</v>
      </c>
      <c r="V68" s="23">
        <f t="shared" si="10"/>
        <v>8</v>
      </c>
      <c r="W68" s="18">
        <f>'Info Lega'!$B$4-SUMIFS($M$2:$M$492,$D$2:$D$492,'Info Lega'!$B$28)</f>
        <v>1000</v>
      </c>
      <c r="X68" s="18">
        <f>('Info Lega'!$B$5-COUNTIFS($D$2:$D$492,'Info Lega'!$B$28,$B$2:$B$492,"P"))+('Info Lega'!$B$6-COUNTIFS($D$2:$D$492,'Info Lega'!$B$28,$B$2:$B$492,"D"))+('Info Lega'!$B$7-COUNTIFS($D$2:$D$492,'Info Lega'!$B$28,$B$2:$B$492,"C"))+('Info Lega'!$B$8-COUNTIFS($D$2:$D$492,'Info Lega'!$B$28,$B$2:$B$492,"A"))</f>
        <v>25</v>
      </c>
      <c r="Y68" s="18">
        <f>X68*'Parametri Modello'!$B$30</f>
        <v>25</v>
      </c>
      <c r="Z68" s="18">
        <f t="shared" si="11"/>
        <v>975</v>
      </c>
      <c r="AA68" s="18">
        <f t="shared" si="12"/>
        <v>31</v>
      </c>
      <c r="AB68" s="18"/>
      <c r="AC68" s="18" t="str">
        <f>IF($AB68="","",IF($AB68&gt;$AA68,"PASS",IF($AB68&lt;=$AA68*(1-'Parametri Modello'!$B$68),"BID","ATTENZIONE")))</f>
        <v/>
      </c>
      <c r="AD68" s="28">
        <f t="shared" si="13"/>
        <v>68</v>
      </c>
      <c r="AE68" s="5" t="str">
        <f>IFERROR(INDEX('Stato Asta'!$G$9:$G$12,MATCH($B68,'Stato Asta'!$A$9:$A$12,0)),"")</f>
        <v>🔴 Non aspettare</v>
      </c>
      <c r="AF68" t="str">
        <f>IFERROR(IF($V68&lt;=INDEX('Parametri Modello'!$C$57:$C$60,MATCH($B68,'Parametri Modello'!$A$57:$A$60,0)),"Titolare","Riserva"),"")</f>
        <v>Titolare</v>
      </c>
      <c r="AG68" t="str">
        <f>IFERROR(INDEX('Pressione Competitiva'!$F$3:$F$6,MATCH($B68,'Pressione Competitiva'!$B$3:$B$6,0)),"")</f>
        <v>🔴 Molto Alta</v>
      </c>
      <c r="AH68" t="str">
        <f t="shared" si="14"/>
        <v/>
      </c>
      <c r="AI68" t="str">
        <f>IFERROR(IF($AH68="","",IF($AH68&gt;=$AA68*'Parametri Modello'!$B$68,"🟢 Opportunita'",IF($AH68&lt;=$AA68*'Parametri Modello'!$B$69,"🔴 Sovrapprezzo","🟡 Prezzo Corretto"))),"")</f>
        <v/>
      </c>
      <c r="AJ68" t="str">
        <f t="shared" si="15"/>
        <v/>
      </c>
      <c r="AK68">
        <f t="shared" si="16"/>
        <v>8</v>
      </c>
      <c r="AL68" t="str">
        <f t="shared" si="17"/>
        <v>D|Top|8</v>
      </c>
    </row>
    <row r="69" spans="1:38" ht="14.25" customHeight="1" x14ac:dyDescent="0.25">
      <c r="A69" s="18">
        <v>2521</v>
      </c>
      <c r="B69" s="18" t="s">
        <v>15</v>
      </c>
      <c r="C69" s="18" t="s">
        <v>208</v>
      </c>
      <c r="E69" s="23" t="str">
        <f>IF(COUNTIF('Info Strategia'!$D$2:$D$51,$C69)&gt;0,"SI","NO")</f>
        <v>NO</v>
      </c>
      <c r="F69" s="24">
        <f>IFERROR(ROUND(($G69+($H69-$G69)*'Info Strategia'!$B$6)*(1+IF($E69="SI",'Parametri Modello'!$B$7*'Info Strategia'!$B$6,0)),0),"")</f>
        <v>75</v>
      </c>
      <c r="G69" s="24">
        <f>IFERROR(ROUND(MAX(1,(IF($V69&lt;=INDEX('Parametri Modello'!$C$57:$C$60,MATCH($B69,'Parametri Modello'!$A$57:$A$60,0)),IF(INDEX('Parametri Modello'!$E$57:$E$60,MATCH($B69,'Parametri Modello'!$A$57:$A$60,0))=0,0,($O69/INDEX('Parametri Modello'!$E$57:$E$60,MATCH($B69,'Parametri Modello'!$A$57:$A$60,0)))*(INDEX('Parametri Modello'!$D$57:$D$60,MATCH($B69,'Parametri Modello'!$A$57:$A$60,0))*(INDEX('Parametri Modello'!$B$50:$B$53,MATCH($B69,'Parametri Modello'!$A$50:$A$53,0))*'Parametri Modello'!$B$44))),IF(INDEX('Parametri Modello'!$F$57:$F$60,MATCH($B69,'Parametri Modello'!$A$57:$A$60,0))=0,0,($O69/INDEX('Parametri Modello'!$F$57:$F$60,MATCH($B69,'Parametri Modello'!$A$57:$A$60,0)))*((1-INDEX('Parametri Modello'!$D$57:$D$60,MATCH($B69,'Parametri Modello'!$A$57:$A$60,0)))*(INDEX('Parametri Modello'!$B$50:$B$53,MATCH($B69,'Parametri Modello'!$A$50:$A$53,0))*'Parametri Modello'!$B$44))))*(1+IF(IF($B69="D",'Info Lega'!$B$25,IF($B69="C",'Info Lega'!$B$26,"No"))="Si",'Parametri Modello'!$B$5,0))*(1+MAX(-0.25,MIN(0.25,IF(OR($T69="",$I69="",$I69=0,INDEX('Parametri Modello'!$B$19:$B$22,MATCH($B69,'Parametri Modello'!$A$19:$A$22,0))="",INDEX('Parametri Modello'!$B$19:$B$22,MATCH($B69,'Parametri Modello'!$A$19:$A$22,0))=0),0,(($T69-INDEX('Parametri Modello'!$B$19:$B$22,MATCH($B69,'Parametri Modello'!$A$19:$A$22,0)))/INDEX('Parametri Modello'!$B$19:$B$22,MATCH($B69,'Parametri Modello'!$A$19:$A$22,0)))*'Parametri Modello'!$B$9))))*(1+IF('Parametri Modello'!$B$27="Si",MAX(-'Parametri Modello'!$B$28,MIN('Parametri Modello'!$B$28*1.5,IF(OR(INDEX('Parametri Modello'!$F$32:$F$35,MATCH($B69,'Parametri Modello'!$A$32:$A$35,0))="",INDEX('Parametri Modello'!$F$32:$F$35,MATCH($B69,'Parametri Modello'!$A$32:$A$35,0))=0),0,(1/INDEX('Parametri Modello'!$F$32:$F$35,MATCH($B69,'Parametri Modello'!$A$32:$A$35,0))-1)*'Parametri Modello'!$B$28))),0)))*(1-INDEX('Parametri Modello'!$B$12:$B$15,MATCH($B69,'Parametri Modello'!$A$12:$A$15,0)))),0),"")</f>
        <v>60</v>
      </c>
      <c r="H69" s="24">
        <f>IFERROR(ROUND((IF($V69&lt;=INDEX('Parametri Modello'!$C$57:$C$60,MATCH($B69,'Parametri Modello'!$A$57:$A$60,0)),IF(INDEX('Parametri Modello'!$E$57:$E$60,MATCH($B69,'Parametri Modello'!$A$57:$A$60,0))=0,0,($O69/INDEX('Parametri Modello'!$E$57:$E$60,MATCH($B69,'Parametri Modello'!$A$57:$A$60,0)))*(INDEX('Parametri Modello'!$D$57:$D$60,MATCH($B69,'Parametri Modello'!$A$57:$A$60,0))*(INDEX('Parametri Modello'!$B$50:$B$53,MATCH($B69,'Parametri Modello'!$A$50:$A$53,0))*'Parametri Modello'!$B$44))),IF(INDEX('Parametri Modello'!$F$57:$F$60,MATCH($B69,'Parametri Modello'!$A$57:$A$60,0))=0,0,($O69/INDEX('Parametri Modello'!$F$57:$F$60,MATCH($B69,'Parametri Modello'!$A$57:$A$60,0)))*((1-INDEX('Parametri Modello'!$D$57:$D$60,MATCH($B69,'Parametri Modello'!$A$57:$A$60,0)))*(INDEX('Parametri Modello'!$B$50:$B$53,MATCH($B69,'Parametri Modello'!$A$50:$A$53,0))*'Parametri Modello'!$B$44))))*(1+IF(IF($B69="D",'Info Lega'!$B$25,IF($B69="C",'Info Lega'!$B$26,"No"))="Si",'Parametri Modello'!$B$5,0))*(1+MAX(-0.25,MIN(0.25,IF(OR($T69="",$I69="",$I69=0,INDEX('Parametri Modello'!$B$19:$B$22,MATCH($B69,'Parametri Modello'!$A$19:$A$22,0))="",INDEX('Parametri Modello'!$B$19:$B$22,MATCH($B69,'Parametri Modello'!$A$19:$A$22,0))=0),0,(($T69-INDEX('Parametri Modello'!$B$19:$B$22,MATCH($B69,'Parametri Modello'!$A$19:$A$22,0)))/INDEX('Parametri Modello'!$B$19:$B$22,MATCH($B69,'Parametri Modello'!$A$19:$A$22,0)))*'Parametri Modello'!$B$9))))*(1+IF('Parametri Modello'!$B$27="Si",MAX(-'Parametri Modello'!$B$28,MIN('Parametri Modello'!$B$28*1.5,IF(OR(INDEX('Parametri Modello'!$F$32:$F$35,MATCH($B69,'Parametri Modello'!$A$32:$A$35,0))="",INDEX('Parametri Modello'!$F$32:$F$35,MATCH($B69,'Parametri Modello'!$A$32:$A$35,0))=0),0,(1/INDEX('Parametri Modello'!$F$32:$F$35,MATCH($B69,'Parametri Modello'!$A$32:$A$35,0))-1)*'Parametri Modello'!$B$28))),0)))*(1+INDEX('Parametri Modello'!$B$12:$B$15,MATCH($B69,'Parametri Modello'!$A$12:$A$15,0))),0),"")</f>
        <v>81</v>
      </c>
      <c r="I69" s="23">
        <f>IFERROR(INDEX('Input Statistiche 2025_26'!$F$3:$F$665,MATCH($A69,'Input Statistiche 2025_26'!$A$3:$A$665,0)),"")</f>
        <v>37</v>
      </c>
      <c r="J69" s="23">
        <f t="shared" si="9"/>
        <v>1</v>
      </c>
      <c r="K69" s="23">
        <f>IFERROR(INDEX('Input Statistiche 2025_26'!$I$3:$I$665,MATCH($A69,'Input Statistiche 2025_26'!$A$3:$A$665,0)),"")</f>
        <v>0</v>
      </c>
      <c r="L69" s="23">
        <f>IFERROR(INDEX('Input Statistiche 2025_26'!$O$3:$O$665,MATCH($A69,'Input Statistiche 2025_26'!$A$3:$A$665,0)),"")</f>
        <v>0</v>
      </c>
      <c r="M69" s="25"/>
      <c r="N69" s="24">
        <f>IFERROR(INDEX('Input Giocatori 2026_27'!$E$3:$E$493,MATCH($A69,'Input Giocatori 2026_27'!$A$3:$A$493,0)),"")</f>
        <v>13</v>
      </c>
      <c r="O69" s="24">
        <f>IFERROR(INDEX('Input Giocatori 2026_27'!$G$3:$G$493,MATCH($A69,'Input Giocatori 2026_27'!$A$3:$A$493,0)),"")</f>
        <v>45</v>
      </c>
      <c r="P69" s="23" t="str">
        <f>IFERROR(IF($O69="","",IF((1-(COUNTIFS($B$2:$B$492,$B69,$O$2:$O$492,"&gt;"&amp;$O69)+1-1)/COUNTIF($B$2:$B$492,$B69))&gt;='Parametri Modello'!$B$63,"Top",IF((1-(COUNTIFS($B$2:$B$492,$B69,$O$2:$O$492,"&gt;"&amp;$O69)+1-1)/COUNTIF($B$2:$B$492,$B69))&gt;='Parametri Modello'!$B$64,"Buono",IF((1-(COUNTIFS($B$2:$B$492,$B69,$O$2:$O$492,"&gt;"&amp;$O69)+1-1)/COUNTIF($B$2:$B$492,$B69))&gt;='Parametri Modello'!$B$65,"Nella Media","Scommessa/Riserva")))),"")</f>
        <v>Top</v>
      </c>
      <c r="Q69" s="26">
        <f>IF(AND($D69="",$N69&gt;1),SUMPRODUCT(($D$2:$D69="")*($N$2:$N69&gt;1)),"")</f>
        <v>68</v>
      </c>
      <c r="R69" s="26" t="str">
        <f>IF($D69='Info Lega'!$B$28,COUNTIFS($D$2:$D69,'Info Lega'!$B$28),"")</f>
        <v/>
      </c>
      <c r="S69" s="27">
        <f>IFERROR(INDEX('Input Statistiche 2025_26'!$G$3:$G$665,MATCH($A69,'Input Statistiche 2025_26'!$A$3:$A$665,0)),"")</f>
        <v>6.24</v>
      </c>
      <c r="T69" s="27">
        <f>IFERROR(INDEX('Input Statistiche 2025_26'!$H$3:$H$665,MATCH($A69,'Input Statistiche 2025_26'!$A$3:$A$665,0)),"")</f>
        <v>5</v>
      </c>
      <c r="U69" s="23" t="str">
        <f>IF(OR('La Mia Rosa'!$O$12="",$D69&lt;&gt;""),"",IF($F69&lt;='La Mia Rosa'!$O$12*'Parametri Modello'!$B$24,"OK",IF($F69&lt;='La Mia Rosa'!$O$12*'Parametri Modello'!$B$25,"Attenzione","Rischio Alto")))</f>
        <v>Attenzione</v>
      </c>
      <c r="V69" s="23">
        <f t="shared" si="10"/>
        <v>6</v>
      </c>
      <c r="W69" s="18">
        <f>'Info Lega'!$B$4-SUMIFS($M$2:$M$492,$D$2:$D$492,'Info Lega'!$B$28)</f>
        <v>1000</v>
      </c>
      <c r="X69" s="18">
        <f>('Info Lega'!$B$5-COUNTIFS($D$2:$D$492,'Info Lega'!$B$28,$B$2:$B$492,"P"))+('Info Lega'!$B$6-COUNTIFS($D$2:$D$492,'Info Lega'!$B$28,$B$2:$B$492,"D"))+('Info Lega'!$B$7-COUNTIFS($D$2:$D$492,'Info Lega'!$B$28,$B$2:$B$492,"C"))+('Info Lega'!$B$8-COUNTIFS($D$2:$D$492,'Info Lega'!$B$28,$B$2:$B$492,"A"))</f>
        <v>25</v>
      </c>
      <c r="Y69" s="18">
        <f>X69*'Parametri Modello'!$B$30</f>
        <v>25</v>
      </c>
      <c r="Z69" s="18">
        <f t="shared" si="11"/>
        <v>975</v>
      </c>
      <c r="AA69" s="18">
        <f t="shared" si="12"/>
        <v>75</v>
      </c>
      <c r="AB69" s="18"/>
      <c r="AC69" s="18" t="str">
        <f>IF($AB69="","",IF($AB69&gt;$AA69,"PASS",IF($AB69&lt;=$AA69*(1-'Parametri Modello'!$B$68),"BID","ATTENZIONE")))</f>
        <v/>
      </c>
      <c r="AD69" s="28">
        <f t="shared" si="13"/>
        <v>71</v>
      </c>
      <c r="AE69" s="5" t="str">
        <f>IFERROR(INDEX('Stato Asta'!$G$9:$G$12,MATCH($B69,'Stato Asta'!$A$9:$A$12,0)),"")</f>
        <v>🔴 Non aspettare</v>
      </c>
      <c r="AF69" t="str">
        <f>IFERROR(IF($V69&lt;=INDEX('Parametri Modello'!$C$57:$C$60,MATCH($B69,'Parametri Modello'!$A$57:$A$60,0)),"Titolare","Riserva"),"")</f>
        <v>Titolare</v>
      </c>
      <c r="AG69" t="str">
        <f>IFERROR(INDEX('Pressione Competitiva'!$F$3:$F$6,MATCH($B69,'Pressione Competitiva'!$B$3:$B$6,0)),"")</f>
        <v>🔴 Molto Alta</v>
      </c>
      <c r="AH69" t="str">
        <f t="shared" si="14"/>
        <v/>
      </c>
      <c r="AI69" t="str">
        <f>IFERROR(IF($AH69="","",IF($AH69&gt;=$AA69*'Parametri Modello'!$B$68,"🟢 Opportunita'",IF($AH69&lt;=$AA69*'Parametri Modello'!$B$69,"🔴 Sovrapprezzo","🟡 Prezzo Corretto"))),"")</f>
        <v/>
      </c>
      <c r="AJ69" t="str">
        <f t="shared" si="15"/>
        <v/>
      </c>
      <c r="AK69">
        <f t="shared" si="16"/>
        <v>6</v>
      </c>
      <c r="AL69" t="str">
        <f t="shared" si="17"/>
        <v>P|Top|6</v>
      </c>
    </row>
    <row r="70" spans="1:38" ht="14.25" customHeight="1" x14ac:dyDescent="0.25">
      <c r="A70" s="18">
        <v>572</v>
      </c>
      <c r="B70" s="18" t="s">
        <v>15</v>
      </c>
      <c r="C70" s="18" t="s">
        <v>209</v>
      </c>
      <c r="E70" s="23" t="str">
        <f>IF(COUNTIF('Info Strategia'!$D$2:$D$51,$C70)&gt;0,"SI","NO")</f>
        <v>NO</v>
      </c>
      <c r="F70" s="24">
        <f>IFERROR(ROUND(($G70+($H70-$G70)*'Info Strategia'!$B$6)*(1+IF($E70="SI",'Parametri Modello'!$B$7*'Info Strategia'!$B$6,0)),0),"")</f>
        <v>75</v>
      </c>
      <c r="G70" s="24">
        <f>IFERROR(ROUND(MAX(1,(IF($V70&lt;=INDEX('Parametri Modello'!$C$57:$C$60,MATCH($B70,'Parametri Modello'!$A$57:$A$60,0)),IF(INDEX('Parametri Modello'!$E$57:$E$60,MATCH($B70,'Parametri Modello'!$A$57:$A$60,0))=0,0,($O70/INDEX('Parametri Modello'!$E$57:$E$60,MATCH($B70,'Parametri Modello'!$A$57:$A$60,0)))*(INDEX('Parametri Modello'!$D$57:$D$60,MATCH($B70,'Parametri Modello'!$A$57:$A$60,0))*(INDEX('Parametri Modello'!$B$50:$B$53,MATCH($B70,'Parametri Modello'!$A$50:$A$53,0))*'Parametri Modello'!$B$44))),IF(INDEX('Parametri Modello'!$F$57:$F$60,MATCH($B70,'Parametri Modello'!$A$57:$A$60,0))=0,0,($O70/INDEX('Parametri Modello'!$F$57:$F$60,MATCH($B70,'Parametri Modello'!$A$57:$A$60,0)))*((1-INDEX('Parametri Modello'!$D$57:$D$60,MATCH($B70,'Parametri Modello'!$A$57:$A$60,0)))*(INDEX('Parametri Modello'!$B$50:$B$53,MATCH($B70,'Parametri Modello'!$A$50:$A$53,0))*'Parametri Modello'!$B$44))))*(1+IF(IF($B70="D",'Info Lega'!$B$25,IF($B70="C",'Info Lega'!$B$26,"No"))="Si",'Parametri Modello'!$B$5,0))*(1+MAX(-0.25,MIN(0.25,IF(OR($T70="",$I70="",$I70=0,INDEX('Parametri Modello'!$B$19:$B$22,MATCH($B70,'Parametri Modello'!$A$19:$A$22,0))="",INDEX('Parametri Modello'!$B$19:$B$22,MATCH($B70,'Parametri Modello'!$A$19:$A$22,0))=0),0,(($T70-INDEX('Parametri Modello'!$B$19:$B$22,MATCH($B70,'Parametri Modello'!$A$19:$A$22,0)))/INDEX('Parametri Modello'!$B$19:$B$22,MATCH($B70,'Parametri Modello'!$A$19:$A$22,0)))*'Parametri Modello'!$B$9))))*(1+IF('Parametri Modello'!$B$27="Si",MAX(-'Parametri Modello'!$B$28,MIN('Parametri Modello'!$B$28*1.5,IF(OR(INDEX('Parametri Modello'!$F$32:$F$35,MATCH($B70,'Parametri Modello'!$A$32:$A$35,0))="",INDEX('Parametri Modello'!$F$32:$F$35,MATCH($B70,'Parametri Modello'!$A$32:$A$35,0))=0),0,(1/INDEX('Parametri Modello'!$F$32:$F$35,MATCH($B70,'Parametri Modello'!$A$32:$A$35,0))-1)*'Parametri Modello'!$B$28))),0)))*(1-INDEX('Parametri Modello'!$B$12:$B$15,MATCH($B70,'Parametri Modello'!$A$12:$A$15,0)))),0),"")</f>
        <v>60</v>
      </c>
      <c r="H70" s="24">
        <f>IFERROR(ROUND((IF($V70&lt;=INDEX('Parametri Modello'!$C$57:$C$60,MATCH($B70,'Parametri Modello'!$A$57:$A$60,0)),IF(INDEX('Parametri Modello'!$E$57:$E$60,MATCH($B70,'Parametri Modello'!$A$57:$A$60,0))=0,0,($O70/INDEX('Parametri Modello'!$E$57:$E$60,MATCH($B70,'Parametri Modello'!$A$57:$A$60,0)))*(INDEX('Parametri Modello'!$D$57:$D$60,MATCH($B70,'Parametri Modello'!$A$57:$A$60,0))*(INDEX('Parametri Modello'!$B$50:$B$53,MATCH($B70,'Parametri Modello'!$A$50:$A$53,0))*'Parametri Modello'!$B$44))),IF(INDEX('Parametri Modello'!$F$57:$F$60,MATCH($B70,'Parametri Modello'!$A$57:$A$60,0))=0,0,($O70/INDEX('Parametri Modello'!$F$57:$F$60,MATCH($B70,'Parametri Modello'!$A$57:$A$60,0)))*((1-INDEX('Parametri Modello'!$D$57:$D$60,MATCH($B70,'Parametri Modello'!$A$57:$A$60,0)))*(INDEX('Parametri Modello'!$B$50:$B$53,MATCH($B70,'Parametri Modello'!$A$50:$A$53,0))*'Parametri Modello'!$B$44))))*(1+IF(IF($B70="D",'Info Lega'!$B$25,IF($B70="C",'Info Lega'!$B$26,"No"))="Si",'Parametri Modello'!$B$5,0))*(1+MAX(-0.25,MIN(0.25,IF(OR($T70="",$I70="",$I70=0,INDEX('Parametri Modello'!$B$19:$B$22,MATCH($B70,'Parametri Modello'!$A$19:$A$22,0))="",INDEX('Parametri Modello'!$B$19:$B$22,MATCH($B70,'Parametri Modello'!$A$19:$A$22,0))=0),0,(($T70-INDEX('Parametri Modello'!$B$19:$B$22,MATCH($B70,'Parametri Modello'!$A$19:$A$22,0)))/INDEX('Parametri Modello'!$B$19:$B$22,MATCH($B70,'Parametri Modello'!$A$19:$A$22,0)))*'Parametri Modello'!$B$9))))*(1+IF('Parametri Modello'!$B$27="Si",MAX(-'Parametri Modello'!$B$28,MIN('Parametri Modello'!$B$28*1.5,IF(OR(INDEX('Parametri Modello'!$F$32:$F$35,MATCH($B70,'Parametri Modello'!$A$32:$A$35,0))="",INDEX('Parametri Modello'!$F$32:$F$35,MATCH($B70,'Parametri Modello'!$A$32:$A$35,0))=0),0,(1/INDEX('Parametri Modello'!$F$32:$F$35,MATCH($B70,'Parametri Modello'!$A$32:$A$35,0))-1)*'Parametri Modello'!$B$28))),0)))*(1+INDEX('Parametri Modello'!$B$12:$B$15,MATCH($B70,'Parametri Modello'!$A$12:$A$15,0))),0),"")</f>
        <v>82</v>
      </c>
      <c r="I70" s="23">
        <f>IFERROR(INDEX('Input Statistiche 2025_26'!$F$3:$F$665,MATCH($A70,'Input Statistiche 2025_26'!$A$3:$A$665,0)),"")</f>
        <v>11</v>
      </c>
      <c r="J70" s="23">
        <f t="shared" si="9"/>
        <v>27</v>
      </c>
      <c r="K70" s="23">
        <f>IFERROR(INDEX('Input Statistiche 2025_26'!$I$3:$I$665,MATCH($A70,'Input Statistiche 2025_26'!$A$3:$A$665,0)),"")</f>
        <v>0</v>
      </c>
      <c r="L70" s="23">
        <f>IFERROR(INDEX('Input Statistiche 2025_26'!$O$3:$O$665,MATCH($A70,'Input Statistiche 2025_26'!$A$3:$A$665,0)),"")</f>
        <v>1</v>
      </c>
      <c r="M70" s="25"/>
      <c r="N70" s="24">
        <f>IFERROR(INDEX('Input Giocatori 2026_27'!$E$3:$E$493,MATCH($A70,'Input Giocatori 2026_27'!$A$3:$A$493,0)),"")</f>
        <v>11</v>
      </c>
      <c r="O70" s="24">
        <f>IFERROR(INDEX('Input Giocatori 2026_27'!$G$3:$G$493,MATCH($A70,'Input Giocatori 2026_27'!$A$3:$A$493,0)),"")</f>
        <v>45</v>
      </c>
      <c r="P70" s="23" t="str">
        <f>IFERROR(IF($O70="","",IF((1-(COUNTIFS($B$2:$B$492,$B70,$O$2:$O$492,"&gt;"&amp;$O70)+1-1)/COUNTIF($B$2:$B$492,$B70))&gt;='Parametri Modello'!$B$63,"Top",IF((1-(COUNTIFS($B$2:$B$492,$B70,$O$2:$O$492,"&gt;"&amp;$O70)+1-1)/COUNTIF($B$2:$B$492,$B70))&gt;='Parametri Modello'!$B$64,"Buono",IF((1-(COUNTIFS($B$2:$B$492,$B70,$O$2:$O$492,"&gt;"&amp;$O70)+1-1)/COUNTIF($B$2:$B$492,$B70))&gt;='Parametri Modello'!$B$65,"Nella Media","Scommessa/Riserva")))),"")</f>
        <v>Top</v>
      </c>
      <c r="Q70" s="26">
        <f>IF(AND($D70="",$N70&gt;1),SUMPRODUCT(($D$2:$D70="")*($N$2:$N70&gt;1)),"")</f>
        <v>69</v>
      </c>
      <c r="R70" s="26" t="str">
        <f>IF($D70='Info Lega'!$B$28,COUNTIFS($D$2:$D70,'Info Lega'!$B$28),"")</f>
        <v/>
      </c>
      <c r="S70" s="27">
        <f>IFERROR(INDEX('Input Statistiche 2025_26'!$G$3:$G$665,MATCH($A70,'Input Statistiche 2025_26'!$A$3:$A$665,0)),"")</f>
        <v>6.23</v>
      </c>
      <c r="T70" s="27">
        <f>IFERROR(INDEX('Input Statistiche 2025_26'!$H$3:$H$665,MATCH($A70,'Input Statistiche 2025_26'!$A$3:$A$665,0)),"")</f>
        <v>5.18</v>
      </c>
      <c r="U70" s="23" t="str">
        <f>IF(OR('La Mia Rosa'!$O$12="",$D70&lt;&gt;""),"",IF($F70&lt;='La Mia Rosa'!$O$12*'Parametri Modello'!$B$24,"OK",IF($F70&lt;='La Mia Rosa'!$O$12*'Parametri Modello'!$B$25,"Attenzione","Rischio Alto")))</f>
        <v>Attenzione</v>
      </c>
      <c r="V70" s="23">
        <f t="shared" si="10"/>
        <v>6</v>
      </c>
      <c r="W70" s="18">
        <f>'Info Lega'!$B$4-SUMIFS($M$2:$M$492,$D$2:$D$492,'Info Lega'!$B$28)</f>
        <v>1000</v>
      </c>
      <c r="X70" s="18">
        <f>('Info Lega'!$B$5-COUNTIFS($D$2:$D$492,'Info Lega'!$B$28,$B$2:$B$492,"P"))+('Info Lega'!$B$6-COUNTIFS($D$2:$D$492,'Info Lega'!$B$28,$B$2:$B$492,"D"))+('Info Lega'!$B$7-COUNTIFS($D$2:$D$492,'Info Lega'!$B$28,$B$2:$B$492,"C"))+('Info Lega'!$B$8-COUNTIFS($D$2:$D$492,'Info Lega'!$B$28,$B$2:$B$492,"A"))</f>
        <v>25</v>
      </c>
      <c r="Y70" s="18">
        <f>X70*'Parametri Modello'!$B$30</f>
        <v>25</v>
      </c>
      <c r="Z70" s="18">
        <f t="shared" si="11"/>
        <v>975</v>
      </c>
      <c r="AA70" s="18">
        <f t="shared" si="12"/>
        <v>75</v>
      </c>
      <c r="AB70" s="18"/>
      <c r="AC70" s="18" t="str">
        <f>IF($AB70="","",IF($AB70&gt;$AA70,"PASS",IF($AB70&lt;=$AA70*(1-'Parametri Modello'!$B$68),"BID","ATTENZIONE")))</f>
        <v/>
      </c>
      <c r="AD70" s="28">
        <f t="shared" si="13"/>
        <v>31</v>
      </c>
      <c r="AE70" s="5" t="str">
        <f>IFERROR(INDEX('Stato Asta'!$G$9:$G$12,MATCH($B70,'Stato Asta'!$A$9:$A$12,0)),"")</f>
        <v>🔴 Non aspettare</v>
      </c>
      <c r="AF70" t="str">
        <f>IFERROR(IF($V70&lt;=INDEX('Parametri Modello'!$C$57:$C$60,MATCH($B70,'Parametri Modello'!$A$57:$A$60,0)),"Titolare","Riserva"),"")</f>
        <v>Titolare</v>
      </c>
      <c r="AG70" t="str">
        <f>IFERROR(INDEX('Pressione Competitiva'!$F$3:$F$6,MATCH($B70,'Pressione Competitiva'!$B$3:$B$6,0)),"")</f>
        <v>🔴 Molto Alta</v>
      </c>
      <c r="AH70" t="str">
        <f t="shared" si="14"/>
        <v/>
      </c>
      <c r="AI70" t="str">
        <f>IFERROR(IF($AH70="","",IF($AH70&gt;=$AA70*'Parametri Modello'!$B$68,"🟢 Opportunita'",IF($AH70&lt;=$AA70*'Parametri Modello'!$B$69,"🔴 Sovrapprezzo","🟡 Prezzo Corretto"))),"")</f>
        <v/>
      </c>
      <c r="AJ70" t="str">
        <f t="shared" si="15"/>
        <v/>
      </c>
      <c r="AK70">
        <f t="shared" si="16"/>
        <v>6</v>
      </c>
      <c r="AL70" t="str">
        <f t="shared" si="17"/>
        <v>P|Top|6</v>
      </c>
    </row>
    <row r="71" spans="1:38" ht="14.25" customHeight="1" x14ac:dyDescent="0.25">
      <c r="A71" s="18">
        <v>5792</v>
      </c>
      <c r="B71" s="18" t="s">
        <v>17</v>
      </c>
      <c r="C71" s="18" t="s">
        <v>210</v>
      </c>
      <c r="E71" s="23" t="str">
        <f>IF(COUNTIF('Info Strategia'!$D$2:$D$51,$C71)&gt;0,"SI","NO")</f>
        <v>NO</v>
      </c>
      <c r="F71" s="24">
        <f>IFERROR(ROUND(($G71+($H71-$G71)*'Info Strategia'!$B$6)*(1+IF($E71="SI",'Parametri Modello'!$B$7*'Info Strategia'!$B$6,0)),0),"")</f>
        <v>30</v>
      </c>
      <c r="G71" s="24">
        <f>IFERROR(ROUND(MAX(1,(IF($V71&lt;=INDEX('Parametri Modello'!$C$57:$C$60,MATCH($B71,'Parametri Modello'!$A$57:$A$60,0)),IF(INDEX('Parametri Modello'!$E$57:$E$60,MATCH($B71,'Parametri Modello'!$A$57:$A$60,0))=0,0,($O71/INDEX('Parametri Modello'!$E$57:$E$60,MATCH($B71,'Parametri Modello'!$A$57:$A$60,0)))*(INDEX('Parametri Modello'!$D$57:$D$60,MATCH($B71,'Parametri Modello'!$A$57:$A$60,0))*(INDEX('Parametri Modello'!$B$50:$B$53,MATCH($B71,'Parametri Modello'!$A$50:$A$53,0))*'Parametri Modello'!$B$44))),IF(INDEX('Parametri Modello'!$F$57:$F$60,MATCH($B71,'Parametri Modello'!$A$57:$A$60,0))=0,0,($O71/INDEX('Parametri Modello'!$F$57:$F$60,MATCH($B71,'Parametri Modello'!$A$57:$A$60,0)))*((1-INDEX('Parametri Modello'!$D$57:$D$60,MATCH($B71,'Parametri Modello'!$A$57:$A$60,0)))*(INDEX('Parametri Modello'!$B$50:$B$53,MATCH($B71,'Parametri Modello'!$A$50:$A$53,0))*'Parametri Modello'!$B$44))))*(1+IF(IF($B71="D",'Info Lega'!$B$25,IF($B71="C",'Info Lega'!$B$26,"No"))="Si",'Parametri Modello'!$B$5,0))*(1+MAX(-0.25,MIN(0.25,IF(OR($T71="",$I71="",$I71=0,INDEX('Parametri Modello'!$B$19:$B$22,MATCH($B71,'Parametri Modello'!$A$19:$A$22,0))="",INDEX('Parametri Modello'!$B$19:$B$22,MATCH($B71,'Parametri Modello'!$A$19:$A$22,0))=0),0,(($T71-INDEX('Parametri Modello'!$B$19:$B$22,MATCH($B71,'Parametri Modello'!$A$19:$A$22,0)))/INDEX('Parametri Modello'!$B$19:$B$22,MATCH($B71,'Parametri Modello'!$A$19:$A$22,0)))*'Parametri Modello'!$B$9))))*(1+IF('Parametri Modello'!$B$27="Si",MAX(-'Parametri Modello'!$B$28,MIN('Parametri Modello'!$B$28*1.5,IF(OR(INDEX('Parametri Modello'!$F$32:$F$35,MATCH($B71,'Parametri Modello'!$A$32:$A$35,0))="",INDEX('Parametri Modello'!$F$32:$F$35,MATCH($B71,'Parametri Modello'!$A$32:$A$35,0))=0),0,(1/INDEX('Parametri Modello'!$F$32:$F$35,MATCH($B71,'Parametri Modello'!$A$32:$A$35,0))-1)*'Parametri Modello'!$B$28))),0)))*(1-INDEX('Parametri Modello'!$B$12:$B$15,MATCH($B71,'Parametri Modello'!$A$12:$A$15,0)))),0),"")</f>
        <v>20</v>
      </c>
      <c r="H71" s="24">
        <f>IFERROR(ROUND((IF($V71&lt;=INDEX('Parametri Modello'!$C$57:$C$60,MATCH($B71,'Parametri Modello'!$A$57:$A$60,0)),IF(INDEX('Parametri Modello'!$E$57:$E$60,MATCH($B71,'Parametri Modello'!$A$57:$A$60,0))=0,0,($O71/INDEX('Parametri Modello'!$E$57:$E$60,MATCH($B71,'Parametri Modello'!$A$57:$A$60,0)))*(INDEX('Parametri Modello'!$D$57:$D$60,MATCH($B71,'Parametri Modello'!$A$57:$A$60,0))*(INDEX('Parametri Modello'!$B$50:$B$53,MATCH($B71,'Parametri Modello'!$A$50:$A$53,0))*'Parametri Modello'!$B$44))),IF(INDEX('Parametri Modello'!$F$57:$F$60,MATCH($B71,'Parametri Modello'!$A$57:$A$60,0))=0,0,($O71/INDEX('Parametri Modello'!$F$57:$F$60,MATCH($B71,'Parametri Modello'!$A$57:$A$60,0)))*((1-INDEX('Parametri Modello'!$D$57:$D$60,MATCH($B71,'Parametri Modello'!$A$57:$A$60,0)))*(INDEX('Parametri Modello'!$B$50:$B$53,MATCH($B71,'Parametri Modello'!$A$50:$A$53,0))*'Parametri Modello'!$B$44))))*(1+IF(IF($B71="D",'Info Lega'!$B$25,IF($B71="C",'Info Lega'!$B$26,"No"))="Si",'Parametri Modello'!$B$5,0))*(1+MAX(-0.25,MIN(0.25,IF(OR($T71="",$I71="",$I71=0,INDEX('Parametri Modello'!$B$19:$B$22,MATCH($B71,'Parametri Modello'!$A$19:$A$22,0))="",INDEX('Parametri Modello'!$B$19:$B$22,MATCH($B71,'Parametri Modello'!$A$19:$A$22,0))=0),0,(($T71-INDEX('Parametri Modello'!$B$19:$B$22,MATCH($B71,'Parametri Modello'!$A$19:$A$22,0)))/INDEX('Parametri Modello'!$B$19:$B$22,MATCH($B71,'Parametri Modello'!$A$19:$A$22,0)))*'Parametri Modello'!$B$9))))*(1+IF('Parametri Modello'!$B$27="Si",MAX(-'Parametri Modello'!$B$28,MIN('Parametri Modello'!$B$28*1.5,IF(OR(INDEX('Parametri Modello'!$F$32:$F$35,MATCH($B71,'Parametri Modello'!$A$32:$A$35,0))="",INDEX('Parametri Modello'!$F$32:$F$35,MATCH($B71,'Parametri Modello'!$A$32:$A$35,0))=0),0,(1/INDEX('Parametri Modello'!$F$32:$F$35,MATCH($B71,'Parametri Modello'!$A$32:$A$35,0))-1)*'Parametri Modello'!$B$28))),0)))*(1+INDEX('Parametri Modello'!$B$12:$B$15,MATCH($B71,'Parametri Modello'!$A$12:$A$15,0))),0),"")</f>
        <v>34</v>
      </c>
      <c r="I71" s="23">
        <f>IFERROR(INDEX('Input Statistiche 2025_26'!$F$3:$F$665,MATCH($A71,'Input Statistiche 2025_26'!$A$3:$A$665,0)),"")</f>
        <v>30</v>
      </c>
      <c r="J71" s="23">
        <f t="shared" si="9"/>
        <v>8</v>
      </c>
      <c r="K71" s="23">
        <f>IFERROR(INDEX('Input Statistiche 2025_26'!$I$3:$I$665,MATCH($A71,'Input Statistiche 2025_26'!$A$3:$A$665,0)),"")</f>
        <v>2</v>
      </c>
      <c r="L71" s="23">
        <f>IFERROR(INDEX('Input Statistiche 2025_26'!$O$3:$O$665,MATCH($A71,'Input Statistiche 2025_26'!$A$3:$A$665,0)),"")</f>
        <v>1</v>
      </c>
      <c r="M71" s="25"/>
      <c r="N71" s="24">
        <f>IFERROR(INDEX('Input Giocatori 2026_27'!$E$3:$E$493,MATCH($A71,'Input Giocatori 2026_27'!$A$3:$A$493,0)),"")</f>
        <v>12</v>
      </c>
      <c r="O71" s="24">
        <f>IFERROR(INDEX('Input Giocatori 2026_27'!$G$3:$G$493,MATCH($A71,'Input Giocatori 2026_27'!$A$3:$A$493,0)),"")</f>
        <v>45</v>
      </c>
      <c r="P71" s="23" t="str">
        <f>IFERROR(IF($O71="","",IF((1-(COUNTIFS($B$2:$B$492,$B71,$O$2:$O$492,"&gt;"&amp;$O71)+1-1)/COUNTIF($B$2:$B$492,$B71))&gt;='Parametri Modello'!$B$63,"Top",IF((1-(COUNTIFS($B$2:$B$492,$B71,$O$2:$O$492,"&gt;"&amp;$O71)+1-1)/COUNTIF($B$2:$B$492,$B71))&gt;='Parametri Modello'!$B$64,"Buono",IF((1-(COUNTIFS($B$2:$B$492,$B71,$O$2:$O$492,"&gt;"&amp;$O71)+1-1)/COUNTIF($B$2:$B$492,$B71))&gt;='Parametri Modello'!$B$65,"Nella Media","Scommessa/Riserva")))),"")</f>
        <v>Buono</v>
      </c>
      <c r="Q71" s="26">
        <f>IF(AND($D71="",$N71&gt;1),SUMPRODUCT(($D$2:$D71="")*($N$2:$N71&gt;1)),"")</f>
        <v>70</v>
      </c>
      <c r="R71" s="26" t="str">
        <f>IF($D71='Info Lega'!$B$28,COUNTIFS($D$2:$D71,'Info Lega'!$B$28),"")</f>
        <v/>
      </c>
      <c r="S71" s="27">
        <f>IFERROR(INDEX('Input Statistiche 2025_26'!$G$3:$G$665,MATCH($A71,'Input Statistiche 2025_26'!$A$3:$A$665,0)),"")</f>
        <v>6.25</v>
      </c>
      <c r="T71" s="27">
        <f>IFERROR(INDEX('Input Statistiche 2025_26'!$H$3:$H$665,MATCH($A71,'Input Statistiche 2025_26'!$A$3:$A$665,0)),"")</f>
        <v>6.43</v>
      </c>
      <c r="U71" s="23" t="str">
        <f>IF(OR('La Mia Rosa'!$O$12="",$D71&lt;&gt;""),"",IF($F71&lt;='La Mia Rosa'!$O$12*'Parametri Modello'!$B$24,"OK",IF($F71&lt;='La Mia Rosa'!$O$12*'Parametri Modello'!$B$25,"Attenzione","Rischio Alto")))</f>
        <v>OK</v>
      </c>
      <c r="V71" s="23">
        <f t="shared" si="10"/>
        <v>23</v>
      </c>
      <c r="W71" s="18">
        <f>'Info Lega'!$B$4-SUMIFS($M$2:$M$492,$D$2:$D$492,'Info Lega'!$B$28)</f>
        <v>1000</v>
      </c>
      <c r="X71" s="18">
        <f>('Info Lega'!$B$5-COUNTIFS($D$2:$D$492,'Info Lega'!$B$28,$B$2:$B$492,"P"))+('Info Lega'!$B$6-COUNTIFS($D$2:$D$492,'Info Lega'!$B$28,$B$2:$B$492,"D"))+('Info Lega'!$B$7-COUNTIFS($D$2:$D$492,'Info Lega'!$B$28,$B$2:$B$492,"C"))+('Info Lega'!$B$8-COUNTIFS($D$2:$D$492,'Info Lega'!$B$28,$B$2:$B$492,"A"))</f>
        <v>25</v>
      </c>
      <c r="Y71" s="18">
        <f>X71*'Parametri Modello'!$B$30</f>
        <v>25</v>
      </c>
      <c r="Z71" s="18">
        <f t="shared" si="11"/>
        <v>975</v>
      </c>
      <c r="AA71" s="18">
        <f t="shared" si="12"/>
        <v>30</v>
      </c>
      <c r="AB71" s="18"/>
      <c r="AC71" s="18" t="str">
        <f>IF($AB71="","",IF($AB71&gt;$AA71,"PASS",IF($AB71&lt;=$AA71*(1-'Parametri Modello'!$B$68),"BID","ATTENZIONE")))</f>
        <v/>
      </c>
      <c r="AD71" s="28">
        <f t="shared" si="13"/>
        <v>63</v>
      </c>
      <c r="AE71" s="5" t="str">
        <f>IFERROR(INDEX('Stato Asta'!$G$9:$G$12,MATCH($B71,'Stato Asta'!$A$9:$A$12,0)),"")</f>
        <v>🔴 Non aspettare</v>
      </c>
      <c r="AF71" t="str">
        <f>IFERROR(IF($V71&lt;=INDEX('Parametri Modello'!$C$57:$C$60,MATCH($B71,'Parametri Modello'!$A$57:$A$60,0)),"Titolare","Riserva"),"")</f>
        <v>Titolare</v>
      </c>
      <c r="AG71" t="str">
        <f>IFERROR(INDEX('Pressione Competitiva'!$F$3:$F$6,MATCH($B71,'Pressione Competitiva'!$B$3:$B$6,0)),"")</f>
        <v>🔴 Molto Alta</v>
      </c>
      <c r="AH71" t="str">
        <f t="shared" si="14"/>
        <v/>
      </c>
      <c r="AI71" t="str">
        <f>IFERROR(IF($AH71="","",IF($AH71&gt;=$AA71*'Parametri Modello'!$B$68,"🟢 Opportunita'",IF($AH71&lt;=$AA71*'Parametri Modello'!$B$69,"🔴 Sovrapprezzo","🟡 Prezzo Corretto"))),"")</f>
        <v/>
      </c>
      <c r="AJ71" t="str">
        <f t="shared" si="15"/>
        <v/>
      </c>
      <c r="AK71">
        <f t="shared" si="16"/>
        <v>5</v>
      </c>
      <c r="AL71" t="str">
        <f t="shared" si="17"/>
        <v>C|Buono|5</v>
      </c>
    </row>
    <row r="72" spans="1:38" ht="14.25" customHeight="1" x14ac:dyDescent="0.25">
      <c r="A72" s="18">
        <v>2531</v>
      </c>
      <c r="B72" s="18" t="s">
        <v>18</v>
      </c>
      <c r="C72" s="18" t="s">
        <v>211</v>
      </c>
      <c r="E72" s="23" t="str">
        <f>IF(COUNTIF('Info Strategia'!$D$2:$D$51,$C72)&gt;0,"SI","NO")</f>
        <v>NO</v>
      </c>
      <c r="F72" s="24">
        <f>IFERROR(ROUND(($G72+($H72-$G72)*'Info Strategia'!$B$6)*(1+IF($E72="SI",'Parametri Modello'!$B$7*'Info Strategia'!$B$6,0)),0),"")</f>
        <v>16</v>
      </c>
      <c r="G72" s="24">
        <f>IFERROR(ROUND(MAX(1,(IF($V72&lt;=INDEX('Parametri Modello'!$C$57:$C$60,MATCH($B72,'Parametri Modello'!$A$57:$A$60,0)),IF(INDEX('Parametri Modello'!$E$57:$E$60,MATCH($B72,'Parametri Modello'!$A$57:$A$60,0))=0,0,($O72/INDEX('Parametri Modello'!$E$57:$E$60,MATCH($B72,'Parametri Modello'!$A$57:$A$60,0)))*(INDEX('Parametri Modello'!$D$57:$D$60,MATCH($B72,'Parametri Modello'!$A$57:$A$60,0))*(INDEX('Parametri Modello'!$B$50:$B$53,MATCH($B72,'Parametri Modello'!$A$50:$A$53,0))*'Parametri Modello'!$B$44))),IF(INDEX('Parametri Modello'!$F$57:$F$60,MATCH($B72,'Parametri Modello'!$A$57:$A$60,0))=0,0,($O72/INDEX('Parametri Modello'!$F$57:$F$60,MATCH($B72,'Parametri Modello'!$A$57:$A$60,0)))*((1-INDEX('Parametri Modello'!$D$57:$D$60,MATCH($B72,'Parametri Modello'!$A$57:$A$60,0)))*(INDEX('Parametri Modello'!$B$50:$B$53,MATCH($B72,'Parametri Modello'!$A$50:$A$53,0))*'Parametri Modello'!$B$44))))*(1+IF(IF($B72="D",'Info Lega'!$B$25,IF($B72="C",'Info Lega'!$B$26,"No"))="Si",'Parametri Modello'!$B$5,0))*(1+MAX(-0.25,MIN(0.25,IF(OR($T72="",$I72="",$I72=0,INDEX('Parametri Modello'!$B$19:$B$22,MATCH($B72,'Parametri Modello'!$A$19:$A$22,0))="",INDEX('Parametri Modello'!$B$19:$B$22,MATCH($B72,'Parametri Modello'!$A$19:$A$22,0))=0),0,(($T72-INDEX('Parametri Modello'!$B$19:$B$22,MATCH($B72,'Parametri Modello'!$A$19:$A$22,0)))/INDEX('Parametri Modello'!$B$19:$B$22,MATCH($B72,'Parametri Modello'!$A$19:$A$22,0)))*'Parametri Modello'!$B$9))))*(1+IF('Parametri Modello'!$B$27="Si",MAX(-'Parametri Modello'!$B$28,MIN('Parametri Modello'!$B$28*1.5,IF(OR(INDEX('Parametri Modello'!$F$32:$F$35,MATCH($B72,'Parametri Modello'!$A$32:$A$35,0))="",INDEX('Parametri Modello'!$F$32:$F$35,MATCH($B72,'Parametri Modello'!$A$32:$A$35,0))=0),0,(1/INDEX('Parametri Modello'!$F$32:$F$35,MATCH($B72,'Parametri Modello'!$A$32:$A$35,0))-1)*'Parametri Modello'!$B$28))),0)))*(1-INDEX('Parametri Modello'!$B$12:$B$15,MATCH($B72,'Parametri Modello'!$A$12:$A$15,0)))),0),"")</f>
        <v>10</v>
      </c>
      <c r="H72" s="24">
        <f>IFERROR(ROUND((IF($V72&lt;=INDEX('Parametri Modello'!$C$57:$C$60,MATCH($B72,'Parametri Modello'!$A$57:$A$60,0)),IF(INDEX('Parametri Modello'!$E$57:$E$60,MATCH($B72,'Parametri Modello'!$A$57:$A$60,0))=0,0,($O72/INDEX('Parametri Modello'!$E$57:$E$60,MATCH($B72,'Parametri Modello'!$A$57:$A$60,0)))*(INDEX('Parametri Modello'!$D$57:$D$60,MATCH($B72,'Parametri Modello'!$A$57:$A$60,0))*(INDEX('Parametri Modello'!$B$50:$B$53,MATCH($B72,'Parametri Modello'!$A$50:$A$53,0))*'Parametri Modello'!$B$44))),IF(INDEX('Parametri Modello'!$F$57:$F$60,MATCH($B72,'Parametri Modello'!$A$57:$A$60,0))=0,0,($O72/INDEX('Parametri Modello'!$F$57:$F$60,MATCH($B72,'Parametri Modello'!$A$57:$A$60,0)))*((1-INDEX('Parametri Modello'!$D$57:$D$60,MATCH($B72,'Parametri Modello'!$A$57:$A$60,0)))*(INDEX('Parametri Modello'!$B$50:$B$53,MATCH($B72,'Parametri Modello'!$A$50:$A$53,0))*'Parametri Modello'!$B$44))))*(1+IF(IF($B72="D",'Info Lega'!$B$25,IF($B72="C",'Info Lega'!$B$26,"No"))="Si",'Parametri Modello'!$B$5,0))*(1+MAX(-0.25,MIN(0.25,IF(OR($T72="",$I72="",$I72=0,INDEX('Parametri Modello'!$B$19:$B$22,MATCH($B72,'Parametri Modello'!$A$19:$A$22,0))="",INDEX('Parametri Modello'!$B$19:$B$22,MATCH($B72,'Parametri Modello'!$A$19:$A$22,0))=0),0,(($T72-INDEX('Parametri Modello'!$B$19:$B$22,MATCH($B72,'Parametri Modello'!$A$19:$A$22,0)))/INDEX('Parametri Modello'!$B$19:$B$22,MATCH($B72,'Parametri Modello'!$A$19:$A$22,0)))*'Parametri Modello'!$B$9))))*(1+IF('Parametri Modello'!$B$27="Si",MAX(-'Parametri Modello'!$B$28,MIN('Parametri Modello'!$B$28*1.5,IF(OR(INDEX('Parametri Modello'!$F$32:$F$35,MATCH($B72,'Parametri Modello'!$A$32:$A$35,0))="",INDEX('Parametri Modello'!$F$32:$F$35,MATCH($B72,'Parametri Modello'!$A$32:$A$35,0))=0),0,(1/INDEX('Parametri Modello'!$F$32:$F$35,MATCH($B72,'Parametri Modello'!$A$32:$A$35,0))-1)*'Parametri Modello'!$B$28))),0)))*(1+INDEX('Parametri Modello'!$B$12:$B$15,MATCH($B72,'Parametri Modello'!$A$12:$A$15,0))),0),"")</f>
        <v>18</v>
      </c>
      <c r="I72" s="23">
        <f>IFERROR(INDEX('Input Statistiche 2025_26'!$F$3:$F$665,MATCH($A72,'Input Statistiche 2025_26'!$A$3:$A$665,0)),"")</f>
        <v>1</v>
      </c>
      <c r="J72" s="23">
        <f t="shared" si="9"/>
        <v>37</v>
      </c>
      <c r="K72" s="23">
        <f>IFERROR(INDEX('Input Statistiche 2025_26'!$I$3:$I$665,MATCH($A72,'Input Statistiche 2025_26'!$A$3:$A$665,0)),"")</f>
        <v>1</v>
      </c>
      <c r="L72" s="23">
        <f>IFERROR(INDEX('Input Statistiche 2025_26'!$O$3:$O$665,MATCH($A72,'Input Statistiche 2025_26'!$A$3:$A$665,0)),"")</f>
        <v>0</v>
      </c>
      <c r="M72" s="25"/>
      <c r="N72" s="24">
        <f>IFERROR(INDEX('Input Giocatori 2026_27'!$E$3:$E$493,MATCH($A72,'Input Giocatori 2026_27'!$A$3:$A$493,0)),"")</f>
        <v>10</v>
      </c>
      <c r="O72" s="24">
        <f>IFERROR(INDEX('Input Giocatori 2026_27'!$G$3:$G$493,MATCH($A72,'Input Giocatori 2026_27'!$A$3:$A$493,0)),"")</f>
        <v>45</v>
      </c>
      <c r="P72" s="23" t="str">
        <f>IFERROR(IF($O72="","",IF((1-(COUNTIFS($B$2:$B$492,$B72,$O$2:$O$492,"&gt;"&amp;$O72)+1-1)/COUNTIF($B$2:$B$492,$B72))&gt;='Parametri Modello'!$B$63,"Top",IF((1-(COUNTIFS($B$2:$B$492,$B72,$O$2:$O$492,"&gt;"&amp;$O72)+1-1)/COUNTIF($B$2:$B$492,$B72))&gt;='Parametri Modello'!$B$64,"Buono",IF((1-(COUNTIFS($B$2:$B$492,$B72,$O$2:$O$492,"&gt;"&amp;$O72)+1-1)/COUNTIF($B$2:$B$492,$B72))&gt;='Parametri Modello'!$B$65,"Nella Media","Scommessa/Riserva")))),"")</f>
        <v>Nella Media</v>
      </c>
      <c r="Q72" s="26">
        <f>IF(AND($D72="",$N72&gt;1),SUMPRODUCT(($D$2:$D72="")*($N$2:$N72&gt;1)),"")</f>
        <v>71</v>
      </c>
      <c r="R72" s="26" t="str">
        <f>IF($D72='Info Lega'!$B$28,COUNTIFS($D$2:$D72,'Info Lega'!$B$28),"")</f>
        <v/>
      </c>
      <c r="S72" s="27">
        <f>IFERROR(INDEX('Input Statistiche 2025_26'!$G$3:$G$665,MATCH($A72,'Input Statistiche 2025_26'!$A$3:$A$665,0)),"")</f>
        <v>7</v>
      </c>
      <c r="T72" s="27">
        <f>IFERROR(INDEX('Input Statistiche 2025_26'!$H$3:$H$665,MATCH($A72,'Input Statistiche 2025_26'!$A$3:$A$665,0)),"")</f>
        <v>9.5</v>
      </c>
      <c r="U72" s="23" t="str">
        <f>IF(OR('La Mia Rosa'!$O$12="",$D72&lt;&gt;""),"",IF($F72&lt;='La Mia Rosa'!$O$12*'Parametri Modello'!$B$24,"OK",IF($F72&lt;='La Mia Rosa'!$O$12*'Parametri Modello'!$B$25,"Attenzione","Rischio Alto")))</f>
        <v>OK</v>
      </c>
      <c r="V72" s="23">
        <f t="shared" si="10"/>
        <v>32</v>
      </c>
      <c r="W72" s="18">
        <f>'Info Lega'!$B$4-SUMIFS($M$2:$M$492,$D$2:$D$492,'Info Lega'!$B$28)</f>
        <v>1000</v>
      </c>
      <c r="X72" s="18">
        <f>('Info Lega'!$B$5-COUNTIFS($D$2:$D$492,'Info Lega'!$B$28,$B$2:$B$492,"P"))+('Info Lega'!$B$6-COUNTIFS($D$2:$D$492,'Info Lega'!$B$28,$B$2:$B$492,"D"))+('Info Lega'!$B$7-COUNTIFS($D$2:$D$492,'Info Lega'!$B$28,$B$2:$B$492,"C"))+('Info Lega'!$B$8-COUNTIFS($D$2:$D$492,'Info Lega'!$B$28,$B$2:$B$492,"A"))</f>
        <v>25</v>
      </c>
      <c r="Y72" s="18">
        <f>X72*'Parametri Modello'!$B$30</f>
        <v>25</v>
      </c>
      <c r="Z72" s="18">
        <f t="shared" si="11"/>
        <v>975</v>
      </c>
      <c r="AA72" s="18">
        <f t="shared" si="12"/>
        <v>16</v>
      </c>
      <c r="AB72" s="18"/>
      <c r="AC72" s="18" t="str">
        <f>IF($AB72="","",IF($AB72&gt;$AA72,"PASS",IF($AB72&lt;=$AA72*(1-'Parametri Modello'!$B$68),"BID","ATTENZIONE")))</f>
        <v/>
      </c>
      <c r="AD72" s="28">
        <f t="shared" si="13"/>
        <v>3</v>
      </c>
      <c r="AE72" s="5" t="str">
        <f>IFERROR(INDEX('Stato Asta'!$G$9:$G$12,MATCH($B72,'Stato Asta'!$A$9:$A$12,0)),"")</f>
        <v>🔴 Non aspettare</v>
      </c>
      <c r="AF72" t="str">
        <f>IFERROR(IF($V72&lt;=INDEX('Parametri Modello'!$C$57:$C$60,MATCH($B72,'Parametri Modello'!$A$57:$A$60,0)),"Titolare","Riserva"),"")</f>
        <v>Riserva</v>
      </c>
      <c r="AG72" t="str">
        <f>IFERROR(INDEX('Pressione Competitiva'!$F$3:$F$6,MATCH($B72,'Pressione Competitiva'!$B$3:$B$6,0)),"")</f>
        <v>🔴 Molto Alta</v>
      </c>
      <c r="AH72" t="str">
        <f t="shared" si="14"/>
        <v/>
      </c>
      <c r="AI72" t="str">
        <f>IFERROR(IF($AH72="","",IF($AH72&gt;=$AA72*'Parametri Modello'!$B$68,"🟢 Opportunita'",IF($AH72&lt;=$AA72*'Parametri Modello'!$B$69,"🔴 Sovrapprezzo","🟡 Prezzo Corretto"))),"")</f>
        <v/>
      </c>
      <c r="AJ72" t="str">
        <f t="shared" si="15"/>
        <v/>
      </c>
      <c r="AK72">
        <f t="shared" si="16"/>
        <v>6</v>
      </c>
      <c r="AL72" t="str">
        <f t="shared" si="17"/>
        <v>A|Nella Media|6</v>
      </c>
    </row>
    <row r="73" spans="1:38" ht="14.25" customHeight="1" x14ac:dyDescent="0.25">
      <c r="A73" s="18">
        <v>2120</v>
      </c>
      <c r="B73" s="18" t="s">
        <v>16</v>
      </c>
      <c r="C73" s="18" t="s">
        <v>212</v>
      </c>
      <c r="E73" s="23" t="str">
        <f>IF(COUNTIF('Info Strategia'!$D$2:$D$51,$C73)&gt;0,"SI","NO")</f>
        <v>NO</v>
      </c>
      <c r="F73" s="24">
        <f>IFERROR(ROUND(($G73+($H73-$G73)*'Info Strategia'!$B$6)*(1+IF($E73="SI",'Parametri Modello'!$B$7*'Info Strategia'!$B$6,0)),0),"")</f>
        <v>30</v>
      </c>
      <c r="G73" s="24">
        <f>IFERROR(ROUND(MAX(1,(IF($V73&lt;=INDEX('Parametri Modello'!$C$57:$C$60,MATCH($B73,'Parametri Modello'!$A$57:$A$60,0)),IF(INDEX('Parametri Modello'!$E$57:$E$60,MATCH($B73,'Parametri Modello'!$A$57:$A$60,0))=0,0,($O73/INDEX('Parametri Modello'!$E$57:$E$60,MATCH($B73,'Parametri Modello'!$A$57:$A$60,0)))*(INDEX('Parametri Modello'!$D$57:$D$60,MATCH($B73,'Parametri Modello'!$A$57:$A$60,0))*(INDEX('Parametri Modello'!$B$50:$B$53,MATCH($B73,'Parametri Modello'!$A$50:$A$53,0))*'Parametri Modello'!$B$44))),IF(INDEX('Parametri Modello'!$F$57:$F$60,MATCH($B73,'Parametri Modello'!$A$57:$A$60,0))=0,0,($O73/INDEX('Parametri Modello'!$F$57:$F$60,MATCH($B73,'Parametri Modello'!$A$57:$A$60,0)))*((1-INDEX('Parametri Modello'!$D$57:$D$60,MATCH($B73,'Parametri Modello'!$A$57:$A$60,0)))*(INDEX('Parametri Modello'!$B$50:$B$53,MATCH($B73,'Parametri Modello'!$A$50:$A$53,0))*'Parametri Modello'!$B$44))))*(1+IF(IF($B73="D",'Info Lega'!$B$25,IF($B73="C",'Info Lega'!$B$26,"No"))="Si",'Parametri Modello'!$B$5,0))*(1+MAX(-0.25,MIN(0.25,IF(OR($T73="",$I73="",$I73=0,INDEX('Parametri Modello'!$B$19:$B$22,MATCH($B73,'Parametri Modello'!$A$19:$A$22,0))="",INDEX('Parametri Modello'!$B$19:$B$22,MATCH($B73,'Parametri Modello'!$A$19:$A$22,0))=0),0,(($T73-INDEX('Parametri Modello'!$B$19:$B$22,MATCH($B73,'Parametri Modello'!$A$19:$A$22,0)))/INDEX('Parametri Modello'!$B$19:$B$22,MATCH($B73,'Parametri Modello'!$A$19:$A$22,0)))*'Parametri Modello'!$B$9))))*(1+IF('Parametri Modello'!$B$27="Si",MAX(-'Parametri Modello'!$B$28,MIN('Parametri Modello'!$B$28*1.5,IF(OR(INDEX('Parametri Modello'!$F$32:$F$35,MATCH($B73,'Parametri Modello'!$A$32:$A$35,0))="",INDEX('Parametri Modello'!$F$32:$F$35,MATCH($B73,'Parametri Modello'!$A$32:$A$35,0))=0),0,(1/INDEX('Parametri Modello'!$F$32:$F$35,MATCH($B73,'Parametri Modello'!$A$32:$A$35,0))-1)*'Parametri Modello'!$B$28))),0)))*(1-INDEX('Parametri Modello'!$B$12:$B$15,MATCH($B73,'Parametri Modello'!$A$12:$A$15,0)))),0),"")</f>
        <v>22</v>
      </c>
      <c r="H73" s="24">
        <f>IFERROR(ROUND((IF($V73&lt;=INDEX('Parametri Modello'!$C$57:$C$60,MATCH($B73,'Parametri Modello'!$A$57:$A$60,0)),IF(INDEX('Parametri Modello'!$E$57:$E$60,MATCH($B73,'Parametri Modello'!$A$57:$A$60,0))=0,0,($O73/INDEX('Parametri Modello'!$E$57:$E$60,MATCH($B73,'Parametri Modello'!$A$57:$A$60,0)))*(INDEX('Parametri Modello'!$D$57:$D$60,MATCH($B73,'Parametri Modello'!$A$57:$A$60,0))*(INDEX('Parametri Modello'!$B$50:$B$53,MATCH($B73,'Parametri Modello'!$A$50:$A$53,0))*'Parametri Modello'!$B$44))),IF(INDEX('Parametri Modello'!$F$57:$F$60,MATCH($B73,'Parametri Modello'!$A$57:$A$60,0))=0,0,($O73/INDEX('Parametri Modello'!$F$57:$F$60,MATCH($B73,'Parametri Modello'!$A$57:$A$60,0)))*((1-INDEX('Parametri Modello'!$D$57:$D$60,MATCH($B73,'Parametri Modello'!$A$57:$A$60,0)))*(INDEX('Parametri Modello'!$B$50:$B$53,MATCH($B73,'Parametri Modello'!$A$50:$A$53,0))*'Parametri Modello'!$B$44))))*(1+IF(IF($B73="D",'Info Lega'!$B$25,IF($B73="C",'Info Lega'!$B$26,"No"))="Si",'Parametri Modello'!$B$5,0))*(1+MAX(-0.25,MIN(0.25,IF(OR($T73="",$I73="",$I73=0,INDEX('Parametri Modello'!$B$19:$B$22,MATCH($B73,'Parametri Modello'!$A$19:$A$22,0))="",INDEX('Parametri Modello'!$B$19:$B$22,MATCH($B73,'Parametri Modello'!$A$19:$A$22,0))=0),0,(($T73-INDEX('Parametri Modello'!$B$19:$B$22,MATCH($B73,'Parametri Modello'!$A$19:$A$22,0)))/INDEX('Parametri Modello'!$B$19:$B$22,MATCH($B73,'Parametri Modello'!$A$19:$A$22,0)))*'Parametri Modello'!$B$9))))*(1+IF('Parametri Modello'!$B$27="Si",MAX(-'Parametri Modello'!$B$28,MIN('Parametri Modello'!$B$28*1.5,IF(OR(INDEX('Parametri Modello'!$F$32:$F$35,MATCH($B73,'Parametri Modello'!$A$32:$A$35,0))="",INDEX('Parametri Modello'!$F$32:$F$35,MATCH($B73,'Parametri Modello'!$A$32:$A$35,0))=0),0,(1/INDEX('Parametri Modello'!$F$32:$F$35,MATCH($B73,'Parametri Modello'!$A$32:$A$35,0))-1)*'Parametri Modello'!$B$28))),0)))*(1+INDEX('Parametri Modello'!$B$12:$B$15,MATCH($B73,'Parametri Modello'!$A$12:$A$15,0))),0),"")</f>
        <v>34</v>
      </c>
      <c r="I73" s="23">
        <f>IFERROR(INDEX('Input Statistiche 2025_26'!$F$3:$F$665,MATCH($A73,'Input Statistiche 2025_26'!$A$3:$A$665,0)),"")</f>
        <v>28</v>
      </c>
      <c r="J73" s="23">
        <f t="shared" si="9"/>
        <v>10</v>
      </c>
      <c r="K73" s="23">
        <f>IFERROR(INDEX('Input Statistiche 2025_26'!$I$3:$I$665,MATCH($A73,'Input Statistiche 2025_26'!$A$3:$A$665,0)),"")</f>
        <v>1</v>
      </c>
      <c r="L73" s="23">
        <f>IFERROR(INDEX('Input Statistiche 2025_26'!$O$3:$O$665,MATCH($A73,'Input Statistiche 2025_26'!$A$3:$A$665,0)),"")</f>
        <v>4</v>
      </c>
      <c r="M73" s="25"/>
      <c r="N73" s="24">
        <f>IFERROR(INDEX('Input Giocatori 2026_27'!$E$3:$E$493,MATCH($A73,'Input Giocatori 2026_27'!$A$3:$A$493,0)),"")</f>
        <v>14</v>
      </c>
      <c r="O73" s="24">
        <f>IFERROR(INDEX('Input Giocatori 2026_27'!$G$3:$G$493,MATCH($A73,'Input Giocatori 2026_27'!$A$3:$A$493,0)),"")</f>
        <v>44</v>
      </c>
      <c r="P73" s="23" t="str">
        <f>IFERROR(IF($O73="","",IF((1-(COUNTIFS($B$2:$B$492,$B73,$O$2:$O$492,"&gt;"&amp;$O73)+1-1)/COUNTIF($B$2:$B$492,$B73))&gt;='Parametri Modello'!$B$63,"Top",IF((1-(COUNTIFS($B$2:$B$492,$B73,$O$2:$O$492,"&gt;"&amp;$O73)+1-1)/COUNTIF($B$2:$B$492,$B73))&gt;='Parametri Modello'!$B$64,"Buono",IF((1-(COUNTIFS($B$2:$B$492,$B73,$O$2:$O$492,"&gt;"&amp;$O73)+1-1)/COUNTIF($B$2:$B$492,$B73))&gt;='Parametri Modello'!$B$65,"Nella Media","Scommessa/Riserva")))),"")</f>
        <v>Top</v>
      </c>
      <c r="Q73" s="26">
        <f>IF(AND($D73="",$N73&gt;1),SUMPRODUCT(($D$2:$D73="")*($N$2:$N73&gt;1)),"")</f>
        <v>72</v>
      </c>
      <c r="R73" s="26" t="str">
        <f>IF($D73='Info Lega'!$B$28,COUNTIFS($D$2:$D73,'Info Lega'!$B$28),"")</f>
        <v/>
      </c>
      <c r="S73" s="27">
        <f>IFERROR(INDEX('Input Statistiche 2025_26'!$G$3:$G$665,MATCH($A73,'Input Statistiche 2025_26'!$A$3:$A$665,0)),"")</f>
        <v>6.2</v>
      </c>
      <c r="T73" s="27">
        <f>IFERROR(INDEX('Input Statistiche 2025_26'!$H$3:$H$665,MATCH($A73,'Input Statistiche 2025_26'!$A$3:$A$665,0)),"")</f>
        <v>6.34</v>
      </c>
      <c r="U73" s="23" t="str">
        <f>IF(OR('La Mia Rosa'!$O$12="",$D73&lt;&gt;""),"",IF($F73&lt;='La Mia Rosa'!$O$12*'Parametri Modello'!$B$24,"OK",IF($F73&lt;='La Mia Rosa'!$O$12*'Parametri Modello'!$B$25,"Attenzione","Rischio Alto")))</f>
        <v>OK</v>
      </c>
      <c r="V73" s="23">
        <f t="shared" si="10"/>
        <v>10</v>
      </c>
      <c r="W73" s="18">
        <f>'Info Lega'!$B$4-SUMIFS($M$2:$M$492,$D$2:$D$492,'Info Lega'!$B$28)</f>
        <v>1000</v>
      </c>
      <c r="X73" s="18">
        <f>('Info Lega'!$B$5-COUNTIFS($D$2:$D$492,'Info Lega'!$B$28,$B$2:$B$492,"P"))+('Info Lega'!$B$6-COUNTIFS($D$2:$D$492,'Info Lega'!$B$28,$B$2:$B$492,"D"))+('Info Lega'!$B$7-COUNTIFS($D$2:$D$492,'Info Lega'!$B$28,$B$2:$B$492,"C"))+('Info Lega'!$B$8-COUNTIFS($D$2:$D$492,'Info Lega'!$B$28,$B$2:$B$492,"A"))</f>
        <v>25</v>
      </c>
      <c r="Y73" s="18">
        <f>X73*'Parametri Modello'!$B$30</f>
        <v>25</v>
      </c>
      <c r="Z73" s="18">
        <f t="shared" si="11"/>
        <v>975</v>
      </c>
      <c r="AA73" s="18">
        <f t="shared" si="12"/>
        <v>30</v>
      </c>
      <c r="AB73" s="18"/>
      <c r="AC73" s="18" t="str">
        <f>IF($AB73="","",IF($AB73&gt;$AA73,"PASS",IF($AB73&lt;=$AA73*(1-'Parametri Modello'!$B$68),"BID","ATTENZIONE")))</f>
        <v/>
      </c>
      <c r="AD73" s="28">
        <f t="shared" si="13"/>
        <v>61</v>
      </c>
      <c r="AE73" s="5" t="str">
        <f>IFERROR(INDEX('Stato Asta'!$G$9:$G$12,MATCH($B73,'Stato Asta'!$A$9:$A$12,0)),"")</f>
        <v>🔴 Non aspettare</v>
      </c>
      <c r="AF73" t="str">
        <f>IFERROR(IF($V73&lt;=INDEX('Parametri Modello'!$C$57:$C$60,MATCH($B73,'Parametri Modello'!$A$57:$A$60,0)),"Titolare","Riserva"),"")</f>
        <v>Titolare</v>
      </c>
      <c r="AG73" t="str">
        <f>IFERROR(INDEX('Pressione Competitiva'!$F$3:$F$6,MATCH($B73,'Pressione Competitiva'!$B$3:$B$6,0)),"")</f>
        <v>🔴 Molto Alta</v>
      </c>
      <c r="AH73" t="str">
        <f t="shared" si="14"/>
        <v/>
      </c>
      <c r="AI73" t="str">
        <f>IFERROR(IF($AH73="","",IF($AH73&gt;=$AA73*'Parametri Modello'!$B$68,"🟢 Opportunita'",IF($AH73&lt;=$AA73*'Parametri Modello'!$B$69,"🔴 Sovrapprezzo","🟡 Prezzo Corretto"))),"")</f>
        <v/>
      </c>
      <c r="AJ73" t="str">
        <f t="shared" si="15"/>
        <v/>
      </c>
      <c r="AK73">
        <f t="shared" si="16"/>
        <v>10</v>
      </c>
      <c r="AL73" t="str">
        <f t="shared" si="17"/>
        <v>D|Top|10</v>
      </c>
    </row>
    <row r="74" spans="1:38" ht="14.25" customHeight="1" x14ac:dyDescent="0.25">
      <c r="A74" s="18">
        <v>4317</v>
      </c>
      <c r="B74" s="18" t="s">
        <v>16</v>
      </c>
      <c r="C74" s="18" t="s">
        <v>213</v>
      </c>
      <c r="E74" s="23" t="str">
        <f>IF(COUNTIF('Info Strategia'!$D$2:$D$51,$C74)&gt;0,"SI","NO")</f>
        <v>NO</v>
      </c>
      <c r="F74" s="24">
        <f>IFERROR(ROUND(($G74+($H74-$G74)*'Info Strategia'!$B$6)*(1+IF($E74="SI",'Parametri Modello'!$B$7*'Info Strategia'!$B$6,0)),0),"")</f>
        <v>30</v>
      </c>
      <c r="G74" s="24">
        <f>IFERROR(ROUND(MAX(1,(IF($V74&lt;=INDEX('Parametri Modello'!$C$57:$C$60,MATCH($B74,'Parametri Modello'!$A$57:$A$60,0)),IF(INDEX('Parametri Modello'!$E$57:$E$60,MATCH($B74,'Parametri Modello'!$A$57:$A$60,0))=0,0,($O74/INDEX('Parametri Modello'!$E$57:$E$60,MATCH($B74,'Parametri Modello'!$A$57:$A$60,0)))*(INDEX('Parametri Modello'!$D$57:$D$60,MATCH($B74,'Parametri Modello'!$A$57:$A$60,0))*(INDEX('Parametri Modello'!$B$50:$B$53,MATCH($B74,'Parametri Modello'!$A$50:$A$53,0))*'Parametri Modello'!$B$44))),IF(INDEX('Parametri Modello'!$F$57:$F$60,MATCH($B74,'Parametri Modello'!$A$57:$A$60,0))=0,0,($O74/INDEX('Parametri Modello'!$F$57:$F$60,MATCH($B74,'Parametri Modello'!$A$57:$A$60,0)))*((1-INDEX('Parametri Modello'!$D$57:$D$60,MATCH($B74,'Parametri Modello'!$A$57:$A$60,0)))*(INDEX('Parametri Modello'!$B$50:$B$53,MATCH($B74,'Parametri Modello'!$A$50:$A$53,0))*'Parametri Modello'!$B$44))))*(1+IF(IF($B74="D",'Info Lega'!$B$25,IF($B74="C",'Info Lega'!$B$26,"No"))="Si",'Parametri Modello'!$B$5,0))*(1+MAX(-0.25,MIN(0.25,IF(OR($T74="",$I74="",$I74=0,INDEX('Parametri Modello'!$B$19:$B$22,MATCH($B74,'Parametri Modello'!$A$19:$A$22,0))="",INDEX('Parametri Modello'!$B$19:$B$22,MATCH($B74,'Parametri Modello'!$A$19:$A$22,0))=0),0,(($T74-INDEX('Parametri Modello'!$B$19:$B$22,MATCH($B74,'Parametri Modello'!$A$19:$A$22,0)))/INDEX('Parametri Modello'!$B$19:$B$22,MATCH($B74,'Parametri Modello'!$A$19:$A$22,0)))*'Parametri Modello'!$B$9))))*(1+IF('Parametri Modello'!$B$27="Si",MAX(-'Parametri Modello'!$B$28,MIN('Parametri Modello'!$B$28*1.5,IF(OR(INDEX('Parametri Modello'!$F$32:$F$35,MATCH($B74,'Parametri Modello'!$A$32:$A$35,0))="",INDEX('Parametri Modello'!$F$32:$F$35,MATCH($B74,'Parametri Modello'!$A$32:$A$35,0))=0),0,(1/INDEX('Parametri Modello'!$F$32:$F$35,MATCH($B74,'Parametri Modello'!$A$32:$A$35,0))-1)*'Parametri Modello'!$B$28))),0)))*(1-INDEX('Parametri Modello'!$B$12:$B$15,MATCH($B74,'Parametri Modello'!$A$12:$A$15,0)))),0),"")</f>
        <v>22</v>
      </c>
      <c r="H74" s="24">
        <f>IFERROR(ROUND((IF($V74&lt;=INDEX('Parametri Modello'!$C$57:$C$60,MATCH($B74,'Parametri Modello'!$A$57:$A$60,0)),IF(INDEX('Parametri Modello'!$E$57:$E$60,MATCH($B74,'Parametri Modello'!$A$57:$A$60,0))=0,0,($O74/INDEX('Parametri Modello'!$E$57:$E$60,MATCH($B74,'Parametri Modello'!$A$57:$A$60,0)))*(INDEX('Parametri Modello'!$D$57:$D$60,MATCH($B74,'Parametri Modello'!$A$57:$A$60,0))*(INDEX('Parametri Modello'!$B$50:$B$53,MATCH($B74,'Parametri Modello'!$A$50:$A$53,0))*'Parametri Modello'!$B$44))),IF(INDEX('Parametri Modello'!$F$57:$F$60,MATCH($B74,'Parametri Modello'!$A$57:$A$60,0))=0,0,($O74/INDEX('Parametri Modello'!$F$57:$F$60,MATCH($B74,'Parametri Modello'!$A$57:$A$60,0)))*((1-INDEX('Parametri Modello'!$D$57:$D$60,MATCH($B74,'Parametri Modello'!$A$57:$A$60,0)))*(INDEX('Parametri Modello'!$B$50:$B$53,MATCH($B74,'Parametri Modello'!$A$50:$A$53,0))*'Parametri Modello'!$B$44))))*(1+IF(IF($B74="D",'Info Lega'!$B$25,IF($B74="C",'Info Lega'!$B$26,"No"))="Si",'Parametri Modello'!$B$5,0))*(1+MAX(-0.25,MIN(0.25,IF(OR($T74="",$I74="",$I74=0,INDEX('Parametri Modello'!$B$19:$B$22,MATCH($B74,'Parametri Modello'!$A$19:$A$22,0))="",INDEX('Parametri Modello'!$B$19:$B$22,MATCH($B74,'Parametri Modello'!$A$19:$A$22,0))=0),0,(($T74-INDEX('Parametri Modello'!$B$19:$B$22,MATCH($B74,'Parametri Modello'!$A$19:$A$22,0)))/INDEX('Parametri Modello'!$B$19:$B$22,MATCH($B74,'Parametri Modello'!$A$19:$A$22,0)))*'Parametri Modello'!$B$9))))*(1+IF('Parametri Modello'!$B$27="Si",MAX(-'Parametri Modello'!$B$28,MIN('Parametri Modello'!$B$28*1.5,IF(OR(INDEX('Parametri Modello'!$F$32:$F$35,MATCH($B74,'Parametri Modello'!$A$32:$A$35,0))="",INDEX('Parametri Modello'!$F$32:$F$35,MATCH($B74,'Parametri Modello'!$A$32:$A$35,0))=0),0,(1/INDEX('Parametri Modello'!$F$32:$F$35,MATCH($B74,'Parametri Modello'!$A$32:$A$35,0))-1)*'Parametri Modello'!$B$28))),0)))*(1+INDEX('Parametri Modello'!$B$12:$B$15,MATCH($B74,'Parametri Modello'!$A$12:$A$15,0))),0),"")</f>
        <v>34</v>
      </c>
      <c r="I74" s="23">
        <f>IFERROR(INDEX('Input Statistiche 2025_26'!$F$3:$F$665,MATCH($A74,'Input Statistiche 2025_26'!$A$3:$A$665,0)),"")</f>
        <v>31</v>
      </c>
      <c r="J74" s="23">
        <f t="shared" si="9"/>
        <v>7</v>
      </c>
      <c r="K74" s="23">
        <f>IFERROR(INDEX('Input Statistiche 2025_26'!$I$3:$I$665,MATCH($A74,'Input Statistiche 2025_26'!$A$3:$A$665,0)),"")</f>
        <v>3</v>
      </c>
      <c r="L74" s="23">
        <f>IFERROR(INDEX('Input Statistiche 2025_26'!$O$3:$O$665,MATCH($A74,'Input Statistiche 2025_26'!$A$3:$A$665,0)),"")</f>
        <v>1</v>
      </c>
      <c r="M74" s="25"/>
      <c r="N74" s="24">
        <f>IFERROR(INDEX('Input Giocatori 2026_27'!$E$3:$E$493,MATCH($A74,'Input Giocatori 2026_27'!$A$3:$A$493,0)),"")</f>
        <v>13</v>
      </c>
      <c r="O74" s="24">
        <f>IFERROR(INDEX('Input Giocatori 2026_27'!$G$3:$G$493,MATCH($A74,'Input Giocatori 2026_27'!$A$3:$A$493,0)),"")</f>
        <v>44</v>
      </c>
      <c r="P74" s="23" t="str">
        <f>IFERROR(IF($O74="","",IF((1-(COUNTIFS($B$2:$B$492,$B74,$O$2:$O$492,"&gt;"&amp;$O74)+1-1)/COUNTIF($B$2:$B$492,$B74))&gt;='Parametri Modello'!$B$63,"Top",IF((1-(COUNTIFS($B$2:$B$492,$B74,$O$2:$O$492,"&gt;"&amp;$O74)+1-1)/COUNTIF($B$2:$B$492,$B74))&gt;='Parametri Modello'!$B$64,"Buono",IF((1-(COUNTIFS($B$2:$B$492,$B74,$O$2:$O$492,"&gt;"&amp;$O74)+1-1)/COUNTIF($B$2:$B$492,$B74))&gt;='Parametri Modello'!$B$65,"Nella Media","Scommessa/Riserva")))),"")</f>
        <v>Top</v>
      </c>
      <c r="Q74" s="26">
        <f>IF(AND($D74="",$N74&gt;1),SUMPRODUCT(($D$2:$D74="")*($N$2:$N74&gt;1)),"")</f>
        <v>73</v>
      </c>
      <c r="R74" s="26" t="str">
        <f>IF($D74='Info Lega'!$B$28,COUNTIFS($D$2:$D74,'Info Lega'!$B$28),"")</f>
        <v/>
      </c>
      <c r="S74" s="27">
        <f>IFERROR(INDEX('Input Statistiche 2025_26'!$G$3:$G$665,MATCH($A74,'Input Statistiche 2025_26'!$A$3:$A$665,0)),"")</f>
        <v>6.08</v>
      </c>
      <c r="T74" s="27">
        <f>IFERROR(INDEX('Input Statistiche 2025_26'!$H$3:$H$665,MATCH($A74,'Input Statistiche 2025_26'!$A$3:$A$665,0)),"")</f>
        <v>6.32</v>
      </c>
      <c r="U74" s="23" t="str">
        <f>IF(OR('La Mia Rosa'!$O$12="",$D74&lt;&gt;""),"",IF($F74&lt;='La Mia Rosa'!$O$12*'Parametri Modello'!$B$24,"OK",IF($F74&lt;='La Mia Rosa'!$O$12*'Parametri Modello'!$B$25,"Attenzione","Rischio Alto")))</f>
        <v>OK</v>
      </c>
      <c r="V74" s="23">
        <f t="shared" si="10"/>
        <v>10</v>
      </c>
      <c r="W74" s="18">
        <f>'Info Lega'!$B$4-SUMIFS($M$2:$M$492,$D$2:$D$492,'Info Lega'!$B$28)</f>
        <v>1000</v>
      </c>
      <c r="X74" s="18">
        <f>('Info Lega'!$B$5-COUNTIFS($D$2:$D$492,'Info Lega'!$B$28,$B$2:$B$492,"P"))+('Info Lega'!$B$6-COUNTIFS($D$2:$D$492,'Info Lega'!$B$28,$B$2:$B$492,"D"))+('Info Lega'!$B$7-COUNTIFS($D$2:$D$492,'Info Lega'!$B$28,$B$2:$B$492,"C"))+('Info Lega'!$B$8-COUNTIFS($D$2:$D$492,'Info Lega'!$B$28,$B$2:$B$492,"A"))</f>
        <v>25</v>
      </c>
      <c r="Y74" s="18">
        <f>X74*'Parametri Modello'!$B$30</f>
        <v>25</v>
      </c>
      <c r="Z74" s="18">
        <f t="shared" si="11"/>
        <v>975</v>
      </c>
      <c r="AA74" s="18">
        <f t="shared" si="12"/>
        <v>30</v>
      </c>
      <c r="AB74" s="18"/>
      <c r="AC74" s="18" t="str">
        <f>IF($AB74="","",IF($AB74&gt;$AA74,"PASS",IF($AB74&lt;=$AA74*(1-'Parametri Modello'!$B$68),"BID","ATTENZIONE")))</f>
        <v/>
      </c>
      <c r="AD74" s="28">
        <f t="shared" si="13"/>
        <v>64</v>
      </c>
      <c r="AE74" s="5" t="str">
        <f>IFERROR(INDEX('Stato Asta'!$G$9:$G$12,MATCH($B74,'Stato Asta'!$A$9:$A$12,0)),"")</f>
        <v>🔴 Non aspettare</v>
      </c>
      <c r="AF74" t="str">
        <f>IFERROR(IF($V74&lt;=INDEX('Parametri Modello'!$C$57:$C$60,MATCH($B74,'Parametri Modello'!$A$57:$A$60,0)),"Titolare","Riserva"),"")</f>
        <v>Titolare</v>
      </c>
      <c r="AG74" t="str">
        <f>IFERROR(INDEX('Pressione Competitiva'!$F$3:$F$6,MATCH($B74,'Pressione Competitiva'!$B$3:$B$6,0)),"")</f>
        <v>🔴 Molto Alta</v>
      </c>
      <c r="AH74" t="str">
        <f t="shared" si="14"/>
        <v/>
      </c>
      <c r="AI74" t="str">
        <f>IFERROR(IF($AH74="","",IF($AH74&gt;=$AA74*'Parametri Modello'!$B$68,"🟢 Opportunita'",IF($AH74&lt;=$AA74*'Parametri Modello'!$B$69,"🔴 Sovrapprezzo","🟡 Prezzo Corretto"))),"")</f>
        <v/>
      </c>
      <c r="AJ74" t="str">
        <f t="shared" si="15"/>
        <v/>
      </c>
      <c r="AK74">
        <f t="shared" si="16"/>
        <v>10</v>
      </c>
      <c r="AL74" t="str">
        <f t="shared" si="17"/>
        <v>D|Top|10</v>
      </c>
    </row>
    <row r="75" spans="1:38" ht="14.25" customHeight="1" x14ac:dyDescent="0.25">
      <c r="A75" s="18">
        <v>4892</v>
      </c>
      <c r="B75" s="18" t="s">
        <v>17</v>
      </c>
      <c r="C75" s="18" t="s">
        <v>214</v>
      </c>
      <c r="E75" s="23" t="str">
        <f>IF(COUNTIF('Info Strategia'!$D$2:$D$51,$C75)&gt;0,"SI","NO")</f>
        <v>NO</v>
      </c>
      <c r="F75" s="24">
        <f>IFERROR(ROUND(($G75+($H75-$G75)*'Info Strategia'!$B$6)*(1+IF($E75="SI",'Parametri Modello'!$B$7*'Info Strategia'!$B$6,0)),0),"")</f>
        <v>28</v>
      </c>
      <c r="G75" s="24">
        <f>IFERROR(ROUND(MAX(1,(IF($V75&lt;=INDEX('Parametri Modello'!$C$57:$C$60,MATCH($B75,'Parametri Modello'!$A$57:$A$60,0)),IF(INDEX('Parametri Modello'!$E$57:$E$60,MATCH($B75,'Parametri Modello'!$A$57:$A$60,0))=0,0,($O75/INDEX('Parametri Modello'!$E$57:$E$60,MATCH($B75,'Parametri Modello'!$A$57:$A$60,0)))*(INDEX('Parametri Modello'!$D$57:$D$60,MATCH($B75,'Parametri Modello'!$A$57:$A$60,0))*(INDEX('Parametri Modello'!$B$50:$B$53,MATCH($B75,'Parametri Modello'!$A$50:$A$53,0))*'Parametri Modello'!$B$44))),IF(INDEX('Parametri Modello'!$F$57:$F$60,MATCH($B75,'Parametri Modello'!$A$57:$A$60,0))=0,0,($O75/INDEX('Parametri Modello'!$F$57:$F$60,MATCH($B75,'Parametri Modello'!$A$57:$A$60,0)))*((1-INDEX('Parametri Modello'!$D$57:$D$60,MATCH($B75,'Parametri Modello'!$A$57:$A$60,0)))*(INDEX('Parametri Modello'!$B$50:$B$53,MATCH($B75,'Parametri Modello'!$A$50:$A$53,0))*'Parametri Modello'!$B$44))))*(1+IF(IF($B75="D",'Info Lega'!$B$25,IF($B75="C",'Info Lega'!$B$26,"No"))="Si",'Parametri Modello'!$B$5,0))*(1+MAX(-0.25,MIN(0.25,IF(OR($T75="",$I75="",$I75=0,INDEX('Parametri Modello'!$B$19:$B$22,MATCH($B75,'Parametri Modello'!$A$19:$A$22,0))="",INDEX('Parametri Modello'!$B$19:$B$22,MATCH($B75,'Parametri Modello'!$A$19:$A$22,0))=0),0,(($T75-INDEX('Parametri Modello'!$B$19:$B$22,MATCH($B75,'Parametri Modello'!$A$19:$A$22,0)))/INDEX('Parametri Modello'!$B$19:$B$22,MATCH($B75,'Parametri Modello'!$A$19:$A$22,0)))*'Parametri Modello'!$B$9))))*(1+IF('Parametri Modello'!$B$27="Si",MAX(-'Parametri Modello'!$B$28,MIN('Parametri Modello'!$B$28*1.5,IF(OR(INDEX('Parametri Modello'!$F$32:$F$35,MATCH($B75,'Parametri Modello'!$A$32:$A$35,0))="",INDEX('Parametri Modello'!$F$32:$F$35,MATCH($B75,'Parametri Modello'!$A$32:$A$35,0))=0),0,(1/INDEX('Parametri Modello'!$F$32:$F$35,MATCH($B75,'Parametri Modello'!$A$32:$A$35,0))-1)*'Parametri Modello'!$B$28))),0)))*(1-INDEX('Parametri Modello'!$B$12:$B$15,MATCH($B75,'Parametri Modello'!$A$12:$A$15,0)))),0),"")</f>
        <v>19</v>
      </c>
      <c r="H75" s="24">
        <f>IFERROR(ROUND((IF($V75&lt;=INDEX('Parametri Modello'!$C$57:$C$60,MATCH($B75,'Parametri Modello'!$A$57:$A$60,0)),IF(INDEX('Parametri Modello'!$E$57:$E$60,MATCH($B75,'Parametri Modello'!$A$57:$A$60,0))=0,0,($O75/INDEX('Parametri Modello'!$E$57:$E$60,MATCH($B75,'Parametri Modello'!$A$57:$A$60,0)))*(INDEX('Parametri Modello'!$D$57:$D$60,MATCH($B75,'Parametri Modello'!$A$57:$A$60,0))*(INDEX('Parametri Modello'!$B$50:$B$53,MATCH($B75,'Parametri Modello'!$A$50:$A$53,0))*'Parametri Modello'!$B$44))),IF(INDEX('Parametri Modello'!$F$57:$F$60,MATCH($B75,'Parametri Modello'!$A$57:$A$60,0))=0,0,($O75/INDEX('Parametri Modello'!$F$57:$F$60,MATCH($B75,'Parametri Modello'!$A$57:$A$60,0)))*((1-INDEX('Parametri Modello'!$D$57:$D$60,MATCH($B75,'Parametri Modello'!$A$57:$A$60,0)))*(INDEX('Parametri Modello'!$B$50:$B$53,MATCH($B75,'Parametri Modello'!$A$50:$A$53,0))*'Parametri Modello'!$B$44))))*(1+IF(IF($B75="D",'Info Lega'!$B$25,IF($B75="C",'Info Lega'!$B$26,"No"))="Si",'Parametri Modello'!$B$5,0))*(1+MAX(-0.25,MIN(0.25,IF(OR($T75="",$I75="",$I75=0,INDEX('Parametri Modello'!$B$19:$B$22,MATCH($B75,'Parametri Modello'!$A$19:$A$22,0))="",INDEX('Parametri Modello'!$B$19:$B$22,MATCH($B75,'Parametri Modello'!$A$19:$A$22,0))=0),0,(($T75-INDEX('Parametri Modello'!$B$19:$B$22,MATCH($B75,'Parametri Modello'!$A$19:$A$22,0)))/INDEX('Parametri Modello'!$B$19:$B$22,MATCH($B75,'Parametri Modello'!$A$19:$A$22,0)))*'Parametri Modello'!$B$9))))*(1+IF('Parametri Modello'!$B$27="Si",MAX(-'Parametri Modello'!$B$28,MIN('Parametri Modello'!$B$28*1.5,IF(OR(INDEX('Parametri Modello'!$F$32:$F$35,MATCH($B75,'Parametri Modello'!$A$32:$A$35,0))="",INDEX('Parametri Modello'!$F$32:$F$35,MATCH($B75,'Parametri Modello'!$A$32:$A$35,0))=0),0,(1/INDEX('Parametri Modello'!$F$32:$F$35,MATCH($B75,'Parametri Modello'!$A$32:$A$35,0))-1)*'Parametri Modello'!$B$28))),0)))*(1+INDEX('Parametri Modello'!$B$12:$B$15,MATCH($B75,'Parametri Modello'!$A$12:$A$15,0))),0),"")</f>
        <v>32</v>
      </c>
      <c r="I75" s="23">
        <f>IFERROR(INDEX('Input Statistiche 2025_26'!$F$3:$F$665,MATCH($A75,'Input Statistiche 2025_26'!$A$3:$A$665,0)),"")</f>
        <v>35</v>
      </c>
      <c r="J75" s="23">
        <f t="shared" si="9"/>
        <v>3</v>
      </c>
      <c r="K75" s="23">
        <f>IFERROR(INDEX('Input Statistiche 2025_26'!$I$3:$I$665,MATCH($A75,'Input Statistiche 2025_26'!$A$3:$A$665,0)),"")</f>
        <v>3</v>
      </c>
      <c r="L75" s="23">
        <f>IFERROR(INDEX('Input Statistiche 2025_26'!$O$3:$O$665,MATCH($A75,'Input Statistiche 2025_26'!$A$3:$A$665,0)),"")</f>
        <v>3</v>
      </c>
      <c r="M75" s="25"/>
      <c r="N75" s="24">
        <f>IFERROR(INDEX('Input Giocatori 2026_27'!$E$3:$E$493,MATCH($A75,'Input Giocatori 2026_27'!$A$3:$A$493,0)),"")</f>
        <v>10</v>
      </c>
      <c r="O75" s="24">
        <f>IFERROR(INDEX('Input Giocatori 2026_27'!$G$3:$G$493,MATCH($A75,'Input Giocatori 2026_27'!$A$3:$A$493,0)),"")</f>
        <v>43</v>
      </c>
      <c r="P75" s="23" t="str">
        <f>IFERROR(IF($O75="","",IF((1-(COUNTIFS($B$2:$B$492,$B75,$O$2:$O$492,"&gt;"&amp;$O75)+1-1)/COUNTIF($B$2:$B$492,$B75))&gt;='Parametri Modello'!$B$63,"Top",IF((1-(COUNTIFS($B$2:$B$492,$B75,$O$2:$O$492,"&gt;"&amp;$O75)+1-1)/COUNTIF($B$2:$B$492,$B75))&gt;='Parametri Modello'!$B$64,"Buono",IF((1-(COUNTIFS($B$2:$B$492,$B75,$O$2:$O$492,"&gt;"&amp;$O75)+1-1)/COUNTIF($B$2:$B$492,$B75))&gt;='Parametri Modello'!$B$65,"Nella Media","Scommessa/Riserva")))),"")</f>
        <v>Buono</v>
      </c>
      <c r="Q75" s="26">
        <f>IF(AND($D75="",$N75&gt;1),SUMPRODUCT(($D$2:$D75="")*($N$2:$N75&gt;1)),"")</f>
        <v>74</v>
      </c>
      <c r="R75" s="26" t="str">
        <f>IF($D75='Info Lega'!$B$28,COUNTIFS($D$2:$D75,'Info Lega'!$B$28),"")</f>
        <v/>
      </c>
      <c r="S75" s="27">
        <f>IFERROR(INDEX('Input Statistiche 2025_26'!$G$3:$G$665,MATCH($A75,'Input Statistiche 2025_26'!$A$3:$A$665,0)),"")</f>
        <v>6.14</v>
      </c>
      <c r="T75" s="27">
        <f>IFERROR(INDEX('Input Statistiche 2025_26'!$H$3:$H$665,MATCH($A75,'Input Statistiche 2025_26'!$A$3:$A$665,0)),"")</f>
        <v>6.41</v>
      </c>
      <c r="U75" s="23" t="str">
        <f>IF(OR('La Mia Rosa'!$O$12="",$D75&lt;&gt;""),"",IF($F75&lt;='La Mia Rosa'!$O$12*'Parametri Modello'!$B$24,"OK",IF($F75&lt;='La Mia Rosa'!$O$12*'Parametri Modello'!$B$25,"Attenzione","Rischio Alto")))</f>
        <v>OK</v>
      </c>
      <c r="V75" s="23">
        <f t="shared" si="10"/>
        <v>24</v>
      </c>
      <c r="W75" s="18">
        <f>'Info Lega'!$B$4-SUMIFS($M$2:$M$492,$D$2:$D$492,'Info Lega'!$B$28)</f>
        <v>1000</v>
      </c>
      <c r="X75" s="18">
        <f>('Info Lega'!$B$5-COUNTIFS($D$2:$D$492,'Info Lega'!$B$28,$B$2:$B$492,"P"))+('Info Lega'!$B$6-COUNTIFS($D$2:$D$492,'Info Lega'!$B$28,$B$2:$B$492,"D"))+('Info Lega'!$B$7-COUNTIFS($D$2:$D$492,'Info Lega'!$B$28,$B$2:$B$492,"C"))+('Info Lega'!$B$8-COUNTIFS($D$2:$D$492,'Info Lega'!$B$28,$B$2:$B$492,"A"))</f>
        <v>25</v>
      </c>
      <c r="Y75" s="18">
        <f>X75*'Parametri Modello'!$B$30</f>
        <v>25</v>
      </c>
      <c r="Z75" s="18">
        <f t="shared" si="11"/>
        <v>975</v>
      </c>
      <c r="AA75" s="18">
        <f t="shared" si="12"/>
        <v>28</v>
      </c>
      <c r="AB75" s="18"/>
      <c r="AC75" s="18" t="str">
        <f>IF($AB75="","",IF($AB75&gt;$AA75,"PASS",IF($AB75&lt;=$AA75*(1-'Parametri Modello'!$B$68),"BID","ATTENZIONE")))</f>
        <v/>
      </c>
      <c r="AD75" s="28">
        <f t="shared" si="13"/>
        <v>69</v>
      </c>
      <c r="AE75" s="5" t="str">
        <f>IFERROR(INDEX('Stato Asta'!$G$9:$G$12,MATCH($B75,'Stato Asta'!$A$9:$A$12,0)),"")</f>
        <v>🔴 Non aspettare</v>
      </c>
      <c r="AF75" t="str">
        <f>IFERROR(IF($V75&lt;=INDEX('Parametri Modello'!$C$57:$C$60,MATCH($B75,'Parametri Modello'!$A$57:$A$60,0)),"Titolare","Riserva"),"")</f>
        <v>Titolare</v>
      </c>
      <c r="AG75" t="str">
        <f>IFERROR(INDEX('Pressione Competitiva'!$F$3:$F$6,MATCH($B75,'Pressione Competitiva'!$B$3:$B$6,0)),"")</f>
        <v>🔴 Molto Alta</v>
      </c>
      <c r="AH75" t="str">
        <f t="shared" si="14"/>
        <v/>
      </c>
      <c r="AI75" t="str">
        <f>IFERROR(IF($AH75="","",IF($AH75&gt;=$AA75*'Parametri Modello'!$B$68,"🟢 Opportunita'",IF($AH75&lt;=$AA75*'Parametri Modello'!$B$69,"🔴 Sovrapprezzo","🟡 Prezzo Corretto"))),"")</f>
        <v/>
      </c>
      <c r="AJ75" t="str">
        <f t="shared" si="15"/>
        <v/>
      </c>
      <c r="AK75">
        <f t="shared" si="16"/>
        <v>6</v>
      </c>
      <c r="AL75" t="str">
        <f t="shared" si="17"/>
        <v>C|Buono|6</v>
      </c>
    </row>
    <row r="76" spans="1:38" ht="14.25" customHeight="1" x14ac:dyDescent="0.25">
      <c r="A76" s="18">
        <v>5119</v>
      </c>
      <c r="B76" s="18" t="s">
        <v>17</v>
      </c>
      <c r="C76" s="18" t="s">
        <v>215</v>
      </c>
      <c r="E76" s="23" t="str">
        <f>IF(COUNTIF('Info Strategia'!$D$2:$D$51,$C76)&gt;0,"SI","NO")</f>
        <v>NO</v>
      </c>
      <c r="F76" s="24">
        <f>IFERROR(ROUND(($G76+($H76-$G76)*'Info Strategia'!$B$6)*(1+IF($E76="SI",'Parametri Modello'!$B$7*'Info Strategia'!$B$6,0)),0),"")</f>
        <v>28</v>
      </c>
      <c r="G76" s="24">
        <f>IFERROR(ROUND(MAX(1,(IF($V76&lt;=INDEX('Parametri Modello'!$C$57:$C$60,MATCH($B76,'Parametri Modello'!$A$57:$A$60,0)),IF(INDEX('Parametri Modello'!$E$57:$E$60,MATCH($B76,'Parametri Modello'!$A$57:$A$60,0))=0,0,($O76/INDEX('Parametri Modello'!$E$57:$E$60,MATCH($B76,'Parametri Modello'!$A$57:$A$60,0)))*(INDEX('Parametri Modello'!$D$57:$D$60,MATCH($B76,'Parametri Modello'!$A$57:$A$60,0))*(INDEX('Parametri Modello'!$B$50:$B$53,MATCH($B76,'Parametri Modello'!$A$50:$A$53,0))*'Parametri Modello'!$B$44))),IF(INDEX('Parametri Modello'!$F$57:$F$60,MATCH($B76,'Parametri Modello'!$A$57:$A$60,0))=0,0,($O76/INDEX('Parametri Modello'!$F$57:$F$60,MATCH($B76,'Parametri Modello'!$A$57:$A$60,0)))*((1-INDEX('Parametri Modello'!$D$57:$D$60,MATCH($B76,'Parametri Modello'!$A$57:$A$60,0)))*(INDEX('Parametri Modello'!$B$50:$B$53,MATCH($B76,'Parametri Modello'!$A$50:$A$53,0))*'Parametri Modello'!$B$44))))*(1+IF(IF($B76="D",'Info Lega'!$B$25,IF($B76="C",'Info Lega'!$B$26,"No"))="Si",'Parametri Modello'!$B$5,0))*(1+MAX(-0.25,MIN(0.25,IF(OR($T76="",$I76="",$I76=0,INDEX('Parametri Modello'!$B$19:$B$22,MATCH($B76,'Parametri Modello'!$A$19:$A$22,0))="",INDEX('Parametri Modello'!$B$19:$B$22,MATCH($B76,'Parametri Modello'!$A$19:$A$22,0))=0),0,(($T76-INDEX('Parametri Modello'!$B$19:$B$22,MATCH($B76,'Parametri Modello'!$A$19:$A$22,0)))/INDEX('Parametri Modello'!$B$19:$B$22,MATCH($B76,'Parametri Modello'!$A$19:$A$22,0)))*'Parametri Modello'!$B$9))))*(1+IF('Parametri Modello'!$B$27="Si",MAX(-'Parametri Modello'!$B$28,MIN('Parametri Modello'!$B$28*1.5,IF(OR(INDEX('Parametri Modello'!$F$32:$F$35,MATCH($B76,'Parametri Modello'!$A$32:$A$35,0))="",INDEX('Parametri Modello'!$F$32:$F$35,MATCH($B76,'Parametri Modello'!$A$32:$A$35,0))=0),0,(1/INDEX('Parametri Modello'!$F$32:$F$35,MATCH($B76,'Parametri Modello'!$A$32:$A$35,0))-1)*'Parametri Modello'!$B$28))),0)))*(1-INDEX('Parametri Modello'!$B$12:$B$15,MATCH($B76,'Parametri Modello'!$A$12:$A$15,0)))),0),"")</f>
        <v>19</v>
      </c>
      <c r="H76" s="24">
        <f>IFERROR(ROUND((IF($V76&lt;=INDEX('Parametri Modello'!$C$57:$C$60,MATCH($B76,'Parametri Modello'!$A$57:$A$60,0)),IF(INDEX('Parametri Modello'!$E$57:$E$60,MATCH($B76,'Parametri Modello'!$A$57:$A$60,0))=0,0,($O76/INDEX('Parametri Modello'!$E$57:$E$60,MATCH($B76,'Parametri Modello'!$A$57:$A$60,0)))*(INDEX('Parametri Modello'!$D$57:$D$60,MATCH($B76,'Parametri Modello'!$A$57:$A$60,0))*(INDEX('Parametri Modello'!$B$50:$B$53,MATCH($B76,'Parametri Modello'!$A$50:$A$53,0))*'Parametri Modello'!$B$44))),IF(INDEX('Parametri Modello'!$F$57:$F$60,MATCH($B76,'Parametri Modello'!$A$57:$A$60,0))=0,0,($O76/INDEX('Parametri Modello'!$F$57:$F$60,MATCH($B76,'Parametri Modello'!$A$57:$A$60,0)))*((1-INDEX('Parametri Modello'!$D$57:$D$60,MATCH($B76,'Parametri Modello'!$A$57:$A$60,0)))*(INDEX('Parametri Modello'!$B$50:$B$53,MATCH($B76,'Parametri Modello'!$A$50:$A$53,0))*'Parametri Modello'!$B$44))))*(1+IF(IF($B76="D",'Info Lega'!$B$25,IF($B76="C",'Info Lega'!$B$26,"No"))="Si",'Parametri Modello'!$B$5,0))*(1+MAX(-0.25,MIN(0.25,IF(OR($T76="",$I76="",$I76=0,INDEX('Parametri Modello'!$B$19:$B$22,MATCH($B76,'Parametri Modello'!$A$19:$A$22,0))="",INDEX('Parametri Modello'!$B$19:$B$22,MATCH($B76,'Parametri Modello'!$A$19:$A$22,0))=0),0,(($T76-INDEX('Parametri Modello'!$B$19:$B$22,MATCH($B76,'Parametri Modello'!$A$19:$A$22,0)))/INDEX('Parametri Modello'!$B$19:$B$22,MATCH($B76,'Parametri Modello'!$A$19:$A$22,0)))*'Parametri Modello'!$B$9))))*(1+IF('Parametri Modello'!$B$27="Si",MAX(-'Parametri Modello'!$B$28,MIN('Parametri Modello'!$B$28*1.5,IF(OR(INDEX('Parametri Modello'!$F$32:$F$35,MATCH($B76,'Parametri Modello'!$A$32:$A$35,0))="",INDEX('Parametri Modello'!$F$32:$F$35,MATCH($B76,'Parametri Modello'!$A$32:$A$35,0))=0),0,(1/INDEX('Parametri Modello'!$F$32:$F$35,MATCH($B76,'Parametri Modello'!$A$32:$A$35,0))-1)*'Parametri Modello'!$B$28))),0)))*(1+INDEX('Parametri Modello'!$B$12:$B$15,MATCH($B76,'Parametri Modello'!$A$12:$A$15,0))),0),"")</f>
        <v>32</v>
      </c>
      <c r="I76" s="23">
        <f>IFERROR(INDEX('Input Statistiche 2025_26'!$F$3:$F$665,MATCH($A76,'Input Statistiche 2025_26'!$A$3:$A$665,0)),"")</f>
        <v>21</v>
      </c>
      <c r="J76" s="23">
        <f t="shared" si="9"/>
        <v>17</v>
      </c>
      <c r="K76" s="23">
        <f>IFERROR(INDEX('Input Statistiche 2025_26'!$I$3:$I$665,MATCH($A76,'Input Statistiche 2025_26'!$A$3:$A$665,0)),"")</f>
        <v>2</v>
      </c>
      <c r="L76" s="23">
        <f>IFERROR(INDEX('Input Statistiche 2025_26'!$O$3:$O$665,MATCH($A76,'Input Statistiche 2025_26'!$A$3:$A$665,0)),"")</f>
        <v>2</v>
      </c>
      <c r="M76" s="25"/>
      <c r="N76" s="24">
        <f>IFERROR(INDEX('Input Giocatori 2026_27'!$E$3:$E$493,MATCH($A76,'Input Giocatori 2026_27'!$A$3:$A$493,0)),"")</f>
        <v>12</v>
      </c>
      <c r="O76" s="24">
        <f>IFERROR(INDEX('Input Giocatori 2026_27'!$G$3:$G$493,MATCH($A76,'Input Giocatori 2026_27'!$A$3:$A$493,0)),"")</f>
        <v>42</v>
      </c>
      <c r="P76" s="23" t="str">
        <f>IFERROR(IF($O76="","",IF((1-(COUNTIFS($B$2:$B$492,$B76,$O$2:$O$492,"&gt;"&amp;$O76)+1-1)/COUNTIF($B$2:$B$492,$B76))&gt;='Parametri Modello'!$B$63,"Top",IF((1-(COUNTIFS($B$2:$B$492,$B76,$O$2:$O$492,"&gt;"&amp;$O76)+1-1)/COUNTIF($B$2:$B$492,$B76))&gt;='Parametri Modello'!$B$64,"Buono",IF((1-(COUNTIFS($B$2:$B$492,$B76,$O$2:$O$492,"&gt;"&amp;$O76)+1-1)/COUNTIF($B$2:$B$492,$B76))&gt;='Parametri Modello'!$B$65,"Nella Media","Scommessa/Riserva")))),"")</f>
        <v>Buono</v>
      </c>
      <c r="Q76" s="26">
        <f>IF(AND($D76="",$N76&gt;1),SUMPRODUCT(($D$2:$D76="")*($N$2:$N76&gt;1)),"")</f>
        <v>75</v>
      </c>
      <c r="R76" s="26" t="str">
        <f>IF($D76='Info Lega'!$B$28,COUNTIFS($D$2:$D76,'Info Lega'!$B$28),"")</f>
        <v/>
      </c>
      <c r="S76" s="27">
        <f>IFERROR(INDEX('Input Statistiche 2025_26'!$G$3:$G$665,MATCH($A76,'Input Statistiche 2025_26'!$A$3:$A$665,0)),"")</f>
        <v>5.93</v>
      </c>
      <c r="T76" s="27">
        <f>IFERROR(INDEX('Input Statistiche 2025_26'!$H$3:$H$665,MATCH($A76,'Input Statistiche 2025_26'!$A$3:$A$665,0)),"")</f>
        <v>6.29</v>
      </c>
      <c r="U76" s="23" t="str">
        <f>IF(OR('La Mia Rosa'!$O$12="",$D76&lt;&gt;""),"",IF($F76&lt;='La Mia Rosa'!$O$12*'Parametri Modello'!$B$24,"OK",IF($F76&lt;='La Mia Rosa'!$O$12*'Parametri Modello'!$B$25,"Attenzione","Rischio Alto")))</f>
        <v>OK</v>
      </c>
      <c r="V76" s="23">
        <f t="shared" si="10"/>
        <v>25</v>
      </c>
      <c r="W76" s="18">
        <f>'Info Lega'!$B$4-SUMIFS($M$2:$M$492,$D$2:$D$492,'Info Lega'!$B$28)</f>
        <v>1000</v>
      </c>
      <c r="X76" s="18">
        <f>('Info Lega'!$B$5-COUNTIFS($D$2:$D$492,'Info Lega'!$B$28,$B$2:$B$492,"P"))+('Info Lega'!$B$6-COUNTIFS($D$2:$D$492,'Info Lega'!$B$28,$B$2:$B$492,"D"))+('Info Lega'!$B$7-COUNTIFS($D$2:$D$492,'Info Lega'!$B$28,$B$2:$B$492,"C"))+('Info Lega'!$B$8-COUNTIFS($D$2:$D$492,'Info Lega'!$B$28,$B$2:$B$492,"A"))</f>
        <v>25</v>
      </c>
      <c r="Y76" s="18">
        <f>X76*'Parametri Modello'!$B$30</f>
        <v>25</v>
      </c>
      <c r="Z76" s="18">
        <f t="shared" si="11"/>
        <v>975</v>
      </c>
      <c r="AA76" s="18">
        <f t="shared" si="12"/>
        <v>28</v>
      </c>
      <c r="AB76" s="18"/>
      <c r="AC76" s="18" t="str">
        <f>IF($AB76="","",IF($AB76&gt;$AA76,"PASS",IF($AB76&lt;=$AA76*(1-'Parametri Modello'!$B$68),"BID","ATTENZIONE")))</f>
        <v/>
      </c>
      <c r="AD76" s="28">
        <f t="shared" si="13"/>
        <v>50</v>
      </c>
      <c r="AE76" s="5" t="str">
        <f>IFERROR(INDEX('Stato Asta'!$G$9:$G$12,MATCH($B76,'Stato Asta'!$A$9:$A$12,0)),"")</f>
        <v>🔴 Non aspettare</v>
      </c>
      <c r="AF76" t="str">
        <f>IFERROR(IF($V76&lt;=INDEX('Parametri Modello'!$C$57:$C$60,MATCH($B76,'Parametri Modello'!$A$57:$A$60,0)),"Titolare","Riserva"),"")</f>
        <v>Titolare</v>
      </c>
      <c r="AG76" t="str">
        <f>IFERROR(INDEX('Pressione Competitiva'!$F$3:$F$6,MATCH($B76,'Pressione Competitiva'!$B$3:$B$6,0)),"")</f>
        <v>🔴 Molto Alta</v>
      </c>
      <c r="AH76" t="str">
        <f t="shared" si="14"/>
        <v/>
      </c>
      <c r="AI76" t="str">
        <f>IFERROR(IF($AH76="","",IF($AH76&gt;=$AA76*'Parametri Modello'!$B$68,"🟢 Opportunita'",IF($AH76&lt;=$AA76*'Parametri Modello'!$B$69,"🔴 Sovrapprezzo","🟡 Prezzo Corretto"))),"")</f>
        <v/>
      </c>
      <c r="AJ76" t="str">
        <f t="shared" si="15"/>
        <v/>
      </c>
      <c r="AK76">
        <f t="shared" si="16"/>
        <v>7</v>
      </c>
      <c r="AL76" t="str">
        <f t="shared" si="17"/>
        <v>C|Buono|7</v>
      </c>
    </row>
    <row r="77" spans="1:38" ht="14.25" customHeight="1" x14ac:dyDescent="0.25">
      <c r="A77" s="18">
        <v>5589</v>
      </c>
      <c r="B77" s="18" t="s">
        <v>17</v>
      </c>
      <c r="C77" s="18" t="s">
        <v>216</v>
      </c>
      <c r="E77" s="23" t="str">
        <f>IF(COUNTIF('Info Strategia'!$D$2:$D$51,$C77)&gt;0,"SI","NO")</f>
        <v>NO</v>
      </c>
      <c r="F77" s="24">
        <f>IFERROR(ROUND(($G77+($H77-$G77)*'Info Strategia'!$B$6)*(1+IF($E77="SI",'Parametri Modello'!$B$7*'Info Strategia'!$B$6,0)),0),"")</f>
        <v>28</v>
      </c>
      <c r="G77" s="24">
        <f>IFERROR(ROUND(MAX(1,(IF($V77&lt;=INDEX('Parametri Modello'!$C$57:$C$60,MATCH($B77,'Parametri Modello'!$A$57:$A$60,0)),IF(INDEX('Parametri Modello'!$E$57:$E$60,MATCH($B77,'Parametri Modello'!$A$57:$A$60,0))=0,0,($O77/INDEX('Parametri Modello'!$E$57:$E$60,MATCH($B77,'Parametri Modello'!$A$57:$A$60,0)))*(INDEX('Parametri Modello'!$D$57:$D$60,MATCH($B77,'Parametri Modello'!$A$57:$A$60,0))*(INDEX('Parametri Modello'!$B$50:$B$53,MATCH($B77,'Parametri Modello'!$A$50:$A$53,0))*'Parametri Modello'!$B$44))),IF(INDEX('Parametri Modello'!$F$57:$F$60,MATCH($B77,'Parametri Modello'!$A$57:$A$60,0))=0,0,($O77/INDEX('Parametri Modello'!$F$57:$F$60,MATCH($B77,'Parametri Modello'!$A$57:$A$60,0)))*((1-INDEX('Parametri Modello'!$D$57:$D$60,MATCH($B77,'Parametri Modello'!$A$57:$A$60,0)))*(INDEX('Parametri Modello'!$B$50:$B$53,MATCH($B77,'Parametri Modello'!$A$50:$A$53,0))*'Parametri Modello'!$B$44))))*(1+IF(IF($B77="D",'Info Lega'!$B$25,IF($B77="C",'Info Lega'!$B$26,"No"))="Si",'Parametri Modello'!$B$5,0))*(1+MAX(-0.25,MIN(0.25,IF(OR($T77="",$I77="",$I77=0,INDEX('Parametri Modello'!$B$19:$B$22,MATCH($B77,'Parametri Modello'!$A$19:$A$22,0))="",INDEX('Parametri Modello'!$B$19:$B$22,MATCH($B77,'Parametri Modello'!$A$19:$A$22,0))=0),0,(($T77-INDEX('Parametri Modello'!$B$19:$B$22,MATCH($B77,'Parametri Modello'!$A$19:$A$22,0)))/INDEX('Parametri Modello'!$B$19:$B$22,MATCH($B77,'Parametri Modello'!$A$19:$A$22,0)))*'Parametri Modello'!$B$9))))*(1+IF('Parametri Modello'!$B$27="Si",MAX(-'Parametri Modello'!$B$28,MIN('Parametri Modello'!$B$28*1.5,IF(OR(INDEX('Parametri Modello'!$F$32:$F$35,MATCH($B77,'Parametri Modello'!$A$32:$A$35,0))="",INDEX('Parametri Modello'!$F$32:$F$35,MATCH($B77,'Parametri Modello'!$A$32:$A$35,0))=0),0,(1/INDEX('Parametri Modello'!$F$32:$F$35,MATCH($B77,'Parametri Modello'!$A$32:$A$35,0))-1)*'Parametri Modello'!$B$28))),0)))*(1-INDEX('Parametri Modello'!$B$12:$B$15,MATCH($B77,'Parametri Modello'!$A$12:$A$15,0)))),0),"")</f>
        <v>19</v>
      </c>
      <c r="H77" s="24">
        <f>IFERROR(ROUND((IF($V77&lt;=INDEX('Parametri Modello'!$C$57:$C$60,MATCH($B77,'Parametri Modello'!$A$57:$A$60,0)),IF(INDEX('Parametri Modello'!$E$57:$E$60,MATCH($B77,'Parametri Modello'!$A$57:$A$60,0))=0,0,($O77/INDEX('Parametri Modello'!$E$57:$E$60,MATCH($B77,'Parametri Modello'!$A$57:$A$60,0)))*(INDEX('Parametri Modello'!$D$57:$D$60,MATCH($B77,'Parametri Modello'!$A$57:$A$60,0))*(INDEX('Parametri Modello'!$B$50:$B$53,MATCH($B77,'Parametri Modello'!$A$50:$A$53,0))*'Parametri Modello'!$B$44))),IF(INDEX('Parametri Modello'!$F$57:$F$60,MATCH($B77,'Parametri Modello'!$A$57:$A$60,0))=0,0,($O77/INDEX('Parametri Modello'!$F$57:$F$60,MATCH($B77,'Parametri Modello'!$A$57:$A$60,0)))*((1-INDEX('Parametri Modello'!$D$57:$D$60,MATCH($B77,'Parametri Modello'!$A$57:$A$60,0)))*(INDEX('Parametri Modello'!$B$50:$B$53,MATCH($B77,'Parametri Modello'!$A$50:$A$53,0))*'Parametri Modello'!$B$44))))*(1+IF(IF($B77="D",'Info Lega'!$B$25,IF($B77="C",'Info Lega'!$B$26,"No"))="Si",'Parametri Modello'!$B$5,0))*(1+MAX(-0.25,MIN(0.25,IF(OR($T77="",$I77="",$I77=0,INDEX('Parametri Modello'!$B$19:$B$22,MATCH($B77,'Parametri Modello'!$A$19:$A$22,0))="",INDEX('Parametri Modello'!$B$19:$B$22,MATCH($B77,'Parametri Modello'!$A$19:$A$22,0))=0),0,(($T77-INDEX('Parametri Modello'!$B$19:$B$22,MATCH($B77,'Parametri Modello'!$A$19:$A$22,0)))/INDEX('Parametri Modello'!$B$19:$B$22,MATCH($B77,'Parametri Modello'!$A$19:$A$22,0)))*'Parametri Modello'!$B$9))))*(1+IF('Parametri Modello'!$B$27="Si",MAX(-'Parametri Modello'!$B$28,MIN('Parametri Modello'!$B$28*1.5,IF(OR(INDEX('Parametri Modello'!$F$32:$F$35,MATCH($B77,'Parametri Modello'!$A$32:$A$35,0))="",INDEX('Parametri Modello'!$F$32:$F$35,MATCH($B77,'Parametri Modello'!$A$32:$A$35,0))=0),0,(1/INDEX('Parametri Modello'!$F$32:$F$35,MATCH($B77,'Parametri Modello'!$A$32:$A$35,0))-1)*'Parametri Modello'!$B$28))),0)))*(1+INDEX('Parametri Modello'!$B$12:$B$15,MATCH($B77,'Parametri Modello'!$A$12:$A$15,0))),0),"")</f>
        <v>32</v>
      </c>
      <c r="I77" s="23">
        <f>IFERROR(INDEX('Input Statistiche 2025_26'!$F$3:$F$665,MATCH($A77,'Input Statistiche 2025_26'!$A$3:$A$665,0)),"")</f>
        <v>29</v>
      </c>
      <c r="J77" s="23">
        <f t="shared" si="9"/>
        <v>9</v>
      </c>
      <c r="K77" s="23">
        <f>IFERROR(INDEX('Input Statistiche 2025_26'!$I$3:$I$665,MATCH($A77,'Input Statistiche 2025_26'!$A$3:$A$665,0)),"")</f>
        <v>2</v>
      </c>
      <c r="L77" s="23">
        <f>IFERROR(INDEX('Input Statistiche 2025_26'!$O$3:$O$665,MATCH($A77,'Input Statistiche 2025_26'!$A$3:$A$665,0)),"")</f>
        <v>3</v>
      </c>
      <c r="M77" s="25"/>
      <c r="N77" s="24">
        <f>IFERROR(INDEX('Input Giocatori 2026_27'!$E$3:$E$493,MATCH($A77,'Input Giocatori 2026_27'!$A$3:$A$493,0)),"")</f>
        <v>10</v>
      </c>
      <c r="O77" s="24">
        <f>IFERROR(INDEX('Input Giocatori 2026_27'!$G$3:$G$493,MATCH($A77,'Input Giocatori 2026_27'!$A$3:$A$493,0)),"")</f>
        <v>42</v>
      </c>
      <c r="P77" s="23" t="str">
        <f>IFERROR(IF($O77="","",IF((1-(COUNTIFS($B$2:$B$492,$B77,$O$2:$O$492,"&gt;"&amp;$O77)+1-1)/COUNTIF($B$2:$B$492,$B77))&gt;='Parametri Modello'!$B$63,"Top",IF((1-(COUNTIFS($B$2:$B$492,$B77,$O$2:$O$492,"&gt;"&amp;$O77)+1-1)/COUNTIF($B$2:$B$492,$B77))&gt;='Parametri Modello'!$B$64,"Buono",IF((1-(COUNTIFS($B$2:$B$492,$B77,$O$2:$O$492,"&gt;"&amp;$O77)+1-1)/COUNTIF($B$2:$B$492,$B77))&gt;='Parametri Modello'!$B$65,"Nella Media","Scommessa/Riserva")))),"")</f>
        <v>Buono</v>
      </c>
      <c r="Q77" s="26">
        <f>IF(AND($D77="",$N77&gt;1),SUMPRODUCT(($D$2:$D77="")*($N$2:$N77&gt;1)),"")</f>
        <v>76</v>
      </c>
      <c r="R77" s="26" t="str">
        <f>IF($D77='Info Lega'!$B$28,COUNTIFS($D$2:$D77,'Info Lega'!$B$28),"")</f>
        <v/>
      </c>
      <c r="S77" s="27">
        <f>IFERROR(INDEX('Input Statistiche 2025_26'!$G$3:$G$665,MATCH($A77,'Input Statistiche 2025_26'!$A$3:$A$665,0)),"")</f>
        <v>6.26</v>
      </c>
      <c r="T77" s="27">
        <f>IFERROR(INDEX('Input Statistiche 2025_26'!$H$3:$H$665,MATCH($A77,'Input Statistiche 2025_26'!$A$3:$A$665,0)),"")</f>
        <v>6.53</v>
      </c>
      <c r="U77" s="23" t="str">
        <f>IF(OR('La Mia Rosa'!$O$12="",$D77&lt;&gt;""),"",IF($F77&lt;='La Mia Rosa'!$O$12*'Parametri Modello'!$B$24,"OK",IF($F77&lt;='La Mia Rosa'!$O$12*'Parametri Modello'!$B$25,"Attenzione","Rischio Alto")))</f>
        <v>OK</v>
      </c>
      <c r="V77" s="23">
        <f t="shared" si="10"/>
        <v>25</v>
      </c>
      <c r="W77" s="18">
        <f>'Info Lega'!$B$4-SUMIFS($M$2:$M$492,$D$2:$D$492,'Info Lega'!$B$28)</f>
        <v>1000</v>
      </c>
      <c r="X77" s="18">
        <f>('Info Lega'!$B$5-COUNTIFS($D$2:$D$492,'Info Lega'!$B$28,$B$2:$B$492,"P"))+('Info Lega'!$B$6-COUNTIFS($D$2:$D$492,'Info Lega'!$B$28,$B$2:$B$492,"D"))+('Info Lega'!$B$7-COUNTIFS($D$2:$D$492,'Info Lega'!$B$28,$B$2:$B$492,"C"))+('Info Lega'!$B$8-COUNTIFS($D$2:$D$492,'Info Lega'!$B$28,$B$2:$B$492,"A"))</f>
        <v>25</v>
      </c>
      <c r="Y77" s="18">
        <f>X77*'Parametri Modello'!$B$30</f>
        <v>25</v>
      </c>
      <c r="Z77" s="18">
        <f t="shared" si="11"/>
        <v>975</v>
      </c>
      <c r="AA77" s="18">
        <f t="shared" si="12"/>
        <v>28</v>
      </c>
      <c r="AB77" s="18"/>
      <c r="AC77" s="18" t="str">
        <f>IF($AB77="","",IF($AB77&gt;$AA77,"PASS",IF($AB77&lt;=$AA77*(1-'Parametri Modello'!$B$68),"BID","ATTENZIONE")))</f>
        <v/>
      </c>
      <c r="AD77" s="28">
        <f t="shared" si="13"/>
        <v>62</v>
      </c>
      <c r="AE77" s="5" t="str">
        <f>IFERROR(INDEX('Stato Asta'!$G$9:$G$12,MATCH($B77,'Stato Asta'!$A$9:$A$12,0)),"")</f>
        <v>🔴 Non aspettare</v>
      </c>
      <c r="AF77" t="str">
        <f>IFERROR(IF($V77&lt;=INDEX('Parametri Modello'!$C$57:$C$60,MATCH($B77,'Parametri Modello'!$A$57:$A$60,0)),"Titolare","Riserva"),"")</f>
        <v>Titolare</v>
      </c>
      <c r="AG77" t="str">
        <f>IFERROR(INDEX('Pressione Competitiva'!$F$3:$F$6,MATCH($B77,'Pressione Competitiva'!$B$3:$B$6,0)),"")</f>
        <v>🔴 Molto Alta</v>
      </c>
      <c r="AH77" t="str">
        <f t="shared" si="14"/>
        <v/>
      </c>
      <c r="AI77" t="str">
        <f>IFERROR(IF($AH77="","",IF($AH77&gt;=$AA77*'Parametri Modello'!$B$68,"🟢 Opportunita'",IF($AH77&lt;=$AA77*'Parametri Modello'!$B$69,"🔴 Sovrapprezzo","🟡 Prezzo Corretto"))),"")</f>
        <v/>
      </c>
      <c r="AJ77" t="str">
        <f t="shared" si="15"/>
        <v/>
      </c>
      <c r="AK77">
        <f t="shared" si="16"/>
        <v>7</v>
      </c>
      <c r="AL77" t="str">
        <f t="shared" si="17"/>
        <v>C|Buono|7</v>
      </c>
    </row>
    <row r="78" spans="1:38" ht="14.25" customHeight="1" x14ac:dyDescent="0.25">
      <c r="A78" s="18">
        <v>152</v>
      </c>
      <c r="B78" s="18" t="s">
        <v>17</v>
      </c>
      <c r="C78" s="18" t="s">
        <v>217</v>
      </c>
      <c r="E78" s="23" t="str">
        <f>IF(COUNTIF('Info Strategia'!$D$2:$D$51,$C78)&gt;0,"SI","NO")</f>
        <v>NO</v>
      </c>
      <c r="F78" s="24">
        <f>IFERROR(ROUND(($G78+($H78-$G78)*'Info Strategia'!$B$6)*(1+IF($E78="SI",'Parametri Modello'!$B$7*'Info Strategia'!$B$6,0)),0),"")</f>
        <v>27</v>
      </c>
      <c r="G78" s="24">
        <f>IFERROR(ROUND(MAX(1,(IF($V78&lt;=INDEX('Parametri Modello'!$C$57:$C$60,MATCH($B78,'Parametri Modello'!$A$57:$A$60,0)),IF(INDEX('Parametri Modello'!$E$57:$E$60,MATCH($B78,'Parametri Modello'!$A$57:$A$60,0))=0,0,($O78/INDEX('Parametri Modello'!$E$57:$E$60,MATCH($B78,'Parametri Modello'!$A$57:$A$60,0)))*(INDEX('Parametri Modello'!$D$57:$D$60,MATCH($B78,'Parametri Modello'!$A$57:$A$60,0))*(INDEX('Parametri Modello'!$B$50:$B$53,MATCH($B78,'Parametri Modello'!$A$50:$A$53,0))*'Parametri Modello'!$B$44))),IF(INDEX('Parametri Modello'!$F$57:$F$60,MATCH($B78,'Parametri Modello'!$A$57:$A$60,0))=0,0,($O78/INDEX('Parametri Modello'!$F$57:$F$60,MATCH($B78,'Parametri Modello'!$A$57:$A$60,0)))*((1-INDEX('Parametri Modello'!$D$57:$D$60,MATCH($B78,'Parametri Modello'!$A$57:$A$60,0)))*(INDEX('Parametri Modello'!$B$50:$B$53,MATCH($B78,'Parametri Modello'!$A$50:$A$53,0))*'Parametri Modello'!$B$44))))*(1+IF(IF($B78="D",'Info Lega'!$B$25,IF($B78="C",'Info Lega'!$B$26,"No"))="Si",'Parametri Modello'!$B$5,0))*(1+MAX(-0.25,MIN(0.25,IF(OR($T78="",$I78="",$I78=0,INDEX('Parametri Modello'!$B$19:$B$22,MATCH($B78,'Parametri Modello'!$A$19:$A$22,0))="",INDEX('Parametri Modello'!$B$19:$B$22,MATCH($B78,'Parametri Modello'!$A$19:$A$22,0))=0),0,(($T78-INDEX('Parametri Modello'!$B$19:$B$22,MATCH($B78,'Parametri Modello'!$A$19:$A$22,0)))/INDEX('Parametri Modello'!$B$19:$B$22,MATCH($B78,'Parametri Modello'!$A$19:$A$22,0)))*'Parametri Modello'!$B$9))))*(1+IF('Parametri Modello'!$B$27="Si",MAX(-'Parametri Modello'!$B$28,MIN('Parametri Modello'!$B$28*1.5,IF(OR(INDEX('Parametri Modello'!$F$32:$F$35,MATCH($B78,'Parametri Modello'!$A$32:$A$35,0))="",INDEX('Parametri Modello'!$F$32:$F$35,MATCH($B78,'Parametri Modello'!$A$32:$A$35,0))=0),0,(1/INDEX('Parametri Modello'!$F$32:$F$35,MATCH($B78,'Parametri Modello'!$A$32:$A$35,0))-1)*'Parametri Modello'!$B$28))),0)))*(1-INDEX('Parametri Modello'!$B$12:$B$15,MATCH($B78,'Parametri Modello'!$A$12:$A$15,0)))),0),"")</f>
        <v>19</v>
      </c>
      <c r="H78" s="24">
        <f>IFERROR(ROUND((IF($V78&lt;=INDEX('Parametri Modello'!$C$57:$C$60,MATCH($B78,'Parametri Modello'!$A$57:$A$60,0)),IF(INDEX('Parametri Modello'!$E$57:$E$60,MATCH($B78,'Parametri Modello'!$A$57:$A$60,0))=0,0,($O78/INDEX('Parametri Modello'!$E$57:$E$60,MATCH($B78,'Parametri Modello'!$A$57:$A$60,0)))*(INDEX('Parametri Modello'!$D$57:$D$60,MATCH($B78,'Parametri Modello'!$A$57:$A$60,0))*(INDEX('Parametri Modello'!$B$50:$B$53,MATCH($B78,'Parametri Modello'!$A$50:$A$53,0))*'Parametri Modello'!$B$44))),IF(INDEX('Parametri Modello'!$F$57:$F$60,MATCH($B78,'Parametri Modello'!$A$57:$A$60,0))=0,0,($O78/INDEX('Parametri Modello'!$F$57:$F$60,MATCH($B78,'Parametri Modello'!$A$57:$A$60,0)))*((1-INDEX('Parametri Modello'!$D$57:$D$60,MATCH($B78,'Parametri Modello'!$A$57:$A$60,0)))*(INDEX('Parametri Modello'!$B$50:$B$53,MATCH($B78,'Parametri Modello'!$A$50:$A$53,0))*'Parametri Modello'!$B$44))))*(1+IF(IF($B78="D",'Info Lega'!$B$25,IF($B78="C",'Info Lega'!$B$26,"No"))="Si",'Parametri Modello'!$B$5,0))*(1+MAX(-0.25,MIN(0.25,IF(OR($T78="",$I78="",$I78=0,INDEX('Parametri Modello'!$B$19:$B$22,MATCH($B78,'Parametri Modello'!$A$19:$A$22,0))="",INDEX('Parametri Modello'!$B$19:$B$22,MATCH($B78,'Parametri Modello'!$A$19:$A$22,0))=0),0,(($T78-INDEX('Parametri Modello'!$B$19:$B$22,MATCH($B78,'Parametri Modello'!$A$19:$A$22,0)))/INDEX('Parametri Modello'!$B$19:$B$22,MATCH($B78,'Parametri Modello'!$A$19:$A$22,0)))*'Parametri Modello'!$B$9))))*(1+IF('Parametri Modello'!$B$27="Si",MAX(-'Parametri Modello'!$B$28,MIN('Parametri Modello'!$B$28*1.5,IF(OR(INDEX('Parametri Modello'!$F$32:$F$35,MATCH($B78,'Parametri Modello'!$A$32:$A$35,0))="",INDEX('Parametri Modello'!$F$32:$F$35,MATCH($B78,'Parametri Modello'!$A$32:$A$35,0))=0),0,(1/INDEX('Parametri Modello'!$F$32:$F$35,MATCH($B78,'Parametri Modello'!$A$32:$A$35,0))-1)*'Parametri Modello'!$B$28))),0)))*(1+INDEX('Parametri Modello'!$B$12:$B$15,MATCH($B78,'Parametri Modello'!$A$12:$A$15,0))),0),"")</f>
        <v>31</v>
      </c>
      <c r="I78" s="23">
        <f>IFERROR(INDEX('Input Statistiche 2025_26'!$F$3:$F$665,MATCH($A78,'Input Statistiche 2025_26'!$A$3:$A$665,0)),"")</f>
        <v>30</v>
      </c>
      <c r="J78" s="23">
        <f t="shared" si="9"/>
        <v>8</v>
      </c>
      <c r="K78" s="23">
        <f>IFERROR(INDEX('Input Statistiche 2025_26'!$I$3:$I$665,MATCH($A78,'Input Statistiche 2025_26'!$A$3:$A$665,0)),"")</f>
        <v>6</v>
      </c>
      <c r="L78" s="23">
        <f>IFERROR(INDEX('Input Statistiche 2025_26'!$O$3:$O$665,MATCH($A78,'Input Statistiche 2025_26'!$A$3:$A$665,0)),"")</f>
        <v>2</v>
      </c>
      <c r="M78" s="25"/>
      <c r="N78" s="24">
        <f>IFERROR(INDEX('Input Giocatori 2026_27'!$E$3:$E$493,MATCH($A78,'Input Giocatori 2026_27'!$A$3:$A$493,0)),"")</f>
        <v>10</v>
      </c>
      <c r="O78" s="24">
        <f>IFERROR(INDEX('Input Giocatori 2026_27'!$G$3:$G$493,MATCH($A78,'Input Giocatori 2026_27'!$A$3:$A$493,0)),"")</f>
        <v>41</v>
      </c>
      <c r="P78" s="23" t="str">
        <f>IFERROR(IF($O78="","",IF((1-(COUNTIFS($B$2:$B$492,$B78,$O$2:$O$492,"&gt;"&amp;$O78)+1-1)/COUNTIF($B$2:$B$492,$B78))&gt;='Parametri Modello'!$B$63,"Top",IF((1-(COUNTIFS($B$2:$B$492,$B78,$O$2:$O$492,"&gt;"&amp;$O78)+1-1)/COUNTIF($B$2:$B$492,$B78))&gt;='Parametri Modello'!$B$64,"Buono",IF((1-(COUNTIFS($B$2:$B$492,$B78,$O$2:$O$492,"&gt;"&amp;$O78)+1-1)/COUNTIF($B$2:$B$492,$B78))&gt;='Parametri Modello'!$B$65,"Nella Media","Scommessa/Riserva")))),"")</f>
        <v>Buono</v>
      </c>
      <c r="Q78" s="26">
        <f>IF(AND($D78="",$N78&gt;1),SUMPRODUCT(($D$2:$D78="")*($N$2:$N78&gt;1)),"")</f>
        <v>77</v>
      </c>
      <c r="R78" s="26" t="str">
        <f>IF($D78='Info Lega'!$B$28,COUNTIFS($D$2:$D78,'Info Lega'!$B$28),"")</f>
        <v/>
      </c>
      <c r="S78" s="27">
        <f>IFERROR(INDEX('Input Statistiche 2025_26'!$G$3:$G$665,MATCH($A78,'Input Statistiche 2025_26'!$A$3:$A$665,0)),"")</f>
        <v>6.25</v>
      </c>
      <c r="T78" s="27">
        <f>IFERROR(INDEX('Input Statistiche 2025_26'!$H$3:$H$665,MATCH($A78,'Input Statistiche 2025_26'!$A$3:$A$665,0)),"")</f>
        <v>6.8</v>
      </c>
      <c r="U78" s="23" t="str">
        <f>IF(OR('La Mia Rosa'!$O$12="",$D78&lt;&gt;""),"",IF($F78&lt;='La Mia Rosa'!$O$12*'Parametri Modello'!$B$24,"OK",IF($F78&lt;='La Mia Rosa'!$O$12*'Parametri Modello'!$B$25,"Attenzione","Rischio Alto")))</f>
        <v>OK</v>
      </c>
      <c r="V78" s="23">
        <f t="shared" si="10"/>
        <v>27</v>
      </c>
      <c r="W78" s="18">
        <f>'Info Lega'!$B$4-SUMIFS($M$2:$M$492,$D$2:$D$492,'Info Lega'!$B$28)</f>
        <v>1000</v>
      </c>
      <c r="X78" s="18">
        <f>('Info Lega'!$B$5-COUNTIFS($D$2:$D$492,'Info Lega'!$B$28,$B$2:$B$492,"P"))+('Info Lega'!$B$6-COUNTIFS($D$2:$D$492,'Info Lega'!$B$28,$B$2:$B$492,"D"))+('Info Lega'!$B$7-COUNTIFS($D$2:$D$492,'Info Lega'!$B$28,$B$2:$B$492,"C"))+('Info Lega'!$B$8-COUNTIFS($D$2:$D$492,'Info Lega'!$B$28,$B$2:$B$492,"A"))</f>
        <v>25</v>
      </c>
      <c r="Y78" s="18">
        <f>X78*'Parametri Modello'!$B$30</f>
        <v>25</v>
      </c>
      <c r="Z78" s="18">
        <f t="shared" si="11"/>
        <v>975</v>
      </c>
      <c r="AA78" s="18">
        <f t="shared" si="12"/>
        <v>27</v>
      </c>
      <c r="AB78" s="18"/>
      <c r="AC78" s="18" t="str">
        <f>IF($AB78="","",IF($AB78&gt;$AA78,"PASS",IF($AB78&lt;=$AA78*(1-'Parametri Modello'!$B$68),"BID","ATTENZIONE")))</f>
        <v/>
      </c>
      <c r="AD78" s="28">
        <f t="shared" si="13"/>
        <v>63</v>
      </c>
      <c r="AE78" s="5" t="str">
        <f>IFERROR(INDEX('Stato Asta'!$G$9:$G$12,MATCH($B78,'Stato Asta'!$A$9:$A$12,0)),"")</f>
        <v>🔴 Non aspettare</v>
      </c>
      <c r="AF78" t="str">
        <f>IFERROR(IF($V78&lt;=INDEX('Parametri Modello'!$C$57:$C$60,MATCH($B78,'Parametri Modello'!$A$57:$A$60,0)),"Titolare","Riserva"),"")</f>
        <v>Titolare</v>
      </c>
      <c r="AG78" t="str">
        <f>IFERROR(INDEX('Pressione Competitiva'!$F$3:$F$6,MATCH($B78,'Pressione Competitiva'!$B$3:$B$6,0)),"")</f>
        <v>🔴 Molto Alta</v>
      </c>
      <c r="AH78" t="str">
        <f t="shared" si="14"/>
        <v/>
      </c>
      <c r="AI78" t="str">
        <f>IFERROR(IF($AH78="","",IF($AH78&gt;=$AA78*'Parametri Modello'!$B$68,"🟢 Opportunita'",IF($AH78&lt;=$AA78*'Parametri Modello'!$B$69,"🔴 Sovrapprezzo","🟡 Prezzo Corretto"))),"")</f>
        <v/>
      </c>
      <c r="AJ78" t="str">
        <f t="shared" si="15"/>
        <v/>
      </c>
      <c r="AK78">
        <f t="shared" si="16"/>
        <v>9</v>
      </c>
      <c r="AL78" t="str">
        <f t="shared" si="17"/>
        <v>C|Buono|9</v>
      </c>
    </row>
    <row r="79" spans="1:38" ht="14.25" customHeight="1" x14ac:dyDescent="0.25">
      <c r="A79" s="18">
        <v>5562</v>
      </c>
      <c r="B79" s="18" t="s">
        <v>17</v>
      </c>
      <c r="C79" s="18" t="s">
        <v>218</v>
      </c>
      <c r="E79" s="23" t="str">
        <f>IF(COUNTIF('Info Strategia'!$D$2:$D$51,$C79)&gt;0,"SI","NO")</f>
        <v>NO</v>
      </c>
      <c r="F79" s="24">
        <f>IFERROR(ROUND(($G79+($H79-$G79)*'Info Strategia'!$B$6)*(1+IF($E79="SI",'Parametri Modello'!$B$7*'Info Strategia'!$B$6,0)),0),"")</f>
        <v>27</v>
      </c>
      <c r="G79" s="24">
        <f>IFERROR(ROUND(MAX(1,(IF($V79&lt;=INDEX('Parametri Modello'!$C$57:$C$60,MATCH($B79,'Parametri Modello'!$A$57:$A$60,0)),IF(INDEX('Parametri Modello'!$E$57:$E$60,MATCH($B79,'Parametri Modello'!$A$57:$A$60,0))=0,0,($O79/INDEX('Parametri Modello'!$E$57:$E$60,MATCH($B79,'Parametri Modello'!$A$57:$A$60,0)))*(INDEX('Parametri Modello'!$D$57:$D$60,MATCH($B79,'Parametri Modello'!$A$57:$A$60,0))*(INDEX('Parametri Modello'!$B$50:$B$53,MATCH($B79,'Parametri Modello'!$A$50:$A$53,0))*'Parametri Modello'!$B$44))),IF(INDEX('Parametri Modello'!$F$57:$F$60,MATCH($B79,'Parametri Modello'!$A$57:$A$60,0))=0,0,($O79/INDEX('Parametri Modello'!$F$57:$F$60,MATCH($B79,'Parametri Modello'!$A$57:$A$60,0)))*((1-INDEX('Parametri Modello'!$D$57:$D$60,MATCH($B79,'Parametri Modello'!$A$57:$A$60,0)))*(INDEX('Parametri Modello'!$B$50:$B$53,MATCH($B79,'Parametri Modello'!$A$50:$A$53,0))*'Parametri Modello'!$B$44))))*(1+IF(IF($B79="D",'Info Lega'!$B$25,IF($B79="C",'Info Lega'!$B$26,"No"))="Si",'Parametri Modello'!$B$5,0))*(1+MAX(-0.25,MIN(0.25,IF(OR($T79="",$I79="",$I79=0,INDEX('Parametri Modello'!$B$19:$B$22,MATCH($B79,'Parametri Modello'!$A$19:$A$22,0))="",INDEX('Parametri Modello'!$B$19:$B$22,MATCH($B79,'Parametri Modello'!$A$19:$A$22,0))=0),0,(($T79-INDEX('Parametri Modello'!$B$19:$B$22,MATCH($B79,'Parametri Modello'!$A$19:$A$22,0)))/INDEX('Parametri Modello'!$B$19:$B$22,MATCH($B79,'Parametri Modello'!$A$19:$A$22,0)))*'Parametri Modello'!$B$9))))*(1+IF('Parametri Modello'!$B$27="Si",MAX(-'Parametri Modello'!$B$28,MIN('Parametri Modello'!$B$28*1.5,IF(OR(INDEX('Parametri Modello'!$F$32:$F$35,MATCH($B79,'Parametri Modello'!$A$32:$A$35,0))="",INDEX('Parametri Modello'!$F$32:$F$35,MATCH($B79,'Parametri Modello'!$A$32:$A$35,0))=0),0,(1/INDEX('Parametri Modello'!$F$32:$F$35,MATCH($B79,'Parametri Modello'!$A$32:$A$35,0))-1)*'Parametri Modello'!$B$28))),0)))*(1-INDEX('Parametri Modello'!$B$12:$B$15,MATCH($B79,'Parametri Modello'!$A$12:$A$15,0)))),0),"")</f>
        <v>19</v>
      </c>
      <c r="H79" s="24">
        <f>IFERROR(ROUND((IF($V79&lt;=INDEX('Parametri Modello'!$C$57:$C$60,MATCH($B79,'Parametri Modello'!$A$57:$A$60,0)),IF(INDEX('Parametri Modello'!$E$57:$E$60,MATCH($B79,'Parametri Modello'!$A$57:$A$60,0))=0,0,($O79/INDEX('Parametri Modello'!$E$57:$E$60,MATCH($B79,'Parametri Modello'!$A$57:$A$60,0)))*(INDEX('Parametri Modello'!$D$57:$D$60,MATCH($B79,'Parametri Modello'!$A$57:$A$60,0))*(INDEX('Parametri Modello'!$B$50:$B$53,MATCH($B79,'Parametri Modello'!$A$50:$A$53,0))*'Parametri Modello'!$B$44))),IF(INDEX('Parametri Modello'!$F$57:$F$60,MATCH($B79,'Parametri Modello'!$A$57:$A$60,0))=0,0,($O79/INDEX('Parametri Modello'!$F$57:$F$60,MATCH($B79,'Parametri Modello'!$A$57:$A$60,0)))*((1-INDEX('Parametri Modello'!$D$57:$D$60,MATCH($B79,'Parametri Modello'!$A$57:$A$60,0)))*(INDEX('Parametri Modello'!$B$50:$B$53,MATCH($B79,'Parametri Modello'!$A$50:$A$53,0))*'Parametri Modello'!$B$44))))*(1+IF(IF($B79="D",'Info Lega'!$B$25,IF($B79="C",'Info Lega'!$B$26,"No"))="Si",'Parametri Modello'!$B$5,0))*(1+MAX(-0.25,MIN(0.25,IF(OR($T79="",$I79="",$I79=0,INDEX('Parametri Modello'!$B$19:$B$22,MATCH($B79,'Parametri Modello'!$A$19:$A$22,0))="",INDEX('Parametri Modello'!$B$19:$B$22,MATCH($B79,'Parametri Modello'!$A$19:$A$22,0))=0),0,(($T79-INDEX('Parametri Modello'!$B$19:$B$22,MATCH($B79,'Parametri Modello'!$A$19:$A$22,0)))/INDEX('Parametri Modello'!$B$19:$B$22,MATCH($B79,'Parametri Modello'!$A$19:$A$22,0)))*'Parametri Modello'!$B$9))))*(1+IF('Parametri Modello'!$B$27="Si",MAX(-'Parametri Modello'!$B$28,MIN('Parametri Modello'!$B$28*1.5,IF(OR(INDEX('Parametri Modello'!$F$32:$F$35,MATCH($B79,'Parametri Modello'!$A$32:$A$35,0))="",INDEX('Parametri Modello'!$F$32:$F$35,MATCH($B79,'Parametri Modello'!$A$32:$A$35,0))=0),0,(1/INDEX('Parametri Modello'!$F$32:$F$35,MATCH($B79,'Parametri Modello'!$A$32:$A$35,0))-1)*'Parametri Modello'!$B$28))),0)))*(1+INDEX('Parametri Modello'!$B$12:$B$15,MATCH($B79,'Parametri Modello'!$A$12:$A$15,0))),0),"")</f>
        <v>31</v>
      </c>
      <c r="I79" s="23">
        <f>IFERROR(INDEX('Input Statistiche 2025_26'!$F$3:$F$665,MATCH($A79,'Input Statistiche 2025_26'!$A$3:$A$665,0)),"")</f>
        <v>34</v>
      </c>
      <c r="J79" s="23">
        <f t="shared" si="9"/>
        <v>4</v>
      </c>
      <c r="K79" s="23">
        <f>IFERROR(INDEX('Input Statistiche 2025_26'!$I$3:$I$665,MATCH($A79,'Input Statistiche 2025_26'!$A$3:$A$665,0)),"")</f>
        <v>3</v>
      </c>
      <c r="L79" s="23">
        <f>IFERROR(INDEX('Input Statistiche 2025_26'!$O$3:$O$665,MATCH($A79,'Input Statistiche 2025_26'!$A$3:$A$665,0)),"")</f>
        <v>2</v>
      </c>
      <c r="M79" s="25"/>
      <c r="N79" s="24">
        <f>IFERROR(INDEX('Input Giocatori 2026_27'!$E$3:$E$493,MATCH($A79,'Input Giocatori 2026_27'!$A$3:$A$493,0)),"")</f>
        <v>10</v>
      </c>
      <c r="O79" s="24">
        <f>IFERROR(INDEX('Input Giocatori 2026_27'!$G$3:$G$493,MATCH($A79,'Input Giocatori 2026_27'!$A$3:$A$493,0)),"")</f>
        <v>41</v>
      </c>
      <c r="P79" s="23" t="str">
        <f>IFERROR(IF($O79="","",IF((1-(COUNTIFS($B$2:$B$492,$B79,$O$2:$O$492,"&gt;"&amp;$O79)+1-1)/COUNTIF($B$2:$B$492,$B79))&gt;='Parametri Modello'!$B$63,"Top",IF((1-(COUNTIFS($B$2:$B$492,$B79,$O$2:$O$492,"&gt;"&amp;$O79)+1-1)/COUNTIF($B$2:$B$492,$B79))&gt;='Parametri Modello'!$B$64,"Buono",IF((1-(COUNTIFS($B$2:$B$492,$B79,$O$2:$O$492,"&gt;"&amp;$O79)+1-1)/COUNTIF($B$2:$B$492,$B79))&gt;='Parametri Modello'!$B$65,"Nella Media","Scommessa/Riserva")))),"")</f>
        <v>Buono</v>
      </c>
      <c r="Q79" s="26">
        <f>IF(AND($D79="",$N79&gt;1),SUMPRODUCT(($D$2:$D79="")*($N$2:$N79&gt;1)),"")</f>
        <v>78</v>
      </c>
      <c r="R79" s="26" t="str">
        <f>IF($D79='Info Lega'!$B$28,COUNTIFS($D$2:$D79,'Info Lega'!$B$28),"")</f>
        <v/>
      </c>
      <c r="S79" s="27">
        <f>IFERROR(INDEX('Input Statistiche 2025_26'!$G$3:$G$665,MATCH($A79,'Input Statistiche 2025_26'!$A$3:$A$665,0)),"")</f>
        <v>6.1</v>
      </c>
      <c r="T79" s="27">
        <f>IFERROR(INDEX('Input Statistiche 2025_26'!$H$3:$H$665,MATCH($A79,'Input Statistiche 2025_26'!$A$3:$A$665,0)),"")</f>
        <v>6.4</v>
      </c>
      <c r="U79" s="23" t="str">
        <f>IF(OR('La Mia Rosa'!$O$12="",$D79&lt;&gt;""),"",IF($F79&lt;='La Mia Rosa'!$O$12*'Parametri Modello'!$B$24,"OK",IF($F79&lt;='La Mia Rosa'!$O$12*'Parametri Modello'!$B$25,"Attenzione","Rischio Alto")))</f>
        <v>OK</v>
      </c>
      <c r="V79" s="23">
        <f t="shared" si="10"/>
        <v>27</v>
      </c>
      <c r="W79" s="18">
        <f>'Info Lega'!$B$4-SUMIFS($M$2:$M$492,$D$2:$D$492,'Info Lega'!$B$28)</f>
        <v>1000</v>
      </c>
      <c r="X79" s="18">
        <f>('Info Lega'!$B$5-COUNTIFS($D$2:$D$492,'Info Lega'!$B$28,$B$2:$B$492,"P"))+('Info Lega'!$B$6-COUNTIFS($D$2:$D$492,'Info Lega'!$B$28,$B$2:$B$492,"D"))+('Info Lega'!$B$7-COUNTIFS($D$2:$D$492,'Info Lega'!$B$28,$B$2:$B$492,"C"))+('Info Lega'!$B$8-COUNTIFS($D$2:$D$492,'Info Lega'!$B$28,$B$2:$B$492,"A"))</f>
        <v>25</v>
      </c>
      <c r="Y79" s="18">
        <f>X79*'Parametri Modello'!$B$30</f>
        <v>25</v>
      </c>
      <c r="Z79" s="18">
        <f t="shared" si="11"/>
        <v>975</v>
      </c>
      <c r="AA79" s="18">
        <f t="shared" si="12"/>
        <v>27</v>
      </c>
      <c r="AB79" s="18"/>
      <c r="AC79" s="18" t="str">
        <f>IF($AB79="","",IF($AB79&gt;$AA79,"PASS",IF($AB79&lt;=$AA79*(1-'Parametri Modello'!$B$68),"BID","ATTENZIONE")))</f>
        <v/>
      </c>
      <c r="AD79" s="28">
        <f t="shared" si="13"/>
        <v>68</v>
      </c>
      <c r="AE79" s="5" t="str">
        <f>IFERROR(INDEX('Stato Asta'!$G$9:$G$12,MATCH($B79,'Stato Asta'!$A$9:$A$12,0)),"")</f>
        <v>🔴 Non aspettare</v>
      </c>
      <c r="AF79" t="str">
        <f>IFERROR(IF($V79&lt;=INDEX('Parametri Modello'!$C$57:$C$60,MATCH($B79,'Parametri Modello'!$A$57:$A$60,0)),"Titolare","Riserva"),"")</f>
        <v>Titolare</v>
      </c>
      <c r="AG79" t="str">
        <f>IFERROR(INDEX('Pressione Competitiva'!$F$3:$F$6,MATCH($B79,'Pressione Competitiva'!$B$3:$B$6,0)),"")</f>
        <v>🔴 Molto Alta</v>
      </c>
      <c r="AH79" t="str">
        <f t="shared" si="14"/>
        <v/>
      </c>
      <c r="AI79" t="str">
        <f>IFERROR(IF($AH79="","",IF($AH79&gt;=$AA79*'Parametri Modello'!$B$68,"🟢 Opportunita'",IF($AH79&lt;=$AA79*'Parametri Modello'!$B$69,"🔴 Sovrapprezzo","🟡 Prezzo Corretto"))),"")</f>
        <v/>
      </c>
      <c r="AJ79" t="str">
        <f t="shared" si="15"/>
        <v/>
      </c>
      <c r="AK79">
        <f t="shared" si="16"/>
        <v>9</v>
      </c>
      <c r="AL79" t="str">
        <f t="shared" si="17"/>
        <v>C|Buono|9</v>
      </c>
    </row>
    <row r="80" spans="1:38" ht="14.25" customHeight="1" x14ac:dyDescent="0.25">
      <c r="A80" s="18">
        <v>5844</v>
      </c>
      <c r="B80" s="18" t="s">
        <v>17</v>
      </c>
      <c r="C80" s="18" t="s">
        <v>219</v>
      </c>
      <c r="E80" s="23" t="str">
        <f>IF(COUNTIF('Info Strategia'!$D$2:$D$51,$C80)&gt;0,"SI","NO")</f>
        <v>NO</v>
      </c>
      <c r="F80" s="24">
        <f>IFERROR(ROUND(($G80+($H80-$G80)*'Info Strategia'!$B$6)*(1+IF($E80="SI",'Parametri Modello'!$B$7*'Info Strategia'!$B$6,0)),0),"")</f>
        <v>27</v>
      </c>
      <c r="G80" s="24">
        <f>IFERROR(ROUND(MAX(1,(IF($V80&lt;=INDEX('Parametri Modello'!$C$57:$C$60,MATCH($B80,'Parametri Modello'!$A$57:$A$60,0)),IF(INDEX('Parametri Modello'!$E$57:$E$60,MATCH($B80,'Parametri Modello'!$A$57:$A$60,0))=0,0,($O80/INDEX('Parametri Modello'!$E$57:$E$60,MATCH($B80,'Parametri Modello'!$A$57:$A$60,0)))*(INDEX('Parametri Modello'!$D$57:$D$60,MATCH($B80,'Parametri Modello'!$A$57:$A$60,0))*(INDEX('Parametri Modello'!$B$50:$B$53,MATCH($B80,'Parametri Modello'!$A$50:$A$53,0))*'Parametri Modello'!$B$44))),IF(INDEX('Parametri Modello'!$F$57:$F$60,MATCH($B80,'Parametri Modello'!$A$57:$A$60,0))=0,0,($O80/INDEX('Parametri Modello'!$F$57:$F$60,MATCH($B80,'Parametri Modello'!$A$57:$A$60,0)))*((1-INDEX('Parametri Modello'!$D$57:$D$60,MATCH($B80,'Parametri Modello'!$A$57:$A$60,0)))*(INDEX('Parametri Modello'!$B$50:$B$53,MATCH($B80,'Parametri Modello'!$A$50:$A$53,0))*'Parametri Modello'!$B$44))))*(1+IF(IF($B80="D",'Info Lega'!$B$25,IF($B80="C",'Info Lega'!$B$26,"No"))="Si",'Parametri Modello'!$B$5,0))*(1+MAX(-0.25,MIN(0.25,IF(OR($T80="",$I80="",$I80=0,INDEX('Parametri Modello'!$B$19:$B$22,MATCH($B80,'Parametri Modello'!$A$19:$A$22,0))="",INDEX('Parametri Modello'!$B$19:$B$22,MATCH($B80,'Parametri Modello'!$A$19:$A$22,0))=0),0,(($T80-INDEX('Parametri Modello'!$B$19:$B$22,MATCH($B80,'Parametri Modello'!$A$19:$A$22,0)))/INDEX('Parametri Modello'!$B$19:$B$22,MATCH($B80,'Parametri Modello'!$A$19:$A$22,0)))*'Parametri Modello'!$B$9))))*(1+IF('Parametri Modello'!$B$27="Si",MAX(-'Parametri Modello'!$B$28,MIN('Parametri Modello'!$B$28*1.5,IF(OR(INDEX('Parametri Modello'!$F$32:$F$35,MATCH($B80,'Parametri Modello'!$A$32:$A$35,0))="",INDEX('Parametri Modello'!$F$32:$F$35,MATCH($B80,'Parametri Modello'!$A$32:$A$35,0))=0),0,(1/INDEX('Parametri Modello'!$F$32:$F$35,MATCH($B80,'Parametri Modello'!$A$32:$A$35,0))-1)*'Parametri Modello'!$B$28))),0)))*(1-INDEX('Parametri Modello'!$B$12:$B$15,MATCH($B80,'Parametri Modello'!$A$12:$A$15,0)))),0),"")</f>
        <v>19</v>
      </c>
      <c r="H80" s="24">
        <f>IFERROR(ROUND((IF($V80&lt;=INDEX('Parametri Modello'!$C$57:$C$60,MATCH($B80,'Parametri Modello'!$A$57:$A$60,0)),IF(INDEX('Parametri Modello'!$E$57:$E$60,MATCH($B80,'Parametri Modello'!$A$57:$A$60,0))=0,0,($O80/INDEX('Parametri Modello'!$E$57:$E$60,MATCH($B80,'Parametri Modello'!$A$57:$A$60,0)))*(INDEX('Parametri Modello'!$D$57:$D$60,MATCH($B80,'Parametri Modello'!$A$57:$A$60,0))*(INDEX('Parametri Modello'!$B$50:$B$53,MATCH($B80,'Parametri Modello'!$A$50:$A$53,0))*'Parametri Modello'!$B$44))),IF(INDEX('Parametri Modello'!$F$57:$F$60,MATCH($B80,'Parametri Modello'!$A$57:$A$60,0))=0,0,($O80/INDEX('Parametri Modello'!$F$57:$F$60,MATCH($B80,'Parametri Modello'!$A$57:$A$60,0)))*((1-INDEX('Parametri Modello'!$D$57:$D$60,MATCH($B80,'Parametri Modello'!$A$57:$A$60,0)))*(INDEX('Parametri Modello'!$B$50:$B$53,MATCH($B80,'Parametri Modello'!$A$50:$A$53,0))*'Parametri Modello'!$B$44))))*(1+IF(IF($B80="D",'Info Lega'!$B$25,IF($B80="C",'Info Lega'!$B$26,"No"))="Si",'Parametri Modello'!$B$5,0))*(1+MAX(-0.25,MIN(0.25,IF(OR($T80="",$I80="",$I80=0,INDEX('Parametri Modello'!$B$19:$B$22,MATCH($B80,'Parametri Modello'!$A$19:$A$22,0))="",INDEX('Parametri Modello'!$B$19:$B$22,MATCH($B80,'Parametri Modello'!$A$19:$A$22,0))=0),0,(($T80-INDEX('Parametri Modello'!$B$19:$B$22,MATCH($B80,'Parametri Modello'!$A$19:$A$22,0)))/INDEX('Parametri Modello'!$B$19:$B$22,MATCH($B80,'Parametri Modello'!$A$19:$A$22,0)))*'Parametri Modello'!$B$9))))*(1+IF('Parametri Modello'!$B$27="Si",MAX(-'Parametri Modello'!$B$28,MIN('Parametri Modello'!$B$28*1.5,IF(OR(INDEX('Parametri Modello'!$F$32:$F$35,MATCH($B80,'Parametri Modello'!$A$32:$A$35,0))="",INDEX('Parametri Modello'!$F$32:$F$35,MATCH($B80,'Parametri Modello'!$A$32:$A$35,0))=0),0,(1/INDEX('Parametri Modello'!$F$32:$F$35,MATCH($B80,'Parametri Modello'!$A$32:$A$35,0))-1)*'Parametri Modello'!$B$28))),0)))*(1+INDEX('Parametri Modello'!$B$12:$B$15,MATCH($B80,'Parametri Modello'!$A$12:$A$15,0))),0),"")</f>
        <v>31</v>
      </c>
      <c r="I80" s="23">
        <f>IFERROR(INDEX('Input Statistiche 2025_26'!$F$3:$F$665,MATCH($A80,'Input Statistiche 2025_26'!$A$3:$A$665,0)),"")</f>
        <v>31</v>
      </c>
      <c r="J80" s="23">
        <f t="shared" si="9"/>
        <v>7</v>
      </c>
      <c r="K80" s="23">
        <f>IFERROR(INDEX('Input Statistiche 2025_26'!$I$3:$I$665,MATCH($A80,'Input Statistiche 2025_26'!$A$3:$A$665,0)),"")</f>
        <v>4</v>
      </c>
      <c r="L80" s="23">
        <f>IFERROR(INDEX('Input Statistiche 2025_26'!$O$3:$O$665,MATCH($A80,'Input Statistiche 2025_26'!$A$3:$A$665,0)),"")</f>
        <v>3</v>
      </c>
      <c r="M80" s="25"/>
      <c r="N80" s="24">
        <f>IFERROR(INDEX('Input Giocatori 2026_27'!$E$3:$E$493,MATCH($A80,'Input Giocatori 2026_27'!$A$3:$A$493,0)),"")</f>
        <v>10</v>
      </c>
      <c r="O80" s="24">
        <f>IFERROR(INDEX('Input Giocatori 2026_27'!$G$3:$G$493,MATCH($A80,'Input Giocatori 2026_27'!$A$3:$A$493,0)),"")</f>
        <v>41</v>
      </c>
      <c r="P80" s="23" t="str">
        <f>IFERROR(IF($O80="","",IF((1-(COUNTIFS($B$2:$B$492,$B80,$O$2:$O$492,"&gt;"&amp;$O80)+1-1)/COUNTIF($B$2:$B$492,$B80))&gt;='Parametri Modello'!$B$63,"Top",IF((1-(COUNTIFS($B$2:$B$492,$B80,$O$2:$O$492,"&gt;"&amp;$O80)+1-1)/COUNTIF($B$2:$B$492,$B80))&gt;='Parametri Modello'!$B$64,"Buono",IF((1-(COUNTIFS($B$2:$B$492,$B80,$O$2:$O$492,"&gt;"&amp;$O80)+1-1)/COUNTIF($B$2:$B$492,$B80))&gt;='Parametri Modello'!$B$65,"Nella Media","Scommessa/Riserva")))),"")</f>
        <v>Buono</v>
      </c>
      <c r="Q80" s="26">
        <f>IF(AND($D80="",$N80&gt;1),SUMPRODUCT(($D$2:$D80="")*($N$2:$N80&gt;1)),"")</f>
        <v>79</v>
      </c>
      <c r="R80" s="26" t="str">
        <f>IF($D80='Info Lega'!$B$28,COUNTIFS($D$2:$D80,'Info Lega'!$B$28),"")</f>
        <v/>
      </c>
      <c r="S80" s="27">
        <f>IFERROR(INDEX('Input Statistiche 2025_26'!$G$3:$G$665,MATCH($A80,'Input Statistiche 2025_26'!$A$3:$A$665,0)),"")</f>
        <v>6.15</v>
      </c>
      <c r="T80" s="27">
        <f>IFERROR(INDEX('Input Statistiche 2025_26'!$H$3:$H$665,MATCH($A80,'Input Statistiche 2025_26'!$A$3:$A$665,0)),"")</f>
        <v>6.48</v>
      </c>
      <c r="U80" s="23" t="str">
        <f>IF(OR('La Mia Rosa'!$O$12="",$D80&lt;&gt;""),"",IF($F80&lt;='La Mia Rosa'!$O$12*'Parametri Modello'!$B$24,"OK",IF($F80&lt;='La Mia Rosa'!$O$12*'Parametri Modello'!$B$25,"Attenzione","Rischio Alto")))</f>
        <v>OK</v>
      </c>
      <c r="V80" s="23">
        <f t="shared" si="10"/>
        <v>27</v>
      </c>
      <c r="W80" s="18">
        <f>'Info Lega'!$B$4-SUMIFS($M$2:$M$492,$D$2:$D$492,'Info Lega'!$B$28)</f>
        <v>1000</v>
      </c>
      <c r="X80" s="18">
        <f>('Info Lega'!$B$5-COUNTIFS($D$2:$D$492,'Info Lega'!$B$28,$B$2:$B$492,"P"))+('Info Lega'!$B$6-COUNTIFS($D$2:$D$492,'Info Lega'!$B$28,$B$2:$B$492,"D"))+('Info Lega'!$B$7-COUNTIFS($D$2:$D$492,'Info Lega'!$B$28,$B$2:$B$492,"C"))+('Info Lega'!$B$8-COUNTIFS($D$2:$D$492,'Info Lega'!$B$28,$B$2:$B$492,"A"))</f>
        <v>25</v>
      </c>
      <c r="Y80" s="18">
        <f>X80*'Parametri Modello'!$B$30</f>
        <v>25</v>
      </c>
      <c r="Z80" s="18">
        <f t="shared" si="11"/>
        <v>975</v>
      </c>
      <c r="AA80" s="18">
        <f t="shared" si="12"/>
        <v>27</v>
      </c>
      <c r="AB80" s="18"/>
      <c r="AC80" s="18" t="str">
        <f>IF($AB80="","",IF($AB80&gt;$AA80,"PASS",IF($AB80&lt;=$AA80*(1-'Parametri Modello'!$B$68),"BID","ATTENZIONE")))</f>
        <v/>
      </c>
      <c r="AD80" s="28">
        <f t="shared" si="13"/>
        <v>64</v>
      </c>
      <c r="AE80" s="5" t="str">
        <f>IFERROR(INDEX('Stato Asta'!$G$9:$G$12,MATCH($B80,'Stato Asta'!$A$9:$A$12,0)),"")</f>
        <v>🔴 Non aspettare</v>
      </c>
      <c r="AF80" t="str">
        <f>IFERROR(IF($V80&lt;=INDEX('Parametri Modello'!$C$57:$C$60,MATCH($B80,'Parametri Modello'!$A$57:$A$60,0)),"Titolare","Riserva"),"")</f>
        <v>Titolare</v>
      </c>
      <c r="AG80" t="str">
        <f>IFERROR(INDEX('Pressione Competitiva'!$F$3:$F$6,MATCH($B80,'Pressione Competitiva'!$B$3:$B$6,0)),"")</f>
        <v>🔴 Molto Alta</v>
      </c>
      <c r="AH80" t="str">
        <f t="shared" si="14"/>
        <v/>
      </c>
      <c r="AI80" t="str">
        <f>IFERROR(IF($AH80="","",IF($AH80&gt;=$AA80*'Parametri Modello'!$B$68,"🟢 Opportunita'",IF($AH80&lt;=$AA80*'Parametri Modello'!$B$69,"🔴 Sovrapprezzo","🟡 Prezzo Corretto"))),"")</f>
        <v/>
      </c>
      <c r="AJ80" t="str">
        <f t="shared" si="15"/>
        <v/>
      </c>
      <c r="AK80">
        <f t="shared" si="16"/>
        <v>9</v>
      </c>
      <c r="AL80" t="str">
        <f t="shared" si="17"/>
        <v>C|Buono|9</v>
      </c>
    </row>
    <row r="81" spans="1:38" ht="14.25" customHeight="1" x14ac:dyDescent="0.25">
      <c r="A81" s="18">
        <v>6684</v>
      </c>
      <c r="B81" s="18" t="s">
        <v>17</v>
      </c>
      <c r="C81" s="18" t="s">
        <v>220</v>
      </c>
      <c r="E81" s="23" t="str">
        <f>IF(COUNTIF('Info Strategia'!$D$2:$D$51,$C81)&gt;0,"SI","NO")</f>
        <v>NO</v>
      </c>
      <c r="F81" s="24">
        <f>IFERROR(ROUND(($G81+($H81-$G81)*'Info Strategia'!$B$6)*(1+IF($E81="SI",'Parametri Modello'!$B$7*'Info Strategia'!$B$6,0)),0),"")</f>
        <v>27</v>
      </c>
      <c r="G81" s="24">
        <f>IFERROR(ROUND(MAX(1,(IF($V81&lt;=INDEX('Parametri Modello'!$C$57:$C$60,MATCH($B81,'Parametri Modello'!$A$57:$A$60,0)),IF(INDEX('Parametri Modello'!$E$57:$E$60,MATCH($B81,'Parametri Modello'!$A$57:$A$60,0))=0,0,($O81/INDEX('Parametri Modello'!$E$57:$E$60,MATCH($B81,'Parametri Modello'!$A$57:$A$60,0)))*(INDEX('Parametri Modello'!$D$57:$D$60,MATCH($B81,'Parametri Modello'!$A$57:$A$60,0))*(INDEX('Parametri Modello'!$B$50:$B$53,MATCH($B81,'Parametri Modello'!$A$50:$A$53,0))*'Parametri Modello'!$B$44))),IF(INDEX('Parametri Modello'!$F$57:$F$60,MATCH($B81,'Parametri Modello'!$A$57:$A$60,0))=0,0,($O81/INDEX('Parametri Modello'!$F$57:$F$60,MATCH($B81,'Parametri Modello'!$A$57:$A$60,0)))*((1-INDEX('Parametri Modello'!$D$57:$D$60,MATCH($B81,'Parametri Modello'!$A$57:$A$60,0)))*(INDEX('Parametri Modello'!$B$50:$B$53,MATCH($B81,'Parametri Modello'!$A$50:$A$53,0))*'Parametri Modello'!$B$44))))*(1+IF(IF($B81="D",'Info Lega'!$B$25,IF($B81="C",'Info Lega'!$B$26,"No"))="Si",'Parametri Modello'!$B$5,0))*(1+MAX(-0.25,MIN(0.25,IF(OR($T81="",$I81="",$I81=0,INDEX('Parametri Modello'!$B$19:$B$22,MATCH($B81,'Parametri Modello'!$A$19:$A$22,0))="",INDEX('Parametri Modello'!$B$19:$B$22,MATCH($B81,'Parametri Modello'!$A$19:$A$22,0))=0),0,(($T81-INDEX('Parametri Modello'!$B$19:$B$22,MATCH($B81,'Parametri Modello'!$A$19:$A$22,0)))/INDEX('Parametri Modello'!$B$19:$B$22,MATCH($B81,'Parametri Modello'!$A$19:$A$22,0)))*'Parametri Modello'!$B$9))))*(1+IF('Parametri Modello'!$B$27="Si",MAX(-'Parametri Modello'!$B$28,MIN('Parametri Modello'!$B$28*1.5,IF(OR(INDEX('Parametri Modello'!$F$32:$F$35,MATCH($B81,'Parametri Modello'!$A$32:$A$35,0))="",INDEX('Parametri Modello'!$F$32:$F$35,MATCH($B81,'Parametri Modello'!$A$32:$A$35,0))=0),0,(1/INDEX('Parametri Modello'!$F$32:$F$35,MATCH($B81,'Parametri Modello'!$A$32:$A$35,0))-1)*'Parametri Modello'!$B$28))),0)))*(1-INDEX('Parametri Modello'!$B$12:$B$15,MATCH($B81,'Parametri Modello'!$A$12:$A$15,0)))),0),"")</f>
        <v>19</v>
      </c>
      <c r="H81" s="24">
        <f>IFERROR(ROUND((IF($V81&lt;=INDEX('Parametri Modello'!$C$57:$C$60,MATCH($B81,'Parametri Modello'!$A$57:$A$60,0)),IF(INDEX('Parametri Modello'!$E$57:$E$60,MATCH($B81,'Parametri Modello'!$A$57:$A$60,0))=0,0,($O81/INDEX('Parametri Modello'!$E$57:$E$60,MATCH($B81,'Parametri Modello'!$A$57:$A$60,0)))*(INDEX('Parametri Modello'!$D$57:$D$60,MATCH($B81,'Parametri Modello'!$A$57:$A$60,0))*(INDEX('Parametri Modello'!$B$50:$B$53,MATCH($B81,'Parametri Modello'!$A$50:$A$53,0))*'Parametri Modello'!$B$44))),IF(INDEX('Parametri Modello'!$F$57:$F$60,MATCH($B81,'Parametri Modello'!$A$57:$A$60,0))=0,0,($O81/INDEX('Parametri Modello'!$F$57:$F$60,MATCH($B81,'Parametri Modello'!$A$57:$A$60,0)))*((1-INDEX('Parametri Modello'!$D$57:$D$60,MATCH($B81,'Parametri Modello'!$A$57:$A$60,0)))*(INDEX('Parametri Modello'!$B$50:$B$53,MATCH($B81,'Parametri Modello'!$A$50:$A$53,0))*'Parametri Modello'!$B$44))))*(1+IF(IF($B81="D",'Info Lega'!$B$25,IF($B81="C",'Info Lega'!$B$26,"No"))="Si",'Parametri Modello'!$B$5,0))*(1+MAX(-0.25,MIN(0.25,IF(OR($T81="",$I81="",$I81=0,INDEX('Parametri Modello'!$B$19:$B$22,MATCH($B81,'Parametri Modello'!$A$19:$A$22,0))="",INDEX('Parametri Modello'!$B$19:$B$22,MATCH($B81,'Parametri Modello'!$A$19:$A$22,0))=0),0,(($T81-INDEX('Parametri Modello'!$B$19:$B$22,MATCH($B81,'Parametri Modello'!$A$19:$A$22,0)))/INDEX('Parametri Modello'!$B$19:$B$22,MATCH($B81,'Parametri Modello'!$A$19:$A$22,0)))*'Parametri Modello'!$B$9))))*(1+IF('Parametri Modello'!$B$27="Si",MAX(-'Parametri Modello'!$B$28,MIN('Parametri Modello'!$B$28*1.5,IF(OR(INDEX('Parametri Modello'!$F$32:$F$35,MATCH($B81,'Parametri Modello'!$A$32:$A$35,0))="",INDEX('Parametri Modello'!$F$32:$F$35,MATCH($B81,'Parametri Modello'!$A$32:$A$35,0))=0),0,(1/INDEX('Parametri Modello'!$F$32:$F$35,MATCH($B81,'Parametri Modello'!$A$32:$A$35,0))-1)*'Parametri Modello'!$B$28))),0)))*(1+INDEX('Parametri Modello'!$B$12:$B$15,MATCH($B81,'Parametri Modello'!$A$12:$A$15,0))),0),"")</f>
        <v>31</v>
      </c>
      <c r="I81" s="23">
        <f>IFERROR(INDEX('Input Statistiche 2025_26'!$F$3:$F$665,MATCH($A81,'Input Statistiche 2025_26'!$A$3:$A$665,0)),"")</f>
        <v>31</v>
      </c>
      <c r="J81" s="23">
        <f t="shared" si="9"/>
        <v>7</v>
      </c>
      <c r="K81" s="23">
        <f>IFERROR(INDEX('Input Statistiche 2025_26'!$I$3:$I$665,MATCH($A81,'Input Statistiche 2025_26'!$A$3:$A$665,0)),"")</f>
        <v>5</v>
      </c>
      <c r="L81" s="23">
        <f>IFERROR(INDEX('Input Statistiche 2025_26'!$O$3:$O$665,MATCH($A81,'Input Statistiche 2025_26'!$A$3:$A$665,0)),"")</f>
        <v>3</v>
      </c>
      <c r="M81" s="25"/>
      <c r="N81" s="24">
        <f>IFERROR(INDEX('Input Giocatori 2026_27'!$E$3:$E$493,MATCH($A81,'Input Giocatori 2026_27'!$A$3:$A$493,0)),"")</f>
        <v>10</v>
      </c>
      <c r="O81" s="24">
        <f>IFERROR(INDEX('Input Giocatori 2026_27'!$G$3:$G$493,MATCH($A81,'Input Giocatori 2026_27'!$A$3:$A$493,0)),"")</f>
        <v>41</v>
      </c>
      <c r="P81" s="23" t="str">
        <f>IFERROR(IF($O81="","",IF((1-(COUNTIFS($B$2:$B$492,$B81,$O$2:$O$492,"&gt;"&amp;$O81)+1-1)/COUNTIF($B$2:$B$492,$B81))&gt;='Parametri Modello'!$B$63,"Top",IF((1-(COUNTIFS($B$2:$B$492,$B81,$O$2:$O$492,"&gt;"&amp;$O81)+1-1)/COUNTIF($B$2:$B$492,$B81))&gt;='Parametri Modello'!$B$64,"Buono",IF((1-(COUNTIFS($B$2:$B$492,$B81,$O$2:$O$492,"&gt;"&amp;$O81)+1-1)/COUNTIF($B$2:$B$492,$B81))&gt;='Parametri Modello'!$B$65,"Nella Media","Scommessa/Riserva")))),"")</f>
        <v>Buono</v>
      </c>
      <c r="Q81" s="26">
        <f>IF(AND($D81="",$N81&gt;1),SUMPRODUCT(($D$2:$D81="")*($N$2:$N81&gt;1)),"")</f>
        <v>80</v>
      </c>
      <c r="R81" s="26" t="str">
        <f>IF($D81='Info Lega'!$B$28,COUNTIFS($D$2:$D81,'Info Lega'!$B$28),"")</f>
        <v/>
      </c>
      <c r="S81" s="27">
        <f>IFERROR(INDEX('Input Statistiche 2025_26'!$G$3:$G$665,MATCH($A81,'Input Statistiche 2025_26'!$A$3:$A$665,0)),"")</f>
        <v>6.05</v>
      </c>
      <c r="T81" s="27">
        <f>IFERROR(INDEX('Input Statistiche 2025_26'!$H$3:$H$665,MATCH($A81,'Input Statistiche 2025_26'!$A$3:$A$665,0)),"")</f>
        <v>6.61</v>
      </c>
      <c r="U81" s="23" t="str">
        <f>IF(OR('La Mia Rosa'!$O$12="",$D81&lt;&gt;""),"",IF($F81&lt;='La Mia Rosa'!$O$12*'Parametri Modello'!$B$24,"OK",IF($F81&lt;='La Mia Rosa'!$O$12*'Parametri Modello'!$B$25,"Attenzione","Rischio Alto")))</f>
        <v>OK</v>
      </c>
      <c r="V81" s="23">
        <f t="shared" si="10"/>
        <v>27</v>
      </c>
      <c r="W81" s="18">
        <f>'Info Lega'!$B$4-SUMIFS($M$2:$M$492,$D$2:$D$492,'Info Lega'!$B$28)</f>
        <v>1000</v>
      </c>
      <c r="X81" s="18">
        <f>('Info Lega'!$B$5-COUNTIFS($D$2:$D$492,'Info Lega'!$B$28,$B$2:$B$492,"P"))+('Info Lega'!$B$6-COUNTIFS($D$2:$D$492,'Info Lega'!$B$28,$B$2:$B$492,"D"))+('Info Lega'!$B$7-COUNTIFS($D$2:$D$492,'Info Lega'!$B$28,$B$2:$B$492,"C"))+('Info Lega'!$B$8-COUNTIFS($D$2:$D$492,'Info Lega'!$B$28,$B$2:$B$492,"A"))</f>
        <v>25</v>
      </c>
      <c r="Y81" s="18">
        <f>X81*'Parametri Modello'!$B$30</f>
        <v>25</v>
      </c>
      <c r="Z81" s="18">
        <f t="shared" si="11"/>
        <v>975</v>
      </c>
      <c r="AA81" s="18">
        <f t="shared" si="12"/>
        <v>27</v>
      </c>
      <c r="AB81" s="18"/>
      <c r="AC81" s="18" t="str">
        <f>IF($AB81="","",IF($AB81&gt;$AA81,"PASS",IF($AB81&lt;=$AA81*(1-'Parametri Modello'!$B$68),"BID","ATTENZIONE")))</f>
        <v/>
      </c>
      <c r="AD81" s="28">
        <f t="shared" si="13"/>
        <v>64</v>
      </c>
      <c r="AE81" s="5" t="str">
        <f>IFERROR(INDEX('Stato Asta'!$G$9:$G$12,MATCH($B81,'Stato Asta'!$A$9:$A$12,0)),"")</f>
        <v>🔴 Non aspettare</v>
      </c>
      <c r="AF81" t="str">
        <f>IFERROR(IF($V81&lt;=INDEX('Parametri Modello'!$C$57:$C$60,MATCH($B81,'Parametri Modello'!$A$57:$A$60,0)),"Titolare","Riserva"),"")</f>
        <v>Titolare</v>
      </c>
      <c r="AG81" t="str">
        <f>IFERROR(INDEX('Pressione Competitiva'!$F$3:$F$6,MATCH($B81,'Pressione Competitiva'!$B$3:$B$6,0)),"")</f>
        <v>🔴 Molto Alta</v>
      </c>
      <c r="AH81" t="str">
        <f t="shared" si="14"/>
        <v/>
      </c>
      <c r="AI81" t="str">
        <f>IFERROR(IF($AH81="","",IF($AH81&gt;=$AA81*'Parametri Modello'!$B$68,"🟢 Opportunita'",IF($AH81&lt;=$AA81*'Parametri Modello'!$B$69,"🔴 Sovrapprezzo","🟡 Prezzo Corretto"))),"")</f>
        <v/>
      </c>
      <c r="AJ81" t="str">
        <f t="shared" si="15"/>
        <v/>
      </c>
      <c r="AK81">
        <f t="shared" si="16"/>
        <v>9</v>
      </c>
      <c r="AL81" t="str">
        <f t="shared" si="17"/>
        <v>C|Buono|9</v>
      </c>
    </row>
    <row r="82" spans="1:38" ht="14.25" customHeight="1" x14ac:dyDescent="0.25">
      <c r="A82" s="18">
        <v>5876</v>
      </c>
      <c r="B82" s="18" t="s">
        <v>15</v>
      </c>
      <c r="C82" s="18" t="s">
        <v>221</v>
      </c>
      <c r="E82" s="23" t="str">
        <f>IF(COUNTIF('Info Strategia'!$D$2:$D$51,$C82)&gt;0,"SI","NO")</f>
        <v>NO</v>
      </c>
      <c r="F82" s="24">
        <f>IFERROR(ROUND(($G82+($H82-$G82)*'Info Strategia'!$B$6)*(1+IF($E82="SI",'Parametri Modello'!$B$7*'Info Strategia'!$B$6,0)),0),"")</f>
        <v>67</v>
      </c>
      <c r="G82" s="24">
        <f>IFERROR(ROUND(MAX(1,(IF($V82&lt;=INDEX('Parametri Modello'!$C$57:$C$60,MATCH($B82,'Parametri Modello'!$A$57:$A$60,0)),IF(INDEX('Parametri Modello'!$E$57:$E$60,MATCH($B82,'Parametri Modello'!$A$57:$A$60,0))=0,0,($O82/INDEX('Parametri Modello'!$E$57:$E$60,MATCH($B82,'Parametri Modello'!$A$57:$A$60,0)))*(INDEX('Parametri Modello'!$D$57:$D$60,MATCH($B82,'Parametri Modello'!$A$57:$A$60,0))*(INDEX('Parametri Modello'!$B$50:$B$53,MATCH($B82,'Parametri Modello'!$A$50:$A$53,0))*'Parametri Modello'!$B$44))),IF(INDEX('Parametri Modello'!$F$57:$F$60,MATCH($B82,'Parametri Modello'!$A$57:$A$60,0))=0,0,($O82/INDEX('Parametri Modello'!$F$57:$F$60,MATCH($B82,'Parametri Modello'!$A$57:$A$60,0)))*((1-INDEX('Parametri Modello'!$D$57:$D$60,MATCH($B82,'Parametri Modello'!$A$57:$A$60,0)))*(INDEX('Parametri Modello'!$B$50:$B$53,MATCH($B82,'Parametri Modello'!$A$50:$A$53,0))*'Parametri Modello'!$B$44))))*(1+IF(IF($B82="D",'Info Lega'!$B$25,IF($B82="C",'Info Lega'!$B$26,"No"))="Si",'Parametri Modello'!$B$5,0))*(1+MAX(-0.25,MIN(0.25,IF(OR($T82="",$I82="",$I82=0,INDEX('Parametri Modello'!$B$19:$B$22,MATCH($B82,'Parametri Modello'!$A$19:$A$22,0))="",INDEX('Parametri Modello'!$B$19:$B$22,MATCH($B82,'Parametri Modello'!$A$19:$A$22,0))=0),0,(($T82-INDEX('Parametri Modello'!$B$19:$B$22,MATCH($B82,'Parametri Modello'!$A$19:$A$22,0)))/INDEX('Parametri Modello'!$B$19:$B$22,MATCH($B82,'Parametri Modello'!$A$19:$A$22,0)))*'Parametri Modello'!$B$9))))*(1+IF('Parametri Modello'!$B$27="Si",MAX(-'Parametri Modello'!$B$28,MIN('Parametri Modello'!$B$28*1.5,IF(OR(INDEX('Parametri Modello'!$F$32:$F$35,MATCH($B82,'Parametri Modello'!$A$32:$A$35,0))="",INDEX('Parametri Modello'!$F$32:$F$35,MATCH($B82,'Parametri Modello'!$A$32:$A$35,0))=0),0,(1/INDEX('Parametri Modello'!$F$32:$F$35,MATCH($B82,'Parametri Modello'!$A$32:$A$35,0))-1)*'Parametri Modello'!$B$28))),0)))*(1-INDEX('Parametri Modello'!$B$12:$B$15,MATCH($B82,'Parametri Modello'!$A$12:$A$15,0)))),0),"")</f>
        <v>54</v>
      </c>
      <c r="H82" s="24">
        <f>IFERROR(ROUND((IF($V82&lt;=INDEX('Parametri Modello'!$C$57:$C$60,MATCH($B82,'Parametri Modello'!$A$57:$A$60,0)),IF(INDEX('Parametri Modello'!$E$57:$E$60,MATCH($B82,'Parametri Modello'!$A$57:$A$60,0))=0,0,($O82/INDEX('Parametri Modello'!$E$57:$E$60,MATCH($B82,'Parametri Modello'!$A$57:$A$60,0)))*(INDEX('Parametri Modello'!$D$57:$D$60,MATCH($B82,'Parametri Modello'!$A$57:$A$60,0))*(INDEX('Parametri Modello'!$B$50:$B$53,MATCH($B82,'Parametri Modello'!$A$50:$A$53,0))*'Parametri Modello'!$B$44))),IF(INDEX('Parametri Modello'!$F$57:$F$60,MATCH($B82,'Parametri Modello'!$A$57:$A$60,0))=0,0,($O82/INDEX('Parametri Modello'!$F$57:$F$60,MATCH($B82,'Parametri Modello'!$A$57:$A$60,0)))*((1-INDEX('Parametri Modello'!$D$57:$D$60,MATCH($B82,'Parametri Modello'!$A$57:$A$60,0)))*(INDEX('Parametri Modello'!$B$50:$B$53,MATCH($B82,'Parametri Modello'!$A$50:$A$53,0))*'Parametri Modello'!$B$44))))*(1+IF(IF($B82="D",'Info Lega'!$B$25,IF($B82="C",'Info Lega'!$B$26,"No"))="Si",'Parametri Modello'!$B$5,0))*(1+MAX(-0.25,MIN(0.25,IF(OR($T82="",$I82="",$I82=0,INDEX('Parametri Modello'!$B$19:$B$22,MATCH($B82,'Parametri Modello'!$A$19:$A$22,0))="",INDEX('Parametri Modello'!$B$19:$B$22,MATCH($B82,'Parametri Modello'!$A$19:$A$22,0))=0),0,(($T82-INDEX('Parametri Modello'!$B$19:$B$22,MATCH($B82,'Parametri Modello'!$A$19:$A$22,0)))/INDEX('Parametri Modello'!$B$19:$B$22,MATCH($B82,'Parametri Modello'!$A$19:$A$22,0)))*'Parametri Modello'!$B$9))))*(1+IF('Parametri Modello'!$B$27="Si",MAX(-'Parametri Modello'!$B$28,MIN('Parametri Modello'!$B$28*1.5,IF(OR(INDEX('Parametri Modello'!$F$32:$F$35,MATCH($B82,'Parametri Modello'!$A$32:$A$35,0))="",INDEX('Parametri Modello'!$F$32:$F$35,MATCH($B82,'Parametri Modello'!$A$32:$A$35,0))=0),0,(1/INDEX('Parametri Modello'!$F$32:$F$35,MATCH($B82,'Parametri Modello'!$A$32:$A$35,0))-1)*'Parametri Modello'!$B$28))),0)))*(1+INDEX('Parametri Modello'!$B$12:$B$15,MATCH($B82,'Parametri Modello'!$A$12:$A$15,0))),0),"")</f>
        <v>73</v>
      </c>
      <c r="I82" s="23">
        <f>IFERROR(INDEX('Input Statistiche 2025_26'!$F$3:$F$665,MATCH($A82,'Input Statistiche 2025_26'!$A$3:$A$665,0)),"")</f>
        <v>30</v>
      </c>
      <c r="J82" s="23">
        <f t="shared" si="9"/>
        <v>8</v>
      </c>
      <c r="K82" s="23">
        <f>IFERROR(INDEX('Input Statistiche 2025_26'!$I$3:$I$665,MATCH($A82,'Input Statistiche 2025_26'!$A$3:$A$665,0)),"")</f>
        <v>0</v>
      </c>
      <c r="L82" s="23">
        <f>IFERROR(INDEX('Input Statistiche 2025_26'!$O$3:$O$665,MATCH($A82,'Input Statistiche 2025_26'!$A$3:$A$665,0)),"")</f>
        <v>0</v>
      </c>
      <c r="M82" s="25"/>
      <c r="N82" s="24">
        <f>IFERROR(INDEX('Input Giocatori 2026_27'!$E$3:$E$493,MATCH($A82,'Input Giocatori 2026_27'!$A$3:$A$493,0)),"")</f>
        <v>9</v>
      </c>
      <c r="O82" s="24">
        <f>IFERROR(INDEX('Input Giocatori 2026_27'!$G$3:$G$493,MATCH($A82,'Input Giocatori 2026_27'!$A$3:$A$493,0)),"")</f>
        <v>40</v>
      </c>
      <c r="P82" s="23" t="str">
        <f>IFERROR(IF($O82="","",IF((1-(COUNTIFS($B$2:$B$492,$B82,$O$2:$O$492,"&gt;"&amp;$O82)+1-1)/COUNTIF($B$2:$B$492,$B82))&gt;='Parametri Modello'!$B$63,"Top",IF((1-(COUNTIFS($B$2:$B$492,$B82,$O$2:$O$492,"&gt;"&amp;$O82)+1-1)/COUNTIF($B$2:$B$492,$B82))&gt;='Parametri Modello'!$B$64,"Buono",IF((1-(COUNTIFS($B$2:$B$492,$B82,$O$2:$O$492,"&gt;"&amp;$O82)+1-1)/COUNTIF($B$2:$B$492,$B82))&gt;='Parametri Modello'!$B$65,"Nella Media","Scommessa/Riserva")))),"")</f>
        <v>Buono</v>
      </c>
      <c r="Q82" s="26">
        <f>IF(AND($D82="",$N82&gt;1),SUMPRODUCT(($D$2:$D82="")*($N$2:$N82&gt;1)),"")</f>
        <v>81</v>
      </c>
      <c r="R82" s="26" t="str">
        <f>IF($D82='Info Lega'!$B$28,COUNTIFS($D$2:$D82,'Info Lega'!$B$28),"")</f>
        <v/>
      </c>
      <c r="S82" s="27">
        <f>IFERROR(INDEX('Input Statistiche 2025_26'!$G$3:$G$665,MATCH($A82,'Input Statistiche 2025_26'!$A$3:$A$665,0)),"")</f>
        <v>6.08</v>
      </c>
      <c r="T82" s="27">
        <f>IFERROR(INDEX('Input Statistiche 2025_26'!$H$3:$H$665,MATCH($A82,'Input Statistiche 2025_26'!$A$3:$A$665,0)),"")</f>
        <v>5.33</v>
      </c>
      <c r="U82" s="23" t="str">
        <f>IF(OR('La Mia Rosa'!$O$12="",$D82&lt;&gt;""),"",IF($F82&lt;='La Mia Rosa'!$O$12*'Parametri Modello'!$B$24,"OK",IF($F82&lt;='La Mia Rosa'!$O$12*'Parametri Modello'!$B$25,"Attenzione","Rischio Alto")))</f>
        <v>Attenzione</v>
      </c>
      <c r="V82" s="23">
        <f t="shared" si="10"/>
        <v>8</v>
      </c>
      <c r="W82" s="18">
        <f>'Info Lega'!$B$4-SUMIFS($M$2:$M$492,$D$2:$D$492,'Info Lega'!$B$28)</f>
        <v>1000</v>
      </c>
      <c r="X82" s="18">
        <f>('Info Lega'!$B$5-COUNTIFS($D$2:$D$492,'Info Lega'!$B$28,$B$2:$B$492,"P"))+('Info Lega'!$B$6-COUNTIFS($D$2:$D$492,'Info Lega'!$B$28,$B$2:$B$492,"D"))+('Info Lega'!$B$7-COUNTIFS($D$2:$D$492,'Info Lega'!$B$28,$B$2:$B$492,"C"))+('Info Lega'!$B$8-COUNTIFS($D$2:$D$492,'Info Lega'!$B$28,$B$2:$B$492,"A"))</f>
        <v>25</v>
      </c>
      <c r="Y82" s="18">
        <f>X82*'Parametri Modello'!$B$30</f>
        <v>25</v>
      </c>
      <c r="Z82" s="18">
        <f t="shared" si="11"/>
        <v>975</v>
      </c>
      <c r="AA82" s="18">
        <f t="shared" si="12"/>
        <v>67</v>
      </c>
      <c r="AB82" s="18"/>
      <c r="AC82" s="18" t="str">
        <f>IF($AB82="","",IF($AB82&gt;$AA82,"PASS",IF($AB82&lt;=$AA82*(1-'Parametri Modello'!$B$68),"BID","ATTENZIONE")))</f>
        <v/>
      </c>
      <c r="AD82" s="28">
        <f t="shared" si="13"/>
        <v>63</v>
      </c>
      <c r="AE82" s="5" t="str">
        <f>IFERROR(INDEX('Stato Asta'!$G$9:$G$12,MATCH($B82,'Stato Asta'!$A$9:$A$12,0)),"")</f>
        <v>🔴 Non aspettare</v>
      </c>
      <c r="AF82" t="str">
        <f>IFERROR(IF($V82&lt;=INDEX('Parametri Modello'!$C$57:$C$60,MATCH($B82,'Parametri Modello'!$A$57:$A$60,0)),"Titolare","Riserva"),"")</f>
        <v>Titolare</v>
      </c>
      <c r="AG82" t="str">
        <f>IFERROR(INDEX('Pressione Competitiva'!$F$3:$F$6,MATCH($B82,'Pressione Competitiva'!$B$3:$B$6,0)),"")</f>
        <v>🔴 Molto Alta</v>
      </c>
      <c r="AH82" t="str">
        <f t="shared" si="14"/>
        <v/>
      </c>
      <c r="AI82" t="str">
        <f>IFERROR(IF($AH82="","",IF($AH82&gt;=$AA82*'Parametri Modello'!$B$68,"🟢 Opportunita'",IF($AH82&lt;=$AA82*'Parametri Modello'!$B$69,"🔴 Sovrapprezzo","🟡 Prezzo Corretto"))),"")</f>
        <v/>
      </c>
      <c r="AJ82" t="str">
        <f t="shared" si="15"/>
        <v/>
      </c>
      <c r="AK82">
        <f t="shared" si="16"/>
        <v>1</v>
      </c>
      <c r="AL82" t="str">
        <f t="shared" si="17"/>
        <v>P|Buono|1</v>
      </c>
    </row>
    <row r="83" spans="1:38" ht="14.25" customHeight="1" x14ac:dyDescent="0.25">
      <c r="A83" s="18">
        <v>2816</v>
      </c>
      <c r="B83" s="18" t="s">
        <v>16</v>
      </c>
      <c r="C83" s="18" t="s">
        <v>222</v>
      </c>
      <c r="E83" s="23" t="str">
        <f>IF(COUNTIF('Info Strategia'!$D$2:$D$51,$C83)&gt;0,"SI","NO")</f>
        <v>NO</v>
      </c>
      <c r="F83" s="24">
        <f>IFERROR(ROUND(($G83+($H83-$G83)*'Info Strategia'!$B$6)*(1+IF($E83="SI",'Parametri Modello'!$B$7*'Info Strategia'!$B$6,0)),0),"")</f>
        <v>28</v>
      </c>
      <c r="G83" s="24">
        <f>IFERROR(ROUND(MAX(1,(IF($V83&lt;=INDEX('Parametri Modello'!$C$57:$C$60,MATCH($B83,'Parametri Modello'!$A$57:$A$60,0)),IF(INDEX('Parametri Modello'!$E$57:$E$60,MATCH($B83,'Parametri Modello'!$A$57:$A$60,0))=0,0,($O83/INDEX('Parametri Modello'!$E$57:$E$60,MATCH($B83,'Parametri Modello'!$A$57:$A$60,0)))*(INDEX('Parametri Modello'!$D$57:$D$60,MATCH($B83,'Parametri Modello'!$A$57:$A$60,0))*(INDEX('Parametri Modello'!$B$50:$B$53,MATCH($B83,'Parametri Modello'!$A$50:$A$53,0))*'Parametri Modello'!$B$44))),IF(INDEX('Parametri Modello'!$F$57:$F$60,MATCH($B83,'Parametri Modello'!$A$57:$A$60,0))=0,0,($O83/INDEX('Parametri Modello'!$F$57:$F$60,MATCH($B83,'Parametri Modello'!$A$57:$A$60,0)))*((1-INDEX('Parametri Modello'!$D$57:$D$60,MATCH($B83,'Parametri Modello'!$A$57:$A$60,0)))*(INDEX('Parametri Modello'!$B$50:$B$53,MATCH($B83,'Parametri Modello'!$A$50:$A$53,0))*'Parametri Modello'!$B$44))))*(1+IF(IF($B83="D",'Info Lega'!$B$25,IF($B83="C",'Info Lega'!$B$26,"No"))="Si",'Parametri Modello'!$B$5,0))*(1+MAX(-0.25,MIN(0.25,IF(OR($T83="",$I83="",$I83=0,INDEX('Parametri Modello'!$B$19:$B$22,MATCH($B83,'Parametri Modello'!$A$19:$A$22,0))="",INDEX('Parametri Modello'!$B$19:$B$22,MATCH($B83,'Parametri Modello'!$A$19:$A$22,0))=0),0,(($T83-INDEX('Parametri Modello'!$B$19:$B$22,MATCH($B83,'Parametri Modello'!$A$19:$A$22,0)))/INDEX('Parametri Modello'!$B$19:$B$22,MATCH($B83,'Parametri Modello'!$A$19:$A$22,0)))*'Parametri Modello'!$B$9))))*(1+IF('Parametri Modello'!$B$27="Si",MAX(-'Parametri Modello'!$B$28,MIN('Parametri Modello'!$B$28*1.5,IF(OR(INDEX('Parametri Modello'!$F$32:$F$35,MATCH($B83,'Parametri Modello'!$A$32:$A$35,0))="",INDEX('Parametri Modello'!$F$32:$F$35,MATCH($B83,'Parametri Modello'!$A$32:$A$35,0))=0),0,(1/INDEX('Parametri Modello'!$F$32:$F$35,MATCH($B83,'Parametri Modello'!$A$32:$A$35,0))-1)*'Parametri Modello'!$B$28))),0)))*(1-INDEX('Parametri Modello'!$B$12:$B$15,MATCH($B83,'Parametri Modello'!$A$12:$A$15,0)))),0),"")</f>
        <v>20</v>
      </c>
      <c r="H83" s="24">
        <f>IFERROR(ROUND((IF($V83&lt;=INDEX('Parametri Modello'!$C$57:$C$60,MATCH($B83,'Parametri Modello'!$A$57:$A$60,0)),IF(INDEX('Parametri Modello'!$E$57:$E$60,MATCH($B83,'Parametri Modello'!$A$57:$A$60,0))=0,0,($O83/INDEX('Parametri Modello'!$E$57:$E$60,MATCH($B83,'Parametri Modello'!$A$57:$A$60,0)))*(INDEX('Parametri Modello'!$D$57:$D$60,MATCH($B83,'Parametri Modello'!$A$57:$A$60,0))*(INDEX('Parametri Modello'!$B$50:$B$53,MATCH($B83,'Parametri Modello'!$A$50:$A$53,0))*'Parametri Modello'!$B$44))),IF(INDEX('Parametri Modello'!$F$57:$F$60,MATCH($B83,'Parametri Modello'!$A$57:$A$60,0))=0,0,($O83/INDEX('Parametri Modello'!$F$57:$F$60,MATCH($B83,'Parametri Modello'!$A$57:$A$60,0)))*((1-INDEX('Parametri Modello'!$D$57:$D$60,MATCH($B83,'Parametri Modello'!$A$57:$A$60,0)))*(INDEX('Parametri Modello'!$B$50:$B$53,MATCH($B83,'Parametri Modello'!$A$50:$A$53,0))*'Parametri Modello'!$B$44))))*(1+IF(IF($B83="D",'Info Lega'!$B$25,IF($B83="C",'Info Lega'!$B$26,"No"))="Si",'Parametri Modello'!$B$5,0))*(1+MAX(-0.25,MIN(0.25,IF(OR($T83="",$I83="",$I83=0,INDEX('Parametri Modello'!$B$19:$B$22,MATCH($B83,'Parametri Modello'!$A$19:$A$22,0))="",INDEX('Parametri Modello'!$B$19:$B$22,MATCH($B83,'Parametri Modello'!$A$19:$A$22,0))=0),0,(($T83-INDEX('Parametri Modello'!$B$19:$B$22,MATCH($B83,'Parametri Modello'!$A$19:$A$22,0)))/INDEX('Parametri Modello'!$B$19:$B$22,MATCH($B83,'Parametri Modello'!$A$19:$A$22,0)))*'Parametri Modello'!$B$9))))*(1+IF('Parametri Modello'!$B$27="Si",MAX(-'Parametri Modello'!$B$28,MIN('Parametri Modello'!$B$28*1.5,IF(OR(INDEX('Parametri Modello'!$F$32:$F$35,MATCH($B83,'Parametri Modello'!$A$32:$A$35,0))="",INDEX('Parametri Modello'!$F$32:$F$35,MATCH($B83,'Parametri Modello'!$A$32:$A$35,0))=0),0,(1/INDEX('Parametri Modello'!$F$32:$F$35,MATCH($B83,'Parametri Modello'!$A$32:$A$35,0))-1)*'Parametri Modello'!$B$28))),0)))*(1+INDEX('Parametri Modello'!$B$12:$B$15,MATCH($B83,'Parametri Modello'!$A$12:$A$15,0))),0),"")</f>
        <v>31</v>
      </c>
      <c r="I83" s="23">
        <f>IFERROR(INDEX('Input Statistiche 2025_26'!$F$3:$F$665,MATCH($A83,'Input Statistiche 2025_26'!$A$3:$A$665,0)),"")</f>
        <v>26</v>
      </c>
      <c r="J83" s="23">
        <f t="shared" si="9"/>
        <v>12</v>
      </c>
      <c r="K83" s="23">
        <f>IFERROR(INDEX('Input Statistiche 2025_26'!$I$3:$I$665,MATCH($A83,'Input Statistiche 2025_26'!$A$3:$A$665,0)),"")</f>
        <v>2</v>
      </c>
      <c r="L83" s="23">
        <f>IFERROR(INDEX('Input Statistiche 2025_26'!$O$3:$O$665,MATCH($A83,'Input Statistiche 2025_26'!$A$3:$A$665,0)),"")</f>
        <v>1</v>
      </c>
      <c r="M83" s="25"/>
      <c r="N83" s="24">
        <f>IFERROR(INDEX('Input Giocatori 2026_27'!$E$3:$E$493,MATCH($A83,'Input Giocatori 2026_27'!$A$3:$A$493,0)),"")</f>
        <v>12</v>
      </c>
      <c r="O83" s="24">
        <f>IFERROR(INDEX('Input Giocatori 2026_27'!$G$3:$G$493,MATCH($A83,'Input Giocatori 2026_27'!$A$3:$A$493,0)),"")</f>
        <v>40</v>
      </c>
      <c r="P83" s="23" t="str">
        <f>IFERROR(IF($O83="","",IF((1-(COUNTIFS($B$2:$B$492,$B83,$O$2:$O$492,"&gt;"&amp;$O83)+1-1)/COUNTIF($B$2:$B$492,$B83))&gt;='Parametri Modello'!$B$63,"Top",IF((1-(COUNTIFS($B$2:$B$492,$B83,$O$2:$O$492,"&gt;"&amp;$O83)+1-1)/COUNTIF($B$2:$B$492,$B83))&gt;='Parametri Modello'!$B$64,"Buono",IF((1-(COUNTIFS($B$2:$B$492,$B83,$O$2:$O$492,"&gt;"&amp;$O83)+1-1)/COUNTIF($B$2:$B$492,$B83))&gt;='Parametri Modello'!$B$65,"Nella Media","Scommessa/Riserva")))),"")</f>
        <v>Top</v>
      </c>
      <c r="Q83" s="26">
        <f>IF(AND($D83="",$N83&gt;1),SUMPRODUCT(($D$2:$D83="")*($N$2:$N83&gt;1)),"")</f>
        <v>82</v>
      </c>
      <c r="R83" s="26" t="str">
        <f>IF($D83='Info Lega'!$B$28,COUNTIFS($D$2:$D83,'Info Lega'!$B$28),"")</f>
        <v/>
      </c>
      <c r="S83" s="27">
        <f>IFERROR(INDEX('Input Statistiche 2025_26'!$G$3:$G$665,MATCH($A83,'Input Statistiche 2025_26'!$A$3:$A$665,0)),"")</f>
        <v>6.08</v>
      </c>
      <c r="T83" s="27">
        <f>IFERROR(INDEX('Input Statistiche 2025_26'!$H$3:$H$665,MATCH($A83,'Input Statistiche 2025_26'!$A$3:$A$665,0)),"")</f>
        <v>6.33</v>
      </c>
      <c r="U83" s="23" t="str">
        <f>IF(OR('La Mia Rosa'!$O$12="",$D83&lt;&gt;""),"",IF($F83&lt;='La Mia Rosa'!$O$12*'Parametri Modello'!$B$24,"OK",IF($F83&lt;='La Mia Rosa'!$O$12*'Parametri Modello'!$B$25,"Attenzione","Rischio Alto")))</f>
        <v>OK</v>
      </c>
      <c r="V83" s="23">
        <f t="shared" si="10"/>
        <v>12</v>
      </c>
      <c r="W83" s="18">
        <f>'Info Lega'!$B$4-SUMIFS($M$2:$M$492,$D$2:$D$492,'Info Lega'!$B$28)</f>
        <v>1000</v>
      </c>
      <c r="X83" s="18">
        <f>('Info Lega'!$B$5-COUNTIFS($D$2:$D$492,'Info Lega'!$B$28,$B$2:$B$492,"P"))+('Info Lega'!$B$6-COUNTIFS($D$2:$D$492,'Info Lega'!$B$28,$B$2:$B$492,"D"))+('Info Lega'!$B$7-COUNTIFS($D$2:$D$492,'Info Lega'!$B$28,$B$2:$B$492,"C"))+('Info Lega'!$B$8-COUNTIFS($D$2:$D$492,'Info Lega'!$B$28,$B$2:$B$492,"A"))</f>
        <v>25</v>
      </c>
      <c r="Y83" s="18">
        <f>X83*'Parametri Modello'!$B$30</f>
        <v>25</v>
      </c>
      <c r="Z83" s="18">
        <f t="shared" si="11"/>
        <v>975</v>
      </c>
      <c r="AA83" s="18">
        <f t="shared" si="12"/>
        <v>28</v>
      </c>
      <c r="AB83" s="18"/>
      <c r="AC83" s="18" t="str">
        <f>IF($AB83="","",IF($AB83&gt;$AA83,"PASS",IF($AB83&lt;=$AA83*(1-'Parametri Modello'!$B$68),"BID","ATTENZIONE")))</f>
        <v/>
      </c>
      <c r="AD83" s="28">
        <f t="shared" si="13"/>
        <v>58</v>
      </c>
      <c r="AE83" s="5" t="str">
        <f>IFERROR(INDEX('Stato Asta'!$G$9:$G$12,MATCH($B83,'Stato Asta'!$A$9:$A$12,0)),"")</f>
        <v>🔴 Non aspettare</v>
      </c>
      <c r="AF83" t="str">
        <f>IFERROR(IF($V83&lt;=INDEX('Parametri Modello'!$C$57:$C$60,MATCH($B83,'Parametri Modello'!$A$57:$A$60,0)),"Titolare","Riserva"),"")</f>
        <v>Titolare</v>
      </c>
      <c r="AG83" t="str">
        <f>IFERROR(INDEX('Pressione Competitiva'!$F$3:$F$6,MATCH($B83,'Pressione Competitiva'!$B$3:$B$6,0)),"")</f>
        <v>🔴 Molto Alta</v>
      </c>
      <c r="AH83" t="str">
        <f t="shared" si="14"/>
        <v/>
      </c>
      <c r="AI83" t="str">
        <f>IFERROR(IF($AH83="","",IF($AH83&gt;=$AA83*'Parametri Modello'!$B$68,"🟢 Opportunita'",IF($AH83&lt;=$AA83*'Parametri Modello'!$B$69,"🔴 Sovrapprezzo","🟡 Prezzo Corretto"))),"")</f>
        <v/>
      </c>
      <c r="AJ83" t="str">
        <f t="shared" si="15"/>
        <v/>
      </c>
      <c r="AK83">
        <f t="shared" si="16"/>
        <v>12</v>
      </c>
      <c r="AL83" t="str">
        <f t="shared" si="17"/>
        <v>D|Top|12</v>
      </c>
    </row>
    <row r="84" spans="1:38" ht="14.25" customHeight="1" x14ac:dyDescent="0.25">
      <c r="A84" s="18">
        <v>5750</v>
      </c>
      <c r="B84" s="18" t="s">
        <v>16</v>
      </c>
      <c r="C84" s="18" t="s">
        <v>223</v>
      </c>
      <c r="E84" s="23" t="str">
        <f>IF(COUNTIF('Info Strategia'!$D$2:$D$51,$C84)&gt;0,"SI","NO")</f>
        <v>NO</v>
      </c>
      <c r="F84" s="24">
        <f>IFERROR(ROUND(($G84+($H84-$G84)*'Info Strategia'!$B$6)*(1+IF($E84="SI",'Parametri Modello'!$B$7*'Info Strategia'!$B$6,0)),0),"")</f>
        <v>28</v>
      </c>
      <c r="G84" s="24">
        <f>IFERROR(ROUND(MAX(1,(IF($V84&lt;=INDEX('Parametri Modello'!$C$57:$C$60,MATCH($B84,'Parametri Modello'!$A$57:$A$60,0)),IF(INDEX('Parametri Modello'!$E$57:$E$60,MATCH($B84,'Parametri Modello'!$A$57:$A$60,0))=0,0,($O84/INDEX('Parametri Modello'!$E$57:$E$60,MATCH($B84,'Parametri Modello'!$A$57:$A$60,0)))*(INDEX('Parametri Modello'!$D$57:$D$60,MATCH($B84,'Parametri Modello'!$A$57:$A$60,0))*(INDEX('Parametri Modello'!$B$50:$B$53,MATCH($B84,'Parametri Modello'!$A$50:$A$53,0))*'Parametri Modello'!$B$44))),IF(INDEX('Parametri Modello'!$F$57:$F$60,MATCH($B84,'Parametri Modello'!$A$57:$A$60,0))=0,0,($O84/INDEX('Parametri Modello'!$F$57:$F$60,MATCH($B84,'Parametri Modello'!$A$57:$A$60,0)))*((1-INDEX('Parametri Modello'!$D$57:$D$60,MATCH($B84,'Parametri Modello'!$A$57:$A$60,0)))*(INDEX('Parametri Modello'!$B$50:$B$53,MATCH($B84,'Parametri Modello'!$A$50:$A$53,0))*'Parametri Modello'!$B$44))))*(1+IF(IF($B84="D",'Info Lega'!$B$25,IF($B84="C",'Info Lega'!$B$26,"No"))="Si",'Parametri Modello'!$B$5,0))*(1+MAX(-0.25,MIN(0.25,IF(OR($T84="",$I84="",$I84=0,INDEX('Parametri Modello'!$B$19:$B$22,MATCH($B84,'Parametri Modello'!$A$19:$A$22,0))="",INDEX('Parametri Modello'!$B$19:$B$22,MATCH($B84,'Parametri Modello'!$A$19:$A$22,0))=0),0,(($T84-INDEX('Parametri Modello'!$B$19:$B$22,MATCH($B84,'Parametri Modello'!$A$19:$A$22,0)))/INDEX('Parametri Modello'!$B$19:$B$22,MATCH($B84,'Parametri Modello'!$A$19:$A$22,0)))*'Parametri Modello'!$B$9))))*(1+IF('Parametri Modello'!$B$27="Si",MAX(-'Parametri Modello'!$B$28,MIN('Parametri Modello'!$B$28*1.5,IF(OR(INDEX('Parametri Modello'!$F$32:$F$35,MATCH($B84,'Parametri Modello'!$A$32:$A$35,0))="",INDEX('Parametri Modello'!$F$32:$F$35,MATCH($B84,'Parametri Modello'!$A$32:$A$35,0))=0),0,(1/INDEX('Parametri Modello'!$F$32:$F$35,MATCH($B84,'Parametri Modello'!$A$32:$A$35,0))-1)*'Parametri Modello'!$B$28))),0)))*(1-INDEX('Parametri Modello'!$B$12:$B$15,MATCH($B84,'Parametri Modello'!$A$12:$A$15,0)))),0),"")</f>
        <v>20</v>
      </c>
      <c r="H84" s="24">
        <f>IFERROR(ROUND((IF($V84&lt;=INDEX('Parametri Modello'!$C$57:$C$60,MATCH($B84,'Parametri Modello'!$A$57:$A$60,0)),IF(INDEX('Parametri Modello'!$E$57:$E$60,MATCH($B84,'Parametri Modello'!$A$57:$A$60,0))=0,0,($O84/INDEX('Parametri Modello'!$E$57:$E$60,MATCH($B84,'Parametri Modello'!$A$57:$A$60,0)))*(INDEX('Parametri Modello'!$D$57:$D$60,MATCH($B84,'Parametri Modello'!$A$57:$A$60,0))*(INDEX('Parametri Modello'!$B$50:$B$53,MATCH($B84,'Parametri Modello'!$A$50:$A$53,0))*'Parametri Modello'!$B$44))),IF(INDEX('Parametri Modello'!$F$57:$F$60,MATCH($B84,'Parametri Modello'!$A$57:$A$60,0))=0,0,($O84/INDEX('Parametri Modello'!$F$57:$F$60,MATCH($B84,'Parametri Modello'!$A$57:$A$60,0)))*((1-INDEX('Parametri Modello'!$D$57:$D$60,MATCH($B84,'Parametri Modello'!$A$57:$A$60,0)))*(INDEX('Parametri Modello'!$B$50:$B$53,MATCH($B84,'Parametri Modello'!$A$50:$A$53,0))*'Parametri Modello'!$B$44))))*(1+IF(IF($B84="D",'Info Lega'!$B$25,IF($B84="C",'Info Lega'!$B$26,"No"))="Si",'Parametri Modello'!$B$5,0))*(1+MAX(-0.25,MIN(0.25,IF(OR($T84="",$I84="",$I84=0,INDEX('Parametri Modello'!$B$19:$B$22,MATCH($B84,'Parametri Modello'!$A$19:$A$22,0))="",INDEX('Parametri Modello'!$B$19:$B$22,MATCH($B84,'Parametri Modello'!$A$19:$A$22,0))=0),0,(($T84-INDEX('Parametri Modello'!$B$19:$B$22,MATCH($B84,'Parametri Modello'!$A$19:$A$22,0)))/INDEX('Parametri Modello'!$B$19:$B$22,MATCH($B84,'Parametri Modello'!$A$19:$A$22,0)))*'Parametri Modello'!$B$9))))*(1+IF('Parametri Modello'!$B$27="Si",MAX(-'Parametri Modello'!$B$28,MIN('Parametri Modello'!$B$28*1.5,IF(OR(INDEX('Parametri Modello'!$F$32:$F$35,MATCH($B84,'Parametri Modello'!$A$32:$A$35,0))="",INDEX('Parametri Modello'!$F$32:$F$35,MATCH($B84,'Parametri Modello'!$A$32:$A$35,0))=0),0,(1/INDEX('Parametri Modello'!$F$32:$F$35,MATCH($B84,'Parametri Modello'!$A$32:$A$35,0))-1)*'Parametri Modello'!$B$28))),0)))*(1+INDEX('Parametri Modello'!$B$12:$B$15,MATCH($B84,'Parametri Modello'!$A$12:$A$15,0))),0),"")</f>
        <v>31</v>
      </c>
      <c r="I84" s="23">
        <f>IFERROR(INDEX('Input Statistiche 2025_26'!$F$3:$F$665,MATCH($A84,'Input Statistiche 2025_26'!$A$3:$A$665,0)),"")</f>
        <v>30</v>
      </c>
      <c r="J84" s="23">
        <f t="shared" si="9"/>
        <v>8</v>
      </c>
      <c r="K84" s="23">
        <f>IFERROR(INDEX('Input Statistiche 2025_26'!$I$3:$I$665,MATCH($A84,'Input Statistiche 2025_26'!$A$3:$A$665,0)),"")</f>
        <v>5</v>
      </c>
      <c r="L84" s="23">
        <f>IFERROR(INDEX('Input Statistiche 2025_26'!$O$3:$O$665,MATCH($A84,'Input Statistiche 2025_26'!$A$3:$A$665,0)),"")</f>
        <v>0</v>
      </c>
      <c r="M84" s="25"/>
      <c r="N84" s="24">
        <f>IFERROR(INDEX('Input Giocatori 2026_27'!$E$3:$E$493,MATCH($A84,'Input Giocatori 2026_27'!$A$3:$A$493,0)),"")</f>
        <v>11</v>
      </c>
      <c r="O84" s="24">
        <f>IFERROR(INDEX('Input Giocatori 2026_27'!$G$3:$G$493,MATCH($A84,'Input Giocatori 2026_27'!$A$3:$A$493,0)),"")</f>
        <v>40</v>
      </c>
      <c r="P84" s="23" t="str">
        <f>IFERROR(IF($O84="","",IF((1-(COUNTIFS($B$2:$B$492,$B84,$O$2:$O$492,"&gt;"&amp;$O84)+1-1)/COUNTIF($B$2:$B$492,$B84))&gt;='Parametri Modello'!$B$63,"Top",IF((1-(COUNTIFS($B$2:$B$492,$B84,$O$2:$O$492,"&gt;"&amp;$O84)+1-1)/COUNTIF($B$2:$B$492,$B84))&gt;='Parametri Modello'!$B$64,"Buono",IF((1-(COUNTIFS($B$2:$B$492,$B84,$O$2:$O$492,"&gt;"&amp;$O84)+1-1)/COUNTIF($B$2:$B$492,$B84))&gt;='Parametri Modello'!$B$65,"Nella Media","Scommessa/Riserva")))),"")</f>
        <v>Top</v>
      </c>
      <c r="Q84" s="26">
        <f>IF(AND($D84="",$N84&gt;1),SUMPRODUCT(($D$2:$D84="")*($N$2:$N84&gt;1)),"")</f>
        <v>83</v>
      </c>
      <c r="R84" s="26" t="str">
        <f>IF($D84='Info Lega'!$B$28,COUNTIFS($D$2:$D84,'Info Lega'!$B$28),"")</f>
        <v/>
      </c>
      <c r="S84" s="27">
        <f>IFERROR(INDEX('Input Statistiche 2025_26'!$G$3:$G$665,MATCH($A84,'Input Statistiche 2025_26'!$A$3:$A$665,0)),"")</f>
        <v>6.13</v>
      </c>
      <c r="T84" s="27">
        <f>IFERROR(INDEX('Input Statistiche 2025_26'!$H$3:$H$665,MATCH($A84,'Input Statistiche 2025_26'!$A$3:$A$665,0)),"")</f>
        <v>6.52</v>
      </c>
      <c r="U84" s="23" t="str">
        <f>IF(OR('La Mia Rosa'!$O$12="",$D84&lt;&gt;""),"",IF($F84&lt;='La Mia Rosa'!$O$12*'Parametri Modello'!$B$24,"OK",IF($F84&lt;='La Mia Rosa'!$O$12*'Parametri Modello'!$B$25,"Attenzione","Rischio Alto")))</f>
        <v>OK</v>
      </c>
      <c r="V84" s="23">
        <f t="shared" si="10"/>
        <v>12</v>
      </c>
      <c r="W84" s="18">
        <f>'Info Lega'!$B$4-SUMIFS($M$2:$M$492,$D$2:$D$492,'Info Lega'!$B$28)</f>
        <v>1000</v>
      </c>
      <c r="X84" s="18">
        <f>('Info Lega'!$B$5-COUNTIFS($D$2:$D$492,'Info Lega'!$B$28,$B$2:$B$492,"P"))+('Info Lega'!$B$6-COUNTIFS($D$2:$D$492,'Info Lega'!$B$28,$B$2:$B$492,"D"))+('Info Lega'!$B$7-COUNTIFS($D$2:$D$492,'Info Lega'!$B$28,$B$2:$B$492,"C"))+('Info Lega'!$B$8-COUNTIFS($D$2:$D$492,'Info Lega'!$B$28,$B$2:$B$492,"A"))</f>
        <v>25</v>
      </c>
      <c r="Y84" s="18">
        <f>X84*'Parametri Modello'!$B$30</f>
        <v>25</v>
      </c>
      <c r="Z84" s="18">
        <f t="shared" si="11"/>
        <v>975</v>
      </c>
      <c r="AA84" s="18">
        <f t="shared" si="12"/>
        <v>28</v>
      </c>
      <c r="AB84" s="18"/>
      <c r="AC84" s="18" t="str">
        <f>IF($AB84="","",IF($AB84&gt;$AA84,"PASS",IF($AB84&lt;=$AA84*(1-'Parametri Modello'!$B$68),"BID","ATTENZIONE")))</f>
        <v/>
      </c>
      <c r="AD84" s="28">
        <f t="shared" si="13"/>
        <v>63</v>
      </c>
      <c r="AE84" s="5" t="str">
        <f>IFERROR(INDEX('Stato Asta'!$G$9:$G$12,MATCH($B84,'Stato Asta'!$A$9:$A$12,0)),"")</f>
        <v>🔴 Non aspettare</v>
      </c>
      <c r="AF84" t="str">
        <f>IFERROR(IF($V84&lt;=INDEX('Parametri Modello'!$C$57:$C$60,MATCH($B84,'Parametri Modello'!$A$57:$A$60,0)),"Titolare","Riserva"),"")</f>
        <v>Titolare</v>
      </c>
      <c r="AG84" t="str">
        <f>IFERROR(INDEX('Pressione Competitiva'!$F$3:$F$6,MATCH($B84,'Pressione Competitiva'!$B$3:$B$6,0)),"")</f>
        <v>🔴 Molto Alta</v>
      </c>
      <c r="AH84" t="str">
        <f t="shared" si="14"/>
        <v/>
      </c>
      <c r="AI84" t="str">
        <f>IFERROR(IF($AH84="","",IF($AH84&gt;=$AA84*'Parametri Modello'!$B$68,"🟢 Opportunita'",IF($AH84&lt;=$AA84*'Parametri Modello'!$B$69,"🔴 Sovrapprezzo","🟡 Prezzo Corretto"))),"")</f>
        <v/>
      </c>
      <c r="AJ84" t="str">
        <f t="shared" si="15"/>
        <v/>
      </c>
      <c r="AK84">
        <f t="shared" si="16"/>
        <v>12</v>
      </c>
      <c r="AL84" t="str">
        <f t="shared" si="17"/>
        <v>D|Top|12</v>
      </c>
    </row>
    <row r="85" spans="1:38" ht="14.25" customHeight="1" x14ac:dyDescent="0.25">
      <c r="A85" s="18">
        <v>5544</v>
      </c>
      <c r="B85" s="18" t="s">
        <v>18</v>
      </c>
      <c r="C85" s="18" t="s">
        <v>224</v>
      </c>
      <c r="E85" s="23" t="str">
        <f>IF(COUNTIF('Info Strategia'!$D$2:$D$51,$C85)&gt;0,"SI","NO")</f>
        <v>NO</v>
      </c>
      <c r="F85" s="24">
        <f>IFERROR(ROUND(($G85+($H85-$G85)*'Info Strategia'!$B$6)*(1+IF($E85="SI",'Parametri Modello'!$B$7*'Info Strategia'!$B$6,0)),0),"")</f>
        <v>13</v>
      </c>
      <c r="G85" s="24">
        <f>IFERROR(ROUND(MAX(1,(IF($V85&lt;=INDEX('Parametri Modello'!$C$57:$C$60,MATCH($B85,'Parametri Modello'!$A$57:$A$60,0)),IF(INDEX('Parametri Modello'!$E$57:$E$60,MATCH($B85,'Parametri Modello'!$A$57:$A$60,0))=0,0,($O85/INDEX('Parametri Modello'!$E$57:$E$60,MATCH($B85,'Parametri Modello'!$A$57:$A$60,0)))*(INDEX('Parametri Modello'!$D$57:$D$60,MATCH($B85,'Parametri Modello'!$A$57:$A$60,0))*(INDEX('Parametri Modello'!$B$50:$B$53,MATCH($B85,'Parametri Modello'!$A$50:$A$53,0))*'Parametri Modello'!$B$44))),IF(INDEX('Parametri Modello'!$F$57:$F$60,MATCH($B85,'Parametri Modello'!$A$57:$A$60,0))=0,0,($O85/INDEX('Parametri Modello'!$F$57:$F$60,MATCH($B85,'Parametri Modello'!$A$57:$A$60,0)))*((1-INDEX('Parametri Modello'!$D$57:$D$60,MATCH($B85,'Parametri Modello'!$A$57:$A$60,0)))*(INDEX('Parametri Modello'!$B$50:$B$53,MATCH($B85,'Parametri Modello'!$A$50:$A$53,0))*'Parametri Modello'!$B$44))))*(1+IF(IF($B85="D",'Info Lega'!$B$25,IF($B85="C",'Info Lega'!$B$26,"No"))="Si",'Parametri Modello'!$B$5,0))*(1+MAX(-0.25,MIN(0.25,IF(OR($T85="",$I85="",$I85=0,INDEX('Parametri Modello'!$B$19:$B$22,MATCH($B85,'Parametri Modello'!$A$19:$A$22,0))="",INDEX('Parametri Modello'!$B$19:$B$22,MATCH($B85,'Parametri Modello'!$A$19:$A$22,0))=0),0,(($T85-INDEX('Parametri Modello'!$B$19:$B$22,MATCH($B85,'Parametri Modello'!$A$19:$A$22,0)))/INDEX('Parametri Modello'!$B$19:$B$22,MATCH($B85,'Parametri Modello'!$A$19:$A$22,0)))*'Parametri Modello'!$B$9))))*(1+IF('Parametri Modello'!$B$27="Si",MAX(-'Parametri Modello'!$B$28,MIN('Parametri Modello'!$B$28*1.5,IF(OR(INDEX('Parametri Modello'!$F$32:$F$35,MATCH($B85,'Parametri Modello'!$A$32:$A$35,0))="",INDEX('Parametri Modello'!$F$32:$F$35,MATCH($B85,'Parametri Modello'!$A$32:$A$35,0))=0),0,(1/INDEX('Parametri Modello'!$F$32:$F$35,MATCH($B85,'Parametri Modello'!$A$32:$A$35,0))-1)*'Parametri Modello'!$B$28))),0)))*(1-INDEX('Parametri Modello'!$B$12:$B$15,MATCH($B85,'Parametri Modello'!$A$12:$A$15,0)))),0),"")</f>
        <v>8</v>
      </c>
      <c r="H85" s="24">
        <f>IFERROR(ROUND((IF($V85&lt;=INDEX('Parametri Modello'!$C$57:$C$60,MATCH($B85,'Parametri Modello'!$A$57:$A$60,0)),IF(INDEX('Parametri Modello'!$E$57:$E$60,MATCH($B85,'Parametri Modello'!$A$57:$A$60,0))=0,0,($O85/INDEX('Parametri Modello'!$E$57:$E$60,MATCH($B85,'Parametri Modello'!$A$57:$A$60,0)))*(INDEX('Parametri Modello'!$D$57:$D$60,MATCH($B85,'Parametri Modello'!$A$57:$A$60,0))*(INDEX('Parametri Modello'!$B$50:$B$53,MATCH($B85,'Parametri Modello'!$A$50:$A$53,0))*'Parametri Modello'!$B$44))),IF(INDEX('Parametri Modello'!$F$57:$F$60,MATCH($B85,'Parametri Modello'!$A$57:$A$60,0))=0,0,($O85/INDEX('Parametri Modello'!$F$57:$F$60,MATCH($B85,'Parametri Modello'!$A$57:$A$60,0)))*((1-INDEX('Parametri Modello'!$D$57:$D$60,MATCH($B85,'Parametri Modello'!$A$57:$A$60,0)))*(INDEX('Parametri Modello'!$B$50:$B$53,MATCH($B85,'Parametri Modello'!$A$50:$A$53,0))*'Parametri Modello'!$B$44))))*(1+IF(IF($B85="D",'Info Lega'!$B$25,IF($B85="C",'Info Lega'!$B$26,"No"))="Si",'Parametri Modello'!$B$5,0))*(1+MAX(-0.25,MIN(0.25,IF(OR($T85="",$I85="",$I85=0,INDEX('Parametri Modello'!$B$19:$B$22,MATCH($B85,'Parametri Modello'!$A$19:$A$22,0))="",INDEX('Parametri Modello'!$B$19:$B$22,MATCH($B85,'Parametri Modello'!$A$19:$A$22,0))=0),0,(($T85-INDEX('Parametri Modello'!$B$19:$B$22,MATCH($B85,'Parametri Modello'!$A$19:$A$22,0)))/INDEX('Parametri Modello'!$B$19:$B$22,MATCH($B85,'Parametri Modello'!$A$19:$A$22,0)))*'Parametri Modello'!$B$9))))*(1+IF('Parametri Modello'!$B$27="Si",MAX(-'Parametri Modello'!$B$28,MIN('Parametri Modello'!$B$28*1.5,IF(OR(INDEX('Parametri Modello'!$F$32:$F$35,MATCH($B85,'Parametri Modello'!$A$32:$A$35,0))="",INDEX('Parametri Modello'!$F$32:$F$35,MATCH($B85,'Parametri Modello'!$A$32:$A$35,0))=0),0,(1/INDEX('Parametri Modello'!$F$32:$F$35,MATCH($B85,'Parametri Modello'!$A$32:$A$35,0))-1)*'Parametri Modello'!$B$28))),0)))*(1+INDEX('Parametri Modello'!$B$12:$B$15,MATCH($B85,'Parametri Modello'!$A$12:$A$15,0))),0),"")</f>
        <v>15</v>
      </c>
      <c r="I85" s="23">
        <f>IFERROR(INDEX('Input Statistiche 2025_26'!$F$3:$F$665,MATCH($A85,'Input Statistiche 2025_26'!$A$3:$A$665,0)),"")</f>
        <v>30</v>
      </c>
      <c r="J85" s="23">
        <f t="shared" si="9"/>
        <v>8</v>
      </c>
      <c r="K85" s="23">
        <f>IFERROR(INDEX('Input Statistiche 2025_26'!$I$3:$I$665,MATCH($A85,'Input Statistiche 2025_26'!$A$3:$A$665,0)),"")</f>
        <v>6</v>
      </c>
      <c r="L85" s="23">
        <f>IFERROR(INDEX('Input Statistiche 2025_26'!$O$3:$O$665,MATCH($A85,'Input Statistiche 2025_26'!$A$3:$A$665,0)),"")</f>
        <v>2</v>
      </c>
      <c r="M85" s="25"/>
      <c r="N85" s="24">
        <f>IFERROR(INDEX('Input Giocatori 2026_27'!$E$3:$E$493,MATCH($A85,'Input Giocatori 2026_27'!$A$3:$A$493,0)),"")</f>
        <v>9</v>
      </c>
      <c r="O85" s="24">
        <f>IFERROR(INDEX('Input Giocatori 2026_27'!$G$3:$G$493,MATCH($A85,'Input Giocatori 2026_27'!$A$3:$A$493,0)),"")</f>
        <v>40</v>
      </c>
      <c r="P85" s="23" t="str">
        <f>IFERROR(IF($O85="","",IF((1-(COUNTIFS($B$2:$B$492,$B85,$O$2:$O$492,"&gt;"&amp;$O85)+1-1)/COUNTIF($B$2:$B$492,$B85))&gt;='Parametri Modello'!$B$63,"Top",IF((1-(COUNTIFS($B$2:$B$492,$B85,$O$2:$O$492,"&gt;"&amp;$O85)+1-1)/COUNTIF($B$2:$B$492,$B85))&gt;='Parametri Modello'!$B$64,"Buono",IF((1-(COUNTIFS($B$2:$B$492,$B85,$O$2:$O$492,"&gt;"&amp;$O85)+1-1)/COUNTIF($B$2:$B$492,$B85))&gt;='Parametri Modello'!$B$65,"Nella Media","Scommessa/Riserva")))),"")</f>
        <v>Nella Media</v>
      </c>
      <c r="Q85" s="26">
        <f>IF(AND($D85="",$N85&gt;1),SUMPRODUCT(($D$2:$D85="")*($N$2:$N85&gt;1)),"")</f>
        <v>84</v>
      </c>
      <c r="R85" s="26" t="str">
        <f>IF($D85='Info Lega'!$B$28,COUNTIFS($D$2:$D85,'Info Lega'!$B$28),"")</f>
        <v/>
      </c>
      <c r="S85" s="27">
        <f>IFERROR(INDEX('Input Statistiche 2025_26'!$G$3:$G$665,MATCH($A85,'Input Statistiche 2025_26'!$A$3:$A$665,0)),"")</f>
        <v>5.77</v>
      </c>
      <c r="T85" s="27">
        <f>IFERROR(INDEX('Input Statistiche 2025_26'!$H$3:$H$665,MATCH($A85,'Input Statistiche 2025_26'!$A$3:$A$665,0)),"")</f>
        <v>6.33</v>
      </c>
      <c r="U85" s="23" t="str">
        <f>IF(OR('La Mia Rosa'!$O$12="",$D85&lt;&gt;""),"",IF($F85&lt;='La Mia Rosa'!$O$12*'Parametri Modello'!$B$24,"OK",IF($F85&lt;='La Mia Rosa'!$O$12*'Parametri Modello'!$B$25,"Attenzione","Rischio Alto")))</f>
        <v>OK</v>
      </c>
      <c r="V85" s="23">
        <f t="shared" si="10"/>
        <v>33</v>
      </c>
      <c r="W85" s="18">
        <f>'Info Lega'!$B$4-SUMIFS($M$2:$M$492,$D$2:$D$492,'Info Lega'!$B$28)</f>
        <v>1000</v>
      </c>
      <c r="X85" s="18">
        <f>('Info Lega'!$B$5-COUNTIFS($D$2:$D$492,'Info Lega'!$B$28,$B$2:$B$492,"P"))+('Info Lega'!$B$6-COUNTIFS($D$2:$D$492,'Info Lega'!$B$28,$B$2:$B$492,"D"))+('Info Lega'!$B$7-COUNTIFS($D$2:$D$492,'Info Lega'!$B$28,$B$2:$B$492,"C"))+('Info Lega'!$B$8-COUNTIFS($D$2:$D$492,'Info Lega'!$B$28,$B$2:$B$492,"A"))</f>
        <v>25</v>
      </c>
      <c r="Y85" s="18">
        <f>X85*'Parametri Modello'!$B$30</f>
        <v>25</v>
      </c>
      <c r="Z85" s="18">
        <f t="shared" si="11"/>
        <v>975</v>
      </c>
      <c r="AA85" s="18">
        <f t="shared" si="12"/>
        <v>13</v>
      </c>
      <c r="AB85" s="18"/>
      <c r="AC85" s="18" t="str">
        <f>IF($AB85="","",IF($AB85&gt;$AA85,"PASS",IF($AB85&lt;=$AA85*(1-'Parametri Modello'!$B$68),"BID","ATTENZIONE")))</f>
        <v/>
      </c>
      <c r="AD85" s="28">
        <f t="shared" si="13"/>
        <v>63</v>
      </c>
      <c r="AE85" s="5" t="str">
        <f>IFERROR(INDEX('Stato Asta'!$G$9:$G$12,MATCH($B85,'Stato Asta'!$A$9:$A$12,0)),"")</f>
        <v>🔴 Non aspettare</v>
      </c>
      <c r="AF85" t="str">
        <f>IFERROR(IF($V85&lt;=INDEX('Parametri Modello'!$C$57:$C$60,MATCH($B85,'Parametri Modello'!$A$57:$A$60,0)),"Titolare","Riserva"),"")</f>
        <v>Riserva</v>
      </c>
      <c r="AG85" t="str">
        <f>IFERROR(INDEX('Pressione Competitiva'!$F$3:$F$6,MATCH($B85,'Pressione Competitiva'!$B$3:$B$6,0)),"")</f>
        <v>🔴 Molto Alta</v>
      </c>
      <c r="AH85" t="str">
        <f t="shared" si="14"/>
        <v/>
      </c>
      <c r="AI85" t="str">
        <f>IFERROR(IF($AH85="","",IF($AH85&gt;=$AA85*'Parametri Modello'!$B$68,"🟢 Opportunita'",IF($AH85&lt;=$AA85*'Parametri Modello'!$B$69,"🔴 Sovrapprezzo","🟡 Prezzo Corretto"))),"")</f>
        <v/>
      </c>
      <c r="AJ85" t="str">
        <f t="shared" si="15"/>
        <v/>
      </c>
      <c r="AK85">
        <f t="shared" si="16"/>
        <v>7</v>
      </c>
      <c r="AL85" t="str">
        <f t="shared" si="17"/>
        <v>A|Nella Media|7</v>
      </c>
    </row>
    <row r="86" spans="1:38" ht="14.25" customHeight="1" x14ac:dyDescent="0.25">
      <c r="A86" s="18">
        <v>7347</v>
      </c>
      <c r="B86" s="18" t="s">
        <v>18</v>
      </c>
      <c r="C86" s="18" t="s">
        <v>225</v>
      </c>
      <c r="E86" s="23" t="str">
        <f>IF(COUNTIF('Info Strategia'!$D$2:$D$51,$C86)&gt;0,"SI","NO")</f>
        <v>NO</v>
      </c>
      <c r="F86" s="24">
        <f>IFERROR(ROUND(($G86+($H86-$G86)*'Info Strategia'!$B$6)*(1+IF($E86="SI",'Parametri Modello'!$B$7*'Info Strategia'!$B$6,0)),0),"")</f>
        <v>13</v>
      </c>
      <c r="G86" s="24">
        <f>IFERROR(ROUND(MAX(1,(IF($V86&lt;=INDEX('Parametri Modello'!$C$57:$C$60,MATCH($B86,'Parametri Modello'!$A$57:$A$60,0)),IF(INDEX('Parametri Modello'!$E$57:$E$60,MATCH($B86,'Parametri Modello'!$A$57:$A$60,0))=0,0,($O86/INDEX('Parametri Modello'!$E$57:$E$60,MATCH($B86,'Parametri Modello'!$A$57:$A$60,0)))*(INDEX('Parametri Modello'!$D$57:$D$60,MATCH($B86,'Parametri Modello'!$A$57:$A$60,0))*(INDEX('Parametri Modello'!$B$50:$B$53,MATCH($B86,'Parametri Modello'!$A$50:$A$53,0))*'Parametri Modello'!$B$44))),IF(INDEX('Parametri Modello'!$F$57:$F$60,MATCH($B86,'Parametri Modello'!$A$57:$A$60,0))=0,0,($O86/INDEX('Parametri Modello'!$F$57:$F$60,MATCH($B86,'Parametri Modello'!$A$57:$A$60,0)))*((1-INDEX('Parametri Modello'!$D$57:$D$60,MATCH($B86,'Parametri Modello'!$A$57:$A$60,0)))*(INDEX('Parametri Modello'!$B$50:$B$53,MATCH($B86,'Parametri Modello'!$A$50:$A$53,0))*'Parametri Modello'!$B$44))))*(1+IF(IF($B86="D",'Info Lega'!$B$25,IF($B86="C",'Info Lega'!$B$26,"No"))="Si",'Parametri Modello'!$B$5,0))*(1+MAX(-0.25,MIN(0.25,IF(OR($T86="",$I86="",$I86=0,INDEX('Parametri Modello'!$B$19:$B$22,MATCH($B86,'Parametri Modello'!$A$19:$A$22,0))="",INDEX('Parametri Modello'!$B$19:$B$22,MATCH($B86,'Parametri Modello'!$A$19:$A$22,0))=0),0,(($T86-INDEX('Parametri Modello'!$B$19:$B$22,MATCH($B86,'Parametri Modello'!$A$19:$A$22,0)))/INDEX('Parametri Modello'!$B$19:$B$22,MATCH($B86,'Parametri Modello'!$A$19:$A$22,0)))*'Parametri Modello'!$B$9))))*(1+IF('Parametri Modello'!$B$27="Si",MAX(-'Parametri Modello'!$B$28,MIN('Parametri Modello'!$B$28*1.5,IF(OR(INDEX('Parametri Modello'!$F$32:$F$35,MATCH($B86,'Parametri Modello'!$A$32:$A$35,0))="",INDEX('Parametri Modello'!$F$32:$F$35,MATCH($B86,'Parametri Modello'!$A$32:$A$35,0))=0),0,(1/INDEX('Parametri Modello'!$F$32:$F$35,MATCH($B86,'Parametri Modello'!$A$32:$A$35,0))-1)*'Parametri Modello'!$B$28))),0)))*(1-INDEX('Parametri Modello'!$B$12:$B$15,MATCH($B86,'Parametri Modello'!$A$12:$A$15,0)))),0),"")</f>
        <v>8</v>
      </c>
      <c r="H86" s="24">
        <f>IFERROR(ROUND((IF($V86&lt;=INDEX('Parametri Modello'!$C$57:$C$60,MATCH($B86,'Parametri Modello'!$A$57:$A$60,0)),IF(INDEX('Parametri Modello'!$E$57:$E$60,MATCH($B86,'Parametri Modello'!$A$57:$A$60,0))=0,0,($O86/INDEX('Parametri Modello'!$E$57:$E$60,MATCH($B86,'Parametri Modello'!$A$57:$A$60,0)))*(INDEX('Parametri Modello'!$D$57:$D$60,MATCH($B86,'Parametri Modello'!$A$57:$A$60,0))*(INDEX('Parametri Modello'!$B$50:$B$53,MATCH($B86,'Parametri Modello'!$A$50:$A$53,0))*'Parametri Modello'!$B$44))),IF(INDEX('Parametri Modello'!$F$57:$F$60,MATCH($B86,'Parametri Modello'!$A$57:$A$60,0))=0,0,($O86/INDEX('Parametri Modello'!$F$57:$F$60,MATCH($B86,'Parametri Modello'!$A$57:$A$60,0)))*((1-INDEX('Parametri Modello'!$D$57:$D$60,MATCH($B86,'Parametri Modello'!$A$57:$A$60,0)))*(INDEX('Parametri Modello'!$B$50:$B$53,MATCH($B86,'Parametri Modello'!$A$50:$A$53,0))*'Parametri Modello'!$B$44))))*(1+IF(IF($B86="D",'Info Lega'!$B$25,IF($B86="C",'Info Lega'!$B$26,"No"))="Si",'Parametri Modello'!$B$5,0))*(1+MAX(-0.25,MIN(0.25,IF(OR($T86="",$I86="",$I86=0,INDEX('Parametri Modello'!$B$19:$B$22,MATCH($B86,'Parametri Modello'!$A$19:$A$22,0))="",INDEX('Parametri Modello'!$B$19:$B$22,MATCH($B86,'Parametri Modello'!$A$19:$A$22,0))=0),0,(($T86-INDEX('Parametri Modello'!$B$19:$B$22,MATCH($B86,'Parametri Modello'!$A$19:$A$22,0)))/INDEX('Parametri Modello'!$B$19:$B$22,MATCH($B86,'Parametri Modello'!$A$19:$A$22,0)))*'Parametri Modello'!$B$9))))*(1+IF('Parametri Modello'!$B$27="Si",MAX(-'Parametri Modello'!$B$28,MIN('Parametri Modello'!$B$28*1.5,IF(OR(INDEX('Parametri Modello'!$F$32:$F$35,MATCH($B86,'Parametri Modello'!$A$32:$A$35,0))="",INDEX('Parametri Modello'!$F$32:$F$35,MATCH($B86,'Parametri Modello'!$A$32:$A$35,0))=0),0,(1/INDEX('Parametri Modello'!$F$32:$F$35,MATCH($B86,'Parametri Modello'!$A$32:$A$35,0))-1)*'Parametri Modello'!$B$28))),0)))*(1+INDEX('Parametri Modello'!$B$12:$B$15,MATCH($B86,'Parametri Modello'!$A$12:$A$15,0))),0),"")</f>
        <v>15</v>
      </c>
      <c r="I86" s="23">
        <f>IFERROR(INDEX('Input Statistiche 2025_26'!$F$3:$F$665,MATCH($A86,'Input Statistiche 2025_26'!$A$3:$A$665,0)),"")</f>
        <v>14</v>
      </c>
      <c r="J86" s="23">
        <f t="shared" si="9"/>
        <v>24</v>
      </c>
      <c r="K86" s="23">
        <f>IFERROR(INDEX('Input Statistiche 2025_26'!$I$3:$I$665,MATCH($A86,'Input Statistiche 2025_26'!$A$3:$A$665,0)),"")</f>
        <v>4</v>
      </c>
      <c r="L86" s="23">
        <f>IFERROR(INDEX('Input Statistiche 2025_26'!$O$3:$O$665,MATCH($A86,'Input Statistiche 2025_26'!$A$3:$A$665,0)),"")</f>
        <v>0</v>
      </c>
      <c r="M86" s="25"/>
      <c r="N86" s="24">
        <f>IFERROR(INDEX('Input Giocatori 2026_27'!$E$3:$E$493,MATCH($A86,'Input Giocatori 2026_27'!$A$3:$A$493,0)),"")</f>
        <v>10</v>
      </c>
      <c r="O86" s="24">
        <f>IFERROR(INDEX('Input Giocatori 2026_27'!$G$3:$G$493,MATCH($A86,'Input Giocatori 2026_27'!$A$3:$A$493,0)),"")</f>
        <v>39</v>
      </c>
      <c r="P86" s="23" t="str">
        <f>IFERROR(IF($O86="","",IF((1-(COUNTIFS($B$2:$B$492,$B86,$O$2:$O$492,"&gt;"&amp;$O86)+1-1)/COUNTIF($B$2:$B$492,$B86))&gt;='Parametri Modello'!$B$63,"Top",IF((1-(COUNTIFS($B$2:$B$492,$B86,$O$2:$O$492,"&gt;"&amp;$O86)+1-1)/COUNTIF($B$2:$B$492,$B86))&gt;='Parametri Modello'!$B$64,"Buono",IF((1-(COUNTIFS($B$2:$B$492,$B86,$O$2:$O$492,"&gt;"&amp;$O86)+1-1)/COUNTIF($B$2:$B$492,$B86))&gt;='Parametri Modello'!$B$65,"Nella Media","Scommessa/Riserva")))),"")</f>
        <v>Nella Media</v>
      </c>
      <c r="Q86" s="26">
        <f>IF(AND($D86="",$N86&gt;1),SUMPRODUCT(($D$2:$D86="")*($N$2:$N86&gt;1)),"")</f>
        <v>85</v>
      </c>
      <c r="R86" s="26" t="str">
        <f>IF($D86='Info Lega'!$B$28,COUNTIFS($D$2:$D86,'Info Lega'!$B$28),"")</f>
        <v/>
      </c>
      <c r="S86" s="27">
        <f>IFERROR(INDEX('Input Statistiche 2025_26'!$G$3:$G$665,MATCH($A86,'Input Statistiche 2025_26'!$A$3:$A$665,0)),"")</f>
        <v>5.96</v>
      </c>
      <c r="T86" s="27">
        <f>IFERROR(INDEX('Input Statistiche 2025_26'!$H$3:$H$665,MATCH($A86,'Input Statistiche 2025_26'!$A$3:$A$665,0)),"")</f>
        <v>6.79</v>
      </c>
      <c r="U86" s="23" t="str">
        <f>IF(OR('La Mia Rosa'!$O$12="",$D86&lt;&gt;""),"",IF($F86&lt;='La Mia Rosa'!$O$12*'Parametri Modello'!$B$24,"OK",IF($F86&lt;='La Mia Rosa'!$O$12*'Parametri Modello'!$B$25,"Attenzione","Rischio Alto")))</f>
        <v>OK</v>
      </c>
      <c r="V86" s="23">
        <f t="shared" si="10"/>
        <v>34</v>
      </c>
      <c r="W86" s="18">
        <f>'Info Lega'!$B$4-SUMIFS($M$2:$M$492,$D$2:$D$492,'Info Lega'!$B$28)</f>
        <v>1000</v>
      </c>
      <c r="X86" s="18">
        <f>('Info Lega'!$B$5-COUNTIFS($D$2:$D$492,'Info Lega'!$B$28,$B$2:$B$492,"P"))+('Info Lega'!$B$6-COUNTIFS($D$2:$D$492,'Info Lega'!$B$28,$B$2:$B$492,"D"))+('Info Lega'!$B$7-COUNTIFS($D$2:$D$492,'Info Lega'!$B$28,$B$2:$B$492,"C"))+('Info Lega'!$B$8-COUNTIFS($D$2:$D$492,'Info Lega'!$B$28,$B$2:$B$492,"A"))</f>
        <v>25</v>
      </c>
      <c r="Y86" s="18">
        <f>X86*'Parametri Modello'!$B$30</f>
        <v>25</v>
      </c>
      <c r="Z86" s="18">
        <f t="shared" si="11"/>
        <v>975</v>
      </c>
      <c r="AA86" s="18">
        <f t="shared" si="12"/>
        <v>13</v>
      </c>
      <c r="AB86" s="18"/>
      <c r="AC86" s="18" t="str">
        <f>IF($AB86="","",IF($AB86&gt;$AA86,"PASS",IF($AB86&lt;=$AA86*(1-'Parametri Modello'!$B$68),"BID","ATTENZIONE")))</f>
        <v/>
      </c>
      <c r="AD86" s="28">
        <f t="shared" si="13"/>
        <v>37</v>
      </c>
      <c r="AE86" s="5" t="str">
        <f>IFERROR(INDEX('Stato Asta'!$G$9:$G$12,MATCH($B86,'Stato Asta'!$A$9:$A$12,0)),"")</f>
        <v>🔴 Non aspettare</v>
      </c>
      <c r="AF86" t="str">
        <f>IFERROR(IF($V86&lt;=INDEX('Parametri Modello'!$C$57:$C$60,MATCH($B86,'Parametri Modello'!$A$57:$A$60,0)),"Titolare","Riserva"),"")</f>
        <v>Riserva</v>
      </c>
      <c r="AG86" t="str">
        <f>IFERROR(INDEX('Pressione Competitiva'!$F$3:$F$6,MATCH($B86,'Pressione Competitiva'!$B$3:$B$6,0)),"")</f>
        <v>🔴 Molto Alta</v>
      </c>
      <c r="AH86" t="str">
        <f t="shared" si="14"/>
        <v/>
      </c>
      <c r="AI86" t="str">
        <f>IFERROR(IF($AH86="","",IF($AH86&gt;=$AA86*'Parametri Modello'!$B$68,"🟢 Opportunita'",IF($AH86&lt;=$AA86*'Parametri Modello'!$B$69,"🔴 Sovrapprezzo","🟡 Prezzo Corretto"))),"")</f>
        <v/>
      </c>
      <c r="AJ86" t="str">
        <f t="shared" si="15"/>
        <v/>
      </c>
      <c r="AK86">
        <f t="shared" si="16"/>
        <v>8</v>
      </c>
      <c r="AL86" t="str">
        <f t="shared" si="17"/>
        <v>A|Nella Media|8</v>
      </c>
    </row>
    <row r="87" spans="1:38" ht="14.25" customHeight="1" x14ac:dyDescent="0.25">
      <c r="A87" s="18">
        <v>2514</v>
      </c>
      <c r="B87" s="18" t="s">
        <v>16</v>
      </c>
      <c r="C87" s="18" t="s">
        <v>226</v>
      </c>
      <c r="E87" s="23" t="str">
        <f>IF(COUNTIF('Info Strategia'!$D$2:$D$51,$C87)&gt;0,"SI","NO")</f>
        <v>NO</v>
      </c>
      <c r="F87" s="24">
        <f>IFERROR(ROUND(($G87+($H87-$G87)*'Info Strategia'!$B$6)*(1+IF($E87="SI",'Parametri Modello'!$B$7*'Info Strategia'!$B$6,0)),0),"")</f>
        <v>26</v>
      </c>
      <c r="G87" s="24">
        <f>IFERROR(ROUND(MAX(1,(IF($V87&lt;=INDEX('Parametri Modello'!$C$57:$C$60,MATCH($B87,'Parametri Modello'!$A$57:$A$60,0)),IF(INDEX('Parametri Modello'!$E$57:$E$60,MATCH($B87,'Parametri Modello'!$A$57:$A$60,0))=0,0,($O87/INDEX('Parametri Modello'!$E$57:$E$60,MATCH($B87,'Parametri Modello'!$A$57:$A$60,0)))*(INDEX('Parametri Modello'!$D$57:$D$60,MATCH($B87,'Parametri Modello'!$A$57:$A$60,0))*(INDEX('Parametri Modello'!$B$50:$B$53,MATCH($B87,'Parametri Modello'!$A$50:$A$53,0))*'Parametri Modello'!$B$44))),IF(INDEX('Parametri Modello'!$F$57:$F$60,MATCH($B87,'Parametri Modello'!$A$57:$A$60,0))=0,0,($O87/INDEX('Parametri Modello'!$F$57:$F$60,MATCH($B87,'Parametri Modello'!$A$57:$A$60,0)))*((1-INDEX('Parametri Modello'!$D$57:$D$60,MATCH($B87,'Parametri Modello'!$A$57:$A$60,0)))*(INDEX('Parametri Modello'!$B$50:$B$53,MATCH($B87,'Parametri Modello'!$A$50:$A$53,0))*'Parametri Modello'!$B$44))))*(1+IF(IF($B87="D",'Info Lega'!$B$25,IF($B87="C",'Info Lega'!$B$26,"No"))="Si",'Parametri Modello'!$B$5,0))*(1+MAX(-0.25,MIN(0.25,IF(OR($T87="",$I87="",$I87=0,INDEX('Parametri Modello'!$B$19:$B$22,MATCH($B87,'Parametri Modello'!$A$19:$A$22,0))="",INDEX('Parametri Modello'!$B$19:$B$22,MATCH($B87,'Parametri Modello'!$A$19:$A$22,0))=0),0,(($T87-INDEX('Parametri Modello'!$B$19:$B$22,MATCH($B87,'Parametri Modello'!$A$19:$A$22,0)))/INDEX('Parametri Modello'!$B$19:$B$22,MATCH($B87,'Parametri Modello'!$A$19:$A$22,0)))*'Parametri Modello'!$B$9))))*(1+IF('Parametri Modello'!$B$27="Si",MAX(-'Parametri Modello'!$B$28,MIN('Parametri Modello'!$B$28*1.5,IF(OR(INDEX('Parametri Modello'!$F$32:$F$35,MATCH($B87,'Parametri Modello'!$A$32:$A$35,0))="",INDEX('Parametri Modello'!$F$32:$F$35,MATCH($B87,'Parametri Modello'!$A$32:$A$35,0))=0),0,(1/INDEX('Parametri Modello'!$F$32:$F$35,MATCH($B87,'Parametri Modello'!$A$32:$A$35,0))-1)*'Parametri Modello'!$B$28))),0)))*(1-INDEX('Parametri Modello'!$B$12:$B$15,MATCH($B87,'Parametri Modello'!$A$12:$A$15,0)))),0),"")</f>
        <v>19</v>
      </c>
      <c r="H87" s="24">
        <f>IFERROR(ROUND((IF($V87&lt;=INDEX('Parametri Modello'!$C$57:$C$60,MATCH($B87,'Parametri Modello'!$A$57:$A$60,0)),IF(INDEX('Parametri Modello'!$E$57:$E$60,MATCH($B87,'Parametri Modello'!$A$57:$A$60,0))=0,0,($O87/INDEX('Parametri Modello'!$E$57:$E$60,MATCH($B87,'Parametri Modello'!$A$57:$A$60,0)))*(INDEX('Parametri Modello'!$D$57:$D$60,MATCH($B87,'Parametri Modello'!$A$57:$A$60,0))*(INDEX('Parametri Modello'!$B$50:$B$53,MATCH($B87,'Parametri Modello'!$A$50:$A$53,0))*'Parametri Modello'!$B$44))),IF(INDEX('Parametri Modello'!$F$57:$F$60,MATCH($B87,'Parametri Modello'!$A$57:$A$60,0))=0,0,($O87/INDEX('Parametri Modello'!$F$57:$F$60,MATCH($B87,'Parametri Modello'!$A$57:$A$60,0)))*((1-INDEX('Parametri Modello'!$D$57:$D$60,MATCH($B87,'Parametri Modello'!$A$57:$A$60,0)))*(INDEX('Parametri Modello'!$B$50:$B$53,MATCH($B87,'Parametri Modello'!$A$50:$A$53,0))*'Parametri Modello'!$B$44))))*(1+IF(IF($B87="D",'Info Lega'!$B$25,IF($B87="C",'Info Lega'!$B$26,"No"))="Si",'Parametri Modello'!$B$5,0))*(1+MAX(-0.25,MIN(0.25,IF(OR($T87="",$I87="",$I87=0,INDEX('Parametri Modello'!$B$19:$B$22,MATCH($B87,'Parametri Modello'!$A$19:$A$22,0))="",INDEX('Parametri Modello'!$B$19:$B$22,MATCH($B87,'Parametri Modello'!$A$19:$A$22,0))=0),0,(($T87-INDEX('Parametri Modello'!$B$19:$B$22,MATCH($B87,'Parametri Modello'!$A$19:$A$22,0)))/INDEX('Parametri Modello'!$B$19:$B$22,MATCH($B87,'Parametri Modello'!$A$19:$A$22,0)))*'Parametri Modello'!$B$9))))*(1+IF('Parametri Modello'!$B$27="Si",MAX(-'Parametri Modello'!$B$28,MIN('Parametri Modello'!$B$28*1.5,IF(OR(INDEX('Parametri Modello'!$F$32:$F$35,MATCH($B87,'Parametri Modello'!$A$32:$A$35,0))="",INDEX('Parametri Modello'!$F$32:$F$35,MATCH($B87,'Parametri Modello'!$A$32:$A$35,0))=0),0,(1/INDEX('Parametri Modello'!$F$32:$F$35,MATCH($B87,'Parametri Modello'!$A$32:$A$35,0))-1)*'Parametri Modello'!$B$28))),0)))*(1+INDEX('Parametri Modello'!$B$12:$B$15,MATCH($B87,'Parametri Modello'!$A$12:$A$15,0))),0),"")</f>
        <v>29</v>
      </c>
      <c r="I87" s="23" t="str">
        <f>IFERROR(INDEX('Input Statistiche 2025_26'!$F$3:$F$665,MATCH($A87,'Input Statistiche 2025_26'!$A$3:$A$665,0)),"")</f>
        <v/>
      </c>
      <c r="J87" s="23" t="str">
        <f t="shared" si="9"/>
        <v/>
      </c>
      <c r="K87" s="23" t="str">
        <f>IFERROR(INDEX('Input Statistiche 2025_26'!$I$3:$I$665,MATCH($A87,'Input Statistiche 2025_26'!$A$3:$A$665,0)),"")</f>
        <v/>
      </c>
      <c r="L87" s="23" t="str">
        <f>IFERROR(INDEX('Input Statistiche 2025_26'!$O$3:$O$665,MATCH($A87,'Input Statistiche 2025_26'!$A$3:$A$665,0)),"")</f>
        <v/>
      </c>
      <c r="M87" s="25"/>
      <c r="N87" s="24">
        <f>IFERROR(INDEX('Input Giocatori 2026_27'!$E$3:$E$493,MATCH($A87,'Input Giocatori 2026_27'!$A$3:$A$493,0)),"")</f>
        <v>12</v>
      </c>
      <c r="O87" s="24">
        <f>IFERROR(INDEX('Input Giocatori 2026_27'!$G$3:$G$493,MATCH($A87,'Input Giocatori 2026_27'!$A$3:$A$493,0)),"")</f>
        <v>38</v>
      </c>
      <c r="P87" s="23" t="str">
        <f>IFERROR(IF($O87="","",IF((1-(COUNTIFS($B$2:$B$492,$B87,$O$2:$O$492,"&gt;"&amp;$O87)+1-1)/COUNTIF($B$2:$B$492,$B87))&gt;='Parametri Modello'!$B$63,"Top",IF((1-(COUNTIFS($B$2:$B$492,$B87,$O$2:$O$492,"&gt;"&amp;$O87)+1-1)/COUNTIF($B$2:$B$492,$B87))&gt;='Parametri Modello'!$B$64,"Buono",IF((1-(COUNTIFS($B$2:$B$492,$B87,$O$2:$O$492,"&gt;"&amp;$O87)+1-1)/COUNTIF($B$2:$B$492,$B87))&gt;='Parametri Modello'!$B$65,"Nella Media","Scommessa/Riserva")))),"")</f>
        <v>Top</v>
      </c>
      <c r="Q87" s="26">
        <f>IF(AND($D87="",$N87&gt;1),SUMPRODUCT(($D$2:$D87="")*($N$2:$N87&gt;1)),"")</f>
        <v>86</v>
      </c>
      <c r="R87" s="26" t="str">
        <f>IF($D87='Info Lega'!$B$28,COUNTIFS($D$2:$D87,'Info Lega'!$B$28),"")</f>
        <v/>
      </c>
      <c r="S87" s="27" t="str">
        <f>IFERROR(INDEX('Input Statistiche 2025_26'!$G$3:$G$665,MATCH($A87,'Input Statistiche 2025_26'!$A$3:$A$665,0)),"")</f>
        <v/>
      </c>
      <c r="T87" s="27" t="str">
        <f>IFERROR(INDEX('Input Statistiche 2025_26'!$H$3:$H$665,MATCH($A87,'Input Statistiche 2025_26'!$A$3:$A$665,0)),"")</f>
        <v/>
      </c>
      <c r="U87" s="23" t="str">
        <f>IF(OR('La Mia Rosa'!$O$12="",$D87&lt;&gt;""),"",IF($F87&lt;='La Mia Rosa'!$O$12*'Parametri Modello'!$B$24,"OK",IF($F87&lt;='La Mia Rosa'!$O$12*'Parametri Modello'!$B$25,"Attenzione","Rischio Alto")))</f>
        <v>OK</v>
      </c>
      <c r="V87" s="23">
        <f t="shared" si="10"/>
        <v>14</v>
      </c>
      <c r="W87" s="18">
        <f>'Info Lega'!$B$4-SUMIFS($M$2:$M$492,$D$2:$D$492,'Info Lega'!$B$28)</f>
        <v>1000</v>
      </c>
      <c r="X87" s="18">
        <f>('Info Lega'!$B$5-COUNTIFS($D$2:$D$492,'Info Lega'!$B$28,$B$2:$B$492,"P"))+('Info Lega'!$B$6-COUNTIFS($D$2:$D$492,'Info Lega'!$B$28,$B$2:$B$492,"D"))+('Info Lega'!$B$7-COUNTIFS($D$2:$D$492,'Info Lega'!$B$28,$B$2:$B$492,"C"))+('Info Lega'!$B$8-COUNTIFS($D$2:$D$492,'Info Lega'!$B$28,$B$2:$B$492,"A"))</f>
        <v>25</v>
      </c>
      <c r="Y87" s="18">
        <f>X87*'Parametri Modello'!$B$30</f>
        <v>25</v>
      </c>
      <c r="Z87" s="18">
        <f t="shared" si="11"/>
        <v>975</v>
      </c>
      <c r="AA87" s="18">
        <f t="shared" si="12"/>
        <v>26</v>
      </c>
      <c r="AB87" s="18"/>
      <c r="AC87" s="18" t="str">
        <f>IF($AB87="","",IF($AB87&gt;$AA87,"PASS",IF($AB87&lt;=$AA87*(1-'Parametri Modello'!$B$68),"BID","ATTENZIONE")))</f>
        <v/>
      </c>
      <c r="AD87" s="28" t="str">
        <f t="shared" si="13"/>
        <v/>
      </c>
      <c r="AE87" s="5" t="str">
        <f>IFERROR(INDEX('Stato Asta'!$G$9:$G$12,MATCH($B87,'Stato Asta'!$A$9:$A$12,0)),"")</f>
        <v>🔴 Non aspettare</v>
      </c>
      <c r="AF87" t="str">
        <f>IFERROR(IF($V87&lt;=INDEX('Parametri Modello'!$C$57:$C$60,MATCH($B87,'Parametri Modello'!$A$57:$A$60,0)),"Titolare","Riserva"),"")</f>
        <v>Titolare</v>
      </c>
      <c r="AG87" t="str">
        <f>IFERROR(INDEX('Pressione Competitiva'!$F$3:$F$6,MATCH($B87,'Pressione Competitiva'!$B$3:$B$6,0)),"")</f>
        <v>🔴 Molto Alta</v>
      </c>
      <c r="AH87" t="str">
        <f t="shared" si="14"/>
        <v/>
      </c>
      <c r="AI87" t="str">
        <f>IFERROR(IF($AH87="","",IF($AH87&gt;=$AA87*'Parametri Modello'!$B$68,"🟢 Opportunita'",IF($AH87&lt;=$AA87*'Parametri Modello'!$B$69,"🔴 Sovrapprezzo","🟡 Prezzo Corretto"))),"")</f>
        <v/>
      </c>
      <c r="AJ87" t="str">
        <f t="shared" si="15"/>
        <v/>
      </c>
      <c r="AK87">
        <f t="shared" si="16"/>
        <v>14</v>
      </c>
      <c r="AL87" t="str">
        <f t="shared" si="17"/>
        <v>D|Top|14</v>
      </c>
    </row>
    <row r="88" spans="1:38" ht="14.25" customHeight="1" x14ac:dyDescent="0.25">
      <c r="A88" s="18">
        <v>6151</v>
      </c>
      <c r="B88" s="18" t="s">
        <v>17</v>
      </c>
      <c r="C88" s="18" t="s">
        <v>227</v>
      </c>
      <c r="E88" s="23" t="str">
        <f>IF(COUNTIF('Info Strategia'!$D$2:$D$51,$C88)&gt;0,"SI","NO")</f>
        <v>NO</v>
      </c>
      <c r="F88" s="24">
        <f>IFERROR(ROUND(($G88+($H88-$G88)*'Info Strategia'!$B$6)*(1+IF($E88="SI",'Parametri Modello'!$B$7*'Info Strategia'!$B$6,0)),0),"")</f>
        <v>25</v>
      </c>
      <c r="G88" s="24">
        <f>IFERROR(ROUND(MAX(1,(IF($V88&lt;=INDEX('Parametri Modello'!$C$57:$C$60,MATCH($B88,'Parametri Modello'!$A$57:$A$60,0)),IF(INDEX('Parametri Modello'!$E$57:$E$60,MATCH($B88,'Parametri Modello'!$A$57:$A$60,0))=0,0,($O88/INDEX('Parametri Modello'!$E$57:$E$60,MATCH($B88,'Parametri Modello'!$A$57:$A$60,0)))*(INDEX('Parametri Modello'!$D$57:$D$60,MATCH($B88,'Parametri Modello'!$A$57:$A$60,0))*(INDEX('Parametri Modello'!$B$50:$B$53,MATCH($B88,'Parametri Modello'!$A$50:$A$53,0))*'Parametri Modello'!$B$44))),IF(INDEX('Parametri Modello'!$F$57:$F$60,MATCH($B88,'Parametri Modello'!$A$57:$A$60,0))=0,0,($O88/INDEX('Parametri Modello'!$F$57:$F$60,MATCH($B88,'Parametri Modello'!$A$57:$A$60,0)))*((1-INDEX('Parametri Modello'!$D$57:$D$60,MATCH($B88,'Parametri Modello'!$A$57:$A$60,0)))*(INDEX('Parametri Modello'!$B$50:$B$53,MATCH($B88,'Parametri Modello'!$A$50:$A$53,0))*'Parametri Modello'!$B$44))))*(1+IF(IF($B88="D",'Info Lega'!$B$25,IF($B88="C",'Info Lega'!$B$26,"No"))="Si",'Parametri Modello'!$B$5,0))*(1+MAX(-0.25,MIN(0.25,IF(OR($T88="",$I88="",$I88=0,INDEX('Parametri Modello'!$B$19:$B$22,MATCH($B88,'Parametri Modello'!$A$19:$A$22,0))="",INDEX('Parametri Modello'!$B$19:$B$22,MATCH($B88,'Parametri Modello'!$A$19:$A$22,0))=0),0,(($T88-INDEX('Parametri Modello'!$B$19:$B$22,MATCH($B88,'Parametri Modello'!$A$19:$A$22,0)))/INDEX('Parametri Modello'!$B$19:$B$22,MATCH($B88,'Parametri Modello'!$A$19:$A$22,0)))*'Parametri Modello'!$B$9))))*(1+IF('Parametri Modello'!$B$27="Si",MAX(-'Parametri Modello'!$B$28,MIN('Parametri Modello'!$B$28*1.5,IF(OR(INDEX('Parametri Modello'!$F$32:$F$35,MATCH($B88,'Parametri Modello'!$A$32:$A$35,0))="",INDEX('Parametri Modello'!$F$32:$F$35,MATCH($B88,'Parametri Modello'!$A$32:$A$35,0))=0),0,(1/INDEX('Parametri Modello'!$F$32:$F$35,MATCH($B88,'Parametri Modello'!$A$32:$A$35,0))-1)*'Parametri Modello'!$B$28))),0)))*(1-INDEX('Parametri Modello'!$B$12:$B$15,MATCH($B88,'Parametri Modello'!$A$12:$A$15,0)))),0),"")</f>
        <v>17</v>
      </c>
      <c r="H88" s="24">
        <f>IFERROR(ROUND((IF($V88&lt;=INDEX('Parametri Modello'!$C$57:$C$60,MATCH($B88,'Parametri Modello'!$A$57:$A$60,0)),IF(INDEX('Parametri Modello'!$E$57:$E$60,MATCH($B88,'Parametri Modello'!$A$57:$A$60,0))=0,0,($O88/INDEX('Parametri Modello'!$E$57:$E$60,MATCH($B88,'Parametri Modello'!$A$57:$A$60,0)))*(INDEX('Parametri Modello'!$D$57:$D$60,MATCH($B88,'Parametri Modello'!$A$57:$A$60,0))*(INDEX('Parametri Modello'!$B$50:$B$53,MATCH($B88,'Parametri Modello'!$A$50:$A$53,0))*'Parametri Modello'!$B$44))),IF(INDEX('Parametri Modello'!$F$57:$F$60,MATCH($B88,'Parametri Modello'!$A$57:$A$60,0))=0,0,($O88/INDEX('Parametri Modello'!$F$57:$F$60,MATCH($B88,'Parametri Modello'!$A$57:$A$60,0)))*((1-INDEX('Parametri Modello'!$D$57:$D$60,MATCH($B88,'Parametri Modello'!$A$57:$A$60,0)))*(INDEX('Parametri Modello'!$B$50:$B$53,MATCH($B88,'Parametri Modello'!$A$50:$A$53,0))*'Parametri Modello'!$B$44))))*(1+IF(IF($B88="D",'Info Lega'!$B$25,IF($B88="C",'Info Lega'!$B$26,"No"))="Si",'Parametri Modello'!$B$5,0))*(1+MAX(-0.25,MIN(0.25,IF(OR($T88="",$I88="",$I88=0,INDEX('Parametri Modello'!$B$19:$B$22,MATCH($B88,'Parametri Modello'!$A$19:$A$22,0))="",INDEX('Parametri Modello'!$B$19:$B$22,MATCH($B88,'Parametri Modello'!$A$19:$A$22,0))=0),0,(($T88-INDEX('Parametri Modello'!$B$19:$B$22,MATCH($B88,'Parametri Modello'!$A$19:$A$22,0)))/INDEX('Parametri Modello'!$B$19:$B$22,MATCH($B88,'Parametri Modello'!$A$19:$A$22,0)))*'Parametri Modello'!$B$9))))*(1+IF('Parametri Modello'!$B$27="Si",MAX(-'Parametri Modello'!$B$28,MIN('Parametri Modello'!$B$28*1.5,IF(OR(INDEX('Parametri Modello'!$F$32:$F$35,MATCH($B88,'Parametri Modello'!$A$32:$A$35,0))="",INDEX('Parametri Modello'!$F$32:$F$35,MATCH($B88,'Parametri Modello'!$A$32:$A$35,0))=0),0,(1/INDEX('Parametri Modello'!$F$32:$F$35,MATCH($B88,'Parametri Modello'!$A$32:$A$35,0))-1)*'Parametri Modello'!$B$28))),0)))*(1+INDEX('Parametri Modello'!$B$12:$B$15,MATCH($B88,'Parametri Modello'!$A$12:$A$15,0))),0),"")</f>
        <v>29</v>
      </c>
      <c r="I88" s="23">
        <f>IFERROR(INDEX('Input Statistiche 2025_26'!$F$3:$F$665,MATCH($A88,'Input Statistiche 2025_26'!$A$3:$A$665,0)),"")</f>
        <v>36</v>
      </c>
      <c r="J88" s="23">
        <f t="shared" si="9"/>
        <v>2</v>
      </c>
      <c r="K88" s="23">
        <f>IFERROR(INDEX('Input Statistiche 2025_26'!$I$3:$I$665,MATCH($A88,'Input Statistiche 2025_26'!$A$3:$A$665,0)),"")</f>
        <v>3</v>
      </c>
      <c r="L88" s="23">
        <f>IFERROR(INDEX('Input Statistiche 2025_26'!$O$3:$O$665,MATCH($A88,'Input Statistiche 2025_26'!$A$3:$A$665,0)),"")</f>
        <v>4</v>
      </c>
      <c r="M88" s="25"/>
      <c r="N88" s="24">
        <f>IFERROR(INDEX('Input Giocatori 2026_27'!$E$3:$E$493,MATCH($A88,'Input Giocatori 2026_27'!$A$3:$A$493,0)),"")</f>
        <v>10</v>
      </c>
      <c r="O88" s="24">
        <f>IFERROR(INDEX('Input Giocatori 2026_27'!$G$3:$G$493,MATCH($A88,'Input Giocatori 2026_27'!$A$3:$A$493,0)),"")</f>
        <v>38</v>
      </c>
      <c r="P88" s="23" t="str">
        <f>IFERROR(IF($O88="","",IF((1-(COUNTIFS($B$2:$B$492,$B88,$O$2:$O$492,"&gt;"&amp;$O88)+1-1)/COUNTIF($B$2:$B$492,$B88))&gt;='Parametri Modello'!$B$63,"Top",IF((1-(COUNTIFS($B$2:$B$492,$B88,$O$2:$O$492,"&gt;"&amp;$O88)+1-1)/COUNTIF($B$2:$B$492,$B88))&gt;='Parametri Modello'!$B$64,"Buono",IF((1-(COUNTIFS($B$2:$B$492,$B88,$O$2:$O$492,"&gt;"&amp;$O88)+1-1)/COUNTIF($B$2:$B$492,$B88))&gt;='Parametri Modello'!$B$65,"Nella Media","Scommessa/Riserva")))),"")</f>
        <v>Buono</v>
      </c>
      <c r="Q88" s="26">
        <f>IF(AND($D88="",$N88&gt;1),SUMPRODUCT(($D$2:$D88="")*($N$2:$N88&gt;1)),"")</f>
        <v>87</v>
      </c>
      <c r="R88" s="26" t="str">
        <f>IF($D88='Info Lega'!$B$28,COUNTIFS($D$2:$D88,'Info Lega'!$B$28),"")</f>
        <v/>
      </c>
      <c r="S88" s="27">
        <f>IFERROR(INDEX('Input Statistiche 2025_26'!$G$3:$G$665,MATCH($A88,'Input Statistiche 2025_26'!$A$3:$A$665,0)),"")</f>
        <v>6.22</v>
      </c>
      <c r="T88" s="27">
        <f>IFERROR(INDEX('Input Statistiche 2025_26'!$H$3:$H$665,MATCH($A88,'Input Statistiche 2025_26'!$A$3:$A$665,0)),"")</f>
        <v>6.47</v>
      </c>
      <c r="U88" s="23" t="str">
        <f>IF(OR('La Mia Rosa'!$O$12="",$D88&lt;&gt;""),"",IF($F88&lt;='La Mia Rosa'!$O$12*'Parametri Modello'!$B$24,"OK",IF($F88&lt;='La Mia Rosa'!$O$12*'Parametri Modello'!$B$25,"Attenzione","Rischio Alto")))</f>
        <v>OK</v>
      </c>
      <c r="V88" s="23">
        <f t="shared" si="10"/>
        <v>31</v>
      </c>
      <c r="W88" s="18">
        <f>'Info Lega'!$B$4-SUMIFS($M$2:$M$492,$D$2:$D$492,'Info Lega'!$B$28)</f>
        <v>1000</v>
      </c>
      <c r="X88" s="18">
        <f>('Info Lega'!$B$5-COUNTIFS($D$2:$D$492,'Info Lega'!$B$28,$B$2:$B$492,"P"))+('Info Lega'!$B$6-COUNTIFS($D$2:$D$492,'Info Lega'!$B$28,$B$2:$B$492,"D"))+('Info Lega'!$B$7-COUNTIFS($D$2:$D$492,'Info Lega'!$B$28,$B$2:$B$492,"C"))+('Info Lega'!$B$8-COUNTIFS($D$2:$D$492,'Info Lega'!$B$28,$B$2:$B$492,"A"))</f>
        <v>25</v>
      </c>
      <c r="Y88" s="18">
        <f>X88*'Parametri Modello'!$B$30</f>
        <v>25</v>
      </c>
      <c r="Z88" s="18">
        <f t="shared" si="11"/>
        <v>975</v>
      </c>
      <c r="AA88" s="18">
        <f t="shared" si="12"/>
        <v>25</v>
      </c>
      <c r="AB88" s="18"/>
      <c r="AC88" s="18" t="str">
        <f>IF($AB88="","",IF($AB88&gt;$AA88,"PASS",IF($AB88&lt;=$AA88*(1-'Parametri Modello'!$B$68),"BID","ATTENZIONE")))</f>
        <v/>
      </c>
      <c r="AD88" s="28">
        <f t="shared" si="13"/>
        <v>70</v>
      </c>
      <c r="AE88" s="5" t="str">
        <f>IFERROR(INDEX('Stato Asta'!$G$9:$G$12,MATCH($B88,'Stato Asta'!$A$9:$A$12,0)),"")</f>
        <v>🔴 Non aspettare</v>
      </c>
      <c r="AF88" t="str">
        <f>IFERROR(IF($V88&lt;=INDEX('Parametri Modello'!$C$57:$C$60,MATCH($B88,'Parametri Modello'!$A$57:$A$60,0)),"Titolare","Riserva"),"")</f>
        <v>Titolare</v>
      </c>
      <c r="AG88" t="str">
        <f>IFERROR(INDEX('Pressione Competitiva'!$F$3:$F$6,MATCH($B88,'Pressione Competitiva'!$B$3:$B$6,0)),"")</f>
        <v>🔴 Molto Alta</v>
      </c>
      <c r="AH88" t="str">
        <f t="shared" si="14"/>
        <v/>
      </c>
      <c r="AI88" t="str">
        <f>IFERROR(IF($AH88="","",IF($AH88&gt;=$AA88*'Parametri Modello'!$B$68,"🟢 Opportunita'",IF($AH88&lt;=$AA88*'Parametri Modello'!$B$69,"🔴 Sovrapprezzo","🟡 Prezzo Corretto"))),"")</f>
        <v/>
      </c>
      <c r="AJ88" t="str">
        <f t="shared" si="15"/>
        <v/>
      </c>
      <c r="AK88">
        <f t="shared" si="16"/>
        <v>13</v>
      </c>
      <c r="AL88" t="str">
        <f t="shared" si="17"/>
        <v>C|Buono|13</v>
      </c>
    </row>
    <row r="89" spans="1:38" ht="14.25" customHeight="1" x14ac:dyDescent="0.25">
      <c r="A89" s="18">
        <v>133</v>
      </c>
      <c r="B89" s="18" t="s">
        <v>15</v>
      </c>
      <c r="C89" s="18" t="s">
        <v>228</v>
      </c>
      <c r="E89" s="23" t="str">
        <f>IF(COUNTIF('Info Strategia'!$D$2:$D$51,$C89)&gt;0,"SI","NO")</f>
        <v>NO</v>
      </c>
      <c r="F89" s="24">
        <f>IFERROR(ROUND(($G89+($H89-$G89)*'Info Strategia'!$B$6)*(1+IF($E89="SI",'Parametri Modello'!$B$7*'Info Strategia'!$B$6,0)),0),"")</f>
        <v>13</v>
      </c>
      <c r="G89" s="24">
        <f>IFERROR(ROUND(MAX(1,(IF($V89&lt;=INDEX('Parametri Modello'!$C$57:$C$60,MATCH($B89,'Parametri Modello'!$A$57:$A$60,0)),IF(INDEX('Parametri Modello'!$E$57:$E$60,MATCH($B89,'Parametri Modello'!$A$57:$A$60,0))=0,0,($O89/INDEX('Parametri Modello'!$E$57:$E$60,MATCH($B89,'Parametri Modello'!$A$57:$A$60,0)))*(INDEX('Parametri Modello'!$D$57:$D$60,MATCH($B89,'Parametri Modello'!$A$57:$A$60,0))*(INDEX('Parametri Modello'!$B$50:$B$53,MATCH($B89,'Parametri Modello'!$A$50:$A$53,0))*'Parametri Modello'!$B$44))),IF(INDEX('Parametri Modello'!$F$57:$F$60,MATCH($B89,'Parametri Modello'!$A$57:$A$60,0))=0,0,($O89/INDEX('Parametri Modello'!$F$57:$F$60,MATCH($B89,'Parametri Modello'!$A$57:$A$60,0)))*((1-INDEX('Parametri Modello'!$D$57:$D$60,MATCH($B89,'Parametri Modello'!$A$57:$A$60,0)))*(INDEX('Parametri Modello'!$B$50:$B$53,MATCH($B89,'Parametri Modello'!$A$50:$A$53,0))*'Parametri Modello'!$B$44))))*(1+IF(IF($B89="D",'Info Lega'!$B$25,IF($B89="C",'Info Lega'!$B$26,"No"))="Si",'Parametri Modello'!$B$5,0))*(1+MAX(-0.25,MIN(0.25,IF(OR($T89="",$I89="",$I89=0,INDEX('Parametri Modello'!$B$19:$B$22,MATCH($B89,'Parametri Modello'!$A$19:$A$22,0))="",INDEX('Parametri Modello'!$B$19:$B$22,MATCH($B89,'Parametri Modello'!$A$19:$A$22,0))=0),0,(($T89-INDEX('Parametri Modello'!$B$19:$B$22,MATCH($B89,'Parametri Modello'!$A$19:$A$22,0)))/INDEX('Parametri Modello'!$B$19:$B$22,MATCH($B89,'Parametri Modello'!$A$19:$A$22,0)))*'Parametri Modello'!$B$9))))*(1+IF('Parametri Modello'!$B$27="Si",MAX(-'Parametri Modello'!$B$28,MIN('Parametri Modello'!$B$28*1.5,IF(OR(INDEX('Parametri Modello'!$F$32:$F$35,MATCH($B89,'Parametri Modello'!$A$32:$A$35,0))="",INDEX('Parametri Modello'!$F$32:$F$35,MATCH($B89,'Parametri Modello'!$A$32:$A$35,0))=0),0,(1/INDEX('Parametri Modello'!$F$32:$F$35,MATCH($B89,'Parametri Modello'!$A$32:$A$35,0))-1)*'Parametri Modello'!$B$28))),0)))*(1-INDEX('Parametri Modello'!$B$12:$B$15,MATCH($B89,'Parametri Modello'!$A$12:$A$15,0)))),0),"")</f>
        <v>10</v>
      </c>
      <c r="H89" s="24">
        <f>IFERROR(ROUND((IF($V89&lt;=INDEX('Parametri Modello'!$C$57:$C$60,MATCH($B89,'Parametri Modello'!$A$57:$A$60,0)),IF(INDEX('Parametri Modello'!$E$57:$E$60,MATCH($B89,'Parametri Modello'!$A$57:$A$60,0))=0,0,($O89/INDEX('Parametri Modello'!$E$57:$E$60,MATCH($B89,'Parametri Modello'!$A$57:$A$60,0)))*(INDEX('Parametri Modello'!$D$57:$D$60,MATCH($B89,'Parametri Modello'!$A$57:$A$60,0))*(INDEX('Parametri Modello'!$B$50:$B$53,MATCH($B89,'Parametri Modello'!$A$50:$A$53,0))*'Parametri Modello'!$B$44))),IF(INDEX('Parametri Modello'!$F$57:$F$60,MATCH($B89,'Parametri Modello'!$A$57:$A$60,0))=0,0,($O89/INDEX('Parametri Modello'!$F$57:$F$60,MATCH($B89,'Parametri Modello'!$A$57:$A$60,0)))*((1-INDEX('Parametri Modello'!$D$57:$D$60,MATCH($B89,'Parametri Modello'!$A$57:$A$60,0)))*(INDEX('Parametri Modello'!$B$50:$B$53,MATCH($B89,'Parametri Modello'!$A$50:$A$53,0))*'Parametri Modello'!$B$44))))*(1+IF(IF($B89="D",'Info Lega'!$B$25,IF($B89="C",'Info Lega'!$B$26,"No"))="Si",'Parametri Modello'!$B$5,0))*(1+MAX(-0.25,MIN(0.25,IF(OR($T89="",$I89="",$I89=0,INDEX('Parametri Modello'!$B$19:$B$22,MATCH($B89,'Parametri Modello'!$A$19:$A$22,0))="",INDEX('Parametri Modello'!$B$19:$B$22,MATCH($B89,'Parametri Modello'!$A$19:$A$22,0))=0),0,(($T89-INDEX('Parametri Modello'!$B$19:$B$22,MATCH($B89,'Parametri Modello'!$A$19:$A$22,0)))/INDEX('Parametri Modello'!$B$19:$B$22,MATCH($B89,'Parametri Modello'!$A$19:$A$22,0)))*'Parametri Modello'!$B$9))))*(1+IF('Parametri Modello'!$B$27="Si",MAX(-'Parametri Modello'!$B$28,MIN('Parametri Modello'!$B$28*1.5,IF(OR(INDEX('Parametri Modello'!$F$32:$F$35,MATCH($B89,'Parametri Modello'!$A$32:$A$35,0))="",INDEX('Parametri Modello'!$F$32:$F$35,MATCH($B89,'Parametri Modello'!$A$32:$A$35,0))=0),0,(1/INDEX('Parametri Modello'!$F$32:$F$35,MATCH($B89,'Parametri Modello'!$A$32:$A$35,0))-1)*'Parametri Modello'!$B$28))),0)))*(1+INDEX('Parametri Modello'!$B$12:$B$15,MATCH($B89,'Parametri Modello'!$A$12:$A$15,0))),0),"")</f>
        <v>14</v>
      </c>
      <c r="I89" s="23">
        <f>IFERROR(INDEX('Input Statistiche 2025_26'!$F$3:$F$665,MATCH($A89,'Input Statistiche 2025_26'!$A$3:$A$665,0)),"")</f>
        <v>18</v>
      </c>
      <c r="J89" s="23">
        <f t="shared" si="9"/>
        <v>20</v>
      </c>
      <c r="K89" s="23">
        <f>IFERROR(INDEX('Input Statistiche 2025_26'!$I$3:$I$665,MATCH($A89,'Input Statistiche 2025_26'!$A$3:$A$665,0)),"")</f>
        <v>0</v>
      </c>
      <c r="L89" s="23">
        <f>IFERROR(INDEX('Input Statistiche 2025_26'!$O$3:$O$665,MATCH($A89,'Input Statistiche 2025_26'!$A$3:$A$665,0)),"")</f>
        <v>0</v>
      </c>
      <c r="M89" s="25"/>
      <c r="N89" s="24">
        <f>IFERROR(INDEX('Input Giocatori 2026_27'!$E$3:$E$493,MATCH($A89,'Input Giocatori 2026_27'!$A$3:$A$493,0)),"")</f>
        <v>10</v>
      </c>
      <c r="O89" s="24">
        <f>IFERROR(INDEX('Input Giocatori 2026_27'!$G$3:$G$493,MATCH($A89,'Input Giocatori 2026_27'!$A$3:$A$493,0)),"")</f>
        <v>37</v>
      </c>
      <c r="P89" s="23" t="str">
        <f>IFERROR(IF($O89="","",IF((1-(COUNTIFS($B$2:$B$492,$B89,$O$2:$O$492,"&gt;"&amp;$O89)+1-1)/COUNTIF($B$2:$B$492,$B89))&gt;='Parametri Modello'!$B$63,"Top",IF((1-(COUNTIFS($B$2:$B$492,$B89,$O$2:$O$492,"&gt;"&amp;$O89)+1-1)/COUNTIF($B$2:$B$492,$B89))&gt;='Parametri Modello'!$B$64,"Buono",IF((1-(COUNTIFS($B$2:$B$492,$B89,$O$2:$O$492,"&gt;"&amp;$O89)+1-1)/COUNTIF($B$2:$B$492,$B89))&gt;='Parametri Modello'!$B$65,"Nella Media","Scommessa/Riserva")))),"")</f>
        <v>Buono</v>
      </c>
      <c r="Q89" s="26">
        <f>IF(AND($D89="",$N89&gt;1),SUMPRODUCT(($D$2:$D89="")*($N$2:$N89&gt;1)),"")</f>
        <v>88</v>
      </c>
      <c r="R89" s="26" t="str">
        <f>IF($D89='Info Lega'!$B$28,COUNTIFS($D$2:$D89,'Info Lega'!$B$28),"")</f>
        <v/>
      </c>
      <c r="S89" s="27">
        <f>IFERROR(INDEX('Input Statistiche 2025_26'!$G$3:$G$665,MATCH($A89,'Input Statistiche 2025_26'!$A$3:$A$665,0)),"")</f>
        <v>6.19</v>
      </c>
      <c r="T89" s="27">
        <f>IFERROR(INDEX('Input Statistiche 2025_26'!$H$3:$H$665,MATCH($A89,'Input Statistiche 2025_26'!$A$3:$A$665,0)),"")</f>
        <v>5.28</v>
      </c>
      <c r="U89" s="23" t="str">
        <f>IF(OR('La Mia Rosa'!$O$12="",$D89&lt;&gt;""),"",IF($F89&lt;='La Mia Rosa'!$O$12*'Parametri Modello'!$B$24,"OK",IF($F89&lt;='La Mia Rosa'!$O$12*'Parametri Modello'!$B$25,"Attenzione","Rischio Alto")))</f>
        <v>OK</v>
      </c>
      <c r="V89" s="23">
        <f t="shared" si="10"/>
        <v>9</v>
      </c>
      <c r="W89" s="18">
        <f>'Info Lega'!$B$4-SUMIFS($M$2:$M$492,$D$2:$D$492,'Info Lega'!$B$28)</f>
        <v>1000</v>
      </c>
      <c r="X89" s="18">
        <f>('Info Lega'!$B$5-COUNTIFS($D$2:$D$492,'Info Lega'!$B$28,$B$2:$B$492,"P"))+('Info Lega'!$B$6-COUNTIFS($D$2:$D$492,'Info Lega'!$B$28,$B$2:$B$492,"D"))+('Info Lega'!$B$7-COUNTIFS($D$2:$D$492,'Info Lega'!$B$28,$B$2:$B$492,"C"))+('Info Lega'!$B$8-COUNTIFS($D$2:$D$492,'Info Lega'!$B$28,$B$2:$B$492,"A"))</f>
        <v>25</v>
      </c>
      <c r="Y89" s="18">
        <f>X89*'Parametri Modello'!$B$30</f>
        <v>25</v>
      </c>
      <c r="Z89" s="18">
        <f t="shared" si="11"/>
        <v>975</v>
      </c>
      <c r="AA89" s="18">
        <f t="shared" si="12"/>
        <v>13</v>
      </c>
      <c r="AB89" s="18"/>
      <c r="AC89" s="18" t="str">
        <f>IF($AB89="","",IF($AB89&gt;$AA89,"PASS",IF($AB89&lt;=$AA89*(1-'Parametri Modello'!$B$68),"BID","ATTENZIONE")))</f>
        <v/>
      </c>
      <c r="AD89" s="28">
        <f t="shared" si="13"/>
        <v>45</v>
      </c>
      <c r="AE89" s="5" t="str">
        <f>IFERROR(INDEX('Stato Asta'!$G$9:$G$12,MATCH($B89,'Stato Asta'!$A$9:$A$12,0)),"")</f>
        <v>🔴 Non aspettare</v>
      </c>
      <c r="AF89" t="str">
        <f>IFERROR(IF($V89&lt;=INDEX('Parametri Modello'!$C$57:$C$60,MATCH($B89,'Parametri Modello'!$A$57:$A$60,0)),"Titolare","Riserva"),"")</f>
        <v>Riserva</v>
      </c>
      <c r="AG89" t="str">
        <f>IFERROR(INDEX('Pressione Competitiva'!$F$3:$F$6,MATCH($B89,'Pressione Competitiva'!$B$3:$B$6,0)),"")</f>
        <v>🔴 Molto Alta</v>
      </c>
      <c r="AH89" t="str">
        <f t="shared" si="14"/>
        <v/>
      </c>
      <c r="AI89" t="str">
        <f>IFERROR(IF($AH89="","",IF($AH89&gt;=$AA89*'Parametri Modello'!$B$68,"🟢 Opportunita'",IF($AH89&lt;=$AA89*'Parametri Modello'!$B$69,"🔴 Sovrapprezzo","🟡 Prezzo Corretto"))),"")</f>
        <v/>
      </c>
      <c r="AJ89" t="str">
        <f t="shared" si="15"/>
        <v/>
      </c>
      <c r="AK89">
        <f t="shared" si="16"/>
        <v>2</v>
      </c>
      <c r="AL89" t="str">
        <f t="shared" si="17"/>
        <v>P|Buono|2</v>
      </c>
    </row>
    <row r="90" spans="1:38" ht="14.25" customHeight="1" x14ac:dyDescent="0.25">
      <c r="A90" s="18">
        <v>6844</v>
      </c>
      <c r="B90" s="18" t="s">
        <v>17</v>
      </c>
      <c r="C90" s="18" t="s">
        <v>229</v>
      </c>
      <c r="E90" s="23" t="str">
        <f>IF(COUNTIF('Info Strategia'!$D$2:$D$51,$C90)&gt;0,"SI","NO")</f>
        <v>NO</v>
      </c>
      <c r="F90" s="24">
        <f>IFERROR(ROUND(($G90+($H90-$G90)*'Info Strategia'!$B$6)*(1+IF($E90="SI",'Parametri Modello'!$B$7*'Info Strategia'!$B$6,0)),0),"")</f>
        <v>25</v>
      </c>
      <c r="G90" s="24">
        <f>IFERROR(ROUND(MAX(1,(IF($V90&lt;=INDEX('Parametri Modello'!$C$57:$C$60,MATCH($B90,'Parametri Modello'!$A$57:$A$60,0)),IF(INDEX('Parametri Modello'!$E$57:$E$60,MATCH($B90,'Parametri Modello'!$A$57:$A$60,0))=0,0,($O90/INDEX('Parametri Modello'!$E$57:$E$60,MATCH($B90,'Parametri Modello'!$A$57:$A$60,0)))*(INDEX('Parametri Modello'!$D$57:$D$60,MATCH($B90,'Parametri Modello'!$A$57:$A$60,0))*(INDEX('Parametri Modello'!$B$50:$B$53,MATCH($B90,'Parametri Modello'!$A$50:$A$53,0))*'Parametri Modello'!$B$44))),IF(INDEX('Parametri Modello'!$F$57:$F$60,MATCH($B90,'Parametri Modello'!$A$57:$A$60,0))=0,0,($O90/INDEX('Parametri Modello'!$F$57:$F$60,MATCH($B90,'Parametri Modello'!$A$57:$A$60,0)))*((1-INDEX('Parametri Modello'!$D$57:$D$60,MATCH($B90,'Parametri Modello'!$A$57:$A$60,0)))*(INDEX('Parametri Modello'!$B$50:$B$53,MATCH($B90,'Parametri Modello'!$A$50:$A$53,0))*'Parametri Modello'!$B$44))))*(1+IF(IF($B90="D",'Info Lega'!$B$25,IF($B90="C",'Info Lega'!$B$26,"No"))="Si",'Parametri Modello'!$B$5,0))*(1+MAX(-0.25,MIN(0.25,IF(OR($T90="",$I90="",$I90=0,INDEX('Parametri Modello'!$B$19:$B$22,MATCH($B90,'Parametri Modello'!$A$19:$A$22,0))="",INDEX('Parametri Modello'!$B$19:$B$22,MATCH($B90,'Parametri Modello'!$A$19:$A$22,0))=0),0,(($T90-INDEX('Parametri Modello'!$B$19:$B$22,MATCH($B90,'Parametri Modello'!$A$19:$A$22,0)))/INDEX('Parametri Modello'!$B$19:$B$22,MATCH($B90,'Parametri Modello'!$A$19:$A$22,0)))*'Parametri Modello'!$B$9))))*(1+IF('Parametri Modello'!$B$27="Si",MAX(-'Parametri Modello'!$B$28,MIN('Parametri Modello'!$B$28*1.5,IF(OR(INDEX('Parametri Modello'!$F$32:$F$35,MATCH($B90,'Parametri Modello'!$A$32:$A$35,0))="",INDEX('Parametri Modello'!$F$32:$F$35,MATCH($B90,'Parametri Modello'!$A$32:$A$35,0))=0),0,(1/INDEX('Parametri Modello'!$F$32:$F$35,MATCH($B90,'Parametri Modello'!$A$32:$A$35,0))-1)*'Parametri Modello'!$B$28))),0)))*(1-INDEX('Parametri Modello'!$B$12:$B$15,MATCH($B90,'Parametri Modello'!$A$12:$A$15,0)))),0),"")</f>
        <v>17</v>
      </c>
      <c r="H90" s="24">
        <f>IFERROR(ROUND((IF($V90&lt;=INDEX('Parametri Modello'!$C$57:$C$60,MATCH($B90,'Parametri Modello'!$A$57:$A$60,0)),IF(INDEX('Parametri Modello'!$E$57:$E$60,MATCH($B90,'Parametri Modello'!$A$57:$A$60,0))=0,0,($O90/INDEX('Parametri Modello'!$E$57:$E$60,MATCH($B90,'Parametri Modello'!$A$57:$A$60,0)))*(INDEX('Parametri Modello'!$D$57:$D$60,MATCH($B90,'Parametri Modello'!$A$57:$A$60,0))*(INDEX('Parametri Modello'!$B$50:$B$53,MATCH($B90,'Parametri Modello'!$A$50:$A$53,0))*'Parametri Modello'!$B$44))),IF(INDEX('Parametri Modello'!$F$57:$F$60,MATCH($B90,'Parametri Modello'!$A$57:$A$60,0))=0,0,($O90/INDEX('Parametri Modello'!$F$57:$F$60,MATCH($B90,'Parametri Modello'!$A$57:$A$60,0)))*((1-INDEX('Parametri Modello'!$D$57:$D$60,MATCH($B90,'Parametri Modello'!$A$57:$A$60,0)))*(INDEX('Parametri Modello'!$B$50:$B$53,MATCH($B90,'Parametri Modello'!$A$50:$A$53,0))*'Parametri Modello'!$B$44))))*(1+IF(IF($B90="D",'Info Lega'!$B$25,IF($B90="C",'Info Lega'!$B$26,"No"))="Si",'Parametri Modello'!$B$5,0))*(1+MAX(-0.25,MIN(0.25,IF(OR($T90="",$I90="",$I90=0,INDEX('Parametri Modello'!$B$19:$B$22,MATCH($B90,'Parametri Modello'!$A$19:$A$22,0))="",INDEX('Parametri Modello'!$B$19:$B$22,MATCH($B90,'Parametri Modello'!$A$19:$A$22,0))=0),0,(($T90-INDEX('Parametri Modello'!$B$19:$B$22,MATCH($B90,'Parametri Modello'!$A$19:$A$22,0)))/INDEX('Parametri Modello'!$B$19:$B$22,MATCH($B90,'Parametri Modello'!$A$19:$A$22,0)))*'Parametri Modello'!$B$9))))*(1+IF('Parametri Modello'!$B$27="Si",MAX(-'Parametri Modello'!$B$28,MIN('Parametri Modello'!$B$28*1.5,IF(OR(INDEX('Parametri Modello'!$F$32:$F$35,MATCH($B90,'Parametri Modello'!$A$32:$A$35,0))="",INDEX('Parametri Modello'!$F$32:$F$35,MATCH($B90,'Parametri Modello'!$A$32:$A$35,0))=0),0,(1/INDEX('Parametri Modello'!$F$32:$F$35,MATCH($B90,'Parametri Modello'!$A$32:$A$35,0))-1)*'Parametri Modello'!$B$28))),0)))*(1+INDEX('Parametri Modello'!$B$12:$B$15,MATCH($B90,'Parametri Modello'!$A$12:$A$15,0))),0),"")</f>
        <v>28</v>
      </c>
      <c r="I90" s="23">
        <f>IFERROR(INDEX('Input Statistiche 2025_26'!$F$3:$F$665,MATCH($A90,'Input Statistiche 2025_26'!$A$3:$A$665,0)),"")</f>
        <v>28</v>
      </c>
      <c r="J90" s="23">
        <f t="shared" si="9"/>
        <v>10</v>
      </c>
      <c r="K90" s="23">
        <f>IFERROR(INDEX('Input Statistiche 2025_26'!$I$3:$I$665,MATCH($A90,'Input Statistiche 2025_26'!$A$3:$A$665,0)),"")</f>
        <v>3</v>
      </c>
      <c r="L90" s="23">
        <f>IFERROR(INDEX('Input Statistiche 2025_26'!$O$3:$O$665,MATCH($A90,'Input Statistiche 2025_26'!$A$3:$A$665,0)),"")</f>
        <v>3</v>
      </c>
      <c r="M90" s="25"/>
      <c r="N90" s="24">
        <f>IFERROR(INDEX('Input Giocatori 2026_27'!$E$3:$E$493,MATCH($A90,'Input Giocatori 2026_27'!$A$3:$A$493,0)),"")</f>
        <v>11</v>
      </c>
      <c r="O90" s="24">
        <f>IFERROR(INDEX('Input Giocatori 2026_27'!$G$3:$G$493,MATCH($A90,'Input Giocatori 2026_27'!$A$3:$A$493,0)),"")</f>
        <v>37</v>
      </c>
      <c r="P90" s="23" t="str">
        <f>IFERROR(IF($O90="","",IF((1-(COUNTIFS($B$2:$B$492,$B90,$O$2:$O$492,"&gt;"&amp;$O90)+1-1)/COUNTIF($B$2:$B$492,$B90))&gt;='Parametri Modello'!$B$63,"Top",IF((1-(COUNTIFS($B$2:$B$492,$B90,$O$2:$O$492,"&gt;"&amp;$O90)+1-1)/COUNTIF($B$2:$B$492,$B90))&gt;='Parametri Modello'!$B$64,"Buono",IF((1-(COUNTIFS($B$2:$B$492,$B90,$O$2:$O$492,"&gt;"&amp;$O90)+1-1)/COUNTIF($B$2:$B$492,$B90))&gt;='Parametri Modello'!$B$65,"Nella Media","Scommessa/Riserva")))),"")</f>
        <v>Buono</v>
      </c>
      <c r="Q90" s="26">
        <f>IF(AND($D90="",$N90&gt;1),SUMPRODUCT(($D$2:$D90="")*($N$2:$N90&gt;1)),"")</f>
        <v>89</v>
      </c>
      <c r="R90" s="26" t="str">
        <f>IF($D90='Info Lega'!$B$28,COUNTIFS($D$2:$D90,'Info Lega'!$B$28),"")</f>
        <v/>
      </c>
      <c r="S90" s="27">
        <f>IFERROR(INDEX('Input Statistiche 2025_26'!$G$3:$G$665,MATCH($A90,'Input Statistiche 2025_26'!$A$3:$A$665,0)),"")</f>
        <v>6.2</v>
      </c>
      <c r="T90" s="27">
        <f>IFERROR(INDEX('Input Statistiche 2025_26'!$H$3:$H$665,MATCH($A90,'Input Statistiche 2025_26'!$A$3:$A$665,0)),"")</f>
        <v>6.59</v>
      </c>
      <c r="U90" s="23" t="str">
        <f>IF(OR('La Mia Rosa'!$O$12="",$D90&lt;&gt;""),"",IF($F90&lt;='La Mia Rosa'!$O$12*'Parametri Modello'!$B$24,"OK",IF($F90&lt;='La Mia Rosa'!$O$12*'Parametri Modello'!$B$25,"Attenzione","Rischio Alto")))</f>
        <v>OK</v>
      </c>
      <c r="V90" s="23">
        <f t="shared" si="10"/>
        <v>32</v>
      </c>
      <c r="W90" s="18">
        <f>'Info Lega'!$B$4-SUMIFS($M$2:$M$492,$D$2:$D$492,'Info Lega'!$B$28)</f>
        <v>1000</v>
      </c>
      <c r="X90" s="18">
        <f>('Info Lega'!$B$5-COUNTIFS($D$2:$D$492,'Info Lega'!$B$28,$B$2:$B$492,"P"))+('Info Lega'!$B$6-COUNTIFS($D$2:$D$492,'Info Lega'!$B$28,$B$2:$B$492,"D"))+('Info Lega'!$B$7-COUNTIFS($D$2:$D$492,'Info Lega'!$B$28,$B$2:$B$492,"C"))+('Info Lega'!$B$8-COUNTIFS($D$2:$D$492,'Info Lega'!$B$28,$B$2:$B$492,"A"))</f>
        <v>25</v>
      </c>
      <c r="Y90" s="18">
        <f>X90*'Parametri Modello'!$B$30</f>
        <v>25</v>
      </c>
      <c r="Z90" s="18">
        <f t="shared" si="11"/>
        <v>975</v>
      </c>
      <c r="AA90" s="18">
        <f t="shared" si="12"/>
        <v>25</v>
      </c>
      <c r="AB90" s="18"/>
      <c r="AC90" s="18" t="str">
        <f>IF($AB90="","",IF($AB90&gt;$AA90,"PASS",IF($AB90&lt;=$AA90*(1-'Parametri Modello'!$B$68),"BID","ATTENZIONE")))</f>
        <v/>
      </c>
      <c r="AD90" s="28">
        <f t="shared" si="13"/>
        <v>61</v>
      </c>
      <c r="AE90" s="5" t="str">
        <f>IFERROR(INDEX('Stato Asta'!$G$9:$G$12,MATCH($B90,'Stato Asta'!$A$9:$A$12,0)),"")</f>
        <v>🔴 Non aspettare</v>
      </c>
      <c r="AF90" t="str">
        <f>IFERROR(IF($V90&lt;=INDEX('Parametri Modello'!$C$57:$C$60,MATCH($B90,'Parametri Modello'!$A$57:$A$60,0)),"Titolare","Riserva"),"")</f>
        <v>Titolare</v>
      </c>
      <c r="AG90" t="str">
        <f>IFERROR(INDEX('Pressione Competitiva'!$F$3:$F$6,MATCH($B90,'Pressione Competitiva'!$B$3:$B$6,0)),"")</f>
        <v>🔴 Molto Alta</v>
      </c>
      <c r="AH90" t="str">
        <f t="shared" si="14"/>
        <v/>
      </c>
      <c r="AI90" t="str">
        <f>IFERROR(IF($AH90="","",IF($AH90&gt;=$AA90*'Parametri Modello'!$B$68,"🟢 Opportunita'",IF($AH90&lt;=$AA90*'Parametri Modello'!$B$69,"🔴 Sovrapprezzo","🟡 Prezzo Corretto"))),"")</f>
        <v/>
      </c>
      <c r="AJ90" t="str">
        <f t="shared" si="15"/>
        <v/>
      </c>
      <c r="AK90">
        <f t="shared" si="16"/>
        <v>14</v>
      </c>
      <c r="AL90" t="str">
        <f t="shared" si="17"/>
        <v>C|Buono|14</v>
      </c>
    </row>
    <row r="91" spans="1:38" ht="14.25" customHeight="1" x14ac:dyDescent="0.25">
      <c r="A91" s="18">
        <v>5888</v>
      </c>
      <c r="B91" s="18" t="s">
        <v>17</v>
      </c>
      <c r="C91" s="18" t="s">
        <v>230</v>
      </c>
      <c r="E91" s="23" t="str">
        <f>IF(COUNTIF('Info Strategia'!$D$2:$D$51,$C91)&gt;0,"SI","NO")</f>
        <v>NO</v>
      </c>
      <c r="F91" s="24">
        <f>IFERROR(ROUND(($G91+($H91-$G91)*'Info Strategia'!$B$6)*(1+IF($E91="SI",'Parametri Modello'!$B$7*'Info Strategia'!$B$6,0)),0),"")</f>
        <v>25</v>
      </c>
      <c r="G91" s="24">
        <f>IFERROR(ROUND(MAX(1,(IF($V91&lt;=INDEX('Parametri Modello'!$C$57:$C$60,MATCH($B91,'Parametri Modello'!$A$57:$A$60,0)),IF(INDEX('Parametri Modello'!$E$57:$E$60,MATCH($B91,'Parametri Modello'!$A$57:$A$60,0))=0,0,($O91/INDEX('Parametri Modello'!$E$57:$E$60,MATCH($B91,'Parametri Modello'!$A$57:$A$60,0)))*(INDEX('Parametri Modello'!$D$57:$D$60,MATCH($B91,'Parametri Modello'!$A$57:$A$60,0))*(INDEX('Parametri Modello'!$B$50:$B$53,MATCH($B91,'Parametri Modello'!$A$50:$A$53,0))*'Parametri Modello'!$B$44))),IF(INDEX('Parametri Modello'!$F$57:$F$60,MATCH($B91,'Parametri Modello'!$A$57:$A$60,0))=0,0,($O91/INDEX('Parametri Modello'!$F$57:$F$60,MATCH($B91,'Parametri Modello'!$A$57:$A$60,0)))*((1-INDEX('Parametri Modello'!$D$57:$D$60,MATCH($B91,'Parametri Modello'!$A$57:$A$60,0)))*(INDEX('Parametri Modello'!$B$50:$B$53,MATCH($B91,'Parametri Modello'!$A$50:$A$53,0))*'Parametri Modello'!$B$44))))*(1+IF(IF($B91="D",'Info Lega'!$B$25,IF($B91="C",'Info Lega'!$B$26,"No"))="Si",'Parametri Modello'!$B$5,0))*(1+MAX(-0.25,MIN(0.25,IF(OR($T91="",$I91="",$I91=0,INDEX('Parametri Modello'!$B$19:$B$22,MATCH($B91,'Parametri Modello'!$A$19:$A$22,0))="",INDEX('Parametri Modello'!$B$19:$B$22,MATCH($B91,'Parametri Modello'!$A$19:$A$22,0))=0),0,(($T91-INDEX('Parametri Modello'!$B$19:$B$22,MATCH($B91,'Parametri Modello'!$A$19:$A$22,0)))/INDEX('Parametri Modello'!$B$19:$B$22,MATCH($B91,'Parametri Modello'!$A$19:$A$22,0)))*'Parametri Modello'!$B$9))))*(1+IF('Parametri Modello'!$B$27="Si",MAX(-'Parametri Modello'!$B$28,MIN('Parametri Modello'!$B$28*1.5,IF(OR(INDEX('Parametri Modello'!$F$32:$F$35,MATCH($B91,'Parametri Modello'!$A$32:$A$35,0))="",INDEX('Parametri Modello'!$F$32:$F$35,MATCH($B91,'Parametri Modello'!$A$32:$A$35,0))=0),0,(1/INDEX('Parametri Modello'!$F$32:$F$35,MATCH($B91,'Parametri Modello'!$A$32:$A$35,0))-1)*'Parametri Modello'!$B$28))),0)))*(1-INDEX('Parametri Modello'!$B$12:$B$15,MATCH($B91,'Parametri Modello'!$A$12:$A$15,0)))),0),"")</f>
        <v>17</v>
      </c>
      <c r="H91" s="24">
        <f>IFERROR(ROUND((IF($V91&lt;=INDEX('Parametri Modello'!$C$57:$C$60,MATCH($B91,'Parametri Modello'!$A$57:$A$60,0)),IF(INDEX('Parametri Modello'!$E$57:$E$60,MATCH($B91,'Parametri Modello'!$A$57:$A$60,0))=0,0,($O91/INDEX('Parametri Modello'!$E$57:$E$60,MATCH($B91,'Parametri Modello'!$A$57:$A$60,0)))*(INDEX('Parametri Modello'!$D$57:$D$60,MATCH($B91,'Parametri Modello'!$A$57:$A$60,0))*(INDEX('Parametri Modello'!$B$50:$B$53,MATCH($B91,'Parametri Modello'!$A$50:$A$53,0))*'Parametri Modello'!$B$44))),IF(INDEX('Parametri Modello'!$F$57:$F$60,MATCH($B91,'Parametri Modello'!$A$57:$A$60,0))=0,0,($O91/INDEX('Parametri Modello'!$F$57:$F$60,MATCH($B91,'Parametri Modello'!$A$57:$A$60,0)))*((1-INDEX('Parametri Modello'!$D$57:$D$60,MATCH($B91,'Parametri Modello'!$A$57:$A$60,0)))*(INDEX('Parametri Modello'!$B$50:$B$53,MATCH($B91,'Parametri Modello'!$A$50:$A$53,0))*'Parametri Modello'!$B$44))))*(1+IF(IF($B91="D",'Info Lega'!$B$25,IF($B91="C",'Info Lega'!$B$26,"No"))="Si",'Parametri Modello'!$B$5,0))*(1+MAX(-0.25,MIN(0.25,IF(OR($T91="",$I91="",$I91=0,INDEX('Parametri Modello'!$B$19:$B$22,MATCH($B91,'Parametri Modello'!$A$19:$A$22,0))="",INDEX('Parametri Modello'!$B$19:$B$22,MATCH($B91,'Parametri Modello'!$A$19:$A$22,0))=0),0,(($T91-INDEX('Parametri Modello'!$B$19:$B$22,MATCH($B91,'Parametri Modello'!$A$19:$A$22,0)))/INDEX('Parametri Modello'!$B$19:$B$22,MATCH($B91,'Parametri Modello'!$A$19:$A$22,0)))*'Parametri Modello'!$B$9))))*(1+IF('Parametri Modello'!$B$27="Si",MAX(-'Parametri Modello'!$B$28,MIN('Parametri Modello'!$B$28*1.5,IF(OR(INDEX('Parametri Modello'!$F$32:$F$35,MATCH($B91,'Parametri Modello'!$A$32:$A$35,0))="",INDEX('Parametri Modello'!$F$32:$F$35,MATCH($B91,'Parametri Modello'!$A$32:$A$35,0))=0),0,(1/INDEX('Parametri Modello'!$F$32:$F$35,MATCH($B91,'Parametri Modello'!$A$32:$A$35,0))-1)*'Parametri Modello'!$B$28))),0)))*(1+INDEX('Parametri Modello'!$B$12:$B$15,MATCH($B91,'Parametri Modello'!$A$12:$A$15,0))),0),"")</f>
        <v>28</v>
      </c>
      <c r="I91" s="23">
        <f>IFERROR(INDEX('Input Statistiche 2025_26'!$F$3:$F$665,MATCH($A91,'Input Statistiche 2025_26'!$A$3:$A$665,0)),"")</f>
        <v>32</v>
      </c>
      <c r="J91" s="23">
        <f t="shared" si="9"/>
        <v>6</v>
      </c>
      <c r="K91" s="23">
        <f>IFERROR(INDEX('Input Statistiche 2025_26'!$I$3:$I$665,MATCH($A91,'Input Statistiche 2025_26'!$A$3:$A$665,0)),"")</f>
        <v>6</v>
      </c>
      <c r="L91" s="23">
        <f>IFERROR(INDEX('Input Statistiche 2025_26'!$O$3:$O$665,MATCH($A91,'Input Statistiche 2025_26'!$A$3:$A$665,0)),"")</f>
        <v>0</v>
      </c>
      <c r="M91" s="25"/>
      <c r="N91" s="24">
        <f>IFERROR(INDEX('Input Giocatori 2026_27'!$E$3:$E$493,MATCH($A91,'Input Giocatori 2026_27'!$A$3:$A$493,0)),"")</f>
        <v>10</v>
      </c>
      <c r="O91" s="24">
        <f>IFERROR(INDEX('Input Giocatori 2026_27'!$G$3:$G$493,MATCH($A91,'Input Giocatori 2026_27'!$A$3:$A$493,0)),"")</f>
        <v>37</v>
      </c>
      <c r="P91" s="23" t="str">
        <f>IFERROR(IF($O91="","",IF((1-(COUNTIFS($B$2:$B$492,$B91,$O$2:$O$492,"&gt;"&amp;$O91)+1-1)/COUNTIF($B$2:$B$492,$B91))&gt;='Parametri Modello'!$B$63,"Top",IF((1-(COUNTIFS($B$2:$B$492,$B91,$O$2:$O$492,"&gt;"&amp;$O91)+1-1)/COUNTIF($B$2:$B$492,$B91))&gt;='Parametri Modello'!$B$64,"Buono",IF((1-(COUNTIFS($B$2:$B$492,$B91,$O$2:$O$492,"&gt;"&amp;$O91)+1-1)/COUNTIF($B$2:$B$492,$B91))&gt;='Parametri Modello'!$B$65,"Nella Media","Scommessa/Riserva")))),"")</f>
        <v>Buono</v>
      </c>
      <c r="Q91" s="26">
        <f>IF(AND($D91="",$N91&gt;1),SUMPRODUCT(($D$2:$D91="")*($N$2:$N91&gt;1)),"")</f>
        <v>90</v>
      </c>
      <c r="R91" s="26" t="str">
        <f>IF($D91='Info Lega'!$B$28,COUNTIFS($D$2:$D91,'Info Lega'!$B$28),"")</f>
        <v/>
      </c>
      <c r="S91" s="27">
        <f>IFERROR(INDEX('Input Statistiche 2025_26'!$G$3:$G$665,MATCH($A91,'Input Statistiche 2025_26'!$A$3:$A$665,0)),"")</f>
        <v>5.97</v>
      </c>
      <c r="T91" s="27">
        <f>IFERROR(INDEX('Input Statistiche 2025_26'!$H$3:$H$665,MATCH($A91,'Input Statistiche 2025_26'!$A$3:$A$665,0)),"")</f>
        <v>6.45</v>
      </c>
      <c r="U91" s="23" t="str">
        <f>IF(OR('La Mia Rosa'!$O$12="",$D91&lt;&gt;""),"",IF($F91&lt;='La Mia Rosa'!$O$12*'Parametri Modello'!$B$24,"OK",IF($F91&lt;='La Mia Rosa'!$O$12*'Parametri Modello'!$B$25,"Attenzione","Rischio Alto")))</f>
        <v>OK</v>
      </c>
      <c r="V91" s="23">
        <f t="shared" si="10"/>
        <v>32</v>
      </c>
      <c r="W91" s="18">
        <f>'Info Lega'!$B$4-SUMIFS($M$2:$M$492,$D$2:$D$492,'Info Lega'!$B$28)</f>
        <v>1000</v>
      </c>
      <c r="X91" s="18">
        <f>('Info Lega'!$B$5-COUNTIFS($D$2:$D$492,'Info Lega'!$B$28,$B$2:$B$492,"P"))+('Info Lega'!$B$6-COUNTIFS($D$2:$D$492,'Info Lega'!$B$28,$B$2:$B$492,"D"))+('Info Lega'!$B$7-COUNTIFS($D$2:$D$492,'Info Lega'!$B$28,$B$2:$B$492,"C"))+('Info Lega'!$B$8-COUNTIFS($D$2:$D$492,'Info Lega'!$B$28,$B$2:$B$492,"A"))</f>
        <v>25</v>
      </c>
      <c r="Y91" s="18">
        <f>X91*'Parametri Modello'!$B$30</f>
        <v>25</v>
      </c>
      <c r="Z91" s="18">
        <f t="shared" si="11"/>
        <v>975</v>
      </c>
      <c r="AA91" s="18">
        <f t="shared" si="12"/>
        <v>25</v>
      </c>
      <c r="AB91" s="18"/>
      <c r="AC91" s="18" t="str">
        <f>IF($AB91="","",IF($AB91&gt;$AA91,"PASS",IF($AB91&lt;=$AA91*(1-'Parametri Modello'!$B$68),"BID","ATTENZIONE")))</f>
        <v/>
      </c>
      <c r="AD91" s="28">
        <f t="shared" si="13"/>
        <v>66</v>
      </c>
      <c r="AE91" s="5" t="str">
        <f>IFERROR(INDEX('Stato Asta'!$G$9:$G$12,MATCH($B91,'Stato Asta'!$A$9:$A$12,0)),"")</f>
        <v>🔴 Non aspettare</v>
      </c>
      <c r="AF91" t="str">
        <f>IFERROR(IF($V91&lt;=INDEX('Parametri Modello'!$C$57:$C$60,MATCH($B91,'Parametri Modello'!$A$57:$A$60,0)),"Titolare","Riserva"),"")</f>
        <v>Titolare</v>
      </c>
      <c r="AG91" t="str">
        <f>IFERROR(INDEX('Pressione Competitiva'!$F$3:$F$6,MATCH($B91,'Pressione Competitiva'!$B$3:$B$6,0)),"")</f>
        <v>🔴 Molto Alta</v>
      </c>
      <c r="AH91" t="str">
        <f t="shared" si="14"/>
        <v/>
      </c>
      <c r="AI91" t="str">
        <f>IFERROR(IF($AH91="","",IF($AH91&gt;=$AA91*'Parametri Modello'!$B$68,"🟢 Opportunita'",IF($AH91&lt;=$AA91*'Parametri Modello'!$B$69,"🔴 Sovrapprezzo","🟡 Prezzo Corretto"))),"")</f>
        <v/>
      </c>
      <c r="AJ91" t="str">
        <f t="shared" si="15"/>
        <v/>
      </c>
      <c r="AK91">
        <f t="shared" si="16"/>
        <v>14</v>
      </c>
      <c r="AL91" t="str">
        <f t="shared" si="17"/>
        <v>C|Buono|14</v>
      </c>
    </row>
    <row r="92" spans="1:38" ht="14.25" customHeight="1" x14ac:dyDescent="0.25">
      <c r="A92" s="18">
        <v>6274</v>
      </c>
      <c r="B92" s="18" t="s">
        <v>17</v>
      </c>
      <c r="C92" s="18" t="s">
        <v>231</v>
      </c>
      <c r="E92" s="23" t="str">
        <f>IF(COUNTIF('Info Strategia'!$D$2:$D$51,$C92)&gt;0,"SI","NO")</f>
        <v>NO</v>
      </c>
      <c r="F92" s="24">
        <f>IFERROR(ROUND(($G92+($H92-$G92)*'Info Strategia'!$B$6)*(1+IF($E92="SI",'Parametri Modello'!$B$7*'Info Strategia'!$B$6,0)),0),"")</f>
        <v>25</v>
      </c>
      <c r="G92" s="24">
        <f>IFERROR(ROUND(MAX(1,(IF($V92&lt;=INDEX('Parametri Modello'!$C$57:$C$60,MATCH($B92,'Parametri Modello'!$A$57:$A$60,0)),IF(INDEX('Parametri Modello'!$E$57:$E$60,MATCH($B92,'Parametri Modello'!$A$57:$A$60,0))=0,0,($O92/INDEX('Parametri Modello'!$E$57:$E$60,MATCH($B92,'Parametri Modello'!$A$57:$A$60,0)))*(INDEX('Parametri Modello'!$D$57:$D$60,MATCH($B92,'Parametri Modello'!$A$57:$A$60,0))*(INDEX('Parametri Modello'!$B$50:$B$53,MATCH($B92,'Parametri Modello'!$A$50:$A$53,0))*'Parametri Modello'!$B$44))),IF(INDEX('Parametri Modello'!$F$57:$F$60,MATCH($B92,'Parametri Modello'!$A$57:$A$60,0))=0,0,($O92/INDEX('Parametri Modello'!$F$57:$F$60,MATCH($B92,'Parametri Modello'!$A$57:$A$60,0)))*((1-INDEX('Parametri Modello'!$D$57:$D$60,MATCH($B92,'Parametri Modello'!$A$57:$A$60,0)))*(INDEX('Parametri Modello'!$B$50:$B$53,MATCH($B92,'Parametri Modello'!$A$50:$A$53,0))*'Parametri Modello'!$B$44))))*(1+IF(IF($B92="D",'Info Lega'!$B$25,IF($B92="C",'Info Lega'!$B$26,"No"))="Si",'Parametri Modello'!$B$5,0))*(1+MAX(-0.25,MIN(0.25,IF(OR($T92="",$I92="",$I92=0,INDEX('Parametri Modello'!$B$19:$B$22,MATCH($B92,'Parametri Modello'!$A$19:$A$22,0))="",INDEX('Parametri Modello'!$B$19:$B$22,MATCH($B92,'Parametri Modello'!$A$19:$A$22,0))=0),0,(($T92-INDEX('Parametri Modello'!$B$19:$B$22,MATCH($B92,'Parametri Modello'!$A$19:$A$22,0)))/INDEX('Parametri Modello'!$B$19:$B$22,MATCH($B92,'Parametri Modello'!$A$19:$A$22,0)))*'Parametri Modello'!$B$9))))*(1+IF('Parametri Modello'!$B$27="Si",MAX(-'Parametri Modello'!$B$28,MIN('Parametri Modello'!$B$28*1.5,IF(OR(INDEX('Parametri Modello'!$F$32:$F$35,MATCH($B92,'Parametri Modello'!$A$32:$A$35,0))="",INDEX('Parametri Modello'!$F$32:$F$35,MATCH($B92,'Parametri Modello'!$A$32:$A$35,0))=0),0,(1/INDEX('Parametri Modello'!$F$32:$F$35,MATCH($B92,'Parametri Modello'!$A$32:$A$35,0))-1)*'Parametri Modello'!$B$28))),0)))*(1-INDEX('Parametri Modello'!$B$12:$B$15,MATCH($B92,'Parametri Modello'!$A$12:$A$15,0)))),0),"")</f>
        <v>17</v>
      </c>
      <c r="H92" s="24">
        <f>IFERROR(ROUND((IF($V92&lt;=INDEX('Parametri Modello'!$C$57:$C$60,MATCH($B92,'Parametri Modello'!$A$57:$A$60,0)),IF(INDEX('Parametri Modello'!$E$57:$E$60,MATCH($B92,'Parametri Modello'!$A$57:$A$60,0))=0,0,($O92/INDEX('Parametri Modello'!$E$57:$E$60,MATCH($B92,'Parametri Modello'!$A$57:$A$60,0)))*(INDEX('Parametri Modello'!$D$57:$D$60,MATCH($B92,'Parametri Modello'!$A$57:$A$60,0))*(INDEX('Parametri Modello'!$B$50:$B$53,MATCH($B92,'Parametri Modello'!$A$50:$A$53,0))*'Parametri Modello'!$B$44))),IF(INDEX('Parametri Modello'!$F$57:$F$60,MATCH($B92,'Parametri Modello'!$A$57:$A$60,0))=0,0,($O92/INDEX('Parametri Modello'!$F$57:$F$60,MATCH($B92,'Parametri Modello'!$A$57:$A$60,0)))*((1-INDEX('Parametri Modello'!$D$57:$D$60,MATCH($B92,'Parametri Modello'!$A$57:$A$60,0)))*(INDEX('Parametri Modello'!$B$50:$B$53,MATCH($B92,'Parametri Modello'!$A$50:$A$53,0))*'Parametri Modello'!$B$44))))*(1+IF(IF($B92="D",'Info Lega'!$B$25,IF($B92="C",'Info Lega'!$B$26,"No"))="Si",'Parametri Modello'!$B$5,0))*(1+MAX(-0.25,MIN(0.25,IF(OR($T92="",$I92="",$I92=0,INDEX('Parametri Modello'!$B$19:$B$22,MATCH($B92,'Parametri Modello'!$A$19:$A$22,0))="",INDEX('Parametri Modello'!$B$19:$B$22,MATCH($B92,'Parametri Modello'!$A$19:$A$22,0))=0),0,(($T92-INDEX('Parametri Modello'!$B$19:$B$22,MATCH($B92,'Parametri Modello'!$A$19:$A$22,0)))/INDEX('Parametri Modello'!$B$19:$B$22,MATCH($B92,'Parametri Modello'!$A$19:$A$22,0)))*'Parametri Modello'!$B$9))))*(1+IF('Parametri Modello'!$B$27="Si",MAX(-'Parametri Modello'!$B$28,MIN('Parametri Modello'!$B$28*1.5,IF(OR(INDEX('Parametri Modello'!$F$32:$F$35,MATCH($B92,'Parametri Modello'!$A$32:$A$35,0))="",INDEX('Parametri Modello'!$F$32:$F$35,MATCH($B92,'Parametri Modello'!$A$32:$A$35,0))=0),0,(1/INDEX('Parametri Modello'!$F$32:$F$35,MATCH($B92,'Parametri Modello'!$A$32:$A$35,0))-1)*'Parametri Modello'!$B$28))),0)))*(1+INDEX('Parametri Modello'!$B$12:$B$15,MATCH($B92,'Parametri Modello'!$A$12:$A$15,0))),0),"")</f>
        <v>28</v>
      </c>
      <c r="I92" s="23">
        <f>IFERROR(INDEX('Input Statistiche 2025_26'!$F$3:$F$665,MATCH($A92,'Input Statistiche 2025_26'!$A$3:$A$665,0)),"")</f>
        <v>10</v>
      </c>
      <c r="J92" s="23">
        <f t="shared" si="9"/>
        <v>28</v>
      </c>
      <c r="K92" s="23">
        <f>IFERROR(INDEX('Input Statistiche 2025_26'!$I$3:$I$665,MATCH($A92,'Input Statistiche 2025_26'!$A$3:$A$665,0)),"")</f>
        <v>1</v>
      </c>
      <c r="L92" s="23">
        <f>IFERROR(INDEX('Input Statistiche 2025_26'!$O$3:$O$665,MATCH($A92,'Input Statistiche 2025_26'!$A$3:$A$665,0)),"")</f>
        <v>0</v>
      </c>
      <c r="M92" s="25"/>
      <c r="N92" s="24">
        <f>IFERROR(INDEX('Input Giocatori 2026_27'!$E$3:$E$493,MATCH($A92,'Input Giocatori 2026_27'!$A$3:$A$493,0)),"")</f>
        <v>8</v>
      </c>
      <c r="O92" s="24">
        <f>IFERROR(INDEX('Input Giocatori 2026_27'!$G$3:$G$493,MATCH($A92,'Input Giocatori 2026_27'!$A$3:$A$493,0)),"")</f>
        <v>37</v>
      </c>
      <c r="P92" s="23" t="str">
        <f>IFERROR(IF($O92="","",IF((1-(COUNTIFS($B$2:$B$492,$B92,$O$2:$O$492,"&gt;"&amp;$O92)+1-1)/COUNTIF($B$2:$B$492,$B92))&gt;='Parametri Modello'!$B$63,"Top",IF((1-(COUNTIFS($B$2:$B$492,$B92,$O$2:$O$492,"&gt;"&amp;$O92)+1-1)/COUNTIF($B$2:$B$492,$B92))&gt;='Parametri Modello'!$B$64,"Buono",IF((1-(COUNTIFS($B$2:$B$492,$B92,$O$2:$O$492,"&gt;"&amp;$O92)+1-1)/COUNTIF($B$2:$B$492,$B92))&gt;='Parametri Modello'!$B$65,"Nella Media","Scommessa/Riserva")))),"")</f>
        <v>Buono</v>
      </c>
      <c r="Q92" s="26">
        <f>IF(AND($D92="",$N92&gt;1),SUMPRODUCT(($D$2:$D92="")*($N$2:$N92&gt;1)),"")</f>
        <v>91</v>
      </c>
      <c r="R92" s="26" t="str">
        <f>IF($D92='Info Lega'!$B$28,COUNTIFS($D$2:$D92,'Info Lega'!$B$28),"")</f>
        <v/>
      </c>
      <c r="S92" s="27">
        <f>IFERROR(INDEX('Input Statistiche 2025_26'!$G$3:$G$665,MATCH($A92,'Input Statistiche 2025_26'!$A$3:$A$665,0)),"")</f>
        <v>6.15</v>
      </c>
      <c r="T92" s="27">
        <f>IFERROR(INDEX('Input Statistiche 2025_26'!$H$3:$H$665,MATCH($A92,'Input Statistiche 2025_26'!$A$3:$A$665,0)),"")</f>
        <v>6.45</v>
      </c>
      <c r="U92" s="23" t="str">
        <f>IF(OR('La Mia Rosa'!$O$12="",$D92&lt;&gt;""),"",IF($F92&lt;='La Mia Rosa'!$O$12*'Parametri Modello'!$B$24,"OK",IF($F92&lt;='La Mia Rosa'!$O$12*'Parametri Modello'!$B$25,"Attenzione","Rischio Alto")))</f>
        <v>OK</v>
      </c>
      <c r="V92" s="23">
        <f t="shared" si="10"/>
        <v>32</v>
      </c>
      <c r="W92" s="18">
        <f>'Info Lega'!$B$4-SUMIFS($M$2:$M$492,$D$2:$D$492,'Info Lega'!$B$28)</f>
        <v>1000</v>
      </c>
      <c r="X92" s="18">
        <f>('Info Lega'!$B$5-COUNTIFS($D$2:$D$492,'Info Lega'!$B$28,$B$2:$B$492,"P"))+('Info Lega'!$B$6-COUNTIFS($D$2:$D$492,'Info Lega'!$B$28,$B$2:$B$492,"D"))+('Info Lega'!$B$7-COUNTIFS($D$2:$D$492,'Info Lega'!$B$28,$B$2:$B$492,"C"))+('Info Lega'!$B$8-COUNTIFS($D$2:$D$492,'Info Lega'!$B$28,$B$2:$B$492,"A"))</f>
        <v>25</v>
      </c>
      <c r="Y92" s="18">
        <f>X92*'Parametri Modello'!$B$30</f>
        <v>25</v>
      </c>
      <c r="Z92" s="18">
        <f t="shared" si="11"/>
        <v>975</v>
      </c>
      <c r="AA92" s="18">
        <f t="shared" si="12"/>
        <v>25</v>
      </c>
      <c r="AB92" s="18"/>
      <c r="AC92" s="18" t="str">
        <f>IF($AB92="","",IF($AB92&gt;$AA92,"PASS",IF($AB92&lt;=$AA92*(1-'Parametri Modello'!$B$68),"BID","ATTENZIONE")))</f>
        <v/>
      </c>
      <c r="AD92" s="28">
        <f t="shared" si="13"/>
        <v>28</v>
      </c>
      <c r="AE92" s="5" t="str">
        <f>IFERROR(INDEX('Stato Asta'!$G$9:$G$12,MATCH($B92,'Stato Asta'!$A$9:$A$12,0)),"")</f>
        <v>🔴 Non aspettare</v>
      </c>
      <c r="AF92" t="str">
        <f>IFERROR(IF($V92&lt;=INDEX('Parametri Modello'!$C$57:$C$60,MATCH($B92,'Parametri Modello'!$A$57:$A$60,0)),"Titolare","Riserva"),"")</f>
        <v>Titolare</v>
      </c>
      <c r="AG92" t="str">
        <f>IFERROR(INDEX('Pressione Competitiva'!$F$3:$F$6,MATCH($B92,'Pressione Competitiva'!$B$3:$B$6,0)),"")</f>
        <v>🔴 Molto Alta</v>
      </c>
      <c r="AH92" t="str">
        <f t="shared" si="14"/>
        <v/>
      </c>
      <c r="AI92" t="str">
        <f>IFERROR(IF($AH92="","",IF($AH92&gt;=$AA92*'Parametri Modello'!$B$68,"🟢 Opportunita'",IF($AH92&lt;=$AA92*'Parametri Modello'!$B$69,"🔴 Sovrapprezzo","🟡 Prezzo Corretto"))),"")</f>
        <v/>
      </c>
      <c r="AJ92" t="str">
        <f t="shared" si="15"/>
        <v/>
      </c>
      <c r="AK92">
        <f t="shared" si="16"/>
        <v>14</v>
      </c>
      <c r="AL92" t="str">
        <f t="shared" si="17"/>
        <v>C|Buono|14</v>
      </c>
    </row>
    <row r="93" spans="1:38" ht="14.25" customHeight="1" x14ac:dyDescent="0.25">
      <c r="A93" s="18">
        <v>6666</v>
      </c>
      <c r="B93" s="18" t="s">
        <v>17</v>
      </c>
      <c r="C93" s="18" t="s">
        <v>232</v>
      </c>
      <c r="E93" s="23" t="str">
        <f>IF(COUNTIF('Info Strategia'!$D$2:$D$51,$C93)&gt;0,"SI","NO")</f>
        <v>NO</v>
      </c>
      <c r="F93" s="24">
        <f>IFERROR(ROUND(($G93+($H93-$G93)*'Info Strategia'!$B$6)*(1+IF($E93="SI",'Parametri Modello'!$B$7*'Info Strategia'!$B$6,0)),0),"")</f>
        <v>4</v>
      </c>
      <c r="G93" s="24">
        <f>IFERROR(ROUND(MAX(1,(IF($V93&lt;=INDEX('Parametri Modello'!$C$57:$C$60,MATCH($B93,'Parametri Modello'!$A$57:$A$60,0)),IF(INDEX('Parametri Modello'!$E$57:$E$60,MATCH($B93,'Parametri Modello'!$A$57:$A$60,0))=0,0,($O93/INDEX('Parametri Modello'!$E$57:$E$60,MATCH($B93,'Parametri Modello'!$A$57:$A$60,0)))*(INDEX('Parametri Modello'!$D$57:$D$60,MATCH($B93,'Parametri Modello'!$A$57:$A$60,0))*(INDEX('Parametri Modello'!$B$50:$B$53,MATCH($B93,'Parametri Modello'!$A$50:$A$53,0))*'Parametri Modello'!$B$44))),IF(INDEX('Parametri Modello'!$F$57:$F$60,MATCH($B93,'Parametri Modello'!$A$57:$A$60,0))=0,0,($O93/INDEX('Parametri Modello'!$F$57:$F$60,MATCH($B93,'Parametri Modello'!$A$57:$A$60,0)))*((1-INDEX('Parametri Modello'!$D$57:$D$60,MATCH($B93,'Parametri Modello'!$A$57:$A$60,0)))*(INDEX('Parametri Modello'!$B$50:$B$53,MATCH($B93,'Parametri Modello'!$A$50:$A$53,0))*'Parametri Modello'!$B$44))))*(1+IF(IF($B93="D",'Info Lega'!$B$25,IF($B93="C",'Info Lega'!$B$26,"No"))="Si",'Parametri Modello'!$B$5,0))*(1+MAX(-0.25,MIN(0.25,IF(OR($T93="",$I93="",$I93=0,INDEX('Parametri Modello'!$B$19:$B$22,MATCH($B93,'Parametri Modello'!$A$19:$A$22,0))="",INDEX('Parametri Modello'!$B$19:$B$22,MATCH($B93,'Parametri Modello'!$A$19:$A$22,0))=0),0,(($T93-INDEX('Parametri Modello'!$B$19:$B$22,MATCH($B93,'Parametri Modello'!$A$19:$A$22,0)))/INDEX('Parametri Modello'!$B$19:$B$22,MATCH($B93,'Parametri Modello'!$A$19:$A$22,0)))*'Parametri Modello'!$B$9))))*(1+IF('Parametri Modello'!$B$27="Si",MAX(-'Parametri Modello'!$B$28,MIN('Parametri Modello'!$B$28*1.5,IF(OR(INDEX('Parametri Modello'!$F$32:$F$35,MATCH($B93,'Parametri Modello'!$A$32:$A$35,0))="",INDEX('Parametri Modello'!$F$32:$F$35,MATCH($B93,'Parametri Modello'!$A$32:$A$35,0))=0),0,(1/INDEX('Parametri Modello'!$F$32:$F$35,MATCH($B93,'Parametri Modello'!$A$32:$A$35,0))-1)*'Parametri Modello'!$B$28))),0)))*(1-INDEX('Parametri Modello'!$B$12:$B$15,MATCH($B93,'Parametri Modello'!$A$12:$A$15,0)))),0),"")</f>
        <v>3</v>
      </c>
      <c r="H93" s="24">
        <f>IFERROR(ROUND((IF($V93&lt;=INDEX('Parametri Modello'!$C$57:$C$60,MATCH($B93,'Parametri Modello'!$A$57:$A$60,0)),IF(INDEX('Parametri Modello'!$E$57:$E$60,MATCH($B93,'Parametri Modello'!$A$57:$A$60,0))=0,0,($O93/INDEX('Parametri Modello'!$E$57:$E$60,MATCH($B93,'Parametri Modello'!$A$57:$A$60,0)))*(INDEX('Parametri Modello'!$D$57:$D$60,MATCH($B93,'Parametri Modello'!$A$57:$A$60,0))*(INDEX('Parametri Modello'!$B$50:$B$53,MATCH($B93,'Parametri Modello'!$A$50:$A$53,0))*'Parametri Modello'!$B$44))),IF(INDEX('Parametri Modello'!$F$57:$F$60,MATCH($B93,'Parametri Modello'!$A$57:$A$60,0))=0,0,($O93/INDEX('Parametri Modello'!$F$57:$F$60,MATCH($B93,'Parametri Modello'!$A$57:$A$60,0)))*((1-INDEX('Parametri Modello'!$D$57:$D$60,MATCH($B93,'Parametri Modello'!$A$57:$A$60,0)))*(INDEX('Parametri Modello'!$B$50:$B$53,MATCH($B93,'Parametri Modello'!$A$50:$A$53,0))*'Parametri Modello'!$B$44))))*(1+IF(IF($B93="D",'Info Lega'!$B$25,IF($B93="C",'Info Lega'!$B$26,"No"))="Si",'Parametri Modello'!$B$5,0))*(1+MAX(-0.25,MIN(0.25,IF(OR($T93="",$I93="",$I93=0,INDEX('Parametri Modello'!$B$19:$B$22,MATCH($B93,'Parametri Modello'!$A$19:$A$22,0))="",INDEX('Parametri Modello'!$B$19:$B$22,MATCH($B93,'Parametri Modello'!$A$19:$A$22,0))=0),0,(($T93-INDEX('Parametri Modello'!$B$19:$B$22,MATCH($B93,'Parametri Modello'!$A$19:$A$22,0)))/INDEX('Parametri Modello'!$B$19:$B$22,MATCH($B93,'Parametri Modello'!$A$19:$A$22,0)))*'Parametri Modello'!$B$9))))*(1+IF('Parametri Modello'!$B$27="Si",MAX(-'Parametri Modello'!$B$28,MIN('Parametri Modello'!$B$28*1.5,IF(OR(INDEX('Parametri Modello'!$F$32:$F$35,MATCH($B93,'Parametri Modello'!$A$32:$A$35,0))="",INDEX('Parametri Modello'!$F$32:$F$35,MATCH($B93,'Parametri Modello'!$A$32:$A$35,0))=0),0,(1/INDEX('Parametri Modello'!$F$32:$F$35,MATCH($B93,'Parametri Modello'!$A$32:$A$35,0))-1)*'Parametri Modello'!$B$28))),0)))*(1+INDEX('Parametri Modello'!$B$12:$B$15,MATCH($B93,'Parametri Modello'!$A$12:$A$15,0))),0),"")</f>
        <v>5</v>
      </c>
      <c r="I93" s="23">
        <f>IFERROR(INDEX('Input Statistiche 2025_26'!$F$3:$F$665,MATCH($A93,'Input Statistiche 2025_26'!$A$3:$A$665,0)),"")</f>
        <v>32</v>
      </c>
      <c r="J93" s="23">
        <f t="shared" si="9"/>
        <v>6</v>
      </c>
      <c r="K93" s="23">
        <f>IFERROR(INDEX('Input Statistiche 2025_26'!$I$3:$I$665,MATCH($A93,'Input Statistiche 2025_26'!$A$3:$A$665,0)),"")</f>
        <v>3</v>
      </c>
      <c r="L93" s="23">
        <f>IFERROR(INDEX('Input Statistiche 2025_26'!$O$3:$O$665,MATCH($A93,'Input Statistiche 2025_26'!$A$3:$A$665,0)),"")</f>
        <v>1</v>
      </c>
      <c r="M93" s="25"/>
      <c r="N93" s="24">
        <f>IFERROR(INDEX('Input Giocatori 2026_27'!$E$3:$E$493,MATCH($A93,'Input Giocatori 2026_27'!$A$3:$A$493,0)),"")</f>
        <v>7</v>
      </c>
      <c r="O93" s="24">
        <f>IFERROR(INDEX('Input Giocatori 2026_27'!$G$3:$G$493,MATCH($A93,'Input Giocatori 2026_27'!$A$3:$A$493,0)),"")</f>
        <v>36</v>
      </c>
      <c r="P93" s="23" t="str">
        <f>IFERROR(IF($O93="","",IF((1-(COUNTIFS($B$2:$B$492,$B93,$O$2:$O$492,"&gt;"&amp;$O93)+1-1)/COUNTIF($B$2:$B$492,$B93))&gt;='Parametri Modello'!$B$63,"Top",IF((1-(COUNTIFS($B$2:$B$492,$B93,$O$2:$O$492,"&gt;"&amp;$O93)+1-1)/COUNTIF($B$2:$B$492,$B93))&gt;='Parametri Modello'!$B$64,"Buono",IF((1-(COUNTIFS($B$2:$B$492,$B93,$O$2:$O$492,"&gt;"&amp;$O93)+1-1)/COUNTIF($B$2:$B$492,$B93))&gt;='Parametri Modello'!$B$65,"Nella Media","Scommessa/Riserva")))),"")</f>
        <v>Buono</v>
      </c>
      <c r="Q93" s="26">
        <f>IF(AND($D93="",$N93&gt;1),SUMPRODUCT(($D$2:$D93="")*($N$2:$N93&gt;1)),"")</f>
        <v>92</v>
      </c>
      <c r="R93" s="26" t="str">
        <f>IF($D93='Info Lega'!$B$28,COUNTIFS($D$2:$D93,'Info Lega'!$B$28),"")</f>
        <v/>
      </c>
      <c r="S93" s="27">
        <f>IFERROR(INDEX('Input Statistiche 2025_26'!$G$3:$G$665,MATCH($A93,'Input Statistiche 2025_26'!$A$3:$A$665,0)),"")</f>
        <v>6.17</v>
      </c>
      <c r="T93" s="27">
        <f>IFERROR(INDEX('Input Statistiche 2025_26'!$H$3:$H$665,MATCH($A93,'Input Statistiche 2025_26'!$A$3:$A$665,0)),"")</f>
        <v>6.48</v>
      </c>
      <c r="U93" s="23" t="str">
        <f>IF(OR('La Mia Rosa'!$O$12="",$D93&lt;&gt;""),"",IF($F93&lt;='La Mia Rosa'!$O$12*'Parametri Modello'!$B$24,"OK",IF($F93&lt;='La Mia Rosa'!$O$12*'Parametri Modello'!$B$25,"Attenzione","Rischio Alto")))</f>
        <v>OK</v>
      </c>
      <c r="V93" s="23">
        <f t="shared" si="10"/>
        <v>35</v>
      </c>
      <c r="W93" s="18">
        <f>'Info Lega'!$B$4-SUMIFS($M$2:$M$492,$D$2:$D$492,'Info Lega'!$B$28)</f>
        <v>1000</v>
      </c>
      <c r="X93" s="18">
        <f>('Info Lega'!$B$5-COUNTIFS($D$2:$D$492,'Info Lega'!$B$28,$B$2:$B$492,"P"))+('Info Lega'!$B$6-COUNTIFS($D$2:$D$492,'Info Lega'!$B$28,$B$2:$B$492,"D"))+('Info Lega'!$B$7-COUNTIFS($D$2:$D$492,'Info Lega'!$B$28,$B$2:$B$492,"C"))+('Info Lega'!$B$8-COUNTIFS($D$2:$D$492,'Info Lega'!$B$28,$B$2:$B$492,"A"))</f>
        <v>25</v>
      </c>
      <c r="Y93" s="18">
        <f>X93*'Parametri Modello'!$B$30</f>
        <v>25</v>
      </c>
      <c r="Z93" s="18">
        <f t="shared" si="11"/>
        <v>975</v>
      </c>
      <c r="AA93" s="18">
        <f t="shared" si="12"/>
        <v>4</v>
      </c>
      <c r="AB93" s="18"/>
      <c r="AC93" s="18" t="str">
        <f>IF($AB93="","",IF($AB93&gt;$AA93,"PASS",IF($AB93&lt;=$AA93*(1-'Parametri Modello'!$B$68),"BID","ATTENZIONE")))</f>
        <v/>
      </c>
      <c r="AD93" s="28">
        <f t="shared" si="13"/>
        <v>66</v>
      </c>
      <c r="AE93" s="5" t="str">
        <f>IFERROR(INDEX('Stato Asta'!$G$9:$G$12,MATCH($B93,'Stato Asta'!$A$9:$A$12,0)),"")</f>
        <v>🔴 Non aspettare</v>
      </c>
      <c r="AF93" t="str">
        <f>IFERROR(IF($V93&lt;=INDEX('Parametri Modello'!$C$57:$C$60,MATCH($B93,'Parametri Modello'!$A$57:$A$60,0)),"Titolare","Riserva"),"")</f>
        <v>Riserva</v>
      </c>
      <c r="AG93" t="str">
        <f>IFERROR(INDEX('Pressione Competitiva'!$F$3:$F$6,MATCH($B93,'Pressione Competitiva'!$B$3:$B$6,0)),"")</f>
        <v>🔴 Molto Alta</v>
      </c>
      <c r="AH93" t="str">
        <f t="shared" si="14"/>
        <v/>
      </c>
      <c r="AI93" t="str">
        <f>IFERROR(IF($AH93="","",IF($AH93&gt;=$AA93*'Parametri Modello'!$B$68,"🟢 Opportunita'",IF($AH93&lt;=$AA93*'Parametri Modello'!$B$69,"🔴 Sovrapprezzo","🟡 Prezzo Corretto"))),"")</f>
        <v/>
      </c>
      <c r="AJ93" t="str">
        <f t="shared" si="15"/>
        <v/>
      </c>
      <c r="AK93">
        <f t="shared" si="16"/>
        <v>17</v>
      </c>
      <c r="AL93" t="str">
        <f t="shared" si="17"/>
        <v>C|Buono|17</v>
      </c>
    </row>
    <row r="94" spans="1:38" ht="14.25" customHeight="1" x14ac:dyDescent="0.25">
      <c r="A94" s="18">
        <v>7223</v>
      </c>
      <c r="B94" s="18" t="s">
        <v>17</v>
      </c>
      <c r="C94" s="18" t="s">
        <v>233</v>
      </c>
      <c r="E94" s="23" t="str">
        <f>IF(COUNTIF('Info Strategia'!$D$2:$D$51,$C94)&gt;0,"SI","NO")</f>
        <v>NO</v>
      </c>
      <c r="F94" s="24">
        <f>IFERROR(ROUND(($G94+($H94-$G94)*'Info Strategia'!$B$6)*(1+IF($E94="SI",'Parametri Modello'!$B$7*'Info Strategia'!$B$6,0)),0),"")</f>
        <v>4</v>
      </c>
      <c r="G94" s="24">
        <f>IFERROR(ROUND(MAX(1,(IF($V94&lt;=INDEX('Parametri Modello'!$C$57:$C$60,MATCH($B94,'Parametri Modello'!$A$57:$A$60,0)),IF(INDEX('Parametri Modello'!$E$57:$E$60,MATCH($B94,'Parametri Modello'!$A$57:$A$60,0))=0,0,($O94/INDEX('Parametri Modello'!$E$57:$E$60,MATCH($B94,'Parametri Modello'!$A$57:$A$60,0)))*(INDEX('Parametri Modello'!$D$57:$D$60,MATCH($B94,'Parametri Modello'!$A$57:$A$60,0))*(INDEX('Parametri Modello'!$B$50:$B$53,MATCH($B94,'Parametri Modello'!$A$50:$A$53,0))*'Parametri Modello'!$B$44))),IF(INDEX('Parametri Modello'!$F$57:$F$60,MATCH($B94,'Parametri Modello'!$A$57:$A$60,0))=0,0,($O94/INDEX('Parametri Modello'!$F$57:$F$60,MATCH($B94,'Parametri Modello'!$A$57:$A$60,0)))*((1-INDEX('Parametri Modello'!$D$57:$D$60,MATCH($B94,'Parametri Modello'!$A$57:$A$60,0)))*(INDEX('Parametri Modello'!$B$50:$B$53,MATCH($B94,'Parametri Modello'!$A$50:$A$53,0))*'Parametri Modello'!$B$44))))*(1+IF(IF($B94="D",'Info Lega'!$B$25,IF($B94="C",'Info Lega'!$B$26,"No"))="Si",'Parametri Modello'!$B$5,0))*(1+MAX(-0.25,MIN(0.25,IF(OR($T94="",$I94="",$I94=0,INDEX('Parametri Modello'!$B$19:$B$22,MATCH($B94,'Parametri Modello'!$A$19:$A$22,0))="",INDEX('Parametri Modello'!$B$19:$B$22,MATCH($B94,'Parametri Modello'!$A$19:$A$22,0))=0),0,(($T94-INDEX('Parametri Modello'!$B$19:$B$22,MATCH($B94,'Parametri Modello'!$A$19:$A$22,0)))/INDEX('Parametri Modello'!$B$19:$B$22,MATCH($B94,'Parametri Modello'!$A$19:$A$22,0)))*'Parametri Modello'!$B$9))))*(1+IF('Parametri Modello'!$B$27="Si",MAX(-'Parametri Modello'!$B$28,MIN('Parametri Modello'!$B$28*1.5,IF(OR(INDEX('Parametri Modello'!$F$32:$F$35,MATCH($B94,'Parametri Modello'!$A$32:$A$35,0))="",INDEX('Parametri Modello'!$F$32:$F$35,MATCH($B94,'Parametri Modello'!$A$32:$A$35,0))=0),0,(1/INDEX('Parametri Modello'!$F$32:$F$35,MATCH($B94,'Parametri Modello'!$A$32:$A$35,0))-1)*'Parametri Modello'!$B$28))),0)))*(1-INDEX('Parametri Modello'!$B$12:$B$15,MATCH($B94,'Parametri Modello'!$A$12:$A$15,0)))),0),"")</f>
        <v>3</v>
      </c>
      <c r="H94" s="24">
        <f>IFERROR(ROUND((IF($V94&lt;=INDEX('Parametri Modello'!$C$57:$C$60,MATCH($B94,'Parametri Modello'!$A$57:$A$60,0)),IF(INDEX('Parametri Modello'!$E$57:$E$60,MATCH($B94,'Parametri Modello'!$A$57:$A$60,0))=0,0,($O94/INDEX('Parametri Modello'!$E$57:$E$60,MATCH($B94,'Parametri Modello'!$A$57:$A$60,0)))*(INDEX('Parametri Modello'!$D$57:$D$60,MATCH($B94,'Parametri Modello'!$A$57:$A$60,0))*(INDEX('Parametri Modello'!$B$50:$B$53,MATCH($B94,'Parametri Modello'!$A$50:$A$53,0))*'Parametri Modello'!$B$44))),IF(INDEX('Parametri Modello'!$F$57:$F$60,MATCH($B94,'Parametri Modello'!$A$57:$A$60,0))=0,0,($O94/INDEX('Parametri Modello'!$F$57:$F$60,MATCH($B94,'Parametri Modello'!$A$57:$A$60,0)))*((1-INDEX('Parametri Modello'!$D$57:$D$60,MATCH($B94,'Parametri Modello'!$A$57:$A$60,0)))*(INDEX('Parametri Modello'!$B$50:$B$53,MATCH($B94,'Parametri Modello'!$A$50:$A$53,0))*'Parametri Modello'!$B$44))))*(1+IF(IF($B94="D",'Info Lega'!$B$25,IF($B94="C",'Info Lega'!$B$26,"No"))="Si",'Parametri Modello'!$B$5,0))*(1+MAX(-0.25,MIN(0.25,IF(OR($T94="",$I94="",$I94=0,INDEX('Parametri Modello'!$B$19:$B$22,MATCH($B94,'Parametri Modello'!$A$19:$A$22,0))="",INDEX('Parametri Modello'!$B$19:$B$22,MATCH($B94,'Parametri Modello'!$A$19:$A$22,0))=0),0,(($T94-INDEX('Parametri Modello'!$B$19:$B$22,MATCH($B94,'Parametri Modello'!$A$19:$A$22,0)))/INDEX('Parametri Modello'!$B$19:$B$22,MATCH($B94,'Parametri Modello'!$A$19:$A$22,0)))*'Parametri Modello'!$B$9))))*(1+IF('Parametri Modello'!$B$27="Si",MAX(-'Parametri Modello'!$B$28,MIN('Parametri Modello'!$B$28*1.5,IF(OR(INDEX('Parametri Modello'!$F$32:$F$35,MATCH($B94,'Parametri Modello'!$A$32:$A$35,0))="",INDEX('Parametri Modello'!$F$32:$F$35,MATCH($B94,'Parametri Modello'!$A$32:$A$35,0))=0),0,(1/INDEX('Parametri Modello'!$F$32:$F$35,MATCH($B94,'Parametri Modello'!$A$32:$A$35,0))-1)*'Parametri Modello'!$B$28))),0)))*(1+INDEX('Parametri Modello'!$B$12:$B$15,MATCH($B94,'Parametri Modello'!$A$12:$A$15,0))),0),"")</f>
        <v>5</v>
      </c>
      <c r="I94" s="23">
        <f>IFERROR(INDEX('Input Statistiche 2025_26'!$F$3:$F$665,MATCH($A94,'Input Statistiche 2025_26'!$A$3:$A$665,0)),"")</f>
        <v>8</v>
      </c>
      <c r="J94" s="23">
        <f t="shared" si="9"/>
        <v>30</v>
      </c>
      <c r="K94" s="23">
        <f>IFERROR(INDEX('Input Statistiche 2025_26'!$I$3:$I$665,MATCH($A94,'Input Statistiche 2025_26'!$A$3:$A$665,0)),"")</f>
        <v>1</v>
      </c>
      <c r="L94" s="23">
        <f>IFERROR(INDEX('Input Statistiche 2025_26'!$O$3:$O$665,MATCH($A94,'Input Statistiche 2025_26'!$A$3:$A$665,0)),"")</f>
        <v>0</v>
      </c>
      <c r="M94" s="25"/>
      <c r="N94" s="24">
        <f>IFERROR(INDEX('Input Giocatori 2026_27'!$E$3:$E$493,MATCH($A94,'Input Giocatori 2026_27'!$A$3:$A$493,0)),"")</f>
        <v>8</v>
      </c>
      <c r="O94" s="24">
        <f>IFERROR(INDEX('Input Giocatori 2026_27'!$G$3:$G$493,MATCH($A94,'Input Giocatori 2026_27'!$A$3:$A$493,0)),"")</f>
        <v>34</v>
      </c>
      <c r="P94" s="23" t="str">
        <f>IFERROR(IF($O94="","",IF((1-(COUNTIFS($B$2:$B$492,$B94,$O$2:$O$492,"&gt;"&amp;$O94)+1-1)/COUNTIF($B$2:$B$492,$B94))&gt;='Parametri Modello'!$B$63,"Top",IF((1-(COUNTIFS($B$2:$B$492,$B94,$O$2:$O$492,"&gt;"&amp;$O94)+1-1)/COUNTIF($B$2:$B$492,$B94))&gt;='Parametri Modello'!$B$64,"Buono",IF((1-(COUNTIFS($B$2:$B$492,$B94,$O$2:$O$492,"&gt;"&amp;$O94)+1-1)/COUNTIF($B$2:$B$492,$B94))&gt;='Parametri Modello'!$B$65,"Nella Media","Scommessa/Riserva")))),"")</f>
        <v>Buono</v>
      </c>
      <c r="Q94" s="26">
        <f>IF(AND($D94="",$N94&gt;1),SUMPRODUCT(($D$2:$D94="")*($N$2:$N94&gt;1)),"")</f>
        <v>93</v>
      </c>
      <c r="R94" s="26" t="str">
        <f>IF($D94='Info Lega'!$B$28,COUNTIFS($D$2:$D94,'Info Lega'!$B$28),"")</f>
        <v/>
      </c>
      <c r="S94" s="27">
        <f>IFERROR(INDEX('Input Statistiche 2025_26'!$G$3:$G$665,MATCH($A94,'Input Statistiche 2025_26'!$A$3:$A$665,0)),"")</f>
        <v>6.25</v>
      </c>
      <c r="T94" s="27">
        <f>IFERROR(INDEX('Input Statistiche 2025_26'!$H$3:$H$665,MATCH($A94,'Input Statistiche 2025_26'!$A$3:$A$665,0)),"")</f>
        <v>6.5</v>
      </c>
      <c r="U94" s="23" t="str">
        <f>IF(OR('La Mia Rosa'!$O$12="",$D94&lt;&gt;""),"",IF($F94&lt;='La Mia Rosa'!$O$12*'Parametri Modello'!$B$24,"OK",IF($F94&lt;='La Mia Rosa'!$O$12*'Parametri Modello'!$B$25,"Attenzione","Rischio Alto")))</f>
        <v>OK</v>
      </c>
      <c r="V94" s="23">
        <f t="shared" si="10"/>
        <v>36</v>
      </c>
      <c r="W94" s="18">
        <f>'Info Lega'!$B$4-SUMIFS($M$2:$M$492,$D$2:$D$492,'Info Lega'!$B$28)</f>
        <v>1000</v>
      </c>
      <c r="X94" s="18">
        <f>('Info Lega'!$B$5-COUNTIFS($D$2:$D$492,'Info Lega'!$B$28,$B$2:$B$492,"P"))+('Info Lega'!$B$6-COUNTIFS($D$2:$D$492,'Info Lega'!$B$28,$B$2:$B$492,"D"))+('Info Lega'!$B$7-COUNTIFS($D$2:$D$492,'Info Lega'!$B$28,$B$2:$B$492,"C"))+('Info Lega'!$B$8-COUNTIFS($D$2:$D$492,'Info Lega'!$B$28,$B$2:$B$492,"A"))</f>
        <v>25</v>
      </c>
      <c r="Y94" s="18">
        <f>X94*'Parametri Modello'!$B$30</f>
        <v>25</v>
      </c>
      <c r="Z94" s="18">
        <f t="shared" si="11"/>
        <v>975</v>
      </c>
      <c r="AA94" s="18">
        <f t="shared" si="12"/>
        <v>4</v>
      </c>
      <c r="AB94" s="18"/>
      <c r="AC94" s="18" t="str">
        <f>IF($AB94="","",IF($AB94&gt;$AA94,"PASS",IF($AB94&lt;=$AA94*(1-'Parametri Modello'!$B$68),"BID","ATTENZIONE")))</f>
        <v/>
      </c>
      <c r="AD94" s="28">
        <f t="shared" si="13"/>
        <v>23</v>
      </c>
      <c r="AE94" s="5" t="str">
        <f>IFERROR(INDEX('Stato Asta'!$G$9:$G$12,MATCH($B94,'Stato Asta'!$A$9:$A$12,0)),"")</f>
        <v>🔴 Non aspettare</v>
      </c>
      <c r="AF94" t="str">
        <f>IFERROR(IF($V94&lt;=INDEX('Parametri Modello'!$C$57:$C$60,MATCH($B94,'Parametri Modello'!$A$57:$A$60,0)),"Titolare","Riserva"),"")</f>
        <v>Riserva</v>
      </c>
      <c r="AG94" t="str">
        <f>IFERROR(INDEX('Pressione Competitiva'!$F$3:$F$6,MATCH($B94,'Pressione Competitiva'!$B$3:$B$6,0)),"")</f>
        <v>🔴 Molto Alta</v>
      </c>
      <c r="AH94" t="str">
        <f t="shared" si="14"/>
        <v/>
      </c>
      <c r="AI94" t="str">
        <f>IFERROR(IF($AH94="","",IF($AH94&gt;=$AA94*'Parametri Modello'!$B$68,"🟢 Opportunita'",IF($AH94&lt;=$AA94*'Parametri Modello'!$B$69,"🔴 Sovrapprezzo","🟡 Prezzo Corretto"))),"")</f>
        <v/>
      </c>
      <c r="AJ94" t="str">
        <f t="shared" si="15"/>
        <v/>
      </c>
      <c r="AK94">
        <f t="shared" si="16"/>
        <v>18</v>
      </c>
      <c r="AL94" t="str">
        <f t="shared" si="17"/>
        <v>C|Buono|18</v>
      </c>
    </row>
    <row r="95" spans="1:38" ht="14.25" customHeight="1" x14ac:dyDescent="0.25">
      <c r="A95" s="18">
        <v>6217</v>
      </c>
      <c r="B95" s="18" t="s">
        <v>16</v>
      </c>
      <c r="C95" s="18" t="s">
        <v>234</v>
      </c>
      <c r="E95" s="23" t="str">
        <f>IF(COUNTIF('Info Strategia'!$D$2:$D$51,$C95)&gt;0,"SI","NO")</f>
        <v>NO</v>
      </c>
      <c r="F95" s="24">
        <f>IFERROR(ROUND(($G95+($H95-$G95)*'Info Strategia'!$B$6)*(1+IF($E95="SI",'Parametri Modello'!$B$7*'Info Strategia'!$B$6,0)),0),"")</f>
        <v>23</v>
      </c>
      <c r="G95" s="24">
        <f>IFERROR(ROUND(MAX(1,(IF($V95&lt;=INDEX('Parametri Modello'!$C$57:$C$60,MATCH($B95,'Parametri Modello'!$A$57:$A$60,0)),IF(INDEX('Parametri Modello'!$E$57:$E$60,MATCH($B95,'Parametri Modello'!$A$57:$A$60,0))=0,0,($O95/INDEX('Parametri Modello'!$E$57:$E$60,MATCH($B95,'Parametri Modello'!$A$57:$A$60,0)))*(INDEX('Parametri Modello'!$D$57:$D$60,MATCH($B95,'Parametri Modello'!$A$57:$A$60,0))*(INDEX('Parametri Modello'!$B$50:$B$53,MATCH($B95,'Parametri Modello'!$A$50:$A$53,0))*'Parametri Modello'!$B$44))),IF(INDEX('Parametri Modello'!$F$57:$F$60,MATCH($B95,'Parametri Modello'!$A$57:$A$60,0))=0,0,($O95/INDEX('Parametri Modello'!$F$57:$F$60,MATCH($B95,'Parametri Modello'!$A$57:$A$60,0)))*((1-INDEX('Parametri Modello'!$D$57:$D$60,MATCH($B95,'Parametri Modello'!$A$57:$A$60,0)))*(INDEX('Parametri Modello'!$B$50:$B$53,MATCH($B95,'Parametri Modello'!$A$50:$A$53,0))*'Parametri Modello'!$B$44))))*(1+IF(IF($B95="D",'Info Lega'!$B$25,IF($B95="C",'Info Lega'!$B$26,"No"))="Si",'Parametri Modello'!$B$5,0))*(1+MAX(-0.25,MIN(0.25,IF(OR($T95="",$I95="",$I95=0,INDEX('Parametri Modello'!$B$19:$B$22,MATCH($B95,'Parametri Modello'!$A$19:$A$22,0))="",INDEX('Parametri Modello'!$B$19:$B$22,MATCH($B95,'Parametri Modello'!$A$19:$A$22,0))=0),0,(($T95-INDEX('Parametri Modello'!$B$19:$B$22,MATCH($B95,'Parametri Modello'!$A$19:$A$22,0)))/INDEX('Parametri Modello'!$B$19:$B$22,MATCH($B95,'Parametri Modello'!$A$19:$A$22,0)))*'Parametri Modello'!$B$9))))*(1+IF('Parametri Modello'!$B$27="Si",MAX(-'Parametri Modello'!$B$28,MIN('Parametri Modello'!$B$28*1.5,IF(OR(INDEX('Parametri Modello'!$F$32:$F$35,MATCH($B95,'Parametri Modello'!$A$32:$A$35,0))="",INDEX('Parametri Modello'!$F$32:$F$35,MATCH($B95,'Parametri Modello'!$A$32:$A$35,0))=0),0,(1/INDEX('Parametri Modello'!$F$32:$F$35,MATCH($B95,'Parametri Modello'!$A$32:$A$35,0))-1)*'Parametri Modello'!$B$28))),0)))*(1-INDEX('Parametri Modello'!$B$12:$B$15,MATCH($B95,'Parametri Modello'!$A$12:$A$15,0)))),0),"")</f>
        <v>17</v>
      </c>
      <c r="H95" s="24">
        <f>IFERROR(ROUND((IF($V95&lt;=INDEX('Parametri Modello'!$C$57:$C$60,MATCH($B95,'Parametri Modello'!$A$57:$A$60,0)),IF(INDEX('Parametri Modello'!$E$57:$E$60,MATCH($B95,'Parametri Modello'!$A$57:$A$60,0))=0,0,($O95/INDEX('Parametri Modello'!$E$57:$E$60,MATCH($B95,'Parametri Modello'!$A$57:$A$60,0)))*(INDEX('Parametri Modello'!$D$57:$D$60,MATCH($B95,'Parametri Modello'!$A$57:$A$60,0))*(INDEX('Parametri Modello'!$B$50:$B$53,MATCH($B95,'Parametri Modello'!$A$50:$A$53,0))*'Parametri Modello'!$B$44))),IF(INDEX('Parametri Modello'!$F$57:$F$60,MATCH($B95,'Parametri Modello'!$A$57:$A$60,0))=0,0,($O95/INDEX('Parametri Modello'!$F$57:$F$60,MATCH($B95,'Parametri Modello'!$A$57:$A$60,0)))*((1-INDEX('Parametri Modello'!$D$57:$D$60,MATCH($B95,'Parametri Modello'!$A$57:$A$60,0)))*(INDEX('Parametri Modello'!$B$50:$B$53,MATCH($B95,'Parametri Modello'!$A$50:$A$53,0))*'Parametri Modello'!$B$44))))*(1+IF(IF($B95="D",'Info Lega'!$B$25,IF($B95="C",'Info Lega'!$B$26,"No"))="Si",'Parametri Modello'!$B$5,0))*(1+MAX(-0.25,MIN(0.25,IF(OR($T95="",$I95="",$I95=0,INDEX('Parametri Modello'!$B$19:$B$22,MATCH($B95,'Parametri Modello'!$A$19:$A$22,0))="",INDEX('Parametri Modello'!$B$19:$B$22,MATCH($B95,'Parametri Modello'!$A$19:$A$22,0))=0),0,(($T95-INDEX('Parametri Modello'!$B$19:$B$22,MATCH($B95,'Parametri Modello'!$A$19:$A$22,0)))/INDEX('Parametri Modello'!$B$19:$B$22,MATCH($B95,'Parametri Modello'!$A$19:$A$22,0)))*'Parametri Modello'!$B$9))))*(1+IF('Parametri Modello'!$B$27="Si",MAX(-'Parametri Modello'!$B$28,MIN('Parametri Modello'!$B$28*1.5,IF(OR(INDEX('Parametri Modello'!$F$32:$F$35,MATCH($B95,'Parametri Modello'!$A$32:$A$35,0))="",INDEX('Parametri Modello'!$F$32:$F$35,MATCH($B95,'Parametri Modello'!$A$32:$A$35,0))=0),0,(1/INDEX('Parametri Modello'!$F$32:$F$35,MATCH($B95,'Parametri Modello'!$A$32:$A$35,0))-1)*'Parametri Modello'!$B$28))),0)))*(1+INDEX('Parametri Modello'!$B$12:$B$15,MATCH($B95,'Parametri Modello'!$A$12:$A$15,0))),0),"")</f>
        <v>25</v>
      </c>
      <c r="I95" s="23">
        <f>IFERROR(INDEX('Input Statistiche 2025_26'!$F$3:$F$665,MATCH($A95,'Input Statistiche 2025_26'!$A$3:$A$665,0)),"")</f>
        <v>23</v>
      </c>
      <c r="J95" s="23">
        <f t="shared" si="9"/>
        <v>15</v>
      </c>
      <c r="K95" s="23">
        <f>IFERROR(INDEX('Input Statistiche 2025_26'!$I$3:$I$665,MATCH($A95,'Input Statistiche 2025_26'!$A$3:$A$665,0)),"")</f>
        <v>3</v>
      </c>
      <c r="L95" s="23">
        <f>IFERROR(INDEX('Input Statistiche 2025_26'!$O$3:$O$665,MATCH($A95,'Input Statistiche 2025_26'!$A$3:$A$665,0)),"")</f>
        <v>2</v>
      </c>
      <c r="M95" s="25"/>
      <c r="N95" s="24">
        <f>IFERROR(INDEX('Input Giocatori 2026_27'!$E$3:$E$493,MATCH($A95,'Input Giocatori 2026_27'!$A$3:$A$493,0)),"")</f>
        <v>11</v>
      </c>
      <c r="O95" s="24">
        <f>IFERROR(INDEX('Input Giocatori 2026_27'!$G$3:$G$493,MATCH($A95,'Input Giocatori 2026_27'!$A$3:$A$493,0)),"")</f>
        <v>33</v>
      </c>
      <c r="P95" s="23" t="str">
        <f>IFERROR(IF($O95="","",IF((1-(COUNTIFS($B$2:$B$492,$B95,$O$2:$O$492,"&gt;"&amp;$O95)+1-1)/COUNTIF($B$2:$B$492,$B95))&gt;='Parametri Modello'!$B$63,"Top",IF((1-(COUNTIFS($B$2:$B$492,$B95,$O$2:$O$492,"&gt;"&amp;$O95)+1-1)/COUNTIF($B$2:$B$492,$B95))&gt;='Parametri Modello'!$B$64,"Buono",IF((1-(COUNTIFS($B$2:$B$492,$B95,$O$2:$O$492,"&gt;"&amp;$O95)+1-1)/COUNTIF($B$2:$B$492,$B95))&gt;='Parametri Modello'!$B$65,"Nella Media","Scommessa/Riserva")))),"")</f>
        <v>Top</v>
      </c>
      <c r="Q95" s="26">
        <f>IF(AND($D95="",$N95&gt;1),SUMPRODUCT(($D$2:$D95="")*($N$2:$N95&gt;1)),"")</f>
        <v>94</v>
      </c>
      <c r="R95" s="26" t="str">
        <f>IF($D95='Info Lega'!$B$28,COUNTIFS($D$2:$D95,'Info Lega'!$B$28),"")</f>
        <v/>
      </c>
      <c r="S95" s="27">
        <f>IFERROR(INDEX('Input Statistiche 2025_26'!$G$3:$G$665,MATCH($A95,'Input Statistiche 2025_26'!$A$3:$A$665,0)),"")</f>
        <v>6.22</v>
      </c>
      <c r="T95" s="27">
        <f>IFERROR(INDEX('Input Statistiche 2025_26'!$H$3:$H$665,MATCH($A95,'Input Statistiche 2025_26'!$A$3:$A$665,0)),"")</f>
        <v>6.65</v>
      </c>
      <c r="U95" s="23" t="str">
        <f>IF(OR('La Mia Rosa'!$O$12="",$D95&lt;&gt;""),"",IF($F95&lt;='La Mia Rosa'!$O$12*'Parametri Modello'!$B$24,"OK",IF($F95&lt;='La Mia Rosa'!$O$12*'Parametri Modello'!$B$25,"Attenzione","Rischio Alto")))</f>
        <v>OK</v>
      </c>
      <c r="V95" s="23">
        <f t="shared" si="10"/>
        <v>15</v>
      </c>
      <c r="W95" s="18">
        <f>'Info Lega'!$B$4-SUMIFS($M$2:$M$492,$D$2:$D$492,'Info Lega'!$B$28)</f>
        <v>1000</v>
      </c>
      <c r="X95" s="18">
        <f>('Info Lega'!$B$5-COUNTIFS($D$2:$D$492,'Info Lega'!$B$28,$B$2:$B$492,"P"))+('Info Lega'!$B$6-COUNTIFS($D$2:$D$492,'Info Lega'!$B$28,$B$2:$B$492,"D"))+('Info Lega'!$B$7-COUNTIFS($D$2:$D$492,'Info Lega'!$B$28,$B$2:$B$492,"C"))+('Info Lega'!$B$8-COUNTIFS($D$2:$D$492,'Info Lega'!$B$28,$B$2:$B$492,"A"))</f>
        <v>25</v>
      </c>
      <c r="Y95" s="18">
        <f>X95*'Parametri Modello'!$B$30</f>
        <v>25</v>
      </c>
      <c r="Z95" s="18">
        <f t="shared" si="11"/>
        <v>975</v>
      </c>
      <c r="AA95" s="18">
        <f t="shared" si="12"/>
        <v>23</v>
      </c>
      <c r="AB95" s="18"/>
      <c r="AC95" s="18" t="str">
        <f>IF($AB95="","",IF($AB95&gt;$AA95,"PASS",IF($AB95&lt;=$AA95*(1-'Parametri Modello'!$B$68),"BID","ATTENZIONE")))</f>
        <v/>
      </c>
      <c r="AD95" s="28">
        <f t="shared" si="13"/>
        <v>54</v>
      </c>
      <c r="AE95" s="5" t="str">
        <f>IFERROR(INDEX('Stato Asta'!$G$9:$G$12,MATCH($B95,'Stato Asta'!$A$9:$A$12,0)),"")</f>
        <v>🔴 Non aspettare</v>
      </c>
      <c r="AF95" t="str">
        <f>IFERROR(IF($V95&lt;=INDEX('Parametri Modello'!$C$57:$C$60,MATCH($B95,'Parametri Modello'!$A$57:$A$60,0)),"Titolare","Riserva"),"")</f>
        <v>Titolare</v>
      </c>
      <c r="AG95" t="str">
        <f>IFERROR(INDEX('Pressione Competitiva'!$F$3:$F$6,MATCH($B95,'Pressione Competitiva'!$B$3:$B$6,0)),"")</f>
        <v>🔴 Molto Alta</v>
      </c>
      <c r="AH95" t="str">
        <f t="shared" si="14"/>
        <v/>
      </c>
      <c r="AI95" t="str">
        <f>IFERROR(IF($AH95="","",IF($AH95&gt;=$AA95*'Parametri Modello'!$B$68,"🟢 Opportunita'",IF($AH95&lt;=$AA95*'Parametri Modello'!$B$69,"🔴 Sovrapprezzo","🟡 Prezzo Corretto"))),"")</f>
        <v/>
      </c>
      <c r="AJ95" t="str">
        <f t="shared" si="15"/>
        <v/>
      </c>
      <c r="AK95">
        <f t="shared" si="16"/>
        <v>15</v>
      </c>
      <c r="AL95" t="str">
        <f t="shared" si="17"/>
        <v>D|Top|15</v>
      </c>
    </row>
    <row r="96" spans="1:38" ht="14.25" customHeight="1" x14ac:dyDescent="0.25">
      <c r="A96" s="18">
        <v>5514</v>
      </c>
      <c r="B96" s="18" t="s">
        <v>16</v>
      </c>
      <c r="C96" s="18" t="s">
        <v>235</v>
      </c>
      <c r="E96" s="23" t="str">
        <f>IF(COUNTIF('Info Strategia'!$D$2:$D$51,$C96)&gt;0,"SI","NO")</f>
        <v>NO</v>
      </c>
      <c r="F96" s="24">
        <f>IFERROR(ROUND(($G96+($H96-$G96)*'Info Strategia'!$B$6)*(1+IF($E96="SI",'Parametri Modello'!$B$7*'Info Strategia'!$B$6,0)),0),"")</f>
        <v>23</v>
      </c>
      <c r="G96" s="24">
        <f>IFERROR(ROUND(MAX(1,(IF($V96&lt;=INDEX('Parametri Modello'!$C$57:$C$60,MATCH($B96,'Parametri Modello'!$A$57:$A$60,0)),IF(INDEX('Parametri Modello'!$E$57:$E$60,MATCH($B96,'Parametri Modello'!$A$57:$A$60,0))=0,0,($O96/INDEX('Parametri Modello'!$E$57:$E$60,MATCH($B96,'Parametri Modello'!$A$57:$A$60,0)))*(INDEX('Parametri Modello'!$D$57:$D$60,MATCH($B96,'Parametri Modello'!$A$57:$A$60,0))*(INDEX('Parametri Modello'!$B$50:$B$53,MATCH($B96,'Parametri Modello'!$A$50:$A$53,0))*'Parametri Modello'!$B$44))),IF(INDEX('Parametri Modello'!$F$57:$F$60,MATCH($B96,'Parametri Modello'!$A$57:$A$60,0))=0,0,($O96/INDEX('Parametri Modello'!$F$57:$F$60,MATCH($B96,'Parametri Modello'!$A$57:$A$60,0)))*((1-INDEX('Parametri Modello'!$D$57:$D$60,MATCH($B96,'Parametri Modello'!$A$57:$A$60,0)))*(INDEX('Parametri Modello'!$B$50:$B$53,MATCH($B96,'Parametri Modello'!$A$50:$A$53,0))*'Parametri Modello'!$B$44))))*(1+IF(IF($B96="D",'Info Lega'!$B$25,IF($B96="C",'Info Lega'!$B$26,"No"))="Si",'Parametri Modello'!$B$5,0))*(1+MAX(-0.25,MIN(0.25,IF(OR($T96="",$I96="",$I96=0,INDEX('Parametri Modello'!$B$19:$B$22,MATCH($B96,'Parametri Modello'!$A$19:$A$22,0))="",INDEX('Parametri Modello'!$B$19:$B$22,MATCH($B96,'Parametri Modello'!$A$19:$A$22,0))=0),0,(($T96-INDEX('Parametri Modello'!$B$19:$B$22,MATCH($B96,'Parametri Modello'!$A$19:$A$22,0)))/INDEX('Parametri Modello'!$B$19:$B$22,MATCH($B96,'Parametri Modello'!$A$19:$A$22,0)))*'Parametri Modello'!$B$9))))*(1+IF('Parametri Modello'!$B$27="Si",MAX(-'Parametri Modello'!$B$28,MIN('Parametri Modello'!$B$28*1.5,IF(OR(INDEX('Parametri Modello'!$F$32:$F$35,MATCH($B96,'Parametri Modello'!$A$32:$A$35,0))="",INDEX('Parametri Modello'!$F$32:$F$35,MATCH($B96,'Parametri Modello'!$A$32:$A$35,0))=0),0,(1/INDEX('Parametri Modello'!$F$32:$F$35,MATCH($B96,'Parametri Modello'!$A$32:$A$35,0))-1)*'Parametri Modello'!$B$28))),0)))*(1-INDEX('Parametri Modello'!$B$12:$B$15,MATCH($B96,'Parametri Modello'!$A$12:$A$15,0)))),0),"")</f>
        <v>17</v>
      </c>
      <c r="H96" s="24">
        <f>IFERROR(ROUND((IF($V96&lt;=INDEX('Parametri Modello'!$C$57:$C$60,MATCH($B96,'Parametri Modello'!$A$57:$A$60,0)),IF(INDEX('Parametri Modello'!$E$57:$E$60,MATCH($B96,'Parametri Modello'!$A$57:$A$60,0))=0,0,($O96/INDEX('Parametri Modello'!$E$57:$E$60,MATCH($B96,'Parametri Modello'!$A$57:$A$60,0)))*(INDEX('Parametri Modello'!$D$57:$D$60,MATCH($B96,'Parametri Modello'!$A$57:$A$60,0))*(INDEX('Parametri Modello'!$B$50:$B$53,MATCH($B96,'Parametri Modello'!$A$50:$A$53,0))*'Parametri Modello'!$B$44))),IF(INDEX('Parametri Modello'!$F$57:$F$60,MATCH($B96,'Parametri Modello'!$A$57:$A$60,0))=0,0,($O96/INDEX('Parametri Modello'!$F$57:$F$60,MATCH($B96,'Parametri Modello'!$A$57:$A$60,0)))*((1-INDEX('Parametri Modello'!$D$57:$D$60,MATCH($B96,'Parametri Modello'!$A$57:$A$60,0)))*(INDEX('Parametri Modello'!$B$50:$B$53,MATCH($B96,'Parametri Modello'!$A$50:$A$53,0))*'Parametri Modello'!$B$44))))*(1+IF(IF($B96="D",'Info Lega'!$B$25,IF($B96="C",'Info Lega'!$B$26,"No"))="Si",'Parametri Modello'!$B$5,0))*(1+MAX(-0.25,MIN(0.25,IF(OR($T96="",$I96="",$I96=0,INDEX('Parametri Modello'!$B$19:$B$22,MATCH($B96,'Parametri Modello'!$A$19:$A$22,0))="",INDEX('Parametri Modello'!$B$19:$B$22,MATCH($B96,'Parametri Modello'!$A$19:$A$22,0))=0),0,(($T96-INDEX('Parametri Modello'!$B$19:$B$22,MATCH($B96,'Parametri Modello'!$A$19:$A$22,0)))/INDEX('Parametri Modello'!$B$19:$B$22,MATCH($B96,'Parametri Modello'!$A$19:$A$22,0)))*'Parametri Modello'!$B$9))))*(1+IF('Parametri Modello'!$B$27="Si",MAX(-'Parametri Modello'!$B$28,MIN('Parametri Modello'!$B$28*1.5,IF(OR(INDEX('Parametri Modello'!$F$32:$F$35,MATCH($B96,'Parametri Modello'!$A$32:$A$35,0))="",INDEX('Parametri Modello'!$F$32:$F$35,MATCH($B96,'Parametri Modello'!$A$32:$A$35,0))=0),0,(1/INDEX('Parametri Modello'!$F$32:$F$35,MATCH($B96,'Parametri Modello'!$A$32:$A$35,0))-1)*'Parametri Modello'!$B$28))),0)))*(1+INDEX('Parametri Modello'!$B$12:$B$15,MATCH($B96,'Parametri Modello'!$A$12:$A$15,0))),0),"")</f>
        <v>25</v>
      </c>
      <c r="I96" s="23">
        <f>IFERROR(INDEX('Input Statistiche 2025_26'!$F$3:$F$665,MATCH($A96,'Input Statistiche 2025_26'!$A$3:$A$665,0)),"")</f>
        <v>36</v>
      </c>
      <c r="J96" s="23">
        <f t="shared" si="9"/>
        <v>2</v>
      </c>
      <c r="K96" s="23">
        <f>IFERROR(INDEX('Input Statistiche 2025_26'!$I$3:$I$665,MATCH($A96,'Input Statistiche 2025_26'!$A$3:$A$665,0)),"")</f>
        <v>1</v>
      </c>
      <c r="L96" s="23">
        <f>IFERROR(INDEX('Input Statistiche 2025_26'!$O$3:$O$665,MATCH($A96,'Input Statistiche 2025_26'!$A$3:$A$665,0)),"")</f>
        <v>0</v>
      </c>
      <c r="M96" s="25"/>
      <c r="N96" s="24">
        <f>IFERROR(INDEX('Input Giocatori 2026_27'!$E$3:$E$493,MATCH($A96,'Input Giocatori 2026_27'!$A$3:$A$493,0)),"")</f>
        <v>9</v>
      </c>
      <c r="O96" s="24">
        <f>IFERROR(INDEX('Input Giocatori 2026_27'!$G$3:$G$493,MATCH($A96,'Input Giocatori 2026_27'!$A$3:$A$493,0)),"")</f>
        <v>33</v>
      </c>
      <c r="P96" s="23" t="str">
        <f>IFERROR(IF($O96="","",IF((1-(COUNTIFS($B$2:$B$492,$B96,$O$2:$O$492,"&gt;"&amp;$O96)+1-1)/COUNTIF($B$2:$B$492,$B96))&gt;='Parametri Modello'!$B$63,"Top",IF((1-(COUNTIFS($B$2:$B$492,$B96,$O$2:$O$492,"&gt;"&amp;$O96)+1-1)/COUNTIF($B$2:$B$492,$B96))&gt;='Parametri Modello'!$B$64,"Buono",IF((1-(COUNTIFS($B$2:$B$492,$B96,$O$2:$O$492,"&gt;"&amp;$O96)+1-1)/COUNTIF($B$2:$B$492,$B96))&gt;='Parametri Modello'!$B$65,"Nella Media","Scommessa/Riserva")))),"")</f>
        <v>Top</v>
      </c>
      <c r="Q96" s="26">
        <f>IF(AND($D96="",$N96&gt;1),SUMPRODUCT(($D$2:$D96="")*($N$2:$N96&gt;1)),"")</f>
        <v>95</v>
      </c>
      <c r="R96" s="26" t="str">
        <f>IF($D96='Info Lega'!$B$28,COUNTIFS($D$2:$D96,'Info Lega'!$B$28),"")</f>
        <v/>
      </c>
      <c r="S96" s="27">
        <f>IFERROR(INDEX('Input Statistiche 2025_26'!$G$3:$G$665,MATCH($A96,'Input Statistiche 2025_26'!$A$3:$A$665,0)),"")</f>
        <v>6.08</v>
      </c>
      <c r="T96" s="27">
        <f>IFERROR(INDEX('Input Statistiche 2025_26'!$H$3:$H$665,MATCH($A96,'Input Statistiche 2025_26'!$A$3:$A$665,0)),"")</f>
        <v>6.14</v>
      </c>
      <c r="U96" s="23" t="str">
        <f>IF(OR('La Mia Rosa'!$O$12="",$D96&lt;&gt;""),"",IF($F96&lt;='La Mia Rosa'!$O$12*'Parametri Modello'!$B$24,"OK",IF($F96&lt;='La Mia Rosa'!$O$12*'Parametri Modello'!$B$25,"Attenzione","Rischio Alto")))</f>
        <v>OK</v>
      </c>
      <c r="V96" s="23">
        <f t="shared" si="10"/>
        <v>15</v>
      </c>
      <c r="W96" s="18">
        <f>'Info Lega'!$B$4-SUMIFS($M$2:$M$492,$D$2:$D$492,'Info Lega'!$B$28)</f>
        <v>1000</v>
      </c>
      <c r="X96" s="18">
        <f>('Info Lega'!$B$5-COUNTIFS($D$2:$D$492,'Info Lega'!$B$28,$B$2:$B$492,"P"))+('Info Lega'!$B$6-COUNTIFS($D$2:$D$492,'Info Lega'!$B$28,$B$2:$B$492,"D"))+('Info Lega'!$B$7-COUNTIFS($D$2:$D$492,'Info Lega'!$B$28,$B$2:$B$492,"C"))+('Info Lega'!$B$8-COUNTIFS($D$2:$D$492,'Info Lega'!$B$28,$B$2:$B$492,"A"))</f>
        <v>25</v>
      </c>
      <c r="Y96" s="18">
        <f>X96*'Parametri Modello'!$B$30</f>
        <v>25</v>
      </c>
      <c r="Z96" s="18">
        <f t="shared" si="11"/>
        <v>975</v>
      </c>
      <c r="AA96" s="18">
        <f t="shared" si="12"/>
        <v>23</v>
      </c>
      <c r="AB96" s="18"/>
      <c r="AC96" s="18" t="str">
        <f>IF($AB96="","",IF($AB96&gt;$AA96,"PASS",IF($AB96&lt;=$AA96*(1-'Parametri Modello'!$B$68),"BID","ATTENZIONE")))</f>
        <v/>
      </c>
      <c r="AD96" s="28">
        <f t="shared" si="13"/>
        <v>70</v>
      </c>
      <c r="AE96" s="5" t="str">
        <f>IFERROR(INDEX('Stato Asta'!$G$9:$G$12,MATCH($B96,'Stato Asta'!$A$9:$A$12,0)),"")</f>
        <v>🔴 Non aspettare</v>
      </c>
      <c r="AF96" t="str">
        <f>IFERROR(IF($V96&lt;=INDEX('Parametri Modello'!$C$57:$C$60,MATCH($B96,'Parametri Modello'!$A$57:$A$60,0)),"Titolare","Riserva"),"")</f>
        <v>Titolare</v>
      </c>
      <c r="AG96" t="str">
        <f>IFERROR(INDEX('Pressione Competitiva'!$F$3:$F$6,MATCH($B96,'Pressione Competitiva'!$B$3:$B$6,0)),"")</f>
        <v>🔴 Molto Alta</v>
      </c>
      <c r="AH96" t="str">
        <f t="shared" si="14"/>
        <v/>
      </c>
      <c r="AI96" t="str">
        <f>IFERROR(IF($AH96="","",IF($AH96&gt;=$AA96*'Parametri Modello'!$B$68,"🟢 Opportunita'",IF($AH96&lt;=$AA96*'Parametri Modello'!$B$69,"🔴 Sovrapprezzo","🟡 Prezzo Corretto"))),"")</f>
        <v/>
      </c>
      <c r="AJ96" t="str">
        <f t="shared" si="15"/>
        <v/>
      </c>
      <c r="AK96">
        <f t="shared" si="16"/>
        <v>15</v>
      </c>
      <c r="AL96" t="str">
        <f t="shared" si="17"/>
        <v>D|Top|15</v>
      </c>
    </row>
    <row r="97" spans="1:38" ht="14.25" customHeight="1" x14ac:dyDescent="0.25">
      <c r="A97" s="18">
        <v>2155</v>
      </c>
      <c r="B97" s="18" t="s">
        <v>18</v>
      </c>
      <c r="C97" s="18" t="s">
        <v>236</v>
      </c>
      <c r="E97" s="23" t="str">
        <f>IF(COUNTIF('Info Strategia'!$D$2:$D$51,$C97)&gt;0,"SI","NO")</f>
        <v>NO</v>
      </c>
      <c r="F97" s="24">
        <f>IFERROR(ROUND(($G97+($H97-$G97)*'Info Strategia'!$B$6)*(1+IF($E97="SI",'Parametri Modello'!$B$7*'Info Strategia'!$B$6,0)),0),"")</f>
        <v>10</v>
      </c>
      <c r="G97" s="24">
        <f>IFERROR(ROUND(MAX(1,(IF($V97&lt;=INDEX('Parametri Modello'!$C$57:$C$60,MATCH($B97,'Parametri Modello'!$A$57:$A$60,0)),IF(INDEX('Parametri Modello'!$E$57:$E$60,MATCH($B97,'Parametri Modello'!$A$57:$A$60,0))=0,0,($O97/INDEX('Parametri Modello'!$E$57:$E$60,MATCH($B97,'Parametri Modello'!$A$57:$A$60,0)))*(INDEX('Parametri Modello'!$D$57:$D$60,MATCH($B97,'Parametri Modello'!$A$57:$A$60,0))*(INDEX('Parametri Modello'!$B$50:$B$53,MATCH($B97,'Parametri Modello'!$A$50:$A$53,0))*'Parametri Modello'!$B$44))),IF(INDEX('Parametri Modello'!$F$57:$F$60,MATCH($B97,'Parametri Modello'!$A$57:$A$60,0))=0,0,($O97/INDEX('Parametri Modello'!$F$57:$F$60,MATCH($B97,'Parametri Modello'!$A$57:$A$60,0)))*((1-INDEX('Parametri Modello'!$D$57:$D$60,MATCH($B97,'Parametri Modello'!$A$57:$A$60,0)))*(INDEX('Parametri Modello'!$B$50:$B$53,MATCH($B97,'Parametri Modello'!$A$50:$A$53,0))*'Parametri Modello'!$B$44))))*(1+IF(IF($B97="D",'Info Lega'!$B$25,IF($B97="C",'Info Lega'!$B$26,"No"))="Si",'Parametri Modello'!$B$5,0))*(1+MAX(-0.25,MIN(0.25,IF(OR($T97="",$I97="",$I97=0,INDEX('Parametri Modello'!$B$19:$B$22,MATCH($B97,'Parametri Modello'!$A$19:$A$22,0))="",INDEX('Parametri Modello'!$B$19:$B$22,MATCH($B97,'Parametri Modello'!$A$19:$A$22,0))=0),0,(($T97-INDEX('Parametri Modello'!$B$19:$B$22,MATCH($B97,'Parametri Modello'!$A$19:$A$22,0)))/INDEX('Parametri Modello'!$B$19:$B$22,MATCH($B97,'Parametri Modello'!$A$19:$A$22,0)))*'Parametri Modello'!$B$9))))*(1+IF('Parametri Modello'!$B$27="Si",MAX(-'Parametri Modello'!$B$28,MIN('Parametri Modello'!$B$28*1.5,IF(OR(INDEX('Parametri Modello'!$F$32:$F$35,MATCH($B97,'Parametri Modello'!$A$32:$A$35,0))="",INDEX('Parametri Modello'!$F$32:$F$35,MATCH($B97,'Parametri Modello'!$A$32:$A$35,0))=0),0,(1/INDEX('Parametri Modello'!$F$32:$F$35,MATCH($B97,'Parametri Modello'!$A$32:$A$35,0))-1)*'Parametri Modello'!$B$28))),0)))*(1-INDEX('Parametri Modello'!$B$12:$B$15,MATCH($B97,'Parametri Modello'!$A$12:$A$15,0)))),0),"")</f>
        <v>6</v>
      </c>
      <c r="H97" s="24">
        <f>IFERROR(ROUND((IF($V97&lt;=INDEX('Parametri Modello'!$C$57:$C$60,MATCH($B97,'Parametri Modello'!$A$57:$A$60,0)),IF(INDEX('Parametri Modello'!$E$57:$E$60,MATCH($B97,'Parametri Modello'!$A$57:$A$60,0))=0,0,($O97/INDEX('Parametri Modello'!$E$57:$E$60,MATCH($B97,'Parametri Modello'!$A$57:$A$60,0)))*(INDEX('Parametri Modello'!$D$57:$D$60,MATCH($B97,'Parametri Modello'!$A$57:$A$60,0))*(INDEX('Parametri Modello'!$B$50:$B$53,MATCH($B97,'Parametri Modello'!$A$50:$A$53,0))*'Parametri Modello'!$B$44))),IF(INDEX('Parametri Modello'!$F$57:$F$60,MATCH($B97,'Parametri Modello'!$A$57:$A$60,0))=0,0,($O97/INDEX('Parametri Modello'!$F$57:$F$60,MATCH($B97,'Parametri Modello'!$A$57:$A$60,0)))*((1-INDEX('Parametri Modello'!$D$57:$D$60,MATCH($B97,'Parametri Modello'!$A$57:$A$60,0)))*(INDEX('Parametri Modello'!$B$50:$B$53,MATCH($B97,'Parametri Modello'!$A$50:$A$53,0))*'Parametri Modello'!$B$44))))*(1+IF(IF($B97="D",'Info Lega'!$B$25,IF($B97="C",'Info Lega'!$B$26,"No"))="Si",'Parametri Modello'!$B$5,0))*(1+MAX(-0.25,MIN(0.25,IF(OR($T97="",$I97="",$I97=0,INDEX('Parametri Modello'!$B$19:$B$22,MATCH($B97,'Parametri Modello'!$A$19:$A$22,0))="",INDEX('Parametri Modello'!$B$19:$B$22,MATCH($B97,'Parametri Modello'!$A$19:$A$22,0))=0),0,(($T97-INDEX('Parametri Modello'!$B$19:$B$22,MATCH($B97,'Parametri Modello'!$A$19:$A$22,0)))/INDEX('Parametri Modello'!$B$19:$B$22,MATCH($B97,'Parametri Modello'!$A$19:$A$22,0)))*'Parametri Modello'!$B$9))))*(1+IF('Parametri Modello'!$B$27="Si",MAX(-'Parametri Modello'!$B$28,MIN('Parametri Modello'!$B$28*1.5,IF(OR(INDEX('Parametri Modello'!$F$32:$F$35,MATCH($B97,'Parametri Modello'!$A$32:$A$35,0))="",INDEX('Parametri Modello'!$F$32:$F$35,MATCH($B97,'Parametri Modello'!$A$32:$A$35,0))=0),0,(1/INDEX('Parametri Modello'!$F$32:$F$35,MATCH($B97,'Parametri Modello'!$A$32:$A$35,0))-1)*'Parametri Modello'!$B$28))),0)))*(1+INDEX('Parametri Modello'!$B$12:$B$15,MATCH($B97,'Parametri Modello'!$A$12:$A$15,0))),0),"")</f>
        <v>12</v>
      </c>
      <c r="I97" s="23">
        <f>IFERROR(INDEX('Input Statistiche 2025_26'!$F$3:$F$665,MATCH($A97,'Input Statistiche 2025_26'!$A$3:$A$665,0)),"")</f>
        <v>14</v>
      </c>
      <c r="J97" s="23">
        <f t="shared" si="9"/>
        <v>24</v>
      </c>
      <c r="K97" s="23">
        <f>IFERROR(INDEX('Input Statistiche 2025_26'!$I$3:$I$665,MATCH($A97,'Input Statistiche 2025_26'!$A$3:$A$665,0)),"")</f>
        <v>1</v>
      </c>
      <c r="L97" s="23">
        <f>IFERROR(INDEX('Input Statistiche 2025_26'!$O$3:$O$665,MATCH($A97,'Input Statistiche 2025_26'!$A$3:$A$665,0)),"")</f>
        <v>0</v>
      </c>
      <c r="M97" s="25"/>
      <c r="N97" s="24">
        <f>IFERROR(INDEX('Input Giocatori 2026_27'!$E$3:$E$493,MATCH($A97,'Input Giocatori 2026_27'!$A$3:$A$493,0)),"")</f>
        <v>9</v>
      </c>
      <c r="O97" s="24">
        <f>IFERROR(INDEX('Input Giocatori 2026_27'!$G$3:$G$493,MATCH($A97,'Input Giocatori 2026_27'!$A$3:$A$493,0)),"")</f>
        <v>33</v>
      </c>
      <c r="P97" s="23" t="str">
        <f>IFERROR(IF($O97="","",IF((1-(COUNTIFS($B$2:$B$492,$B97,$O$2:$O$492,"&gt;"&amp;$O97)+1-1)/COUNTIF($B$2:$B$492,$B97))&gt;='Parametri Modello'!$B$63,"Top",IF((1-(COUNTIFS($B$2:$B$492,$B97,$O$2:$O$492,"&gt;"&amp;$O97)+1-1)/COUNTIF($B$2:$B$492,$B97))&gt;='Parametri Modello'!$B$64,"Buono",IF((1-(COUNTIFS($B$2:$B$492,$B97,$O$2:$O$492,"&gt;"&amp;$O97)+1-1)/COUNTIF($B$2:$B$492,$B97))&gt;='Parametri Modello'!$B$65,"Nella Media","Scommessa/Riserva")))),"")</f>
        <v>Nella Media</v>
      </c>
      <c r="Q97" s="26">
        <f>IF(AND($D97="",$N97&gt;1),SUMPRODUCT(($D$2:$D97="")*($N$2:$N97&gt;1)),"")</f>
        <v>96</v>
      </c>
      <c r="R97" s="26" t="str">
        <f>IF($D97='Info Lega'!$B$28,COUNTIFS($D$2:$D97,'Info Lega'!$B$28),"")</f>
        <v/>
      </c>
      <c r="S97" s="27">
        <f>IFERROR(INDEX('Input Statistiche 2025_26'!$G$3:$G$665,MATCH($A97,'Input Statistiche 2025_26'!$A$3:$A$665,0)),"")</f>
        <v>5.71</v>
      </c>
      <c r="T97" s="27">
        <f>IFERROR(INDEX('Input Statistiche 2025_26'!$H$3:$H$665,MATCH($A97,'Input Statistiche 2025_26'!$A$3:$A$665,0)),"")</f>
        <v>5.93</v>
      </c>
      <c r="U97" s="23" t="str">
        <f>IF(OR('La Mia Rosa'!$O$12="",$D97&lt;&gt;""),"",IF($F97&lt;='La Mia Rosa'!$O$12*'Parametri Modello'!$B$24,"OK",IF($F97&lt;='La Mia Rosa'!$O$12*'Parametri Modello'!$B$25,"Attenzione","Rischio Alto")))</f>
        <v>OK</v>
      </c>
      <c r="V97" s="23">
        <f t="shared" si="10"/>
        <v>35</v>
      </c>
      <c r="W97" s="18">
        <f>'Info Lega'!$B$4-SUMIFS($M$2:$M$492,$D$2:$D$492,'Info Lega'!$B$28)</f>
        <v>1000</v>
      </c>
      <c r="X97" s="18">
        <f>('Info Lega'!$B$5-COUNTIFS($D$2:$D$492,'Info Lega'!$B$28,$B$2:$B$492,"P"))+('Info Lega'!$B$6-COUNTIFS($D$2:$D$492,'Info Lega'!$B$28,$B$2:$B$492,"D"))+('Info Lega'!$B$7-COUNTIFS($D$2:$D$492,'Info Lega'!$B$28,$B$2:$B$492,"C"))+('Info Lega'!$B$8-COUNTIFS($D$2:$D$492,'Info Lega'!$B$28,$B$2:$B$492,"A"))</f>
        <v>25</v>
      </c>
      <c r="Y97" s="18">
        <f>X97*'Parametri Modello'!$B$30</f>
        <v>25</v>
      </c>
      <c r="Z97" s="18">
        <f t="shared" si="11"/>
        <v>975</v>
      </c>
      <c r="AA97" s="18">
        <f t="shared" si="12"/>
        <v>10</v>
      </c>
      <c r="AB97" s="18"/>
      <c r="AC97" s="18" t="str">
        <f>IF($AB97="","",IF($AB97&gt;$AA97,"PASS",IF($AB97&lt;=$AA97*(1-'Parametri Modello'!$B$68),"BID","ATTENZIONE")))</f>
        <v/>
      </c>
      <c r="AD97" s="28">
        <f t="shared" si="13"/>
        <v>37</v>
      </c>
      <c r="AE97" s="5" t="str">
        <f>IFERROR(INDEX('Stato Asta'!$G$9:$G$12,MATCH($B97,'Stato Asta'!$A$9:$A$12,0)),"")</f>
        <v>🔴 Non aspettare</v>
      </c>
      <c r="AF97" t="str">
        <f>IFERROR(IF($V97&lt;=INDEX('Parametri Modello'!$C$57:$C$60,MATCH($B97,'Parametri Modello'!$A$57:$A$60,0)),"Titolare","Riserva"),"")</f>
        <v>Riserva</v>
      </c>
      <c r="AG97" t="str">
        <f>IFERROR(INDEX('Pressione Competitiva'!$F$3:$F$6,MATCH($B97,'Pressione Competitiva'!$B$3:$B$6,0)),"")</f>
        <v>🔴 Molto Alta</v>
      </c>
      <c r="AH97" t="str">
        <f t="shared" si="14"/>
        <v/>
      </c>
      <c r="AI97" t="str">
        <f>IFERROR(IF($AH97="","",IF($AH97&gt;=$AA97*'Parametri Modello'!$B$68,"🟢 Opportunita'",IF($AH97&lt;=$AA97*'Parametri Modello'!$B$69,"🔴 Sovrapprezzo","🟡 Prezzo Corretto"))),"")</f>
        <v/>
      </c>
      <c r="AJ97" t="str">
        <f t="shared" si="15"/>
        <v/>
      </c>
      <c r="AK97">
        <f t="shared" si="16"/>
        <v>9</v>
      </c>
      <c r="AL97" t="str">
        <f t="shared" si="17"/>
        <v>A|Nella Media|9</v>
      </c>
    </row>
    <row r="98" spans="1:38" ht="14.25" customHeight="1" x14ac:dyDescent="0.25">
      <c r="A98" s="18">
        <v>6869</v>
      </c>
      <c r="B98" s="18" t="s">
        <v>16</v>
      </c>
      <c r="C98" s="18" t="s">
        <v>237</v>
      </c>
      <c r="E98" s="23" t="str">
        <f>IF(COUNTIF('Info Strategia'!$D$2:$D$51,$C98)&gt;0,"SI","NO")</f>
        <v>NO</v>
      </c>
      <c r="F98" s="24">
        <f>IFERROR(ROUND(($G98+($H98-$G98)*'Info Strategia'!$B$6)*(1+IF($E98="SI",'Parametri Modello'!$B$7*'Info Strategia'!$B$6,0)),0),"")</f>
        <v>22</v>
      </c>
      <c r="G98" s="24">
        <f>IFERROR(ROUND(MAX(1,(IF($V98&lt;=INDEX('Parametri Modello'!$C$57:$C$60,MATCH($B98,'Parametri Modello'!$A$57:$A$60,0)),IF(INDEX('Parametri Modello'!$E$57:$E$60,MATCH($B98,'Parametri Modello'!$A$57:$A$60,0))=0,0,($O98/INDEX('Parametri Modello'!$E$57:$E$60,MATCH($B98,'Parametri Modello'!$A$57:$A$60,0)))*(INDEX('Parametri Modello'!$D$57:$D$60,MATCH($B98,'Parametri Modello'!$A$57:$A$60,0))*(INDEX('Parametri Modello'!$B$50:$B$53,MATCH($B98,'Parametri Modello'!$A$50:$A$53,0))*'Parametri Modello'!$B$44))),IF(INDEX('Parametri Modello'!$F$57:$F$60,MATCH($B98,'Parametri Modello'!$A$57:$A$60,0))=0,0,($O98/INDEX('Parametri Modello'!$F$57:$F$60,MATCH($B98,'Parametri Modello'!$A$57:$A$60,0)))*((1-INDEX('Parametri Modello'!$D$57:$D$60,MATCH($B98,'Parametri Modello'!$A$57:$A$60,0)))*(INDEX('Parametri Modello'!$B$50:$B$53,MATCH($B98,'Parametri Modello'!$A$50:$A$53,0))*'Parametri Modello'!$B$44))))*(1+IF(IF($B98="D",'Info Lega'!$B$25,IF($B98="C",'Info Lega'!$B$26,"No"))="Si",'Parametri Modello'!$B$5,0))*(1+MAX(-0.25,MIN(0.25,IF(OR($T98="",$I98="",$I98=0,INDEX('Parametri Modello'!$B$19:$B$22,MATCH($B98,'Parametri Modello'!$A$19:$A$22,0))="",INDEX('Parametri Modello'!$B$19:$B$22,MATCH($B98,'Parametri Modello'!$A$19:$A$22,0))=0),0,(($T98-INDEX('Parametri Modello'!$B$19:$B$22,MATCH($B98,'Parametri Modello'!$A$19:$A$22,0)))/INDEX('Parametri Modello'!$B$19:$B$22,MATCH($B98,'Parametri Modello'!$A$19:$A$22,0)))*'Parametri Modello'!$B$9))))*(1+IF('Parametri Modello'!$B$27="Si",MAX(-'Parametri Modello'!$B$28,MIN('Parametri Modello'!$B$28*1.5,IF(OR(INDEX('Parametri Modello'!$F$32:$F$35,MATCH($B98,'Parametri Modello'!$A$32:$A$35,0))="",INDEX('Parametri Modello'!$F$32:$F$35,MATCH($B98,'Parametri Modello'!$A$32:$A$35,0))=0),0,(1/INDEX('Parametri Modello'!$F$32:$F$35,MATCH($B98,'Parametri Modello'!$A$32:$A$35,0))-1)*'Parametri Modello'!$B$28))),0)))*(1-INDEX('Parametri Modello'!$B$12:$B$15,MATCH($B98,'Parametri Modello'!$A$12:$A$15,0)))),0),"")</f>
        <v>16</v>
      </c>
      <c r="H98" s="24">
        <f>IFERROR(ROUND((IF($V98&lt;=INDEX('Parametri Modello'!$C$57:$C$60,MATCH($B98,'Parametri Modello'!$A$57:$A$60,0)),IF(INDEX('Parametri Modello'!$E$57:$E$60,MATCH($B98,'Parametri Modello'!$A$57:$A$60,0))=0,0,($O98/INDEX('Parametri Modello'!$E$57:$E$60,MATCH($B98,'Parametri Modello'!$A$57:$A$60,0)))*(INDEX('Parametri Modello'!$D$57:$D$60,MATCH($B98,'Parametri Modello'!$A$57:$A$60,0))*(INDEX('Parametri Modello'!$B$50:$B$53,MATCH($B98,'Parametri Modello'!$A$50:$A$53,0))*'Parametri Modello'!$B$44))),IF(INDEX('Parametri Modello'!$F$57:$F$60,MATCH($B98,'Parametri Modello'!$A$57:$A$60,0))=0,0,($O98/INDEX('Parametri Modello'!$F$57:$F$60,MATCH($B98,'Parametri Modello'!$A$57:$A$60,0)))*((1-INDEX('Parametri Modello'!$D$57:$D$60,MATCH($B98,'Parametri Modello'!$A$57:$A$60,0)))*(INDEX('Parametri Modello'!$B$50:$B$53,MATCH($B98,'Parametri Modello'!$A$50:$A$53,0))*'Parametri Modello'!$B$44))))*(1+IF(IF($B98="D",'Info Lega'!$B$25,IF($B98="C",'Info Lega'!$B$26,"No"))="Si",'Parametri Modello'!$B$5,0))*(1+MAX(-0.25,MIN(0.25,IF(OR($T98="",$I98="",$I98=0,INDEX('Parametri Modello'!$B$19:$B$22,MATCH($B98,'Parametri Modello'!$A$19:$A$22,0))="",INDEX('Parametri Modello'!$B$19:$B$22,MATCH($B98,'Parametri Modello'!$A$19:$A$22,0))=0),0,(($T98-INDEX('Parametri Modello'!$B$19:$B$22,MATCH($B98,'Parametri Modello'!$A$19:$A$22,0)))/INDEX('Parametri Modello'!$B$19:$B$22,MATCH($B98,'Parametri Modello'!$A$19:$A$22,0)))*'Parametri Modello'!$B$9))))*(1+IF('Parametri Modello'!$B$27="Si",MAX(-'Parametri Modello'!$B$28,MIN('Parametri Modello'!$B$28*1.5,IF(OR(INDEX('Parametri Modello'!$F$32:$F$35,MATCH($B98,'Parametri Modello'!$A$32:$A$35,0))="",INDEX('Parametri Modello'!$F$32:$F$35,MATCH($B98,'Parametri Modello'!$A$32:$A$35,0))=0),0,(1/INDEX('Parametri Modello'!$F$32:$F$35,MATCH($B98,'Parametri Modello'!$A$32:$A$35,0))-1)*'Parametri Modello'!$B$28))),0)))*(1+INDEX('Parametri Modello'!$B$12:$B$15,MATCH($B98,'Parametri Modello'!$A$12:$A$15,0))),0),"")</f>
        <v>24</v>
      </c>
      <c r="I98" s="23">
        <f>IFERROR(INDEX('Input Statistiche 2025_26'!$F$3:$F$665,MATCH($A98,'Input Statistiche 2025_26'!$A$3:$A$665,0)),"")</f>
        <v>32</v>
      </c>
      <c r="J98" s="23">
        <f t="shared" si="9"/>
        <v>6</v>
      </c>
      <c r="K98" s="23">
        <f>IFERROR(INDEX('Input Statistiche 2025_26'!$I$3:$I$665,MATCH($A98,'Input Statistiche 2025_26'!$A$3:$A$665,0)),"")</f>
        <v>2</v>
      </c>
      <c r="L98" s="23">
        <f>IFERROR(INDEX('Input Statistiche 2025_26'!$O$3:$O$665,MATCH($A98,'Input Statistiche 2025_26'!$A$3:$A$665,0)),"")</f>
        <v>0</v>
      </c>
      <c r="M98" s="25"/>
      <c r="N98" s="24">
        <f>IFERROR(INDEX('Input Giocatori 2026_27'!$E$3:$E$493,MATCH($A98,'Input Giocatori 2026_27'!$A$3:$A$493,0)),"")</f>
        <v>10</v>
      </c>
      <c r="O98" s="24">
        <f>IFERROR(INDEX('Input Giocatori 2026_27'!$G$3:$G$493,MATCH($A98,'Input Giocatori 2026_27'!$A$3:$A$493,0)),"")</f>
        <v>32</v>
      </c>
      <c r="P98" s="23" t="str">
        <f>IFERROR(IF($O98="","",IF((1-(COUNTIFS($B$2:$B$492,$B98,$O$2:$O$492,"&gt;"&amp;$O98)+1-1)/COUNTIF($B$2:$B$492,$B98))&gt;='Parametri Modello'!$B$63,"Top",IF((1-(COUNTIFS($B$2:$B$492,$B98,$O$2:$O$492,"&gt;"&amp;$O98)+1-1)/COUNTIF($B$2:$B$492,$B98))&gt;='Parametri Modello'!$B$64,"Buono",IF((1-(COUNTIFS($B$2:$B$492,$B98,$O$2:$O$492,"&gt;"&amp;$O98)+1-1)/COUNTIF($B$2:$B$492,$B98))&gt;='Parametri Modello'!$B$65,"Nella Media","Scommessa/Riserva")))),"")</f>
        <v>Top</v>
      </c>
      <c r="Q98" s="26">
        <f>IF(AND($D98="",$N98&gt;1),SUMPRODUCT(($D$2:$D98="")*($N$2:$N98&gt;1)),"")</f>
        <v>97</v>
      </c>
      <c r="R98" s="26" t="str">
        <f>IF($D98='Info Lega'!$B$28,COUNTIFS($D$2:$D98,'Info Lega'!$B$28),"")</f>
        <v/>
      </c>
      <c r="S98" s="27">
        <f>IFERROR(INDEX('Input Statistiche 2025_26'!$G$3:$G$665,MATCH($A98,'Input Statistiche 2025_26'!$A$3:$A$665,0)),"")</f>
        <v>6.16</v>
      </c>
      <c r="T98" s="27">
        <f>IFERROR(INDEX('Input Statistiche 2025_26'!$H$3:$H$665,MATCH($A98,'Input Statistiche 2025_26'!$A$3:$A$665,0)),"")</f>
        <v>6.14</v>
      </c>
      <c r="U98" s="23" t="str">
        <f>IF(OR('La Mia Rosa'!$O$12="",$D98&lt;&gt;""),"",IF($F98&lt;='La Mia Rosa'!$O$12*'Parametri Modello'!$B$24,"OK",IF($F98&lt;='La Mia Rosa'!$O$12*'Parametri Modello'!$B$25,"Attenzione","Rischio Alto")))</f>
        <v>OK</v>
      </c>
      <c r="V98" s="23">
        <f t="shared" si="10"/>
        <v>17</v>
      </c>
      <c r="W98" s="18">
        <f>'Info Lega'!$B$4-SUMIFS($M$2:$M$492,$D$2:$D$492,'Info Lega'!$B$28)</f>
        <v>1000</v>
      </c>
      <c r="X98" s="18">
        <f>('Info Lega'!$B$5-COUNTIFS($D$2:$D$492,'Info Lega'!$B$28,$B$2:$B$492,"P"))+('Info Lega'!$B$6-COUNTIFS($D$2:$D$492,'Info Lega'!$B$28,$B$2:$B$492,"D"))+('Info Lega'!$B$7-COUNTIFS($D$2:$D$492,'Info Lega'!$B$28,$B$2:$B$492,"C"))+('Info Lega'!$B$8-COUNTIFS($D$2:$D$492,'Info Lega'!$B$28,$B$2:$B$492,"A"))</f>
        <v>25</v>
      </c>
      <c r="Y98" s="18">
        <f>X98*'Parametri Modello'!$B$30</f>
        <v>25</v>
      </c>
      <c r="Z98" s="18">
        <f t="shared" si="11"/>
        <v>975</v>
      </c>
      <c r="AA98" s="18">
        <f t="shared" si="12"/>
        <v>22</v>
      </c>
      <c r="AB98" s="18"/>
      <c r="AC98" s="18" t="str">
        <f>IF($AB98="","",IF($AB98&gt;$AA98,"PASS",IF($AB98&lt;=$AA98*(1-'Parametri Modello'!$B$68),"BID","ATTENZIONE")))</f>
        <v/>
      </c>
      <c r="AD98" s="28">
        <f t="shared" si="13"/>
        <v>66</v>
      </c>
      <c r="AE98" s="5" t="str">
        <f>IFERROR(INDEX('Stato Asta'!$G$9:$G$12,MATCH($B98,'Stato Asta'!$A$9:$A$12,0)),"")</f>
        <v>🔴 Non aspettare</v>
      </c>
      <c r="AF98" t="str">
        <f>IFERROR(IF($V98&lt;=INDEX('Parametri Modello'!$C$57:$C$60,MATCH($B98,'Parametri Modello'!$A$57:$A$60,0)),"Titolare","Riserva"),"")</f>
        <v>Titolare</v>
      </c>
      <c r="AG98" t="str">
        <f>IFERROR(INDEX('Pressione Competitiva'!$F$3:$F$6,MATCH($B98,'Pressione Competitiva'!$B$3:$B$6,0)),"")</f>
        <v>🔴 Molto Alta</v>
      </c>
      <c r="AH98" t="str">
        <f t="shared" si="14"/>
        <v/>
      </c>
      <c r="AI98" t="str">
        <f>IFERROR(IF($AH98="","",IF($AH98&gt;=$AA98*'Parametri Modello'!$B$68,"🟢 Opportunita'",IF($AH98&lt;=$AA98*'Parametri Modello'!$B$69,"🔴 Sovrapprezzo","🟡 Prezzo Corretto"))),"")</f>
        <v/>
      </c>
      <c r="AJ98" t="str">
        <f t="shared" si="15"/>
        <v/>
      </c>
      <c r="AK98">
        <f t="shared" si="16"/>
        <v>17</v>
      </c>
      <c r="AL98" t="str">
        <f t="shared" si="17"/>
        <v>D|Top|17</v>
      </c>
    </row>
    <row r="99" spans="1:38" ht="14.25" customHeight="1" x14ac:dyDescent="0.25">
      <c r="A99" s="18">
        <v>7129</v>
      </c>
      <c r="B99" s="18" t="s">
        <v>17</v>
      </c>
      <c r="C99" s="18" t="s">
        <v>238</v>
      </c>
      <c r="E99" s="23" t="str">
        <f>IF(COUNTIF('Info Strategia'!$D$2:$D$51,$C99)&gt;0,"SI","NO")</f>
        <v>NO</v>
      </c>
      <c r="F99" s="24">
        <f>IFERROR(ROUND(($G99+($H99-$G99)*'Info Strategia'!$B$6)*(1+IF($E99="SI",'Parametri Modello'!$B$7*'Info Strategia'!$B$6,0)),0),"")</f>
        <v>4</v>
      </c>
      <c r="G99" s="24">
        <f>IFERROR(ROUND(MAX(1,(IF($V99&lt;=INDEX('Parametri Modello'!$C$57:$C$60,MATCH($B99,'Parametri Modello'!$A$57:$A$60,0)),IF(INDEX('Parametri Modello'!$E$57:$E$60,MATCH($B99,'Parametri Modello'!$A$57:$A$60,0))=0,0,($O99/INDEX('Parametri Modello'!$E$57:$E$60,MATCH($B99,'Parametri Modello'!$A$57:$A$60,0)))*(INDEX('Parametri Modello'!$D$57:$D$60,MATCH($B99,'Parametri Modello'!$A$57:$A$60,0))*(INDEX('Parametri Modello'!$B$50:$B$53,MATCH($B99,'Parametri Modello'!$A$50:$A$53,0))*'Parametri Modello'!$B$44))),IF(INDEX('Parametri Modello'!$F$57:$F$60,MATCH($B99,'Parametri Modello'!$A$57:$A$60,0))=0,0,($O99/INDEX('Parametri Modello'!$F$57:$F$60,MATCH($B99,'Parametri Modello'!$A$57:$A$60,0)))*((1-INDEX('Parametri Modello'!$D$57:$D$60,MATCH($B99,'Parametri Modello'!$A$57:$A$60,0)))*(INDEX('Parametri Modello'!$B$50:$B$53,MATCH($B99,'Parametri Modello'!$A$50:$A$53,0))*'Parametri Modello'!$B$44))))*(1+IF(IF($B99="D",'Info Lega'!$B$25,IF($B99="C",'Info Lega'!$B$26,"No"))="Si",'Parametri Modello'!$B$5,0))*(1+MAX(-0.25,MIN(0.25,IF(OR($T99="",$I99="",$I99=0,INDEX('Parametri Modello'!$B$19:$B$22,MATCH($B99,'Parametri Modello'!$A$19:$A$22,0))="",INDEX('Parametri Modello'!$B$19:$B$22,MATCH($B99,'Parametri Modello'!$A$19:$A$22,0))=0),0,(($T99-INDEX('Parametri Modello'!$B$19:$B$22,MATCH($B99,'Parametri Modello'!$A$19:$A$22,0)))/INDEX('Parametri Modello'!$B$19:$B$22,MATCH($B99,'Parametri Modello'!$A$19:$A$22,0)))*'Parametri Modello'!$B$9))))*(1+IF('Parametri Modello'!$B$27="Si",MAX(-'Parametri Modello'!$B$28,MIN('Parametri Modello'!$B$28*1.5,IF(OR(INDEX('Parametri Modello'!$F$32:$F$35,MATCH($B99,'Parametri Modello'!$A$32:$A$35,0))="",INDEX('Parametri Modello'!$F$32:$F$35,MATCH($B99,'Parametri Modello'!$A$32:$A$35,0))=0),0,(1/INDEX('Parametri Modello'!$F$32:$F$35,MATCH($B99,'Parametri Modello'!$A$32:$A$35,0))-1)*'Parametri Modello'!$B$28))),0)))*(1-INDEX('Parametri Modello'!$B$12:$B$15,MATCH($B99,'Parametri Modello'!$A$12:$A$15,0)))),0),"")</f>
        <v>3</v>
      </c>
      <c r="H99" s="24">
        <f>IFERROR(ROUND((IF($V99&lt;=INDEX('Parametri Modello'!$C$57:$C$60,MATCH($B99,'Parametri Modello'!$A$57:$A$60,0)),IF(INDEX('Parametri Modello'!$E$57:$E$60,MATCH($B99,'Parametri Modello'!$A$57:$A$60,0))=0,0,($O99/INDEX('Parametri Modello'!$E$57:$E$60,MATCH($B99,'Parametri Modello'!$A$57:$A$60,0)))*(INDEX('Parametri Modello'!$D$57:$D$60,MATCH($B99,'Parametri Modello'!$A$57:$A$60,0))*(INDEX('Parametri Modello'!$B$50:$B$53,MATCH($B99,'Parametri Modello'!$A$50:$A$53,0))*'Parametri Modello'!$B$44))),IF(INDEX('Parametri Modello'!$F$57:$F$60,MATCH($B99,'Parametri Modello'!$A$57:$A$60,0))=0,0,($O99/INDEX('Parametri Modello'!$F$57:$F$60,MATCH($B99,'Parametri Modello'!$A$57:$A$60,0)))*((1-INDEX('Parametri Modello'!$D$57:$D$60,MATCH($B99,'Parametri Modello'!$A$57:$A$60,0)))*(INDEX('Parametri Modello'!$B$50:$B$53,MATCH($B99,'Parametri Modello'!$A$50:$A$53,0))*'Parametri Modello'!$B$44))))*(1+IF(IF($B99="D",'Info Lega'!$B$25,IF($B99="C",'Info Lega'!$B$26,"No"))="Si",'Parametri Modello'!$B$5,0))*(1+MAX(-0.25,MIN(0.25,IF(OR($T99="",$I99="",$I99=0,INDEX('Parametri Modello'!$B$19:$B$22,MATCH($B99,'Parametri Modello'!$A$19:$A$22,0))="",INDEX('Parametri Modello'!$B$19:$B$22,MATCH($B99,'Parametri Modello'!$A$19:$A$22,0))=0),0,(($T99-INDEX('Parametri Modello'!$B$19:$B$22,MATCH($B99,'Parametri Modello'!$A$19:$A$22,0)))/INDEX('Parametri Modello'!$B$19:$B$22,MATCH($B99,'Parametri Modello'!$A$19:$A$22,0)))*'Parametri Modello'!$B$9))))*(1+IF('Parametri Modello'!$B$27="Si",MAX(-'Parametri Modello'!$B$28,MIN('Parametri Modello'!$B$28*1.5,IF(OR(INDEX('Parametri Modello'!$F$32:$F$35,MATCH($B99,'Parametri Modello'!$A$32:$A$35,0))="",INDEX('Parametri Modello'!$F$32:$F$35,MATCH($B99,'Parametri Modello'!$A$32:$A$35,0))=0),0,(1/INDEX('Parametri Modello'!$F$32:$F$35,MATCH($B99,'Parametri Modello'!$A$32:$A$35,0))-1)*'Parametri Modello'!$B$28))),0)))*(1+INDEX('Parametri Modello'!$B$12:$B$15,MATCH($B99,'Parametri Modello'!$A$12:$A$15,0))),0),"")</f>
        <v>5</v>
      </c>
      <c r="I99" s="23">
        <f>IFERROR(INDEX('Input Statistiche 2025_26'!$F$3:$F$665,MATCH($A99,'Input Statistiche 2025_26'!$A$3:$A$665,0)),"")</f>
        <v>28</v>
      </c>
      <c r="J99" s="23">
        <f t="shared" si="9"/>
        <v>10</v>
      </c>
      <c r="K99" s="23">
        <f>IFERROR(INDEX('Input Statistiche 2025_26'!$I$3:$I$665,MATCH($A99,'Input Statistiche 2025_26'!$A$3:$A$665,0)),"")</f>
        <v>2</v>
      </c>
      <c r="L99" s="23">
        <f>IFERROR(INDEX('Input Statistiche 2025_26'!$O$3:$O$665,MATCH($A99,'Input Statistiche 2025_26'!$A$3:$A$665,0)),"")</f>
        <v>8</v>
      </c>
      <c r="M99" s="25"/>
      <c r="N99" s="24">
        <f>IFERROR(INDEX('Input Giocatori 2026_27'!$E$3:$E$493,MATCH($A99,'Input Giocatori 2026_27'!$A$3:$A$493,0)),"")</f>
        <v>12</v>
      </c>
      <c r="O99" s="24">
        <f>IFERROR(INDEX('Input Giocatori 2026_27'!$G$3:$G$493,MATCH($A99,'Input Giocatori 2026_27'!$A$3:$A$493,0)),"")</f>
        <v>32</v>
      </c>
      <c r="P99" s="23" t="str">
        <f>IFERROR(IF($O99="","",IF((1-(COUNTIFS($B$2:$B$492,$B99,$O$2:$O$492,"&gt;"&amp;$O99)+1-1)/COUNTIF($B$2:$B$492,$B99))&gt;='Parametri Modello'!$B$63,"Top",IF((1-(COUNTIFS($B$2:$B$492,$B99,$O$2:$O$492,"&gt;"&amp;$O99)+1-1)/COUNTIF($B$2:$B$492,$B99))&gt;='Parametri Modello'!$B$64,"Buono",IF((1-(COUNTIFS($B$2:$B$492,$B99,$O$2:$O$492,"&gt;"&amp;$O99)+1-1)/COUNTIF($B$2:$B$492,$B99))&gt;='Parametri Modello'!$B$65,"Nella Media","Scommessa/Riserva")))),"")</f>
        <v>Buono</v>
      </c>
      <c r="Q99" s="26">
        <f>IF(AND($D99="",$N99&gt;1),SUMPRODUCT(($D$2:$D99="")*($N$2:$N99&gt;1)),"")</f>
        <v>98</v>
      </c>
      <c r="R99" s="26" t="str">
        <f>IF($D99='Info Lega'!$B$28,COUNTIFS($D$2:$D99,'Info Lega'!$B$28),"")</f>
        <v/>
      </c>
      <c r="S99" s="27">
        <f>IFERROR(INDEX('Input Statistiche 2025_26'!$G$3:$G$665,MATCH($A99,'Input Statistiche 2025_26'!$A$3:$A$665,0)),"")</f>
        <v>6.25</v>
      </c>
      <c r="T99" s="27">
        <f>IFERROR(INDEX('Input Statistiche 2025_26'!$H$3:$H$665,MATCH($A99,'Input Statistiche 2025_26'!$A$3:$A$665,0)),"")</f>
        <v>6.66</v>
      </c>
      <c r="U99" s="23" t="str">
        <f>IF(OR('La Mia Rosa'!$O$12="",$D99&lt;&gt;""),"",IF($F99&lt;='La Mia Rosa'!$O$12*'Parametri Modello'!$B$24,"OK",IF($F99&lt;='La Mia Rosa'!$O$12*'Parametri Modello'!$B$25,"Attenzione","Rischio Alto")))</f>
        <v>OK</v>
      </c>
      <c r="V99" s="23">
        <f t="shared" si="10"/>
        <v>37</v>
      </c>
      <c r="W99" s="18">
        <f>'Info Lega'!$B$4-SUMIFS($M$2:$M$492,$D$2:$D$492,'Info Lega'!$B$28)</f>
        <v>1000</v>
      </c>
      <c r="X99" s="18">
        <f>('Info Lega'!$B$5-COUNTIFS($D$2:$D$492,'Info Lega'!$B$28,$B$2:$B$492,"P"))+('Info Lega'!$B$6-COUNTIFS($D$2:$D$492,'Info Lega'!$B$28,$B$2:$B$492,"D"))+('Info Lega'!$B$7-COUNTIFS($D$2:$D$492,'Info Lega'!$B$28,$B$2:$B$492,"C"))+('Info Lega'!$B$8-COUNTIFS($D$2:$D$492,'Info Lega'!$B$28,$B$2:$B$492,"A"))</f>
        <v>25</v>
      </c>
      <c r="Y99" s="18">
        <f>X99*'Parametri Modello'!$B$30</f>
        <v>25</v>
      </c>
      <c r="Z99" s="18">
        <f t="shared" si="11"/>
        <v>975</v>
      </c>
      <c r="AA99" s="18">
        <f t="shared" si="12"/>
        <v>4</v>
      </c>
      <c r="AB99" s="18"/>
      <c r="AC99" s="18" t="str">
        <f>IF($AB99="","",IF($AB99&gt;$AA99,"PASS",IF($AB99&lt;=$AA99*(1-'Parametri Modello'!$B$68),"BID","ATTENZIONE")))</f>
        <v/>
      </c>
      <c r="AD99" s="28">
        <f t="shared" si="13"/>
        <v>61</v>
      </c>
      <c r="AE99" s="5" t="str">
        <f>IFERROR(INDEX('Stato Asta'!$G$9:$G$12,MATCH($B99,'Stato Asta'!$A$9:$A$12,0)),"")</f>
        <v>🔴 Non aspettare</v>
      </c>
      <c r="AF99" t="str">
        <f>IFERROR(IF($V99&lt;=INDEX('Parametri Modello'!$C$57:$C$60,MATCH($B99,'Parametri Modello'!$A$57:$A$60,0)),"Titolare","Riserva"),"")</f>
        <v>Riserva</v>
      </c>
      <c r="AG99" t="str">
        <f>IFERROR(INDEX('Pressione Competitiva'!$F$3:$F$6,MATCH($B99,'Pressione Competitiva'!$B$3:$B$6,0)),"")</f>
        <v>🔴 Molto Alta</v>
      </c>
      <c r="AH99" t="str">
        <f t="shared" si="14"/>
        <v/>
      </c>
      <c r="AI99" t="str">
        <f>IFERROR(IF($AH99="","",IF($AH99&gt;=$AA99*'Parametri Modello'!$B$68,"🟢 Opportunita'",IF($AH99&lt;=$AA99*'Parametri Modello'!$B$69,"🔴 Sovrapprezzo","🟡 Prezzo Corretto"))),"")</f>
        <v/>
      </c>
      <c r="AJ99" t="str">
        <f t="shared" si="15"/>
        <v/>
      </c>
      <c r="AK99">
        <f t="shared" si="16"/>
        <v>19</v>
      </c>
      <c r="AL99" t="str">
        <f t="shared" si="17"/>
        <v>C|Buono|19</v>
      </c>
    </row>
    <row r="100" spans="1:38" ht="14.25" customHeight="1" x14ac:dyDescent="0.25">
      <c r="A100" s="18">
        <v>2077</v>
      </c>
      <c r="B100" s="18" t="s">
        <v>17</v>
      </c>
      <c r="C100" s="18" t="s">
        <v>239</v>
      </c>
      <c r="E100" s="23" t="str">
        <f>IF(COUNTIF('Info Strategia'!$D$2:$D$51,$C100)&gt;0,"SI","NO")</f>
        <v>NO</v>
      </c>
      <c r="F100" s="24">
        <f>IFERROR(ROUND(($G100+($H100-$G100)*'Info Strategia'!$B$6)*(1+IF($E100="SI",'Parametri Modello'!$B$7*'Info Strategia'!$B$6,0)),0),"")</f>
        <v>4</v>
      </c>
      <c r="G100" s="24">
        <f>IFERROR(ROUND(MAX(1,(IF($V100&lt;=INDEX('Parametri Modello'!$C$57:$C$60,MATCH($B100,'Parametri Modello'!$A$57:$A$60,0)),IF(INDEX('Parametri Modello'!$E$57:$E$60,MATCH($B100,'Parametri Modello'!$A$57:$A$60,0))=0,0,($O100/INDEX('Parametri Modello'!$E$57:$E$60,MATCH($B100,'Parametri Modello'!$A$57:$A$60,0)))*(INDEX('Parametri Modello'!$D$57:$D$60,MATCH($B100,'Parametri Modello'!$A$57:$A$60,0))*(INDEX('Parametri Modello'!$B$50:$B$53,MATCH($B100,'Parametri Modello'!$A$50:$A$53,0))*'Parametri Modello'!$B$44))),IF(INDEX('Parametri Modello'!$F$57:$F$60,MATCH($B100,'Parametri Modello'!$A$57:$A$60,0))=0,0,($O100/INDEX('Parametri Modello'!$F$57:$F$60,MATCH($B100,'Parametri Modello'!$A$57:$A$60,0)))*((1-INDEX('Parametri Modello'!$D$57:$D$60,MATCH($B100,'Parametri Modello'!$A$57:$A$60,0)))*(INDEX('Parametri Modello'!$B$50:$B$53,MATCH($B100,'Parametri Modello'!$A$50:$A$53,0))*'Parametri Modello'!$B$44))))*(1+IF(IF($B100="D",'Info Lega'!$B$25,IF($B100="C",'Info Lega'!$B$26,"No"))="Si",'Parametri Modello'!$B$5,0))*(1+MAX(-0.25,MIN(0.25,IF(OR($T100="",$I100="",$I100=0,INDEX('Parametri Modello'!$B$19:$B$22,MATCH($B100,'Parametri Modello'!$A$19:$A$22,0))="",INDEX('Parametri Modello'!$B$19:$B$22,MATCH($B100,'Parametri Modello'!$A$19:$A$22,0))=0),0,(($T100-INDEX('Parametri Modello'!$B$19:$B$22,MATCH($B100,'Parametri Modello'!$A$19:$A$22,0)))/INDEX('Parametri Modello'!$B$19:$B$22,MATCH($B100,'Parametri Modello'!$A$19:$A$22,0)))*'Parametri Modello'!$B$9))))*(1+IF('Parametri Modello'!$B$27="Si",MAX(-'Parametri Modello'!$B$28,MIN('Parametri Modello'!$B$28*1.5,IF(OR(INDEX('Parametri Modello'!$F$32:$F$35,MATCH($B100,'Parametri Modello'!$A$32:$A$35,0))="",INDEX('Parametri Modello'!$F$32:$F$35,MATCH($B100,'Parametri Modello'!$A$32:$A$35,0))=0),0,(1/INDEX('Parametri Modello'!$F$32:$F$35,MATCH($B100,'Parametri Modello'!$A$32:$A$35,0))-1)*'Parametri Modello'!$B$28))),0)))*(1-INDEX('Parametri Modello'!$B$12:$B$15,MATCH($B100,'Parametri Modello'!$A$12:$A$15,0)))),0),"")</f>
        <v>3</v>
      </c>
      <c r="H100" s="24">
        <f>IFERROR(ROUND((IF($V100&lt;=INDEX('Parametri Modello'!$C$57:$C$60,MATCH($B100,'Parametri Modello'!$A$57:$A$60,0)),IF(INDEX('Parametri Modello'!$E$57:$E$60,MATCH($B100,'Parametri Modello'!$A$57:$A$60,0))=0,0,($O100/INDEX('Parametri Modello'!$E$57:$E$60,MATCH($B100,'Parametri Modello'!$A$57:$A$60,0)))*(INDEX('Parametri Modello'!$D$57:$D$60,MATCH($B100,'Parametri Modello'!$A$57:$A$60,0))*(INDEX('Parametri Modello'!$B$50:$B$53,MATCH($B100,'Parametri Modello'!$A$50:$A$53,0))*'Parametri Modello'!$B$44))),IF(INDEX('Parametri Modello'!$F$57:$F$60,MATCH($B100,'Parametri Modello'!$A$57:$A$60,0))=0,0,($O100/INDEX('Parametri Modello'!$F$57:$F$60,MATCH($B100,'Parametri Modello'!$A$57:$A$60,0)))*((1-INDEX('Parametri Modello'!$D$57:$D$60,MATCH($B100,'Parametri Modello'!$A$57:$A$60,0)))*(INDEX('Parametri Modello'!$B$50:$B$53,MATCH($B100,'Parametri Modello'!$A$50:$A$53,0))*'Parametri Modello'!$B$44))))*(1+IF(IF($B100="D",'Info Lega'!$B$25,IF($B100="C",'Info Lega'!$B$26,"No"))="Si",'Parametri Modello'!$B$5,0))*(1+MAX(-0.25,MIN(0.25,IF(OR($T100="",$I100="",$I100=0,INDEX('Parametri Modello'!$B$19:$B$22,MATCH($B100,'Parametri Modello'!$A$19:$A$22,0))="",INDEX('Parametri Modello'!$B$19:$B$22,MATCH($B100,'Parametri Modello'!$A$19:$A$22,0))=0),0,(($T100-INDEX('Parametri Modello'!$B$19:$B$22,MATCH($B100,'Parametri Modello'!$A$19:$A$22,0)))/INDEX('Parametri Modello'!$B$19:$B$22,MATCH($B100,'Parametri Modello'!$A$19:$A$22,0)))*'Parametri Modello'!$B$9))))*(1+IF('Parametri Modello'!$B$27="Si",MAX(-'Parametri Modello'!$B$28,MIN('Parametri Modello'!$B$28*1.5,IF(OR(INDEX('Parametri Modello'!$F$32:$F$35,MATCH($B100,'Parametri Modello'!$A$32:$A$35,0))="",INDEX('Parametri Modello'!$F$32:$F$35,MATCH($B100,'Parametri Modello'!$A$32:$A$35,0))=0),0,(1/INDEX('Parametri Modello'!$F$32:$F$35,MATCH($B100,'Parametri Modello'!$A$32:$A$35,0))-1)*'Parametri Modello'!$B$28))),0)))*(1+INDEX('Parametri Modello'!$B$12:$B$15,MATCH($B100,'Parametri Modello'!$A$12:$A$15,0))),0),"")</f>
        <v>5</v>
      </c>
      <c r="I100" s="23">
        <f>IFERROR(INDEX('Input Statistiche 2025_26'!$F$3:$F$665,MATCH($A100,'Input Statistiche 2025_26'!$A$3:$A$665,0)),"")</f>
        <v>31</v>
      </c>
      <c r="J100" s="23">
        <f t="shared" si="9"/>
        <v>7</v>
      </c>
      <c r="K100" s="23">
        <f>IFERROR(INDEX('Input Statistiche 2025_26'!$I$3:$I$665,MATCH($A100,'Input Statistiche 2025_26'!$A$3:$A$665,0)),"")</f>
        <v>3</v>
      </c>
      <c r="L100" s="23">
        <f>IFERROR(INDEX('Input Statistiche 2025_26'!$O$3:$O$665,MATCH($A100,'Input Statistiche 2025_26'!$A$3:$A$665,0)),"")</f>
        <v>3</v>
      </c>
      <c r="M100" s="25"/>
      <c r="N100" s="24">
        <f>IFERROR(INDEX('Input Giocatori 2026_27'!$E$3:$E$493,MATCH($A100,'Input Giocatori 2026_27'!$A$3:$A$493,0)),"")</f>
        <v>9</v>
      </c>
      <c r="O100" s="24">
        <f>IFERROR(INDEX('Input Giocatori 2026_27'!$G$3:$G$493,MATCH($A100,'Input Giocatori 2026_27'!$A$3:$A$493,0)),"")</f>
        <v>32</v>
      </c>
      <c r="P100" s="23" t="str">
        <f>IFERROR(IF($O100="","",IF((1-(COUNTIFS($B$2:$B$492,$B100,$O$2:$O$492,"&gt;"&amp;$O100)+1-1)/COUNTIF($B$2:$B$492,$B100))&gt;='Parametri Modello'!$B$63,"Top",IF((1-(COUNTIFS($B$2:$B$492,$B100,$O$2:$O$492,"&gt;"&amp;$O100)+1-1)/COUNTIF($B$2:$B$492,$B100))&gt;='Parametri Modello'!$B$64,"Buono",IF((1-(COUNTIFS($B$2:$B$492,$B100,$O$2:$O$492,"&gt;"&amp;$O100)+1-1)/COUNTIF($B$2:$B$492,$B100))&gt;='Parametri Modello'!$B$65,"Nella Media","Scommessa/Riserva")))),"")</f>
        <v>Buono</v>
      </c>
      <c r="Q100" s="26">
        <f>IF(AND($D100="",$N100&gt;1),SUMPRODUCT(($D$2:$D100="")*($N$2:$N100&gt;1)),"")</f>
        <v>99</v>
      </c>
      <c r="R100" s="26" t="str">
        <f>IF($D100='Info Lega'!$B$28,COUNTIFS($D$2:$D100,'Info Lega'!$B$28),"")</f>
        <v/>
      </c>
      <c r="S100" s="27">
        <f>IFERROR(INDEX('Input Statistiche 2025_26'!$G$3:$G$665,MATCH($A100,'Input Statistiche 2025_26'!$A$3:$A$665,0)),"")</f>
        <v>5.94</v>
      </c>
      <c r="T100" s="27">
        <f>IFERROR(INDEX('Input Statistiche 2025_26'!$H$3:$H$665,MATCH($A100,'Input Statistiche 2025_26'!$A$3:$A$665,0)),"")</f>
        <v>6.27</v>
      </c>
      <c r="U100" s="23" t="str">
        <f>IF(OR('La Mia Rosa'!$O$12="",$D100&lt;&gt;""),"",IF($F100&lt;='La Mia Rosa'!$O$12*'Parametri Modello'!$B$24,"OK",IF($F100&lt;='La Mia Rosa'!$O$12*'Parametri Modello'!$B$25,"Attenzione","Rischio Alto")))</f>
        <v>OK</v>
      </c>
      <c r="V100" s="23">
        <f t="shared" si="10"/>
        <v>37</v>
      </c>
      <c r="W100" s="18">
        <f>'Info Lega'!$B$4-SUMIFS($M$2:$M$492,$D$2:$D$492,'Info Lega'!$B$28)</f>
        <v>1000</v>
      </c>
      <c r="X100" s="18">
        <f>('Info Lega'!$B$5-COUNTIFS($D$2:$D$492,'Info Lega'!$B$28,$B$2:$B$492,"P"))+('Info Lega'!$B$6-COUNTIFS($D$2:$D$492,'Info Lega'!$B$28,$B$2:$B$492,"D"))+('Info Lega'!$B$7-COUNTIFS($D$2:$D$492,'Info Lega'!$B$28,$B$2:$B$492,"C"))+('Info Lega'!$B$8-COUNTIFS($D$2:$D$492,'Info Lega'!$B$28,$B$2:$B$492,"A"))</f>
        <v>25</v>
      </c>
      <c r="Y100" s="18">
        <f>X100*'Parametri Modello'!$B$30</f>
        <v>25</v>
      </c>
      <c r="Z100" s="18">
        <f t="shared" si="11"/>
        <v>975</v>
      </c>
      <c r="AA100" s="18">
        <f t="shared" si="12"/>
        <v>4</v>
      </c>
      <c r="AB100" s="18"/>
      <c r="AC100" s="18" t="str">
        <f>IF($AB100="","",IF($AB100&gt;$AA100,"PASS",IF($AB100&lt;=$AA100*(1-'Parametri Modello'!$B$68),"BID","ATTENZIONE")))</f>
        <v/>
      </c>
      <c r="AD100" s="28">
        <f t="shared" si="13"/>
        <v>64</v>
      </c>
      <c r="AE100" s="5" t="str">
        <f>IFERROR(INDEX('Stato Asta'!$G$9:$G$12,MATCH($B100,'Stato Asta'!$A$9:$A$12,0)),"")</f>
        <v>🔴 Non aspettare</v>
      </c>
      <c r="AF100" t="str">
        <f>IFERROR(IF($V100&lt;=INDEX('Parametri Modello'!$C$57:$C$60,MATCH($B100,'Parametri Modello'!$A$57:$A$60,0)),"Titolare","Riserva"),"")</f>
        <v>Riserva</v>
      </c>
      <c r="AG100" t="str">
        <f>IFERROR(INDEX('Pressione Competitiva'!$F$3:$F$6,MATCH($B100,'Pressione Competitiva'!$B$3:$B$6,0)),"")</f>
        <v>🔴 Molto Alta</v>
      </c>
      <c r="AH100" t="str">
        <f t="shared" si="14"/>
        <v/>
      </c>
      <c r="AI100" t="str">
        <f>IFERROR(IF($AH100="","",IF($AH100&gt;=$AA100*'Parametri Modello'!$B$68,"🟢 Opportunita'",IF($AH100&lt;=$AA100*'Parametri Modello'!$B$69,"🔴 Sovrapprezzo","🟡 Prezzo Corretto"))),"")</f>
        <v/>
      </c>
      <c r="AJ100" t="str">
        <f t="shared" si="15"/>
        <v/>
      </c>
      <c r="AK100">
        <f t="shared" si="16"/>
        <v>19</v>
      </c>
      <c r="AL100" t="str">
        <f t="shared" si="17"/>
        <v>C|Buono|19</v>
      </c>
    </row>
    <row r="101" spans="1:38" ht="14.25" customHeight="1" x14ac:dyDescent="0.25">
      <c r="A101" s="18">
        <v>827</v>
      </c>
      <c r="B101" s="18" t="s">
        <v>17</v>
      </c>
      <c r="C101" s="18" t="s">
        <v>240</v>
      </c>
      <c r="E101" s="23" t="str">
        <f>IF(COUNTIF('Info Strategia'!$D$2:$D$51,$C101)&gt;0,"SI","NO")</f>
        <v>NO</v>
      </c>
      <c r="F101" s="24">
        <f>IFERROR(ROUND(($G101+($H101-$G101)*'Info Strategia'!$B$6)*(1+IF($E101="SI",'Parametri Modello'!$B$7*'Info Strategia'!$B$6,0)),0),"")</f>
        <v>4</v>
      </c>
      <c r="G101" s="24">
        <f>IFERROR(ROUND(MAX(1,(IF($V101&lt;=INDEX('Parametri Modello'!$C$57:$C$60,MATCH($B101,'Parametri Modello'!$A$57:$A$60,0)),IF(INDEX('Parametri Modello'!$E$57:$E$60,MATCH($B101,'Parametri Modello'!$A$57:$A$60,0))=0,0,($O101/INDEX('Parametri Modello'!$E$57:$E$60,MATCH($B101,'Parametri Modello'!$A$57:$A$60,0)))*(INDEX('Parametri Modello'!$D$57:$D$60,MATCH($B101,'Parametri Modello'!$A$57:$A$60,0))*(INDEX('Parametri Modello'!$B$50:$B$53,MATCH($B101,'Parametri Modello'!$A$50:$A$53,0))*'Parametri Modello'!$B$44))),IF(INDEX('Parametri Modello'!$F$57:$F$60,MATCH($B101,'Parametri Modello'!$A$57:$A$60,0))=0,0,($O101/INDEX('Parametri Modello'!$F$57:$F$60,MATCH($B101,'Parametri Modello'!$A$57:$A$60,0)))*((1-INDEX('Parametri Modello'!$D$57:$D$60,MATCH($B101,'Parametri Modello'!$A$57:$A$60,0)))*(INDEX('Parametri Modello'!$B$50:$B$53,MATCH($B101,'Parametri Modello'!$A$50:$A$53,0))*'Parametri Modello'!$B$44))))*(1+IF(IF($B101="D",'Info Lega'!$B$25,IF($B101="C",'Info Lega'!$B$26,"No"))="Si",'Parametri Modello'!$B$5,0))*(1+MAX(-0.25,MIN(0.25,IF(OR($T101="",$I101="",$I101=0,INDEX('Parametri Modello'!$B$19:$B$22,MATCH($B101,'Parametri Modello'!$A$19:$A$22,0))="",INDEX('Parametri Modello'!$B$19:$B$22,MATCH($B101,'Parametri Modello'!$A$19:$A$22,0))=0),0,(($T101-INDEX('Parametri Modello'!$B$19:$B$22,MATCH($B101,'Parametri Modello'!$A$19:$A$22,0)))/INDEX('Parametri Modello'!$B$19:$B$22,MATCH($B101,'Parametri Modello'!$A$19:$A$22,0)))*'Parametri Modello'!$B$9))))*(1+IF('Parametri Modello'!$B$27="Si",MAX(-'Parametri Modello'!$B$28,MIN('Parametri Modello'!$B$28*1.5,IF(OR(INDEX('Parametri Modello'!$F$32:$F$35,MATCH($B101,'Parametri Modello'!$A$32:$A$35,0))="",INDEX('Parametri Modello'!$F$32:$F$35,MATCH($B101,'Parametri Modello'!$A$32:$A$35,0))=0),0,(1/INDEX('Parametri Modello'!$F$32:$F$35,MATCH($B101,'Parametri Modello'!$A$32:$A$35,0))-1)*'Parametri Modello'!$B$28))),0)))*(1-INDEX('Parametri Modello'!$B$12:$B$15,MATCH($B101,'Parametri Modello'!$A$12:$A$15,0)))),0),"")</f>
        <v>3</v>
      </c>
      <c r="H101" s="24">
        <f>IFERROR(ROUND((IF($V101&lt;=INDEX('Parametri Modello'!$C$57:$C$60,MATCH($B101,'Parametri Modello'!$A$57:$A$60,0)),IF(INDEX('Parametri Modello'!$E$57:$E$60,MATCH($B101,'Parametri Modello'!$A$57:$A$60,0))=0,0,($O101/INDEX('Parametri Modello'!$E$57:$E$60,MATCH($B101,'Parametri Modello'!$A$57:$A$60,0)))*(INDEX('Parametri Modello'!$D$57:$D$60,MATCH($B101,'Parametri Modello'!$A$57:$A$60,0))*(INDEX('Parametri Modello'!$B$50:$B$53,MATCH($B101,'Parametri Modello'!$A$50:$A$53,0))*'Parametri Modello'!$B$44))),IF(INDEX('Parametri Modello'!$F$57:$F$60,MATCH($B101,'Parametri Modello'!$A$57:$A$60,0))=0,0,($O101/INDEX('Parametri Modello'!$F$57:$F$60,MATCH($B101,'Parametri Modello'!$A$57:$A$60,0)))*((1-INDEX('Parametri Modello'!$D$57:$D$60,MATCH($B101,'Parametri Modello'!$A$57:$A$60,0)))*(INDEX('Parametri Modello'!$B$50:$B$53,MATCH($B101,'Parametri Modello'!$A$50:$A$53,0))*'Parametri Modello'!$B$44))))*(1+IF(IF($B101="D",'Info Lega'!$B$25,IF($B101="C",'Info Lega'!$B$26,"No"))="Si",'Parametri Modello'!$B$5,0))*(1+MAX(-0.25,MIN(0.25,IF(OR($T101="",$I101="",$I101=0,INDEX('Parametri Modello'!$B$19:$B$22,MATCH($B101,'Parametri Modello'!$A$19:$A$22,0))="",INDEX('Parametri Modello'!$B$19:$B$22,MATCH($B101,'Parametri Modello'!$A$19:$A$22,0))=0),0,(($T101-INDEX('Parametri Modello'!$B$19:$B$22,MATCH($B101,'Parametri Modello'!$A$19:$A$22,0)))/INDEX('Parametri Modello'!$B$19:$B$22,MATCH($B101,'Parametri Modello'!$A$19:$A$22,0)))*'Parametri Modello'!$B$9))))*(1+IF('Parametri Modello'!$B$27="Si",MAX(-'Parametri Modello'!$B$28,MIN('Parametri Modello'!$B$28*1.5,IF(OR(INDEX('Parametri Modello'!$F$32:$F$35,MATCH($B101,'Parametri Modello'!$A$32:$A$35,0))="",INDEX('Parametri Modello'!$F$32:$F$35,MATCH($B101,'Parametri Modello'!$A$32:$A$35,0))=0),0,(1/INDEX('Parametri Modello'!$F$32:$F$35,MATCH($B101,'Parametri Modello'!$A$32:$A$35,0))-1)*'Parametri Modello'!$B$28))),0)))*(1+INDEX('Parametri Modello'!$B$12:$B$15,MATCH($B101,'Parametri Modello'!$A$12:$A$15,0))),0),"")</f>
        <v>5</v>
      </c>
      <c r="I101" s="23">
        <f>IFERROR(INDEX('Input Statistiche 2025_26'!$F$3:$F$665,MATCH($A101,'Input Statistiche 2025_26'!$A$3:$A$665,0)),"")</f>
        <v>36</v>
      </c>
      <c r="J101" s="23">
        <f t="shared" si="9"/>
        <v>2</v>
      </c>
      <c r="K101" s="23">
        <f>IFERROR(INDEX('Input Statistiche 2025_26'!$I$3:$I$665,MATCH($A101,'Input Statistiche 2025_26'!$A$3:$A$665,0)),"")</f>
        <v>1</v>
      </c>
      <c r="L101" s="23">
        <f>IFERROR(INDEX('Input Statistiche 2025_26'!$O$3:$O$665,MATCH($A101,'Input Statistiche 2025_26'!$A$3:$A$665,0)),"")</f>
        <v>2</v>
      </c>
      <c r="M101" s="25"/>
      <c r="N101" s="24">
        <f>IFERROR(INDEX('Input Giocatori 2026_27'!$E$3:$E$493,MATCH($A101,'Input Giocatori 2026_27'!$A$3:$A$493,0)),"")</f>
        <v>8</v>
      </c>
      <c r="O101" s="24">
        <f>IFERROR(INDEX('Input Giocatori 2026_27'!$G$3:$G$493,MATCH($A101,'Input Giocatori 2026_27'!$A$3:$A$493,0)),"")</f>
        <v>32</v>
      </c>
      <c r="P101" s="23" t="str">
        <f>IFERROR(IF($O101="","",IF((1-(COUNTIFS($B$2:$B$492,$B101,$O$2:$O$492,"&gt;"&amp;$O101)+1-1)/COUNTIF($B$2:$B$492,$B101))&gt;='Parametri Modello'!$B$63,"Top",IF((1-(COUNTIFS($B$2:$B$492,$B101,$O$2:$O$492,"&gt;"&amp;$O101)+1-1)/COUNTIF($B$2:$B$492,$B101))&gt;='Parametri Modello'!$B$64,"Buono",IF((1-(COUNTIFS($B$2:$B$492,$B101,$O$2:$O$492,"&gt;"&amp;$O101)+1-1)/COUNTIF($B$2:$B$492,$B101))&gt;='Parametri Modello'!$B$65,"Nella Media","Scommessa/Riserva")))),"")</f>
        <v>Buono</v>
      </c>
      <c r="Q101" s="26">
        <f>IF(AND($D101="",$N101&gt;1),SUMPRODUCT(($D$2:$D101="")*($N$2:$N101&gt;1)),"")</f>
        <v>100</v>
      </c>
      <c r="R101" s="26" t="str">
        <f>IF($D101='Info Lega'!$B$28,COUNTIFS($D$2:$D101,'Info Lega'!$B$28),"")</f>
        <v/>
      </c>
      <c r="S101" s="27">
        <f>IFERROR(INDEX('Input Statistiche 2025_26'!$G$3:$G$665,MATCH($A101,'Input Statistiche 2025_26'!$A$3:$A$665,0)),"")</f>
        <v>6.26</v>
      </c>
      <c r="T101" s="27">
        <f>IFERROR(INDEX('Input Statistiche 2025_26'!$H$3:$H$665,MATCH($A101,'Input Statistiche 2025_26'!$A$3:$A$665,0)),"")</f>
        <v>6.19</v>
      </c>
      <c r="U101" s="23" t="str">
        <f>IF(OR('La Mia Rosa'!$O$12="",$D101&lt;&gt;""),"",IF($F101&lt;='La Mia Rosa'!$O$12*'Parametri Modello'!$B$24,"OK",IF($F101&lt;='La Mia Rosa'!$O$12*'Parametri Modello'!$B$25,"Attenzione","Rischio Alto")))</f>
        <v>OK</v>
      </c>
      <c r="V101" s="23">
        <f t="shared" si="10"/>
        <v>37</v>
      </c>
      <c r="W101" s="18">
        <f>'Info Lega'!$B$4-SUMIFS($M$2:$M$492,$D$2:$D$492,'Info Lega'!$B$28)</f>
        <v>1000</v>
      </c>
      <c r="X101" s="18">
        <f>('Info Lega'!$B$5-COUNTIFS($D$2:$D$492,'Info Lega'!$B$28,$B$2:$B$492,"P"))+('Info Lega'!$B$6-COUNTIFS($D$2:$D$492,'Info Lega'!$B$28,$B$2:$B$492,"D"))+('Info Lega'!$B$7-COUNTIFS($D$2:$D$492,'Info Lega'!$B$28,$B$2:$B$492,"C"))+('Info Lega'!$B$8-COUNTIFS($D$2:$D$492,'Info Lega'!$B$28,$B$2:$B$492,"A"))</f>
        <v>25</v>
      </c>
      <c r="Y101" s="18">
        <f>X101*'Parametri Modello'!$B$30</f>
        <v>25</v>
      </c>
      <c r="Z101" s="18">
        <f t="shared" si="11"/>
        <v>975</v>
      </c>
      <c r="AA101" s="18">
        <f t="shared" si="12"/>
        <v>4</v>
      </c>
      <c r="AB101" s="18"/>
      <c r="AC101" s="18" t="str">
        <f>IF($AB101="","",IF($AB101&gt;$AA101,"PASS",IF($AB101&lt;=$AA101*(1-'Parametri Modello'!$B$68),"BID","ATTENZIONE")))</f>
        <v/>
      </c>
      <c r="AD101" s="28">
        <f t="shared" si="13"/>
        <v>70</v>
      </c>
      <c r="AE101" s="5" t="str">
        <f>IFERROR(INDEX('Stato Asta'!$G$9:$G$12,MATCH($B101,'Stato Asta'!$A$9:$A$12,0)),"")</f>
        <v>🔴 Non aspettare</v>
      </c>
      <c r="AF101" t="str">
        <f>IFERROR(IF($V101&lt;=INDEX('Parametri Modello'!$C$57:$C$60,MATCH($B101,'Parametri Modello'!$A$57:$A$60,0)),"Titolare","Riserva"),"")</f>
        <v>Riserva</v>
      </c>
      <c r="AG101" t="str">
        <f>IFERROR(INDEX('Pressione Competitiva'!$F$3:$F$6,MATCH($B101,'Pressione Competitiva'!$B$3:$B$6,0)),"")</f>
        <v>🔴 Molto Alta</v>
      </c>
      <c r="AH101" t="str">
        <f t="shared" si="14"/>
        <v/>
      </c>
      <c r="AI101" t="str">
        <f>IFERROR(IF($AH101="","",IF($AH101&gt;=$AA101*'Parametri Modello'!$B$68,"🟢 Opportunita'",IF($AH101&lt;=$AA101*'Parametri Modello'!$B$69,"🔴 Sovrapprezzo","🟡 Prezzo Corretto"))),"")</f>
        <v/>
      </c>
      <c r="AJ101" t="str">
        <f t="shared" si="15"/>
        <v/>
      </c>
      <c r="AK101">
        <f t="shared" si="16"/>
        <v>19</v>
      </c>
      <c r="AL101" t="str">
        <f t="shared" si="17"/>
        <v>C|Buono|19</v>
      </c>
    </row>
    <row r="102" spans="1:38" ht="14.25" customHeight="1" x14ac:dyDescent="0.25">
      <c r="A102" s="18">
        <v>7313</v>
      </c>
      <c r="B102" s="18" t="s">
        <v>18</v>
      </c>
      <c r="C102" s="18" t="s">
        <v>241</v>
      </c>
      <c r="E102" s="23" t="str">
        <f>IF(COUNTIF('Info Strategia'!$D$2:$D$51,$C102)&gt;0,"SI","NO")</f>
        <v>NO</v>
      </c>
      <c r="F102" s="24">
        <f>IFERROR(ROUND(($G102+($H102-$G102)*'Info Strategia'!$B$6)*(1+IF($E102="SI",'Parametri Modello'!$B$7*'Info Strategia'!$B$6,0)),0),"")</f>
        <v>10</v>
      </c>
      <c r="G102" s="24">
        <f>IFERROR(ROUND(MAX(1,(IF($V102&lt;=INDEX('Parametri Modello'!$C$57:$C$60,MATCH($B102,'Parametri Modello'!$A$57:$A$60,0)),IF(INDEX('Parametri Modello'!$E$57:$E$60,MATCH($B102,'Parametri Modello'!$A$57:$A$60,0))=0,0,($O102/INDEX('Parametri Modello'!$E$57:$E$60,MATCH($B102,'Parametri Modello'!$A$57:$A$60,0)))*(INDEX('Parametri Modello'!$D$57:$D$60,MATCH($B102,'Parametri Modello'!$A$57:$A$60,0))*(INDEX('Parametri Modello'!$B$50:$B$53,MATCH($B102,'Parametri Modello'!$A$50:$A$53,0))*'Parametri Modello'!$B$44))),IF(INDEX('Parametri Modello'!$F$57:$F$60,MATCH($B102,'Parametri Modello'!$A$57:$A$60,0))=0,0,($O102/INDEX('Parametri Modello'!$F$57:$F$60,MATCH($B102,'Parametri Modello'!$A$57:$A$60,0)))*((1-INDEX('Parametri Modello'!$D$57:$D$60,MATCH($B102,'Parametri Modello'!$A$57:$A$60,0)))*(INDEX('Parametri Modello'!$B$50:$B$53,MATCH($B102,'Parametri Modello'!$A$50:$A$53,0))*'Parametri Modello'!$B$44))))*(1+IF(IF($B102="D",'Info Lega'!$B$25,IF($B102="C",'Info Lega'!$B$26,"No"))="Si",'Parametri Modello'!$B$5,0))*(1+MAX(-0.25,MIN(0.25,IF(OR($T102="",$I102="",$I102=0,INDEX('Parametri Modello'!$B$19:$B$22,MATCH($B102,'Parametri Modello'!$A$19:$A$22,0))="",INDEX('Parametri Modello'!$B$19:$B$22,MATCH($B102,'Parametri Modello'!$A$19:$A$22,0))=0),0,(($T102-INDEX('Parametri Modello'!$B$19:$B$22,MATCH($B102,'Parametri Modello'!$A$19:$A$22,0)))/INDEX('Parametri Modello'!$B$19:$B$22,MATCH($B102,'Parametri Modello'!$A$19:$A$22,0)))*'Parametri Modello'!$B$9))))*(1+IF('Parametri Modello'!$B$27="Si",MAX(-'Parametri Modello'!$B$28,MIN('Parametri Modello'!$B$28*1.5,IF(OR(INDEX('Parametri Modello'!$F$32:$F$35,MATCH($B102,'Parametri Modello'!$A$32:$A$35,0))="",INDEX('Parametri Modello'!$F$32:$F$35,MATCH($B102,'Parametri Modello'!$A$32:$A$35,0))=0),0,(1/INDEX('Parametri Modello'!$F$32:$F$35,MATCH($B102,'Parametri Modello'!$A$32:$A$35,0))-1)*'Parametri Modello'!$B$28))),0)))*(1-INDEX('Parametri Modello'!$B$12:$B$15,MATCH($B102,'Parametri Modello'!$A$12:$A$15,0)))),0),"")</f>
        <v>6</v>
      </c>
      <c r="H102" s="24">
        <f>IFERROR(ROUND((IF($V102&lt;=INDEX('Parametri Modello'!$C$57:$C$60,MATCH($B102,'Parametri Modello'!$A$57:$A$60,0)),IF(INDEX('Parametri Modello'!$E$57:$E$60,MATCH($B102,'Parametri Modello'!$A$57:$A$60,0))=0,0,($O102/INDEX('Parametri Modello'!$E$57:$E$60,MATCH($B102,'Parametri Modello'!$A$57:$A$60,0)))*(INDEX('Parametri Modello'!$D$57:$D$60,MATCH($B102,'Parametri Modello'!$A$57:$A$60,0))*(INDEX('Parametri Modello'!$B$50:$B$53,MATCH($B102,'Parametri Modello'!$A$50:$A$53,0))*'Parametri Modello'!$B$44))),IF(INDEX('Parametri Modello'!$F$57:$F$60,MATCH($B102,'Parametri Modello'!$A$57:$A$60,0))=0,0,($O102/INDEX('Parametri Modello'!$F$57:$F$60,MATCH($B102,'Parametri Modello'!$A$57:$A$60,0)))*((1-INDEX('Parametri Modello'!$D$57:$D$60,MATCH($B102,'Parametri Modello'!$A$57:$A$60,0)))*(INDEX('Parametri Modello'!$B$50:$B$53,MATCH($B102,'Parametri Modello'!$A$50:$A$53,0))*'Parametri Modello'!$B$44))))*(1+IF(IF($B102="D",'Info Lega'!$B$25,IF($B102="C",'Info Lega'!$B$26,"No"))="Si",'Parametri Modello'!$B$5,0))*(1+MAX(-0.25,MIN(0.25,IF(OR($T102="",$I102="",$I102=0,INDEX('Parametri Modello'!$B$19:$B$22,MATCH($B102,'Parametri Modello'!$A$19:$A$22,0))="",INDEX('Parametri Modello'!$B$19:$B$22,MATCH($B102,'Parametri Modello'!$A$19:$A$22,0))=0),0,(($T102-INDEX('Parametri Modello'!$B$19:$B$22,MATCH($B102,'Parametri Modello'!$A$19:$A$22,0)))/INDEX('Parametri Modello'!$B$19:$B$22,MATCH($B102,'Parametri Modello'!$A$19:$A$22,0)))*'Parametri Modello'!$B$9))))*(1+IF('Parametri Modello'!$B$27="Si",MAX(-'Parametri Modello'!$B$28,MIN('Parametri Modello'!$B$28*1.5,IF(OR(INDEX('Parametri Modello'!$F$32:$F$35,MATCH($B102,'Parametri Modello'!$A$32:$A$35,0))="",INDEX('Parametri Modello'!$F$32:$F$35,MATCH($B102,'Parametri Modello'!$A$32:$A$35,0))=0),0,(1/INDEX('Parametri Modello'!$F$32:$F$35,MATCH($B102,'Parametri Modello'!$A$32:$A$35,0))-1)*'Parametri Modello'!$B$28))),0)))*(1+INDEX('Parametri Modello'!$B$12:$B$15,MATCH($B102,'Parametri Modello'!$A$12:$A$15,0))),0),"")</f>
        <v>12</v>
      </c>
      <c r="I102" s="23">
        <f>IFERROR(INDEX('Input Statistiche 2025_26'!$F$3:$F$665,MATCH($A102,'Input Statistiche 2025_26'!$A$3:$A$665,0)),"")</f>
        <v>7</v>
      </c>
      <c r="J102" s="23">
        <f t="shared" si="9"/>
        <v>31</v>
      </c>
      <c r="K102" s="23">
        <f>IFERROR(INDEX('Input Statistiche 2025_26'!$I$3:$I$665,MATCH($A102,'Input Statistiche 2025_26'!$A$3:$A$665,0)),"")</f>
        <v>0</v>
      </c>
      <c r="L102" s="23">
        <f>IFERROR(INDEX('Input Statistiche 2025_26'!$O$3:$O$665,MATCH($A102,'Input Statistiche 2025_26'!$A$3:$A$665,0)),"")</f>
        <v>0</v>
      </c>
      <c r="M102" s="25"/>
      <c r="N102" s="24">
        <f>IFERROR(INDEX('Input Giocatori 2026_27'!$E$3:$E$493,MATCH($A102,'Input Giocatori 2026_27'!$A$3:$A$493,0)),"")</f>
        <v>10</v>
      </c>
      <c r="O102" s="24">
        <f>IFERROR(INDEX('Input Giocatori 2026_27'!$G$3:$G$493,MATCH($A102,'Input Giocatori 2026_27'!$A$3:$A$493,0)),"")</f>
        <v>32</v>
      </c>
      <c r="P102" s="23" t="str">
        <f>IFERROR(IF($O102="","",IF((1-(COUNTIFS($B$2:$B$492,$B102,$O$2:$O$492,"&gt;"&amp;$O102)+1-1)/COUNTIF($B$2:$B$492,$B102))&gt;='Parametri Modello'!$B$63,"Top",IF((1-(COUNTIFS($B$2:$B$492,$B102,$O$2:$O$492,"&gt;"&amp;$O102)+1-1)/COUNTIF($B$2:$B$492,$B102))&gt;='Parametri Modello'!$B$64,"Buono",IF((1-(COUNTIFS($B$2:$B$492,$B102,$O$2:$O$492,"&gt;"&amp;$O102)+1-1)/COUNTIF($B$2:$B$492,$B102))&gt;='Parametri Modello'!$B$65,"Nella Media","Scommessa/Riserva")))),"")</f>
        <v>Nella Media</v>
      </c>
      <c r="Q102" s="26">
        <f>IF(AND($D102="",$N102&gt;1),SUMPRODUCT(($D$2:$D102="")*($N$2:$N102&gt;1)),"")</f>
        <v>101</v>
      </c>
      <c r="R102" s="26" t="str">
        <f>IF($D102='Info Lega'!$B$28,COUNTIFS($D$2:$D102,'Info Lega'!$B$28),"")</f>
        <v/>
      </c>
      <c r="S102" s="27">
        <f>IFERROR(INDEX('Input Statistiche 2025_26'!$G$3:$G$665,MATCH($A102,'Input Statistiche 2025_26'!$A$3:$A$665,0)),"")</f>
        <v>5.64</v>
      </c>
      <c r="T102" s="27">
        <f>IFERROR(INDEX('Input Statistiche 2025_26'!$H$3:$H$665,MATCH($A102,'Input Statistiche 2025_26'!$A$3:$A$665,0)),"")</f>
        <v>5.64</v>
      </c>
      <c r="U102" s="23" t="str">
        <f>IF(OR('La Mia Rosa'!$O$12="",$D102&lt;&gt;""),"",IF($F102&lt;='La Mia Rosa'!$O$12*'Parametri Modello'!$B$24,"OK",IF($F102&lt;='La Mia Rosa'!$O$12*'Parametri Modello'!$B$25,"Attenzione","Rischio Alto")))</f>
        <v>OK</v>
      </c>
      <c r="V102" s="23">
        <f t="shared" si="10"/>
        <v>36</v>
      </c>
      <c r="W102" s="18">
        <f>'Info Lega'!$B$4-SUMIFS($M$2:$M$492,$D$2:$D$492,'Info Lega'!$B$28)</f>
        <v>1000</v>
      </c>
      <c r="X102" s="18">
        <f>('Info Lega'!$B$5-COUNTIFS($D$2:$D$492,'Info Lega'!$B$28,$B$2:$B$492,"P"))+('Info Lega'!$B$6-COUNTIFS($D$2:$D$492,'Info Lega'!$B$28,$B$2:$B$492,"D"))+('Info Lega'!$B$7-COUNTIFS($D$2:$D$492,'Info Lega'!$B$28,$B$2:$B$492,"C"))+('Info Lega'!$B$8-COUNTIFS($D$2:$D$492,'Info Lega'!$B$28,$B$2:$B$492,"A"))</f>
        <v>25</v>
      </c>
      <c r="Y102" s="18">
        <f>X102*'Parametri Modello'!$B$30</f>
        <v>25</v>
      </c>
      <c r="Z102" s="18">
        <f t="shared" si="11"/>
        <v>975</v>
      </c>
      <c r="AA102" s="18">
        <f t="shared" si="12"/>
        <v>10</v>
      </c>
      <c r="AB102" s="18"/>
      <c r="AC102" s="18" t="str">
        <f>IF($AB102="","",IF($AB102&gt;$AA102,"PASS",IF($AB102&lt;=$AA102*(1-'Parametri Modello'!$B$68),"BID","ATTENZIONE")))</f>
        <v/>
      </c>
      <c r="AD102" s="28">
        <f t="shared" si="13"/>
        <v>21</v>
      </c>
      <c r="AE102" s="5" t="str">
        <f>IFERROR(INDEX('Stato Asta'!$G$9:$G$12,MATCH($B102,'Stato Asta'!$A$9:$A$12,0)),"")</f>
        <v>🔴 Non aspettare</v>
      </c>
      <c r="AF102" t="str">
        <f>IFERROR(IF($V102&lt;=INDEX('Parametri Modello'!$C$57:$C$60,MATCH($B102,'Parametri Modello'!$A$57:$A$60,0)),"Titolare","Riserva"),"")</f>
        <v>Riserva</v>
      </c>
      <c r="AG102" t="str">
        <f>IFERROR(INDEX('Pressione Competitiva'!$F$3:$F$6,MATCH($B102,'Pressione Competitiva'!$B$3:$B$6,0)),"")</f>
        <v>🔴 Molto Alta</v>
      </c>
      <c r="AH102" t="str">
        <f t="shared" si="14"/>
        <v/>
      </c>
      <c r="AI102" t="str">
        <f>IFERROR(IF($AH102="","",IF($AH102&gt;=$AA102*'Parametri Modello'!$B$68,"🟢 Opportunita'",IF($AH102&lt;=$AA102*'Parametri Modello'!$B$69,"🔴 Sovrapprezzo","🟡 Prezzo Corretto"))),"")</f>
        <v/>
      </c>
      <c r="AJ102" t="str">
        <f t="shared" si="15"/>
        <v/>
      </c>
      <c r="AK102">
        <f t="shared" si="16"/>
        <v>10</v>
      </c>
      <c r="AL102" t="str">
        <f t="shared" si="17"/>
        <v>A|Nella Media|10</v>
      </c>
    </row>
    <row r="103" spans="1:38" ht="14.25" customHeight="1" x14ac:dyDescent="0.25">
      <c r="A103" s="18">
        <v>6646</v>
      </c>
      <c r="B103" s="18" t="s">
        <v>18</v>
      </c>
      <c r="C103" s="18" t="s">
        <v>242</v>
      </c>
      <c r="E103" s="23" t="str">
        <f>IF(COUNTIF('Info Strategia'!$D$2:$D$51,$C103)&gt;0,"SI","NO")</f>
        <v>NO</v>
      </c>
      <c r="F103" s="24">
        <f>IFERROR(ROUND(($G103+($H103-$G103)*'Info Strategia'!$B$6)*(1+IF($E103="SI",'Parametri Modello'!$B$7*'Info Strategia'!$B$6,0)),0),"")</f>
        <v>10</v>
      </c>
      <c r="G103" s="24">
        <f>IFERROR(ROUND(MAX(1,(IF($V103&lt;=INDEX('Parametri Modello'!$C$57:$C$60,MATCH($B103,'Parametri Modello'!$A$57:$A$60,0)),IF(INDEX('Parametri Modello'!$E$57:$E$60,MATCH($B103,'Parametri Modello'!$A$57:$A$60,0))=0,0,($O103/INDEX('Parametri Modello'!$E$57:$E$60,MATCH($B103,'Parametri Modello'!$A$57:$A$60,0)))*(INDEX('Parametri Modello'!$D$57:$D$60,MATCH($B103,'Parametri Modello'!$A$57:$A$60,0))*(INDEX('Parametri Modello'!$B$50:$B$53,MATCH($B103,'Parametri Modello'!$A$50:$A$53,0))*'Parametri Modello'!$B$44))),IF(INDEX('Parametri Modello'!$F$57:$F$60,MATCH($B103,'Parametri Modello'!$A$57:$A$60,0))=0,0,($O103/INDEX('Parametri Modello'!$F$57:$F$60,MATCH($B103,'Parametri Modello'!$A$57:$A$60,0)))*((1-INDEX('Parametri Modello'!$D$57:$D$60,MATCH($B103,'Parametri Modello'!$A$57:$A$60,0)))*(INDEX('Parametri Modello'!$B$50:$B$53,MATCH($B103,'Parametri Modello'!$A$50:$A$53,0))*'Parametri Modello'!$B$44))))*(1+IF(IF($B103="D",'Info Lega'!$B$25,IF($B103="C",'Info Lega'!$B$26,"No"))="Si",'Parametri Modello'!$B$5,0))*(1+MAX(-0.25,MIN(0.25,IF(OR($T103="",$I103="",$I103=0,INDEX('Parametri Modello'!$B$19:$B$22,MATCH($B103,'Parametri Modello'!$A$19:$A$22,0))="",INDEX('Parametri Modello'!$B$19:$B$22,MATCH($B103,'Parametri Modello'!$A$19:$A$22,0))=0),0,(($T103-INDEX('Parametri Modello'!$B$19:$B$22,MATCH($B103,'Parametri Modello'!$A$19:$A$22,0)))/INDEX('Parametri Modello'!$B$19:$B$22,MATCH($B103,'Parametri Modello'!$A$19:$A$22,0)))*'Parametri Modello'!$B$9))))*(1+IF('Parametri Modello'!$B$27="Si",MAX(-'Parametri Modello'!$B$28,MIN('Parametri Modello'!$B$28*1.5,IF(OR(INDEX('Parametri Modello'!$F$32:$F$35,MATCH($B103,'Parametri Modello'!$A$32:$A$35,0))="",INDEX('Parametri Modello'!$F$32:$F$35,MATCH($B103,'Parametri Modello'!$A$32:$A$35,0))=0),0,(1/INDEX('Parametri Modello'!$F$32:$F$35,MATCH($B103,'Parametri Modello'!$A$32:$A$35,0))-1)*'Parametri Modello'!$B$28))),0)))*(1-INDEX('Parametri Modello'!$B$12:$B$15,MATCH($B103,'Parametri Modello'!$A$12:$A$15,0)))),0),"")</f>
        <v>6</v>
      </c>
      <c r="H103" s="24">
        <f>IFERROR(ROUND((IF($V103&lt;=INDEX('Parametri Modello'!$C$57:$C$60,MATCH($B103,'Parametri Modello'!$A$57:$A$60,0)),IF(INDEX('Parametri Modello'!$E$57:$E$60,MATCH($B103,'Parametri Modello'!$A$57:$A$60,0))=0,0,($O103/INDEX('Parametri Modello'!$E$57:$E$60,MATCH($B103,'Parametri Modello'!$A$57:$A$60,0)))*(INDEX('Parametri Modello'!$D$57:$D$60,MATCH($B103,'Parametri Modello'!$A$57:$A$60,0))*(INDEX('Parametri Modello'!$B$50:$B$53,MATCH($B103,'Parametri Modello'!$A$50:$A$53,0))*'Parametri Modello'!$B$44))),IF(INDEX('Parametri Modello'!$F$57:$F$60,MATCH($B103,'Parametri Modello'!$A$57:$A$60,0))=0,0,($O103/INDEX('Parametri Modello'!$F$57:$F$60,MATCH($B103,'Parametri Modello'!$A$57:$A$60,0)))*((1-INDEX('Parametri Modello'!$D$57:$D$60,MATCH($B103,'Parametri Modello'!$A$57:$A$60,0)))*(INDEX('Parametri Modello'!$B$50:$B$53,MATCH($B103,'Parametri Modello'!$A$50:$A$53,0))*'Parametri Modello'!$B$44))))*(1+IF(IF($B103="D",'Info Lega'!$B$25,IF($B103="C",'Info Lega'!$B$26,"No"))="Si",'Parametri Modello'!$B$5,0))*(1+MAX(-0.25,MIN(0.25,IF(OR($T103="",$I103="",$I103=0,INDEX('Parametri Modello'!$B$19:$B$22,MATCH($B103,'Parametri Modello'!$A$19:$A$22,0))="",INDEX('Parametri Modello'!$B$19:$B$22,MATCH($B103,'Parametri Modello'!$A$19:$A$22,0))=0),0,(($T103-INDEX('Parametri Modello'!$B$19:$B$22,MATCH($B103,'Parametri Modello'!$A$19:$A$22,0)))/INDEX('Parametri Modello'!$B$19:$B$22,MATCH($B103,'Parametri Modello'!$A$19:$A$22,0)))*'Parametri Modello'!$B$9))))*(1+IF('Parametri Modello'!$B$27="Si",MAX(-'Parametri Modello'!$B$28,MIN('Parametri Modello'!$B$28*1.5,IF(OR(INDEX('Parametri Modello'!$F$32:$F$35,MATCH($B103,'Parametri Modello'!$A$32:$A$35,0))="",INDEX('Parametri Modello'!$F$32:$F$35,MATCH($B103,'Parametri Modello'!$A$32:$A$35,0))=0),0,(1/INDEX('Parametri Modello'!$F$32:$F$35,MATCH($B103,'Parametri Modello'!$A$32:$A$35,0))-1)*'Parametri Modello'!$B$28))),0)))*(1+INDEX('Parametri Modello'!$B$12:$B$15,MATCH($B103,'Parametri Modello'!$A$12:$A$15,0))),0),"")</f>
        <v>12</v>
      </c>
      <c r="I103" s="23">
        <f>IFERROR(INDEX('Input Statistiche 2025_26'!$F$3:$F$665,MATCH($A103,'Input Statistiche 2025_26'!$A$3:$A$665,0)),"")</f>
        <v>32</v>
      </c>
      <c r="J103" s="23">
        <f t="shared" si="9"/>
        <v>6</v>
      </c>
      <c r="K103" s="23">
        <f>IFERROR(INDEX('Input Statistiche 2025_26'!$I$3:$I$665,MATCH($A103,'Input Statistiche 2025_26'!$A$3:$A$665,0)),"")</f>
        <v>6</v>
      </c>
      <c r="L103" s="23">
        <f>IFERROR(INDEX('Input Statistiche 2025_26'!$O$3:$O$665,MATCH($A103,'Input Statistiche 2025_26'!$A$3:$A$665,0)),"")</f>
        <v>3</v>
      </c>
      <c r="M103" s="25"/>
      <c r="N103" s="24">
        <f>IFERROR(INDEX('Input Giocatori 2026_27'!$E$3:$E$493,MATCH($A103,'Input Giocatori 2026_27'!$A$3:$A$493,0)),"")</f>
        <v>9</v>
      </c>
      <c r="O103" s="24">
        <f>IFERROR(INDEX('Input Giocatori 2026_27'!$G$3:$G$493,MATCH($A103,'Input Giocatori 2026_27'!$A$3:$A$493,0)),"")</f>
        <v>32</v>
      </c>
      <c r="P103" s="23" t="str">
        <f>IFERROR(IF($O103="","",IF((1-(COUNTIFS($B$2:$B$492,$B103,$O$2:$O$492,"&gt;"&amp;$O103)+1-1)/COUNTIF($B$2:$B$492,$B103))&gt;='Parametri Modello'!$B$63,"Top",IF((1-(COUNTIFS($B$2:$B$492,$B103,$O$2:$O$492,"&gt;"&amp;$O103)+1-1)/COUNTIF($B$2:$B$492,$B103))&gt;='Parametri Modello'!$B$64,"Buono",IF((1-(COUNTIFS($B$2:$B$492,$B103,$O$2:$O$492,"&gt;"&amp;$O103)+1-1)/COUNTIF($B$2:$B$492,$B103))&gt;='Parametri Modello'!$B$65,"Nella Media","Scommessa/Riserva")))),"")</f>
        <v>Nella Media</v>
      </c>
      <c r="Q103" s="26">
        <f>IF(AND($D103="",$N103&gt;1),SUMPRODUCT(($D$2:$D103="")*($N$2:$N103&gt;1)),"")</f>
        <v>102</v>
      </c>
      <c r="R103" s="26" t="str">
        <f>IF($D103='Info Lega'!$B$28,COUNTIFS($D$2:$D103,'Info Lega'!$B$28),"")</f>
        <v/>
      </c>
      <c r="S103" s="27">
        <f>IFERROR(INDEX('Input Statistiche 2025_26'!$G$3:$G$665,MATCH($A103,'Input Statistiche 2025_26'!$A$3:$A$665,0)),"")</f>
        <v>5.98</v>
      </c>
      <c r="T103" s="27">
        <f>IFERROR(INDEX('Input Statistiche 2025_26'!$H$3:$H$665,MATCH($A103,'Input Statistiche 2025_26'!$A$3:$A$665,0)),"")</f>
        <v>6.64</v>
      </c>
      <c r="U103" s="23" t="str">
        <f>IF(OR('La Mia Rosa'!$O$12="",$D103&lt;&gt;""),"",IF($F103&lt;='La Mia Rosa'!$O$12*'Parametri Modello'!$B$24,"OK",IF($F103&lt;='La Mia Rosa'!$O$12*'Parametri Modello'!$B$25,"Attenzione","Rischio Alto")))</f>
        <v>OK</v>
      </c>
      <c r="V103" s="23">
        <f t="shared" si="10"/>
        <v>36</v>
      </c>
      <c r="W103" s="18">
        <f>'Info Lega'!$B$4-SUMIFS($M$2:$M$492,$D$2:$D$492,'Info Lega'!$B$28)</f>
        <v>1000</v>
      </c>
      <c r="X103" s="18">
        <f>('Info Lega'!$B$5-COUNTIFS($D$2:$D$492,'Info Lega'!$B$28,$B$2:$B$492,"P"))+('Info Lega'!$B$6-COUNTIFS($D$2:$D$492,'Info Lega'!$B$28,$B$2:$B$492,"D"))+('Info Lega'!$B$7-COUNTIFS($D$2:$D$492,'Info Lega'!$B$28,$B$2:$B$492,"C"))+('Info Lega'!$B$8-COUNTIFS($D$2:$D$492,'Info Lega'!$B$28,$B$2:$B$492,"A"))</f>
        <v>25</v>
      </c>
      <c r="Y103" s="18">
        <f>X103*'Parametri Modello'!$B$30</f>
        <v>25</v>
      </c>
      <c r="Z103" s="18">
        <f t="shared" si="11"/>
        <v>975</v>
      </c>
      <c r="AA103" s="18">
        <f t="shared" si="12"/>
        <v>10</v>
      </c>
      <c r="AB103" s="18"/>
      <c r="AC103" s="18" t="str">
        <f>IF($AB103="","",IF($AB103&gt;$AA103,"PASS",IF($AB103&lt;=$AA103*(1-'Parametri Modello'!$B$68),"BID","ATTENZIONE")))</f>
        <v/>
      </c>
      <c r="AD103" s="28">
        <f t="shared" si="13"/>
        <v>66</v>
      </c>
      <c r="AE103" s="5" t="str">
        <f>IFERROR(INDEX('Stato Asta'!$G$9:$G$12,MATCH($B103,'Stato Asta'!$A$9:$A$12,0)),"")</f>
        <v>🔴 Non aspettare</v>
      </c>
      <c r="AF103" t="str">
        <f>IFERROR(IF($V103&lt;=INDEX('Parametri Modello'!$C$57:$C$60,MATCH($B103,'Parametri Modello'!$A$57:$A$60,0)),"Titolare","Riserva"),"")</f>
        <v>Riserva</v>
      </c>
      <c r="AG103" t="str">
        <f>IFERROR(INDEX('Pressione Competitiva'!$F$3:$F$6,MATCH($B103,'Pressione Competitiva'!$B$3:$B$6,0)),"")</f>
        <v>🔴 Molto Alta</v>
      </c>
      <c r="AH103" t="str">
        <f t="shared" si="14"/>
        <v/>
      </c>
      <c r="AI103" t="str">
        <f>IFERROR(IF($AH103="","",IF($AH103&gt;=$AA103*'Parametri Modello'!$B$68,"🟢 Opportunita'",IF($AH103&lt;=$AA103*'Parametri Modello'!$B$69,"🔴 Sovrapprezzo","🟡 Prezzo Corretto"))),"")</f>
        <v/>
      </c>
      <c r="AJ103" t="str">
        <f t="shared" si="15"/>
        <v/>
      </c>
      <c r="AK103">
        <f t="shared" si="16"/>
        <v>10</v>
      </c>
      <c r="AL103" t="str">
        <f t="shared" si="17"/>
        <v>A|Nella Media|10</v>
      </c>
    </row>
    <row r="104" spans="1:38" ht="14.25" customHeight="1" x14ac:dyDescent="0.25">
      <c r="A104" s="18">
        <v>5833</v>
      </c>
      <c r="B104" s="18" t="s">
        <v>16</v>
      </c>
      <c r="C104" s="18" t="s">
        <v>243</v>
      </c>
      <c r="E104" s="23" t="str">
        <f>IF(COUNTIF('Info Strategia'!$D$2:$D$51,$C104)&gt;0,"SI","NO")</f>
        <v>NO</v>
      </c>
      <c r="F104" s="24">
        <f>IFERROR(ROUND(($G104+($H104-$G104)*'Info Strategia'!$B$6)*(1+IF($E104="SI",'Parametri Modello'!$B$7*'Info Strategia'!$B$6,0)),0),"")</f>
        <v>21</v>
      </c>
      <c r="G104" s="24">
        <f>IFERROR(ROUND(MAX(1,(IF($V104&lt;=INDEX('Parametri Modello'!$C$57:$C$60,MATCH($B104,'Parametri Modello'!$A$57:$A$60,0)),IF(INDEX('Parametri Modello'!$E$57:$E$60,MATCH($B104,'Parametri Modello'!$A$57:$A$60,0))=0,0,($O104/INDEX('Parametri Modello'!$E$57:$E$60,MATCH($B104,'Parametri Modello'!$A$57:$A$60,0)))*(INDEX('Parametri Modello'!$D$57:$D$60,MATCH($B104,'Parametri Modello'!$A$57:$A$60,0))*(INDEX('Parametri Modello'!$B$50:$B$53,MATCH($B104,'Parametri Modello'!$A$50:$A$53,0))*'Parametri Modello'!$B$44))),IF(INDEX('Parametri Modello'!$F$57:$F$60,MATCH($B104,'Parametri Modello'!$A$57:$A$60,0))=0,0,($O104/INDEX('Parametri Modello'!$F$57:$F$60,MATCH($B104,'Parametri Modello'!$A$57:$A$60,0)))*((1-INDEX('Parametri Modello'!$D$57:$D$60,MATCH($B104,'Parametri Modello'!$A$57:$A$60,0)))*(INDEX('Parametri Modello'!$B$50:$B$53,MATCH($B104,'Parametri Modello'!$A$50:$A$53,0))*'Parametri Modello'!$B$44))))*(1+IF(IF($B104="D",'Info Lega'!$B$25,IF($B104="C",'Info Lega'!$B$26,"No"))="Si",'Parametri Modello'!$B$5,0))*(1+MAX(-0.25,MIN(0.25,IF(OR($T104="",$I104="",$I104=0,INDEX('Parametri Modello'!$B$19:$B$22,MATCH($B104,'Parametri Modello'!$A$19:$A$22,0))="",INDEX('Parametri Modello'!$B$19:$B$22,MATCH($B104,'Parametri Modello'!$A$19:$A$22,0))=0),0,(($T104-INDEX('Parametri Modello'!$B$19:$B$22,MATCH($B104,'Parametri Modello'!$A$19:$A$22,0)))/INDEX('Parametri Modello'!$B$19:$B$22,MATCH($B104,'Parametri Modello'!$A$19:$A$22,0)))*'Parametri Modello'!$B$9))))*(1+IF('Parametri Modello'!$B$27="Si",MAX(-'Parametri Modello'!$B$28,MIN('Parametri Modello'!$B$28*1.5,IF(OR(INDEX('Parametri Modello'!$F$32:$F$35,MATCH($B104,'Parametri Modello'!$A$32:$A$35,0))="",INDEX('Parametri Modello'!$F$32:$F$35,MATCH($B104,'Parametri Modello'!$A$32:$A$35,0))=0),0,(1/INDEX('Parametri Modello'!$F$32:$F$35,MATCH($B104,'Parametri Modello'!$A$32:$A$35,0))-1)*'Parametri Modello'!$B$28))),0)))*(1-INDEX('Parametri Modello'!$B$12:$B$15,MATCH($B104,'Parametri Modello'!$A$12:$A$15,0)))),0),"")</f>
        <v>16</v>
      </c>
      <c r="H104" s="24">
        <f>IFERROR(ROUND((IF($V104&lt;=INDEX('Parametri Modello'!$C$57:$C$60,MATCH($B104,'Parametri Modello'!$A$57:$A$60,0)),IF(INDEX('Parametri Modello'!$E$57:$E$60,MATCH($B104,'Parametri Modello'!$A$57:$A$60,0))=0,0,($O104/INDEX('Parametri Modello'!$E$57:$E$60,MATCH($B104,'Parametri Modello'!$A$57:$A$60,0)))*(INDEX('Parametri Modello'!$D$57:$D$60,MATCH($B104,'Parametri Modello'!$A$57:$A$60,0))*(INDEX('Parametri Modello'!$B$50:$B$53,MATCH($B104,'Parametri Modello'!$A$50:$A$53,0))*'Parametri Modello'!$B$44))),IF(INDEX('Parametri Modello'!$F$57:$F$60,MATCH($B104,'Parametri Modello'!$A$57:$A$60,0))=0,0,($O104/INDEX('Parametri Modello'!$F$57:$F$60,MATCH($B104,'Parametri Modello'!$A$57:$A$60,0)))*((1-INDEX('Parametri Modello'!$D$57:$D$60,MATCH($B104,'Parametri Modello'!$A$57:$A$60,0)))*(INDEX('Parametri Modello'!$B$50:$B$53,MATCH($B104,'Parametri Modello'!$A$50:$A$53,0))*'Parametri Modello'!$B$44))))*(1+IF(IF($B104="D",'Info Lega'!$B$25,IF($B104="C",'Info Lega'!$B$26,"No"))="Si",'Parametri Modello'!$B$5,0))*(1+MAX(-0.25,MIN(0.25,IF(OR($T104="",$I104="",$I104=0,INDEX('Parametri Modello'!$B$19:$B$22,MATCH($B104,'Parametri Modello'!$A$19:$A$22,0))="",INDEX('Parametri Modello'!$B$19:$B$22,MATCH($B104,'Parametri Modello'!$A$19:$A$22,0))=0),0,(($T104-INDEX('Parametri Modello'!$B$19:$B$22,MATCH($B104,'Parametri Modello'!$A$19:$A$22,0)))/INDEX('Parametri Modello'!$B$19:$B$22,MATCH($B104,'Parametri Modello'!$A$19:$A$22,0)))*'Parametri Modello'!$B$9))))*(1+IF('Parametri Modello'!$B$27="Si",MAX(-'Parametri Modello'!$B$28,MIN('Parametri Modello'!$B$28*1.5,IF(OR(INDEX('Parametri Modello'!$F$32:$F$35,MATCH($B104,'Parametri Modello'!$A$32:$A$35,0))="",INDEX('Parametri Modello'!$F$32:$F$35,MATCH($B104,'Parametri Modello'!$A$32:$A$35,0))=0),0,(1/INDEX('Parametri Modello'!$F$32:$F$35,MATCH($B104,'Parametri Modello'!$A$32:$A$35,0))-1)*'Parametri Modello'!$B$28))),0)))*(1+INDEX('Parametri Modello'!$B$12:$B$15,MATCH($B104,'Parametri Modello'!$A$12:$A$15,0))),0),"")</f>
        <v>23</v>
      </c>
      <c r="I104" s="23">
        <f>IFERROR(INDEX('Input Statistiche 2025_26'!$F$3:$F$665,MATCH($A104,'Input Statistiche 2025_26'!$A$3:$A$665,0)),"")</f>
        <v>31</v>
      </c>
      <c r="J104" s="23">
        <f t="shared" si="9"/>
        <v>7</v>
      </c>
      <c r="K104" s="23">
        <f>IFERROR(INDEX('Input Statistiche 2025_26'!$I$3:$I$665,MATCH($A104,'Input Statistiche 2025_26'!$A$3:$A$665,0)),"")</f>
        <v>0</v>
      </c>
      <c r="L104" s="23">
        <f>IFERROR(INDEX('Input Statistiche 2025_26'!$O$3:$O$665,MATCH($A104,'Input Statistiche 2025_26'!$A$3:$A$665,0)),"")</f>
        <v>0</v>
      </c>
      <c r="M104" s="25"/>
      <c r="N104" s="24">
        <f>IFERROR(INDEX('Input Giocatori 2026_27'!$E$3:$E$493,MATCH($A104,'Input Giocatori 2026_27'!$A$3:$A$493,0)),"")</f>
        <v>12</v>
      </c>
      <c r="O104" s="24">
        <f>IFERROR(INDEX('Input Giocatori 2026_27'!$G$3:$G$493,MATCH($A104,'Input Giocatori 2026_27'!$A$3:$A$493,0)),"")</f>
        <v>31</v>
      </c>
      <c r="P104" s="23" t="str">
        <f>IFERROR(IF($O104="","",IF((1-(COUNTIFS($B$2:$B$492,$B104,$O$2:$O$492,"&gt;"&amp;$O104)+1-1)/COUNTIF($B$2:$B$492,$B104))&gt;='Parametri Modello'!$B$63,"Top",IF((1-(COUNTIFS($B$2:$B$492,$B104,$O$2:$O$492,"&gt;"&amp;$O104)+1-1)/COUNTIF($B$2:$B$492,$B104))&gt;='Parametri Modello'!$B$64,"Buono",IF((1-(COUNTIFS($B$2:$B$492,$B104,$O$2:$O$492,"&gt;"&amp;$O104)+1-1)/COUNTIF($B$2:$B$492,$B104))&gt;='Parametri Modello'!$B$65,"Nella Media","Scommessa/Riserva")))),"")</f>
        <v>Top</v>
      </c>
      <c r="Q104" s="26">
        <f>IF(AND($D104="",$N104&gt;1),SUMPRODUCT(($D$2:$D104="")*($N$2:$N104&gt;1)),"")</f>
        <v>103</v>
      </c>
      <c r="R104" s="26" t="str">
        <f>IF($D104='Info Lega'!$B$28,COUNTIFS($D$2:$D104,'Info Lega'!$B$28),"")</f>
        <v/>
      </c>
      <c r="S104" s="27">
        <f>IFERROR(INDEX('Input Statistiche 2025_26'!$G$3:$G$665,MATCH($A104,'Input Statistiche 2025_26'!$A$3:$A$665,0)),"")</f>
        <v>6.03</v>
      </c>
      <c r="T104" s="27">
        <f>IFERROR(INDEX('Input Statistiche 2025_26'!$H$3:$H$665,MATCH($A104,'Input Statistiche 2025_26'!$A$3:$A$665,0)),"")</f>
        <v>5.95</v>
      </c>
      <c r="U104" s="23" t="str">
        <f>IF(OR('La Mia Rosa'!$O$12="",$D104&lt;&gt;""),"",IF($F104&lt;='La Mia Rosa'!$O$12*'Parametri Modello'!$B$24,"OK",IF($F104&lt;='La Mia Rosa'!$O$12*'Parametri Modello'!$B$25,"Attenzione","Rischio Alto")))</f>
        <v>OK</v>
      </c>
      <c r="V104" s="23">
        <f t="shared" si="10"/>
        <v>18</v>
      </c>
      <c r="W104" s="18">
        <f>'Info Lega'!$B$4-SUMIFS($M$2:$M$492,$D$2:$D$492,'Info Lega'!$B$28)</f>
        <v>1000</v>
      </c>
      <c r="X104" s="18">
        <f>('Info Lega'!$B$5-COUNTIFS($D$2:$D$492,'Info Lega'!$B$28,$B$2:$B$492,"P"))+('Info Lega'!$B$6-COUNTIFS($D$2:$D$492,'Info Lega'!$B$28,$B$2:$B$492,"D"))+('Info Lega'!$B$7-COUNTIFS($D$2:$D$492,'Info Lega'!$B$28,$B$2:$B$492,"C"))+('Info Lega'!$B$8-COUNTIFS($D$2:$D$492,'Info Lega'!$B$28,$B$2:$B$492,"A"))</f>
        <v>25</v>
      </c>
      <c r="Y104" s="18">
        <f>X104*'Parametri Modello'!$B$30</f>
        <v>25</v>
      </c>
      <c r="Z104" s="18">
        <f t="shared" si="11"/>
        <v>975</v>
      </c>
      <c r="AA104" s="18">
        <f t="shared" si="12"/>
        <v>21</v>
      </c>
      <c r="AB104" s="18"/>
      <c r="AC104" s="18" t="str">
        <f>IF($AB104="","",IF($AB104&gt;$AA104,"PASS",IF($AB104&lt;=$AA104*(1-'Parametri Modello'!$B$68),"BID","ATTENZIONE")))</f>
        <v/>
      </c>
      <c r="AD104" s="28">
        <f t="shared" si="13"/>
        <v>64</v>
      </c>
      <c r="AE104" s="5" t="str">
        <f>IFERROR(INDEX('Stato Asta'!$G$9:$G$12,MATCH($B104,'Stato Asta'!$A$9:$A$12,0)),"")</f>
        <v>🔴 Non aspettare</v>
      </c>
      <c r="AF104" t="str">
        <f>IFERROR(IF($V104&lt;=INDEX('Parametri Modello'!$C$57:$C$60,MATCH($B104,'Parametri Modello'!$A$57:$A$60,0)),"Titolare","Riserva"),"")</f>
        <v>Titolare</v>
      </c>
      <c r="AG104" t="str">
        <f>IFERROR(INDEX('Pressione Competitiva'!$F$3:$F$6,MATCH($B104,'Pressione Competitiva'!$B$3:$B$6,0)),"")</f>
        <v>🔴 Molto Alta</v>
      </c>
      <c r="AH104" t="str">
        <f t="shared" si="14"/>
        <v/>
      </c>
      <c r="AI104" t="str">
        <f>IFERROR(IF($AH104="","",IF($AH104&gt;=$AA104*'Parametri Modello'!$B$68,"🟢 Opportunita'",IF($AH104&lt;=$AA104*'Parametri Modello'!$B$69,"🔴 Sovrapprezzo","🟡 Prezzo Corretto"))),"")</f>
        <v/>
      </c>
      <c r="AJ104" t="str">
        <f t="shared" si="15"/>
        <v/>
      </c>
      <c r="AK104">
        <f t="shared" si="16"/>
        <v>18</v>
      </c>
      <c r="AL104" t="str">
        <f t="shared" si="17"/>
        <v>D|Top|18</v>
      </c>
    </row>
    <row r="105" spans="1:38" ht="14.25" customHeight="1" x14ac:dyDescent="0.25">
      <c r="A105" s="18">
        <v>5672</v>
      </c>
      <c r="B105" s="18" t="s">
        <v>18</v>
      </c>
      <c r="C105" s="18" t="s">
        <v>244</v>
      </c>
      <c r="E105" s="23" t="str">
        <f>IF(COUNTIF('Info Strategia'!$D$2:$D$51,$C105)&gt;0,"SI","NO")</f>
        <v>NO</v>
      </c>
      <c r="F105" s="24">
        <f>IFERROR(ROUND(($G105+($H105-$G105)*'Info Strategia'!$B$6)*(1+IF($E105="SI",'Parametri Modello'!$B$7*'Info Strategia'!$B$6,0)),0),"")</f>
        <v>10</v>
      </c>
      <c r="G105" s="24">
        <f>IFERROR(ROUND(MAX(1,(IF($V105&lt;=INDEX('Parametri Modello'!$C$57:$C$60,MATCH($B105,'Parametri Modello'!$A$57:$A$60,0)),IF(INDEX('Parametri Modello'!$E$57:$E$60,MATCH($B105,'Parametri Modello'!$A$57:$A$60,0))=0,0,($O105/INDEX('Parametri Modello'!$E$57:$E$60,MATCH($B105,'Parametri Modello'!$A$57:$A$60,0)))*(INDEX('Parametri Modello'!$D$57:$D$60,MATCH($B105,'Parametri Modello'!$A$57:$A$60,0))*(INDEX('Parametri Modello'!$B$50:$B$53,MATCH($B105,'Parametri Modello'!$A$50:$A$53,0))*'Parametri Modello'!$B$44))),IF(INDEX('Parametri Modello'!$F$57:$F$60,MATCH($B105,'Parametri Modello'!$A$57:$A$60,0))=0,0,($O105/INDEX('Parametri Modello'!$F$57:$F$60,MATCH($B105,'Parametri Modello'!$A$57:$A$60,0)))*((1-INDEX('Parametri Modello'!$D$57:$D$60,MATCH($B105,'Parametri Modello'!$A$57:$A$60,0)))*(INDEX('Parametri Modello'!$B$50:$B$53,MATCH($B105,'Parametri Modello'!$A$50:$A$53,0))*'Parametri Modello'!$B$44))))*(1+IF(IF($B105="D",'Info Lega'!$B$25,IF($B105="C",'Info Lega'!$B$26,"No"))="Si",'Parametri Modello'!$B$5,0))*(1+MAX(-0.25,MIN(0.25,IF(OR($T105="",$I105="",$I105=0,INDEX('Parametri Modello'!$B$19:$B$22,MATCH($B105,'Parametri Modello'!$A$19:$A$22,0))="",INDEX('Parametri Modello'!$B$19:$B$22,MATCH($B105,'Parametri Modello'!$A$19:$A$22,0))=0),0,(($T105-INDEX('Parametri Modello'!$B$19:$B$22,MATCH($B105,'Parametri Modello'!$A$19:$A$22,0)))/INDEX('Parametri Modello'!$B$19:$B$22,MATCH($B105,'Parametri Modello'!$A$19:$A$22,0)))*'Parametri Modello'!$B$9))))*(1+IF('Parametri Modello'!$B$27="Si",MAX(-'Parametri Modello'!$B$28,MIN('Parametri Modello'!$B$28*1.5,IF(OR(INDEX('Parametri Modello'!$F$32:$F$35,MATCH($B105,'Parametri Modello'!$A$32:$A$35,0))="",INDEX('Parametri Modello'!$F$32:$F$35,MATCH($B105,'Parametri Modello'!$A$32:$A$35,0))=0),0,(1/INDEX('Parametri Modello'!$F$32:$F$35,MATCH($B105,'Parametri Modello'!$A$32:$A$35,0))-1)*'Parametri Modello'!$B$28))),0)))*(1-INDEX('Parametri Modello'!$B$12:$B$15,MATCH($B105,'Parametri Modello'!$A$12:$A$15,0)))),0),"")</f>
        <v>6</v>
      </c>
      <c r="H105" s="24">
        <f>IFERROR(ROUND((IF($V105&lt;=INDEX('Parametri Modello'!$C$57:$C$60,MATCH($B105,'Parametri Modello'!$A$57:$A$60,0)),IF(INDEX('Parametri Modello'!$E$57:$E$60,MATCH($B105,'Parametri Modello'!$A$57:$A$60,0))=0,0,($O105/INDEX('Parametri Modello'!$E$57:$E$60,MATCH($B105,'Parametri Modello'!$A$57:$A$60,0)))*(INDEX('Parametri Modello'!$D$57:$D$60,MATCH($B105,'Parametri Modello'!$A$57:$A$60,0))*(INDEX('Parametri Modello'!$B$50:$B$53,MATCH($B105,'Parametri Modello'!$A$50:$A$53,0))*'Parametri Modello'!$B$44))),IF(INDEX('Parametri Modello'!$F$57:$F$60,MATCH($B105,'Parametri Modello'!$A$57:$A$60,0))=0,0,($O105/INDEX('Parametri Modello'!$F$57:$F$60,MATCH($B105,'Parametri Modello'!$A$57:$A$60,0)))*((1-INDEX('Parametri Modello'!$D$57:$D$60,MATCH($B105,'Parametri Modello'!$A$57:$A$60,0)))*(INDEX('Parametri Modello'!$B$50:$B$53,MATCH($B105,'Parametri Modello'!$A$50:$A$53,0))*'Parametri Modello'!$B$44))))*(1+IF(IF($B105="D",'Info Lega'!$B$25,IF($B105="C",'Info Lega'!$B$26,"No"))="Si",'Parametri Modello'!$B$5,0))*(1+MAX(-0.25,MIN(0.25,IF(OR($T105="",$I105="",$I105=0,INDEX('Parametri Modello'!$B$19:$B$22,MATCH($B105,'Parametri Modello'!$A$19:$A$22,0))="",INDEX('Parametri Modello'!$B$19:$B$22,MATCH($B105,'Parametri Modello'!$A$19:$A$22,0))=0),0,(($T105-INDEX('Parametri Modello'!$B$19:$B$22,MATCH($B105,'Parametri Modello'!$A$19:$A$22,0)))/INDEX('Parametri Modello'!$B$19:$B$22,MATCH($B105,'Parametri Modello'!$A$19:$A$22,0)))*'Parametri Modello'!$B$9))))*(1+IF('Parametri Modello'!$B$27="Si",MAX(-'Parametri Modello'!$B$28,MIN('Parametri Modello'!$B$28*1.5,IF(OR(INDEX('Parametri Modello'!$F$32:$F$35,MATCH($B105,'Parametri Modello'!$A$32:$A$35,0))="",INDEX('Parametri Modello'!$F$32:$F$35,MATCH($B105,'Parametri Modello'!$A$32:$A$35,0))=0),0,(1/INDEX('Parametri Modello'!$F$32:$F$35,MATCH($B105,'Parametri Modello'!$A$32:$A$35,0))-1)*'Parametri Modello'!$B$28))),0)))*(1+INDEX('Parametri Modello'!$B$12:$B$15,MATCH($B105,'Parametri Modello'!$A$12:$A$15,0))),0),"")</f>
        <v>11</v>
      </c>
      <c r="I105" s="23">
        <f>IFERROR(INDEX('Input Statistiche 2025_26'!$F$3:$F$665,MATCH($A105,'Input Statistiche 2025_26'!$A$3:$A$665,0)),"")</f>
        <v>25</v>
      </c>
      <c r="J105" s="23">
        <f t="shared" si="9"/>
        <v>13</v>
      </c>
      <c r="K105" s="23">
        <f>IFERROR(INDEX('Input Statistiche 2025_26'!$I$3:$I$665,MATCH($A105,'Input Statistiche 2025_26'!$A$3:$A$665,0)),"")</f>
        <v>1</v>
      </c>
      <c r="L105" s="23">
        <f>IFERROR(INDEX('Input Statistiche 2025_26'!$O$3:$O$665,MATCH($A105,'Input Statistiche 2025_26'!$A$3:$A$665,0)),"")</f>
        <v>2</v>
      </c>
      <c r="M105" s="25"/>
      <c r="N105" s="24">
        <f>IFERROR(INDEX('Input Giocatori 2026_27'!$E$3:$E$493,MATCH($A105,'Input Giocatori 2026_27'!$A$3:$A$493,0)),"")</f>
        <v>10</v>
      </c>
      <c r="O105" s="24">
        <f>IFERROR(INDEX('Input Giocatori 2026_27'!$G$3:$G$493,MATCH($A105,'Input Giocatori 2026_27'!$A$3:$A$493,0)),"")</f>
        <v>31</v>
      </c>
      <c r="P105" s="23" t="str">
        <f>IFERROR(IF($O105="","",IF((1-(COUNTIFS($B$2:$B$492,$B105,$O$2:$O$492,"&gt;"&amp;$O105)+1-1)/COUNTIF($B$2:$B$492,$B105))&gt;='Parametri Modello'!$B$63,"Top",IF((1-(COUNTIFS($B$2:$B$492,$B105,$O$2:$O$492,"&gt;"&amp;$O105)+1-1)/COUNTIF($B$2:$B$492,$B105))&gt;='Parametri Modello'!$B$64,"Buono",IF((1-(COUNTIFS($B$2:$B$492,$B105,$O$2:$O$492,"&gt;"&amp;$O105)+1-1)/COUNTIF($B$2:$B$492,$B105))&gt;='Parametri Modello'!$B$65,"Nella Media","Scommessa/Riserva")))),"")</f>
        <v>Nella Media</v>
      </c>
      <c r="Q105" s="26">
        <f>IF(AND($D105="",$N105&gt;1),SUMPRODUCT(($D$2:$D105="")*($N$2:$N105&gt;1)),"")</f>
        <v>104</v>
      </c>
      <c r="R105" s="26" t="str">
        <f>IF($D105='Info Lega'!$B$28,COUNTIFS($D$2:$D105,'Info Lega'!$B$28),"")</f>
        <v/>
      </c>
      <c r="S105" s="27">
        <f>IFERROR(INDEX('Input Statistiche 2025_26'!$G$3:$G$665,MATCH($A105,'Input Statistiche 2025_26'!$A$3:$A$665,0)),"")</f>
        <v>5.68</v>
      </c>
      <c r="T105" s="27">
        <f>IFERROR(INDEX('Input Statistiche 2025_26'!$H$3:$H$665,MATCH($A105,'Input Statistiche 2025_26'!$A$3:$A$665,0)),"")</f>
        <v>5.86</v>
      </c>
      <c r="U105" s="23" t="str">
        <f>IF(OR('La Mia Rosa'!$O$12="",$D105&lt;&gt;""),"",IF($F105&lt;='La Mia Rosa'!$O$12*'Parametri Modello'!$B$24,"OK",IF($F105&lt;='La Mia Rosa'!$O$12*'Parametri Modello'!$B$25,"Attenzione","Rischio Alto")))</f>
        <v>OK</v>
      </c>
      <c r="V105" s="23">
        <f t="shared" si="10"/>
        <v>38</v>
      </c>
      <c r="W105" s="18">
        <f>'Info Lega'!$B$4-SUMIFS($M$2:$M$492,$D$2:$D$492,'Info Lega'!$B$28)</f>
        <v>1000</v>
      </c>
      <c r="X105" s="18">
        <f>('Info Lega'!$B$5-COUNTIFS($D$2:$D$492,'Info Lega'!$B$28,$B$2:$B$492,"P"))+('Info Lega'!$B$6-COUNTIFS($D$2:$D$492,'Info Lega'!$B$28,$B$2:$B$492,"D"))+('Info Lega'!$B$7-COUNTIFS($D$2:$D$492,'Info Lega'!$B$28,$B$2:$B$492,"C"))+('Info Lega'!$B$8-COUNTIFS($D$2:$D$492,'Info Lega'!$B$28,$B$2:$B$492,"A"))</f>
        <v>25</v>
      </c>
      <c r="Y105" s="18">
        <f>X105*'Parametri Modello'!$B$30</f>
        <v>25</v>
      </c>
      <c r="Z105" s="18">
        <f t="shared" si="11"/>
        <v>975</v>
      </c>
      <c r="AA105" s="18">
        <f t="shared" si="12"/>
        <v>10</v>
      </c>
      <c r="AB105" s="18"/>
      <c r="AC105" s="18" t="str">
        <f>IF($AB105="","",IF($AB105&gt;$AA105,"PASS",IF($AB105&lt;=$AA105*(1-'Parametri Modello'!$B$68),"BID","ATTENZIONE")))</f>
        <v/>
      </c>
      <c r="AD105" s="28">
        <f t="shared" si="13"/>
        <v>57</v>
      </c>
      <c r="AE105" s="5" t="str">
        <f>IFERROR(INDEX('Stato Asta'!$G$9:$G$12,MATCH($B105,'Stato Asta'!$A$9:$A$12,0)),"")</f>
        <v>🔴 Non aspettare</v>
      </c>
      <c r="AF105" t="str">
        <f>IFERROR(IF($V105&lt;=INDEX('Parametri Modello'!$C$57:$C$60,MATCH($B105,'Parametri Modello'!$A$57:$A$60,0)),"Titolare","Riserva"),"")</f>
        <v>Riserva</v>
      </c>
      <c r="AG105" t="str">
        <f>IFERROR(INDEX('Pressione Competitiva'!$F$3:$F$6,MATCH($B105,'Pressione Competitiva'!$B$3:$B$6,0)),"")</f>
        <v>🔴 Molto Alta</v>
      </c>
      <c r="AH105" t="str">
        <f t="shared" si="14"/>
        <v/>
      </c>
      <c r="AI105" t="str">
        <f>IFERROR(IF($AH105="","",IF($AH105&gt;=$AA105*'Parametri Modello'!$B$68,"🟢 Opportunita'",IF($AH105&lt;=$AA105*'Parametri Modello'!$B$69,"🔴 Sovrapprezzo","🟡 Prezzo Corretto"))),"")</f>
        <v/>
      </c>
      <c r="AJ105" t="str">
        <f t="shared" si="15"/>
        <v/>
      </c>
      <c r="AK105">
        <f t="shared" si="16"/>
        <v>12</v>
      </c>
      <c r="AL105" t="str">
        <f t="shared" si="17"/>
        <v>A|Nella Media|12</v>
      </c>
    </row>
    <row r="106" spans="1:38" ht="14.25" customHeight="1" x14ac:dyDescent="0.25">
      <c r="A106" s="18">
        <v>6482</v>
      </c>
      <c r="B106" s="18" t="s">
        <v>15</v>
      </c>
      <c r="C106" s="18" t="s">
        <v>245</v>
      </c>
      <c r="E106" s="23" t="str">
        <f>IF(COUNTIF('Info Strategia'!$D$2:$D$51,$C106)&gt;0,"SI","NO")</f>
        <v>NO</v>
      </c>
      <c r="F106" s="24">
        <f>IFERROR(ROUND(($G106+($H106-$G106)*'Info Strategia'!$B$6)*(1+IF($E106="SI",'Parametri Modello'!$B$7*'Info Strategia'!$B$6,0)),0),"")</f>
        <v>10</v>
      </c>
      <c r="G106" s="24">
        <f>IFERROR(ROUND(MAX(1,(IF($V106&lt;=INDEX('Parametri Modello'!$C$57:$C$60,MATCH($B106,'Parametri Modello'!$A$57:$A$60,0)),IF(INDEX('Parametri Modello'!$E$57:$E$60,MATCH($B106,'Parametri Modello'!$A$57:$A$60,0))=0,0,($O106/INDEX('Parametri Modello'!$E$57:$E$60,MATCH($B106,'Parametri Modello'!$A$57:$A$60,0)))*(INDEX('Parametri Modello'!$D$57:$D$60,MATCH($B106,'Parametri Modello'!$A$57:$A$60,0))*(INDEX('Parametri Modello'!$B$50:$B$53,MATCH($B106,'Parametri Modello'!$A$50:$A$53,0))*'Parametri Modello'!$B$44))),IF(INDEX('Parametri Modello'!$F$57:$F$60,MATCH($B106,'Parametri Modello'!$A$57:$A$60,0))=0,0,($O106/INDEX('Parametri Modello'!$F$57:$F$60,MATCH($B106,'Parametri Modello'!$A$57:$A$60,0)))*((1-INDEX('Parametri Modello'!$D$57:$D$60,MATCH($B106,'Parametri Modello'!$A$57:$A$60,0)))*(INDEX('Parametri Modello'!$B$50:$B$53,MATCH($B106,'Parametri Modello'!$A$50:$A$53,0))*'Parametri Modello'!$B$44))))*(1+IF(IF($B106="D",'Info Lega'!$B$25,IF($B106="C",'Info Lega'!$B$26,"No"))="Si",'Parametri Modello'!$B$5,0))*(1+MAX(-0.25,MIN(0.25,IF(OR($T106="",$I106="",$I106=0,INDEX('Parametri Modello'!$B$19:$B$22,MATCH($B106,'Parametri Modello'!$A$19:$A$22,0))="",INDEX('Parametri Modello'!$B$19:$B$22,MATCH($B106,'Parametri Modello'!$A$19:$A$22,0))=0),0,(($T106-INDEX('Parametri Modello'!$B$19:$B$22,MATCH($B106,'Parametri Modello'!$A$19:$A$22,0)))/INDEX('Parametri Modello'!$B$19:$B$22,MATCH($B106,'Parametri Modello'!$A$19:$A$22,0)))*'Parametri Modello'!$B$9))))*(1+IF('Parametri Modello'!$B$27="Si",MAX(-'Parametri Modello'!$B$28,MIN('Parametri Modello'!$B$28*1.5,IF(OR(INDEX('Parametri Modello'!$F$32:$F$35,MATCH($B106,'Parametri Modello'!$A$32:$A$35,0))="",INDEX('Parametri Modello'!$F$32:$F$35,MATCH($B106,'Parametri Modello'!$A$32:$A$35,0))=0),0,(1/INDEX('Parametri Modello'!$F$32:$F$35,MATCH($B106,'Parametri Modello'!$A$32:$A$35,0))-1)*'Parametri Modello'!$B$28))),0)))*(1-INDEX('Parametri Modello'!$B$12:$B$15,MATCH($B106,'Parametri Modello'!$A$12:$A$15,0)))),0),"")</f>
        <v>8</v>
      </c>
      <c r="H106" s="24">
        <f>IFERROR(ROUND((IF($V106&lt;=INDEX('Parametri Modello'!$C$57:$C$60,MATCH($B106,'Parametri Modello'!$A$57:$A$60,0)),IF(INDEX('Parametri Modello'!$E$57:$E$60,MATCH($B106,'Parametri Modello'!$A$57:$A$60,0))=0,0,($O106/INDEX('Parametri Modello'!$E$57:$E$60,MATCH($B106,'Parametri Modello'!$A$57:$A$60,0)))*(INDEX('Parametri Modello'!$D$57:$D$60,MATCH($B106,'Parametri Modello'!$A$57:$A$60,0))*(INDEX('Parametri Modello'!$B$50:$B$53,MATCH($B106,'Parametri Modello'!$A$50:$A$53,0))*'Parametri Modello'!$B$44))),IF(INDEX('Parametri Modello'!$F$57:$F$60,MATCH($B106,'Parametri Modello'!$A$57:$A$60,0))=0,0,($O106/INDEX('Parametri Modello'!$F$57:$F$60,MATCH($B106,'Parametri Modello'!$A$57:$A$60,0)))*((1-INDEX('Parametri Modello'!$D$57:$D$60,MATCH($B106,'Parametri Modello'!$A$57:$A$60,0)))*(INDEX('Parametri Modello'!$B$50:$B$53,MATCH($B106,'Parametri Modello'!$A$50:$A$53,0))*'Parametri Modello'!$B$44))))*(1+IF(IF($B106="D",'Info Lega'!$B$25,IF($B106="C",'Info Lega'!$B$26,"No"))="Si",'Parametri Modello'!$B$5,0))*(1+MAX(-0.25,MIN(0.25,IF(OR($T106="",$I106="",$I106=0,INDEX('Parametri Modello'!$B$19:$B$22,MATCH($B106,'Parametri Modello'!$A$19:$A$22,0))="",INDEX('Parametri Modello'!$B$19:$B$22,MATCH($B106,'Parametri Modello'!$A$19:$A$22,0))=0),0,(($T106-INDEX('Parametri Modello'!$B$19:$B$22,MATCH($B106,'Parametri Modello'!$A$19:$A$22,0)))/INDEX('Parametri Modello'!$B$19:$B$22,MATCH($B106,'Parametri Modello'!$A$19:$A$22,0)))*'Parametri Modello'!$B$9))))*(1+IF('Parametri Modello'!$B$27="Si",MAX(-'Parametri Modello'!$B$28,MIN('Parametri Modello'!$B$28*1.5,IF(OR(INDEX('Parametri Modello'!$F$32:$F$35,MATCH($B106,'Parametri Modello'!$A$32:$A$35,0))="",INDEX('Parametri Modello'!$F$32:$F$35,MATCH($B106,'Parametri Modello'!$A$32:$A$35,0))=0),0,(1/INDEX('Parametri Modello'!$F$32:$F$35,MATCH($B106,'Parametri Modello'!$A$32:$A$35,0))-1)*'Parametri Modello'!$B$28))),0)))*(1+INDEX('Parametri Modello'!$B$12:$B$15,MATCH($B106,'Parametri Modello'!$A$12:$A$15,0))),0),"")</f>
        <v>11</v>
      </c>
      <c r="I106" s="23">
        <f>IFERROR(INDEX('Input Statistiche 2025_26'!$F$3:$F$665,MATCH($A106,'Input Statistiche 2025_26'!$A$3:$A$665,0)),"")</f>
        <v>0</v>
      </c>
      <c r="J106" s="23">
        <f t="shared" si="9"/>
        <v>38</v>
      </c>
      <c r="K106" s="23">
        <f>IFERROR(INDEX('Input Statistiche 2025_26'!$I$3:$I$665,MATCH($A106,'Input Statistiche 2025_26'!$A$3:$A$665,0)),"")</f>
        <v>0</v>
      </c>
      <c r="L106" s="23">
        <f>IFERROR(INDEX('Input Statistiche 2025_26'!$O$3:$O$665,MATCH($A106,'Input Statistiche 2025_26'!$A$3:$A$665,0)),"")</f>
        <v>0</v>
      </c>
      <c r="M106" s="25"/>
      <c r="N106" s="24">
        <f>IFERROR(INDEX('Input Giocatori 2026_27'!$E$3:$E$493,MATCH($A106,'Input Giocatori 2026_27'!$A$3:$A$493,0)),"")</f>
        <v>9</v>
      </c>
      <c r="O106" s="24">
        <f>IFERROR(INDEX('Input Giocatori 2026_27'!$G$3:$G$493,MATCH($A106,'Input Giocatori 2026_27'!$A$3:$A$493,0)),"")</f>
        <v>30</v>
      </c>
      <c r="P106" s="23" t="str">
        <f>IFERROR(IF($O106="","",IF((1-(COUNTIFS($B$2:$B$492,$B106,$O$2:$O$492,"&gt;"&amp;$O106)+1-1)/COUNTIF($B$2:$B$492,$B106))&gt;='Parametri Modello'!$B$63,"Top",IF((1-(COUNTIFS($B$2:$B$492,$B106,$O$2:$O$492,"&gt;"&amp;$O106)+1-1)/COUNTIF($B$2:$B$492,$B106))&gt;='Parametri Modello'!$B$64,"Buono",IF((1-(COUNTIFS($B$2:$B$492,$B106,$O$2:$O$492,"&gt;"&amp;$O106)+1-1)/COUNTIF($B$2:$B$492,$B106))&gt;='Parametri Modello'!$B$65,"Nella Media","Scommessa/Riserva")))),"")</f>
        <v>Buono</v>
      </c>
      <c r="Q106" s="26">
        <f>IF(AND($D106="",$N106&gt;1),SUMPRODUCT(($D$2:$D106="")*($N$2:$N106&gt;1)),"")</f>
        <v>105</v>
      </c>
      <c r="R106" s="26" t="str">
        <f>IF($D106='Info Lega'!$B$28,COUNTIFS($D$2:$D106,'Info Lega'!$B$28),"")</f>
        <v/>
      </c>
      <c r="S106" s="27">
        <f>IFERROR(INDEX('Input Statistiche 2025_26'!$G$3:$G$665,MATCH($A106,'Input Statistiche 2025_26'!$A$3:$A$665,0)),"")</f>
        <v>0</v>
      </c>
      <c r="T106" s="27">
        <f>IFERROR(INDEX('Input Statistiche 2025_26'!$H$3:$H$665,MATCH($A106,'Input Statistiche 2025_26'!$A$3:$A$665,0)),"")</f>
        <v>0</v>
      </c>
      <c r="U106" s="23" t="str">
        <f>IF(OR('La Mia Rosa'!$O$12="",$D106&lt;&gt;""),"",IF($F106&lt;='La Mia Rosa'!$O$12*'Parametri Modello'!$B$24,"OK",IF($F106&lt;='La Mia Rosa'!$O$12*'Parametri Modello'!$B$25,"Attenzione","Rischio Alto")))</f>
        <v>OK</v>
      </c>
      <c r="V106" s="23">
        <f t="shared" si="10"/>
        <v>10</v>
      </c>
      <c r="W106" s="18">
        <f>'Info Lega'!$B$4-SUMIFS($M$2:$M$492,$D$2:$D$492,'Info Lega'!$B$28)</f>
        <v>1000</v>
      </c>
      <c r="X106" s="18">
        <f>('Info Lega'!$B$5-COUNTIFS($D$2:$D$492,'Info Lega'!$B$28,$B$2:$B$492,"P"))+('Info Lega'!$B$6-COUNTIFS($D$2:$D$492,'Info Lega'!$B$28,$B$2:$B$492,"D"))+('Info Lega'!$B$7-COUNTIFS($D$2:$D$492,'Info Lega'!$B$28,$B$2:$B$492,"C"))+('Info Lega'!$B$8-COUNTIFS($D$2:$D$492,'Info Lega'!$B$28,$B$2:$B$492,"A"))</f>
        <v>25</v>
      </c>
      <c r="Y106" s="18">
        <f>X106*'Parametri Modello'!$B$30</f>
        <v>25</v>
      </c>
      <c r="Z106" s="18">
        <f t="shared" si="11"/>
        <v>975</v>
      </c>
      <c r="AA106" s="18">
        <f t="shared" si="12"/>
        <v>10</v>
      </c>
      <c r="AB106" s="18"/>
      <c r="AC106" s="18" t="str">
        <f>IF($AB106="","",IF($AB106&gt;$AA106,"PASS",IF($AB106&lt;=$AA106*(1-'Parametri Modello'!$B$68),"BID","ATTENZIONE")))</f>
        <v/>
      </c>
      <c r="AD106" s="28">
        <f t="shared" si="13"/>
        <v>0</v>
      </c>
      <c r="AE106" s="5" t="str">
        <f>IFERROR(INDEX('Stato Asta'!$G$9:$G$12,MATCH($B106,'Stato Asta'!$A$9:$A$12,0)),"")</f>
        <v>🔴 Non aspettare</v>
      </c>
      <c r="AF106" t="str">
        <f>IFERROR(IF($V106&lt;=INDEX('Parametri Modello'!$C$57:$C$60,MATCH($B106,'Parametri Modello'!$A$57:$A$60,0)),"Titolare","Riserva"),"")</f>
        <v>Riserva</v>
      </c>
      <c r="AG106" t="str">
        <f>IFERROR(INDEX('Pressione Competitiva'!$F$3:$F$6,MATCH($B106,'Pressione Competitiva'!$B$3:$B$6,0)),"")</f>
        <v>🔴 Molto Alta</v>
      </c>
      <c r="AH106" t="str">
        <f t="shared" si="14"/>
        <v/>
      </c>
      <c r="AI106" t="str">
        <f>IFERROR(IF($AH106="","",IF($AH106&gt;=$AA106*'Parametri Modello'!$B$68,"🟢 Opportunita'",IF($AH106&lt;=$AA106*'Parametri Modello'!$B$69,"🔴 Sovrapprezzo","🟡 Prezzo Corretto"))),"")</f>
        <v/>
      </c>
      <c r="AJ106" t="str">
        <f t="shared" si="15"/>
        <v/>
      </c>
      <c r="AK106">
        <f t="shared" si="16"/>
        <v>3</v>
      </c>
      <c r="AL106" t="str">
        <f t="shared" si="17"/>
        <v>P|Buono|3</v>
      </c>
    </row>
    <row r="107" spans="1:38" ht="14.25" customHeight="1" x14ac:dyDescent="0.25">
      <c r="A107" s="18">
        <v>5885</v>
      </c>
      <c r="B107" s="18" t="s">
        <v>16</v>
      </c>
      <c r="C107" s="18" t="s">
        <v>246</v>
      </c>
      <c r="E107" s="23" t="str">
        <f>IF(COUNTIF('Info Strategia'!$D$2:$D$51,$C107)&gt;0,"SI","NO")</f>
        <v>NO</v>
      </c>
      <c r="F107" s="24">
        <f>IFERROR(ROUND(($G107+($H107-$G107)*'Info Strategia'!$B$6)*(1+IF($E107="SI",'Parametri Modello'!$B$7*'Info Strategia'!$B$6,0)),0),"")</f>
        <v>21</v>
      </c>
      <c r="G107" s="24">
        <f>IFERROR(ROUND(MAX(1,(IF($V107&lt;=INDEX('Parametri Modello'!$C$57:$C$60,MATCH($B107,'Parametri Modello'!$A$57:$A$60,0)),IF(INDEX('Parametri Modello'!$E$57:$E$60,MATCH($B107,'Parametri Modello'!$A$57:$A$60,0))=0,0,($O107/INDEX('Parametri Modello'!$E$57:$E$60,MATCH($B107,'Parametri Modello'!$A$57:$A$60,0)))*(INDEX('Parametri Modello'!$D$57:$D$60,MATCH($B107,'Parametri Modello'!$A$57:$A$60,0))*(INDEX('Parametri Modello'!$B$50:$B$53,MATCH($B107,'Parametri Modello'!$A$50:$A$53,0))*'Parametri Modello'!$B$44))),IF(INDEX('Parametri Modello'!$F$57:$F$60,MATCH($B107,'Parametri Modello'!$A$57:$A$60,0))=0,0,($O107/INDEX('Parametri Modello'!$F$57:$F$60,MATCH($B107,'Parametri Modello'!$A$57:$A$60,0)))*((1-INDEX('Parametri Modello'!$D$57:$D$60,MATCH($B107,'Parametri Modello'!$A$57:$A$60,0)))*(INDEX('Parametri Modello'!$B$50:$B$53,MATCH($B107,'Parametri Modello'!$A$50:$A$53,0))*'Parametri Modello'!$B$44))))*(1+IF(IF($B107="D",'Info Lega'!$B$25,IF($B107="C",'Info Lega'!$B$26,"No"))="Si",'Parametri Modello'!$B$5,0))*(1+MAX(-0.25,MIN(0.25,IF(OR($T107="",$I107="",$I107=0,INDEX('Parametri Modello'!$B$19:$B$22,MATCH($B107,'Parametri Modello'!$A$19:$A$22,0))="",INDEX('Parametri Modello'!$B$19:$B$22,MATCH($B107,'Parametri Modello'!$A$19:$A$22,0))=0),0,(($T107-INDEX('Parametri Modello'!$B$19:$B$22,MATCH($B107,'Parametri Modello'!$A$19:$A$22,0)))/INDEX('Parametri Modello'!$B$19:$B$22,MATCH($B107,'Parametri Modello'!$A$19:$A$22,0)))*'Parametri Modello'!$B$9))))*(1+IF('Parametri Modello'!$B$27="Si",MAX(-'Parametri Modello'!$B$28,MIN('Parametri Modello'!$B$28*1.5,IF(OR(INDEX('Parametri Modello'!$F$32:$F$35,MATCH($B107,'Parametri Modello'!$A$32:$A$35,0))="",INDEX('Parametri Modello'!$F$32:$F$35,MATCH($B107,'Parametri Modello'!$A$32:$A$35,0))=0),0,(1/INDEX('Parametri Modello'!$F$32:$F$35,MATCH($B107,'Parametri Modello'!$A$32:$A$35,0))-1)*'Parametri Modello'!$B$28))),0)))*(1-INDEX('Parametri Modello'!$B$12:$B$15,MATCH($B107,'Parametri Modello'!$A$12:$A$15,0)))),0),"")</f>
        <v>15</v>
      </c>
      <c r="H107" s="24">
        <f>IFERROR(ROUND((IF($V107&lt;=INDEX('Parametri Modello'!$C$57:$C$60,MATCH($B107,'Parametri Modello'!$A$57:$A$60,0)),IF(INDEX('Parametri Modello'!$E$57:$E$60,MATCH($B107,'Parametri Modello'!$A$57:$A$60,0))=0,0,($O107/INDEX('Parametri Modello'!$E$57:$E$60,MATCH($B107,'Parametri Modello'!$A$57:$A$60,0)))*(INDEX('Parametri Modello'!$D$57:$D$60,MATCH($B107,'Parametri Modello'!$A$57:$A$60,0))*(INDEX('Parametri Modello'!$B$50:$B$53,MATCH($B107,'Parametri Modello'!$A$50:$A$53,0))*'Parametri Modello'!$B$44))),IF(INDEX('Parametri Modello'!$F$57:$F$60,MATCH($B107,'Parametri Modello'!$A$57:$A$60,0))=0,0,($O107/INDEX('Parametri Modello'!$F$57:$F$60,MATCH($B107,'Parametri Modello'!$A$57:$A$60,0)))*((1-INDEX('Parametri Modello'!$D$57:$D$60,MATCH($B107,'Parametri Modello'!$A$57:$A$60,0)))*(INDEX('Parametri Modello'!$B$50:$B$53,MATCH($B107,'Parametri Modello'!$A$50:$A$53,0))*'Parametri Modello'!$B$44))))*(1+IF(IF($B107="D",'Info Lega'!$B$25,IF($B107="C",'Info Lega'!$B$26,"No"))="Si",'Parametri Modello'!$B$5,0))*(1+MAX(-0.25,MIN(0.25,IF(OR($T107="",$I107="",$I107=0,INDEX('Parametri Modello'!$B$19:$B$22,MATCH($B107,'Parametri Modello'!$A$19:$A$22,0))="",INDEX('Parametri Modello'!$B$19:$B$22,MATCH($B107,'Parametri Modello'!$A$19:$A$22,0))=0),0,(($T107-INDEX('Parametri Modello'!$B$19:$B$22,MATCH($B107,'Parametri Modello'!$A$19:$A$22,0)))/INDEX('Parametri Modello'!$B$19:$B$22,MATCH($B107,'Parametri Modello'!$A$19:$A$22,0)))*'Parametri Modello'!$B$9))))*(1+IF('Parametri Modello'!$B$27="Si",MAX(-'Parametri Modello'!$B$28,MIN('Parametri Modello'!$B$28*1.5,IF(OR(INDEX('Parametri Modello'!$F$32:$F$35,MATCH($B107,'Parametri Modello'!$A$32:$A$35,0))="",INDEX('Parametri Modello'!$F$32:$F$35,MATCH($B107,'Parametri Modello'!$A$32:$A$35,0))=0),0,(1/INDEX('Parametri Modello'!$F$32:$F$35,MATCH($B107,'Parametri Modello'!$A$32:$A$35,0))-1)*'Parametri Modello'!$B$28))),0)))*(1+INDEX('Parametri Modello'!$B$12:$B$15,MATCH($B107,'Parametri Modello'!$A$12:$A$15,0))),0),"")</f>
        <v>23</v>
      </c>
      <c r="I107" s="23">
        <f>IFERROR(INDEX('Input Statistiche 2025_26'!$F$3:$F$665,MATCH($A107,'Input Statistiche 2025_26'!$A$3:$A$665,0)),"")</f>
        <v>36</v>
      </c>
      <c r="J107" s="23">
        <f t="shared" si="9"/>
        <v>2</v>
      </c>
      <c r="K107" s="23">
        <f>IFERROR(INDEX('Input Statistiche 2025_26'!$I$3:$I$665,MATCH($A107,'Input Statistiche 2025_26'!$A$3:$A$665,0)),"")</f>
        <v>1</v>
      </c>
      <c r="L107" s="23">
        <f>IFERROR(INDEX('Input Statistiche 2025_26'!$O$3:$O$665,MATCH($A107,'Input Statistiche 2025_26'!$A$3:$A$665,0)),"")</f>
        <v>2</v>
      </c>
      <c r="M107" s="25"/>
      <c r="N107" s="24">
        <f>IFERROR(INDEX('Input Giocatori 2026_27'!$E$3:$E$493,MATCH($A107,'Input Giocatori 2026_27'!$A$3:$A$493,0)),"")</f>
        <v>10</v>
      </c>
      <c r="O107" s="24">
        <f>IFERROR(INDEX('Input Giocatori 2026_27'!$G$3:$G$493,MATCH($A107,'Input Giocatori 2026_27'!$A$3:$A$493,0)),"")</f>
        <v>30</v>
      </c>
      <c r="P107" s="23" t="str">
        <f>IFERROR(IF($O107="","",IF((1-(COUNTIFS($B$2:$B$492,$B107,$O$2:$O$492,"&gt;"&amp;$O107)+1-1)/COUNTIF($B$2:$B$492,$B107))&gt;='Parametri Modello'!$B$63,"Top",IF((1-(COUNTIFS($B$2:$B$492,$B107,$O$2:$O$492,"&gt;"&amp;$O107)+1-1)/COUNTIF($B$2:$B$492,$B107))&gt;='Parametri Modello'!$B$64,"Buono",IF((1-(COUNTIFS($B$2:$B$492,$B107,$O$2:$O$492,"&gt;"&amp;$O107)+1-1)/COUNTIF($B$2:$B$492,$B107))&gt;='Parametri Modello'!$B$65,"Nella Media","Scommessa/Riserva")))),"")</f>
        <v>Buono</v>
      </c>
      <c r="Q107" s="26">
        <f>IF(AND($D107="",$N107&gt;1),SUMPRODUCT(($D$2:$D107="")*($N$2:$N107&gt;1)),"")</f>
        <v>106</v>
      </c>
      <c r="R107" s="26" t="str">
        <f>IF($D107='Info Lega'!$B$28,COUNTIFS($D$2:$D107,'Info Lega'!$B$28),"")</f>
        <v/>
      </c>
      <c r="S107" s="27">
        <f>IFERROR(INDEX('Input Statistiche 2025_26'!$G$3:$G$665,MATCH($A107,'Input Statistiche 2025_26'!$A$3:$A$665,0)),"")</f>
        <v>5.99</v>
      </c>
      <c r="T107" s="27">
        <f>IFERROR(INDEX('Input Statistiche 2025_26'!$H$3:$H$665,MATCH($A107,'Input Statistiche 2025_26'!$A$3:$A$665,0)),"")</f>
        <v>6.03</v>
      </c>
      <c r="U107" s="23" t="str">
        <f>IF(OR('La Mia Rosa'!$O$12="",$D107&lt;&gt;""),"",IF($F107&lt;='La Mia Rosa'!$O$12*'Parametri Modello'!$B$24,"OK",IF($F107&lt;='La Mia Rosa'!$O$12*'Parametri Modello'!$B$25,"Attenzione","Rischio Alto")))</f>
        <v>OK</v>
      </c>
      <c r="V107" s="23">
        <f t="shared" si="10"/>
        <v>19</v>
      </c>
      <c r="W107" s="18">
        <f>'Info Lega'!$B$4-SUMIFS($M$2:$M$492,$D$2:$D$492,'Info Lega'!$B$28)</f>
        <v>1000</v>
      </c>
      <c r="X107" s="18">
        <f>('Info Lega'!$B$5-COUNTIFS($D$2:$D$492,'Info Lega'!$B$28,$B$2:$B$492,"P"))+('Info Lega'!$B$6-COUNTIFS($D$2:$D$492,'Info Lega'!$B$28,$B$2:$B$492,"D"))+('Info Lega'!$B$7-COUNTIFS($D$2:$D$492,'Info Lega'!$B$28,$B$2:$B$492,"C"))+('Info Lega'!$B$8-COUNTIFS($D$2:$D$492,'Info Lega'!$B$28,$B$2:$B$492,"A"))</f>
        <v>25</v>
      </c>
      <c r="Y107" s="18">
        <f>X107*'Parametri Modello'!$B$30</f>
        <v>25</v>
      </c>
      <c r="Z107" s="18">
        <f t="shared" si="11"/>
        <v>975</v>
      </c>
      <c r="AA107" s="18">
        <f t="shared" si="12"/>
        <v>21</v>
      </c>
      <c r="AB107" s="18"/>
      <c r="AC107" s="18" t="str">
        <f>IF($AB107="","",IF($AB107&gt;$AA107,"PASS",IF($AB107&lt;=$AA107*(1-'Parametri Modello'!$B$68),"BID","ATTENZIONE")))</f>
        <v/>
      </c>
      <c r="AD107" s="28">
        <f t="shared" si="13"/>
        <v>70</v>
      </c>
      <c r="AE107" s="5" t="str">
        <f>IFERROR(INDEX('Stato Asta'!$G$9:$G$12,MATCH($B107,'Stato Asta'!$A$9:$A$12,0)),"")</f>
        <v>🔴 Non aspettare</v>
      </c>
      <c r="AF107" t="str">
        <f>IFERROR(IF($V107&lt;=INDEX('Parametri Modello'!$C$57:$C$60,MATCH($B107,'Parametri Modello'!$A$57:$A$60,0)),"Titolare","Riserva"),"")</f>
        <v>Titolare</v>
      </c>
      <c r="AG107" t="str">
        <f>IFERROR(INDEX('Pressione Competitiva'!$F$3:$F$6,MATCH($B107,'Pressione Competitiva'!$B$3:$B$6,0)),"")</f>
        <v>🔴 Molto Alta</v>
      </c>
      <c r="AH107" t="str">
        <f t="shared" si="14"/>
        <v/>
      </c>
      <c r="AI107" t="str">
        <f>IFERROR(IF($AH107="","",IF($AH107&gt;=$AA107*'Parametri Modello'!$B$68,"🟢 Opportunita'",IF($AH107&lt;=$AA107*'Parametri Modello'!$B$69,"🔴 Sovrapprezzo","🟡 Prezzo Corretto"))),"")</f>
        <v/>
      </c>
      <c r="AJ107" t="str">
        <f t="shared" si="15"/>
        <v/>
      </c>
      <c r="AK107">
        <f t="shared" si="16"/>
        <v>1</v>
      </c>
      <c r="AL107" t="str">
        <f t="shared" si="17"/>
        <v>D|Buono|1</v>
      </c>
    </row>
    <row r="108" spans="1:38" ht="14.25" customHeight="1" x14ac:dyDescent="0.25">
      <c r="A108" s="18">
        <v>5823</v>
      </c>
      <c r="B108" s="18" t="s">
        <v>17</v>
      </c>
      <c r="C108" s="18" t="s">
        <v>247</v>
      </c>
      <c r="E108" s="23" t="str">
        <f>IF(COUNTIF('Info Strategia'!$D$2:$D$51,$C108)&gt;0,"SI","NO")</f>
        <v>NO</v>
      </c>
      <c r="F108" s="24">
        <f>IFERROR(ROUND(($G108+($H108-$G108)*'Info Strategia'!$B$6)*(1+IF($E108="SI",'Parametri Modello'!$B$7*'Info Strategia'!$B$6,0)),0),"")</f>
        <v>4</v>
      </c>
      <c r="G108" s="24">
        <f>IFERROR(ROUND(MAX(1,(IF($V108&lt;=INDEX('Parametri Modello'!$C$57:$C$60,MATCH($B108,'Parametri Modello'!$A$57:$A$60,0)),IF(INDEX('Parametri Modello'!$E$57:$E$60,MATCH($B108,'Parametri Modello'!$A$57:$A$60,0))=0,0,($O108/INDEX('Parametri Modello'!$E$57:$E$60,MATCH($B108,'Parametri Modello'!$A$57:$A$60,0)))*(INDEX('Parametri Modello'!$D$57:$D$60,MATCH($B108,'Parametri Modello'!$A$57:$A$60,0))*(INDEX('Parametri Modello'!$B$50:$B$53,MATCH($B108,'Parametri Modello'!$A$50:$A$53,0))*'Parametri Modello'!$B$44))),IF(INDEX('Parametri Modello'!$F$57:$F$60,MATCH($B108,'Parametri Modello'!$A$57:$A$60,0))=0,0,($O108/INDEX('Parametri Modello'!$F$57:$F$60,MATCH($B108,'Parametri Modello'!$A$57:$A$60,0)))*((1-INDEX('Parametri Modello'!$D$57:$D$60,MATCH($B108,'Parametri Modello'!$A$57:$A$60,0)))*(INDEX('Parametri Modello'!$B$50:$B$53,MATCH($B108,'Parametri Modello'!$A$50:$A$53,0))*'Parametri Modello'!$B$44))))*(1+IF(IF($B108="D",'Info Lega'!$B$25,IF($B108="C",'Info Lega'!$B$26,"No"))="Si",'Parametri Modello'!$B$5,0))*(1+MAX(-0.25,MIN(0.25,IF(OR($T108="",$I108="",$I108=0,INDEX('Parametri Modello'!$B$19:$B$22,MATCH($B108,'Parametri Modello'!$A$19:$A$22,0))="",INDEX('Parametri Modello'!$B$19:$B$22,MATCH($B108,'Parametri Modello'!$A$19:$A$22,0))=0),0,(($T108-INDEX('Parametri Modello'!$B$19:$B$22,MATCH($B108,'Parametri Modello'!$A$19:$A$22,0)))/INDEX('Parametri Modello'!$B$19:$B$22,MATCH($B108,'Parametri Modello'!$A$19:$A$22,0)))*'Parametri Modello'!$B$9))))*(1+IF('Parametri Modello'!$B$27="Si",MAX(-'Parametri Modello'!$B$28,MIN('Parametri Modello'!$B$28*1.5,IF(OR(INDEX('Parametri Modello'!$F$32:$F$35,MATCH($B108,'Parametri Modello'!$A$32:$A$35,0))="",INDEX('Parametri Modello'!$F$32:$F$35,MATCH($B108,'Parametri Modello'!$A$32:$A$35,0))=0),0,(1/INDEX('Parametri Modello'!$F$32:$F$35,MATCH($B108,'Parametri Modello'!$A$32:$A$35,0))-1)*'Parametri Modello'!$B$28))),0)))*(1-INDEX('Parametri Modello'!$B$12:$B$15,MATCH($B108,'Parametri Modello'!$A$12:$A$15,0)))),0),"")</f>
        <v>3</v>
      </c>
      <c r="H108" s="24">
        <f>IFERROR(ROUND((IF($V108&lt;=INDEX('Parametri Modello'!$C$57:$C$60,MATCH($B108,'Parametri Modello'!$A$57:$A$60,0)),IF(INDEX('Parametri Modello'!$E$57:$E$60,MATCH($B108,'Parametri Modello'!$A$57:$A$60,0))=0,0,($O108/INDEX('Parametri Modello'!$E$57:$E$60,MATCH($B108,'Parametri Modello'!$A$57:$A$60,0)))*(INDEX('Parametri Modello'!$D$57:$D$60,MATCH($B108,'Parametri Modello'!$A$57:$A$60,0))*(INDEX('Parametri Modello'!$B$50:$B$53,MATCH($B108,'Parametri Modello'!$A$50:$A$53,0))*'Parametri Modello'!$B$44))),IF(INDEX('Parametri Modello'!$F$57:$F$60,MATCH($B108,'Parametri Modello'!$A$57:$A$60,0))=0,0,($O108/INDEX('Parametri Modello'!$F$57:$F$60,MATCH($B108,'Parametri Modello'!$A$57:$A$60,0)))*((1-INDEX('Parametri Modello'!$D$57:$D$60,MATCH($B108,'Parametri Modello'!$A$57:$A$60,0)))*(INDEX('Parametri Modello'!$B$50:$B$53,MATCH($B108,'Parametri Modello'!$A$50:$A$53,0))*'Parametri Modello'!$B$44))))*(1+IF(IF($B108="D",'Info Lega'!$B$25,IF($B108="C",'Info Lega'!$B$26,"No"))="Si",'Parametri Modello'!$B$5,0))*(1+MAX(-0.25,MIN(0.25,IF(OR($T108="",$I108="",$I108=0,INDEX('Parametri Modello'!$B$19:$B$22,MATCH($B108,'Parametri Modello'!$A$19:$A$22,0))="",INDEX('Parametri Modello'!$B$19:$B$22,MATCH($B108,'Parametri Modello'!$A$19:$A$22,0))=0),0,(($T108-INDEX('Parametri Modello'!$B$19:$B$22,MATCH($B108,'Parametri Modello'!$A$19:$A$22,0)))/INDEX('Parametri Modello'!$B$19:$B$22,MATCH($B108,'Parametri Modello'!$A$19:$A$22,0)))*'Parametri Modello'!$B$9))))*(1+IF('Parametri Modello'!$B$27="Si",MAX(-'Parametri Modello'!$B$28,MIN('Parametri Modello'!$B$28*1.5,IF(OR(INDEX('Parametri Modello'!$F$32:$F$35,MATCH($B108,'Parametri Modello'!$A$32:$A$35,0))="",INDEX('Parametri Modello'!$F$32:$F$35,MATCH($B108,'Parametri Modello'!$A$32:$A$35,0))=0),0,(1/INDEX('Parametri Modello'!$F$32:$F$35,MATCH($B108,'Parametri Modello'!$A$32:$A$35,0))-1)*'Parametri Modello'!$B$28))),0)))*(1+INDEX('Parametri Modello'!$B$12:$B$15,MATCH($B108,'Parametri Modello'!$A$12:$A$15,0))),0),"")</f>
        <v>4</v>
      </c>
      <c r="I108" s="23">
        <f>IFERROR(INDEX('Input Statistiche 2025_26'!$F$3:$F$665,MATCH($A108,'Input Statistiche 2025_26'!$A$3:$A$665,0)),"")</f>
        <v>17</v>
      </c>
      <c r="J108" s="23">
        <f t="shared" si="9"/>
        <v>21</v>
      </c>
      <c r="K108" s="23">
        <f>IFERROR(INDEX('Input Statistiche 2025_26'!$I$3:$I$665,MATCH($A108,'Input Statistiche 2025_26'!$A$3:$A$665,0)),"")</f>
        <v>1</v>
      </c>
      <c r="L108" s="23">
        <f>IFERROR(INDEX('Input Statistiche 2025_26'!$O$3:$O$665,MATCH($A108,'Input Statistiche 2025_26'!$A$3:$A$665,0)),"")</f>
        <v>2</v>
      </c>
      <c r="M108" s="25"/>
      <c r="N108" s="24">
        <f>IFERROR(INDEX('Input Giocatori 2026_27'!$E$3:$E$493,MATCH($A108,'Input Giocatori 2026_27'!$A$3:$A$493,0)),"")</f>
        <v>11</v>
      </c>
      <c r="O108" s="24">
        <f>IFERROR(INDEX('Input Giocatori 2026_27'!$G$3:$G$493,MATCH($A108,'Input Giocatori 2026_27'!$A$3:$A$493,0)),"")</f>
        <v>30</v>
      </c>
      <c r="P108" s="23" t="str">
        <f>IFERROR(IF($O108="","",IF((1-(COUNTIFS($B$2:$B$492,$B108,$O$2:$O$492,"&gt;"&amp;$O108)+1-1)/COUNTIF($B$2:$B$492,$B108))&gt;='Parametri Modello'!$B$63,"Top",IF((1-(COUNTIFS($B$2:$B$492,$B108,$O$2:$O$492,"&gt;"&amp;$O108)+1-1)/COUNTIF($B$2:$B$492,$B108))&gt;='Parametri Modello'!$B$64,"Buono",IF((1-(COUNTIFS($B$2:$B$492,$B108,$O$2:$O$492,"&gt;"&amp;$O108)+1-1)/COUNTIF($B$2:$B$492,$B108))&gt;='Parametri Modello'!$B$65,"Nella Media","Scommessa/Riserva")))),"")</f>
        <v>Buono</v>
      </c>
      <c r="Q108" s="26">
        <f>IF(AND($D108="",$N108&gt;1),SUMPRODUCT(($D$2:$D108="")*($N$2:$N108&gt;1)),"")</f>
        <v>107</v>
      </c>
      <c r="R108" s="26" t="str">
        <f>IF($D108='Info Lega'!$B$28,COUNTIFS($D$2:$D108,'Info Lega'!$B$28),"")</f>
        <v/>
      </c>
      <c r="S108" s="27">
        <f>IFERROR(INDEX('Input Statistiche 2025_26'!$G$3:$G$665,MATCH($A108,'Input Statistiche 2025_26'!$A$3:$A$665,0)),"")</f>
        <v>6.15</v>
      </c>
      <c r="T108" s="27">
        <f>IFERROR(INDEX('Input Statistiche 2025_26'!$H$3:$H$665,MATCH($A108,'Input Statistiche 2025_26'!$A$3:$A$665,0)),"")</f>
        <v>6.38</v>
      </c>
      <c r="U108" s="23" t="str">
        <f>IF(OR('La Mia Rosa'!$O$12="",$D108&lt;&gt;""),"",IF($F108&lt;='La Mia Rosa'!$O$12*'Parametri Modello'!$B$24,"OK",IF($F108&lt;='La Mia Rosa'!$O$12*'Parametri Modello'!$B$25,"Attenzione","Rischio Alto")))</f>
        <v>OK</v>
      </c>
      <c r="V108" s="23">
        <f t="shared" si="10"/>
        <v>40</v>
      </c>
      <c r="W108" s="18">
        <f>'Info Lega'!$B$4-SUMIFS($M$2:$M$492,$D$2:$D$492,'Info Lega'!$B$28)</f>
        <v>1000</v>
      </c>
      <c r="X108" s="18">
        <f>('Info Lega'!$B$5-COUNTIFS($D$2:$D$492,'Info Lega'!$B$28,$B$2:$B$492,"P"))+('Info Lega'!$B$6-COUNTIFS($D$2:$D$492,'Info Lega'!$B$28,$B$2:$B$492,"D"))+('Info Lega'!$B$7-COUNTIFS($D$2:$D$492,'Info Lega'!$B$28,$B$2:$B$492,"C"))+('Info Lega'!$B$8-COUNTIFS($D$2:$D$492,'Info Lega'!$B$28,$B$2:$B$492,"A"))</f>
        <v>25</v>
      </c>
      <c r="Y108" s="18">
        <f>X108*'Parametri Modello'!$B$30</f>
        <v>25</v>
      </c>
      <c r="Z108" s="18">
        <f t="shared" si="11"/>
        <v>975</v>
      </c>
      <c r="AA108" s="18">
        <f t="shared" si="12"/>
        <v>4</v>
      </c>
      <c r="AB108" s="18"/>
      <c r="AC108" s="18" t="str">
        <f>IF($AB108="","",IF($AB108&gt;$AA108,"PASS",IF($AB108&lt;=$AA108*(1-'Parametri Modello'!$B$68),"BID","ATTENZIONE")))</f>
        <v/>
      </c>
      <c r="AD108" s="28">
        <f t="shared" si="13"/>
        <v>43</v>
      </c>
      <c r="AE108" s="5" t="str">
        <f>IFERROR(INDEX('Stato Asta'!$G$9:$G$12,MATCH($B108,'Stato Asta'!$A$9:$A$12,0)),"")</f>
        <v>🔴 Non aspettare</v>
      </c>
      <c r="AF108" t="str">
        <f>IFERROR(IF($V108&lt;=INDEX('Parametri Modello'!$C$57:$C$60,MATCH($B108,'Parametri Modello'!$A$57:$A$60,0)),"Titolare","Riserva"),"")</f>
        <v>Riserva</v>
      </c>
      <c r="AG108" t="str">
        <f>IFERROR(INDEX('Pressione Competitiva'!$F$3:$F$6,MATCH($B108,'Pressione Competitiva'!$B$3:$B$6,0)),"")</f>
        <v>🔴 Molto Alta</v>
      </c>
      <c r="AH108" t="str">
        <f t="shared" si="14"/>
        <v/>
      </c>
      <c r="AI108" t="str">
        <f>IFERROR(IF($AH108="","",IF($AH108&gt;=$AA108*'Parametri Modello'!$B$68,"🟢 Opportunita'",IF($AH108&lt;=$AA108*'Parametri Modello'!$B$69,"🔴 Sovrapprezzo","🟡 Prezzo Corretto"))),"")</f>
        <v/>
      </c>
      <c r="AJ108" t="str">
        <f t="shared" si="15"/>
        <v/>
      </c>
      <c r="AK108">
        <f t="shared" si="16"/>
        <v>22</v>
      </c>
      <c r="AL108" t="str">
        <f t="shared" si="17"/>
        <v>C|Buono|22</v>
      </c>
    </row>
    <row r="109" spans="1:38" ht="14.25" customHeight="1" x14ac:dyDescent="0.25">
      <c r="A109" s="18">
        <v>6530</v>
      </c>
      <c r="B109" s="18" t="s">
        <v>18</v>
      </c>
      <c r="C109" s="18" t="s">
        <v>248</v>
      </c>
      <c r="E109" s="23" t="str">
        <f>IF(COUNTIF('Info Strategia'!$D$2:$D$51,$C109)&gt;0,"SI","NO")</f>
        <v>NO</v>
      </c>
      <c r="F109" s="24">
        <f>IFERROR(ROUND(($G109+($H109-$G109)*'Info Strategia'!$B$6)*(1+IF($E109="SI",'Parametri Modello'!$B$7*'Info Strategia'!$B$6,0)),0),"")</f>
        <v>10</v>
      </c>
      <c r="G109" s="24">
        <f>IFERROR(ROUND(MAX(1,(IF($V109&lt;=INDEX('Parametri Modello'!$C$57:$C$60,MATCH($B109,'Parametri Modello'!$A$57:$A$60,0)),IF(INDEX('Parametri Modello'!$E$57:$E$60,MATCH($B109,'Parametri Modello'!$A$57:$A$60,0))=0,0,($O109/INDEX('Parametri Modello'!$E$57:$E$60,MATCH($B109,'Parametri Modello'!$A$57:$A$60,0)))*(INDEX('Parametri Modello'!$D$57:$D$60,MATCH($B109,'Parametri Modello'!$A$57:$A$60,0))*(INDEX('Parametri Modello'!$B$50:$B$53,MATCH($B109,'Parametri Modello'!$A$50:$A$53,0))*'Parametri Modello'!$B$44))),IF(INDEX('Parametri Modello'!$F$57:$F$60,MATCH($B109,'Parametri Modello'!$A$57:$A$60,0))=0,0,($O109/INDEX('Parametri Modello'!$F$57:$F$60,MATCH($B109,'Parametri Modello'!$A$57:$A$60,0)))*((1-INDEX('Parametri Modello'!$D$57:$D$60,MATCH($B109,'Parametri Modello'!$A$57:$A$60,0)))*(INDEX('Parametri Modello'!$B$50:$B$53,MATCH($B109,'Parametri Modello'!$A$50:$A$53,0))*'Parametri Modello'!$B$44))))*(1+IF(IF($B109="D",'Info Lega'!$B$25,IF($B109="C",'Info Lega'!$B$26,"No"))="Si",'Parametri Modello'!$B$5,0))*(1+MAX(-0.25,MIN(0.25,IF(OR($T109="",$I109="",$I109=0,INDEX('Parametri Modello'!$B$19:$B$22,MATCH($B109,'Parametri Modello'!$A$19:$A$22,0))="",INDEX('Parametri Modello'!$B$19:$B$22,MATCH($B109,'Parametri Modello'!$A$19:$A$22,0))=0),0,(($T109-INDEX('Parametri Modello'!$B$19:$B$22,MATCH($B109,'Parametri Modello'!$A$19:$A$22,0)))/INDEX('Parametri Modello'!$B$19:$B$22,MATCH($B109,'Parametri Modello'!$A$19:$A$22,0)))*'Parametri Modello'!$B$9))))*(1+IF('Parametri Modello'!$B$27="Si",MAX(-'Parametri Modello'!$B$28,MIN('Parametri Modello'!$B$28*1.5,IF(OR(INDEX('Parametri Modello'!$F$32:$F$35,MATCH($B109,'Parametri Modello'!$A$32:$A$35,0))="",INDEX('Parametri Modello'!$F$32:$F$35,MATCH($B109,'Parametri Modello'!$A$32:$A$35,0))=0),0,(1/INDEX('Parametri Modello'!$F$32:$F$35,MATCH($B109,'Parametri Modello'!$A$32:$A$35,0))-1)*'Parametri Modello'!$B$28))),0)))*(1-INDEX('Parametri Modello'!$B$12:$B$15,MATCH($B109,'Parametri Modello'!$A$12:$A$15,0)))),0),"")</f>
        <v>6</v>
      </c>
      <c r="H109" s="24">
        <f>IFERROR(ROUND((IF($V109&lt;=INDEX('Parametri Modello'!$C$57:$C$60,MATCH($B109,'Parametri Modello'!$A$57:$A$60,0)),IF(INDEX('Parametri Modello'!$E$57:$E$60,MATCH($B109,'Parametri Modello'!$A$57:$A$60,0))=0,0,($O109/INDEX('Parametri Modello'!$E$57:$E$60,MATCH($B109,'Parametri Modello'!$A$57:$A$60,0)))*(INDEX('Parametri Modello'!$D$57:$D$60,MATCH($B109,'Parametri Modello'!$A$57:$A$60,0))*(INDEX('Parametri Modello'!$B$50:$B$53,MATCH($B109,'Parametri Modello'!$A$50:$A$53,0))*'Parametri Modello'!$B$44))),IF(INDEX('Parametri Modello'!$F$57:$F$60,MATCH($B109,'Parametri Modello'!$A$57:$A$60,0))=0,0,($O109/INDEX('Parametri Modello'!$F$57:$F$60,MATCH($B109,'Parametri Modello'!$A$57:$A$60,0)))*((1-INDEX('Parametri Modello'!$D$57:$D$60,MATCH($B109,'Parametri Modello'!$A$57:$A$60,0)))*(INDEX('Parametri Modello'!$B$50:$B$53,MATCH($B109,'Parametri Modello'!$A$50:$A$53,0))*'Parametri Modello'!$B$44))))*(1+IF(IF($B109="D",'Info Lega'!$B$25,IF($B109="C",'Info Lega'!$B$26,"No"))="Si",'Parametri Modello'!$B$5,0))*(1+MAX(-0.25,MIN(0.25,IF(OR($T109="",$I109="",$I109=0,INDEX('Parametri Modello'!$B$19:$B$22,MATCH($B109,'Parametri Modello'!$A$19:$A$22,0))="",INDEX('Parametri Modello'!$B$19:$B$22,MATCH($B109,'Parametri Modello'!$A$19:$A$22,0))=0),0,(($T109-INDEX('Parametri Modello'!$B$19:$B$22,MATCH($B109,'Parametri Modello'!$A$19:$A$22,0)))/INDEX('Parametri Modello'!$B$19:$B$22,MATCH($B109,'Parametri Modello'!$A$19:$A$22,0)))*'Parametri Modello'!$B$9))))*(1+IF('Parametri Modello'!$B$27="Si",MAX(-'Parametri Modello'!$B$28,MIN('Parametri Modello'!$B$28*1.5,IF(OR(INDEX('Parametri Modello'!$F$32:$F$35,MATCH($B109,'Parametri Modello'!$A$32:$A$35,0))="",INDEX('Parametri Modello'!$F$32:$F$35,MATCH($B109,'Parametri Modello'!$A$32:$A$35,0))=0),0,(1/INDEX('Parametri Modello'!$F$32:$F$35,MATCH($B109,'Parametri Modello'!$A$32:$A$35,0))-1)*'Parametri Modello'!$B$28))),0)))*(1+INDEX('Parametri Modello'!$B$12:$B$15,MATCH($B109,'Parametri Modello'!$A$12:$A$15,0))),0),"")</f>
        <v>11</v>
      </c>
      <c r="I109" s="23" t="str">
        <f>IFERROR(INDEX('Input Statistiche 2025_26'!$F$3:$F$665,MATCH($A109,'Input Statistiche 2025_26'!$A$3:$A$665,0)),"")</f>
        <v/>
      </c>
      <c r="J109" s="23" t="str">
        <f t="shared" si="9"/>
        <v/>
      </c>
      <c r="K109" s="23" t="str">
        <f>IFERROR(INDEX('Input Statistiche 2025_26'!$I$3:$I$665,MATCH($A109,'Input Statistiche 2025_26'!$A$3:$A$665,0)),"")</f>
        <v/>
      </c>
      <c r="L109" s="23" t="str">
        <f>IFERROR(INDEX('Input Statistiche 2025_26'!$O$3:$O$665,MATCH($A109,'Input Statistiche 2025_26'!$A$3:$A$665,0)),"")</f>
        <v/>
      </c>
      <c r="M109" s="25"/>
      <c r="N109" s="24">
        <f>IFERROR(INDEX('Input Giocatori 2026_27'!$E$3:$E$493,MATCH($A109,'Input Giocatori 2026_27'!$A$3:$A$493,0)),"")</f>
        <v>9</v>
      </c>
      <c r="O109" s="24">
        <f>IFERROR(INDEX('Input Giocatori 2026_27'!$G$3:$G$493,MATCH($A109,'Input Giocatori 2026_27'!$A$3:$A$493,0)),"")</f>
        <v>30</v>
      </c>
      <c r="P109" s="23" t="str">
        <f>IFERROR(IF($O109="","",IF((1-(COUNTIFS($B$2:$B$492,$B109,$O$2:$O$492,"&gt;"&amp;$O109)+1-1)/COUNTIF($B$2:$B$492,$B109))&gt;='Parametri Modello'!$B$63,"Top",IF((1-(COUNTIFS($B$2:$B$492,$B109,$O$2:$O$492,"&gt;"&amp;$O109)+1-1)/COUNTIF($B$2:$B$492,$B109))&gt;='Parametri Modello'!$B$64,"Buono",IF((1-(COUNTIFS($B$2:$B$492,$B109,$O$2:$O$492,"&gt;"&amp;$O109)+1-1)/COUNTIF($B$2:$B$492,$B109))&gt;='Parametri Modello'!$B$65,"Nella Media","Scommessa/Riserva")))),"")</f>
        <v>Nella Media</v>
      </c>
      <c r="Q109" s="26">
        <f>IF(AND($D109="",$N109&gt;1),SUMPRODUCT(($D$2:$D109="")*($N$2:$N109&gt;1)),"")</f>
        <v>108</v>
      </c>
      <c r="R109" s="26" t="str">
        <f>IF($D109='Info Lega'!$B$28,COUNTIFS($D$2:$D109,'Info Lega'!$B$28),"")</f>
        <v/>
      </c>
      <c r="S109" s="27" t="str">
        <f>IFERROR(INDEX('Input Statistiche 2025_26'!$G$3:$G$665,MATCH($A109,'Input Statistiche 2025_26'!$A$3:$A$665,0)),"")</f>
        <v/>
      </c>
      <c r="T109" s="27" t="str">
        <f>IFERROR(INDEX('Input Statistiche 2025_26'!$H$3:$H$665,MATCH($A109,'Input Statistiche 2025_26'!$A$3:$A$665,0)),"")</f>
        <v/>
      </c>
      <c r="U109" s="23" t="str">
        <f>IF(OR('La Mia Rosa'!$O$12="",$D109&lt;&gt;""),"",IF($F109&lt;='La Mia Rosa'!$O$12*'Parametri Modello'!$B$24,"OK",IF($F109&lt;='La Mia Rosa'!$O$12*'Parametri Modello'!$B$25,"Attenzione","Rischio Alto")))</f>
        <v>OK</v>
      </c>
      <c r="V109" s="23">
        <f t="shared" si="10"/>
        <v>39</v>
      </c>
      <c r="W109" s="18">
        <f>'Info Lega'!$B$4-SUMIFS($M$2:$M$492,$D$2:$D$492,'Info Lega'!$B$28)</f>
        <v>1000</v>
      </c>
      <c r="X109" s="18">
        <f>('Info Lega'!$B$5-COUNTIFS($D$2:$D$492,'Info Lega'!$B$28,$B$2:$B$492,"P"))+('Info Lega'!$B$6-COUNTIFS($D$2:$D$492,'Info Lega'!$B$28,$B$2:$B$492,"D"))+('Info Lega'!$B$7-COUNTIFS($D$2:$D$492,'Info Lega'!$B$28,$B$2:$B$492,"C"))+('Info Lega'!$B$8-COUNTIFS($D$2:$D$492,'Info Lega'!$B$28,$B$2:$B$492,"A"))</f>
        <v>25</v>
      </c>
      <c r="Y109" s="18">
        <f>X109*'Parametri Modello'!$B$30</f>
        <v>25</v>
      </c>
      <c r="Z109" s="18">
        <f t="shared" si="11"/>
        <v>975</v>
      </c>
      <c r="AA109" s="18">
        <f t="shared" si="12"/>
        <v>10</v>
      </c>
      <c r="AB109" s="18"/>
      <c r="AC109" s="18" t="str">
        <f>IF($AB109="","",IF($AB109&gt;$AA109,"PASS",IF($AB109&lt;=$AA109*(1-'Parametri Modello'!$B$68),"BID","ATTENZIONE")))</f>
        <v/>
      </c>
      <c r="AD109" s="28" t="str">
        <f t="shared" si="13"/>
        <v/>
      </c>
      <c r="AE109" s="5" t="str">
        <f>IFERROR(INDEX('Stato Asta'!$G$9:$G$12,MATCH($B109,'Stato Asta'!$A$9:$A$12,0)),"")</f>
        <v>🔴 Non aspettare</v>
      </c>
      <c r="AF109" t="str">
        <f>IFERROR(IF($V109&lt;=INDEX('Parametri Modello'!$C$57:$C$60,MATCH($B109,'Parametri Modello'!$A$57:$A$60,0)),"Titolare","Riserva"),"")</f>
        <v>Riserva</v>
      </c>
      <c r="AG109" t="str">
        <f>IFERROR(INDEX('Pressione Competitiva'!$F$3:$F$6,MATCH($B109,'Pressione Competitiva'!$B$3:$B$6,0)),"")</f>
        <v>🔴 Molto Alta</v>
      </c>
      <c r="AH109" t="str">
        <f t="shared" si="14"/>
        <v/>
      </c>
      <c r="AI109" t="str">
        <f>IFERROR(IF($AH109="","",IF($AH109&gt;=$AA109*'Parametri Modello'!$B$68,"🟢 Opportunita'",IF($AH109&lt;=$AA109*'Parametri Modello'!$B$69,"🔴 Sovrapprezzo","🟡 Prezzo Corretto"))),"")</f>
        <v/>
      </c>
      <c r="AJ109" t="str">
        <f t="shared" si="15"/>
        <v/>
      </c>
      <c r="AK109">
        <f t="shared" si="16"/>
        <v>13</v>
      </c>
      <c r="AL109" t="str">
        <f t="shared" si="17"/>
        <v>A|Nella Media|13</v>
      </c>
    </row>
    <row r="110" spans="1:38" ht="14.25" customHeight="1" x14ac:dyDescent="0.25">
      <c r="A110" s="18">
        <v>6462</v>
      </c>
      <c r="B110" s="18" t="s">
        <v>15</v>
      </c>
      <c r="C110" s="18" t="s">
        <v>249</v>
      </c>
      <c r="E110" s="23" t="str">
        <f>IF(COUNTIF('Info Strategia'!$D$2:$D$51,$C110)&gt;0,"SI","NO")</f>
        <v>NO</v>
      </c>
      <c r="F110" s="24">
        <f>IFERROR(ROUND(($G110+($H110-$G110)*'Info Strategia'!$B$6)*(1+IF($E110="SI",'Parametri Modello'!$B$7*'Info Strategia'!$B$6,0)),0),"")</f>
        <v>10</v>
      </c>
      <c r="G110" s="24">
        <f>IFERROR(ROUND(MAX(1,(IF($V110&lt;=INDEX('Parametri Modello'!$C$57:$C$60,MATCH($B110,'Parametri Modello'!$A$57:$A$60,0)),IF(INDEX('Parametri Modello'!$E$57:$E$60,MATCH($B110,'Parametri Modello'!$A$57:$A$60,0))=0,0,($O110/INDEX('Parametri Modello'!$E$57:$E$60,MATCH($B110,'Parametri Modello'!$A$57:$A$60,0)))*(INDEX('Parametri Modello'!$D$57:$D$60,MATCH($B110,'Parametri Modello'!$A$57:$A$60,0))*(INDEX('Parametri Modello'!$B$50:$B$53,MATCH($B110,'Parametri Modello'!$A$50:$A$53,0))*'Parametri Modello'!$B$44))),IF(INDEX('Parametri Modello'!$F$57:$F$60,MATCH($B110,'Parametri Modello'!$A$57:$A$60,0))=0,0,($O110/INDEX('Parametri Modello'!$F$57:$F$60,MATCH($B110,'Parametri Modello'!$A$57:$A$60,0)))*((1-INDEX('Parametri Modello'!$D$57:$D$60,MATCH($B110,'Parametri Modello'!$A$57:$A$60,0)))*(INDEX('Parametri Modello'!$B$50:$B$53,MATCH($B110,'Parametri Modello'!$A$50:$A$53,0))*'Parametri Modello'!$B$44))))*(1+IF(IF($B110="D",'Info Lega'!$B$25,IF($B110="C",'Info Lega'!$B$26,"No"))="Si",'Parametri Modello'!$B$5,0))*(1+MAX(-0.25,MIN(0.25,IF(OR($T110="",$I110="",$I110=0,INDEX('Parametri Modello'!$B$19:$B$22,MATCH($B110,'Parametri Modello'!$A$19:$A$22,0))="",INDEX('Parametri Modello'!$B$19:$B$22,MATCH($B110,'Parametri Modello'!$A$19:$A$22,0))=0),0,(($T110-INDEX('Parametri Modello'!$B$19:$B$22,MATCH($B110,'Parametri Modello'!$A$19:$A$22,0)))/INDEX('Parametri Modello'!$B$19:$B$22,MATCH($B110,'Parametri Modello'!$A$19:$A$22,0)))*'Parametri Modello'!$B$9))))*(1+IF('Parametri Modello'!$B$27="Si",MAX(-'Parametri Modello'!$B$28,MIN('Parametri Modello'!$B$28*1.5,IF(OR(INDEX('Parametri Modello'!$F$32:$F$35,MATCH($B110,'Parametri Modello'!$A$32:$A$35,0))="",INDEX('Parametri Modello'!$F$32:$F$35,MATCH($B110,'Parametri Modello'!$A$32:$A$35,0))=0),0,(1/INDEX('Parametri Modello'!$F$32:$F$35,MATCH($B110,'Parametri Modello'!$A$32:$A$35,0))-1)*'Parametri Modello'!$B$28))),0)))*(1-INDEX('Parametri Modello'!$B$12:$B$15,MATCH($B110,'Parametri Modello'!$A$12:$A$15,0)))),0),"")</f>
        <v>8</v>
      </c>
      <c r="H110" s="24">
        <f>IFERROR(ROUND((IF($V110&lt;=INDEX('Parametri Modello'!$C$57:$C$60,MATCH($B110,'Parametri Modello'!$A$57:$A$60,0)),IF(INDEX('Parametri Modello'!$E$57:$E$60,MATCH($B110,'Parametri Modello'!$A$57:$A$60,0))=0,0,($O110/INDEX('Parametri Modello'!$E$57:$E$60,MATCH($B110,'Parametri Modello'!$A$57:$A$60,0)))*(INDEX('Parametri Modello'!$D$57:$D$60,MATCH($B110,'Parametri Modello'!$A$57:$A$60,0))*(INDEX('Parametri Modello'!$B$50:$B$53,MATCH($B110,'Parametri Modello'!$A$50:$A$53,0))*'Parametri Modello'!$B$44))),IF(INDEX('Parametri Modello'!$F$57:$F$60,MATCH($B110,'Parametri Modello'!$A$57:$A$60,0))=0,0,($O110/INDEX('Parametri Modello'!$F$57:$F$60,MATCH($B110,'Parametri Modello'!$A$57:$A$60,0)))*((1-INDEX('Parametri Modello'!$D$57:$D$60,MATCH($B110,'Parametri Modello'!$A$57:$A$60,0)))*(INDEX('Parametri Modello'!$B$50:$B$53,MATCH($B110,'Parametri Modello'!$A$50:$A$53,0))*'Parametri Modello'!$B$44))))*(1+IF(IF($B110="D",'Info Lega'!$B$25,IF($B110="C",'Info Lega'!$B$26,"No"))="Si",'Parametri Modello'!$B$5,0))*(1+MAX(-0.25,MIN(0.25,IF(OR($T110="",$I110="",$I110=0,INDEX('Parametri Modello'!$B$19:$B$22,MATCH($B110,'Parametri Modello'!$A$19:$A$22,0))="",INDEX('Parametri Modello'!$B$19:$B$22,MATCH($B110,'Parametri Modello'!$A$19:$A$22,0))=0),0,(($T110-INDEX('Parametri Modello'!$B$19:$B$22,MATCH($B110,'Parametri Modello'!$A$19:$A$22,0)))/INDEX('Parametri Modello'!$B$19:$B$22,MATCH($B110,'Parametri Modello'!$A$19:$A$22,0)))*'Parametri Modello'!$B$9))))*(1+IF('Parametri Modello'!$B$27="Si",MAX(-'Parametri Modello'!$B$28,MIN('Parametri Modello'!$B$28*1.5,IF(OR(INDEX('Parametri Modello'!$F$32:$F$35,MATCH($B110,'Parametri Modello'!$A$32:$A$35,0))="",INDEX('Parametri Modello'!$F$32:$F$35,MATCH($B110,'Parametri Modello'!$A$32:$A$35,0))=0),0,(1/INDEX('Parametri Modello'!$F$32:$F$35,MATCH($B110,'Parametri Modello'!$A$32:$A$35,0))-1)*'Parametri Modello'!$B$28))),0)))*(1+INDEX('Parametri Modello'!$B$12:$B$15,MATCH($B110,'Parametri Modello'!$A$12:$A$15,0))),0),"")</f>
        <v>11</v>
      </c>
      <c r="I110" s="23">
        <f>IFERROR(INDEX('Input Statistiche 2025_26'!$F$3:$F$665,MATCH($A110,'Input Statistiche 2025_26'!$A$3:$A$665,0)),"")</f>
        <v>30</v>
      </c>
      <c r="J110" s="23">
        <f t="shared" si="9"/>
        <v>8</v>
      </c>
      <c r="K110" s="23">
        <f>IFERROR(INDEX('Input Statistiche 2025_26'!$I$3:$I$665,MATCH($A110,'Input Statistiche 2025_26'!$A$3:$A$665,0)),"")</f>
        <v>0</v>
      </c>
      <c r="L110" s="23">
        <f>IFERROR(INDEX('Input Statistiche 2025_26'!$O$3:$O$665,MATCH($A110,'Input Statistiche 2025_26'!$A$3:$A$665,0)),"")</f>
        <v>1</v>
      </c>
      <c r="M110" s="25"/>
      <c r="N110" s="24">
        <f>IFERROR(INDEX('Input Giocatori 2026_27'!$E$3:$E$493,MATCH($A110,'Input Giocatori 2026_27'!$A$3:$A$493,0)),"")</f>
        <v>9</v>
      </c>
      <c r="O110" s="24">
        <f>IFERROR(INDEX('Input Giocatori 2026_27'!$G$3:$G$493,MATCH($A110,'Input Giocatori 2026_27'!$A$3:$A$493,0)),"")</f>
        <v>29</v>
      </c>
      <c r="P110" s="23" t="str">
        <f>IFERROR(IF($O110="","",IF((1-(COUNTIFS($B$2:$B$492,$B110,$O$2:$O$492,"&gt;"&amp;$O110)+1-1)/COUNTIF($B$2:$B$492,$B110))&gt;='Parametri Modello'!$B$63,"Top",IF((1-(COUNTIFS($B$2:$B$492,$B110,$O$2:$O$492,"&gt;"&amp;$O110)+1-1)/COUNTIF($B$2:$B$492,$B110))&gt;='Parametri Modello'!$B$64,"Buono",IF((1-(COUNTIFS($B$2:$B$492,$B110,$O$2:$O$492,"&gt;"&amp;$O110)+1-1)/COUNTIF($B$2:$B$492,$B110))&gt;='Parametri Modello'!$B$65,"Nella Media","Scommessa/Riserva")))),"")</f>
        <v>Buono</v>
      </c>
      <c r="Q110" s="26">
        <f>IF(AND($D110="",$N110&gt;1),SUMPRODUCT(($D$2:$D110="")*($N$2:$N110&gt;1)),"")</f>
        <v>109</v>
      </c>
      <c r="R110" s="26" t="str">
        <f>IF($D110='Info Lega'!$B$28,COUNTIFS($D$2:$D110,'Info Lega'!$B$28),"")</f>
        <v/>
      </c>
      <c r="S110" s="27">
        <f>IFERROR(INDEX('Input Statistiche 2025_26'!$G$3:$G$665,MATCH($A110,'Input Statistiche 2025_26'!$A$3:$A$665,0)),"")</f>
        <v>6.07</v>
      </c>
      <c r="T110" s="27">
        <f>IFERROR(INDEX('Input Statistiche 2025_26'!$H$3:$H$665,MATCH($A110,'Input Statistiche 2025_26'!$A$3:$A$665,0)),"")</f>
        <v>5.08</v>
      </c>
      <c r="U110" s="23" t="str">
        <f>IF(OR('La Mia Rosa'!$O$12="",$D110&lt;&gt;""),"",IF($F110&lt;='La Mia Rosa'!$O$12*'Parametri Modello'!$B$24,"OK",IF($F110&lt;='La Mia Rosa'!$O$12*'Parametri Modello'!$B$25,"Attenzione","Rischio Alto")))</f>
        <v>OK</v>
      </c>
      <c r="V110" s="23">
        <f t="shared" si="10"/>
        <v>11</v>
      </c>
      <c r="W110" s="18">
        <f>'Info Lega'!$B$4-SUMIFS($M$2:$M$492,$D$2:$D$492,'Info Lega'!$B$28)</f>
        <v>1000</v>
      </c>
      <c r="X110" s="18">
        <f>('Info Lega'!$B$5-COUNTIFS($D$2:$D$492,'Info Lega'!$B$28,$B$2:$B$492,"P"))+('Info Lega'!$B$6-COUNTIFS($D$2:$D$492,'Info Lega'!$B$28,$B$2:$B$492,"D"))+('Info Lega'!$B$7-COUNTIFS($D$2:$D$492,'Info Lega'!$B$28,$B$2:$B$492,"C"))+('Info Lega'!$B$8-COUNTIFS($D$2:$D$492,'Info Lega'!$B$28,$B$2:$B$492,"A"))</f>
        <v>25</v>
      </c>
      <c r="Y110" s="18">
        <f>X110*'Parametri Modello'!$B$30</f>
        <v>25</v>
      </c>
      <c r="Z110" s="18">
        <f t="shared" si="11"/>
        <v>975</v>
      </c>
      <c r="AA110" s="18">
        <f t="shared" si="12"/>
        <v>10</v>
      </c>
      <c r="AB110" s="18"/>
      <c r="AC110" s="18" t="str">
        <f>IF($AB110="","",IF($AB110&gt;$AA110,"PASS",IF($AB110&lt;=$AA110*(1-'Parametri Modello'!$B$68),"BID","ATTENZIONE")))</f>
        <v/>
      </c>
      <c r="AD110" s="28">
        <f t="shared" si="13"/>
        <v>63</v>
      </c>
      <c r="AE110" s="5" t="str">
        <f>IFERROR(INDEX('Stato Asta'!$G$9:$G$12,MATCH($B110,'Stato Asta'!$A$9:$A$12,0)),"")</f>
        <v>🔴 Non aspettare</v>
      </c>
      <c r="AF110" t="str">
        <f>IFERROR(IF($V110&lt;=INDEX('Parametri Modello'!$C$57:$C$60,MATCH($B110,'Parametri Modello'!$A$57:$A$60,0)),"Titolare","Riserva"),"")</f>
        <v>Riserva</v>
      </c>
      <c r="AG110" t="str">
        <f>IFERROR(INDEX('Pressione Competitiva'!$F$3:$F$6,MATCH($B110,'Pressione Competitiva'!$B$3:$B$6,0)),"")</f>
        <v>🔴 Molto Alta</v>
      </c>
      <c r="AH110" t="str">
        <f t="shared" si="14"/>
        <v/>
      </c>
      <c r="AI110" t="str">
        <f>IFERROR(IF($AH110="","",IF($AH110&gt;=$AA110*'Parametri Modello'!$B$68,"🟢 Opportunita'",IF($AH110&lt;=$AA110*'Parametri Modello'!$B$69,"🔴 Sovrapprezzo","🟡 Prezzo Corretto"))),"")</f>
        <v/>
      </c>
      <c r="AJ110" t="str">
        <f t="shared" si="15"/>
        <v/>
      </c>
      <c r="AK110">
        <f t="shared" si="16"/>
        <v>4</v>
      </c>
      <c r="AL110" t="str">
        <f t="shared" si="17"/>
        <v>P|Buono|4</v>
      </c>
    </row>
    <row r="111" spans="1:38" ht="14.25" customHeight="1" x14ac:dyDescent="0.25">
      <c r="A111" s="18">
        <v>779</v>
      </c>
      <c r="B111" s="18" t="s">
        <v>17</v>
      </c>
      <c r="C111" s="18" t="s">
        <v>250</v>
      </c>
      <c r="E111" s="23" t="str">
        <f>IF(COUNTIF('Info Strategia'!$D$2:$D$51,$C111)&gt;0,"SI","NO")</f>
        <v>NO</v>
      </c>
      <c r="F111" s="24">
        <f>IFERROR(ROUND(($G111+($H111-$G111)*'Info Strategia'!$B$6)*(1+IF($E111="SI",'Parametri Modello'!$B$7*'Info Strategia'!$B$6,0)),0),"")</f>
        <v>4</v>
      </c>
      <c r="G111" s="24">
        <f>IFERROR(ROUND(MAX(1,(IF($V111&lt;=INDEX('Parametri Modello'!$C$57:$C$60,MATCH($B111,'Parametri Modello'!$A$57:$A$60,0)),IF(INDEX('Parametri Modello'!$E$57:$E$60,MATCH($B111,'Parametri Modello'!$A$57:$A$60,0))=0,0,($O111/INDEX('Parametri Modello'!$E$57:$E$60,MATCH($B111,'Parametri Modello'!$A$57:$A$60,0)))*(INDEX('Parametri Modello'!$D$57:$D$60,MATCH($B111,'Parametri Modello'!$A$57:$A$60,0))*(INDEX('Parametri Modello'!$B$50:$B$53,MATCH($B111,'Parametri Modello'!$A$50:$A$53,0))*'Parametri Modello'!$B$44))),IF(INDEX('Parametri Modello'!$F$57:$F$60,MATCH($B111,'Parametri Modello'!$A$57:$A$60,0))=0,0,($O111/INDEX('Parametri Modello'!$F$57:$F$60,MATCH($B111,'Parametri Modello'!$A$57:$A$60,0)))*((1-INDEX('Parametri Modello'!$D$57:$D$60,MATCH($B111,'Parametri Modello'!$A$57:$A$60,0)))*(INDEX('Parametri Modello'!$B$50:$B$53,MATCH($B111,'Parametri Modello'!$A$50:$A$53,0))*'Parametri Modello'!$B$44))))*(1+IF(IF($B111="D",'Info Lega'!$B$25,IF($B111="C",'Info Lega'!$B$26,"No"))="Si",'Parametri Modello'!$B$5,0))*(1+MAX(-0.25,MIN(0.25,IF(OR($T111="",$I111="",$I111=0,INDEX('Parametri Modello'!$B$19:$B$22,MATCH($B111,'Parametri Modello'!$A$19:$A$22,0))="",INDEX('Parametri Modello'!$B$19:$B$22,MATCH($B111,'Parametri Modello'!$A$19:$A$22,0))=0),0,(($T111-INDEX('Parametri Modello'!$B$19:$B$22,MATCH($B111,'Parametri Modello'!$A$19:$A$22,0)))/INDEX('Parametri Modello'!$B$19:$B$22,MATCH($B111,'Parametri Modello'!$A$19:$A$22,0)))*'Parametri Modello'!$B$9))))*(1+IF('Parametri Modello'!$B$27="Si",MAX(-'Parametri Modello'!$B$28,MIN('Parametri Modello'!$B$28*1.5,IF(OR(INDEX('Parametri Modello'!$F$32:$F$35,MATCH($B111,'Parametri Modello'!$A$32:$A$35,0))="",INDEX('Parametri Modello'!$F$32:$F$35,MATCH($B111,'Parametri Modello'!$A$32:$A$35,0))=0),0,(1/INDEX('Parametri Modello'!$F$32:$F$35,MATCH($B111,'Parametri Modello'!$A$32:$A$35,0))-1)*'Parametri Modello'!$B$28))),0)))*(1-INDEX('Parametri Modello'!$B$12:$B$15,MATCH($B111,'Parametri Modello'!$A$12:$A$15,0)))),0),"")</f>
        <v>3</v>
      </c>
      <c r="H111" s="24">
        <f>IFERROR(ROUND((IF($V111&lt;=INDEX('Parametri Modello'!$C$57:$C$60,MATCH($B111,'Parametri Modello'!$A$57:$A$60,0)),IF(INDEX('Parametri Modello'!$E$57:$E$60,MATCH($B111,'Parametri Modello'!$A$57:$A$60,0))=0,0,($O111/INDEX('Parametri Modello'!$E$57:$E$60,MATCH($B111,'Parametri Modello'!$A$57:$A$60,0)))*(INDEX('Parametri Modello'!$D$57:$D$60,MATCH($B111,'Parametri Modello'!$A$57:$A$60,0))*(INDEX('Parametri Modello'!$B$50:$B$53,MATCH($B111,'Parametri Modello'!$A$50:$A$53,0))*'Parametri Modello'!$B$44))),IF(INDEX('Parametri Modello'!$F$57:$F$60,MATCH($B111,'Parametri Modello'!$A$57:$A$60,0))=0,0,($O111/INDEX('Parametri Modello'!$F$57:$F$60,MATCH($B111,'Parametri Modello'!$A$57:$A$60,0)))*((1-INDEX('Parametri Modello'!$D$57:$D$60,MATCH($B111,'Parametri Modello'!$A$57:$A$60,0)))*(INDEX('Parametri Modello'!$B$50:$B$53,MATCH($B111,'Parametri Modello'!$A$50:$A$53,0))*'Parametri Modello'!$B$44))))*(1+IF(IF($B111="D",'Info Lega'!$B$25,IF($B111="C",'Info Lega'!$B$26,"No"))="Si",'Parametri Modello'!$B$5,0))*(1+MAX(-0.25,MIN(0.25,IF(OR($T111="",$I111="",$I111=0,INDEX('Parametri Modello'!$B$19:$B$22,MATCH($B111,'Parametri Modello'!$A$19:$A$22,0))="",INDEX('Parametri Modello'!$B$19:$B$22,MATCH($B111,'Parametri Modello'!$A$19:$A$22,0))=0),0,(($T111-INDEX('Parametri Modello'!$B$19:$B$22,MATCH($B111,'Parametri Modello'!$A$19:$A$22,0)))/INDEX('Parametri Modello'!$B$19:$B$22,MATCH($B111,'Parametri Modello'!$A$19:$A$22,0)))*'Parametri Modello'!$B$9))))*(1+IF('Parametri Modello'!$B$27="Si",MAX(-'Parametri Modello'!$B$28,MIN('Parametri Modello'!$B$28*1.5,IF(OR(INDEX('Parametri Modello'!$F$32:$F$35,MATCH($B111,'Parametri Modello'!$A$32:$A$35,0))="",INDEX('Parametri Modello'!$F$32:$F$35,MATCH($B111,'Parametri Modello'!$A$32:$A$35,0))=0),0,(1/INDEX('Parametri Modello'!$F$32:$F$35,MATCH($B111,'Parametri Modello'!$A$32:$A$35,0))-1)*'Parametri Modello'!$B$28))),0)))*(1+INDEX('Parametri Modello'!$B$12:$B$15,MATCH($B111,'Parametri Modello'!$A$12:$A$15,0))),0),"")</f>
        <v>4</v>
      </c>
      <c r="I111" s="23">
        <f>IFERROR(INDEX('Input Statistiche 2025_26'!$F$3:$F$665,MATCH($A111,'Input Statistiche 2025_26'!$A$3:$A$665,0)),"")</f>
        <v>37</v>
      </c>
      <c r="J111" s="23">
        <f t="shared" si="9"/>
        <v>1</v>
      </c>
      <c r="K111" s="23">
        <f>IFERROR(INDEX('Input Statistiche 2025_26'!$I$3:$I$665,MATCH($A111,'Input Statistiche 2025_26'!$A$3:$A$665,0)),"")</f>
        <v>2</v>
      </c>
      <c r="L111" s="23">
        <f>IFERROR(INDEX('Input Statistiche 2025_26'!$O$3:$O$665,MATCH($A111,'Input Statistiche 2025_26'!$A$3:$A$665,0)),"")</f>
        <v>1</v>
      </c>
      <c r="M111" s="25"/>
      <c r="N111" s="24">
        <f>IFERROR(INDEX('Input Giocatori 2026_27'!$E$3:$E$493,MATCH($A111,'Input Giocatori 2026_27'!$A$3:$A$493,0)),"")</f>
        <v>8</v>
      </c>
      <c r="O111" s="24">
        <f>IFERROR(INDEX('Input Giocatori 2026_27'!$G$3:$G$493,MATCH($A111,'Input Giocatori 2026_27'!$A$3:$A$493,0)),"")</f>
        <v>29</v>
      </c>
      <c r="P111" s="23" t="str">
        <f>IFERROR(IF($O111="","",IF((1-(COUNTIFS($B$2:$B$492,$B111,$O$2:$O$492,"&gt;"&amp;$O111)+1-1)/COUNTIF($B$2:$B$492,$B111))&gt;='Parametri Modello'!$B$63,"Top",IF((1-(COUNTIFS($B$2:$B$492,$B111,$O$2:$O$492,"&gt;"&amp;$O111)+1-1)/COUNTIF($B$2:$B$492,$B111))&gt;='Parametri Modello'!$B$64,"Buono",IF((1-(COUNTIFS($B$2:$B$492,$B111,$O$2:$O$492,"&gt;"&amp;$O111)+1-1)/COUNTIF($B$2:$B$492,$B111))&gt;='Parametri Modello'!$B$65,"Nella Media","Scommessa/Riserva")))),"")</f>
        <v>Buono</v>
      </c>
      <c r="Q111" s="26">
        <f>IF(AND($D111="",$N111&gt;1),SUMPRODUCT(($D$2:$D111="")*($N$2:$N111&gt;1)),"")</f>
        <v>110</v>
      </c>
      <c r="R111" s="26" t="str">
        <f>IF($D111='Info Lega'!$B$28,COUNTIFS($D$2:$D111,'Info Lega'!$B$28),"")</f>
        <v/>
      </c>
      <c r="S111" s="27">
        <f>IFERROR(INDEX('Input Statistiche 2025_26'!$G$3:$G$665,MATCH($A111,'Input Statistiche 2025_26'!$A$3:$A$665,0)),"")</f>
        <v>6.11</v>
      </c>
      <c r="T111" s="27">
        <f>IFERROR(INDEX('Input Statistiche 2025_26'!$H$3:$H$665,MATCH($A111,'Input Statistiche 2025_26'!$A$3:$A$665,0)),"")</f>
        <v>6.22</v>
      </c>
      <c r="U111" s="23" t="str">
        <f>IF(OR('La Mia Rosa'!$O$12="",$D111&lt;&gt;""),"",IF($F111&lt;='La Mia Rosa'!$O$12*'Parametri Modello'!$B$24,"OK",IF($F111&lt;='La Mia Rosa'!$O$12*'Parametri Modello'!$B$25,"Attenzione","Rischio Alto")))</f>
        <v>OK</v>
      </c>
      <c r="V111" s="23">
        <f t="shared" si="10"/>
        <v>41</v>
      </c>
      <c r="W111" s="18">
        <f>'Info Lega'!$B$4-SUMIFS($M$2:$M$492,$D$2:$D$492,'Info Lega'!$B$28)</f>
        <v>1000</v>
      </c>
      <c r="X111" s="18">
        <f>('Info Lega'!$B$5-COUNTIFS($D$2:$D$492,'Info Lega'!$B$28,$B$2:$B$492,"P"))+('Info Lega'!$B$6-COUNTIFS($D$2:$D$492,'Info Lega'!$B$28,$B$2:$B$492,"D"))+('Info Lega'!$B$7-COUNTIFS($D$2:$D$492,'Info Lega'!$B$28,$B$2:$B$492,"C"))+('Info Lega'!$B$8-COUNTIFS($D$2:$D$492,'Info Lega'!$B$28,$B$2:$B$492,"A"))</f>
        <v>25</v>
      </c>
      <c r="Y111" s="18">
        <f>X111*'Parametri Modello'!$B$30</f>
        <v>25</v>
      </c>
      <c r="Z111" s="18">
        <f t="shared" si="11"/>
        <v>975</v>
      </c>
      <c r="AA111" s="18">
        <f t="shared" si="12"/>
        <v>4</v>
      </c>
      <c r="AB111" s="18"/>
      <c r="AC111" s="18" t="str">
        <f>IF($AB111="","",IF($AB111&gt;$AA111,"PASS",IF($AB111&lt;=$AA111*(1-'Parametri Modello'!$B$68),"BID","ATTENZIONE")))</f>
        <v/>
      </c>
      <c r="AD111" s="28">
        <f t="shared" si="13"/>
        <v>71</v>
      </c>
      <c r="AE111" s="5" t="str">
        <f>IFERROR(INDEX('Stato Asta'!$G$9:$G$12,MATCH($B111,'Stato Asta'!$A$9:$A$12,0)),"")</f>
        <v>🔴 Non aspettare</v>
      </c>
      <c r="AF111" t="str">
        <f>IFERROR(IF($V111&lt;=INDEX('Parametri Modello'!$C$57:$C$60,MATCH($B111,'Parametri Modello'!$A$57:$A$60,0)),"Titolare","Riserva"),"")</f>
        <v>Riserva</v>
      </c>
      <c r="AG111" t="str">
        <f>IFERROR(INDEX('Pressione Competitiva'!$F$3:$F$6,MATCH($B111,'Pressione Competitiva'!$B$3:$B$6,0)),"")</f>
        <v>🔴 Molto Alta</v>
      </c>
      <c r="AH111" t="str">
        <f t="shared" si="14"/>
        <v/>
      </c>
      <c r="AI111" t="str">
        <f>IFERROR(IF($AH111="","",IF($AH111&gt;=$AA111*'Parametri Modello'!$B$68,"🟢 Opportunita'",IF($AH111&lt;=$AA111*'Parametri Modello'!$B$69,"🔴 Sovrapprezzo","🟡 Prezzo Corretto"))),"")</f>
        <v/>
      </c>
      <c r="AJ111" t="str">
        <f t="shared" si="15"/>
        <v/>
      </c>
      <c r="AK111">
        <f t="shared" si="16"/>
        <v>23</v>
      </c>
      <c r="AL111" t="str">
        <f t="shared" si="17"/>
        <v>C|Buono|23</v>
      </c>
    </row>
    <row r="112" spans="1:38" ht="14.25" customHeight="1" x14ac:dyDescent="0.25">
      <c r="A112" s="18">
        <v>5526</v>
      </c>
      <c r="B112" s="18" t="s">
        <v>16</v>
      </c>
      <c r="C112" s="18" t="s">
        <v>251</v>
      </c>
      <c r="E112" s="23" t="str">
        <f>IF(COUNTIF('Info Strategia'!$D$2:$D$51,$C112)&gt;0,"SI","NO")</f>
        <v>NO</v>
      </c>
      <c r="F112" s="24">
        <f>IFERROR(ROUND(($G112+($H112-$G112)*'Info Strategia'!$B$6)*(1+IF($E112="SI",'Parametri Modello'!$B$7*'Info Strategia'!$B$6,0)),0),"")</f>
        <v>19</v>
      </c>
      <c r="G112" s="24">
        <f>IFERROR(ROUND(MAX(1,(IF($V112&lt;=INDEX('Parametri Modello'!$C$57:$C$60,MATCH($B112,'Parametri Modello'!$A$57:$A$60,0)),IF(INDEX('Parametri Modello'!$E$57:$E$60,MATCH($B112,'Parametri Modello'!$A$57:$A$60,0))=0,0,($O112/INDEX('Parametri Modello'!$E$57:$E$60,MATCH($B112,'Parametri Modello'!$A$57:$A$60,0)))*(INDEX('Parametri Modello'!$D$57:$D$60,MATCH($B112,'Parametri Modello'!$A$57:$A$60,0))*(INDEX('Parametri Modello'!$B$50:$B$53,MATCH($B112,'Parametri Modello'!$A$50:$A$53,0))*'Parametri Modello'!$B$44))),IF(INDEX('Parametri Modello'!$F$57:$F$60,MATCH($B112,'Parametri Modello'!$A$57:$A$60,0))=0,0,($O112/INDEX('Parametri Modello'!$F$57:$F$60,MATCH($B112,'Parametri Modello'!$A$57:$A$60,0)))*((1-INDEX('Parametri Modello'!$D$57:$D$60,MATCH($B112,'Parametri Modello'!$A$57:$A$60,0)))*(INDEX('Parametri Modello'!$B$50:$B$53,MATCH($B112,'Parametri Modello'!$A$50:$A$53,0))*'Parametri Modello'!$B$44))))*(1+IF(IF($B112="D",'Info Lega'!$B$25,IF($B112="C",'Info Lega'!$B$26,"No"))="Si",'Parametri Modello'!$B$5,0))*(1+MAX(-0.25,MIN(0.25,IF(OR($T112="",$I112="",$I112=0,INDEX('Parametri Modello'!$B$19:$B$22,MATCH($B112,'Parametri Modello'!$A$19:$A$22,0))="",INDEX('Parametri Modello'!$B$19:$B$22,MATCH($B112,'Parametri Modello'!$A$19:$A$22,0))=0),0,(($T112-INDEX('Parametri Modello'!$B$19:$B$22,MATCH($B112,'Parametri Modello'!$A$19:$A$22,0)))/INDEX('Parametri Modello'!$B$19:$B$22,MATCH($B112,'Parametri Modello'!$A$19:$A$22,0)))*'Parametri Modello'!$B$9))))*(1+IF('Parametri Modello'!$B$27="Si",MAX(-'Parametri Modello'!$B$28,MIN('Parametri Modello'!$B$28*1.5,IF(OR(INDEX('Parametri Modello'!$F$32:$F$35,MATCH($B112,'Parametri Modello'!$A$32:$A$35,0))="",INDEX('Parametri Modello'!$F$32:$F$35,MATCH($B112,'Parametri Modello'!$A$32:$A$35,0))=0),0,(1/INDEX('Parametri Modello'!$F$32:$F$35,MATCH($B112,'Parametri Modello'!$A$32:$A$35,0))-1)*'Parametri Modello'!$B$28))),0)))*(1-INDEX('Parametri Modello'!$B$12:$B$15,MATCH($B112,'Parametri Modello'!$A$12:$A$15,0)))),0),"")</f>
        <v>14</v>
      </c>
      <c r="H112" s="24">
        <f>IFERROR(ROUND((IF($V112&lt;=INDEX('Parametri Modello'!$C$57:$C$60,MATCH($B112,'Parametri Modello'!$A$57:$A$60,0)),IF(INDEX('Parametri Modello'!$E$57:$E$60,MATCH($B112,'Parametri Modello'!$A$57:$A$60,0))=0,0,($O112/INDEX('Parametri Modello'!$E$57:$E$60,MATCH($B112,'Parametri Modello'!$A$57:$A$60,0)))*(INDEX('Parametri Modello'!$D$57:$D$60,MATCH($B112,'Parametri Modello'!$A$57:$A$60,0))*(INDEX('Parametri Modello'!$B$50:$B$53,MATCH($B112,'Parametri Modello'!$A$50:$A$53,0))*'Parametri Modello'!$B$44))),IF(INDEX('Parametri Modello'!$F$57:$F$60,MATCH($B112,'Parametri Modello'!$A$57:$A$60,0))=0,0,($O112/INDEX('Parametri Modello'!$F$57:$F$60,MATCH($B112,'Parametri Modello'!$A$57:$A$60,0)))*((1-INDEX('Parametri Modello'!$D$57:$D$60,MATCH($B112,'Parametri Modello'!$A$57:$A$60,0)))*(INDEX('Parametri Modello'!$B$50:$B$53,MATCH($B112,'Parametri Modello'!$A$50:$A$53,0))*'Parametri Modello'!$B$44))))*(1+IF(IF($B112="D",'Info Lega'!$B$25,IF($B112="C",'Info Lega'!$B$26,"No"))="Si",'Parametri Modello'!$B$5,0))*(1+MAX(-0.25,MIN(0.25,IF(OR($T112="",$I112="",$I112=0,INDEX('Parametri Modello'!$B$19:$B$22,MATCH($B112,'Parametri Modello'!$A$19:$A$22,0))="",INDEX('Parametri Modello'!$B$19:$B$22,MATCH($B112,'Parametri Modello'!$A$19:$A$22,0))=0),0,(($T112-INDEX('Parametri Modello'!$B$19:$B$22,MATCH($B112,'Parametri Modello'!$A$19:$A$22,0)))/INDEX('Parametri Modello'!$B$19:$B$22,MATCH($B112,'Parametri Modello'!$A$19:$A$22,0)))*'Parametri Modello'!$B$9))))*(1+IF('Parametri Modello'!$B$27="Si",MAX(-'Parametri Modello'!$B$28,MIN('Parametri Modello'!$B$28*1.5,IF(OR(INDEX('Parametri Modello'!$F$32:$F$35,MATCH($B112,'Parametri Modello'!$A$32:$A$35,0))="",INDEX('Parametri Modello'!$F$32:$F$35,MATCH($B112,'Parametri Modello'!$A$32:$A$35,0))=0),0,(1/INDEX('Parametri Modello'!$F$32:$F$35,MATCH($B112,'Parametri Modello'!$A$32:$A$35,0))-1)*'Parametri Modello'!$B$28))),0)))*(1+INDEX('Parametri Modello'!$B$12:$B$15,MATCH($B112,'Parametri Modello'!$A$12:$A$15,0))),0),"")</f>
        <v>21</v>
      </c>
      <c r="I112" s="23">
        <f>IFERROR(INDEX('Input Statistiche 2025_26'!$F$3:$F$665,MATCH($A112,'Input Statistiche 2025_26'!$A$3:$A$665,0)),"")</f>
        <v>24</v>
      </c>
      <c r="J112" s="23">
        <f t="shared" si="9"/>
        <v>14</v>
      </c>
      <c r="K112" s="23">
        <f>IFERROR(INDEX('Input Statistiche 2025_26'!$I$3:$I$665,MATCH($A112,'Input Statistiche 2025_26'!$A$3:$A$665,0)),"")</f>
        <v>3</v>
      </c>
      <c r="L112" s="23">
        <f>IFERROR(INDEX('Input Statistiche 2025_26'!$O$3:$O$665,MATCH($A112,'Input Statistiche 2025_26'!$A$3:$A$665,0)),"")</f>
        <v>1</v>
      </c>
      <c r="M112" s="25"/>
      <c r="N112" s="24">
        <f>IFERROR(INDEX('Input Giocatori 2026_27'!$E$3:$E$493,MATCH($A112,'Input Giocatori 2026_27'!$A$3:$A$493,0)),"")</f>
        <v>10</v>
      </c>
      <c r="O112" s="24">
        <f>IFERROR(INDEX('Input Giocatori 2026_27'!$G$3:$G$493,MATCH($A112,'Input Giocatori 2026_27'!$A$3:$A$493,0)),"")</f>
        <v>28</v>
      </c>
      <c r="P112" s="23" t="str">
        <f>IFERROR(IF($O112="","",IF((1-(COUNTIFS($B$2:$B$492,$B112,$O$2:$O$492,"&gt;"&amp;$O112)+1-1)/COUNTIF($B$2:$B$492,$B112))&gt;='Parametri Modello'!$B$63,"Top",IF((1-(COUNTIFS($B$2:$B$492,$B112,$O$2:$O$492,"&gt;"&amp;$O112)+1-1)/COUNTIF($B$2:$B$492,$B112))&gt;='Parametri Modello'!$B$64,"Buono",IF((1-(COUNTIFS($B$2:$B$492,$B112,$O$2:$O$492,"&gt;"&amp;$O112)+1-1)/COUNTIF($B$2:$B$492,$B112))&gt;='Parametri Modello'!$B$65,"Nella Media","Scommessa/Riserva")))),"")</f>
        <v>Buono</v>
      </c>
      <c r="Q112" s="26">
        <f>IF(AND($D112="",$N112&gt;1),SUMPRODUCT(($D$2:$D112="")*($N$2:$N112&gt;1)),"")</f>
        <v>111</v>
      </c>
      <c r="R112" s="26" t="str">
        <f>IF($D112='Info Lega'!$B$28,COUNTIFS($D$2:$D112,'Info Lega'!$B$28),"")</f>
        <v/>
      </c>
      <c r="S112" s="27">
        <f>IFERROR(INDEX('Input Statistiche 2025_26'!$G$3:$G$665,MATCH($A112,'Input Statistiche 2025_26'!$A$3:$A$665,0)),"")</f>
        <v>6.06</v>
      </c>
      <c r="T112" s="27">
        <f>IFERROR(INDEX('Input Statistiche 2025_26'!$H$3:$H$665,MATCH($A112,'Input Statistiche 2025_26'!$A$3:$A$665,0)),"")</f>
        <v>6.44</v>
      </c>
      <c r="U112" s="23" t="str">
        <f>IF(OR('La Mia Rosa'!$O$12="",$D112&lt;&gt;""),"",IF($F112&lt;='La Mia Rosa'!$O$12*'Parametri Modello'!$B$24,"OK",IF($F112&lt;='La Mia Rosa'!$O$12*'Parametri Modello'!$B$25,"Attenzione","Rischio Alto")))</f>
        <v>OK</v>
      </c>
      <c r="V112" s="23">
        <f t="shared" si="10"/>
        <v>20</v>
      </c>
      <c r="W112" s="18">
        <f>'Info Lega'!$B$4-SUMIFS($M$2:$M$492,$D$2:$D$492,'Info Lega'!$B$28)</f>
        <v>1000</v>
      </c>
      <c r="X112" s="18">
        <f>('Info Lega'!$B$5-COUNTIFS($D$2:$D$492,'Info Lega'!$B$28,$B$2:$B$492,"P"))+('Info Lega'!$B$6-COUNTIFS($D$2:$D$492,'Info Lega'!$B$28,$B$2:$B$492,"D"))+('Info Lega'!$B$7-COUNTIFS($D$2:$D$492,'Info Lega'!$B$28,$B$2:$B$492,"C"))+('Info Lega'!$B$8-COUNTIFS($D$2:$D$492,'Info Lega'!$B$28,$B$2:$B$492,"A"))</f>
        <v>25</v>
      </c>
      <c r="Y112" s="18">
        <f>X112*'Parametri Modello'!$B$30</f>
        <v>25</v>
      </c>
      <c r="Z112" s="18">
        <f t="shared" si="11"/>
        <v>975</v>
      </c>
      <c r="AA112" s="18">
        <f t="shared" si="12"/>
        <v>19</v>
      </c>
      <c r="AB112" s="18"/>
      <c r="AC112" s="18" t="str">
        <f>IF($AB112="","",IF($AB112&gt;$AA112,"PASS",IF($AB112&lt;=$AA112*(1-'Parametri Modello'!$B$68),"BID","ATTENZIONE")))</f>
        <v/>
      </c>
      <c r="AD112" s="28">
        <f t="shared" si="13"/>
        <v>55</v>
      </c>
      <c r="AE112" s="5" t="str">
        <f>IFERROR(INDEX('Stato Asta'!$G$9:$G$12,MATCH($B112,'Stato Asta'!$A$9:$A$12,0)),"")</f>
        <v>🔴 Non aspettare</v>
      </c>
      <c r="AF112" t="str">
        <f>IFERROR(IF($V112&lt;=INDEX('Parametri Modello'!$C$57:$C$60,MATCH($B112,'Parametri Modello'!$A$57:$A$60,0)),"Titolare","Riserva"),"")</f>
        <v>Titolare</v>
      </c>
      <c r="AG112" t="str">
        <f>IFERROR(INDEX('Pressione Competitiva'!$F$3:$F$6,MATCH($B112,'Pressione Competitiva'!$B$3:$B$6,0)),"")</f>
        <v>🔴 Molto Alta</v>
      </c>
      <c r="AH112" t="str">
        <f t="shared" si="14"/>
        <v/>
      </c>
      <c r="AI112" t="str">
        <f>IFERROR(IF($AH112="","",IF($AH112&gt;=$AA112*'Parametri Modello'!$B$68,"🟢 Opportunita'",IF($AH112&lt;=$AA112*'Parametri Modello'!$B$69,"🔴 Sovrapprezzo","🟡 Prezzo Corretto"))),"")</f>
        <v/>
      </c>
      <c r="AJ112" t="str">
        <f t="shared" si="15"/>
        <v/>
      </c>
      <c r="AK112">
        <f t="shared" si="16"/>
        <v>2</v>
      </c>
      <c r="AL112" t="str">
        <f t="shared" si="17"/>
        <v>D|Buono|2</v>
      </c>
    </row>
    <row r="113" spans="1:38" ht="14.25" customHeight="1" x14ac:dyDescent="0.25">
      <c r="A113" s="18">
        <v>1933</v>
      </c>
      <c r="B113" s="18" t="s">
        <v>17</v>
      </c>
      <c r="C113" s="18" t="s">
        <v>252</v>
      </c>
      <c r="E113" s="23" t="str">
        <f>IF(COUNTIF('Info Strategia'!$D$2:$D$51,$C113)&gt;0,"SI","NO")</f>
        <v>NO</v>
      </c>
      <c r="F113" s="24">
        <f>IFERROR(ROUND(($G113+($H113-$G113)*'Info Strategia'!$B$6)*(1+IF($E113="SI",'Parametri Modello'!$B$7*'Info Strategia'!$B$6,0)),0),"")</f>
        <v>3</v>
      </c>
      <c r="G113" s="24">
        <f>IFERROR(ROUND(MAX(1,(IF($V113&lt;=INDEX('Parametri Modello'!$C$57:$C$60,MATCH($B113,'Parametri Modello'!$A$57:$A$60,0)),IF(INDEX('Parametri Modello'!$E$57:$E$60,MATCH($B113,'Parametri Modello'!$A$57:$A$60,0))=0,0,($O113/INDEX('Parametri Modello'!$E$57:$E$60,MATCH($B113,'Parametri Modello'!$A$57:$A$60,0)))*(INDEX('Parametri Modello'!$D$57:$D$60,MATCH($B113,'Parametri Modello'!$A$57:$A$60,0))*(INDEX('Parametri Modello'!$B$50:$B$53,MATCH($B113,'Parametri Modello'!$A$50:$A$53,0))*'Parametri Modello'!$B$44))),IF(INDEX('Parametri Modello'!$F$57:$F$60,MATCH($B113,'Parametri Modello'!$A$57:$A$60,0))=0,0,($O113/INDEX('Parametri Modello'!$F$57:$F$60,MATCH($B113,'Parametri Modello'!$A$57:$A$60,0)))*((1-INDEX('Parametri Modello'!$D$57:$D$60,MATCH($B113,'Parametri Modello'!$A$57:$A$60,0)))*(INDEX('Parametri Modello'!$B$50:$B$53,MATCH($B113,'Parametri Modello'!$A$50:$A$53,0))*'Parametri Modello'!$B$44))))*(1+IF(IF($B113="D",'Info Lega'!$B$25,IF($B113="C",'Info Lega'!$B$26,"No"))="Si",'Parametri Modello'!$B$5,0))*(1+MAX(-0.25,MIN(0.25,IF(OR($T113="",$I113="",$I113=0,INDEX('Parametri Modello'!$B$19:$B$22,MATCH($B113,'Parametri Modello'!$A$19:$A$22,0))="",INDEX('Parametri Modello'!$B$19:$B$22,MATCH($B113,'Parametri Modello'!$A$19:$A$22,0))=0),0,(($T113-INDEX('Parametri Modello'!$B$19:$B$22,MATCH($B113,'Parametri Modello'!$A$19:$A$22,0)))/INDEX('Parametri Modello'!$B$19:$B$22,MATCH($B113,'Parametri Modello'!$A$19:$A$22,0)))*'Parametri Modello'!$B$9))))*(1+IF('Parametri Modello'!$B$27="Si",MAX(-'Parametri Modello'!$B$28,MIN('Parametri Modello'!$B$28*1.5,IF(OR(INDEX('Parametri Modello'!$F$32:$F$35,MATCH($B113,'Parametri Modello'!$A$32:$A$35,0))="",INDEX('Parametri Modello'!$F$32:$F$35,MATCH($B113,'Parametri Modello'!$A$32:$A$35,0))=0),0,(1/INDEX('Parametri Modello'!$F$32:$F$35,MATCH($B113,'Parametri Modello'!$A$32:$A$35,0))-1)*'Parametri Modello'!$B$28))),0)))*(1-INDEX('Parametri Modello'!$B$12:$B$15,MATCH($B113,'Parametri Modello'!$A$12:$A$15,0)))),0),"")</f>
        <v>2</v>
      </c>
      <c r="H113" s="24">
        <f>IFERROR(ROUND((IF($V113&lt;=INDEX('Parametri Modello'!$C$57:$C$60,MATCH($B113,'Parametri Modello'!$A$57:$A$60,0)),IF(INDEX('Parametri Modello'!$E$57:$E$60,MATCH($B113,'Parametri Modello'!$A$57:$A$60,0))=0,0,($O113/INDEX('Parametri Modello'!$E$57:$E$60,MATCH($B113,'Parametri Modello'!$A$57:$A$60,0)))*(INDEX('Parametri Modello'!$D$57:$D$60,MATCH($B113,'Parametri Modello'!$A$57:$A$60,0))*(INDEX('Parametri Modello'!$B$50:$B$53,MATCH($B113,'Parametri Modello'!$A$50:$A$53,0))*'Parametri Modello'!$B$44))),IF(INDEX('Parametri Modello'!$F$57:$F$60,MATCH($B113,'Parametri Modello'!$A$57:$A$60,0))=0,0,($O113/INDEX('Parametri Modello'!$F$57:$F$60,MATCH($B113,'Parametri Modello'!$A$57:$A$60,0)))*((1-INDEX('Parametri Modello'!$D$57:$D$60,MATCH($B113,'Parametri Modello'!$A$57:$A$60,0)))*(INDEX('Parametri Modello'!$B$50:$B$53,MATCH($B113,'Parametri Modello'!$A$50:$A$53,0))*'Parametri Modello'!$B$44))))*(1+IF(IF($B113="D",'Info Lega'!$B$25,IF($B113="C",'Info Lega'!$B$26,"No"))="Si",'Parametri Modello'!$B$5,0))*(1+MAX(-0.25,MIN(0.25,IF(OR($T113="",$I113="",$I113=0,INDEX('Parametri Modello'!$B$19:$B$22,MATCH($B113,'Parametri Modello'!$A$19:$A$22,0))="",INDEX('Parametri Modello'!$B$19:$B$22,MATCH($B113,'Parametri Modello'!$A$19:$A$22,0))=0),0,(($T113-INDEX('Parametri Modello'!$B$19:$B$22,MATCH($B113,'Parametri Modello'!$A$19:$A$22,0)))/INDEX('Parametri Modello'!$B$19:$B$22,MATCH($B113,'Parametri Modello'!$A$19:$A$22,0)))*'Parametri Modello'!$B$9))))*(1+IF('Parametri Modello'!$B$27="Si",MAX(-'Parametri Modello'!$B$28,MIN('Parametri Modello'!$B$28*1.5,IF(OR(INDEX('Parametri Modello'!$F$32:$F$35,MATCH($B113,'Parametri Modello'!$A$32:$A$35,0))="",INDEX('Parametri Modello'!$F$32:$F$35,MATCH($B113,'Parametri Modello'!$A$32:$A$35,0))=0),0,(1/INDEX('Parametri Modello'!$F$32:$F$35,MATCH($B113,'Parametri Modello'!$A$32:$A$35,0))-1)*'Parametri Modello'!$B$28))),0)))*(1+INDEX('Parametri Modello'!$B$12:$B$15,MATCH($B113,'Parametri Modello'!$A$12:$A$15,0))),0),"")</f>
        <v>4</v>
      </c>
      <c r="I113" s="23">
        <f>IFERROR(INDEX('Input Statistiche 2025_26'!$F$3:$F$665,MATCH($A113,'Input Statistiche 2025_26'!$A$3:$A$665,0)),"")</f>
        <v>34</v>
      </c>
      <c r="J113" s="23">
        <f t="shared" si="9"/>
        <v>4</v>
      </c>
      <c r="K113" s="23">
        <f>IFERROR(INDEX('Input Statistiche 2025_26'!$I$3:$I$665,MATCH($A113,'Input Statistiche 2025_26'!$A$3:$A$665,0)),"")</f>
        <v>7</v>
      </c>
      <c r="L113" s="23">
        <f>IFERROR(INDEX('Input Statistiche 2025_26'!$O$3:$O$665,MATCH($A113,'Input Statistiche 2025_26'!$A$3:$A$665,0)),"")</f>
        <v>2</v>
      </c>
      <c r="M113" s="25"/>
      <c r="N113" s="24">
        <f>IFERROR(INDEX('Input Giocatori 2026_27'!$E$3:$E$493,MATCH($A113,'Input Giocatori 2026_27'!$A$3:$A$493,0)),"")</f>
        <v>9</v>
      </c>
      <c r="O113" s="24">
        <f>IFERROR(INDEX('Input Giocatori 2026_27'!$G$3:$G$493,MATCH($A113,'Input Giocatori 2026_27'!$A$3:$A$493,0)),"")</f>
        <v>28</v>
      </c>
      <c r="P113" s="23" t="str">
        <f>IFERROR(IF($O113="","",IF((1-(COUNTIFS($B$2:$B$492,$B113,$O$2:$O$492,"&gt;"&amp;$O113)+1-1)/COUNTIF($B$2:$B$492,$B113))&gt;='Parametri Modello'!$B$63,"Top",IF((1-(COUNTIFS($B$2:$B$492,$B113,$O$2:$O$492,"&gt;"&amp;$O113)+1-1)/COUNTIF($B$2:$B$492,$B113))&gt;='Parametri Modello'!$B$64,"Buono",IF((1-(COUNTIFS($B$2:$B$492,$B113,$O$2:$O$492,"&gt;"&amp;$O113)+1-1)/COUNTIF($B$2:$B$492,$B113))&gt;='Parametri Modello'!$B$65,"Nella Media","Scommessa/Riserva")))),"")</f>
        <v>Buono</v>
      </c>
      <c r="Q113" s="26">
        <f>IF(AND($D113="",$N113&gt;1),SUMPRODUCT(($D$2:$D113="")*($N$2:$N113&gt;1)),"")</f>
        <v>112</v>
      </c>
      <c r="R113" s="26" t="str">
        <f>IF($D113='Info Lega'!$B$28,COUNTIFS($D$2:$D113,'Info Lega'!$B$28),"")</f>
        <v/>
      </c>
      <c r="S113" s="27">
        <f>IFERROR(INDEX('Input Statistiche 2025_26'!$G$3:$G$665,MATCH($A113,'Input Statistiche 2025_26'!$A$3:$A$665,0)),"")</f>
        <v>6.04</v>
      </c>
      <c r="T113" s="27">
        <f>IFERROR(INDEX('Input Statistiche 2025_26'!$H$3:$H$665,MATCH($A113,'Input Statistiche 2025_26'!$A$3:$A$665,0)),"")</f>
        <v>6.62</v>
      </c>
      <c r="U113" s="23" t="str">
        <f>IF(OR('La Mia Rosa'!$O$12="",$D113&lt;&gt;""),"",IF($F113&lt;='La Mia Rosa'!$O$12*'Parametri Modello'!$B$24,"OK",IF($F113&lt;='La Mia Rosa'!$O$12*'Parametri Modello'!$B$25,"Attenzione","Rischio Alto")))</f>
        <v>OK</v>
      </c>
      <c r="V113" s="23">
        <f t="shared" si="10"/>
        <v>42</v>
      </c>
      <c r="W113" s="18">
        <f>'Info Lega'!$B$4-SUMIFS($M$2:$M$492,$D$2:$D$492,'Info Lega'!$B$28)</f>
        <v>1000</v>
      </c>
      <c r="X113" s="18">
        <f>('Info Lega'!$B$5-COUNTIFS($D$2:$D$492,'Info Lega'!$B$28,$B$2:$B$492,"P"))+('Info Lega'!$B$6-COUNTIFS($D$2:$D$492,'Info Lega'!$B$28,$B$2:$B$492,"D"))+('Info Lega'!$B$7-COUNTIFS($D$2:$D$492,'Info Lega'!$B$28,$B$2:$B$492,"C"))+('Info Lega'!$B$8-COUNTIFS($D$2:$D$492,'Info Lega'!$B$28,$B$2:$B$492,"A"))</f>
        <v>25</v>
      </c>
      <c r="Y113" s="18">
        <f>X113*'Parametri Modello'!$B$30</f>
        <v>25</v>
      </c>
      <c r="Z113" s="18">
        <f t="shared" si="11"/>
        <v>975</v>
      </c>
      <c r="AA113" s="18">
        <f t="shared" si="12"/>
        <v>3</v>
      </c>
      <c r="AB113" s="18"/>
      <c r="AC113" s="18" t="str">
        <f>IF($AB113="","",IF($AB113&gt;$AA113,"PASS",IF($AB113&lt;=$AA113*(1-'Parametri Modello'!$B$68),"BID","ATTENZIONE")))</f>
        <v/>
      </c>
      <c r="AD113" s="28">
        <f t="shared" si="13"/>
        <v>68</v>
      </c>
      <c r="AE113" s="5" t="str">
        <f>IFERROR(INDEX('Stato Asta'!$G$9:$G$12,MATCH($B113,'Stato Asta'!$A$9:$A$12,0)),"")</f>
        <v>🔴 Non aspettare</v>
      </c>
      <c r="AF113" t="str">
        <f>IFERROR(IF($V113&lt;=INDEX('Parametri Modello'!$C$57:$C$60,MATCH($B113,'Parametri Modello'!$A$57:$A$60,0)),"Titolare","Riserva"),"")</f>
        <v>Riserva</v>
      </c>
      <c r="AG113" t="str">
        <f>IFERROR(INDEX('Pressione Competitiva'!$F$3:$F$6,MATCH($B113,'Pressione Competitiva'!$B$3:$B$6,0)),"")</f>
        <v>🔴 Molto Alta</v>
      </c>
      <c r="AH113" t="str">
        <f t="shared" si="14"/>
        <v/>
      </c>
      <c r="AI113" t="str">
        <f>IFERROR(IF($AH113="","",IF($AH113&gt;=$AA113*'Parametri Modello'!$B$68,"🟢 Opportunita'",IF($AH113&lt;=$AA113*'Parametri Modello'!$B$69,"🔴 Sovrapprezzo","🟡 Prezzo Corretto"))),"")</f>
        <v/>
      </c>
      <c r="AJ113" t="str">
        <f t="shared" si="15"/>
        <v/>
      </c>
      <c r="AK113">
        <f t="shared" si="16"/>
        <v>24</v>
      </c>
      <c r="AL113" t="str">
        <f t="shared" si="17"/>
        <v>C|Buono|24</v>
      </c>
    </row>
    <row r="114" spans="1:38" ht="14.25" customHeight="1" x14ac:dyDescent="0.25">
      <c r="A114" s="18">
        <v>5500</v>
      </c>
      <c r="B114" s="18" t="s">
        <v>17</v>
      </c>
      <c r="C114" s="18" t="s">
        <v>253</v>
      </c>
      <c r="E114" s="23" t="str">
        <f>IF(COUNTIF('Info Strategia'!$D$2:$D$51,$C114)&gt;0,"SI","NO")</f>
        <v>NO</v>
      </c>
      <c r="F114" s="24">
        <f>IFERROR(ROUND(($G114+($H114-$G114)*'Info Strategia'!$B$6)*(1+IF($E114="SI",'Parametri Modello'!$B$7*'Info Strategia'!$B$6,0)),0),"")</f>
        <v>3</v>
      </c>
      <c r="G114" s="24">
        <f>IFERROR(ROUND(MAX(1,(IF($V114&lt;=INDEX('Parametri Modello'!$C$57:$C$60,MATCH($B114,'Parametri Modello'!$A$57:$A$60,0)),IF(INDEX('Parametri Modello'!$E$57:$E$60,MATCH($B114,'Parametri Modello'!$A$57:$A$60,0))=0,0,($O114/INDEX('Parametri Modello'!$E$57:$E$60,MATCH($B114,'Parametri Modello'!$A$57:$A$60,0)))*(INDEX('Parametri Modello'!$D$57:$D$60,MATCH($B114,'Parametri Modello'!$A$57:$A$60,0))*(INDEX('Parametri Modello'!$B$50:$B$53,MATCH($B114,'Parametri Modello'!$A$50:$A$53,0))*'Parametri Modello'!$B$44))),IF(INDEX('Parametri Modello'!$F$57:$F$60,MATCH($B114,'Parametri Modello'!$A$57:$A$60,0))=0,0,($O114/INDEX('Parametri Modello'!$F$57:$F$60,MATCH($B114,'Parametri Modello'!$A$57:$A$60,0)))*((1-INDEX('Parametri Modello'!$D$57:$D$60,MATCH($B114,'Parametri Modello'!$A$57:$A$60,0)))*(INDEX('Parametri Modello'!$B$50:$B$53,MATCH($B114,'Parametri Modello'!$A$50:$A$53,0))*'Parametri Modello'!$B$44))))*(1+IF(IF($B114="D",'Info Lega'!$B$25,IF($B114="C",'Info Lega'!$B$26,"No"))="Si",'Parametri Modello'!$B$5,0))*(1+MAX(-0.25,MIN(0.25,IF(OR($T114="",$I114="",$I114=0,INDEX('Parametri Modello'!$B$19:$B$22,MATCH($B114,'Parametri Modello'!$A$19:$A$22,0))="",INDEX('Parametri Modello'!$B$19:$B$22,MATCH($B114,'Parametri Modello'!$A$19:$A$22,0))=0),0,(($T114-INDEX('Parametri Modello'!$B$19:$B$22,MATCH($B114,'Parametri Modello'!$A$19:$A$22,0)))/INDEX('Parametri Modello'!$B$19:$B$22,MATCH($B114,'Parametri Modello'!$A$19:$A$22,0)))*'Parametri Modello'!$B$9))))*(1+IF('Parametri Modello'!$B$27="Si",MAX(-'Parametri Modello'!$B$28,MIN('Parametri Modello'!$B$28*1.5,IF(OR(INDEX('Parametri Modello'!$F$32:$F$35,MATCH($B114,'Parametri Modello'!$A$32:$A$35,0))="",INDEX('Parametri Modello'!$F$32:$F$35,MATCH($B114,'Parametri Modello'!$A$32:$A$35,0))=0),0,(1/INDEX('Parametri Modello'!$F$32:$F$35,MATCH($B114,'Parametri Modello'!$A$32:$A$35,0))-1)*'Parametri Modello'!$B$28))),0)))*(1-INDEX('Parametri Modello'!$B$12:$B$15,MATCH($B114,'Parametri Modello'!$A$12:$A$15,0)))),0),"")</f>
        <v>2</v>
      </c>
      <c r="H114" s="24">
        <f>IFERROR(ROUND((IF($V114&lt;=INDEX('Parametri Modello'!$C$57:$C$60,MATCH($B114,'Parametri Modello'!$A$57:$A$60,0)),IF(INDEX('Parametri Modello'!$E$57:$E$60,MATCH($B114,'Parametri Modello'!$A$57:$A$60,0))=0,0,($O114/INDEX('Parametri Modello'!$E$57:$E$60,MATCH($B114,'Parametri Modello'!$A$57:$A$60,0)))*(INDEX('Parametri Modello'!$D$57:$D$60,MATCH($B114,'Parametri Modello'!$A$57:$A$60,0))*(INDEX('Parametri Modello'!$B$50:$B$53,MATCH($B114,'Parametri Modello'!$A$50:$A$53,0))*'Parametri Modello'!$B$44))),IF(INDEX('Parametri Modello'!$F$57:$F$60,MATCH($B114,'Parametri Modello'!$A$57:$A$60,0))=0,0,($O114/INDEX('Parametri Modello'!$F$57:$F$60,MATCH($B114,'Parametri Modello'!$A$57:$A$60,0)))*((1-INDEX('Parametri Modello'!$D$57:$D$60,MATCH($B114,'Parametri Modello'!$A$57:$A$60,0)))*(INDEX('Parametri Modello'!$B$50:$B$53,MATCH($B114,'Parametri Modello'!$A$50:$A$53,0))*'Parametri Modello'!$B$44))))*(1+IF(IF($B114="D",'Info Lega'!$B$25,IF($B114="C",'Info Lega'!$B$26,"No"))="Si",'Parametri Modello'!$B$5,0))*(1+MAX(-0.25,MIN(0.25,IF(OR($T114="",$I114="",$I114=0,INDEX('Parametri Modello'!$B$19:$B$22,MATCH($B114,'Parametri Modello'!$A$19:$A$22,0))="",INDEX('Parametri Modello'!$B$19:$B$22,MATCH($B114,'Parametri Modello'!$A$19:$A$22,0))=0),0,(($T114-INDEX('Parametri Modello'!$B$19:$B$22,MATCH($B114,'Parametri Modello'!$A$19:$A$22,0)))/INDEX('Parametri Modello'!$B$19:$B$22,MATCH($B114,'Parametri Modello'!$A$19:$A$22,0)))*'Parametri Modello'!$B$9))))*(1+IF('Parametri Modello'!$B$27="Si",MAX(-'Parametri Modello'!$B$28,MIN('Parametri Modello'!$B$28*1.5,IF(OR(INDEX('Parametri Modello'!$F$32:$F$35,MATCH($B114,'Parametri Modello'!$A$32:$A$35,0))="",INDEX('Parametri Modello'!$F$32:$F$35,MATCH($B114,'Parametri Modello'!$A$32:$A$35,0))=0),0,(1/INDEX('Parametri Modello'!$F$32:$F$35,MATCH($B114,'Parametri Modello'!$A$32:$A$35,0))-1)*'Parametri Modello'!$B$28))),0)))*(1+INDEX('Parametri Modello'!$B$12:$B$15,MATCH($B114,'Parametri Modello'!$A$12:$A$15,0))),0),"")</f>
        <v>4</v>
      </c>
      <c r="I114" s="23">
        <f>IFERROR(INDEX('Input Statistiche 2025_26'!$F$3:$F$665,MATCH($A114,'Input Statistiche 2025_26'!$A$3:$A$665,0)),"")</f>
        <v>28</v>
      </c>
      <c r="J114" s="23">
        <f t="shared" si="9"/>
        <v>10</v>
      </c>
      <c r="K114" s="23">
        <f>IFERROR(INDEX('Input Statistiche 2025_26'!$I$3:$I$665,MATCH($A114,'Input Statistiche 2025_26'!$A$3:$A$665,0)),"")</f>
        <v>4</v>
      </c>
      <c r="L114" s="23">
        <f>IFERROR(INDEX('Input Statistiche 2025_26'!$O$3:$O$665,MATCH($A114,'Input Statistiche 2025_26'!$A$3:$A$665,0)),"")</f>
        <v>1</v>
      </c>
      <c r="M114" s="25"/>
      <c r="N114" s="24">
        <f>IFERROR(INDEX('Input Giocatori 2026_27'!$E$3:$E$493,MATCH($A114,'Input Giocatori 2026_27'!$A$3:$A$493,0)),"")</f>
        <v>9</v>
      </c>
      <c r="O114" s="24">
        <f>IFERROR(INDEX('Input Giocatori 2026_27'!$G$3:$G$493,MATCH($A114,'Input Giocatori 2026_27'!$A$3:$A$493,0)),"")</f>
        <v>28</v>
      </c>
      <c r="P114" s="23" t="str">
        <f>IFERROR(IF($O114="","",IF((1-(COUNTIFS($B$2:$B$492,$B114,$O$2:$O$492,"&gt;"&amp;$O114)+1-1)/COUNTIF($B$2:$B$492,$B114))&gt;='Parametri Modello'!$B$63,"Top",IF((1-(COUNTIFS($B$2:$B$492,$B114,$O$2:$O$492,"&gt;"&amp;$O114)+1-1)/COUNTIF($B$2:$B$492,$B114))&gt;='Parametri Modello'!$B$64,"Buono",IF((1-(COUNTIFS($B$2:$B$492,$B114,$O$2:$O$492,"&gt;"&amp;$O114)+1-1)/COUNTIF($B$2:$B$492,$B114))&gt;='Parametri Modello'!$B$65,"Nella Media","Scommessa/Riserva")))),"")</f>
        <v>Buono</v>
      </c>
      <c r="Q114" s="26">
        <f>IF(AND($D114="",$N114&gt;1),SUMPRODUCT(($D$2:$D114="")*($N$2:$N114&gt;1)),"")</f>
        <v>113</v>
      </c>
      <c r="R114" s="26" t="str">
        <f>IF($D114='Info Lega'!$B$28,COUNTIFS($D$2:$D114,'Info Lega'!$B$28),"")</f>
        <v/>
      </c>
      <c r="S114" s="27">
        <f>IFERROR(INDEX('Input Statistiche 2025_26'!$G$3:$G$665,MATCH($A114,'Input Statistiche 2025_26'!$A$3:$A$665,0)),"")</f>
        <v>5.93</v>
      </c>
      <c r="T114" s="27">
        <f>IFERROR(INDEX('Input Statistiche 2025_26'!$H$3:$H$665,MATCH($A114,'Input Statistiche 2025_26'!$A$3:$A$665,0)),"")</f>
        <v>6.29</v>
      </c>
      <c r="U114" s="23" t="str">
        <f>IF(OR('La Mia Rosa'!$O$12="",$D114&lt;&gt;""),"",IF($F114&lt;='La Mia Rosa'!$O$12*'Parametri Modello'!$B$24,"OK",IF($F114&lt;='La Mia Rosa'!$O$12*'Parametri Modello'!$B$25,"Attenzione","Rischio Alto")))</f>
        <v>OK</v>
      </c>
      <c r="V114" s="23">
        <f t="shared" si="10"/>
        <v>42</v>
      </c>
      <c r="W114" s="18">
        <f>'Info Lega'!$B$4-SUMIFS($M$2:$M$492,$D$2:$D$492,'Info Lega'!$B$28)</f>
        <v>1000</v>
      </c>
      <c r="X114" s="18">
        <f>('Info Lega'!$B$5-COUNTIFS($D$2:$D$492,'Info Lega'!$B$28,$B$2:$B$492,"P"))+('Info Lega'!$B$6-COUNTIFS($D$2:$D$492,'Info Lega'!$B$28,$B$2:$B$492,"D"))+('Info Lega'!$B$7-COUNTIFS($D$2:$D$492,'Info Lega'!$B$28,$B$2:$B$492,"C"))+('Info Lega'!$B$8-COUNTIFS($D$2:$D$492,'Info Lega'!$B$28,$B$2:$B$492,"A"))</f>
        <v>25</v>
      </c>
      <c r="Y114" s="18">
        <f>X114*'Parametri Modello'!$B$30</f>
        <v>25</v>
      </c>
      <c r="Z114" s="18">
        <f t="shared" si="11"/>
        <v>975</v>
      </c>
      <c r="AA114" s="18">
        <f t="shared" si="12"/>
        <v>3</v>
      </c>
      <c r="AB114" s="18"/>
      <c r="AC114" s="18" t="str">
        <f>IF($AB114="","",IF($AB114&gt;$AA114,"PASS",IF($AB114&lt;=$AA114*(1-'Parametri Modello'!$B$68),"BID","ATTENZIONE")))</f>
        <v/>
      </c>
      <c r="AD114" s="28">
        <f t="shared" si="13"/>
        <v>61</v>
      </c>
      <c r="AE114" s="5" t="str">
        <f>IFERROR(INDEX('Stato Asta'!$G$9:$G$12,MATCH($B114,'Stato Asta'!$A$9:$A$12,0)),"")</f>
        <v>🔴 Non aspettare</v>
      </c>
      <c r="AF114" t="str">
        <f>IFERROR(IF($V114&lt;=INDEX('Parametri Modello'!$C$57:$C$60,MATCH($B114,'Parametri Modello'!$A$57:$A$60,0)),"Titolare","Riserva"),"")</f>
        <v>Riserva</v>
      </c>
      <c r="AG114" t="str">
        <f>IFERROR(INDEX('Pressione Competitiva'!$F$3:$F$6,MATCH($B114,'Pressione Competitiva'!$B$3:$B$6,0)),"")</f>
        <v>🔴 Molto Alta</v>
      </c>
      <c r="AH114" t="str">
        <f t="shared" si="14"/>
        <v/>
      </c>
      <c r="AI114" t="str">
        <f>IFERROR(IF($AH114="","",IF($AH114&gt;=$AA114*'Parametri Modello'!$B$68,"🟢 Opportunita'",IF($AH114&lt;=$AA114*'Parametri Modello'!$B$69,"🔴 Sovrapprezzo","🟡 Prezzo Corretto"))),"")</f>
        <v/>
      </c>
      <c r="AJ114" t="str">
        <f t="shared" si="15"/>
        <v/>
      </c>
      <c r="AK114">
        <f t="shared" si="16"/>
        <v>24</v>
      </c>
      <c r="AL114" t="str">
        <f t="shared" si="17"/>
        <v>C|Buono|24</v>
      </c>
    </row>
    <row r="115" spans="1:38" ht="14.25" customHeight="1" x14ac:dyDescent="0.25">
      <c r="A115" s="18">
        <v>6904</v>
      </c>
      <c r="B115" s="18" t="s">
        <v>18</v>
      </c>
      <c r="C115" s="18" t="s">
        <v>254</v>
      </c>
      <c r="E115" s="23" t="str">
        <f>IF(COUNTIF('Info Strategia'!$D$2:$D$51,$C115)&gt;0,"SI","NO")</f>
        <v>NO</v>
      </c>
      <c r="F115" s="24">
        <f>IFERROR(ROUND(($G115+($H115-$G115)*'Info Strategia'!$B$6)*(1+IF($E115="SI",'Parametri Modello'!$B$7*'Info Strategia'!$B$6,0)),0),"")</f>
        <v>9</v>
      </c>
      <c r="G115" s="24">
        <f>IFERROR(ROUND(MAX(1,(IF($V115&lt;=INDEX('Parametri Modello'!$C$57:$C$60,MATCH($B115,'Parametri Modello'!$A$57:$A$60,0)),IF(INDEX('Parametri Modello'!$E$57:$E$60,MATCH($B115,'Parametri Modello'!$A$57:$A$60,0))=0,0,($O115/INDEX('Parametri Modello'!$E$57:$E$60,MATCH($B115,'Parametri Modello'!$A$57:$A$60,0)))*(INDEX('Parametri Modello'!$D$57:$D$60,MATCH($B115,'Parametri Modello'!$A$57:$A$60,0))*(INDEX('Parametri Modello'!$B$50:$B$53,MATCH($B115,'Parametri Modello'!$A$50:$A$53,0))*'Parametri Modello'!$B$44))),IF(INDEX('Parametri Modello'!$F$57:$F$60,MATCH($B115,'Parametri Modello'!$A$57:$A$60,0))=0,0,($O115/INDEX('Parametri Modello'!$F$57:$F$60,MATCH($B115,'Parametri Modello'!$A$57:$A$60,0)))*((1-INDEX('Parametri Modello'!$D$57:$D$60,MATCH($B115,'Parametri Modello'!$A$57:$A$60,0)))*(INDEX('Parametri Modello'!$B$50:$B$53,MATCH($B115,'Parametri Modello'!$A$50:$A$53,0))*'Parametri Modello'!$B$44))))*(1+IF(IF($B115="D",'Info Lega'!$B$25,IF($B115="C",'Info Lega'!$B$26,"No"))="Si",'Parametri Modello'!$B$5,0))*(1+MAX(-0.25,MIN(0.25,IF(OR($T115="",$I115="",$I115=0,INDEX('Parametri Modello'!$B$19:$B$22,MATCH($B115,'Parametri Modello'!$A$19:$A$22,0))="",INDEX('Parametri Modello'!$B$19:$B$22,MATCH($B115,'Parametri Modello'!$A$19:$A$22,0))=0),0,(($T115-INDEX('Parametri Modello'!$B$19:$B$22,MATCH($B115,'Parametri Modello'!$A$19:$A$22,0)))/INDEX('Parametri Modello'!$B$19:$B$22,MATCH($B115,'Parametri Modello'!$A$19:$A$22,0)))*'Parametri Modello'!$B$9))))*(1+IF('Parametri Modello'!$B$27="Si",MAX(-'Parametri Modello'!$B$28,MIN('Parametri Modello'!$B$28*1.5,IF(OR(INDEX('Parametri Modello'!$F$32:$F$35,MATCH($B115,'Parametri Modello'!$A$32:$A$35,0))="",INDEX('Parametri Modello'!$F$32:$F$35,MATCH($B115,'Parametri Modello'!$A$32:$A$35,0))=0),0,(1/INDEX('Parametri Modello'!$F$32:$F$35,MATCH($B115,'Parametri Modello'!$A$32:$A$35,0))-1)*'Parametri Modello'!$B$28))),0)))*(1-INDEX('Parametri Modello'!$B$12:$B$15,MATCH($B115,'Parametri Modello'!$A$12:$A$15,0)))),0),"")</f>
        <v>6</v>
      </c>
      <c r="H115" s="24">
        <f>IFERROR(ROUND((IF($V115&lt;=INDEX('Parametri Modello'!$C$57:$C$60,MATCH($B115,'Parametri Modello'!$A$57:$A$60,0)),IF(INDEX('Parametri Modello'!$E$57:$E$60,MATCH($B115,'Parametri Modello'!$A$57:$A$60,0))=0,0,($O115/INDEX('Parametri Modello'!$E$57:$E$60,MATCH($B115,'Parametri Modello'!$A$57:$A$60,0)))*(INDEX('Parametri Modello'!$D$57:$D$60,MATCH($B115,'Parametri Modello'!$A$57:$A$60,0))*(INDEX('Parametri Modello'!$B$50:$B$53,MATCH($B115,'Parametri Modello'!$A$50:$A$53,0))*'Parametri Modello'!$B$44))),IF(INDEX('Parametri Modello'!$F$57:$F$60,MATCH($B115,'Parametri Modello'!$A$57:$A$60,0))=0,0,($O115/INDEX('Parametri Modello'!$F$57:$F$60,MATCH($B115,'Parametri Modello'!$A$57:$A$60,0)))*((1-INDEX('Parametri Modello'!$D$57:$D$60,MATCH($B115,'Parametri Modello'!$A$57:$A$60,0)))*(INDEX('Parametri Modello'!$B$50:$B$53,MATCH($B115,'Parametri Modello'!$A$50:$A$53,0))*'Parametri Modello'!$B$44))))*(1+IF(IF($B115="D",'Info Lega'!$B$25,IF($B115="C",'Info Lega'!$B$26,"No"))="Si",'Parametri Modello'!$B$5,0))*(1+MAX(-0.25,MIN(0.25,IF(OR($T115="",$I115="",$I115=0,INDEX('Parametri Modello'!$B$19:$B$22,MATCH($B115,'Parametri Modello'!$A$19:$A$22,0))="",INDEX('Parametri Modello'!$B$19:$B$22,MATCH($B115,'Parametri Modello'!$A$19:$A$22,0))=0),0,(($T115-INDEX('Parametri Modello'!$B$19:$B$22,MATCH($B115,'Parametri Modello'!$A$19:$A$22,0)))/INDEX('Parametri Modello'!$B$19:$B$22,MATCH($B115,'Parametri Modello'!$A$19:$A$22,0)))*'Parametri Modello'!$B$9))))*(1+IF('Parametri Modello'!$B$27="Si",MAX(-'Parametri Modello'!$B$28,MIN('Parametri Modello'!$B$28*1.5,IF(OR(INDEX('Parametri Modello'!$F$32:$F$35,MATCH($B115,'Parametri Modello'!$A$32:$A$35,0))="",INDEX('Parametri Modello'!$F$32:$F$35,MATCH($B115,'Parametri Modello'!$A$32:$A$35,0))=0),0,(1/INDEX('Parametri Modello'!$F$32:$F$35,MATCH($B115,'Parametri Modello'!$A$32:$A$35,0))-1)*'Parametri Modello'!$B$28))),0)))*(1+INDEX('Parametri Modello'!$B$12:$B$15,MATCH($B115,'Parametri Modello'!$A$12:$A$15,0))),0),"")</f>
        <v>10</v>
      </c>
      <c r="I115" s="23" t="str">
        <f>IFERROR(INDEX('Input Statistiche 2025_26'!$F$3:$F$665,MATCH($A115,'Input Statistiche 2025_26'!$A$3:$A$665,0)),"")</f>
        <v/>
      </c>
      <c r="J115" s="23" t="str">
        <f t="shared" si="9"/>
        <v/>
      </c>
      <c r="K115" s="23" t="str">
        <f>IFERROR(INDEX('Input Statistiche 2025_26'!$I$3:$I$665,MATCH($A115,'Input Statistiche 2025_26'!$A$3:$A$665,0)),"")</f>
        <v/>
      </c>
      <c r="L115" s="23" t="str">
        <f>IFERROR(INDEX('Input Statistiche 2025_26'!$O$3:$O$665,MATCH($A115,'Input Statistiche 2025_26'!$A$3:$A$665,0)),"")</f>
        <v/>
      </c>
      <c r="M115" s="25"/>
      <c r="N115" s="24">
        <f>IFERROR(INDEX('Input Giocatori 2026_27'!$E$3:$E$493,MATCH($A115,'Input Giocatori 2026_27'!$A$3:$A$493,0)),"")</f>
        <v>8</v>
      </c>
      <c r="O115" s="24">
        <f>IFERROR(INDEX('Input Giocatori 2026_27'!$G$3:$G$493,MATCH($A115,'Input Giocatori 2026_27'!$A$3:$A$493,0)),"")</f>
        <v>28</v>
      </c>
      <c r="P115" s="23" t="str">
        <f>IFERROR(IF($O115="","",IF((1-(COUNTIFS($B$2:$B$492,$B115,$O$2:$O$492,"&gt;"&amp;$O115)+1-1)/COUNTIF($B$2:$B$492,$B115))&gt;='Parametri Modello'!$B$63,"Top",IF((1-(COUNTIFS($B$2:$B$492,$B115,$O$2:$O$492,"&gt;"&amp;$O115)+1-1)/COUNTIF($B$2:$B$492,$B115))&gt;='Parametri Modello'!$B$64,"Buono",IF((1-(COUNTIFS($B$2:$B$492,$B115,$O$2:$O$492,"&gt;"&amp;$O115)+1-1)/COUNTIF($B$2:$B$492,$B115))&gt;='Parametri Modello'!$B$65,"Nella Media","Scommessa/Riserva")))),"")</f>
        <v>Nella Media</v>
      </c>
      <c r="Q115" s="26">
        <f>IF(AND($D115="",$N115&gt;1),SUMPRODUCT(($D$2:$D115="")*($N$2:$N115&gt;1)),"")</f>
        <v>114</v>
      </c>
      <c r="R115" s="26" t="str">
        <f>IF($D115='Info Lega'!$B$28,COUNTIFS($D$2:$D115,'Info Lega'!$B$28),"")</f>
        <v/>
      </c>
      <c r="S115" s="27" t="str">
        <f>IFERROR(INDEX('Input Statistiche 2025_26'!$G$3:$G$665,MATCH($A115,'Input Statistiche 2025_26'!$A$3:$A$665,0)),"")</f>
        <v/>
      </c>
      <c r="T115" s="27" t="str">
        <f>IFERROR(INDEX('Input Statistiche 2025_26'!$H$3:$H$665,MATCH($A115,'Input Statistiche 2025_26'!$A$3:$A$665,0)),"")</f>
        <v/>
      </c>
      <c r="U115" s="23" t="str">
        <f>IF(OR('La Mia Rosa'!$O$12="",$D115&lt;&gt;""),"",IF($F115&lt;='La Mia Rosa'!$O$12*'Parametri Modello'!$B$24,"OK",IF($F115&lt;='La Mia Rosa'!$O$12*'Parametri Modello'!$B$25,"Attenzione","Rischio Alto")))</f>
        <v>OK</v>
      </c>
      <c r="V115" s="23">
        <f t="shared" si="10"/>
        <v>40</v>
      </c>
      <c r="W115" s="18">
        <f>'Info Lega'!$B$4-SUMIFS($M$2:$M$492,$D$2:$D$492,'Info Lega'!$B$28)</f>
        <v>1000</v>
      </c>
      <c r="X115" s="18">
        <f>('Info Lega'!$B$5-COUNTIFS($D$2:$D$492,'Info Lega'!$B$28,$B$2:$B$492,"P"))+('Info Lega'!$B$6-COUNTIFS($D$2:$D$492,'Info Lega'!$B$28,$B$2:$B$492,"D"))+('Info Lega'!$B$7-COUNTIFS($D$2:$D$492,'Info Lega'!$B$28,$B$2:$B$492,"C"))+('Info Lega'!$B$8-COUNTIFS($D$2:$D$492,'Info Lega'!$B$28,$B$2:$B$492,"A"))</f>
        <v>25</v>
      </c>
      <c r="Y115" s="18">
        <f>X115*'Parametri Modello'!$B$30</f>
        <v>25</v>
      </c>
      <c r="Z115" s="18">
        <f t="shared" si="11"/>
        <v>975</v>
      </c>
      <c r="AA115" s="18">
        <f t="shared" si="12"/>
        <v>9</v>
      </c>
      <c r="AB115" s="18"/>
      <c r="AC115" s="18" t="str">
        <f>IF($AB115="","",IF($AB115&gt;$AA115,"PASS",IF($AB115&lt;=$AA115*(1-'Parametri Modello'!$B$68),"BID","ATTENZIONE")))</f>
        <v/>
      </c>
      <c r="AD115" s="28" t="str">
        <f t="shared" si="13"/>
        <v/>
      </c>
      <c r="AE115" s="5" t="str">
        <f>IFERROR(INDEX('Stato Asta'!$G$9:$G$12,MATCH($B115,'Stato Asta'!$A$9:$A$12,0)),"")</f>
        <v>🔴 Non aspettare</v>
      </c>
      <c r="AF115" t="str">
        <f>IFERROR(IF($V115&lt;=INDEX('Parametri Modello'!$C$57:$C$60,MATCH($B115,'Parametri Modello'!$A$57:$A$60,0)),"Titolare","Riserva"),"")</f>
        <v>Riserva</v>
      </c>
      <c r="AG115" t="str">
        <f>IFERROR(INDEX('Pressione Competitiva'!$F$3:$F$6,MATCH($B115,'Pressione Competitiva'!$B$3:$B$6,0)),"")</f>
        <v>🔴 Molto Alta</v>
      </c>
      <c r="AH115" t="str">
        <f t="shared" si="14"/>
        <v/>
      </c>
      <c r="AI115" t="str">
        <f>IFERROR(IF($AH115="","",IF($AH115&gt;=$AA115*'Parametri Modello'!$B$68,"🟢 Opportunita'",IF($AH115&lt;=$AA115*'Parametri Modello'!$B$69,"🔴 Sovrapprezzo","🟡 Prezzo Corretto"))),"")</f>
        <v/>
      </c>
      <c r="AJ115" t="str">
        <f t="shared" si="15"/>
        <v/>
      </c>
      <c r="AK115">
        <f t="shared" si="16"/>
        <v>14</v>
      </c>
      <c r="AL115" t="str">
        <f t="shared" si="17"/>
        <v>A|Nella Media|14</v>
      </c>
    </row>
    <row r="116" spans="1:38" ht="14.25" customHeight="1" x14ac:dyDescent="0.25">
      <c r="A116" s="18">
        <v>4360</v>
      </c>
      <c r="B116" s="18" t="s">
        <v>15</v>
      </c>
      <c r="C116" s="18" t="s">
        <v>255</v>
      </c>
      <c r="E116" s="23" t="str">
        <f>IF(COUNTIF('Info Strategia'!$D$2:$D$51,$C116)&gt;0,"SI","NO")</f>
        <v>NO</v>
      </c>
      <c r="F116" s="24">
        <f>IFERROR(ROUND(($G116+($H116-$G116)*'Info Strategia'!$B$6)*(1+IF($E116="SI",'Parametri Modello'!$B$7*'Info Strategia'!$B$6,0)),0),"")</f>
        <v>9</v>
      </c>
      <c r="G116" s="24">
        <f>IFERROR(ROUND(MAX(1,(IF($V116&lt;=INDEX('Parametri Modello'!$C$57:$C$60,MATCH($B116,'Parametri Modello'!$A$57:$A$60,0)),IF(INDEX('Parametri Modello'!$E$57:$E$60,MATCH($B116,'Parametri Modello'!$A$57:$A$60,0))=0,0,($O116/INDEX('Parametri Modello'!$E$57:$E$60,MATCH($B116,'Parametri Modello'!$A$57:$A$60,0)))*(INDEX('Parametri Modello'!$D$57:$D$60,MATCH($B116,'Parametri Modello'!$A$57:$A$60,0))*(INDEX('Parametri Modello'!$B$50:$B$53,MATCH($B116,'Parametri Modello'!$A$50:$A$53,0))*'Parametri Modello'!$B$44))),IF(INDEX('Parametri Modello'!$F$57:$F$60,MATCH($B116,'Parametri Modello'!$A$57:$A$60,0))=0,0,($O116/INDEX('Parametri Modello'!$F$57:$F$60,MATCH($B116,'Parametri Modello'!$A$57:$A$60,0)))*((1-INDEX('Parametri Modello'!$D$57:$D$60,MATCH($B116,'Parametri Modello'!$A$57:$A$60,0)))*(INDEX('Parametri Modello'!$B$50:$B$53,MATCH($B116,'Parametri Modello'!$A$50:$A$53,0))*'Parametri Modello'!$B$44))))*(1+IF(IF($B116="D",'Info Lega'!$B$25,IF($B116="C",'Info Lega'!$B$26,"No"))="Si",'Parametri Modello'!$B$5,0))*(1+MAX(-0.25,MIN(0.25,IF(OR($T116="",$I116="",$I116=0,INDEX('Parametri Modello'!$B$19:$B$22,MATCH($B116,'Parametri Modello'!$A$19:$A$22,0))="",INDEX('Parametri Modello'!$B$19:$B$22,MATCH($B116,'Parametri Modello'!$A$19:$A$22,0))=0),0,(($T116-INDEX('Parametri Modello'!$B$19:$B$22,MATCH($B116,'Parametri Modello'!$A$19:$A$22,0)))/INDEX('Parametri Modello'!$B$19:$B$22,MATCH($B116,'Parametri Modello'!$A$19:$A$22,0)))*'Parametri Modello'!$B$9))))*(1+IF('Parametri Modello'!$B$27="Si",MAX(-'Parametri Modello'!$B$28,MIN('Parametri Modello'!$B$28*1.5,IF(OR(INDEX('Parametri Modello'!$F$32:$F$35,MATCH($B116,'Parametri Modello'!$A$32:$A$35,0))="",INDEX('Parametri Modello'!$F$32:$F$35,MATCH($B116,'Parametri Modello'!$A$32:$A$35,0))=0),0,(1/INDEX('Parametri Modello'!$F$32:$F$35,MATCH($B116,'Parametri Modello'!$A$32:$A$35,0))-1)*'Parametri Modello'!$B$28))),0)))*(1-INDEX('Parametri Modello'!$B$12:$B$15,MATCH($B116,'Parametri Modello'!$A$12:$A$15,0)))),0),"")</f>
        <v>7</v>
      </c>
      <c r="H116" s="24">
        <f>IFERROR(ROUND((IF($V116&lt;=INDEX('Parametri Modello'!$C$57:$C$60,MATCH($B116,'Parametri Modello'!$A$57:$A$60,0)),IF(INDEX('Parametri Modello'!$E$57:$E$60,MATCH($B116,'Parametri Modello'!$A$57:$A$60,0))=0,0,($O116/INDEX('Parametri Modello'!$E$57:$E$60,MATCH($B116,'Parametri Modello'!$A$57:$A$60,0)))*(INDEX('Parametri Modello'!$D$57:$D$60,MATCH($B116,'Parametri Modello'!$A$57:$A$60,0))*(INDEX('Parametri Modello'!$B$50:$B$53,MATCH($B116,'Parametri Modello'!$A$50:$A$53,0))*'Parametri Modello'!$B$44))),IF(INDEX('Parametri Modello'!$F$57:$F$60,MATCH($B116,'Parametri Modello'!$A$57:$A$60,0))=0,0,($O116/INDEX('Parametri Modello'!$F$57:$F$60,MATCH($B116,'Parametri Modello'!$A$57:$A$60,0)))*((1-INDEX('Parametri Modello'!$D$57:$D$60,MATCH($B116,'Parametri Modello'!$A$57:$A$60,0)))*(INDEX('Parametri Modello'!$B$50:$B$53,MATCH($B116,'Parametri Modello'!$A$50:$A$53,0))*'Parametri Modello'!$B$44))))*(1+IF(IF($B116="D",'Info Lega'!$B$25,IF($B116="C",'Info Lega'!$B$26,"No"))="Si",'Parametri Modello'!$B$5,0))*(1+MAX(-0.25,MIN(0.25,IF(OR($T116="",$I116="",$I116=0,INDEX('Parametri Modello'!$B$19:$B$22,MATCH($B116,'Parametri Modello'!$A$19:$A$22,0))="",INDEX('Parametri Modello'!$B$19:$B$22,MATCH($B116,'Parametri Modello'!$A$19:$A$22,0))=0),0,(($T116-INDEX('Parametri Modello'!$B$19:$B$22,MATCH($B116,'Parametri Modello'!$A$19:$A$22,0)))/INDEX('Parametri Modello'!$B$19:$B$22,MATCH($B116,'Parametri Modello'!$A$19:$A$22,0)))*'Parametri Modello'!$B$9))))*(1+IF('Parametri Modello'!$B$27="Si",MAX(-'Parametri Modello'!$B$28,MIN('Parametri Modello'!$B$28*1.5,IF(OR(INDEX('Parametri Modello'!$F$32:$F$35,MATCH($B116,'Parametri Modello'!$A$32:$A$35,0))="",INDEX('Parametri Modello'!$F$32:$F$35,MATCH($B116,'Parametri Modello'!$A$32:$A$35,0))=0),0,(1/INDEX('Parametri Modello'!$F$32:$F$35,MATCH($B116,'Parametri Modello'!$A$32:$A$35,0))-1)*'Parametri Modello'!$B$28))),0)))*(1+INDEX('Parametri Modello'!$B$12:$B$15,MATCH($B116,'Parametri Modello'!$A$12:$A$15,0))),0),"")</f>
        <v>10</v>
      </c>
      <c r="I116" s="23">
        <f>IFERROR(INDEX('Input Statistiche 2025_26'!$F$3:$F$665,MATCH($A116,'Input Statistiche 2025_26'!$A$3:$A$665,0)),"")</f>
        <v>38</v>
      </c>
      <c r="J116" s="23">
        <f t="shared" si="9"/>
        <v>0</v>
      </c>
      <c r="K116" s="23">
        <f>IFERROR(INDEX('Input Statistiche 2025_26'!$I$3:$I$665,MATCH($A116,'Input Statistiche 2025_26'!$A$3:$A$665,0)),"")</f>
        <v>0</v>
      </c>
      <c r="L116" s="23">
        <f>IFERROR(INDEX('Input Statistiche 2025_26'!$O$3:$O$665,MATCH($A116,'Input Statistiche 2025_26'!$A$3:$A$665,0)),"")</f>
        <v>0</v>
      </c>
      <c r="M116" s="25"/>
      <c r="N116" s="24">
        <f>IFERROR(INDEX('Input Giocatori 2026_27'!$E$3:$E$493,MATCH($A116,'Input Giocatori 2026_27'!$A$3:$A$493,0)),"")</f>
        <v>9</v>
      </c>
      <c r="O116" s="24">
        <f>IFERROR(INDEX('Input Giocatori 2026_27'!$G$3:$G$493,MATCH($A116,'Input Giocatori 2026_27'!$A$3:$A$493,0)),"")</f>
        <v>27</v>
      </c>
      <c r="P116" s="23" t="str">
        <f>IFERROR(IF($O116="","",IF((1-(COUNTIFS($B$2:$B$492,$B116,$O$2:$O$492,"&gt;"&amp;$O116)+1-1)/COUNTIF($B$2:$B$492,$B116))&gt;='Parametri Modello'!$B$63,"Top",IF((1-(COUNTIFS($B$2:$B$492,$B116,$O$2:$O$492,"&gt;"&amp;$O116)+1-1)/COUNTIF($B$2:$B$492,$B116))&gt;='Parametri Modello'!$B$64,"Buono",IF((1-(COUNTIFS($B$2:$B$492,$B116,$O$2:$O$492,"&gt;"&amp;$O116)+1-1)/COUNTIF($B$2:$B$492,$B116))&gt;='Parametri Modello'!$B$65,"Nella Media","Scommessa/Riserva")))),"")</f>
        <v>Buono</v>
      </c>
      <c r="Q116" s="26">
        <f>IF(AND($D116="",$N116&gt;1),SUMPRODUCT(($D$2:$D116="")*($N$2:$N116&gt;1)),"")</f>
        <v>115</v>
      </c>
      <c r="R116" s="26" t="str">
        <f>IF($D116='Info Lega'!$B$28,COUNTIFS($D$2:$D116,'Info Lega'!$B$28),"")</f>
        <v/>
      </c>
      <c r="S116" s="27">
        <f>IFERROR(INDEX('Input Statistiche 2025_26'!$G$3:$G$665,MATCH($A116,'Input Statistiche 2025_26'!$A$3:$A$665,0)),"")</f>
        <v>6.29</v>
      </c>
      <c r="T116" s="27">
        <f>IFERROR(INDEX('Input Statistiche 2025_26'!$H$3:$H$665,MATCH($A116,'Input Statistiche 2025_26'!$A$3:$A$665,0)),"")</f>
        <v>4.87</v>
      </c>
      <c r="U116" s="23" t="str">
        <f>IF(OR('La Mia Rosa'!$O$12="",$D116&lt;&gt;""),"",IF($F116&lt;='La Mia Rosa'!$O$12*'Parametri Modello'!$B$24,"OK",IF($F116&lt;='La Mia Rosa'!$O$12*'Parametri Modello'!$B$25,"Attenzione","Rischio Alto")))</f>
        <v>OK</v>
      </c>
      <c r="V116" s="23">
        <f t="shared" si="10"/>
        <v>12</v>
      </c>
      <c r="W116" s="18">
        <f>'Info Lega'!$B$4-SUMIFS($M$2:$M$492,$D$2:$D$492,'Info Lega'!$B$28)</f>
        <v>1000</v>
      </c>
      <c r="X116" s="18">
        <f>('Info Lega'!$B$5-COUNTIFS($D$2:$D$492,'Info Lega'!$B$28,$B$2:$B$492,"P"))+('Info Lega'!$B$6-COUNTIFS($D$2:$D$492,'Info Lega'!$B$28,$B$2:$B$492,"D"))+('Info Lega'!$B$7-COUNTIFS($D$2:$D$492,'Info Lega'!$B$28,$B$2:$B$492,"C"))+('Info Lega'!$B$8-COUNTIFS($D$2:$D$492,'Info Lega'!$B$28,$B$2:$B$492,"A"))</f>
        <v>25</v>
      </c>
      <c r="Y116" s="18">
        <f>X116*'Parametri Modello'!$B$30</f>
        <v>25</v>
      </c>
      <c r="Z116" s="18">
        <f t="shared" si="11"/>
        <v>975</v>
      </c>
      <c r="AA116" s="18">
        <f t="shared" si="12"/>
        <v>9</v>
      </c>
      <c r="AB116" s="18"/>
      <c r="AC116" s="18" t="str">
        <f>IF($AB116="","",IF($AB116&gt;$AA116,"PASS",IF($AB116&lt;=$AA116*(1-'Parametri Modello'!$B$68),"BID","ATTENZIONE")))</f>
        <v/>
      </c>
      <c r="AD116" s="28">
        <f t="shared" si="13"/>
        <v>72</v>
      </c>
      <c r="AE116" s="5" t="str">
        <f>IFERROR(INDEX('Stato Asta'!$G$9:$G$12,MATCH($B116,'Stato Asta'!$A$9:$A$12,0)),"")</f>
        <v>🔴 Non aspettare</v>
      </c>
      <c r="AF116" t="str">
        <f>IFERROR(IF($V116&lt;=INDEX('Parametri Modello'!$C$57:$C$60,MATCH($B116,'Parametri Modello'!$A$57:$A$60,0)),"Titolare","Riserva"),"")</f>
        <v>Riserva</v>
      </c>
      <c r="AG116" t="str">
        <f>IFERROR(INDEX('Pressione Competitiva'!$F$3:$F$6,MATCH($B116,'Pressione Competitiva'!$B$3:$B$6,0)),"")</f>
        <v>🔴 Molto Alta</v>
      </c>
      <c r="AH116" t="str">
        <f t="shared" si="14"/>
        <v/>
      </c>
      <c r="AI116" t="str">
        <f>IFERROR(IF($AH116="","",IF($AH116&gt;=$AA116*'Parametri Modello'!$B$68,"🟢 Opportunita'",IF($AH116&lt;=$AA116*'Parametri Modello'!$B$69,"🔴 Sovrapprezzo","🟡 Prezzo Corretto"))),"")</f>
        <v/>
      </c>
      <c r="AJ116" t="str">
        <f t="shared" si="15"/>
        <v/>
      </c>
      <c r="AK116">
        <f t="shared" si="16"/>
        <v>5</v>
      </c>
      <c r="AL116" t="str">
        <f t="shared" si="17"/>
        <v>P|Buono|5</v>
      </c>
    </row>
    <row r="117" spans="1:38" ht="14.25" customHeight="1" x14ac:dyDescent="0.25">
      <c r="A117" s="18">
        <v>5520</v>
      </c>
      <c r="B117" s="18" t="s">
        <v>16</v>
      </c>
      <c r="C117" s="18" t="s">
        <v>256</v>
      </c>
      <c r="E117" s="23" t="str">
        <f>IF(COUNTIF('Info Strategia'!$D$2:$D$51,$C117)&gt;0,"SI","NO")</f>
        <v>NO</v>
      </c>
      <c r="F117" s="24">
        <f>IFERROR(ROUND(($G117+($H117-$G117)*'Info Strategia'!$B$6)*(1+IF($E117="SI",'Parametri Modello'!$B$7*'Info Strategia'!$B$6,0)),0),"")</f>
        <v>18</v>
      </c>
      <c r="G117" s="24">
        <f>IFERROR(ROUND(MAX(1,(IF($V117&lt;=INDEX('Parametri Modello'!$C$57:$C$60,MATCH($B117,'Parametri Modello'!$A$57:$A$60,0)),IF(INDEX('Parametri Modello'!$E$57:$E$60,MATCH($B117,'Parametri Modello'!$A$57:$A$60,0))=0,0,($O117/INDEX('Parametri Modello'!$E$57:$E$60,MATCH($B117,'Parametri Modello'!$A$57:$A$60,0)))*(INDEX('Parametri Modello'!$D$57:$D$60,MATCH($B117,'Parametri Modello'!$A$57:$A$60,0))*(INDEX('Parametri Modello'!$B$50:$B$53,MATCH($B117,'Parametri Modello'!$A$50:$A$53,0))*'Parametri Modello'!$B$44))),IF(INDEX('Parametri Modello'!$F$57:$F$60,MATCH($B117,'Parametri Modello'!$A$57:$A$60,0))=0,0,($O117/INDEX('Parametri Modello'!$F$57:$F$60,MATCH($B117,'Parametri Modello'!$A$57:$A$60,0)))*((1-INDEX('Parametri Modello'!$D$57:$D$60,MATCH($B117,'Parametri Modello'!$A$57:$A$60,0)))*(INDEX('Parametri Modello'!$B$50:$B$53,MATCH($B117,'Parametri Modello'!$A$50:$A$53,0))*'Parametri Modello'!$B$44))))*(1+IF(IF($B117="D",'Info Lega'!$B$25,IF($B117="C",'Info Lega'!$B$26,"No"))="Si",'Parametri Modello'!$B$5,0))*(1+MAX(-0.25,MIN(0.25,IF(OR($T117="",$I117="",$I117=0,INDEX('Parametri Modello'!$B$19:$B$22,MATCH($B117,'Parametri Modello'!$A$19:$A$22,0))="",INDEX('Parametri Modello'!$B$19:$B$22,MATCH($B117,'Parametri Modello'!$A$19:$A$22,0))=0),0,(($T117-INDEX('Parametri Modello'!$B$19:$B$22,MATCH($B117,'Parametri Modello'!$A$19:$A$22,0)))/INDEX('Parametri Modello'!$B$19:$B$22,MATCH($B117,'Parametri Modello'!$A$19:$A$22,0)))*'Parametri Modello'!$B$9))))*(1+IF('Parametri Modello'!$B$27="Si",MAX(-'Parametri Modello'!$B$28,MIN('Parametri Modello'!$B$28*1.5,IF(OR(INDEX('Parametri Modello'!$F$32:$F$35,MATCH($B117,'Parametri Modello'!$A$32:$A$35,0))="",INDEX('Parametri Modello'!$F$32:$F$35,MATCH($B117,'Parametri Modello'!$A$32:$A$35,0))=0),0,(1/INDEX('Parametri Modello'!$F$32:$F$35,MATCH($B117,'Parametri Modello'!$A$32:$A$35,0))-1)*'Parametri Modello'!$B$28))),0)))*(1-INDEX('Parametri Modello'!$B$12:$B$15,MATCH($B117,'Parametri Modello'!$A$12:$A$15,0)))),0),"")</f>
        <v>14</v>
      </c>
      <c r="H117" s="24">
        <f>IFERROR(ROUND((IF($V117&lt;=INDEX('Parametri Modello'!$C$57:$C$60,MATCH($B117,'Parametri Modello'!$A$57:$A$60,0)),IF(INDEX('Parametri Modello'!$E$57:$E$60,MATCH($B117,'Parametri Modello'!$A$57:$A$60,0))=0,0,($O117/INDEX('Parametri Modello'!$E$57:$E$60,MATCH($B117,'Parametri Modello'!$A$57:$A$60,0)))*(INDEX('Parametri Modello'!$D$57:$D$60,MATCH($B117,'Parametri Modello'!$A$57:$A$60,0))*(INDEX('Parametri Modello'!$B$50:$B$53,MATCH($B117,'Parametri Modello'!$A$50:$A$53,0))*'Parametri Modello'!$B$44))),IF(INDEX('Parametri Modello'!$F$57:$F$60,MATCH($B117,'Parametri Modello'!$A$57:$A$60,0))=0,0,($O117/INDEX('Parametri Modello'!$F$57:$F$60,MATCH($B117,'Parametri Modello'!$A$57:$A$60,0)))*((1-INDEX('Parametri Modello'!$D$57:$D$60,MATCH($B117,'Parametri Modello'!$A$57:$A$60,0)))*(INDEX('Parametri Modello'!$B$50:$B$53,MATCH($B117,'Parametri Modello'!$A$50:$A$53,0))*'Parametri Modello'!$B$44))))*(1+IF(IF($B117="D",'Info Lega'!$B$25,IF($B117="C",'Info Lega'!$B$26,"No"))="Si",'Parametri Modello'!$B$5,0))*(1+MAX(-0.25,MIN(0.25,IF(OR($T117="",$I117="",$I117=0,INDEX('Parametri Modello'!$B$19:$B$22,MATCH($B117,'Parametri Modello'!$A$19:$A$22,0))="",INDEX('Parametri Modello'!$B$19:$B$22,MATCH($B117,'Parametri Modello'!$A$19:$A$22,0))=0),0,(($T117-INDEX('Parametri Modello'!$B$19:$B$22,MATCH($B117,'Parametri Modello'!$A$19:$A$22,0)))/INDEX('Parametri Modello'!$B$19:$B$22,MATCH($B117,'Parametri Modello'!$A$19:$A$22,0)))*'Parametri Modello'!$B$9))))*(1+IF('Parametri Modello'!$B$27="Si",MAX(-'Parametri Modello'!$B$28,MIN('Parametri Modello'!$B$28*1.5,IF(OR(INDEX('Parametri Modello'!$F$32:$F$35,MATCH($B117,'Parametri Modello'!$A$32:$A$35,0))="",INDEX('Parametri Modello'!$F$32:$F$35,MATCH($B117,'Parametri Modello'!$A$32:$A$35,0))=0),0,(1/INDEX('Parametri Modello'!$F$32:$F$35,MATCH($B117,'Parametri Modello'!$A$32:$A$35,0))-1)*'Parametri Modello'!$B$28))),0)))*(1+INDEX('Parametri Modello'!$B$12:$B$15,MATCH($B117,'Parametri Modello'!$A$12:$A$15,0))),0),"")</f>
        <v>20</v>
      </c>
      <c r="I117" s="23">
        <f>IFERROR(INDEX('Input Statistiche 2025_26'!$F$3:$F$665,MATCH($A117,'Input Statistiche 2025_26'!$A$3:$A$665,0)),"")</f>
        <v>36</v>
      </c>
      <c r="J117" s="23">
        <f t="shared" si="9"/>
        <v>2</v>
      </c>
      <c r="K117" s="23">
        <f>IFERROR(INDEX('Input Statistiche 2025_26'!$I$3:$I$665,MATCH($A117,'Input Statistiche 2025_26'!$A$3:$A$665,0)),"")</f>
        <v>3</v>
      </c>
      <c r="L117" s="23">
        <f>IFERROR(INDEX('Input Statistiche 2025_26'!$O$3:$O$665,MATCH($A117,'Input Statistiche 2025_26'!$A$3:$A$665,0)),"")</f>
        <v>4</v>
      </c>
      <c r="M117" s="25"/>
      <c r="N117" s="24">
        <f>IFERROR(INDEX('Input Giocatori 2026_27'!$E$3:$E$493,MATCH($A117,'Input Giocatori 2026_27'!$A$3:$A$493,0)),"")</f>
        <v>9</v>
      </c>
      <c r="O117" s="24">
        <f>IFERROR(INDEX('Input Giocatori 2026_27'!$G$3:$G$493,MATCH($A117,'Input Giocatori 2026_27'!$A$3:$A$493,0)),"")</f>
        <v>27</v>
      </c>
      <c r="P117" s="23" t="str">
        <f>IFERROR(IF($O117="","",IF((1-(COUNTIFS($B$2:$B$492,$B117,$O$2:$O$492,"&gt;"&amp;$O117)+1-1)/COUNTIF($B$2:$B$492,$B117))&gt;='Parametri Modello'!$B$63,"Top",IF((1-(COUNTIFS($B$2:$B$492,$B117,$O$2:$O$492,"&gt;"&amp;$O117)+1-1)/COUNTIF($B$2:$B$492,$B117))&gt;='Parametri Modello'!$B$64,"Buono",IF((1-(COUNTIFS($B$2:$B$492,$B117,$O$2:$O$492,"&gt;"&amp;$O117)+1-1)/COUNTIF($B$2:$B$492,$B117))&gt;='Parametri Modello'!$B$65,"Nella Media","Scommessa/Riserva")))),"")</f>
        <v>Buono</v>
      </c>
      <c r="Q117" s="26">
        <f>IF(AND($D117="",$N117&gt;1),SUMPRODUCT(($D$2:$D117="")*($N$2:$N117&gt;1)),"")</f>
        <v>116</v>
      </c>
      <c r="R117" s="26" t="str">
        <f>IF($D117='Info Lega'!$B$28,COUNTIFS($D$2:$D117,'Info Lega'!$B$28),"")</f>
        <v/>
      </c>
      <c r="S117" s="27">
        <f>IFERROR(INDEX('Input Statistiche 2025_26'!$G$3:$G$665,MATCH($A117,'Input Statistiche 2025_26'!$A$3:$A$665,0)),"")</f>
        <v>5.81</v>
      </c>
      <c r="T117" s="27">
        <f>IFERROR(INDEX('Input Statistiche 2025_26'!$H$3:$H$665,MATCH($A117,'Input Statistiche 2025_26'!$A$3:$A$665,0)),"")</f>
        <v>5.99</v>
      </c>
      <c r="U117" s="23" t="str">
        <f>IF(OR('La Mia Rosa'!$O$12="",$D117&lt;&gt;""),"",IF($F117&lt;='La Mia Rosa'!$O$12*'Parametri Modello'!$B$24,"OK",IF($F117&lt;='La Mia Rosa'!$O$12*'Parametri Modello'!$B$25,"Attenzione","Rischio Alto")))</f>
        <v>OK</v>
      </c>
      <c r="V117" s="23">
        <f t="shared" si="10"/>
        <v>21</v>
      </c>
      <c r="W117" s="18">
        <f>'Info Lega'!$B$4-SUMIFS($M$2:$M$492,$D$2:$D$492,'Info Lega'!$B$28)</f>
        <v>1000</v>
      </c>
      <c r="X117" s="18">
        <f>('Info Lega'!$B$5-COUNTIFS($D$2:$D$492,'Info Lega'!$B$28,$B$2:$B$492,"P"))+('Info Lega'!$B$6-COUNTIFS($D$2:$D$492,'Info Lega'!$B$28,$B$2:$B$492,"D"))+('Info Lega'!$B$7-COUNTIFS($D$2:$D$492,'Info Lega'!$B$28,$B$2:$B$492,"C"))+('Info Lega'!$B$8-COUNTIFS($D$2:$D$492,'Info Lega'!$B$28,$B$2:$B$492,"A"))</f>
        <v>25</v>
      </c>
      <c r="Y117" s="18">
        <f>X117*'Parametri Modello'!$B$30</f>
        <v>25</v>
      </c>
      <c r="Z117" s="18">
        <f t="shared" si="11"/>
        <v>975</v>
      </c>
      <c r="AA117" s="18">
        <f t="shared" si="12"/>
        <v>18</v>
      </c>
      <c r="AB117" s="18"/>
      <c r="AC117" s="18" t="str">
        <f>IF($AB117="","",IF($AB117&gt;$AA117,"PASS",IF($AB117&lt;=$AA117*(1-'Parametri Modello'!$B$68),"BID","ATTENZIONE")))</f>
        <v/>
      </c>
      <c r="AD117" s="28">
        <f t="shared" si="13"/>
        <v>70</v>
      </c>
      <c r="AE117" s="5" t="str">
        <f>IFERROR(INDEX('Stato Asta'!$G$9:$G$12,MATCH($B117,'Stato Asta'!$A$9:$A$12,0)),"")</f>
        <v>🔴 Non aspettare</v>
      </c>
      <c r="AF117" t="str">
        <f>IFERROR(IF($V117&lt;=INDEX('Parametri Modello'!$C$57:$C$60,MATCH($B117,'Parametri Modello'!$A$57:$A$60,0)),"Titolare","Riserva"),"")</f>
        <v>Titolare</v>
      </c>
      <c r="AG117" t="str">
        <f>IFERROR(INDEX('Pressione Competitiva'!$F$3:$F$6,MATCH($B117,'Pressione Competitiva'!$B$3:$B$6,0)),"")</f>
        <v>🔴 Molto Alta</v>
      </c>
      <c r="AH117" t="str">
        <f t="shared" si="14"/>
        <v/>
      </c>
      <c r="AI117" t="str">
        <f>IFERROR(IF($AH117="","",IF($AH117&gt;=$AA117*'Parametri Modello'!$B$68,"🟢 Opportunita'",IF($AH117&lt;=$AA117*'Parametri Modello'!$B$69,"🔴 Sovrapprezzo","🟡 Prezzo Corretto"))),"")</f>
        <v/>
      </c>
      <c r="AJ117" t="str">
        <f t="shared" si="15"/>
        <v/>
      </c>
      <c r="AK117">
        <f t="shared" si="16"/>
        <v>3</v>
      </c>
      <c r="AL117" t="str">
        <f t="shared" si="17"/>
        <v>D|Buono|3</v>
      </c>
    </row>
    <row r="118" spans="1:38" ht="14.25" customHeight="1" x14ac:dyDescent="0.25">
      <c r="A118" s="18">
        <v>5365</v>
      </c>
      <c r="B118" s="18" t="s">
        <v>16</v>
      </c>
      <c r="C118" s="18" t="s">
        <v>257</v>
      </c>
      <c r="E118" s="23" t="str">
        <f>IF(COUNTIF('Info Strategia'!$D$2:$D$51,$C118)&gt;0,"SI","NO")</f>
        <v>NO</v>
      </c>
      <c r="F118" s="24">
        <f>IFERROR(ROUND(($G118+($H118-$G118)*'Info Strategia'!$B$6)*(1+IF($E118="SI",'Parametri Modello'!$B$7*'Info Strategia'!$B$6,0)),0),"")</f>
        <v>18</v>
      </c>
      <c r="G118" s="24">
        <f>IFERROR(ROUND(MAX(1,(IF($V118&lt;=INDEX('Parametri Modello'!$C$57:$C$60,MATCH($B118,'Parametri Modello'!$A$57:$A$60,0)),IF(INDEX('Parametri Modello'!$E$57:$E$60,MATCH($B118,'Parametri Modello'!$A$57:$A$60,0))=0,0,($O118/INDEX('Parametri Modello'!$E$57:$E$60,MATCH($B118,'Parametri Modello'!$A$57:$A$60,0)))*(INDEX('Parametri Modello'!$D$57:$D$60,MATCH($B118,'Parametri Modello'!$A$57:$A$60,0))*(INDEX('Parametri Modello'!$B$50:$B$53,MATCH($B118,'Parametri Modello'!$A$50:$A$53,0))*'Parametri Modello'!$B$44))),IF(INDEX('Parametri Modello'!$F$57:$F$60,MATCH($B118,'Parametri Modello'!$A$57:$A$60,0))=0,0,($O118/INDEX('Parametri Modello'!$F$57:$F$60,MATCH($B118,'Parametri Modello'!$A$57:$A$60,0)))*((1-INDEX('Parametri Modello'!$D$57:$D$60,MATCH($B118,'Parametri Modello'!$A$57:$A$60,0)))*(INDEX('Parametri Modello'!$B$50:$B$53,MATCH($B118,'Parametri Modello'!$A$50:$A$53,0))*'Parametri Modello'!$B$44))))*(1+IF(IF($B118="D",'Info Lega'!$B$25,IF($B118="C",'Info Lega'!$B$26,"No"))="Si",'Parametri Modello'!$B$5,0))*(1+MAX(-0.25,MIN(0.25,IF(OR($T118="",$I118="",$I118=0,INDEX('Parametri Modello'!$B$19:$B$22,MATCH($B118,'Parametri Modello'!$A$19:$A$22,0))="",INDEX('Parametri Modello'!$B$19:$B$22,MATCH($B118,'Parametri Modello'!$A$19:$A$22,0))=0),0,(($T118-INDEX('Parametri Modello'!$B$19:$B$22,MATCH($B118,'Parametri Modello'!$A$19:$A$22,0)))/INDEX('Parametri Modello'!$B$19:$B$22,MATCH($B118,'Parametri Modello'!$A$19:$A$22,0)))*'Parametri Modello'!$B$9))))*(1+IF('Parametri Modello'!$B$27="Si",MAX(-'Parametri Modello'!$B$28,MIN('Parametri Modello'!$B$28*1.5,IF(OR(INDEX('Parametri Modello'!$F$32:$F$35,MATCH($B118,'Parametri Modello'!$A$32:$A$35,0))="",INDEX('Parametri Modello'!$F$32:$F$35,MATCH($B118,'Parametri Modello'!$A$32:$A$35,0))=0),0,(1/INDEX('Parametri Modello'!$F$32:$F$35,MATCH($B118,'Parametri Modello'!$A$32:$A$35,0))-1)*'Parametri Modello'!$B$28))),0)))*(1-INDEX('Parametri Modello'!$B$12:$B$15,MATCH($B118,'Parametri Modello'!$A$12:$A$15,0)))),0),"")</f>
        <v>14</v>
      </c>
      <c r="H118" s="24">
        <f>IFERROR(ROUND((IF($V118&lt;=INDEX('Parametri Modello'!$C$57:$C$60,MATCH($B118,'Parametri Modello'!$A$57:$A$60,0)),IF(INDEX('Parametri Modello'!$E$57:$E$60,MATCH($B118,'Parametri Modello'!$A$57:$A$60,0))=0,0,($O118/INDEX('Parametri Modello'!$E$57:$E$60,MATCH($B118,'Parametri Modello'!$A$57:$A$60,0)))*(INDEX('Parametri Modello'!$D$57:$D$60,MATCH($B118,'Parametri Modello'!$A$57:$A$60,0))*(INDEX('Parametri Modello'!$B$50:$B$53,MATCH($B118,'Parametri Modello'!$A$50:$A$53,0))*'Parametri Modello'!$B$44))),IF(INDEX('Parametri Modello'!$F$57:$F$60,MATCH($B118,'Parametri Modello'!$A$57:$A$60,0))=0,0,($O118/INDEX('Parametri Modello'!$F$57:$F$60,MATCH($B118,'Parametri Modello'!$A$57:$A$60,0)))*((1-INDEX('Parametri Modello'!$D$57:$D$60,MATCH($B118,'Parametri Modello'!$A$57:$A$60,0)))*(INDEX('Parametri Modello'!$B$50:$B$53,MATCH($B118,'Parametri Modello'!$A$50:$A$53,0))*'Parametri Modello'!$B$44))))*(1+IF(IF($B118="D",'Info Lega'!$B$25,IF($B118="C",'Info Lega'!$B$26,"No"))="Si",'Parametri Modello'!$B$5,0))*(1+MAX(-0.25,MIN(0.25,IF(OR($T118="",$I118="",$I118=0,INDEX('Parametri Modello'!$B$19:$B$22,MATCH($B118,'Parametri Modello'!$A$19:$A$22,0))="",INDEX('Parametri Modello'!$B$19:$B$22,MATCH($B118,'Parametri Modello'!$A$19:$A$22,0))=0),0,(($T118-INDEX('Parametri Modello'!$B$19:$B$22,MATCH($B118,'Parametri Modello'!$A$19:$A$22,0)))/INDEX('Parametri Modello'!$B$19:$B$22,MATCH($B118,'Parametri Modello'!$A$19:$A$22,0)))*'Parametri Modello'!$B$9))))*(1+IF('Parametri Modello'!$B$27="Si",MAX(-'Parametri Modello'!$B$28,MIN('Parametri Modello'!$B$28*1.5,IF(OR(INDEX('Parametri Modello'!$F$32:$F$35,MATCH($B118,'Parametri Modello'!$A$32:$A$35,0))="",INDEX('Parametri Modello'!$F$32:$F$35,MATCH($B118,'Parametri Modello'!$A$32:$A$35,0))=0),0,(1/INDEX('Parametri Modello'!$F$32:$F$35,MATCH($B118,'Parametri Modello'!$A$32:$A$35,0))-1)*'Parametri Modello'!$B$28))),0)))*(1+INDEX('Parametri Modello'!$B$12:$B$15,MATCH($B118,'Parametri Modello'!$A$12:$A$15,0))),0),"")</f>
        <v>20</v>
      </c>
      <c r="I118" s="23" t="str">
        <f>IFERROR(INDEX('Input Statistiche 2025_26'!$F$3:$F$665,MATCH($A118,'Input Statistiche 2025_26'!$A$3:$A$665,0)),"")</f>
        <v/>
      </c>
      <c r="J118" s="23" t="str">
        <f t="shared" si="9"/>
        <v/>
      </c>
      <c r="K118" s="23" t="str">
        <f>IFERROR(INDEX('Input Statistiche 2025_26'!$I$3:$I$665,MATCH($A118,'Input Statistiche 2025_26'!$A$3:$A$665,0)),"")</f>
        <v/>
      </c>
      <c r="L118" s="23" t="str">
        <f>IFERROR(INDEX('Input Statistiche 2025_26'!$O$3:$O$665,MATCH($A118,'Input Statistiche 2025_26'!$A$3:$A$665,0)),"")</f>
        <v/>
      </c>
      <c r="M118" s="25"/>
      <c r="N118" s="24">
        <f>IFERROR(INDEX('Input Giocatori 2026_27'!$E$3:$E$493,MATCH($A118,'Input Giocatori 2026_27'!$A$3:$A$493,0)),"")</f>
        <v>8</v>
      </c>
      <c r="O118" s="24">
        <f>IFERROR(INDEX('Input Giocatori 2026_27'!$G$3:$G$493,MATCH($A118,'Input Giocatori 2026_27'!$A$3:$A$493,0)),"")</f>
        <v>27</v>
      </c>
      <c r="P118" s="23" t="str">
        <f>IFERROR(IF($O118="","",IF((1-(COUNTIFS($B$2:$B$492,$B118,$O$2:$O$492,"&gt;"&amp;$O118)+1-1)/COUNTIF($B$2:$B$492,$B118))&gt;='Parametri Modello'!$B$63,"Top",IF((1-(COUNTIFS($B$2:$B$492,$B118,$O$2:$O$492,"&gt;"&amp;$O118)+1-1)/COUNTIF($B$2:$B$492,$B118))&gt;='Parametri Modello'!$B$64,"Buono",IF((1-(COUNTIFS($B$2:$B$492,$B118,$O$2:$O$492,"&gt;"&amp;$O118)+1-1)/COUNTIF($B$2:$B$492,$B118))&gt;='Parametri Modello'!$B$65,"Nella Media","Scommessa/Riserva")))),"")</f>
        <v>Buono</v>
      </c>
      <c r="Q118" s="26">
        <f>IF(AND($D118="",$N118&gt;1),SUMPRODUCT(($D$2:$D118="")*($N$2:$N118&gt;1)),"")</f>
        <v>117</v>
      </c>
      <c r="R118" s="26" t="str">
        <f>IF($D118='Info Lega'!$B$28,COUNTIFS($D$2:$D118,'Info Lega'!$B$28),"")</f>
        <v/>
      </c>
      <c r="S118" s="27" t="str">
        <f>IFERROR(INDEX('Input Statistiche 2025_26'!$G$3:$G$665,MATCH($A118,'Input Statistiche 2025_26'!$A$3:$A$665,0)),"")</f>
        <v/>
      </c>
      <c r="T118" s="27" t="str">
        <f>IFERROR(INDEX('Input Statistiche 2025_26'!$H$3:$H$665,MATCH($A118,'Input Statistiche 2025_26'!$A$3:$A$665,0)),"")</f>
        <v/>
      </c>
      <c r="U118" s="23" t="str">
        <f>IF(OR('La Mia Rosa'!$O$12="",$D118&lt;&gt;""),"",IF($F118&lt;='La Mia Rosa'!$O$12*'Parametri Modello'!$B$24,"OK",IF($F118&lt;='La Mia Rosa'!$O$12*'Parametri Modello'!$B$25,"Attenzione","Rischio Alto")))</f>
        <v>OK</v>
      </c>
      <c r="V118" s="23">
        <f t="shared" si="10"/>
        <v>21</v>
      </c>
      <c r="W118" s="18">
        <f>'Info Lega'!$B$4-SUMIFS($M$2:$M$492,$D$2:$D$492,'Info Lega'!$B$28)</f>
        <v>1000</v>
      </c>
      <c r="X118" s="18">
        <f>('Info Lega'!$B$5-COUNTIFS($D$2:$D$492,'Info Lega'!$B$28,$B$2:$B$492,"P"))+('Info Lega'!$B$6-COUNTIFS($D$2:$D$492,'Info Lega'!$B$28,$B$2:$B$492,"D"))+('Info Lega'!$B$7-COUNTIFS($D$2:$D$492,'Info Lega'!$B$28,$B$2:$B$492,"C"))+('Info Lega'!$B$8-COUNTIFS($D$2:$D$492,'Info Lega'!$B$28,$B$2:$B$492,"A"))</f>
        <v>25</v>
      </c>
      <c r="Y118" s="18">
        <f>X118*'Parametri Modello'!$B$30</f>
        <v>25</v>
      </c>
      <c r="Z118" s="18">
        <f t="shared" si="11"/>
        <v>975</v>
      </c>
      <c r="AA118" s="18">
        <f t="shared" si="12"/>
        <v>18</v>
      </c>
      <c r="AB118" s="18"/>
      <c r="AC118" s="18" t="str">
        <f>IF($AB118="","",IF($AB118&gt;$AA118,"PASS",IF($AB118&lt;=$AA118*(1-'Parametri Modello'!$B$68),"BID","ATTENZIONE")))</f>
        <v/>
      </c>
      <c r="AD118" s="28" t="str">
        <f t="shared" si="13"/>
        <v/>
      </c>
      <c r="AE118" s="5" t="str">
        <f>IFERROR(INDEX('Stato Asta'!$G$9:$G$12,MATCH($B118,'Stato Asta'!$A$9:$A$12,0)),"")</f>
        <v>🔴 Non aspettare</v>
      </c>
      <c r="AF118" t="str">
        <f>IFERROR(IF($V118&lt;=INDEX('Parametri Modello'!$C$57:$C$60,MATCH($B118,'Parametri Modello'!$A$57:$A$60,0)),"Titolare","Riserva"),"")</f>
        <v>Titolare</v>
      </c>
      <c r="AG118" t="str">
        <f>IFERROR(INDEX('Pressione Competitiva'!$F$3:$F$6,MATCH($B118,'Pressione Competitiva'!$B$3:$B$6,0)),"")</f>
        <v>🔴 Molto Alta</v>
      </c>
      <c r="AH118" t="str">
        <f t="shared" si="14"/>
        <v/>
      </c>
      <c r="AI118" t="str">
        <f>IFERROR(IF($AH118="","",IF($AH118&gt;=$AA118*'Parametri Modello'!$B$68,"🟢 Opportunita'",IF($AH118&lt;=$AA118*'Parametri Modello'!$B$69,"🔴 Sovrapprezzo","🟡 Prezzo Corretto"))),"")</f>
        <v/>
      </c>
      <c r="AJ118" t="str">
        <f t="shared" si="15"/>
        <v/>
      </c>
      <c r="AK118">
        <f t="shared" si="16"/>
        <v>3</v>
      </c>
      <c r="AL118" t="str">
        <f t="shared" si="17"/>
        <v>D|Buono|3</v>
      </c>
    </row>
    <row r="119" spans="1:38" ht="14.25" customHeight="1" x14ac:dyDescent="0.25">
      <c r="A119" s="18">
        <v>5877</v>
      </c>
      <c r="B119" s="18" t="s">
        <v>16</v>
      </c>
      <c r="C119" s="18" t="s">
        <v>258</v>
      </c>
      <c r="E119" s="23" t="str">
        <f>IF(COUNTIF('Info Strategia'!$D$2:$D$51,$C119)&gt;0,"SI","NO")</f>
        <v>NO</v>
      </c>
      <c r="F119" s="24">
        <f>IFERROR(ROUND(($G119+($H119-$G119)*'Info Strategia'!$B$6)*(1+IF($E119="SI",'Parametri Modello'!$B$7*'Info Strategia'!$B$6,0)),0),"")</f>
        <v>18</v>
      </c>
      <c r="G119" s="24">
        <f>IFERROR(ROUND(MAX(1,(IF($V119&lt;=INDEX('Parametri Modello'!$C$57:$C$60,MATCH($B119,'Parametri Modello'!$A$57:$A$60,0)),IF(INDEX('Parametri Modello'!$E$57:$E$60,MATCH($B119,'Parametri Modello'!$A$57:$A$60,0))=0,0,($O119/INDEX('Parametri Modello'!$E$57:$E$60,MATCH($B119,'Parametri Modello'!$A$57:$A$60,0)))*(INDEX('Parametri Modello'!$D$57:$D$60,MATCH($B119,'Parametri Modello'!$A$57:$A$60,0))*(INDEX('Parametri Modello'!$B$50:$B$53,MATCH($B119,'Parametri Modello'!$A$50:$A$53,0))*'Parametri Modello'!$B$44))),IF(INDEX('Parametri Modello'!$F$57:$F$60,MATCH($B119,'Parametri Modello'!$A$57:$A$60,0))=0,0,($O119/INDEX('Parametri Modello'!$F$57:$F$60,MATCH($B119,'Parametri Modello'!$A$57:$A$60,0)))*((1-INDEX('Parametri Modello'!$D$57:$D$60,MATCH($B119,'Parametri Modello'!$A$57:$A$60,0)))*(INDEX('Parametri Modello'!$B$50:$B$53,MATCH($B119,'Parametri Modello'!$A$50:$A$53,0))*'Parametri Modello'!$B$44))))*(1+IF(IF($B119="D",'Info Lega'!$B$25,IF($B119="C",'Info Lega'!$B$26,"No"))="Si",'Parametri Modello'!$B$5,0))*(1+MAX(-0.25,MIN(0.25,IF(OR($T119="",$I119="",$I119=0,INDEX('Parametri Modello'!$B$19:$B$22,MATCH($B119,'Parametri Modello'!$A$19:$A$22,0))="",INDEX('Parametri Modello'!$B$19:$B$22,MATCH($B119,'Parametri Modello'!$A$19:$A$22,0))=0),0,(($T119-INDEX('Parametri Modello'!$B$19:$B$22,MATCH($B119,'Parametri Modello'!$A$19:$A$22,0)))/INDEX('Parametri Modello'!$B$19:$B$22,MATCH($B119,'Parametri Modello'!$A$19:$A$22,0)))*'Parametri Modello'!$B$9))))*(1+IF('Parametri Modello'!$B$27="Si",MAX(-'Parametri Modello'!$B$28,MIN('Parametri Modello'!$B$28*1.5,IF(OR(INDEX('Parametri Modello'!$F$32:$F$35,MATCH($B119,'Parametri Modello'!$A$32:$A$35,0))="",INDEX('Parametri Modello'!$F$32:$F$35,MATCH($B119,'Parametri Modello'!$A$32:$A$35,0))=0),0,(1/INDEX('Parametri Modello'!$F$32:$F$35,MATCH($B119,'Parametri Modello'!$A$32:$A$35,0))-1)*'Parametri Modello'!$B$28))),0)))*(1-INDEX('Parametri Modello'!$B$12:$B$15,MATCH($B119,'Parametri Modello'!$A$12:$A$15,0)))),0),"")</f>
        <v>14</v>
      </c>
      <c r="H119" s="24">
        <f>IFERROR(ROUND((IF($V119&lt;=INDEX('Parametri Modello'!$C$57:$C$60,MATCH($B119,'Parametri Modello'!$A$57:$A$60,0)),IF(INDEX('Parametri Modello'!$E$57:$E$60,MATCH($B119,'Parametri Modello'!$A$57:$A$60,0))=0,0,($O119/INDEX('Parametri Modello'!$E$57:$E$60,MATCH($B119,'Parametri Modello'!$A$57:$A$60,0)))*(INDEX('Parametri Modello'!$D$57:$D$60,MATCH($B119,'Parametri Modello'!$A$57:$A$60,0))*(INDEX('Parametri Modello'!$B$50:$B$53,MATCH($B119,'Parametri Modello'!$A$50:$A$53,0))*'Parametri Modello'!$B$44))),IF(INDEX('Parametri Modello'!$F$57:$F$60,MATCH($B119,'Parametri Modello'!$A$57:$A$60,0))=0,0,($O119/INDEX('Parametri Modello'!$F$57:$F$60,MATCH($B119,'Parametri Modello'!$A$57:$A$60,0)))*((1-INDEX('Parametri Modello'!$D$57:$D$60,MATCH($B119,'Parametri Modello'!$A$57:$A$60,0)))*(INDEX('Parametri Modello'!$B$50:$B$53,MATCH($B119,'Parametri Modello'!$A$50:$A$53,0))*'Parametri Modello'!$B$44))))*(1+IF(IF($B119="D",'Info Lega'!$B$25,IF($B119="C",'Info Lega'!$B$26,"No"))="Si",'Parametri Modello'!$B$5,0))*(1+MAX(-0.25,MIN(0.25,IF(OR($T119="",$I119="",$I119=0,INDEX('Parametri Modello'!$B$19:$B$22,MATCH($B119,'Parametri Modello'!$A$19:$A$22,0))="",INDEX('Parametri Modello'!$B$19:$B$22,MATCH($B119,'Parametri Modello'!$A$19:$A$22,0))=0),0,(($T119-INDEX('Parametri Modello'!$B$19:$B$22,MATCH($B119,'Parametri Modello'!$A$19:$A$22,0)))/INDEX('Parametri Modello'!$B$19:$B$22,MATCH($B119,'Parametri Modello'!$A$19:$A$22,0)))*'Parametri Modello'!$B$9))))*(1+IF('Parametri Modello'!$B$27="Si",MAX(-'Parametri Modello'!$B$28,MIN('Parametri Modello'!$B$28*1.5,IF(OR(INDEX('Parametri Modello'!$F$32:$F$35,MATCH($B119,'Parametri Modello'!$A$32:$A$35,0))="",INDEX('Parametri Modello'!$F$32:$F$35,MATCH($B119,'Parametri Modello'!$A$32:$A$35,0))=0),0,(1/INDEX('Parametri Modello'!$F$32:$F$35,MATCH($B119,'Parametri Modello'!$A$32:$A$35,0))-1)*'Parametri Modello'!$B$28))),0)))*(1+INDEX('Parametri Modello'!$B$12:$B$15,MATCH($B119,'Parametri Modello'!$A$12:$A$15,0))),0),"")</f>
        <v>20</v>
      </c>
      <c r="I119" s="23">
        <f>IFERROR(INDEX('Input Statistiche 2025_26'!$F$3:$F$665,MATCH($A119,'Input Statistiche 2025_26'!$A$3:$A$665,0)),"")</f>
        <v>28</v>
      </c>
      <c r="J119" s="23">
        <f t="shared" si="9"/>
        <v>10</v>
      </c>
      <c r="K119" s="23">
        <f>IFERROR(INDEX('Input Statistiche 2025_26'!$I$3:$I$665,MATCH($A119,'Input Statistiche 2025_26'!$A$3:$A$665,0)),"")</f>
        <v>1</v>
      </c>
      <c r="L119" s="23">
        <f>IFERROR(INDEX('Input Statistiche 2025_26'!$O$3:$O$665,MATCH($A119,'Input Statistiche 2025_26'!$A$3:$A$665,0)),"")</f>
        <v>1</v>
      </c>
      <c r="M119" s="25"/>
      <c r="N119" s="24">
        <f>IFERROR(INDEX('Input Giocatori 2026_27'!$E$3:$E$493,MATCH($A119,'Input Giocatori 2026_27'!$A$3:$A$493,0)),"")</f>
        <v>7</v>
      </c>
      <c r="O119" s="24">
        <f>IFERROR(INDEX('Input Giocatori 2026_27'!$G$3:$G$493,MATCH($A119,'Input Giocatori 2026_27'!$A$3:$A$493,0)),"")</f>
        <v>27</v>
      </c>
      <c r="P119" s="23" t="str">
        <f>IFERROR(IF($O119="","",IF((1-(COUNTIFS($B$2:$B$492,$B119,$O$2:$O$492,"&gt;"&amp;$O119)+1-1)/COUNTIF($B$2:$B$492,$B119))&gt;='Parametri Modello'!$B$63,"Top",IF((1-(COUNTIFS($B$2:$B$492,$B119,$O$2:$O$492,"&gt;"&amp;$O119)+1-1)/COUNTIF($B$2:$B$492,$B119))&gt;='Parametri Modello'!$B$64,"Buono",IF((1-(COUNTIFS($B$2:$B$492,$B119,$O$2:$O$492,"&gt;"&amp;$O119)+1-1)/COUNTIF($B$2:$B$492,$B119))&gt;='Parametri Modello'!$B$65,"Nella Media","Scommessa/Riserva")))),"")</f>
        <v>Buono</v>
      </c>
      <c r="Q119" s="26">
        <f>IF(AND($D119="",$N119&gt;1),SUMPRODUCT(($D$2:$D119="")*($N$2:$N119&gt;1)),"")</f>
        <v>118</v>
      </c>
      <c r="R119" s="26" t="str">
        <f>IF($D119='Info Lega'!$B$28,COUNTIFS($D$2:$D119,'Info Lega'!$B$28),"")</f>
        <v/>
      </c>
      <c r="S119" s="27">
        <f>IFERROR(INDEX('Input Statistiche 2025_26'!$G$3:$G$665,MATCH($A119,'Input Statistiche 2025_26'!$A$3:$A$665,0)),"")</f>
        <v>6.12</v>
      </c>
      <c r="T119" s="27">
        <f>IFERROR(INDEX('Input Statistiche 2025_26'!$H$3:$H$665,MATCH($A119,'Input Statistiche 2025_26'!$A$3:$A$665,0)),"")</f>
        <v>6.16</v>
      </c>
      <c r="U119" s="23" t="str">
        <f>IF(OR('La Mia Rosa'!$O$12="",$D119&lt;&gt;""),"",IF($F119&lt;='La Mia Rosa'!$O$12*'Parametri Modello'!$B$24,"OK",IF($F119&lt;='La Mia Rosa'!$O$12*'Parametri Modello'!$B$25,"Attenzione","Rischio Alto")))</f>
        <v>OK</v>
      </c>
      <c r="V119" s="23">
        <f t="shared" si="10"/>
        <v>21</v>
      </c>
      <c r="W119" s="18">
        <f>'Info Lega'!$B$4-SUMIFS($M$2:$M$492,$D$2:$D$492,'Info Lega'!$B$28)</f>
        <v>1000</v>
      </c>
      <c r="X119" s="18">
        <f>('Info Lega'!$B$5-COUNTIFS($D$2:$D$492,'Info Lega'!$B$28,$B$2:$B$492,"P"))+('Info Lega'!$B$6-COUNTIFS($D$2:$D$492,'Info Lega'!$B$28,$B$2:$B$492,"D"))+('Info Lega'!$B$7-COUNTIFS($D$2:$D$492,'Info Lega'!$B$28,$B$2:$B$492,"C"))+('Info Lega'!$B$8-COUNTIFS($D$2:$D$492,'Info Lega'!$B$28,$B$2:$B$492,"A"))</f>
        <v>25</v>
      </c>
      <c r="Y119" s="18">
        <f>X119*'Parametri Modello'!$B$30</f>
        <v>25</v>
      </c>
      <c r="Z119" s="18">
        <f t="shared" si="11"/>
        <v>975</v>
      </c>
      <c r="AA119" s="18">
        <f t="shared" si="12"/>
        <v>18</v>
      </c>
      <c r="AB119" s="18"/>
      <c r="AC119" s="18" t="str">
        <f>IF($AB119="","",IF($AB119&gt;$AA119,"PASS",IF($AB119&lt;=$AA119*(1-'Parametri Modello'!$B$68),"BID","ATTENZIONE")))</f>
        <v/>
      </c>
      <c r="AD119" s="28">
        <f t="shared" si="13"/>
        <v>61</v>
      </c>
      <c r="AE119" s="5" t="str">
        <f>IFERROR(INDEX('Stato Asta'!$G$9:$G$12,MATCH($B119,'Stato Asta'!$A$9:$A$12,0)),"")</f>
        <v>🔴 Non aspettare</v>
      </c>
      <c r="AF119" t="str">
        <f>IFERROR(IF($V119&lt;=INDEX('Parametri Modello'!$C$57:$C$60,MATCH($B119,'Parametri Modello'!$A$57:$A$60,0)),"Titolare","Riserva"),"")</f>
        <v>Titolare</v>
      </c>
      <c r="AG119" t="str">
        <f>IFERROR(INDEX('Pressione Competitiva'!$F$3:$F$6,MATCH($B119,'Pressione Competitiva'!$B$3:$B$6,0)),"")</f>
        <v>🔴 Molto Alta</v>
      </c>
      <c r="AH119" t="str">
        <f t="shared" si="14"/>
        <v/>
      </c>
      <c r="AI119" t="str">
        <f>IFERROR(IF($AH119="","",IF($AH119&gt;=$AA119*'Parametri Modello'!$B$68,"🟢 Opportunita'",IF($AH119&lt;=$AA119*'Parametri Modello'!$B$69,"🔴 Sovrapprezzo","🟡 Prezzo Corretto"))),"")</f>
        <v/>
      </c>
      <c r="AJ119" t="str">
        <f t="shared" si="15"/>
        <v/>
      </c>
      <c r="AK119">
        <f t="shared" si="16"/>
        <v>3</v>
      </c>
      <c r="AL119" t="str">
        <f t="shared" si="17"/>
        <v>D|Buono|3</v>
      </c>
    </row>
    <row r="120" spans="1:38" ht="14.25" customHeight="1" x14ac:dyDescent="0.25">
      <c r="A120" s="18">
        <v>6218</v>
      </c>
      <c r="B120" s="18" t="s">
        <v>17</v>
      </c>
      <c r="C120" s="18" t="s">
        <v>259</v>
      </c>
      <c r="E120" s="23" t="str">
        <f>IF(COUNTIF('Info Strategia'!$D$2:$D$51,$C120)&gt;0,"SI","NO")</f>
        <v>NO</v>
      </c>
      <c r="F120" s="24">
        <f>IFERROR(ROUND(($G120+($H120-$G120)*'Info Strategia'!$B$6)*(1+IF($E120="SI",'Parametri Modello'!$B$7*'Info Strategia'!$B$6,0)),0),"")</f>
        <v>3</v>
      </c>
      <c r="G120" s="24">
        <f>IFERROR(ROUND(MAX(1,(IF($V120&lt;=INDEX('Parametri Modello'!$C$57:$C$60,MATCH($B120,'Parametri Modello'!$A$57:$A$60,0)),IF(INDEX('Parametri Modello'!$E$57:$E$60,MATCH($B120,'Parametri Modello'!$A$57:$A$60,0))=0,0,($O120/INDEX('Parametri Modello'!$E$57:$E$60,MATCH($B120,'Parametri Modello'!$A$57:$A$60,0)))*(INDEX('Parametri Modello'!$D$57:$D$60,MATCH($B120,'Parametri Modello'!$A$57:$A$60,0))*(INDEX('Parametri Modello'!$B$50:$B$53,MATCH($B120,'Parametri Modello'!$A$50:$A$53,0))*'Parametri Modello'!$B$44))),IF(INDEX('Parametri Modello'!$F$57:$F$60,MATCH($B120,'Parametri Modello'!$A$57:$A$60,0))=0,0,($O120/INDEX('Parametri Modello'!$F$57:$F$60,MATCH($B120,'Parametri Modello'!$A$57:$A$60,0)))*((1-INDEX('Parametri Modello'!$D$57:$D$60,MATCH($B120,'Parametri Modello'!$A$57:$A$60,0)))*(INDEX('Parametri Modello'!$B$50:$B$53,MATCH($B120,'Parametri Modello'!$A$50:$A$53,0))*'Parametri Modello'!$B$44))))*(1+IF(IF($B120="D",'Info Lega'!$B$25,IF($B120="C",'Info Lega'!$B$26,"No"))="Si",'Parametri Modello'!$B$5,0))*(1+MAX(-0.25,MIN(0.25,IF(OR($T120="",$I120="",$I120=0,INDEX('Parametri Modello'!$B$19:$B$22,MATCH($B120,'Parametri Modello'!$A$19:$A$22,0))="",INDEX('Parametri Modello'!$B$19:$B$22,MATCH($B120,'Parametri Modello'!$A$19:$A$22,0))=0),0,(($T120-INDEX('Parametri Modello'!$B$19:$B$22,MATCH($B120,'Parametri Modello'!$A$19:$A$22,0)))/INDEX('Parametri Modello'!$B$19:$B$22,MATCH($B120,'Parametri Modello'!$A$19:$A$22,0)))*'Parametri Modello'!$B$9))))*(1+IF('Parametri Modello'!$B$27="Si",MAX(-'Parametri Modello'!$B$28,MIN('Parametri Modello'!$B$28*1.5,IF(OR(INDEX('Parametri Modello'!$F$32:$F$35,MATCH($B120,'Parametri Modello'!$A$32:$A$35,0))="",INDEX('Parametri Modello'!$F$32:$F$35,MATCH($B120,'Parametri Modello'!$A$32:$A$35,0))=0),0,(1/INDEX('Parametri Modello'!$F$32:$F$35,MATCH($B120,'Parametri Modello'!$A$32:$A$35,0))-1)*'Parametri Modello'!$B$28))),0)))*(1-INDEX('Parametri Modello'!$B$12:$B$15,MATCH($B120,'Parametri Modello'!$A$12:$A$15,0)))),0),"")</f>
        <v>2</v>
      </c>
      <c r="H120" s="24">
        <f>IFERROR(ROUND((IF($V120&lt;=INDEX('Parametri Modello'!$C$57:$C$60,MATCH($B120,'Parametri Modello'!$A$57:$A$60,0)),IF(INDEX('Parametri Modello'!$E$57:$E$60,MATCH($B120,'Parametri Modello'!$A$57:$A$60,0))=0,0,($O120/INDEX('Parametri Modello'!$E$57:$E$60,MATCH($B120,'Parametri Modello'!$A$57:$A$60,0)))*(INDEX('Parametri Modello'!$D$57:$D$60,MATCH($B120,'Parametri Modello'!$A$57:$A$60,0))*(INDEX('Parametri Modello'!$B$50:$B$53,MATCH($B120,'Parametri Modello'!$A$50:$A$53,0))*'Parametri Modello'!$B$44))),IF(INDEX('Parametri Modello'!$F$57:$F$60,MATCH($B120,'Parametri Modello'!$A$57:$A$60,0))=0,0,($O120/INDEX('Parametri Modello'!$F$57:$F$60,MATCH($B120,'Parametri Modello'!$A$57:$A$60,0)))*((1-INDEX('Parametri Modello'!$D$57:$D$60,MATCH($B120,'Parametri Modello'!$A$57:$A$60,0)))*(INDEX('Parametri Modello'!$B$50:$B$53,MATCH($B120,'Parametri Modello'!$A$50:$A$53,0))*'Parametri Modello'!$B$44))))*(1+IF(IF($B120="D",'Info Lega'!$B$25,IF($B120="C",'Info Lega'!$B$26,"No"))="Si",'Parametri Modello'!$B$5,0))*(1+MAX(-0.25,MIN(0.25,IF(OR($T120="",$I120="",$I120=0,INDEX('Parametri Modello'!$B$19:$B$22,MATCH($B120,'Parametri Modello'!$A$19:$A$22,0))="",INDEX('Parametri Modello'!$B$19:$B$22,MATCH($B120,'Parametri Modello'!$A$19:$A$22,0))=0),0,(($T120-INDEX('Parametri Modello'!$B$19:$B$22,MATCH($B120,'Parametri Modello'!$A$19:$A$22,0)))/INDEX('Parametri Modello'!$B$19:$B$22,MATCH($B120,'Parametri Modello'!$A$19:$A$22,0)))*'Parametri Modello'!$B$9))))*(1+IF('Parametri Modello'!$B$27="Si",MAX(-'Parametri Modello'!$B$28,MIN('Parametri Modello'!$B$28*1.5,IF(OR(INDEX('Parametri Modello'!$F$32:$F$35,MATCH($B120,'Parametri Modello'!$A$32:$A$35,0))="",INDEX('Parametri Modello'!$F$32:$F$35,MATCH($B120,'Parametri Modello'!$A$32:$A$35,0))=0),0,(1/INDEX('Parametri Modello'!$F$32:$F$35,MATCH($B120,'Parametri Modello'!$A$32:$A$35,0))-1)*'Parametri Modello'!$B$28))),0)))*(1+INDEX('Parametri Modello'!$B$12:$B$15,MATCH($B120,'Parametri Modello'!$A$12:$A$15,0))),0),"")</f>
        <v>4</v>
      </c>
      <c r="I120" s="23">
        <f>IFERROR(INDEX('Input Statistiche 2025_26'!$F$3:$F$665,MATCH($A120,'Input Statistiche 2025_26'!$A$3:$A$665,0)),"")</f>
        <v>18</v>
      </c>
      <c r="J120" s="23">
        <f t="shared" si="9"/>
        <v>20</v>
      </c>
      <c r="K120" s="23">
        <f>IFERROR(INDEX('Input Statistiche 2025_26'!$I$3:$I$665,MATCH($A120,'Input Statistiche 2025_26'!$A$3:$A$665,0)),"")</f>
        <v>1</v>
      </c>
      <c r="L120" s="23">
        <f>IFERROR(INDEX('Input Statistiche 2025_26'!$O$3:$O$665,MATCH($A120,'Input Statistiche 2025_26'!$A$3:$A$665,0)),"")</f>
        <v>0</v>
      </c>
      <c r="M120" s="25"/>
      <c r="N120" s="24">
        <f>IFERROR(INDEX('Input Giocatori 2026_27'!$E$3:$E$493,MATCH($A120,'Input Giocatori 2026_27'!$A$3:$A$493,0)),"")</f>
        <v>7</v>
      </c>
      <c r="O120" s="24">
        <f>IFERROR(INDEX('Input Giocatori 2026_27'!$G$3:$G$493,MATCH($A120,'Input Giocatori 2026_27'!$A$3:$A$493,0)),"")</f>
        <v>27</v>
      </c>
      <c r="P120" s="23" t="str">
        <f>IFERROR(IF($O120="","",IF((1-(COUNTIFS($B$2:$B$492,$B120,$O$2:$O$492,"&gt;"&amp;$O120)+1-1)/COUNTIF($B$2:$B$492,$B120))&gt;='Parametri Modello'!$B$63,"Top",IF((1-(COUNTIFS($B$2:$B$492,$B120,$O$2:$O$492,"&gt;"&amp;$O120)+1-1)/COUNTIF($B$2:$B$492,$B120))&gt;='Parametri Modello'!$B$64,"Buono",IF((1-(COUNTIFS($B$2:$B$492,$B120,$O$2:$O$492,"&gt;"&amp;$O120)+1-1)/COUNTIF($B$2:$B$492,$B120))&gt;='Parametri Modello'!$B$65,"Nella Media","Scommessa/Riserva")))),"")</f>
        <v>Buono</v>
      </c>
      <c r="Q120" s="26">
        <f>IF(AND($D120="",$N120&gt;1),SUMPRODUCT(($D$2:$D120="")*($N$2:$N120&gt;1)),"")</f>
        <v>119</v>
      </c>
      <c r="R120" s="26" t="str">
        <f>IF($D120='Info Lega'!$B$28,COUNTIFS($D$2:$D120,'Info Lega'!$B$28),"")</f>
        <v/>
      </c>
      <c r="S120" s="27">
        <f>IFERROR(INDEX('Input Statistiche 2025_26'!$G$3:$G$665,MATCH($A120,'Input Statistiche 2025_26'!$A$3:$A$665,0)),"")</f>
        <v>5.78</v>
      </c>
      <c r="T120" s="27">
        <f>IFERROR(INDEX('Input Statistiche 2025_26'!$H$3:$H$665,MATCH($A120,'Input Statistiche 2025_26'!$A$3:$A$665,0)),"")</f>
        <v>5.92</v>
      </c>
      <c r="U120" s="23" t="str">
        <f>IF(OR('La Mia Rosa'!$O$12="",$D120&lt;&gt;""),"",IF($F120&lt;='La Mia Rosa'!$O$12*'Parametri Modello'!$B$24,"OK",IF($F120&lt;='La Mia Rosa'!$O$12*'Parametri Modello'!$B$25,"Attenzione","Rischio Alto")))</f>
        <v>OK</v>
      </c>
      <c r="V120" s="23">
        <f t="shared" si="10"/>
        <v>44</v>
      </c>
      <c r="W120" s="18">
        <f>'Info Lega'!$B$4-SUMIFS($M$2:$M$492,$D$2:$D$492,'Info Lega'!$B$28)</f>
        <v>1000</v>
      </c>
      <c r="X120" s="18">
        <f>('Info Lega'!$B$5-COUNTIFS($D$2:$D$492,'Info Lega'!$B$28,$B$2:$B$492,"P"))+('Info Lega'!$B$6-COUNTIFS($D$2:$D$492,'Info Lega'!$B$28,$B$2:$B$492,"D"))+('Info Lega'!$B$7-COUNTIFS($D$2:$D$492,'Info Lega'!$B$28,$B$2:$B$492,"C"))+('Info Lega'!$B$8-COUNTIFS($D$2:$D$492,'Info Lega'!$B$28,$B$2:$B$492,"A"))</f>
        <v>25</v>
      </c>
      <c r="Y120" s="18">
        <f>X120*'Parametri Modello'!$B$30</f>
        <v>25</v>
      </c>
      <c r="Z120" s="18">
        <f t="shared" si="11"/>
        <v>975</v>
      </c>
      <c r="AA120" s="18">
        <f t="shared" si="12"/>
        <v>3</v>
      </c>
      <c r="AB120" s="18"/>
      <c r="AC120" s="18" t="str">
        <f>IF($AB120="","",IF($AB120&gt;$AA120,"PASS",IF($AB120&lt;=$AA120*(1-'Parametri Modello'!$B$68),"BID","ATTENZIONE")))</f>
        <v/>
      </c>
      <c r="AD120" s="28">
        <f t="shared" si="13"/>
        <v>45</v>
      </c>
      <c r="AE120" s="5" t="str">
        <f>IFERROR(INDEX('Stato Asta'!$G$9:$G$12,MATCH($B120,'Stato Asta'!$A$9:$A$12,0)),"")</f>
        <v>🔴 Non aspettare</v>
      </c>
      <c r="AF120" t="str">
        <f>IFERROR(IF($V120&lt;=INDEX('Parametri Modello'!$C$57:$C$60,MATCH($B120,'Parametri Modello'!$A$57:$A$60,0)),"Titolare","Riserva"),"")</f>
        <v>Riserva</v>
      </c>
      <c r="AG120" t="str">
        <f>IFERROR(INDEX('Pressione Competitiva'!$F$3:$F$6,MATCH($B120,'Pressione Competitiva'!$B$3:$B$6,0)),"")</f>
        <v>🔴 Molto Alta</v>
      </c>
      <c r="AH120" t="str">
        <f t="shared" si="14"/>
        <v/>
      </c>
      <c r="AI120" t="str">
        <f>IFERROR(IF($AH120="","",IF($AH120&gt;=$AA120*'Parametri Modello'!$B$68,"🟢 Opportunita'",IF($AH120&lt;=$AA120*'Parametri Modello'!$B$69,"🔴 Sovrapprezzo","🟡 Prezzo Corretto"))),"")</f>
        <v/>
      </c>
      <c r="AJ120" t="str">
        <f t="shared" si="15"/>
        <v/>
      </c>
      <c r="AK120">
        <f t="shared" si="16"/>
        <v>26</v>
      </c>
      <c r="AL120" t="str">
        <f t="shared" si="17"/>
        <v>C|Buono|26</v>
      </c>
    </row>
    <row r="121" spans="1:38" ht="14.25" customHeight="1" x14ac:dyDescent="0.25">
      <c r="A121" s="18">
        <v>4807</v>
      </c>
      <c r="B121" s="18" t="s">
        <v>16</v>
      </c>
      <c r="C121" s="18" t="s">
        <v>260</v>
      </c>
      <c r="E121" s="23" t="str">
        <f>IF(COUNTIF('Info Strategia'!$D$2:$D$51,$C121)&gt;0,"SI","NO")</f>
        <v>NO</v>
      </c>
      <c r="F121" s="24">
        <f>IFERROR(ROUND(($G121+($H121-$G121)*'Info Strategia'!$B$6)*(1+IF($E121="SI",'Parametri Modello'!$B$7*'Info Strategia'!$B$6,0)),0),"")</f>
        <v>18</v>
      </c>
      <c r="G121" s="24">
        <f>IFERROR(ROUND(MAX(1,(IF($V121&lt;=INDEX('Parametri Modello'!$C$57:$C$60,MATCH($B121,'Parametri Modello'!$A$57:$A$60,0)),IF(INDEX('Parametri Modello'!$E$57:$E$60,MATCH($B121,'Parametri Modello'!$A$57:$A$60,0))=0,0,($O121/INDEX('Parametri Modello'!$E$57:$E$60,MATCH($B121,'Parametri Modello'!$A$57:$A$60,0)))*(INDEX('Parametri Modello'!$D$57:$D$60,MATCH($B121,'Parametri Modello'!$A$57:$A$60,0))*(INDEX('Parametri Modello'!$B$50:$B$53,MATCH($B121,'Parametri Modello'!$A$50:$A$53,0))*'Parametri Modello'!$B$44))),IF(INDEX('Parametri Modello'!$F$57:$F$60,MATCH($B121,'Parametri Modello'!$A$57:$A$60,0))=0,0,($O121/INDEX('Parametri Modello'!$F$57:$F$60,MATCH($B121,'Parametri Modello'!$A$57:$A$60,0)))*((1-INDEX('Parametri Modello'!$D$57:$D$60,MATCH($B121,'Parametri Modello'!$A$57:$A$60,0)))*(INDEX('Parametri Modello'!$B$50:$B$53,MATCH($B121,'Parametri Modello'!$A$50:$A$53,0))*'Parametri Modello'!$B$44))))*(1+IF(IF($B121="D",'Info Lega'!$B$25,IF($B121="C",'Info Lega'!$B$26,"No"))="Si",'Parametri Modello'!$B$5,0))*(1+MAX(-0.25,MIN(0.25,IF(OR($T121="",$I121="",$I121=0,INDEX('Parametri Modello'!$B$19:$B$22,MATCH($B121,'Parametri Modello'!$A$19:$A$22,0))="",INDEX('Parametri Modello'!$B$19:$B$22,MATCH($B121,'Parametri Modello'!$A$19:$A$22,0))=0),0,(($T121-INDEX('Parametri Modello'!$B$19:$B$22,MATCH($B121,'Parametri Modello'!$A$19:$A$22,0)))/INDEX('Parametri Modello'!$B$19:$B$22,MATCH($B121,'Parametri Modello'!$A$19:$A$22,0)))*'Parametri Modello'!$B$9))))*(1+IF('Parametri Modello'!$B$27="Si",MAX(-'Parametri Modello'!$B$28,MIN('Parametri Modello'!$B$28*1.5,IF(OR(INDEX('Parametri Modello'!$F$32:$F$35,MATCH($B121,'Parametri Modello'!$A$32:$A$35,0))="",INDEX('Parametri Modello'!$F$32:$F$35,MATCH($B121,'Parametri Modello'!$A$32:$A$35,0))=0),0,(1/INDEX('Parametri Modello'!$F$32:$F$35,MATCH($B121,'Parametri Modello'!$A$32:$A$35,0))-1)*'Parametri Modello'!$B$28))),0)))*(1-INDEX('Parametri Modello'!$B$12:$B$15,MATCH($B121,'Parametri Modello'!$A$12:$A$15,0)))),0),"")</f>
        <v>13</v>
      </c>
      <c r="H121" s="24">
        <f>IFERROR(ROUND((IF($V121&lt;=INDEX('Parametri Modello'!$C$57:$C$60,MATCH($B121,'Parametri Modello'!$A$57:$A$60,0)),IF(INDEX('Parametri Modello'!$E$57:$E$60,MATCH($B121,'Parametri Modello'!$A$57:$A$60,0))=0,0,($O121/INDEX('Parametri Modello'!$E$57:$E$60,MATCH($B121,'Parametri Modello'!$A$57:$A$60,0)))*(INDEX('Parametri Modello'!$D$57:$D$60,MATCH($B121,'Parametri Modello'!$A$57:$A$60,0))*(INDEX('Parametri Modello'!$B$50:$B$53,MATCH($B121,'Parametri Modello'!$A$50:$A$53,0))*'Parametri Modello'!$B$44))),IF(INDEX('Parametri Modello'!$F$57:$F$60,MATCH($B121,'Parametri Modello'!$A$57:$A$60,0))=0,0,($O121/INDEX('Parametri Modello'!$F$57:$F$60,MATCH($B121,'Parametri Modello'!$A$57:$A$60,0)))*((1-INDEX('Parametri Modello'!$D$57:$D$60,MATCH($B121,'Parametri Modello'!$A$57:$A$60,0)))*(INDEX('Parametri Modello'!$B$50:$B$53,MATCH($B121,'Parametri Modello'!$A$50:$A$53,0))*'Parametri Modello'!$B$44))))*(1+IF(IF($B121="D",'Info Lega'!$B$25,IF($B121="C",'Info Lega'!$B$26,"No"))="Si",'Parametri Modello'!$B$5,0))*(1+MAX(-0.25,MIN(0.25,IF(OR($T121="",$I121="",$I121=0,INDEX('Parametri Modello'!$B$19:$B$22,MATCH($B121,'Parametri Modello'!$A$19:$A$22,0))="",INDEX('Parametri Modello'!$B$19:$B$22,MATCH($B121,'Parametri Modello'!$A$19:$A$22,0))=0),0,(($T121-INDEX('Parametri Modello'!$B$19:$B$22,MATCH($B121,'Parametri Modello'!$A$19:$A$22,0)))/INDEX('Parametri Modello'!$B$19:$B$22,MATCH($B121,'Parametri Modello'!$A$19:$A$22,0)))*'Parametri Modello'!$B$9))))*(1+IF('Parametri Modello'!$B$27="Si",MAX(-'Parametri Modello'!$B$28,MIN('Parametri Modello'!$B$28*1.5,IF(OR(INDEX('Parametri Modello'!$F$32:$F$35,MATCH($B121,'Parametri Modello'!$A$32:$A$35,0))="",INDEX('Parametri Modello'!$F$32:$F$35,MATCH($B121,'Parametri Modello'!$A$32:$A$35,0))=0),0,(1/INDEX('Parametri Modello'!$F$32:$F$35,MATCH($B121,'Parametri Modello'!$A$32:$A$35,0))-1)*'Parametri Modello'!$B$28))),0)))*(1+INDEX('Parametri Modello'!$B$12:$B$15,MATCH($B121,'Parametri Modello'!$A$12:$A$15,0))),0),"")</f>
        <v>20</v>
      </c>
      <c r="I121" s="23">
        <f>IFERROR(INDEX('Input Statistiche 2025_26'!$F$3:$F$665,MATCH($A121,'Input Statistiche 2025_26'!$A$3:$A$665,0)),"")</f>
        <v>27</v>
      </c>
      <c r="J121" s="23">
        <f t="shared" si="9"/>
        <v>11</v>
      </c>
      <c r="K121" s="23">
        <f>IFERROR(INDEX('Input Statistiche 2025_26'!$I$3:$I$665,MATCH($A121,'Input Statistiche 2025_26'!$A$3:$A$665,0)),"")</f>
        <v>3</v>
      </c>
      <c r="L121" s="23">
        <f>IFERROR(INDEX('Input Statistiche 2025_26'!$O$3:$O$665,MATCH($A121,'Input Statistiche 2025_26'!$A$3:$A$665,0)),"")</f>
        <v>2</v>
      </c>
      <c r="M121" s="25"/>
      <c r="N121" s="24">
        <f>IFERROR(INDEX('Input Giocatori 2026_27'!$E$3:$E$493,MATCH($A121,'Input Giocatori 2026_27'!$A$3:$A$493,0)),"")</f>
        <v>10</v>
      </c>
      <c r="O121" s="24">
        <f>IFERROR(INDEX('Input Giocatori 2026_27'!$G$3:$G$493,MATCH($A121,'Input Giocatori 2026_27'!$A$3:$A$493,0)),"")</f>
        <v>26</v>
      </c>
      <c r="P121" s="23" t="str">
        <f>IFERROR(IF($O121="","",IF((1-(COUNTIFS($B$2:$B$492,$B121,$O$2:$O$492,"&gt;"&amp;$O121)+1-1)/COUNTIF($B$2:$B$492,$B121))&gt;='Parametri Modello'!$B$63,"Top",IF((1-(COUNTIFS($B$2:$B$492,$B121,$O$2:$O$492,"&gt;"&amp;$O121)+1-1)/COUNTIF($B$2:$B$492,$B121))&gt;='Parametri Modello'!$B$64,"Buono",IF((1-(COUNTIFS($B$2:$B$492,$B121,$O$2:$O$492,"&gt;"&amp;$O121)+1-1)/COUNTIF($B$2:$B$492,$B121))&gt;='Parametri Modello'!$B$65,"Nella Media","Scommessa/Riserva")))),"")</f>
        <v>Buono</v>
      </c>
      <c r="Q121" s="26">
        <f>IF(AND($D121="",$N121&gt;1),SUMPRODUCT(($D$2:$D121="")*($N$2:$N121&gt;1)),"")</f>
        <v>120</v>
      </c>
      <c r="R121" s="26" t="str">
        <f>IF($D121='Info Lega'!$B$28,COUNTIFS($D$2:$D121,'Info Lega'!$B$28),"")</f>
        <v/>
      </c>
      <c r="S121" s="27">
        <f>IFERROR(INDEX('Input Statistiche 2025_26'!$G$3:$G$665,MATCH($A121,'Input Statistiche 2025_26'!$A$3:$A$665,0)),"")</f>
        <v>6.17</v>
      </c>
      <c r="T121" s="27">
        <f>IFERROR(INDEX('Input Statistiche 2025_26'!$H$3:$H$665,MATCH($A121,'Input Statistiche 2025_26'!$A$3:$A$665,0)),"")</f>
        <v>6.41</v>
      </c>
      <c r="U121" s="23" t="str">
        <f>IF(OR('La Mia Rosa'!$O$12="",$D121&lt;&gt;""),"",IF($F121&lt;='La Mia Rosa'!$O$12*'Parametri Modello'!$B$24,"OK",IF($F121&lt;='La Mia Rosa'!$O$12*'Parametri Modello'!$B$25,"Attenzione","Rischio Alto")))</f>
        <v>OK</v>
      </c>
      <c r="V121" s="23">
        <f t="shared" si="10"/>
        <v>24</v>
      </c>
      <c r="W121" s="18">
        <f>'Info Lega'!$B$4-SUMIFS($M$2:$M$492,$D$2:$D$492,'Info Lega'!$B$28)</f>
        <v>1000</v>
      </c>
      <c r="X121" s="18">
        <f>('Info Lega'!$B$5-COUNTIFS($D$2:$D$492,'Info Lega'!$B$28,$B$2:$B$492,"P"))+('Info Lega'!$B$6-COUNTIFS($D$2:$D$492,'Info Lega'!$B$28,$B$2:$B$492,"D"))+('Info Lega'!$B$7-COUNTIFS($D$2:$D$492,'Info Lega'!$B$28,$B$2:$B$492,"C"))+('Info Lega'!$B$8-COUNTIFS($D$2:$D$492,'Info Lega'!$B$28,$B$2:$B$492,"A"))</f>
        <v>25</v>
      </c>
      <c r="Y121" s="18">
        <f>X121*'Parametri Modello'!$B$30</f>
        <v>25</v>
      </c>
      <c r="Z121" s="18">
        <f t="shared" si="11"/>
        <v>975</v>
      </c>
      <c r="AA121" s="18">
        <f t="shared" si="12"/>
        <v>18</v>
      </c>
      <c r="AB121" s="18"/>
      <c r="AC121" s="18" t="str">
        <f>IF($AB121="","",IF($AB121&gt;$AA121,"PASS",IF($AB121&lt;=$AA121*(1-'Parametri Modello'!$B$68),"BID","ATTENZIONE")))</f>
        <v/>
      </c>
      <c r="AD121" s="28">
        <f t="shared" si="13"/>
        <v>59</v>
      </c>
      <c r="AE121" s="5" t="str">
        <f>IFERROR(INDEX('Stato Asta'!$G$9:$G$12,MATCH($B121,'Stato Asta'!$A$9:$A$12,0)),"")</f>
        <v>🔴 Non aspettare</v>
      </c>
      <c r="AF121" t="str">
        <f>IFERROR(IF($V121&lt;=INDEX('Parametri Modello'!$C$57:$C$60,MATCH($B121,'Parametri Modello'!$A$57:$A$60,0)),"Titolare","Riserva"),"")</f>
        <v>Titolare</v>
      </c>
      <c r="AG121" t="str">
        <f>IFERROR(INDEX('Pressione Competitiva'!$F$3:$F$6,MATCH($B121,'Pressione Competitiva'!$B$3:$B$6,0)),"")</f>
        <v>🔴 Molto Alta</v>
      </c>
      <c r="AH121" t="str">
        <f t="shared" si="14"/>
        <v/>
      </c>
      <c r="AI121" t="str">
        <f>IFERROR(IF($AH121="","",IF($AH121&gt;=$AA121*'Parametri Modello'!$B$68,"🟢 Opportunita'",IF($AH121&lt;=$AA121*'Parametri Modello'!$B$69,"🔴 Sovrapprezzo","🟡 Prezzo Corretto"))),"")</f>
        <v/>
      </c>
      <c r="AJ121" t="str">
        <f t="shared" si="15"/>
        <v/>
      </c>
      <c r="AK121">
        <f t="shared" si="16"/>
        <v>6</v>
      </c>
      <c r="AL121" t="str">
        <f t="shared" si="17"/>
        <v>D|Buono|6</v>
      </c>
    </row>
    <row r="122" spans="1:38" ht="14.25" customHeight="1" x14ac:dyDescent="0.25">
      <c r="A122" s="18">
        <v>7070</v>
      </c>
      <c r="B122" s="18" t="s">
        <v>17</v>
      </c>
      <c r="C122" s="18" t="s">
        <v>261</v>
      </c>
      <c r="E122" s="23" t="str">
        <f>IF(COUNTIF('Info Strategia'!$D$2:$D$51,$C122)&gt;0,"SI","NO")</f>
        <v>NO</v>
      </c>
      <c r="F122" s="24">
        <f>IFERROR(ROUND(($G122+($H122-$G122)*'Info Strategia'!$B$6)*(1+IF($E122="SI",'Parametri Modello'!$B$7*'Info Strategia'!$B$6,0)),0),"")</f>
        <v>3</v>
      </c>
      <c r="G122" s="24">
        <f>IFERROR(ROUND(MAX(1,(IF($V122&lt;=INDEX('Parametri Modello'!$C$57:$C$60,MATCH($B122,'Parametri Modello'!$A$57:$A$60,0)),IF(INDEX('Parametri Modello'!$E$57:$E$60,MATCH($B122,'Parametri Modello'!$A$57:$A$60,0))=0,0,($O122/INDEX('Parametri Modello'!$E$57:$E$60,MATCH($B122,'Parametri Modello'!$A$57:$A$60,0)))*(INDEX('Parametri Modello'!$D$57:$D$60,MATCH($B122,'Parametri Modello'!$A$57:$A$60,0))*(INDEX('Parametri Modello'!$B$50:$B$53,MATCH($B122,'Parametri Modello'!$A$50:$A$53,0))*'Parametri Modello'!$B$44))),IF(INDEX('Parametri Modello'!$F$57:$F$60,MATCH($B122,'Parametri Modello'!$A$57:$A$60,0))=0,0,($O122/INDEX('Parametri Modello'!$F$57:$F$60,MATCH($B122,'Parametri Modello'!$A$57:$A$60,0)))*((1-INDEX('Parametri Modello'!$D$57:$D$60,MATCH($B122,'Parametri Modello'!$A$57:$A$60,0)))*(INDEX('Parametri Modello'!$B$50:$B$53,MATCH($B122,'Parametri Modello'!$A$50:$A$53,0))*'Parametri Modello'!$B$44))))*(1+IF(IF($B122="D",'Info Lega'!$B$25,IF($B122="C",'Info Lega'!$B$26,"No"))="Si",'Parametri Modello'!$B$5,0))*(1+MAX(-0.25,MIN(0.25,IF(OR($T122="",$I122="",$I122=0,INDEX('Parametri Modello'!$B$19:$B$22,MATCH($B122,'Parametri Modello'!$A$19:$A$22,0))="",INDEX('Parametri Modello'!$B$19:$B$22,MATCH($B122,'Parametri Modello'!$A$19:$A$22,0))=0),0,(($T122-INDEX('Parametri Modello'!$B$19:$B$22,MATCH($B122,'Parametri Modello'!$A$19:$A$22,0)))/INDEX('Parametri Modello'!$B$19:$B$22,MATCH($B122,'Parametri Modello'!$A$19:$A$22,0)))*'Parametri Modello'!$B$9))))*(1+IF('Parametri Modello'!$B$27="Si",MAX(-'Parametri Modello'!$B$28,MIN('Parametri Modello'!$B$28*1.5,IF(OR(INDEX('Parametri Modello'!$F$32:$F$35,MATCH($B122,'Parametri Modello'!$A$32:$A$35,0))="",INDEX('Parametri Modello'!$F$32:$F$35,MATCH($B122,'Parametri Modello'!$A$32:$A$35,0))=0),0,(1/INDEX('Parametri Modello'!$F$32:$F$35,MATCH($B122,'Parametri Modello'!$A$32:$A$35,0))-1)*'Parametri Modello'!$B$28))),0)))*(1-INDEX('Parametri Modello'!$B$12:$B$15,MATCH($B122,'Parametri Modello'!$A$12:$A$15,0)))),0),"")</f>
        <v>2</v>
      </c>
      <c r="H122" s="24">
        <f>IFERROR(ROUND((IF($V122&lt;=INDEX('Parametri Modello'!$C$57:$C$60,MATCH($B122,'Parametri Modello'!$A$57:$A$60,0)),IF(INDEX('Parametri Modello'!$E$57:$E$60,MATCH($B122,'Parametri Modello'!$A$57:$A$60,0))=0,0,($O122/INDEX('Parametri Modello'!$E$57:$E$60,MATCH($B122,'Parametri Modello'!$A$57:$A$60,0)))*(INDEX('Parametri Modello'!$D$57:$D$60,MATCH($B122,'Parametri Modello'!$A$57:$A$60,0))*(INDEX('Parametri Modello'!$B$50:$B$53,MATCH($B122,'Parametri Modello'!$A$50:$A$53,0))*'Parametri Modello'!$B$44))),IF(INDEX('Parametri Modello'!$F$57:$F$60,MATCH($B122,'Parametri Modello'!$A$57:$A$60,0))=0,0,($O122/INDEX('Parametri Modello'!$F$57:$F$60,MATCH($B122,'Parametri Modello'!$A$57:$A$60,0)))*((1-INDEX('Parametri Modello'!$D$57:$D$60,MATCH($B122,'Parametri Modello'!$A$57:$A$60,0)))*(INDEX('Parametri Modello'!$B$50:$B$53,MATCH($B122,'Parametri Modello'!$A$50:$A$53,0))*'Parametri Modello'!$B$44))))*(1+IF(IF($B122="D",'Info Lega'!$B$25,IF($B122="C",'Info Lega'!$B$26,"No"))="Si",'Parametri Modello'!$B$5,0))*(1+MAX(-0.25,MIN(0.25,IF(OR($T122="",$I122="",$I122=0,INDEX('Parametri Modello'!$B$19:$B$22,MATCH($B122,'Parametri Modello'!$A$19:$A$22,0))="",INDEX('Parametri Modello'!$B$19:$B$22,MATCH($B122,'Parametri Modello'!$A$19:$A$22,0))=0),0,(($T122-INDEX('Parametri Modello'!$B$19:$B$22,MATCH($B122,'Parametri Modello'!$A$19:$A$22,0)))/INDEX('Parametri Modello'!$B$19:$B$22,MATCH($B122,'Parametri Modello'!$A$19:$A$22,0)))*'Parametri Modello'!$B$9))))*(1+IF('Parametri Modello'!$B$27="Si",MAX(-'Parametri Modello'!$B$28,MIN('Parametri Modello'!$B$28*1.5,IF(OR(INDEX('Parametri Modello'!$F$32:$F$35,MATCH($B122,'Parametri Modello'!$A$32:$A$35,0))="",INDEX('Parametri Modello'!$F$32:$F$35,MATCH($B122,'Parametri Modello'!$A$32:$A$35,0))=0),0,(1/INDEX('Parametri Modello'!$F$32:$F$35,MATCH($B122,'Parametri Modello'!$A$32:$A$35,0))-1)*'Parametri Modello'!$B$28))),0)))*(1+INDEX('Parametri Modello'!$B$12:$B$15,MATCH($B122,'Parametri Modello'!$A$12:$A$15,0))),0),"")</f>
        <v>4</v>
      </c>
      <c r="I122" s="23">
        <f>IFERROR(INDEX('Input Statistiche 2025_26'!$F$3:$F$665,MATCH($A122,'Input Statistiche 2025_26'!$A$3:$A$665,0)),"")</f>
        <v>28</v>
      </c>
      <c r="J122" s="23">
        <f t="shared" si="9"/>
        <v>10</v>
      </c>
      <c r="K122" s="23">
        <f>IFERROR(INDEX('Input Statistiche 2025_26'!$I$3:$I$665,MATCH($A122,'Input Statistiche 2025_26'!$A$3:$A$665,0)),"")</f>
        <v>2</v>
      </c>
      <c r="L122" s="23">
        <f>IFERROR(INDEX('Input Statistiche 2025_26'!$O$3:$O$665,MATCH($A122,'Input Statistiche 2025_26'!$A$3:$A$665,0)),"")</f>
        <v>2</v>
      </c>
      <c r="M122" s="25"/>
      <c r="N122" s="24">
        <f>IFERROR(INDEX('Input Giocatori 2026_27'!$E$3:$E$493,MATCH($A122,'Input Giocatori 2026_27'!$A$3:$A$493,0)),"")</f>
        <v>8</v>
      </c>
      <c r="O122" s="24">
        <f>IFERROR(INDEX('Input Giocatori 2026_27'!$G$3:$G$493,MATCH($A122,'Input Giocatori 2026_27'!$A$3:$A$493,0)),"")</f>
        <v>26</v>
      </c>
      <c r="P122" s="23" t="str">
        <f>IFERROR(IF($O122="","",IF((1-(COUNTIFS($B$2:$B$492,$B122,$O$2:$O$492,"&gt;"&amp;$O122)+1-1)/COUNTIF($B$2:$B$492,$B122))&gt;='Parametri Modello'!$B$63,"Top",IF((1-(COUNTIFS($B$2:$B$492,$B122,$O$2:$O$492,"&gt;"&amp;$O122)+1-1)/COUNTIF($B$2:$B$492,$B122))&gt;='Parametri Modello'!$B$64,"Buono",IF((1-(COUNTIFS($B$2:$B$492,$B122,$O$2:$O$492,"&gt;"&amp;$O122)+1-1)/COUNTIF($B$2:$B$492,$B122))&gt;='Parametri Modello'!$B$65,"Nella Media","Scommessa/Riserva")))),"")</f>
        <v>Buono</v>
      </c>
      <c r="Q122" s="26">
        <f>IF(AND($D122="",$N122&gt;1),SUMPRODUCT(($D$2:$D122="")*($N$2:$N122&gt;1)),"")</f>
        <v>121</v>
      </c>
      <c r="R122" s="26" t="str">
        <f>IF($D122='Info Lega'!$B$28,COUNTIFS($D$2:$D122,'Info Lega'!$B$28),"")</f>
        <v/>
      </c>
      <c r="S122" s="27">
        <f>IFERROR(INDEX('Input Statistiche 2025_26'!$G$3:$G$665,MATCH($A122,'Input Statistiche 2025_26'!$A$3:$A$665,0)),"")</f>
        <v>6.07</v>
      </c>
      <c r="T122" s="27">
        <f>IFERROR(INDEX('Input Statistiche 2025_26'!$H$3:$H$665,MATCH($A122,'Input Statistiche 2025_26'!$A$3:$A$665,0)),"")</f>
        <v>6.27</v>
      </c>
      <c r="U122" s="23" t="str">
        <f>IF(OR('La Mia Rosa'!$O$12="",$D122&lt;&gt;""),"",IF($F122&lt;='La Mia Rosa'!$O$12*'Parametri Modello'!$B$24,"OK",IF($F122&lt;='La Mia Rosa'!$O$12*'Parametri Modello'!$B$25,"Attenzione","Rischio Alto")))</f>
        <v>OK</v>
      </c>
      <c r="V122" s="23">
        <f t="shared" si="10"/>
        <v>45</v>
      </c>
      <c r="W122" s="18">
        <f>'Info Lega'!$B$4-SUMIFS($M$2:$M$492,$D$2:$D$492,'Info Lega'!$B$28)</f>
        <v>1000</v>
      </c>
      <c r="X122" s="18">
        <f>('Info Lega'!$B$5-COUNTIFS($D$2:$D$492,'Info Lega'!$B$28,$B$2:$B$492,"P"))+('Info Lega'!$B$6-COUNTIFS($D$2:$D$492,'Info Lega'!$B$28,$B$2:$B$492,"D"))+('Info Lega'!$B$7-COUNTIFS($D$2:$D$492,'Info Lega'!$B$28,$B$2:$B$492,"C"))+('Info Lega'!$B$8-COUNTIFS($D$2:$D$492,'Info Lega'!$B$28,$B$2:$B$492,"A"))</f>
        <v>25</v>
      </c>
      <c r="Y122" s="18">
        <f>X122*'Parametri Modello'!$B$30</f>
        <v>25</v>
      </c>
      <c r="Z122" s="18">
        <f t="shared" si="11"/>
        <v>975</v>
      </c>
      <c r="AA122" s="18">
        <f t="shared" si="12"/>
        <v>3</v>
      </c>
      <c r="AB122" s="18"/>
      <c r="AC122" s="18" t="str">
        <f>IF($AB122="","",IF($AB122&gt;$AA122,"PASS",IF($AB122&lt;=$AA122*(1-'Parametri Modello'!$B$68),"BID","ATTENZIONE")))</f>
        <v/>
      </c>
      <c r="AD122" s="28">
        <f t="shared" si="13"/>
        <v>61</v>
      </c>
      <c r="AE122" s="5" t="str">
        <f>IFERROR(INDEX('Stato Asta'!$G$9:$G$12,MATCH($B122,'Stato Asta'!$A$9:$A$12,0)),"")</f>
        <v>🔴 Non aspettare</v>
      </c>
      <c r="AF122" t="str">
        <f>IFERROR(IF($V122&lt;=INDEX('Parametri Modello'!$C$57:$C$60,MATCH($B122,'Parametri Modello'!$A$57:$A$60,0)),"Titolare","Riserva"),"")</f>
        <v>Riserva</v>
      </c>
      <c r="AG122" t="str">
        <f>IFERROR(INDEX('Pressione Competitiva'!$F$3:$F$6,MATCH($B122,'Pressione Competitiva'!$B$3:$B$6,0)),"")</f>
        <v>🔴 Molto Alta</v>
      </c>
      <c r="AH122" t="str">
        <f t="shared" si="14"/>
        <v/>
      </c>
      <c r="AI122" t="str">
        <f>IFERROR(IF($AH122="","",IF($AH122&gt;=$AA122*'Parametri Modello'!$B$68,"🟢 Opportunita'",IF($AH122&lt;=$AA122*'Parametri Modello'!$B$69,"🔴 Sovrapprezzo","🟡 Prezzo Corretto"))),"")</f>
        <v/>
      </c>
      <c r="AJ122" t="str">
        <f t="shared" si="15"/>
        <v/>
      </c>
      <c r="AK122">
        <f t="shared" si="16"/>
        <v>27</v>
      </c>
      <c r="AL122" t="str">
        <f t="shared" si="17"/>
        <v>C|Buono|27</v>
      </c>
    </row>
    <row r="123" spans="1:38" ht="14.25" customHeight="1" x14ac:dyDescent="0.25">
      <c r="A123" s="18">
        <v>2134</v>
      </c>
      <c r="B123" s="18" t="s">
        <v>15</v>
      </c>
      <c r="C123" s="18" t="s">
        <v>262</v>
      </c>
      <c r="E123" s="23" t="str">
        <f>IF(COUNTIF('Info Strategia'!$D$2:$D$51,$C123)&gt;0,"SI","NO")</f>
        <v>NO</v>
      </c>
      <c r="F123" s="24">
        <f>IFERROR(ROUND(($G123+($H123-$G123)*'Info Strategia'!$B$6)*(1+IF($E123="SI",'Parametri Modello'!$B$7*'Info Strategia'!$B$6,0)),0),"")</f>
        <v>8</v>
      </c>
      <c r="G123" s="24">
        <f>IFERROR(ROUND(MAX(1,(IF($V123&lt;=INDEX('Parametri Modello'!$C$57:$C$60,MATCH($B123,'Parametri Modello'!$A$57:$A$60,0)),IF(INDEX('Parametri Modello'!$E$57:$E$60,MATCH($B123,'Parametri Modello'!$A$57:$A$60,0))=0,0,($O123/INDEX('Parametri Modello'!$E$57:$E$60,MATCH($B123,'Parametri Modello'!$A$57:$A$60,0)))*(INDEX('Parametri Modello'!$D$57:$D$60,MATCH($B123,'Parametri Modello'!$A$57:$A$60,0))*(INDEX('Parametri Modello'!$B$50:$B$53,MATCH($B123,'Parametri Modello'!$A$50:$A$53,0))*'Parametri Modello'!$B$44))),IF(INDEX('Parametri Modello'!$F$57:$F$60,MATCH($B123,'Parametri Modello'!$A$57:$A$60,0))=0,0,($O123/INDEX('Parametri Modello'!$F$57:$F$60,MATCH($B123,'Parametri Modello'!$A$57:$A$60,0)))*((1-INDEX('Parametri Modello'!$D$57:$D$60,MATCH($B123,'Parametri Modello'!$A$57:$A$60,0)))*(INDEX('Parametri Modello'!$B$50:$B$53,MATCH($B123,'Parametri Modello'!$A$50:$A$53,0))*'Parametri Modello'!$B$44))))*(1+IF(IF($B123="D",'Info Lega'!$B$25,IF($B123="C",'Info Lega'!$B$26,"No"))="Si",'Parametri Modello'!$B$5,0))*(1+MAX(-0.25,MIN(0.25,IF(OR($T123="",$I123="",$I123=0,INDEX('Parametri Modello'!$B$19:$B$22,MATCH($B123,'Parametri Modello'!$A$19:$A$22,0))="",INDEX('Parametri Modello'!$B$19:$B$22,MATCH($B123,'Parametri Modello'!$A$19:$A$22,0))=0),0,(($T123-INDEX('Parametri Modello'!$B$19:$B$22,MATCH($B123,'Parametri Modello'!$A$19:$A$22,0)))/INDEX('Parametri Modello'!$B$19:$B$22,MATCH($B123,'Parametri Modello'!$A$19:$A$22,0)))*'Parametri Modello'!$B$9))))*(1+IF('Parametri Modello'!$B$27="Si",MAX(-'Parametri Modello'!$B$28,MIN('Parametri Modello'!$B$28*1.5,IF(OR(INDEX('Parametri Modello'!$F$32:$F$35,MATCH($B123,'Parametri Modello'!$A$32:$A$35,0))="",INDEX('Parametri Modello'!$F$32:$F$35,MATCH($B123,'Parametri Modello'!$A$32:$A$35,0))=0),0,(1/INDEX('Parametri Modello'!$F$32:$F$35,MATCH($B123,'Parametri Modello'!$A$32:$A$35,0))-1)*'Parametri Modello'!$B$28))),0)))*(1-INDEX('Parametri Modello'!$B$12:$B$15,MATCH($B123,'Parametri Modello'!$A$12:$A$15,0)))),0),"")</f>
        <v>7</v>
      </c>
      <c r="H123" s="24">
        <f>IFERROR(ROUND((IF($V123&lt;=INDEX('Parametri Modello'!$C$57:$C$60,MATCH($B123,'Parametri Modello'!$A$57:$A$60,0)),IF(INDEX('Parametri Modello'!$E$57:$E$60,MATCH($B123,'Parametri Modello'!$A$57:$A$60,0))=0,0,($O123/INDEX('Parametri Modello'!$E$57:$E$60,MATCH($B123,'Parametri Modello'!$A$57:$A$60,0)))*(INDEX('Parametri Modello'!$D$57:$D$60,MATCH($B123,'Parametri Modello'!$A$57:$A$60,0))*(INDEX('Parametri Modello'!$B$50:$B$53,MATCH($B123,'Parametri Modello'!$A$50:$A$53,0))*'Parametri Modello'!$B$44))),IF(INDEX('Parametri Modello'!$F$57:$F$60,MATCH($B123,'Parametri Modello'!$A$57:$A$60,0))=0,0,($O123/INDEX('Parametri Modello'!$F$57:$F$60,MATCH($B123,'Parametri Modello'!$A$57:$A$60,0)))*((1-INDEX('Parametri Modello'!$D$57:$D$60,MATCH($B123,'Parametri Modello'!$A$57:$A$60,0)))*(INDEX('Parametri Modello'!$B$50:$B$53,MATCH($B123,'Parametri Modello'!$A$50:$A$53,0))*'Parametri Modello'!$B$44))))*(1+IF(IF($B123="D",'Info Lega'!$B$25,IF($B123="C",'Info Lega'!$B$26,"No"))="Si",'Parametri Modello'!$B$5,0))*(1+MAX(-0.25,MIN(0.25,IF(OR($T123="",$I123="",$I123=0,INDEX('Parametri Modello'!$B$19:$B$22,MATCH($B123,'Parametri Modello'!$A$19:$A$22,0))="",INDEX('Parametri Modello'!$B$19:$B$22,MATCH($B123,'Parametri Modello'!$A$19:$A$22,0))=0),0,(($T123-INDEX('Parametri Modello'!$B$19:$B$22,MATCH($B123,'Parametri Modello'!$A$19:$A$22,0)))/INDEX('Parametri Modello'!$B$19:$B$22,MATCH($B123,'Parametri Modello'!$A$19:$A$22,0)))*'Parametri Modello'!$B$9))))*(1+IF('Parametri Modello'!$B$27="Si",MAX(-'Parametri Modello'!$B$28,MIN('Parametri Modello'!$B$28*1.5,IF(OR(INDEX('Parametri Modello'!$F$32:$F$35,MATCH($B123,'Parametri Modello'!$A$32:$A$35,0))="",INDEX('Parametri Modello'!$F$32:$F$35,MATCH($B123,'Parametri Modello'!$A$32:$A$35,0))=0),0,(1/INDEX('Parametri Modello'!$F$32:$F$35,MATCH($B123,'Parametri Modello'!$A$32:$A$35,0))-1)*'Parametri Modello'!$B$28))),0)))*(1+INDEX('Parametri Modello'!$B$12:$B$15,MATCH($B123,'Parametri Modello'!$A$12:$A$15,0))),0),"")</f>
        <v>9</v>
      </c>
      <c r="I123" s="23">
        <f>IFERROR(INDEX('Input Statistiche 2025_26'!$F$3:$F$665,MATCH($A123,'Input Statistiche 2025_26'!$A$3:$A$665,0)),"")</f>
        <v>38</v>
      </c>
      <c r="J123" s="23">
        <f t="shared" si="9"/>
        <v>0</v>
      </c>
      <c r="K123" s="23">
        <f>IFERROR(INDEX('Input Statistiche 2025_26'!$I$3:$I$665,MATCH($A123,'Input Statistiche 2025_26'!$A$3:$A$665,0)),"")</f>
        <v>0</v>
      </c>
      <c r="L123" s="23">
        <f>IFERROR(INDEX('Input Statistiche 2025_26'!$O$3:$O$665,MATCH($A123,'Input Statistiche 2025_26'!$A$3:$A$665,0)),"")</f>
        <v>0</v>
      </c>
      <c r="M123" s="25"/>
      <c r="N123" s="24">
        <f>IFERROR(INDEX('Input Giocatori 2026_27'!$E$3:$E$493,MATCH($A123,'Input Giocatori 2026_27'!$A$3:$A$493,0)),"")</f>
        <v>8</v>
      </c>
      <c r="O123" s="24">
        <f>IFERROR(INDEX('Input Giocatori 2026_27'!$G$3:$G$493,MATCH($A123,'Input Giocatori 2026_27'!$A$3:$A$493,0)),"")</f>
        <v>25</v>
      </c>
      <c r="P123" s="23" t="str">
        <f>IFERROR(IF($O123="","",IF((1-(COUNTIFS($B$2:$B$492,$B123,$O$2:$O$492,"&gt;"&amp;$O123)+1-1)/COUNTIF($B$2:$B$492,$B123))&gt;='Parametri Modello'!$B$63,"Top",IF((1-(COUNTIFS($B$2:$B$492,$B123,$O$2:$O$492,"&gt;"&amp;$O123)+1-1)/COUNTIF($B$2:$B$492,$B123))&gt;='Parametri Modello'!$B$64,"Buono",IF((1-(COUNTIFS($B$2:$B$492,$B123,$O$2:$O$492,"&gt;"&amp;$O123)+1-1)/COUNTIF($B$2:$B$492,$B123))&gt;='Parametri Modello'!$B$65,"Nella Media","Scommessa/Riserva")))),"")</f>
        <v>Buono</v>
      </c>
      <c r="Q123" s="26">
        <f>IF(AND($D123="",$N123&gt;1),SUMPRODUCT(($D$2:$D123="")*($N$2:$N123&gt;1)),"")</f>
        <v>122</v>
      </c>
      <c r="R123" s="26" t="str">
        <f>IF($D123='Info Lega'!$B$28,COUNTIFS($D$2:$D123,'Info Lega'!$B$28),"")</f>
        <v/>
      </c>
      <c r="S123" s="27">
        <f>IFERROR(INDEX('Input Statistiche 2025_26'!$G$3:$G$665,MATCH($A123,'Input Statistiche 2025_26'!$A$3:$A$665,0)),"")</f>
        <v>6.41</v>
      </c>
      <c r="T123" s="27">
        <f>IFERROR(INDEX('Input Statistiche 2025_26'!$H$3:$H$665,MATCH($A123,'Input Statistiche 2025_26'!$A$3:$A$665,0)),"")</f>
        <v>5.22</v>
      </c>
      <c r="U123" s="23" t="str">
        <f>IF(OR('La Mia Rosa'!$O$12="",$D123&lt;&gt;""),"",IF($F123&lt;='La Mia Rosa'!$O$12*'Parametri Modello'!$B$24,"OK",IF($F123&lt;='La Mia Rosa'!$O$12*'Parametri Modello'!$B$25,"Attenzione","Rischio Alto")))</f>
        <v>OK</v>
      </c>
      <c r="V123" s="23">
        <f t="shared" si="10"/>
        <v>13</v>
      </c>
      <c r="W123" s="18">
        <f>'Info Lega'!$B$4-SUMIFS($M$2:$M$492,$D$2:$D$492,'Info Lega'!$B$28)</f>
        <v>1000</v>
      </c>
      <c r="X123" s="18">
        <f>('Info Lega'!$B$5-COUNTIFS($D$2:$D$492,'Info Lega'!$B$28,$B$2:$B$492,"P"))+('Info Lega'!$B$6-COUNTIFS($D$2:$D$492,'Info Lega'!$B$28,$B$2:$B$492,"D"))+('Info Lega'!$B$7-COUNTIFS($D$2:$D$492,'Info Lega'!$B$28,$B$2:$B$492,"C"))+('Info Lega'!$B$8-COUNTIFS($D$2:$D$492,'Info Lega'!$B$28,$B$2:$B$492,"A"))</f>
        <v>25</v>
      </c>
      <c r="Y123" s="18">
        <f>X123*'Parametri Modello'!$B$30</f>
        <v>25</v>
      </c>
      <c r="Z123" s="18">
        <f t="shared" si="11"/>
        <v>975</v>
      </c>
      <c r="AA123" s="18">
        <f t="shared" si="12"/>
        <v>8</v>
      </c>
      <c r="AB123" s="18"/>
      <c r="AC123" s="18" t="str">
        <f>IF($AB123="","",IF($AB123&gt;$AA123,"PASS",IF($AB123&lt;=$AA123*(1-'Parametri Modello'!$B$68),"BID","ATTENZIONE")))</f>
        <v/>
      </c>
      <c r="AD123" s="28">
        <f t="shared" si="13"/>
        <v>72</v>
      </c>
      <c r="AE123" s="5" t="str">
        <f>IFERROR(INDEX('Stato Asta'!$G$9:$G$12,MATCH($B123,'Stato Asta'!$A$9:$A$12,0)),"")</f>
        <v>🔴 Non aspettare</v>
      </c>
      <c r="AF123" t="str">
        <f>IFERROR(IF($V123&lt;=INDEX('Parametri Modello'!$C$57:$C$60,MATCH($B123,'Parametri Modello'!$A$57:$A$60,0)),"Titolare","Riserva"),"")</f>
        <v>Riserva</v>
      </c>
      <c r="AG123" t="str">
        <f>IFERROR(INDEX('Pressione Competitiva'!$F$3:$F$6,MATCH($B123,'Pressione Competitiva'!$B$3:$B$6,0)),"")</f>
        <v>🔴 Molto Alta</v>
      </c>
      <c r="AH123" t="str">
        <f t="shared" si="14"/>
        <v/>
      </c>
      <c r="AI123" t="str">
        <f>IFERROR(IF($AH123="","",IF($AH123&gt;=$AA123*'Parametri Modello'!$B$68,"🟢 Opportunita'",IF($AH123&lt;=$AA123*'Parametri Modello'!$B$69,"🔴 Sovrapprezzo","🟡 Prezzo Corretto"))),"")</f>
        <v/>
      </c>
      <c r="AJ123" t="str">
        <f t="shared" si="15"/>
        <v/>
      </c>
      <c r="AK123">
        <f t="shared" si="16"/>
        <v>6</v>
      </c>
      <c r="AL123" t="str">
        <f t="shared" si="17"/>
        <v>P|Buono|6</v>
      </c>
    </row>
    <row r="124" spans="1:38" ht="14.25" customHeight="1" x14ac:dyDescent="0.25">
      <c r="A124" s="18">
        <v>6496</v>
      </c>
      <c r="B124" s="18" t="s">
        <v>16</v>
      </c>
      <c r="C124" s="18" t="s">
        <v>263</v>
      </c>
      <c r="E124" s="23" t="str">
        <f>IF(COUNTIF('Info Strategia'!$D$2:$D$51,$C124)&gt;0,"SI","NO")</f>
        <v>NO</v>
      </c>
      <c r="F124" s="24">
        <f>IFERROR(ROUND(($G124+($H124-$G124)*'Info Strategia'!$B$6)*(1+IF($E124="SI",'Parametri Modello'!$B$7*'Info Strategia'!$B$6,0)),0),"")</f>
        <v>4</v>
      </c>
      <c r="G124" s="24">
        <f>IFERROR(ROUND(MAX(1,(IF($V124&lt;=INDEX('Parametri Modello'!$C$57:$C$60,MATCH($B124,'Parametri Modello'!$A$57:$A$60,0)),IF(INDEX('Parametri Modello'!$E$57:$E$60,MATCH($B124,'Parametri Modello'!$A$57:$A$60,0))=0,0,($O124/INDEX('Parametri Modello'!$E$57:$E$60,MATCH($B124,'Parametri Modello'!$A$57:$A$60,0)))*(INDEX('Parametri Modello'!$D$57:$D$60,MATCH($B124,'Parametri Modello'!$A$57:$A$60,0))*(INDEX('Parametri Modello'!$B$50:$B$53,MATCH($B124,'Parametri Modello'!$A$50:$A$53,0))*'Parametri Modello'!$B$44))),IF(INDEX('Parametri Modello'!$F$57:$F$60,MATCH($B124,'Parametri Modello'!$A$57:$A$60,0))=0,0,($O124/INDEX('Parametri Modello'!$F$57:$F$60,MATCH($B124,'Parametri Modello'!$A$57:$A$60,0)))*((1-INDEX('Parametri Modello'!$D$57:$D$60,MATCH($B124,'Parametri Modello'!$A$57:$A$60,0)))*(INDEX('Parametri Modello'!$B$50:$B$53,MATCH($B124,'Parametri Modello'!$A$50:$A$53,0))*'Parametri Modello'!$B$44))))*(1+IF(IF($B124="D",'Info Lega'!$B$25,IF($B124="C",'Info Lega'!$B$26,"No"))="Si",'Parametri Modello'!$B$5,0))*(1+MAX(-0.25,MIN(0.25,IF(OR($T124="",$I124="",$I124=0,INDEX('Parametri Modello'!$B$19:$B$22,MATCH($B124,'Parametri Modello'!$A$19:$A$22,0))="",INDEX('Parametri Modello'!$B$19:$B$22,MATCH($B124,'Parametri Modello'!$A$19:$A$22,0))=0),0,(($T124-INDEX('Parametri Modello'!$B$19:$B$22,MATCH($B124,'Parametri Modello'!$A$19:$A$22,0)))/INDEX('Parametri Modello'!$B$19:$B$22,MATCH($B124,'Parametri Modello'!$A$19:$A$22,0)))*'Parametri Modello'!$B$9))))*(1+IF('Parametri Modello'!$B$27="Si",MAX(-'Parametri Modello'!$B$28,MIN('Parametri Modello'!$B$28*1.5,IF(OR(INDEX('Parametri Modello'!$F$32:$F$35,MATCH($B124,'Parametri Modello'!$A$32:$A$35,0))="",INDEX('Parametri Modello'!$F$32:$F$35,MATCH($B124,'Parametri Modello'!$A$32:$A$35,0))=0),0,(1/INDEX('Parametri Modello'!$F$32:$F$35,MATCH($B124,'Parametri Modello'!$A$32:$A$35,0))-1)*'Parametri Modello'!$B$28))),0)))*(1-INDEX('Parametri Modello'!$B$12:$B$15,MATCH($B124,'Parametri Modello'!$A$12:$A$15,0)))),0),"")</f>
        <v>3</v>
      </c>
      <c r="H124" s="24">
        <f>IFERROR(ROUND((IF($V124&lt;=INDEX('Parametri Modello'!$C$57:$C$60,MATCH($B124,'Parametri Modello'!$A$57:$A$60,0)),IF(INDEX('Parametri Modello'!$E$57:$E$60,MATCH($B124,'Parametri Modello'!$A$57:$A$60,0))=0,0,($O124/INDEX('Parametri Modello'!$E$57:$E$60,MATCH($B124,'Parametri Modello'!$A$57:$A$60,0)))*(INDEX('Parametri Modello'!$D$57:$D$60,MATCH($B124,'Parametri Modello'!$A$57:$A$60,0))*(INDEX('Parametri Modello'!$B$50:$B$53,MATCH($B124,'Parametri Modello'!$A$50:$A$53,0))*'Parametri Modello'!$B$44))),IF(INDEX('Parametri Modello'!$F$57:$F$60,MATCH($B124,'Parametri Modello'!$A$57:$A$60,0))=0,0,($O124/INDEX('Parametri Modello'!$F$57:$F$60,MATCH($B124,'Parametri Modello'!$A$57:$A$60,0)))*((1-INDEX('Parametri Modello'!$D$57:$D$60,MATCH($B124,'Parametri Modello'!$A$57:$A$60,0)))*(INDEX('Parametri Modello'!$B$50:$B$53,MATCH($B124,'Parametri Modello'!$A$50:$A$53,0))*'Parametri Modello'!$B$44))))*(1+IF(IF($B124="D",'Info Lega'!$B$25,IF($B124="C",'Info Lega'!$B$26,"No"))="Si",'Parametri Modello'!$B$5,0))*(1+MAX(-0.25,MIN(0.25,IF(OR($T124="",$I124="",$I124=0,INDEX('Parametri Modello'!$B$19:$B$22,MATCH($B124,'Parametri Modello'!$A$19:$A$22,0))="",INDEX('Parametri Modello'!$B$19:$B$22,MATCH($B124,'Parametri Modello'!$A$19:$A$22,0))=0),0,(($T124-INDEX('Parametri Modello'!$B$19:$B$22,MATCH($B124,'Parametri Modello'!$A$19:$A$22,0)))/INDEX('Parametri Modello'!$B$19:$B$22,MATCH($B124,'Parametri Modello'!$A$19:$A$22,0)))*'Parametri Modello'!$B$9))))*(1+IF('Parametri Modello'!$B$27="Si",MAX(-'Parametri Modello'!$B$28,MIN('Parametri Modello'!$B$28*1.5,IF(OR(INDEX('Parametri Modello'!$F$32:$F$35,MATCH($B124,'Parametri Modello'!$A$32:$A$35,0))="",INDEX('Parametri Modello'!$F$32:$F$35,MATCH($B124,'Parametri Modello'!$A$32:$A$35,0))=0),0,(1/INDEX('Parametri Modello'!$F$32:$F$35,MATCH($B124,'Parametri Modello'!$A$32:$A$35,0))-1)*'Parametri Modello'!$B$28))),0)))*(1+INDEX('Parametri Modello'!$B$12:$B$15,MATCH($B124,'Parametri Modello'!$A$12:$A$15,0))),0),"")</f>
        <v>5</v>
      </c>
      <c r="I124" s="23">
        <f>IFERROR(INDEX('Input Statistiche 2025_26'!$F$3:$F$665,MATCH($A124,'Input Statistiche 2025_26'!$A$3:$A$665,0)),"")</f>
        <v>31</v>
      </c>
      <c r="J124" s="23">
        <f t="shared" si="9"/>
        <v>7</v>
      </c>
      <c r="K124" s="23">
        <f>IFERROR(INDEX('Input Statistiche 2025_26'!$I$3:$I$665,MATCH($A124,'Input Statistiche 2025_26'!$A$3:$A$665,0)),"")</f>
        <v>2</v>
      </c>
      <c r="L124" s="23">
        <f>IFERROR(INDEX('Input Statistiche 2025_26'!$O$3:$O$665,MATCH($A124,'Input Statistiche 2025_26'!$A$3:$A$665,0)),"")</f>
        <v>0</v>
      </c>
      <c r="M124" s="25"/>
      <c r="N124" s="24">
        <f>IFERROR(INDEX('Input Giocatori 2026_27'!$E$3:$E$493,MATCH($A124,'Input Giocatori 2026_27'!$A$3:$A$493,0)),"")</f>
        <v>8</v>
      </c>
      <c r="O124" s="24">
        <f>IFERROR(INDEX('Input Giocatori 2026_27'!$G$3:$G$493,MATCH($A124,'Input Giocatori 2026_27'!$A$3:$A$493,0)),"")</f>
        <v>25</v>
      </c>
      <c r="P124" s="23" t="str">
        <f>IFERROR(IF($O124="","",IF((1-(COUNTIFS($B$2:$B$492,$B124,$O$2:$O$492,"&gt;"&amp;$O124)+1-1)/COUNTIF($B$2:$B$492,$B124))&gt;='Parametri Modello'!$B$63,"Top",IF((1-(COUNTIFS($B$2:$B$492,$B124,$O$2:$O$492,"&gt;"&amp;$O124)+1-1)/COUNTIF($B$2:$B$492,$B124))&gt;='Parametri Modello'!$B$64,"Buono",IF((1-(COUNTIFS($B$2:$B$492,$B124,$O$2:$O$492,"&gt;"&amp;$O124)+1-1)/COUNTIF($B$2:$B$492,$B124))&gt;='Parametri Modello'!$B$65,"Nella Media","Scommessa/Riserva")))),"")</f>
        <v>Buono</v>
      </c>
      <c r="Q124" s="26">
        <f>IF(AND($D124="",$N124&gt;1),SUMPRODUCT(($D$2:$D124="")*($N$2:$N124&gt;1)),"")</f>
        <v>123</v>
      </c>
      <c r="R124" s="26" t="str">
        <f>IF($D124='Info Lega'!$B$28,COUNTIFS($D$2:$D124,'Info Lega'!$B$28),"")</f>
        <v/>
      </c>
      <c r="S124" s="27">
        <f>IFERROR(INDEX('Input Statistiche 2025_26'!$G$3:$G$665,MATCH($A124,'Input Statistiche 2025_26'!$A$3:$A$665,0)),"")</f>
        <v>5.97</v>
      </c>
      <c r="T124" s="27">
        <f>IFERROR(INDEX('Input Statistiche 2025_26'!$H$3:$H$665,MATCH($A124,'Input Statistiche 2025_26'!$A$3:$A$665,0)),"")</f>
        <v>6.05</v>
      </c>
      <c r="U124" s="23" t="str">
        <f>IF(OR('La Mia Rosa'!$O$12="",$D124&lt;&gt;""),"",IF($F124&lt;='La Mia Rosa'!$O$12*'Parametri Modello'!$B$24,"OK",IF($F124&lt;='La Mia Rosa'!$O$12*'Parametri Modello'!$B$25,"Attenzione","Rischio Alto")))</f>
        <v>OK</v>
      </c>
      <c r="V124" s="23">
        <f t="shared" si="10"/>
        <v>25</v>
      </c>
      <c r="W124" s="18">
        <f>'Info Lega'!$B$4-SUMIFS($M$2:$M$492,$D$2:$D$492,'Info Lega'!$B$28)</f>
        <v>1000</v>
      </c>
      <c r="X124" s="18">
        <f>('Info Lega'!$B$5-COUNTIFS($D$2:$D$492,'Info Lega'!$B$28,$B$2:$B$492,"P"))+('Info Lega'!$B$6-COUNTIFS($D$2:$D$492,'Info Lega'!$B$28,$B$2:$B$492,"D"))+('Info Lega'!$B$7-COUNTIFS($D$2:$D$492,'Info Lega'!$B$28,$B$2:$B$492,"C"))+('Info Lega'!$B$8-COUNTIFS($D$2:$D$492,'Info Lega'!$B$28,$B$2:$B$492,"A"))</f>
        <v>25</v>
      </c>
      <c r="Y124" s="18">
        <f>X124*'Parametri Modello'!$B$30</f>
        <v>25</v>
      </c>
      <c r="Z124" s="18">
        <f t="shared" si="11"/>
        <v>975</v>
      </c>
      <c r="AA124" s="18">
        <f t="shared" si="12"/>
        <v>4</v>
      </c>
      <c r="AB124" s="18"/>
      <c r="AC124" s="18" t="str">
        <f>IF($AB124="","",IF($AB124&gt;$AA124,"PASS",IF($AB124&lt;=$AA124*(1-'Parametri Modello'!$B$68),"BID","ATTENZIONE")))</f>
        <v/>
      </c>
      <c r="AD124" s="28">
        <f t="shared" si="13"/>
        <v>64</v>
      </c>
      <c r="AE124" s="5" t="str">
        <f>IFERROR(INDEX('Stato Asta'!$G$9:$G$12,MATCH($B124,'Stato Asta'!$A$9:$A$12,0)),"")</f>
        <v>🔴 Non aspettare</v>
      </c>
      <c r="AF124" t="str">
        <f>IFERROR(IF($V124&lt;=INDEX('Parametri Modello'!$C$57:$C$60,MATCH($B124,'Parametri Modello'!$A$57:$A$60,0)),"Titolare","Riserva"),"")</f>
        <v>Riserva</v>
      </c>
      <c r="AG124" t="str">
        <f>IFERROR(INDEX('Pressione Competitiva'!$F$3:$F$6,MATCH($B124,'Pressione Competitiva'!$B$3:$B$6,0)),"")</f>
        <v>🔴 Molto Alta</v>
      </c>
      <c r="AH124" t="str">
        <f t="shared" si="14"/>
        <v/>
      </c>
      <c r="AI124" t="str">
        <f>IFERROR(IF($AH124="","",IF($AH124&gt;=$AA124*'Parametri Modello'!$B$68,"🟢 Opportunita'",IF($AH124&lt;=$AA124*'Parametri Modello'!$B$69,"🔴 Sovrapprezzo","🟡 Prezzo Corretto"))),"")</f>
        <v/>
      </c>
      <c r="AJ124" t="str">
        <f t="shared" si="15"/>
        <v/>
      </c>
      <c r="AK124">
        <f t="shared" si="16"/>
        <v>7</v>
      </c>
      <c r="AL124" t="str">
        <f t="shared" si="17"/>
        <v>D|Buono|7</v>
      </c>
    </row>
    <row r="125" spans="1:38" ht="14.25" customHeight="1" x14ac:dyDescent="0.25">
      <c r="A125" s="18">
        <v>6398</v>
      </c>
      <c r="B125" s="18" t="s">
        <v>17</v>
      </c>
      <c r="C125" s="18" t="s">
        <v>264</v>
      </c>
      <c r="E125" s="23" t="str">
        <f>IF(COUNTIF('Info Strategia'!$D$2:$D$51,$C125)&gt;0,"SI","NO")</f>
        <v>NO</v>
      </c>
      <c r="F125" s="24">
        <f>IFERROR(ROUND(($G125+($H125-$G125)*'Info Strategia'!$B$6)*(1+IF($E125="SI",'Parametri Modello'!$B$7*'Info Strategia'!$B$6,0)),0),"")</f>
        <v>3</v>
      </c>
      <c r="G125" s="24">
        <f>IFERROR(ROUND(MAX(1,(IF($V125&lt;=INDEX('Parametri Modello'!$C$57:$C$60,MATCH($B125,'Parametri Modello'!$A$57:$A$60,0)),IF(INDEX('Parametri Modello'!$E$57:$E$60,MATCH($B125,'Parametri Modello'!$A$57:$A$60,0))=0,0,($O125/INDEX('Parametri Modello'!$E$57:$E$60,MATCH($B125,'Parametri Modello'!$A$57:$A$60,0)))*(INDEX('Parametri Modello'!$D$57:$D$60,MATCH($B125,'Parametri Modello'!$A$57:$A$60,0))*(INDEX('Parametri Modello'!$B$50:$B$53,MATCH($B125,'Parametri Modello'!$A$50:$A$53,0))*'Parametri Modello'!$B$44))),IF(INDEX('Parametri Modello'!$F$57:$F$60,MATCH($B125,'Parametri Modello'!$A$57:$A$60,0))=0,0,($O125/INDEX('Parametri Modello'!$F$57:$F$60,MATCH($B125,'Parametri Modello'!$A$57:$A$60,0)))*((1-INDEX('Parametri Modello'!$D$57:$D$60,MATCH($B125,'Parametri Modello'!$A$57:$A$60,0)))*(INDEX('Parametri Modello'!$B$50:$B$53,MATCH($B125,'Parametri Modello'!$A$50:$A$53,0))*'Parametri Modello'!$B$44))))*(1+IF(IF($B125="D",'Info Lega'!$B$25,IF($B125="C",'Info Lega'!$B$26,"No"))="Si",'Parametri Modello'!$B$5,0))*(1+MAX(-0.25,MIN(0.25,IF(OR($T125="",$I125="",$I125=0,INDEX('Parametri Modello'!$B$19:$B$22,MATCH($B125,'Parametri Modello'!$A$19:$A$22,0))="",INDEX('Parametri Modello'!$B$19:$B$22,MATCH($B125,'Parametri Modello'!$A$19:$A$22,0))=0),0,(($T125-INDEX('Parametri Modello'!$B$19:$B$22,MATCH($B125,'Parametri Modello'!$A$19:$A$22,0)))/INDEX('Parametri Modello'!$B$19:$B$22,MATCH($B125,'Parametri Modello'!$A$19:$A$22,0)))*'Parametri Modello'!$B$9))))*(1+IF('Parametri Modello'!$B$27="Si",MAX(-'Parametri Modello'!$B$28,MIN('Parametri Modello'!$B$28*1.5,IF(OR(INDEX('Parametri Modello'!$F$32:$F$35,MATCH($B125,'Parametri Modello'!$A$32:$A$35,0))="",INDEX('Parametri Modello'!$F$32:$F$35,MATCH($B125,'Parametri Modello'!$A$32:$A$35,0))=0),0,(1/INDEX('Parametri Modello'!$F$32:$F$35,MATCH($B125,'Parametri Modello'!$A$32:$A$35,0))-1)*'Parametri Modello'!$B$28))),0)))*(1-INDEX('Parametri Modello'!$B$12:$B$15,MATCH($B125,'Parametri Modello'!$A$12:$A$15,0)))),0),"")</f>
        <v>2</v>
      </c>
      <c r="H125" s="24">
        <f>IFERROR(ROUND((IF($V125&lt;=INDEX('Parametri Modello'!$C$57:$C$60,MATCH($B125,'Parametri Modello'!$A$57:$A$60,0)),IF(INDEX('Parametri Modello'!$E$57:$E$60,MATCH($B125,'Parametri Modello'!$A$57:$A$60,0))=0,0,($O125/INDEX('Parametri Modello'!$E$57:$E$60,MATCH($B125,'Parametri Modello'!$A$57:$A$60,0)))*(INDEX('Parametri Modello'!$D$57:$D$60,MATCH($B125,'Parametri Modello'!$A$57:$A$60,0))*(INDEX('Parametri Modello'!$B$50:$B$53,MATCH($B125,'Parametri Modello'!$A$50:$A$53,0))*'Parametri Modello'!$B$44))),IF(INDEX('Parametri Modello'!$F$57:$F$60,MATCH($B125,'Parametri Modello'!$A$57:$A$60,0))=0,0,($O125/INDEX('Parametri Modello'!$F$57:$F$60,MATCH($B125,'Parametri Modello'!$A$57:$A$60,0)))*((1-INDEX('Parametri Modello'!$D$57:$D$60,MATCH($B125,'Parametri Modello'!$A$57:$A$60,0)))*(INDEX('Parametri Modello'!$B$50:$B$53,MATCH($B125,'Parametri Modello'!$A$50:$A$53,0))*'Parametri Modello'!$B$44))))*(1+IF(IF($B125="D",'Info Lega'!$B$25,IF($B125="C",'Info Lega'!$B$26,"No"))="Si",'Parametri Modello'!$B$5,0))*(1+MAX(-0.25,MIN(0.25,IF(OR($T125="",$I125="",$I125=0,INDEX('Parametri Modello'!$B$19:$B$22,MATCH($B125,'Parametri Modello'!$A$19:$A$22,0))="",INDEX('Parametri Modello'!$B$19:$B$22,MATCH($B125,'Parametri Modello'!$A$19:$A$22,0))=0),0,(($T125-INDEX('Parametri Modello'!$B$19:$B$22,MATCH($B125,'Parametri Modello'!$A$19:$A$22,0)))/INDEX('Parametri Modello'!$B$19:$B$22,MATCH($B125,'Parametri Modello'!$A$19:$A$22,0)))*'Parametri Modello'!$B$9))))*(1+IF('Parametri Modello'!$B$27="Si",MAX(-'Parametri Modello'!$B$28,MIN('Parametri Modello'!$B$28*1.5,IF(OR(INDEX('Parametri Modello'!$F$32:$F$35,MATCH($B125,'Parametri Modello'!$A$32:$A$35,0))="",INDEX('Parametri Modello'!$F$32:$F$35,MATCH($B125,'Parametri Modello'!$A$32:$A$35,0))=0),0,(1/INDEX('Parametri Modello'!$F$32:$F$35,MATCH($B125,'Parametri Modello'!$A$32:$A$35,0))-1)*'Parametri Modello'!$B$28))),0)))*(1+INDEX('Parametri Modello'!$B$12:$B$15,MATCH($B125,'Parametri Modello'!$A$12:$A$15,0))),0),"")</f>
        <v>4</v>
      </c>
      <c r="I125" s="23">
        <f>IFERROR(INDEX('Input Statistiche 2025_26'!$F$3:$F$665,MATCH($A125,'Input Statistiche 2025_26'!$A$3:$A$665,0)),"")</f>
        <v>27</v>
      </c>
      <c r="J125" s="23">
        <f t="shared" si="9"/>
        <v>11</v>
      </c>
      <c r="K125" s="23">
        <f>IFERROR(INDEX('Input Statistiche 2025_26'!$I$3:$I$665,MATCH($A125,'Input Statistiche 2025_26'!$A$3:$A$665,0)),"")</f>
        <v>5</v>
      </c>
      <c r="L125" s="23">
        <f>IFERROR(INDEX('Input Statistiche 2025_26'!$O$3:$O$665,MATCH($A125,'Input Statistiche 2025_26'!$A$3:$A$665,0)),"")</f>
        <v>1</v>
      </c>
      <c r="M125" s="25"/>
      <c r="N125" s="24">
        <f>IFERROR(INDEX('Input Giocatori 2026_27'!$E$3:$E$493,MATCH($A125,'Input Giocatori 2026_27'!$A$3:$A$493,0)),"")</f>
        <v>9</v>
      </c>
      <c r="O125" s="24">
        <f>IFERROR(INDEX('Input Giocatori 2026_27'!$G$3:$G$493,MATCH($A125,'Input Giocatori 2026_27'!$A$3:$A$493,0)),"")</f>
        <v>25</v>
      </c>
      <c r="P125" s="23" t="str">
        <f>IFERROR(IF($O125="","",IF((1-(COUNTIFS($B$2:$B$492,$B125,$O$2:$O$492,"&gt;"&amp;$O125)+1-1)/COUNTIF($B$2:$B$492,$B125))&gt;='Parametri Modello'!$B$63,"Top",IF((1-(COUNTIFS($B$2:$B$492,$B125,$O$2:$O$492,"&gt;"&amp;$O125)+1-1)/COUNTIF($B$2:$B$492,$B125))&gt;='Parametri Modello'!$B$64,"Buono",IF((1-(COUNTIFS($B$2:$B$492,$B125,$O$2:$O$492,"&gt;"&amp;$O125)+1-1)/COUNTIF($B$2:$B$492,$B125))&gt;='Parametri Modello'!$B$65,"Nella Media","Scommessa/Riserva")))),"")</f>
        <v>Buono</v>
      </c>
      <c r="Q125" s="26">
        <f>IF(AND($D125="",$N125&gt;1),SUMPRODUCT(($D$2:$D125="")*($N$2:$N125&gt;1)),"")</f>
        <v>124</v>
      </c>
      <c r="R125" s="26" t="str">
        <f>IF($D125='Info Lega'!$B$28,COUNTIFS($D$2:$D125,'Info Lega'!$B$28),"")</f>
        <v/>
      </c>
      <c r="S125" s="27">
        <f>IFERROR(INDEX('Input Statistiche 2025_26'!$G$3:$G$665,MATCH($A125,'Input Statistiche 2025_26'!$A$3:$A$665,0)),"")</f>
        <v>6.04</v>
      </c>
      <c r="T125" s="27">
        <f>IFERROR(INDEX('Input Statistiche 2025_26'!$H$3:$H$665,MATCH($A125,'Input Statistiche 2025_26'!$A$3:$A$665,0)),"")</f>
        <v>6.63</v>
      </c>
      <c r="U125" s="23" t="str">
        <f>IF(OR('La Mia Rosa'!$O$12="",$D125&lt;&gt;""),"",IF($F125&lt;='La Mia Rosa'!$O$12*'Parametri Modello'!$B$24,"OK",IF($F125&lt;='La Mia Rosa'!$O$12*'Parametri Modello'!$B$25,"Attenzione","Rischio Alto")))</f>
        <v>OK</v>
      </c>
      <c r="V125" s="23">
        <f t="shared" si="10"/>
        <v>46</v>
      </c>
      <c r="W125" s="18">
        <f>'Info Lega'!$B$4-SUMIFS($M$2:$M$492,$D$2:$D$492,'Info Lega'!$B$28)</f>
        <v>1000</v>
      </c>
      <c r="X125" s="18">
        <f>('Info Lega'!$B$5-COUNTIFS($D$2:$D$492,'Info Lega'!$B$28,$B$2:$B$492,"P"))+('Info Lega'!$B$6-COUNTIFS($D$2:$D$492,'Info Lega'!$B$28,$B$2:$B$492,"D"))+('Info Lega'!$B$7-COUNTIFS($D$2:$D$492,'Info Lega'!$B$28,$B$2:$B$492,"C"))+('Info Lega'!$B$8-COUNTIFS($D$2:$D$492,'Info Lega'!$B$28,$B$2:$B$492,"A"))</f>
        <v>25</v>
      </c>
      <c r="Y125" s="18">
        <f>X125*'Parametri Modello'!$B$30</f>
        <v>25</v>
      </c>
      <c r="Z125" s="18">
        <f t="shared" si="11"/>
        <v>975</v>
      </c>
      <c r="AA125" s="18">
        <f t="shared" si="12"/>
        <v>3</v>
      </c>
      <c r="AB125" s="18"/>
      <c r="AC125" s="18" t="str">
        <f>IF($AB125="","",IF($AB125&gt;$AA125,"PASS",IF($AB125&lt;=$AA125*(1-'Parametri Modello'!$B$68),"BID","ATTENZIONE")))</f>
        <v/>
      </c>
      <c r="AD125" s="28">
        <f t="shared" si="13"/>
        <v>59</v>
      </c>
      <c r="AE125" s="5" t="str">
        <f>IFERROR(INDEX('Stato Asta'!$G$9:$G$12,MATCH($B125,'Stato Asta'!$A$9:$A$12,0)),"")</f>
        <v>🔴 Non aspettare</v>
      </c>
      <c r="AF125" t="str">
        <f>IFERROR(IF($V125&lt;=INDEX('Parametri Modello'!$C$57:$C$60,MATCH($B125,'Parametri Modello'!$A$57:$A$60,0)),"Titolare","Riserva"),"")</f>
        <v>Riserva</v>
      </c>
      <c r="AG125" t="str">
        <f>IFERROR(INDEX('Pressione Competitiva'!$F$3:$F$6,MATCH($B125,'Pressione Competitiva'!$B$3:$B$6,0)),"")</f>
        <v>🔴 Molto Alta</v>
      </c>
      <c r="AH125" t="str">
        <f t="shared" si="14"/>
        <v/>
      </c>
      <c r="AI125" t="str">
        <f>IFERROR(IF($AH125="","",IF($AH125&gt;=$AA125*'Parametri Modello'!$B$68,"🟢 Opportunita'",IF($AH125&lt;=$AA125*'Parametri Modello'!$B$69,"🔴 Sovrapprezzo","🟡 Prezzo Corretto"))),"")</f>
        <v/>
      </c>
      <c r="AJ125" t="str">
        <f t="shared" si="15"/>
        <v/>
      </c>
      <c r="AK125">
        <f t="shared" si="16"/>
        <v>28</v>
      </c>
      <c r="AL125" t="str">
        <f t="shared" si="17"/>
        <v>C|Buono|28</v>
      </c>
    </row>
    <row r="126" spans="1:38" ht="14.25" customHeight="1" x14ac:dyDescent="0.25">
      <c r="A126" s="18">
        <v>4436</v>
      </c>
      <c r="B126" s="18" t="s">
        <v>17</v>
      </c>
      <c r="C126" s="18" t="s">
        <v>265</v>
      </c>
      <c r="E126" s="23" t="str">
        <f>IF(COUNTIF('Info Strategia'!$D$2:$D$51,$C126)&gt;0,"SI","NO")</f>
        <v>NO</v>
      </c>
      <c r="F126" s="24">
        <f>IFERROR(ROUND(($G126+($H126-$G126)*'Info Strategia'!$B$6)*(1+IF($E126="SI",'Parametri Modello'!$B$7*'Info Strategia'!$B$6,0)),0),"")</f>
        <v>3</v>
      </c>
      <c r="G126" s="24">
        <f>IFERROR(ROUND(MAX(1,(IF($V126&lt;=INDEX('Parametri Modello'!$C$57:$C$60,MATCH($B126,'Parametri Modello'!$A$57:$A$60,0)),IF(INDEX('Parametri Modello'!$E$57:$E$60,MATCH($B126,'Parametri Modello'!$A$57:$A$60,0))=0,0,($O126/INDEX('Parametri Modello'!$E$57:$E$60,MATCH($B126,'Parametri Modello'!$A$57:$A$60,0)))*(INDEX('Parametri Modello'!$D$57:$D$60,MATCH($B126,'Parametri Modello'!$A$57:$A$60,0))*(INDEX('Parametri Modello'!$B$50:$B$53,MATCH($B126,'Parametri Modello'!$A$50:$A$53,0))*'Parametri Modello'!$B$44))),IF(INDEX('Parametri Modello'!$F$57:$F$60,MATCH($B126,'Parametri Modello'!$A$57:$A$60,0))=0,0,($O126/INDEX('Parametri Modello'!$F$57:$F$60,MATCH($B126,'Parametri Modello'!$A$57:$A$60,0)))*((1-INDEX('Parametri Modello'!$D$57:$D$60,MATCH($B126,'Parametri Modello'!$A$57:$A$60,0)))*(INDEX('Parametri Modello'!$B$50:$B$53,MATCH($B126,'Parametri Modello'!$A$50:$A$53,0))*'Parametri Modello'!$B$44))))*(1+IF(IF($B126="D",'Info Lega'!$B$25,IF($B126="C",'Info Lega'!$B$26,"No"))="Si",'Parametri Modello'!$B$5,0))*(1+MAX(-0.25,MIN(0.25,IF(OR($T126="",$I126="",$I126=0,INDEX('Parametri Modello'!$B$19:$B$22,MATCH($B126,'Parametri Modello'!$A$19:$A$22,0))="",INDEX('Parametri Modello'!$B$19:$B$22,MATCH($B126,'Parametri Modello'!$A$19:$A$22,0))=0),0,(($T126-INDEX('Parametri Modello'!$B$19:$B$22,MATCH($B126,'Parametri Modello'!$A$19:$A$22,0)))/INDEX('Parametri Modello'!$B$19:$B$22,MATCH($B126,'Parametri Modello'!$A$19:$A$22,0)))*'Parametri Modello'!$B$9))))*(1+IF('Parametri Modello'!$B$27="Si",MAX(-'Parametri Modello'!$B$28,MIN('Parametri Modello'!$B$28*1.5,IF(OR(INDEX('Parametri Modello'!$F$32:$F$35,MATCH($B126,'Parametri Modello'!$A$32:$A$35,0))="",INDEX('Parametri Modello'!$F$32:$F$35,MATCH($B126,'Parametri Modello'!$A$32:$A$35,0))=0),0,(1/INDEX('Parametri Modello'!$F$32:$F$35,MATCH($B126,'Parametri Modello'!$A$32:$A$35,0))-1)*'Parametri Modello'!$B$28))),0)))*(1-INDEX('Parametri Modello'!$B$12:$B$15,MATCH($B126,'Parametri Modello'!$A$12:$A$15,0)))),0),"")</f>
        <v>2</v>
      </c>
      <c r="H126" s="24">
        <f>IFERROR(ROUND((IF($V126&lt;=INDEX('Parametri Modello'!$C$57:$C$60,MATCH($B126,'Parametri Modello'!$A$57:$A$60,0)),IF(INDEX('Parametri Modello'!$E$57:$E$60,MATCH($B126,'Parametri Modello'!$A$57:$A$60,0))=0,0,($O126/INDEX('Parametri Modello'!$E$57:$E$60,MATCH($B126,'Parametri Modello'!$A$57:$A$60,0)))*(INDEX('Parametri Modello'!$D$57:$D$60,MATCH($B126,'Parametri Modello'!$A$57:$A$60,0))*(INDEX('Parametri Modello'!$B$50:$B$53,MATCH($B126,'Parametri Modello'!$A$50:$A$53,0))*'Parametri Modello'!$B$44))),IF(INDEX('Parametri Modello'!$F$57:$F$60,MATCH($B126,'Parametri Modello'!$A$57:$A$60,0))=0,0,($O126/INDEX('Parametri Modello'!$F$57:$F$60,MATCH($B126,'Parametri Modello'!$A$57:$A$60,0)))*((1-INDEX('Parametri Modello'!$D$57:$D$60,MATCH($B126,'Parametri Modello'!$A$57:$A$60,0)))*(INDEX('Parametri Modello'!$B$50:$B$53,MATCH($B126,'Parametri Modello'!$A$50:$A$53,0))*'Parametri Modello'!$B$44))))*(1+IF(IF($B126="D",'Info Lega'!$B$25,IF($B126="C",'Info Lega'!$B$26,"No"))="Si",'Parametri Modello'!$B$5,0))*(1+MAX(-0.25,MIN(0.25,IF(OR($T126="",$I126="",$I126=0,INDEX('Parametri Modello'!$B$19:$B$22,MATCH($B126,'Parametri Modello'!$A$19:$A$22,0))="",INDEX('Parametri Modello'!$B$19:$B$22,MATCH($B126,'Parametri Modello'!$A$19:$A$22,0))=0),0,(($T126-INDEX('Parametri Modello'!$B$19:$B$22,MATCH($B126,'Parametri Modello'!$A$19:$A$22,0)))/INDEX('Parametri Modello'!$B$19:$B$22,MATCH($B126,'Parametri Modello'!$A$19:$A$22,0)))*'Parametri Modello'!$B$9))))*(1+IF('Parametri Modello'!$B$27="Si",MAX(-'Parametri Modello'!$B$28,MIN('Parametri Modello'!$B$28*1.5,IF(OR(INDEX('Parametri Modello'!$F$32:$F$35,MATCH($B126,'Parametri Modello'!$A$32:$A$35,0))="",INDEX('Parametri Modello'!$F$32:$F$35,MATCH($B126,'Parametri Modello'!$A$32:$A$35,0))=0),0,(1/INDEX('Parametri Modello'!$F$32:$F$35,MATCH($B126,'Parametri Modello'!$A$32:$A$35,0))-1)*'Parametri Modello'!$B$28))),0)))*(1+INDEX('Parametri Modello'!$B$12:$B$15,MATCH($B126,'Parametri Modello'!$A$12:$A$15,0))),0),"")</f>
        <v>4</v>
      </c>
      <c r="I126" s="23">
        <f>IFERROR(INDEX('Input Statistiche 2025_26'!$F$3:$F$665,MATCH($A126,'Input Statistiche 2025_26'!$A$3:$A$665,0)),"")</f>
        <v>24</v>
      </c>
      <c r="J126" s="23">
        <f t="shared" si="9"/>
        <v>14</v>
      </c>
      <c r="K126" s="23">
        <f>IFERROR(INDEX('Input Statistiche 2025_26'!$I$3:$I$665,MATCH($A126,'Input Statistiche 2025_26'!$A$3:$A$665,0)),"")</f>
        <v>3</v>
      </c>
      <c r="L126" s="23">
        <f>IFERROR(INDEX('Input Statistiche 2025_26'!$O$3:$O$665,MATCH($A126,'Input Statistiche 2025_26'!$A$3:$A$665,0)),"")</f>
        <v>4</v>
      </c>
      <c r="M126" s="25"/>
      <c r="N126" s="24">
        <f>IFERROR(INDEX('Input Giocatori 2026_27'!$E$3:$E$493,MATCH($A126,'Input Giocatori 2026_27'!$A$3:$A$493,0)),"")</f>
        <v>8</v>
      </c>
      <c r="O126" s="24">
        <f>IFERROR(INDEX('Input Giocatori 2026_27'!$G$3:$G$493,MATCH($A126,'Input Giocatori 2026_27'!$A$3:$A$493,0)),"")</f>
        <v>25</v>
      </c>
      <c r="P126" s="23" t="str">
        <f>IFERROR(IF($O126="","",IF((1-(COUNTIFS($B$2:$B$492,$B126,$O$2:$O$492,"&gt;"&amp;$O126)+1-1)/COUNTIF($B$2:$B$492,$B126))&gt;='Parametri Modello'!$B$63,"Top",IF((1-(COUNTIFS($B$2:$B$492,$B126,$O$2:$O$492,"&gt;"&amp;$O126)+1-1)/COUNTIF($B$2:$B$492,$B126))&gt;='Parametri Modello'!$B$64,"Buono",IF((1-(COUNTIFS($B$2:$B$492,$B126,$O$2:$O$492,"&gt;"&amp;$O126)+1-1)/COUNTIF($B$2:$B$492,$B126))&gt;='Parametri Modello'!$B$65,"Nella Media","Scommessa/Riserva")))),"")</f>
        <v>Buono</v>
      </c>
      <c r="Q126" s="26">
        <f>IF(AND($D126="",$N126&gt;1),SUMPRODUCT(($D$2:$D126="")*($N$2:$N126&gt;1)),"")</f>
        <v>125</v>
      </c>
      <c r="R126" s="26" t="str">
        <f>IF($D126='Info Lega'!$B$28,COUNTIFS($D$2:$D126,'Info Lega'!$B$28),"")</f>
        <v/>
      </c>
      <c r="S126" s="27">
        <f>IFERROR(INDEX('Input Statistiche 2025_26'!$G$3:$G$665,MATCH($A126,'Input Statistiche 2025_26'!$A$3:$A$665,0)),"")</f>
        <v>5.98</v>
      </c>
      <c r="T126" s="27">
        <f>IFERROR(INDEX('Input Statistiche 2025_26'!$H$3:$H$665,MATCH($A126,'Input Statistiche 2025_26'!$A$3:$A$665,0)),"")</f>
        <v>6.42</v>
      </c>
      <c r="U126" s="23" t="str">
        <f>IF(OR('La Mia Rosa'!$O$12="",$D126&lt;&gt;""),"",IF($F126&lt;='La Mia Rosa'!$O$12*'Parametri Modello'!$B$24,"OK",IF($F126&lt;='La Mia Rosa'!$O$12*'Parametri Modello'!$B$25,"Attenzione","Rischio Alto")))</f>
        <v>OK</v>
      </c>
      <c r="V126" s="23">
        <f t="shared" si="10"/>
        <v>46</v>
      </c>
      <c r="W126" s="18">
        <f>'Info Lega'!$B$4-SUMIFS($M$2:$M$492,$D$2:$D$492,'Info Lega'!$B$28)</f>
        <v>1000</v>
      </c>
      <c r="X126" s="18">
        <f>('Info Lega'!$B$5-COUNTIFS($D$2:$D$492,'Info Lega'!$B$28,$B$2:$B$492,"P"))+('Info Lega'!$B$6-COUNTIFS($D$2:$D$492,'Info Lega'!$B$28,$B$2:$B$492,"D"))+('Info Lega'!$B$7-COUNTIFS($D$2:$D$492,'Info Lega'!$B$28,$B$2:$B$492,"C"))+('Info Lega'!$B$8-COUNTIFS($D$2:$D$492,'Info Lega'!$B$28,$B$2:$B$492,"A"))</f>
        <v>25</v>
      </c>
      <c r="Y126" s="18">
        <f>X126*'Parametri Modello'!$B$30</f>
        <v>25</v>
      </c>
      <c r="Z126" s="18">
        <f t="shared" si="11"/>
        <v>975</v>
      </c>
      <c r="AA126" s="18">
        <f t="shared" si="12"/>
        <v>3</v>
      </c>
      <c r="AB126" s="18"/>
      <c r="AC126" s="18" t="str">
        <f>IF($AB126="","",IF($AB126&gt;$AA126,"PASS",IF($AB126&lt;=$AA126*(1-'Parametri Modello'!$B$68),"BID","ATTENZIONE")))</f>
        <v/>
      </c>
      <c r="AD126" s="28">
        <f t="shared" si="13"/>
        <v>55</v>
      </c>
      <c r="AE126" s="5" t="str">
        <f>IFERROR(INDEX('Stato Asta'!$G$9:$G$12,MATCH($B126,'Stato Asta'!$A$9:$A$12,0)),"")</f>
        <v>🔴 Non aspettare</v>
      </c>
      <c r="AF126" t="str">
        <f>IFERROR(IF($V126&lt;=INDEX('Parametri Modello'!$C$57:$C$60,MATCH($B126,'Parametri Modello'!$A$57:$A$60,0)),"Titolare","Riserva"),"")</f>
        <v>Riserva</v>
      </c>
      <c r="AG126" t="str">
        <f>IFERROR(INDEX('Pressione Competitiva'!$F$3:$F$6,MATCH($B126,'Pressione Competitiva'!$B$3:$B$6,0)),"")</f>
        <v>🔴 Molto Alta</v>
      </c>
      <c r="AH126" t="str">
        <f t="shared" si="14"/>
        <v/>
      </c>
      <c r="AI126" t="str">
        <f>IFERROR(IF($AH126="","",IF($AH126&gt;=$AA126*'Parametri Modello'!$B$68,"🟢 Opportunita'",IF($AH126&lt;=$AA126*'Parametri Modello'!$B$69,"🔴 Sovrapprezzo","🟡 Prezzo Corretto"))),"")</f>
        <v/>
      </c>
      <c r="AJ126" t="str">
        <f t="shared" si="15"/>
        <v/>
      </c>
      <c r="AK126">
        <f t="shared" si="16"/>
        <v>28</v>
      </c>
      <c r="AL126" t="str">
        <f t="shared" si="17"/>
        <v>C|Buono|28</v>
      </c>
    </row>
    <row r="127" spans="1:38" ht="14.25" customHeight="1" x14ac:dyDescent="0.25">
      <c r="A127" s="18">
        <v>6294</v>
      </c>
      <c r="B127" s="18" t="s">
        <v>17</v>
      </c>
      <c r="C127" s="18" t="s">
        <v>266</v>
      </c>
      <c r="E127" s="23" t="str">
        <f>IF(COUNTIF('Info Strategia'!$D$2:$D$51,$C127)&gt;0,"SI","NO")</f>
        <v>NO</v>
      </c>
      <c r="F127" s="24">
        <f>IFERROR(ROUND(($G127+($H127-$G127)*'Info Strategia'!$B$6)*(1+IF($E127="SI",'Parametri Modello'!$B$7*'Info Strategia'!$B$6,0)),0),"")</f>
        <v>3</v>
      </c>
      <c r="G127" s="24">
        <f>IFERROR(ROUND(MAX(1,(IF($V127&lt;=INDEX('Parametri Modello'!$C$57:$C$60,MATCH($B127,'Parametri Modello'!$A$57:$A$60,0)),IF(INDEX('Parametri Modello'!$E$57:$E$60,MATCH($B127,'Parametri Modello'!$A$57:$A$60,0))=0,0,($O127/INDEX('Parametri Modello'!$E$57:$E$60,MATCH($B127,'Parametri Modello'!$A$57:$A$60,0)))*(INDEX('Parametri Modello'!$D$57:$D$60,MATCH($B127,'Parametri Modello'!$A$57:$A$60,0))*(INDEX('Parametri Modello'!$B$50:$B$53,MATCH($B127,'Parametri Modello'!$A$50:$A$53,0))*'Parametri Modello'!$B$44))),IF(INDEX('Parametri Modello'!$F$57:$F$60,MATCH($B127,'Parametri Modello'!$A$57:$A$60,0))=0,0,($O127/INDEX('Parametri Modello'!$F$57:$F$60,MATCH($B127,'Parametri Modello'!$A$57:$A$60,0)))*((1-INDEX('Parametri Modello'!$D$57:$D$60,MATCH($B127,'Parametri Modello'!$A$57:$A$60,0)))*(INDEX('Parametri Modello'!$B$50:$B$53,MATCH($B127,'Parametri Modello'!$A$50:$A$53,0))*'Parametri Modello'!$B$44))))*(1+IF(IF($B127="D",'Info Lega'!$B$25,IF($B127="C",'Info Lega'!$B$26,"No"))="Si",'Parametri Modello'!$B$5,0))*(1+MAX(-0.25,MIN(0.25,IF(OR($T127="",$I127="",$I127=0,INDEX('Parametri Modello'!$B$19:$B$22,MATCH($B127,'Parametri Modello'!$A$19:$A$22,0))="",INDEX('Parametri Modello'!$B$19:$B$22,MATCH($B127,'Parametri Modello'!$A$19:$A$22,0))=0),0,(($T127-INDEX('Parametri Modello'!$B$19:$B$22,MATCH($B127,'Parametri Modello'!$A$19:$A$22,0)))/INDEX('Parametri Modello'!$B$19:$B$22,MATCH($B127,'Parametri Modello'!$A$19:$A$22,0)))*'Parametri Modello'!$B$9))))*(1+IF('Parametri Modello'!$B$27="Si",MAX(-'Parametri Modello'!$B$28,MIN('Parametri Modello'!$B$28*1.5,IF(OR(INDEX('Parametri Modello'!$F$32:$F$35,MATCH($B127,'Parametri Modello'!$A$32:$A$35,0))="",INDEX('Parametri Modello'!$F$32:$F$35,MATCH($B127,'Parametri Modello'!$A$32:$A$35,0))=0),0,(1/INDEX('Parametri Modello'!$F$32:$F$35,MATCH($B127,'Parametri Modello'!$A$32:$A$35,0))-1)*'Parametri Modello'!$B$28))),0)))*(1-INDEX('Parametri Modello'!$B$12:$B$15,MATCH($B127,'Parametri Modello'!$A$12:$A$15,0)))),0),"")</f>
        <v>2</v>
      </c>
      <c r="H127" s="24">
        <f>IFERROR(ROUND((IF($V127&lt;=INDEX('Parametri Modello'!$C$57:$C$60,MATCH($B127,'Parametri Modello'!$A$57:$A$60,0)),IF(INDEX('Parametri Modello'!$E$57:$E$60,MATCH($B127,'Parametri Modello'!$A$57:$A$60,0))=0,0,($O127/INDEX('Parametri Modello'!$E$57:$E$60,MATCH($B127,'Parametri Modello'!$A$57:$A$60,0)))*(INDEX('Parametri Modello'!$D$57:$D$60,MATCH($B127,'Parametri Modello'!$A$57:$A$60,0))*(INDEX('Parametri Modello'!$B$50:$B$53,MATCH($B127,'Parametri Modello'!$A$50:$A$53,0))*'Parametri Modello'!$B$44))),IF(INDEX('Parametri Modello'!$F$57:$F$60,MATCH($B127,'Parametri Modello'!$A$57:$A$60,0))=0,0,($O127/INDEX('Parametri Modello'!$F$57:$F$60,MATCH($B127,'Parametri Modello'!$A$57:$A$60,0)))*((1-INDEX('Parametri Modello'!$D$57:$D$60,MATCH($B127,'Parametri Modello'!$A$57:$A$60,0)))*(INDEX('Parametri Modello'!$B$50:$B$53,MATCH($B127,'Parametri Modello'!$A$50:$A$53,0))*'Parametri Modello'!$B$44))))*(1+IF(IF($B127="D",'Info Lega'!$B$25,IF($B127="C",'Info Lega'!$B$26,"No"))="Si",'Parametri Modello'!$B$5,0))*(1+MAX(-0.25,MIN(0.25,IF(OR($T127="",$I127="",$I127=0,INDEX('Parametri Modello'!$B$19:$B$22,MATCH($B127,'Parametri Modello'!$A$19:$A$22,0))="",INDEX('Parametri Modello'!$B$19:$B$22,MATCH($B127,'Parametri Modello'!$A$19:$A$22,0))=0),0,(($T127-INDEX('Parametri Modello'!$B$19:$B$22,MATCH($B127,'Parametri Modello'!$A$19:$A$22,0)))/INDEX('Parametri Modello'!$B$19:$B$22,MATCH($B127,'Parametri Modello'!$A$19:$A$22,0)))*'Parametri Modello'!$B$9))))*(1+IF('Parametri Modello'!$B$27="Si",MAX(-'Parametri Modello'!$B$28,MIN('Parametri Modello'!$B$28*1.5,IF(OR(INDEX('Parametri Modello'!$F$32:$F$35,MATCH($B127,'Parametri Modello'!$A$32:$A$35,0))="",INDEX('Parametri Modello'!$F$32:$F$35,MATCH($B127,'Parametri Modello'!$A$32:$A$35,0))=0),0,(1/INDEX('Parametri Modello'!$F$32:$F$35,MATCH($B127,'Parametri Modello'!$A$32:$A$35,0))-1)*'Parametri Modello'!$B$28))),0)))*(1+INDEX('Parametri Modello'!$B$12:$B$15,MATCH($B127,'Parametri Modello'!$A$12:$A$15,0))),0),"")</f>
        <v>4</v>
      </c>
      <c r="I127" s="23">
        <f>IFERROR(INDEX('Input Statistiche 2025_26'!$F$3:$F$665,MATCH($A127,'Input Statistiche 2025_26'!$A$3:$A$665,0)),"")</f>
        <v>30</v>
      </c>
      <c r="J127" s="23">
        <f t="shared" si="9"/>
        <v>8</v>
      </c>
      <c r="K127" s="23">
        <f>IFERROR(INDEX('Input Statistiche 2025_26'!$I$3:$I$665,MATCH($A127,'Input Statistiche 2025_26'!$A$3:$A$665,0)),"")</f>
        <v>3</v>
      </c>
      <c r="L127" s="23">
        <f>IFERROR(INDEX('Input Statistiche 2025_26'!$O$3:$O$665,MATCH($A127,'Input Statistiche 2025_26'!$A$3:$A$665,0)),"")</f>
        <v>0</v>
      </c>
      <c r="M127" s="25"/>
      <c r="N127" s="24">
        <f>IFERROR(INDEX('Input Giocatori 2026_27'!$E$3:$E$493,MATCH($A127,'Input Giocatori 2026_27'!$A$3:$A$493,0)),"")</f>
        <v>8</v>
      </c>
      <c r="O127" s="24">
        <f>IFERROR(INDEX('Input Giocatori 2026_27'!$G$3:$G$493,MATCH($A127,'Input Giocatori 2026_27'!$A$3:$A$493,0)),"")</f>
        <v>25</v>
      </c>
      <c r="P127" s="23" t="str">
        <f>IFERROR(IF($O127="","",IF((1-(COUNTIFS($B$2:$B$492,$B127,$O$2:$O$492,"&gt;"&amp;$O127)+1-1)/COUNTIF($B$2:$B$492,$B127))&gt;='Parametri Modello'!$B$63,"Top",IF((1-(COUNTIFS($B$2:$B$492,$B127,$O$2:$O$492,"&gt;"&amp;$O127)+1-1)/COUNTIF($B$2:$B$492,$B127))&gt;='Parametri Modello'!$B$64,"Buono",IF((1-(COUNTIFS($B$2:$B$492,$B127,$O$2:$O$492,"&gt;"&amp;$O127)+1-1)/COUNTIF($B$2:$B$492,$B127))&gt;='Parametri Modello'!$B$65,"Nella Media","Scommessa/Riserva")))),"")</f>
        <v>Buono</v>
      </c>
      <c r="Q127" s="26">
        <f>IF(AND($D127="",$N127&gt;1),SUMPRODUCT(($D$2:$D127="")*($N$2:$N127&gt;1)),"")</f>
        <v>126</v>
      </c>
      <c r="R127" s="26" t="str">
        <f>IF($D127='Info Lega'!$B$28,COUNTIFS($D$2:$D127,'Info Lega'!$B$28),"")</f>
        <v/>
      </c>
      <c r="S127" s="27">
        <f>IFERROR(INDEX('Input Statistiche 2025_26'!$G$3:$G$665,MATCH($A127,'Input Statistiche 2025_26'!$A$3:$A$665,0)),"")</f>
        <v>5.8</v>
      </c>
      <c r="T127" s="27">
        <f>IFERROR(INDEX('Input Statistiche 2025_26'!$H$3:$H$665,MATCH($A127,'Input Statistiche 2025_26'!$A$3:$A$665,0)),"")</f>
        <v>6.07</v>
      </c>
      <c r="U127" s="23" t="str">
        <f>IF(OR('La Mia Rosa'!$O$12="",$D127&lt;&gt;""),"",IF($F127&lt;='La Mia Rosa'!$O$12*'Parametri Modello'!$B$24,"OK",IF($F127&lt;='La Mia Rosa'!$O$12*'Parametri Modello'!$B$25,"Attenzione","Rischio Alto")))</f>
        <v>OK</v>
      </c>
      <c r="V127" s="23">
        <f t="shared" si="10"/>
        <v>46</v>
      </c>
      <c r="W127" s="18">
        <f>'Info Lega'!$B$4-SUMIFS($M$2:$M$492,$D$2:$D$492,'Info Lega'!$B$28)</f>
        <v>1000</v>
      </c>
      <c r="X127" s="18">
        <f>('Info Lega'!$B$5-COUNTIFS($D$2:$D$492,'Info Lega'!$B$28,$B$2:$B$492,"P"))+('Info Lega'!$B$6-COUNTIFS($D$2:$D$492,'Info Lega'!$B$28,$B$2:$B$492,"D"))+('Info Lega'!$B$7-COUNTIFS($D$2:$D$492,'Info Lega'!$B$28,$B$2:$B$492,"C"))+('Info Lega'!$B$8-COUNTIFS($D$2:$D$492,'Info Lega'!$B$28,$B$2:$B$492,"A"))</f>
        <v>25</v>
      </c>
      <c r="Y127" s="18">
        <f>X127*'Parametri Modello'!$B$30</f>
        <v>25</v>
      </c>
      <c r="Z127" s="18">
        <f t="shared" si="11"/>
        <v>975</v>
      </c>
      <c r="AA127" s="18">
        <f t="shared" si="12"/>
        <v>3</v>
      </c>
      <c r="AB127" s="18"/>
      <c r="AC127" s="18" t="str">
        <f>IF($AB127="","",IF($AB127&gt;$AA127,"PASS",IF($AB127&lt;=$AA127*(1-'Parametri Modello'!$B$68),"BID","ATTENZIONE")))</f>
        <v/>
      </c>
      <c r="AD127" s="28">
        <f t="shared" si="13"/>
        <v>63</v>
      </c>
      <c r="AE127" s="5" t="str">
        <f>IFERROR(INDEX('Stato Asta'!$G$9:$G$12,MATCH($B127,'Stato Asta'!$A$9:$A$12,0)),"")</f>
        <v>🔴 Non aspettare</v>
      </c>
      <c r="AF127" t="str">
        <f>IFERROR(IF($V127&lt;=INDEX('Parametri Modello'!$C$57:$C$60,MATCH($B127,'Parametri Modello'!$A$57:$A$60,0)),"Titolare","Riserva"),"")</f>
        <v>Riserva</v>
      </c>
      <c r="AG127" t="str">
        <f>IFERROR(INDEX('Pressione Competitiva'!$F$3:$F$6,MATCH($B127,'Pressione Competitiva'!$B$3:$B$6,0)),"")</f>
        <v>🔴 Molto Alta</v>
      </c>
      <c r="AH127" t="str">
        <f t="shared" si="14"/>
        <v/>
      </c>
      <c r="AI127" t="str">
        <f>IFERROR(IF($AH127="","",IF($AH127&gt;=$AA127*'Parametri Modello'!$B$68,"🟢 Opportunita'",IF($AH127&lt;=$AA127*'Parametri Modello'!$B$69,"🔴 Sovrapprezzo","🟡 Prezzo Corretto"))),"")</f>
        <v/>
      </c>
      <c r="AJ127" t="str">
        <f t="shared" si="15"/>
        <v/>
      </c>
      <c r="AK127">
        <f t="shared" si="16"/>
        <v>28</v>
      </c>
      <c r="AL127" t="str">
        <f t="shared" si="17"/>
        <v>C|Buono|28</v>
      </c>
    </row>
    <row r="128" spans="1:38" ht="14.25" customHeight="1" x14ac:dyDescent="0.25">
      <c r="A128" s="18">
        <v>5878</v>
      </c>
      <c r="B128" s="18" t="s">
        <v>17</v>
      </c>
      <c r="C128" s="18" t="s">
        <v>267</v>
      </c>
      <c r="E128" s="23" t="str">
        <f>IF(COUNTIF('Info Strategia'!$D$2:$D$51,$C128)&gt;0,"SI","NO")</f>
        <v>NO</v>
      </c>
      <c r="F128" s="24">
        <f>IFERROR(ROUND(($G128+($H128-$G128)*'Info Strategia'!$B$6)*(1+IF($E128="SI",'Parametri Modello'!$B$7*'Info Strategia'!$B$6,0)),0),"")</f>
        <v>3</v>
      </c>
      <c r="G128" s="24">
        <f>IFERROR(ROUND(MAX(1,(IF($V128&lt;=INDEX('Parametri Modello'!$C$57:$C$60,MATCH($B128,'Parametri Modello'!$A$57:$A$60,0)),IF(INDEX('Parametri Modello'!$E$57:$E$60,MATCH($B128,'Parametri Modello'!$A$57:$A$60,0))=0,0,($O128/INDEX('Parametri Modello'!$E$57:$E$60,MATCH($B128,'Parametri Modello'!$A$57:$A$60,0)))*(INDEX('Parametri Modello'!$D$57:$D$60,MATCH($B128,'Parametri Modello'!$A$57:$A$60,0))*(INDEX('Parametri Modello'!$B$50:$B$53,MATCH($B128,'Parametri Modello'!$A$50:$A$53,0))*'Parametri Modello'!$B$44))),IF(INDEX('Parametri Modello'!$F$57:$F$60,MATCH($B128,'Parametri Modello'!$A$57:$A$60,0))=0,0,($O128/INDEX('Parametri Modello'!$F$57:$F$60,MATCH($B128,'Parametri Modello'!$A$57:$A$60,0)))*((1-INDEX('Parametri Modello'!$D$57:$D$60,MATCH($B128,'Parametri Modello'!$A$57:$A$60,0)))*(INDEX('Parametri Modello'!$B$50:$B$53,MATCH($B128,'Parametri Modello'!$A$50:$A$53,0))*'Parametri Modello'!$B$44))))*(1+IF(IF($B128="D",'Info Lega'!$B$25,IF($B128="C",'Info Lega'!$B$26,"No"))="Si",'Parametri Modello'!$B$5,0))*(1+MAX(-0.25,MIN(0.25,IF(OR($T128="",$I128="",$I128=0,INDEX('Parametri Modello'!$B$19:$B$22,MATCH($B128,'Parametri Modello'!$A$19:$A$22,0))="",INDEX('Parametri Modello'!$B$19:$B$22,MATCH($B128,'Parametri Modello'!$A$19:$A$22,0))=0),0,(($T128-INDEX('Parametri Modello'!$B$19:$B$22,MATCH($B128,'Parametri Modello'!$A$19:$A$22,0)))/INDEX('Parametri Modello'!$B$19:$B$22,MATCH($B128,'Parametri Modello'!$A$19:$A$22,0)))*'Parametri Modello'!$B$9))))*(1+IF('Parametri Modello'!$B$27="Si",MAX(-'Parametri Modello'!$B$28,MIN('Parametri Modello'!$B$28*1.5,IF(OR(INDEX('Parametri Modello'!$F$32:$F$35,MATCH($B128,'Parametri Modello'!$A$32:$A$35,0))="",INDEX('Parametri Modello'!$F$32:$F$35,MATCH($B128,'Parametri Modello'!$A$32:$A$35,0))=0),0,(1/INDEX('Parametri Modello'!$F$32:$F$35,MATCH($B128,'Parametri Modello'!$A$32:$A$35,0))-1)*'Parametri Modello'!$B$28))),0)))*(1-INDEX('Parametri Modello'!$B$12:$B$15,MATCH($B128,'Parametri Modello'!$A$12:$A$15,0)))),0),"")</f>
        <v>2</v>
      </c>
      <c r="H128" s="24">
        <f>IFERROR(ROUND((IF($V128&lt;=INDEX('Parametri Modello'!$C$57:$C$60,MATCH($B128,'Parametri Modello'!$A$57:$A$60,0)),IF(INDEX('Parametri Modello'!$E$57:$E$60,MATCH($B128,'Parametri Modello'!$A$57:$A$60,0))=0,0,($O128/INDEX('Parametri Modello'!$E$57:$E$60,MATCH($B128,'Parametri Modello'!$A$57:$A$60,0)))*(INDEX('Parametri Modello'!$D$57:$D$60,MATCH($B128,'Parametri Modello'!$A$57:$A$60,0))*(INDEX('Parametri Modello'!$B$50:$B$53,MATCH($B128,'Parametri Modello'!$A$50:$A$53,0))*'Parametri Modello'!$B$44))),IF(INDEX('Parametri Modello'!$F$57:$F$60,MATCH($B128,'Parametri Modello'!$A$57:$A$60,0))=0,0,($O128/INDEX('Parametri Modello'!$F$57:$F$60,MATCH($B128,'Parametri Modello'!$A$57:$A$60,0)))*((1-INDEX('Parametri Modello'!$D$57:$D$60,MATCH($B128,'Parametri Modello'!$A$57:$A$60,0)))*(INDEX('Parametri Modello'!$B$50:$B$53,MATCH($B128,'Parametri Modello'!$A$50:$A$53,0))*'Parametri Modello'!$B$44))))*(1+IF(IF($B128="D",'Info Lega'!$B$25,IF($B128="C",'Info Lega'!$B$26,"No"))="Si",'Parametri Modello'!$B$5,0))*(1+MAX(-0.25,MIN(0.25,IF(OR($T128="",$I128="",$I128=0,INDEX('Parametri Modello'!$B$19:$B$22,MATCH($B128,'Parametri Modello'!$A$19:$A$22,0))="",INDEX('Parametri Modello'!$B$19:$B$22,MATCH($B128,'Parametri Modello'!$A$19:$A$22,0))=0),0,(($T128-INDEX('Parametri Modello'!$B$19:$B$22,MATCH($B128,'Parametri Modello'!$A$19:$A$22,0)))/INDEX('Parametri Modello'!$B$19:$B$22,MATCH($B128,'Parametri Modello'!$A$19:$A$22,0)))*'Parametri Modello'!$B$9))))*(1+IF('Parametri Modello'!$B$27="Si",MAX(-'Parametri Modello'!$B$28,MIN('Parametri Modello'!$B$28*1.5,IF(OR(INDEX('Parametri Modello'!$F$32:$F$35,MATCH($B128,'Parametri Modello'!$A$32:$A$35,0))="",INDEX('Parametri Modello'!$F$32:$F$35,MATCH($B128,'Parametri Modello'!$A$32:$A$35,0))=0),0,(1/INDEX('Parametri Modello'!$F$32:$F$35,MATCH($B128,'Parametri Modello'!$A$32:$A$35,0))-1)*'Parametri Modello'!$B$28))),0)))*(1+INDEX('Parametri Modello'!$B$12:$B$15,MATCH($B128,'Parametri Modello'!$A$12:$A$15,0))),0),"")</f>
        <v>4</v>
      </c>
      <c r="I128" s="23" t="str">
        <f>IFERROR(INDEX('Input Statistiche 2025_26'!$F$3:$F$665,MATCH($A128,'Input Statistiche 2025_26'!$A$3:$A$665,0)),"")</f>
        <v/>
      </c>
      <c r="J128" s="23" t="str">
        <f t="shared" si="9"/>
        <v/>
      </c>
      <c r="K128" s="23" t="str">
        <f>IFERROR(INDEX('Input Statistiche 2025_26'!$I$3:$I$665,MATCH($A128,'Input Statistiche 2025_26'!$A$3:$A$665,0)),"")</f>
        <v/>
      </c>
      <c r="L128" s="23" t="str">
        <f>IFERROR(INDEX('Input Statistiche 2025_26'!$O$3:$O$665,MATCH($A128,'Input Statistiche 2025_26'!$A$3:$A$665,0)),"")</f>
        <v/>
      </c>
      <c r="M128" s="25"/>
      <c r="N128" s="24">
        <f>IFERROR(INDEX('Input Giocatori 2026_27'!$E$3:$E$493,MATCH($A128,'Input Giocatori 2026_27'!$A$3:$A$493,0)),"")</f>
        <v>8</v>
      </c>
      <c r="O128" s="24">
        <f>IFERROR(INDEX('Input Giocatori 2026_27'!$G$3:$G$493,MATCH($A128,'Input Giocatori 2026_27'!$A$3:$A$493,0)),"")</f>
        <v>25</v>
      </c>
      <c r="P128" s="23" t="str">
        <f>IFERROR(IF($O128="","",IF((1-(COUNTIFS($B$2:$B$492,$B128,$O$2:$O$492,"&gt;"&amp;$O128)+1-1)/COUNTIF($B$2:$B$492,$B128))&gt;='Parametri Modello'!$B$63,"Top",IF((1-(COUNTIFS($B$2:$B$492,$B128,$O$2:$O$492,"&gt;"&amp;$O128)+1-1)/COUNTIF($B$2:$B$492,$B128))&gt;='Parametri Modello'!$B$64,"Buono",IF((1-(COUNTIFS($B$2:$B$492,$B128,$O$2:$O$492,"&gt;"&amp;$O128)+1-1)/COUNTIF($B$2:$B$492,$B128))&gt;='Parametri Modello'!$B$65,"Nella Media","Scommessa/Riserva")))),"")</f>
        <v>Buono</v>
      </c>
      <c r="Q128" s="26">
        <f>IF(AND($D128="",$N128&gt;1),SUMPRODUCT(($D$2:$D128="")*($N$2:$N128&gt;1)),"")</f>
        <v>127</v>
      </c>
      <c r="R128" s="26" t="str">
        <f>IF($D128='Info Lega'!$B$28,COUNTIFS($D$2:$D128,'Info Lega'!$B$28),"")</f>
        <v/>
      </c>
      <c r="S128" s="27" t="str">
        <f>IFERROR(INDEX('Input Statistiche 2025_26'!$G$3:$G$665,MATCH($A128,'Input Statistiche 2025_26'!$A$3:$A$665,0)),"")</f>
        <v/>
      </c>
      <c r="T128" s="27" t="str">
        <f>IFERROR(INDEX('Input Statistiche 2025_26'!$H$3:$H$665,MATCH($A128,'Input Statistiche 2025_26'!$A$3:$A$665,0)),"")</f>
        <v/>
      </c>
      <c r="U128" s="23" t="str">
        <f>IF(OR('La Mia Rosa'!$O$12="",$D128&lt;&gt;""),"",IF($F128&lt;='La Mia Rosa'!$O$12*'Parametri Modello'!$B$24,"OK",IF($F128&lt;='La Mia Rosa'!$O$12*'Parametri Modello'!$B$25,"Attenzione","Rischio Alto")))</f>
        <v>OK</v>
      </c>
      <c r="V128" s="23">
        <f t="shared" si="10"/>
        <v>46</v>
      </c>
      <c r="W128" s="18">
        <f>'Info Lega'!$B$4-SUMIFS($M$2:$M$492,$D$2:$D$492,'Info Lega'!$B$28)</f>
        <v>1000</v>
      </c>
      <c r="X128" s="18">
        <f>('Info Lega'!$B$5-COUNTIFS($D$2:$D$492,'Info Lega'!$B$28,$B$2:$B$492,"P"))+('Info Lega'!$B$6-COUNTIFS($D$2:$D$492,'Info Lega'!$B$28,$B$2:$B$492,"D"))+('Info Lega'!$B$7-COUNTIFS($D$2:$D$492,'Info Lega'!$B$28,$B$2:$B$492,"C"))+('Info Lega'!$B$8-COUNTIFS($D$2:$D$492,'Info Lega'!$B$28,$B$2:$B$492,"A"))</f>
        <v>25</v>
      </c>
      <c r="Y128" s="18">
        <f>X128*'Parametri Modello'!$B$30</f>
        <v>25</v>
      </c>
      <c r="Z128" s="18">
        <f t="shared" si="11"/>
        <v>975</v>
      </c>
      <c r="AA128" s="18">
        <f t="shared" si="12"/>
        <v>3</v>
      </c>
      <c r="AB128" s="18"/>
      <c r="AC128" s="18" t="str">
        <f>IF($AB128="","",IF($AB128&gt;$AA128,"PASS",IF($AB128&lt;=$AA128*(1-'Parametri Modello'!$B$68),"BID","ATTENZIONE")))</f>
        <v/>
      </c>
      <c r="AD128" s="28" t="str">
        <f t="shared" si="13"/>
        <v/>
      </c>
      <c r="AE128" s="5" t="str">
        <f>IFERROR(INDEX('Stato Asta'!$G$9:$G$12,MATCH($B128,'Stato Asta'!$A$9:$A$12,0)),"")</f>
        <v>🔴 Non aspettare</v>
      </c>
      <c r="AF128" t="str">
        <f>IFERROR(IF($V128&lt;=INDEX('Parametri Modello'!$C$57:$C$60,MATCH($B128,'Parametri Modello'!$A$57:$A$60,0)),"Titolare","Riserva"),"")</f>
        <v>Riserva</v>
      </c>
      <c r="AG128" t="str">
        <f>IFERROR(INDEX('Pressione Competitiva'!$F$3:$F$6,MATCH($B128,'Pressione Competitiva'!$B$3:$B$6,0)),"")</f>
        <v>🔴 Molto Alta</v>
      </c>
      <c r="AH128" t="str">
        <f t="shared" si="14"/>
        <v/>
      </c>
      <c r="AI128" t="str">
        <f>IFERROR(IF($AH128="","",IF($AH128&gt;=$AA128*'Parametri Modello'!$B$68,"🟢 Opportunita'",IF($AH128&lt;=$AA128*'Parametri Modello'!$B$69,"🔴 Sovrapprezzo","🟡 Prezzo Corretto"))),"")</f>
        <v/>
      </c>
      <c r="AJ128" t="str">
        <f t="shared" si="15"/>
        <v/>
      </c>
      <c r="AK128">
        <f t="shared" si="16"/>
        <v>28</v>
      </c>
      <c r="AL128" t="str">
        <f t="shared" si="17"/>
        <v>C|Buono|28</v>
      </c>
    </row>
    <row r="129" spans="1:38" ht="14.25" customHeight="1" x14ac:dyDescent="0.25">
      <c r="A129" s="18">
        <v>7472</v>
      </c>
      <c r="B129" s="18" t="s">
        <v>17</v>
      </c>
      <c r="C129" s="18" t="s">
        <v>268</v>
      </c>
      <c r="E129" s="23" t="str">
        <f>IF(COUNTIF('Info Strategia'!$D$2:$D$51,$C129)&gt;0,"SI","NO")</f>
        <v>NO</v>
      </c>
      <c r="F129" s="24">
        <f>IFERROR(ROUND(($G129+($H129-$G129)*'Info Strategia'!$B$6)*(1+IF($E129="SI",'Parametri Modello'!$B$7*'Info Strategia'!$B$6,0)),0),"")</f>
        <v>3</v>
      </c>
      <c r="G129" s="24">
        <f>IFERROR(ROUND(MAX(1,(IF($V129&lt;=INDEX('Parametri Modello'!$C$57:$C$60,MATCH($B129,'Parametri Modello'!$A$57:$A$60,0)),IF(INDEX('Parametri Modello'!$E$57:$E$60,MATCH($B129,'Parametri Modello'!$A$57:$A$60,0))=0,0,($O129/INDEX('Parametri Modello'!$E$57:$E$60,MATCH($B129,'Parametri Modello'!$A$57:$A$60,0)))*(INDEX('Parametri Modello'!$D$57:$D$60,MATCH($B129,'Parametri Modello'!$A$57:$A$60,0))*(INDEX('Parametri Modello'!$B$50:$B$53,MATCH($B129,'Parametri Modello'!$A$50:$A$53,0))*'Parametri Modello'!$B$44))),IF(INDEX('Parametri Modello'!$F$57:$F$60,MATCH($B129,'Parametri Modello'!$A$57:$A$60,0))=0,0,($O129/INDEX('Parametri Modello'!$F$57:$F$60,MATCH($B129,'Parametri Modello'!$A$57:$A$60,0)))*((1-INDEX('Parametri Modello'!$D$57:$D$60,MATCH($B129,'Parametri Modello'!$A$57:$A$60,0)))*(INDEX('Parametri Modello'!$B$50:$B$53,MATCH($B129,'Parametri Modello'!$A$50:$A$53,0))*'Parametri Modello'!$B$44))))*(1+IF(IF($B129="D",'Info Lega'!$B$25,IF($B129="C",'Info Lega'!$B$26,"No"))="Si",'Parametri Modello'!$B$5,0))*(1+MAX(-0.25,MIN(0.25,IF(OR($T129="",$I129="",$I129=0,INDEX('Parametri Modello'!$B$19:$B$22,MATCH($B129,'Parametri Modello'!$A$19:$A$22,0))="",INDEX('Parametri Modello'!$B$19:$B$22,MATCH($B129,'Parametri Modello'!$A$19:$A$22,0))=0),0,(($T129-INDEX('Parametri Modello'!$B$19:$B$22,MATCH($B129,'Parametri Modello'!$A$19:$A$22,0)))/INDEX('Parametri Modello'!$B$19:$B$22,MATCH($B129,'Parametri Modello'!$A$19:$A$22,0)))*'Parametri Modello'!$B$9))))*(1+IF('Parametri Modello'!$B$27="Si",MAX(-'Parametri Modello'!$B$28,MIN('Parametri Modello'!$B$28*1.5,IF(OR(INDEX('Parametri Modello'!$F$32:$F$35,MATCH($B129,'Parametri Modello'!$A$32:$A$35,0))="",INDEX('Parametri Modello'!$F$32:$F$35,MATCH($B129,'Parametri Modello'!$A$32:$A$35,0))=0),0,(1/INDEX('Parametri Modello'!$F$32:$F$35,MATCH($B129,'Parametri Modello'!$A$32:$A$35,0))-1)*'Parametri Modello'!$B$28))),0)))*(1-INDEX('Parametri Modello'!$B$12:$B$15,MATCH($B129,'Parametri Modello'!$A$12:$A$15,0)))),0),"")</f>
        <v>2</v>
      </c>
      <c r="H129" s="24">
        <f>IFERROR(ROUND((IF($V129&lt;=INDEX('Parametri Modello'!$C$57:$C$60,MATCH($B129,'Parametri Modello'!$A$57:$A$60,0)),IF(INDEX('Parametri Modello'!$E$57:$E$60,MATCH($B129,'Parametri Modello'!$A$57:$A$60,0))=0,0,($O129/INDEX('Parametri Modello'!$E$57:$E$60,MATCH($B129,'Parametri Modello'!$A$57:$A$60,0)))*(INDEX('Parametri Modello'!$D$57:$D$60,MATCH($B129,'Parametri Modello'!$A$57:$A$60,0))*(INDEX('Parametri Modello'!$B$50:$B$53,MATCH($B129,'Parametri Modello'!$A$50:$A$53,0))*'Parametri Modello'!$B$44))),IF(INDEX('Parametri Modello'!$F$57:$F$60,MATCH($B129,'Parametri Modello'!$A$57:$A$60,0))=0,0,($O129/INDEX('Parametri Modello'!$F$57:$F$60,MATCH($B129,'Parametri Modello'!$A$57:$A$60,0)))*((1-INDEX('Parametri Modello'!$D$57:$D$60,MATCH($B129,'Parametri Modello'!$A$57:$A$60,0)))*(INDEX('Parametri Modello'!$B$50:$B$53,MATCH($B129,'Parametri Modello'!$A$50:$A$53,0))*'Parametri Modello'!$B$44))))*(1+IF(IF($B129="D",'Info Lega'!$B$25,IF($B129="C",'Info Lega'!$B$26,"No"))="Si",'Parametri Modello'!$B$5,0))*(1+MAX(-0.25,MIN(0.25,IF(OR($T129="",$I129="",$I129=0,INDEX('Parametri Modello'!$B$19:$B$22,MATCH($B129,'Parametri Modello'!$A$19:$A$22,0))="",INDEX('Parametri Modello'!$B$19:$B$22,MATCH($B129,'Parametri Modello'!$A$19:$A$22,0))=0),0,(($T129-INDEX('Parametri Modello'!$B$19:$B$22,MATCH($B129,'Parametri Modello'!$A$19:$A$22,0)))/INDEX('Parametri Modello'!$B$19:$B$22,MATCH($B129,'Parametri Modello'!$A$19:$A$22,0)))*'Parametri Modello'!$B$9))))*(1+IF('Parametri Modello'!$B$27="Si",MAX(-'Parametri Modello'!$B$28,MIN('Parametri Modello'!$B$28*1.5,IF(OR(INDEX('Parametri Modello'!$F$32:$F$35,MATCH($B129,'Parametri Modello'!$A$32:$A$35,0))="",INDEX('Parametri Modello'!$F$32:$F$35,MATCH($B129,'Parametri Modello'!$A$32:$A$35,0))=0),0,(1/INDEX('Parametri Modello'!$F$32:$F$35,MATCH($B129,'Parametri Modello'!$A$32:$A$35,0))-1)*'Parametri Modello'!$B$28))),0)))*(1+INDEX('Parametri Modello'!$B$12:$B$15,MATCH($B129,'Parametri Modello'!$A$12:$A$15,0))),0),"")</f>
        <v>4</v>
      </c>
      <c r="I129" s="23" t="str">
        <f>IFERROR(INDEX('Input Statistiche 2025_26'!$F$3:$F$665,MATCH($A129,'Input Statistiche 2025_26'!$A$3:$A$665,0)),"")</f>
        <v/>
      </c>
      <c r="J129" s="23" t="str">
        <f t="shared" si="9"/>
        <v/>
      </c>
      <c r="K129" s="23" t="str">
        <f>IFERROR(INDEX('Input Statistiche 2025_26'!$I$3:$I$665,MATCH($A129,'Input Statistiche 2025_26'!$A$3:$A$665,0)),"")</f>
        <v/>
      </c>
      <c r="L129" s="23" t="str">
        <f>IFERROR(INDEX('Input Statistiche 2025_26'!$O$3:$O$665,MATCH($A129,'Input Statistiche 2025_26'!$A$3:$A$665,0)),"")</f>
        <v/>
      </c>
      <c r="M129" s="25"/>
      <c r="N129" s="24">
        <f>IFERROR(INDEX('Input Giocatori 2026_27'!$E$3:$E$493,MATCH($A129,'Input Giocatori 2026_27'!$A$3:$A$493,0)),"")</f>
        <v>7</v>
      </c>
      <c r="O129" s="24">
        <f>IFERROR(INDEX('Input Giocatori 2026_27'!$G$3:$G$493,MATCH($A129,'Input Giocatori 2026_27'!$A$3:$A$493,0)),"")</f>
        <v>25</v>
      </c>
      <c r="P129" s="23" t="str">
        <f>IFERROR(IF($O129="","",IF((1-(COUNTIFS($B$2:$B$492,$B129,$O$2:$O$492,"&gt;"&amp;$O129)+1-1)/COUNTIF($B$2:$B$492,$B129))&gt;='Parametri Modello'!$B$63,"Top",IF((1-(COUNTIFS($B$2:$B$492,$B129,$O$2:$O$492,"&gt;"&amp;$O129)+1-1)/COUNTIF($B$2:$B$492,$B129))&gt;='Parametri Modello'!$B$64,"Buono",IF((1-(COUNTIFS($B$2:$B$492,$B129,$O$2:$O$492,"&gt;"&amp;$O129)+1-1)/COUNTIF($B$2:$B$492,$B129))&gt;='Parametri Modello'!$B$65,"Nella Media","Scommessa/Riserva")))),"")</f>
        <v>Buono</v>
      </c>
      <c r="Q129" s="26">
        <f>IF(AND($D129="",$N129&gt;1),SUMPRODUCT(($D$2:$D129="")*($N$2:$N129&gt;1)),"")</f>
        <v>128</v>
      </c>
      <c r="R129" s="26" t="str">
        <f>IF($D129='Info Lega'!$B$28,COUNTIFS($D$2:$D129,'Info Lega'!$B$28),"")</f>
        <v/>
      </c>
      <c r="S129" s="27" t="str">
        <f>IFERROR(INDEX('Input Statistiche 2025_26'!$G$3:$G$665,MATCH($A129,'Input Statistiche 2025_26'!$A$3:$A$665,0)),"")</f>
        <v/>
      </c>
      <c r="T129" s="27" t="str">
        <f>IFERROR(INDEX('Input Statistiche 2025_26'!$H$3:$H$665,MATCH($A129,'Input Statistiche 2025_26'!$A$3:$A$665,0)),"")</f>
        <v/>
      </c>
      <c r="U129" s="23" t="str">
        <f>IF(OR('La Mia Rosa'!$O$12="",$D129&lt;&gt;""),"",IF($F129&lt;='La Mia Rosa'!$O$12*'Parametri Modello'!$B$24,"OK",IF($F129&lt;='La Mia Rosa'!$O$12*'Parametri Modello'!$B$25,"Attenzione","Rischio Alto")))</f>
        <v>OK</v>
      </c>
      <c r="V129" s="23">
        <f t="shared" si="10"/>
        <v>46</v>
      </c>
      <c r="W129" s="18">
        <f>'Info Lega'!$B$4-SUMIFS($M$2:$M$492,$D$2:$D$492,'Info Lega'!$B$28)</f>
        <v>1000</v>
      </c>
      <c r="X129" s="18">
        <f>('Info Lega'!$B$5-COUNTIFS($D$2:$D$492,'Info Lega'!$B$28,$B$2:$B$492,"P"))+('Info Lega'!$B$6-COUNTIFS($D$2:$D$492,'Info Lega'!$B$28,$B$2:$B$492,"D"))+('Info Lega'!$B$7-COUNTIFS($D$2:$D$492,'Info Lega'!$B$28,$B$2:$B$492,"C"))+('Info Lega'!$B$8-COUNTIFS($D$2:$D$492,'Info Lega'!$B$28,$B$2:$B$492,"A"))</f>
        <v>25</v>
      </c>
      <c r="Y129" s="18">
        <f>X129*'Parametri Modello'!$B$30</f>
        <v>25</v>
      </c>
      <c r="Z129" s="18">
        <f t="shared" si="11"/>
        <v>975</v>
      </c>
      <c r="AA129" s="18">
        <f t="shared" si="12"/>
        <v>3</v>
      </c>
      <c r="AB129" s="18"/>
      <c r="AC129" s="18" t="str">
        <f>IF($AB129="","",IF($AB129&gt;$AA129,"PASS",IF($AB129&lt;=$AA129*(1-'Parametri Modello'!$B$68),"BID","ATTENZIONE")))</f>
        <v/>
      </c>
      <c r="AD129" s="28" t="str">
        <f t="shared" si="13"/>
        <v/>
      </c>
      <c r="AE129" s="5" t="str">
        <f>IFERROR(INDEX('Stato Asta'!$G$9:$G$12,MATCH($B129,'Stato Asta'!$A$9:$A$12,0)),"")</f>
        <v>🔴 Non aspettare</v>
      </c>
      <c r="AF129" t="str">
        <f>IFERROR(IF($V129&lt;=INDEX('Parametri Modello'!$C$57:$C$60,MATCH($B129,'Parametri Modello'!$A$57:$A$60,0)),"Titolare","Riserva"),"")</f>
        <v>Riserva</v>
      </c>
      <c r="AG129" t="str">
        <f>IFERROR(INDEX('Pressione Competitiva'!$F$3:$F$6,MATCH($B129,'Pressione Competitiva'!$B$3:$B$6,0)),"")</f>
        <v>🔴 Molto Alta</v>
      </c>
      <c r="AH129" t="str">
        <f t="shared" si="14"/>
        <v/>
      </c>
      <c r="AI129" t="str">
        <f>IFERROR(IF($AH129="","",IF($AH129&gt;=$AA129*'Parametri Modello'!$B$68,"🟢 Opportunita'",IF($AH129&lt;=$AA129*'Parametri Modello'!$B$69,"🔴 Sovrapprezzo","🟡 Prezzo Corretto"))),"")</f>
        <v/>
      </c>
      <c r="AJ129" t="str">
        <f t="shared" si="15"/>
        <v/>
      </c>
      <c r="AK129">
        <f t="shared" si="16"/>
        <v>28</v>
      </c>
      <c r="AL129" t="str">
        <f t="shared" si="17"/>
        <v>C|Buono|28</v>
      </c>
    </row>
    <row r="130" spans="1:38" ht="14.25" customHeight="1" x14ac:dyDescent="0.25">
      <c r="A130" s="18">
        <v>5029</v>
      </c>
      <c r="B130" s="18" t="s">
        <v>18</v>
      </c>
      <c r="C130" s="18" t="s">
        <v>269</v>
      </c>
      <c r="E130" s="23" t="str">
        <f>IF(COUNTIF('Info Strategia'!$D$2:$D$51,$C130)&gt;0,"SI","NO")</f>
        <v>NO</v>
      </c>
      <c r="F130" s="24">
        <f>IFERROR(ROUND(($G130+($H130-$G130)*'Info Strategia'!$B$6)*(1+IF($E130="SI",'Parametri Modello'!$B$7*'Info Strategia'!$B$6,0)),0),"")</f>
        <v>8</v>
      </c>
      <c r="G130" s="24">
        <f>IFERROR(ROUND(MAX(1,(IF($V130&lt;=INDEX('Parametri Modello'!$C$57:$C$60,MATCH($B130,'Parametri Modello'!$A$57:$A$60,0)),IF(INDEX('Parametri Modello'!$E$57:$E$60,MATCH($B130,'Parametri Modello'!$A$57:$A$60,0))=0,0,($O130/INDEX('Parametri Modello'!$E$57:$E$60,MATCH($B130,'Parametri Modello'!$A$57:$A$60,0)))*(INDEX('Parametri Modello'!$D$57:$D$60,MATCH($B130,'Parametri Modello'!$A$57:$A$60,0))*(INDEX('Parametri Modello'!$B$50:$B$53,MATCH($B130,'Parametri Modello'!$A$50:$A$53,0))*'Parametri Modello'!$B$44))),IF(INDEX('Parametri Modello'!$F$57:$F$60,MATCH($B130,'Parametri Modello'!$A$57:$A$60,0))=0,0,($O130/INDEX('Parametri Modello'!$F$57:$F$60,MATCH($B130,'Parametri Modello'!$A$57:$A$60,0)))*((1-INDEX('Parametri Modello'!$D$57:$D$60,MATCH($B130,'Parametri Modello'!$A$57:$A$60,0)))*(INDEX('Parametri Modello'!$B$50:$B$53,MATCH($B130,'Parametri Modello'!$A$50:$A$53,0))*'Parametri Modello'!$B$44))))*(1+IF(IF($B130="D",'Info Lega'!$B$25,IF($B130="C",'Info Lega'!$B$26,"No"))="Si",'Parametri Modello'!$B$5,0))*(1+MAX(-0.25,MIN(0.25,IF(OR($T130="",$I130="",$I130=0,INDEX('Parametri Modello'!$B$19:$B$22,MATCH($B130,'Parametri Modello'!$A$19:$A$22,0))="",INDEX('Parametri Modello'!$B$19:$B$22,MATCH($B130,'Parametri Modello'!$A$19:$A$22,0))=0),0,(($T130-INDEX('Parametri Modello'!$B$19:$B$22,MATCH($B130,'Parametri Modello'!$A$19:$A$22,0)))/INDEX('Parametri Modello'!$B$19:$B$22,MATCH($B130,'Parametri Modello'!$A$19:$A$22,0)))*'Parametri Modello'!$B$9))))*(1+IF('Parametri Modello'!$B$27="Si",MAX(-'Parametri Modello'!$B$28,MIN('Parametri Modello'!$B$28*1.5,IF(OR(INDEX('Parametri Modello'!$F$32:$F$35,MATCH($B130,'Parametri Modello'!$A$32:$A$35,0))="",INDEX('Parametri Modello'!$F$32:$F$35,MATCH($B130,'Parametri Modello'!$A$32:$A$35,0))=0),0,(1/INDEX('Parametri Modello'!$F$32:$F$35,MATCH($B130,'Parametri Modello'!$A$32:$A$35,0))-1)*'Parametri Modello'!$B$28))),0)))*(1-INDEX('Parametri Modello'!$B$12:$B$15,MATCH($B130,'Parametri Modello'!$A$12:$A$15,0)))),0),"")</f>
        <v>5</v>
      </c>
      <c r="H130" s="24">
        <f>IFERROR(ROUND((IF($V130&lt;=INDEX('Parametri Modello'!$C$57:$C$60,MATCH($B130,'Parametri Modello'!$A$57:$A$60,0)),IF(INDEX('Parametri Modello'!$E$57:$E$60,MATCH($B130,'Parametri Modello'!$A$57:$A$60,0))=0,0,($O130/INDEX('Parametri Modello'!$E$57:$E$60,MATCH($B130,'Parametri Modello'!$A$57:$A$60,0)))*(INDEX('Parametri Modello'!$D$57:$D$60,MATCH($B130,'Parametri Modello'!$A$57:$A$60,0))*(INDEX('Parametri Modello'!$B$50:$B$53,MATCH($B130,'Parametri Modello'!$A$50:$A$53,0))*'Parametri Modello'!$B$44))),IF(INDEX('Parametri Modello'!$F$57:$F$60,MATCH($B130,'Parametri Modello'!$A$57:$A$60,0))=0,0,($O130/INDEX('Parametri Modello'!$F$57:$F$60,MATCH($B130,'Parametri Modello'!$A$57:$A$60,0)))*((1-INDEX('Parametri Modello'!$D$57:$D$60,MATCH($B130,'Parametri Modello'!$A$57:$A$60,0)))*(INDEX('Parametri Modello'!$B$50:$B$53,MATCH($B130,'Parametri Modello'!$A$50:$A$53,0))*'Parametri Modello'!$B$44))))*(1+IF(IF($B130="D",'Info Lega'!$B$25,IF($B130="C",'Info Lega'!$B$26,"No"))="Si",'Parametri Modello'!$B$5,0))*(1+MAX(-0.25,MIN(0.25,IF(OR($T130="",$I130="",$I130=0,INDEX('Parametri Modello'!$B$19:$B$22,MATCH($B130,'Parametri Modello'!$A$19:$A$22,0))="",INDEX('Parametri Modello'!$B$19:$B$22,MATCH($B130,'Parametri Modello'!$A$19:$A$22,0))=0),0,(($T130-INDEX('Parametri Modello'!$B$19:$B$22,MATCH($B130,'Parametri Modello'!$A$19:$A$22,0)))/INDEX('Parametri Modello'!$B$19:$B$22,MATCH($B130,'Parametri Modello'!$A$19:$A$22,0)))*'Parametri Modello'!$B$9))))*(1+IF('Parametri Modello'!$B$27="Si",MAX(-'Parametri Modello'!$B$28,MIN('Parametri Modello'!$B$28*1.5,IF(OR(INDEX('Parametri Modello'!$F$32:$F$35,MATCH($B130,'Parametri Modello'!$A$32:$A$35,0))="",INDEX('Parametri Modello'!$F$32:$F$35,MATCH($B130,'Parametri Modello'!$A$32:$A$35,0))=0),0,(1/INDEX('Parametri Modello'!$F$32:$F$35,MATCH($B130,'Parametri Modello'!$A$32:$A$35,0))-1)*'Parametri Modello'!$B$28))),0)))*(1+INDEX('Parametri Modello'!$B$12:$B$15,MATCH($B130,'Parametri Modello'!$A$12:$A$15,0))),0),"")</f>
        <v>9</v>
      </c>
      <c r="I130" s="23" t="str">
        <f>IFERROR(INDEX('Input Statistiche 2025_26'!$F$3:$F$665,MATCH($A130,'Input Statistiche 2025_26'!$A$3:$A$665,0)),"")</f>
        <v/>
      </c>
      <c r="J130" s="23" t="str">
        <f t="shared" ref="J130:J193" si="18">IFERROR(IF($I130="","",MAX(0,38-$I130)),"")</f>
        <v/>
      </c>
      <c r="K130" s="23" t="str">
        <f>IFERROR(INDEX('Input Statistiche 2025_26'!$I$3:$I$665,MATCH($A130,'Input Statistiche 2025_26'!$A$3:$A$665,0)),"")</f>
        <v/>
      </c>
      <c r="L130" s="23" t="str">
        <f>IFERROR(INDEX('Input Statistiche 2025_26'!$O$3:$O$665,MATCH($A130,'Input Statistiche 2025_26'!$A$3:$A$665,0)),"")</f>
        <v/>
      </c>
      <c r="M130" s="25"/>
      <c r="N130" s="24">
        <f>IFERROR(INDEX('Input Giocatori 2026_27'!$E$3:$E$493,MATCH($A130,'Input Giocatori 2026_27'!$A$3:$A$493,0)),"")</f>
        <v>9</v>
      </c>
      <c r="O130" s="24">
        <f>IFERROR(INDEX('Input Giocatori 2026_27'!$G$3:$G$493,MATCH($A130,'Input Giocatori 2026_27'!$A$3:$A$493,0)),"")</f>
        <v>25</v>
      </c>
      <c r="P130" s="23" t="str">
        <f>IFERROR(IF($O130="","",IF((1-(COUNTIFS($B$2:$B$492,$B130,$O$2:$O$492,"&gt;"&amp;$O130)+1-1)/COUNTIF($B$2:$B$492,$B130))&gt;='Parametri Modello'!$B$63,"Top",IF((1-(COUNTIFS($B$2:$B$492,$B130,$O$2:$O$492,"&gt;"&amp;$O130)+1-1)/COUNTIF($B$2:$B$492,$B130))&gt;='Parametri Modello'!$B$64,"Buono",IF((1-(COUNTIFS($B$2:$B$492,$B130,$O$2:$O$492,"&gt;"&amp;$O130)+1-1)/COUNTIF($B$2:$B$492,$B130))&gt;='Parametri Modello'!$B$65,"Nella Media","Scommessa/Riserva")))),"")</f>
        <v>Nella Media</v>
      </c>
      <c r="Q130" s="26">
        <f>IF(AND($D130="",$N130&gt;1),SUMPRODUCT(($D$2:$D130="")*($N$2:$N130&gt;1)),"")</f>
        <v>129</v>
      </c>
      <c r="R130" s="26" t="str">
        <f>IF($D130='Info Lega'!$B$28,COUNTIFS($D$2:$D130,'Info Lega'!$B$28),"")</f>
        <v/>
      </c>
      <c r="S130" s="27" t="str">
        <f>IFERROR(INDEX('Input Statistiche 2025_26'!$G$3:$G$665,MATCH($A130,'Input Statistiche 2025_26'!$A$3:$A$665,0)),"")</f>
        <v/>
      </c>
      <c r="T130" s="27" t="str">
        <f>IFERROR(INDEX('Input Statistiche 2025_26'!$H$3:$H$665,MATCH($A130,'Input Statistiche 2025_26'!$A$3:$A$665,0)),"")</f>
        <v/>
      </c>
      <c r="U130" s="23" t="str">
        <f>IF(OR('La Mia Rosa'!$O$12="",$D130&lt;&gt;""),"",IF($F130&lt;='La Mia Rosa'!$O$12*'Parametri Modello'!$B$24,"OK",IF($F130&lt;='La Mia Rosa'!$O$12*'Parametri Modello'!$B$25,"Attenzione","Rischio Alto")))</f>
        <v>OK</v>
      </c>
      <c r="V130" s="23">
        <f t="shared" ref="V130:V193" si="19">IFERROR(COUNTIFS($B$2:$B$492,$B130,$O$2:$O$492,"&gt;"&amp;$O130)+1,"")</f>
        <v>41</v>
      </c>
      <c r="W130" s="18">
        <f>'Info Lega'!$B$4-SUMIFS($M$2:$M$492,$D$2:$D$492,'Info Lega'!$B$28)</f>
        <v>1000</v>
      </c>
      <c r="X130" s="18">
        <f>('Info Lega'!$B$5-COUNTIFS($D$2:$D$492,'Info Lega'!$B$28,$B$2:$B$492,"P"))+('Info Lega'!$B$6-COUNTIFS($D$2:$D$492,'Info Lega'!$B$28,$B$2:$B$492,"D"))+('Info Lega'!$B$7-COUNTIFS($D$2:$D$492,'Info Lega'!$B$28,$B$2:$B$492,"C"))+('Info Lega'!$B$8-COUNTIFS($D$2:$D$492,'Info Lega'!$B$28,$B$2:$B$492,"A"))</f>
        <v>25</v>
      </c>
      <c r="Y130" s="18">
        <f>X130*'Parametri Modello'!$B$30</f>
        <v>25</v>
      </c>
      <c r="Z130" s="18">
        <f t="shared" ref="Z130:Z193" si="20">MAX(0,W130-Y130)</f>
        <v>975</v>
      </c>
      <c r="AA130" s="18">
        <f t="shared" ref="AA130:AA193" si="21">MIN(F130,Z130)</f>
        <v>8</v>
      </c>
      <c r="AB130" s="18"/>
      <c r="AC130" s="18" t="str">
        <f>IF($AB130="","",IF($AB130&gt;$AA130,"PASS",IF($AB130&lt;=$AA130*(1-'Parametri Modello'!$B$68),"BID","ATTENZIONE")))</f>
        <v/>
      </c>
      <c r="AD130" s="28" t="str">
        <f t="shared" ref="AD130:AD193" si="22">IF(I130="","",ROUND(100*(1-EXP(-I130/30)),0))</f>
        <v/>
      </c>
      <c r="AE130" s="5" t="str">
        <f>IFERROR(INDEX('Stato Asta'!$G$9:$G$12,MATCH($B130,'Stato Asta'!$A$9:$A$12,0)),"")</f>
        <v>🔴 Non aspettare</v>
      </c>
      <c r="AF130" t="str">
        <f>IFERROR(IF($V130&lt;=INDEX('Parametri Modello'!$C$57:$C$60,MATCH($B130,'Parametri Modello'!$A$57:$A$60,0)),"Titolare","Riserva"),"")</f>
        <v>Riserva</v>
      </c>
      <c r="AG130" t="str">
        <f>IFERROR(INDEX('Pressione Competitiva'!$F$3:$F$6,MATCH($B130,'Pressione Competitiva'!$B$3:$B$6,0)),"")</f>
        <v>🔴 Molto Alta</v>
      </c>
      <c r="AH130" t="str">
        <f t="shared" ref="AH130:AH193" si="23">IF($AB130="","",$AA130-$AB130)</f>
        <v/>
      </c>
      <c r="AI130" t="str">
        <f>IFERROR(IF($AH130="","",IF($AH130&gt;=$AA130*'Parametri Modello'!$B$68,"🟢 Opportunita'",IF($AH130&lt;=$AA130*'Parametri Modello'!$B$69,"🔴 Sovrapprezzo","🟡 Prezzo Corretto"))),"")</f>
        <v/>
      </c>
      <c r="AJ130" t="str">
        <f t="shared" ref="AJ130:AJ193" si="24">IF($AB130="","",IF($AC130="PASS","Prezzo sopra la tua Offerta Max Dinamica ("&amp;$AA130&amp;" cr).",IF($AC130="BID","Margine ampio sul tuo tetto (+"&amp;($AA130-$AB130)&amp;" cr).","Margine ridotto: sei vicino al tuo tetto ("&amp;($AA130-$AB130)&amp;" cr residui).")))</f>
        <v/>
      </c>
      <c r="AK130">
        <f t="shared" ref="AK130:AK193" si="25">IF(AND($D130="",$N130&gt;1),COUNTIFS($B$2:$B$492,$B130,$P$2:$P$492,$P130,$D$2:$D$492,"",$N$2:$N$492,"&gt;1",$O$2:$O$492,"&gt;"&amp;$O130)+1,"")</f>
        <v>15</v>
      </c>
      <c r="AL130" t="str">
        <f t="shared" ref="AL130:AL193" si="26">IF($AK130="","",$B130&amp;"|"&amp;$P130&amp;"|"&amp;$AK130)</f>
        <v>A|Nella Media|15</v>
      </c>
    </row>
    <row r="131" spans="1:38" ht="14.25" customHeight="1" x14ac:dyDescent="0.25">
      <c r="A131" s="18">
        <v>2832</v>
      </c>
      <c r="B131" s="18" t="s">
        <v>18</v>
      </c>
      <c r="C131" s="18" t="s">
        <v>270</v>
      </c>
      <c r="E131" s="23" t="str">
        <f>IF(COUNTIF('Info Strategia'!$D$2:$D$51,$C131)&gt;0,"SI","NO")</f>
        <v>NO</v>
      </c>
      <c r="F131" s="24">
        <f>IFERROR(ROUND(($G131+($H131-$G131)*'Info Strategia'!$B$6)*(1+IF($E131="SI",'Parametri Modello'!$B$7*'Info Strategia'!$B$6,0)),0),"")</f>
        <v>8</v>
      </c>
      <c r="G131" s="24">
        <f>IFERROR(ROUND(MAX(1,(IF($V131&lt;=INDEX('Parametri Modello'!$C$57:$C$60,MATCH($B131,'Parametri Modello'!$A$57:$A$60,0)),IF(INDEX('Parametri Modello'!$E$57:$E$60,MATCH($B131,'Parametri Modello'!$A$57:$A$60,0))=0,0,($O131/INDEX('Parametri Modello'!$E$57:$E$60,MATCH($B131,'Parametri Modello'!$A$57:$A$60,0)))*(INDEX('Parametri Modello'!$D$57:$D$60,MATCH($B131,'Parametri Modello'!$A$57:$A$60,0))*(INDEX('Parametri Modello'!$B$50:$B$53,MATCH($B131,'Parametri Modello'!$A$50:$A$53,0))*'Parametri Modello'!$B$44))),IF(INDEX('Parametri Modello'!$F$57:$F$60,MATCH($B131,'Parametri Modello'!$A$57:$A$60,0))=0,0,($O131/INDEX('Parametri Modello'!$F$57:$F$60,MATCH($B131,'Parametri Modello'!$A$57:$A$60,0)))*((1-INDEX('Parametri Modello'!$D$57:$D$60,MATCH($B131,'Parametri Modello'!$A$57:$A$60,0)))*(INDEX('Parametri Modello'!$B$50:$B$53,MATCH($B131,'Parametri Modello'!$A$50:$A$53,0))*'Parametri Modello'!$B$44))))*(1+IF(IF($B131="D",'Info Lega'!$B$25,IF($B131="C",'Info Lega'!$B$26,"No"))="Si",'Parametri Modello'!$B$5,0))*(1+MAX(-0.25,MIN(0.25,IF(OR($T131="",$I131="",$I131=0,INDEX('Parametri Modello'!$B$19:$B$22,MATCH($B131,'Parametri Modello'!$A$19:$A$22,0))="",INDEX('Parametri Modello'!$B$19:$B$22,MATCH($B131,'Parametri Modello'!$A$19:$A$22,0))=0),0,(($T131-INDEX('Parametri Modello'!$B$19:$B$22,MATCH($B131,'Parametri Modello'!$A$19:$A$22,0)))/INDEX('Parametri Modello'!$B$19:$B$22,MATCH($B131,'Parametri Modello'!$A$19:$A$22,0)))*'Parametri Modello'!$B$9))))*(1+IF('Parametri Modello'!$B$27="Si",MAX(-'Parametri Modello'!$B$28,MIN('Parametri Modello'!$B$28*1.5,IF(OR(INDEX('Parametri Modello'!$F$32:$F$35,MATCH($B131,'Parametri Modello'!$A$32:$A$35,0))="",INDEX('Parametri Modello'!$F$32:$F$35,MATCH($B131,'Parametri Modello'!$A$32:$A$35,0))=0),0,(1/INDEX('Parametri Modello'!$F$32:$F$35,MATCH($B131,'Parametri Modello'!$A$32:$A$35,0))-1)*'Parametri Modello'!$B$28))),0)))*(1-INDEX('Parametri Modello'!$B$12:$B$15,MATCH($B131,'Parametri Modello'!$A$12:$A$15,0)))),0),"")</f>
        <v>5</v>
      </c>
      <c r="H131" s="24">
        <f>IFERROR(ROUND((IF($V131&lt;=INDEX('Parametri Modello'!$C$57:$C$60,MATCH($B131,'Parametri Modello'!$A$57:$A$60,0)),IF(INDEX('Parametri Modello'!$E$57:$E$60,MATCH($B131,'Parametri Modello'!$A$57:$A$60,0))=0,0,($O131/INDEX('Parametri Modello'!$E$57:$E$60,MATCH($B131,'Parametri Modello'!$A$57:$A$60,0)))*(INDEX('Parametri Modello'!$D$57:$D$60,MATCH($B131,'Parametri Modello'!$A$57:$A$60,0))*(INDEX('Parametri Modello'!$B$50:$B$53,MATCH($B131,'Parametri Modello'!$A$50:$A$53,0))*'Parametri Modello'!$B$44))),IF(INDEX('Parametri Modello'!$F$57:$F$60,MATCH($B131,'Parametri Modello'!$A$57:$A$60,0))=0,0,($O131/INDEX('Parametri Modello'!$F$57:$F$60,MATCH($B131,'Parametri Modello'!$A$57:$A$60,0)))*((1-INDEX('Parametri Modello'!$D$57:$D$60,MATCH($B131,'Parametri Modello'!$A$57:$A$60,0)))*(INDEX('Parametri Modello'!$B$50:$B$53,MATCH($B131,'Parametri Modello'!$A$50:$A$53,0))*'Parametri Modello'!$B$44))))*(1+IF(IF($B131="D",'Info Lega'!$B$25,IF($B131="C",'Info Lega'!$B$26,"No"))="Si",'Parametri Modello'!$B$5,0))*(1+MAX(-0.25,MIN(0.25,IF(OR($T131="",$I131="",$I131=0,INDEX('Parametri Modello'!$B$19:$B$22,MATCH($B131,'Parametri Modello'!$A$19:$A$22,0))="",INDEX('Parametri Modello'!$B$19:$B$22,MATCH($B131,'Parametri Modello'!$A$19:$A$22,0))=0),0,(($T131-INDEX('Parametri Modello'!$B$19:$B$22,MATCH($B131,'Parametri Modello'!$A$19:$A$22,0)))/INDEX('Parametri Modello'!$B$19:$B$22,MATCH($B131,'Parametri Modello'!$A$19:$A$22,0)))*'Parametri Modello'!$B$9))))*(1+IF('Parametri Modello'!$B$27="Si",MAX(-'Parametri Modello'!$B$28,MIN('Parametri Modello'!$B$28*1.5,IF(OR(INDEX('Parametri Modello'!$F$32:$F$35,MATCH($B131,'Parametri Modello'!$A$32:$A$35,0))="",INDEX('Parametri Modello'!$F$32:$F$35,MATCH($B131,'Parametri Modello'!$A$32:$A$35,0))=0),0,(1/INDEX('Parametri Modello'!$F$32:$F$35,MATCH($B131,'Parametri Modello'!$A$32:$A$35,0))-1)*'Parametri Modello'!$B$28))),0)))*(1+INDEX('Parametri Modello'!$B$12:$B$15,MATCH($B131,'Parametri Modello'!$A$12:$A$15,0))),0),"")</f>
        <v>9</v>
      </c>
      <c r="I131" s="23">
        <f>IFERROR(INDEX('Input Statistiche 2025_26'!$F$3:$F$665,MATCH($A131,'Input Statistiche 2025_26'!$A$3:$A$665,0)),"")</f>
        <v>13</v>
      </c>
      <c r="J131" s="23">
        <f t="shared" si="18"/>
        <v>25</v>
      </c>
      <c r="K131" s="23">
        <f>IFERROR(INDEX('Input Statistiche 2025_26'!$I$3:$I$665,MATCH($A131,'Input Statistiche 2025_26'!$A$3:$A$665,0)),"")</f>
        <v>4</v>
      </c>
      <c r="L131" s="23">
        <f>IFERROR(INDEX('Input Statistiche 2025_26'!$O$3:$O$665,MATCH($A131,'Input Statistiche 2025_26'!$A$3:$A$665,0)),"")</f>
        <v>1</v>
      </c>
      <c r="M131" s="25"/>
      <c r="N131" s="24">
        <f>IFERROR(INDEX('Input Giocatori 2026_27'!$E$3:$E$493,MATCH($A131,'Input Giocatori 2026_27'!$A$3:$A$493,0)),"")</f>
        <v>6</v>
      </c>
      <c r="O131" s="24">
        <f>IFERROR(INDEX('Input Giocatori 2026_27'!$G$3:$G$493,MATCH($A131,'Input Giocatori 2026_27'!$A$3:$A$493,0)),"")</f>
        <v>25</v>
      </c>
      <c r="P131" s="23" t="str">
        <f>IFERROR(IF($O131="","",IF((1-(COUNTIFS($B$2:$B$492,$B131,$O$2:$O$492,"&gt;"&amp;$O131)+1-1)/COUNTIF($B$2:$B$492,$B131))&gt;='Parametri Modello'!$B$63,"Top",IF((1-(COUNTIFS($B$2:$B$492,$B131,$O$2:$O$492,"&gt;"&amp;$O131)+1-1)/COUNTIF($B$2:$B$492,$B131))&gt;='Parametri Modello'!$B$64,"Buono",IF((1-(COUNTIFS($B$2:$B$492,$B131,$O$2:$O$492,"&gt;"&amp;$O131)+1-1)/COUNTIF($B$2:$B$492,$B131))&gt;='Parametri Modello'!$B$65,"Nella Media","Scommessa/Riserva")))),"")</f>
        <v>Nella Media</v>
      </c>
      <c r="Q131" s="26">
        <f>IF(AND($D131="",$N131&gt;1),SUMPRODUCT(($D$2:$D131="")*($N$2:$N131&gt;1)),"")</f>
        <v>130</v>
      </c>
      <c r="R131" s="26" t="str">
        <f>IF($D131='Info Lega'!$B$28,COUNTIFS($D$2:$D131,'Info Lega'!$B$28),"")</f>
        <v/>
      </c>
      <c r="S131" s="27">
        <f>IFERROR(INDEX('Input Statistiche 2025_26'!$G$3:$G$665,MATCH($A131,'Input Statistiche 2025_26'!$A$3:$A$665,0)),"")</f>
        <v>6.19</v>
      </c>
      <c r="T131" s="27">
        <f>IFERROR(INDEX('Input Statistiche 2025_26'!$H$3:$H$665,MATCH($A131,'Input Statistiche 2025_26'!$A$3:$A$665,0)),"")</f>
        <v>7.15</v>
      </c>
      <c r="U131" s="23" t="str">
        <f>IF(OR('La Mia Rosa'!$O$12="",$D131&lt;&gt;""),"",IF($F131&lt;='La Mia Rosa'!$O$12*'Parametri Modello'!$B$24,"OK",IF($F131&lt;='La Mia Rosa'!$O$12*'Parametri Modello'!$B$25,"Attenzione","Rischio Alto")))</f>
        <v>OK</v>
      </c>
      <c r="V131" s="23">
        <f t="shared" si="19"/>
        <v>41</v>
      </c>
      <c r="W131" s="18">
        <f>'Info Lega'!$B$4-SUMIFS($M$2:$M$492,$D$2:$D$492,'Info Lega'!$B$28)</f>
        <v>1000</v>
      </c>
      <c r="X131" s="18">
        <f>('Info Lega'!$B$5-COUNTIFS($D$2:$D$492,'Info Lega'!$B$28,$B$2:$B$492,"P"))+('Info Lega'!$B$6-COUNTIFS($D$2:$D$492,'Info Lega'!$B$28,$B$2:$B$492,"D"))+('Info Lega'!$B$7-COUNTIFS($D$2:$D$492,'Info Lega'!$B$28,$B$2:$B$492,"C"))+('Info Lega'!$B$8-COUNTIFS($D$2:$D$492,'Info Lega'!$B$28,$B$2:$B$492,"A"))</f>
        <v>25</v>
      </c>
      <c r="Y131" s="18">
        <f>X131*'Parametri Modello'!$B$30</f>
        <v>25</v>
      </c>
      <c r="Z131" s="18">
        <f t="shared" si="20"/>
        <v>975</v>
      </c>
      <c r="AA131" s="18">
        <f t="shared" si="21"/>
        <v>8</v>
      </c>
      <c r="AB131" s="18"/>
      <c r="AC131" s="18" t="str">
        <f>IF($AB131="","",IF($AB131&gt;$AA131,"PASS",IF($AB131&lt;=$AA131*(1-'Parametri Modello'!$B$68),"BID","ATTENZIONE")))</f>
        <v/>
      </c>
      <c r="AD131" s="28">
        <f t="shared" si="22"/>
        <v>35</v>
      </c>
      <c r="AE131" s="5" t="str">
        <f>IFERROR(INDEX('Stato Asta'!$G$9:$G$12,MATCH($B131,'Stato Asta'!$A$9:$A$12,0)),"")</f>
        <v>🔴 Non aspettare</v>
      </c>
      <c r="AF131" t="str">
        <f>IFERROR(IF($V131&lt;=INDEX('Parametri Modello'!$C$57:$C$60,MATCH($B131,'Parametri Modello'!$A$57:$A$60,0)),"Titolare","Riserva"),"")</f>
        <v>Riserva</v>
      </c>
      <c r="AG131" t="str">
        <f>IFERROR(INDEX('Pressione Competitiva'!$F$3:$F$6,MATCH($B131,'Pressione Competitiva'!$B$3:$B$6,0)),"")</f>
        <v>🔴 Molto Alta</v>
      </c>
      <c r="AH131" t="str">
        <f t="shared" si="23"/>
        <v/>
      </c>
      <c r="AI131" t="str">
        <f>IFERROR(IF($AH131="","",IF($AH131&gt;=$AA131*'Parametri Modello'!$B$68,"🟢 Opportunita'",IF($AH131&lt;=$AA131*'Parametri Modello'!$B$69,"🔴 Sovrapprezzo","🟡 Prezzo Corretto"))),"")</f>
        <v/>
      </c>
      <c r="AJ131" t="str">
        <f t="shared" si="24"/>
        <v/>
      </c>
      <c r="AK131">
        <f t="shared" si="25"/>
        <v>15</v>
      </c>
      <c r="AL131" t="str">
        <f t="shared" si="26"/>
        <v>A|Nella Media|15</v>
      </c>
    </row>
    <row r="132" spans="1:38" ht="14.25" customHeight="1" x14ac:dyDescent="0.25">
      <c r="A132" s="18">
        <v>554</v>
      </c>
      <c r="B132" s="18" t="s">
        <v>16</v>
      </c>
      <c r="C132" s="18" t="s">
        <v>271</v>
      </c>
      <c r="E132" s="23" t="str">
        <f>IF(COUNTIF('Info Strategia'!$D$2:$D$51,$C132)&gt;0,"SI","NO")</f>
        <v>NO</v>
      </c>
      <c r="F132" s="24">
        <f>IFERROR(ROUND(($G132+($H132-$G132)*'Info Strategia'!$B$6)*(1+IF($E132="SI",'Parametri Modello'!$B$7*'Info Strategia'!$B$6,0)),0),"")</f>
        <v>4</v>
      </c>
      <c r="G132" s="24">
        <f>IFERROR(ROUND(MAX(1,(IF($V132&lt;=INDEX('Parametri Modello'!$C$57:$C$60,MATCH($B132,'Parametri Modello'!$A$57:$A$60,0)),IF(INDEX('Parametri Modello'!$E$57:$E$60,MATCH($B132,'Parametri Modello'!$A$57:$A$60,0))=0,0,($O132/INDEX('Parametri Modello'!$E$57:$E$60,MATCH($B132,'Parametri Modello'!$A$57:$A$60,0)))*(INDEX('Parametri Modello'!$D$57:$D$60,MATCH($B132,'Parametri Modello'!$A$57:$A$60,0))*(INDEX('Parametri Modello'!$B$50:$B$53,MATCH($B132,'Parametri Modello'!$A$50:$A$53,0))*'Parametri Modello'!$B$44))),IF(INDEX('Parametri Modello'!$F$57:$F$60,MATCH($B132,'Parametri Modello'!$A$57:$A$60,0))=0,0,($O132/INDEX('Parametri Modello'!$F$57:$F$60,MATCH($B132,'Parametri Modello'!$A$57:$A$60,0)))*((1-INDEX('Parametri Modello'!$D$57:$D$60,MATCH($B132,'Parametri Modello'!$A$57:$A$60,0)))*(INDEX('Parametri Modello'!$B$50:$B$53,MATCH($B132,'Parametri Modello'!$A$50:$A$53,0))*'Parametri Modello'!$B$44))))*(1+IF(IF($B132="D",'Info Lega'!$B$25,IF($B132="C",'Info Lega'!$B$26,"No"))="Si",'Parametri Modello'!$B$5,0))*(1+MAX(-0.25,MIN(0.25,IF(OR($T132="",$I132="",$I132=0,INDEX('Parametri Modello'!$B$19:$B$22,MATCH($B132,'Parametri Modello'!$A$19:$A$22,0))="",INDEX('Parametri Modello'!$B$19:$B$22,MATCH($B132,'Parametri Modello'!$A$19:$A$22,0))=0),0,(($T132-INDEX('Parametri Modello'!$B$19:$B$22,MATCH($B132,'Parametri Modello'!$A$19:$A$22,0)))/INDEX('Parametri Modello'!$B$19:$B$22,MATCH($B132,'Parametri Modello'!$A$19:$A$22,0)))*'Parametri Modello'!$B$9))))*(1+IF('Parametri Modello'!$B$27="Si",MAX(-'Parametri Modello'!$B$28,MIN('Parametri Modello'!$B$28*1.5,IF(OR(INDEX('Parametri Modello'!$F$32:$F$35,MATCH($B132,'Parametri Modello'!$A$32:$A$35,0))="",INDEX('Parametri Modello'!$F$32:$F$35,MATCH($B132,'Parametri Modello'!$A$32:$A$35,0))=0),0,(1/INDEX('Parametri Modello'!$F$32:$F$35,MATCH($B132,'Parametri Modello'!$A$32:$A$35,0))-1)*'Parametri Modello'!$B$28))),0)))*(1-INDEX('Parametri Modello'!$B$12:$B$15,MATCH($B132,'Parametri Modello'!$A$12:$A$15,0)))),0),"")</f>
        <v>3</v>
      </c>
      <c r="H132" s="24">
        <f>IFERROR(ROUND((IF($V132&lt;=INDEX('Parametri Modello'!$C$57:$C$60,MATCH($B132,'Parametri Modello'!$A$57:$A$60,0)),IF(INDEX('Parametri Modello'!$E$57:$E$60,MATCH($B132,'Parametri Modello'!$A$57:$A$60,0))=0,0,($O132/INDEX('Parametri Modello'!$E$57:$E$60,MATCH($B132,'Parametri Modello'!$A$57:$A$60,0)))*(INDEX('Parametri Modello'!$D$57:$D$60,MATCH($B132,'Parametri Modello'!$A$57:$A$60,0))*(INDEX('Parametri Modello'!$B$50:$B$53,MATCH($B132,'Parametri Modello'!$A$50:$A$53,0))*'Parametri Modello'!$B$44))),IF(INDEX('Parametri Modello'!$F$57:$F$60,MATCH($B132,'Parametri Modello'!$A$57:$A$60,0))=0,0,($O132/INDEX('Parametri Modello'!$F$57:$F$60,MATCH($B132,'Parametri Modello'!$A$57:$A$60,0)))*((1-INDEX('Parametri Modello'!$D$57:$D$60,MATCH($B132,'Parametri Modello'!$A$57:$A$60,0)))*(INDEX('Parametri Modello'!$B$50:$B$53,MATCH($B132,'Parametri Modello'!$A$50:$A$53,0))*'Parametri Modello'!$B$44))))*(1+IF(IF($B132="D",'Info Lega'!$B$25,IF($B132="C",'Info Lega'!$B$26,"No"))="Si",'Parametri Modello'!$B$5,0))*(1+MAX(-0.25,MIN(0.25,IF(OR($T132="",$I132="",$I132=0,INDEX('Parametri Modello'!$B$19:$B$22,MATCH($B132,'Parametri Modello'!$A$19:$A$22,0))="",INDEX('Parametri Modello'!$B$19:$B$22,MATCH($B132,'Parametri Modello'!$A$19:$A$22,0))=0),0,(($T132-INDEX('Parametri Modello'!$B$19:$B$22,MATCH($B132,'Parametri Modello'!$A$19:$A$22,0)))/INDEX('Parametri Modello'!$B$19:$B$22,MATCH($B132,'Parametri Modello'!$A$19:$A$22,0)))*'Parametri Modello'!$B$9))))*(1+IF('Parametri Modello'!$B$27="Si",MAX(-'Parametri Modello'!$B$28,MIN('Parametri Modello'!$B$28*1.5,IF(OR(INDEX('Parametri Modello'!$F$32:$F$35,MATCH($B132,'Parametri Modello'!$A$32:$A$35,0))="",INDEX('Parametri Modello'!$F$32:$F$35,MATCH($B132,'Parametri Modello'!$A$32:$A$35,0))=0),0,(1/INDEX('Parametri Modello'!$F$32:$F$35,MATCH($B132,'Parametri Modello'!$A$32:$A$35,0))-1)*'Parametri Modello'!$B$28))),0)))*(1+INDEX('Parametri Modello'!$B$12:$B$15,MATCH($B132,'Parametri Modello'!$A$12:$A$15,0))),0),"")</f>
        <v>5</v>
      </c>
      <c r="I132" s="23">
        <f>IFERROR(INDEX('Input Statistiche 2025_26'!$F$3:$F$665,MATCH($A132,'Input Statistiche 2025_26'!$A$3:$A$665,0)),"")</f>
        <v>35</v>
      </c>
      <c r="J132" s="23">
        <f t="shared" si="18"/>
        <v>3</v>
      </c>
      <c r="K132" s="23">
        <f>IFERROR(INDEX('Input Statistiche 2025_26'!$I$3:$I$665,MATCH($A132,'Input Statistiche 2025_26'!$A$3:$A$665,0)),"")</f>
        <v>3</v>
      </c>
      <c r="L132" s="23">
        <f>IFERROR(INDEX('Input Statistiche 2025_26'!$O$3:$O$665,MATCH($A132,'Input Statistiche 2025_26'!$A$3:$A$665,0)),"")</f>
        <v>1</v>
      </c>
      <c r="M132" s="25"/>
      <c r="N132" s="24">
        <f>IFERROR(INDEX('Input Giocatori 2026_27'!$E$3:$E$493,MATCH($A132,'Input Giocatori 2026_27'!$A$3:$A$493,0)),"")</f>
        <v>8</v>
      </c>
      <c r="O132" s="24">
        <f>IFERROR(INDEX('Input Giocatori 2026_27'!$G$3:$G$493,MATCH($A132,'Input Giocatori 2026_27'!$A$3:$A$493,0)),"")</f>
        <v>24</v>
      </c>
      <c r="P132" s="23" t="str">
        <f>IFERROR(IF($O132="","",IF((1-(COUNTIFS($B$2:$B$492,$B132,$O$2:$O$492,"&gt;"&amp;$O132)+1-1)/COUNTIF($B$2:$B$492,$B132))&gt;='Parametri Modello'!$B$63,"Top",IF((1-(COUNTIFS($B$2:$B$492,$B132,$O$2:$O$492,"&gt;"&amp;$O132)+1-1)/COUNTIF($B$2:$B$492,$B132))&gt;='Parametri Modello'!$B$64,"Buono",IF((1-(COUNTIFS($B$2:$B$492,$B132,$O$2:$O$492,"&gt;"&amp;$O132)+1-1)/COUNTIF($B$2:$B$492,$B132))&gt;='Parametri Modello'!$B$65,"Nella Media","Scommessa/Riserva")))),"")</f>
        <v>Buono</v>
      </c>
      <c r="Q132" s="26">
        <f>IF(AND($D132="",$N132&gt;1),SUMPRODUCT(($D$2:$D132="")*($N$2:$N132&gt;1)),"")</f>
        <v>131</v>
      </c>
      <c r="R132" s="26" t="str">
        <f>IF($D132='Info Lega'!$B$28,COUNTIFS($D$2:$D132,'Info Lega'!$B$28),"")</f>
        <v/>
      </c>
      <c r="S132" s="27">
        <f>IFERROR(INDEX('Input Statistiche 2025_26'!$G$3:$G$665,MATCH($A132,'Input Statistiche 2025_26'!$A$3:$A$665,0)),"")</f>
        <v>6.06</v>
      </c>
      <c r="T132" s="27">
        <f>IFERROR(INDEX('Input Statistiche 2025_26'!$H$3:$H$665,MATCH($A132,'Input Statistiche 2025_26'!$A$3:$A$665,0)),"")</f>
        <v>6.3</v>
      </c>
      <c r="U132" s="23" t="str">
        <f>IF(OR('La Mia Rosa'!$O$12="",$D132&lt;&gt;""),"",IF($F132&lt;='La Mia Rosa'!$O$12*'Parametri Modello'!$B$24,"OK",IF($F132&lt;='La Mia Rosa'!$O$12*'Parametri Modello'!$B$25,"Attenzione","Rischio Alto")))</f>
        <v>OK</v>
      </c>
      <c r="V132" s="23">
        <f t="shared" si="19"/>
        <v>26</v>
      </c>
      <c r="W132" s="18">
        <f>'Info Lega'!$B$4-SUMIFS($M$2:$M$492,$D$2:$D$492,'Info Lega'!$B$28)</f>
        <v>1000</v>
      </c>
      <c r="X132" s="18">
        <f>('Info Lega'!$B$5-COUNTIFS($D$2:$D$492,'Info Lega'!$B$28,$B$2:$B$492,"P"))+('Info Lega'!$B$6-COUNTIFS($D$2:$D$492,'Info Lega'!$B$28,$B$2:$B$492,"D"))+('Info Lega'!$B$7-COUNTIFS($D$2:$D$492,'Info Lega'!$B$28,$B$2:$B$492,"C"))+('Info Lega'!$B$8-COUNTIFS($D$2:$D$492,'Info Lega'!$B$28,$B$2:$B$492,"A"))</f>
        <v>25</v>
      </c>
      <c r="Y132" s="18">
        <f>X132*'Parametri Modello'!$B$30</f>
        <v>25</v>
      </c>
      <c r="Z132" s="18">
        <f t="shared" si="20"/>
        <v>975</v>
      </c>
      <c r="AA132" s="18">
        <f t="shared" si="21"/>
        <v>4</v>
      </c>
      <c r="AB132" s="18"/>
      <c r="AC132" s="18" t="str">
        <f>IF($AB132="","",IF($AB132&gt;$AA132,"PASS",IF($AB132&lt;=$AA132*(1-'Parametri Modello'!$B$68),"BID","ATTENZIONE")))</f>
        <v/>
      </c>
      <c r="AD132" s="28">
        <f t="shared" si="22"/>
        <v>69</v>
      </c>
      <c r="AE132" s="5" t="str">
        <f>IFERROR(INDEX('Stato Asta'!$G$9:$G$12,MATCH($B132,'Stato Asta'!$A$9:$A$12,0)),"")</f>
        <v>🔴 Non aspettare</v>
      </c>
      <c r="AF132" t="str">
        <f>IFERROR(IF($V132&lt;=INDEX('Parametri Modello'!$C$57:$C$60,MATCH($B132,'Parametri Modello'!$A$57:$A$60,0)),"Titolare","Riserva"),"")</f>
        <v>Riserva</v>
      </c>
      <c r="AG132" t="str">
        <f>IFERROR(INDEX('Pressione Competitiva'!$F$3:$F$6,MATCH($B132,'Pressione Competitiva'!$B$3:$B$6,0)),"")</f>
        <v>🔴 Molto Alta</v>
      </c>
      <c r="AH132" t="str">
        <f t="shared" si="23"/>
        <v/>
      </c>
      <c r="AI132" t="str">
        <f>IFERROR(IF($AH132="","",IF($AH132&gt;=$AA132*'Parametri Modello'!$B$68,"🟢 Opportunita'",IF($AH132&lt;=$AA132*'Parametri Modello'!$B$69,"🔴 Sovrapprezzo","🟡 Prezzo Corretto"))),"")</f>
        <v/>
      </c>
      <c r="AJ132" t="str">
        <f t="shared" si="24"/>
        <v/>
      </c>
      <c r="AK132">
        <f t="shared" si="25"/>
        <v>8</v>
      </c>
      <c r="AL132" t="str">
        <f t="shared" si="26"/>
        <v>D|Buono|8</v>
      </c>
    </row>
    <row r="133" spans="1:38" ht="14.25" customHeight="1" x14ac:dyDescent="0.25">
      <c r="A133" s="18">
        <v>4734</v>
      </c>
      <c r="B133" s="18" t="s">
        <v>16</v>
      </c>
      <c r="C133" s="18" t="s">
        <v>272</v>
      </c>
      <c r="E133" s="23" t="str">
        <f>IF(COUNTIF('Info Strategia'!$D$2:$D$51,$C133)&gt;0,"SI","NO")</f>
        <v>NO</v>
      </c>
      <c r="F133" s="24">
        <f>IFERROR(ROUND(($G133+($H133-$G133)*'Info Strategia'!$B$6)*(1+IF($E133="SI",'Parametri Modello'!$B$7*'Info Strategia'!$B$6,0)),0),"")</f>
        <v>4</v>
      </c>
      <c r="G133" s="24">
        <f>IFERROR(ROUND(MAX(1,(IF($V133&lt;=INDEX('Parametri Modello'!$C$57:$C$60,MATCH($B133,'Parametri Modello'!$A$57:$A$60,0)),IF(INDEX('Parametri Modello'!$E$57:$E$60,MATCH($B133,'Parametri Modello'!$A$57:$A$60,0))=0,0,($O133/INDEX('Parametri Modello'!$E$57:$E$60,MATCH($B133,'Parametri Modello'!$A$57:$A$60,0)))*(INDEX('Parametri Modello'!$D$57:$D$60,MATCH($B133,'Parametri Modello'!$A$57:$A$60,0))*(INDEX('Parametri Modello'!$B$50:$B$53,MATCH($B133,'Parametri Modello'!$A$50:$A$53,0))*'Parametri Modello'!$B$44))),IF(INDEX('Parametri Modello'!$F$57:$F$60,MATCH($B133,'Parametri Modello'!$A$57:$A$60,0))=0,0,($O133/INDEX('Parametri Modello'!$F$57:$F$60,MATCH($B133,'Parametri Modello'!$A$57:$A$60,0)))*((1-INDEX('Parametri Modello'!$D$57:$D$60,MATCH($B133,'Parametri Modello'!$A$57:$A$60,0)))*(INDEX('Parametri Modello'!$B$50:$B$53,MATCH($B133,'Parametri Modello'!$A$50:$A$53,0))*'Parametri Modello'!$B$44))))*(1+IF(IF($B133="D",'Info Lega'!$B$25,IF($B133="C",'Info Lega'!$B$26,"No"))="Si",'Parametri Modello'!$B$5,0))*(1+MAX(-0.25,MIN(0.25,IF(OR($T133="",$I133="",$I133=0,INDEX('Parametri Modello'!$B$19:$B$22,MATCH($B133,'Parametri Modello'!$A$19:$A$22,0))="",INDEX('Parametri Modello'!$B$19:$B$22,MATCH($B133,'Parametri Modello'!$A$19:$A$22,0))=0),0,(($T133-INDEX('Parametri Modello'!$B$19:$B$22,MATCH($B133,'Parametri Modello'!$A$19:$A$22,0)))/INDEX('Parametri Modello'!$B$19:$B$22,MATCH($B133,'Parametri Modello'!$A$19:$A$22,0)))*'Parametri Modello'!$B$9))))*(1+IF('Parametri Modello'!$B$27="Si",MAX(-'Parametri Modello'!$B$28,MIN('Parametri Modello'!$B$28*1.5,IF(OR(INDEX('Parametri Modello'!$F$32:$F$35,MATCH($B133,'Parametri Modello'!$A$32:$A$35,0))="",INDEX('Parametri Modello'!$F$32:$F$35,MATCH($B133,'Parametri Modello'!$A$32:$A$35,0))=0),0,(1/INDEX('Parametri Modello'!$F$32:$F$35,MATCH($B133,'Parametri Modello'!$A$32:$A$35,0))-1)*'Parametri Modello'!$B$28))),0)))*(1-INDEX('Parametri Modello'!$B$12:$B$15,MATCH($B133,'Parametri Modello'!$A$12:$A$15,0)))),0),"")</f>
        <v>3</v>
      </c>
      <c r="H133" s="24">
        <f>IFERROR(ROUND((IF($V133&lt;=INDEX('Parametri Modello'!$C$57:$C$60,MATCH($B133,'Parametri Modello'!$A$57:$A$60,0)),IF(INDEX('Parametri Modello'!$E$57:$E$60,MATCH($B133,'Parametri Modello'!$A$57:$A$60,0))=0,0,($O133/INDEX('Parametri Modello'!$E$57:$E$60,MATCH($B133,'Parametri Modello'!$A$57:$A$60,0)))*(INDEX('Parametri Modello'!$D$57:$D$60,MATCH($B133,'Parametri Modello'!$A$57:$A$60,0))*(INDEX('Parametri Modello'!$B$50:$B$53,MATCH($B133,'Parametri Modello'!$A$50:$A$53,0))*'Parametri Modello'!$B$44))),IF(INDEX('Parametri Modello'!$F$57:$F$60,MATCH($B133,'Parametri Modello'!$A$57:$A$60,0))=0,0,($O133/INDEX('Parametri Modello'!$F$57:$F$60,MATCH($B133,'Parametri Modello'!$A$57:$A$60,0)))*((1-INDEX('Parametri Modello'!$D$57:$D$60,MATCH($B133,'Parametri Modello'!$A$57:$A$60,0)))*(INDEX('Parametri Modello'!$B$50:$B$53,MATCH($B133,'Parametri Modello'!$A$50:$A$53,0))*'Parametri Modello'!$B$44))))*(1+IF(IF($B133="D",'Info Lega'!$B$25,IF($B133="C",'Info Lega'!$B$26,"No"))="Si",'Parametri Modello'!$B$5,0))*(1+MAX(-0.25,MIN(0.25,IF(OR($T133="",$I133="",$I133=0,INDEX('Parametri Modello'!$B$19:$B$22,MATCH($B133,'Parametri Modello'!$A$19:$A$22,0))="",INDEX('Parametri Modello'!$B$19:$B$22,MATCH($B133,'Parametri Modello'!$A$19:$A$22,0))=0),0,(($T133-INDEX('Parametri Modello'!$B$19:$B$22,MATCH($B133,'Parametri Modello'!$A$19:$A$22,0)))/INDEX('Parametri Modello'!$B$19:$B$22,MATCH($B133,'Parametri Modello'!$A$19:$A$22,0)))*'Parametri Modello'!$B$9))))*(1+IF('Parametri Modello'!$B$27="Si",MAX(-'Parametri Modello'!$B$28,MIN('Parametri Modello'!$B$28*1.5,IF(OR(INDEX('Parametri Modello'!$F$32:$F$35,MATCH($B133,'Parametri Modello'!$A$32:$A$35,0))="",INDEX('Parametri Modello'!$F$32:$F$35,MATCH($B133,'Parametri Modello'!$A$32:$A$35,0))=0),0,(1/INDEX('Parametri Modello'!$F$32:$F$35,MATCH($B133,'Parametri Modello'!$A$32:$A$35,0))-1)*'Parametri Modello'!$B$28))),0)))*(1+INDEX('Parametri Modello'!$B$12:$B$15,MATCH($B133,'Parametri Modello'!$A$12:$A$15,0))),0),"")</f>
        <v>5</v>
      </c>
      <c r="I133" s="23">
        <f>IFERROR(INDEX('Input Statistiche 2025_26'!$F$3:$F$665,MATCH($A133,'Input Statistiche 2025_26'!$A$3:$A$665,0)),"")</f>
        <v>31</v>
      </c>
      <c r="J133" s="23">
        <f t="shared" si="18"/>
        <v>7</v>
      </c>
      <c r="K133" s="23">
        <f>IFERROR(INDEX('Input Statistiche 2025_26'!$I$3:$I$665,MATCH($A133,'Input Statistiche 2025_26'!$A$3:$A$665,0)),"")</f>
        <v>1</v>
      </c>
      <c r="L133" s="23">
        <f>IFERROR(INDEX('Input Statistiche 2025_26'!$O$3:$O$665,MATCH($A133,'Input Statistiche 2025_26'!$A$3:$A$665,0)),"")</f>
        <v>3</v>
      </c>
      <c r="M133" s="25"/>
      <c r="N133" s="24">
        <f>IFERROR(INDEX('Input Giocatori 2026_27'!$E$3:$E$493,MATCH($A133,'Input Giocatori 2026_27'!$A$3:$A$493,0)),"")</f>
        <v>8</v>
      </c>
      <c r="O133" s="24">
        <f>IFERROR(INDEX('Input Giocatori 2026_27'!$G$3:$G$493,MATCH($A133,'Input Giocatori 2026_27'!$A$3:$A$493,0)),"")</f>
        <v>24</v>
      </c>
      <c r="P133" s="23" t="str">
        <f>IFERROR(IF($O133="","",IF((1-(COUNTIFS($B$2:$B$492,$B133,$O$2:$O$492,"&gt;"&amp;$O133)+1-1)/COUNTIF($B$2:$B$492,$B133))&gt;='Parametri Modello'!$B$63,"Top",IF((1-(COUNTIFS($B$2:$B$492,$B133,$O$2:$O$492,"&gt;"&amp;$O133)+1-1)/COUNTIF($B$2:$B$492,$B133))&gt;='Parametri Modello'!$B$64,"Buono",IF((1-(COUNTIFS($B$2:$B$492,$B133,$O$2:$O$492,"&gt;"&amp;$O133)+1-1)/COUNTIF($B$2:$B$492,$B133))&gt;='Parametri Modello'!$B$65,"Nella Media","Scommessa/Riserva")))),"")</f>
        <v>Buono</v>
      </c>
      <c r="Q133" s="26">
        <f>IF(AND($D133="",$N133&gt;1),SUMPRODUCT(($D$2:$D133="")*($N$2:$N133&gt;1)),"")</f>
        <v>132</v>
      </c>
      <c r="R133" s="26" t="str">
        <f>IF($D133='Info Lega'!$B$28,COUNTIFS($D$2:$D133,'Info Lega'!$B$28),"")</f>
        <v/>
      </c>
      <c r="S133" s="27">
        <f>IFERROR(INDEX('Input Statistiche 2025_26'!$G$3:$G$665,MATCH($A133,'Input Statistiche 2025_26'!$A$3:$A$665,0)),"")</f>
        <v>6</v>
      </c>
      <c r="T133" s="27">
        <f>IFERROR(INDEX('Input Statistiche 2025_26'!$H$3:$H$665,MATCH($A133,'Input Statistiche 2025_26'!$A$3:$A$665,0)),"")</f>
        <v>6.1</v>
      </c>
      <c r="U133" s="23" t="str">
        <f>IF(OR('La Mia Rosa'!$O$12="",$D133&lt;&gt;""),"",IF($F133&lt;='La Mia Rosa'!$O$12*'Parametri Modello'!$B$24,"OK",IF($F133&lt;='La Mia Rosa'!$O$12*'Parametri Modello'!$B$25,"Attenzione","Rischio Alto")))</f>
        <v>OK</v>
      </c>
      <c r="V133" s="23">
        <f t="shared" si="19"/>
        <v>26</v>
      </c>
      <c r="W133" s="18">
        <f>'Info Lega'!$B$4-SUMIFS($M$2:$M$492,$D$2:$D$492,'Info Lega'!$B$28)</f>
        <v>1000</v>
      </c>
      <c r="X133" s="18">
        <f>('Info Lega'!$B$5-COUNTIFS($D$2:$D$492,'Info Lega'!$B$28,$B$2:$B$492,"P"))+('Info Lega'!$B$6-COUNTIFS($D$2:$D$492,'Info Lega'!$B$28,$B$2:$B$492,"D"))+('Info Lega'!$B$7-COUNTIFS($D$2:$D$492,'Info Lega'!$B$28,$B$2:$B$492,"C"))+('Info Lega'!$B$8-COUNTIFS($D$2:$D$492,'Info Lega'!$B$28,$B$2:$B$492,"A"))</f>
        <v>25</v>
      </c>
      <c r="Y133" s="18">
        <f>X133*'Parametri Modello'!$B$30</f>
        <v>25</v>
      </c>
      <c r="Z133" s="18">
        <f t="shared" si="20"/>
        <v>975</v>
      </c>
      <c r="AA133" s="18">
        <f t="shared" si="21"/>
        <v>4</v>
      </c>
      <c r="AB133" s="18"/>
      <c r="AC133" s="18" t="str">
        <f>IF($AB133="","",IF($AB133&gt;$AA133,"PASS",IF($AB133&lt;=$AA133*(1-'Parametri Modello'!$B$68),"BID","ATTENZIONE")))</f>
        <v/>
      </c>
      <c r="AD133" s="28">
        <f t="shared" si="22"/>
        <v>64</v>
      </c>
      <c r="AE133" s="5" t="str">
        <f>IFERROR(INDEX('Stato Asta'!$G$9:$G$12,MATCH($B133,'Stato Asta'!$A$9:$A$12,0)),"")</f>
        <v>🔴 Non aspettare</v>
      </c>
      <c r="AF133" t="str">
        <f>IFERROR(IF($V133&lt;=INDEX('Parametri Modello'!$C$57:$C$60,MATCH($B133,'Parametri Modello'!$A$57:$A$60,0)),"Titolare","Riserva"),"")</f>
        <v>Riserva</v>
      </c>
      <c r="AG133" t="str">
        <f>IFERROR(INDEX('Pressione Competitiva'!$F$3:$F$6,MATCH($B133,'Pressione Competitiva'!$B$3:$B$6,0)),"")</f>
        <v>🔴 Molto Alta</v>
      </c>
      <c r="AH133" t="str">
        <f t="shared" si="23"/>
        <v/>
      </c>
      <c r="AI133" t="str">
        <f>IFERROR(IF($AH133="","",IF($AH133&gt;=$AA133*'Parametri Modello'!$B$68,"🟢 Opportunita'",IF($AH133&lt;=$AA133*'Parametri Modello'!$B$69,"🔴 Sovrapprezzo","🟡 Prezzo Corretto"))),"")</f>
        <v/>
      </c>
      <c r="AJ133" t="str">
        <f t="shared" si="24"/>
        <v/>
      </c>
      <c r="AK133">
        <f t="shared" si="25"/>
        <v>8</v>
      </c>
      <c r="AL133" t="str">
        <f t="shared" si="26"/>
        <v>D|Buono|8</v>
      </c>
    </row>
    <row r="134" spans="1:38" ht="14.25" customHeight="1" x14ac:dyDescent="0.25">
      <c r="A134" s="18">
        <v>1852</v>
      </c>
      <c r="B134" s="18" t="s">
        <v>16</v>
      </c>
      <c r="C134" s="18" t="s">
        <v>273</v>
      </c>
      <c r="E134" s="23" t="str">
        <f>IF(COUNTIF('Info Strategia'!$D$2:$D$51,$C134)&gt;0,"SI","NO")</f>
        <v>NO</v>
      </c>
      <c r="F134" s="24">
        <f>IFERROR(ROUND(($G134+($H134-$G134)*'Info Strategia'!$B$6)*(1+IF($E134="SI",'Parametri Modello'!$B$7*'Info Strategia'!$B$6,0)),0),"")</f>
        <v>4</v>
      </c>
      <c r="G134" s="24">
        <f>IFERROR(ROUND(MAX(1,(IF($V134&lt;=INDEX('Parametri Modello'!$C$57:$C$60,MATCH($B134,'Parametri Modello'!$A$57:$A$60,0)),IF(INDEX('Parametri Modello'!$E$57:$E$60,MATCH($B134,'Parametri Modello'!$A$57:$A$60,0))=0,0,($O134/INDEX('Parametri Modello'!$E$57:$E$60,MATCH($B134,'Parametri Modello'!$A$57:$A$60,0)))*(INDEX('Parametri Modello'!$D$57:$D$60,MATCH($B134,'Parametri Modello'!$A$57:$A$60,0))*(INDEX('Parametri Modello'!$B$50:$B$53,MATCH($B134,'Parametri Modello'!$A$50:$A$53,0))*'Parametri Modello'!$B$44))),IF(INDEX('Parametri Modello'!$F$57:$F$60,MATCH($B134,'Parametri Modello'!$A$57:$A$60,0))=0,0,($O134/INDEX('Parametri Modello'!$F$57:$F$60,MATCH($B134,'Parametri Modello'!$A$57:$A$60,0)))*((1-INDEX('Parametri Modello'!$D$57:$D$60,MATCH($B134,'Parametri Modello'!$A$57:$A$60,0)))*(INDEX('Parametri Modello'!$B$50:$B$53,MATCH($B134,'Parametri Modello'!$A$50:$A$53,0))*'Parametri Modello'!$B$44))))*(1+IF(IF($B134="D",'Info Lega'!$B$25,IF($B134="C",'Info Lega'!$B$26,"No"))="Si",'Parametri Modello'!$B$5,0))*(1+MAX(-0.25,MIN(0.25,IF(OR($T134="",$I134="",$I134=0,INDEX('Parametri Modello'!$B$19:$B$22,MATCH($B134,'Parametri Modello'!$A$19:$A$22,0))="",INDEX('Parametri Modello'!$B$19:$B$22,MATCH($B134,'Parametri Modello'!$A$19:$A$22,0))=0),0,(($T134-INDEX('Parametri Modello'!$B$19:$B$22,MATCH($B134,'Parametri Modello'!$A$19:$A$22,0)))/INDEX('Parametri Modello'!$B$19:$B$22,MATCH($B134,'Parametri Modello'!$A$19:$A$22,0)))*'Parametri Modello'!$B$9))))*(1+IF('Parametri Modello'!$B$27="Si",MAX(-'Parametri Modello'!$B$28,MIN('Parametri Modello'!$B$28*1.5,IF(OR(INDEX('Parametri Modello'!$F$32:$F$35,MATCH($B134,'Parametri Modello'!$A$32:$A$35,0))="",INDEX('Parametri Modello'!$F$32:$F$35,MATCH($B134,'Parametri Modello'!$A$32:$A$35,0))=0),0,(1/INDEX('Parametri Modello'!$F$32:$F$35,MATCH($B134,'Parametri Modello'!$A$32:$A$35,0))-1)*'Parametri Modello'!$B$28))),0)))*(1-INDEX('Parametri Modello'!$B$12:$B$15,MATCH($B134,'Parametri Modello'!$A$12:$A$15,0)))),0),"")</f>
        <v>3</v>
      </c>
      <c r="H134" s="24">
        <f>IFERROR(ROUND((IF($V134&lt;=INDEX('Parametri Modello'!$C$57:$C$60,MATCH($B134,'Parametri Modello'!$A$57:$A$60,0)),IF(INDEX('Parametri Modello'!$E$57:$E$60,MATCH($B134,'Parametri Modello'!$A$57:$A$60,0))=0,0,($O134/INDEX('Parametri Modello'!$E$57:$E$60,MATCH($B134,'Parametri Modello'!$A$57:$A$60,0)))*(INDEX('Parametri Modello'!$D$57:$D$60,MATCH($B134,'Parametri Modello'!$A$57:$A$60,0))*(INDEX('Parametri Modello'!$B$50:$B$53,MATCH($B134,'Parametri Modello'!$A$50:$A$53,0))*'Parametri Modello'!$B$44))),IF(INDEX('Parametri Modello'!$F$57:$F$60,MATCH($B134,'Parametri Modello'!$A$57:$A$60,0))=0,0,($O134/INDEX('Parametri Modello'!$F$57:$F$60,MATCH($B134,'Parametri Modello'!$A$57:$A$60,0)))*((1-INDEX('Parametri Modello'!$D$57:$D$60,MATCH($B134,'Parametri Modello'!$A$57:$A$60,0)))*(INDEX('Parametri Modello'!$B$50:$B$53,MATCH($B134,'Parametri Modello'!$A$50:$A$53,0))*'Parametri Modello'!$B$44))))*(1+IF(IF($B134="D",'Info Lega'!$B$25,IF($B134="C",'Info Lega'!$B$26,"No"))="Si",'Parametri Modello'!$B$5,0))*(1+MAX(-0.25,MIN(0.25,IF(OR($T134="",$I134="",$I134=0,INDEX('Parametri Modello'!$B$19:$B$22,MATCH($B134,'Parametri Modello'!$A$19:$A$22,0))="",INDEX('Parametri Modello'!$B$19:$B$22,MATCH($B134,'Parametri Modello'!$A$19:$A$22,0))=0),0,(($T134-INDEX('Parametri Modello'!$B$19:$B$22,MATCH($B134,'Parametri Modello'!$A$19:$A$22,0)))/INDEX('Parametri Modello'!$B$19:$B$22,MATCH($B134,'Parametri Modello'!$A$19:$A$22,0)))*'Parametri Modello'!$B$9))))*(1+IF('Parametri Modello'!$B$27="Si",MAX(-'Parametri Modello'!$B$28,MIN('Parametri Modello'!$B$28*1.5,IF(OR(INDEX('Parametri Modello'!$F$32:$F$35,MATCH($B134,'Parametri Modello'!$A$32:$A$35,0))="",INDEX('Parametri Modello'!$F$32:$F$35,MATCH($B134,'Parametri Modello'!$A$32:$A$35,0))=0),0,(1/INDEX('Parametri Modello'!$F$32:$F$35,MATCH($B134,'Parametri Modello'!$A$32:$A$35,0))-1)*'Parametri Modello'!$B$28))),0)))*(1+INDEX('Parametri Modello'!$B$12:$B$15,MATCH($B134,'Parametri Modello'!$A$12:$A$15,0))),0),"")</f>
        <v>5</v>
      </c>
      <c r="I134" s="23">
        <f>IFERROR(INDEX('Input Statistiche 2025_26'!$F$3:$F$665,MATCH($A134,'Input Statistiche 2025_26'!$A$3:$A$665,0)),"")</f>
        <v>30</v>
      </c>
      <c r="J134" s="23">
        <f t="shared" si="18"/>
        <v>8</v>
      </c>
      <c r="K134" s="23">
        <f>IFERROR(INDEX('Input Statistiche 2025_26'!$I$3:$I$665,MATCH($A134,'Input Statistiche 2025_26'!$A$3:$A$665,0)),"")</f>
        <v>3</v>
      </c>
      <c r="L134" s="23">
        <f>IFERROR(INDEX('Input Statistiche 2025_26'!$O$3:$O$665,MATCH($A134,'Input Statistiche 2025_26'!$A$3:$A$665,0)),"")</f>
        <v>3</v>
      </c>
      <c r="M134" s="25"/>
      <c r="N134" s="24">
        <f>IFERROR(INDEX('Input Giocatori 2026_27'!$E$3:$E$493,MATCH($A134,'Input Giocatori 2026_27'!$A$3:$A$493,0)),"")</f>
        <v>8</v>
      </c>
      <c r="O134" s="24">
        <f>IFERROR(INDEX('Input Giocatori 2026_27'!$G$3:$G$493,MATCH($A134,'Input Giocatori 2026_27'!$A$3:$A$493,0)),"")</f>
        <v>24</v>
      </c>
      <c r="P134" s="23" t="str">
        <f>IFERROR(IF($O134="","",IF((1-(COUNTIFS($B$2:$B$492,$B134,$O$2:$O$492,"&gt;"&amp;$O134)+1-1)/COUNTIF($B$2:$B$492,$B134))&gt;='Parametri Modello'!$B$63,"Top",IF((1-(COUNTIFS($B$2:$B$492,$B134,$O$2:$O$492,"&gt;"&amp;$O134)+1-1)/COUNTIF($B$2:$B$492,$B134))&gt;='Parametri Modello'!$B$64,"Buono",IF((1-(COUNTIFS($B$2:$B$492,$B134,$O$2:$O$492,"&gt;"&amp;$O134)+1-1)/COUNTIF($B$2:$B$492,$B134))&gt;='Parametri Modello'!$B$65,"Nella Media","Scommessa/Riserva")))),"")</f>
        <v>Buono</v>
      </c>
      <c r="Q134" s="26">
        <f>IF(AND($D134="",$N134&gt;1),SUMPRODUCT(($D$2:$D134="")*($N$2:$N134&gt;1)),"")</f>
        <v>133</v>
      </c>
      <c r="R134" s="26" t="str">
        <f>IF($D134='Info Lega'!$B$28,COUNTIFS($D$2:$D134,'Info Lega'!$B$28),"")</f>
        <v/>
      </c>
      <c r="S134" s="27">
        <f>IFERROR(INDEX('Input Statistiche 2025_26'!$G$3:$G$665,MATCH($A134,'Input Statistiche 2025_26'!$A$3:$A$665,0)),"")</f>
        <v>6.17</v>
      </c>
      <c r="T134" s="27">
        <f>IFERROR(INDEX('Input Statistiche 2025_26'!$H$3:$H$665,MATCH($A134,'Input Statistiche 2025_26'!$A$3:$A$665,0)),"")</f>
        <v>6.55</v>
      </c>
      <c r="U134" s="23" t="str">
        <f>IF(OR('La Mia Rosa'!$O$12="",$D134&lt;&gt;""),"",IF($F134&lt;='La Mia Rosa'!$O$12*'Parametri Modello'!$B$24,"OK",IF($F134&lt;='La Mia Rosa'!$O$12*'Parametri Modello'!$B$25,"Attenzione","Rischio Alto")))</f>
        <v>OK</v>
      </c>
      <c r="V134" s="23">
        <f t="shared" si="19"/>
        <v>26</v>
      </c>
      <c r="W134" s="18">
        <f>'Info Lega'!$B$4-SUMIFS($M$2:$M$492,$D$2:$D$492,'Info Lega'!$B$28)</f>
        <v>1000</v>
      </c>
      <c r="X134" s="18">
        <f>('Info Lega'!$B$5-COUNTIFS($D$2:$D$492,'Info Lega'!$B$28,$B$2:$B$492,"P"))+('Info Lega'!$B$6-COUNTIFS($D$2:$D$492,'Info Lega'!$B$28,$B$2:$B$492,"D"))+('Info Lega'!$B$7-COUNTIFS($D$2:$D$492,'Info Lega'!$B$28,$B$2:$B$492,"C"))+('Info Lega'!$B$8-COUNTIFS($D$2:$D$492,'Info Lega'!$B$28,$B$2:$B$492,"A"))</f>
        <v>25</v>
      </c>
      <c r="Y134" s="18">
        <f>X134*'Parametri Modello'!$B$30</f>
        <v>25</v>
      </c>
      <c r="Z134" s="18">
        <f t="shared" si="20"/>
        <v>975</v>
      </c>
      <c r="AA134" s="18">
        <f t="shared" si="21"/>
        <v>4</v>
      </c>
      <c r="AB134" s="18"/>
      <c r="AC134" s="18" t="str">
        <f>IF($AB134="","",IF($AB134&gt;$AA134,"PASS",IF($AB134&lt;=$AA134*(1-'Parametri Modello'!$B$68),"BID","ATTENZIONE")))</f>
        <v/>
      </c>
      <c r="AD134" s="28">
        <f t="shared" si="22"/>
        <v>63</v>
      </c>
      <c r="AE134" s="5" t="str">
        <f>IFERROR(INDEX('Stato Asta'!$G$9:$G$12,MATCH($B134,'Stato Asta'!$A$9:$A$12,0)),"")</f>
        <v>🔴 Non aspettare</v>
      </c>
      <c r="AF134" t="str">
        <f>IFERROR(IF($V134&lt;=INDEX('Parametri Modello'!$C$57:$C$60,MATCH($B134,'Parametri Modello'!$A$57:$A$60,0)),"Titolare","Riserva"),"")</f>
        <v>Riserva</v>
      </c>
      <c r="AG134" t="str">
        <f>IFERROR(INDEX('Pressione Competitiva'!$F$3:$F$6,MATCH($B134,'Pressione Competitiva'!$B$3:$B$6,0)),"")</f>
        <v>🔴 Molto Alta</v>
      </c>
      <c r="AH134" t="str">
        <f t="shared" si="23"/>
        <v/>
      </c>
      <c r="AI134" t="str">
        <f>IFERROR(IF($AH134="","",IF($AH134&gt;=$AA134*'Parametri Modello'!$B$68,"🟢 Opportunita'",IF($AH134&lt;=$AA134*'Parametri Modello'!$B$69,"🔴 Sovrapprezzo","🟡 Prezzo Corretto"))),"")</f>
        <v/>
      </c>
      <c r="AJ134" t="str">
        <f t="shared" si="24"/>
        <v/>
      </c>
      <c r="AK134">
        <f t="shared" si="25"/>
        <v>8</v>
      </c>
      <c r="AL134" t="str">
        <f t="shared" si="26"/>
        <v>D|Buono|8</v>
      </c>
    </row>
    <row r="135" spans="1:38" ht="14.25" customHeight="1" x14ac:dyDescent="0.25">
      <c r="A135" s="18">
        <v>5862</v>
      </c>
      <c r="B135" s="18" t="s">
        <v>16</v>
      </c>
      <c r="C135" s="18" t="s">
        <v>274</v>
      </c>
      <c r="E135" s="23" t="str">
        <f>IF(COUNTIF('Info Strategia'!$D$2:$D$51,$C135)&gt;0,"SI","NO")</f>
        <v>NO</v>
      </c>
      <c r="F135" s="24">
        <f>IFERROR(ROUND(($G135+($H135-$G135)*'Info Strategia'!$B$6)*(1+IF($E135="SI",'Parametri Modello'!$B$7*'Info Strategia'!$B$6,0)),0),"")</f>
        <v>4</v>
      </c>
      <c r="G135" s="24">
        <f>IFERROR(ROUND(MAX(1,(IF($V135&lt;=INDEX('Parametri Modello'!$C$57:$C$60,MATCH($B135,'Parametri Modello'!$A$57:$A$60,0)),IF(INDEX('Parametri Modello'!$E$57:$E$60,MATCH($B135,'Parametri Modello'!$A$57:$A$60,0))=0,0,($O135/INDEX('Parametri Modello'!$E$57:$E$60,MATCH($B135,'Parametri Modello'!$A$57:$A$60,0)))*(INDEX('Parametri Modello'!$D$57:$D$60,MATCH($B135,'Parametri Modello'!$A$57:$A$60,0))*(INDEX('Parametri Modello'!$B$50:$B$53,MATCH($B135,'Parametri Modello'!$A$50:$A$53,0))*'Parametri Modello'!$B$44))),IF(INDEX('Parametri Modello'!$F$57:$F$60,MATCH($B135,'Parametri Modello'!$A$57:$A$60,0))=0,0,($O135/INDEX('Parametri Modello'!$F$57:$F$60,MATCH($B135,'Parametri Modello'!$A$57:$A$60,0)))*((1-INDEX('Parametri Modello'!$D$57:$D$60,MATCH($B135,'Parametri Modello'!$A$57:$A$60,0)))*(INDEX('Parametri Modello'!$B$50:$B$53,MATCH($B135,'Parametri Modello'!$A$50:$A$53,0))*'Parametri Modello'!$B$44))))*(1+IF(IF($B135="D",'Info Lega'!$B$25,IF($B135="C",'Info Lega'!$B$26,"No"))="Si",'Parametri Modello'!$B$5,0))*(1+MAX(-0.25,MIN(0.25,IF(OR($T135="",$I135="",$I135=0,INDEX('Parametri Modello'!$B$19:$B$22,MATCH($B135,'Parametri Modello'!$A$19:$A$22,0))="",INDEX('Parametri Modello'!$B$19:$B$22,MATCH($B135,'Parametri Modello'!$A$19:$A$22,0))=0),0,(($T135-INDEX('Parametri Modello'!$B$19:$B$22,MATCH($B135,'Parametri Modello'!$A$19:$A$22,0)))/INDEX('Parametri Modello'!$B$19:$B$22,MATCH($B135,'Parametri Modello'!$A$19:$A$22,0)))*'Parametri Modello'!$B$9))))*(1+IF('Parametri Modello'!$B$27="Si",MAX(-'Parametri Modello'!$B$28,MIN('Parametri Modello'!$B$28*1.5,IF(OR(INDEX('Parametri Modello'!$F$32:$F$35,MATCH($B135,'Parametri Modello'!$A$32:$A$35,0))="",INDEX('Parametri Modello'!$F$32:$F$35,MATCH($B135,'Parametri Modello'!$A$32:$A$35,0))=0),0,(1/INDEX('Parametri Modello'!$F$32:$F$35,MATCH($B135,'Parametri Modello'!$A$32:$A$35,0))-1)*'Parametri Modello'!$B$28))),0)))*(1-INDEX('Parametri Modello'!$B$12:$B$15,MATCH($B135,'Parametri Modello'!$A$12:$A$15,0)))),0),"")</f>
        <v>3</v>
      </c>
      <c r="H135" s="24">
        <f>IFERROR(ROUND((IF($V135&lt;=INDEX('Parametri Modello'!$C$57:$C$60,MATCH($B135,'Parametri Modello'!$A$57:$A$60,0)),IF(INDEX('Parametri Modello'!$E$57:$E$60,MATCH($B135,'Parametri Modello'!$A$57:$A$60,0))=0,0,($O135/INDEX('Parametri Modello'!$E$57:$E$60,MATCH($B135,'Parametri Modello'!$A$57:$A$60,0)))*(INDEX('Parametri Modello'!$D$57:$D$60,MATCH($B135,'Parametri Modello'!$A$57:$A$60,0))*(INDEX('Parametri Modello'!$B$50:$B$53,MATCH($B135,'Parametri Modello'!$A$50:$A$53,0))*'Parametri Modello'!$B$44))),IF(INDEX('Parametri Modello'!$F$57:$F$60,MATCH($B135,'Parametri Modello'!$A$57:$A$60,0))=0,0,($O135/INDEX('Parametri Modello'!$F$57:$F$60,MATCH($B135,'Parametri Modello'!$A$57:$A$60,0)))*((1-INDEX('Parametri Modello'!$D$57:$D$60,MATCH($B135,'Parametri Modello'!$A$57:$A$60,0)))*(INDEX('Parametri Modello'!$B$50:$B$53,MATCH($B135,'Parametri Modello'!$A$50:$A$53,0))*'Parametri Modello'!$B$44))))*(1+IF(IF($B135="D",'Info Lega'!$B$25,IF($B135="C",'Info Lega'!$B$26,"No"))="Si",'Parametri Modello'!$B$5,0))*(1+MAX(-0.25,MIN(0.25,IF(OR($T135="",$I135="",$I135=0,INDEX('Parametri Modello'!$B$19:$B$22,MATCH($B135,'Parametri Modello'!$A$19:$A$22,0))="",INDEX('Parametri Modello'!$B$19:$B$22,MATCH($B135,'Parametri Modello'!$A$19:$A$22,0))=0),0,(($T135-INDEX('Parametri Modello'!$B$19:$B$22,MATCH($B135,'Parametri Modello'!$A$19:$A$22,0)))/INDEX('Parametri Modello'!$B$19:$B$22,MATCH($B135,'Parametri Modello'!$A$19:$A$22,0)))*'Parametri Modello'!$B$9))))*(1+IF('Parametri Modello'!$B$27="Si",MAX(-'Parametri Modello'!$B$28,MIN('Parametri Modello'!$B$28*1.5,IF(OR(INDEX('Parametri Modello'!$F$32:$F$35,MATCH($B135,'Parametri Modello'!$A$32:$A$35,0))="",INDEX('Parametri Modello'!$F$32:$F$35,MATCH($B135,'Parametri Modello'!$A$32:$A$35,0))=0),0,(1/INDEX('Parametri Modello'!$F$32:$F$35,MATCH($B135,'Parametri Modello'!$A$32:$A$35,0))-1)*'Parametri Modello'!$B$28))),0)))*(1+INDEX('Parametri Modello'!$B$12:$B$15,MATCH($B135,'Parametri Modello'!$A$12:$A$15,0))),0),"")</f>
        <v>5</v>
      </c>
      <c r="I135" s="23">
        <f>IFERROR(INDEX('Input Statistiche 2025_26'!$F$3:$F$665,MATCH($A135,'Input Statistiche 2025_26'!$A$3:$A$665,0)),"")</f>
        <v>34</v>
      </c>
      <c r="J135" s="23">
        <f t="shared" si="18"/>
        <v>4</v>
      </c>
      <c r="K135" s="23">
        <f>IFERROR(INDEX('Input Statistiche 2025_26'!$I$3:$I$665,MATCH($A135,'Input Statistiche 2025_26'!$A$3:$A$665,0)),"")</f>
        <v>0</v>
      </c>
      <c r="L135" s="23">
        <f>IFERROR(INDEX('Input Statistiche 2025_26'!$O$3:$O$665,MATCH($A135,'Input Statistiche 2025_26'!$A$3:$A$665,0)),"")</f>
        <v>2</v>
      </c>
      <c r="M135" s="25"/>
      <c r="N135" s="24">
        <f>IFERROR(INDEX('Input Giocatori 2026_27'!$E$3:$E$493,MATCH($A135,'Input Giocatori 2026_27'!$A$3:$A$493,0)),"")</f>
        <v>8</v>
      </c>
      <c r="O135" s="24">
        <f>IFERROR(INDEX('Input Giocatori 2026_27'!$G$3:$G$493,MATCH($A135,'Input Giocatori 2026_27'!$A$3:$A$493,0)),"")</f>
        <v>24</v>
      </c>
      <c r="P135" s="23" t="str">
        <f>IFERROR(IF($O135="","",IF((1-(COUNTIFS($B$2:$B$492,$B135,$O$2:$O$492,"&gt;"&amp;$O135)+1-1)/COUNTIF($B$2:$B$492,$B135))&gt;='Parametri Modello'!$B$63,"Top",IF((1-(COUNTIFS($B$2:$B$492,$B135,$O$2:$O$492,"&gt;"&amp;$O135)+1-1)/COUNTIF($B$2:$B$492,$B135))&gt;='Parametri Modello'!$B$64,"Buono",IF((1-(COUNTIFS($B$2:$B$492,$B135,$O$2:$O$492,"&gt;"&amp;$O135)+1-1)/COUNTIF($B$2:$B$492,$B135))&gt;='Parametri Modello'!$B$65,"Nella Media","Scommessa/Riserva")))),"")</f>
        <v>Buono</v>
      </c>
      <c r="Q135" s="26">
        <f>IF(AND($D135="",$N135&gt;1),SUMPRODUCT(($D$2:$D135="")*($N$2:$N135&gt;1)),"")</f>
        <v>134</v>
      </c>
      <c r="R135" s="26" t="str">
        <f>IF($D135='Info Lega'!$B$28,COUNTIFS($D$2:$D135,'Info Lega'!$B$28),"")</f>
        <v/>
      </c>
      <c r="S135" s="27">
        <f>IFERROR(INDEX('Input Statistiche 2025_26'!$G$3:$G$665,MATCH($A135,'Input Statistiche 2025_26'!$A$3:$A$665,0)),"")</f>
        <v>6.06</v>
      </c>
      <c r="T135" s="27">
        <f>IFERROR(INDEX('Input Statistiche 2025_26'!$H$3:$H$665,MATCH($A135,'Input Statistiche 2025_26'!$A$3:$A$665,0)),"")</f>
        <v>6.09</v>
      </c>
      <c r="U135" s="23" t="str">
        <f>IF(OR('La Mia Rosa'!$O$12="",$D135&lt;&gt;""),"",IF($F135&lt;='La Mia Rosa'!$O$12*'Parametri Modello'!$B$24,"OK",IF($F135&lt;='La Mia Rosa'!$O$12*'Parametri Modello'!$B$25,"Attenzione","Rischio Alto")))</f>
        <v>OK</v>
      </c>
      <c r="V135" s="23">
        <f t="shared" si="19"/>
        <v>26</v>
      </c>
      <c r="W135" s="18">
        <f>'Info Lega'!$B$4-SUMIFS($M$2:$M$492,$D$2:$D$492,'Info Lega'!$B$28)</f>
        <v>1000</v>
      </c>
      <c r="X135" s="18">
        <f>('Info Lega'!$B$5-COUNTIFS($D$2:$D$492,'Info Lega'!$B$28,$B$2:$B$492,"P"))+('Info Lega'!$B$6-COUNTIFS($D$2:$D$492,'Info Lega'!$B$28,$B$2:$B$492,"D"))+('Info Lega'!$B$7-COUNTIFS($D$2:$D$492,'Info Lega'!$B$28,$B$2:$B$492,"C"))+('Info Lega'!$B$8-COUNTIFS($D$2:$D$492,'Info Lega'!$B$28,$B$2:$B$492,"A"))</f>
        <v>25</v>
      </c>
      <c r="Y135" s="18">
        <f>X135*'Parametri Modello'!$B$30</f>
        <v>25</v>
      </c>
      <c r="Z135" s="18">
        <f t="shared" si="20"/>
        <v>975</v>
      </c>
      <c r="AA135" s="18">
        <f t="shared" si="21"/>
        <v>4</v>
      </c>
      <c r="AB135" s="18"/>
      <c r="AC135" s="18" t="str">
        <f>IF($AB135="","",IF($AB135&gt;$AA135,"PASS",IF($AB135&lt;=$AA135*(1-'Parametri Modello'!$B$68),"BID","ATTENZIONE")))</f>
        <v/>
      </c>
      <c r="AD135" s="28">
        <f t="shared" si="22"/>
        <v>68</v>
      </c>
      <c r="AE135" s="5" t="str">
        <f>IFERROR(INDEX('Stato Asta'!$G$9:$G$12,MATCH($B135,'Stato Asta'!$A$9:$A$12,0)),"")</f>
        <v>🔴 Non aspettare</v>
      </c>
      <c r="AF135" t="str">
        <f>IFERROR(IF($V135&lt;=INDEX('Parametri Modello'!$C$57:$C$60,MATCH($B135,'Parametri Modello'!$A$57:$A$60,0)),"Titolare","Riserva"),"")</f>
        <v>Riserva</v>
      </c>
      <c r="AG135" t="str">
        <f>IFERROR(INDEX('Pressione Competitiva'!$F$3:$F$6,MATCH($B135,'Pressione Competitiva'!$B$3:$B$6,0)),"")</f>
        <v>🔴 Molto Alta</v>
      </c>
      <c r="AH135" t="str">
        <f t="shared" si="23"/>
        <v/>
      </c>
      <c r="AI135" t="str">
        <f>IFERROR(IF($AH135="","",IF($AH135&gt;=$AA135*'Parametri Modello'!$B$68,"🟢 Opportunita'",IF($AH135&lt;=$AA135*'Parametri Modello'!$B$69,"🔴 Sovrapprezzo","🟡 Prezzo Corretto"))),"")</f>
        <v/>
      </c>
      <c r="AJ135" t="str">
        <f t="shared" si="24"/>
        <v/>
      </c>
      <c r="AK135">
        <f t="shared" si="25"/>
        <v>8</v>
      </c>
      <c r="AL135" t="str">
        <f t="shared" si="26"/>
        <v>D|Buono|8</v>
      </c>
    </row>
    <row r="136" spans="1:38" ht="14.25" customHeight="1" x14ac:dyDescent="0.25">
      <c r="A136" s="18">
        <v>460</v>
      </c>
      <c r="B136" s="18" t="s">
        <v>16</v>
      </c>
      <c r="C136" s="18" t="s">
        <v>275</v>
      </c>
      <c r="E136" s="23" t="str">
        <f>IF(COUNTIF('Info Strategia'!$D$2:$D$51,$C136)&gt;0,"SI","NO")</f>
        <v>NO</v>
      </c>
      <c r="F136" s="24">
        <f>IFERROR(ROUND(($G136+($H136-$G136)*'Info Strategia'!$B$6)*(1+IF($E136="SI",'Parametri Modello'!$B$7*'Info Strategia'!$B$6,0)),0),"")</f>
        <v>4</v>
      </c>
      <c r="G136" s="24">
        <f>IFERROR(ROUND(MAX(1,(IF($V136&lt;=INDEX('Parametri Modello'!$C$57:$C$60,MATCH($B136,'Parametri Modello'!$A$57:$A$60,0)),IF(INDEX('Parametri Modello'!$E$57:$E$60,MATCH($B136,'Parametri Modello'!$A$57:$A$60,0))=0,0,($O136/INDEX('Parametri Modello'!$E$57:$E$60,MATCH($B136,'Parametri Modello'!$A$57:$A$60,0)))*(INDEX('Parametri Modello'!$D$57:$D$60,MATCH($B136,'Parametri Modello'!$A$57:$A$60,0))*(INDEX('Parametri Modello'!$B$50:$B$53,MATCH($B136,'Parametri Modello'!$A$50:$A$53,0))*'Parametri Modello'!$B$44))),IF(INDEX('Parametri Modello'!$F$57:$F$60,MATCH($B136,'Parametri Modello'!$A$57:$A$60,0))=0,0,($O136/INDEX('Parametri Modello'!$F$57:$F$60,MATCH($B136,'Parametri Modello'!$A$57:$A$60,0)))*((1-INDEX('Parametri Modello'!$D$57:$D$60,MATCH($B136,'Parametri Modello'!$A$57:$A$60,0)))*(INDEX('Parametri Modello'!$B$50:$B$53,MATCH($B136,'Parametri Modello'!$A$50:$A$53,0))*'Parametri Modello'!$B$44))))*(1+IF(IF($B136="D",'Info Lega'!$B$25,IF($B136="C",'Info Lega'!$B$26,"No"))="Si",'Parametri Modello'!$B$5,0))*(1+MAX(-0.25,MIN(0.25,IF(OR($T136="",$I136="",$I136=0,INDEX('Parametri Modello'!$B$19:$B$22,MATCH($B136,'Parametri Modello'!$A$19:$A$22,0))="",INDEX('Parametri Modello'!$B$19:$B$22,MATCH($B136,'Parametri Modello'!$A$19:$A$22,0))=0),0,(($T136-INDEX('Parametri Modello'!$B$19:$B$22,MATCH($B136,'Parametri Modello'!$A$19:$A$22,0)))/INDEX('Parametri Modello'!$B$19:$B$22,MATCH($B136,'Parametri Modello'!$A$19:$A$22,0)))*'Parametri Modello'!$B$9))))*(1+IF('Parametri Modello'!$B$27="Si",MAX(-'Parametri Modello'!$B$28,MIN('Parametri Modello'!$B$28*1.5,IF(OR(INDEX('Parametri Modello'!$F$32:$F$35,MATCH($B136,'Parametri Modello'!$A$32:$A$35,0))="",INDEX('Parametri Modello'!$F$32:$F$35,MATCH($B136,'Parametri Modello'!$A$32:$A$35,0))=0),0,(1/INDEX('Parametri Modello'!$F$32:$F$35,MATCH($B136,'Parametri Modello'!$A$32:$A$35,0))-1)*'Parametri Modello'!$B$28))),0)))*(1-INDEX('Parametri Modello'!$B$12:$B$15,MATCH($B136,'Parametri Modello'!$A$12:$A$15,0)))),0),"")</f>
        <v>3</v>
      </c>
      <c r="H136" s="24">
        <f>IFERROR(ROUND((IF($V136&lt;=INDEX('Parametri Modello'!$C$57:$C$60,MATCH($B136,'Parametri Modello'!$A$57:$A$60,0)),IF(INDEX('Parametri Modello'!$E$57:$E$60,MATCH($B136,'Parametri Modello'!$A$57:$A$60,0))=0,0,($O136/INDEX('Parametri Modello'!$E$57:$E$60,MATCH($B136,'Parametri Modello'!$A$57:$A$60,0)))*(INDEX('Parametri Modello'!$D$57:$D$60,MATCH($B136,'Parametri Modello'!$A$57:$A$60,0))*(INDEX('Parametri Modello'!$B$50:$B$53,MATCH($B136,'Parametri Modello'!$A$50:$A$53,0))*'Parametri Modello'!$B$44))),IF(INDEX('Parametri Modello'!$F$57:$F$60,MATCH($B136,'Parametri Modello'!$A$57:$A$60,0))=0,0,($O136/INDEX('Parametri Modello'!$F$57:$F$60,MATCH($B136,'Parametri Modello'!$A$57:$A$60,0)))*((1-INDEX('Parametri Modello'!$D$57:$D$60,MATCH($B136,'Parametri Modello'!$A$57:$A$60,0)))*(INDEX('Parametri Modello'!$B$50:$B$53,MATCH($B136,'Parametri Modello'!$A$50:$A$53,0))*'Parametri Modello'!$B$44))))*(1+IF(IF($B136="D",'Info Lega'!$B$25,IF($B136="C",'Info Lega'!$B$26,"No"))="Si",'Parametri Modello'!$B$5,0))*(1+MAX(-0.25,MIN(0.25,IF(OR($T136="",$I136="",$I136=0,INDEX('Parametri Modello'!$B$19:$B$22,MATCH($B136,'Parametri Modello'!$A$19:$A$22,0))="",INDEX('Parametri Modello'!$B$19:$B$22,MATCH($B136,'Parametri Modello'!$A$19:$A$22,0))=0),0,(($T136-INDEX('Parametri Modello'!$B$19:$B$22,MATCH($B136,'Parametri Modello'!$A$19:$A$22,0)))/INDEX('Parametri Modello'!$B$19:$B$22,MATCH($B136,'Parametri Modello'!$A$19:$A$22,0)))*'Parametri Modello'!$B$9))))*(1+IF('Parametri Modello'!$B$27="Si",MAX(-'Parametri Modello'!$B$28,MIN('Parametri Modello'!$B$28*1.5,IF(OR(INDEX('Parametri Modello'!$F$32:$F$35,MATCH($B136,'Parametri Modello'!$A$32:$A$35,0))="",INDEX('Parametri Modello'!$F$32:$F$35,MATCH($B136,'Parametri Modello'!$A$32:$A$35,0))=0),0,(1/INDEX('Parametri Modello'!$F$32:$F$35,MATCH($B136,'Parametri Modello'!$A$32:$A$35,0))-1)*'Parametri Modello'!$B$28))),0)))*(1+INDEX('Parametri Modello'!$B$12:$B$15,MATCH($B136,'Parametri Modello'!$A$12:$A$15,0))),0),"")</f>
        <v>5</v>
      </c>
      <c r="I136" s="23">
        <f>IFERROR(INDEX('Input Statistiche 2025_26'!$F$3:$F$665,MATCH($A136,'Input Statistiche 2025_26'!$A$3:$A$665,0)),"")</f>
        <v>32</v>
      </c>
      <c r="J136" s="23">
        <f t="shared" si="18"/>
        <v>6</v>
      </c>
      <c r="K136" s="23">
        <f>IFERROR(INDEX('Input Statistiche 2025_26'!$I$3:$I$665,MATCH($A136,'Input Statistiche 2025_26'!$A$3:$A$665,0)),"")</f>
        <v>0</v>
      </c>
      <c r="L136" s="23">
        <f>IFERROR(INDEX('Input Statistiche 2025_26'!$O$3:$O$665,MATCH($A136,'Input Statistiche 2025_26'!$A$3:$A$665,0)),"")</f>
        <v>0</v>
      </c>
      <c r="M136" s="25"/>
      <c r="N136" s="24">
        <f>IFERROR(INDEX('Input Giocatori 2026_27'!$E$3:$E$493,MATCH($A136,'Input Giocatori 2026_27'!$A$3:$A$493,0)),"")</f>
        <v>7</v>
      </c>
      <c r="O136" s="24">
        <f>IFERROR(INDEX('Input Giocatori 2026_27'!$G$3:$G$493,MATCH($A136,'Input Giocatori 2026_27'!$A$3:$A$493,0)),"")</f>
        <v>24</v>
      </c>
      <c r="P136" s="23" t="str">
        <f>IFERROR(IF($O136="","",IF((1-(COUNTIFS($B$2:$B$492,$B136,$O$2:$O$492,"&gt;"&amp;$O136)+1-1)/COUNTIF($B$2:$B$492,$B136))&gt;='Parametri Modello'!$B$63,"Top",IF((1-(COUNTIFS($B$2:$B$492,$B136,$O$2:$O$492,"&gt;"&amp;$O136)+1-1)/COUNTIF($B$2:$B$492,$B136))&gt;='Parametri Modello'!$B$64,"Buono",IF((1-(COUNTIFS($B$2:$B$492,$B136,$O$2:$O$492,"&gt;"&amp;$O136)+1-1)/COUNTIF($B$2:$B$492,$B136))&gt;='Parametri Modello'!$B$65,"Nella Media","Scommessa/Riserva")))),"")</f>
        <v>Buono</v>
      </c>
      <c r="Q136" s="26">
        <f>IF(AND($D136="",$N136&gt;1),SUMPRODUCT(($D$2:$D136="")*($N$2:$N136&gt;1)),"")</f>
        <v>135</v>
      </c>
      <c r="R136" s="26" t="str">
        <f>IF($D136='Info Lega'!$B$28,COUNTIFS($D$2:$D136,'Info Lega'!$B$28),"")</f>
        <v/>
      </c>
      <c r="S136" s="27">
        <f>IFERROR(INDEX('Input Statistiche 2025_26'!$G$3:$G$665,MATCH($A136,'Input Statistiche 2025_26'!$A$3:$A$665,0)),"")</f>
        <v>6.03</v>
      </c>
      <c r="T136" s="27">
        <f>IFERROR(INDEX('Input Statistiche 2025_26'!$H$3:$H$665,MATCH($A136,'Input Statistiche 2025_26'!$A$3:$A$665,0)),"")</f>
        <v>5.92</v>
      </c>
      <c r="U136" s="23" t="str">
        <f>IF(OR('La Mia Rosa'!$O$12="",$D136&lt;&gt;""),"",IF($F136&lt;='La Mia Rosa'!$O$12*'Parametri Modello'!$B$24,"OK",IF($F136&lt;='La Mia Rosa'!$O$12*'Parametri Modello'!$B$25,"Attenzione","Rischio Alto")))</f>
        <v>OK</v>
      </c>
      <c r="V136" s="23">
        <f t="shared" si="19"/>
        <v>26</v>
      </c>
      <c r="W136" s="18">
        <f>'Info Lega'!$B$4-SUMIFS($M$2:$M$492,$D$2:$D$492,'Info Lega'!$B$28)</f>
        <v>1000</v>
      </c>
      <c r="X136" s="18">
        <f>('Info Lega'!$B$5-COUNTIFS($D$2:$D$492,'Info Lega'!$B$28,$B$2:$B$492,"P"))+('Info Lega'!$B$6-COUNTIFS($D$2:$D$492,'Info Lega'!$B$28,$B$2:$B$492,"D"))+('Info Lega'!$B$7-COUNTIFS($D$2:$D$492,'Info Lega'!$B$28,$B$2:$B$492,"C"))+('Info Lega'!$B$8-COUNTIFS($D$2:$D$492,'Info Lega'!$B$28,$B$2:$B$492,"A"))</f>
        <v>25</v>
      </c>
      <c r="Y136" s="18">
        <f>X136*'Parametri Modello'!$B$30</f>
        <v>25</v>
      </c>
      <c r="Z136" s="18">
        <f t="shared" si="20"/>
        <v>975</v>
      </c>
      <c r="AA136" s="18">
        <f t="shared" si="21"/>
        <v>4</v>
      </c>
      <c r="AB136" s="18"/>
      <c r="AC136" s="18" t="str">
        <f>IF($AB136="","",IF($AB136&gt;$AA136,"PASS",IF($AB136&lt;=$AA136*(1-'Parametri Modello'!$B$68),"BID","ATTENZIONE")))</f>
        <v/>
      </c>
      <c r="AD136" s="28">
        <f t="shared" si="22"/>
        <v>66</v>
      </c>
      <c r="AE136" s="5" t="str">
        <f>IFERROR(INDEX('Stato Asta'!$G$9:$G$12,MATCH($B136,'Stato Asta'!$A$9:$A$12,0)),"")</f>
        <v>🔴 Non aspettare</v>
      </c>
      <c r="AF136" t="str">
        <f>IFERROR(IF($V136&lt;=INDEX('Parametri Modello'!$C$57:$C$60,MATCH($B136,'Parametri Modello'!$A$57:$A$60,0)),"Titolare","Riserva"),"")</f>
        <v>Riserva</v>
      </c>
      <c r="AG136" t="str">
        <f>IFERROR(INDEX('Pressione Competitiva'!$F$3:$F$6,MATCH($B136,'Pressione Competitiva'!$B$3:$B$6,0)),"")</f>
        <v>🔴 Molto Alta</v>
      </c>
      <c r="AH136" t="str">
        <f t="shared" si="23"/>
        <v/>
      </c>
      <c r="AI136" t="str">
        <f>IFERROR(IF($AH136="","",IF($AH136&gt;=$AA136*'Parametri Modello'!$B$68,"🟢 Opportunita'",IF($AH136&lt;=$AA136*'Parametri Modello'!$B$69,"🔴 Sovrapprezzo","🟡 Prezzo Corretto"))),"")</f>
        <v/>
      </c>
      <c r="AJ136" t="str">
        <f t="shared" si="24"/>
        <v/>
      </c>
      <c r="AK136">
        <f t="shared" si="25"/>
        <v>8</v>
      </c>
      <c r="AL136" t="str">
        <f t="shared" si="26"/>
        <v>D|Buono|8</v>
      </c>
    </row>
    <row r="137" spans="1:38" ht="14.25" customHeight="1" x14ac:dyDescent="0.25">
      <c r="A137" s="18">
        <v>4364</v>
      </c>
      <c r="B137" s="18" t="s">
        <v>17</v>
      </c>
      <c r="C137" s="18" t="s">
        <v>276</v>
      </c>
      <c r="E137" s="23" t="str">
        <f>IF(COUNTIF('Info Strategia'!$D$2:$D$51,$C137)&gt;0,"SI","NO")</f>
        <v>NO</v>
      </c>
      <c r="F137" s="24">
        <f>IFERROR(ROUND(($G137+($H137-$G137)*'Info Strategia'!$B$6)*(1+IF($E137="SI",'Parametri Modello'!$B$7*'Info Strategia'!$B$6,0)),0),"")</f>
        <v>3</v>
      </c>
      <c r="G137" s="24">
        <f>IFERROR(ROUND(MAX(1,(IF($V137&lt;=INDEX('Parametri Modello'!$C$57:$C$60,MATCH($B137,'Parametri Modello'!$A$57:$A$60,0)),IF(INDEX('Parametri Modello'!$E$57:$E$60,MATCH($B137,'Parametri Modello'!$A$57:$A$60,0))=0,0,($O137/INDEX('Parametri Modello'!$E$57:$E$60,MATCH($B137,'Parametri Modello'!$A$57:$A$60,0)))*(INDEX('Parametri Modello'!$D$57:$D$60,MATCH($B137,'Parametri Modello'!$A$57:$A$60,0))*(INDEX('Parametri Modello'!$B$50:$B$53,MATCH($B137,'Parametri Modello'!$A$50:$A$53,0))*'Parametri Modello'!$B$44))),IF(INDEX('Parametri Modello'!$F$57:$F$60,MATCH($B137,'Parametri Modello'!$A$57:$A$60,0))=0,0,($O137/INDEX('Parametri Modello'!$F$57:$F$60,MATCH($B137,'Parametri Modello'!$A$57:$A$60,0)))*((1-INDEX('Parametri Modello'!$D$57:$D$60,MATCH($B137,'Parametri Modello'!$A$57:$A$60,0)))*(INDEX('Parametri Modello'!$B$50:$B$53,MATCH($B137,'Parametri Modello'!$A$50:$A$53,0))*'Parametri Modello'!$B$44))))*(1+IF(IF($B137="D",'Info Lega'!$B$25,IF($B137="C",'Info Lega'!$B$26,"No"))="Si",'Parametri Modello'!$B$5,0))*(1+MAX(-0.25,MIN(0.25,IF(OR($T137="",$I137="",$I137=0,INDEX('Parametri Modello'!$B$19:$B$22,MATCH($B137,'Parametri Modello'!$A$19:$A$22,0))="",INDEX('Parametri Modello'!$B$19:$B$22,MATCH($B137,'Parametri Modello'!$A$19:$A$22,0))=0),0,(($T137-INDEX('Parametri Modello'!$B$19:$B$22,MATCH($B137,'Parametri Modello'!$A$19:$A$22,0)))/INDEX('Parametri Modello'!$B$19:$B$22,MATCH($B137,'Parametri Modello'!$A$19:$A$22,0)))*'Parametri Modello'!$B$9))))*(1+IF('Parametri Modello'!$B$27="Si",MAX(-'Parametri Modello'!$B$28,MIN('Parametri Modello'!$B$28*1.5,IF(OR(INDEX('Parametri Modello'!$F$32:$F$35,MATCH($B137,'Parametri Modello'!$A$32:$A$35,0))="",INDEX('Parametri Modello'!$F$32:$F$35,MATCH($B137,'Parametri Modello'!$A$32:$A$35,0))=0),0,(1/INDEX('Parametri Modello'!$F$32:$F$35,MATCH($B137,'Parametri Modello'!$A$32:$A$35,0))-1)*'Parametri Modello'!$B$28))),0)))*(1-INDEX('Parametri Modello'!$B$12:$B$15,MATCH($B137,'Parametri Modello'!$A$12:$A$15,0)))),0),"")</f>
        <v>2</v>
      </c>
      <c r="H137" s="24">
        <f>IFERROR(ROUND((IF($V137&lt;=INDEX('Parametri Modello'!$C$57:$C$60,MATCH($B137,'Parametri Modello'!$A$57:$A$60,0)),IF(INDEX('Parametri Modello'!$E$57:$E$60,MATCH($B137,'Parametri Modello'!$A$57:$A$60,0))=0,0,($O137/INDEX('Parametri Modello'!$E$57:$E$60,MATCH($B137,'Parametri Modello'!$A$57:$A$60,0)))*(INDEX('Parametri Modello'!$D$57:$D$60,MATCH($B137,'Parametri Modello'!$A$57:$A$60,0))*(INDEX('Parametri Modello'!$B$50:$B$53,MATCH($B137,'Parametri Modello'!$A$50:$A$53,0))*'Parametri Modello'!$B$44))),IF(INDEX('Parametri Modello'!$F$57:$F$60,MATCH($B137,'Parametri Modello'!$A$57:$A$60,0))=0,0,($O137/INDEX('Parametri Modello'!$F$57:$F$60,MATCH($B137,'Parametri Modello'!$A$57:$A$60,0)))*((1-INDEX('Parametri Modello'!$D$57:$D$60,MATCH($B137,'Parametri Modello'!$A$57:$A$60,0)))*(INDEX('Parametri Modello'!$B$50:$B$53,MATCH($B137,'Parametri Modello'!$A$50:$A$53,0))*'Parametri Modello'!$B$44))))*(1+IF(IF($B137="D",'Info Lega'!$B$25,IF($B137="C",'Info Lega'!$B$26,"No"))="Si",'Parametri Modello'!$B$5,0))*(1+MAX(-0.25,MIN(0.25,IF(OR($T137="",$I137="",$I137=0,INDEX('Parametri Modello'!$B$19:$B$22,MATCH($B137,'Parametri Modello'!$A$19:$A$22,0))="",INDEX('Parametri Modello'!$B$19:$B$22,MATCH($B137,'Parametri Modello'!$A$19:$A$22,0))=0),0,(($T137-INDEX('Parametri Modello'!$B$19:$B$22,MATCH($B137,'Parametri Modello'!$A$19:$A$22,0)))/INDEX('Parametri Modello'!$B$19:$B$22,MATCH($B137,'Parametri Modello'!$A$19:$A$22,0)))*'Parametri Modello'!$B$9))))*(1+IF('Parametri Modello'!$B$27="Si",MAX(-'Parametri Modello'!$B$28,MIN('Parametri Modello'!$B$28*1.5,IF(OR(INDEX('Parametri Modello'!$F$32:$F$35,MATCH($B137,'Parametri Modello'!$A$32:$A$35,0))="",INDEX('Parametri Modello'!$F$32:$F$35,MATCH($B137,'Parametri Modello'!$A$32:$A$35,0))=0),0,(1/INDEX('Parametri Modello'!$F$32:$F$35,MATCH($B137,'Parametri Modello'!$A$32:$A$35,0))-1)*'Parametri Modello'!$B$28))),0)))*(1+INDEX('Parametri Modello'!$B$12:$B$15,MATCH($B137,'Parametri Modello'!$A$12:$A$15,0))),0),"")</f>
        <v>4</v>
      </c>
      <c r="I137" s="23">
        <f>IFERROR(INDEX('Input Statistiche 2025_26'!$F$3:$F$665,MATCH($A137,'Input Statistiche 2025_26'!$A$3:$A$665,0)),"")</f>
        <v>32</v>
      </c>
      <c r="J137" s="23">
        <f t="shared" si="18"/>
        <v>6</v>
      </c>
      <c r="K137" s="23">
        <f>IFERROR(INDEX('Input Statistiche 2025_26'!$I$3:$I$665,MATCH($A137,'Input Statistiche 2025_26'!$A$3:$A$665,0)),"")</f>
        <v>2</v>
      </c>
      <c r="L137" s="23">
        <f>IFERROR(INDEX('Input Statistiche 2025_26'!$O$3:$O$665,MATCH($A137,'Input Statistiche 2025_26'!$A$3:$A$665,0)),"")</f>
        <v>4</v>
      </c>
      <c r="M137" s="25"/>
      <c r="N137" s="24">
        <f>IFERROR(INDEX('Input Giocatori 2026_27'!$E$3:$E$493,MATCH($A137,'Input Giocatori 2026_27'!$A$3:$A$493,0)),"")</f>
        <v>7</v>
      </c>
      <c r="O137" s="24">
        <f>IFERROR(INDEX('Input Giocatori 2026_27'!$G$3:$G$493,MATCH($A137,'Input Giocatori 2026_27'!$A$3:$A$493,0)),"")</f>
        <v>24</v>
      </c>
      <c r="P137" s="23" t="str">
        <f>IFERROR(IF($O137="","",IF((1-(COUNTIFS($B$2:$B$492,$B137,$O$2:$O$492,"&gt;"&amp;$O137)+1-1)/COUNTIF($B$2:$B$492,$B137))&gt;='Parametri Modello'!$B$63,"Top",IF((1-(COUNTIFS($B$2:$B$492,$B137,$O$2:$O$492,"&gt;"&amp;$O137)+1-1)/COUNTIF($B$2:$B$492,$B137))&gt;='Parametri Modello'!$B$64,"Buono",IF((1-(COUNTIFS($B$2:$B$492,$B137,$O$2:$O$492,"&gt;"&amp;$O137)+1-1)/COUNTIF($B$2:$B$492,$B137))&gt;='Parametri Modello'!$B$65,"Nella Media","Scommessa/Riserva")))),"")</f>
        <v>Buono</v>
      </c>
      <c r="Q137" s="26">
        <f>IF(AND($D137="",$N137&gt;1),SUMPRODUCT(($D$2:$D137="")*($N$2:$N137&gt;1)),"")</f>
        <v>136</v>
      </c>
      <c r="R137" s="26" t="str">
        <f>IF($D137='Info Lega'!$B$28,COUNTIFS($D$2:$D137,'Info Lega'!$B$28),"")</f>
        <v/>
      </c>
      <c r="S137" s="27">
        <f>IFERROR(INDEX('Input Statistiche 2025_26'!$G$3:$G$665,MATCH($A137,'Input Statistiche 2025_26'!$A$3:$A$665,0)),"")</f>
        <v>6.06</v>
      </c>
      <c r="T137" s="27">
        <f>IFERROR(INDEX('Input Statistiche 2025_26'!$H$3:$H$665,MATCH($A137,'Input Statistiche 2025_26'!$A$3:$A$665,0)),"")</f>
        <v>6.31</v>
      </c>
      <c r="U137" s="23" t="str">
        <f>IF(OR('La Mia Rosa'!$O$12="",$D137&lt;&gt;""),"",IF($F137&lt;='La Mia Rosa'!$O$12*'Parametri Modello'!$B$24,"OK",IF($F137&lt;='La Mia Rosa'!$O$12*'Parametri Modello'!$B$25,"Attenzione","Rischio Alto")))</f>
        <v>OK</v>
      </c>
      <c r="V137" s="23">
        <f t="shared" si="19"/>
        <v>51</v>
      </c>
      <c r="W137" s="18">
        <f>'Info Lega'!$B$4-SUMIFS($M$2:$M$492,$D$2:$D$492,'Info Lega'!$B$28)</f>
        <v>1000</v>
      </c>
      <c r="X137" s="18">
        <f>('Info Lega'!$B$5-COUNTIFS($D$2:$D$492,'Info Lega'!$B$28,$B$2:$B$492,"P"))+('Info Lega'!$B$6-COUNTIFS($D$2:$D$492,'Info Lega'!$B$28,$B$2:$B$492,"D"))+('Info Lega'!$B$7-COUNTIFS($D$2:$D$492,'Info Lega'!$B$28,$B$2:$B$492,"C"))+('Info Lega'!$B$8-COUNTIFS($D$2:$D$492,'Info Lega'!$B$28,$B$2:$B$492,"A"))</f>
        <v>25</v>
      </c>
      <c r="Y137" s="18">
        <f>X137*'Parametri Modello'!$B$30</f>
        <v>25</v>
      </c>
      <c r="Z137" s="18">
        <f t="shared" si="20"/>
        <v>975</v>
      </c>
      <c r="AA137" s="18">
        <f t="shared" si="21"/>
        <v>3</v>
      </c>
      <c r="AB137" s="18"/>
      <c r="AC137" s="18" t="str">
        <f>IF($AB137="","",IF($AB137&gt;$AA137,"PASS",IF($AB137&lt;=$AA137*(1-'Parametri Modello'!$B$68),"BID","ATTENZIONE")))</f>
        <v/>
      </c>
      <c r="AD137" s="28">
        <f t="shared" si="22"/>
        <v>66</v>
      </c>
      <c r="AE137" s="5" t="str">
        <f>IFERROR(INDEX('Stato Asta'!$G$9:$G$12,MATCH($B137,'Stato Asta'!$A$9:$A$12,0)),"")</f>
        <v>🔴 Non aspettare</v>
      </c>
      <c r="AF137" t="str">
        <f>IFERROR(IF($V137&lt;=INDEX('Parametri Modello'!$C$57:$C$60,MATCH($B137,'Parametri Modello'!$A$57:$A$60,0)),"Titolare","Riserva"),"")</f>
        <v>Riserva</v>
      </c>
      <c r="AG137" t="str">
        <f>IFERROR(INDEX('Pressione Competitiva'!$F$3:$F$6,MATCH($B137,'Pressione Competitiva'!$B$3:$B$6,0)),"")</f>
        <v>🔴 Molto Alta</v>
      </c>
      <c r="AH137" t="str">
        <f t="shared" si="23"/>
        <v/>
      </c>
      <c r="AI137" t="str">
        <f>IFERROR(IF($AH137="","",IF($AH137&gt;=$AA137*'Parametri Modello'!$B$68,"🟢 Opportunita'",IF($AH137&lt;=$AA137*'Parametri Modello'!$B$69,"🔴 Sovrapprezzo","🟡 Prezzo Corretto"))),"")</f>
        <v/>
      </c>
      <c r="AJ137" t="str">
        <f t="shared" si="24"/>
        <v/>
      </c>
      <c r="AK137">
        <f t="shared" si="25"/>
        <v>33</v>
      </c>
      <c r="AL137" t="str">
        <f t="shared" si="26"/>
        <v>C|Buono|33</v>
      </c>
    </row>
    <row r="138" spans="1:38" ht="14.25" customHeight="1" x14ac:dyDescent="0.25">
      <c r="A138" s="18">
        <v>4359</v>
      </c>
      <c r="B138" s="18" t="s">
        <v>18</v>
      </c>
      <c r="C138" s="18" t="s">
        <v>277</v>
      </c>
      <c r="E138" s="23" t="str">
        <f>IF(COUNTIF('Info Strategia'!$D$2:$D$51,$C138)&gt;0,"SI","NO")</f>
        <v>NO</v>
      </c>
      <c r="F138" s="24">
        <f>IFERROR(ROUND(($G138+($H138-$G138)*'Info Strategia'!$B$6)*(1+IF($E138="SI",'Parametri Modello'!$B$7*'Info Strategia'!$B$6,0)),0),"")</f>
        <v>8</v>
      </c>
      <c r="G138" s="24">
        <f>IFERROR(ROUND(MAX(1,(IF($V138&lt;=INDEX('Parametri Modello'!$C$57:$C$60,MATCH($B138,'Parametri Modello'!$A$57:$A$60,0)),IF(INDEX('Parametri Modello'!$E$57:$E$60,MATCH($B138,'Parametri Modello'!$A$57:$A$60,0))=0,0,($O138/INDEX('Parametri Modello'!$E$57:$E$60,MATCH($B138,'Parametri Modello'!$A$57:$A$60,0)))*(INDEX('Parametri Modello'!$D$57:$D$60,MATCH($B138,'Parametri Modello'!$A$57:$A$60,0))*(INDEX('Parametri Modello'!$B$50:$B$53,MATCH($B138,'Parametri Modello'!$A$50:$A$53,0))*'Parametri Modello'!$B$44))),IF(INDEX('Parametri Modello'!$F$57:$F$60,MATCH($B138,'Parametri Modello'!$A$57:$A$60,0))=0,0,($O138/INDEX('Parametri Modello'!$F$57:$F$60,MATCH($B138,'Parametri Modello'!$A$57:$A$60,0)))*((1-INDEX('Parametri Modello'!$D$57:$D$60,MATCH($B138,'Parametri Modello'!$A$57:$A$60,0)))*(INDEX('Parametri Modello'!$B$50:$B$53,MATCH($B138,'Parametri Modello'!$A$50:$A$53,0))*'Parametri Modello'!$B$44))))*(1+IF(IF($B138="D",'Info Lega'!$B$25,IF($B138="C",'Info Lega'!$B$26,"No"))="Si",'Parametri Modello'!$B$5,0))*(1+MAX(-0.25,MIN(0.25,IF(OR($T138="",$I138="",$I138=0,INDEX('Parametri Modello'!$B$19:$B$22,MATCH($B138,'Parametri Modello'!$A$19:$A$22,0))="",INDEX('Parametri Modello'!$B$19:$B$22,MATCH($B138,'Parametri Modello'!$A$19:$A$22,0))=0),0,(($T138-INDEX('Parametri Modello'!$B$19:$B$22,MATCH($B138,'Parametri Modello'!$A$19:$A$22,0)))/INDEX('Parametri Modello'!$B$19:$B$22,MATCH($B138,'Parametri Modello'!$A$19:$A$22,0)))*'Parametri Modello'!$B$9))))*(1+IF('Parametri Modello'!$B$27="Si",MAX(-'Parametri Modello'!$B$28,MIN('Parametri Modello'!$B$28*1.5,IF(OR(INDEX('Parametri Modello'!$F$32:$F$35,MATCH($B138,'Parametri Modello'!$A$32:$A$35,0))="",INDEX('Parametri Modello'!$F$32:$F$35,MATCH($B138,'Parametri Modello'!$A$32:$A$35,0))=0),0,(1/INDEX('Parametri Modello'!$F$32:$F$35,MATCH($B138,'Parametri Modello'!$A$32:$A$35,0))-1)*'Parametri Modello'!$B$28))),0)))*(1-INDEX('Parametri Modello'!$B$12:$B$15,MATCH($B138,'Parametri Modello'!$A$12:$A$15,0)))),0),"")</f>
        <v>5</v>
      </c>
      <c r="H138" s="24">
        <f>IFERROR(ROUND((IF($V138&lt;=INDEX('Parametri Modello'!$C$57:$C$60,MATCH($B138,'Parametri Modello'!$A$57:$A$60,0)),IF(INDEX('Parametri Modello'!$E$57:$E$60,MATCH($B138,'Parametri Modello'!$A$57:$A$60,0))=0,0,($O138/INDEX('Parametri Modello'!$E$57:$E$60,MATCH($B138,'Parametri Modello'!$A$57:$A$60,0)))*(INDEX('Parametri Modello'!$D$57:$D$60,MATCH($B138,'Parametri Modello'!$A$57:$A$60,0))*(INDEX('Parametri Modello'!$B$50:$B$53,MATCH($B138,'Parametri Modello'!$A$50:$A$53,0))*'Parametri Modello'!$B$44))),IF(INDEX('Parametri Modello'!$F$57:$F$60,MATCH($B138,'Parametri Modello'!$A$57:$A$60,0))=0,0,($O138/INDEX('Parametri Modello'!$F$57:$F$60,MATCH($B138,'Parametri Modello'!$A$57:$A$60,0)))*((1-INDEX('Parametri Modello'!$D$57:$D$60,MATCH($B138,'Parametri Modello'!$A$57:$A$60,0)))*(INDEX('Parametri Modello'!$B$50:$B$53,MATCH($B138,'Parametri Modello'!$A$50:$A$53,0))*'Parametri Modello'!$B$44))))*(1+IF(IF($B138="D",'Info Lega'!$B$25,IF($B138="C",'Info Lega'!$B$26,"No"))="Si",'Parametri Modello'!$B$5,0))*(1+MAX(-0.25,MIN(0.25,IF(OR($T138="",$I138="",$I138=0,INDEX('Parametri Modello'!$B$19:$B$22,MATCH($B138,'Parametri Modello'!$A$19:$A$22,0))="",INDEX('Parametri Modello'!$B$19:$B$22,MATCH($B138,'Parametri Modello'!$A$19:$A$22,0))=0),0,(($T138-INDEX('Parametri Modello'!$B$19:$B$22,MATCH($B138,'Parametri Modello'!$A$19:$A$22,0)))/INDEX('Parametri Modello'!$B$19:$B$22,MATCH($B138,'Parametri Modello'!$A$19:$A$22,0)))*'Parametri Modello'!$B$9))))*(1+IF('Parametri Modello'!$B$27="Si",MAX(-'Parametri Modello'!$B$28,MIN('Parametri Modello'!$B$28*1.5,IF(OR(INDEX('Parametri Modello'!$F$32:$F$35,MATCH($B138,'Parametri Modello'!$A$32:$A$35,0))="",INDEX('Parametri Modello'!$F$32:$F$35,MATCH($B138,'Parametri Modello'!$A$32:$A$35,0))=0),0,(1/INDEX('Parametri Modello'!$F$32:$F$35,MATCH($B138,'Parametri Modello'!$A$32:$A$35,0))-1)*'Parametri Modello'!$B$28))),0)))*(1+INDEX('Parametri Modello'!$B$12:$B$15,MATCH($B138,'Parametri Modello'!$A$12:$A$15,0))),0),"")</f>
        <v>9</v>
      </c>
      <c r="I138" s="23">
        <f>IFERROR(INDEX('Input Statistiche 2025_26'!$F$3:$F$665,MATCH($A138,'Input Statistiche 2025_26'!$A$3:$A$665,0)),"")</f>
        <v>27</v>
      </c>
      <c r="J138" s="23">
        <f t="shared" si="18"/>
        <v>11</v>
      </c>
      <c r="K138" s="23">
        <f>IFERROR(INDEX('Input Statistiche 2025_26'!$I$3:$I$665,MATCH($A138,'Input Statistiche 2025_26'!$A$3:$A$665,0)),"")</f>
        <v>4</v>
      </c>
      <c r="L138" s="23">
        <f>IFERROR(INDEX('Input Statistiche 2025_26'!$O$3:$O$665,MATCH($A138,'Input Statistiche 2025_26'!$A$3:$A$665,0)),"")</f>
        <v>1</v>
      </c>
      <c r="M138" s="25"/>
      <c r="N138" s="24">
        <f>IFERROR(INDEX('Input Giocatori 2026_27'!$E$3:$E$493,MATCH($A138,'Input Giocatori 2026_27'!$A$3:$A$493,0)),"")</f>
        <v>8</v>
      </c>
      <c r="O138" s="24">
        <f>IFERROR(INDEX('Input Giocatori 2026_27'!$G$3:$G$493,MATCH($A138,'Input Giocatori 2026_27'!$A$3:$A$493,0)),"")</f>
        <v>24</v>
      </c>
      <c r="P138" s="23" t="str">
        <f>IFERROR(IF($O138="","",IF((1-(COUNTIFS($B$2:$B$492,$B138,$O$2:$O$492,"&gt;"&amp;$O138)+1-1)/COUNTIF($B$2:$B$492,$B138))&gt;='Parametri Modello'!$B$63,"Top",IF((1-(COUNTIFS($B$2:$B$492,$B138,$O$2:$O$492,"&gt;"&amp;$O138)+1-1)/COUNTIF($B$2:$B$492,$B138))&gt;='Parametri Modello'!$B$64,"Buono",IF((1-(COUNTIFS($B$2:$B$492,$B138,$O$2:$O$492,"&gt;"&amp;$O138)+1-1)/COUNTIF($B$2:$B$492,$B138))&gt;='Parametri Modello'!$B$65,"Nella Media","Scommessa/Riserva")))),"")</f>
        <v>Nella Media</v>
      </c>
      <c r="Q138" s="26">
        <f>IF(AND($D138="",$N138&gt;1),SUMPRODUCT(($D$2:$D138="")*($N$2:$N138&gt;1)),"")</f>
        <v>137</v>
      </c>
      <c r="R138" s="26" t="str">
        <f>IF($D138='Info Lega'!$B$28,COUNTIFS($D$2:$D138,'Info Lega'!$B$28),"")</f>
        <v/>
      </c>
      <c r="S138" s="27">
        <f>IFERROR(INDEX('Input Statistiche 2025_26'!$G$3:$G$665,MATCH($A138,'Input Statistiche 2025_26'!$A$3:$A$665,0)),"")</f>
        <v>5.78</v>
      </c>
      <c r="T138" s="27">
        <f>IFERROR(INDEX('Input Statistiche 2025_26'!$H$3:$H$665,MATCH($A138,'Input Statistiche 2025_26'!$A$3:$A$665,0)),"")</f>
        <v>6.24</v>
      </c>
      <c r="U138" s="23" t="str">
        <f>IF(OR('La Mia Rosa'!$O$12="",$D138&lt;&gt;""),"",IF($F138&lt;='La Mia Rosa'!$O$12*'Parametri Modello'!$B$24,"OK",IF($F138&lt;='La Mia Rosa'!$O$12*'Parametri Modello'!$B$25,"Attenzione","Rischio Alto")))</f>
        <v>OK</v>
      </c>
      <c r="V138" s="23">
        <f t="shared" si="19"/>
        <v>43</v>
      </c>
      <c r="W138" s="18">
        <f>'Info Lega'!$B$4-SUMIFS($M$2:$M$492,$D$2:$D$492,'Info Lega'!$B$28)</f>
        <v>1000</v>
      </c>
      <c r="X138" s="18">
        <f>('Info Lega'!$B$5-COUNTIFS($D$2:$D$492,'Info Lega'!$B$28,$B$2:$B$492,"P"))+('Info Lega'!$B$6-COUNTIFS($D$2:$D$492,'Info Lega'!$B$28,$B$2:$B$492,"D"))+('Info Lega'!$B$7-COUNTIFS($D$2:$D$492,'Info Lega'!$B$28,$B$2:$B$492,"C"))+('Info Lega'!$B$8-COUNTIFS($D$2:$D$492,'Info Lega'!$B$28,$B$2:$B$492,"A"))</f>
        <v>25</v>
      </c>
      <c r="Y138" s="18">
        <f>X138*'Parametri Modello'!$B$30</f>
        <v>25</v>
      </c>
      <c r="Z138" s="18">
        <f t="shared" si="20"/>
        <v>975</v>
      </c>
      <c r="AA138" s="18">
        <f t="shared" si="21"/>
        <v>8</v>
      </c>
      <c r="AB138" s="18"/>
      <c r="AC138" s="18" t="str">
        <f>IF($AB138="","",IF($AB138&gt;$AA138,"PASS",IF($AB138&lt;=$AA138*(1-'Parametri Modello'!$B$68),"BID","ATTENZIONE")))</f>
        <v/>
      </c>
      <c r="AD138" s="28">
        <f t="shared" si="22"/>
        <v>59</v>
      </c>
      <c r="AE138" s="5" t="str">
        <f>IFERROR(INDEX('Stato Asta'!$G$9:$G$12,MATCH($B138,'Stato Asta'!$A$9:$A$12,0)),"")</f>
        <v>🔴 Non aspettare</v>
      </c>
      <c r="AF138" t="str">
        <f>IFERROR(IF($V138&lt;=INDEX('Parametri Modello'!$C$57:$C$60,MATCH($B138,'Parametri Modello'!$A$57:$A$60,0)),"Titolare","Riserva"),"")</f>
        <v>Riserva</v>
      </c>
      <c r="AG138" t="str">
        <f>IFERROR(INDEX('Pressione Competitiva'!$F$3:$F$6,MATCH($B138,'Pressione Competitiva'!$B$3:$B$6,0)),"")</f>
        <v>🔴 Molto Alta</v>
      </c>
      <c r="AH138" t="str">
        <f t="shared" si="23"/>
        <v/>
      </c>
      <c r="AI138" t="str">
        <f>IFERROR(IF($AH138="","",IF($AH138&gt;=$AA138*'Parametri Modello'!$B$68,"🟢 Opportunita'",IF($AH138&lt;=$AA138*'Parametri Modello'!$B$69,"🔴 Sovrapprezzo","🟡 Prezzo Corretto"))),"")</f>
        <v/>
      </c>
      <c r="AJ138" t="str">
        <f t="shared" si="24"/>
        <v/>
      </c>
      <c r="AK138">
        <f t="shared" si="25"/>
        <v>17</v>
      </c>
      <c r="AL138" t="str">
        <f t="shared" si="26"/>
        <v>A|Nella Media|17</v>
      </c>
    </row>
    <row r="139" spans="1:38" ht="14.25" customHeight="1" x14ac:dyDescent="0.25">
      <c r="A139" s="18">
        <v>5436</v>
      </c>
      <c r="B139" s="18" t="s">
        <v>18</v>
      </c>
      <c r="C139" s="18" t="s">
        <v>278</v>
      </c>
      <c r="E139" s="23" t="str">
        <f>IF(COUNTIF('Info Strategia'!$D$2:$D$51,$C139)&gt;0,"SI","NO")</f>
        <v>NO</v>
      </c>
      <c r="F139" s="24">
        <f>IFERROR(ROUND(($G139+($H139-$G139)*'Info Strategia'!$B$6)*(1+IF($E139="SI",'Parametri Modello'!$B$7*'Info Strategia'!$B$6,0)),0),"")</f>
        <v>8</v>
      </c>
      <c r="G139" s="24">
        <f>IFERROR(ROUND(MAX(1,(IF($V139&lt;=INDEX('Parametri Modello'!$C$57:$C$60,MATCH($B139,'Parametri Modello'!$A$57:$A$60,0)),IF(INDEX('Parametri Modello'!$E$57:$E$60,MATCH($B139,'Parametri Modello'!$A$57:$A$60,0))=0,0,($O139/INDEX('Parametri Modello'!$E$57:$E$60,MATCH($B139,'Parametri Modello'!$A$57:$A$60,0)))*(INDEX('Parametri Modello'!$D$57:$D$60,MATCH($B139,'Parametri Modello'!$A$57:$A$60,0))*(INDEX('Parametri Modello'!$B$50:$B$53,MATCH($B139,'Parametri Modello'!$A$50:$A$53,0))*'Parametri Modello'!$B$44))),IF(INDEX('Parametri Modello'!$F$57:$F$60,MATCH($B139,'Parametri Modello'!$A$57:$A$60,0))=0,0,($O139/INDEX('Parametri Modello'!$F$57:$F$60,MATCH($B139,'Parametri Modello'!$A$57:$A$60,0)))*((1-INDEX('Parametri Modello'!$D$57:$D$60,MATCH($B139,'Parametri Modello'!$A$57:$A$60,0)))*(INDEX('Parametri Modello'!$B$50:$B$53,MATCH($B139,'Parametri Modello'!$A$50:$A$53,0))*'Parametri Modello'!$B$44))))*(1+IF(IF($B139="D",'Info Lega'!$B$25,IF($B139="C",'Info Lega'!$B$26,"No"))="Si",'Parametri Modello'!$B$5,0))*(1+MAX(-0.25,MIN(0.25,IF(OR($T139="",$I139="",$I139=0,INDEX('Parametri Modello'!$B$19:$B$22,MATCH($B139,'Parametri Modello'!$A$19:$A$22,0))="",INDEX('Parametri Modello'!$B$19:$B$22,MATCH($B139,'Parametri Modello'!$A$19:$A$22,0))=0),0,(($T139-INDEX('Parametri Modello'!$B$19:$B$22,MATCH($B139,'Parametri Modello'!$A$19:$A$22,0)))/INDEX('Parametri Modello'!$B$19:$B$22,MATCH($B139,'Parametri Modello'!$A$19:$A$22,0)))*'Parametri Modello'!$B$9))))*(1+IF('Parametri Modello'!$B$27="Si",MAX(-'Parametri Modello'!$B$28,MIN('Parametri Modello'!$B$28*1.5,IF(OR(INDEX('Parametri Modello'!$F$32:$F$35,MATCH($B139,'Parametri Modello'!$A$32:$A$35,0))="",INDEX('Parametri Modello'!$F$32:$F$35,MATCH($B139,'Parametri Modello'!$A$32:$A$35,0))=0),0,(1/INDEX('Parametri Modello'!$F$32:$F$35,MATCH($B139,'Parametri Modello'!$A$32:$A$35,0))-1)*'Parametri Modello'!$B$28))),0)))*(1-INDEX('Parametri Modello'!$B$12:$B$15,MATCH($B139,'Parametri Modello'!$A$12:$A$15,0)))),0),"")</f>
        <v>5</v>
      </c>
      <c r="H139" s="24">
        <f>IFERROR(ROUND((IF($V139&lt;=INDEX('Parametri Modello'!$C$57:$C$60,MATCH($B139,'Parametri Modello'!$A$57:$A$60,0)),IF(INDEX('Parametri Modello'!$E$57:$E$60,MATCH($B139,'Parametri Modello'!$A$57:$A$60,0))=0,0,($O139/INDEX('Parametri Modello'!$E$57:$E$60,MATCH($B139,'Parametri Modello'!$A$57:$A$60,0)))*(INDEX('Parametri Modello'!$D$57:$D$60,MATCH($B139,'Parametri Modello'!$A$57:$A$60,0))*(INDEX('Parametri Modello'!$B$50:$B$53,MATCH($B139,'Parametri Modello'!$A$50:$A$53,0))*'Parametri Modello'!$B$44))),IF(INDEX('Parametri Modello'!$F$57:$F$60,MATCH($B139,'Parametri Modello'!$A$57:$A$60,0))=0,0,($O139/INDEX('Parametri Modello'!$F$57:$F$60,MATCH($B139,'Parametri Modello'!$A$57:$A$60,0)))*((1-INDEX('Parametri Modello'!$D$57:$D$60,MATCH($B139,'Parametri Modello'!$A$57:$A$60,0)))*(INDEX('Parametri Modello'!$B$50:$B$53,MATCH($B139,'Parametri Modello'!$A$50:$A$53,0))*'Parametri Modello'!$B$44))))*(1+IF(IF($B139="D",'Info Lega'!$B$25,IF($B139="C",'Info Lega'!$B$26,"No"))="Si",'Parametri Modello'!$B$5,0))*(1+MAX(-0.25,MIN(0.25,IF(OR($T139="",$I139="",$I139=0,INDEX('Parametri Modello'!$B$19:$B$22,MATCH($B139,'Parametri Modello'!$A$19:$A$22,0))="",INDEX('Parametri Modello'!$B$19:$B$22,MATCH($B139,'Parametri Modello'!$A$19:$A$22,0))=0),0,(($T139-INDEX('Parametri Modello'!$B$19:$B$22,MATCH($B139,'Parametri Modello'!$A$19:$A$22,0)))/INDEX('Parametri Modello'!$B$19:$B$22,MATCH($B139,'Parametri Modello'!$A$19:$A$22,0)))*'Parametri Modello'!$B$9))))*(1+IF('Parametri Modello'!$B$27="Si",MAX(-'Parametri Modello'!$B$28,MIN('Parametri Modello'!$B$28*1.5,IF(OR(INDEX('Parametri Modello'!$F$32:$F$35,MATCH($B139,'Parametri Modello'!$A$32:$A$35,0))="",INDEX('Parametri Modello'!$F$32:$F$35,MATCH($B139,'Parametri Modello'!$A$32:$A$35,0))=0),0,(1/INDEX('Parametri Modello'!$F$32:$F$35,MATCH($B139,'Parametri Modello'!$A$32:$A$35,0))-1)*'Parametri Modello'!$B$28))),0)))*(1+INDEX('Parametri Modello'!$B$12:$B$15,MATCH($B139,'Parametri Modello'!$A$12:$A$15,0))),0),"")</f>
        <v>9</v>
      </c>
      <c r="I139" s="23" t="str">
        <f>IFERROR(INDEX('Input Statistiche 2025_26'!$F$3:$F$665,MATCH($A139,'Input Statistiche 2025_26'!$A$3:$A$665,0)),"")</f>
        <v/>
      </c>
      <c r="J139" s="23" t="str">
        <f t="shared" si="18"/>
        <v/>
      </c>
      <c r="K139" s="23" t="str">
        <f>IFERROR(INDEX('Input Statistiche 2025_26'!$I$3:$I$665,MATCH($A139,'Input Statistiche 2025_26'!$A$3:$A$665,0)),"")</f>
        <v/>
      </c>
      <c r="L139" s="23" t="str">
        <f>IFERROR(INDEX('Input Statistiche 2025_26'!$O$3:$O$665,MATCH($A139,'Input Statistiche 2025_26'!$A$3:$A$665,0)),"")</f>
        <v/>
      </c>
      <c r="M139" s="25"/>
      <c r="N139" s="24">
        <f>IFERROR(INDEX('Input Giocatori 2026_27'!$E$3:$E$493,MATCH($A139,'Input Giocatori 2026_27'!$A$3:$A$493,0)),"")</f>
        <v>7</v>
      </c>
      <c r="O139" s="24">
        <f>IFERROR(INDEX('Input Giocatori 2026_27'!$G$3:$G$493,MATCH($A139,'Input Giocatori 2026_27'!$A$3:$A$493,0)),"")</f>
        <v>24</v>
      </c>
      <c r="P139" s="23" t="str">
        <f>IFERROR(IF($O139="","",IF((1-(COUNTIFS($B$2:$B$492,$B139,$O$2:$O$492,"&gt;"&amp;$O139)+1-1)/COUNTIF($B$2:$B$492,$B139))&gt;='Parametri Modello'!$B$63,"Top",IF((1-(COUNTIFS($B$2:$B$492,$B139,$O$2:$O$492,"&gt;"&amp;$O139)+1-1)/COUNTIF($B$2:$B$492,$B139))&gt;='Parametri Modello'!$B$64,"Buono",IF((1-(COUNTIFS($B$2:$B$492,$B139,$O$2:$O$492,"&gt;"&amp;$O139)+1-1)/COUNTIF($B$2:$B$492,$B139))&gt;='Parametri Modello'!$B$65,"Nella Media","Scommessa/Riserva")))),"")</f>
        <v>Nella Media</v>
      </c>
      <c r="Q139" s="26">
        <f>IF(AND($D139="",$N139&gt;1),SUMPRODUCT(($D$2:$D139="")*($N$2:$N139&gt;1)),"")</f>
        <v>138</v>
      </c>
      <c r="R139" s="26" t="str">
        <f>IF($D139='Info Lega'!$B$28,COUNTIFS($D$2:$D139,'Info Lega'!$B$28),"")</f>
        <v/>
      </c>
      <c r="S139" s="27" t="str">
        <f>IFERROR(INDEX('Input Statistiche 2025_26'!$G$3:$G$665,MATCH($A139,'Input Statistiche 2025_26'!$A$3:$A$665,0)),"")</f>
        <v/>
      </c>
      <c r="T139" s="27" t="str">
        <f>IFERROR(INDEX('Input Statistiche 2025_26'!$H$3:$H$665,MATCH($A139,'Input Statistiche 2025_26'!$A$3:$A$665,0)),"")</f>
        <v/>
      </c>
      <c r="U139" s="23" t="str">
        <f>IF(OR('La Mia Rosa'!$O$12="",$D139&lt;&gt;""),"",IF($F139&lt;='La Mia Rosa'!$O$12*'Parametri Modello'!$B$24,"OK",IF($F139&lt;='La Mia Rosa'!$O$12*'Parametri Modello'!$B$25,"Attenzione","Rischio Alto")))</f>
        <v>OK</v>
      </c>
      <c r="V139" s="23">
        <f t="shared" si="19"/>
        <v>43</v>
      </c>
      <c r="W139" s="18">
        <f>'Info Lega'!$B$4-SUMIFS($M$2:$M$492,$D$2:$D$492,'Info Lega'!$B$28)</f>
        <v>1000</v>
      </c>
      <c r="X139" s="18">
        <f>('Info Lega'!$B$5-COUNTIFS($D$2:$D$492,'Info Lega'!$B$28,$B$2:$B$492,"P"))+('Info Lega'!$B$6-COUNTIFS($D$2:$D$492,'Info Lega'!$B$28,$B$2:$B$492,"D"))+('Info Lega'!$B$7-COUNTIFS($D$2:$D$492,'Info Lega'!$B$28,$B$2:$B$492,"C"))+('Info Lega'!$B$8-COUNTIFS($D$2:$D$492,'Info Lega'!$B$28,$B$2:$B$492,"A"))</f>
        <v>25</v>
      </c>
      <c r="Y139" s="18">
        <f>X139*'Parametri Modello'!$B$30</f>
        <v>25</v>
      </c>
      <c r="Z139" s="18">
        <f t="shared" si="20"/>
        <v>975</v>
      </c>
      <c r="AA139" s="18">
        <f t="shared" si="21"/>
        <v>8</v>
      </c>
      <c r="AB139" s="18"/>
      <c r="AC139" s="18" t="str">
        <f>IF($AB139="","",IF($AB139&gt;$AA139,"PASS",IF($AB139&lt;=$AA139*(1-'Parametri Modello'!$B$68),"BID","ATTENZIONE")))</f>
        <v/>
      </c>
      <c r="AD139" s="28" t="str">
        <f t="shared" si="22"/>
        <v/>
      </c>
      <c r="AE139" s="5" t="str">
        <f>IFERROR(INDEX('Stato Asta'!$G$9:$G$12,MATCH($B139,'Stato Asta'!$A$9:$A$12,0)),"")</f>
        <v>🔴 Non aspettare</v>
      </c>
      <c r="AF139" t="str">
        <f>IFERROR(IF($V139&lt;=INDEX('Parametri Modello'!$C$57:$C$60,MATCH($B139,'Parametri Modello'!$A$57:$A$60,0)),"Titolare","Riserva"),"")</f>
        <v>Riserva</v>
      </c>
      <c r="AG139" t="str">
        <f>IFERROR(INDEX('Pressione Competitiva'!$F$3:$F$6,MATCH($B139,'Pressione Competitiva'!$B$3:$B$6,0)),"")</f>
        <v>🔴 Molto Alta</v>
      </c>
      <c r="AH139" t="str">
        <f t="shared" si="23"/>
        <v/>
      </c>
      <c r="AI139" t="str">
        <f>IFERROR(IF($AH139="","",IF($AH139&gt;=$AA139*'Parametri Modello'!$B$68,"🟢 Opportunita'",IF($AH139&lt;=$AA139*'Parametri Modello'!$B$69,"🔴 Sovrapprezzo","🟡 Prezzo Corretto"))),"")</f>
        <v/>
      </c>
      <c r="AJ139" t="str">
        <f t="shared" si="24"/>
        <v/>
      </c>
      <c r="AK139">
        <f t="shared" si="25"/>
        <v>17</v>
      </c>
      <c r="AL139" t="str">
        <f t="shared" si="26"/>
        <v>A|Nella Media|17</v>
      </c>
    </row>
    <row r="140" spans="1:38" ht="14.25" customHeight="1" x14ac:dyDescent="0.25">
      <c r="A140" s="18">
        <v>6531</v>
      </c>
      <c r="B140" s="18" t="s">
        <v>16</v>
      </c>
      <c r="C140" s="18" t="s">
        <v>279</v>
      </c>
      <c r="E140" s="23" t="str">
        <f>IF(COUNTIF('Info Strategia'!$D$2:$D$51,$C140)&gt;0,"SI","NO")</f>
        <v>NO</v>
      </c>
      <c r="F140" s="24">
        <f>IFERROR(ROUND(($G140+($H140-$G140)*'Info Strategia'!$B$6)*(1+IF($E140="SI",'Parametri Modello'!$B$7*'Info Strategia'!$B$6,0)),0),"")</f>
        <v>4</v>
      </c>
      <c r="G140" s="24">
        <f>IFERROR(ROUND(MAX(1,(IF($V140&lt;=INDEX('Parametri Modello'!$C$57:$C$60,MATCH($B140,'Parametri Modello'!$A$57:$A$60,0)),IF(INDEX('Parametri Modello'!$E$57:$E$60,MATCH($B140,'Parametri Modello'!$A$57:$A$60,0))=0,0,($O140/INDEX('Parametri Modello'!$E$57:$E$60,MATCH($B140,'Parametri Modello'!$A$57:$A$60,0)))*(INDEX('Parametri Modello'!$D$57:$D$60,MATCH($B140,'Parametri Modello'!$A$57:$A$60,0))*(INDEX('Parametri Modello'!$B$50:$B$53,MATCH($B140,'Parametri Modello'!$A$50:$A$53,0))*'Parametri Modello'!$B$44))),IF(INDEX('Parametri Modello'!$F$57:$F$60,MATCH($B140,'Parametri Modello'!$A$57:$A$60,0))=0,0,($O140/INDEX('Parametri Modello'!$F$57:$F$60,MATCH($B140,'Parametri Modello'!$A$57:$A$60,0)))*((1-INDEX('Parametri Modello'!$D$57:$D$60,MATCH($B140,'Parametri Modello'!$A$57:$A$60,0)))*(INDEX('Parametri Modello'!$B$50:$B$53,MATCH($B140,'Parametri Modello'!$A$50:$A$53,0))*'Parametri Modello'!$B$44))))*(1+IF(IF($B140="D",'Info Lega'!$B$25,IF($B140="C",'Info Lega'!$B$26,"No"))="Si",'Parametri Modello'!$B$5,0))*(1+MAX(-0.25,MIN(0.25,IF(OR($T140="",$I140="",$I140=0,INDEX('Parametri Modello'!$B$19:$B$22,MATCH($B140,'Parametri Modello'!$A$19:$A$22,0))="",INDEX('Parametri Modello'!$B$19:$B$22,MATCH($B140,'Parametri Modello'!$A$19:$A$22,0))=0),0,(($T140-INDEX('Parametri Modello'!$B$19:$B$22,MATCH($B140,'Parametri Modello'!$A$19:$A$22,0)))/INDEX('Parametri Modello'!$B$19:$B$22,MATCH($B140,'Parametri Modello'!$A$19:$A$22,0)))*'Parametri Modello'!$B$9))))*(1+IF('Parametri Modello'!$B$27="Si",MAX(-'Parametri Modello'!$B$28,MIN('Parametri Modello'!$B$28*1.5,IF(OR(INDEX('Parametri Modello'!$F$32:$F$35,MATCH($B140,'Parametri Modello'!$A$32:$A$35,0))="",INDEX('Parametri Modello'!$F$32:$F$35,MATCH($B140,'Parametri Modello'!$A$32:$A$35,0))=0),0,(1/INDEX('Parametri Modello'!$F$32:$F$35,MATCH($B140,'Parametri Modello'!$A$32:$A$35,0))-1)*'Parametri Modello'!$B$28))),0)))*(1-INDEX('Parametri Modello'!$B$12:$B$15,MATCH($B140,'Parametri Modello'!$A$12:$A$15,0)))),0),"")</f>
        <v>3</v>
      </c>
      <c r="H140" s="24">
        <f>IFERROR(ROUND((IF($V140&lt;=INDEX('Parametri Modello'!$C$57:$C$60,MATCH($B140,'Parametri Modello'!$A$57:$A$60,0)),IF(INDEX('Parametri Modello'!$E$57:$E$60,MATCH($B140,'Parametri Modello'!$A$57:$A$60,0))=0,0,($O140/INDEX('Parametri Modello'!$E$57:$E$60,MATCH($B140,'Parametri Modello'!$A$57:$A$60,0)))*(INDEX('Parametri Modello'!$D$57:$D$60,MATCH($B140,'Parametri Modello'!$A$57:$A$60,0))*(INDEX('Parametri Modello'!$B$50:$B$53,MATCH($B140,'Parametri Modello'!$A$50:$A$53,0))*'Parametri Modello'!$B$44))),IF(INDEX('Parametri Modello'!$F$57:$F$60,MATCH($B140,'Parametri Modello'!$A$57:$A$60,0))=0,0,($O140/INDEX('Parametri Modello'!$F$57:$F$60,MATCH($B140,'Parametri Modello'!$A$57:$A$60,0)))*((1-INDEX('Parametri Modello'!$D$57:$D$60,MATCH($B140,'Parametri Modello'!$A$57:$A$60,0)))*(INDEX('Parametri Modello'!$B$50:$B$53,MATCH($B140,'Parametri Modello'!$A$50:$A$53,0))*'Parametri Modello'!$B$44))))*(1+IF(IF($B140="D",'Info Lega'!$B$25,IF($B140="C",'Info Lega'!$B$26,"No"))="Si",'Parametri Modello'!$B$5,0))*(1+MAX(-0.25,MIN(0.25,IF(OR($T140="",$I140="",$I140=0,INDEX('Parametri Modello'!$B$19:$B$22,MATCH($B140,'Parametri Modello'!$A$19:$A$22,0))="",INDEX('Parametri Modello'!$B$19:$B$22,MATCH($B140,'Parametri Modello'!$A$19:$A$22,0))=0),0,(($T140-INDEX('Parametri Modello'!$B$19:$B$22,MATCH($B140,'Parametri Modello'!$A$19:$A$22,0)))/INDEX('Parametri Modello'!$B$19:$B$22,MATCH($B140,'Parametri Modello'!$A$19:$A$22,0)))*'Parametri Modello'!$B$9))))*(1+IF('Parametri Modello'!$B$27="Si",MAX(-'Parametri Modello'!$B$28,MIN('Parametri Modello'!$B$28*1.5,IF(OR(INDEX('Parametri Modello'!$F$32:$F$35,MATCH($B140,'Parametri Modello'!$A$32:$A$35,0))="",INDEX('Parametri Modello'!$F$32:$F$35,MATCH($B140,'Parametri Modello'!$A$32:$A$35,0))=0),0,(1/INDEX('Parametri Modello'!$F$32:$F$35,MATCH($B140,'Parametri Modello'!$A$32:$A$35,0))-1)*'Parametri Modello'!$B$28))),0)))*(1+INDEX('Parametri Modello'!$B$12:$B$15,MATCH($B140,'Parametri Modello'!$A$12:$A$15,0))),0),"")</f>
        <v>4</v>
      </c>
      <c r="I140" s="23">
        <f>IFERROR(INDEX('Input Statistiche 2025_26'!$F$3:$F$665,MATCH($A140,'Input Statistiche 2025_26'!$A$3:$A$665,0)),"")</f>
        <v>1</v>
      </c>
      <c r="J140" s="23">
        <f t="shared" si="18"/>
        <v>37</v>
      </c>
      <c r="K140" s="23">
        <f>IFERROR(INDEX('Input Statistiche 2025_26'!$I$3:$I$665,MATCH($A140,'Input Statistiche 2025_26'!$A$3:$A$665,0)),"")</f>
        <v>0</v>
      </c>
      <c r="L140" s="23">
        <f>IFERROR(INDEX('Input Statistiche 2025_26'!$O$3:$O$665,MATCH($A140,'Input Statistiche 2025_26'!$A$3:$A$665,0)),"")</f>
        <v>0</v>
      </c>
      <c r="M140" s="25"/>
      <c r="N140" s="24">
        <f>IFERROR(INDEX('Input Giocatori 2026_27'!$E$3:$E$493,MATCH($A140,'Input Giocatori 2026_27'!$A$3:$A$493,0)),"")</f>
        <v>8</v>
      </c>
      <c r="O140" s="24">
        <f>IFERROR(INDEX('Input Giocatori 2026_27'!$G$3:$G$493,MATCH($A140,'Input Giocatori 2026_27'!$A$3:$A$493,0)),"")</f>
        <v>23</v>
      </c>
      <c r="P140" s="23" t="str">
        <f>IFERROR(IF($O140="","",IF((1-(COUNTIFS($B$2:$B$492,$B140,$O$2:$O$492,"&gt;"&amp;$O140)+1-1)/COUNTIF($B$2:$B$492,$B140))&gt;='Parametri Modello'!$B$63,"Top",IF((1-(COUNTIFS($B$2:$B$492,$B140,$O$2:$O$492,"&gt;"&amp;$O140)+1-1)/COUNTIF($B$2:$B$492,$B140))&gt;='Parametri Modello'!$B$64,"Buono",IF((1-(COUNTIFS($B$2:$B$492,$B140,$O$2:$O$492,"&gt;"&amp;$O140)+1-1)/COUNTIF($B$2:$B$492,$B140))&gt;='Parametri Modello'!$B$65,"Nella Media","Scommessa/Riserva")))),"")</f>
        <v>Buono</v>
      </c>
      <c r="Q140" s="26">
        <f>IF(AND($D140="",$N140&gt;1),SUMPRODUCT(($D$2:$D140="")*($N$2:$N140&gt;1)),"")</f>
        <v>139</v>
      </c>
      <c r="R140" s="26" t="str">
        <f>IF($D140='Info Lega'!$B$28,COUNTIFS($D$2:$D140,'Info Lega'!$B$28),"")</f>
        <v/>
      </c>
      <c r="S140" s="27">
        <f>IFERROR(INDEX('Input Statistiche 2025_26'!$G$3:$G$665,MATCH($A140,'Input Statistiche 2025_26'!$A$3:$A$665,0)),"")</f>
        <v>5.5</v>
      </c>
      <c r="T140" s="27">
        <f>IFERROR(INDEX('Input Statistiche 2025_26'!$H$3:$H$665,MATCH($A140,'Input Statistiche 2025_26'!$A$3:$A$665,0)),"")</f>
        <v>5</v>
      </c>
      <c r="U140" s="23" t="str">
        <f>IF(OR('La Mia Rosa'!$O$12="",$D140&lt;&gt;""),"",IF($F140&lt;='La Mia Rosa'!$O$12*'Parametri Modello'!$B$24,"OK",IF($F140&lt;='La Mia Rosa'!$O$12*'Parametri Modello'!$B$25,"Attenzione","Rischio Alto")))</f>
        <v>OK</v>
      </c>
      <c r="V140" s="23">
        <f t="shared" si="19"/>
        <v>31</v>
      </c>
      <c r="W140" s="18">
        <f>'Info Lega'!$B$4-SUMIFS($M$2:$M$492,$D$2:$D$492,'Info Lega'!$B$28)</f>
        <v>1000</v>
      </c>
      <c r="X140" s="18">
        <f>('Info Lega'!$B$5-COUNTIFS($D$2:$D$492,'Info Lega'!$B$28,$B$2:$B$492,"P"))+('Info Lega'!$B$6-COUNTIFS($D$2:$D$492,'Info Lega'!$B$28,$B$2:$B$492,"D"))+('Info Lega'!$B$7-COUNTIFS($D$2:$D$492,'Info Lega'!$B$28,$B$2:$B$492,"C"))+('Info Lega'!$B$8-COUNTIFS($D$2:$D$492,'Info Lega'!$B$28,$B$2:$B$492,"A"))</f>
        <v>25</v>
      </c>
      <c r="Y140" s="18">
        <f>X140*'Parametri Modello'!$B$30</f>
        <v>25</v>
      </c>
      <c r="Z140" s="18">
        <f t="shared" si="20"/>
        <v>975</v>
      </c>
      <c r="AA140" s="18">
        <f t="shared" si="21"/>
        <v>4</v>
      </c>
      <c r="AB140" s="18"/>
      <c r="AC140" s="18" t="str">
        <f>IF($AB140="","",IF($AB140&gt;$AA140,"PASS",IF($AB140&lt;=$AA140*(1-'Parametri Modello'!$B$68),"BID","ATTENZIONE")))</f>
        <v/>
      </c>
      <c r="AD140" s="28">
        <f t="shared" si="22"/>
        <v>3</v>
      </c>
      <c r="AE140" s="5" t="str">
        <f>IFERROR(INDEX('Stato Asta'!$G$9:$G$12,MATCH($B140,'Stato Asta'!$A$9:$A$12,0)),"")</f>
        <v>🔴 Non aspettare</v>
      </c>
      <c r="AF140" t="str">
        <f>IFERROR(IF($V140&lt;=INDEX('Parametri Modello'!$C$57:$C$60,MATCH($B140,'Parametri Modello'!$A$57:$A$60,0)),"Titolare","Riserva"),"")</f>
        <v>Riserva</v>
      </c>
      <c r="AG140" t="str">
        <f>IFERROR(INDEX('Pressione Competitiva'!$F$3:$F$6,MATCH($B140,'Pressione Competitiva'!$B$3:$B$6,0)),"")</f>
        <v>🔴 Molto Alta</v>
      </c>
      <c r="AH140" t="str">
        <f t="shared" si="23"/>
        <v/>
      </c>
      <c r="AI140" t="str">
        <f>IFERROR(IF($AH140="","",IF($AH140&gt;=$AA140*'Parametri Modello'!$B$68,"🟢 Opportunita'",IF($AH140&lt;=$AA140*'Parametri Modello'!$B$69,"🔴 Sovrapprezzo","🟡 Prezzo Corretto"))),"")</f>
        <v/>
      </c>
      <c r="AJ140" t="str">
        <f t="shared" si="24"/>
        <v/>
      </c>
      <c r="AK140">
        <f t="shared" si="25"/>
        <v>13</v>
      </c>
      <c r="AL140" t="str">
        <f t="shared" si="26"/>
        <v>D|Buono|13</v>
      </c>
    </row>
    <row r="141" spans="1:38" ht="14.25" customHeight="1" x14ac:dyDescent="0.25">
      <c r="A141" s="18">
        <v>7414</v>
      </c>
      <c r="B141" s="18" t="s">
        <v>16</v>
      </c>
      <c r="C141" s="18" t="s">
        <v>280</v>
      </c>
      <c r="E141" s="23" t="str">
        <f>IF(COUNTIF('Info Strategia'!$D$2:$D$51,$C141)&gt;0,"SI","NO")</f>
        <v>NO</v>
      </c>
      <c r="F141" s="24">
        <f>IFERROR(ROUND(($G141+($H141-$G141)*'Info Strategia'!$B$6)*(1+IF($E141="SI",'Parametri Modello'!$B$7*'Info Strategia'!$B$6,0)),0),"")</f>
        <v>4</v>
      </c>
      <c r="G141" s="24">
        <f>IFERROR(ROUND(MAX(1,(IF($V141&lt;=INDEX('Parametri Modello'!$C$57:$C$60,MATCH($B141,'Parametri Modello'!$A$57:$A$60,0)),IF(INDEX('Parametri Modello'!$E$57:$E$60,MATCH($B141,'Parametri Modello'!$A$57:$A$60,0))=0,0,($O141/INDEX('Parametri Modello'!$E$57:$E$60,MATCH($B141,'Parametri Modello'!$A$57:$A$60,0)))*(INDEX('Parametri Modello'!$D$57:$D$60,MATCH($B141,'Parametri Modello'!$A$57:$A$60,0))*(INDEX('Parametri Modello'!$B$50:$B$53,MATCH($B141,'Parametri Modello'!$A$50:$A$53,0))*'Parametri Modello'!$B$44))),IF(INDEX('Parametri Modello'!$F$57:$F$60,MATCH($B141,'Parametri Modello'!$A$57:$A$60,0))=0,0,($O141/INDEX('Parametri Modello'!$F$57:$F$60,MATCH($B141,'Parametri Modello'!$A$57:$A$60,0)))*((1-INDEX('Parametri Modello'!$D$57:$D$60,MATCH($B141,'Parametri Modello'!$A$57:$A$60,0)))*(INDEX('Parametri Modello'!$B$50:$B$53,MATCH($B141,'Parametri Modello'!$A$50:$A$53,0))*'Parametri Modello'!$B$44))))*(1+IF(IF($B141="D",'Info Lega'!$B$25,IF($B141="C",'Info Lega'!$B$26,"No"))="Si",'Parametri Modello'!$B$5,0))*(1+MAX(-0.25,MIN(0.25,IF(OR($T141="",$I141="",$I141=0,INDEX('Parametri Modello'!$B$19:$B$22,MATCH($B141,'Parametri Modello'!$A$19:$A$22,0))="",INDEX('Parametri Modello'!$B$19:$B$22,MATCH($B141,'Parametri Modello'!$A$19:$A$22,0))=0),0,(($T141-INDEX('Parametri Modello'!$B$19:$B$22,MATCH($B141,'Parametri Modello'!$A$19:$A$22,0)))/INDEX('Parametri Modello'!$B$19:$B$22,MATCH($B141,'Parametri Modello'!$A$19:$A$22,0)))*'Parametri Modello'!$B$9))))*(1+IF('Parametri Modello'!$B$27="Si",MAX(-'Parametri Modello'!$B$28,MIN('Parametri Modello'!$B$28*1.5,IF(OR(INDEX('Parametri Modello'!$F$32:$F$35,MATCH($B141,'Parametri Modello'!$A$32:$A$35,0))="",INDEX('Parametri Modello'!$F$32:$F$35,MATCH($B141,'Parametri Modello'!$A$32:$A$35,0))=0),0,(1/INDEX('Parametri Modello'!$F$32:$F$35,MATCH($B141,'Parametri Modello'!$A$32:$A$35,0))-1)*'Parametri Modello'!$B$28))),0)))*(1-INDEX('Parametri Modello'!$B$12:$B$15,MATCH($B141,'Parametri Modello'!$A$12:$A$15,0)))),0),"")</f>
        <v>3</v>
      </c>
      <c r="H141" s="24">
        <f>IFERROR(ROUND((IF($V141&lt;=INDEX('Parametri Modello'!$C$57:$C$60,MATCH($B141,'Parametri Modello'!$A$57:$A$60,0)),IF(INDEX('Parametri Modello'!$E$57:$E$60,MATCH($B141,'Parametri Modello'!$A$57:$A$60,0))=0,0,($O141/INDEX('Parametri Modello'!$E$57:$E$60,MATCH($B141,'Parametri Modello'!$A$57:$A$60,0)))*(INDEX('Parametri Modello'!$D$57:$D$60,MATCH($B141,'Parametri Modello'!$A$57:$A$60,0))*(INDEX('Parametri Modello'!$B$50:$B$53,MATCH($B141,'Parametri Modello'!$A$50:$A$53,0))*'Parametri Modello'!$B$44))),IF(INDEX('Parametri Modello'!$F$57:$F$60,MATCH($B141,'Parametri Modello'!$A$57:$A$60,0))=0,0,($O141/INDEX('Parametri Modello'!$F$57:$F$60,MATCH($B141,'Parametri Modello'!$A$57:$A$60,0)))*((1-INDEX('Parametri Modello'!$D$57:$D$60,MATCH($B141,'Parametri Modello'!$A$57:$A$60,0)))*(INDEX('Parametri Modello'!$B$50:$B$53,MATCH($B141,'Parametri Modello'!$A$50:$A$53,0))*'Parametri Modello'!$B$44))))*(1+IF(IF($B141="D",'Info Lega'!$B$25,IF($B141="C",'Info Lega'!$B$26,"No"))="Si",'Parametri Modello'!$B$5,0))*(1+MAX(-0.25,MIN(0.25,IF(OR($T141="",$I141="",$I141=0,INDEX('Parametri Modello'!$B$19:$B$22,MATCH($B141,'Parametri Modello'!$A$19:$A$22,0))="",INDEX('Parametri Modello'!$B$19:$B$22,MATCH($B141,'Parametri Modello'!$A$19:$A$22,0))=0),0,(($T141-INDEX('Parametri Modello'!$B$19:$B$22,MATCH($B141,'Parametri Modello'!$A$19:$A$22,0)))/INDEX('Parametri Modello'!$B$19:$B$22,MATCH($B141,'Parametri Modello'!$A$19:$A$22,0)))*'Parametri Modello'!$B$9))))*(1+IF('Parametri Modello'!$B$27="Si",MAX(-'Parametri Modello'!$B$28,MIN('Parametri Modello'!$B$28*1.5,IF(OR(INDEX('Parametri Modello'!$F$32:$F$35,MATCH($B141,'Parametri Modello'!$A$32:$A$35,0))="",INDEX('Parametri Modello'!$F$32:$F$35,MATCH($B141,'Parametri Modello'!$A$32:$A$35,0))=0),0,(1/INDEX('Parametri Modello'!$F$32:$F$35,MATCH($B141,'Parametri Modello'!$A$32:$A$35,0))-1)*'Parametri Modello'!$B$28))),0)))*(1+INDEX('Parametri Modello'!$B$12:$B$15,MATCH($B141,'Parametri Modello'!$A$12:$A$15,0))),0),"")</f>
        <v>5</v>
      </c>
      <c r="I141" s="23" t="str">
        <f>IFERROR(INDEX('Input Statistiche 2025_26'!$F$3:$F$665,MATCH($A141,'Input Statistiche 2025_26'!$A$3:$A$665,0)),"")</f>
        <v/>
      </c>
      <c r="J141" s="23" t="str">
        <f t="shared" si="18"/>
        <v/>
      </c>
      <c r="K141" s="23" t="str">
        <f>IFERROR(INDEX('Input Statistiche 2025_26'!$I$3:$I$665,MATCH($A141,'Input Statistiche 2025_26'!$A$3:$A$665,0)),"")</f>
        <v/>
      </c>
      <c r="L141" s="23" t="str">
        <f>IFERROR(INDEX('Input Statistiche 2025_26'!$O$3:$O$665,MATCH($A141,'Input Statistiche 2025_26'!$A$3:$A$665,0)),"")</f>
        <v/>
      </c>
      <c r="M141" s="25"/>
      <c r="N141" s="24">
        <f>IFERROR(INDEX('Input Giocatori 2026_27'!$E$3:$E$493,MATCH($A141,'Input Giocatori 2026_27'!$A$3:$A$493,0)),"")</f>
        <v>7</v>
      </c>
      <c r="O141" s="24">
        <f>IFERROR(INDEX('Input Giocatori 2026_27'!$G$3:$G$493,MATCH($A141,'Input Giocatori 2026_27'!$A$3:$A$493,0)),"")</f>
        <v>23</v>
      </c>
      <c r="P141" s="23" t="str">
        <f>IFERROR(IF($O141="","",IF((1-(COUNTIFS($B$2:$B$492,$B141,$O$2:$O$492,"&gt;"&amp;$O141)+1-1)/COUNTIF($B$2:$B$492,$B141))&gt;='Parametri Modello'!$B$63,"Top",IF((1-(COUNTIFS($B$2:$B$492,$B141,$O$2:$O$492,"&gt;"&amp;$O141)+1-1)/COUNTIF($B$2:$B$492,$B141))&gt;='Parametri Modello'!$B$64,"Buono",IF((1-(COUNTIFS($B$2:$B$492,$B141,$O$2:$O$492,"&gt;"&amp;$O141)+1-1)/COUNTIF($B$2:$B$492,$B141))&gt;='Parametri Modello'!$B$65,"Nella Media","Scommessa/Riserva")))),"")</f>
        <v>Buono</v>
      </c>
      <c r="Q141" s="26">
        <f>IF(AND($D141="",$N141&gt;1),SUMPRODUCT(($D$2:$D141="")*($N$2:$N141&gt;1)),"")</f>
        <v>140</v>
      </c>
      <c r="R141" s="26" t="str">
        <f>IF($D141='Info Lega'!$B$28,COUNTIFS($D$2:$D141,'Info Lega'!$B$28),"")</f>
        <v/>
      </c>
      <c r="S141" s="27" t="str">
        <f>IFERROR(INDEX('Input Statistiche 2025_26'!$G$3:$G$665,MATCH($A141,'Input Statistiche 2025_26'!$A$3:$A$665,0)),"")</f>
        <v/>
      </c>
      <c r="T141" s="27" t="str">
        <f>IFERROR(INDEX('Input Statistiche 2025_26'!$H$3:$H$665,MATCH($A141,'Input Statistiche 2025_26'!$A$3:$A$665,0)),"")</f>
        <v/>
      </c>
      <c r="U141" s="23" t="str">
        <f>IF(OR('La Mia Rosa'!$O$12="",$D141&lt;&gt;""),"",IF($F141&lt;='La Mia Rosa'!$O$12*'Parametri Modello'!$B$24,"OK",IF($F141&lt;='La Mia Rosa'!$O$12*'Parametri Modello'!$B$25,"Attenzione","Rischio Alto")))</f>
        <v>OK</v>
      </c>
      <c r="V141" s="23">
        <f t="shared" si="19"/>
        <v>31</v>
      </c>
      <c r="W141" s="18">
        <f>'Info Lega'!$B$4-SUMIFS($M$2:$M$492,$D$2:$D$492,'Info Lega'!$B$28)</f>
        <v>1000</v>
      </c>
      <c r="X141" s="18">
        <f>('Info Lega'!$B$5-COUNTIFS($D$2:$D$492,'Info Lega'!$B$28,$B$2:$B$492,"P"))+('Info Lega'!$B$6-COUNTIFS($D$2:$D$492,'Info Lega'!$B$28,$B$2:$B$492,"D"))+('Info Lega'!$B$7-COUNTIFS($D$2:$D$492,'Info Lega'!$B$28,$B$2:$B$492,"C"))+('Info Lega'!$B$8-COUNTIFS($D$2:$D$492,'Info Lega'!$B$28,$B$2:$B$492,"A"))</f>
        <v>25</v>
      </c>
      <c r="Y141" s="18">
        <f>X141*'Parametri Modello'!$B$30</f>
        <v>25</v>
      </c>
      <c r="Z141" s="18">
        <f t="shared" si="20"/>
        <v>975</v>
      </c>
      <c r="AA141" s="18">
        <f t="shared" si="21"/>
        <v>4</v>
      </c>
      <c r="AB141" s="18"/>
      <c r="AC141" s="18" t="str">
        <f>IF($AB141="","",IF($AB141&gt;$AA141,"PASS",IF($AB141&lt;=$AA141*(1-'Parametri Modello'!$B$68),"BID","ATTENZIONE")))</f>
        <v/>
      </c>
      <c r="AD141" s="28" t="str">
        <f t="shared" si="22"/>
        <v/>
      </c>
      <c r="AE141" s="5" t="str">
        <f>IFERROR(INDEX('Stato Asta'!$G$9:$G$12,MATCH($B141,'Stato Asta'!$A$9:$A$12,0)),"")</f>
        <v>🔴 Non aspettare</v>
      </c>
      <c r="AF141" t="str">
        <f>IFERROR(IF($V141&lt;=INDEX('Parametri Modello'!$C$57:$C$60,MATCH($B141,'Parametri Modello'!$A$57:$A$60,0)),"Titolare","Riserva"),"")</f>
        <v>Riserva</v>
      </c>
      <c r="AG141" t="str">
        <f>IFERROR(INDEX('Pressione Competitiva'!$F$3:$F$6,MATCH($B141,'Pressione Competitiva'!$B$3:$B$6,0)),"")</f>
        <v>🔴 Molto Alta</v>
      </c>
      <c r="AH141" t="str">
        <f t="shared" si="23"/>
        <v/>
      </c>
      <c r="AI141" t="str">
        <f>IFERROR(IF($AH141="","",IF($AH141&gt;=$AA141*'Parametri Modello'!$B$68,"🟢 Opportunita'",IF($AH141&lt;=$AA141*'Parametri Modello'!$B$69,"🔴 Sovrapprezzo","🟡 Prezzo Corretto"))),"")</f>
        <v/>
      </c>
      <c r="AJ141" t="str">
        <f t="shared" si="24"/>
        <v/>
      </c>
      <c r="AK141">
        <f t="shared" si="25"/>
        <v>13</v>
      </c>
      <c r="AL141" t="str">
        <f t="shared" si="26"/>
        <v>D|Buono|13</v>
      </c>
    </row>
    <row r="142" spans="1:38" ht="14.25" customHeight="1" x14ac:dyDescent="0.25">
      <c r="A142" s="18">
        <v>4401</v>
      </c>
      <c r="B142" s="18" t="s">
        <v>16</v>
      </c>
      <c r="C142" s="18" t="s">
        <v>281</v>
      </c>
      <c r="E142" s="23" t="str">
        <f>IF(COUNTIF('Info Strategia'!$D$2:$D$51,$C142)&gt;0,"SI","NO")</f>
        <v>NO</v>
      </c>
      <c r="F142" s="24">
        <f>IFERROR(ROUND(($G142+($H142-$G142)*'Info Strategia'!$B$6)*(1+IF($E142="SI",'Parametri Modello'!$B$7*'Info Strategia'!$B$6,0)),0),"")</f>
        <v>4</v>
      </c>
      <c r="G142" s="24">
        <f>IFERROR(ROUND(MAX(1,(IF($V142&lt;=INDEX('Parametri Modello'!$C$57:$C$60,MATCH($B142,'Parametri Modello'!$A$57:$A$60,0)),IF(INDEX('Parametri Modello'!$E$57:$E$60,MATCH($B142,'Parametri Modello'!$A$57:$A$60,0))=0,0,($O142/INDEX('Parametri Modello'!$E$57:$E$60,MATCH($B142,'Parametri Modello'!$A$57:$A$60,0)))*(INDEX('Parametri Modello'!$D$57:$D$60,MATCH($B142,'Parametri Modello'!$A$57:$A$60,0))*(INDEX('Parametri Modello'!$B$50:$B$53,MATCH($B142,'Parametri Modello'!$A$50:$A$53,0))*'Parametri Modello'!$B$44))),IF(INDEX('Parametri Modello'!$F$57:$F$60,MATCH($B142,'Parametri Modello'!$A$57:$A$60,0))=0,0,($O142/INDEX('Parametri Modello'!$F$57:$F$60,MATCH($B142,'Parametri Modello'!$A$57:$A$60,0)))*((1-INDEX('Parametri Modello'!$D$57:$D$60,MATCH($B142,'Parametri Modello'!$A$57:$A$60,0)))*(INDEX('Parametri Modello'!$B$50:$B$53,MATCH($B142,'Parametri Modello'!$A$50:$A$53,0))*'Parametri Modello'!$B$44))))*(1+IF(IF($B142="D",'Info Lega'!$B$25,IF($B142="C",'Info Lega'!$B$26,"No"))="Si",'Parametri Modello'!$B$5,0))*(1+MAX(-0.25,MIN(0.25,IF(OR($T142="",$I142="",$I142=0,INDEX('Parametri Modello'!$B$19:$B$22,MATCH($B142,'Parametri Modello'!$A$19:$A$22,0))="",INDEX('Parametri Modello'!$B$19:$B$22,MATCH($B142,'Parametri Modello'!$A$19:$A$22,0))=0),0,(($T142-INDEX('Parametri Modello'!$B$19:$B$22,MATCH($B142,'Parametri Modello'!$A$19:$A$22,0)))/INDEX('Parametri Modello'!$B$19:$B$22,MATCH($B142,'Parametri Modello'!$A$19:$A$22,0)))*'Parametri Modello'!$B$9))))*(1+IF('Parametri Modello'!$B$27="Si",MAX(-'Parametri Modello'!$B$28,MIN('Parametri Modello'!$B$28*1.5,IF(OR(INDEX('Parametri Modello'!$F$32:$F$35,MATCH($B142,'Parametri Modello'!$A$32:$A$35,0))="",INDEX('Parametri Modello'!$F$32:$F$35,MATCH($B142,'Parametri Modello'!$A$32:$A$35,0))=0),0,(1/INDEX('Parametri Modello'!$F$32:$F$35,MATCH($B142,'Parametri Modello'!$A$32:$A$35,0))-1)*'Parametri Modello'!$B$28))),0)))*(1-INDEX('Parametri Modello'!$B$12:$B$15,MATCH($B142,'Parametri Modello'!$A$12:$A$15,0)))),0),"")</f>
        <v>3</v>
      </c>
      <c r="H142" s="24">
        <f>IFERROR(ROUND((IF($V142&lt;=INDEX('Parametri Modello'!$C$57:$C$60,MATCH($B142,'Parametri Modello'!$A$57:$A$60,0)),IF(INDEX('Parametri Modello'!$E$57:$E$60,MATCH($B142,'Parametri Modello'!$A$57:$A$60,0))=0,0,($O142/INDEX('Parametri Modello'!$E$57:$E$60,MATCH($B142,'Parametri Modello'!$A$57:$A$60,0)))*(INDEX('Parametri Modello'!$D$57:$D$60,MATCH($B142,'Parametri Modello'!$A$57:$A$60,0))*(INDEX('Parametri Modello'!$B$50:$B$53,MATCH($B142,'Parametri Modello'!$A$50:$A$53,0))*'Parametri Modello'!$B$44))),IF(INDEX('Parametri Modello'!$F$57:$F$60,MATCH($B142,'Parametri Modello'!$A$57:$A$60,0))=0,0,($O142/INDEX('Parametri Modello'!$F$57:$F$60,MATCH($B142,'Parametri Modello'!$A$57:$A$60,0)))*((1-INDEX('Parametri Modello'!$D$57:$D$60,MATCH($B142,'Parametri Modello'!$A$57:$A$60,0)))*(INDEX('Parametri Modello'!$B$50:$B$53,MATCH($B142,'Parametri Modello'!$A$50:$A$53,0))*'Parametri Modello'!$B$44))))*(1+IF(IF($B142="D",'Info Lega'!$B$25,IF($B142="C",'Info Lega'!$B$26,"No"))="Si",'Parametri Modello'!$B$5,0))*(1+MAX(-0.25,MIN(0.25,IF(OR($T142="",$I142="",$I142=0,INDEX('Parametri Modello'!$B$19:$B$22,MATCH($B142,'Parametri Modello'!$A$19:$A$22,0))="",INDEX('Parametri Modello'!$B$19:$B$22,MATCH($B142,'Parametri Modello'!$A$19:$A$22,0))=0),0,(($T142-INDEX('Parametri Modello'!$B$19:$B$22,MATCH($B142,'Parametri Modello'!$A$19:$A$22,0)))/INDEX('Parametri Modello'!$B$19:$B$22,MATCH($B142,'Parametri Modello'!$A$19:$A$22,0)))*'Parametri Modello'!$B$9))))*(1+IF('Parametri Modello'!$B$27="Si",MAX(-'Parametri Modello'!$B$28,MIN('Parametri Modello'!$B$28*1.5,IF(OR(INDEX('Parametri Modello'!$F$32:$F$35,MATCH($B142,'Parametri Modello'!$A$32:$A$35,0))="",INDEX('Parametri Modello'!$F$32:$F$35,MATCH($B142,'Parametri Modello'!$A$32:$A$35,0))=0),0,(1/INDEX('Parametri Modello'!$F$32:$F$35,MATCH($B142,'Parametri Modello'!$A$32:$A$35,0))-1)*'Parametri Modello'!$B$28))),0)))*(1+INDEX('Parametri Modello'!$B$12:$B$15,MATCH($B142,'Parametri Modello'!$A$12:$A$15,0))),0),"")</f>
        <v>5</v>
      </c>
      <c r="I142" s="23">
        <f>IFERROR(INDEX('Input Statistiche 2025_26'!$F$3:$F$665,MATCH($A142,'Input Statistiche 2025_26'!$A$3:$A$665,0)),"")</f>
        <v>29</v>
      </c>
      <c r="J142" s="23">
        <f t="shared" si="18"/>
        <v>9</v>
      </c>
      <c r="K142" s="23">
        <f>IFERROR(INDEX('Input Statistiche 2025_26'!$I$3:$I$665,MATCH($A142,'Input Statistiche 2025_26'!$A$3:$A$665,0)),"")</f>
        <v>0</v>
      </c>
      <c r="L142" s="23">
        <f>IFERROR(INDEX('Input Statistiche 2025_26'!$O$3:$O$665,MATCH($A142,'Input Statistiche 2025_26'!$A$3:$A$665,0)),"")</f>
        <v>0</v>
      </c>
      <c r="M142" s="25"/>
      <c r="N142" s="24">
        <f>IFERROR(INDEX('Input Giocatori 2026_27'!$E$3:$E$493,MATCH($A142,'Input Giocatori 2026_27'!$A$3:$A$493,0)),"")</f>
        <v>7</v>
      </c>
      <c r="O142" s="24">
        <f>IFERROR(INDEX('Input Giocatori 2026_27'!$G$3:$G$493,MATCH($A142,'Input Giocatori 2026_27'!$A$3:$A$493,0)),"")</f>
        <v>23</v>
      </c>
      <c r="P142" s="23" t="str">
        <f>IFERROR(IF($O142="","",IF((1-(COUNTIFS($B$2:$B$492,$B142,$O$2:$O$492,"&gt;"&amp;$O142)+1-1)/COUNTIF($B$2:$B$492,$B142))&gt;='Parametri Modello'!$B$63,"Top",IF((1-(COUNTIFS($B$2:$B$492,$B142,$O$2:$O$492,"&gt;"&amp;$O142)+1-1)/COUNTIF($B$2:$B$492,$B142))&gt;='Parametri Modello'!$B$64,"Buono",IF((1-(COUNTIFS($B$2:$B$492,$B142,$O$2:$O$492,"&gt;"&amp;$O142)+1-1)/COUNTIF($B$2:$B$492,$B142))&gt;='Parametri Modello'!$B$65,"Nella Media","Scommessa/Riserva")))),"")</f>
        <v>Buono</v>
      </c>
      <c r="Q142" s="26">
        <f>IF(AND($D142="",$N142&gt;1),SUMPRODUCT(($D$2:$D142="")*($N$2:$N142&gt;1)),"")</f>
        <v>141</v>
      </c>
      <c r="R142" s="26" t="str">
        <f>IF($D142='Info Lega'!$B$28,COUNTIFS($D$2:$D142,'Info Lega'!$B$28),"")</f>
        <v/>
      </c>
      <c r="S142" s="27">
        <f>IFERROR(INDEX('Input Statistiche 2025_26'!$G$3:$G$665,MATCH($A142,'Input Statistiche 2025_26'!$A$3:$A$665,0)),"")</f>
        <v>5.91</v>
      </c>
      <c r="T142" s="27">
        <f>IFERROR(INDEX('Input Statistiche 2025_26'!$H$3:$H$665,MATCH($A142,'Input Statistiche 2025_26'!$A$3:$A$665,0)),"")</f>
        <v>5.84</v>
      </c>
      <c r="U142" s="23" t="str">
        <f>IF(OR('La Mia Rosa'!$O$12="",$D142&lt;&gt;""),"",IF($F142&lt;='La Mia Rosa'!$O$12*'Parametri Modello'!$B$24,"OK",IF($F142&lt;='La Mia Rosa'!$O$12*'Parametri Modello'!$B$25,"Attenzione","Rischio Alto")))</f>
        <v>OK</v>
      </c>
      <c r="V142" s="23">
        <f t="shared" si="19"/>
        <v>31</v>
      </c>
      <c r="W142" s="18">
        <f>'Info Lega'!$B$4-SUMIFS($M$2:$M$492,$D$2:$D$492,'Info Lega'!$B$28)</f>
        <v>1000</v>
      </c>
      <c r="X142" s="18">
        <f>('Info Lega'!$B$5-COUNTIFS($D$2:$D$492,'Info Lega'!$B$28,$B$2:$B$492,"P"))+('Info Lega'!$B$6-COUNTIFS($D$2:$D$492,'Info Lega'!$B$28,$B$2:$B$492,"D"))+('Info Lega'!$B$7-COUNTIFS($D$2:$D$492,'Info Lega'!$B$28,$B$2:$B$492,"C"))+('Info Lega'!$B$8-COUNTIFS($D$2:$D$492,'Info Lega'!$B$28,$B$2:$B$492,"A"))</f>
        <v>25</v>
      </c>
      <c r="Y142" s="18">
        <f>X142*'Parametri Modello'!$B$30</f>
        <v>25</v>
      </c>
      <c r="Z142" s="18">
        <f t="shared" si="20"/>
        <v>975</v>
      </c>
      <c r="AA142" s="18">
        <f t="shared" si="21"/>
        <v>4</v>
      </c>
      <c r="AB142" s="18"/>
      <c r="AC142" s="18" t="str">
        <f>IF($AB142="","",IF($AB142&gt;$AA142,"PASS",IF($AB142&lt;=$AA142*(1-'Parametri Modello'!$B$68),"BID","ATTENZIONE")))</f>
        <v/>
      </c>
      <c r="AD142" s="28">
        <f t="shared" si="22"/>
        <v>62</v>
      </c>
      <c r="AE142" s="5" t="str">
        <f>IFERROR(INDEX('Stato Asta'!$G$9:$G$12,MATCH($B142,'Stato Asta'!$A$9:$A$12,0)),"")</f>
        <v>🔴 Non aspettare</v>
      </c>
      <c r="AF142" t="str">
        <f>IFERROR(IF($V142&lt;=INDEX('Parametri Modello'!$C$57:$C$60,MATCH($B142,'Parametri Modello'!$A$57:$A$60,0)),"Titolare","Riserva"),"")</f>
        <v>Riserva</v>
      </c>
      <c r="AG142" t="str">
        <f>IFERROR(INDEX('Pressione Competitiva'!$F$3:$F$6,MATCH($B142,'Pressione Competitiva'!$B$3:$B$6,0)),"")</f>
        <v>🔴 Molto Alta</v>
      </c>
      <c r="AH142" t="str">
        <f t="shared" si="23"/>
        <v/>
      </c>
      <c r="AI142" t="str">
        <f>IFERROR(IF($AH142="","",IF($AH142&gt;=$AA142*'Parametri Modello'!$B$68,"🟢 Opportunita'",IF($AH142&lt;=$AA142*'Parametri Modello'!$B$69,"🔴 Sovrapprezzo","🟡 Prezzo Corretto"))),"")</f>
        <v/>
      </c>
      <c r="AJ142" t="str">
        <f t="shared" si="24"/>
        <v/>
      </c>
      <c r="AK142">
        <f t="shared" si="25"/>
        <v>13</v>
      </c>
      <c r="AL142" t="str">
        <f t="shared" si="26"/>
        <v>D|Buono|13</v>
      </c>
    </row>
    <row r="143" spans="1:38" ht="14.25" customHeight="1" x14ac:dyDescent="0.25">
      <c r="A143" s="18">
        <v>4465</v>
      </c>
      <c r="B143" s="18" t="s">
        <v>17</v>
      </c>
      <c r="C143" s="18" t="s">
        <v>282</v>
      </c>
      <c r="E143" s="23" t="str">
        <f>IF(COUNTIF('Info Strategia'!$D$2:$D$51,$C143)&gt;0,"SI","NO")</f>
        <v>NO</v>
      </c>
      <c r="F143" s="24">
        <f>IFERROR(ROUND(($G143+($H143-$G143)*'Info Strategia'!$B$6)*(1+IF($E143="SI",'Parametri Modello'!$B$7*'Info Strategia'!$B$6,0)),0),"")</f>
        <v>3</v>
      </c>
      <c r="G143" s="24">
        <f>IFERROR(ROUND(MAX(1,(IF($V143&lt;=INDEX('Parametri Modello'!$C$57:$C$60,MATCH($B143,'Parametri Modello'!$A$57:$A$60,0)),IF(INDEX('Parametri Modello'!$E$57:$E$60,MATCH($B143,'Parametri Modello'!$A$57:$A$60,0))=0,0,($O143/INDEX('Parametri Modello'!$E$57:$E$60,MATCH($B143,'Parametri Modello'!$A$57:$A$60,0)))*(INDEX('Parametri Modello'!$D$57:$D$60,MATCH($B143,'Parametri Modello'!$A$57:$A$60,0))*(INDEX('Parametri Modello'!$B$50:$B$53,MATCH($B143,'Parametri Modello'!$A$50:$A$53,0))*'Parametri Modello'!$B$44))),IF(INDEX('Parametri Modello'!$F$57:$F$60,MATCH($B143,'Parametri Modello'!$A$57:$A$60,0))=0,0,($O143/INDEX('Parametri Modello'!$F$57:$F$60,MATCH($B143,'Parametri Modello'!$A$57:$A$60,0)))*((1-INDEX('Parametri Modello'!$D$57:$D$60,MATCH($B143,'Parametri Modello'!$A$57:$A$60,0)))*(INDEX('Parametri Modello'!$B$50:$B$53,MATCH($B143,'Parametri Modello'!$A$50:$A$53,0))*'Parametri Modello'!$B$44))))*(1+IF(IF($B143="D",'Info Lega'!$B$25,IF($B143="C",'Info Lega'!$B$26,"No"))="Si",'Parametri Modello'!$B$5,0))*(1+MAX(-0.25,MIN(0.25,IF(OR($T143="",$I143="",$I143=0,INDEX('Parametri Modello'!$B$19:$B$22,MATCH($B143,'Parametri Modello'!$A$19:$A$22,0))="",INDEX('Parametri Modello'!$B$19:$B$22,MATCH($B143,'Parametri Modello'!$A$19:$A$22,0))=0),0,(($T143-INDEX('Parametri Modello'!$B$19:$B$22,MATCH($B143,'Parametri Modello'!$A$19:$A$22,0)))/INDEX('Parametri Modello'!$B$19:$B$22,MATCH($B143,'Parametri Modello'!$A$19:$A$22,0)))*'Parametri Modello'!$B$9))))*(1+IF('Parametri Modello'!$B$27="Si",MAX(-'Parametri Modello'!$B$28,MIN('Parametri Modello'!$B$28*1.5,IF(OR(INDEX('Parametri Modello'!$F$32:$F$35,MATCH($B143,'Parametri Modello'!$A$32:$A$35,0))="",INDEX('Parametri Modello'!$F$32:$F$35,MATCH($B143,'Parametri Modello'!$A$32:$A$35,0))=0),0,(1/INDEX('Parametri Modello'!$F$32:$F$35,MATCH($B143,'Parametri Modello'!$A$32:$A$35,0))-1)*'Parametri Modello'!$B$28))),0)))*(1-INDEX('Parametri Modello'!$B$12:$B$15,MATCH($B143,'Parametri Modello'!$A$12:$A$15,0)))),0),"")</f>
        <v>2</v>
      </c>
      <c r="H143" s="24">
        <f>IFERROR(ROUND((IF($V143&lt;=INDEX('Parametri Modello'!$C$57:$C$60,MATCH($B143,'Parametri Modello'!$A$57:$A$60,0)),IF(INDEX('Parametri Modello'!$E$57:$E$60,MATCH($B143,'Parametri Modello'!$A$57:$A$60,0))=0,0,($O143/INDEX('Parametri Modello'!$E$57:$E$60,MATCH($B143,'Parametri Modello'!$A$57:$A$60,0)))*(INDEX('Parametri Modello'!$D$57:$D$60,MATCH($B143,'Parametri Modello'!$A$57:$A$60,0))*(INDEX('Parametri Modello'!$B$50:$B$53,MATCH($B143,'Parametri Modello'!$A$50:$A$53,0))*'Parametri Modello'!$B$44))),IF(INDEX('Parametri Modello'!$F$57:$F$60,MATCH($B143,'Parametri Modello'!$A$57:$A$60,0))=0,0,($O143/INDEX('Parametri Modello'!$F$57:$F$60,MATCH($B143,'Parametri Modello'!$A$57:$A$60,0)))*((1-INDEX('Parametri Modello'!$D$57:$D$60,MATCH($B143,'Parametri Modello'!$A$57:$A$60,0)))*(INDEX('Parametri Modello'!$B$50:$B$53,MATCH($B143,'Parametri Modello'!$A$50:$A$53,0))*'Parametri Modello'!$B$44))))*(1+IF(IF($B143="D",'Info Lega'!$B$25,IF($B143="C",'Info Lega'!$B$26,"No"))="Si",'Parametri Modello'!$B$5,0))*(1+MAX(-0.25,MIN(0.25,IF(OR($T143="",$I143="",$I143=0,INDEX('Parametri Modello'!$B$19:$B$22,MATCH($B143,'Parametri Modello'!$A$19:$A$22,0))="",INDEX('Parametri Modello'!$B$19:$B$22,MATCH($B143,'Parametri Modello'!$A$19:$A$22,0))=0),0,(($T143-INDEX('Parametri Modello'!$B$19:$B$22,MATCH($B143,'Parametri Modello'!$A$19:$A$22,0)))/INDEX('Parametri Modello'!$B$19:$B$22,MATCH($B143,'Parametri Modello'!$A$19:$A$22,0)))*'Parametri Modello'!$B$9))))*(1+IF('Parametri Modello'!$B$27="Si",MAX(-'Parametri Modello'!$B$28,MIN('Parametri Modello'!$B$28*1.5,IF(OR(INDEX('Parametri Modello'!$F$32:$F$35,MATCH($B143,'Parametri Modello'!$A$32:$A$35,0))="",INDEX('Parametri Modello'!$F$32:$F$35,MATCH($B143,'Parametri Modello'!$A$32:$A$35,0))=0),0,(1/INDEX('Parametri Modello'!$F$32:$F$35,MATCH($B143,'Parametri Modello'!$A$32:$A$35,0))-1)*'Parametri Modello'!$B$28))),0)))*(1+INDEX('Parametri Modello'!$B$12:$B$15,MATCH($B143,'Parametri Modello'!$A$12:$A$15,0))),0),"")</f>
        <v>3</v>
      </c>
      <c r="I143" s="23">
        <f>IFERROR(INDEX('Input Statistiche 2025_26'!$F$3:$F$665,MATCH($A143,'Input Statistiche 2025_26'!$A$3:$A$665,0)),"")</f>
        <v>33</v>
      </c>
      <c r="J143" s="23">
        <f t="shared" si="18"/>
        <v>5</v>
      </c>
      <c r="K143" s="23">
        <f>IFERROR(INDEX('Input Statistiche 2025_26'!$I$3:$I$665,MATCH($A143,'Input Statistiche 2025_26'!$A$3:$A$665,0)),"")</f>
        <v>2</v>
      </c>
      <c r="L143" s="23">
        <f>IFERROR(INDEX('Input Statistiche 2025_26'!$O$3:$O$665,MATCH($A143,'Input Statistiche 2025_26'!$A$3:$A$665,0)),"")</f>
        <v>3</v>
      </c>
      <c r="M143" s="25"/>
      <c r="N143" s="24">
        <f>IFERROR(INDEX('Input Giocatori 2026_27'!$E$3:$E$493,MATCH($A143,'Input Giocatori 2026_27'!$A$3:$A$493,0)),"")</f>
        <v>8</v>
      </c>
      <c r="O143" s="24">
        <f>IFERROR(INDEX('Input Giocatori 2026_27'!$G$3:$G$493,MATCH($A143,'Input Giocatori 2026_27'!$A$3:$A$493,0)),"")</f>
        <v>23</v>
      </c>
      <c r="P143" s="23" t="str">
        <f>IFERROR(IF($O143="","",IF((1-(COUNTIFS($B$2:$B$492,$B143,$O$2:$O$492,"&gt;"&amp;$O143)+1-1)/COUNTIF($B$2:$B$492,$B143))&gt;='Parametri Modello'!$B$63,"Top",IF((1-(COUNTIFS($B$2:$B$492,$B143,$O$2:$O$492,"&gt;"&amp;$O143)+1-1)/COUNTIF($B$2:$B$492,$B143))&gt;='Parametri Modello'!$B$64,"Buono",IF((1-(COUNTIFS($B$2:$B$492,$B143,$O$2:$O$492,"&gt;"&amp;$O143)+1-1)/COUNTIF($B$2:$B$492,$B143))&gt;='Parametri Modello'!$B$65,"Nella Media","Scommessa/Riserva")))),"")</f>
        <v>Buono</v>
      </c>
      <c r="Q143" s="26">
        <f>IF(AND($D143="",$N143&gt;1),SUMPRODUCT(($D$2:$D143="")*($N$2:$N143&gt;1)),"")</f>
        <v>142</v>
      </c>
      <c r="R143" s="26" t="str">
        <f>IF($D143='Info Lega'!$B$28,COUNTIFS($D$2:$D143,'Info Lega'!$B$28),"")</f>
        <v/>
      </c>
      <c r="S143" s="27">
        <f>IFERROR(INDEX('Input Statistiche 2025_26'!$G$3:$G$665,MATCH($A143,'Input Statistiche 2025_26'!$A$3:$A$665,0)),"")</f>
        <v>6.03</v>
      </c>
      <c r="T143" s="27">
        <f>IFERROR(INDEX('Input Statistiche 2025_26'!$H$3:$H$665,MATCH($A143,'Input Statistiche 2025_26'!$A$3:$A$665,0)),"")</f>
        <v>6.23</v>
      </c>
      <c r="U143" s="23" t="str">
        <f>IF(OR('La Mia Rosa'!$O$12="",$D143&lt;&gt;""),"",IF($F143&lt;='La Mia Rosa'!$O$12*'Parametri Modello'!$B$24,"OK",IF($F143&lt;='La Mia Rosa'!$O$12*'Parametri Modello'!$B$25,"Attenzione","Rischio Alto")))</f>
        <v>OK</v>
      </c>
      <c r="V143" s="23">
        <f t="shared" si="19"/>
        <v>52</v>
      </c>
      <c r="W143" s="18">
        <f>'Info Lega'!$B$4-SUMIFS($M$2:$M$492,$D$2:$D$492,'Info Lega'!$B$28)</f>
        <v>1000</v>
      </c>
      <c r="X143" s="18">
        <f>('Info Lega'!$B$5-COUNTIFS($D$2:$D$492,'Info Lega'!$B$28,$B$2:$B$492,"P"))+('Info Lega'!$B$6-COUNTIFS($D$2:$D$492,'Info Lega'!$B$28,$B$2:$B$492,"D"))+('Info Lega'!$B$7-COUNTIFS($D$2:$D$492,'Info Lega'!$B$28,$B$2:$B$492,"C"))+('Info Lega'!$B$8-COUNTIFS($D$2:$D$492,'Info Lega'!$B$28,$B$2:$B$492,"A"))</f>
        <v>25</v>
      </c>
      <c r="Y143" s="18">
        <f>X143*'Parametri Modello'!$B$30</f>
        <v>25</v>
      </c>
      <c r="Z143" s="18">
        <f t="shared" si="20"/>
        <v>975</v>
      </c>
      <c r="AA143" s="18">
        <f t="shared" si="21"/>
        <v>3</v>
      </c>
      <c r="AB143" s="18"/>
      <c r="AC143" s="18" t="str">
        <f>IF($AB143="","",IF($AB143&gt;$AA143,"PASS",IF($AB143&lt;=$AA143*(1-'Parametri Modello'!$B$68),"BID","ATTENZIONE")))</f>
        <v/>
      </c>
      <c r="AD143" s="28">
        <f t="shared" si="22"/>
        <v>67</v>
      </c>
      <c r="AE143" s="5" t="str">
        <f>IFERROR(INDEX('Stato Asta'!$G$9:$G$12,MATCH($B143,'Stato Asta'!$A$9:$A$12,0)),"")</f>
        <v>🔴 Non aspettare</v>
      </c>
      <c r="AF143" t="str">
        <f>IFERROR(IF($V143&lt;=INDEX('Parametri Modello'!$C$57:$C$60,MATCH($B143,'Parametri Modello'!$A$57:$A$60,0)),"Titolare","Riserva"),"")</f>
        <v>Riserva</v>
      </c>
      <c r="AG143" t="str">
        <f>IFERROR(INDEX('Pressione Competitiva'!$F$3:$F$6,MATCH($B143,'Pressione Competitiva'!$B$3:$B$6,0)),"")</f>
        <v>🔴 Molto Alta</v>
      </c>
      <c r="AH143" t="str">
        <f t="shared" si="23"/>
        <v/>
      </c>
      <c r="AI143" t="str">
        <f>IFERROR(IF($AH143="","",IF($AH143&gt;=$AA143*'Parametri Modello'!$B$68,"🟢 Opportunita'",IF($AH143&lt;=$AA143*'Parametri Modello'!$B$69,"🔴 Sovrapprezzo","🟡 Prezzo Corretto"))),"")</f>
        <v/>
      </c>
      <c r="AJ143" t="str">
        <f t="shared" si="24"/>
        <v/>
      </c>
      <c r="AK143">
        <f t="shared" si="25"/>
        <v>34</v>
      </c>
      <c r="AL143" t="str">
        <f t="shared" si="26"/>
        <v>C|Buono|34</v>
      </c>
    </row>
    <row r="144" spans="1:38" ht="14.25" customHeight="1" x14ac:dyDescent="0.25">
      <c r="A144" s="18">
        <v>5735</v>
      </c>
      <c r="B144" s="18" t="s">
        <v>17</v>
      </c>
      <c r="C144" s="18" t="s">
        <v>283</v>
      </c>
      <c r="E144" s="23" t="str">
        <f>IF(COUNTIF('Info Strategia'!$D$2:$D$51,$C144)&gt;0,"SI","NO")</f>
        <v>NO</v>
      </c>
      <c r="F144" s="24">
        <f>IFERROR(ROUND(($G144+($H144-$G144)*'Info Strategia'!$B$6)*(1+IF($E144="SI",'Parametri Modello'!$B$7*'Info Strategia'!$B$6,0)),0),"")</f>
        <v>3</v>
      </c>
      <c r="G144" s="24">
        <f>IFERROR(ROUND(MAX(1,(IF($V144&lt;=INDEX('Parametri Modello'!$C$57:$C$60,MATCH($B144,'Parametri Modello'!$A$57:$A$60,0)),IF(INDEX('Parametri Modello'!$E$57:$E$60,MATCH($B144,'Parametri Modello'!$A$57:$A$60,0))=0,0,($O144/INDEX('Parametri Modello'!$E$57:$E$60,MATCH($B144,'Parametri Modello'!$A$57:$A$60,0)))*(INDEX('Parametri Modello'!$D$57:$D$60,MATCH($B144,'Parametri Modello'!$A$57:$A$60,0))*(INDEX('Parametri Modello'!$B$50:$B$53,MATCH($B144,'Parametri Modello'!$A$50:$A$53,0))*'Parametri Modello'!$B$44))),IF(INDEX('Parametri Modello'!$F$57:$F$60,MATCH($B144,'Parametri Modello'!$A$57:$A$60,0))=0,0,($O144/INDEX('Parametri Modello'!$F$57:$F$60,MATCH($B144,'Parametri Modello'!$A$57:$A$60,0)))*((1-INDEX('Parametri Modello'!$D$57:$D$60,MATCH($B144,'Parametri Modello'!$A$57:$A$60,0)))*(INDEX('Parametri Modello'!$B$50:$B$53,MATCH($B144,'Parametri Modello'!$A$50:$A$53,0))*'Parametri Modello'!$B$44))))*(1+IF(IF($B144="D",'Info Lega'!$B$25,IF($B144="C",'Info Lega'!$B$26,"No"))="Si",'Parametri Modello'!$B$5,0))*(1+MAX(-0.25,MIN(0.25,IF(OR($T144="",$I144="",$I144=0,INDEX('Parametri Modello'!$B$19:$B$22,MATCH($B144,'Parametri Modello'!$A$19:$A$22,0))="",INDEX('Parametri Modello'!$B$19:$B$22,MATCH($B144,'Parametri Modello'!$A$19:$A$22,0))=0),0,(($T144-INDEX('Parametri Modello'!$B$19:$B$22,MATCH($B144,'Parametri Modello'!$A$19:$A$22,0)))/INDEX('Parametri Modello'!$B$19:$B$22,MATCH($B144,'Parametri Modello'!$A$19:$A$22,0)))*'Parametri Modello'!$B$9))))*(1+IF('Parametri Modello'!$B$27="Si",MAX(-'Parametri Modello'!$B$28,MIN('Parametri Modello'!$B$28*1.5,IF(OR(INDEX('Parametri Modello'!$F$32:$F$35,MATCH($B144,'Parametri Modello'!$A$32:$A$35,0))="",INDEX('Parametri Modello'!$F$32:$F$35,MATCH($B144,'Parametri Modello'!$A$32:$A$35,0))=0),0,(1/INDEX('Parametri Modello'!$F$32:$F$35,MATCH($B144,'Parametri Modello'!$A$32:$A$35,0))-1)*'Parametri Modello'!$B$28))),0)))*(1-INDEX('Parametri Modello'!$B$12:$B$15,MATCH($B144,'Parametri Modello'!$A$12:$A$15,0)))),0),"")</f>
        <v>2</v>
      </c>
      <c r="H144" s="24">
        <f>IFERROR(ROUND((IF($V144&lt;=INDEX('Parametri Modello'!$C$57:$C$60,MATCH($B144,'Parametri Modello'!$A$57:$A$60,0)),IF(INDEX('Parametri Modello'!$E$57:$E$60,MATCH($B144,'Parametri Modello'!$A$57:$A$60,0))=0,0,($O144/INDEX('Parametri Modello'!$E$57:$E$60,MATCH($B144,'Parametri Modello'!$A$57:$A$60,0)))*(INDEX('Parametri Modello'!$D$57:$D$60,MATCH($B144,'Parametri Modello'!$A$57:$A$60,0))*(INDEX('Parametri Modello'!$B$50:$B$53,MATCH($B144,'Parametri Modello'!$A$50:$A$53,0))*'Parametri Modello'!$B$44))),IF(INDEX('Parametri Modello'!$F$57:$F$60,MATCH($B144,'Parametri Modello'!$A$57:$A$60,0))=0,0,($O144/INDEX('Parametri Modello'!$F$57:$F$60,MATCH($B144,'Parametri Modello'!$A$57:$A$60,0)))*((1-INDEX('Parametri Modello'!$D$57:$D$60,MATCH($B144,'Parametri Modello'!$A$57:$A$60,0)))*(INDEX('Parametri Modello'!$B$50:$B$53,MATCH($B144,'Parametri Modello'!$A$50:$A$53,0))*'Parametri Modello'!$B$44))))*(1+IF(IF($B144="D",'Info Lega'!$B$25,IF($B144="C",'Info Lega'!$B$26,"No"))="Si",'Parametri Modello'!$B$5,0))*(1+MAX(-0.25,MIN(0.25,IF(OR($T144="",$I144="",$I144=0,INDEX('Parametri Modello'!$B$19:$B$22,MATCH($B144,'Parametri Modello'!$A$19:$A$22,0))="",INDEX('Parametri Modello'!$B$19:$B$22,MATCH($B144,'Parametri Modello'!$A$19:$A$22,0))=0),0,(($T144-INDEX('Parametri Modello'!$B$19:$B$22,MATCH($B144,'Parametri Modello'!$A$19:$A$22,0)))/INDEX('Parametri Modello'!$B$19:$B$22,MATCH($B144,'Parametri Modello'!$A$19:$A$22,0)))*'Parametri Modello'!$B$9))))*(1+IF('Parametri Modello'!$B$27="Si",MAX(-'Parametri Modello'!$B$28,MIN('Parametri Modello'!$B$28*1.5,IF(OR(INDEX('Parametri Modello'!$F$32:$F$35,MATCH($B144,'Parametri Modello'!$A$32:$A$35,0))="",INDEX('Parametri Modello'!$F$32:$F$35,MATCH($B144,'Parametri Modello'!$A$32:$A$35,0))=0),0,(1/INDEX('Parametri Modello'!$F$32:$F$35,MATCH($B144,'Parametri Modello'!$A$32:$A$35,0))-1)*'Parametri Modello'!$B$28))),0)))*(1+INDEX('Parametri Modello'!$B$12:$B$15,MATCH($B144,'Parametri Modello'!$A$12:$A$15,0))),0),"")</f>
        <v>3</v>
      </c>
      <c r="I144" s="23">
        <f>IFERROR(INDEX('Input Statistiche 2025_26'!$F$3:$F$665,MATCH($A144,'Input Statistiche 2025_26'!$A$3:$A$665,0)),"")</f>
        <v>21</v>
      </c>
      <c r="J144" s="23">
        <f t="shared" si="18"/>
        <v>17</v>
      </c>
      <c r="K144" s="23">
        <f>IFERROR(INDEX('Input Statistiche 2025_26'!$I$3:$I$665,MATCH($A144,'Input Statistiche 2025_26'!$A$3:$A$665,0)),"")</f>
        <v>2</v>
      </c>
      <c r="L144" s="23">
        <f>IFERROR(INDEX('Input Statistiche 2025_26'!$O$3:$O$665,MATCH($A144,'Input Statistiche 2025_26'!$A$3:$A$665,0)),"")</f>
        <v>4</v>
      </c>
      <c r="M144" s="25"/>
      <c r="N144" s="24">
        <f>IFERROR(INDEX('Input Giocatori 2026_27'!$E$3:$E$493,MATCH($A144,'Input Giocatori 2026_27'!$A$3:$A$493,0)),"")</f>
        <v>7</v>
      </c>
      <c r="O144" s="24">
        <f>IFERROR(INDEX('Input Giocatori 2026_27'!$G$3:$G$493,MATCH($A144,'Input Giocatori 2026_27'!$A$3:$A$493,0)),"")</f>
        <v>23</v>
      </c>
      <c r="P144" s="23" t="str">
        <f>IFERROR(IF($O144="","",IF((1-(COUNTIFS($B$2:$B$492,$B144,$O$2:$O$492,"&gt;"&amp;$O144)+1-1)/COUNTIF($B$2:$B$492,$B144))&gt;='Parametri Modello'!$B$63,"Top",IF((1-(COUNTIFS($B$2:$B$492,$B144,$O$2:$O$492,"&gt;"&amp;$O144)+1-1)/COUNTIF($B$2:$B$492,$B144))&gt;='Parametri Modello'!$B$64,"Buono",IF((1-(COUNTIFS($B$2:$B$492,$B144,$O$2:$O$492,"&gt;"&amp;$O144)+1-1)/COUNTIF($B$2:$B$492,$B144))&gt;='Parametri Modello'!$B$65,"Nella Media","Scommessa/Riserva")))),"")</f>
        <v>Buono</v>
      </c>
      <c r="Q144" s="26">
        <f>IF(AND($D144="",$N144&gt;1),SUMPRODUCT(($D$2:$D144="")*($N$2:$N144&gt;1)),"")</f>
        <v>143</v>
      </c>
      <c r="R144" s="26" t="str">
        <f>IF($D144='Info Lega'!$B$28,COUNTIFS($D$2:$D144,'Info Lega'!$B$28),"")</f>
        <v/>
      </c>
      <c r="S144" s="27">
        <f>IFERROR(INDEX('Input Statistiche 2025_26'!$G$3:$G$665,MATCH($A144,'Input Statistiche 2025_26'!$A$3:$A$665,0)),"")</f>
        <v>6.14</v>
      </c>
      <c r="T144" s="27">
        <f>IFERROR(INDEX('Input Statistiche 2025_26'!$H$3:$H$665,MATCH($A144,'Input Statistiche 2025_26'!$A$3:$A$665,0)),"")</f>
        <v>6.52</v>
      </c>
      <c r="U144" s="23" t="str">
        <f>IF(OR('La Mia Rosa'!$O$12="",$D144&lt;&gt;""),"",IF($F144&lt;='La Mia Rosa'!$O$12*'Parametri Modello'!$B$24,"OK",IF($F144&lt;='La Mia Rosa'!$O$12*'Parametri Modello'!$B$25,"Attenzione","Rischio Alto")))</f>
        <v>OK</v>
      </c>
      <c r="V144" s="23">
        <f t="shared" si="19"/>
        <v>52</v>
      </c>
      <c r="W144" s="18">
        <f>'Info Lega'!$B$4-SUMIFS($M$2:$M$492,$D$2:$D$492,'Info Lega'!$B$28)</f>
        <v>1000</v>
      </c>
      <c r="X144" s="18">
        <f>('Info Lega'!$B$5-COUNTIFS($D$2:$D$492,'Info Lega'!$B$28,$B$2:$B$492,"P"))+('Info Lega'!$B$6-COUNTIFS($D$2:$D$492,'Info Lega'!$B$28,$B$2:$B$492,"D"))+('Info Lega'!$B$7-COUNTIFS($D$2:$D$492,'Info Lega'!$B$28,$B$2:$B$492,"C"))+('Info Lega'!$B$8-COUNTIFS($D$2:$D$492,'Info Lega'!$B$28,$B$2:$B$492,"A"))</f>
        <v>25</v>
      </c>
      <c r="Y144" s="18">
        <f>X144*'Parametri Modello'!$B$30</f>
        <v>25</v>
      </c>
      <c r="Z144" s="18">
        <f t="shared" si="20"/>
        <v>975</v>
      </c>
      <c r="AA144" s="18">
        <f t="shared" si="21"/>
        <v>3</v>
      </c>
      <c r="AB144" s="18"/>
      <c r="AC144" s="18" t="str">
        <f>IF($AB144="","",IF($AB144&gt;$AA144,"PASS",IF($AB144&lt;=$AA144*(1-'Parametri Modello'!$B$68),"BID","ATTENZIONE")))</f>
        <v/>
      </c>
      <c r="AD144" s="28">
        <f t="shared" si="22"/>
        <v>50</v>
      </c>
      <c r="AE144" s="5" t="str">
        <f>IFERROR(INDEX('Stato Asta'!$G$9:$G$12,MATCH($B144,'Stato Asta'!$A$9:$A$12,0)),"")</f>
        <v>🔴 Non aspettare</v>
      </c>
      <c r="AF144" t="str">
        <f>IFERROR(IF($V144&lt;=INDEX('Parametri Modello'!$C$57:$C$60,MATCH($B144,'Parametri Modello'!$A$57:$A$60,0)),"Titolare","Riserva"),"")</f>
        <v>Riserva</v>
      </c>
      <c r="AG144" t="str">
        <f>IFERROR(INDEX('Pressione Competitiva'!$F$3:$F$6,MATCH($B144,'Pressione Competitiva'!$B$3:$B$6,0)),"")</f>
        <v>🔴 Molto Alta</v>
      </c>
      <c r="AH144" t="str">
        <f t="shared" si="23"/>
        <v/>
      </c>
      <c r="AI144" t="str">
        <f>IFERROR(IF($AH144="","",IF($AH144&gt;=$AA144*'Parametri Modello'!$B$68,"🟢 Opportunita'",IF($AH144&lt;=$AA144*'Parametri Modello'!$B$69,"🔴 Sovrapprezzo","🟡 Prezzo Corretto"))),"")</f>
        <v/>
      </c>
      <c r="AJ144" t="str">
        <f t="shared" si="24"/>
        <v/>
      </c>
      <c r="AK144">
        <f t="shared" si="25"/>
        <v>34</v>
      </c>
      <c r="AL144" t="str">
        <f t="shared" si="26"/>
        <v>C|Buono|34</v>
      </c>
    </row>
    <row r="145" spans="1:38" ht="14.25" customHeight="1" x14ac:dyDescent="0.25">
      <c r="A145" s="18">
        <v>6783</v>
      </c>
      <c r="B145" s="18" t="s">
        <v>17</v>
      </c>
      <c r="C145" s="18" t="s">
        <v>284</v>
      </c>
      <c r="E145" s="23" t="str">
        <f>IF(COUNTIF('Info Strategia'!$D$2:$D$51,$C145)&gt;0,"SI","NO")</f>
        <v>NO</v>
      </c>
      <c r="F145" s="24">
        <f>IFERROR(ROUND(($G145+($H145-$G145)*'Info Strategia'!$B$6)*(1+IF($E145="SI",'Parametri Modello'!$B$7*'Info Strategia'!$B$6,0)),0),"")</f>
        <v>3</v>
      </c>
      <c r="G145" s="24">
        <f>IFERROR(ROUND(MAX(1,(IF($V145&lt;=INDEX('Parametri Modello'!$C$57:$C$60,MATCH($B145,'Parametri Modello'!$A$57:$A$60,0)),IF(INDEX('Parametri Modello'!$E$57:$E$60,MATCH($B145,'Parametri Modello'!$A$57:$A$60,0))=0,0,($O145/INDEX('Parametri Modello'!$E$57:$E$60,MATCH($B145,'Parametri Modello'!$A$57:$A$60,0)))*(INDEX('Parametri Modello'!$D$57:$D$60,MATCH($B145,'Parametri Modello'!$A$57:$A$60,0))*(INDEX('Parametri Modello'!$B$50:$B$53,MATCH($B145,'Parametri Modello'!$A$50:$A$53,0))*'Parametri Modello'!$B$44))),IF(INDEX('Parametri Modello'!$F$57:$F$60,MATCH($B145,'Parametri Modello'!$A$57:$A$60,0))=0,0,($O145/INDEX('Parametri Modello'!$F$57:$F$60,MATCH($B145,'Parametri Modello'!$A$57:$A$60,0)))*((1-INDEX('Parametri Modello'!$D$57:$D$60,MATCH($B145,'Parametri Modello'!$A$57:$A$60,0)))*(INDEX('Parametri Modello'!$B$50:$B$53,MATCH($B145,'Parametri Modello'!$A$50:$A$53,0))*'Parametri Modello'!$B$44))))*(1+IF(IF($B145="D",'Info Lega'!$B$25,IF($B145="C",'Info Lega'!$B$26,"No"))="Si",'Parametri Modello'!$B$5,0))*(1+MAX(-0.25,MIN(0.25,IF(OR($T145="",$I145="",$I145=0,INDEX('Parametri Modello'!$B$19:$B$22,MATCH($B145,'Parametri Modello'!$A$19:$A$22,0))="",INDEX('Parametri Modello'!$B$19:$B$22,MATCH($B145,'Parametri Modello'!$A$19:$A$22,0))=0),0,(($T145-INDEX('Parametri Modello'!$B$19:$B$22,MATCH($B145,'Parametri Modello'!$A$19:$A$22,0)))/INDEX('Parametri Modello'!$B$19:$B$22,MATCH($B145,'Parametri Modello'!$A$19:$A$22,0)))*'Parametri Modello'!$B$9))))*(1+IF('Parametri Modello'!$B$27="Si",MAX(-'Parametri Modello'!$B$28,MIN('Parametri Modello'!$B$28*1.5,IF(OR(INDEX('Parametri Modello'!$F$32:$F$35,MATCH($B145,'Parametri Modello'!$A$32:$A$35,0))="",INDEX('Parametri Modello'!$F$32:$F$35,MATCH($B145,'Parametri Modello'!$A$32:$A$35,0))=0),0,(1/INDEX('Parametri Modello'!$F$32:$F$35,MATCH($B145,'Parametri Modello'!$A$32:$A$35,0))-1)*'Parametri Modello'!$B$28))),0)))*(1-INDEX('Parametri Modello'!$B$12:$B$15,MATCH($B145,'Parametri Modello'!$A$12:$A$15,0)))),0),"")</f>
        <v>2</v>
      </c>
      <c r="H145" s="24">
        <f>IFERROR(ROUND((IF($V145&lt;=INDEX('Parametri Modello'!$C$57:$C$60,MATCH($B145,'Parametri Modello'!$A$57:$A$60,0)),IF(INDEX('Parametri Modello'!$E$57:$E$60,MATCH($B145,'Parametri Modello'!$A$57:$A$60,0))=0,0,($O145/INDEX('Parametri Modello'!$E$57:$E$60,MATCH($B145,'Parametri Modello'!$A$57:$A$60,0)))*(INDEX('Parametri Modello'!$D$57:$D$60,MATCH($B145,'Parametri Modello'!$A$57:$A$60,0))*(INDEX('Parametri Modello'!$B$50:$B$53,MATCH($B145,'Parametri Modello'!$A$50:$A$53,0))*'Parametri Modello'!$B$44))),IF(INDEX('Parametri Modello'!$F$57:$F$60,MATCH($B145,'Parametri Modello'!$A$57:$A$60,0))=0,0,($O145/INDEX('Parametri Modello'!$F$57:$F$60,MATCH($B145,'Parametri Modello'!$A$57:$A$60,0)))*((1-INDEX('Parametri Modello'!$D$57:$D$60,MATCH($B145,'Parametri Modello'!$A$57:$A$60,0)))*(INDEX('Parametri Modello'!$B$50:$B$53,MATCH($B145,'Parametri Modello'!$A$50:$A$53,0))*'Parametri Modello'!$B$44))))*(1+IF(IF($B145="D",'Info Lega'!$B$25,IF($B145="C",'Info Lega'!$B$26,"No"))="Si",'Parametri Modello'!$B$5,0))*(1+MAX(-0.25,MIN(0.25,IF(OR($T145="",$I145="",$I145=0,INDEX('Parametri Modello'!$B$19:$B$22,MATCH($B145,'Parametri Modello'!$A$19:$A$22,0))="",INDEX('Parametri Modello'!$B$19:$B$22,MATCH($B145,'Parametri Modello'!$A$19:$A$22,0))=0),0,(($T145-INDEX('Parametri Modello'!$B$19:$B$22,MATCH($B145,'Parametri Modello'!$A$19:$A$22,0)))/INDEX('Parametri Modello'!$B$19:$B$22,MATCH($B145,'Parametri Modello'!$A$19:$A$22,0)))*'Parametri Modello'!$B$9))))*(1+IF('Parametri Modello'!$B$27="Si",MAX(-'Parametri Modello'!$B$28,MIN('Parametri Modello'!$B$28*1.5,IF(OR(INDEX('Parametri Modello'!$F$32:$F$35,MATCH($B145,'Parametri Modello'!$A$32:$A$35,0))="",INDEX('Parametri Modello'!$F$32:$F$35,MATCH($B145,'Parametri Modello'!$A$32:$A$35,0))=0),0,(1/INDEX('Parametri Modello'!$F$32:$F$35,MATCH($B145,'Parametri Modello'!$A$32:$A$35,0))-1)*'Parametri Modello'!$B$28))),0)))*(1+INDEX('Parametri Modello'!$B$12:$B$15,MATCH($B145,'Parametri Modello'!$A$12:$A$15,0))),0),"")</f>
        <v>3</v>
      </c>
      <c r="I145" s="23" t="str">
        <f>IFERROR(INDEX('Input Statistiche 2025_26'!$F$3:$F$665,MATCH($A145,'Input Statistiche 2025_26'!$A$3:$A$665,0)),"")</f>
        <v/>
      </c>
      <c r="J145" s="23" t="str">
        <f t="shared" si="18"/>
        <v/>
      </c>
      <c r="K145" s="23" t="str">
        <f>IFERROR(INDEX('Input Statistiche 2025_26'!$I$3:$I$665,MATCH($A145,'Input Statistiche 2025_26'!$A$3:$A$665,0)),"")</f>
        <v/>
      </c>
      <c r="L145" s="23" t="str">
        <f>IFERROR(INDEX('Input Statistiche 2025_26'!$O$3:$O$665,MATCH($A145,'Input Statistiche 2025_26'!$A$3:$A$665,0)),"")</f>
        <v/>
      </c>
      <c r="M145" s="25"/>
      <c r="N145" s="24">
        <f>IFERROR(INDEX('Input Giocatori 2026_27'!$E$3:$E$493,MATCH($A145,'Input Giocatori 2026_27'!$A$3:$A$493,0)),"")</f>
        <v>7</v>
      </c>
      <c r="O145" s="24">
        <f>IFERROR(INDEX('Input Giocatori 2026_27'!$G$3:$G$493,MATCH($A145,'Input Giocatori 2026_27'!$A$3:$A$493,0)),"")</f>
        <v>23</v>
      </c>
      <c r="P145" s="23" t="str">
        <f>IFERROR(IF($O145="","",IF((1-(COUNTIFS($B$2:$B$492,$B145,$O$2:$O$492,"&gt;"&amp;$O145)+1-1)/COUNTIF($B$2:$B$492,$B145))&gt;='Parametri Modello'!$B$63,"Top",IF((1-(COUNTIFS($B$2:$B$492,$B145,$O$2:$O$492,"&gt;"&amp;$O145)+1-1)/COUNTIF($B$2:$B$492,$B145))&gt;='Parametri Modello'!$B$64,"Buono",IF((1-(COUNTIFS($B$2:$B$492,$B145,$O$2:$O$492,"&gt;"&amp;$O145)+1-1)/COUNTIF($B$2:$B$492,$B145))&gt;='Parametri Modello'!$B$65,"Nella Media","Scommessa/Riserva")))),"")</f>
        <v>Buono</v>
      </c>
      <c r="Q145" s="26">
        <f>IF(AND($D145="",$N145&gt;1),SUMPRODUCT(($D$2:$D145="")*($N$2:$N145&gt;1)),"")</f>
        <v>144</v>
      </c>
      <c r="R145" s="26" t="str">
        <f>IF($D145='Info Lega'!$B$28,COUNTIFS($D$2:$D145,'Info Lega'!$B$28),"")</f>
        <v/>
      </c>
      <c r="S145" s="27" t="str">
        <f>IFERROR(INDEX('Input Statistiche 2025_26'!$G$3:$G$665,MATCH($A145,'Input Statistiche 2025_26'!$A$3:$A$665,0)),"")</f>
        <v/>
      </c>
      <c r="T145" s="27" t="str">
        <f>IFERROR(INDEX('Input Statistiche 2025_26'!$H$3:$H$665,MATCH($A145,'Input Statistiche 2025_26'!$A$3:$A$665,0)),"")</f>
        <v/>
      </c>
      <c r="U145" s="23" t="str">
        <f>IF(OR('La Mia Rosa'!$O$12="",$D145&lt;&gt;""),"",IF($F145&lt;='La Mia Rosa'!$O$12*'Parametri Modello'!$B$24,"OK",IF($F145&lt;='La Mia Rosa'!$O$12*'Parametri Modello'!$B$25,"Attenzione","Rischio Alto")))</f>
        <v>OK</v>
      </c>
      <c r="V145" s="23">
        <f t="shared" si="19"/>
        <v>52</v>
      </c>
      <c r="W145" s="18">
        <f>'Info Lega'!$B$4-SUMIFS($M$2:$M$492,$D$2:$D$492,'Info Lega'!$B$28)</f>
        <v>1000</v>
      </c>
      <c r="X145" s="18">
        <f>('Info Lega'!$B$5-COUNTIFS($D$2:$D$492,'Info Lega'!$B$28,$B$2:$B$492,"P"))+('Info Lega'!$B$6-COUNTIFS($D$2:$D$492,'Info Lega'!$B$28,$B$2:$B$492,"D"))+('Info Lega'!$B$7-COUNTIFS($D$2:$D$492,'Info Lega'!$B$28,$B$2:$B$492,"C"))+('Info Lega'!$B$8-COUNTIFS($D$2:$D$492,'Info Lega'!$B$28,$B$2:$B$492,"A"))</f>
        <v>25</v>
      </c>
      <c r="Y145" s="18">
        <f>X145*'Parametri Modello'!$B$30</f>
        <v>25</v>
      </c>
      <c r="Z145" s="18">
        <f t="shared" si="20"/>
        <v>975</v>
      </c>
      <c r="AA145" s="18">
        <f t="shared" si="21"/>
        <v>3</v>
      </c>
      <c r="AB145" s="18"/>
      <c r="AC145" s="18" t="str">
        <f>IF($AB145="","",IF($AB145&gt;$AA145,"PASS",IF($AB145&lt;=$AA145*(1-'Parametri Modello'!$B$68),"BID","ATTENZIONE")))</f>
        <v/>
      </c>
      <c r="AD145" s="28" t="str">
        <f t="shared" si="22"/>
        <v/>
      </c>
      <c r="AE145" s="5" t="str">
        <f>IFERROR(INDEX('Stato Asta'!$G$9:$G$12,MATCH($B145,'Stato Asta'!$A$9:$A$12,0)),"")</f>
        <v>🔴 Non aspettare</v>
      </c>
      <c r="AF145" t="str">
        <f>IFERROR(IF($V145&lt;=INDEX('Parametri Modello'!$C$57:$C$60,MATCH($B145,'Parametri Modello'!$A$57:$A$60,0)),"Titolare","Riserva"),"")</f>
        <v>Riserva</v>
      </c>
      <c r="AG145" t="str">
        <f>IFERROR(INDEX('Pressione Competitiva'!$F$3:$F$6,MATCH($B145,'Pressione Competitiva'!$B$3:$B$6,0)),"")</f>
        <v>🔴 Molto Alta</v>
      </c>
      <c r="AH145" t="str">
        <f t="shared" si="23"/>
        <v/>
      </c>
      <c r="AI145" t="str">
        <f>IFERROR(IF($AH145="","",IF($AH145&gt;=$AA145*'Parametri Modello'!$B$68,"🟢 Opportunita'",IF($AH145&lt;=$AA145*'Parametri Modello'!$B$69,"🔴 Sovrapprezzo","🟡 Prezzo Corretto"))),"")</f>
        <v/>
      </c>
      <c r="AJ145" t="str">
        <f t="shared" si="24"/>
        <v/>
      </c>
      <c r="AK145">
        <f t="shared" si="25"/>
        <v>34</v>
      </c>
      <c r="AL145" t="str">
        <f t="shared" si="26"/>
        <v>C|Buono|34</v>
      </c>
    </row>
    <row r="146" spans="1:38" ht="14.25" customHeight="1" x14ac:dyDescent="0.25">
      <c r="A146" s="18">
        <v>4686</v>
      </c>
      <c r="B146" s="18" t="s">
        <v>17</v>
      </c>
      <c r="C146" s="18" t="s">
        <v>285</v>
      </c>
      <c r="E146" s="23" t="str">
        <f>IF(COUNTIF('Info Strategia'!$D$2:$D$51,$C146)&gt;0,"SI","NO")</f>
        <v>NO</v>
      </c>
      <c r="F146" s="24">
        <f>IFERROR(ROUND(($G146+($H146-$G146)*'Info Strategia'!$B$6)*(1+IF($E146="SI",'Parametri Modello'!$B$7*'Info Strategia'!$B$6,0)),0),"")</f>
        <v>3</v>
      </c>
      <c r="G146" s="24">
        <f>IFERROR(ROUND(MAX(1,(IF($V146&lt;=INDEX('Parametri Modello'!$C$57:$C$60,MATCH($B146,'Parametri Modello'!$A$57:$A$60,0)),IF(INDEX('Parametri Modello'!$E$57:$E$60,MATCH($B146,'Parametri Modello'!$A$57:$A$60,0))=0,0,($O146/INDEX('Parametri Modello'!$E$57:$E$60,MATCH($B146,'Parametri Modello'!$A$57:$A$60,0)))*(INDEX('Parametri Modello'!$D$57:$D$60,MATCH($B146,'Parametri Modello'!$A$57:$A$60,0))*(INDEX('Parametri Modello'!$B$50:$B$53,MATCH($B146,'Parametri Modello'!$A$50:$A$53,0))*'Parametri Modello'!$B$44))),IF(INDEX('Parametri Modello'!$F$57:$F$60,MATCH($B146,'Parametri Modello'!$A$57:$A$60,0))=0,0,($O146/INDEX('Parametri Modello'!$F$57:$F$60,MATCH($B146,'Parametri Modello'!$A$57:$A$60,0)))*((1-INDEX('Parametri Modello'!$D$57:$D$60,MATCH($B146,'Parametri Modello'!$A$57:$A$60,0)))*(INDEX('Parametri Modello'!$B$50:$B$53,MATCH($B146,'Parametri Modello'!$A$50:$A$53,0))*'Parametri Modello'!$B$44))))*(1+IF(IF($B146="D",'Info Lega'!$B$25,IF($B146="C",'Info Lega'!$B$26,"No"))="Si",'Parametri Modello'!$B$5,0))*(1+MAX(-0.25,MIN(0.25,IF(OR($T146="",$I146="",$I146=0,INDEX('Parametri Modello'!$B$19:$B$22,MATCH($B146,'Parametri Modello'!$A$19:$A$22,0))="",INDEX('Parametri Modello'!$B$19:$B$22,MATCH($B146,'Parametri Modello'!$A$19:$A$22,0))=0),0,(($T146-INDEX('Parametri Modello'!$B$19:$B$22,MATCH($B146,'Parametri Modello'!$A$19:$A$22,0)))/INDEX('Parametri Modello'!$B$19:$B$22,MATCH($B146,'Parametri Modello'!$A$19:$A$22,0)))*'Parametri Modello'!$B$9))))*(1+IF('Parametri Modello'!$B$27="Si",MAX(-'Parametri Modello'!$B$28,MIN('Parametri Modello'!$B$28*1.5,IF(OR(INDEX('Parametri Modello'!$F$32:$F$35,MATCH($B146,'Parametri Modello'!$A$32:$A$35,0))="",INDEX('Parametri Modello'!$F$32:$F$35,MATCH($B146,'Parametri Modello'!$A$32:$A$35,0))=0),0,(1/INDEX('Parametri Modello'!$F$32:$F$35,MATCH($B146,'Parametri Modello'!$A$32:$A$35,0))-1)*'Parametri Modello'!$B$28))),0)))*(1-INDEX('Parametri Modello'!$B$12:$B$15,MATCH($B146,'Parametri Modello'!$A$12:$A$15,0)))),0),"")</f>
        <v>2</v>
      </c>
      <c r="H146" s="24">
        <f>IFERROR(ROUND((IF($V146&lt;=INDEX('Parametri Modello'!$C$57:$C$60,MATCH($B146,'Parametri Modello'!$A$57:$A$60,0)),IF(INDEX('Parametri Modello'!$E$57:$E$60,MATCH($B146,'Parametri Modello'!$A$57:$A$60,0))=0,0,($O146/INDEX('Parametri Modello'!$E$57:$E$60,MATCH($B146,'Parametri Modello'!$A$57:$A$60,0)))*(INDEX('Parametri Modello'!$D$57:$D$60,MATCH($B146,'Parametri Modello'!$A$57:$A$60,0))*(INDEX('Parametri Modello'!$B$50:$B$53,MATCH($B146,'Parametri Modello'!$A$50:$A$53,0))*'Parametri Modello'!$B$44))),IF(INDEX('Parametri Modello'!$F$57:$F$60,MATCH($B146,'Parametri Modello'!$A$57:$A$60,0))=0,0,($O146/INDEX('Parametri Modello'!$F$57:$F$60,MATCH($B146,'Parametri Modello'!$A$57:$A$60,0)))*((1-INDEX('Parametri Modello'!$D$57:$D$60,MATCH($B146,'Parametri Modello'!$A$57:$A$60,0)))*(INDEX('Parametri Modello'!$B$50:$B$53,MATCH($B146,'Parametri Modello'!$A$50:$A$53,0))*'Parametri Modello'!$B$44))))*(1+IF(IF($B146="D",'Info Lega'!$B$25,IF($B146="C",'Info Lega'!$B$26,"No"))="Si",'Parametri Modello'!$B$5,0))*(1+MAX(-0.25,MIN(0.25,IF(OR($T146="",$I146="",$I146=0,INDEX('Parametri Modello'!$B$19:$B$22,MATCH($B146,'Parametri Modello'!$A$19:$A$22,0))="",INDEX('Parametri Modello'!$B$19:$B$22,MATCH($B146,'Parametri Modello'!$A$19:$A$22,0))=0),0,(($T146-INDEX('Parametri Modello'!$B$19:$B$22,MATCH($B146,'Parametri Modello'!$A$19:$A$22,0)))/INDEX('Parametri Modello'!$B$19:$B$22,MATCH($B146,'Parametri Modello'!$A$19:$A$22,0)))*'Parametri Modello'!$B$9))))*(1+IF('Parametri Modello'!$B$27="Si",MAX(-'Parametri Modello'!$B$28,MIN('Parametri Modello'!$B$28*1.5,IF(OR(INDEX('Parametri Modello'!$F$32:$F$35,MATCH($B146,'Parametri Modello'!$A$32:$A$35,0))="",INDEX('Parametri Modello'!$F$32:$F$35,MATCH($B146,'Parametri Modello'!$A$32:$A$35,0))=0),0,(1/INDEX('Parametri Modello'!$F$32:$F$35,MATCH($B146,'Parametri Modello'!$A$32:$A$35,0))-1)*'Parametri Modello'!$B$28))),0)))*(1+INDEX('Parametri Modello'!$B$12:$B$15,MATCH($B146,'Parametri Modello'!$A$12:$A$15,0))),0),"")</f>
        <v>3</v>
      </c>
      <c r="I146" s="23">
        <f>IFERROR(INDEX('Input Statistiche 2025_26'!$F$3:$F$665,MATCH($A146,'Input Statistiche 2025_26'!$A$3:$A$665,0)),"")</f>
        <v>33</v>
      </c>
      <c r="J146" s="23">
        <f t="shared" si="18"/>
        <v>5</v>
      </c>
      <c r="K146" s="23">
        <f>IFERROR(INDEX('Input Statistiche 2025_26'!$I$3:$I$665,MATCH($A146,'Input Statistiche 2025_26'!$A$3:$A$665,0)),"")</f>
        <v>2</v>
      </c>
      <c r="L146" s="23">
        <f>IFERROR(INDEX('Input Statistiche 2025_26'!$O$3:$O$665,MATCH($A146,'Input Statistiche 2025_26'!$A$3:$A$665,0)),"")</f>
        <v>3</v>
      </c>
      <c r="M146" s="25"/>
      <c r="N146" s="24">
        <f>IFERROR(INDEX('Input Giocatori 2026_27'!$E$3:$E$493,MATCH($A146,'Input Giocatori 2026_27'!$A$3:$A$493,0)),"")</f>
        <v>5</v>
      </c>
      <c r="O146" s="24">
        <f>IFERROR(INDEX('Input Giocatori 2026_27'!$G$3:$G$493,MATCH($A146,'Input Giocatori 2026_27'!$A$3:$A$493,0)),"")</f>
        <v>23</v>
      </c>
      <c r="P146" s="23" t="str">
        <f>IFERROR(IF($O146="","",IF((1-(COUNTIFS($B$2:$B$492,$B146,$O$2:$O$492,"&gt;"&amp;$O146)+1-1)/COUNTIF($B$2:$B$492,$B146))&gt;='Parametri Modello'!$B$63,"Top",IF((1-(COUNTIFS($B$2:$B$492,$B146,$O$2:$O$492,"&gt;"&amp;$O146)+1-1)/COUNTIF($B$2:$B$492,$B146))&gt;='Parametri Modello'!$B$64,"Buono",IF((1-(COUNTIFS($B$2:$B$492,$B146,$O$2:$O$492,"&gt;"&amp;$O146)+1-1)/COUNTIF($B$2:$B$492,$B146))&gt;='Parametri Modello'!$B$65,"Nella Media","Scommessa/Riserva")))),"")</f>
        <v>Buono</v>
      </c>
      <c r="Q146" s="26">
        <f>IF(AND($D146="",$N146&gt;1),SUMPRODUCT(($D$2:$D146="")*($N$2:$N146&gt;1)),"")</f>
        <v>145</v>
      </c>
      <c r="R146" s="26" t="str">
        <f>IF($D146='Info Lega'!$B$28,COUNTIFS($D$2:$D146,'Info Lega'!$B$28),"")</f>
        <v/>
      </c>
      <c r="S146" s="27">
        <f>IFERROR(INDEX('Input Statistiche 2025_26'!$G$3:$G$665,MATCH($A146,'Input Statistiche 2025_26'!$A$3:$A$665,0)),"")</f>
        <v>5.85</v>
      </c>
      <c r="T146" s="27">
        <f>IFERROR(INDEX('Input Statistiche 2025_26'!$H$3:$H$665,MATCH($A146,'Input Statistiche 2025_26'!$A$3:$A$665,0)),"")</f>
        <v>6.06</v>
      </c>
      <c r="U146" s="23" t="str">
        <f>IF(OR('La Mia Rosa'!$O$12="",$D146&lt;&gt;""),"",IF($F146&lt;='La Mia Rosa'!$O$12*'Parametri Modello'!$B$24,"OK",IF($F146&lt;='La Mia Rosa'!$O$12*'Parametri Modello'!$B$25,"Attenzione","Rischio Alto")))</f>
        <v>OK</v>
      </c>
      <c r="V146" s="23">
        <f t="shared" si="19"/>
        <v>52</v>
      </c>
      <c r="W146" s="18">
        <f>'Info Lega'!$B$4-SUMIFS($M$2:$M$492,$D$2:$D$492,'Info Lega'!$B$28)</f>
        <v>1000</v>
      </c>
      <c r="X146" s="18">
        <f>('Info Lega'!$B$5-COUNTIFS($D$2:$D$492,'Info Lega'!$B$28,$B$2:$B$492,"P"))+('Info Lega'!$B$6-COUNTIFS($D$2:$D$492,'Info Lega'!$B$28,$B$2:$B$492,"D"))+('Info Lega'!$B$7-COUNTIFS($D$2:$D$492,'Info Lega'!$B$28,$B$2:$B$492,"C"))+('Info Lega'!$B$8-COUNTIFS($D$2:$D$492,'Info Lega'!$B$28,$B$2:$B$492,"A"))</f>
        <v>25</v>
      </c>
      <c r="Y146" s="18">
        <f>X146*'Parametri Modello'!$B$30</f>
        <v>25</v>
      </c>
      <c r="Z146" s="18">
        <f t="shared" si="20"/>
        <v>975</v>
      </c>
      <c r="AA146" s="18">
        <f t="shared" si="21"/>
        <v>3</v>
      </c>
      <c r="AB146" s="18"/>
      <c r="AC146" s="18" t="str">
        <f>IF($AB146="","",IF($AB146&gt;$AA146,"PASS",IF($AB146&lt;=$AA146*(1-'Parametri Modello'!$B$68),"BID","ATTENZIONE")))</f>
        <v/>
      </c>
      <c r="AD146" s="28">
        <f t="shared" si="22"/>
        <v>67</v>
      </c>
      <c r="AE146" s="5" t="str">
        <f>IFERROR(INDEX('Stato Asta'!$G$9:$G$12,MATCH($B146,'Stato Asta'!$A$9:$A$12,0)),"")</f>
        <v>🔴 Non aspettare</v>
      </c>
      <c r="AF146" t="str">
        <f>IFERROR(IF($V146&lt;=INDEX('Parametri Modello'!$C$57:$C$60,MATCH($B146,'Parametri Modello'!$A$57:$A$60,0)),"Titolare","Riserva"),"")</f>
        <v>Riserva</v>
      </c>
      <c r="AG146" t="str">
        <f>IFERROR(INDEX('Pressione Competitiva'!$F$3:$F$6,MATCH($B146,'Pressione Competitiva'!$B$3:$B$6,0)),"")</f>
        <v>🔴 Molto Alta</v>
      </c>
      <c r="AH146" t="str">
        <f t="shared" si="23"/>
        <v/>
      </c>
      <c r="AI146" t="str">
        <f>IFERROR(IF($AH146="","",IF($AH146&gt;=$AA146*'Parametri Modello'!$B$68,"🟢 Opportunita'",IF($AH146&lt;=$AA146*'Parametri Modello'!$B$69,"🔴 Sovrapprezzo","🟡 Prezzo Corretto"))),"")</f>
        <v/>
      </c>
      <c r="AJ146" t="str">
        <f t="shared" si="24"/>
        <v/>
      </c>
      <c r="AK146">
        <f t="shared" si="25"/>
        <v>34</v>
      </c>
      <c r="AL146" t="str">
        <f t="shared" si="26"/>
        <v>C|Buono|34</v>
      </c>
    </row>
    <row r="147" spans="1:38" ht="14.25" customHeight="1" x14ac:dyDescent="0.25">
      <c r="A147" s="18">
        <v>6643</v>
      </c>
      <c r="B147" s="18" t="s">
        <v>18</v>
      </c>
      <c r="C147" s="18" t="s">
        <v>286</v>
      </c>
      <c r="E147" s="23" t="str">
        <f>IF(COUNTIF('Info Strategia'!$D$2:$D$51,$C147)&gt;0,"SI","NO")</f>
        <v>NO</v>
      </c>
      <c r="F147" s="24">
        <f>IFERROR(ROUND(($G147+($H147-$G147)*'Info Strategia'!$B$6)*(1+IF($E147="SI",'Parametri Modello'!$B$7*'Info Strategia'!$B$6,0)),0),"")</f>
        <v>7</v>
      </c>
      <c r="G147" s="24">
        <f>IFERROR(ROUND(MAX(1,(IF($V147&lt;=INDEX('Parametri Modello'!$C$57:$C$60,MATCH($B147,'Parametri Modello'!$A$57:$A$60,0)),IF(INDEX('Parametri Modello'!$E$57:$E$60,MATCH($B147,'Parametri Modello'!$A$57:$A$60,0))=0,0,($O147/INDEX('Parametri Modello'!$E$57:$E$60,MATCH($B147,'Parametri Modello'!$A$57:$A$60,0)))*(INDEX('Parametri Modello'!$D$57:$D$60,MATCH($B147,'Parametri Modello'!$A$57:$A$60,0))*(INDEX('Parametri Modello'!$B$50:$B$53,MATCH($B147,'Parametri Modello'!$A$50:$A$53,0))*'Parametri Modello'!$B$44))),IF(INDEX('Parametri Modello'!$F$57:$F$60,MATCH($B147,'Parametri Modello'!$A$57:$A$60,0))=0,0,($O147/INDEX('Parametri Modello'!$F$57:$F$60,MATCH($B147,'Parametri Modello'!$A$57:$A$60,0)))*((1-INDEX('Parametri Modello'!$D$57:$D$60,MATCH($B147,'Parametri Modello'!$A$57:$A$60,0)))*(INDEX('Parametri Modello'!$B$50:$B$53,MATCH($B147,'Parametri Modello'!$A$50:$A$53,0))*'Parametri Modello'!$B$44))))*(1+IF(IF($B147="D",'Info Lega'!$B$25,IF($B147="C",'Info Lega'!$B$26,"No"))="Si",'Parametri Modello'!$B$5,0))*(1+MAX(-0.25,MIN(0.25,IF(OR($T147="",$I147="",$I147=0,INDEX('Parametri Modello'!$B$19:$B$22,MATCH($B147,'Parametri Modello'!$A$19:$A$22,0))="",INDEX('Parametri Modello'!$B$19:$B$22,MATCH($B147,'Parametri Modello'!$A$19:$A$22,0))=0),0,(($T147-INDEX('Parametri Modello'!$B$19:$B$22,MATCH($B147,'Parametri Modello'!$A$19:$A$22,0)))/INDEX('Parametri Modello'!$B$19:$B$22,MATCH($B147,'Parametri Modello'!$A$19:$A$22,0)))*'Parametri Modello'!$B$9))))*(1+IF('Parametri Modello'!$B$27="Si",MAX(-'Parametri Modello'!$B$28,MIN('Parametri Modello'!$B$28*1.5,IF(OR(INDEX('Parametri Modello'!$F$32:$F$35,MATCH($B147,'Parametri Modello'!$A$32:$A$35,0))="",INDEX('Parametri Modello'!$F$32:$F$35,MATCH($B147,'Parametri Modello'!$A$32:$A$35,0))=0),0,(1/INDEX('Parametri Modello'!$F$32:$F$35,MATCH($B147,'Parametri Modello'!$A$32:$A$35,0))-1)*'Parametri Modello'!$B$28))),0)))*(1-INDEX('Parametri Modello'!$B$12:$B$15,MATCH($B147,'Parametri Modello'!$A$12:$A$15,0)))),0),"")</f>
        <v>5</v>
      </c>
      <c r="H147" s="24">
        <f>IFERROR(ROUND((IF($V147&lt;=INDEX('Parametri Modello'!$C$57:$C$60,MATCH($B147,'Parametri Modello'!$A$57:$A$60,0)),IF(INDEX('Parametri Modello'!$E$57:$E$60,MATCH($B147,'Parametri Modello'!$A$57:$A$60,0))=0,0,($O147/INDEX('Parametri Modello'!$E$57:$E$60,MATCH($B147,'Parametri Modello'!$A$57:$A$60,0)))*(INDEX('Parametri Modello'!$D$57:$D$60,MATCH($B147,'Parametri Modello'!$A$57:$A$60,0))*(INDEX('Parametri Modello'!$B$50:$B$53,MATCH($B147,'Parametri Modello'!$A$50:$A$53,0))*'Parametri Modello'!$B$44))),IF(INDEX('Parametri Modello'!$F$57:$F$60,MATCH($B147,'Parametri Modello'!$A$57:$A$60,0))=0,0,($O147/INDEX('Parametri Modello'!$F$57:$F$60,MATCH($B147,'Parametri Modello'!$A$57:$A$60,0)))*((1-INDEX('Parametri Modello'!$D$57:$D$60,MATCH($B147,'Parametri Modello'!$A$57:$A$60,0)))*(INDEX('Parametri Modello'!$B$50:$B$53,MATCH($B147,'Parametri Modello'!$A$50:$A$53,0))*'Parametri Modello'!$B$44))))*(1+IF(IF($B147="D",'Info Lega'!$B$25,IF($B147="C",'Info Lega'!$B$26,"No"))="Si",'Parametri Modello'!$B$5,0))*(1+MAX(-0.25,MIN(0.25,IF(OR($T147="",$I147="",$I147=0,INDEX('Parametri Modello'!$B$19:$B$22,MATCH($B147,'Parametri Modello'!$A$19:$A$22,0))="",INDEX('Parametri Modello'!$B$19:$B$22,MATCH($B147,'Parametri Modello'!$A$19:$A$22,0))=0),0,(($T147-INDEX('Parametri Modello'!$B$19:$B$22,MATCH($B147,'Parametri Modello'!$A$19:$A$22,0)))/INDEX('Parametri Modello'!$B$19:$B$22,MATCH($B147,'Parametri Modello'!$A$19:$A$22,0)))*'Parametri Modello'!$B$9))))*(1+IF('Parametri Modello'!$B$27="Si",MAX(-'Parametri Modello'!$B$28,MIN('Parametri Modello'!$B$28*1.5,IF(OR(INDEX('Parametri Modello'!$F$32:$F$35,MATCH($B147,'Parametri Modello'!$A$32:$A$35,0))="",INDEX('Parametri Modello'!$F$32:$F$35,MATCH($B147,'Parametri Modello'!$A$32:$A$35,0))=0),0,(1/INDEX('Parametri Modello'!$F$32:$F$35,MATCH($B147,'Parametri Modello'!$A$32:$A$35,0))-1)*'Parametri Modello'!$B$28))),0)))*(1+INDEX('Parametri Modello'!$B$12:$B$15,MATCH($B147,'Parametri Modello'!$A$12:$A$15,0))),0),"")</f>
        <v>8</v>
      </c>
      <c r="I147" s="23">
        <f>IFERROR(INDEX('Input Statistiche 2025_26'!$F$3:$F$665,MATCH($A147,'Input Statistiche 2025_26'!$A$3:$A$665,0)),"")</f>
        <v>19</v>
      </c>
      <c r="J147" s="23">
        <f t="shared" si="18"/>
        <v>19</v>
      </c>
      <c r="K147" s="23">
        <f>IFERROR(INDEX('Input Statistiche 2025_26'!$I$3:$I$665,MATCH($A147,'Input Statistiche 2025_26'!$A$3:$A$665,0)),"")</f>
        <v>2</v>
      </c>
      <c r="L147" s="23">
        <f>IFERROR(INDEX('Input Statistiche 2025_26'!$O$3:$O$665,MATCH($A147,'Input Statistiche 2025_26'!$A$3:$A$665,0)),"")</f>
        <v>1</v>
      </c>
      <c r="M147" s="25"/>
      <c r="N147" s="24">
        <f>IFERROR(INDEX('Input Giocatori 2026_27'!$E$3:$E$493,MATCH($A147,'Input Giocatori 2026_27'!$A$3:$A$493,0)),"")</f>
        <v>8</v>
      </c>
      <c r="O147" s="24">
        <f>IFERROR(INDEX('Input Giocatori 2026_27'!$G$3:$G$493,MATCH($A147,'Input Giocatori 2026_27'!$A$3:$A$493,0)),"")</f>
        <v>23</v>
      </c>
      <c r="P147" s="23" t="str">
        <f>IFERROR(IF($O147="","",IF((1-(COUNTIFS($B$2:$B$492,$B147,$O$2:$O$492,"&gt;"&amp;$O147)+1-1)/COUNTIF($B$2:$B$492,$B147))&gt;='Parametri Modello'!$B$63,"Top",IF((1-(COUNTIFS($B$2:$B$492,$B147,$O$2:$O$492,"&gt;"&amp;$O147)+1-1)/COUNTIF($B$2:$B$492,$B147))&gt;='Parametri Modello'!$B$64,"Buono",IF((1-(COUNTIFS($B$2:$B$492,$B147,$O$2:$O$492,"&gt;"&amp;$O147)+1-1)/COUNTIF($B$2:$B$492,$B147))&gt;='Parametri Modello'!$B$65,"Nella Media","Scommessa/Riserva")))),"")</f>
        <v>Nella Media</v>
      </c>
      <c r="Q147" s="26">
        <f>IF(AND($D147="",$N147&gt;1),SUMPRODUCT(($D$2:$D147="")*($N$2:$N147&gt;1)),"")</f>
        <v>146</v>
      </c>
      <c r="R147" s="26" t="str">
        <f>IF($D147='Info Lega'!$B$28,COUNTIFS($D$2:$D147,'Info Lega'!$B$28),"")</f>
        <v/>
      </c>
      <c r="S147" s="27">
        <f>IFERROR(INDEX('Input Statistiche 2025_26'!$G$3:$G$665,MATCH($A147,'Input Statistiche 2025_26'!$A$3:$A$665,0)),"")</f>
        <v>5.82</v>
      </c>
      <c r="T147" s="27">
        <f>IFERROR(INDEX('Input Statistiche 2025_26'!$H$3:$H$665,MATCH($A147,'Input Statistiche 2025_26'!$A$3:$A$665,0)),"")</f>
        <v>6.13</v>
      </c>
      <c r="U147" s="23" t="str">
        <f>IF(OR('La Mia Rosa'!$O$12="",$D147&lt;&gt;""),"",IF($F147&lt;='La Mia Rosa'!$O$12*'Parametri Modello'!$B$24,"OK",IF($F147&lt;='La Mia Rosa'!$O$12*'Parametri Modello'!$B$25,"Attenzione","Rischio Alto")))</f>
        <v>OK</v>
      </c>
      <c r="V147" s="23">
        <f t="shared" si="19"/>
        <v>45</v>
      </c>
      <c r="W147" s="18">
        <f>'Info Lega'!$B$4-SUMIFS($M$2:$M$492,$D$2:$D$492,'Info Lega'!$B$28)</f>
        <v>1000</v>
      </c>
      <c r="X147" s="18">
        <f>('Info Lega'!$B$5-COUNTIFS($D$2:$D$492,'Info Lega'!$B$28,$B$2:$B$492,"P"))+('Info Lega'!$B$6-COUNTIFS($D$2:$D$492,'Info Lega'!$B$28,$B$2:$B$492,"D"))+('Info Lega'!$B$7-COUNTIFS($D$2:$D$492,'Info Lega'!$B$28,$B$2:$B$492,"C"))+('Info Lega'!$B$8-COUNTIFS($D$2:$D$492,'Info Lega'!$B$28,$B$2:$B$492,"A"))</f>
        <v>25</v>
      </c>
      <c r="Y147" s="18">
        <f>X147*'Parametri Modello'!$B$30</f>
        <v>25</v>
      </c>
      <c r="Z147" s="18">
        <f t="shared" si="20"/>
        <v>975</v>
      </c>
      <c r="AA147" s="18">
        <f t="shared" si="21"/>
        <v>7</v>
      </c>
      <c r="AB147" s="18"/>
      <c r="AC147" s="18" t="str">
        <f>IF($AB147="","",IF($AB147&gt;$AA147,"PASS",IF($AB147&lt;=$AA147*(1-'Parametri Modello'!$B$68),"BID","ATTENZIONE")))</f>
        <v/>
      </c>
      <c r="AD147" s="28">
        <f t="shared" si="22"/>
        <v>47</v>
      </c>
      <c r="AE147" s="5" t="str">
        <f>IFERROR(INDEX('Stato Asta'!$G$9:$G$12,MATCH($B147,'Stato Asta'!$A$9:$A$12,0)),"")</f>
        <v>🔴 Non aspettare</v>
      </c>
      <c r="AF147" t="str">
        <f>IFERROR(IF($V147&lt;=INDEX('Parametri Modello'!$C$57:$C$60,MATCH($B147,'Parametri Modello'!$A$57:$A$60,0)),"Titolare","Riserva"),"")</f>
        <v>Riserva</v>
      </c>
      <c r="AG147" t="str">
        <f>IFERROR(INDEX('Pressione Competitiva'!$F$3:$F$6,MATCH($B147,'Pressione Competitiva'!$B$3:$B$6,0)),"")</f>
        <v>🔴 Molto Alta</v>
      </c>
      <c r="AH147" t="str">
        <f t="shared" si="23"/>
        <v/>
      </c>
      <c r="AI147" t="str">
        <f>IFERROR(IF($AH147="","",IF($AH147&gt;=$AA147*'Parametri Modello'!$B$68,"🟢 Opportunita'",IF($AH147&lt;=$AA147*'Parametri Modello'!$B$69,"🔴 Sovrapprezzo","🟡 Prezzo Corretto"))),"")</f>
        <v/>
      </c>
      <c r="AJ147" t="str">
        <f t="shared" si="24"/>
        <v/>
      </c>
      <c r="AK147">
        <f t="shared" si="25"/>
        <v>19</v>
      </c>
      <c r="AL147" t="str">
        <f t="shared" si="26"/>
        <v>A|Nella Media|19</v>
      </c>
    </row>
    <row r="148" spans="1:38" ht="14.25" customHeight="1" x14ac:dyDescent="0.25">
      <c r="A148" s="18">
        <v>6814</v>
      </c>
      <c r="B148" s="18" t="s">
        <v>16</v>
      </c>
      <c r="C148" s="18" t="s">
        <v>287</v>
      </c>
      <c r="E148" s="23" t="str">
        <f>IF(COUNTIF('Info Strategia'!$D$2:$D$51,$C148)&gt;0,"SI","NO")</f>
        <v>NO</v>
      </c>
      <c r="F148" s="24">
        <f>IFERROR(ROUND(($G148+($H148-$G148)*'Info Strategia'!$B$6)*(1+IF($E148="SI",'Parametri Modello'!$B$7*'Info Strategia'!$B$6,0)),0),"")</f>
        <v>4</v>
      </c>
      <c r="G148" s="24">
        <f>IFERROR(ROUND(MAX(1,(IF($V148&lt;=INDEX('Parametri Modello'!$C$57:$C$60,MATCH($B148,'Parametri Modello'!$A$57:$A$60,0)),IF(INDEX('Parametri Modello'!$E$57:$E$60,MATCH($B148,'Parametri Modello'!$A$57:$A$60,0))=0,0,($O148/INDEX('Parametri Modello'!$E$57:$E$60,MATCH($B148,'Parametri Modello'!$A$57:$A$60,0)))*(INDEX('Parametri Modello'!$D$57:$D$60,MATCH($B148,'Parametri Modello'!$A$57:$A$60,0))*(INDEX('Parametri Modello'!$B$50:$B$53,MATCH($B148,'Parametri Modello'!$A$50:$A$53,0))*'Parametri Modello'!$B$44))),IF(INDEX('Parametri Modello'!$F$57:$F$60,MATCH($B148,'Parametri Modello'!$A$57:$A$60,0))=0,0,($O148/INDEX('Parametri Modello'!$F$57:$F$60,MATCH($B148,'Parametri Modello'!$A$57:$A$60,0)))*((1-INDEX('Parametri Modello'!$D$57:$D$60,MATCH($B148,'Parametri Modello'!$A$57:$A$60,0)))*(INDEX('Parametri Modello'!$B$50:$B$53,MATCH($B148,'Parametri Modello'!$A$50:$A$53,0))*'Parametri Modello'!$B$44))))*(1+IF(IF($B148="D",'Info Lega'!$B$25,IF($B148="C",'Info Lega'!$B$26,"No"))="Si",'Parametri Modello'!$B$5,0))*(1+MAX(-0.25,MIN(0.25,IF(OR($T148="",$I148="",$I148=0,INDEX('Parametri Modello'!$B$19:$B$22,MATCH($B148,'Parametri Modello'!$A$19:$A$22,0))="",INDEX('Parametri Modello'!$B$19:$B$22,MATCH($B148,'Parametri Modello'!$A$19:$A$22,0))=0),0,(($T148-INDEX('Parametri Modello'!$B$19:$B$22,MATCH($B148,'Parametri Modello'!$A$19:$A$22,0)))/INDEX('Parametri Modello'!$B$19:$B$22,MATCH($B148,'Parametri Modello'!$A$19:$A$22,0)))*'Parametri Modello'!$B$9))))*(1+IF('Parametri Modello'!$B$27="Si",MAX(-'Parametri Modello'!$B$28,MIN('Parametri Modello'!$B$28*1.5,IF(OR(INDEX('Parametri Modello'!$F$32:$F$35,MATCH($B148,'Parametri Modello'!$A$32:$A$35,0))="",INDEX('Parametri Modello'!$F$32:$F$35,MATCH($B148,'Parametri Modello'!$A$32:$A$35,0))=0),0,(1/INDEX('Parametri Modello'!$F$32:$F$35,MATCH($B148,'Parametri Modello'!$A$32:$A$35,0))-1)*'Parametri Modello'!$B$28))),0)))*(1-INDEX('Parametri Modello'!$B$12:$B$15,MATCH($B148,'Parametri Modello'!$A$12:$A$15,0)))),0),"")</f>
        <v>3</v>
      </c>
      <c r="H148" s="24">
        <f>IFERROR(ROUND((IF($V148&lt;=INDEX('Parametri Modello'!$C$57:$C$60,MATCH($B148,'Parametri Modello'!$A$57:$A$60,0)),IF(INDEX('Parametri Modello'!$E$57:$E$60,MATCH($B148,'Parametri Modello'!$A$57:$A$60,0))=0,0,($O148/INDEX('Parametri Modello'!$E$57:$E$60,MATCH($B148,'Parametri Modello'!$A$57:$A$60,0)))*(INDEX('Parametri Modello'!$D$57:$D$60,MATCH($B148,'Parametri Modello'!$A$57:$A$60,0))*(INDEX('Parametri Modello'!$B$50:$B$53,MATCH($B148,'Parametri Modello'!$A$50:$A$53,0))*'Parametri Modello'!$B$44))),IF(INDEX('Parametri Modello'!$F$57:$F$60,MATCH($B148,'Parametri Modello'!$A$57:$A$60,0))=0,0,($O148/INDEX('Parametri Modello'!$F$57:$F$60,MATCH($B148,'Parametri Modello'!$A$57:$A$60,0)))*((1-INDEX('Parametri Modello'!$D$57:$D$60,MATCH($B148,'Parametri Modello'!$A$57:$A$60,0)))*(INDEX('Parametri Modello'!$B$50:$B$53,MATCH($B148,'Parametri Modello'!$A$50:$A$53,0))*'Parametri Modello'!$B$44))))*(1+IF(IF($B148="D",'Info Lega'!$B$25,IF($B148="C",'Info Lega'!$B$26,"No"))="Si",'Parametri Modello'!$B$5,0))*(1+MAX(-0.25,MIN(0.25,IF(OR($T148="",$I148="",$I148=0,INDEX('Parametri Modello'!$B$19:$B$22,MATCH($B148,'Parametri Modello'!$A$19:$A$22,0))="",INDEX('Parametri Modello'!$B$19:$B$22,MATCH($B148,'Parametri Modello'!$A$19:$A$22,0))=0),0,(($T148-INDEX('Parametri Modello'!$B$19:$B$22,MATCH($B148,'Parametri Modello'!$A$19:$A$22,0)))/INDEX('Parametri Modello'!$B$19:$B$22,MATCH($B148,'Parametri Modello'!$A$19:$A$22,0)))*'Parametri Modello'!$B$9))))*(1+IF('Parametri Modello'!$B$27="Si",MAX(-'Parametri Modello'!$B$28,MIN('Parametri Modello'!$B$28*1.5,IF(OR(INDEX('Parametri Modello'!$F$32:$F$35,MATCH($B148,'Parametri Modello'!$A$32:$A$35,0))="",INDEX('Parametri Modello'!$F$32:$F$35,MATCH($B148,'Parametri Modello'!$A$32:$A$35,0))=0),0,(1/INDEX('Parametri Modello'!$F$32:$F$35,MATCH($B148,'Parametri Modello'!$A$32:$A$35,0))-1)*'Parametri Modello'!$B$28))),0)))*(1+INDEX('Parametri Modello'!$B$12:$B$15,MATCH($B148,'Parametri Modello'!$A$12:$A$15,0))),0),"")</f>
        <v>4</v>
      </c>
      <c r="I148" s="23">
        <f>IFERROR(INDEX('Input Statistiche 2025_26'!$F$3:$F$665,MATCH($A148,'Input Statistiche 2025_26'!$A$3:$A$665,0)),"")</f>
        <v>27</v>
      </c>
      <c r="J148" s="23">
        <f t="shared" si="18"/>
        <v>11</v>
      </c>
      <c r="K148" s="23">
        <f>IFERROR(INDEX('Input Statistiche 2025_26'!$I$3:$I$665,MATCH($A148,'Input Statistiche 2025_26'!$A$3:$A$665,0)),"")</f>
        <v>2</v>
      </c>
      <c r="L148" s="23">
        <f>IFERROR(INDEX('Input Statistiche 2025_26'!$O$3:$O$665,MATCH($A148,'Input Statistiche 2025_26'!$A$3:$A$665,0)),"")</f>
        <v>1</v>
      </c>
      <c r="M148" s="25"/>
      <c r="N148" s="24">
        <f>IFERROR(INDEX('Input Giocatori 2026_27'!$E$3:$E$493,MATCH($A148,'Input Giocatori 2026_27'!$A$3:$A$493,0)),"")</f>
        <v>8</v>
      </c>
      <c r="O148" s="24">
        <f>IFERROR(INDEX('Input Giocatori 2026_27'!$G$3:$G$493,MATCH($A148,'Input Giocatori 2026_27'!$A$3:$A$493,0)),"")</f>
        <v>22</v>
      </c>
      <c r="P148" s="23" t="str">
        <f>IFERROR(IF($O148="","",IF((1-(COUNTIFS($B$2:$B$492,$B148,$O$2:$O$492,"&gt;"&amp;$O148)+1-1)/COUNTIF($B$2:$B$492,$B148))&gt;='Parametri Modello'!$B$63,"Top",IF((1-(COUNTIFS($B$2:$B$492,$B148,$O$2:$O$492,"&gt;"&amp;$O148)+1-1)/COUNTIF($B$2:$B$492,$B148))&gt;='Parametri Modello'!$B$64,"Buono",IF((1-(COUNTIFS($B$2:$B$492,$B148,$O$2:$O$492,"&gt;"&amp;$O148)+1-1)/COUNTIF($B$2:$B$492,$B148))&gt;='Parametri Modello'!$B$65,"Nella Media","Scommessa/Riserva")))),"")</f>
        <v>Buono</v>
      </c>
      <c r="Q148" s="26">
        <f>IF(AND($D148="",$N148&gt;1),SUMPRODUCT(($D$2:$D148="")*($N$2:$N148&gt;1)),"")</f>
        <v>147</v>
      </c>
      <c r="R148" s="26" t="str">
        <f>IF($D148='Info Lega'!$B$28,COUNTIFS($D$2:$D148,'Info Lega'!$B$28),"")</f>
        <v/>
      </c>
      <c r="S148" s="27">
        <f>IFERROR(INDEX('Input Statistiche 2025_26'!$G$3:$G$665,MATCH($A148,'Input Statistiche 2025_26'!$A$3:$A$665,0)),"")</f>
        <v>5.93</v>
      </c>
      <c r="T148" s="27">
        <f>IFERROR(INDEX('Input Statistiche 2025_26'!$H$3:$H$665,MATCH($A148,'Input Statistiche 2025_26'!$A$3:$A$665,0)),"")</f>
        <v>6.09</v>
      </c>
      <c r="U148" s="23" t="str">
        <f>IF(OR('La Mia Rosa'!$O$12="",$D148&lt;&gt;""),"",IF($F148&lt;='La Mia Rosa'!$O$12*'Parametri Modello'!$B$24,"OK",IF($F148&lt;='La Mia Rosa'!$O$12*'Parametri Modello'!$B$25,"Attenzione","Rischio Alto")))</f>
        <v>OK</v>
      </c>
      <c r="V148" s="23">
        <f t="shared" si="19"/>
        <v>34</v>
      </c>
      <c r="W148" s="18">
        <f>'Info Lega'!$B$4-SUMIFS($M$2:$M$492,$D$2:$D$492,'Info Lega'!$B$28)</f>
        <v>1000</v>
      </c>
      <c r="X148" s="18">
        <f>('Info Lega'!$B$5-COUNTIFS($D$2:$D$492,'Info Lega'!$B$28,$B$2:$B$492,"P"))+('Info Lega'!$B$6-COUNTIFS($D$2:$D$492,'Info Lega'!$B$28,$B$2:$B$492,"D"))+('Info Lega'!$B$7-COUNTIFS($D$2:$D$492,'Info Lega'!$B$28,$B$2:$B$492,"C"))+('Info Lega'!$B$8-COUNTIFS($D$2:$D$492,'Info Lega'!$B$28,$B$2:$B$492,"A"))</f>
        <v>25</v>
      </c>
      <c r="Y148" s="18">
        <f>X148*'Parametri Modello'!$B$30</f>
        <v>25</v>
      </c>
      <c r="Z148" s="18">
        <f t="shared" si="20"/>
        <v>975</v>
      </c>
      <c r="AA148" s="18">
        <f t="shared" si="21"/>
        <v>4</v>
      </c>
      <c r="AB148" s="18"/>
      <c r="AC148" s="18" t="str">
        <f>IF($AB148="","",IF($AB148&gt;$AA148,"PASS",IF($AB148&lt;=$AA148*(1-'Parametri Modello'!$B$68),"BID","ATTENZIONE")))</f>
        <v/>
      </c>
      <c r="AD148" s="28">
        <f t="shared" si="22"/>
        <v>59</v>
      </c>
      <c r="AE148" s="5" t="str">
        <f>IFERROR(INDEX('Stato Asta'!$G$9:$G$12,MATCH($B148,'Stato Asta'!$A$9:$A$12,0)),"")</f>
        <v>🔴 Non aspettare</v>
      </c>
      <c r="AF148" t="str">
        <f>IFERROR(IF($V148&lt;=INDEX('Parametri Modello'!$C$57:$C$60,MATCH($B148,'Parametri Modello'!$A$57:$A$60,0)),"Titolare","Riserva"),"")</f>
        <v>Riserva</v>
      </c>
      <c r="AG148" t="str">
        <f>IFERROR(INDEX('Pressione Competitiva'!$F$3:$F$6,MATCH($B148,'Pressione Competitiva'!$B$3:$B$6,0)),"")</f>
        <v>🔴 Molto Alta</v>
      </c>
      <c r="AH148" t="str">
        <f t="shared" si="23"/>
        <v/>
      </c>
      <c r="AI148" t="str">
        <f>IFERROR(IF($AH148="","",IF($AH148&gt;=$AA148*'Parametri Modello'!$B$68,"🟢 Opportunita'",IF($AH148&lt;=$AA148*'Parametri Modello'!$B$69,"🔴 Sovrapprezzo","🟡 Prezzo Corretto"))),"")</f>
        <v/>
      </c>
      <c r="AJ148" t="str">
        <f t="shared" si="24"/>
        <v/>
      </c>
      <c r="AK148">
        <f t="shared" si="25"/>
        <v>16</v>
      </c>
      <c r="AL148" t="str">
        <f t="shared" si="26"/>
        <v>D|Buono|16</v>
      </c>
    </row>
    <row r="149" spans="1:38" ht="14.25" customHeight="1" x14ac:dyDescent="0.25">
      <c r="A149" s="18">
        <v>6320</v>
      </c>
      <c r="B149" s="18" t="s">
        <v>16</v>
      </c>
      <c r="C149" s="18" t="s">
        <v>288</v>
      </c>
      <c r="E149" s="23" t="str">
        <f>IF(COUNTIF('Info Strategia'!$D$2:$D$51,$C149)&gt;0,"SI","NO")</f>
        <v>NO</v>
      </c>
      <c r="F149" s="24">
        <f>IFERROR(ROUND(($G149+($H149-$G149)*'Info Strategia'!$B$6)*(1+IF($E149="SI",'Parametri Modello'!$B$7*'Info Strategia'!$B$6,0)),0),"")</f>
        <v>4</v>
      </c>
      <c r="G149" s="24">
        <f>IFERROR(ROUND(MAX(1,(IF($V149&lt;=INDEX('Parametri Modello'!$C$57:$C$60,MATCH($B149,'Parametri Modello'!$A$57:$A$60,0)),IF(INDEX('Parametri Modello'!$E$57:$E$60,MATCH($B149,'Parametri Modello'!$A$57:$A$60,0))=0,0,($O149/INDEX('Parametri Modello'!$E$57:$E$60,MATCH($B149,'Parametri Modello'!$A$57:$A$60,0)))*(INDEX('Parametri Modello'!$D$57:$D$60,MATCH($B149,'Parametri Modello'!$A$57:$A$60,0))*(INDEX('Parametri Modello'!$B$50:$B$53,MATCH($B149,'Parametri Modello'!$A$50:$A$53,0))*'Parametri Modello'!$B$44))),IF(INDEX('Parametri Modello'!$F$57:$F$60,MATCH($B149,'Parametri Modello'!$A$57:$A$60,0))=0,0,($O149/INDEX('Parametri Modello'!$F$57:$F$60,MATCH($B149,'Parametri Modello'!$A$57:$A$60,0)))*((1-INDEX('Parametri Modello'!$D$57:$D$60,MATCH($B149,'Parametri Modello'!$A$57:$A$60,0)))*(INDEX('Parametri Modello'!$B$50:$B$53,MATCH($B149,'Parametri Modello'!$A$50:$A$53,0))*'Parametri Modello'!$B$44))))*(1+IF(IF($B149="D",'Info Lega'!$B$25,IF($B149="C",'Info Lega'!$B$26,"No"))="Si",'Parametri Modello'!$B$5,0))*(1+MAX(-0.25,MIN(0.25,IF(OR($T149="",$I149="",$I149=0,INDEX('Parametri Modello'!$B$19:$B$22,MATCH($B149,'Parametri Modello'!$A$19:$A$22,0))="",INDEX('Parametri Modello'!$B$19:$B$22,MATCH($B149,'Parametri Modello'!$A$19:$A$22,0))=0),0,(($T149-INDEX('Parametri Modello'!$B$19:$B$22,MATCH($B149,'Parametri Modello'!$A$19:$A$22,0)))/INDEX('Parametri Modello'!$B$19:$B$22,MATCH($B149,'Parametri Modello'!$A$19:$A$22,0)))*'Parametri Modello'!$B$9))))*(1+IF('Parametri Modello'!$B$27="Si",MAX(-'Parametri Modello'!$B$28,MIN('Parametri Modello'!$B$28*1.5,IF(OR(INDEX('Parametri Modello'!$F$32:$F$35,MATCH($B149,'Parametri Modello'!$A$32:$A$35,0))="",INDEX('Parametri Modello'!$F$32:$F$35,MATCH($B149,'Parametri Modello'!$A$32:$A$35,0))=0),0,(1/INDEX('Parametri Modello'!$F$32:$F$35,MATCH($B149,'Parametri Modello'!$A$32:$A$35,0))-1)*'Parametri Modello'!$B$28))),0)))*(1-INDEX('Parametri Modello'!$B$12:$B$15,MATCH($B149,'Parametri Modello'!$A$12:$A$15,0)))),0),"")</f>
        <v>3</v>
      </c>
      <c r="H149" s="24">
        <f>IFERROR(ROUND((IF($V149&lt;=INDEX('Parametri Modello'!$C$57:$C$60,MATCH($B149,'Parametri Modello'!$A$57:$A$60,0)),IF(INDEX('Parametri Modello'!$E$57:$E$60,MATCH($B149,'Parametri Modello'!$A$57:$A$60,0))=0,0,($O149/INDEX('Parametri Modello'!$E$57:$E$60,MATCH($B149,'Parametri Modello'!$A$57:$A$60,0)))*(INDEX('Parametri Modello'!$D$57:$D$60,MATCH($B149,'Parametri Modello'!$A$57:$A$60,0))*(INDEX('Parametri Modello'!$B$50:$B$53,MATCH($B149,'Parametri Modello'!$A$50:$A$53,0))*'Parametri Modello'!$B$44))),IF(INDEX('Parametri Modello'!$F$57:$F$60,MATCH($B149,'Parametri Modello'!$A$57:$A$60,0))=0,0,($O149/INDEX('Parametri Modello'!$F$57:$F$60,MATCH($B149,'Parametri Modello'!$A$57:$A$60,0)))*((1-INDEX('Parametri Modello'!$D$57:$D$60,MATCH($B149,'Parametri Modello'!$A$57:$A$60,0)))*(INDEX('Parametri Modello'!$B$50:$B$53,MATCH($B149,'Parametri Modello'!$A$50:$A$53,0))*'Parametri Modello'!$B$44))))*(1+IF(IF($B149="D",'Info Lega'!$B$25,IF($B149="C",'Info Lega'!$B$26,"No"))="Si",'Parametri Modello'!$B$5,0))*(1+MAX(-0.25,MIN(0.25,IF(OR($T149="",$I149="",$I149=0,INDEX('Parametri Modello'!$B$19:$B$22,MATCH($B149,'Parametri Modello'!$A$19:$A$22,0))="",INDEX('Parametri Modello'!$B$19:$B$22,MATCH($B149,'Parametri Modello'!$A$19:$A$22,0))=0),0,(($T149-INDEX('Parametri Modello'!$B$19:$B$22,MATCH($B149,'Parametri Modello'!$A$19:$A$22,0)))/INDEX('Parametri Modello'!$B$19:$B$22,MATCH($B149,'Parametri Modello'!$A$19:$A$22,0)))*'Parametri Modello'!$B$9))))*(1+IF('Parametri Modello'!$B$27="Si",MAX(-'Parametri Modello'!$B$28,MIN('Parametri Modello'!$B$28*1.5,IF(OR(INDEX('Parametri Modello'!$F$32:$F$35,MATCH($B149,'Parametri Modello'!$A$32:$A$35,0))="",INDEX('Parametri Modello'!$F$32:$F$35,MATCH($B149,'Parametri Modello'!$A$32:$A$35,0))=0),0,(1/INDEX('Parametri Modello'!$F$32:$F$35,MATCH($B149,'Parametri Modello'!$A$32:$A$35,0))-1)*'Parametri Modello'!$B$28))),0)))*(1+INDEX('Parametri Modello'!$B$12:$B$15,MATCH($B149,'Parametri Modello'!$A$12:$A$15,0))),0),"")</f>
        <v>4</v>
      </c>
      <c r="I149" s="23" t="str">
        <f>IFERROR(INDEX('Input Statistiche 2025_26'!$F$3:$F$665,MATCH($A149,'Input Statistiche 2025_26'!$A$3:$A$665,0)),"")</f>
        <v/>
      </c>
      <c r="J149" s="23" t="str">
        <f t="shared" si="18"/>
        <v/>
      </c>
      <c r="K149" s="23" t="str">
        <f>IFERROR(INDEX('Input Statistiche 2025_26'!$I$3:$I$665,MATCH($A149,'Input Statistiche 2025_26'!$A$3:$A$665,0)),"")</f>
        <v/>
      </c>
      <c r="L149" s="23" t="str">
        <f>IFERROR(INDEX('Input Statistiche 2025_26'!$O$3:$O$665,MATCH($A149,'Input Statistiche 2025_26'!$A$3:$A$665,0)),"")</f>
        <v/>
      </c>
      <c r="M149" s="25"/>
      <c r="N149" s="24">
        <f>IFERROR(INDEX('Input Giocatori 2026_27'!$E$3:$E$493,MATCH($A149,'Input Giocatori 2026_27'!$A$3:$A$493,0)),"")</f>
        <v>7</v>
      </c>
      <c r="O149" s="24">
        <f>IFERROR(INDEX('Input Giocatori 2026_27'!$G$3:$G$493,MATCH($A149,'Input Giocatori 2026_27'!$A$3:$A$493,0)),"")</f>
        <v>22</v>
      </c>
      <c r="P149" s="23" t="str">
        <f>IFERROR(IF($O149="","",IF((1-(COUNTIFS($B$2:$B$492,$B149,$O$2:$O$492,"&gt;"&amp;$O149)+1-1)/COUNTIF($B$2:$B$492,$B149))&gt;='Parametri Modello'!$B$63,"Top",IF((1-(COUNTIFS($B$2:$B$492,$B149,$O$2:$O$492,"&gt;"&amp;$O149)+1-1)/COUNTIF($B$2:$B$492,$B149))&gt;='Parametri Modello'!$B$64,"Buono",IF((1-(COUNTIFS($B$2:$B$492,$B149,$O$2:$O$492,"&gt;"&amp;$O149)+1-1)/COUNTIF($B$2:$B$492,$B149))&gt;='Parametri Modello'!$B$65,"Nella Media","Scommessa/Riserva")))),"")</f>
        <v>Buono</v>
      </c>
      <c r="Q149" s="26">
        <f>IF(AND($D149="",$N149&gt;1),SUMPRODUCT(($D$2:$D149="")*($N$2:$N149&gt;1)),"")</f>
        <v>148</v>
      </c>
      <c r="R149" s="26" t="str">
        <f>IF($D149='Info Lega'!$B$28,COUNTIFS($D$2:$D149,'Info Lega'!$B$28),"")</f>
        <v/>
      </c>
      <c r="S149" s="27" t="str">
        <f>IFERROR(INDEX('Input Statistiche 2025_26'!$G$3:$G$665,MATCH($A149,'Input Statistiche 2025_26'!$A$3:$A$665,0)),"")</f>
        <v/>
      </c>
      <c r="T149" s="27" t="str">
        <f>IFERROR(INDEX('Input Statistiche 2025_26'!$H$3:$H$665,MATCH($A149,'Input Statistiche 2025_26'!$A$3:$A$665,0)),"")</f>
        <v/>
      </c>
      <c r="U149" s="23" t="str">
        <f>IF(OR('La Mia Rosa'!$O$12="",$D149&lt;&gt;""),"",IF($F149&lt;='La Mia Rosa'!$O$12*'Parametri Modello'!$B$24,"OK",IF($F149&lt;='La Mia Rosa'!$O$12*'Parametri Modello'!$B$25,"Attenzione","Rischio Alto")))</f>
        <v>OK</v>
      </c>
      <c r="V149" s="23">
        <f t="shared" si="19"/>
        <v>34</v>
      </c>
      <c r="W149" s="18">
        <f>'Info Lega'!$B$4-SUMIFS($M$2:$M$492,$D$2:$D$492,'Info Lega'!$B$28)</f>
        <v>1000</v>
      </c>
      <c r="X149" s="18">
        <f>('Info Lega'!$B$5-COUNTIFS($D$2:$D$492,'Info Lega'!$B$28,$B$2:$B$492,"P"))+('Info Lega'!$B$6-COUNTIFS($D$2:$D$492,'Info Lega'!$B$28,$B$2:$B$492,"D"))+('Info Lega'!$B$7-COUNTIFS($D$2:$D$492,'Info Lega'!$B$28,$B$2:$B$492,"C"))+('Info Lega'!$B$8-COUNTIFS($D$2:$D$492,'Info Lega'!$B$28,$B$2:$B$492,"A"))</f>
        <v>25</v>
      </c>
      <c r="Y149" s="18">
        <f>X149*'Parametri Modello'!$B$30</f>
        <v>25</v>
      </c>
      <c r="Z149" s="18">
        <f t="shared" si="20"/>
        <v>975</v>
      </c>
      <c r="AA149" s="18">
        <f t="shared" si="21"/>
        <v>4</v>
      </c>
      <c r="AB149" s="18"/>
      <c r="AC149" s="18" t="str">
        <f>IF($AB149="","",IF($AB149&gt;$AA149,"PASS",IF($AB149&lt;=$AA149*(1-'Parametri Modello'!$B$68),"BID","ATTENZIONE")))</f>
        <v/>
      </c>
      <c r="AD149" s="28" t="str">
        <f t="shared" si="22"/>
        <v/>
      </c>
      <c r="AE149" s="5" t="str">
        <f>IFERROR(INDEX('Stato Asta'!$G$9:$G$12,MATCH($B149,'Stato Asta'!$A$9:$A$12,0)),"")</f>
        <v>🔴 Non aspettare</v>
      </c>
      <c r="AF149" t="str">
        <f>IFERROR(IF($V149&lt;=INDEX('Parametri Modello'!$C$57:$C$60,MATCH($B149,'Parametri Modello'!$A$57:$A$60,0)),"Titolare","Riserva"),"")</f>
        <v>Riserva</v>
      </c>
      <c r="AG149" t="str">
        <f>IFERROR(INDEX('Pressione Competitiva'!$F$3:$F$6,MATCH($B149,'Pressione Competitiva'!$B$3:$B$6,0)),"")</f>
        <v>🔴 Molto Alta</v>
      </c>
      <c r="AH149" t="str">
        <f t="shared" si="23"/>
        <v/>
      </c>
      <c r="AI149" t="str">
        <f>IFERROR(IF($AH149="","",IF($AH149&gt;=$AA149*'Parametri Modello'!$B$68,"🟢 Opportunita'",IF($AH149&lt;=$AA149*'Parametri Modello'!$B$69,"🔴 Sovrapprezzo","🟡 Prezzo Corretto"))),"")</f>
        <v/>
      </c>
      <c r="AJ149" t="str">
        <f t="shared" si="24"/>
        <v/>
      </c>
      <c r="AK149">
        <f t="shared" si="25"/>
        <v>16</v>
      </c>
      <c r="AL149" t="str">
        <f t="shared" si="26"/>
        <v>D|Buono|16</v>
      </c>
    </row>
    <row r="150" spans="1:38" ht="14.25" customHeight="1" x14ac:dyDescent="0.25">
      <c r="A150" s="18">
        <v>2765</v>
      </c>
      <c r="B150" s="18" t="s">
        <v>17</v>
      </c>
      <c r="C150" s="18" t="s">
        <v>289</v>
      </c>
      <c r="E150" s="23" t="str">
        <f>IF(COUNTIF('Info Strategia'!$D$2:$D$51,$C150)&gt;0,"SI","NO")</f>
        <v>NO</v>
      </c>
      <c r="F150" s="24">
        <f>IFERROR(ROUND(($G150+($H150-$G150)*'Info Strategia'!$B$6)*(1+IF($E150="SI",'Parametri Modello'!$B$7*'Info Strategia'!$B$6,0)),0),"")</f>
        <v>3</v>
      </c>
      <c r="G150" s="24">
        <f>IFERROR(ROUND(MAX(1,(IF($V150&lt;=INDEX('Parametri Modello'!$C$57:$C$60,MATCH($B150,'Parametri Modello'!$A$57:$A$60,0)),IF(INDEX('Parametri Modello'!$E$57:$E$60,MATCH($B150,'Parametri Modello'!$A$57:$A$60,0))=0,0,($O150/INDEX('Parametri Modello'!$E$57:$E$60,MATCH($B150,'Parametri Modello'!$A$57:$A$60,0)))*(INDEX('Parametri Modello'!$D$57:$D$60,MATCH($B150,'Parametri Modello'!$A$57:$A$60,0))*(INDEX('Parametri Modello'!$B$50:$B$53,MATCH($B150,'Parametri Modello'!$A$50:$A$53,0))*'Parametri Modello'!$B$44))),IF(INDEX('Parametri Modello'!$F$57:$F$60,MATCH($B150,'Parametri Modello'!$A$57:$A$60,0))=0,0,($O150/INDEX('Parametri Modello'!$F$57:$F$60,MATCH($B150,'Parametri Modello'!$A$57:$A$60,0)))*((1-INDEX('Parametri Modello'!$D$57:$D$60,MATCH($B150,'Parametri Modello'!$A$57:$A$60,0)))*(INDEX('Parametri Modello'!$B$50:$B$53,MATCH($B150,'Parametri Modello'!$A$50:$A$53,0))*'Parametri Modello'!$B$44))))*(1+IF(IF($B150="D",'Info Lega'!$B$25,IF($B150="C",'Info Lega'!$B$26,"No"))="Si",'Parametri Modello'!$B$5,0))*(1+MAX(-0.25,MIN(0.25,IF(OR($T150="",$I150="",$I150=0,INDEX('Parametri Modello'!$B$19:$B$22,MATCH($B150,'Parametri Modello'!$A$19:$A$22,0))="",INDEX('Parametri Modello'!$B$19:$B$22,MATCH($B150,'Parametri Modello'!$A$19:$A$22,0))=0),0,(($T150-INDEX('Parametri Modello'!$B$19:$B$22,MATCH($B150,'Parametri Modello'!$A$19:$A$22,0)))/INDEX('Parametri Modello'!$B$19:$B$22,MATCH($B150,'Parametri Modello'!$A$19:$A$22,0)))*'Parametri Modello'!$B$9))))*(1+IF('Parametri Modello'!$B$27="Si",MAX(-'Parametri Modello'!$B$28,MIN('Parametri Modello'!$B$28*1.5,IF(OR(INDEX('Parametri Modello'!$F$32:$F$35,MATCH($B150,'Parametri Modello'!$A$32:$A$35,0))="",INDEX('Parametri Modello'!$F$32:$F$35,MATCH($B150,'Parametri Modello'!$A$32:$A$35,0))=0),0,(1/INDEX('Parametri Modello'!$F$32:$F$35,MATCH($B150,'Parametri Modello'!$A$32:$A$35,0))-1)*'Parametri Modello'!$B$28))),0)))*(1-INDEX('Parametri Modello'!$B$12:$B$15,MATCH($B150,'Parametri Modello'!$A$12:$A$15,0)))),0),"")</f>
        <v>2</v>
      </c>
      <c r="H150" s="24">
        <f>IFERROR(ROUND((IF($V150&lt;=INDEX('Parametri Modello'!$C$57:$C$60,MATCH($B150,'Parametri Modello'!$A$57:$A$60,0)),IF(INDEX('Parametri Modello'!$E$57:$E$60,MATCH($B150,'Parametri Modello'!$A$57:$A$60,0))=0,0,($O150/INDEX('Parametri Modello'!$E$57:$E$60,MATCH($B150,'Parametri Modello'!$A$57:$A$60,0)))*(INDEX('Parametri Modello'!$D$57:$D$60,MATCH($B150,'Parametri Modello'!$A$57:$A$60,0))*(INDEX('Parametri Modello'!$B$50:$B$53,MATCH($B150,'Parametri Modello'!$A$50:$A$53,0))*'Parametri Modello'!$B$44))),IF(INDEX('Parametri Modello'!$F$57:$F$60,MATCH($B150,'Parametri Modello'!$A$57:$A$60,0))=0,0,($O150/INDEX('Parametri Modello'!$F$57:$F$60,MATCH($B150,'Parametri Modello'!$A$57:$A$60,0)))*((1-INDEX('Parametri Modello'!$D$57:$D$60,MATCH($B150,'Parametri Modello'!$A$57:$A$60,0)))*(INDEX('Parametri Modello'!$B$50:$B$53,MATCH($B150,'Parametri Modello'!$A$50:$A$53,0))*'Parametri Modello'!$B$44))))*(1+IF(IF($B150="D",'Info Lega'!$B$25,IF($B150="C",'Info Lega'!$B$26,"No"))="Si",'Parametri Modello'!$B$5,0))*(1+MAX(-0.25,MIN(0.25,IF(OR($T150="",$I150="",$I150=0,INDEX('Parametri Modello'!$B$19:$B$22,MATCH($B150,'Parametri Modello'!$A$19:$A$22,0))="",INDEX('Parametri Modello'!$B$19:$B$22,MATCH($B150,'Parametri Modello'!$A$19:$A$22,0))=0),0,(($T150-INDEX('Parametri Modello'!$B$19:$B$22,MATCH($B150,'Parametri Modello'!$A$19:$A$22,0)))/INDEX('Parametri Modello'!$B$19:$B$22,MATCH($B150,'Parametri Modello'!$A$19:$A$22,0)))*'Parametri Modello'!$B$9))))*(1+IF('Parametri Modello'!$B$27="Si",MAX(-'Parametri Modello'!$B$28,MIN('Parametri Modello'!$B$28*1.5,IF(OR(INDEX('Parametri Modello'!$F$32:$F$35,MATCH($B150,'Parametri Modello'!$A$32:$A$35,0))="",INDEX('Parametri Modello'!$F$32:$F$35,MATCH($B150,'Parametri Modello'!$A$32:$A$35,0))=0),0,(1/INDEX('Parametri Modello'!$F$32:$F$35,MATCH($B150,'Parametri Modello'!$A$32:$A$35,0))-1)*'Parametri Modello'!$B$28))),0)))*(1+INDEX('Parametri Modello'!$B$12:$B$15,MATCH($B150,'Parametri Modello'!$A$12:$A$15,0))),0),"")</f>
        <v>3</v>
      </c>
      <c r="I150" s="23">
        <f>IFERROR(INDEX('Input Statistiche 2025_26'!$F$3:$F$665,MATCH($A150,'Input Statistiche 2025_26'!$A$3:$A$665,0)),"")</f>
        <v>22</v>
      </c>
      <c r="J150" s="23">
        <f t="shared" si="18"/>
        <v>16</v>
      </c>
      <c r="K150" s="23">
        <f>IFERROR(INDEX('Input Statistiche 2025_26'!$I$3:$I$665,MATCH($A150,'Input Statistiche 2025_26'!$A$3:$A$665,0)),"")</f>
        <v>5</v>
      </c>
      <c r="L150" s="23">
        <f>IFERROR(INDEX('Input Statistiche 2025_26'!$O$3:$O$665,MATCH($A150,'Input Statistiche 2025_26'!$A$3:$A$665,0)),"")</f>
        <v>1</v>
      </c>
      <c r="M150" s="25"/>
      <c r="N150" s="24">
        <f>IFERROR(INDEX('Input Giocatori 2026_27'!$E$3:$E$493,MATCH($A150,'Input Giocatori 2026_27'!$A$3:$A$493,0)),"")</f>
        <v>8</v>
      </c>
      <c r="O150" s="24">
        <f>IFERROR(INDEX('Input Giocatori 2026_27'!$G$3:$G$493,MATCH($A150,'Input Giocatori 2026_27'!$A$3:$A$493,0)),"")</f>
        <v>22</v>
      </c>
      <c r="P150" s="23" t="str">
        <f>IFERROR(IF($O150="","",IF((1-(COUNTIFS($B$2:$B$492,$B150,$O$2:$O$492,"&gt;"&amp;$O150)+1-1)/COUNTIF($B$2:$B$492,$B150))&gt;='Parametri Modello'!$B$63,"Top",IF((1-(COUNTIFS($B$2:$B$492,$B150,$O$2:$O$492,"&gt;"&amp;$O150)+1-1)/COUNTIF($B$2:$B$492,$B150))&gt;='Parametri Modello'!$B$64,"Buono",IF((1-(COUNTIFS($B$2:$B$492,$B150,$O$2:$O$492,"&gt;"&amp;$O150)+1-1)/COUNTIF($B$2:$B$492,$B150))&gt;='Parametri Modello'!$B$65,"Nella Media","Scommessa/Riserva")))),"")</f>
        <v>Nella Media</v>
      </c>
      <c r="Q150" s="26">
        <f>IF(AND($D150="",$N150&gt;1),SUMPRODUCT(($D$2:$D150="")*($N$2:$N150&gt;1)),"")</f>
        <v>149</v>
      </c>
      <c r="R150" s="26" t="str">
        <f>IF($D150='Info Lega'!$B$28,COUNTIFS($D$2:$D150,'Info Lega'!$B$28),"")</f>
        <v/>
      </c>
      <c r="S150" s="27">
        <f>IFERROR(INDEX('Input Statistiche 2025_26'!$G$3:$G$665,MATCH($A150,'Input Statistiche 2025_26'!$A$3:$A$665,0)),"")</f>
        <v>5.91</v>
      </c>
      <c r="T150" s="27">
        <f>IFERROR(INDEX('Input Statistiche 2025_26'!$H$3:$H$665,MATCH($A150,'Input Statistiche 2025_26'!$A$3:$A$665,0)),"")</f>
        <v>6.61</v>
      </c>
      <c r="U150" s="23" t="str">
        <f>IF(OR('La Mia Rosa'!$O$12="",$D150&lt;&gt;""),"",IF($F150&lt;='La Mia Rosa'!$O$12*'Parametri Modello'!$B$24,"OK",IF($F150&lt;='La Mia Rosa'!$O$12*'Parametri Modello'!$B$25,"Attenzione","Rischio Alto")))</f>
        <v>OK</v>
      </c>
      <c r="V150" s="23">
        <f t="shared" si="19"/>
        <v>56</v>
      </c>
      <c r="W150" s="18">
        <f>'Info Lega'!$B$4-SUMIFS($M$2:$M$492,$D$2:$D$492,'Info Lega'!$B$28)</f>
        <v>1000</v>
      </c>
      <c r="X150" s="18">
        <f>('Info Lega'!$B$5-COUNTIFS($D$2:$D$492,'Info Lega'!$B$28,$B$2:$B$492,"P"))+('Info Lega'!$B$6-COUNTIFS($D$2:$D$492,'Info Lega'!$B$28,$B$2:$B$492,"D"))+('Info Lega'!$B$7-COUNTIFS($D$2:$D$492,'Info Lega'!$B$28,$B$2:$B$492,"C"))+('Info Lega'!$B$8-COUNTIFS($D$2:$D$492,'Info Lega'!$B$28,$B$2:$B$492,"A"))</f>
        <v>25</v>
      </c>
      <c r="Y150" s="18">
        <f>X150*'Parametri Modello'!$B$30</f>
        <v>25</v>
      </c>
      <c r="Z150" s="18">
        <f t="shared" si="20"/>
        <v>975</v>
      </c>
      <c r="AA150" s="18">
        <f t="shared" si="21"/>
        <v>3</v>
      </c>
      <c r="AB150" s="18"/>
      <c r="AC150" s="18" t="str">
        <f>IF($AB150="","",IF($AB150&gt;$AA150,"PASS",IF($AB150&lt;=$AA150*(1-'Parametri Modello'!$B$68),"BID","ATTENZIONE")))</f>
        <v/>
      </c>
      <c r="AD150" s="28">
        <f t="shared" si="22"/>
        <v>52</v>
      </c>
      <c r="AE150" s="5" t="str">
        <f>IFERROR(INDEX('Stato Asta'!$G$9:$G$12,MATCH($B150,'Stato Asta'!$A$9:$A$12,0)),"")</f>
        <v>🔴 Non aspettare</v>
      </c>
      <c r="AF150" t="str">
        <f>IFERROR(IF($V150&lt;=INDEX('Parametri Modello'!$C$57:$C$60,MATCH($B150,'Parametri Modello'!$A$57:$A$60,0)),"Titolare","Riserva"),"")</f>
        <v>Riserva</v>
      </c>
      <c r="AG150" t="str">
        <f>IFERROR(INDEX('Pressione Competitiva'!$F$3:$F$6,MATCH($B150,'Pressione Competitiva'!$B$3:$B$6,0)),"")</f>
        <v>🔴 Molto Alta</v>
      </c>
      <c r="AH150" t="str">
        <f t="shared" si="23"/>
        <v/>
      </c>
      <c r="AI150" t="str">
        <f>IFERROR(IF($AH150="","",IF($AH150&gt;=$AA150*'Parametri Modello'!$B$68,"🟢 Opportunita'",IF($AH150&lt;=$AA150*'Parametri Modello'!$B$69,"🔴 Sovrapprezzo","🟡 Prezzo Corretto"))),"")</f>
        <v/>
      </c>
      <c r="AJ150" t="str">
        <f t="shared" si="24"/>
        <v/>
      </c>
      <c r="AK150">
        <f t="shared" si="25"/>
        <v>1</v>
      </c>
      <c r="AL150" t="str">
        <f t="shared" si="26"/>
        <v>C|Nella Media|1</v>
      </c>
    </row>
    <row r="151" spans="1:38" ht="14.25" customHeight="1" x14ac:dyDescent="0.25">
      <c r="A151" s="18">
        <v>6678</v>
      </c>
      <c r="B151" s="18" t="s">
        <v>17</v>
      </c>
      <c r="C151" s="18" t="s">
        <v>290</v>
      </c>
      <c r="E151" s="23" t="str">
        <f>IF(COUNTIF('Info Strategia'!$D$2:$D$51,$C151)&gt;0,"SI","NO")</f>
        <v>NO</v>
      </c>
      <c r="F151" s="24">
        <f>IFERROR(ROUND(($G151+($H151-$G151)*'Info Strategia'!$B$6)*(1+IF($E151="SI",'Parametri Modello'!$B$7*'Info Strategia'!$B$6,0)),0),"")</f>
        <v>3</v>
      </c>
      <c r="G151" s="24">
        <f>IFERROR(ROUND(MAX(1,(IF($V151&lt;=INDEX('Parametri Modello'!$C$57:$C$60,MATCH($B151,'Parametri Modello'!$A$57:$A$60,0)),IF(INDEX('Parametri Modello'!$E$57:$E$60,MATCH($B151,'Parametri Modello'!$A$57:$A$60,0))=0,0,($O151/INDEX('Parametri Modello'!$E$57:$E$60,MATCH($B151,'Parametri Modello'!$A$57:$A$60,0)))*(INDEX('Parametri Modello'!$D$57:$D$60,MATCH($B151,'Parametri Modello'!$A$57:$A$60,0))*(INDEX('Parametri Modello'!$B$50:$B$53,MATCH($B151,'Parametri Modello'!$A$50:$A$53,0))*'Parametri Modello'!$B$44))),IF(INDEX('Parametri Modello'!$F$57:$F$60,MATCH($B151,'Parametri Modello'!$A$57:$A$60,0))=0,0,($O151/INDEX('Parametri Modello'!$F$57:$F$60,MATCH($B151,'Parametri Modello'!$A$57:$A$60,0)))*((1-INDEX('Parametri Modello'!$D$57:$D$60,MATCH($B151,'Parametri Modello'!$A$57:$A$60,0)))*(INDEX('Parametri Modello'!$B$50:$B$53,MATCH($B151,'Parametri Modello'!$A$50:$A$53,0))*'Parametri Modello'!$B$44))))*(1+IF(IF($B151="D",'Info Lega'!$B$25,IF($B151="C",'Info Lega'!$B$26,"No"))="Si",'Parametri Modello'!$B$5,0))*(1+MAX(-0.25,MIN(0.25,IF(OR($T151="",$I151="",$I151=0,INDEX('Parametri Modello'!$B$19:$B$22,MATCH($B151,'Parametri Modello'!$A$19:$A$22,0))="",INDEX('Parametri Modello'!$B$19:$B$22,MATCH($B151,'Parametri Modello'!$A$19:$A$22,0))=0),0,(($T151-INDEX('Parametri Modello'!$B$19:$B$22,MATCH($B151,'Parametri Modello'!$A$19:$A$22,0)))/INDEX('Parametri Modello'!$B$19:$B$22,MATCH($B151,'Parametri Modello'!$A$19:$A$22,0)))*'Parametri Modello'!$B$9))))*(1+IF('Parametri Modello'!$B$27="Si",MAX(-'Parametri Modello'!$B$28,MIN('Parametri Modello'!$B$28*1.5,IF(OR(INDEX('Parametri Modello'!$F$32:$F$35,MATCH($B151,'Parametri Modello'!$A$32:$A$35,0))="",INDEX('Parametri Modello'!$F$32:$F$35,MATCH($B151,'Parametri Modello'!$A$32:$A$35,0))=0),0,(1/INDEX('Parametri Modello'!$F$32:$F$35,MATCH($B151,'Parametri Modello'!$A$32:$A$35,0))-1)*'Parametri Modello'!$B$28))),0)))*(1-INDEX('Parametri Modello'!$B$12:$B$15,MATCH($B151,'Parametri Modello'!$A$12:$A$15,0)))),0),"")</f>
        <v>2</v>
      </c>
      <c r="H151" s="24">
        <f>IFERROR(ROUND((IF($V151&lt;=INDEX('Parametri Modello'!$C$57:$C$60,MATCH($B151,'Parametri Modello'!$A$57:$A$60,0)),IF(INDEX('Parametri Modello'!$E$57:$E$60,MATCH($B151,'Parametri Modello'!$A$57:$A$60,0))=0,0,($O151/INDEX('Parametri Modello'!$E$57:$E$60,MATCH($B151,'Parametri Modello'!$A$57:$A$60,0)))*(INDEX('Parametri Modello'!$D$57:$D$60,MATCH($B151,'Parametri Modello'!$A$57:$A$60,0))*(INDEX('Parametri Modello'!$B$50:$B$53,MATCH($B151,'Parametri Modello'!$A$50:$A$53,0))*'Parametri Modello'!$B$44))),IF(INDEX('Parametri Modello'!$F$57:$F$60,MATCH($B151,'Parametri Modello'!$A$57:$A$60,0))=0,0,($O151/INDEX('Parametri Modello'!$F$57:$F$60,MATCH($B151,'Parametri Modello'!$A$57:$A$60,0)))*((1-INDEX('Parametri Modello'!$D$57:$D$60,MATCH($B151,'Parametri Modello'!$A$57:$A$60,0)))*(INDEX('Parametri Modello'!$B$50:$B$53,MATCH($B151,'Parametri Modello'!$A$50:$A$53,0))*'Parametri Modello'!$B$44))))*(1+IF(IF($B151="D",'Info Lega'!$B$25,IF($B151="C",'Info Lega'!$B$26,"No"))="Si",'Parametri Modello'!$B$5,0))*(1+MAX(-0.25,MIN(0.25,IF(OR($T151="",$I151="",$I151=0,INDEX('Parametri Modello'!$B$19:$B$22,MATCH($B151,'Parametri Modello'!$A$19:$A$22,0))="",INDEX('Parametri Modello'!$B$19:$B$22,MATCH($B151,'Parametri Modello'!$A$19:$A$22,0))=0),0,(($T151-INDEX('Parametri Modello'!$B$19:$B$22,MATCH($B151,'Parametri Modello'!$A$19:$A$22,0)))/INDEX('Parametri Modello'!$B$19:$B$22,MATCH($B151,'Parametri Modello'!$A$19:$A$22,0)))*'Parametri Modello'!$B$9))))*(1+IF('Parametri Modello'!$B$27="Si",MAX(-'Parametri Modello'!$B$28,MIN('Parametri Modello'!$B$28*1.5,IF(OR(INDEX('Parametri Modello'!$F$32:$F$35,MATCH($B151,'Parametri Modello'!$A$32:$A$35,0))="",INDEX('Parametri Modello'!$F$32:$F$35,MATCH($B151,'Parametri Modello'!$A$32:$A$35,0))=0),0,(1/INDEX('Parametri Modello'!$F$32:$F$35,MATCH($B151,'Parametri Modello'!$A$32:$A$35,0))-1)*'Parametri Modello'!$B$28))),0)))*(1+INDEX('Parametri Modello'!$B$12:$B$15,MATCH($B151,'Parametri Modello'!$A$12:$A$15,0))),0),"")</f>
        <v>3</v>
      </c>
      <c r="I151" s="23">
        <f>IFERROR(INDEX('Input Statistiche 2025_26'!$F$3:$F$665,MATCH($A151,'Input Statistiche 2025_26'!$A$3:$A$665,0)),"")</f>
        <v>0</v>
      </c>
      <c r="J151" s="23">
        <f t="shared" si="18"/>
        <v>38</v>
      </c>
      <c r="K151" s="23">
        <f>IFERROR(INDEX('Input Statistiche 2025_26'!$I$3:$I$665,MATCH($A151,'Input Statistiche 2025_26'!$A$3:$A$665,0)),"")</f>
        <v>0</v>
      </c>
      <c r="L151" s="23">
        <f>IFERROR(INDEX('Input Statistiche 2025_26'!$O$3:$O$665,MATCH($A151,'Input Statistiche 2025_26'!$A$3:$A$665,0)),"")</f>
        <v>0</v>
      </c>
      <c r="M151" s="25"/>
      <c r="N151" s="24">
        <f>IFERROR(INDEX('Input Giocatori 2026_27'!$E$3:$E$493,MATCH($A151,'Input Giocatori 2026_27'!$A$3:$A$493,0)),"")</f>
        <v>6</v>
      </c>
      <c r="O151" s="24">
        <f>IFERROR(INDEX('Input Giocatori 2026_27'!$G$3:$G$493,MATCH($A151,'Input Giocatori 2026_27'!$A$3:$A$493,0)),"")</f>
        <v>22</v>
      </c>
      <c r="P151" s="23" t="str">
        <f>IFERROR(IF($O151="","",IF((1-(COUNTIFS($B$2:$B$492,$B151,$O$2:$O$492,"&gt;"&amp;$O151)+1-1)/COUNTIF($B$2:$B$492,$B151))&gt;='Parametri Modello'!$B$63,"Top",IF((1-(COUNTIFS($B$2:$B$492,$B151,$O$2:$O$492,"&gt;"&amp;$O151)+1-1)/COUNTIF($B$2:$B$492,$B151))&gt;='Parametri Modello'!$B$64,"Buono",IF((1-(COUNTIFS($B$2:$B$492,$B151,$O$2:$O$492,"&gt;"&amp;$O151)+1-1)/COUNTIF($B$2:$B$492,$B151))&gt;='Parametri Modello'!$B$65,"Nella Media","Scommessa/Riserva")))),"")</f>
        <v>Nella Media</v>
      </c>
      <c r="Q151" s="26">
        <f>IF(AND($D151="",$N151&gt;1),SUMPRODUCT(($D$2:$D151="")*($N$2:$N151&gt;1)),"")</f>
        <v>150</v>
      </c>
      <c r="R151" s="26" t="str">
        <f>IF($D151='Info Lega'!$B$28,COUNTIFS($D$2:$D151,'Info Lega'!$B$28),"")</f>
        <v/>
      </c>
      <c r="S151" s="27">
        <f>IFERROR(INDEX('Input Statistiche 2025_26'!$G$3:$G$665,MATCH($A151,'Input Statistiche 2025_26'!$A$3:$A$665,0)),"")</f>
        <v>0</v>
      </c>
      <c r="T151" s="27">
        <f>IFERROR(INDEX('Input Statistiche 2025_26'!$H$3:$H$665,MATCH($A151,'Input Statistiche 2025_26'!$A$3:$A$665,0)),"")</f>
        <v>0</v>
      </c>
      <c r="U151" s="23" t="str">
        <f>IF(OR('La Mia Rosa'!$O$12="",$D151&lt;&gt;""),"",IF($F151&lt;='La Mia Rosa'!$O$12*'Parametri Modello'!$B$24,"OK",IF($F151&lt;='La Mia Rosa'!$O$12*'Parametri Modello'!$B$25,"Attenzione","Rischio Alto")))</f>
        <v>OK</v>
      </c>
      <c r="V151" s="23">
        <f t="shared" si="19"/>
        <v>56</v>
      </c>
      <c r="W151" s="18">
        <f>'Info Lega'!$B$4-SUMIFS($M$2:$M$492,$D$2:$D$492,'Info Lega'!$B$28)</f>
        <v>1000</v>
      </c>
      <c r="X151" s="18">
        <f>('Info Lega'!$B$5-COUNTIFS($D$2:$D$492,'Info Lega'!$B$28,$B$2:$B$492,"P"))+('Info Lega'!$B$6-COUNTIFS($D$2:$D$492,'Info Lega'!$B$28,$B$2:$B$492,"D"))+('Info Lega'!$B$7-COUNTIFS($D$2:$D$492,'Info Lega'!$B$28,$B$2:$B$492,"C"))+('Info Lega'!$B$8-COUNTIFS($D$2:$D$492,'Info Lega'!$B$28,$B$2:$B$492,"A"))</f>
        <v>25</v>
      </c>
      <c r="Y151" s="18">
        <f>X151*'Parametri Modello'!$B$30</f>
        <v>25</v>
      </c>
      <c r="Z151" s="18">
        <f t="shared" si="20"/>
        <v>975</v>
      </c>
      <c r="AA151" s="18">
        <f t="shared" si="21"/>
        <v>3</v>
      </c>
      <c r="AB151" s="18"/>
      <c r="AC151" s="18" t="str">
        <f>IF($AB151="","",IF($AB151&gt;$AA151,"PASS",IF($AB151&lt;=$AA151*(1-'Parametri Modello'!$B$68),"BID","ATTENZIONE")))</f>
        <v/>
      </c>
      <c r="AD151" s="28">
        <f t="shared" si="22"/>
        <v>0</v>
      </c>
      <c r="AE151" s="5" t="str">
        <f>IFERROR(INDEX('Stato Asta'!$G$9:$G$12,MATCH($B151,'Stato Asta'!$A$9:$A$12,0)),"")</f>
        <v>🔴 Non aspettare</v>
      </c>
      <c r="AF151" t="str">
        <f>IFERROR(IF($V151&lt;=INDEX('Parametri Modello'!$C$57:$C$60,MATCH($B151,'Parametri Modello'!$A$57:$A$60,0)),"Titolare","Riserva"),"")</f>
        <v>Riserva</v>
      </c>
      <c r="AG151" t="str">
        <f>IFERROR(INDEX('Pressione Competitiva'!$F$3:$F$6,MATCH($B151,'Pressione Competitiva'!$B$3:$B$6,0)),"")</f>
        <v>🔴 Molto Alta</v>
      </c>
      <c r="AH151" t="str">
        <f t="shared" si="23"/>
        <v/>
      </c>
      <c r="AI151" t="str">
        <f>IFERROR(IF($AH151="","",IF($AH151&gt;=$AA151*'Parametri Modello'!$B$68,"🟢 Opportunita'",IF($AH151&lt;=$AA151*'Parametri Modello'!$B$69,"🔴 Sovrapprezzo","🟡 Prezzo Corretto"))),"")</f>
        <v/>
      </c>
      <c r="AJ151" t="str">
        <f t="shared" si="24"/>
        <v/>
      </c>
      <c r="AK151">
        <f t="shared" si="25"/>
        <v>1</v>
      </c>
      <c r="AL151" t="str">
        <f t="shared" si="26"/>
        <v>C|Nella Media|1</v>
      </c>
    </row>
    <row r="152" spans="1:38" ht="14.25" customHeight="1" x14ac:dyDescent="0.25">
      <c r="A152" s="18">
        <v>6831</v>
      </c>
      <c r="B152" s="18" t="s">
        <v>18</v>
      </c>
      <c r="C152" s="18" t="s">
        <v>291</v>
      </c>
      <c r="E152" s="23" t="str">
        <f>IF(COUNTIF('Info Strategia'!$D$2:$D$51,$C152)&gt;0,"SI","NO")</f>
        <v>NO</v>
      </c>
      <c r="F152" s="24">
        <f>IFERROR(ROUND(($G152+($H152-$G152)*'Info Strategia'!$B$6)*(1+IF($E152="SI",'Parametri Modello'!$B$7*'Info Strategia'!$B$6,0)),0),"")</f>
        <v>7</v>
      </c>
      <c r="G152" s="24">
        <f>IFERROR(ROUND(MAX(1,(IF($V152&lt;=INDEX('Parametri Modello'!$C$57:$C$60,MATCH($B152,'Parametri Modello'!$A$57:$A$60,0)),IF(INDEX('Parametri Modello'!$E$57:$E$60,MATCH($B152,'Parametri Modello'!$A$57:$A$60,0))=0,0,($O152/INDEX('Parametri Modello'!$E$57:$E$60,MATCH($B152,'Parametri Modello'!$A$57:$A$60,0)))*(INDEX('Parametri Modello'!$D$57:$D$60,MATCH($B152,'Parametri Modello'!$A$57:$A$60,0))*(INDEX('Parametri Modello'!$B$50:$B$53,MATCH($B152,'Parametri Modello'!$A$50:$A$53,0))*'Parametri Modello'!$B$44))),IF(INDEX('Parametri Modello'!$F$57:$F$60,MATCH($B152,'Parametri Modello'!$A$57:$A$60,0))=0,0,($O152/INDEX('Parametri Modello'!$F$57:$F$60,MATCH($B152,'Parametri Modello'!$A$57:$A$60,0)))*((1-INDEX('Parametri Modello'!$D$57:$D$60,MATCH($B152,'Parametri Modello'!$A$57:$A$60,0)))*(INDEX('Parametri Modello'!$B$50:$B$53,MATCH($B152,'Parametri Modello'!$A$50:$A$53,0))*'Parametri Modello'!$B$44))))*(1+IF(IF($B152="D",'Info Lega'!$B$25,IF($B152="C",'Info Lega'!$B$26,"No"))="Si",'Parametri Modello'!$B$5,0))*(1+MAX(-0.25,MIN(0.25,IF(OR($T152="",$I152="",$I152=0,INDEX('Parametri Modello'!$B$19:$B$22,MATCH($B152,'Parametri Modello'!$A$19:$A$22,0))="",INDEX('Parametri Modello'!$B$19:$B$22,MATCH($B152,'Parametri Modello'!$A$19:$A$22,0))=0),0,(($T152-INDEX('Parametri Modello'!$B$19:$B$22,MATCH($B152,'Parametri Modello'!$A$19:$A$22,0)))/INDEX('Parametri Modello'!$B$19:$B$22,MATCH($B152,'Parametri Modello'!$A$19:$A$22,0)))*'Parametri Modello'!$B$9))))*(1+IF('Parametri Modello'!$B$27="Si",MAX(-'Parametri Modello'!$B$28,MIN('Parametri Modello'!$B$28*1.5,IF(OR(INDEX('Parametri Modello'!$F$32:$F$35,MATCH($B152,'Parametri Modello'!$A$32:$A$35,0))="",INDEX('Parametri Modello'!$F$32:$F$35,MATCH($B152,'Parametri Modello'!$A$32:$A$35,0))=0),0,(1/INDEX('Parametri Modello'!$F$32:$F$35,MATCH($B152,'Parametri Modello'!$A$32:$A$35,0))-1)*'Parametri Modello'!$B$28))),0)))*(1-INDEX('Parametri Modello'!$B$12:$B$15,MATCH($B152,'Parametri Modello'!$A$12:$A$15,0)))),0),"")</f>
        <v>4</v>
      </c>
      <c r="H152" s="24">
        <f>IFERROR(ROUND((IF($V152&lt;=INDEX('Parametri Modello'!$C$57:$C$60,MATCH($B152,'Parametri Modello'!$A$57:$A$60,0)),IF(INDEX('Parametri Modello'!$E$57:$E$60,MATCH($B152,'Parametri Modello'!$A$57:$A$60,0))=0,0,($O152/INDEX('Parametri Modello'!$E$57:$E$60,MATCH($B152,'Parametri Modello'!$A$57:$A$60,0)))*(INDEX('Parametri Modello'!$D$57:$D$60,MATCH($B152,'Parametri Modello'!$A$57:$A$60,0))*(INDEX('Parametri Modello'!$B$50:$B$53,MATCH($B152,'Parametri Modello'!$A$50:$A$53,0))*'Parametri Modello'!$B$44))),IF(INDEX('Parametri Modello'!$F$57:$F$60,MATCH($B152,'Parametri Modello'!$A$57:$A$60,0))=0,0,($O152/INDEX('Parametri Modello'!$F$57:$F$60,MATCH($B152,'Parametri Modello'!$A$57:$A$60,0)))*((1-INDEX('Parametri Modello'!$D$57:$D$60,MATCH($B152,'Parametri Modello'!$A$57:$A$60,0)))*(INDEX('Parametri Modello'!$B$50:$B$53,MATCH($B152,'Parametri Modello'!$A$50:$A$53,0))*'Parametri Modello'!$B$44))))*(1+IF(IF($B152="D",'Info Lega'!$B$25,IF($B152="C",'Info Lega'!$B$26,"No"))="Si",'Parametri Modello'!$B$5,0))*(1+MAX(-0.25,MIN(0.25,IF(OR($T152="",$I152="",$I152=0,INDEX('Parametri Modello'!$B$19:$B$22,MATCH($B152,'Parametri Modello'!$A$19:$A$22,0))="",INDEX('Parametri Modello'!$B$19:$B$22,MATCH($B152,'Parametri Modello'!$A$19:$A$22,0))=0),0,(($T152-INDEX('Parametri Modello'!$B$19:$B$22,MATCH($B152,'Parametri Modello'!$A$19:$A$22,0)))/INDEX('Parametri Modello'!$B$19:$B$22,MATCH($B152,'Parametri Modello'!$A$19:$A$22,0)))*'Parametri Modello'!$B$9))))*(1+IF('Parametri Modello'!$B$27="Si",MAX(-'Parametri Modello'!$B$28,MIN('Parametri Modello'!$B$28*1.5,IF(OR(INDEX('Parametri Modello'!$F$32:$F$35,MATCH($B152,'Parametri Modello'!$A$32:$A$35,0))="",INDEX('Parametri Modello'!$F$32:$F$35,MATCH($B152,'Parametri Modello'!$A$32:$A$35,0))=0),0,(1/INDEX('Parametri Modello'!$F$32:$F$35,MATCH($B152,'Parametri Modello'!$A$32:$A$35,0))-1)*'Parametri Modello'!$B$28))),0)))*(1+INDEX('Parametri Modello'!$B$12:$B$15,MATCH($B152,'Parametri Modello'!$A$12:$A$15,0))),0),"")</f>
        <v>8</v>
      </c>
      <c r="I152" s="23">
        <f>IFERROR(INDEX('Input Statistiche 2025_26'!$F$3:$F$665,MATCH($A152,'Input Statistiche 2025_26'!$A$3:$A$665,0)),"")</f>
        <v>16</v>
      </c>
      <c r="J152" s="23">
        <f t="shared" si="18"/>
        <v>22</v>
      </c>
      <c r="K152" s="23">
        <f>IFERROR(INDEX('Input Statistiche 2025_26'!$I$3:$I$665,MATCH($A152,'Input Statistiche 2025_26'!$A$3:$A$665,0)),"")</f>
        <v>3</v>
      </c>
      <c r="L152" s="23">
        <f>IFERROR(INDEX('Input Statistiche 2025_26'!$O$3:$O$665,MATCH($A152,'Input Statistiche 2025_26'!$A$3:$A$665,0)),"")</f>
        <v>3</v>
      </c>
      <c r="M152" s="25"/>
      <c r="N152" s="24">
        <f>IFERROR(INDEX('Input Giocatori 2026_27'!$E$3:$E$493,MATCH($A152,'Input Giocatori 2026_27'!$A$3:$A$493,0)),"")</f>
        <v>6</v>
      </c>
      <c r="O152" s="24">
        <f>IFERROR(INDEX('Input Giocatori 2026_27'!$G$3:$G$493,MATCH($A152,'Input Giocatori 2026_27'!$A$3:$A$493,0)),"")</f>
        <v>22</v>
      </c>
      <c r="P152" s="23" t="str">
        <f>IFERROR(IF($O152="","",IF((1-(COUNTIFS($B$2:$B$492,$B152,$O$2:$O$492,"&gt;"&amp;$O152)+1-1)/COUNTIF($B$2:$B$492,$B152))&gt;='Parametri Modello'!$B$63,"Top",IF((1-(COUNTIFS($B$2:$B$492,$B152,$O$2:$O$492,"&gt;"&amp;$O152)+1-1)/COUNTIF($B$2:$B$492,$B152))&gt;='Parametri Modello'!$B$64,"Buono",IF((1-(COUNTIFS($B$2:$B$492,$B152,$O$2:$O$492,"&gt;"&amp;$O152)+1-1)/COUNTIF($B$2:$B$492,$B152))&gt;='Parametri Modello'!$B$65,"Nella Media","Scommessa/Riserva")))),"")</f>
        <v>Nella Media</v>
      </c>
      <c r="Q152" s="26">
        <f>IF(AND($D152="",$N152&gt;1),SUMPRODUCT(($D$2:$D152="")*($N$2:$N152&gt;1)),"")</f>
        <v>151</v>
      </c>
      <c r="R152" s="26" t="str">
        <f>IF($D152='Info Lega'!$B$28,COUNTIFS($D$2:$D152,'Info Lega'!$B$28),"")</f>
        <v/>
      </c>
      <c r="S152" s="27">
        <f>IFERROR(INDEX('Input Statistiche 2025_26'!$G$3:$G$665,MATCH($A152,'Input Statistiche 2025_26'!$A$3:$A$665,0)),"")</f>
        <v>6.19</v>
      </c>
      <c r="T152" s="27">
        <f>IFERROR(INDEX('Input Statistiche 2025_26'!$H$3:$H$665,MATCH($A152,'Input Statistiche 2025_26'!$A$3:$A$665,0)),"")</f>
        <v>6.84</v>
      </c>
      <c r="U152" s="23" t="str">
        <f>IF(OR('La Mia Rosa'!$O$12="",$D152&lt;&gt;""),"",IF($F152&lt;='La Mia Rosa'!$O$12*'Parametri Modello'!$B$24,"OK",IF($F152&lt;='La Mia Rosa'!$O$12*'Parametri Modello'!$B$25,"Attenzione","Rischio Alto")))</f>
        <v>OK</v>
      </c>
      <c r="V152" s="23">
        <f t="shared" si="19"/>
        <v>46</v>
      </c>
      <c r="W152" s="18">
        <f>'Info Lega'!$B$4-SUMIFS($M$2:$M$492,$D$2:$D$492,'Info Lega'!$B$28)</f>
        <v>1000</v>
      </c>
      <c r="X152" s="18">
        <f>('Info Lega'!$B$5-COUNTIFS($D$2:$D$492,'Info Lega'!$B$28,$B$2:$B$492,"P"))+('Info Lega'!$B$6-COUNTIFS($D$2:$D$492,'Info Lega'!$B$28,$B$2:$B$492,"D"))+('Info Lega'!$B$7-COUNTIFS($D$2:$D$492,'Info Lega'!$B$28,$B$2:$B$492,"C"))+('Info Lega'!$B$8-COUNTIFS($D$2:$D$492,'Info Lega'!$B$28,$B$2:$B$492,"A"))</f>
        <v>25</v>
      </c>
      <c r="Y152" s="18">
        <f>X152*'Parametri Modello'!$B$30</f>
        <v>25</v>
      </c>
      <c r="Z152" s="18">
        <f t="shared" si="20"/>
        <v>975</v>
      </c>
      <c r="AA152" s="18">
        <f t="shared" si="21"/>
        <v>7</v>
      </c>
      <c r="AB152" s="18"/>
      <c r="AC152" s="18" t="str">
        <f>IF($AB152="","",IF($AB152&gt;$AA152,"PASS",IF($AB152&lt;=$AA152*(1-'Parametri Modello'!$B$68),"BID","ATTENZIONE")))</f>
        <v/>
      </c>
      <c r="AD152" s="28">
        <f t="shared" si="22"/>
        <v>41</v>
      </c>
      <c r="AE152" s="5" t="str">
        <f>IFERROR(INDEX('Stato Asta'!$G$9:$G$12,MATCH($B152,'Stato Asta'!$A$9:$A$12,0)),"")</f>
        <v>🔴 Non aspettare</v>
      </c>
      <c r="AF152" t="str">
        <f>IFERROR(IF($V152&lt;=INDEX('Parametri Modello'!$C$57:$C$60,MATCH($B152,'Parametri Modello'!$A$57:$A$60,0)),"Titolare","Riserva"),"")</f>
        <v>Riserva</v>
      </c>
      <c r="AG152" t="str">
        <f>IFERROR(INDEX('Pressione Competitiva'!$F$3:$F$6,MATCH($B152,'Pressione Competitiva'!$B$3:$B$6,0)),"")</f>
        <v>🔴 Molto Alta</v>
      </c>
      <c r="AH152" t="str">
        <f t="shared" si="23"/>
        <v/>
      </c>
      <c r="AI152" t="str">
        <f>IFERROR(IF($AH152="","",IF($AH152&gt;=$AA152*'Parametri Modello'!$B$68,"🟢 Opportunita'",IF($AH152&lt;=$AA152*'Parametri Modello'!$B$69,"🔴 Sovrapprezzo","🟡 Prezzo Corretto"))),"")</f>
        <v/>
      </c>
      <c r="AJ152" t="str">
        <f t="shared" si="24"/>
        <v/>
      </c>
      <c r="AK152">
        <f t="shared" si="25"/>
        <v>20</v>
      </c>
      <c r="AL152" t="str">
        <f t="shared" si="26"/>
        <v>A|Nella Media|20</v>
      </c>
    </row>
    <row r="153" spans="1:38" ht="14.25" customHeight="1" x14ac:dyDescent="0.25">
      <c r="A153" s="18">
        <v>4657</v>
      </c>
      <c r="B153" s="18" t="s">
        <v>16</v>
      </c>
      <c r="C153" s="18" t="s">
        <v>292</v>
      </c>
      <c r="E153" s="23" t="str">
        <f>IF(COUNTIF('Info Strategia'!$D$2:$D$51,$C153)&gt;0,"SI","NO")</f>
        <v>NO</v>
      </c>
      <c r="F153" s="24">
        <f>IFERROR(ROUND(($G153+($H153-$G153)*'Info Strategia'!$B$6)*(1+IF($E153="SI",'Parametri Modello'!$B$7*'Info Strategia'!$B$6,0)),0),"")</f>
        <v>4</v>
      </c>
      <c r="G153" s="24">
        <f>IFERROR(ROUND(MAX(1,(IF($V153&lt;=INDEX('Parametri Modello'!$C$57:$C$60,MATCH($B153,'Parametri Modello'!$A$57:$A$60,0)),IF(INDEX('Parametri Modello'!$E$57:$E$60,MATCH($B153,'Parametri Modello'!$A$57:$A$60,0))=0,0,($O153/INDEX('Parametri Modello'!$E$57:$E$60,MATCH($B153,'Parametri Modello'!$A$57:$A$60,0)))*(INDEX('Parametri Modello'!$D$57:$D$60,MATCH($B153,'Parametri Modello'!$A$57:$A$60,0))*(INDEX('Parametri Modello'!$B$50:$B$53,MATCH($B153,'Parametri Modello'!$A$50:$A$53,0))*'Parametri Modello'!$B$44))),IF(INDEX('Parametri Modello'!$F$57:$F$60,MATCH($B153,'Parametri Modello'!$A$57:$A$60,0))=0,0,($O153/INDEX('Parametri Modello'!$F$57:$F$60,MATCH($B153,'Parametri Modello'!$A$57:$A$60,0)))*((1-INDEX('Parametri Modello'!$D$57:$D$60,MATCH($B153,'Parametri Modello'!$A$57:$A$60,0)))*(INDEX('Parametri Modello'!$B$50:$B$53,MATCH($B153,'Parametri Modello'!$A$50:$A$53,0))*'Parametri Modello'!$B$44))))*(1+IF(IF($B153="D",'Info Lega'!$B$25,IF($B153="C",'Info Lega'!$B$26,"No"))="Si",'Parametri Modello'!$B$5,0))*(1+MAX(-0.25,MIN(0.25,IF(OR($T153="",$I153="",$I153=0,INDEX('Parametri Modello'!$B$19:$B$22,MATCH($B153,'Parametri Modello'!$A$19:$A$22,0))="",INDEX('Parametri Modello'!$B$19:$B$22,MATCH($B153,'Parametri Modello'!$A$19:$A$22,0))=0),0,(($T153-INDEX('Parametri Modello'!$B$19:$B$22,MATCH($B153,'Parametri Modello'!$A$19:$A$22,0)))/INDEX('Parametri Modello'!$B$19:$B$22,MATCH($B153,'Parametri Modello'!$A$19:$A$22,0)))*'Parametri Modello'!$B$9))))*(1+IF('Parametri Modello'!$B$27="Si",MAX(-'Parametri Modello'!$B$28,MIN('Parametri Modello'!$B$28*1.5,IF(OR(INDEX('Parametri Modello'!$F$32:$F$35,MATCH($B153,'Parametri Modello'!$A$32:$A$35,0))="",INDEX('Parametri Modello'!$F$32:$F$35,MATCH($B153,'Parametri Modello'!$A$32:$A$35,0))=0),0,(1/INDEX('Parametri Modello'!$F$32:$F$35,MATCH($B153,'Parametri Modello'!$A$32:$A$35,0))-1)*'Parametri Modello'!$B$28))),0)))*(1-INDEX('Parametri Modello'!$B$12:$B$15,MATCH($B153,'Parametri Modello'!$A$12:$A$15,0)))),0),"")</f>
        <v>3</v>
      </c>
      <c r="H153" s="24">
        <f>IFERROR(ROUND((IF($V153&lt;=INDEX('Parametri Modello'!$C$57:$C$60,MATCH($B153,'Parametri Modello'!$A$57:$A$60,0)),IF(INDEX('Parametri Modello'!$E$57:$E$60,MATCH($B153,'Parametri Modello'!$A$57:$A$60,0))=0,0,($O153/INDEX('Parametri Modello'!$E$57:$E$60,MATCH($B153,'Parametri Modello'!$A$57:$A$60,0)))*(INDEX('Parametri Modello'!$D$57:$D$60,MATCH($B153,'Parametri Modello'!$A$57:$A$60,0))*(INDEX('Parametri Modello'!$B$50:$B$53,MATCH($B153,'Parametri Modello'!$A$50:$A$53,0))*'Parametri Modello'!$B$44))),IF(INDEX('Parametri Modello'!$F$57:$F$60,MATCH($B153,'Parametri Modello'!$A$57:$A$60,0))=0,0,($O153/INDEX('Parametri Modello'!$F$57:$F$60,MATCH($B153,'Parametri Modello'!$A$57:$A$60,0)))*((1-INDEX('Parametri Modello'!$D$57:$D$60,MATCH($B153,'Parametri Modello'!$A$57:$A$60,0)))*(INDEX('Parametri Modello'!$B$50:$B$53,MATCH($B153,'Parametri Modello'!$A$50:$A$53,0))*'Parametri Modello'!$B$44))))*(1+IF(IF($B153="D",'Info Lega'!$B$25,IF($B153="C",'Info Lega'!$B$26,"No"))="Si",'Parametri Modello'!$B$5,0))*(1+MAX(-0.25,MIN(0.25,IF(OR($T153="",$I153="",$I153=0,INDEX('Parametri Modello'!$B$19:$B$22,MATCH($B153,'Parametri Modello'!$A$19:$A$22,0))="",INDEX('Parametri Modello'!$B$19:$B$22,MATCH($B153,'Parametri Modello'!$A$19:$A$22,0))=0),0,(($T153-INDEX('Parametri Modello'!$B$19:$B$22,MATCH($B153,'Parametri Modello'!$A$19:$A$22,0)))/INDEX('Parametri Modello'!$B$19:$B$22,MATCH($B153,'Parametri Modello'!$A$19:$A$22,0)))*'Parametri Modello'!$B$9))))*(1+IF('Parametri Modello'!$B$27="Si",MAX(-'Parametri Modello'!$B$28,MIN('Parametri Modello'!$B$28*1.5,IF(OR(INDEX('Parametri Modello'!$F$32:$F$35,MATCH($B153,'Parametri Modello'!$A$32:$A$35,0))="",INDEX('Parametri Modello'!$F$32:$F$35,MATCH($B153,'Parametri Modello'!$A$32:$A$35,0))=0),0,(1/INDEX('Parametri Modello'!$F$32:$F$35,MATCH($B153,'Parametri Modello'!$A$32:$A$35,0))-1)*'Parametri Modello'!$B$28))),0)))*(1+INDEX('Parametri Modello'!$B$12:$B$15,MATCH($B153,'Parametri Modello'!$A$12:$A$15,0))),0),"")</f>
        <v>4</v>
      </c>
      <c r="I153" s="23">
        <f>IFERROR(INDEX('Input Statistiche 2025_26'!$F$3:$F$665,MATCH($A153,'Input Statistiche 2025_26'!$A$3:$A$665,0)),"")</f>
        <v>32</v>
      </c>
      <c r="J153" s="23">
        <f t="shared" si="18"/>
        <v>6</v>
      </c>
      <c r="K153" s="23">
        <f>IFERROR(INDEX('Input Statistiche 2025_26'!$I$3:$I$665,MATCH($A153,'Input Statistiche 2025_26'!$A$3:$A$665,0)),"")</f>
        <v>1</v>
      </c>
      <c r="L153" s="23">
        <f>IFERROR(INDEX('Input Statistiche 2025_26'!$O$3:$O$665,MATCH($A153,'Input Statistiche 2025_26'!$A$3:$A$665,0)),"")</f>
        <v>2</v>
      </c>
      <c r="M153" s="25"/>
      <c r="N153" s="24">
        <f>IFERROR(INDEX('Input Giocatori 2026_27'!$E$3:$E$493,MATCH($A153,'Input Giocatori 2026_27'!$A$3:$A$493,0)),"")</f>
        <v>8</v>
      </c>
      <c r="O153" s="24">
        <f>IFERROR(INDEX('Input Giocatori 2026_27'!$G$3:$G$493,MATCH($A153,'Input Giocatori 2026_27'!$A$3:$A$493,0)),"")</f>
        <v>21</v>
      </c>
      <c r="P153" s="23" t="str">
        <f>IFERROR(IF($O153="","",IF((1-(COUNTIFS($B$2:$B$492,$B153,$O$2:$O$492,"&gt;"&amp;$O153)+1-1)/COUNTIF($B$2:$B$492,$B153))&gt;='Parametri Modello'!$B$63,"Top",IF((1-(COUNTIFS($B$2:$B$492,$B153,$O$2:$O$492,"&gt;"&amp;$O153)+1-1)/COUNTIF($B$2:$B$492,$B153))&gt;='Parametri Modello'!$B$64,"Buono",IF((1-(COUNTIFS($B$2:$B$492,$B153,$O$2:$O$492,"&gt;"&amp;$O153)+1-1)/COUNTIF($B$2:$B$492,$B153))&gt;='Parametri Modello'!$B$65,"Nella Media","Scommessa/Riserva")))),"")</f>
        <v>Buono</v>
      </c>
      <c r="Q153" s="26">
        <f>IF(AND($D153="",$N153&gt;1),SUMPRODUCT(($D$2:$D153="")*($N$2:$N153&gt;1)),"")</f>
        <v>152</v>
      </c>
      <c r="R153" s="26" t="str">
        <f>IF($D153='Info Lega'!$B$28,COUNTIFS($D$2:$D153,'Info Lega'!$B$28),"")</f>
        <v/>
      </c>
      <c r="S153" s="27">
        <f>IFERROR(INDEX('Input Statistiche 2025_26'!$G$3:$G$665,MATCH($A153,'Input Statistiche 2025_26'!$A$3:$A$665,0)),"")</f>
        <v>6.17</v>
      </c>
      <c r="T153" s="27">
        <f>IFERROR(INDEX('Input Statistiche 2025_26'!$H$3:$H$665,MATCH($A153,'Input Statistiche 2025_26'!$A$3:$A$665,0)),"")</f>
        <v>6.27</v>
      </c>
      <c r="U153" s="23" t="str">
        <f>IF(OR('La Mia Rosa'!$O$12="",$D153&lt;&gt;""),"",IF($F153&lt;='La Mia Rosa'!$O$12*'Parametri Modello'!$B$24,"OK",IF($F153&lt;='La Mia Rosa'!$O$12*'Parametri Modello'!$B$25,"Attenzione","Rischio Alto")))</f>
        <v>OK</v>
      </c>
      <c r="V153" s="23">
        <f t="shared" si="19"/>
        <v>36</v>
      </c>
      <c r="W153" s="18">
        <f>'Info Lega'!$B$4-SUMIFS($M$2:$M$492,$D$2:$D$492,'Info Lega'!$B$28)</f>
        <v>1000</v>
      </c>
      <c r="X153" s="18">
        <f>('Info Lega'!$B$5-COUNTIFS($D$2:$D$492,'Info Lega'!$B$28,$B$2:$B$492,"P"))+('Info Lega'!$B$6-COUNTIFS($D$2:$D$492,'Info Lega'!$B$28,$B$2:$B$492,"D"))+('Info Lega'!$B$7-COUNTIFS($D$2:$D$492,'Info Lega'!$B$28,$B$2:$B$492,"C"))+('Info Lega'!$B$8-COUNTIFS($D$2:$D$492,'Info Lega'!$B$28,$B$2:$B$492,"A"))</f>
        <v>25</v>
      </c>
      <c r="Y153" s="18">
        <f>X153*'Parametri Modello'!$B$30</f>
        <v>25</v>
      </c>
      <c r="Z153" s="18">
        <f t="shared" si="20"/>
        <v>975</v>
      </c>
      <c r="AA153" s="18">
        <f t="shared" si="21"/>
        <v>4</v>
      </c>
      <c r="AB153" s="18"/>
      <c r="AC153" s="18" t="str">
        <f>IF($AB153="","",IF($AB153&gt;$AA153,"PASS",IF($AB153&lt;=$AA153*(1-'Parametri Modello'!$B$68),"BID","ATTENZIONE")))</f>
        <v/>
      </c>
      <c r="AD153" s="28">
        <f t="shared" si="22"/>
        <v>66</v>
      </c>
      <c r="AE153" s="5" t="str">
        <f>IFERROR(INDEX('Stato Asta'!$G$9:$G$12,MATCH($B153,'Stato Asta'!$A$9:$A$12,0)),"")</f>
        <v>🔴 Non aspettare</v>
      </c>
      <c r="AF153" t="str">
        <f>IFERROR(IF($V153&lt;=INDEX('Parametri Modello'!$C$57:$C$60,MATCH($B153,'Parametri Modello'!$A$57:$A$60,0)),"Titolare","Riserva"),"")</f>
        <v>Riserva</v>
      </c>
      <c r="AG153" t="str">
        <f>IFERROR(INDEX('Pressione Competitiva'!$F$3:$F$6,MATCH($B153,'Pressione Competitiva'!$B$3:$B$6,0)),"")</f>
        <v>🔴 Molto Alta</v>
      </c>
      <c r="AH153" t="str">
        <f t="shared" si="23"/>
        <v/>
      </c>
      <c r="AI153" t="str">
        <f>IFERROR(IF($AH153="","",IF($AH153&gt;=$AA153*'Parametri Modello'!$B$68,"🟢 Opportunita'",IF($AH153&lt;=$AA153*'Parametri Modello'!$B$69,"🔴 Sovrapprezzo","🟡 Prezzo Corretto"))),"")</f>
        <v/>
      </c>
      <c r="AJ153" t="str">
        <f t="shared" si="24"/>
        <v/>
      </c>
      <c r="AK153">
        <f t="shared" si="25"/>
        <v>18</v>
      </c>
      <c r="AL153" t="str">
        <f t="shared" si="26"/>
        <v>D|Buono|18</v>
      </c>
    </row>
    <row r="154" spans="1:38" ht="14.25" customHeight="1" x14ac:dyDescent="0.25">
      <c r="A154" s="18">
        <v>6664</v>
      </c>
      <c r="B154" s="18" t="s">
        <v>16</v>
      </c>
      <c r="C154" s="18" t="s">
        <v>293</v>
      </c>
      <c r="E154" s="23" t="str">
        <f>IF(COUNTIF('Info Strategia'!$D$2:$D$51,$C154)&gt;0,"SI","NO")</f>
        <v>NO</v>
      </c>
      <c r="F154" s="24">
        <f>IFERROR(ROUND(($G154+($H154-$G154)*'Info Strategia'!$B$6)*(1+IF($E154="SI",'Parametri Modello'!$B$7*'Info Strategia'!$B$6,0)),0),"")</f>
        <v>4</v>
      </c>
      <c r="G154" s="24">
        <f>IFERROR(ROUND(MAX(1,(IF($V154&lt;=INDEX('Parametri Modello'!$C$57:$C$60,MATCH($B154,'Parametri Modello'!$A$57:$A$60,0)),IF(INDEX('Parametri Modello'!$E$57:$E$60,MATCH($B154,'Parametri Modello'!$A$57:$A$60,0))=0,0,($O154/INDEX('Parametri Modello'!$E$57:$E$60,MATCH($B154,'Parametri Modello'!$A$57:$A$60,0)))*(INDEX('Parametri Modello'!$D$57:$D$60,MATCH($B154,'Parametri Modello'!$A$57:$A$60,0))*(INDEX('Parametri Modello'!$B$50:$B$53,MATCH($B154,'Parametri Modello'!$A$50:$A$53,0))*'Parametri Modello'!$B$44))),IF(INDEX('Parametri Modello'!$F$57:$F$60,MATCH($B154,'Parametri Modello'!$A$57:$A$60,0))=0,0,($O154/INDEX('Parametri Modello'!$F$57:$F$60,MATCH($B154,'Parametri Modello'!$A$57:$A$60,0)))*((1-INDEX('Parametri Modello'!$D$57:$D$60,MATCH($B154,'Parametri Modello'!$A$57:$A$60,0)))*(INDEX('Parametri Modello'!$B$50:$B$53,MATCH($B154,'Parametri Modello'!$A$50:$A$53,0))*'Parametri Modello'!$B$44))))*(1+IF(IF($B154="D",'Info Lega'!$B$25,IF($B154="C",'Info Lega'!$B$26,"No"))="Si",'Parametri Modello'!$B$5,0))*(1+MAX(-0.25,MIN(0.25,IF(OR($T154="",$I154="",$I154=0,INDEX('Parametri Modello'!$B$19:$B$22,MATCH($B154,'Parametri Modello'!$A$19:$A$22,0))="",INDEX('Parametri Modello'!$B$19:$B$22,MATCH($B154,'Parametri Modello'!$A$19:$A$22,0))=0),0,(($T154-INDEX('Parametri Modello'!$B$19:$B$22,MATCH($B154,'Parametri Modello'!$A$19:$A$22,0)))/INDEX('Parametri Modello'!$B$19:$B$22,MATCH($B154,'Parametri Modello'!$A$19:$A$22,0)))*'Parametri Modello'!$B$9))))*(1+IF('Parametri Modello'!$B$27="Si",MAX(-'Parametri Modello'!$B$28,MIN('Parametri Modello'!$B$28*1.5,IF(OR(INDEX('Parametri Modello'!$F$32:$F$35,MATCH($B154,'Parametri Modello'!$A$32:$A$35,0))="",INDEX('Parametri Modello'!$F$32:$F$35,MATCH($B154,'Parametri Modello'!$A$32:$A$35,0))=0),0,(1/INDEX('Parametri Modello'!$F$32:$F$35,MATCH($B154,'Parametri Modello'!$A$32:$A$35,0))-1)*'Parametri Modello'!$B$28))),0)))*(1-INDEX('Parametri Modello'!$B$12:$B$15,MATCH($B154,'Parametri Modello'!$A$12:$A$15,0)))),0),"")</f>
        <v>3</v>
      </c>
      <c r="H154" s="24">
        <f>IFERROR(ROUND((IF($V154&lt;=INDEX('Parametri Modello'!$C$57:$C$60,MATCH($B154,'Parametri Modello'!$A$57:$A$60,0)),IF(INDEX('Parametri Modello'!$E$57:$E$60,MATCH($B154,'Parametri Modello'!$A$57:$A$60,0))=0,0,($O154/INDEX('Parametri Modello'!$E$57:$E$60,MATCH($B154,'Parametri Modello'!$A$57:$A$60,0)))*(INDEX('Parametri Modello'!$D$57:$D$60,MATCH($B154,'Parametri Modello'!$A$57:$A$60,0))*(INDEX('Parametri Modello'!$B$50:$B$53,MATCH($B154,'Parametri Modello'!$A$50:$A$53,0))*'Parametri Modello'!$B$44))),IF(INDEX('Parametri Modello'!$F$57:$F$60,MATCH($B154,'Parametri Modello'!$A$57:$A$60,0))=0,0,($O154/INDEX('Parametri Modello'!$F$57:$F$60,MATCH($B154,'Parametri Modello'!$A$57:$A$60,0)))*((1-INDEX('Parametri Modello'!$D$57:$D$60,MATCH($B154,'Parametri Modello'!$A$57:$A$60,0)))*(INDEX('Parametri Modello'!$B$50:$B$53,MATCH($B154,'Parametri Modello'!$A$50:$A$53,0))*'Parametri Modello'!$B$44))))*(1+IF(IF($B154="D",'Info Lega'!$B$25,IF($B154="C",'Info Lega'!$B$26,"No"))="Si",'Parametri Modello'!$B$5,0))*(1+MAX(-0.25,MIN(0.25,IF(OR($T154="",$I154="",$I154=0,INDEX('Parametri Modello'!$B$19:$B$22,MATCH($B154,'Parametri Modello'!$A$19:$A$22,0))="",INDEX('Parametri Modello'!$B$19:$B$22,MATCH($B154,'Parametri Modello'!$A$19:$A$22,0))=0),0,(($T154-INDEX('Parametri Modello'!$B$19:$B$22,MATCH($B154,'Parametri Modello'!$A$19:$A$22,0)))/INDEX('Parametri Modello'!$B$19:$B$22,MATCH($B154,'Parametri Modello'!$A$19:$A$22,0)))*'Parametri Modello'!$B$9))))*(1+IF('Parametri Modello'!$B$27="Si",MAX(-'Parametri Modello'!$B$28,MIN('Parametri Modello'!$B$28*1.5,IF(OR(INDEX('Parametri Modello'!$F$32:$F$35,MATCH($B154,'Parametri Modello'!$A$32:$A$35,0))="",INDEX('Parametri Modello'!$F$32:$F$35,MATCH($B154,'Parametri Modello'!$A$32:$A$35,0))=0),0,(1/INDEX('Parametri Modello'!$F$32:$F$35,MATCH($B154,'Parametri Modello'!$A$32:$A$35,0))-1)*'Parametri Modello'!$B$28))),0)))*(1+INDEX('Parametri Modello'!$B$12:$B$15,MATCH($B154,'Parametri Modello'!$A$12:$A$15,0))),0),"")</f>
        <v>4</v>
      </c>
      <c r="I154" s="23">
        <f>IFERROR(INDEX('Input Statistiche 2025_26'!$F$3:$F$665,MATCH($A154,'Input Statistiche 2025_26'!$A$3:$A$665,0)),"")</f>
        <v>35</v>
      </c>
      <c r="J154" s="23">
        <f t="shared" si="18"/>
        <v>3</v>
      </c>
      <c r="K154" s="23">
        <f>IFERROR(INDEX('Input Statistiche 2025_26'!$I$3:$I$665,MATCH($A154,'Input Statistiche 2025_26'!$A$3:$A$665,0)),"")</f>
        <v>2</v>
      </c>
      <c r="L154" s="23">
        <f>IFERROR(INDEX('Input Statistiche 2025_26'!$O$3:$O$665,MATCH($A154,'Input Statistiche 2025_26'!$A$3:$A$665,0)),"")</f>
        <v>0</v>
      </c>
      <c r="M154" s="25"/>
      <c r="N154" s="24">
        <f>IFERROR(INDEX('Input Giocatori 2026_27'!$E$3:$E$493,MATCH($A154,'Input Giocatori 2026_27'!$A$3:$A$493,0)),"")</f>
        <v>8</v>
      </c>
      <c r="O154" s="24">
        <f>IFERROR(INDEX('Input Giocatori 2026_27'!$G$3:$G$493,MATCH($A154,'Input Giocatori 2026_27'!$A$3:$A$493,0)),"")</f>
        <v>21</v>
      </c>
      <c r="P154" s="23" t="str">
        <f>IFERROR(IF($O154="","",IF((1-(COUNTIFS($B$2:$B$492,$B154,$O$2:$O$492,"&gt;"&amp;$O154)+1-1)/COUNTIF($B$2:$B$492,$B154))&gt;='Parametri Modello'!$B$63,"Top",IF((1-(COUNTIFS($B$2:$B$492,$B154,$O$2:$O$492,"&gt;"&amp;$O154)+1-1)/COUNTIF($B$2:$B$492,$B154))&gt;='Parametri Modello'!$B$64,"Buono",IF((1-(COUNTIFS($B$2:$B$492,$B154,$O$2:$O$492,"&gt;"&amp;$O154)+1-1)/COUNTIF($B$2:$B$492,$B154))&gt;='Parametri Modello'!$B$65,"Nella Media","Scommessa/Riserva")))),"")</f>
        <v>Buono</v>
      </c>
      <c r="Q154" s="26">
        <f>IF(AND($D154="",$N154&gt;1),SUMPRODUCT(($D$2:$D154="")*($N$2:$N154&gt;1)),"")</f>
        <v>153</v>
      </c>
      <c r="R154" s="26" t="str">
        <f>IF($D154='Info Lega'!$B$28,COUNTIFS($D$2:$D154,'Info Lega'!$B$28),"")</f>
        <v/>
      </c>
      <c r="S154" s="27">
        <f>IFERROR(INDEX('Input Statistiche 2025_26'!$G$3:$G$665,MATCH($A154,'Input Statistiche 2025_26'!$A$3:$A$665,0)),"")</f>
        <v>5.91</v>
      </c>
      <c r="T154" s="27">
        <f>IFERROR(INDEX('Input Statistiche 2025_26'!$H$3:$H$665,MATCH($A154,'Input Statistiche 2025_26'!$A$3:$A$665,0)),"")</f>
        <v>6.01</v>
      </c>
      <c r="U154" s="23" t="str">
        <f>IF(OR('La Mia Rosa'!$O$12="",$D154&lt;&gt;""),"",IF($F154&lt;='La Mia Rosa'!$O$12*'Parametri Modello'!$B$24,"OK",IF($F154&lt;='La Mia Rosa'!$O$12*'Parametri Modello'!$B$25,"Attenzione","Rischio Alto")))</f>
        <v>OK</v>
      </c>
      <c r="V154" s="23">
        <f t="shared" si="19"/>
        <v>36</v>
      </c>
      <c r="W154" s="18">
        <f>'Info Lega'!$B$4-SUMIFS($M$2:$M$492,$D$2:$D$492,'Info Lega'!$B$28)</f>
        <v>1000</v>
      </c>
      <c r="X154" s="18">
        <f>('Info Lega'!$B$5-COUNTIFS($D$2:$D$492,'Info Lega'!$B$28,$B$2:$B$492,"P"))+('Info Lega'!$B$6-COUNTIFS($D$2:$D$492,'Info Lega'!$B$28,$B$2:$B$492,"D"))+('Info Lega'!$B$7-COUNTIFS($D$2:$D$492,'Info Lega'!$B$28,$B$2:$B$492,"C"))+('Info Lega'!$B$8-COUNTIFS($D$2:$D$492,'Info Lega'!$B$28,$B$2:$B$492,"A"))</f>
        <v>25</v>
      </c>
      <c r="Y154" s="18">
        <f>X154*'Parametri Modello'!$B$30</f>
        <v>25</v>
      </c>
      <c r="Z154" s="18">
        <f t="shared" si="20"/>
        <v>975</v>
      </c>
      <c r="AA154" s="18">
        <f t="shared" si="21"/>
        <v>4</v>
      </c>
      <c r="AB154" s="18"/>
      <c r="AC154" s="18" t="str">
        <f>IF($AB154="","",IF($AB154&gt;$AA154,"PASS",IF($AB154&lt;=$AA154*(1-'Parametri Modello'!$B$68),"BID","ATTENZIONE")))</f>
        <v/>
      </c>
      <c r="AD154" s="28">
        <f t="shared" si="22"/>
        <v>69</v>
      </c>
      <c r="AE154" s="5" t="str">
        <f>IFERROR(INDEX('Stato Asta'!$G$9:$G$12,MATCH($B154,'Stato Asta'!$A$9:$A$12,0)),"")</f>
        <v>🔴 Non aspettare</v>
      </c>
      <c r="AF154" t="str">
        <f>IFERROR(IF($V154&lt;=INDEX('Parametri Modello'!$C$57:$C$60,MATCH($B154,'Parametri Modello'!$A$57:$A$60,0)),"Titolare","Riserva"),"")</f>
        <v>Riserva</v>
      </c>
      <c r="AG154" t="str">
        <f>IFERROR(INDEX('Pressione Competitiva'!$F$3:$F$6,MATCH($B154,'Pressione Competitiva'!$B$3:$B$6,0)),"")</f>
        <v>🔴 Molto Alta</v>
      </c>
      <c r="AH154" t="str">
        <f t="shared" si="23"/>
        <v/>
      </c>
      <c r="AI154" t="str">
        <f>IFERROR(IF($AH154="","",IF($AH154&gt;=$AA154*'Parametri Modello'!$B$68,"🟢 Opportunita'",IF($AH154&lt;=$AA154*'Parametri Modello'!$B$69,"🔴 Sovrapprezzo","🟡 Prezzo Corretto"))),"")</f>
        <v/>
      </c>
      <c r="AJ154" t="str">
        <f t="shared" si="24"/>
        <v/>
      </c>
      <c r="AK154">
        <f t="shared" si="25"/>
        <v>18</v>
      </c>
      <c r="AL154" t="str">
        <f t="shared" si="26"/>
        <v>D|Buono|18</v>
      </c>
    </row>
    <row r="155" spans="1:38" ht="14.25" customHeight="1" x14ac:dyDescent="0.25">
      <c r="A155" s="18">
        <v>184</v>
      </c>
      <c r="B155" s="18" t="s">
        <v>17</v>
      </c>
      <c r="C155" s="18" t="s">
        <v>294</v>
      </c>
      <c r="E155" s="23" t="str">
        <f>IF(COUNTIF('Info Strategia'!$D$2:$D$51,$C155)&gt;0,"SI","NO")</f>
        <v>NO</v>
      </c>
      <c r="F155" s="24">
        <f>IFERROR(ROUND(($G155+($H155-$G155)*'Info Strategia'!$B$6)*(1+IF($E155="SI",'Parametri Modello'!$B$7*'Info Strategia'!$B$6,0)),0),"")</f>
        <v>3</v>
      </c>
      <c r="G155" s="24">
        <f>IFERROR(ROUND(MAX(1,(IF($V155&lt;=INDEX('Parametri Modello'!$C$57:$C$60,MATCH($B155,'Parametri Modello'!$A$57:$A$60,0)),IF(INDEX('Parametri Modello'!$E$57:$E$60,MATCH($B155,'Parametri Modello'!$A$57:$A$60,0))=0,0,($O155/INDEX('Parametri Modello'!$E$57:$E$60,MATCH($B155,'Parametri Modello'!$A$57:$A$60,0)))*(INDEX('Parametri Modello'!$D$57:$D$60,MATCH($B155,'Parametri Modello'!$A$57:$A$60,0))*(INDEX('Parametri Modello'!$B$50:$B$53,MATCH($B155,'Parametri Modello'!$A$50:$A$53,0))*'Parametri Modello'!$B$44))),IF(INDEX('Parametri Modello'!$F$57:$F$60,MATCH($B155,'Parametri Modello'!$A$57:$A$60,0))=0,0,($O155/INDEX('Parametri Modello'!$F$57:$F$60,MATCH($B155,'Parametri Modello'!$A$57:$A$60,0)))*((1-INDEX('Parametri Modello'!$D$57:$D$60,MATCH($B155,'Parametri Modello'!$A$57:$A$60,0)))*(INDEX('Parametri Modello'!$B$50:$B$53,MATCH($B155,'Parametri Modello'!$A$50:$A$53,0))*'Parametri Modello'!$B$44))))*(1+IF(IF($B155="D",'Info Lega'!$B$25,IF($B155="C",'Info Lega'!$B$26,"No"))="Si",'Parametri Modello'!$B$5,0))*(1+MAX(-0.25,MIN(0.25,IF(OR($T155="",$I155="",$I155=0,INDEX('Parametri Modello'!$B$19:$B$22,MATCH($B155,'Parametri Modello'!$A$19:$A$22,0))="",INDEX('Parametri Modello'!$B$19:$B$22,MATCH($B155,'Parametri Modello'!$A$19:$A$22,0))=0),0,(($T155-INDEX('Parametri Modello'!$B$19:$B$22,MATCH($B155,'Parametri Modello'!$A$19:$A$22,0)))/INDEX('Parametri Modello'!$B$19:$B$22,MATCH($B155,'Parametri Modello'!$A$19:$A$22,0)))*'Parametri Modello'!$B$9))))*(1+IF('Parametri Modello'!$B$27="Si",MAX(-'Parametri Modello'!$B$28,MIN('Parametri Modello'!$B$28*1.5,IF(OR(INDEX('Parametri Modello'!$F$32:$F$35,MATCH($B155,'Parametri Modello'!$A$32:$A$35,0))="",INDEX('Parametri Modello'!$F$32:$F$35,MATCH($B155,'Parametri Modello'!$A$32:$A$35,0))=0),0,(1/INDEX('Parametri Modello'!$F$32:$F$35,MATCH($B155,'Parametri Modello'!$A$32:$A$35,0))-1)*'Parametri Modello'!$B$28))),0)))*(1-INDEX('Parametri Modello'!$B$12:$B$15,MATCH($B155,'Parametri Modello'!$A$12:$A$15,0)))),0),"")</f>
        <v>2</v>
      </c>
      <c r="H155" s="24">
        <f>IFERROR(ROUND((IF($V155&lt;=INDEX('Parametri Modello'!$C$57:$C$60,MATCH($B155,'Parametri Modello'!$A$57:$A$60,0)),IF(INDEX('Parametri Modello'!$E$57:$E$60,MATCH($B155,'Parametri Modello'!$A$57:$A$60,0))=0,0,($O155/INDEX('Parametri Modello'!$E$57:$E$60,MATCH($B155,'Parametri Modello'!$A$57:$A$60,0)))*(INDEX('Parametri Modello'!$D$57:$D$60,MATCH($B155,'Parametri Modello'!$A$57:$A$60,0))*(INDEX('Parametri Modello'!$B$50:$B$53,MATCH($B155,'Parametri Modello'!$A$50:$A$53,0))*'Parametri Modello'!$B$44))),IF(INDEX('Parametri Modello'!$F$57:$F$60,MATCH($B155,'Parametri Modello'!$A$57:$A$60,0))=0,0,($O155/INDEX('Parametri Modello'!$F$57:$F$60,MATCH($B155,'Parametri Modello'!$A$57:$A$60,0)))*((1-INDEX('Parametri Modello'!$D$57:$D$60,MATCH($B155,'Parametri Modello'!$A$57:$A$60,0)))*(INDEX('Parametri Modello'!$B$50:$B$53,MATCH($B155,'Parametri Modello'!$A$50:$A$53,0))*'Parametri Modello'!$B$44))))*(1+IF(IF($B155="D",'Info Lega'!$B$25,IF($B155="C",'Info Lega'!$B$26,"No"))="Si",'Parametri Modello'!$B$5,0))*(1+MAX(-0.25,MIN(0.25,IF(OR($T155="",$I155="",$I155=0,INDEX('Parametri Modello'!$B$19:$B$22,MATCH($B155,'Parametri Modello'!$A$19:$A$22,0))="",INDEX('Parametri Modello'!$B$19:$B$22,MATCH($B155,'Parametri Modello'!$A$19:$A$22,0))=0),0,(($T155-INDEX('Parametri Modello'!$B$19:$B$22,MATCH($B155,'Parametri Modello'!$A$19:$A$22,0)))/INDEX('Parametri Modello'!$B$19:$B$22,MATCH($B155,'Parametri Modello'!$A$19:$A$22,0)))*'Parametri Modello'!$B$9))))*(1+IF('Parametri Modello'!$B$27="Si",MAX(-'Parametri Modello'!$B$28,MIN('Parametri Modello'!$B$28*1.5,IF(OR(INDEX('Parametri Modello'!$F$32:$F$35,MATCH($B155,'Parametri Modello'!$A$32:$A$35,0))="",INDEX('Parametri Modello'!$F$32:$F$35,MATCH($B155,'Parametri Modello'!$A$32:$A$35,0))=0),0,(1/INDEX('Parametri Modello'!$F$32:$F$35,MATCH($B155,'Parametri Modello'!$A$32:$A$35,0))-1)*'Parametri Modello'!$B$28))),0)))*(1+INDEX('Parametri Modello'!$B$12:$B$15,MATCH($B155,'Parametri Modello'!$A$12:$A$15,0))),0),"")</f>
        <v>3</v>
      </c>
      <c r="I155" s="23">
        <f>IFERROR(INDEX('Input Statistiche 2025_26'!$F$3:$F$665,MATCH($A155,'Input Statistiche 2025_26'!$A$3:$A$665,0)),"")</f>
        <v>24</v>
      </c>
      <c r="J155" s="23">
        <f t="shared" si="18"/>
        <v>14</v>
      </c>
      <c r="K155" s="23">
        <f>IFERROR(INDEX('Input Statistiche 2025_26'!$I$3:$I$665,MATCH($A155,'Input Statistiche 2025_26'!$A$3:$A$665,0)),"")</f>
        <v>4</v>
      </c>
      <c r="L155" s="23">
        <f>IFERROR(INDEX('Input Statistiche 2025_26'!$O$3:$O$665,MATCH($A155,'Input Statistiche 2025_26'!$A$3:$A$665,0)),"")</f>
        <v>2</v>
      </c>
      <c r="M155" s="25"/>
      <c r="N155" s="24">
        <f>IFERROR(INDEX('Input Giocatori 2026_27'!$E$3:$E$493,MATCH($A155,'Input Giocatori 2026_27'!$A$3:$A$493,0)),"")</f>
        <v>9</v>
      </c>
      <c r="O155" s="24">
        <f>IFERROR(INDEX('Input Giocatori 2026_27'!$G$3:$G$493,MATCH($A155,'Input Giocatori 2026_27'!$A$3:$A$493,0)),"")</f>
        <v>21</v>
      </c>
      <c r="P155" s="23" t="str">
        <f>IFERROR(IF($O155="","",IF((1-(COUNTIFS($B$2:$B$492,$B155,$O$2:$O$492,"&gt;"&amp;$O155)+1-1)/COUNTIF($B$2:$B$492,$B155))&gt;='Parametri Modello'!$B$63,"Top",IF((1-(COUNTIFS($B$2:$B$492,$B155,$O$2:$O$492,"&gt;"&amp;$O155)+1-1)/COUNTIF($B$2:$B$492,$B155))&gt;='Parametri Modello'!$B$64,"Buono",IF((1-(COUNTIFS($B$2:$B$492,$B155,$O$2:$O$492,"&gt;"&amp;$O155)+1-1)/COUNTIF($B$2:$B$492,$B155))&gt;='Parametri Modello'!$B$65,"Nella Media","Scommessa/Riserva")))),"")</f>
        <v>Nella Media</v>
      </c>
      <c r="Q155" s="26">
        <f>IF(AND($D155="",$N155&gt;1),SUMPRODUCT(($D$2:$D155="")*($N$2:$N155&gt;1)),"")</f>
        <v>154</v>
      </c>
      <c r="R155" s="26" t="str">
        <f>IF($D155='Info Lega'!$B$28,COUNTIFS($D$2:$D155,'Info Lega'!$B$28),"")</f>
        <v/>
      </c>
      <c r="S155" s="27">
        <f>IFERROR(INDEX('Input Statistiche 2025_26'!$G$3:$G$665,MATCH($A155,'Input Statistiche 2025_26'!$A$3:$A$665,0)),"")</f>
        <v>6.04</v>
      </c>
      <c r="T155" s="27">
        <f>IFERROR(INDEX('Input Statistiche 2025_26'!$H$3:$H$665,MATCH($A155,'Input Statistiche 2025_26'!$A$3:$A$665,0)),"")</f>
        <v>6.56</v>
      </c>
      <c r="U155" s="23" t="str">
        <f>IF(OR('La Mia Rosa'!$O$12="",$D155&lt;&gt;""),"",IF($F155&lt;='La Mia Rosa'!$O$12*'Parametri Modello'!$B$24,"OK",IF($F155&lt;='La Mia Rosa'!$O$12*'Parametri Modello'!$B$25,"Attenzione","Rischio Alto")))</f>
        <v>OK</v>
      </c>
      <c r="V155" s="23">
        <f t="shared" si="19"/>
        <v>58</v>
      </c>
      <c r="W155" s="18">
        <f>'Info Lega'!$B$4-SUMIFS($M$2:$M$492,$D$2:$D$492,'Info Lega'!$B$28)</f>
        <v>1000</v>
      </c>
      <c r="X155" s="18">
        <f>('Info Lega'!$B$5-COUNTIFS($D$2:$D$492,'Info Lega'!$B$28,$B$2:$B$492,"P"))+('Info Lega'!$B$6-COUNTIFS($D$2:$D$492,'Info Lega'!$B$28,$B$2:$B$492,"D"))+('Info Lega'!$B$7-COUNTIFS($D$2:$D$492,'Info Lega'!$B$28,$B$2:$B$492,"C"))+('Info Lega'!$B$8-COUNTIFS($D$2:$D$492,'Info Lega'!$B$28,$B$2:$B$492,"A"))</f>
        <v>25</v>
      </c>
      <c r="Y155" s="18">
        <f>X155*'Parametri Modello'!$B$30</f>
        <v>25</v>
      </c>
      <c r="Z155" s="18">
        <f t="shared" si="20"/>
        <v>975</v>
      </c>
      <c r="AA155" s="18">
        <f t="shared" si="21"/>
        <v>3</v>
      </c>
      <c r="AB155" s="18"/>
      <c r="AC155" s="18" t="str">
        <f>IF($AB155="","",IF($AB155&gt;$AA155,"PASS",IF($AB155&lt;=$AA155*(1-'Parametri Modello'!$B$68),"BID","ATTENZIONE")))</f>
        <v/>
      </c>
      <c r="AD155" s="28">
        <f t="shared" si="22"/>
        <v>55</v>
      </c>
      <c r="AE155" s="5" t="str">
        <f>IFERROR(INDEX('Stato Asta'!$G$9:$G$12,MATCH($B155,'Stato Asta'!$A$9:$A$12,0)),"")</f>
        <v>🔴 Non aspettare</v>
      </c>
      <c r="AF155" t="str">
        <f>IFERROR(IF($V155&lt;=INDEX('Parametri Modello'!$C$57:$C$60,MATCH($B155,'Parametri Modello'!$A$57:$A$60,0)),"Titolare","Riserva"),"")</f>
        <v>Riserva</v>
      </c>
      <c r="AG155" t="str">
        <f>IFERROR(INDEX('Pressione Competitiva'!$F$3:$F$6,MATCH($B155,'Pressione Competitiva'!$B$3:$B$6,0)),"")</f>
        <v>🔴 Molto Alta</v>
      </c>
      <c r="AH155" t="str">
        <f t="shared" si="23"/>
        <v/>
      </c>
      <c r="AI155" t="str">
        <f>IFERROR(IF($AH155="","",IF($AH155&gt;=$AA155*'Parametri Modello'!$B$68,"🟢 Opportunita'",IF($AH155&lt;=$AA155*'Parametri Modello'!$B$69,"🔴 Sovrapprezzo","🟡 Prezzo Corretto"))),"")</f>
        <v/>
      </c>
      <c r="AJ155" t="str">
        <f t="shared" si="24"/>
        <v/>
      </c>
      <c r="AK155">
        <f t="shared" si="25"/>
        <v>3</v>
      </c>
      <c r="AL155" t="str">
        <f t="shared" si="26"/>
        <v>C|Nella Media|3</v>
      </c>
    </row>
    <row r="156" spans="1:38" ht="14.25" customHeight="1" x14ac:dyDescent="0.25">
      <c r="A156" s="18">
        <v>5422</v>
      </c>
      <c r="B156" s="18" t="s">
        <v>17</v>
      </c>
      <c r="C156" s="18" t="s">
        <v>295</v>
      </c>
      <c r="E156" s="23" t="str">
        <f>IF(COUNTIF('Info Strategia'!$D$2:$D$51,$C156)&gt;0,"SI","NO")</f>
        <v>NO</v>
      </c>
      <c r="F156" s="24">
        <f>IFERROR(ROUND(($G156+($H156-$G156)*'Info Strategia'!$B$6)*(1+IF($E156="SI",'Parametri Modello'!$B$7*'Info Strategia'!$B$6,0)),0),"")</f>
        <v>3</v>
      </c>
      <c r="G156" s="24">
        <f>IFERROR(ROUND(MAX(1,(IF($V156&lt;=INDEX('Parametri Modello'!$C$57:$C$60,MATCH($B156,'Parametri Modello'!$A$57:$A$60,0)),IF(INDEX('Parametri Modello'!$E$57:$E$60,MATCH($B156,'Parametri Modello'!$A$57:$A$60,0))=0,0,($O156/INDEX('Parametri Modello'!$E$57:$E$60,MATCH($B156,'Parametri Modello'!$A$57:$A$60,0)))*(INDEX('Parametri Modello'!$D$57:$D$60,MATCH($B156,'Parametri Modello'!$A$57:$A$60,0))*(INDEX('Parametri Modello'!$B$50:$B$53,MATCH($B156,'Parametri Modello'!$A$50:$A$53,0))*'Parametri Modello'!$B$44))),IF(INDEX('Parametri Modello'!$F$57:$F$60,MATCH($B156,'Parametri Modello'!$A$57:$A$60,0))=0,0,($O156/INDEX('Parametri Modello'!$F$57:$F$60,MATCH($B156,'Parametri Modello'!$A$57:$A$60,0)))*((1-INDEX('Parametri Modello'!$D$57:$D$60,MATCH($B156,'Parametri Modello'!$A$57:$A$60,0)))*(INDEX('Parametri Modello'!$B$50:$B$53,MATCH($B156,'Parametri Modello'!$A$50:$A$53,0))*'Parametri Modello'!$B$44))))*(1+IF(IF($B156="D",'Info Lega'!$B$25,IF($B156="C",'Info Lega'!$B$26,"No"))="Si",'Parametri Modello'!$B$5,0))*(1+MAX(-0.25,MIN(0.25,IF(OR($T156="",$I156="",$I156=0,INDEX('Parametri Modello'!$B$19:$B$22,MATCH($B156,'Parametri Modello'!$A$19:$A$22,0))="",INDEX('Parametri Modello'!$B$19:$B$22,MATCH($B156,'Parametri Modello'!$A$19:$A$22,0))=0),0,(($T156-INDEX('Parametri Modello'!$B$19:$B$22,MATCH($B156,'Parametri Modello'!$A$19:$A$22,0)))/INDEX('Parametri Modello'!$B$19:$B$22,MATCH($B156,'Parametri Modello'!$A$19:$A$22,0)))*'Parametri Modello'!$B$9))))*(1+IF('Parametri Modello'!$B$27="Si",MAX(-'Parametri Modello'!$B$28,MIN('Parametri Modello'!$B$28*1.5,IF(OR(INDEX('Parametri Modello'!$F$32:$F$35,MATCH($B156,'Parametri Modello'!$A$32:$A$35,0))="",INDEX('Parametri Modello'!$F$32:$F$35,MATCH($B156,'Parametri Modello'!$A$32:$A$35,0))=0),0,(1/INDEX('Parametri Modello'!$F$32:$F$35,MATCH($B156,'Parametri Modello'!$A$32:$A$35,0))-1)*'Parametri Modello'!$B$28))),0)))*(1-INDEX('Parametri Modello'!$B$12:$B$15,MATCH($B156,'Parametri Modello'!$A$12:$A$15,0)))),0),"")</f>
        <v>2</v>
      </c>
      <c r="H156" s="24">
        <f>IFERROR(ROUND((IF($V156&lt;=INDEX('Parametri Modello'!$C$57:$C$60,MATCH($B156,'Parametri Modello'!$A$57:$A$60,0)),IF(INDEX('Parametri Modello'!$E$57:$E$60,MATCH($B156,'Parametri Modello'!$A$57:$A$60,0))=0,0,($O156/INDEX('Parametri Modello'!$E$57:$E$60,MATCH($B156,'Parametri Modello'!$A$57:$A$60,0)))*(INDEX('Parametri Modello'!$D$57:$D$60,MATCH($B156,'Parametri Modello'!$A$57:$A$60,0))*(INDEX('Parametri Modello'!$B$50:$B$53,MATCH($B156,'Parametri Modello'!$A$50:$A$53,0))*'Parametri Modello'!$B$44))),IF(INDEX('Parametri Modello'!$F$57:$F$60,MATCH($B156,'Parametri Modello'!$A$57:$A$60,0))=0,0,($O156/INDEX('Parametri Modello'!$F$57:$F$60,MATCH($B156,'Parametri Modello'!$A$57:$A$60,0)))*((1-INDEX('Parametri Modello'!$D$57:$D$60,MATCH($B156,'Parametri Modello'!$A$57:$A$60,0)))*(INDEX('Parametri Modello'!$B$50:$B$53,MATCH($B156,'Parametri Modello'!$A$50:$A$53,0))*'Parametri Modello'!$B$44))))*(1+IF(IF($B156="D",'Info Lega'!$B$25,IF($B156="C",'Info Lega'!$B$26,"No"))="Si",'Parametri Modello'!$B$5,0))*(1+MAX(-0.25,MIN(0.25,IF(OR($T156="",$I156="",$I156=0,INDEX('Parametri Modello'!$B$19:$B$22,MATCH($B156,'Parametri Modello'!$A$19:$A$22,0))="",INDEX('Parametri Modello'!$B$19:$B$22,MATCH($B156,'Parametri Modello'!$A$19:$A$22,0))=0),0,(($T156-INDEX('Parametri Modello'!$B$19:$B$22,MATCH($B156,'Parametri Modello'!$A$19:$A$22,0)))/INDEX('Parametri Modello'!$B$19:$B$22,MATCH($B156,'Parametri Modello'!$A$19:$A$22,0)))*'Parametri Modello'!$B$9))))*(1+IF('Parametri Modello'!$B$27="Si",MAX(-'Parametri Modello'!$B$28,MIN('Parametri Modello'!$B$28*1.5,IF(OR(INDEX('Parametri Modello'!$F$32:$F$35,MATCH($B156,'Parametri Modello'!$A$32:$A$35,0))="",INDEX('Parametri Modello'!$F$32:$F$35,MATCH($B156,'Parametri Modello'!$A$32:$A$35,0))=0),0,(1/INDEX('Parametri Modello'!$F$32:$F$35,MATCH($B156,'Parametri Modello'!$A$32:$A$35,0))-1)*'Parametri Modello'!$B$28))),0)))*(1+INDEX('Parametri Modello'!$B$12:$B$15,MATCH($B156,'Parametri Modello'!$A$12:$A$15,0))),0),"")</f>
        <v>3</v>
      </c>
      <c r="I156" s="23">
        <f>IFERROR(INDEX('Input Statistiche 2025_26'!$F$3:$F$665,MATCH($A156,'Input Statistiche 2025_26'!$A$3:$A$665,0)),"")</f>
        <v>31</v>
      </c>
      <c r="J156" s="23">
        <f t="shared" si="18"/>
        <v>7</v>
      </c>
      <c r="K156" s="23">
        <f>IFERROR(INDEX('Input Statistiche 2025_26'!$I$3:$I$665,MATCH($A156,'Input Statistiche 2025_26'!$A$3:$A$665,0)),"")</f>
        <v>2</v>
      </c>
      <c r="L156" s="23">
        <f>IFERROR(INDEX('Input Statistiche 2025_26'!$O$3:$O$665,MATCH($A156,'Input Statistiche 2025_26'!$A$3:$A$665,0)),"")</f>
        <v>5</v>
      </c>
      <c r="M156" s="25"/>
      <c r="N156" s="24">
        <f>IFERROR(INDEX('Input Giocatori 2026_27'!$E$3:$E$493,MATCH($A156,'Input Giocatori 2026_27'!$A$3:$A$493,0)),"")</f>
        <v>6</v>
      </c>
      <c r="O156" s="24">
        <f>IFERROR(INDEX('Input Giocatori 2026_27'!$G$3:$G$493,MATCH($A156,'Input Giocatori 2026_27'!$A$3:$A$493,0)),"")</f>
        <v>21</v>
      </c>
      <c r="P156" s="23" t="str">
        <f>IFERROR(IF($O156="","",IF((1-(COUNTIFS($B$2:$B$492,$B156,$O$2:$O$492,"&gt;"&amp;$O156)+1-1)/COUNTIF($B$2:$B$492,$B156))&gt;='Parametri Modello'!$B$63,"Top",IF((1-(COUNTIFS($B$2:$B$492,$B156,$O$2:$O$492,"&gt;"&amp;$O156)+1-1)/COUNTIF($B$2:$B$492,$B156))&gt;='Parametri Modello'!$B$64,"Buono",IF((1-(COUNTIFS($B$2:$B$492,$B156,$O$2:$O$492,"&gt;"&amp;$O156)+1-1)/COUNTIF($B$2:$B$492,$B156))&gt;='Parametri Modello'!$B$65,"Nella Media","Scommessa/Riserva")))),"")</f>
        <v>Nella Media</v>
      </c>
      <c r="Q156" s="26">
        <f>IF(AND($D156="",$N156&gt;1),SUMPRODUCT(($D$2:$D156="")*($N$2:$N156&gt;1)),"")</f>
        <v>155</v>
      </c>
      <c r="R156" s="26" t="str">
        <f>IF($D156='Info Lega'!$B$28,COUNTIFS($D$2:$D156,'Info Lega'!$B$28),"")</f>
        <v/>
      </c>
      <c r="S156" s="27">
        <f>IFERROR(INDEX('Input Statistiche 2025_26'!$G$3:$G$665,MATCH($A156,'Input Statistiche 2025_26'!$A$3:$A$665,0)),"")</f>
        <v>6.1</v>
      </c>
      <c r="T156" s="27">
        <f>IFERROR(INDEX('Input Statistiche 2025_26'!$H$3:$H$665,MATCH($A156,'Input Statistiche 2025_26'!$A$3:$A$665,0)),"")</f>
        <v>6.4</v>
      </c>
      <c r="U156" s="23" t="str">
        <f>IF(OR('La Mia Rosa'!$O$12="",$D156&lt;&gt;""),"",IF($F156&lt;='La Mia Rosa'!$O$12*'Parametri Modello'!$B$24,"OK",IF($F156&lt;='La Mia Rosa'!$O$12*'Parametri Modello'!$B$25,"Attenzione","Rischio Alto")))</f>
        <v>OK</v>
      </c>
      <c r="V156" s="23">
        <f t="shared" si="19"/>
        <v>58</v>
      </c>
      <c r="W156" s="18">
        <f>'Info Lega'!$B$4-SUMIFS($M$2:$M$492,$D$2:$D$492,'Info Lega'!$B$28)</f>
        <v>1000</v>
      </c>
      <c r="X156" s="18">
        <f>('Info Lega'!$B$5-COUNTIFS($D$2:$D$492,'Info Lega'!$B$28,$B$2:$B$492,"P"))+('Info Lega'!$B$6-COUNTIFS($D$2:$D$492,'Info Lega'!$B$28,$B$2:$B$492,"D"))+('Info Lega'!$B$7-COUNTIFS($D$2:$D$492,'Info Lega'!$B$28,$B$2:$B$492,"C"))+('Info Lega'!$B$8-COUNTIFS($D$2:$D$492,'Info Lega'!$B$28,$B$2:$B$492,"A"))</f>
        <v>25</v>
      </c>
      <c r="Y156" s="18">
        <f>X156*'Parametri Modello'!$B$30</f>
        <v>25</v>
      </c>
      <c r="Z156" s="18">
        <f t="shared" si="20"/>
        <v>975</v>
      </c>
      <c r="AA156" s="18">
        <f t="shared" si="21"/>
        <v>3</v>
      </c>
      <c r="AB156" s="18"/>
      <c r="AC156" s="18" t="str">
        <f>IF($AB156="","",IF($AB156&gt;$AA156,"PASS",IF($AB156&lt;=$AA156*(1-'Parametri Modello'!$B$68),"BID","ATTENZIONE")))</f>
        <v/>
      </c>
      <c r="AD156" s="28">
        <f t="shared" si="22"/>
        <v>64</v>
      </c>
      <c r="AE156" s="5" t="str">
        <f>IFERROR(INDEX('Stato Asta'!$G$9:$G$12,MATCH($B156,'Stato Asta'!$A$9:$A$12,0)),"")</f>
        <v>🔴 Non aspettare</v>
      </c>
      <c r="AF156" t="str">
        <f>IFERROR(IF($V156&lt;=INDEX('Parametri Modello'!$C$57:$C$60,MATCH($B156,'Parametri Modello'!$A$57:$A$60,0)),"Titolare","Riserva"),"")</f>
        <v>Riserva</v>
      </c>
      <c r="AG156" t="str">
        <f>IFERROR(INDEX('Pressione Competitiva'!$F$3:$F$6,MATCH($B156,'Pressione Competitiva'!$B$3:$B$6,0)),"")</f>
        <v>🔴 Molto Alta</v>
      </c>
      <c r="AH156" t="str">
        <f t="shared" si="23"/>
        <v/>
      </c>
      <c r="AI156" t="str">
        <f>IFERROR(IF($AH156="","",IF($AH156&gt;=$AA156*'Parametri Modello'!$B$68,"🟢 Opportunita'",IF($AH156&lt;=$AA156*'Parametri Modello'!$B$69,"🔴 Sovrapprezzo","🟡 Prezzo Corretto"))),"")</f>
        <v/>
      </c>
      <c r="AJ156" t="str">
        <f t="shared" si="24"/>
        <v/>
      </c>
      <c r="AK156">
        <f t="shared" si="25"/>
        <v>3</v>
      </c>
      <c r="AL156" t="str">
        <f t="shared" si="26"/>
        <v>C|Nella Media|3</v>
      </c>
    </row>
    <row r="157" spans="1:38" ht="14.25" customHeight="1" x14ac:dyDescent="0.25">
      <c r="A157" s="18">
        <v>6669</v>
      </c>
      <c r="B157" s="18" t="s">
        <v>18</v>
      </c>
      <c r="C157" s="18" t="s">
        <v>296</v>
      </c>
      <c r="E157" s="23" t="str">
        <f>IF(COUNTIF('Info Strategia'!$D$2:$D$51,$C157)&gt;0,"SI","NO")</f>
        <v>NO</v>
      </c>
      <c r="F157" s="24">
        <f>IFERROR(ROUND(($G157+($H157-$G157)*'Info Strategia'!$B$6)*(1+IF($E157="SI",'Parametri Modello'!$B$7*'Info Strategia'!$B$6,0)),0),"")</f>
        <v>7</v>
      </c>
      <c r="G157" s="24">
        <f>IFERROR(ROUND(MAX(1,(IF($V157&lt;=INDEX('Parametri Modello'!$C$57:$C$60,MATCH($B157,'Parametri Modello'!$A$57:$A$60,0)),IF(INDEX('Parametri Modello'!$E$57:$E$60,MATCH($B157,'Parametri Modello'!$A$57:$A$60,0))=0,0,($O157/INDEX('Parametri Modello'!$E$57:$E$60,MATCH($B157,'Parametri Modello'!$A$57:$A$60,0)))*(INDEX('Parametri Modello'!$D$57:$D$60,MATCH($B157,'Parametri Modello'!$A$57:$A$60,0))*(INDEX('Parametri Modello'!$B$50:$B$53,MATCH($B157,'Parametri Modello'!$A$50:$A$53,0))*'Parametri Modello'!$B$44))),IF(INDEX('Parametri Modello'!$F$57:$F$60,MATCH($B157,'Parametri Modello'!$A$57:$A$60,0))=0,0,($O157/INDEX('Parametri Modello'!$F$57:$F$60,MATCH($B157,'Parametri Modello'!$A$57:$A$60,0)))*((1-INDEX('Parametri Modello'!$D$57:$D$60,MATCH($B157,'Parametri Modello'!$A$57:$A$60,0)))*(INDEX('Parametri Modello'!$B$50:$B$53,MATCH($B157,'Parametri Modello'!$A$50:$A$53,0))*'Parametri Modello'!$B$44))))*(1+IF(IF($B157="D",'Info Lega'!$B$25,IF($B157="C",'Info Lega'!$B$26,"No"))="Si",'Parametri Modello'!$B$5,0))*(1+MAX(-0.25,MIN(0.25,IF(OR($T157="",$I157="",$I157=0,INDEX('Parametri Modello'!$B$19:$B$22,MATCH($B157,'Parametri Modello'!$A$19:$A$22,0))="",INDEX('Parametri Modello'!$B$19:$B$22,MATCH($B157,'Parametri Modello'!$A$19:$A$22,0))=0),0,(($T157-INDEX('Parametri Modello'!$B$19:$B$22,MATCH($B157,'Parametri Modello'!$A$19:$A$22,0)))/INDEX('Parametri Modello'!$B$19:$B$22,MATCH($B157,'Parametri Modello'!$A$19:$A$22,0)))*'Parametri Modello'!$B$9))))*(1+IF('Parametri Modello'!$B$27="Si",MAX(-'Parametri Modello'!$B$28,MIN('Parametri Modello'!$B$28*1.5,IF(OR(INDEX('Parametri Modello'!$F$32:$F$35,MATCH($B157,'Parametri Modello'!$A$32:$A$35,0))="",INDEX('Parametri Modello'!$F$32:$F$35,MATCH($B157,'Parametri Modello'!$A$32:$A$35,0))=0),0,(1/INDEX('Parametri Modello'!$F$32:$F$35,MATCH($B157,'Parametri Modello'!$A$32:$A$35,0))-1)*'Parametri Modello'!$B$28))),0)))*(1-INDEX('Parametri Modello'!$B$12:$B$15,MATCH($B157,'Parametri Modello'!$A$12:$A$15,0)))),0),"")</f>
        <v>4</v>
      </c>
      <c r="H157" s="24">
        <f>IFERROR(ROUND((IF($V157&lt;=INDEX('Parametri Modello'!$C$57:$C$60,MATCH($B157,'Parametri Modello'!$A$57:$A$60,0)),IF(INDEX('Parametri Modello'!$E$57:$E$60,MATCH($B157,'Parametri Modello'!$A$57:$A$60,0))=0,0,($O157/INDEX('Parametri Modello'!$E$57:$E$60,MATCH($B157,'Parametri Modello'!$A$57:$A$60,0)))*(INDEX('Parametri Modello'!$D$57:$D$60,MATCH($B157,'Parametri Modello'!$A$57:$A$60,0))*(INDEX('Parametri Modello'!$B$50:$B$53,MATCH($B157,'Parametri Modello'!$A$50:$A$53,0))*'Parametri Modello'!$B$44))),IF(INDEX('Parametri Modello'!$F$57:$F$60,MATCH($B157,'Parametri Modello'!$A$57:$A$60,0))=0,0,($O157/INDEX('Parametri Modello'!$F$57:$F$60,MATCH($B157,'Parametri Modello'!$A$57:$A$60,0)))*((1-INDEX('Parametri Modello'!$D$57:$D$60,MATCH($B157,'Parametri Modello'!$A$57:$A$60,0)))*(INDEX('Parametri Modello'!$B$50:$B$53,MATCH($B157,'Parametri Modello'!$A$50:$A$53,0))*'Parametri Modello'!$B$44))))*(1+IF(IF($B157="D",'Info Lega'!$B$25,IF($B157="C",'Info Lega'!$B$26,"No"))="Si",'Parametri Modello'!$B$5,0))*(1+MAX(-0.25,MIN(0.25,IF(OR($T157="",$I157="",$I157=0,INDEX('Parametri Modello'!$B$19:$B$22,MATCH($B157,'Parametri Modello'!$A$19:$A$22,0))="",INDEX('Parametri Modello'!$B$19:$B$22,MATCH($B157,'Parametri Modello'!$A$19:$A$22,0))=0),0,(($T157-INDEX('Parametri Modello'!$B$19:$B$22,MATCH($B157,'Parametri Modello'!$A$19:$A$22,0)))/INDEX('Parametri Modello'!$B$19:$B$22,MATCH($B157,'Parametri Modello'!$A$19:$A$22,0)))*'Parametri Modello'!$B$9))))*(1+IF('Parametri Modello'!$B$27="Si",MAX(-'Parametri Modello'!$B$28,MIN('Parametri Modello'!$B$28*1.5,IF(OR(INDEX('Parametri Modello'!$F$32:$F$35,MATCH($B157,'Parametri Modello'!$A$32:$A$35,0))="",INDEX('Parametri Modello'!$F$32:$F$35,MATCH($B157,'Parametri Modello'!$A$32:$A$35,0))=0),0,(1/INDEX('Parametri Modello'!$F$32:$F$35,MATCH($B157,'Parametri Modello'!$A$32:$A$35,0))-1)*'Parametri Modello'!$B$28))),0)))*(1+INDEX('Parametri Modello'!$B$12:$B$15,MATCH($B157,'Parametri Modello'!$A$12:$A$15,0))),0),"")</f>
        <v>8</v>
      </c>
      <c r="I157" s="23">
        <f>IFERROR(INDEX('Input Statistiche 2025_26'!$F$3:$F$665,MATCH($A157,'Input Statistiche 2025_26'!$A$3:$A$665,0)),"")</f>
        <v>27</v>
      </c>
      <c r="J157" s="23">
        <f t="shared" si="18"/>
        <v>11</v>
      </c>
      <c r="K157" s="23">
        <f>IFERROR(INDEX('Input Statistiche 2025_26'!$I$3:$I$665,MATCH($A157,'Input Statistiche 2025_26'!$A$3:$A$665,0)),"")</f>
        <v>5</v>
      </c>
      <c r="L157" s="23">
        <f>IFERROR(INDEX('Input Statistiche 2025_26'!$O$3:$O$665,MATCH($A157,'Input Statistiche 2025_26'!$A$3:$A$665,0)),"")</f>
        <v>4</v>
      </c>
      <c r="M157" s="25"/>
      <c r="N157" s="24">
        <f>IFERROR(INDEX('Input Giocatori 2026_27'!$E$3:$E$493,MATCH($A157,'Input Giocatori 2026_27'!$A$3:$A$493,0)),"")</f>
        <v>7</v>
      </c>
      <c r="O157" s="24">
        <f>IFERROR(INDEX('Input Giocatori 2026_27'!$G$3:$G$493,MATCH($A157,'Input Giocatori 2026_27'!$A$3:$A$493,0)),"")</f>
        <v>21</v>
      </c>
      <c r="P157" s="23" t="str">
        <f>IFERROR(IF($O157="","",IF((1-(COUNTIFS($B$2:$B$492,$B157,$O$2:$O$492,"&gt;"&amp;$O157)+1-1)/COUNTIF($B$2:$B$492,$B157))&gt;='Parametri Modello'!$B$63,"Top",IF((1-(COUNTIFS($B$2:$B$492,$B157,$O$2:$O$492,"&gt;"&amp;$O157)+1-1)/COUNTIF($B$2:$B$492,$B157))&gt;='Parametri Modello'!$B$64,"Buono",IF((1-(COUNTIFS($B$2:$B$492,$B157,$O$2:$O$492,"&gt;"&amp;$O157)+1-1)/COUNTIF($B$2:$B$492,$B157))&gt;='Parametri Modello'!$B$65,"Nella Media","Scommessa/Riserva")))),"")</f>
        <v>Nella Media</v>
      </c>
      <c r="Q157" s="26">
        <f>IF(AND($D157="",$N157&gt;1),SUMPRODUCT(($D$2:$D157="")*($N$2:$N157&gt;1)),"")</f>
        <v>156</v>
      </c>
      <c r="R157" s="26" t="str">
        <f>IF($D157='Info Lega'!$B$28,COUNTIFS($D$2:$D157,'Info Lega'!$B$28),"")</f>
        <v/>
      </c>
      <c r="S157" s="27">
        <f>IFERROR(INDEX('Input Statistiche 2025_26'!$G$3:$G$665,MATCH($A157,'Input Statistiche 2025_26'!$A$3:$A$665,0)),"")</f>
        <v>6.15</v>
      </c>
      <c r="T157" s="27">
        <f>IFERROR(INDEX('Input Statistiche 2025_26'!$H$3:$H$665,MATCH($A157,'Input Statistiche 2025_26'!$A$3:$A$665,0)),"")</f>
        <v>6.83</v>
      </c>
      <c r="U157" s="23" t="str">
        <f>IF(OR('La Mia Rosa'!$O$12="",$D157&lt;&gt;""),"",IF($F157&lt;='La Mia Rosa'!$O$12*'Parametri Modello'!$B$24,"OK",IF($F157&lt;='La Mia Rosa'!$O$12*'Parametri Modello'!$B$25,"Attenzione","Rischio Alto")))</f>
        <v>OK</v>
      </c>
      <c r="V157" s="23">
        <f t="shared" si="19"/>
        <v>47</v>
      </c>
      <c r="W157" s="18">
        <f>'Info Lega'!$B$4-SUMIFS($M$2:$M$492,$D$2:$D$492,'Info Lega'!$B$28)</f>
        <v>1000</v>
      </c>
      <c r="X157" s="18">
        <f>('Info Lega'!$B$5-COUNTIFS($D$2:$D$492,'Info Lega'!$B$28,$B$2:$B$492,"P"))+('Info Lega'!$B$6-COUNTIFS($D$2:$D$492,'Info Lega'!$B$28,$B$2:$B$492,"D"))+('Info Lega'!$B$7-COUNTIFS($D$2:$D$492,'Info Lega'!$B$28,$B$2:$B$492,"C"))+('Info Lega'!$B$8-COUNTIFS($D$2:$D$492,'Info Lega'!$B$28,$B$2:$B$492,"A"))</f>
        <v>25</v>
      </c>
      <c r="Y157" s="18">
        <f>X157*'Parametri Modello'!$B$30</f>
        <v>25</v>
      </c>
      <c r="Z157" s="18">
        <f t="shared" si="20"/>
        <v>975</v>
      </c>
      <c r="AA157" s="18">
        <f t="shared" si="21"/>
        <v>7</v>
      </c>
      <c r="AB157" s="18"/>
      <c r="AC157" s="18" t="str">
        <f>IF($AB157="","",IF($AB157&gt;$AA157,"PASS",IF($AB157&lt;=$AA157*(1-'Parametri Modello'!$B$68),"BID","ATTENZIONE")))</f>
        <v/>
      </c>
      <c r="AD157" s="28">
        <f t="shared" si="22"/>
        <v>59</v>
      </c>
      <c r="AE157" s="5" t="str">
        <f>IFERROR(INDEX('Stato Asta'!$G$9:$G$12,MATCH($B157,'Stato Asta'!$A$9:$A$12,0)),"")</f>
        <v>🔴 Non aspettare</v>
      </c>
      <c r="AF157" t="str">
        <f>IFERROR(IF($V157&lt;=INDEX('Parametri Modello'!$C$57:$C$60,MATCH($B157,'Parametri Modello'!$A$57:$A$60,0)),"Titolare","Riserva"),"")</f>
        <v>Riserva</v>
      </c>
      <c r="AG157" t="str">
        <f>IFERROR(INDEX('Pressione Competitiva'!$F$3:$F$6,MATCH($B157,'Pressione Competitiva'!$B$3:$B$6,0)),"")</f>
        <v>🔴 Molto Alta</v>
      </c>
      <c r="AH157" t="str">
        <f t="shared" si="23"/>
        <v/>
      </c>
      <c r="AI157" t="str">
        <f>IFERROR(IF($AH157="","",IF($AH157&gt;=$AA157*'Parametri Modello'!$B$68,"🟢 Opportunita'",IF($AH157&lt;=$AA157*'Parametri Modello'!$B$69,"🔴 Sovrapprezzo","🟡 Prezzo Corretto"))),"")</f>
        <v/>
      </c>
      <c r="AJ157" t="str">
        <f t="shared" si="24"/>
        <v/>
      </c>
      <c r="AK157">
        <f t="shared" si="25"/>
        <v>21</v>
      </c>
      <c r="AL157" t="str">
        <f t="shared" si="26"/>
        <v>A|Nella Media|21</v>
      </c>
    </row>
    <row r="158" spans="1:38" ht="14.25" customHeight="1" x14ac:dyDescent="0.25">
      <c r="A158" s="18">
        <v>6641</v>
      </c>
      <c r="B158" s="18" t="s">
        <v>15</v>
      </c>
      <c r="C158" s="18" t="s">
        <v>297</v>
      </c>
      <c r="E158" s="23" t="str">
        <f>IF(COUNTIF('Info Strategia'!$D$2:$D$51,$C158)&gt;0,"SI","NO")</f>
        <v>NO</v>
      </c>
      <c r="F158" s="24">
        <f>IFERROR(ROUND(($G158+($H158-$G158)*'Info Strategia'!$B$6)*(1+IF($E158="SI",'Parametri Modello'!$B$7*'Info Strategia'!$B$6,0)),0),"")</f>
        <v>6</v>
      </c>
      <c r="G158" s="24">
        <f>IFERROR(ROUND(MAX(1,(IF($V158&lt;=INDEX('Parametri Modello'!$C$57:$C$60,MATCH($B158,'Parametri Modello'!$A$57:$A$60,0)),IF(INDEX('Parametri Modello'!$E$57:$E$60,MATCH($B158,'Parametri Modello'!$A$57:$A$60,0))=0,0,($O158/INDEX('Parametri Modello'!$E$57:$E$60,MATCH($B158,'Parametri Modello'!$A$57:$A$60,0)))*(INDEX('Parametri Modello'!$D$57:$D$60,MATCH($B158,'Parametri Modello'!$A$57:$A$60,0))*(INDEX('Parametri Modello'!$B$50:$B$53,MATCH($B158,'Parametri Modello'!$A$50:$A$53,0))*'Parametri Modello'!$B$44))),IF(INDEX('Parametri Modello'!$F$57:$F$60,MATCH($B158,'Parametri Modello'!$A$57:$A$60,0))=0,0,($O158/INDEX('Parametri Modello'!$F$57:$F$60,MATCH($B158,'Parametri Modello'!$A$57:$A$60,0)))*((1-INDEX('Parametri Modello'!$D$57:$D$60,MATCH($B158,'Parametri Modello'!$A$57:$A$60,0)))*(INDEX('Parametri Modello'!$B$50:$B$53,MATCH($B158,'Parametri Modello'!$A$50:$A$53,0))*'Parametri Modello'!$B$44))))*(1+IF(IF($B158="D",'Info Lega'!$B$25,IF($B158="C",'Info Lega'!$B$26,"No"))="Si",'Parametri Modello'!$B$5,0))*(1+MAX(-0.25,MIN(0.25,IF(OR($T158="",$I158="",$I158=0,INDEX('Parametri Modello'!$B$19:$B$22,MATCH($B158,'Parametri Modello'!$A$19:$A$22,0))="",INDEX('Parametri Modello'!$B$19:$B$22,MATCH($B158,'Parametri Modello'!$A$19:$A$22,0))=0),0,(($T158-INDEX('Parametri Modello'!$B$19:$B$22,MATCH($B158,'Parametri Modello'!$A$19:$A$22,0)))/INDEX('Parametri Modello'!$B$19:$B$22,MATCH($B158,'Parametri Modello'!$A$19:$A$22,0)))*'Parametri Modello'!$B$9))))*(1+IF('Parametri Modello'!$B$27="Si",MAX(-'Parametri Modello'!$B$28,MIN('Parametri Modello'!$B$28*1.5,IF(OR(INDEX('Parametri Modello'!$F$32:$F$35,MATCH($B158,'Parametri Modello'!$A$32:$A$35,0))="",INDEX('Parametri Modello'!$F$32:$F$35,MATCH($B158,'Parametri Modello'!$A$32:$A$35,0))=0),0,(1/INDEX('Parametri Modello'!$F$32:$F$35,MATCH($B158,'Parametri Modello'!$A$32:$A$35,0))-1)*'Parametri Modello'!$B$28))),0)))*(1-INDEX('Parametri Modello'!$B$12:$B$15,MATCH($B158,'Parametri Modello'!$A$12:$A$15,0)))),0),"")</f>
        <v>5</v>
      </c>
      <c r="H158" s="24">
        <f>IFERROR(ROUND((IF($V158&lt;=INDEX('Parametri Modello'!$C$57:$C$60,MATCH($B158,'Parametri Modello'!$A$57:$A$60,0)),IF(INDEX('Parametri Modello'!$E$57:$E$60,MATCH($B158,'Parametri Modello'!$A$57:$A$60,0))=0,0,($O158/INDEX('Parametri Modello'!$E$57:$E$60,MATCH($B158,'Parametri Modello'!$A$57:$A$60,0)))*(INDEX('Parametri Modello'!$D$57:$D$60,MATCH($B158,'Parametri Modello'!$A$57:$A$60,0))*(INDEX('Parametri Modello'!$B$50:$B$53,MATCH($B158,'Parametri Modello'!$A$50:$A$53,0))*'Parametri Modello'!$B$44))),IF(INDEX('Parametri Modello'!$F$57:$F$60,MATCH($B158,'Parametri Modello'!$A$57:$A$60,0))=0,0,($O158/INDEX('Parametri Modello'!$F$57:$F$60,MATCH($B158,'Parametri Modello'!$A$57:$A$60,0)))*((1-INDEX('Parametri Modello'!$D$57:$D$60,MATCH($B158,'Parametri Modello'!$A$57:$A$60,0)))*(INDEX('Parametri Modello'!$B$50:$B$53,MATCH($B158,'Parametri Modello'!$A$50:$A$53,0))*'Parametri Modello'!$B$44))))*(1+IF(IF($B158="D",'Info Lega'!$B$25,IF($B158="C",'Info Lega'!$B$26,"No"))="Si",'Parametri Modello'!$B$5,0))*(1+MAX(-0.25,MIN(0.25,IF(OR($T158="",$I158="",$I158=0,INDEX('Parametri Modello'!$B$19:$B$22,MATCH($B158,'Parametri Modello'!$A$19:$A$22,0))="",INDEX('Parametri Modello'!$B$19:$B$22,MATCH($B158,'Parametri Modello'!$A$19:$A$22,0))=0),0,(($T158-INDEX('Parametri Modello'!$B$19:$B$22,MATCH($B158,'Parametri Modello'!$A$19:$A$22,0)))/INDEX('Parametri Modello'!$B$19:$B$22,MATCH($B158,'Parametri Modello'!$A$19:$A$22,0)))*'Parametri Modello'!$B$9))))*(1+IF('Parametri Modello'!$B$27="Si",MAX(-'Parametri Modello'!$B$28,MIN('Parametri Modello'!$B$28*1.5,IF(OR(INDEX('Parametri Modello'!$F$32:$F$35,MATCH($B158,'Parametri Modello'!$A$32:$A$35,0))="",INDEX('Parametri Modello'!$F$32:$F$35,MATCH($B158,'Parametri Modello'!$A$32:$A$35,0))=0),0,(1/INDEX('Parametri Modello'!$F$32:$F$35,MATCH($B158,'Parametri Modello'!$A$32:$A$35,0))-1)*'Parametri Modello'!$B$28))),0)))*(1+INDEX('Parametri Modello'!$B$12:$B$15,MATCH($B158,'Parametri Modello'!$A$12:$A$15,0))),0),"")</f>
        <v>7</v>
      </c>
      <c r="I158" s="23">
        <f>IFERROR(INDEX('Input Statistiche 2025_26'!$F$3:$F$665,MATCH($A158,'Input Statistiche 2025_26'!$A$3:$A$665,0)),"")</f>
        <v>20</v>
      </c>
      <c r="J158" s="23">
        <f t="shared" si="18"/>
        <v>18</v>
      </c>
      <c r="K158" s="23">
        <f>IFERROR(INDEX('Input Statistiche 2025_26'!$I$3:$I$665,MATCH($A158,'Input Statistiche 2025_26'!$A$3:$A$665,0)),"")</f>
        <v>0</v>
      </c>
      <c r="L158" s="23">
        <f>IFERROR(INDEX('Input Statistiche 2025_26'!$O$3:$O$665,MATCH($A158,'Input Statistiche 2025_26'!$A$3:$A$665,0)),"")</f>
        <v>0</v>
      </c>
      <c r="M158" s="25"/>
      <c r="N158" s="24">
        <f>IFERROR(INDEX('Input Giocatori 2026_27'!$E$3:$E$493,MATCH($A158,'Input Giocatori 2026_27'!$A$3:$A$493,0)),"")</f>
        <v>7</v>
      </c>
      <c r="O158" s="24">
        <f>IFERROR(INDEX('Input Giocatori 2026_27'!$G$3:$G$493,MATCH($A158,'Input Giocatori 2026_27'!$A$3:$A$493,0)),"")</f>
        <v>20</v>
      </c>
      <c r="P158" s="23" t="str">
        <f>IFERROR(IF($O158="","",IF((1-(COUNTIFS($B$2:$B$492,$B158,$O$2:$O$492,"&gt;"&amp;$O158)+1-1)/COUNTIF($B$2:$B$492,$B158))&gt;='Parametri Modello'!$B$63,"Top",IF((1-(COUNTIFS($B$2:$B$492,$B158,$O$2:$O$492,"&gt;"&amp;$O158)+1-1)/COUNTIF($B$2:$B$492,$B158))&gt;='Parametri Modello'!$B$64,"Buono",IF((1-(COUNTIFS($B$2:$B$492,$B158,$O$2:$O$492,"&gt;"&amp;$O158)+1-1)/COUNTIF($B$2:$B$492,$B158))&gt;='Parametri Modello'!$B$65,"Nella Media","Scommessa/Riserva")))),"")</f>
        <v>Buono</v>
      </c>
      <c r="Q158" s="26">
        <f>IF(AND($D158="",$N158&gt;1),SUMPRODUCT(($D$2:$D158="")*($N$2:$N158&gt;1)),"")</f>
        <v>157</v>
      </c>
      <c r="R158" s="26" t="str">
        <f>IF($D158='Info Lega'!$B$28,COUNTIFS($D$2:$D158,'Info Lega'!$B$28),"")</f>
        <v/>
      </c>
      <c r="S158" s="27">
        <f>IFERROR(INDEX('Input Statistiche 2025_26'!$G$3:$G$665,MATCH($A158,'Input Statistiche 2025_26'!$A$3:$A$665,0)),"")</f>
        <v>6.02</v>
      </c>
      <c r="T158" s="27">
        <f>IFERROR(INDEX('Input Statistiche 2025_26'!$H$3:$H$665,MATCH($A158,'Input Statistiche 2025_26'!$A$3:$A$665,0)),"")</f>
        <v>4.75</v>
      </c>
      <c r="U158" s="23" t="str">
        <f>IF(OR('La Mia Rosa'!$O$12="",$D158&lt;&gt;""),"",IF($F158&lt;='La Mia Rosa'!$O$12*'Parametri Modello'!$B$24,"OK",IF($F158&lt;='La Mia Rosa'!$O$12*'Parametri Modello'!$B$25,"Attenzione","Rischio Alto")))</f>
        <v>OK</v>
      </c>
      <c r="V158" s="23">
        <f t="shared" si="19"/>
        <v>14</v>
      </c>
      <c r="W158" s="18">
        <f>'Info Lega'!$B$4-SUMIFS($M$2:$M$492,$D$2:$D$492,'Info Lega'!$B$28)</f>
        <v>1000</v>
      </c>
      <c r="X158" s="18">
        <f>('Info Lega'!$B$5-COUNTIFS($D$2:$D$492,'Info Lega'!$B$28,$B$2:$B$492,"P"))+('Info Lega'!$B$6-COUNTIFS($D$2:$D$492,'Info Lega'!$B$28,$B$2:$B$492,"D"))+('Info Lega'!$B$7-COUNTIFS($D$2:$D$492,'Info Lega'!$B$28,$B$2:$B$492,"C"))+('Info Lega'!$B$8-COUNTIFS($D$2:$D$492,'Info Lega'!$B$28,$B$2:$B$492,"A"))</f>
        <v>25</v>
      </c>
      <c r="Y158" s="18">
        <f>X158*'Parametri Modello'!$B$30</f>
        <v>25</v>
      </c>
      <c r="Z158" s="18">
        <f t="shared" si="20"/>
        <v>975</v>
      </c>
      <c r="AA158" s="18">
        <f t="shared" si="21"/>
        <v>6</v>
      </c>
      <c r="AB158" s="18"/>
      <c r="AC158" s="18" t="str">
        <f>IF($AB158="","",IF($AB158&gt;$AA158,"PASS",IF($AB158&lt;=$AA158*(1-'Parametri Modello'!$B$68),"BID","ATTENZIONE")))</f>
        <v/>
      </c>
      <c r="AD158" s="28">
        <f t="shared" si="22"/>
        <v>49</v>
      </c>
      <c r="AE158" s="5" t="str">
        <f>IFERROR(INDEX('Stato Asta'!$G$9:$G$12,MATCH($B158,'Stato Asta'!$A$9:$A$12,0)),"")</f>
        <v>🔴 Non aspettare</v>
      </c>
      <c r="AF158" t="str">
        <f>IFERROR(IF($V158&lt;=INDEX('Parametri Modello'!$C$57:$C$60,MATCH($B158,'Parametri Modello'!$A$57:$A$60,0)),"Titolare","Riserva"),"")</f>
        <v>Riserva</v>
      </c>
      <c r="AG158" t="str">
        <f>IFERROR(INDEX('Pressione Competitiva'!$F$3:$F$6,MATCH($B158,'Pressione Competitiva'!$B$3:$B$6,0)),"")</f>
        <v>🔴 Molto Alta</v>
      </c>
      <c r="AH158" t="str">
        <f t="shared" si="23"/>
        <v/>
      </c>
      <c r="AI158" t="str">
        <f>IFERROR(IF($AH158="","",IF($AH158&gt;=$AA158*'Parametri Modello'!$B$68,"🟢 Opportunita'",IF($AH158&lt;=$AA158*'Parametri Modello'!$B$69,"🔴 Sovrapprezzo","🟡 Prezzo Corretto"))),"")</f>
        <v/>
      </c>
      <c r="AJ158" t="str">
        <f t="shared" si="24"/>
        <v/>
      </c>
      <c r="AK158">
        <f t="shared" si="25"/>
        <v>7</v>
      </c>
      <c r="AL158" t="str">
        <f t="shared" si="26"/>
        <v>P|Buono|7</v>
      </c>
    </row>
    <row r="159" spans="1:38" ht="14.25" customHeight="1" x14ac:dyDescent="0.25">
      <c r="A159" s="18">
        <v>4210</v>
      </c>
      <c r="B159" s="18" t="s">
        <v>16</v>
      </c>
      <c r="C159" s="18" t="s">
        <v>298</v>
      </c>
      <c r="E159" s="23" t="str">
        <f>IF(COUNTIF('Info Strategia'!$D$2:$D$51,$C159)&gt;0,"SI","NO")</f>
        <v>NO</v>
      </c>
      <c r="F159" s="24">
        <f>IFERROR(ROUND(($G159+($H159-$G159)*'Info Strategia'!$B$6)*(1+IF($E159="SI",'Parametri Modello'!$B$7*'Info Strategia'!$B$6,0)),0),"")</f>
        <v>4</v>
      </c>
      <c r="G159" s="24">
        <f>IFERROR(ROUND(MAX(1,(IF($V159&lt;=INDEX('Parametri Modello'!$C$57:$C$60,MATCH($B159,'Parametri Modello'!$A$57:$A$60,0)),IF(INDEX('Parametri Modello'!$E$57:$E$60,MATCH($B159,'Parametri Modello'!$A$57:$A$60,0))=0,0,($O159/INDEX('Parametri Modello'!$E$57:$E$60,MATCH($B159,'Parametri Modello'!$A$57:$A$60,0)))*(INDEX('Parametri Modello'!$D$57:$D$60,MATCH($B159,'Parametri Modello'!$A$57:$A$60,0))*(INDEX('Parametri Modello'!$B$50:$B$53,MATCH($B159,'Parametri Modello'!$A$50:$A$53,0))*'Parametri Modello'!$B$44))),IF(INDEX('Parametri Modello'!$F$57:$F$60,MATCH($B159,'Parametri Modello'!$A$57:$A$60,0))=0,0,($O159/INDEX('Parametri Modello'!$F$57:$F$60,MATCH($B159,'Parametri Modello'!$A$57:$A$60,0)))*((1-INDEX('Parametri Modello'!$D$57:$D$60,MATCH($B159,'Parametri Modello'!$A$57:$A$60,0)))*(INDEX('Parametri Modello'!$B$50:$B$53,MATCH($B159,'Parametri Modello'!$A$50:$A$53,0))*'Parametri Modello'!$B$44))))*(1+IF(IF($B159="D",'Info Lega'!$B$25,IF($B159="C",'Info Lega'!$B$26,"No"))="Si",'Parametri Modello'!$B$5,0))*(1+MAX(-0.25,MIN(0.25,IF(OR($T159="",$I159="",$I159=0,INDEX('Parametri Modello'!$B$19:$B$22,MATCH($B159,'Parametri Modello'!$A$19:$A$22,0))="",INDEX('Parametri Modello'!$B$19:$B$22,MATCH($B159,'Parametri Modello'!$A$19:$A$22,0))=0),0,(($T159-INDEX('Parametri Modello'!$B$19:$B$22,MATCH($B159,'Parametri Modello'!$A$19:$A$22,0)))/INDEX('Parametri Modello'!$B$19:$B$22,MATCH($B159,'Parametri Modello'!$A$19:$A$22,0)))*'Parametri Modello'!$B$9))))*(1+IF('Parametri Modello'!$B$27="Si",MAX(-'Parametri Modello'!$B$28,MIN('Parametri Modello'!$B$28*1.5,IF(OR(INDEX('Parametri Modello'!$F$32:$F$35,MATCH($B159,'Parametri Modello'!$A$32:$A$35,0))="",INDEX('Parametri Modello'!$F$32:$F$35,MATCH($B159,'Parametri Modello'!$A$32:$A$35,0))=0),0,(1/INDEX('Parametri Modello'!$F$32:$F$35,MATCH($B159,'Parametri Modello'!$A$32:$A$35,0))-1)*'Parametri Modello'!$B$28))),0)))*(1-INDEX('Parametri Modello'!$B$12:$B$15,MATCH($B159,'Parametri Modello'!$A$12:$A$15,0)))),0),"")</f>
        <v>3</v>
      </c>
      <c r="H159" s="24">
        <f>IFERROR(ROUND((IF($V159&lt;=INDEX('Parametri Modello'!$C$57:$C$60,MATCH($B159,'Parametri Modello'!$A$57:$A$60,0)),IF(INDEX('Parametri Modello'!$E$57:$E$60,MATCH($B159,'Parametri Modello'!$A$57:$A$60,0))=0,0,($O159/INDEX('Parametri Modello'!$E$57:$E$60,MATCH($B159,'Parametri Modello'!$A$57:$A$60,0)))*(INDEX('Parametri Modello'!$D$57:$D$60,MATCH($B159,'Parametri Modello'!$A$57:$A$60,0))*(INDEX('Parametri Modello'!$B$50:$B$53,MATCH($B159,'Parametri Modello'!$A$50:$A$53,0))*'Parametri Modello'!$B$44))),IF(INDEX('Parametri Modello'!$F$57:$F$60,MATCH($B159,'Parametri Modello'!$A$57:$A$60,0))=0,0,($O159/INDEX('Parametri Modello'!$F$57:$F$60,MATCH($B159,'Parametri Modello'!$A$57:$A$60,0)))*((1-INDEX('Parametri Modello'!$D$57:$D$60,MATCH($B159,'Parametri Modello'!$A$57:$A$60,0)))*(INDEX('Parametri Modello'!$B$50:$B$53,MATCH($B159,'Parametri Modello'!$A$50:$A$53,0))*'Parametri Modello'!$B$44))))*(1+IF(IF($B159="D",'Info Lega'!$B$25,IF($B159="C",'Info Lega'!$B$26,"No"))="Si",'Parametri Modello'!$B$5,0))*(1+MAX(-0.25,MIN(0.25,IF(OR($T159="",$I159="",$I159=0,INDEX('Parametri Modello'!$B$19:$B$22,MATCH($B159,'Parametri Modello'!$A$19:$A$22,0))="",INDEX('Parametri Modello'!$B$19:$B$22,MATCH($B159,'Parametri Modello'!$A$19:$A$22,0))=0),0,(($T159-INDEX('Parametri Modello'!$B$19:$B$22,MATCH($B159,'Parametri Modello'!$A$19:$A$22,0)))/INDEX('Parametri Modello'!$B$19:$B$22,MATCH($B159,'Parametri Modello'!$A$19:$A$22,0)))*'Parametri Modello'!$B$9))))*(1+IF('Parametri Modello'!$B$27="Si",MAX(-'Parametri Modello'!$B$28,MIN('Parametri Modello'!$B$28*1.5,IF(OR(INDEX('Parametri Modello'!$F$32:$F$35,MATCH($B159,'Parametri Modello'!$A$32:$A$35,0))="",INDEX('Parametri Modello'!$F$32:$F$35,MATCH($B159,'Parametri Modello'!$A$32:$A$35,0))=0),0,(1/INDEX('Parametri Modello'!$F$32:$F$35,MATCH($B159,'Parametri Modello'!$A$32:$A$35,0))-1)*'Parametri Modello'!$B$28))),0)))*(1+INDEX('Parametri Modello'!$B$12:$B$15,MATCH($B159,'Parametri Modello'!$A$12:$A$15,0))),0),"")</f>
        <v>4</v>
      </c>
      <c r="I159" s="23">
        <f>IFERROR(INDEX('Input Statistiche 2025_26'!$F$3:$F$665,MATCH($A159,'Input Statistiche 2025_26'!$A$3:$A$665,0)),"")</f>
        <v>26</v>
      </c>
      <c r="J159" s="23">
        <f t="shared" si="18"/>
        <v>12</v>
      </c>
      <c r="K159" s="23">
        <f>IFERROR(INDEX('Input Statistiche 2025_26'!$I$3:$I$665,MATCH($A159,'Input Statistiche 2025_26'!$A$3:$A$665,0)),"")</f>
        <v>2</v>
      </c>
      <c r="L159" s="23">
        <f>IFERROR(INDEX('Input Statistiche 2025_26'!$O$3:$O$665,MATCH($A159,'Input Statistiche 2025_26'!$A$3:$A$665,0)),"")</f>
        <v>1</v>
      </c>
      <c r="M159" s="25"/>
      <c r="N159" s="24">
        <f>IFERROR(INDEX('Input Giocatori 2026_27'!$E$3:$E$493,MATCH($A159,'Input Giocatori 2026_27'!$A$3:$A$493,0)),"")</f>
        <v>8</v>
      </c>
      <c r="O159" s="24">
        <f>IFERROR(INDEX('Input Giocatori 2026_27'!$G$3:$G$493,MATCH($A159,'Input Giocatori 2026_27'!$A$3:$A$493,0)),"")</f>
        <v>20</v>
      </c>
      <c r="P159" s="23" t="str">
        <f>IFERROR(IF($O159="","",IF((1-(COUNTIFS($B$2:$B$492,$B159,$O$2:$O$492,"&gt;"&amp;$O159)+1-1)/COUNTIF($B$2:$B$492,$B159))&gt;='Parametri Modello'!$B$63,"Top",IF((1-(COUNTIFS($B$2:$B$492,$B159,$O$2:$O$492,"&gt;"&amp;$O159)+1-1)/COUNTIF($B$2:$B$492,$B159))&gt;='Parametri Modello'!$B$64,"Buono",IF((1-(COUNTIFS($B$2:$B$492,$B159,$O$2:$O$492,"&gt;"&amp;$O159)+1-1)/COUNTIF($B$2:$B$492,$B159))&gt;='Parametri Modello'!$B$65,"Nella Media","Scommessa/Riserva")))),"")</f>
        <v>Buono</v>
      </c>
      <c r="Q159" s="26">
        <f>IF(AND($D159="",$N159&gt;1),SUMPRODUCT(($D$2:$D159="")*($N$2:$N159&gt;1)),"")</f>
        <v>158</v>
      </c>
      <c r="R159" s="26" t="str">
        <f>IF($D159='Info Lega'!$B$28,COUNTIFS($D$2:$D159,'Info Lega'!$B$28),"")</f>
        <v/>
      </c>
      <c r="S159" s="27">
        <f>IFERROR(INDEX('Input Statistiche 2025_26'!$G$3:$G$665,MATCH($A159,'Input Statistiche 2025_26'!$A$3:$A$665,0)),"")</f>
        <v>6</v>
      </c>
      <c r="T159" s="27">
        <f>IFERROR(INDEX('Input Statistiche 2025_26'!$H$3:$H$665,MATCH($A159,'Input Statistiche 2025_26'!$A$3:$A$665,0)),"")</f>
        <v>6.17</v>
      </c>
      <c r="U159" s="23" t="str">
        <f>IF(OR('La Mia Rosa'!$O$12="",$D159&lt;&gt;""),"",IF($F159&lt;='La Mia Rosa'!$O$12*'Parametri Modello'!$B$24,"OK",IF($F159&lt;='La Mia Rosa'!$O$12*'Parametri Modello'!$B$25,"Attenzione","Rischio Alto")))</f>
        <v>OK</v>
      </c>
      <c r="V159" s="23">
        <f t="shared" si="19"/>
        <v>38</v>
      </c>
      <c r="W159" s="18">
        <f>'Info Lega'!$B$4-SUMIFS($M$2:$M$492,$D$2:$D$492,'Info Lega'!$B$28)</f>
        <v>1000</v>
      </c>
      <c r="X159" s="18">
        <f>('Info Lega'!$B$5-COUNTIFS($D$2:$D$492,'Info Lega'!$B$28,$B$2:$B$492,"P"))+('Info Lega'!$B$6-COUNTIFS($D$2:$D$492,'Info Lega'!$B$28,$B$2:$B$492,"D"))+('Info Lega'!$B$7-COUNTIFS($D$2:$D$492,'Info Lega'!$B$28,$B$2:$B$492,"C"))+('Info Lega'!$B$8-COUNTIFS($D$2:$D$492,'Info Lega'!$B$28,$B$2:$B$492,"A"))</f>
        <v>25</v>
      </c>
      <c r="Y159" s="18">
        <f>X159*'Parametri Modello'!$B$30</f>
        <v>25</v>
      </c>
      <c r="Z159" s="18">
        <f t="shared" si="20"/>
        <v>975</v>
      </c>
      <c r="AA159" s="18">
        <f t="shared" si="21"/>
        <v>4</v>
      </c>
      <c r="AB159" s="18"/>
      <c r="AC159" s="18" t="str">
        <f>IF($AB159="","",IF($AB159&gt;$AA159,"PASS",IF($AB159&lt;=$AA159*(1-'Parametri Modello'!$B$68),"BID","ATTENZIONE")))</f>
        <v/>
      </c>
      <c r="AD159" s="28">
        <f t="shared" si="22"/>
        <v>58</v>
      </c>
      <c r="AE159" s="5" t="str">
        <f>IFERROR(INDEX('Stato Asta'!$G$9:$G$12,MATCH($B159,'Stato Asta'!$A$9:$A$12,0)),"")</f>
        <v>🔴 Non aspettare</v>
      </c>
      <c r="AF159" t="str">
        <f>IFERROR(IF($V159&lt;=INDEX('Parametri Modello'!$C$57:$C$60,MATCH($B159,'Parametri Modello'!$A$57:$A$60,0)),"Titolare","Riserva"),"")</f>
        <v>Riserva</v>
      </c>
      <c r="AG159" t="str">
        <f>IFERROR(INDEX('Pressione Competitiva'!$F$3:$F$6,MATCH($B159,'Pressione Competitiva'!$B$3:$B$6,0)),"")</f>
        <v>🔴 Molto Alta</v>
      </c>
      <c r="AH159" t="str">
        <f t="shared" si="23"/>
        <v/>
      </c>
      <c r="AI159" t="str">
        <f>IFERROR(IF($AH159="","",IF($AH159&gt;=$AA159*'Parametri Modello'!$B$68,"🟢 Opportunita'",IF($AH159&lt;=$AA159*'Parametri Modello'!$B$69,"🔴 Sovrapprezzo","🟡 Prezzo Corretto"))),"")</f>
        <v/>
      </c>
      <c r="AJ159" t="str">
        <f t="shared" si="24"/>
        <v/>
      </c>
      <c r="AK159">
        <f t="shared" si="25"/>
        <v>20</v>
      </c>
      <c r="AL159" t="str">
        <f t="shared" si="26"/>
        <v>D|Buono|20</v>
      </c>
    </row>
    <row r="160" spans="1:38" ht="14.25" customHeight="1" x14ac:dyDescent="0.25">
      <c r="A160" s="18">
        <v>7529</v>
      </c>
      <c r="B160" s="18" t="s">
        <v>16</v>
      </c>
      <c r="C160" s="18" t="s">
        <v>299</v>
      </c>
      <c r="E160" s="23" t="str">
        <f>IF(COUNTIF('Info Strategia'!$D$2:$D$51,$C160)&gt;0,"SI","NO")</f>
        <v>NO</v>
      </c>
      <c r="F160" s="24">
        <f>IFERROR(ROUND(($G160+($H160-$G160)*'Info Strategia'!$B$6)*(1+IF($E160="SI",'Parametri Modello'!$B$7*'Info Strategia'!$B$6,0)),0),"")</f>
        <v>4</v>
      </c>
      <c r="G160" s="24">
        <f>IFERROR(ROUND(MAX(1,(IF($V160&lt;=INDEX('Parametri Modello'!$C$57:$C$60,MATCH($B160,'Parametri Modello'!$A$57:$A$60,0)),IF(INDEX('Parametri Modello'!$E$57:$E$60,MATCH($B160,'Parametri Modello'!$A$57:$A$60,0))=0,0,($O160/INDEX('Parametri Modello'!$E$57:$E$60,MATCH($B160,'Parametri Modello'!$A$57:$A$60,0)))*(INDEX('Parametri Modello'!$D$57:$D$60,MATCH($B160,'Parametri Modello'!$A$57:$A$60,0))*(INDEX('Parametri Modello'!$B$50:$B$53,MATCH($B160,'Parametri Modello'!$A$50:$A$53,0))*'Parametri Modello'!$B$44))),IF(INDEX('Parametri Modello'!$F$57:$F$60,MATCH($B160,'Parametri Modello'!$A$57:$A$60,0))=0,0,($O160/INDEX('Parametri Modello'!$F$57:$F$60,MATCH($B160,'Parametri Modello'!$A$57:$A$60,0)))*((1-INDEX('Parametri Modello'!$D$57:$D$60,MATCH($B160,'Parametri Modello'!$A$57:$A$60,0)))*(INDEX('Parametri Modello'!$B$50:$B$53,MATCH($B160,'Parametri Modello'!$A$50:$A$53,0))*'Parametri Modello'!$B$44))))*(1+IF(IF($B160="D",'Info Lega'!$B$25,IF($B160="C",'Info Lega'!$B$26,"No"))="Si",'Parametri Modello'!$B$5,0))*(1+MAX(-0.25,MIN(0.25,IF(OR($T160="",$I160="",$I160=0,INDEX('Parametri Modello'!$B$19:$B$22,MATCH($B160,'Parametri Modello'!$A$19:$A$22,0))="",INDEX('Parametri Modello'!$B$19:$B$22,MATCH($B160,'Parametri Modello'!$A$19:$A$22,0))=0),0,(($T160-INDEX('Parametri Modello'!$B$19:$B$22,MATCH($B160,'Parametri Modello'!$A$19:$A$22,0)))/INDEX('Parametri Modello'!$B$19:$B$22,MATCH($B160,'Parametri Modello'!$A$19:$A$22,0)))*'Parametri Modello'!$B$9))))*(1+IF('Parametri Modello'!$B$27="Si",MAX(-'Parametri Modello'!$B$28,MIN('Parametri Modello'!$B$28*1.5,IF(OR(INDEX('Parametri Modello'!$F$32:$F$35,MATCH($B160,'Parametri Modello'!$A$32:$A$35,0))="",INDEX('Parametri Modello'!$F$32:$F$35,MATCH($B160,'Parametri Modello'!$A$32:$A$35,0))=0),0,(1/INDEX('Parametri Modello'!$F$32:$F$35,MATCH($B160,'Parametri Modello'!$A$32:$A$35,0))-1)*'Parametri Modello'!$B$28))),0)))*(1-INDEX('Parametri Modello'!$B$12:$B$15,MATCH($B160,'Parametri Modello'!$A$12:$A$15,0)))),0),"")</f>
        <v>3</v>
      </c>
      <c r="H160" s="24">
        <f>IFERROR(ROUND((IF($V160&lt;=INDEX('Parametri Modello'!$C$57:$C$60,MATCH($B160,'Parametri Modello'!$A$57:$A$60,0)),IF(INDEX('Parametri Modello'!$E$57:$E$60,MATCH($B160,'Parametri Modello'!$A$57:$A$60,0))=0,0,($O160/INDEX('Parametri Modello'!$E$57:$E$60,MATCH($B160,'Parametri Modello'!$A$57:$A$60,0)))*(INDEX('Parametri Modello'!$D$57:$D$60,MATCH($B160,'Parametri Modello'!$A$57:$A$60,0))*(INDEX('Parametri Modello'!$B$50:$B$53,MATCH($B160,'Parametri Modello'!$A$50:$A$53,0))*'Parametri Modello'!$B$44))),IF(INDEX('Parametri Modello'!$F$57:$F$60,MATCH($B160,'Parametri Modello'!$A$57:$A$60,0))=0,0,($O160/INDEX('Parametri Modello'!$F$57:$F$60,MATCH($B160,'Parametri Modello'!$A$57:$A$60,0)))*((1-INDEX('Parametri Modello'!$D$57:$D$60,MATCH($B160,'Parametri Modello'!$A$57:$A$60,0)))*(INDEX('Parametri Modello'!$B$50:$B$53,MATCH($B160,'Parametri Modello'!$A$50:$A$53,0))*'Parametri Modello'!$B$44))))*(1+IF(IF($B160="D",'Info Lega'!$B$25,IF($B160="C",'Info Lega'!$B$26,"No"))="Si",'Parametri Modello'!$B$5,0))*(1+MAX(-0.25,MIN(0.25,IF(OR($T160="",$I160="",$I160=0,INDEX('Parametri Modello'!$B$19:$B$22,MATCH($B160,'Parametri Modello'!$A$19:$A$22,0))="",INDEX('Parametri Modello'!$B$19:$B$22,MATCH($B160,'Parametri Modello'!$A$19:$A$22,0))=0),0,(($T160-INDEX('Parametri Modello'!$B$19:$B$22,MATCH($B160,'Parametri Modello'!$A$19:$A$22,0)))/INDEX('Parametri Modello'!$B$19:$B$22,MATCH($B160,'Parametri Modello'!$A$19:$A$22,0)))*'Parametri Modello'!$B$9))))*(1+IF('Parametri Modello'!$B$27="Si",MAX(-'Parametri Modello'!$B$28,MIN('Parametri Modello'!$B$28*1.5,IF(OR(INDEX('Parametri Modello'!$F$32:$F$35,MATCH($B160,'Parametri Modello'!$A$32:$A$35,0))="",INDEX('Parametri Modello'!$F$32:$F$35,MATCH($B160,'Parametri Modello'!$A$32:$A$35,0))=0),0,(1/INDEX('Parametri Modello'!$F$32:$F$35,MATCH($B160,'Parametri Modello'!$A$32:$A$35,0))-1)*'Parametri Modello'!$B$28))),0)))*(1+INDEX('Parametri Modello'!$B$12:$B$15,MATCH($B160,'Parametri Modello'!$A$12:$A$15,0))),0),"")</f>
        <v>4</v>
      </c>
      <c r="I160" s="23" t="str">
        <f>IFERROR(INDEX('Input Statistiche 2025_26'!$F$3:$F$665,MATCH($A160,'Input Statistiche 2025_26'!$A$3:$A$665,0)),"")</f>
        <v/>
      </c>
      <c r="J160" s="23" t="str">
        <f t="shared" si="18"/>
        <v/>
      </c>
      <c r="K160" s="23" t="str">
        <f>IFERROR(INDEX('Input Statistiche 2025_26'!$I$3:$I$665,MATCH($A160,'Input Statistiche 2025_26'!$A$3:$A$665,0)),"")</f>
        <v/>
      </c>
      <c r="L160" s="23" t="str">
        <f>IFERROR(INDEX('Input Statistiche 2025_26'!$O$3:$O$665,MATCH($A160,'Input Statistiche 2025_26'!$A$3:$A$665,0)),"")</f>
        <v/>
      </c>
      <c r="M160" s="25"/>
      <c r="N160" s="24">
        <f>IFERROR(INDEX('Input Giocatori 2026_27'!$E$3:$E$493,MATCH($A160,'Input Giocatori 2026_27'!$A$3:$A$493,0)),"")</f>
        <v>8</v>
      </c>
      <c r="O160" s="24">
        <f>IFERROR(INDEX('Input Giocatori 2026_27'!$G$3:$G$493,MATCH($A160,'Input Giocatori 2026_27'!$A$3:$A$493,0)),"")</f>
        <v>20</v>
      </c>
      <c r="P160" s="23" t="str">
        <f>IFERROR(IF($O160="","",IF((1-(COUNTIFS($B$2:$B$492,$B160,$O$2:$O$492,"&gt;"&amp;$O160)+1-1)/COUNTIF($B$2:$B$492,$B160))&gt;='Parametri Modello'!$B$63,"Top",IF((1-(COUNTIFS($B$2:$B$492,$B160,$O$2:$O$492,"&gt;"&amp;$O160)+1-1)/COUNTIF($B$2:$B$492,$B160))&gt;='Parametri Modello'!$B$64,"Buono",IF((1-(COUNTIFS($B$2:$B$492,$B160,$O$2:$O$492,"&gt;"&amp;$O160)+1-1)/COUNTIF($B$2:$B$492,$B160))&gt;='Parametri Modello'!$B$65,"Nella Media","Scommessa/Riserva")))),"")</f>
        <v>Buono</v>
      </c>
      <c r="Q160" s="26">
        <f>IF(AND($D160="",$N160&gt;1),SUMPRODUCT(($D$2:$D160="")*($N$2:$N160&gt;1)),"")</f>
        <v>159</v>
      </c>
      <c r="R160" s="26" t="str">
        <f>IF($D160='Info Lega'!$B$28,COUNTIFS($D$2:$D160,'Info Lega'!$B$28),"")</f>
        <v/>
      </c>
      <c r="S160" s="27" t="str">
        <f>IFERROR(INDEX('Input Statistiche 2025_26'!$G$3:$G$665,MATCH($A160,'Input Statistiche 2025_26'!$A$3:$A$665,0)),"")</f>
        <v/>
      </c>
      <c r="T160" s="27" t="str">
        <f>IFERROR(INDEX('Input Statistiche 2025_26'!$H$3:$H$665,MATCH($A160,'Input Statistiche 2025_26'!$A$3:$A$665,0)),"")</f>
        <v/>
      </c>
      <c r="U160" s="23" t="str">
        <f>IF(OR('La Mia Rosa'!$O$12="",$D160&lt;&gt;""),"",IF($F160&lt;='La Mia Rosa'!$O$12*'Parametri Modello'!$B$24,"OK",IF($F160&lt;='La Mia Rosa'!$O$12*'Parametri Modello'!$B$25,"Attenzione","Rischio Alto")))</f>
        <v>OK</v>
      </c>
      <c r="V160" s="23">
        <f t="shared" si="19"/>
        <v>38</v>
      </c>
      <c r="W160" s="18">
        <f>'Info Lega'!$B$4-SUMIFS($M$2:$M$492,$D$2:$D$492,'Info Lega'!$B$28)</f>
        <v>1000</v>
      </c>
      <c r="X160" s="18">
        <f>('Info Lega'!$B$5-COUNTIFS($D$2:$D$492,'Info Lega'!$B$28,$B$2:$B$492,"P"))+('Info Lega'!$B$6-COUNTIFS($D$2:$D$492,'Info Lega'!$B$28,$B$2:$B$492,"D"))+('Info Lega'!$B$7-COUNTIFS($D$2:$D$492,'Info Lega'!$B$28,$B$2:$B$492,"C"))+('Info Lega'!$B$8-COUNTIFS($D$2:$D$492,'Info Lega'!$B$28,$B$2:$B$492,"A"))</f>
        <v>25</v>
      </c>
      <c r="Y160" s="18">
        <f>X160*'Parametri Modello'!$B$30</f>
        <v>25</v>
      </c>
      <c r="Z160" s="18">
        <f t="shared" si="20"/>
        <v>975</v>
      </c>
      <c r="AA160" s="18">
        <f t="shared" si="21"/>
        <v>4</v>
      </c>
      <c r="AB160" s="18"/>
      <c r="AC160" s="18" t="str">
        <f>IF($AB160="","",IF($AB160&gt;$AA160,"PASS",IF($AB160&lt;=$AA160*(1-'Parametri Modello'!$B$68),"BID","ATTENZIONE")))</f>
        <v/>
      </c>
      <c r="AD160" s="28" t="str">
        <f t="shared" si="22"/>
        <v/>
      </c>
      <c r="AE160" s="5" t="str">
        <f>IFERROR(INDEX('Stato Asta'!$G$9:$G$12,MATCH($B160,'Stato Asta'!$A$9:$A$12,0)),"")</f>
        <v>🔴 Non aspettare</v>
      </c>
      <c r="AF160" t="str">
        <f>IFERROR(IF($V160&lt;=INDEX('Parametri Modello'!$C$57:$C$60,MATCH($B160,'Parametri Modello'!$A$57:$A$60,0)),"Titolare","Riserva"),"")</f>
        <v>Riserva</v>
      </c>
      <c r="AG160" t="str">
        <f>IFERROR(INDEX('Pressione Competitiva'!$F$3:$F$6,MATCH($B160,'Pressione Competitiva'!$B$3:$B$6,0)),"")</f>
        <v>🔴 Molto Alta</v>
      </c>
      <c r="AH160" t="str">
        <f t="shared" si="23"/>
        <v/>
      </c>
      <c r="AI160" t="str">
        <f>IFERROR(IF($AH160="","",IF($AH160&gt;=$AA160*'Parametri Modello'!$B$68,"🟢 Opportunita'",IF($AH160&lt;=$AA160*'Parametri Modello'!$B$69,"🔴 Sovrapprezzo","🟡 Prezzo Corretto"))),"")</f>
        <v/>
      </c>
      <c r="AJ160" t="str">
        <f t="shared" si="24"/>
        <v/>
      </c>
      <c r="AK160">
        <f t="shared" si="25"/>
        <v>20</v>
      </c>
      <c r="AL160" t="str">
        <f t="shared" si="26"/>
        <v>D|Buono|20</v>
      </c>
    </row>
    <row r="161" spans="1:38" ht="14.25" customHeight="1" x14ac:dyDescent="0.25">
      <c r="A161" s="18">
        <v>4751</v>
      </c>
      <c r="B161" s="18" t="s">
        <v>16</v>
      </c>
      <c r="C161" s="18" t="s">
        <v>300</v>
      </c>
      <c r="E161" s="23" t="str">
        <f>IF(COUNTIF('Info Strategia'!$D$2:$D$51,$C161)&gt;0,"SI","NO")</f>
        <v>NO</v>
      </c>
      <c r="F161" s="24">
        <f>IFERROR(ROUND(($G161+($H161-$G161)*'Info Strategia'!$B$6)*(1+IF($E161="SI",'Parametri Modello'!$B$7*'Info Strategia'!$B$6,0)),0),"")</f>
        <v>4</v>
      </c>
      <c r="G161" s="24">
        <f>IFERROR(ROUND(MAX(1,(IF($V161&lt;=INDEX('Parametri Modello'!$C$57:$C$60,MATCH($B161,'Parametri Modello'!$A$57:$A$60,0)),IF(INDEX('Parametri Modello'!$E$57:$E$60,MATCH($B161,'Parametri Modello'!$A$57:$A$60,0))=0,0,($O161/INDEX('Parametri Modello'!$E$57:$E$60,MATCH($B161,'Parametri Modello'!$A$57:$A$60,0)))*(INDEX('Parametri Modello'!$D$57:$D$60,MATCH($B161,'Parametri Modello'!$A$57:$A$60,0))*(INDEX('Parametri Modello'!$B$50:$B$53,MATCH($B161,'Parametri Modello'!$A$50:$A$53,0))*'Parametri Modello'!$B$44))),IF(INDEX('Parametri Modello'!$F$57:$F$60,MATCH($B161,'Parametri Modello'!$A$57:$A$60,0))=0,0,($O161/INDEX('Parametri Modello'!$F$57:$F$60,MATCH($B161,'Parametri Modello'!$A$57:$A$60,0)))*((1-INDEX('Parametri Modello'!$D$57:$D$60,MATCH($B161,'Parametri Modello'!$A$57:$A$60,0)))*(INDEX('Parametri Modello'!$B$50:$B$53,MATCH($B161,'Parametri Modello'!$A$50:$A$53,0))*'Parametri Modello'!$B$44))))*(1+IF(IF($B161="D",'Info Lega'!$B$25,IF($B161="C",'Info Lega'!$B$26,"No"))="Si",'Parametri Modello'!$B$5,0))*(1+MAX(-0.25,MIN(0.25,IF(OR($T161="",$I161="",$I161=0,INDEX('Parametri Modello'!$B$19:$B$22,MATCH($B161,'Parametri Modello'!$A$19:$A$22,0))="",INDEX('Parametri Modello'!$B$19:$B$22,MATCH($B161,'Parametri Modello'!$A$19:$A$22,0))=0),0,(($T161-INDEX('Parametri Modello'!$B$19:$B$22,MATCH($B161,'Parametri Modello'!$A$19:$A$22,0)))/INDEX('Parametri Modello'!$B$19:$B$22,MATCH($B161,'Parametri Modello'!$A$19:$A$22,0)))*'Parametri Modello'!$B$9))))*(1+IF('Parametri Modello'!$B$27="Si",MAX(-'Parametri Modello'!$B$28,MIN('Parametri Modello'!$B$28*1.5,IF(OR(INDEX('Parametri Modello'!$F$32:$F$35,MATCH($B161,'Parametri Modello'!$A$32:$A$35,0))="",INDEX('Parametri Modello'!$F$32:$F$35,MATCH($B161,'Parametri Modello'!$A$32:$A$35,0))=0),0,(1/INDEX('Parametri Modello'!$F$32:$F$35,MATCH($B161,'Parametri Modello'!$A$32:$A$35,0))-1)*'Parametri Modello'!$B$28))),0)))*(1-INDEX('Parametri Modello'!$B$12:$B$15,MATCH($B161,'Parametri Modello'!$A$12:$A$15,0)))),0),"")</f>
        <v>3</v>
      </c>
      <c r="H161" s="24">
        <f>IFERROR(ROUND((IF($V161&lt;=INDEX('Parametri Modello'!$C$57:$C$60,MATCH($B161,'Parametri Modello'!$A$57:$A$60,0)),IF(INDEX('Parametri Modello'!$E$57:$E$60,MATCH($B161,'Parametri Modello'!$A$57:$A$60,0))=0,0,($O161/INDEX('Parametri Modello'!$E$57:$E$60,MATCH($B161,'Parametri Modello'!$A$57:$A$60,0)))*(INDEX('Parametri Modello'!$D$57:$D$60,MATCH($B161,'Parametri Modello'!$A$57:$A$60,0))*(INDEX('Parametri Modello'!$B$50:$B$53,MATCH($B161,'Parametri Modello'!$A$50:$A$53,0))*'Parametri Modello'!$B$44))),IF(INDEX('Parametri Modello'!$F$57:$F$60,MATCH($B161,'Parametri Modello'!$A$57:$A$60,0))=0,0,($O161/INDEX('Parametri Modello'!$F$57:$F$60,MATCH($B161,'Parametri Modello'!$A$57:$A$60,0)))*((1-INDEX('Parametri Modello'!$D$57:$D$60,MATCH($B161,'Parametri Modello'!$A$57:$A$60,0)))*(INDEX('Parametri Modello'!$B$50:$B$53,MATCH($B161,'Parametri Modello'!$A$50:$A$53,0))*'Parametri Modello'!$B$44))))*(1+IF(IF($B161="D",'Info Lega'!$B$25,IF($B161="C",'Info Lega'!$B$26,"No"))="Si",'Parametri Modello'!$B$5,0))*(1+MAX(-0.25,MIN(0.25,IF(OR($T161="",$I161="",$I161=0,INDEX('Parametri Modello'!$B$19:$B$22,MATCH($B161,'Parametri Modello'!$A$19:$A$22,0))="",INDEX('Parametri Modello'!$B$19:$B$22,MATCH($B161,'Parametri Modello'!$A$19:$A$22,0))=0),0,(($T161-INDEX('Parametri Modello'!$B$19:$B$22,MATCH($B161,'Parametri Modello'!$A$19:$A$22,0)))/INDEX('Parametri Modello'!$B$19:$B$22,MATCH($B161,'Parametri Modello'!$A$19:$A$22,0)))*'Parametri Modello'!$B$9))))*(1+IF('Parametri Modello'!$B$27="Si",MAX(-'Parametri Modello'!$B$28,MIN('Parametri Modello'!$B$28*1.5,IF(OR(INDEX('Parametri Modello'!$F$32:$F$35,MATCH($B161,'Parametri Modello'!$A$32:$A$35,0))="",INDEX('Parametri Modello'!$F$32:$F$35,MATCH($B161,'Parametri Modello'!$A$32:$A$35,0))=0),0,(1/INDEX('Parametri Modello'!$F$32:$F$35,MATCH($B161,'Parametri Modello'!$A$32:$A$35,0))-1)*'Parametri Modello'!$B$28))),0)))*(1+INDEX('Parametri Modello'!$B$12:$B$15,MATCH($B161,'Parametri Modello'!$A$12:$A$15,0))),0),"")</f>
        <v>4</v>
      </c>
      <c r="I161" s="23">
        <f>IFERROR(INDEX('Input Statistiche 2025_26'!$F$3:$F$665,MATCH($A161,'Input Statistiche 2025_26'!$A$3:$A$665,0)),"")</f>
        <v>32</v>
      </c>
      <c r="J161" s="23">
        <f t="shared" si="18"/>
        <v>6</v>
      </c>
      <c r="K161" s="23">
        <f>IFERROR(INDEX('Input Statistiche 2025_26'!$I$3:$I$665,MATCH($A161,'Input Statistiche 2025_26'!$A$3:$A$665,0)),"")</f>
        <v>0</v>
      </c>
      <c r="L161" s="23">
        <f>IFERROR(INDEX('Input Statistiche 2025_26'!$O$3:$O$665,MATCH($A161,'Input Statistiche 2025_26'!$A$3:$A$665,0)),"")</f>
        <v>1</v>
      </c>
      <c r="M161" s="25"/>
      <c r="N161" s="24">
        <f>IFERROR(INDEX('Input Giocatori 2026_27'!$E$3:$E$493,MATCH($A161,'Input Giocatori 2026_27'!$A$3:$A$493,0)),"")</f>
        <v>7</v>
      </c>
      <c r="O161" s="24">
        <f>IFERROR(INDEX('Input Giocatori 2026_27'!$G$3:$G$493,MATCH($A161,'Input Giocatori 2026_27'!$A$3:$A$493,0)),"")</f>
        <v>20</v>
      </c>
      <c r="P161" s="23" t="str">
        <f>IFERROR(IF($O161="","",IF((1-(COUNTIFS($B$2:$B$492,$B161,$O$2:$O$492,"&gt;"&amp;$O161)+1-1)/COUNTIF($B$2:$B$492,$B161))&gt;='Parametri Modello'!$B$63,"Top",IF((1-(COUNTIFS($B$2:$B$492,$B161,$O$2:$O$492,"&gt;"&amp;$O161)+1-1)/COUNTIF($B$2:$B$492,$B161))&gt;='Parametri Modello'!$B$64,"Buono",IF((1-(COUNTIFS($B$2:$B$492,$B161,$O$2:$O$492,"&gt;"&amp;$O161)+1-1)/COUNTIF($B$2:$B$492,$B161))&gt;='Parametri Modello'!$B$65,"Nella Media","Scommessa/Riserva")))),"")</f>
        <v>Buono</v>
      </c>
      <c r="Q161" s="26">
        <f>IF(AND($D161="",$N161&gt;1),SUMPRODUCT(($D$2:$D161="")*($N$2:$N161&gt;1)),"")</f>
        <v>160</v>
      </c>
      <c r="R161" s="26" t="str">
        <f>IF($D161='Info Lega'!$B$28,COUNTIFS($D$2:$D161,'Info Lega'!$B$28),"")</f>
        <v/>
      </c>
      <c r="S161" s="27">
        <f>IFERROR(INDEX('Input Statistiche 2025_26'!$G$3:$G$665,MATCH($A161,'Input Statistiche 2025_26'!$A$3:$A$665,0)),"")</f>
        <v>5.97</v>
      </c>
      <c r="T161" s="27">
        <f>IFERROR(INDEX('Input Statistiche 2025_26'!$H$3:$H$665,MATCH($A161,'Input Statistiche 2025_26'!$A$3:$A$665,0)),"")</f>
        <v>5.88</v>
      </c>
      <c r="U161" s="23" t="str">
        <f>IF(OR('La Mia Rosa'!$O$12="",$D161&lt;&gt;""),"",IF($F161&lt;='La Mia Rosa'!$O$12*'Parametri Modello'!$B$24,"OK",IF($F161&lt;='La Mia Rosa'!$O$12*'Parametri Modello'!$B$25,"Attenzione","Rischio Alto")))</f>
        <v>OK</v>
      </c>
      <c r="V161" s="23">
        <f t="shared" si="19"/>
        <v>38</v>
      </c>
      <c r="W161" s="18">
        <f>'Info Lega'!$B$4-SUMIFS($M$2:$M$492,$D$2:$D$492,'Info Lega'!$B$28)</f>
        <v>1000</v>
      </c>
      <c r="X161" s="18">
        <f>('Info Lega'!$B$5-COUNTIFS($D$2:$D$492,'Info Lega'!$B$28,$B$2:$B$492,"P"))+('Info Lega'!$B$6-COUNTIFS($D$2:$D$492,'Info Lega'!$B$28,$B$2:$B$492,"D"))+('Info Lega'!$B$7-COUNTIFS($D$2:$D$492,'Info Lega'!$B$28,$B$2:$B$492,"C"))+('Info Lega'!$B$8-COUNTIFS($D$2:$D$492,'Info Lega'!$B$28,$B$2:$B$492,"A"))</f>
        <v>25</v>
      </c>
      <c r="Y161" s="18">
        <f>X161*'Parametri Modello'!$B$30</f>
        <v>25</v>
      </c>
      <c r="Z161" s="18">
        <f t="shared" si="20"/>
        <v>975</v>
      </c>
      <c r="AA161" s="18">
        <f t="shared" si="21"/>
        <v>4</v>
      </c>
      <c r="AB161" s="18"/>
      <c r="AC161" s="18" t="str">
        <f>IF($AB161="","",IF($AB161&gt;$AA161,"PASS",IF($AB161&lt;=$AA161*(1-'Parametri Modello'!$B$68),"BID","ATTENZIONE")))</f>
        <v/>
      </c>
      <c r="AD161" s="28">
        <f t="shared" si="22"/>
        <v>66</v>
      </c>
      <c r="AE161" s="5" t="str">
        <f>IFERROR(INDEX('Stato Asta'!$G$9:$G$12,MATCH($B161,'Stato Asta'!$A$9:$A$12,0)),"")</f>
        <v>🔴 Non aspettare</v>
      </c>
      <c r="AF161" t="str">
        <f>IFERROR(IF($V161&lt;=INDEX('Parametri Modello'!$C$57:$C$60,MATCH($B161,'Parametri Modello'!$A$57:$A$60,0)),"Titolare","Riserva"),"")</f>
        <v>Riserva</v>
      </c>
      <c r="AG161" t="str">
        <f>IFERROR(INDEX('Pressione Competitiva'!$F$3:$F$6,MATCH($B161,'Pressione Competitiva'!$B$3:$B$6,0)),"")</f>
        <v>🔴 Molto Alta</v>
      </c>
      <c r="AH161" t="str">
        <f t="shared" si="23"/>
        <v/>
      </c>
      <c r="AI161" t="str">
        <f>IFERROR(IF($AH161="","",IF($AH161&gt;=$AA161*'Parametri Modello'!$B$68,"🟢 Opportunita'",IF($AH161&lt;=$AA161*'Parametri Modello'!$B$69,"🔴 Sovrapprezzo","🟡 Prezzo Corretto"))),"")</f>
        <v/>
      </c>
      <c r="AJ161" t="str">
        <f t="shared" si="24"/>
        <v/>
      </c>
      <c r="AK161">
        <f t="shared" si="25"/>
        <v>20</v>
      </c>
      <c r="AL161" t="str">
        <f t="shared" si="26"/>
        <v>D|Buono|20</v>
      </c>
    </row>
    <row r="162" spans="1:38" ht="14.25" customHeight="1" x14ac:dyDescent="0.25">
      <c r="A162" s="18">
        <v>2188</v>
      </c>
      <c r="B162" s="18" t="s">
        <v>16</v>
      </c>
      <c r="C162" s="18" t="s">
        <v>301</v>
      </c>
      <c r="E162" s="23" t="str">
        <f>IF(COUNTIF('Info Strategia'!$D$2:$D$51,$C162)&gt;0,"SI","NO")</f>
        <v>NO</v>
      </c>
      <c r="F162" s="24">
        <f>IFERROR(ROUND(($G162+($H162-$G162)*'Info Strategia'!$B$6)*(1+IF($E162="SI",'Parametri Modello'!$B$7*'Info Strategia'!$B$6,0)),0),"")</f>
        <v>4</v>
      </c>
      <c r="G162" s="24">
        <f>IFERROR(ROUND(MAX(1,(IF($V162&lt;=INDEX('Parametri Modello'!$C$57:$C$60,MATCH($B162,'Parametri Modello'!$A$57:$A$60,0)),IF(INDEX('Parametri Modello'!$E$57:$E$60,MATCH($B162,'Parametri Modello'!$A$57:$A$60,0))=0,0,($O162/INDEX('Parametri Modello'!$E$57:$E$60,MATCH($B162,'Parametri Modello'!$A$57:$A$60,0)))*(INDEX('Parametri Modello'!$D$57:$D$60,MATCH($B162,'Parametri Modello'!$A$57:$A$60,0))*(INDEX('Parametri Modello'!$B$50:$B$53,MATCH($B162,'Parametri Modello'!$A$50:$A$53,0))*'Parametri Modello'!$B$44))),IF(INDEX('Parametri Modello'!$F$57:$F$60,MATCH($B162,'Parametri Modello'!$A$57:$A$60,0))=0,0,($O162/INDEX('Parametri Modello'!$F$57:$F$60,MATCH($B162,'Parametri Modello'!$A$57:$A$60,0)))*((1-INDEX('Parametri Modello'!$D$57:$D$60,MATCH($B162,'Parametri Modello'!$A$57:$A$60,0)))*(INDEX('Parametri Modello'!$B$50:$B$53,MATCH($B162,'Parametri Modello'!$A$50:$A$53,0))*'Parametri Modello'!$B$44))))*(1+IF(IF($B162="D",'Info Lega'!$B$25,IF($B162="C",'Info Lega'!$B$26,"No"))="Si",'Parametri Modello'!$B$5,0))*(1+MAX(-0.25,MIN(0.25,IF(OR($T162="",$I162="",$I162=0,INDEX('Parametri Modello'!$B$19:$B$22,MATCH($B162,'Parametri Modello'!$A$19:$A$22,0))="",INDEX('Parametri Modello'!$B$19:$B$22,MATCH($B162,'Parametri Modello'!$A$19:$A$22,0))=0),0,(($T162-INDEX('Parametri Modello'!$B$19:$B$22,MATCH($B162,'Parametri Modello'!$A$19:$A$22,0)))/INDEX('Parametri Modello'!$B$19:$B$22,MATCH($B162,'Parametri Modello'!$A$19:$A$22,0)))*'Parametri Modello'!$B$9))))*(1+IF('Parametri Modello'!$B$27="Si",MAX(-'Parametri Modello'!$B$28,MIN('Parametri Modello'!$B$28*1.5,IF(OR(INDEX('Parametri Modello'!$F$32:$F$35,MATCH($B162,'Parametri Modello'!$A$32:$A$35,0))="",INDEX('Parametri Modello'!$F$32:$F$35,MATCH($B162,'Parametri Modello'!$A$32:$A$35,0))=0),0,(1/INDEX('Parametri Modello'!$F$32:$F$35,MATCH($B162,'Parametri Modello'!$A$32:$A$35,0))-1)*'Parametri Modello'!$B$28))),0)))*(1-INDEX('Parametri Modello'!$B$12:$B$15,MATCH($B162,'Parametri Modello'!$A$12:$A$15,0)))),0),"")</f>
        <v>3</v>
      </c>
      <c r="H162" s="24">
        <f>IFERROR(ROUND((IF($V162&lt;=INDEX('Parametri Modello'!$C$57:$C$60,MATCH($B162,'Parametri Modello'!$A$57:$A$60,0)),IF(INDEX('Parametri Modello'!$E$57:$E$60,MATCH($B162,'Parametri Modello'!$A$57:$A$60,0))=0,0,($O162/INDEX('Parametri Modello'!$E$57:$E$60,MATCH($B162,'Parametri Modello'!$A$57:$A$60,0)))*(INDEX('Parametri Modello'!$D$57:$D$60,MATCH($B162,'Parametri Modello'!$A$57:$A$60,0))*(INDEX('Parametri Modello'!$B$50:$B$53,MATCH($B162,'Parametri Modello'!$A$50:$A$53,0))*'Parametri Modello'!$B$44))),IF(INDEX('Parametri Modello'!$F$57:$F$60,MATCH($B162,'Parametri Modello'!$A$57:$A$60,0))=0,0,($O162/INDEX('Parametri Modello'!$F$57:$F$60,MATCH($B162,'Parametri Modello'!$A$57:$A$60,0)))*((1-INDEX('Parametri Modello'!$D$57:$D$60,MATCH($B162,'Parametri Modello'!$A$57:$A$60,0)))*(INDEX('Parametri Modello'!$B$50:$B$53,MATCH($B162,'Parametri Modello'!$A$50:$A$53,0))*'Parametri Modello'!$B$44))))*(1+IF(IF($B162="D",'Info Lega'!$B$25,IF($B162="C",'Info Lega'!$B$26,"No"))="Si",'Parametri Modello'!$B$5,0))*(1+MAX(-0.25,MIN(0.25,IF(OR($T162="",$I162="",$I162=0,INDEX('Parametri Modello'!$B$19:$B$22,MATCH($B162,'Parametri Modello'!$A$19:$A$22,0))="",INDEX('Parametri Modello'!$B$19:$B$22,MATCH($B162,'Parametri Modello'!$A$19:$A$22,0))=0),0,(($T162-INDEX('Parametri Modello'!$B$19:$B$22,MATCH($B162,'Parametri Modello'!$A$19:$A$22,0)))/INDEX('Parametri Modello'!$B$19:$B$22,MATCH($B162,'Parametri Modello'!$A$19:$A$22,0)))*'Parametri Modello'!$B$9))))*(1+IF('Parametri Modello'!$B$27="Si",MAX(-'Parametri Modello'!$B$28,MIN('Parametri Modello'!$B$28*1.5,IF(OR(INDEX('Parametri Modello'!$F$32:$F$35,MATCH($B162,'Parametri Modello'!$A$32:$A$35,0))="",INDEX('Parametri Modello'!$F$32:$F$35,MATCH($B162,'Parametri Modello'!$A$32:$A$35,0))=0),0,(1/INDEX('Parametri Modello'!$F$32:$F$35,MATCH($B162,'Parametri Modello'!$A$32:$A$35,0))-1)*'Parametri Modello'!$B$28))),0)))*(1+INDEX('Parametri Modello'!$B$12:$B$15,MATCH($B162,'Parametri Modello'!$A$12:$A$15,0))),0),"")</f>
        <v>4</v>
      </c>
      <c r="I162" s="23">
        <f>IFERROR(INDEX('Input Statistiche 2025_26'!$F$3:$F$665,MATCH($A162,'Input Statistiche 2025_26'!$A$3:$A$665,0)),"")</f>
        <v>33</v>
      </c>
      <c r="J162" s="23">
        <f t="shared" si="18"/>
        <v>5</v>
      </c>
      <c r="K162" s="23">
        <f>IFERROR(INDEX('Input Statistiche 2025_26'!$I$3:$I$665,MATCH($A162,'Input Statistiche 2025_26'!$A$3:$A$665,0)),"")</f>
        <v>1</v>
      </c>
      <c r="L162" s="23">
        <f>IFERROR(INDEX('Input Statistiche 2025_26'!$O$3:$O$665,MATCH($A162,'Input Statistiche 2025_26'!$A$3:$A$665,0)),"")</f>
        <v>2</v>
      </c>
      <c r="M162" s="25"/>
      <c r="N162" s="24">
        <f>IFERROR(INDEX('Input Giocatori 2026_27'!$E$3:$E$493,MATCH($A162,'Input Giocatori 2026_27'!$A$3:$A$493,0)),"")</f>
        <v>6</v>
      </c>
      <c r="O162" s="24">
        <f>IFERROR(INDEX('Input Giocatori 2026_27'!$G$3:$G$493,MATCH($A162,'Input Giocatori 2026_27'!$A$3:$A$493,0)),"")</f>
        <v>20</v>
      </c>
      <c r="P162" s="23" t="str">
        <f>IFERROR(IF($O162="","",IF((1-(COUNTIFS($B$2:$B$492,$B162,$O$2:$O$492,"&gt;"&amp;$O162)+1-1)/COUNTIF($B$2:$B$492,$B162))&gt;='Parametri Modello'!$B$63,"Top",IF((1-(COUNTIFS($B$2:$B$492,$B162,$O$2:$O$492,"&gt;"&amp;$O162)+1-1)/COUNTIF($B$2:$B$492,$B162))&gt;='Parametri Modello'!$B$64,"Buono",IF((1-(COUNTIFS($B$2:$B$492,$B162,$O$2:$O$492,"&gt;"&amp;$O162)+1-1)/COUNTIF($B$2:$B$492,$B162))&gt;='Parametri Modello'!$B$65,"Nella Media","Scommessa/Riserva")))),"")</f>
        <v>Buono</v>
      </c>
      <c r="Q162" s="26">
        <f>IF(AND($D162="",$N162&gt;1),SUMPRODUCT(($D$2:$D162="")*($N$2:$N162&gt;1)),"")</f>
        <v>161</v>
      </c>
      <c r="R162" s="26" t="str">
        <f>IF($D162='Info Lega'!$B$28,COUNTIFS($D$2:$D162,'Info Lega'!$B$28),"")</f>
        <v/>
      </c>
      <c r="S162" s="27">
        <f>IFERROR(INDEX('Input Statistiche 2025_26'!$G$3:$G$665,MATCH($A162,'Input Statistiche 2025_26'!$A$3:$A$665,0)),"")</f>
        <v>5.86</v>
      </c>
      <c r="T162" s="27">
        <f>IFERROR(INDEX('Input Statistiche 2025_26'!$H$3:$H$665,MATCH($A162,'Input Statistiche 2025_26'!$A$3:$A$665,0)),"")</f>
        <v>5.97</v>
      </c>
      <c r="U162" s="23" t="str">
        <f>IF(OR('La Mia Rosa'!$O$12="",$D162&lt;&gt;""),"",IF($F162&lt;='La Mia Rosa'!$O$12*'Parametri Modello'!$B$24,"OK",IF($F162&lt;='La Mia Rosa'!$O$12*'Parametri Modello'!$B$25,"Attenzione","Rischio Alto")))</f>
        <v>OK</v>
      </c>
      <c r="V162" s="23">
        <f t="shared" si="19"/>
        <v>38</v>
      </c>
      <c r="W162" s="18">
        <f>'Info Lega'!$B$4-SUMIFS($M$2:$M$492,$D$2:$D$492,'Info Lega'!$B$28)</f>
        <v>1000</v>
      </c>
      <c r="X162" s="18">
        <f>('Info Lega'!$B$5-COUNTIFS($D$2:$D$492,'Info Lega'!$B$28,$B$2:$B$492,"P"))+('Info Lega'!$B$6-COUNTIFS($D$2:$D$492,'Info Lega'!$B$28,$B$2:$B$492,"D"))+('Info Lega'!$B$7-COUNTIFS($D$2:$D$492,'Info Lega'!$B$28,$B$2:$B$492,"C"))+('Info Lega'!$B$8-COUNTIFS($D$2:$D$492,'Info Lega'!$B$28,$B$2:$B$492,"A"))</f>
        <v>25</v>
      </c>
      <c r="Y162" s="18">
        <f>X162*'Parametri Modello'!$B$30</f>
        <v>25</v>
      </c>
      <c r="Z162" s="18">
        <f t="shared" si="20"/>
        <v>975</v>
      </c>
      <c r="AA162" s="18">
        <f t="shared" si="21"/>
        <v>4</v>
      </c>
      <c r="AB162" s="18"/>
      <c r="AC162" s="18" t="str">
        <f>IF($AB162="","",IF($AB162&gt;$AA162,"PASS",IF($AB162&lt;=$AA162*(1-'Parametri Modello'!$B$68),"BID","ATTENZIONE")))</f>
        <v/>
      </c>
      <c r="AD162" s="28">
        <f t="shared" si="22"/>
        <v>67</v>
      </c>
      <c r="AE162" s="5" t="str">
        <f>IFERROR(INDEX('Stato Asta'!$G$9:$G$12,MATCH($B162,'Stato Asta'!$A$9:$A$12,0)),"")</f>
        <v>🔴 Non aspettare</v>
      </c>
      <c r="AF162" t="str">
        <f>IFERROR(IF($V162&lt;=INDEX('Parametri Modello'!$C$57:$C$60,MATCH($B162,'Parametri Modello'!$A$57:$A$60,0)),"Titolare","Riserva"),"")</f>
        <v>Riserva</v>
      </c>
      <c r="AG162" t="str">
        <f>IFERROR(INDEX('Pressione Competitiva'!$F$3:$F$6,MATCH($B162,'Pressione Competitiva'!$B$3:$B$6,0)),"")</f>
        <v>🔴 Molto Alta</v>
      </c>
      <c r="AH162" t="str">
        <f t="shared" si="23"/>
        <v/>
      </c>
      <c r="AI162" t="str">
        <f>IFERROR(IF($AH162="","",IF($AH162&gt;=$AA162*'Parametri Modello'!$B$68,"🟢 Opportunita'",IF($AH162&lt;=$AA162*'Parametri Modello'!$B$69,"🔴 Sovrapprezzo","🟡 Prezzo Corretto"))),"")</f>
        <v/>
      </c>
      <c r="AJ162" t="str">
        <f t="shared" si="24"/>
        <v/>
      </c>
      <c r="AK162">
        <f t="shared" si="25"/>
        <v>20</v>
      </c>
      <c r="AL162" t="str">
        <f t="shared" si="26"/>
        <v>D|Buono|20</v>
      </c>
    </row>
    <row r="163" spans="1:38" ht="14.25" customHeight="1" x14ac:dyDescent="0.25">
      <c r="A163" s="18">
        <v>6717</v>
      </c>
      <c r="B163" s="18" t="s">
        <v>17</v>
      </c>
      <c r="C163" s="18" t="s">
        <v>302</v>
      </c>
      <c r="E163" s="23" t="str">
        <f>IF(COUNTIF('Info Strategia'!$D$2:$D$51,$C163)&gt;0,"SI","NO")</f>
        <v>NO</v>
      </c>
      <c r="F163" s="24">
        <f>IFERROR(ROUND(($G163+($H163-$G163)*'Info Strategia'!$B$6)*(1+IF($E163="SI",'Parametri Modello'!$B$7*'Info Strategia'!$B$6,0)),0),"")</f>
        <v>3</v>
      </c>
      <c r="G163" s="24">
        <f>IFERROR(ROUND(MAX(1,(IF($V163&lt;=INDEX('Parametri Modello'!$C$57:$C$60,MATCH($B163,'Parametri Modello'!$A$57:$A$60,0)),IF(INDEX('Parametri Modello'!$E$57:$E$60,MATCH($B163,'Parametri Modello'!$A$57:$A$60,0))=0,0,($O163/INDEX('Parametri Modello'!$E$57:$E$60,MATCH($B163,'Parametri Modello'!$A$57:$A$60,0)))*(INDEX('Parametri Modello'!$D$57:$D$60,MATCH($B163,'Parametri Modello'!$A$57:$A$60,0))*(INDEX('Parametri Modello'!$B$50:$B$53,MATCH($B163,'Parametri Modello'!$A$50:$A$53,0))*'Parametri Modello'!$B$44))),IF(INDEX('Parametri Modello'!$F$57:$F$60,MATCH($B163,'Parametri Modello'!$A$57:$A$60,0))=0,0,($O163/INDEX('Parametri Modello'!$F$57:$F$60,MATCH($B163,'Parametri Modello'!$A$57:$A$60,0)))*((1-INDEX('Parametri Modello'!$D$57:$D$60,MATCH($B163,'Parametri Modello'!$A$57:$A$60,0)))*(INDEX('Parametri Modello'!$B$50:$B$53,MATCH($B163,'Parametri Modello'!$A$50:$A$53,0))*'Parametri Modello'!$B$44))))*(1+IF(IF($B163="D",'Info Lega'!$B$25,IF($B163="C",'Info Lega'!$B$26,"No"))="Si",'Parametri Modello'!$B$5,0))*(1+MAX(-0.25,MIN(0.25,IF(OR($T163="",$I163="",$I163=0,INDEX('Parametri Modello'!$B$19:$B$22,MATCH($B163,'Parametri Modello'!$A$19:$A$22,0))="",INDEX('Parametri Modello'!$B$19:$B$22,MATCH($B163,'Parametri Modello'!$A$19:$A$22,0))=0),0,(($T163-INDEX('Parametri Modello'!$B$19:$B$22,MATCH($B163,'Parametri Modello'!$A$19:$A$22,0)))/INDEX('Parametri Modello'!$B$19:$B$22,MATCH($B163,'Parametri Modello'!$A$19:$A$22,0)))*'Parametri Modello'!$B$9))))*(1+IF('Parametri Modello'!$B$27="Si",MAX(-'Parametri Modello'!$B$28,MIN('Parametri Modello'!$B$28*1.5,IF(OR(INDEX('Parametri Modello'!$F$32:$F$35,MATCH($B163,'Parametri Modello'!$A$32:$A$35,0))="",INDEX('Parametri Modello'!$F$32:$F$35,MATCH($B163,'Parametri Modello'!$A$32:$A$35,0))=0),0,(1/INDEX('Parametri Modello'!$F$32:$F$35,MATCH($B163,'Parametri Modello'!$A$32:$A$35,0))-1)*'Parametri Modello'!$B$28))),0)))*(1-INDEX('Parametri Modello'!$B$12:$B$15,MATCH($B163,'Parametri Modello'!$A$12:$A$15,0)))),0),"")</f>
        <v>2</v>
      </c>
      <c r="H163" s="24">
        <f>IFERROR(ROUND((IF($V163&lt;=INDEX('Parametri Modello'!$C$57:$C$60,MATCH($B163,'Parametri Modello'!$A$57:$A$60,0)),IF(INDEX('Parametri Modello'!$E$57:$E$60,MATCH($B163,'Parametri Modello'!$A$57:$A$60,0))=0,0,($O163/INDEX('Parametri Modello'!$E$57:$E$60,MATCH($B163,'Parametri Modello'!$A$57:$A$60,0)))*(INDEX('Parametri Modello'!$D$57:$D$60,MATCH($B163,'Parametri Modello'!$A$57:$A$60,0))*(INDEX('Parametri Modello'!$B$50:$B$53,MATCH($B163,'Parametri Modello'!$A$50:$A$53,0))*'Parametri Modello'!$B$44))),IF(INDEX('Parametri Modello'!$F$57:$F$60,MATCH($B163,'Parametri Modello'!$A$57:$A$60,0))=0,0,($O163/INDEX('Parametri Modello'!$F$57:$F$60,MATCH($B163,'Parametri Modello'!$A$57:$A$60,0)))*((1-INDEX('Parametri Modello'!$D$57:$D$60,MATCH($B163,'Parametri Modello'!$A$57:$A$60,0)))*(INDEX('Parametri Modello'!$B$50:$B$53,MATCH($B163,'Parametri Modello'!$A$50:$A$53,0))*'Parametri Modello'!$B$44))))*(1+IF(IF($B163="D",'Info Lega'!$B$25,IF($B163="C",'Info Lega'!$B$26,"No"))="Si",'Parametri Modello'!$B$5,0))*(1+MAX(-0.25,MIN(0.25,IF(OR($T163="",$I163="",$I163=0,INDEX('Parametri Modello'!$B$19:$B$22,MATCH($B163,'Parametri Modello'!$A$19:$A$22,0))="",INDEX('Parametri Modello'!$B$19:$B$22,MATCH($B163,'Parametri Modello'!$A$19:$A$22,0))=0),0,(($T163-INDEX('Parametri Modello'!$B$19:$B$22,MATCH($B163,'Parametri Modello'!$A$19:$A$22,0)))/INDEX('Parametri Modello'!$B$19:$B$22,MATCH($B163,'Parametri Modello'!$A$19:$A$22,0)))*'Parametri Modello'!$B$9))))*(1+IF('Parametri Modello'!$B$27="Si",MAX(-'Parametri Modello'!$B$28,MIN('Parametri Modello'!$B$28*1.5,IF(OR(INDEX('Parametri Modello'!$F$32:$F$35,MATCH($B163,'Parametri Modello'!$A$32:$A$35,0))="",INDEX('Parametri Modello'!$F$32:$F$35,MATCH($B163,'Parametri Modello'!$A$32:$A$35,0))=0),0,(1/INDEX('Parametri Modello'!$F$32:$F$35,MATCH($B163,'Parametri Modello'!$A$32:$A$35,0))-1)*'Parametri Modello'!$B$28))),0)))*(1+INDEX('Parametri Modello'!$B$12:$B$15,MATCH($B163,'Parametri Modello'!$A$12:$A$15,0))),0),"")</f>
        <v>3</v>
      </c>
      <c r="I163" s="23">
        <f>IFERROR(INDEX('Input Statistiche 2025_26'!$F$3:$F$665,MATCH($A163,'Input Statistiche 2025_26'!$A$3:$A$665,0)),"")</f>
        <v>35</v>
      </c>
      <c r="J163" s="23">
        <f t="shared" si="18"/>
        <v>3</v>
      </c>
      <c r="K163" s="23">
        <f>IFERROR(INDEX('Input Statistiche 2025_26'!$I$3:$I$665,MATCH($A163,'Input Statistiche 2025_26'!$A$3:$A$665,0)),"")</f>
        <v>6</v>
      </c>
      <c r="L163" s="23">
        <f>IFERROR(INDEX('Input Statistiche 2025_26'!$O$3:$O$665,MATCH($A163,'Input Statistiche 2025_26'!$A$3:$A$665,0)),"")</f>
        <v>0</v>
      </c>
      <c r="M163" s="25"/>
      <c r="N163" s="24">
        <f>IFERROR(INDEX('Input Giocatori 2026_27'!$E$3:$E$493,MATCH($A163,'Input Giocatori 2026_27'!$A$3:$A$493,0)),"")</f>
        <v>9</v>
      </c>
      <c r="O163" s="24">
        <f>IFERROR(INDEX('Input Giocatori 2026_27'!$G$3:$G$493,MATCH($A163,'Input Giocatori 2026_27'!$A$3:$A$493,0)),"")</f>
        <v>20</v>
      </c>
      <c r="P163" s="23" t="str">
        <f>IFERROR(IF($O163="","",IF((1-(COUNTIFS($B$2:$B$492,$B163,$O$2:$O$492,"&gt;"&amp;$O163)+1-1)/COUNTIF($B$2:$B$492,$B163))&gt;='Parametri Modello'!$B$63,"Top",IF((1-(COUNTIFS($B$2:$B$492,$B163,$O$2:$O$492,"&gt;"&amp;$O163)+1-1)/COUNTIF($B$2:$B$492,$B163))&gt;='Parametri Modello'!$B$64,"Buono",IF((1-(COUNTIFS($B$2:$B$492,$B163,$O$2:$O$492,"&gt;"&amp;$O163)+1-1)/COUNTIF($B$2:$B$492,$B163))&gt;='Parametri Modello'!$B$65,"Nella Media","Scommessa/Riserva")))),"")</f>
        <v>Nella Media</v>
      </c>
      <c r="Q163" s="26">
        <f>IF(AND($D163="",$N163&gt;1),SUMPRODUCT(($D$2:$D163="")*($N$2:$N163&gt;1)),"")</f>
        <v>162</v>
      </c>
      <c r="R163" s="26" t="str">
        <f>IF($D163='Info Lega'!$B$28,COUNTIFS($D$2:$D163,'Info Lega'!$B$28),"")</f>
        <v/>
      </c>
      <c r="S163" s="27">
        <f>IFERROR(INDEX('Input Statistiche 2025_26'!$G$3:$G$665,MATCH($A163,'Input Statistiche 2025_26'!$A$3:$A$665,0)),"")</f>
        <v>6.19</v>
      </c>
      <c r="T163" s="27">
        <f>IFERROR(INDEX('Input Statistiche 2025_26'!$H$3:$H$665,MATCH($A163,'Input Statistiche 2025_26'!$A$3:$A$665,0)),"")</f>
        <v>6.63</v>
      </c>
      <c r="U163" s="23" t="str">
        <f>IF(OR('La Mia Rosa'!$O$12="",$D163&lt;&gt;""),"",IF($F163&lt;='La Mia Rosa'!$O$12*'Parametri Modello'!$B$24,"OK",IF($F163&lt;='La Mia Rosa'!$O$12*'Parametri Modello'!$B$25,"Attenzione","Rischio Alto")))</f>
        <v>OK</v>
      </c>
      <c r="V163" s="23">
        <f t="shared" si="19"/>
        <v>60</v>
      </c>
      <c r="W163" s="18">
        <f>'Info Lega'!$B$4-SUMIFS($M$2:$M$492,$D$2:$D$492,'Info Lega'!$B$28)</f>
        <v>1000</v>
      </c>
      <c r="X163" s="18">
        <f>('Info Lega'!$B$5-COUNTIFS($D$2:$D$492,'Info Lega'!$B$28,$B$2:$B$492,"P"))+('Info Lega'!$B$6-COUNTIFS($D$2:$D$492,'Info Lega'!$B$28,$B$2:$B$492,"D"))+('Info Lega'!$B$7-COUNTIFS($D$2:$D$492,'Info Lega'!$B$28,$B$2:$B$492,"C"))+('Info Lega'!$B$8-COUNTIFS($D$2:$D$492,'Info Lega'!$B$28,$B$2:$B$492,"A"))</f>
        <v>25</v>
      </c>
      <c r="Y163" s="18">
        <f>X163*'Parametri Modello'!$B$30</f>
        <v>25</v>
      </c>
      <c r="Z163" s="18">
        <f t="shared" si="20"/>
        <v>975</v>
      </c>
      <c r="AA163" s="18">
        <f t="shared" si="21"/>
        <v>3</v>
      </c>
      <c r="AB163" s="18"/>
      <c r="AC163" s="18" t="str">
        <f>IF($AB163="","",IF($AB163&gt;$AA163,"PASS",IF($AB163&lt;=$AA163*(1-'Parametri Modello'!$B$68),"BID","ATTENZIONE")))</f>
        <v/>
      </c>
      <c r="AD163" s="28">
        <f t="shared" si="22"/>
        <v>69</v>
      </c>
      <c r="AE163" s="5" t="str">
        <f>IFERROR(INDEX('Stato Asta'!$G$9:$G$12,MATCH($B163,'Stato Asta'!$A$9:$A$12,0)),"")</f>
        <v>🔴 Non aspettare</v>
      </c>
      <c r="AF163" t="str">
        <f>IFERROR(IF($V163&lt;=INDEX('Parametri Modello'!$C$57:$C$60,MATCH($B163,'Parametri Modello'!$A$57:$A$60,0)),"Titolare","Riserva"),"")</f>
        <v>Riserva</v>
      </c>
      <c r="AG163" t="str">
        <f>IFERROR(INDEX('Pressione Competitiva'!$F$3:$F$6,MATCH($B163,'Pressione Competitiva'!$B$3:$B$6,0)),"")</f>
        <v>🔴 Molto Alta</v>
      </c>
      <c r="AH163" t="str">
        <f t="shared" si="23"/>
        <v/>
      </c>
      <c r="AI163" t="str">
        <f>IFERROR(IF($AH163="","",IF($AH163&gt;=$AA163*'Parametri Modello'!$B$68,"🟢 Opportunita'",IF($AH163&lt;=$AA163*'Parametri Modello'!$B$69,"🔴 Sovrapprezzo","🟡 Prezzo Corretto"))),"")</f>
        <v/>
      </c>
      <c r="AJ163" t="str">
        <f t="shared" si="24"/>
        <v/>
      </c>
      <c r="AK163">
        <f t="shared" si="25"/>
        <v>5</v>
      </c>
      <c r="AL163" t="str">
        <f t="shared" si="26"/>
        <v>C|Nella Media|5</v>
      </c>
    </row>
    <row r="164" spans="1:38" ht="14.25" customHeight="1" x14ac:dyDescent="0.25">
      <c r="A164" s="18">
        <v>2741</v>
      </c>
      <c r="B164" s="18" t="s">
        <v>17</v>
      </c>
      <c r="C164" s="18" t="s">
        <v>303</v>
      </c>
      <c r="E164" s="23" t="str">
        <f>IF(COUNTIF('Info Strategia'!$D$2:$D$51,$C164)&gt;0,"SI","NO")</f>
        <v>NO</v>
      </c>
      <c r="F164" s="24">
        <f>IFERROR(ROUND(($G164+($H164-$G164)*'Info Strategia'!$B$6)*(1+IF($E164="SI",'Parametri Modello'!$B$7*'Info Strategia'!$B$6,0)),0),"")</f>
        <v>3</v>
      </c>
      <c r="G164" s="24">
        <f>IFERROR(ROUND(MAX(1,(IF($V164&lt;=INDEX('Parametri Modello'!$C$57:$C$60,MATCH($B164,'Parametri Modello'!$A$57:$A$60,0)),IF(INDEX('Parametri Modello'!$E$57:$E$60,MATCH($B164,'Parametri Modello'!$A$57:$A$60,0))=0,0,($O164/INDEX('Parametri Modello'!$E$57:$E$60,MATCH($B164,'Parametri Modello'!$A$57:$A$60,0)))*(INDEX('Parametri Modello'!$D$57:$D$60,MATCH($B164,'Parametri Modello'!$A$57:$A$60,0))*(INDEX('Parametri Modello'!$B$50:$B$53,MATCH($B164,'Parametri Modello'!$A$50:$A$53,0))*'Parametri Modello'!$B$44))),IF(INDEX('Parametri Modello'!$F$57:$F$60,MATCH($B164,'Parametri Modello'!$A$57:$A$60,0))=0,0,($O164/INDEX('Parametri Modello'!$F$57:$F$60,MATCH($B164,'Parametri Modello'!$A$57:$A$60,0)))*((1-INDEX('Parametri Modello'!$D$57:$D$60,MATCH($B164,'Parametri Modello'!$A$57:$A$60,0)))*(INDEX('Parametri Modello'!$B$50:$B$53,MATCH($B164,'Parametri Modello'!$A$50:$A$53,0))*'Parametri Modello'!$B$44))))*(1+IF(IF($B164="D",'Info Lega'!$B$25,IF($B164="C",'Info Lega'!$B$26,"No"))="Si",'Parametri Modello'!$B$5,0))*(1+MAX(-0.25,MIN(0.25,IF(OR($T164="",$I164="",$I164=0,INDEX('Parametri Modello'!$B$19:$B$22,MATCH($B164,'Parametri Modello'!$A$19:$A$22,0))="",INDEX('Parametri Modello'!$B$19:$B$22,MATCH($B164,'Parametri Modello'!$A$19:$A$22,0))=0),0,(($T164-INDEX('Parametri Modello'!$B$19:$B$22,MATCH($B164,'Parametri Modello'!$A$19:$A$22,0)))/INDEX('Parametri Modello'!$B$19:$B$22,MATCH($B164,'Parametri Modello'!$A$19:$A$22,0)))*'Parametri Modello'!$B$9))))*(1+IF('Parametri Modello'!$B$27="Si",MAX(-'Parametri Modello'!$B$28,MIN('Parametri Modello'!$B$28*1.5,IF(OR(INDEX('Parametri Modello'!$F$32:$F$35,MATCH($B164,'Parametri Modello'!$A$32:$A$35,0))="",INDEX('Parametri Modello'!$F$32:$F$35,MATCH($B164,'Parametri Modello'!$A$32:$A$35,0))=0),0,(1/INDEX('Parametri Modello'!$F$32:$F$35,MATCH($B164,'Parametri Modello'!$A$32:$A$35,0))-1)*'Parametri Modello'!$B$28))),0)))*(1-INDEX('Parametri Modello'!$B$12:$B$15,MATCH($B164,'Parametri Modello'!$A$12:$A$15,0)))),0),"")</f>
        <v>2</v>
      </c>
      <c r="H164" s="24">
        <f>IFERROR(ROUND((IF($V164&lt;=INDEX('Parametri Modello'!$C$57:$C$60,MATCH($B164,'Parametri Modello'!$A$57:$A$60,0)),IF(INDEX('Parametri Modello'!$E$57:$E$60,MATCH($B164,'Parametri Modello'!$A$57:$A$60,0))=0,0,($O164/INDEX('Parametri Modello'!$E$57:$E$60,MATCH($B164,'Parametri Modello'!$A$57:$A$60,0)))*(INDEX('Parametri Modello'!$D$57:$D$60,MATCH($B164,'Parametri Modello'!$A$57:$A$60,0))*(INDEX('Parametri Modello'!$B$50:$B$53,MATCH($B164,'Parametri Modello'!$A$50:$A$53,0))*'Parametri Modello'!$B$44))),IF(INDEX('Parametri Modello'!$F$57:$F$60,MATCH($B164,'Parametri Modello'!$A$57:$A$60,0))=0,0,($O164/INDEX('Parametri Modello'!$F$57:$F$60,MATCH($B164,'Parametri Modello'!$A$57:$A$60,0)))*((1-INDEX('Parametri Modello'!$D$57:$D$60,MATCH($B164,'Parametri Modello'!$A$57:$A$60,0)))*(INDEX('Parametri Modello'!$B$50:$B$53,MATCH($B164,'Parametri Modello'!$A$50:$A$53,0))*'Parametri Modello'!$B$44))))*(1+IF(IF($B164="D",'Info Lega'!$B$25,IF($B164="C",'Info Lega'!$B$26,"No"))="Si",'Parametri Modello'!$B$5,0))*(1+MAX(-0.25,MIN(0.25,IF(OR($T164="",$I164="",$I164=0,INDEX('Parametri Modello'!$B$19:$B$22,MATCH($B164,'Parametri Modello'!$A$19:$A$22,0))="",INDEX('Parametri Modello'!$B$19:$B$22,MATCH($B164,'Parametri Modello'!$A$19:$A$22,0))=0),0,(($T164-INDEX('Parametri Modello'!$B$19:$B$22,MATCH($B164,'Parametri Modello'!$A$19:$A$22,0)))/INDEX('Parametri Modello'!$B$19:$B$22,MATCH($B164,'Parametri Modello'!$A$19:$A$22,0)))*'Parametri Modello'!$B$9))))*(1+IF('Parametri Modello'!$B$27="Si",MAX(-'Parametri Modello'!$B$28,MIN('Parametri Modello'!$B$28*1.5,IF(OR(INDEX('Parametri Modello'!$F$32:$F$35,MATCH($B164,'Parametri Modello'!$A$32:$A$35,0))="",INDEX('Parametri Modello'!$F$32:$F$35,MATCH($B164,'Parametri Modello'!$A$32:$A$35,0))=0),0,(1/INDEX('Parametri Modello'!$F$32:$F$35,MATCH($B164,'Parametri Modello'!$A$32:$A$35,0))-1)*'Parametri Modello'!$B$28))),0)))*(1+INDEX('Parametri Modello'!$B$12:$B$15,MATCH($B164,'Parametri Modello'!$A$12:$A$15,0))),0),"")</f>
        <v>3</v>
      </c>
      <c r="I164" s="23" t="str">
        <f>IFERROR(INDEX('Input Statistiche 2025_26'!$F$3:$F$665,MATCH($A164,'Input Statistiche 2025_26'!$A$3:$A$665,0)),"")</f>
        <v/>
      </c>
      <c r="J164" s="23" t="str">
        <f t="shared" si="18"/>
        <v/>
      </c>
      <c r="K164" s="23" t="str">
        <f>IFERROR(INDEX('Input Statistiche 2025_26'!$I$3:$I$665,MATCH($A164,'Input Statistiche 2025_26'!$A$3:$A$665,0)),"")</f>
        <v/>
      </c>
      <c r="L164" s="23" t="str">
        <f>IFERROR(INDEX('Input Statistiche 2025_26'!$O$3:$O$665,MATCH($A164,'Input Statistiche 2025_26'!$A$3:$A$665,0)),"")</f>
        <v/>
      </c>
      <c r="M164" s="25"/>
      <c r="N164" s="24">
        <f>IFERROR(INDEX('Input Giocatori 2026_27'!$E$3:$E$493,MATCH($A164,'Input Giocatori 2026_27'!$A$3:$A$493,0)),"")</f>
        <v>7</v>
      </c>
      <c r="O164" s="24">
        <f>IFERROR(INDEX('Input Giocatori 2026_27'!$G$3:$G$493,MATCH($A164,'Input Giocatori 2026_27'!$A$3:$A$493,0)),"")</f>
        <v>20</v>
      </c>
      <c r="P164" s="23" t="str">
        <f>IFERROR(IF($O164="","",IF((1-(COUNTIFS($B$2:$B$492,$B164,$O$2:$O$492,"&gt;"&amp;$O164)+1-1)/COUNTIF($B$2:$B$492,$B164))&gt;='Parametri Modello'!$B$63,"Top",IF((1-(COUNTIFS($B$2:$B$492,$B164,$O$2:$O$492,"&gt;"&amp;$O164)+1-1)/COUNTIF($B$2:$B$492,$B164))&gt;='Parametri Modello'!$B$64,"Buono",IF((1-(COUNTIFS($B$2:$B$492,$B164,$O$2:$O$492,"&gt;"&amp;$O164)+1-1)/COUNTIF($B$2:$B$492,$B164))&gt;='Parametri Modello'!$B$65,"Nella Media","Scommessa/Riserva")))),"")</f>
        <v>Nella Media</v>
      </c>
      <c r="Q164" s="26">
        <f>IF(AND($D164="",$N164&gt;1),SUMPRODUCT(($D$2:$D164="")*($N$2:$N164&gt;1)),"")</f>
        <v>163</v>
      </c>
      <c r="R164" s="26" t="str">
        <f>IF($D164='Info Lega'!$B$28,COUNTIFS($D$2:$D164,'Info Lega'!$B$28),"")</f>
        <v/>
      </c>
      <c r="S164" s="27" t="str">
        <f>IFERROR(INDEX('Input Statistiche 2025_26'!$G$3:$G$665,MATCH($A164,'Input Statistiche 2025_26'!$A$3:$A$665,0)),"")</f>
        <v/>
      </c>
      <c r="T164" s="27" t="str">
        <f>IFERROR(INDEX('Input Statistiche 2025_26'!$H$3:$H$665,MATCH($A164,'Input Statistiche 2025_26'!$A$3:$A$665,0)),"")</f>
        <v/>
      </c>
      <c r="U164" s="23" t="str">
        <f>IF(OR('La Mia Rosa'!$O$12="",$D164&lt;&gt;""),"",IF($F164&lt;='La Mia Rosa'!$O$12*'Parametri Modello'!$B$24,"OK",IF($F164&lt;='La Mia Rosa'!$O$12*'Parametri Modello'!$B$25,"Attenzione","Rischio Alto")))</f>
        <v>OK</v>
      </c>
      <c r="V164" s="23">
        <f t="shared" si="19"/>
        <v>60</v>
      </c>
      <c r="W164" s="18">
        <f>'Info Lega'!$B$4-SUMIFS($M$2:$M$492,$D$2:$D$492,'Info Lega'!$B$28)</f>
        <v>1000</v>
      </c>
      <c r="X164" s="18">
        <f>('Info Lega'!$B$5-COUNTIFS($D$2:$D$492,'Info Lega'!$B$28,$B$2:$B$492,"P"))+('Info Lega'!$B$6-COUNTIFS($D$2:$D$492,'Info Lega'!$B$28,$B$2:$B$492,"D"))+('Info Lega'!$B$7-COUNTIFS($D$2:$D$492,'Info Lega'!$B$28,$B$2:$B$492,"C"))+('Info Lega'!$B$8-COUNTIFS($D$2:$D$492,'Info Lega'!$B$28,$B$2:$B$492,"A"))</f>
        <v>25</v>
      </c>
      <c r="Y164" s="18">
        <f>X164*'Parametri Modello'!$B$30</f>
        <v>25</v>
      </c>
      <c r="Z164" s="18">
        <f t="shared" si="20"/>
        <v>975</v>
      </c>
      <c r="AA164" s="18">
        <f t="shared" si="21"/>
        <v>3</v>
      </c>
      <c r="AB164" s="18"/>
      <c r="AC164" s="18" t="str">
        <f>IF($AB164="","",IF($AB164&gt;$AA164,"PASS",IF($AB164&lt;=$AA164*(1-'Parametri Modello'!$B$68),"BID","ATTENZIONE")))</f>
        <v/>
      </c>
      <c r="AD164" s="28" t="str">
        <f t="shared" si="22"/>
        <v/>
      </c>
      <c r="AE164" s="5" t="str">
        <f>IFERROR(INDEX('Stato Asta'!$G$9:$G$12,MATCH($B164,'Stato Asta'!$A$9:$A$12,0)),"")</f>
        <v>🔴 Non aspettare</v>
      </c>
      <c r="AF164" t="str">
        <f>IFERROR(IF($V164&lt;=INDEX('Parametri Modello'!$C$57:$C$60,MATCH($B164,'Parametri Modello'!$A$57:$A$60,0)),"Titolare","Riserva"),"")</f>
        <v>Riserva</v>
      </c>
      <c r="AG164" t="str">
        <f>IFERROR(INDEX('Pressione Competitiva'!$F$3:$F$6,MATCH($B164,'Pressione Competitiva'!$B$3:$B$6,0)),"")</f>
        <v>🔴 Molto Alta</v>
      </c>
      <c r="AH164" t="str">
        <f t="shared" si="23"/>
        <v/>
      </c>
      <c r="AI164" t="str">
        <f>IFERROR(IF($AH164="","",IF($AH164&gt;=$AA164*'Parametri Modello'!$B$68,"🟢 Opportunita'",IF($AH164&lt;=$AA164*'Parametri Modello'!$B$69,"🔴 Sovrapprezzo","🟡 Prezzo Corretto"))),"")</f>
        <v/>
      </c>
      <c r="AJ164" t="str">
        <f t="shared" si="24"/>
        <v/>
      </c>
      <c r="AK164">
        <f t="shared" si="25"/>
        <v>5</v>
      </c>
      <c r="AL164" t="str">
        <f t="shared" si="26"/>
        <v>C|Nella Media|5</v>
      </c>
    </row>
    <row r="165" spans="1:38" ht="14.25" customHeight="1" x14ac:dyDescent="0.25">
      <c r="A165" s="18">
        <v>4287</v>
      </c>
      <c r="B165" s="18" t="s">
        <v>17</v>
      </c>
      <c r="C165" s="18" t="s">
        <v>304</v>
      </c>
      <c r="E165" s="23" t="str">
        <f>IF(COUNTIF('Info Strategia'!$D$2:$D$51,$C165)&gt;0,"SI","NO")</f>
        <v>NO</v>
      </c>
      <c r="F165" s="24">
        <f>IFERROR(ROUND(($G165+($H165-$G165)*'Info Strategia'!$B$6)*(1+IF($E165="SI",'Parametri Modello'!$B$7*'Info Strategia'!$B$6,0)),0),"")</f>
        <v>3</v>
      </c>
      <c r="G165" s="24">
        <f>IFERROR(ROUND(MAX(1,(IF($V165&lt;=INDEX('Parametri Modello'!$C$57:$C$60,MATCH($B165,'Parametri Modello'!$A$57:$A$60,0)),IF(INDEX('Parametri Modello'!$E$57:$E$60,MATCH($B165,'Parametri Modello'!$A$57:$A$60,0))=0,0,($O165/INDEX('Parametri Modello'!$E$57:$E$60,MATCH($B165,'Parametri Modello'!$A$57:$A$60,0)))*(INDEX('Parametri Modello'!$D$57:$D$60,MATCH($B165,'Parametri Modello'!$A$57:$A$60,0))*(INDEX('Parametri Modello'!$B$50:$B$53,MATCH($B165,'Parametri Modello'!$A$50:$A$53,0))*'Parametri Modello'!$B$44))),IF(INDEX('Parametri Modello'!$F$57:$F$60,MATCH($B165,'Parametri Modello'!$A$57:$A$60,0))=0,0,($O165/INDEX('Parametri Modello'!$F$57:$F$60,MATCH($B165,'Parametri Modello'!$A$57:$A$60,0)))*((1-INDEX('Parametri Modello'!$D$57:$D$60,MATCH($B165,'Parametri Modello'!$A$57:$A$60,0)))*(INDEX('Parametri Modello'!$B$50:$B$53,MATCH($B165,'Parametri Modello'!$A$50:$A$53,0))*'Parametri Modello'!$B$44))))*(1+IF(IF($B165="D",'Info Lega'!$B$25,IF($B165="C",'Info Lega'!$B$26,"No"))="Si",'Parametri Modello'!$B$5,0))*(1+MAX(-0.25,MIN(0.25,IF(OR($T165="",$I165="",$I165=0,INDEX('Parametri Modello'!$B$19:$B$22,MATCH($B165,'Parametri Modello'!$A$19:$A$22,0))="",INDEX('Parametri Modello'!$B$19:$B$22,MATCH($B165,'Parametri Modello'!$A$19:$A$22,0))=0),0,(($T165-INDEX('Parametri Modello'!$B$19:$B$22,MATCH($B165,'Parametri Modello'!$A$19:$A$22,0)))/INDEX('Parametri Modello'!$B$19:$B$22,MATCH($B165,'Parametri Modello'!$A$19:$A$22,0)))*'Parametri Modello'!$B$9))))*(1+IF('Parametri Modello'!$B$27="Si",MAX(-'Parametri Modello'!$B$28,MIN('Parametri Modello'!$B$28*1.5,IF(OR(INDEX('Parametri Modello'!$F$32:$F$35,MATCH($B165,'Parametri Modello'!$A$32:$A$35,0))="",INDEX('Parametri Modello'!$F$32:$F$35,MATCH($B165,'Parametri Modello'!$A$32:$A$35,0))=0),0,(1/INDEX('Parametri Modello'!$F$32:$F$35,MATCH($B165,'Parametri Modello'!$A$32:$A$35,0))-1)*'Parametri Modello'!$B$28))),0)))*(1-INDEX('Parametri Modello'!$B$12:$B$15,MATCH($B165,'Parametri Modello'!$A$12:$A$15,0)))),0),"")</f>
        <v>2</v>
      </c>
      <c r="H165" s="24">
        <f>IFERROR(ROUND((IF($V165&lt;=INDEX('Parametri Modello'!$C$57:$C$60,MATCH($B165,'Parametri Modello'!$A$57:$A$60,0)),IF(INDEX('Parametri Modello'!$E$57:$E$60,MATCH($B165,'Parametri Modello'!$A$57:$A$60,0))=0,0,($O165/INDEX('Parametri Modello'!$E$57:$E$60,MATCH($B165,'Parametri Modello'!$A$57:$A$60,0)))*(INDEX('Parametri Modello'!$D$57:$D$60,MATCH($B165,'Parametri Modello'!$A$57:$A$60,0))*(INDEX('Parametri Modello'!$B$50:$B$53,MATCH($B165,'Parametri Modello'!$A$50:$A$53,0))*'Parametri Modello'!$B$44))),IF(INDEX('Parametri Modello'!$F$57:$F$60,MATCH($B165,'Parametri Modello'!$A$57:$A$60,0))=0,0,($O165/INDEX('Parametri Modello'!$F$57:$F$60,MATCH($B165,'Parametri Modello'!$A$57:$A$60,0)))*((1-INDEX('Parametri Modello'!$D$57:$D$60,MATCH($B165,'Parametri Modello'!$A$57:$A$60,0)))*(INDEX('Parametri Modello'!$B$50:$B$53,MATCH($B165,'Parametri Modello'!$A$50:$A$53,0))*'Parametri Modello'!$B$44))))*(1+IF(IF($B165="D",'Info Lega'!$B$25,IF($B165="C",'Info Lega'!$B$26,"No"))="Si",'Parametri Modello'!$B$5,0))*(1+MAX(-0.25,MIN(0.25,IF(OR($T165="",$I165="",$I165=0,INDEX('Parametri Modello'!$B$19:$B$22,MATCH($B165,'Parametri Modello'!$A$19:$A$22,0))="",INDEX('Parametri Modello'!$B$19:$B$22,MATCH($B165,'Parametri Modello'!$A$19:$A$22,0))=0),0,(($T165-INDEX('Parametri Modello'!$B$19:$B$22,MATCH($B165,'Parametri Modello'!$A$19:$A$22,0)))/INDEX('Parametri Modello'!$B$19:$B$22,MATCH($B165,'Parametri Modello'!$A$19:$A$22,0)))*'Parametri Modello'!$B$9))))*(1+IF('Parametri Modello'!$B$27="Si",MAX(-'Parametri Modello'!$B$28,MIN('Parametri Modello'!$B$28*1.5,IF(OR(INDEX('Parametri Modello'!$F$32:$F$35,MATCH($B165,'Parametri Modello'!$A$32:$A$35,0))="",INDEX('Parametri Modello'!$F$32:$F$35,MATCH($B165,'Parametri Modello'!$A$32:$A$35,0))=0),0,(1/INDEX('Parametri Modello'!$F$32:$F$35,MATCH($B165,'Parametri Modello'!$A$32:$A$35,0))-1)*'Parametri Modello'!$B$28))),0)))*(1+INDEX('Parametri Modello'!$B$12:$B$15,MATCH($B165,'Parametri Modello'!$A$12:$A$15,0))),0),"")</f>
        <v>3</v>
      </c>
      <c r="I165" s="23">
        <f>IFERROR(INDEX('Input Statistiche 2025_26'!$F$3:$F$665,MATCH($A165,'Input Statistiche 2025_26'!$A$3:$A$665,0)),"")</f>
        <v>31</v>
      </c>
      <c r="J165" s="23">
        <f t="shared" si="18"/>
        <v>7</v>
      </c>
      <c r="K165" s="23">
        <f>IFERROR(INDEX('Input Statistiche 2025_26'!$I$3:$I$665,MATCH($A165,'Input Statistiche 2025_26'!$A$3:$A$665,0)),"")</f>
        <v>1</v>
      </c>
      <c r="L165" s="23">
        <f>IFERROR(INDEX('Input Statistiche 2025_26'!$O$3:$O$665,MATCH($A165,'Input Statistiche 2025_26'!$A$3:$A$665,0)),"")</f>
        <v>0</v>
      </c>
      <c r="M165" s="25"/>
      <c r="N165" s="24">
        <f>IFERROR(INDEX('Input Giocatori 2026_27'!$E$3:$E$493,MATCH($A165,'Input Giocatori 2026_27'!$A$3:$A$493,0)),"")</f>
        <v>7</v>
      </c>
      <c r="O165" s="24">
        <f>IFERROR(INDEX('Input Giocatori 2026_27'!$G$3:$G$493,MATCH($A165,'Input Giocatori 2026_27'!$A$3:$A$493,0)),"")</f>
        <v>20</v>
      </c>
      <c r="P165" s="23" t="str">
        <f>IFERROR(IF($O165="","",IF((1-(COUNTIFS($B$2:$B$492,$B165,$O$2:$O$492,"&gt;"&amp;$O165)+1-1)/COUNTIF($B$2:$B$492,$B165))&gt;='Parametri Modello'!$B$63,"Top",IF((1-(COUNTIFS($B$2:$B$492,$B165,$O$2:$O$492,"&gt;"&amp;$O165)+1-1)/COUNTIF($B$2:$B$492,$B165))&gt;='Parametri Modello'!$B$64,"Buono",IF((1-(COUNTIFS($B$2:$B$492,$B165,$O$2:$O$492,"&gt;"&amp;$O165)+1-1)/COUNTIF($B$2:$B$492,$B165))&gt;='Parametri Modello'!$B$65,"Nella Media","Scommessa/Riserva")))),"")</f>
        <v>Nella Media</v>
      </c>
      <c r="Q165" s="26">
        <f>IF(AND($D165="",$N165&gt;1),SUMPRODUCT(($D$2:$D165="")*($N$2:$N165&gt;1)),"")</f>
        <v>164</v>
      </c>
      <c r="R165" s="26" t="str">
        <f>IF($D165='Info Lega'!$B$28,COUNTIFS($D$2:$D165,'Info Lega'!$B$28),"")</f>
        <v/>
      </c>
      <c r="S165" s="27">
        <f>IFERROR(INDEX('Input Statistiche 2025_26'!$G$3:$G$665,MATCH($A165,'Input Statistiche 2025_26'!$A$3:$A$665,0)),"")</f>
        <v>6.05</v>
      </c>
      <c r="T165" s="27">
        <f>IFERROR(INDEX('Input Statistiche 2025_26'!$H$3:$H$665,MATCH($A165,'Input Statistiche 2025_26'!$A$3:$A$665,0)),"")</f>
        <v>6.1</v>
      </c>
      <c r="U165" s="23" t="str">
        <f>IF(OR('La Mia Rosa'!$O$12="",$D165&lt;&gt;""),"",IF($F165&lt;='La Mia Rosa'!$O$12*'Parametri Modello'!$B$24,"OK",IF($F165&lt;='La Mia Rosa'!$O$12*'Parametri Modello'!$B$25,"Attenzione","Rischio Alto")))</f>
        <v>OK</v>
      </c>
      <c r="V165" s="23">
        <f t="shared" si="19"/>
        <v>60</v>
      </c>
      <c r="W165" s="18">
        <f>'Info Lega'!$B$4-SUMIFS($M$2:$M$492,$D$2:$D$492,'Info Lega'!$B$28)</f>
        <v>1000</v>
      </c>
      <c r="X165" s="18">
        <f>('Info Lega'!$B$5-COUNTIFS($D$2:$D$492,'Info Lega'!$B$28,$B$2:$B$492,"P"))+('Info Lega'!$B$6-COUNTIFS($D$2:$D$492,'Info Lega'!$B$28,$B$2:$B$492,"D"))+('Info Lega'!$B$7-COUNTIFS($D$2:$D$492,'Info Lega'!$B$28,$B$2:$B$492,"C"))+('Info Lega'!$B$8-COUNTIFS($D$2:$D$492,'Info Lega'!$B$28,$B$2:$B$492,"A"))</f>
        <v>25</v>
      </c>
      <c r="Y165" s="18">
        <f>X165*'Parametri Modello'!$B$30</f>
        <v>25</v>
      </c>
      <c r="Z165" s="18">
        <f t="shared" si="20"/>
        <v>975</v>
      </c>
      <c r="AA165" s="18">
        <f t="shared" si="21"/>
        <v>3</v>
      </c>
      <c r="AB165" s="18"/>
      <c r="AC165" s="18" t="str">
        <f>IF($AB165="","",IF($AB165&gt;$AA165,"PASS",IF($AB165&lt;=$AA165*(1-'Parametri Modello'!$B$68),"BID","ATTENZIONE")))</f>
        <v/>
      </c>
      <c r="AD165" s="28">
        <f t="shared" si="22"/>
        <v>64</v>
      </c>
      <c r="AE165" s="5" t="str">
        <f>IFERROR(INDEX('Stato Asta'!$G$9:$G$12,MATCH($B165,'Stato Asta'!$A$9:$A$12,0)),"")</f>
        <v>🔴 Non aspettare</v>
      </c>
      <c r="AF165" t="str">
        <f>IFERROR(IF($V165&lt;=INDEX('Parametri Modello'!$C$57:$C$60,MATCH($B165,'Parametri Modello'!$A$57:$A$60,0)),"Titolare","Riserva"),"")</f>
        <v>Riserva</v>
      </c>
      <c r="AG165" t="str">
        <f>IFERROR(INDEX('Pressione Competitiva'!$F$3:$F$6,MATCH($B165,'Pressione Competitiva'!$B$3:$B$6,0)),"")</f>
        <v>🔴 Molto Alta</v>
      </c>
      <c r="AH165" t="str">
        <f t="shared" si="23"/>
        <v/>
      </c>
      <c r="AI165" t="str">
        <f>IFERROR(IF($AH165="","",IF($AH165&gt;=$AA165*'Parametri Modello'!$B$68,"🟢 Opportunita'",IF($AH165&lt;=$AA165*'Parametri Modello'!$B$69,"🔴 Sovrapprezzo","🟡 Prezzo Corretto"))),"")</f>
        <v/>
      </c>
      <c r="AJ165" t="str">
        <f t="shared" si="24"/>
        <v/>
      </c>
      <c r="AK165">
        <f t="shared" si="25"/>
        <v>5</v>
      </c>
      <c r="AL165" t="str">
        <f t="shared" si="26"/>
        <v>C|Nella Media|5</v>
      </c>
    </row>
    <row r="166" spans="1:38" ht="14.25" customHeight="1" x14ac:dyDescent="0.25">
      <c r="A166" s="18">
        <v>5036</v>
      </c>
      <c r="B166" s="18" t="s">
        <v>17</v>
      </c>
      <c r="C166" s="18" t="s">
        <v>305</v>
      </c>
      <c r="E166" s="23" t="str">
        <f>IF(COUNTIF('Info Strategia'!$D$2:$D$51,$C166)&gt;0,"SI","NO")</f>
        <v>NO</v>
      </c>
      <c r="F166" s="24">
        <f>IFERROR(ROUND(($G166+($H166-$G166)*'Info Strategia'!$B$6)*(1+IF($E166="SI",'Parametri Modello'!$B$7*'Info Strategia'!$B$6,0)),0),"")</f>
        <v>3</v>
      </c>
      <c r="G166" s="24">
        <f>IFERROR(ROUND(MAX(1,(IF($V166&lt;=INDEX('Parametri Modello'!$C$57:$C$60,MATCH($B166,'Parametri Modello'!$A$57:$A$60,0)),IF(INDEX('Parametri Modello'!$E$57:$E$60,MATCH($B166,'Parametri Modello'!$A$57:$A$60,0))=0,0,($O166/INDEX('Parametri Modello'!$E$57:$E$60,MATCH($B166,'Parametri Modello'!$A$57:$A$60,0)))*(INDEX('Parametri Modello'!$D$57:$D$60,MATCH($B166,'Parametri Modello'!$A$57:$A$60,0))*(INDEX('Parametri Modello'!$B$50:$B$53,MATCH($B166,'Parametri Modello'!$A$50:$A$53,0))*'Parametri Modello'!$B$44))),IF(INDEX('Parametri Modello'!$F$57:$F$60,MATCH($B166,'Parametri Modello'!$A$57:$A$60,0))=0,0,($O166/INDEX('Parametri Modello'!$F$57:$F$60,MATCH($B166,'Parametri Modello'!$A$57:$A$60,0)))*((1-INDEX('Parametri Modello'!$D$57:$D$60,MATCH($B166,'Parametri Modello'!$A$57:$A$60,0)))*(INDEX('Parametri Modello'!$B$50:$B$53,MATCH($B166,'Parametri Modello'!$A$50:$A$53,0))*'Parametri Modello'!$B$44))))*(1+IF(IF($B166="D",'Info Lega'!$B$25,IF($B166="C",'Info Lega'!$B$26,"No"))="Si",'Parametri Modello'!$B$5,0))*(1+MAX(-0.25,MIN(0.25,IF(OR($T166="",$I166="",$I166=0,INDEX('Parametri Modello'!$B$19:$B$22,MATCH($B166,'Parametri Modello'!$A$19:$A$22,0))="",INDEX('Parametri Modello'!$B$19:$B$22,MATCH($B166,'Parametri Modello'!$A$19:$A$22,0))=0),0,(($T166-INDEX('Parametri Modello'!$B$19:$B$22,MATCH($B166,'Parametri Modello'!$A$19:$A$22,0)))/INDEX('Parametri Modello'!$B$19:$B$22,MATCH($B166,'Parametri Modello'!$A$19:$A$22,0)))*'Parametri Modello'!$B$9))))*(1+IF('Parametri Modello'!$B$27="Si",MAX(-'Parametri Modello'!$B$28,MIN('Parametri Modello'!$B$28*1.5,IF(OR(INDEX('Parametri Modello'!$F$32:$F$35,MATCH($B166,'Parametri Modello'!$A$32:$A$35,0))="",INDEX('Parametri Modello'!$F$32:$F$35,MATCH($B166,'Parametri Modello'!$A$32:$A$35,0))=0),0,(1/INDEX('Parametri Modello'!$F$32:$F$35,MATCH($B166,'Parametri Modello'!$A$32:$A$35,0))-1)*'Parametri Modello'!$B$28))),0)))*(1-INDEX('Parametri Modello'!$B$12:$B$15,MATCH($B166,'Parametri Modello'!$A$12:$A$15,0)))),0),"")</f>
        <v>2</v>
      </c>
      <c r="H166" s="24">
        <f>IFERROR(ROUND((IF($V166&lt;=INDEX('Parametri Modello'!$C$57:$C$60,MATCH($B166,'Parametri Modello'!$A$57:$A$60,0)),IF(INDEX('Parametri Modello'!$E$57:$E$60,MATCH($B166,'Parametri Modello'!$A$57:$A$60,0))=0,0,($O166/INDEX('Parametri Modello'!$E$57:$E$60,MATCH($B166,'Parametri Modello'!$A$57:$A$60,0)))*(INDEX('Parametri Modello'!$D$57:$D$60,MATCH($B166,'Parametri Modello'!$A$57:$A$60,0))*(INDEX('Parametri Modello'!$B$50:$B$53,MATCH($B166,'Parametri Modello'!$A$50:$A$53,0))*'Parametri Modello'!$B$44))),IF(INDEX('Parametri Modello'!$F$57:$F$60,MATCH($B166,'Parametri Modello'!$A$57:$A$60,0))=0,0,($O166/INDEX('Parametri Modello'!$F$57:$F$60,MATCH($B166,'Parametri Modello'!$A$57:$A$60,0)))*((1-INDEX('Parametri Modello'!$D$57:$D$60,MATCH($B166,'Parametri Modello'!$A$57:$A$60,0)))*(INDEX('Parametri Modello'!$B$50:$B$53,MATCH($B166,'Parametri Modello'!$A$50:$A$53,0))*'Parametri Modello'!$B$44))))*(1+IF(IF($B166="D",'Info Lega'!$B$25,IF($B166="C",'Info Lega'!$B$26,"No"))="Si",'Parametri Modello'!$B$5,0))*(1+MAX(-0.25,MIN(0.25,IF(OR($T166="",$I166="",$I166=0,INDEX('Parametri Modello'!$B$19:$B$22,MATCH($B166,'Parametri Modello'!$A$19:$A$22,0))="",INDEX('Parametri Modello'!$B$19:$B$22,MATCH($B166,'Parametri Modello'!$A$19:$A$22,0))=0),0,(($T166-INDEX('Parametri Modello'!$B$19:$B$22,MATCH($B166,'Parametri Modello'!$A$19:$A$22,0)))/INDEX('Parametri Modello'!$B$19:$B$22,MATCH($B166,'Parametri Modello'!$A$19:$A$22,0)))*'Parametri Modello'!$B$9))))*(1+IF('Parametri Modello'!$B$27="Si",MAX(-'Parametri Modello'!$B$28,MIN('Parametri Modello'!$B$28*1.5,IF(OR(INDEX('Parametri Modello'!$F$32:$F$35,MATCH($B166,'Parametri Modello'!$A$32:$A$35,0))="",INDEX('Parametri Modello'!$F$32:$F$35,MATCH($B166,'Parametri Modello'!$A$32:$A$35,0))=0),0,(1/INDEX('Parametri Modello'!$F$32:$F$35,MATCH($B166,'Parametri Modello'!$A$32:$A$35,0))-1)*'Parametri Modello'!$B$28))),0)))*(1+INDEX('Parametri Modello'!$B$12:$B$15,MATCH($B166,'Parametri Modello'!$A$12:$A$15,0))),0),"")</f>
        <v>3</v>
      </c>
      <c r="I166" s="23">
        <f>IFERROR(INDEX('Input Statistiche 2025_26'!$F$3:$F$665,MATCH($A166,'Input Statistiche 2025_26'!$A$3:$A$665,0)),"")</f>
        <v>28</v>
      </c>
      <c r="J166" s="23">
        <f t="shared" si="18"/>
        <v>10</v>
      </c>
      <c r="K166" s="23">
        <f>IFERROR(INDEX('Input Statistiche 2025_26'!$I$3:$I$665,MATCH($A166,'Input Statistiche 2025_26'!$A$3:$A$665,0)),"")</f>
        <v>2</v>
      </c>
      <c r="L166" s="23">
        <f>IFERROR(INDEX('Input Statistiche 2025_26'!$O$3:$O$665,MATCH($A166,'Input Statistiche 2025_26'!$A$3:$A$665,0)),"")</f>
        <v>4</v>
      </c>
      <c r="M166" s="25"/>
      <c r="N166" s="24">
        <f>IFERROR(INDEX('Input Giocatori 2026_27'!$E$3:$E$493,MATCH($A166,'Input Giocatori 2026_27'!$A$3:$A$493,0)),"")</f>
        <v>6</v>
      </c>
      <c r="O166" s="24">
        <f>IFERROR(INDEX('Input Giocatori 2026_27'!$G$3:$G$493,MATCH($A166,'Input Giocatori 2026_27'!$A$3:$A$493,0)),"")</f>
        <v>20</v>
      </c>
      <c r="P166" s="23" t="str">
        <f>IFERROR(IF($O166="","",IF((1-(COUNTIFS($B$2:$B$492,$B166,$O$2:$O$492,"&gt;"&amp;$O166)+1-1)/COUNTIF($B$2:$B$492,$B166))&gt;='Parametri Modello'!$B$63,"Top",IF((1-(COUNTIFS($B$2:$B$492,$B166,$O$2:$O$492,"&gt;"&amp;$O166)+1-1)/COUNTIF($B$2:$B$492,$B166))&gt;='Parametri Modello'!$B$64,"Buono",IF((1-(COUNTIFS($B$2:$B$492,$B166,$O$2:$O$492,"&gt;"&amp;$O166)+1-1)/COUNTIF($B$2:$B$492,$B166))&gt;='Parametri Modello'!$B$65,"Nella Media","Scommessa/Riserva")))),"")</f>
        <v>Nella Media</v>
      </c>
      <c r="Q166" s="26">
        <f>IF(AND($D166="",$N166&gt;1),SUMPRODUCT(($D$2:$D166="")*($N$2:$N166&gt;1)),"")</f>
        <v>165</v>
      </c>
      <c r="R166" s="26" t="str">
        <f>IF($D166='Info Lega'!$B$28,COUNTIFS($D$2:$D166,'Info Lega'!$B$28),"")</f>
        <v/>
      </c>
      <c r="S166" s="27">
        <f>IFERROR(INDEX('Input Statistiche 2025_26'!$G$3:$G$665,MATCH($A166,'Input Statistiche 2025_26'!$A$3:$A$665,0)),"")</f>
        <v>6.11</v>
      </c>
      <c r="T166" s="27">
        <f>IFERROR(INDEX('Input Statistiche 2025_26'!$H$3:$H$665,MATCH($A166,'Input Statistiche 2025_26'!$A$3:$A$665,0)),"")</f>
        <v>6.41</v>
      </c>
      <c r="U166" s="23" t="str">
        <f>IF(OR('La Mia Rosa'!$O$12="",$D166&lt;&gt;""),"",IF($F166&lt;='La Mia Rosa'!$O$12*'Parametri Modello'!$B$24,"OK",IF($F166&lt;='La Mia Rosa'!$O$12*'Parametri Modello'!$B$25,"Attenzione","Rischio Alto")))</f>
        <v>OK</v>
      </c>
      <c r="V166" s="23">
        <f t="shared" si="19"/>
        <v>60</v>
      </c>
      <c r="W166" s="18">
        <f>'Info Lega'!$B$4-SUMIFS($M$2:$M$492,$D$2:$D$492,'Info Lega'!$B$28)</f>
        <v>1000</v>
      </c>
      <c r="X166" s="18">
        <f>('Info Lega'!$B$5-COUNTIFS($D$2:$D$492,'Info Lega'!$B$28,$B$2:$B$492,"P"))+('Info Lega'!$B$6-COUNTIFS($D$2:$D$492,'Info Lega'!$B$28,$B$2:$B$492,"D"))+('Info Lega'!$B$7-COUNTIFS($D$2:$D$492,'Info Lega'!$B$28,$B$2:$B$492,"C"))+('Info Lega'!$B$8-COUNTIFS($D$2:$D$492,'Info Lega'!$B$28,$B$2:$B$492,"A"))</f>
        <v>25</v>
      </c>
      <c r="Y166" s="18">
        <f>X166*'Parametri Modello'!$B$30</f>
        <v>25</v>
      </c>
      <c r="Z166" s="18">
        <f t="shared" si="20"/>
        <v>975</v>
      </c>
      <c r="AA166" s="18">
        <f t="shared" si="21"/>
        <v>3</v>
      </c>
      <c r="AB166" s="18"/>
      <c r="AC166" s="18" t="str">
        <f>IF($AB166="","",IF($AB166&gt;$AA166,"PASS",IF($AB166&lt;=$AA166*(1-'Parametri Modello'!$B$68),"BID","ATTENZIONE")))</f>
        <v/>
      </c>
      <c r="AD166" s="28">
        <f t="shared" si="22"/>
        <v>61</v>
      </c>
      <c r="AE166" s="5" t="str">
        <f>IFERROR(INDEX('Stato Asta'!$G$9:$G$12,MATCH($B166,'Stato Asta'!$A$9:$A$12,0)),"")</f>
        <v>🔴 Non aspettare</v>
      </c>
      <c r="AF166" t="str">
        <f>IFERROR(IF($V166&lt;=INDEX('Parametri Modello'!$C$57:$C$60,MATCH($B166,'Parametri Modello'!$A$57:$A$60,0)),"Titolare","Riserva"),"")</f>
        <v>Riserva</v>
      </c>
      <c r="AG166" t="str">
        <f>IFERROR(INDEX('Pressione Competitiva'!$F$3:$F$6,MATCH($B166,'Pressione Competitiva'!$B$3:$B$6,0)),"")</f>
        <v>🔴 Molto Alta</v>
      </c>
      <c r="AH166" t="str">
        <f t="shared" si="23"/>
        <v/>
      </c>
      <c r="AI166" t="str">
        <f>IFERROR(IF($AH166="","",IF($AH166&gt;=$AA166*'Parametri Modello'!$B$68,"🟢 Opportunita'",IF($AH166&lt;=$AA166*'Parametri Modello'!$B$69,"🔴 Sovrapprezzo","🟡 Prezzo Corretto"))),"")</f>
        <v/>
      </c>
      <c r="AJ166" t="str">
        <f t="shared" si="24"/>
        <v/>
      </c>
      <c r="AK166">
        <f t="shared" si="25"/>
        <v>5</v>
      </c>
      <c r="AL166" t="str">
        <f t="shared" si="26"/>
        <v>C|Nella Media|5</v>
      </c>
    </row>
    <row r="167" spans="1:38" ht="14.25" customHeight="1" x14ac:dyDescent="0.25">
      <c r="A167" s="18">
        <v>7464</v>
      </c>
      <c r="B167" s="18" t="s">
        <v>17</v>
      </c>
      <c r="C167" s="18" t="s">
        <v>306</v>
      </c>
      <c r="E167" s="23" t="str">
        <f>IF(COUNTIF('Info Strategia'!$D$2:$D$51,$C167)&gt;0,"SI","NO")</f>
        <v>NO</v>
      </c>
      <c r="F167" s="24">
        <f>IFERROR(ROUND(($G167+($H167-$G167)*'Info Strategia'!$B$6)*(1+IF($E167="SI",'Parametri Modello'!$B$7*'Info Strategia'!$B$6,0)),0),"")</f>
        <v>3</v>
      </c>
      <c r="G167" s="24">
        <f>IFERROR(ROUND(MAX(1,(IF($V167&lt;=INDEX('Parametri Modello'!$C$57:$C$60,MATCH($B167,'Parametri Modello'!$A$57:$A$60,0)),IF(INDEX('Parametri Modello'!$E$57:$E$60,MATCH($B167,'Parametri Modello'!$A$57:$A$60,0))=0,0,($O167/INDEX('Parametri Modello'!$E$57:$E$60,MATCH($B167,'Parametri Modello'!$A$57:$A$60,0)))*(INDEX('Parametri Modello'!$D$57:$D$60,MATCH($B167,'Parametri Modello'!$A$57:$A$60,0))*(INDEX('Parametri Modello'!$B$50:$B$53,MATCH($B167,'Parametri Modello'!$A$50:$A$53,0))*'Parametri Modello'!$B$44))),IF(INDEX('Parametri Modello'!$F$57:$F$60,MATCH($B167,'Parametri Modello'!$A$57:$A$60,0))=0,0,($O167/INDEX('Parametri Modello'!$F$57:$F$60,MATCH($B167,'Parametri Modello'!$A$57:$A$60,0)))*((1-INDEX('Parametri Modello'!$D$57:$D$60,MATCH($B167,'Parametri Modello'!$A$57:$A$60,0)))*(INDEX('Parametri Modello'!$B$50:$B$53,MATCH($B167,'Parametri Modello'!$A$50:$A$53,0))*'Parametri Modello'!$B$44))))*(1+IF(IF($B167="D",'Info Lega'!$B$25,IF($B167="C",'Info Lega'!$B$26,"No"))="Si",'Parametri Modello'!$B$5,0))*(1+MAX(-0.25,MIN(0.25,IF(OR($T167="",$I167="",$I167=0,INDEX('Parametri Modello'!$B$19:$B$22,MATCH($B167,'Parametri Modello'!$A$19:$A$22,0))="",INDEX('Parametri Modello'!$B$19:$B$22,MATCH($B167,'Parametri Modello'!$A$19:$A$22,0))=0),0,(($T167-INDEX('Parametri Modello'!$B$19:$B$22,MATCH($B167,'Parametri Modello'!$A$19:$A$22,0)))/INDEX('Parametri Modello'!$B$19:$B$22,MATCH($B167,'Parametri Modello'!$A$19:$A$22,0)))*'Parametri Modello'!$B$9))))*(1+IF('Parametri Modello'!$B$27="Si",MAX(-'Parametri Modello'!$B$28,MIN('Parametri Modello'!$B$28*1.5,IF(OR(INDEX('Parametri Modello'!$F$32:$F$35,MATCH($B167,'Parametri Modello'!$A$32:$A$35,0))="",INDEX('Parametri Modello'!$F$32:$F$35,MATCH($B167,'Parametri Modello'!$A$32:$A$35,0))=0),0,(1/INDEX('Parametri Modello'!$F$32:$F$35,MATCH($B167,'Parametri Modello'!$A$32:$A$35,0))-1)*'Parametri Modello'!$B$28))),0)))*(1-INDEX('Parametri Modello'!$B$12:$B$15,MATCH($B167,'Parametri Modello'!$A$12:$A$15,0)))),0),"")</f>
        <v>2</v>
      </c>
      <c r="H167" s="24">
        <f>IFERROR(ROUND((IF($V167&lt;=INDEX('Parametri Modello'!$C$57:$C$60,MATCH($B167,'Parametri Modello'!$A$57:$A$60,0)),IF(INDEX('Parametri Modello'!$E$57:$E$60,MATCH($B167,'Parametri Modello'!$A$57:$A$60,0))=0,0,($O167/INDEX('Parametri Modello'!$E$57:$E$60,MATCH($B167,'Parametri Modello'!$A$57:$A$60,0)))*(INDEX('Parametri Modello'!$D$57:$D$60,MATCH($B167,'Parametri Modello'!$A$57:$A$60,0))*(INDEX('Parametri Modello'!$B$50:$B$53,MATCH($B167,'Parametri Modello'!$A$50:$A$53,0))*'Parametri Modello'!$B$44))),IF(INDEX('Parametri Modello'!$F$57:$F$60,MATCH($B167,'Parametri Modello'!$A$57:$A$60,0))=0,0,($O167/INDEX('Parametri Modello'!$F$57:$F$60,MATCH($B167,'Parametri Modello'!$A$57:$A$60,0)))*((1-INDEX('Parametri Modello'!$D$57:$D$60,MATCH($B167,'Parametri Modello'!$A$57:$A$60,0)))*(INDEX('Parametri Modello'!$B$50:$B$53,MATCH($B167,'Parametri Modello'!$A$50:$A$53,0))*'Parametri Modello'!$B$44))))*(1+IF(IF($B167="D",'Info Lega'!$B$25,IF($B167="C",'Info Lega'!$B$26,"No"))="Si",'Parametri Modello'!$B$5,0))*(1+MAX(-0.25,MIN(0.25,IF(OR($T167="",$I167="",$I167=0,INDEX('Parametri Modello'!$B$19:$B$22,MATCH($B167,'Parametri Modello'!$A$19:$A$22,0))="",INDEX('Parametri Modello'!$B$19:$B$22,MATCH($B167,'Parametri Modello'!$A$19:$A$22,0))=0),0,(($T167-INDEX('Parametri Modello'!$B$19:$B$22,MATCH($B167,'Parametri Modello'!$A$19:$A$22,0)))/INDEX('Parametri Modello'!$B$19:$B$22,MATCH($B167,'Parametri Modello'!$A$19:$A$22,0)))*'Parametri Modello'!$B$9))))*(1+IF('Parametri Modello'!$B$27="Si",MAX(-'Parametri Modello'!$B$28,MIN('Parametri Modello'!$B$28*1.5,IF(OR(INDEX('Parametri Modello'!$F$32:$F$35,MATCH($B167,'Parametri Modello'!$A$32:$A$35,0))="",INDEX('Parametri Modello'!$F$32:$F$35,MATCH($B167,'Parametri Modello'!$A$32:$A$35,0))=0),0,(1/INDEX('Parametri Modello'!$F$32:$F$35,MATCH($B167,'Parametri Modello'!$A$32:$A$35,0))-1)*'Parametri Modello'!$B$28))),0)))*(1+INDEX('Parametri Modello'!$B$12:$B$15,MATCH($B167,'Parametri Modello'!$A$12:$A$15,0))),0),"")</f>
        <v>3</v>
      </c>
      <c r="I167" s="23" t="str">
        <f>IFERROR(INDEX('Input Statistiche 2025_26'!$F$3:$F$665,MATCH($A167,'Input Statistiche 2025_26'!$A$3:$A$665,0)),"")</f>
        <v/>
      </c>
      <c r="J167" s="23" t="str">
        <f t="shared" si="18"/>
        <v/>
      </c>
      <c r="K167" s="23" t="str">
        <f>IFERROR(INDEX('Input Statistiche 2025_26'!$I$3:$I$665,MATCH($A167,'Input Statistiche 2025_26'!$A$3:$A$665,0)),"")</f>
        <v/>
      </c>
      <c r="L167" s="23" t="str">
        <f>IFERROR(INDEX('Input Statistiche 2025_26'!$O$3:$O$665,MATCH($A167,'Input Statistiche 2025_26'!$A$3:$A$665,0)),"")</f>
        <v/>
      </c>
      <c r="M167" s="25"/>
      <c r="N167" s="24">
        <f>IFERROR(INDEX('Input Giocatori 2026_27'!$E$3:$E$493,MATCH($A167,'Input Giocatori 2026_27'!$A$3:$A$493,0)),"")</f>
        <v>6</v>
      </c>
      <c r="O167" s="24">
        <f>IFERROR(INDEX('Input Giocatori 2026_27'!$G$3:$G$493,MATCH($A167,'Input Giocatori 2026_27'!$A$3:$A$493,0)),"")</f>
        <v>20</v>
      </c>
      <c r="P167" s="23" t="str">
        <f>IFERROR(IF($O167="","",IF((1-(COUNTIFS($B$2:$B$492,$B167,$O$2:$O$492,"&gt;"&amp;$O167)+1-1)/COUNTIF($B$2:$B$492,$B167))&gt;='Parametri Modello'!$B$63,"Top",IF((1-(COUNTIFS($B$2:$B$492,$B167,$O$2:$O$492,"&gt;"&amp;$O167)+1-1)/COUNTIF($B$2:$B$492,$B167))&gt;='Parametri Modello'!$B$64,"Buono",IF((1-(COUNTIFS($B$2:$B$492,$B167,$O$2:$O$492,"&gt;"&amp;$O167)+1-1)/COUNTIF($B$2:$B$492,$B167))&gt;='Parametri Modello'!$B$65,"Nella Media","Scommessa/Riserva")))),"")</f>
        <v>Nella Media</v>
      </c>
      <c r="Q167" s="26">
        <f>IF(AND($D167="",$N167&gt;1),SUMPRODUCT(($D$2:$D167="")*($N$2:$N167&gt;1)),"")</f>
        <v>166</v>
      </c>
      <c r="R167" s="26" t="str">
        <f>IF($D167='Info Lega'!$B$28,COUNTIFS($D$2:$D167,'Info Lega'!$B$28),"")</f>
        <v/>
      </c>
      <c r="S167" s="27" t="str">
        <f>IFERROR(INDEX('Input Statistiche 2025_26'!$G$3:$G$665,MATCH($A167,'Input Statistiche 2025_26'!$A$3:$A$665,0)),"")</f>
        <v/>
      </c>
      <c r="T167" s="27" t="str">
        <f>IFERROR(INDEX('Input Statistiche 2025_26'!$H$3:$H$665,MATCH($A167,'Input Statistiche 2025_26'!$A$3:$A$665,0)),"")</f>
        <v/>
      </c>
      <c r="U167" s="23" t="str">
        <f>IF(OR('La Mia Rosa'!$O$12="",$D167&lt;&gt;""),"",IF($F167&lt;='La Mia Rosa'!$O$12*'Parametri Modello'!$B$24,"OK",IF($F167&lt;='La Mia Rosa'!$O$12*'Parametri Modello'!$B$25,"Attenzione","Rischio Alto")))</f>
        <v>OK</v>
      </c>
      <c r="V167" s="23">
        <f t="shared" si="19"/>
        <v>60</v>
      </c>
      <c r="W167" s="18">
        <f>'Info Lega'!$B$4-SUMIFS($M$2:$M$492,$D$2:$D$492,'Info Lega'!$B$28)</f>
        <v>1000</v>
      </c>
      <c r="X167" s="18">
        <f>('Info Lega'!$B$5-COUNTIFS($D$2:$D$492,'Info Lega'!$B$28,$B$2:$B$492,"P"))+('Info Lega'!$B$6-COUNTIFS($D$2:$D$492,'Info Lega'!$B$28,$B$2:$B$492,"D"))+('Info Lega'!$B$7-COUNTIFS($D$2:$D$492,'Info Lega'!$B$28,$B$2:$B$492,"C"))+('Info Lega'!$B$8-COUNTIFS($D$2:$D$492,'Info Lega'!$B$28,$B$2:$B$492,"A"))</f>
        <v>25</v>
      </c>
      <c r="Y167" s="18">
        <f>X167*'Parametri Modello'!$B$30</f>
        <v>25</v>
      </c>
      <c r="Z167" s="18">
        <f t="shared" si="20"/>
        <v>975</v>
      </c>
      <c r="AA167" s="18">
        <f t="shared" si="21"/>
        <v>3</v>
      </c>
      <c r="AB167" s="18"/>
      <c r="AC167" s="18" t="str">
        <f>IF($AB167="","",IF($AB167&gt;$AA167,"PASS",IF($AB167&lt;=$AA167*(1-'Parametri Modello'!$B$68),"BID","ATTENZIONE")))</f>
        <v/>
      </c>
      <c r="AD167" s="28" t="str">
        <f t="shared" si="22"/>
        <v/>
      </c>
      <c r="AE167" s="5" t="str">
        <f>IFERROR(INDEX('Stato Asta'!$G$9:$G$12,MATCH($B167,'Stato Asta'!$A$9:$A$12,0)),"")</f>
        <v>🔴 Non aspettare</v>
      </c>
      <c r="AF167" t="str">
        <f>IFERROR(IF($V167&lt;=INDEX('Parametri Modello'!$C$57:$C$60,MATCH($B167,'Parametri Modello'!$A$57:$A$60,0)),"Titolare","Riserva"),"")</f>
        <v>Riserva</v>
      </c>
      <c r="AG167" t="str">
        <f>IFERROR(INDEX('Pressione Competitiva'!$F$3:$F$6,MATCH($B167,'Pressione Competitiva'!$B$3:$B$6,0)),"")</f>
        <v>🔴 Molto Alta</v>
      </c>
      <c r="AH167" t="str">
        <f t="shared" si="23"/>
        <v/>
      </c>
      <c r="AI167" t="str">
        <f>IFERROR(IF($AH167="","",IF($AH167&gt;=$AA167*'Parametri Modello'!$B$68,"🟢 Opportunita'",IF($AH167&lt;=$AA167*'Parametri Modello'!$B$69,"🔴 Sovrapprezzo","🟡 Prezzo Corretto"))),"")</f>
        <v/>
      </c>
      <c r="AJ167" t="str">
        <f t="shared" si="24"/>
        <v/>
      </c>
      <c r="AK167">
        <f t="shared" si="25"/>
        <v>5</v>
      </c>
      <c r="AL167" t="str">
        <f t="shared" si="26"/>
        <v>C|Nella Media|5</v>
      </c>
    </row>
    <row r="168" spans="1:38" ht="14.25" customHeight="1" x14ac:dyDescent="0.25">
      <c r="A168" s="18">
        <v>6680</v>
      </c>
      <c r="B168" s="18" t="s">
        <v>17</v>
      </c>
      <c r="C168" s="18" t="s">
        <v>307</v>
      </c>
      <c r="E168" s="23" t="str">
        <f>IF(COUNTIF('Info Strategia'!$D$2:$D$51,$C168)&gt;0,"SI","NO")</f>
        <v>NO</v>
      </c>
      <c r="F168" s="24">
        <f>IFERROR(ROUND(($G168+($H168-$G168)*'Info Strategia'!$B$6)*(1+IF($E168="SI",'Parametri Modello'!$B$7*'Info Strategia'!$B$6,0)),0),"")</f>
        <v>3</v>
      </c>
      <c r="G168" s="24">
        <f>IFERROR(ROUND(MAX(1,(IF($V168&lt;=INDEX('Parametri Modello'!$C$57:$C$60,MATCH($B168,'Parametri Modello'!$A$57:$A$60,0)),IF(INDEX('Parametri Modello'!$E$57:$E$60,MATCH($B168,'Parametri Modello'!$A$57:$A$60,0))=0,0,($O168/INDEX('Parametri Modello'!$E$57:$E$60,MATCH($B168,'Parametri Modello'!$A$57:$A$60,0)))*(INDEX('Parametri Modello'!$D$57:$D$60,MATCH($B168,'Parametri Modello'!$A$57:$A$60,0))*(INDEX('Parametri Modello'!$B$50:$B$53,MATCH($B168,'Parametri Modello'!$A$50:$A$53,0))*'Parametri Modello'!$B$44))),IF(INDEX('Parametri Modello'!$F$57:$F$60,MATCH($B168,'Parametri Modello'!$A$57:$A$60,0))=0,0,($O168/INDEX('Parametri Modello'!$F$57:$F$60,MATCH($B168,'Parametri Modello'!$A$57:$A$60,0)))*((1-INDEX('Parametri Modello'!$D$57:$D$60,MATCH($B168,'Parametri Modello'!$A$57:$A$60,0)))*(INDEX('Parametri Modello'!$B$50:$B$53,MATCH($B168,'Parametri Modello'!$A$50:$A$53,0))*'Parametri Modello'!$B$44))))*(1+IF(IF($B168="D",'Info Lega'!$B$25,IF($B168="C",'Info Lega'!$B$26,"No"))="Si",'Parametri Modello'!$B$5,0))*(1+MAX(-0.25,MIN(0.25,IF(OR($T168="",$I168="",$I168=0,INDEX('Parametri Modello'!$B$19:$B$22,MATCH($B168,'Parametri Modello'!$A$19:$A$22,0))="",INDEX('Parametri Modello'!$B$19:$B$22,MATCH($B168,'Parametri Modello'!$A$19:$A$22,0))=0),0,(($T168-INDEX('Parametri Modello'!$B$19:$B$22,MATCH($B168,'Parametri Modello'!$A$19:$A$22,0)))/INDEX('Parametri Modello'!$B$19:$B$22,MATCH($B168,'Parametri Modello'!$A$19:$A$22,0)))*'Parametri Modello'!$B$9))))*(1+IF('Parametri Modello'!$B$27="Si",MAX(-'Parametri Modello'!$B$28,MIN('Parametri Modello'!$B$28*1.5,IF(OR(INDEX('Parametri Modello'!$F$32:$F$35,MATCH($B168,'Parametri Modello'!$A$32:$A$35,0))="",INDEX('Parametri Modello'!$F$32:$F$35,MATCH($B168,'Parametri Modello'!$A$32:$A$35,0))=0),0,(1/INDEX('Parametri Modello'!$F$32:$F$35,MATCH($B168,'Parametri Modello'!$A$32:$A$35,0))-1)*'Parametri Modello'!$B$28))),0)))*(1-INDEX('Parametri Modello'!$B$12:$B$15,MATCH($B168,'Parametri Modello'!$A$12:$A$15,0)))),0),"")</f>
        <v>2</v>
      </c>
      <c r="H168" s="24">
        <f>IFERROR(ROUND((IF($V168&lt;=INDEX('Parametri Modello'!$C$57:$C$60,MATCH($B168,'Parametri Modello'!$A$57:$A$60,0)),IF(INDEX('Parametri Modello'!$E$57:$E$60,MATCH($B168,'Parametri Modello'!$A$57:$A$60,0))=0,0,($O168/INDEX('Parametri Modello'!$E$57:$E$60,MATCH($B168,'Parametri Modello'!$A$57:$A$60,0)))*(INDEX('Parametri Modello'!$D$57:$D$60,MATCH($B168,'Parametri Modello'!$A$57:$A$60,0))*(INDEX('Parametri Modello'!$B$50:$B$53,MATCH($B168,'Parametri Modello'!$A$50:$A$53,0))*'Parametri Modello'!$B$44))),IF(INDEX('Parametri Modello'!$F$57:$F$60,MATCH($B168,'Parametri Modello'!$A$57:$A$60,0))=0,0,($O168/INDEX('Parametri Modello'!$F$57:$F$60,MATCH($B168,'Parametri Modello'!$A$57:$A$60,0)))*((1-INDEX('Parametri Modello'!$D$57:$D$60,MATCH($B168,'Parametri Modello'!$A$57:$A$60,0)))*(INDEX('Parametri Modello'!$B$50:$B$53,MATCH($B168,'Parametri Modello'!$A$50:$A$53,0))*'Parametri Modello'!$B$44))))*(1+IF(IF($B168="D",'Info Lega'!$B$25,IF($B168="C",'Info Lega'!$B$26,"No"))="Si",'Parametri Modello'!$B$5,0))*(1+MAX(-0.25,MIN(0.25,IF(OR($T168="",$I168="",$I168=0,INDEX('Parametri Modello'!$B$19:$B$22,MATCH($B168,'Parametri Modello'!$A$19:$A$22,0))="",INDEX('Parametri Modello'!$B$19:$B$22,MATCH($B168,'Parametri Modello'!$A$19:$A$22,0))=0),0,(($T168-INDEX('Parametri Modello'!$B$19:$B$22,MATCH($B168,'Parametri Modello'!$A$19:$A$22,0)))/INDEX('Parametri Modello'!$B$19:$B$22,MATCH($B168,'Parametri Modello'!$A$19:$A$22,0)))*'Parametri Modello'!$B$9))))*(1+IF('Parametri Modello'!$B$27="Si",MAX(-'Parametri Modello'!$B$28,MIN('Parametri Modello'!$B$28*1.5,IF(OR(INDEX('Parametri Modello'!$F$32:$F$35,MATCH($B168,'Parametri Modello'!$A$32:$A$35,0))="",INDEX('Parametri Modello'!$F$32:$F$35,MATCH($B168,'Parametri Modello'!$A$32:$A$35,0))=0),0,(1/INDEX('Parametri Modello'!$F$32:$F$35,MATCH($B168,'Parametri Modello'!$A$32:$A$35,0))-1)*'Parametri Modello'!$B$28))),0)))*(1+INDEX('Parametri Modello'!$B$12:$B$15,MATCH($B168,'Parametri Modello'!$A$12:$A$15,0))),0),"")</f>
        <v>3</v>
      </c>
      <c r="I168" s="23">
        <f>IFERROR(INDEX('Input Statistiche 2025_26'!$F$3:$F$665,MATCH($A168,'Input Statistiche 2025_26'!$A$3:$A$665,0)),"")</f>
        <v>36</v>
      </c>
      <c r="J168" s="23">
        <f t="shared" si="18"/>
        <v>2</v>
      </c>
      <c r="K168" s="23">
        <f>IFERROR(INDEX('Input Statistiche 2025_26'!$I$3:$I$665,MATCH($A168,'Input Statistiche 2025_26'!$A$3:$A$665,0)),"")</f>
        <v>1</v>
      </c>
      <c r="L168" s="23">
        <f>IFERROR(INDEX('Input Statistiche 2025_26'!$O$3:$O$665,MATCH($A168,'Input Statistiche 2025_26'!$A$3:$A$665,0)),"")</f>
        <v>0</v>
      </c>
      <c r="M168" s="25"/>
      <c r="N168" s="24">
        <f>IFERROR(INDEX('Input Giocatori 2026_27'!$E$3:$E$493,MATCH($A168,'Input Giocatori 2026_27'!$A$3:$A$493,0)),"")</f>
        <v>6</v>
      </c>
      <c r="O168" s="24">
        <f>IFERROR(INDEX('Input Giocatori 2026_27'!$G$3:$G$493,MATCH($A168,'Input Giocatori 2026_27'!$A$3:$A$493,0)),"")</f>
        <v>20</v>
      </c>
      <c r="P168" s="23" t="str">
        <f>IFERROR(IF($O168="","",IF((1-(COUNTIFS($B$2:$B$492,$B168,$O$2:$O$492,"&gt;"&amp;$O168)+1-1)/COUNTIF($B$2:$B$492,$B168))&gt;='Parametri Modello'!$B$63,"Top",IF((1-(COUNTIFS($B$2:$B$492,$B168,$O$2:$O$492,"&gt;"&amp;$O168)+1-1)/COUNTIF($B$2:$B$492,$B168))&gt;='Parametri Modello'!$B$64,"Buono",IF((1-(COUNTIFS($B$2:$B$492,$B168,$O$2:$O$492,"&gt;"&amp;$O168)+1-1)/COUNTIF($B$2:$B$492,$B168))&gt;='Parametri Modello'!$B$65,"Nella Media","Scommessa/Riserva")))),"")</f>
        <v>Nella Media</v>
      </c>
      <c r="Q168" s="26">
        <f>IF(AND($D168="",$N168&gt;1),SUMPRODUCT(($D$2:$D168="")*($N$2:$N168&gt;1)),"")</f>
        <v>167</v>
      </c>
      <c r="R168" s="26" t="str">
        <f>IF($D168='Info Lega'!$B$28,COUNTIFS($D$2:$D168,'Info Lega'!$B$28),"")</f>
        <v/>
      </c>
      <c r="S168" s="27">
        <f>IFERROR(INDEX('Input Statistiche 2025_26'!$G$3:$G$665,MATCH($A168,'Input Statistiche 2025_26'!$A$3:$A$665,0)),"")</f>
        <v>5.96</v>
      </c>
      <c r="T168" s="27">
        <f>IFERROR(INDEX('Input Statistiche 2025_26'!$H$3:$H$665,MATCH($A168,'Input Statistiche 2025_26'!$A$3:$A$665,0)),"")</f>
        <v>5.96</v>
      </c>
      <c r="U168" s="23" t="str">
        <f>IF(OR('La Mia Rosa'!$O$12="",$D168&lt;&gt;""),"",IF($F168&lt;='La Mia Rosa'!$O$12*'Parametri Modello'!$B$24,"OK",IF($F168&lt;='La Mia Rosa'!$O$12*'Parametri Modello'!$B$25,"Attenzione","Rischio Alto")))</f>
        <v>OK</v>
      </c>
      <c r="V168" s="23">
        <f t="shared" si="19"/>
        <v>60</v>
      </c>
      <c r="W168" s="18">
        <f>'Info Lega'!$B$4-SUMIFS($M$2:$M$492,$D$2:$D$492,'Info Lega'!$B$28)</f>
        <v>1000</v>
      </c>
      <c r="X168" s="18">
        <f>('Info Lega'!$B$5-COUNTIFS($D$2:$D$492,'Info Lega'!$B$28,$B$2:$B$492,"P"))+('Info Lega'!$B$6-COUNTIFS($D$2:$D$492,'Info Lega'!$B$28,$B$2:$B$492,"D"))+('Info Lega'!$B$7-COUNTIFS($D$2:$D$492,'Info Lega'!$B$28,$B$2:$B$492,"C"))+('Info Lega'!$B$8-COUNTIFS($D$2:$D$492,'Info Lega'!$B$28,$B$2:$B$492,"A"))</f>
        <v>25</v>
      </c>
      <c r="Y168" s="18">
        <f>X168*'Parametri Modello'!$B$30</f>
        <v>25</v>
      </c>
      <c r="Z168" s="18">
        <f t="shared" si="20"/>
        <v>975</v>
      </c>
      <c r="AA168" s="18">
        <f t="shared" si="21"/>
        <v>3</v>
      </c>
      <c r="AB168" s="18"/>
      <c r="AC168" s="18" t="str">
        <f>IF($AB168="","",IF($AB168&gt;$AA168,"PASS",IF($AB168&lt;=$AA168*(1-'Parametri Modello'!$B$68),"BID","ATTENZIONE")))</f>
        <v/>
      </c>
      <c r="AD168" s="28">
        <f t="shared" si="22"/>
        <v>70</v>
      </c>
      <c r="AE168" s="5" t="str">
        <f>IFERROR(INDEX('Stato Asta'!$G$9:$G$12,MATCH($B168,'Stato Asta'!$A$9:$A$12,0)),"")</f>
        <v>🔴 Non aspettare</v>
      </c>
      <c r="AF168" t="str">
        <f>IFERROR(IF($V168&lt;=INDEX('Parametri Modello'!$C$57:$C$60,MATCH($B168,'Parametri Modello'!$A$57:$A$60,0)),"Titolare","Riserva"),"")</f>
        <v>Riserva</v>
      </c>
      <c r="AG168" t="str">
        <f>IFERROR(INDEX('Pressione Competitiva'!$F$3:$F$6,MATCH($B168,'Pressione Competitiva'!$B$3:$B$6,0)),"")</f>
        <v>🔴 Molto Alta</v>
      </c>
      <c r="AH168" t="str">
        <f t="shared" si="23"/>
        <v/>
      </c>
      <c r="AI168" t="str">
        <f>IFERROR(IF($AH168="","",IF($AH168&gt;=$AA168*'Parametri Modello'!$B$68,"🟢 Opportunita'",IF($AH168&lt;=$AA168*'Parametri Modello'!$B$69,"🔴 Sovrapprezzo","🟡 Prezzo Corretto"))),"")</f>
        <v/>
      </c>
      <c r="AJ168" t="str">
        <f t="shared" si="24"/>
        <v/>
      </c>
      <c r="AK168">
        <f t="shared" si="25"/>
        <v>5</v>
      </c>
      <c r="AL168" t="str">
        <f t="shared" si="26"/>
        <v>C|Nella Media|5</v>
      </c>
    </row>
    <row r="169" spans="1:38" ht="14.25" customHeight="1" x14ac:dyDescent="0.25">
      <c r="A169" s="18">
        <v>6164</v>
      </c>
      <c r="B169" s="18" t="s">
        <v>18</v>
      </c>
      <c r="C169" s="18" t="s">
        <v>308</v>
      </c>
      <c r="E169" s="23" t="str">
        <f>IF(COUNTIF('Info Strategia'!$D$2:$D$51,$C169)&gt;0,"SI","NO")</f>
        <v>NO</v>
      </c>
      <c r="F169" s="24">
        <f>IFERROR(ROUND(($G169+($H169-$G169)*'Info Strategia'!$B$6)*(1+IF($E169="SI",'Parametri Modello'!$B$7*'Info Strategia'!$B$6,0)),0),"")</f>
        <v>6</v>
      </c>
      <c r="G169" s="24">
        <f>IFERROR(ROUND(MAX(1,(IF($V169&lt;=INDEX('Parametri Modello'!$C$57:$C$60,MATCH($B169,'Parametri Modello'!$A$57:$A$60,0)),IF(INDEX('Parametri Modello'!$E$57:$E$60,MATCH($B169,'Parametri Modello'!$A$57:$A$60,0))=0,0,($O169/INDEX('Parametri Modello'!$E$57:$E$60,MATCH($B169,'Parametri Modello'!$A$57:$A$60,0)))*(INDEX('Parametri Modello'!$D$57:$D$60,MATCH($B169,'Parametri Modello'!$A$57:$A$60,0))*(INDEX('Parametri Modello'!$B$50:$B$53,MATCH($B169,'Parametri Modello'!$A$50:$A$53,0))*'Parametri Modello'!$B$44))),IF(INDEX('Parametri Modello'!$F$57:$F$60,MATCH($B169,'Parametri Modello'!$A$57:$A$60,0))=0,0,($O169/INDEX('Parametri Modello'!$F$57:$F$60,MATCH($B169,'Parametri Modello'!$A$57:$A$60,0)))*((1-INDEX('Parametri Modello'!$D$57:$D$60,MATCH($B169,'Parametri Modello'!$A$57:$A$60,0)))*(INDEX('Parametri Modello'!$B$50:$B$53,MATCH($B169,'Parametri Modello'!$A$50:$A$53,0))*'Parametri Modello'!$B$44))))*(1+IF(IF($B169="D",'Info Lega'!$B$25,IF($B169="C",'Info Lega'!$B$26,"No"))="Si",'Parametri Modello'!$B$5,0))*(1+MAX(-0.25,MIN(0.25,IF(OR($T169="",$I169="",$I169=0,INDEX('Parametri Modello'!$B$19:$B$22,MATCH($B169,'Parametri Modello'!$A$19:$A$22,0))="",INDEX('Parametri Modello'!$B$19:$B$22,MATCH($B169,'Parametri Modello'!$A$19:$A$22,0))=0),0,(($T169-INDEX('Parametri Modello'!$B$19:$B$22,MATCH($B169,'Parametri Modello'!$A$19:$A$22,0)))/INDEX('Parametri Modello'!$B$19:$B$22,MATCH($B169,'Parametri Modello'!$A$19:$A$22,0)))*'Parametri Modello'!$B$9))))*(1+IF('Parametri Modello'!$B$27="Si",MAX(-'Parametri Modello'!$B$28,MIN('Parametri Modello'!$B$28*1.5,IF(OR(INDEX('Parametri Modello'!$F$32:$F$35,MATCH($B169,'Parametri Modello'!$A$32:$A$35,0))="",INDEX('Parametri Modello'!$F$32:$F$35,MATCH($B169,'Parametri Modello'!$A$32:$A$35,0))=0),0,(1/INDEX('Parametri Modello'!$F$32:$F$35,MATCH($B169,'Parametri Modello'!$A$32:$A$35,0))-1)*'Parametri Modello'!$B$28))),0)))*(1-INDEX('Parametri Modello'!$B$12:$B$15,MATCH($B169,'Parametri Modello'!$A$12:$A$15,0)))),0),"")</f>
        <v>4</v>
      </c>
      <c r="H169" s="24">
        <f>IFERROR(ROUND((IF($V169&lt;=INDEX('Parametri Modello'!$C$57:$C$60,MATCH($B169,'Parametri Modello'!$A$57:$A$60,0)),IF(INDEX('Parametri Modello'!$E$57:$E$60,MATCH($B169,'Parametri Modello'!$A$57:$A$60,0))=0,0,($O169/INDEX('Parametri Modello'!$E$57:$E$60,MATCH($B169,'Parametri Modello'!$A$57:$A$60,0)))*(INDEX('Parametri Modello'!$D$57:$D$60,MATCH($B169,'Parametri Modello'!$A$57:$A$60,0))*(INDEX('Parametri Modello'!$B$50:$B$53,MATCH($B169,'Parametri Modello'!$A$50:$A$53,0))*'Parametri Modello'!$B$44))),IF(INDEX('Parametri Modello'!$F$57:$F$60,MATCH($B169,'Parametri Modello'!$A$57:$A$60,0))=0,0,($O169/INDEX('Parametri Modello'!$F$57:$F$60,MATCH($B169,'Parametri Modello'!$A$57:$A$60,0)))*((1-INDEX('Parametri Modello'!$D$57:$D$60,MATCH($B169,'Parametri Modello'!$A$57:$A$60,0)))*(INDEX('Parametri Modello'!$B$50:$B$53,MATCH($B169,'Parametri Modello'!$A$50:$A$53,0))*'Parametri Modello'!$B$44))))*(1+IF(IF($B169="D",'Info Lega'!$B$25,IF($B169="C",'Info Lega'!$B$26,"No"))="Si",'Parametri Modello'!$B$5,0))*(1+MAX(-0.25,MIN(0.25,IF(OR($T169="",$I169="",$I169=0,INDEX('Parametri Modello'!$B$19:$B$22,MATCH($B169,'Parametri Modello'!$A$19:$A$22,0))="",INDEX('Parametri Modello'!$B$19:$B$22,MATCH($B169,'Parametri Modello'!$A$19:$A$22,0))=0),0,(($T169-INDEX('Parametri Modello'!$B$19:$B$22,MATCH($B169,'Parametri Modello'!$A$19:$A$22,0)))/INDEX('Parametri Modello'!$B$19:$B$22,MATCH($B169,'Parametri Modello'!$A$19:$A$22,0)))*'Parametri Modello'!$B$9))))*(1+IF('Parametri Modello'!$B$27="Si",MAX(-'Parametri Modello'!$B$28,MIN('Parametri Modello'!$B$28*1.5,IF(OR(INDEX('Parametri Modello'!$F$32:$F$35,MATCH($B169,'Parametri Modello'!$A$32:$A$35,0))="",INDEX('Parametri Modello'!$F$32:$F$35,MATCH($B169,'Parametri Modello'!$A$32:$A$35,0))=0),0,(1/INDEX('Parametri Modello'!$F$32:$F$35,MATCH($B169,'Parametri Modello'!$A$32:$A$35,0))-1)*'Parametri Modello'!$B$28))),0)))*(1+INDEX('Parametri Modello'!$B$12:$B$15,MATCH($B169,'Parametri Modello'!$A$12:$A$15,0))),0),"")</f>
        <v>7</v>
      </c>
      <c r="I169" s="23">
        <f>IFERROR(INDEX('Input Statistiche 2025_26'!$F$3:$F$665,MATCH($A169,'Input Statistiche 2025_26'!$A$3:$A$665,0)),"")</f>
        <v>31</v>
      </c>
      <c r="J169" s="23">
        <f t="shared" si="18"/>
        <v>7</v>
      </c>
      <c r="K169" s="23">
        <f>IFERROR(INDEX('Input Statistiche 2025_26'!$I$3:$I$665,MATCH($A169,'Input Statistiche 2025_26'!$A$3:$A$665,0)),"")</f>
        <v>5</v>
      </c>
      <c r="L169" s="23">
        <f>IFERROR(INDEX('Input Statistiche 2025_26'!$O$3:$O$665,MATCH($A169,'Input Statistiche 2025_26'!$A$3:$A$665,0)),"")</f>
        <v>1</v>
      </c>
      <c r="M169" s="25"/>
      <c r="N169" s="24">
        <f>IFERROR(INDEX('Input Giocatori 2026_27'!$E$3:$E$493,MATCH($A169,'Input Giocatori 2026_27'!$A$3:$A$493,0)),"")</f>
        <v>8</v>
      </c>
      <c r="O169" s="24">
        <f>IFERROR(INDEX('Input Giocatori 2026_27'!$G$3:$G$493,MATCH($A169,'Input Giocatori 2026_27'!$A$3:$A$493,0)),"")</f>
        <v>20</v>
      </c>
      <c r="P169" s="23" t="str">
        <f>IFERROR(IF($O169="","",IF((1-(COUNTIFS($B$2:$B$492,$B169,$O$2:$O$492,"&gt;"&amp;$O169)+1-1)/COUNTIF($B$2:$B$492,$B169))&gt;='Parametri Modello'!$B$63,"Top",IF((1-(COUNTIFS($B$2:$B$492,$B169,$O$2:$O$492,"&gt;"&amp;$O169)+1-1)/COUNTIF($B$2:$B$492,$B169))&gt;='Parametri Modello'!$B$64,"Buono",IF((1-(COUNTIFS($B$2:$B$492,$B169,$O$2:$O$492,"&gt;"&amp;$O169)+1-1)/COUNTIF($B$2:$B$492,$B169))&gt;='Parametri Modello'!$B$65,"Nella Media","Scommessa/Riserva")))),"")</f>
        <v>Nella Media</v>
      </c>
      <c r="Q169" s="26">
        <f>IF(AND($D169="",$N169&gt;1),SUMPRODUCT(($D$2:$D169="")*($N$2:$N169&gt;1)),"")</f>
        <v>168</v>
      </c>
      <c r="R169" s="26" t="str">
        <f>IF($D169='Info Lega'!$B$28,COUNTIFS($D$2:$D169,'Info Lega'!$B$28),"")</f>
        <v/>
      </c>
      <c r="S169" s="27">
        <f>IFERROR(INDEX('Input Statistiche 2025_26'!$G$3:$G$665,MATCH($A169,'Input Statistiche 2025_26'!$A$3:$A$665,0)),"")</f>
        <v>5.95</v>
      </c>
      <c r="T169" s="27">
        <f>IFERROR(INDEX('Input Statistiche 2025_26'!$H$3:$H$665,MATCH($A169,'Input Statistiche 2025_26'!$A$3:$A$665,0)),"")</f>
        <v>6.39</v>
      </c>
      <c r="U169" s="23" t="str">
        <f>IF(OR('La Mia Rosa'!$O$12="",$D169&lt;&gt;""),"",IF($F169&lt;='La Mia Rosa'!$O$12*'Parametri Modello'!$B$24,"OK",IF($F169&lt;='La Mia Rosa'!$O$12*'Parametri Modello'!$B$25,"Attenzione","Rischio Alto")))</f>
        <v>OK</v>
      </c>
      <c r="V169" s="23">
        <f t="shared" si="19"/>
        <v>48</v>
      </c>
      <c r="W169" s="18">
        <f>'Info Lega'!$B$4-SUMIFS($M$2:$M$492,$D$2:$D$492,'Info Lega'!$B$28)</f>
        <v>1000</v>
      </c>
      <c r="X169" s="18">
        <f>('Info Lega'!$B$5-COUNTIFS($D$2:$D$492,'Info Lega'!$B$28,$B$2:$B$492,"P"))+('Info Lega'!$B$6-COUNTIFS($D$2:$D$492,'Info Lega'!$B$28,$B$2:$B$492,"D"))+('Info Lega'!$B$7-COUNTIFS($D$2:$D$492,'Info Lega'!$B$28,$B$2:$B$492,"C"))+('Info Lega'!$B$8-COUNTIFS($D$2:$D$492,'Info Lega'!$B$28,$B$2:$B$492,"A"))</f>
        <v>25</v>
      </c>
      <c r="Y169" s="18">
        <f>X169*'Parametri Modello'!$B$30</f>
        <v>25</v>
      </c>
      <c r="Z169" s="18">
        <f t="shared" si="20"/>
        <v>975</v>
      </c>
      <c r="AA169" s="18">
        <f t="shared" si="21"/>
        <v>6</v>
      </c>
      <c r="AB169" s="18"/>
      <c r="AC169" s="18" t="str">
        <f>IF($AB169="","",IF($AB169&gt;$AA169,"PASS",IF($AB169&lt;=$AA169*(1-'Parametri Modello'!$B$68),"BID","ATTENZIONE")))</f>
        <v/>
      </c>
      <c r="AD169" s="28">
        <f t="shared" si="22"/>
        <v>64</v>
      </c>
      <c r="AE169" s="5" t="str">
        <f>IFERROR(INDEX('Stato Asta'!$G$9:$G$12,MATCH($B169,'Stato Asta'!$A$9:$A$12,0)),"")</f>
        <v>🔴 Non aspettare</v>
      </c>
      <c r="AF169" t="str">
        <f>IFERROR(IF($V169&lt;=INDEX('Parametri Modello'!$C$57:$C$60,MATCH($B169,'Parametri Modello'!$A$57:$A$60,0)),"Titolare","Riserva"),"")</f>
        <v>Riserva</v>
      </c>
      <c r="AG169" t="str">
        <f>IFERROR(INDEX('Pressione Competitiva'!$F$3:$F$6,MATCH($B169,'Pressione Competitiva'!$B$3:$B$6,0)),"")</f>
        <v>🔴 Molto Alta</v>
      </c>
      <c r="AH169" t="str">
        <f t="shared" si="23"/>
        <v/>
      </c>
      <c r="AI169" t="str">
        <f>IFERROR(IF($AH169="","",IF($AH169&gt;=$AA169*'Parametri Modello'!$B$68,"🟢 Opportunita'",IF($AH169&lt;=$AA169*'Parametri Modello'!$B$69,"🔴 Sovrapprezzo","🟡 Prezzo Corretto"))),"")</f>
        <v/>
      </c>
      <c r="AJ169" t="str">
        <f t="shared" si="24"/>
        <v/>
      </c>
      <c r="AK169">
        <f t="shared" si="25"/>
        <v>22</v>
      </c>
      <c r="AL169" t="str">
        <f t="shared" si="26"/>
        <v>A|Nella Media|22</v>
      </c>
    </row>
    <row r="170" spans="1:38" ht="14.25" customHeight="1" x14ac:dyDescent="0.25">
      <c r="A170" s="18">
        <v>7449</v>
      </c>
      <c r="B170" s="18" t="s">
        <v>18</v>
      </c>
      <c r="C170" s="18" t="s">
        <v>309</v>
      </c>
      <c r="E170" s="23" t="str">
        <f>IF(COUNTIF('Info Strategia'!$D$2:$D$51,$C170)&gt;0,"SI","NO")</f>
        <v>NO</v>
      </c>
      <c r="F170" s="24">
        <f>IFERROR(ROUND(($G170+($H170-$G170)*'Info Strategia'!$B$6)*(1+IF($E170="SI",'Parametri Modello'!$B$7*'Info Strategia'!$B$6,0)),0),"")</f>
        <v>6</v>
      </c>
      <c r="G170" s="24">
        <f>IFERROR(ROUND(MAX(1,(IF($V170&lt;=INDEX('Parametri Modello'!$C$57:$C$60,MATCH($B170,'Parametri Modello'!$A$57:$A$60,0)),IF(INDEX('Parametri Modello'!$E$57:$E$60,MATCH($B170,'Parametri Modello'!$A$57:$A$60,0))=0,0,($O170/INDEX('Parametri Modello'!$E$57:$E$60,MATCH($B170,'Parametri Modello'!$A$57:$A$60,0)))*(INDEX('Parametri Modello'!$D$57:$D$60,MATCH($B170,'Parametri Modello'!$A$57:$A$60,0))*(INDEX('Parametri Modello'!$B$50:$B$53,MATCH($B170,'Parametri Modello'!$A$50:$A$53,0))*'Parametri Modello'!$B$44))),IF(INDEX('Parametri Modello'!$F$57:$F$60,MATCH($B170,'Parametri Modello'!$A$57:$A$60,0))=0,0,($O170/INDEX('Parametri Modello'!$F$57:$F$60,MATCH($B170,'Parametri Modello'!$A$57:$A$60,0)))*((1-INDEX('Parametri Modello'!$D$57:$D$60,MATCH($B170,'Parametri Modello'!$A$57:$A$60,0)))*(INDEX('Parametri Modello'!$B$50:$B$53,MATCH($B170,'Parametri Modello'!$A$50:$A$53,0))*'Parametri Modello'!$B$44))))*(1+IF(IF($B170="D",'Info Lega'!$B$25,IF($B170="C",'Info Lega'!$B$26,"No"))="Si",'Parametri Modello'!$B$5,0))*(1+MAX(-0.25,MIN(0.25,IF(OR($T170="",$I170="",$I170=0,INDEX('Parametri Modello'!$B$19:$B$22,MATCH($B170,'Parametri Modello'!$A$19:$A$22,0))="",INDEX('Parametri Modello'!$B$19:$B$22,MATCH($B170,'Parametri Modello'!$A$19:$A$22,0))=0),0,(($T170-INDEX('Parametri Modello'!$B$19:$B$22,MATCH($B170,'Parametri Modello'!$A$19:$A$22,0)))/INDEX('Parametri Modello'!$B$19:$B$22,MATCH($B170,'Parametri Modello'!$A$19:$A$22,0)))*'Parametri Modello'!$B$9))))*(1+IF('Parametri Modello'!$B$27="Si",MAX(-'Parametri Modello'!$B$28,MIN('Parametri Modello'!$B$28*1.5,IF(OR(INDEX('Parametri Modello'!$F$32:$F$35,MATCH($B170,'Parametri Modello'!$A$32:$A$35,0))="",INDEX('Parametri Modello'!$F$32:$F$35,MATCH($B170,'Parametri Modello'!$A$32:$A$35,0))=0),0,(1/INDEX('Parametri Modello'!$F$32:$F$35,MATCH($B170,'Parametri Modello'!$A$32:$A$35,0))-1)*'Parametri Modello'!$B$28))),0)))*(1-INDEX('Parametri Modello'!$B$12:$B$15,MATCH($B170,'Parametri Modello'!$A$12:$A$15,0)))),0),"")</f>
        <v>4</v>
      </c>
      <c r="H170" s="24">
        <f>IFERROR(ROUND((IF($V170&lt;=INDEX('Parametri Modello'!$C$57:$C$60,MATCH($B170,'Parametri Modello'!$A$57:$A$60,0)),IF(INDEX('Parametri Modello'!$E$57:$E$60,MATCH($B170,'Parametri Modello'!$A$57:$A$60,0))=0,0,($O170/INDEX('Parametri Modello'!$E$57:$E$60,MATCH($B170,'Parametri Modello'!$A$57:$A$60,0)))*(INDEX('Parametri Modello'!$D$57:$D$60,MATCH($B170,'Parametri Modello'!$A$57:$A$60,0))*(INDEX('Parametri Modello'!$B$50:$B$53,MATCH($B170,'Parametri Modello'!$A$50:$A$53,0))*'Parametri Modello'!$B$44))),IF(INDEX('Parametri Modello'!$F$57:$F$60,MATCH($B170,'Parametri Modello'!$A$57:$A$60,0))=0,0,($O170/INDEX('Parametri Modello'!$F$57:$F$60,MATCH($B170,'Parametri Modello'!$A$57:$A$60,0)))*((1-INDEX('Parametri Modello'!$D$57:$D$60,MATCH($B170,'Parametri Modello'!$A$57:$A$60,0)))*(INDEX('Parametri Modello'!$B$50:$B$53,MATCH($B170,'Parametri Modello'!$A$50:$A$53,0))*'Parametri Modello'!$B$44))))*(1+IF(IF($B170="D",'Info Lega'!$B$25,IF($B170="C",'Info Lega'!$B$26,"No"))="Si",'Parametri Modello'!$B$5,0))*(1+MAX(-0.25,MIN(0.25,IF(OR($T170="",$I170="",$I170=0,INDEX('Parametri Modello'!$B$19:$B$22,MATCH($B170,'Parametri Modello'!$A$19:$A$22,0))="",INDEX('Parametri Modello'!$B$19:$B$22,MATCH($B170,'Parametri Modello'!$A$19:$A$22,0))=0),0,(($T170-INDEX('Parametri Modello'!$B$19:$B$22,MATCH($B170,'Parametri Modello'!$A$19:$A$22,0)))/INDEX('Parametri Modello'!$B$19:$B$22,MATCH($B170,'Parametri Modello'!$A$19:$A$22,0)))*'Parametri Modello'!$B$9))))*(1+IF('Parametri Modello'!$B$27="Si",MAX(-'Parametri Modello'!$B$28,MIN('Parametri Modello'!$B$28*1.5,IF(OR(INDEX('Parametri Modello'!$F$32:$F$35,MATCH($B170,'Parametri Modello'!$A$32:$A$35,0))="",INDEX('Parametri Modello'!$F$32:$F$35,MATCH($B170,'Parametri Modello'!$A$32:$A$35,0))=0),0,(1/INDEX('Parametri Modello'!$F$32:$F$35,MATCH($B170,'Parametri Modello'!$A$32:$A$35,0))-1)*'Parametri Modello'!$B$28))),0)))*(1+INDEX('Parametri Modello'!$B$12:$B$15,MATCH($B170,'Parametri Modello'!$A$12:$A$15,0))),0),"")</f>
        <v>7</v>
      </c>
      <c r="I170" s="23" t="str">
        <f>IFERROR(INDEX('Input Statistiche 2025_26'!$F$3:$F$665,MATCH($A170,'Input Statistiche 2025_26'!$A$3:$A$665,0)),"")</f>
        <v/>
      </c>
      <c r="J170" s="23" t="str">
        <f t="shared" si="18"/>
        <v/>
      </c>
      <c r="K170" s="23" t="str">
        <f>IFERROR(INDEX('Input Statistiche 2025_26'!$I$3:$I$665,MATCH($A170,'Input Statistiche 2025_26'!$A$3:$A$665,0)),"")</f>
        <v/>
      </c>
      <c r="L170" s="23" t="str">
        <f>IFERROR(INDEX('Input Statistiche 2025_26'!$O$3:$O$665,MATCH($A170,'Input Statistiche 2025_26'!$A$3:$A$665,0)),"")</f>
        <v/>
      </c>
      <c r="M170" s="25"/>
      <c r="N170" s="24">
        <f>IFERROR(INDEX('Input Giocatori 2026_27'!$E$3:$E$493,MATCH($A170,'Input Giocatori 2026_27'!$A$3:$A$493,0)),"")</f>
        <v>8</v>
      </c>
      <c r="O170" s="24">
        <f>IFERROR(INDEX('Input Giocatori 2026_27'!$G$3:$G$493,MATCH($A170,'Input Giocatori 2026_27'!$A$3:$A$493,0)),"")</f>
        <v>20</v>
      </c>
      <c r="P170" s="23" t="str">
        <f>IFERROR(IF($O170="","",IF((1-(COUNTIFS($B$2:$B$492,$B170,$O$2:$O$492,"&gt;"&amp;$O170)+1-1)/COUNTIF($B$2:$B$492,$B170))&gt;='Parametri Modello'!$B$63,"Top",IF((1-(COUNTIFS($B$2:$B$492,$B170,$O$2:$O$492,"&gt;"&amp;$O170)+1-1)/COUNTIF($B$2:$B$492,$B170))&gt;='Parametri Modello'!$B$64,"Buono",IF((1-(COUNTIFS($B$2:$B$492,$B170,$O$2:$O$492,"&gt;"&amp;$O170)+1-1)/COUNTIF($B$2:$B$492,$B170))&gt;='Parametri Modello'!$B$65,"Nella Media","Scommessa/Riserva")))),"")</f>
        <v>Nella Media</v>
      </c>
      <c r="Q170" s="26">
        <f>IF(AND($D170="",$N170&gt;1),SUMPRODUCT(($D$2:$D170="")*($N$2:$N170&gt;1)),"")</f>
        <v>169</v>
      </c>
      <c r="R170" s="26" t="str">
        <f>IF($D170='Info Lega'!$B$28,COUNTIFS($D$2:$D170,'Info Lega'!$B$28),"")</f>
        <v/>
      </c>
      <c r="S170" s="27" t="str">
        <f>IFERROR(INDEX('Input Statistiche 2025_26'!$G$3:$G$665,MATCH($A170,'Input Statistiche 2025_26'!$A$3:$A$665,0)),"")</f>
        <v/>
      </c>
      <c r="T170" s="27" t="str">
        <f>IFERROR(INDEX('Input Statistiche 2025_26'!$H$3:$H$665,MATCH($A170,'Input Statistiche 2025_26'!$A$3:$A$665,0)),"")</f>
        <v/>
      </c>
      <c r="U170" s="23" t="str">
        <f>IF(OR('La Mia Rosa'!$O$12="",$D170&lt;&gt;""),"",IF($F170&lt;='La Mia Rosa'!$O$12*'Parametri Modello'!$B$24,"OK",IF($F170&lt;='La Mia Rosa'!$O$12*'Parametri Modello'!$B$25,"Attenzione","Rischio Alto")))</f>
        <v>OK</v>
      </c>
      <c r="V170" s="23">
        <f t="shared" si="19"/>
        <v>48</v>
      </c>
      <c r="W170" s="18">
        <f>'Info Lega'!$B$4-SUMIFS($M$2:$M$492,$D$2:$D$492,'Info Lega'!$B$28)</f>
        <v>1000</v>
      </c>
      <c r="X170" s="18">
        <f>('Info Lega'!$B$5-COUNTIFS($D$2:$D$492,'Info Lega'!$B$28,$B$2:$B$492,"P"))+('Info Lega'!$B$6-COUNTIFS($D$2:$D$492,'Info Lega'!$B$28,$B$2:$B$492,"D"))+('Info Lega'!$B$7-COUNTIFS($D$2:$D$492,'Info Lega'!$B$28,$B$2:$B$492,"C"))+('Info Lega'!$B$8-COUNTIFS($D$2:$D$492,'Info Lega'!$B$28,$B$2:$B$492,"A"))</f>
        <v>25</v>
      </c>
      <c r="Y170" s="18">
        <f>X170*'Parametri Modello'!$B$30</f>
        <v>25</v>
      </c>
      <c r="Z170" s="18">
        <f t="shared" si="20"/>
        <v>975</v>
      </c>
      <c r="AA170" s="18">
        <f t="shared" si="21"/>
        <v>6</v>
      </c>
      <c r="AB170" s="18"/>
      <c r="AC170" s="18" t="str">
        <f>IF($AB170="","",IF($AB170&gt;$AA170,"PASS",IF($AB170&lt;=$AA170*(1-'Parametri Modello'!$B$68),"BID","ATTENZIONE")))</f>
        <v/>
      </c>
      <c r="AD170" s="28" t="str">
        <f t="shared" si="22"/>
        <v/>
      </c>
      <c r="AE170" s="5" t="str">
        <f>IFERROR(INDEX('Stato Asta'!$G$9:$G$12,MATCH($B170,'Stato Asta'!$A$9:$A$12,0)),"")</f>
        <v>🔴 Non aspettare</v>
      </c>
      <c r="AF170" t="str">
        <f>IFERROR(IF($V170&lt;=INDEX('Parametri Modello'!$C$57:$C$60,MATCH($B170,'Parametri Modello'!$A$57:$A$60,0)),"Titolare","Riserva"),"")</f>
        <v>Riserva</v>
      </c>
      <c r="AG170" t="str">
        <f>IFERROR(INDEX('Pressione Competitiva'!$F$3:$F$6,MATCH($B170,'Pressione Competitiva'!$B$3:$B$6,0)),"")</f>
        <v>🔴 Molto Alta</v>
      </c>
      <c r="AH170" t="str">
        <f t="shared" si="23"/>
        <v/>
      </c>
      <c r="AI170" t="str">
        <f>IFERROR(IF($AH170="","",IF($AH170&gt;=$AA170*'Parametri Modello'!$B$68,"🟢 Opportunita'",IF($AH170&lt;=$AA170*'Parametri Modello'!$B$69,"🔴 Sovrapprezzo","🟡 Prezzo Corretto"))),"")</f>
        <v/>
      </c>
      <c r="AJ170" t="str">
        <f t="shared" si="24"/>
        <v/>
      </c>
      <c r="AK170">
        <f t="shared" si="25"/>
        <v>22</v>
      </c>
      <c r="AL170" t="str">
        <f t="shared" si="26"/>
        <v>A|Nella Media|22</v>
      </c>
    </row>
    <row r="171" spans="1:38" ht="14.25" customHeight="1" x14ac:dyDescent="0.25">
      <c r="A171" s="18">
        <v>4994</v>
      </c>
      <c r="B171" s="18" t="s">
        <v>16</v>
      </c>
      <c r="C171" s="18" t="s">
        <v>310</v>
      </c>
      <c r="E171" s="23" t="str">
        <f>IF(COUNTIF('Info Strategia'!$D$2:$D$51,$C171)&gt;0,"SI","NO")</f>
        <v>NO</v>
      </c>
      <c r="F171" s="24">
        <f>IFERROR(ROUND(($G171+($H171-$G171)*'Info Strategia'!$B$6)*(1+IF($E171="SI",'Parametri Modello'!$B$7*'Info Strategia'!$B$6,0)),0),"")</f>
        <v>4</v>
      </c>
      <c r="G171" s="24">
        <f>IFERROR(ROUND(MAX(1,(IF($V171&lt;=INDEX('Parametri Modello'!$C$57:$C$60,MATCH($B171,'Parametri Modello'!$A$57:$A$60,0)),IF(INDEX('Parametri Modello'!$E$57:$E$60,MATCH($B171,'Parametri Modello'!$A$57:$A$60,0))=0,0,($O171/INDEX('Parametri Modello'!$E$57:$E$60,MATCH($B171,'Parametri Modello'!$A$57:$A$60,0)))*(INDEX('Parametri Modello'!$D$57:$D$60,MATCH($B171,'Parametri Modello'!$A$57:$A$60,0))*(INDEX('Parametri Modello'!$B$50:$B$53,MATCH($B171,'Parametri Modello'!$A$50:$A$53,0))*'Parametri Modello'!$B$44))),IF(INDEX('Parametri Modello'!$F$57:$F$60,MATCH($B171,'Parametri Modello'!$A$57:$A$60,0))=0,0,($O171/INDEX('Parametri Modello'!$F$57:$F$60,MATCH($B171,'Parametri Modello'!$A$57:$A$60,0)))*((1-INDEX('Parametri Modello'!$D$57:$D$60,MATCH($B171,'Parametri Modello'!$A$57:$A$60,0)))*(INDEX('Parametri Modello'!$B$50:$B$53,MATCH($B171,'Parametri Modello'!$A$50:$A$53,0))*'Parametri Modello'!$B$44))))*(1+IF(IF($B171="D",'Info Lega'!$B$25,IF($B171="C",'Info Lega'!$B$26,"No"))="Si",'Parametri Modello'!$B$5,0))*(1+MAX(-0.25,MIN(0.25,IF(OR($T171="",$I171="",$I171=0,INDEX('Parametri Modello'!$B$19:$B$22,MATCH($B171,'Parametri Modello'!$A$19:$A$22,0))="",INDEX('Parametri Modello'!$B$19:$B$22,MATCH($B171,'Parametri Modello'!$A$19:$A$22,0))=0),0,(($T171-INDEX('Parametri Modello'!$B$19:$B$22,MATCH($B171,'Parametri Modello'!$A$19:$A$22,0)))/INDEX('Parametri Modello'!$B$19:$B$22,MATCH($B171,'Parametri Modello'!$A$19:$A$22,0)))*'Parametri Modello'!$B$9))))*(1+IF('Parametri Modello'!$B$27="Si",MAX(-'Parametri Modello'!$B$28,MIN('Parametri Modello'!$B$28*1.5,IF(OR(INDEX('Parametri Modello'!$F$32:$F$35,MATCH($B171,'Parametri Modello'!$A$32:$A$35,0))="",INDEX('Parametri Modello'!$F$32:$F$35,MATCH($B171,'Parametri Modello'!$A$32:$A$35,0))=0),0,(1/INDEX('Parametri Modello'!$F$32:$F$35,MATCH($B171,'Parametri Modello'!$A$32:$A$35,0))-1)*'Parametri Modello'!$B$28))),0)))*(1-INDEX('Parametri Modello'!$B$12:$B$15,MATCH($B171,'Parametri Modello'!$A$12:$A$15,0)))),0),"")</f>
        <v>3</v>
      </c>
      <c r="H171" s="24">
        <f>IFERROR(ROUND((IF($V171&lt;=INDEX('Parametri Modello'!$C$57:$C$60,MATCH($B171,'Parametri Modello'!$A$57:$A$60,0)),IF(INDEX('Parametri Modello'!$E$57:$E$60,MATCH($B171,'Parametri Modello'!$A$57:$A$60,0))=0,0,($O171/INDEX('Parametri Modello'!$E$57:$E$60,MATCH($B171,'Parametri Modello'!$A$57:$A$60,0)))*(INDEX('Parametri Modello'!$D$57:$D$60,MATCH($B171,'Parametri Modello'!$A$57:$A$60,0))*(INDEX('Parametri Modello'!$B$50:$B$53,MATCH($B171,'Parametri Modello'!$A$50:$A$53,0))*'Parametri Modello'!$B$44))),IF(INDEX('Parametri Modello'!$F$57:$F$60,MATCH($B171,'Parametri Modello'!$A$57:$A$60,0))=0,0,($O171/INDEX('Parametri Modello'!$F$57:$F$60,MATCH($B171,'Parametri Modello'!$A$57:$A$60,0)))*((1-INDEX('Parametri Modello'!$D$57:$D$60,MATCH($B171,'Parametri Modello'!$A$57:$A$60,0)))*(INDEX('Parametri Modello'!$B$50:$B$53,MATCH($B171,'Parametri Modello'!$A$50:$A$53,0))*'Parametri Modello'!$B$44))))*(1+IF(IF($B171="D",'Info Lega'!$B$25,IF($B171="C",'Info Lega'!$B$26,"No"))="Si",'Parametri Modello'!$B$5,0))*(1+MAX(-0.25,MIN(0.25,IF(OR($T171="",$I171="",$I171=0,INDEX('Parametri Modello'!$B$19:$B$22,MATCH($B171,'Parametri Modello'!$A$19:$A$22,0))="",INDEX('Parametri Modello'!$B$19:$B$22,MATCH($B171,'Parametri Modello'!$A$19:$A$22,0))=0),0,(($T171-INDEX('Parametri Modello'!$B$19:$B$22,MATCH($B171,'Parametri Modello'!$A$19:$A$22,0)))/INDEX('Parametri Modello'!$B$19:$B$22,MATCH($B171,'Parametri Modello'!$A$19:$A$22,0)))*'Parametri Modello'!$B$9))))*(1+IF('Parametri Modello'!$B$27="Si",MAX(-'Parametri Modello'!$B$28,MIN('Parametri Modello'!$B$28*1.5,IF(OR(INDEX('Parametri Modello'!$F$32:$F$35,MATCH($B171,'Parametri Modello'!$A$32:$A$35,0))="",INDEX('Parametri Modello'!$F$32:$F$35,MATCH($B171,'Parametri Modello'!$A$32:$A$35,0))=0),0,(1/INDEX('Parametri Modello'!$F$32:$F$35,MATCH($B171,'Parametri Modello'!$A$32:$A$35,0))-1)*'Parametri Modello'!$B$28))),0)))*(1+INDEX('Parametri Modello'!$B$12:$B$15,MATCH($B171,'Parametri Modello'!$A$12:$A$15,0))),0),"")</f>
        <v>4</v>
      </c>
      <c r="I171" s="23">
        <f>IFERROR(INDEX('Input Statistiche 2025_26'!$F$3:$F$665,MATCH($A171,'Input Statistiche 2025_26'!$A$3:$A$665,0)),"")</f>
        <v>27</v>
      </c>
      <c r="J171" s="23">
        <f t="shared" si="18"/>
        <v>11</v>
      </c>
      <c r="K171" s="23">
        <f>IFERROR(INDEX('Input Statistiche 2025_26'!$I$3:$I$665,MATCH($A171,'Input Statistiche 2025_26'!$A$3:$A$665,0)),"")</f>
        <v>2</v>
      </c>
      <c r="L171" s="23">
        <f>IFERROR(INDEX('Input Statistiche 2025_26'!$O$3:$O$665,MATCH($A171,'Input Statistiche 2025_26'!$A$3:$A$665,0)),"")</f>
        <v>1</v>
      </c>
      <c r="M171" s="25"/>
      <c r="N171" s="24">
        <f>IFERROR(INDEX('Input Giocatori 2026_27'!$E$3:$E$493,MATCH($A171,'Input Giocatori 2026_27'!$A$3:$A$493,0)),"")</f>
        <v>8</v>
      </c>
      <c r="O171" s="24">
        <f>IFERROR(INDEX('Input Giocatori 2026_27'!$G$3:$G$493,MATCH($A171,'Input Giocatori 2026_27'!$A$3:$A$493,0)),"")</f>
        <v>19</v>
      </c>
      <c r="P171" s="23" t="str">
        <f>IFERROR(IF($O171="","",IF((1-(COUNTIFS($B$2:$B$492,$B171,$O$2:$O$492,"&gt;"&amp;$O171)+1-1)/COUNTIF($B$2:$B$492,$B171))&gt;='Parametri Modello'!$B$63,"Top",IF((1-(COUNTIFS($B$2:$B$492,$B171,$O$2:$O$492,"&gt;"&amp;$O171)+1-1)/COUNTIF($B$2:$B$492,$B171))&gt;='Parametri Modello'!$B$64,"Buono",IF((1-(COUNTIFS($B$2:$B$492,$B171,$O$2:$O$492,"&gt;"&amp;$O171)+1-1)/COUNTIF($B$2:$B$492,$B171))&gt;='Parametri Modello'!$B$65,"Nella Media","Scommessa/Riserva")))),"")</f>
        <v>Buono</v>
      </c>
      <c r="Q171" s="26">
        <f>IF(AND($D171="",$N171&gt;1),SUMPRODUCT(($D$2:$D171="")*($N$2:$N171&gt;1)),"")</f>
        <v>170</v>
      </c>
      <c r="R171" s="26" t="str">
        <f>IF($D171='Info Lega'!$B$28,COUNTIFS($D$2:$D171,'Info Lega'!$B$28),"")</f>
        <v/>
      </c>
      <c r="S171" s="27">
        <f>IFERROR(INDEX('Input Statistiche 2025_26'!$G$3:$G$665,MATCH($A171,'Input Statistiche 2025_26'!$A$3:$A$665,0)),"")</f>
        <v>6.02</v>
      </c>
      <c r="T171" s="27">
        <f>IFERROR(INDEX('Input Statistiche 2025_26'!$H$3:$H$665,MATCH($A171,'Input Statistiche 2025_26'!$A$3:$A$665,0)),"")</f>
        <v>6.24</v>
      </c>
      <c r="U171" s="23" t="str">
        <f>IF(OR('La Mia Rosa'!$O$12="",$D171&lt;&gt;""),"",IF($F171&lt;='La Mia Rosa'!$O$12*'Parametri Modello'!$B$24,"OK",IF($F171&lt;='La Mia Rosa'!$O$12*'Parametri Modello'!$B$25,"Attenzione","Rischio Alto")))</f>
        <v>OK</v>
      </c>
      <c r="V171" s="23">
        <f t="shared" si="19"/>
        <v>42</v>
      </c>
      <c r="W171" s="18">
        <f>'Info Lega'!$B$4-SUMIFS($M$2:$M$492,$D$2:$D$492,'Info Lega'!$B$28)</f>
        <v>1000</v>
      </c>
      <c r="X171" s="18">
        <f>('Info Lega'!$B$5-COUNTIFS($D$2:$D$492,'Info Lega'!$B$28,$B$2:$B$492,"P"))+('Info Lega'!$B$6-COUNTIFS($D$2:$D$492,'Info Lega'!$B$28,$B$2:$B$492,"D"))+('Info Lega'!$B$7-COUNTIFS($D$2:$D$492,'Info Lega'!$B$28,$B$2:$B$492,"C"))+('Info Lega'!$B$8-COUNTIFS($D$2:$D$492,'Info Lega'!$B$28,$B$2:$B$492,"A"))</f>
        <v>25</v>
      </c>
      <c r="Y171" s="18">
        <f>X171*'Parametri Modello'!$B$30</f>
        <v>25</v>
      </c>
      <c r="Z171" s="18">
        <f t="shared" si="20"/>
        <v>975</v>
      </c>
      <c r="AA171" s="18">
        <f t="shared" si="21"/>
        <v>4</v>
      </c>
      <c r="AB171" s="18"/>
      <c r="AC171" s="18" t="str">
        <f>IF($AB171="","",IF($AB171&gt;$AA171,"PASS",IF($AB171&lt;=$AA171*(1-'Parametri Modello'!$B$68),"BID","ATTENZIONE")))</f>
        <v/>
      </c>
      <c r="AD171" s="28">
        <f t="shared" si="22"/>
        <v>59</v>
      </c>
      <c r="AE171" s="5" t="str">
        <f>IFERROR(INDEX('Stato Asta'!$G$9:$G$12,MATCH($B171,'Stato Asta'!$A$9:$A$12,0)),"")</f>
        <v>🔴 Non aspettare</v>
      </c>
      <c r="AF171" t="str">
        <f>IFERROR(IF($V171&lt;=INDEX('Parametri Modello'!$C$57:$C$60,MATCH($B171,'Parametri Modello'!$A$57:$A$60,0)),"Titolare","Riserva"),"")</f>
        <v>Riserva</v>
      </c>
      <c r="AG171" t="str">
        <f>IFERROR(INDEX('Pressione Competitiva'!$F$3:$F$6,MATCH($B171,'Pressione Competitiva'!$B$3:$B$6,0)),"")</f>
        <v>🔴 Molto Alta</v>
      </c>
      <c r="AH171" t="str">
        <f t="shared" si="23"/>
        <v/>
      </c>
      <c r="AI171" t="str">
        <f>IFERROR(IF($AH171="","",IF($AH171&gt;=$AA171*'Parametri Modello'!$B$68,"🟢 Opportunita'",IF($AH171&lt;=$AA171*'Parametri Modello'!$B$69,"🔴 Sovrapprezzo","🟡 Prezzo Corretto"))),"")</f>
        <v/>
      </c>
      <c r="AJ171" t="str">
        <f t="shared" si="24"/>
        <v/>
      </c>
      <c r="AK171">
        <f t="shared" si="25"/>
        <v>24</v>
      </c>
      <c r="AL171" t="str">
        <f t="shared" si="26"/>
        <v>D|Buono|24</v>
      </c>
    </row>
    <row r="172" spans="1:38" ht="14.25" customHeight="1" x14ac:dyDescent="0.25">
      <c r="A172" s="18">
        <v>4433</v>
      </c>
      <c r="B172" s="18" t="s">
        <v>16</v>
      </c>
      <c r="C172" s="18" t="s">
        <v>311</v>
      </c>
      <c r="E172" s="23" t="str">
        <f>IF(COUNTIF('Info Strategia'!$D$2:$D$51,$C172)&gt;0,"SI","NO")</f>
        <v>NO</v>
      </c>
      <c r="F172" s="24">
        <f>IFERROR(ROUND(($G172+($H172-$G172)*'Info Strategia'!$B$6)*(1+IF($E172="SI",'Parametri Modello'!$B$7*'Info Strategia'!$B$6,0)),0),"")</f>
        <v>4</v>
      </c>
      <c r="G172" s="24">
        <f>IFERROR(ROUND(MAX(1,(IF($V172&lt;=INDEX('Parametri Modello'!$C$57:$C$60,MATCH($B172,'Parametri Modello'!$A$57:$A$60,0)),IF(INDEX('Parametri Modello'!$E$57:$E$60,MATCH($B172,'Parametri Modello'!$A$57:$A$60,0))=0,0,($O172/INDEX('Parametri Modello'!$E$57:$E$60,MATCH($B172,'Parametri Modello'!$A$57:$A$60,0)))*(INDEX('Parametri Modello'!$D$57:$D$60,MATCH($B172,'Parametri Modello'!$A$57:$A$60,0))*(INDEX('Parametri Modello'!$B$50:$B$53,MATCH($B172,'Parametri Modello'!$A$50:$A$53,0))*'Parametri Modello'!$B$44))),IF(INDEX('Parametri Modello'!$F$57:$F$60,MATCH($B172,'Parametri Modello'!$A$57:$A$60,0))=0,0,($O172/INDEX('Parametri Modello'!$F$57:$F$60,MATCH($B172,'Parametri Modello'!$A$57:$A$60,0)))*((1-INDEX('Parametri Modello'!$D$57:$D$60,MATCH($B172,'Parametri Modello'!$A$57:$A$60,0)))*(INDEX('Parametri Modello'!$B$50:$B$53,MATCH($B172,'Parametri Modello'!$A$50:$A$53,0))*'Parametri Modello'!$B$44))))*(1+IF(IF($B172="D",'Info Lega'!$B$25,IF($B172="C",'Info Lega'!$B$26,"No"))="Si",'Parametri Modello'!$B$5,0))*(1+MAX(-0.25,MIN(0.25,IF(OR($T172="",$I172="",$I172=0,INDEX('Parametri Modello'!$B$19:$B$22,MATCH($B172,'Parametri Modello'!$A$19:$A$22,0))="",INDEX('Parametri Modello'!$B$19:$B$22,MATCH($B172,'Parametri Modello'!$A$19:$A$22,0))=0),0,(($T172-INDEX('Parametri Modello'!$B$19:$B$22,MATCH($B172,'Parametri Modello'!$A$19:$A$22,0)))/INDEX('Parametri Modello'!$B$19:$B$22,MATCH($B172,'Parametri Modello'!$A$19:$A$22,0)))*'Parametri Modello'!$B$9))))*(1+IF('Parametri Modello'!$B$27="Si",MAX(-'Parametri Modello'!$B$28,MIN('Parametri Modello'!$B$28*1.5,IF(OR(INDEX('Parametri Modello'!$F$32:$F$35,MATCH($B172,'Parametri Modello'!$A$32:$A$35,0))="",INDEX('Parametri Modello'!$F$32:$F$35,MATCH($B172,'Parametri Modello'!$A$32:$A$35,0))=0),0,(1/INDEX('Parametri Modello'!$F$32:$F$35,MATCH($B172,'Parametri Modello'!$A$32:$A$35,0))-1)*'Parametri Modello'!$B$28))),0)))*(1-INDEX('Parametri Modello'!$B$12:$B$15,MATCH($B172,'Parametri Modello'!$A$12:$A$15,0)))),0),"")</f>
        <v>3</v>
      </c>
      <c r="H172" s="24">
        <f>IFERROR(ROUND((IF($V172&lt;=INDEX('Parametri Modello'!$C$57:$C$60,MATCH($B172,'Parametri Modello'!$A$57:$A$60,0)),IF(INDEX('Parametri Modello'!$E$57:$E$60,MATCH($B172,'Parametri Modello'!$A$57:$A$60,0))=0,0,($O172/INDEX('Parametri Modello'!$E$57:$E$60,MATCH($B172,'Parametri Modello'!$A$57:$A$60,0)))*(INDEX('Parametri Modello'!$D$57:$D$60,MATCH($B172,'Parametri Modello'!$A$57:$A$60,0))*(INDEX('Parametri Modello'!$B$50:$B$53,MATCH($B172,'Parametri Modello'!$A$50:$A$53,0))*'Parametri Modello'!$B$44))),IF(INDEX('Parametri Modello'!$F$57:$F$60,MATCH($B172,'Parametri Modello'!$A$57:$A$60,0))=0,0,($O172/INDEX('Parametri Modello'!$F$57:$F$60,MATCH($B172,'Parametri Modello'!$A$57:$A$60,0)))*((1-INDEX('Parametri Modello'!$D$57:$D$60,MATCH($B172,'Parametri Modello'!$A$57:$A$60,0)))*(INDEX('Parametri Modello'!$B$50:$B$53,MATCH($B172,'Parametri Modello'!$A$50:$A$53,0))*'Parametri Modello'!$B$44))))*(1+IF(IF($B172="D",'Info Lega'!$B$25,IF($B172="C",'Info Lega'!$B$26,"No"))="Si",'Parametri Modello'!$B$5,0))*(1+MAX(-0.25,MIN(0.25,IF(OR($T172="",$I172="",$I172=0,INDEX('Parametri Modello'!$B$19:$B$22,MATCH($B172,'Parametri Modello'!$A$19:$A$22,0))="",INDEX('Parametri Modello'!$B$19:$B$22,MATCH($B172,'Parametri Modello'!$A$19:$A$22,0))=0),0,(($T172-INDEX('Parametri Modello'!$B$19:$B$22,MATCH($B172,'Parametri Modello'!$A$19:$A$22,0)))/INDEX('Parametri Modello'!$B$19:$B$22,MATCH($B172,'Parametri Modello'!$A$19:$A$22,0)))*'Parametri Modello'!$B$9))))*(1+IF('Parametri Modello'!$B$27="Si",MAX(-'Parametri Modello'!$B$28,MIN('Parametri Modello'!$B$28*1.5,IF(OR(INDEX('Parametri Modello'!$F$32:$F$35,MATCH($B172,'Parametri Modello'!$A$32:$A$35,0))="",INDEX('Parametri Modello'!$F$32:$F$35,MATCH($B172,'Parametri Modello'!$A$32:$A$35,0))=0),0,(1/INDEX('Parametri Modello'!$F$32:$F$35,MATCH($B172,'Parametri Modello'!$A$32:$A$35,0))-1)*'Parametri Modello'!$B$28))),0)))*(1+INDEX('Parametri Modello'!$B$12:$B$15,MATCH($B172,'Parametri Modello'!$A$12:$A$15,0))),0),"")</f>
        <v>4</v>
      </c>
      <c r="I172" s="23">
        <f>IFERROR(INDEX('Input Statistiche 2025_26'!$F$3:$F$665,MATCH($A172,'Input Statistiche 2025_26'!$A$3:$A$665,0)),"")</f>
        <v>28</v>
      </c>
      <c r="J172" s="23">
        <f t="shared" si="18"/>
        <v>10</v>
      </c>
      <c r="K172" s="23">
        <f>IFERROR(INDEX('Input Statistiche 2025_26'!$I$3:$I$665,MATCH($A172,'Input Statistiche 2025_26'!$A$3:$A$665,0)),"")</f>
        <v>0</v>
      </c>
      <c r="L172" s="23">
        <f>IFERROR(INDEX('Input Statistiche 2025_26'!$O$3:$O$665,MATCH($A172,'Input Statistiche 2025_26'!$A$3:$A$665,0)),"")</f>
        <v>2</v>
      </c>
      <c r="M172" s="25"/>
      <c r="N172" s="24">
        <f>IFERROR(INDEX('Input Giocatori 2026_27'!$E$3:$E$493,MATCH($A172,'Input Giocatori 2026_27'!$A$3:$A$493,0)),"")</f>
        <v>6</v>
      </c>
      <c r="O172" s="24">
        <f>IFERROR(INDEX('Input Giocatori 2026_27'!$G$3:$G$493,MATCH($A172,'Input Giocatori 2026_27'!$A$3:$A$493,0)),"")</f>
        <v>19</v>
      </c>
      <c r="P172" s="23" t="str">
        <f>IFERROR(IF($O172="","",IF((1-(COUNTIFS($B$2:$B$492,$B172,$O$2:$O$492,"&gt;"&amp;$O172)+1-1)/COUNTIF($B$2:$B$492,$B172))&gt;='Parametri Modello'!$B$63,"Top",IF((1-(COUNTIFS($B$2:$B$492,$B172,$O$2:$O$492,"&gt;"&amp;$O172)+1-1)/COUNTIF($B$2:$B$492,$B172))&gt;='Parametri Modello'!$B$64,"Buono",IF((1-(COUNTIFS($B$2:$B$492,$B172,$O$2:$O$492,"&gt;"&amp;$O172)+1-1)/COUNTIF($B$2:$B$492,$B172))&gt;='Parametri Modello'!$B$65,"Nella Media","Scommessa/Riserva")))),"")</f>
        <v>Buono</v>
      </c>
      <c r="Q172" s="26">
        <f>IF(AND($D172="",$N172&gt;1),SUMPRODUCT(($D$2:$D172="")*($N$2:$N172&gt;1)),"")</f>
        <v>171</v>
      </c>
      <c r="R172" s="26" t="str">
        <f>IF($D172='Info Lega'!$B$28,COUNTIFS($D$2:$D172,'Info Lega'!$B$28),"")</f>
        <v/>
      </c>
      <c r="S172" s="27">
        <f>IFERROR(INDEX('Input Statistiche 2025_26'!$G$3:$G$665,MATCH($A172,'Input Statistiche 2025_26'!$A$3:$A$665,0)),"")</f>
        <v>5.86</v>
      </c>
      <c r="T172" s="27">
        <f>IFERROR(INDEX('Input Statistiche 2025_26'!$H$3:$H$665,MATCH($A172,'Input Statistiche 2025_26'!$A$3:$A$665,0)),"")</f>
        <v>5.89</v>
      </c>
      <c r="U172" s="23" t="str">
        <f>IF(OR('La Mia Rosa'!$O$12="",$D172&lt;&gt;""),"",IF($F172&lt;='La Mia Rosa'!$O$12*'Parametri Modello'!$B$24,"OK",IF($F172&lt;='La Mia Rosa'!$O$12*'Parametri Modello'!$B$25,"Attenzione","Rischio Alto")))</f>
        <v>OK</v>
      </c>
      <c r="V172" s="23">
        <f t="shared" si="19"/>
        <v>42</v>
      </c>
      <c r="W172" s="18">
        <f>'Info Lega'!$B$4-SUMIFS($M$2:$M$492,$D$2:$D$492,'Info Lega'!$B$28)</f>
        <v>1000</v>
      </c>
      <c r="X172" s="18">
        <f>('Info Lega'!$B$5-COUNTIFS($D$2:$D$492,'Info Lega'!$B$28,$B$2:$B$492,"P"))+('Info Lega'!$B$6-COUNTIFS($D$2:$D$492,'Info Lega'!$B$28,$B$2:$B$492,"D"))+('Info Lega'!$B$7-COUNTIFS($D$2:$D$492,'Info Lega'!$B$28,$B$2:$B$492,"C"))+('Info Lega'!$B$8-COUNTIFS($D$2:$D$492,'Info Lega'!$B$28,$B$2:$B$492,"A"))</f>
        <v>25</v>
      </c>
      <c r="Y172" s="18">
        <f>X172*'Parametri Modello'!$B$30</f>
        <v>25</v>
      </c>
      <c r="Z172" s="18">
        <f t="shared" si="20"/>
        <v>975</v>
      </c>
      <c r="AA172" s="18">
        <f t="shared" si="21"/>
        <v>4</v>
      </c>
      <c r="AB172" s="18"/>
      <c r="AC172" s="18" t="str">
        <f>IF($AB172="","",IF($AB172&gt;$AA172,"PASS",IF($AB172&lt;=$AA172*(1-'Parametri Modello'!$B$68),"BID","ATTENZIONE")))</f>
        <v/>
      </c>
      <c r="AD172" s="28">
        <f t="shared" si="22"/>
        <v>61</v>
      </c>
      <c r="AE172" s="5" t="str">
        <f>IFERROR(INDEX('Stato Asta'!$G$9:$G$12,MATCH($B172,'Stato Asta'!$A$9:$A$12,0)),"")</f>
        <v>🔴 Non aspettare</v>
      </c>
      <c r="AF172" t="str">
        <f>IFERROR(IF($V172&lt;=INDEX('Parametri Modello'!$C$57:$C$60,MATCH($B172,'Parametri Modello'!$A$57:$A$60,0)),"Titolare","Riserva"),"")</f>
        <v>Riserva</v>
      </c>
      <c r="AG172" t="str">
        <f>IFERROR(INDEX('Pressione Competitiva'!$F$3:$F$6,MATCH($B172,'Pressione Competitiva'!$B$3:$B$6,0)),"")</f>
        <v>🔴 Molto Alta</v>
      </c>
      <c r="AH172" t="str">
        <f t="shared" si="23"/>
        <v/>
      </c>
      <c r="AI172" t="str">
        <f>IFERROR(IF($AH172="","",IF($AH172&gt;=$AA172*'Parametri Modello'!$B$68,"🟢 Opportunita'",IF($AH172&lt;=$AA172*'Parametri Modello'!$B$69,"🔴 Sovrapprezzo","🟡 Prezzo Corretto"))),"")</f>
        <v/>
      </c>
      <c r="AJ172" t="str">
        <f t="shared" si="24"/>
        <v/>
      </c>
      <c r="AK172">
        <f t="shared" si="25"/>
        <v>24</v>
      </c>
      <c r="AL172" t="str">
        <f t="shared" si="26"/>
        <v>D|Buono|24</v>
      </c>
    </row>
    <row r="173" spans="1:38" ht="14.25" customHeight="1" x14ac:dyDescent="0.25">
      <c r="A173" s="18">
        <v>7410</v>
      </c>
      <c r="B173" s="18" t="s">
        <v>16</v>
      </c>
      <c r="C173" s="18" t="s">
        <v>312</v>
      </c>
      <c r="E173" s="23" t="str">
        <f>IF(COUNTIF('Info Strategia'!$D$2:$D$51,$C173)&gt;0,"SI","NO")</f>
        <v>NO</v>
      </c>
      <c r="F173" s="24">
        <f>IFERROR(ROUND(($G173+($H173-$G173)*'Info Strategia'!$B$6)*(1+IF($E173="SI",'Parametri Modello'!$B$7*'Info Strategia'!$B$6,0)),0),"")</f>
        <v>4</v>
      </c>
      <c r="G173" s="24">
        <f>IFERROR(ROUND(MAX(1,(IF($V173&lt;=INDEX('Parametri Modello'!$C$57:$C$60,MATCH($B173,'Parametri Modello'!$A$57:$A$60,0)),IF(INDEX('Parametri Modello'!$E$57:$E$60,MATCH($B173,'Parametri Modello'!$A$57:$A$60,0))=0,0,($O173/INDEX('Parametri Modello'!$E$57:$E$60,MATCH($B173,'Parametri Modello'!$A$57:$A$60,0)))*(INDEX('Parametri Modello'!$D$57:$D$60,MATCH($B173,'Parametri Modello'!$A$57:$A$60,0))*(INDEX('Parametri Modello'!$B$50:$B$53,MATCH($B173,'Parametri Modello'!$A$50:$A$53,0))*'Parametri Modello'!$B$44))),IF(INDEX('Parametri Modello'!$F$57:$F$60,MATCH($B173,'Parametri Modello'!$A$57:$A$60,0))=0,0,($O173/INDEX('Parametri Modello'!$F$57:$F$60,MATCH($B173,'Parametri Modello'!$A$57:$A$60,0)))*((1-INDEX('Parametri Modello'!$D$57:$D$60,MATCH($B173,'Parametri Modello'!$A$57:$A$60,0)))*(INDEX('Parametri Modello'!$B$50:$B$53,MATCH($B173,'Parametri Modello'!$A$50:$A$53,0))*'Parametri Modello'!$B$44))))*(1+IF(IF($B173="D",'Info Lega'!$B$25,IF($B173="C",'Info Lega'!$B$26,"No"))="Si",'Parametri Modello'!$B$5,0))*(1+MAX(-0.25,MIN(0.25,IF(OR($T173="",$I173="",$I173=0,INDEX('Parametri Modello'!$B$19:$B$22,MATCH($B173,'Parametri Modello'!$A$19:$A$22,0))="",INDEX('Parametri Modello'!$B$19:$B$22,MATCH($B173,'Parametri Modello'!$A$19:$A$22,0))=0),0,(($T173-INDEX('Parametri Modello'!$B$19:$B$22,MATCH($B173,'Parametri Modello'!$A$19:$A$22,0)))/INDEX('Parametri Modello'!$B$19:$B$22,MATCH($B173,'Parametri Modello'!$A$19:$A$22,0)))*'Parametri Modello'!$B$9))))*(1+IF('Parametri Modello'!$B$27="Si",MAX(-'Parametri Modello'!$B$28,MIN('Parametri Modello'!$B$28*1.5,IF(OR(INDEX('Parametri Modello'!$F$32:$F$35,MATCH($B173,'Parametri Modello'!$A$32:$A$35,0))="",INDEX('Parametri Modello'!$F$32:$F$35,MATCH($B173,'Parametri Modello'!$A$32:$A$35,0))=0),0,(1/INDEX('Parametri Modello'!$F$32:$F$35,MATCH($B173,'Parametri Modello'!$A$32:$A$35,0))-1)*'Parametri Modello'!$B$28))),0)))*(1-INDEX('Parametri Modello'!$B$12:$B$15,MATCH($B173,'Parametri Modello'!$A$12:$A$15,0)))),0),"")</f>
        <v>3</v>
      </c>
      <c r="H173" s="24">
        <f>IFERROR(ROUND((IF($V173&lt;=INDEX('Parametri Modello'!$C$57:$C$60,MATCH($B173,'Parametri Modello'!$A$57:$A$60,0)),IF(INDEX('Parametri Modello'!$E$57:$E$60,MATCH($B173,'Parametri Modello'!$A$57:$A$60,0))=0,0,($O173/INDEX('Parametri Modello'!$E$57:$E$60,MATCH($B173,'Parametri Modello'!$A$57:$A$60,0)))*(INDEX('Parametri Modello'!$D$57:$D$60,MATCH($B173,'Parametri Modello'!$A$57:$A$60,0))*(INDEX('Parametri Modello'!$B$50:$B$53,MATCH($B173,'Parametri Modello'!$A$50:$A$53,0))*'Parametri Modello'!$B$44))),IF(INDEX('Parametri Modello'!$F$57:$F$60,MATCH($B173,'Parametri Modello'!$A$57:$A$60,0))=0,0,($O173/INDEX('Parametri Modello'!$F$57:$F$60,MATCH($B173,'Parametri Modello'!$A$57:$A$60,0)))*((1-INDEX('Parametri Modello'!$D$57:$D$60,MATCH($B173,'Parametri Modello'!$A$57:$A$60,0)))*(INDEX('Parametri Modello'!$B$50:$B$53,MATCH($B173,'Parametri Modello'!$A$50:$A$53,0))*'Parametri Modello'!$B$44))))*(1+IF(IF($B173="D",'Info Lega'!$B$25,IF($B173="C",'Info Lega'!$B$26,"No"))="Si",'Parametri Modello'!$B$5,0))*(1+MAX(-0.25,MIN(0.25,IF(OR($T173="",$I173="",$I173=0,INDEX('Parametri Modello'!$B$19:$B$22,MATCH($B173,'Parametri Modello'!$A$19:$A$22,0))="",INDEX('Parametri Modello'!$B$19:$B$22,MATCH($B173,'Parametri Modello'!$A$19:$A$22,0))=0),0,(($T173-INDEX('Parametri Modello'!$B$19:$B$22,MATCH($B173,'Parametri Modello'!$A$19:$A$22,0)))/INDEX('Parametri Modello'!$B$19:$B$22,MATCH($B173,'Parametri Modello'!$A$19:$A$22,0)))*'Parametri Modello'!$B$9))))*(1+IF('Parametri Modello'!$B$27="Si",MAX(-'Parametri Modello'!$B$28,MIN('Parametri Modello'!$B$28*1.5,IF(OR(INDEX('Parametri Modello'!$F$32:$F$35,MATCH($B173,'Parametri Modello'!$A$32:$A$35,0))="",INDEX('Parametri Modello'!$F$32:$F$35,MATCH($B173,'Parametri Modello'!$A$32:$A$35,0))=0),0,(1/INDEX('Parametri Modello'!$F$32:$F$35,MATCH($B173,'Parametri Modello'!$A$32:$A$35,0))-1)*'Parametri Modello'!$B$28))),0)))*(1+INDEX('Parametri Modello'!$B$12:$B$15,MATCH($B173,'Parametri Modello'!$A$12:$A$15,0))),0),"")</f>
        <v>4</v>
      </c>
      <c r="I173" s="23" t="str">
        <f>IFERROR(INDEX('Input Statistiche 2025_26'!$F$3:$F$665,MATCH($A173,'Input Statistiche 2025_26'!$A$3:$A$665,0)),"")</f>
        <v/>
      </c>
      <c r="J173" s="23" t="str">
        <f t="shared" si="18"/>
        <v/>
      </c>
      <c r="K173" s="23" t="str">
        <f>IFERROR(INDEX('Input Statistiche 2025_26'!$I$3:$I$665,MATCH($A173,'Input Statistiche 2025_26'!$A$3:$A$665,0)),"")</f>
        <v/>
      </c>
      <c r="L173" s="23" t="str">
        <f>IFERROR(INDEX('Input Statistiche 2025_26'!$O$3:$O$665,MATCH($A173,'Input Statistiche 2025_26'!$A$3:$A$665,0)),"")</f>
        <v/>
      </c>
      <c r="M173" s="25"/>
      <c r="N173" s="24">
        <f>IFERROR(INDEX('Input Giocatori 2026_27'!$E$3:$E$493,MATCH($A173,'Input Giocatori 2026_27'!$A$3:$A$493,0)),"")</f>
        <v>6</v>
      </c>
      <c r="O173" s="24">
        <f>IFERROR(INDEX('Input Giocatori 2026_27'!$G$3:$G$493,MATCH($A173,'Input Giocatori 2026_27'!$A$3:$A$493,0)),"")</f>
        <v>19</v>
      </c>
      <c r="P173" s="23" t="str">
        <f>IFERROR(IF($O173="","",IF((1-(COUNTIFS($B$2:$B$492,$B173,$O$2:$O$492,"&gt;"&amp;$O173)+1-1)/COUNTIF($B$2:$B$492,$B173))&gt;='Parametri Modello'!$B$63,"Top",IF((1-(COUNTIFS($B$2:$B$492,$B173,$O$2:$O$492,"&gt;"&amp;$O173)+1-1)/COUNTIF($B$2:$B$492,$B173))&gt;='Parametri Modello'!$B$64,"Buono",IF((1-(COUNTIFS($B$2:$B$492,$B173,$O$2:$O$492,"&gt;"&amp;$O173)+1-1)/COUNTIF($B$2:$B$492,$B173))&gt;='Parametri Modello'!$B$65,"Nella Media","Scommessa/Riserva")))),"")</f>
        <v>Buono</v>
      </c>
      <c r="Q173" s="26">
        <f>IF(AND($D173="",$N173&gt;1),SUMPRODUCT(($D$2:$D173="")*($N$2:$N173&gt;1)),"")</f>
        <v>172</v>
      </c>
      <c r="R173" s="26" t="str">
        <f>IF($D173='Info Lega'!$B$28,COUNTIFS($D$2:$D173,'Info Lega'!$B$28),"")</f>
        <v/>
      </c>
      <c r="S173" s="27" t="str">
        <f>IFERROR(INDEX('Input Statistiche 2025_26'!$G$3:$G$665,MATCH($A173,'Input Statistiche 2025_26'!$A$3:$A$665,0)),"")</f>
        <v/>
      </c>
      <c r="T173" s="27" t="str">
        <f>IFERROR(INDEX('Input Statistiche 2025_26'!$H$3:$H$665,MATCH($A173,'Input Statistiche 2025_26'!$A$3:$A$665,0)),"")</f>
        <v/>
      </c>
      <c r="U173" s="23" t="str">
        <f>IF(OR('La Mia Rosa'!$O$12="",$D173&lt;&gt;""),"",IF($F173&lt;='La Mia Rosa'!$O$12*'Parametri Modello'!$B$24,"OK",IF($F173&lt;='La Mia Rosa'!$O$12*'Parametri Modello'!$B$25,"Attenzione","Rischio Alto")))</f>
        <v>OK</v>
      </c>
      <c r="V173" s="23">
        <f t="shared" si="19"/>
        <v>42</v>
      </c>
      <c r="W173" s="18">
        <f>'Info Lega'!$B$4-SUMIFS($M$2:$M$492,$D$2:$D$492,'Info Lega'!$B$28)</f>
        <v>1000</v>
      </c>
      <c r="X173" s="18">
        <f>('Info Lega'!$B$5-COUNTIFS($D$2:$D$492,'Info Lega'!$B$28,$B$2:$B$492,"P"))+('Info Lega'!$B$6-COUNTIFS($D$2:$D$492,'Info Lega'!$B$28,$B$2:$B$492,"D"))+('Info Lega'!$B$7-COUNTIFS($D$2:$D$492,'Info Lega'!$B$28,$B$2:$B$492,"C"))+('Info Lega'!$B$8-COUNTIFS($D$2:$D$492,'Info Lega'!$B$28,$B$2:$B$492,"A"))</f>
        <v>25</v>
      </c>
      <c r="Y173" s="18">
        <f>X173*'Parametri Modello'!$B$30</f>
        <v>25</v>
      </c>
      <c r="Z173" s="18">
        <f t="shared" si="20"/>
        <v>975</v>
      </c>
      <c r="AA173" s="18">
        <f t="shared" si="21"/>
        <v>4</v>
      </c>
      <c r="AB173" s="18"/>
      <c r="AC173" s="18" t="str">
        <f>IF($AB173="","",IF($AB173&gt;$AA173,"PASS",IF($AB173&lt;=$AA173*(1-'Parametri Modello'!$B$68),"BID","ATTENZIONE")))</f>
        <v/>
      </c>
      <c r="AD173" s="28" t="str">
        <f t="shared" si="22"/>
        <v/>
      </c>
      <c r="AE173" s="5" t="str">
        <f>IFERROR(INDEX('Stato Asta'!$G$9:$G$12,MATCH($B173,'Stato Asta'!$A$9:$A$12,0)),"")</f>
        <v>🔴 Non aspettare</v>
      </c>
      <c r="AF173" t="str">
        <f>IFERROR(IF($V173&lt;=INDEX('Parametri Modello'!$C$57:$C$60,MATCH($B173,'Parametri Modello'!$A$57:$A$60,0)),"Titolare","Riserva"),"")</f>
        <v>Riserva</v>
      </c>
      <c r="AG173" t="str">
        <f>IFERROR(INDEX('Pressione Competitiva'!$F$3:$F$6,MATCH($B173,'Pressione Competitiva'!$B$3:$B$6,0)),"")</f>
        <v>🔴 Molto Alta</v>
      </c>
      <c r="AH173" t="str">
        <f t="shared" si="23"/>
        <v/>
      </c>
      <c r="AI173" t="str">
        <f>IFERROR(IF($AH173="","",IF($AH173&gt;=$AA173*'Parametri Modello'!$B$68,"🟢 Opportunita'",IF($AH173&lt;=$AA173*'Parametri Modello'!$B$69,"🔴 Sovrapprezzo","🟡 Prezzo Corretto"))),"")</f>
        <v/>
      </c>
      <c r="AJ173" t="str">
        <f t="shared" si="24"/>
        <v/>
      </c>
      <c r="AK173">
        <f t="shared" si="25"/>
        <v>24</v>
      </c>
      <c r="AL173" t="str">
        <f t="shared" si="26"/>
        <v>D|Buono|24</v>
      </c>
    </row>
    <row r="174" spans="1:38" ht="14.25" customHeight="1" x14ac:dyDescent="0.25">
      <c r="A174" s="18">
        <v>6010</v>
      </c>
      <c r="B174" s="18" t="s">
        <v>17</v>
      </c>
      <c r="C174" s="18" t="s">
        <v>313</v>
      </c>
      <c r="E174" s="23" t="str">
        <f>IF(COUNTIF('Info Strategia'!$D$2:$D$51,$C174)&gt;0,"SI","NO")</f>
        <v>NO</v>
      </c>
      <c r="F174" s="24">
        <f>IFERROR(ROUND(($G174+($H174-$G174)*'Info Strategia'!$B$6)*(1+IF($E174="SI",'Parametri Modello'!$B$7*'Info Strategia'!$B$6,0)),0),"")</f>
        <v>3</v>
      </c>
      <c r="G174" s="24">
        <f>IFERROR(ROUND(MAX(1,(IF($V174&lt;=INDEX('Parametri Modello'!$C$57:$C$60,MATCH($B174,'Parametri Modello'!$A$57:$A$60,0)),IF(INDEX('Parametri Modello'!$E$57:$E$60,MATCH($B174,'Parametri Modello'!$A$57:$A$60,0))=0,0,($O174/INDEX('Parametri Modello'!$E$57:$E$60,MATCH($B174,'Parametri Modello'!$A$57:$A$60,0)))*(INDEX('Parametri Modello'!$D$57:$D$60,MATCH($B174,'Parametri Modello'!$A$57:$A$60,0))*(INDEX('Parametri Modello'!$B$50:$B$53,MATCH($B174,'Parametri Modello'!$A$50:$A$53,0))*'Parametri Modello'!$B$44))),IF(INDEX('Parametri Modello'!$F$57:$F$60,MATCH($B174,'Parametri Modello'!$A$57:$A$60,0))=0,0,($O174/INDEX('Parametri Modello'!$F$57:$F$60,MATCH($B174,'Parametri Modello'!$A$57:$A$60,0)))*((1-INDEX('Parametri Modello'!$D$57:$D$60,MATCH($B174,'Parametri Modello'!$A$57:$A$60,0)))*(INDEX('Parametri Modello'!$B$50:$B$53,MATCH($B174,'Parametri Modello'!$A$50:$A$53,0))*'Parametri Modello'!$B$44))))*(1+IF(IF($B174="D",'Info Lega'!$B$25,IF($B174="C",'Info Lega'!$B$26,"No"))="Si",'Parametri Modello'!$B$5,0))*(1+MAX(-0.25,MIN(0.25,IF(OR($T174="",$I174="",$I174=0,INDEX('Parametri Modello'!$B$19:$B$22,MATCH($B174,'Parametri Modello'!$A$19:$A$22,0))="",INDEX('Parametri Modello'!$B$19:$B$22,MATCH($B174,'Parametri Modello'!$A$19:$A$22,0))=0),0,(($T174-INDEX('Parametri Modello'!$B$19:$B$22,MATCH($B174,'Parametri Modello'!$A$19:$A$22,0)))/INDEX('Parametri Modello'!$B$19:$B$22,MATCH($B174,'Parametri Modello'!$A$19:$A$22,0)))*'Parametri Modello'!$B$9))))*(1+IF('Parametri Modello'!$B$27="Si",MAX(-'Parametri Modello'!$B$28,MIN('Parametri Modello'!$B$28*1.5,IF(OR(INDEX('Parametri Modello'!$F$32:$F$35,MATCH($B174,'Parametri Modello'!$A$32:$A$35,0))="",INDEX('Parametri Modello'!$F$32:$F$35,MATCH($B174,'Parametri Modello'!$A$32:$A$35,0))=0),0,(1/INDEX('Parametri Modello'!$F$32:$F$35,MATCH($B174,'Parametri Modello'!$A$32:$A$35,0))-1)*'Parametri Modello'!$B$28))),0)))*(1-INDEX('Parametri Modello'!$B$12:$B$15,MATCH($B174,'Parametri Modello'!$A$12:$A$15,0)))),0),"")</f>
        <v>2</v>
      </c>
      <c r="H174" s="24">
        <f>IFERROR(ROUND((IF($V174&lt;=INDEX('Parametri Modello'!$C$57:$C$60,MATCH($B174,'Parametri Modello'!$A$57:$A$60,0)),IF(INDEX('Parametri Modello'!$E$57:$E$60,MATCH($B174,'Parametri Modello'!$A$57:$A$60,0))=0,0,($O174/INDEX('Parametri Modello'!$E$57:$E$60,MATCH($B174,'Parametri Modello'!$A$57:$A$60,0)))*(INDEX('Parametri Modello'!$D$57:$D$60,MATCH($B174,'Parametri Modello'!$A$57:$A$60,0))*(INDEX('Parametri Modello'!$B$50:$B$53,MATCH($B174,'Parametri Modello'!$A$50:$A$53,0))*'Parametri Modello'!$B$44))),IF(INDEX('Parametri Modello'!$F$57:$F$60,MATCH($B174,'Parametri Modello'!$A$57:$A$60,0))=0,0,($O174/INDEX('Parametri Modello'!$F$57:$F$60,MATCH($B174,'Parametri Modello'!$A$57:$A$60,0)))*((1-INDEX('Parametri Modello'!$D$57:$D$60,MATCH($B174,'Parametri Modello'!$A$57:$A$60,0)))*(INDEX('Parametri Modello'!$B$50:$B$53,MATCH($B174,'Parametri Modello'!$A$50:$A$53,0))*'Parametri Modello'!$B$44))))*(1+IF(IF($B174="D",'Info Lega'!$B$25,IF($B174="C",'Info Lega'!$B$26,"No"))="Si",'Parametri Modello'!$B$5,0))*(1+MAX(-0.25,MIN(0.25,IF(OR($T174="",$I174="",$I174=0,INDEX('Parametri Modello'!$B$19:$B$22,MATCH($B174,'Parametri Modello'!$A$19:$A$22,0))="",INDEX('Parametri Modello'!$B$19:$B$22,MATCH($B174,'Parametri Modello'!$A$19:$A$22,0))=0),0,(($T174-INDEX('Parametri Modello'!$B$19:$B$22,MATCH($B174,'Parametri Modello'!$A$19:$A$22,0)))/INDEX('Parametri Modello'!$B$19:$B$22,MATCH($B174,'Parametri Modello'!$A$19:$A$22,0)))*'Parametri Modello'!$B$9))))*(1+IF('Parametri Modello'!$B$27="Si",MAX(-'Parametri Modello'!$B$28,MIN('Parametri Modello'!$B$28*1.5,IF(OR(INDEX('Parametri Modello'!$F$32:$F$35,MATCH($B174,'Parametri Modello'!$A$32:$A$35,0))="",INDEX('Parametri Modello'!$F$32:$F$35,MATCH($B174,'Parametri Modello'!$A$32:$A$35,0))=0),0,(1/INDEX('Parametri Modello'!$F$32:$F$35,MATCH($B174,'Parametri Modello'!$A$32:$A$35,0))-1)*'Parametri Modello'!$B$28))),0)))*(1+INDEX('Parametri Modello'!$B$12:$B$15,MATCH($B174,'Parametri Modello'!$A$12:$A$15,0))),0),"")</f>
        <v>3</v>
      </c>
      <c r="I174" s="23">
        <f>IFERROR(INDEX('Input Statistiche 2025_26'!$F$3:$F$665,MATCH($A174,'Input Statistiche 2025_26'!$A$3:$A$665,0)),"")</f>
        <v>12</v>
      </c>
      <c r="J174" s="23">
        <f t="shared" si="18"/>
        <v>26</v>
      </c>
      <c r="K174" s="23">
        <f>IFERROR(INDEX('Input Statistiche 2025_26'!$I$3:$I$665,MATCH($A174,'Input Statistiche 2025_26'!$A$3:$A$665,0)),"")</f>
        <v>0</v>
      </c>
      <c r="L174" s="23">
        <f>IFERROR(INDEX('Input Statistiche 2025_26'!$O$3:$O$665,MATCH($A174,'Input Statistiche 2025_26'!$A$3:$A$665,0)),"")</f>
        <v>0</v>
      </c>
      <c r="M174" s="25"/>
      <c r="N174" s="24">
        <f>IFERROR(INDEX('Input Giocatori 2026_27'!$E$3:$E$493,MATCH($A174,'Input Giocatori 2026_27'!$A$3:$A$493,0)),"")</f>
        <v>7</v>
      </c>
      <c r="O174" s="24">
        <f>IFERROR(INDEX('Input Giocatori 2026_27'!$G$3:$G$493,MATCH($A174,'Input Giocatori 2026_27'!$A$3:$A$493,0)),"")</f>
        <v>19</v>
      </c>
      <c r="P174" s="23" t="str">
        <f>IFERROR(IF($O174="","",IF((1-(COUNTIFS($B$2:$B$492,$B174,$O$2:$O$492,"&gt;"&amp;$O174)+1-1)/COUNTIF($B$2:$B$492,$B174))&gt;='Parametri Modello'!$B$63,"Top",IF((1-(COUNTIFS($B$2:$B$492,$B174,$O$2:$O$492,"&gt;"&amp;$O174)+1-1)/COUNTIF($B$2:$B$492,$B174))&gt;='Parametri Modello'!$B$64,"Buono",IF((1-(COUNTIFS($B$2:$B$492,$B174,$O$2:$O$492,"&gt;"&amp;$O174)+1-1)/COUNTIF($B$2:$B$492,$B174))&gt;='Parametri Modello'!$B$65,"Nella Media","Scommessa/Riserva")))),"")</f>
        <v>Nella Media</v>
      </c>
      <c r="Q174" s="26">
        <f>IF(AND($D174="",$N174&gt;1),SUMPRODUCT(($D$2:$D174="")*($N$2:$N174&gt;1)),"")</f>
        <v>173</v>
      </c>
      <c r="R174" s="26" t="str">
        <f>IF($D174='Info Lega'!$B$28,COUNTIFS($D$2:$D174,'Info Lega'!$B$28),"")</f>
        <v/>
      </c>
      <c r="S174" s="27">
        <f>IFERROR(INDEX('Input Statistiche 2025_26'!$G$3:$G$665,MATCH($A174,'Input Statistiche 2025_26'!$A$3:$A$665,0)),"")</f>
        <v>5.88</v>
      </c>
      <c r="T174" s="27">
        <f>IFERROR(INDEX('Input Statistiche 2025_26'!$H$3:$H$665,MATCH($A174,'Input Statistiche 2025_26'!$A$3:$A$665,0)),"")</f>
        <v>5.83</v>
      </c>
      <c r="U174" s="23" t="str">
        <f>IF(OR('La Mia Rosa'!$O$12="",$D174&lt;&gt;""),"",IF($F174&lt;='La Mia Rosa'!$O$12*'Parametri Modello'!$B$24,"OK",IF($F174&lt;='La Mia Rosa'!$O$12*'Parametri Modello'!$B$25,"Attenzione","Rischio Alto")))</f>
        <v>OK</v>
      </c>
      <c r="V174" s="23">
        <f t="shared" si="19"/>
        <v>66</v>
      </c>
      <c r="W174" s="18">
        <f>'Info Lega'!$B$4-SUMIFS($M$2:$M$492,$D$2:$D$492,'Info Lega'!$B$28)</f>
        <v>1000</v>
      </c>
      <c r="X174" s="18">
        <f>('Info Lega'!$B$5-COUNTIFS($D$2:$D$492,'Info Lega'!$B$28,$B$2:$B$492,"P"))+('Info Lega'!$B$6-COUNTIFS($D$2:$D$492,'Info Lega'!$B$28,$B$2:$B$492,"D"))+('Info Lega'!$B$7-COUNTIFS($D$2:$D$492,'Info Lega'!$B$28,$B$2:$B$492,"C"))+('Info Lega'!$B$8-COUNTIFS($D$2:$D$492,'Info Lega'!$B$28,$B$2:$B$492,"A"))</f>
        <v>25</v>
      </c>
      <c r="Y174" s="18">
        <f>X174*'Parametri Modello'!$B$30</f>
        <v>25</v>
      </c>
      <c r="Z174" s="18">
        <f t="shared" si="20"/>
        <v>975</v>
      </c>
      <c r="AA174" s="18">
        <f t="shared" si="21"/>
        <v>3</v>
      </c>
      <c r="AB174" s="18"/>
      <c r="AC174" s="18" t="str">
        <f>IF($AB174="","",IF($AB174&gt;$AA174,"PASS",IF($AB174&lt;=$AA174*(1-'Parametri Modello'!$B$68),"BID","ATTENZIONE")))</f>
        <v/>
      </c>
      <c r="AD174" s="28">
        <f t="shared" si="22"/>
        <v>33</v>
      </c>
      <c r="AE174" s="5" t="str">
        <f>IFERROR(INDEX('Stato Asta'!$G$9:$G$12,MATCH($B174,'Stato Asta'!$A$9:$A$12,0)),"")</f>
        <v>🔴 Non aspettare</v>
      </c>
      <c r="AF174" t="str">
        <f>IFERROR(IF($V174&lt;=INDEX('Parametri Modello'!$C$57:$C$60,MATCH($B174,'Parametri Modello'!$A$57:$A$60,0)),"Titolare","Riserva"),"")</f>
        <v>Riserva</v>
      </c>
      <c r="AG174" t="str">
        <f>IFERROR(INDEX('Pressione Competitiva'!$F$3:$F$6,MATCH($B174,'Pressione Competitiva'!$B$3:$B$6,0)),"")</f>
        <v>🔴 Molto Alta</v>
      </c>
      <c r="AH174" t="str">
        <f t="shared" si="23"/>
        <v/>
      </c>
      <c r="AI174" t="str">
        <f>IFERROR(IF($AH174="","",IF($AH174&gt;=$AA174*'Parametri Modello'!$B$68,"🟢 Opportunita'",IF($AH174&lt;=$AA174*'Parametri Modello'!$B$69,"🔴 Sovrapprezzo","🟡 Prezzo Corretto"))),"")</f>
        <v/>
      </c>
      <c r="AJ174" t="str">
        <f t="shared" si="24"/>
        <v/>
      </c>
      <c r="AK174">
        <f t="shared" si="25"/>
        <v>11</v>
      </c>
      <c r="AL174" t="str">
        <f t="shared" si="26"/>
        <v>C|Nella Media|11</v>
      </c>
    </row>
    <row r="175" spans="1:38" ht="14.25" customHeight="1" x14ac:dyDescent="0.25">
      <c r="A175" s="18">
        <v>5791</v>
      </c>
      <c r="B175" s="18" t="s">
        <v>17</v>
      </c>
      <c r="C175" s="18" t="s">
        <v>314</v>
      </c>
      <c r="E175" s="23" t="str">
        <f>IF(COUNTIF('Info Strategia'!$D$2:$D$51,$C175)&gt;0,"SI","NO")</f>
        <v>NO</v>
      </c>
      <c r="F175" s="24">
        <f>IFERROR(ROUND(($G175+($H175-$G175)*'Info Strategia'!$B$6)*(1+IF($E175="SI",'Parametri Modello'!$B$7*'Info Strategia'!$B$6,0)),0),"")</f>
        <v>3</v>
      </c>
      <c r="G175" s="24">
        <f>IFERROR(ROUND(MAX(1,(IF($V175&lt;=INDEX('Parametri Modello'!$C$57:$C$60,MATCH($B175,'Parametri Modello'!$A$57:$A$60,0)),IF(INDEX('Parametri Modello'!$E$57:$E$60,MATCH($B175,'Parametri Modello'!$A$57:$A$60,0))=0,0,($O175/INDEX('Parametri Modello'!$E$57:$E$60,MATCH($B175,'Parametri Modello'!$A$57:$A$60,0)))*(INDEX('Parametri Modello'!$D$57:$D$60,MATCH($B175,'Parametri Modello'!$A$57:$A$60,0))*(INDEX('Parametri Modello'!$B$50:$B$53,MATCH($B175,'Parametri Modello'!$A$50:$A$53,0))*'Parametri Modello'!$B$44))),IF(INDEX('Parametri Modello'!$F$57:$F$60,MATCH($B175,'Parametri Modello'!$A$57:$A$60,0))=0,0,($O175/INDEX('Parametri Modello'!$F$57:$F$60,MATCH($B175,'Parametri Modello'!$A$57:$A$60,0)))*((1-INDEX('Parametri Modello'!$D$57:$D$60,MATCH($B175,'Parametri Modello'!$A$57:$A$60,0)))*(INDEX('Parametri Modello'!$B$50:$B$53,MATCH($B175,'Parametri Modello'!$A$50:$A$53,0))*'Parametri Modello'!$B$44))))*(1+IF(IF($B175="D",'Info Lega'!$B$25,IF($B175="C",'Info Lega'!$B$26,"No"))="Si",'Parametri Modello'!$B$5,0))*(1+MAX(-0.25,MIN(0.25,IF(OR($T175="",$I175="",$I175=0,INDEX('Parametri Modello'!$B$19:$B$22,MATCH($B175,'Parametri Modello'!$A$19:$A$22,0))="",INDEX('Parametri Modello'!$B$19:$B$22,MATCH($B175,'Parametri Modello'!$A$19:$A$22,0))=0),0,(($T175-INDEX('Parametri Modello'!$B$19:$B$22,MATCH($B175,'Parametri Modello'!$A$19:$A$22,0)))/INDEX('Parametri Modello'!$B$19:$B$22,MATCH($B175,'Parametri Modello'!$A$19:$A$22,0)))*'Parametri Modello'!$B$9))))*(1+IF('Parametri Modello'!$B$27="Si",MAX(-'Parametri Modello'!$B$28,MIN('Parametri Modello'!$B$28*1.5,IF(OR(INDEX('Parametri Modello'!$F$32:$F$35,MATCH($B175,'Parametri Modello'!$A$32:$A$35,0))="",INDEX('Parametri Modello'!$F$32:$F$35,MATCH($B175,'Parametri Modello'!$A$32:$A$35,0))=0),0,(1/INDEX('Parametri Modello'!$F$32:$F$35,MATCH($B175,'Parametri Modello'!$A$32:$A$35,0))-1)*'Parametri Modello'!$B$28))),0)))*(1-INDEX('Parametri Modello'!$B$12:$B$15,MATCH($B175,'Parametri Modello'!$A$12:$A$15,0)))),0),"")</f>
        <v>2</v>
      </c>
      <c r="H175" s="24">
        <f>IFERROR(ROUND((IF($V175&lt;=INDEX('Parametri Modello'!$C$57:$C$60,MATCH($B175,'Parametri Modello'!$A$57:$A$60,0)),IF(INDEX('Parametri Modello'!$E$57:$E$60,MATCH($B175,'Parametri Modello'!$A$57:$A$60,0))=0,0,($O175/INDEX('Parametri Modello'!$E$57:$E$60,MATCH($B175,'Parametri Modello'!$A$57:$A$60,0)))*(INDEX('Parametri Modello'!$D$57:$D$60,MATCH($B175,'Parametri Modello'!$A$57:$A$60,0))*(INDEX('Parametri Modello'!$B$50:$B$53,MATCH($B175,'Parametri Modello'!$A$50:$A$53,0))*'Parametri Modello'!$B$44))),IF(INDEX('Parametri Modello'!$F$57:$F$60,MATCH($B175,'Parametri Modello'!$A$57:$A$60,0))=0,0,($O175/INDEX('Parametri Modello'!$F$57:$F$60,MATCH($B175,'Parametri Modello'!$A$57:$A$60,0)))*((1-INDEX('Parametri Modello'!$D$57:$D$60,MATCH($B175,'Parametri Modello'!$A$57:$A$60,0)))*(INDEX('Parametri Modello'!$B$50:$B$53,MATCH($B175,'Parametri Modello'!$A$50:$A$53,0))*'Parametri Modello'!$B$44))))*(1+IF(IF($B175="D",'Info Lega'!$B$25,IF($B175="C",'Info Lega'!$B$26,"No"))="Si",'Parametri Modello'!$B$5,0))*(1+MAX(-0.25,MIN(0.25,IF(OR($T175="",$I175="",$I175=0,INDEX('Parametri Modello'!$B$19:$B$22,MATCH($B175,'Parametri Modello'!$A$19:$A$22,0))="",INDEX('Parametri Modello'!$B$19:$B$22,MATCH($B175,'Parametri Modello'!$A$19:$A$22,0))=0),0,(($T175-INDEX('Parametri Modello'!$B$19:$B$22,MATCH($B175,'Parametri Modello'!$A$19:$A$22,0)))/INDEX('Parametri Modello'!$B$19:$B$22,MATCH($B175,'Parametri Modello'!$A$19:$A$22,0)))*'Parametri Modello'!$B$9))))*(1+IF('Parametri Modello'!$B$27="Si",MAX(-'Parametri Modello'!$B$28,MIN('Parametri Modello'!$B$28*1.5,IF(OR(INDEX('Parametri Modello'!$F$32:$F$35,MATCH($B175,'Parametri Modello'!$A$32:$A$35,0))="",INDEX('Parametri Modello'!$F$32:$F$35,MATCH($B175,'Parametri Modello'!$A$32:$A$35,0))=0),0,(1/INDEX('Parametri Modello'!$F$32:$F$35,MATCH($B175,'Parametri Modello'!$A$32:$A$35,0))-1)*'Parametri Modello'!$B$28))),0)))*(1+INDEX('Parametri Modello'!$B$12:$B$15,MATCH($B175,'Parametri Modello'!$A$12:$A$15,0))),0),"")</f>
        <v>3</v>
      </c>
      <c r="I175" s="23">
        <f>IFERROR(INDEX('Input Statistiche 2025_26'!$F$3:$F$665,MATCH($A175,'Input Statistiche 2025_26'!$A$3:$A$665,0)),"")</f>
        <v>36</v>
      </c>
      <c r="J175" s="23">
        <f t="shared" si="18"/>
        <v>2</v>
      </c>
      <c r="K175" s="23">
        <f>IFERROR(INDEX('Input Statistiche 2025_26'!$I$3:$I$665,MATCH($A175,'Input Statistiche 2025_26'!$A$3:$A$665,0)),"")</f>
        <v>1</v>
      </c>
      <c r="L175" s="23">
        <f>IFERROR(INDEX('Input Statistiche 2025_26'!$O$3:$O$665,MATCH($A175,'Input Statistiche 2025_26'!$A$3:$A$665,0)),"")</f>
        <v>0</v>
      </c>
      <c r="M175" s="25"/>
      <c r="N175" s="24">
        <f>IFERROR(INDEX('Input Giocatori 2026_27'!$E$3:$E$493,MATCH($A175,'Input Giocatori 2026_27'!$A$3:$A$493,0)),"")</f>
        <v>7</v>
      </c>
      <c r="O175" s="24">
        <f>IFERROR(INDEX('Input Giocatori 2026_27'!$G$3:$G$493,MATCH($A175,'Input Giocatori 2026_27'!$A$3:$A$493,0)),"")</f>
        <v>19</v>
      </c>
      <c r="P175" s="23" t="str">
        <f>IFERROR(IF($O175="","",IF((1-(COUNTIFS($B$2:$B$492,$B175,$O$2:$O$492,"&gt;"&amp;$O175)+1-1)/COUNTIF($B$2:$B$492,$B175))&gt;='Parametri Modello'!$B$63,"Top",IF((1-(COUNTIFS($B$2:$B$492,$B175,$O$2:$O$492,"&gt;"&amp;$O175)+1-1)/COUNTIF($B$2:$B$492,$B175))&gt;='Parametri Modello'!$B$64,"Buono",IF((1-(COUNTIFS($B$2:$B$492,$B175,$O$2:$O$492,"&gt;"&amp;$O175)+1-1)/COUNTIF($B$2:$B$492,$B175))&gt;='Parametri Modello'!$B$65,"Nella Media","Scommessa/Riserva")))),"")</f>
        <v>Nella Media</v>
      </c>
      <c r="Q175" s="26">
        <f>IF(AND($D175="",$N175&gt;1),SUMPRODUCT(($D$2:$D175="")*($N$2:$N175&gt;1)),"")</f>
        <v>174</v>
      </c>
      <c r="R175" s="26" t="str">
        <f>IF($D175='Info Lega'!$B$28,COUNTIFS($D$2:$D175,'Info Lega'!$B$28),"")</f>
        <v/>
      </c>
      <c r="S175" s="27">
        <f>IFERROR(INDEX('Input Statistiche 2025_26'!$G$3:$G$665,MATCH($A175,'Input Statistiche 2025_26'!$A$3:$A$665,0)),"")</f>
        <v>5.96</v>
      </c>
      <c r="T175" s="27">
        <f>IFERROR(INDEX('Input Statistiche 2025_26'!$H$3:$H$665,MATCH($A175,'Input Statistiche 2025_26'!$A$3:$A$665,0)),"")</f>
        <v>5.97</v>
      </c>
      <c r="U175" s="23" t="str">
        <f>IF(OR('La Mia Rosa'!$O$12="",$D175&lt;&gt;""),"",IF($F175&lt;='La Mia Rosa'!$O$12*'Parametri Modello'!$B$24,"OK",IF($F175&lt;='La Mia Rosa'!$O$12*'Parametri Modello'!$B$25,"Attenzione","Rischio Alto")))</f>
        <v>OK</v>
      </c>
      <c r="V175" s="23">
        <f t="shared" si="19"/>
        <v>66</v>
      </c>
      <c r="W175" s="18">
        <f>'Info Lega'!$B$4-SUMIFS($M$2:$M$492,$D$2:$D$492,'Info Lega'!$B$28)</f>
        <v>1000</v>
      </c>
      <c r="X175" s="18">
        <f>('Info Lega'!$B$5-COUNTIFS($D$2:$D$492,'Info Lega'!$B$28,$B$2:$B$492,"P"))+('Info Lega'!$B$6-COUNTIFS($D$2:$D$492,'Info Lega'!$B$28,$B$2:$B$492,"D"))+('Info Lega'!$B$7-COUNTIFS($D$2:$D$492,'Info Lega'!$B$28,$B$2:$B$492,"C"))+('Info Lega'!$B$8-COUNTIFS($D$2:$D$492,'Info Lega'!$B$28,$B$2:$B$492,"A"))</f>
        <v>25</v>
      </c>
      <c r="Y175" s="18">
        <f>X175*'Parametri Modello'!$B$30</f>
        <v>25</v>
      </c>
      <c r="Z175" s="18">
        <f t="shared" si="20"/>
        <v>975</v>
      </c>
      <c r="AA175" s="18">
        <f t="shared" si="21"/>
        <v>3</v>
      </c>
      <c r="AB175" s="18"/>
      <c r="AC175" s="18" t="str">
        <f>IF($AB175="","",IF($AB175&gt;$AA175,"PASS",IF($AB175&lt;=$AA175*(1-'Parametri Modello'!$B$68),"BID","ATTENZIONE")))</f>
        <v/>
      </c>
      <c r="AD175" s="28">
        <f t="shared" si="22"/>
        <v>70</v>
      </c>
      <c r="AE175" s="5" t="str">
        <f>IFERROR(INDEX('Stato Asta'!$G$9:$G$12,MATCH($B175,'Stato Asta'!$A$9:$A$12,0)),"")</f>
        <v>🔴 Non aspettare</v>
      </c>
      <c r="AF175" t="str">
        <f>IFERROR(IF($V175&lt;=INDEX('Parametri Modello'!$C$57:$C$60,MATCH($B175,'Parametri Modello'!$A$57:$A$60,0)),"Titolare","Riserva"),"")</f>
        <v>Riserva</v>
      </c>
      <c r="AG175" t="str">
        <f>IFERROR(INDEX('Pressione Competitiva'!$F$3:$F$6,MATCH($B175,'Pressione Competitiva'!$B$3:$B$6,0)),"")</f>
        <v>🔴 Molto Alta</v>
      </c>
      <c r="AH175" t="str">
        <f t="shared" si="23"/>
        <v/>
      </c>
      <c r="AI175" t="str">
        <f>IFERROR(IF($AH175="","",IF($AH175&gt;=$AA175*'Parametri Modello'!$B$68,"🟢 Opportunita'",IF($AH175&lt;=$AA175*'Parametri Modello'!$B$69,"🔴 Sovrapprezzo","🟡 Prezzo Corretto"))),"")</f>
        <v/>
      </c>
      <c r="AJ175" t="str">
        <f t="shared" si="24"/>
        <v/>
      </c>
      <c r="AK175">
        <f t="shared" si="25"/>
        <v>11</v>
      </c>
      <c r="AL175" t="str">
        <f t="shared" si="26"/>
        <v>C|Nella Media|11</v>
      </c>
    </row>
    <row r="176" spans="1:38" ht="14.25" customHeight="1" x14ac:dyDescent="0.25">
      <c r="A176" s="18">
        <v>6549</v>
      </c>
      <c r="B176" s="18" t="s">
        <v>17</v>
      </c>
      <c r="C176" s="18" t="s">
        <v>315</v>
      </c>
      <c r="E176" s="23" t="str">
        <f>IF(COUNTIF('Info Strategia'!$D$2:$D$51,$C176)&gt;0,"SI","NO")</f>
        <v>NO</v>
      </c>
      <c r="F176" s="24">
        <f>IFERROR(ROUND(($G176+($H176-$G176)*'Info Strategia'!$B$6)*(1+IF($E176="SI",'Parametri Modello'!$B$7*'Info Strategia'!$B$6,0)),0),"")</f>
        <v>3</v>
      </c>
      <c r="G176" s="24">
        <f>IFERROR(ROUND(MAX(1,(IF($V176&lt;=INDEX('Parametri Modello'!$C$57:$C$60,MATCH($B176,'Parametri Modello'!$A$57:$A$60,0)),IF(INDEX('Parametri Modello'!$E$57:$E$60,MATCH($B176,'Parametri Modello'!$A$57:$A$60,0))=0,0,($O176/INDEX('Parametri Modello'!$E$57:$E$60,MATCH($B176,'Parametri Modello'!$A$57:$A$60,0)))*(INDEX('Parametri Modello'!$D$57:$D$60,MATCH($B176,'Parametri Modello'!$A$57:$A$60,0))*(INDEX('Parametri Modello'!$B$50:$B$53,MATCH($B176,'Parametri Modello'!$A$50:$A$53,0))*'Parametri Modello'!$B$44))),IF(INDEX('Parametri Modello'!$F$57:$F$60,MATCH($B176,'Parametri Modello'!$A$57:$A$60,0))=0,0,($O176/INDEX('Parametri Modello'!$F$57:$F$60,MATCH($B176,'Parametri Modello'!$A$57:$A$60,0)))*((1-INDEX('Parametri Modello'!$D$57:$D$60,MATCH($B176,'Parametri Modello'!$A$57:$A$60,0)))*(INDEX('Parametri Modello'!$B$50:$B$53,MATCH($B176,'Parametri Modello'!$A$50:$A$53,0))*'Parametri Modello'!$B$44))))*(1+IF(IF($B176="D",'Info Lega'!$B$25,IF($B176="C",'Info Lega'!$B$26,"No"))="Si",'Parametri Modello'!$B$5,0))*(1+MAX(-0.25,MIN(0.25,IF(OR($T176="",$I176="",$I176=0,INDEX('Parametri Modello'!$B$19:$B$22,MATCH($B176,'Parametri Modello'!$A$19:$A$22,0))="",INDEX('Parametri Modello'!$B$19:$B$22,MATCH($B176,'Parametri Modello'!$A$19:$A$22,0))=0),0,(($T176-INDEX('Parametri Modello'!$B$19:$B$22,MATCH($B176,'Parametri Modello'!$A$19:$A$22,0)))/INDEX('Parametri Modello'!$B$19:$B$22,MATCH($B176,'Parametri Modello'!$A$19:$A$22,0)))*'Parametri Modello'!$B$9))))*(1+IF('Parametri Modello'!$B$27="Si",MAX(-'Parametri Modello'!$B$28,MIN('Parametri Modello'!$B$28*1.5,IF(OR(INDEX('Parametri Modello'!$F$32:$F$35,MATCH($B176,'Parametri Modello'!$A$32:$A$35,0))="",INDEX('Parametri Modello'!$F$32:$F$35,MATCH($B176,'Parametri Modello'!$A$32:$A$35,0))=0),0,(1/INDEX('Parametri Modello'!$F$32:$F$35,MATCH($B176,'Parametri Modello'!$A$32:$A$35,0))-1)*'Parametri Modello'!$B$28))),0)))*(1-INDEX('Parametri Modello'!$B$12:$B$15,MATCH($B176,'Parametri Modello'!$A$12:$A$15,0)))),0),"")</f>
        <v>2</v>
      </c>
      <c r="H176" s="24">
        <f>IFERROR(ROUND((IF($V176&lt;=INDEX('Parametri Modello'!$C$57:$C$60,MATCH($B176,'Parametri Modello'!$A$57:$A$60,0)),IF(INDEX('Parametri Modello'!$E$57:$E$60,MATCH($B176,'Parametri Modello'!$A$57:$A$60,0))=0,0,($O176/INDEX('Parametri Modello'!$E$57:$E$60,MATCH($B176,'Parametri Modello'!$A$57:$A$60,0)))*(INDEX('Parametri Modello'!$D$57:$D$60,MATCH($B176,'Parametri Modello'!$A$57:$A$60,0))*(INDEX('Parametri Modello'!$B$50:$B$53,MATCH($B176,'Parametri Modello'!$A$50:$A$53,0))*'Parametri Modello'!$B$44))),IF(INDEX('Parametri Modello'!$F$57:$F$60,MATCH($B176,'Parametri Modello'!$A$57:$A$60,0))=0,0,($O176/INDEX('Parametri Modello'!$F$57:$F$60,MATCH($B176,'Parametri Modello'!$A$57:$A$60,0)))*((1-INDEX('Parametri Modello'!$D$57:$D$60,MATCH($B176,'Parametri Modello'!$A$57:$A$60,0)))*(INDEX('Parametri Modello'!$B$50:$B$53,MATCH($B176,'Parametri Modello'!$A$50:$A$53,0))*'Parametri Modello'!$B$44))))*(1+IF(IF($B176="D",'Info Lega'!$B$25,IF($B176="C",'Info Lega'!$B$26,"No"))="Si",'Parametri Modello'!$B$5,0))*(1+MAX(-0.25,MIN(0.25,IF(OR($T176="",$I176="",$I176=0,INDEX('Parametri Modello'!$B$19:$B$22,MATCH($B176,'Parametri Modello'!$A$19:$A$22,0))="",INDEX('Parametri Modello'!$B$19:$B$22,MATCH($B176,'Parametri Modello'!$A$19:$A$22,0))=0),0,(($T176-INDEX('Parametri Modello'!$B$19:$B$22,MATCH($B176,'Parametri Modello'!$A$19:$A$22,0)))/INDEX('Parametri Modello'!$B$19:$B$22,MATCH($B176,'Parametri Modello'!$A$19:$A$22,0)))*'Parametri Modello'!$B$9))))*(1+IF('Parametri Modello'!$B$27="Si",MAX(-'Parametri Modello'!$B$28,MIN('Parametri Modello'!$B$28*1.5,IF(OR(INDEX('Parametri Modello'!$F$32:$F$35,MATCH($B176,'Parametri Modello'!$A$32:$A$35,0))="",INDEX('Parametri Modello'!$F$32:$F$35,MATCH($B176,'Parametri Modello'!$A$32:$A$35,0))=0),0,(1/INDEX('Parametri Modello'!$F$32:$F$35,MATCH($B176,'Parametri Modello'!$A$32:$A$35,0))-1)*'Parametri Modello'!$B$28))),0)))*(1+INDEX('Parametri Modello'!$B$12:$B$15,MATCH($B176,'Parametri Modello'!$A$12:$A$15,0))),0),"")</f>
        <v>3</v>
      </c>
      <c r="I176" s="23">
        <f>IFERROR(INDEX('Input Statistiche 2025_26'!$F$3:$F$665,MATCH($A176,'Input Statistiche 2025_26'!$A$3:$A$665,0)),"")</f>
        <v>37</v>
      </c>
      <c r="J176" s="23">
        <f t="shared" si="18"/>
        <v>1</v>
      </c>
      <c r="K176" s="23">
        <f>IFERROR(INDEX('Input Statistiche 2025_26'!$I$3:$I$665,MATCH($A176,'Input Statistiche 2025_26'!$A$3:$A$665,0)),"")</f>
        <v>1</v>
      </c>
      <c r="L176" s="23">
        <f>IFERROR(INDEX('Input Statistiche 2025_26'!$O$3:$O$665,MATCH($A176,'Input Statistiche 2025_26'!$A$3:$A$665,0)),"")</f>
        <v>1</v>
      </c>
      <c r="M176" s="25"/>
      <c r="N176" s="24">
        <f>IFERROR(INDEX('Input Giocatori 2026_27'!$E$3:$E$493,MATCH($A176,'Input Giocatori 2026_27'!$A$3:$A$493,0)),"")</f>
        <v>6</v>
      </c>
      <c r="O176" s="24">
        <f>IFERROR(INDEX('Input Giocatori 2026_27'!$G$3:$G$493,MATCH($A176,'Input Giocatori 2026_27'!$A$3:$A$493,0)),"")</f>
        <v>19</v>
      </c>
      <c r="P176" s="23" t="str">
        <f>IFERROR(IF($O176="","",IF((1-(COUNTIFS($B$2:$B$492,$B176,$O$2:$O$492,"&gt;"&amp;$O176)+1-1)/COUNTIF($B$2:$B$492,$B176))&gt;='Parametri Modello'!$B$63,"Top",IF((1-(COUNTIFS($B$2:$B$492,$B176,$O$2:$O$492,"&gt;"&amp;$O176)+1-1)/COUNTIF($B$2:$B$492,$B176))&gt;='Parametri Modello'!$B$64,"Buono",IF((1-(COUNTIFS($B$2:$B$492,$B176,$O$2:$O$492,"&gt;"&amp;$O176)+1-1)/COUNTIF($B$2:$B$492,$B176))&gt;='Parametri Modello'!$B$65,"Nella Media","Scommessa/Riserva")))),"")</f>
        <v>Nella Media</v>
      </c>
      <c r="Q176" s="26">
        <f>IF(AND($D176="",$N176&gt;1),SUMPRODUCT(($D$2:$D176="")*($N$2:$N176&gt;1)),"")</f>
        <v>175</v>
      </c>
      <c r="R176" s="26" t="str">
        <f>IF($D176='Info Lega'!$B$28,COUNTIFS($D$2:$D176,'Info Lega'!$B$28),"")</f>
        <v/>
      </c>
      <c r="S176" s="27">
        <f>IFERROR(INDEX('Input Statistiche 2025_26'!$G$3:$G$665,MATCH($A176,'Input Statistiche 2025_26'!$A$3:$A$665,0)),"")</f>
        <v>5.8</v>
      </c>
      <c r="T176" s="27">
        <f>IFERROR(INDEX('Input Statistiche 2025_26'!$H$3:$H$665,MATCH($A176,'Input Statistiche 2025_26'!$A$3:$A$665,0)),"")</f>
        <v>5.85</v>
      </c>
      <c r="U176" s="23" t="str">
        <f>IF(OR('La Mia Rosa'!$O$12="",$D176&lt;&gt;""),"",IF($F176&lt;='La Mia Rosa'!$O$12*'Parametri Modello'!$B$24,"OK",IF($F176&lt;='La Mia Rosa'!$O$12*'Parametri Modello'!$B$25,"Attenzione","Rischio Alto")))</f>
        <v>OK</v>
      </c>
      <c r="V176" s="23">
        <f t="shared" si="19"/>
        <v>66</v>
      </c>
      <c r="W176" s="18">
        <f>'Info Lega'!$B$4-SUMIFS($M$2:$M$492,$D$2:$D$492,'Info Lega'!$B$28)</f>
        <v>1000</v>
      </c>
      <c r="X176" s="18">
        <f>('Info Lega'!$B$5-COUNTIFS($D$2:$D$492,'Info Lega'!$B$28,$B$2:$B$492,"P"))+('Info Lega'!$B$6-COUNTIFS($D$2:$D$492,'Info Lega'!$B$28,$B$2:$B$492,"D"))+('Info Lega'!$B$7-COUNTIFS($D$2:$D$492,'Info Lega'!$B$28,$B$2:$B$492,"C"))+('Info Lega'!$B$8-COUNTIFS($D$2:$D$492,'Info Lega'!$B$28,$B$2:$B$492,"A"))</f>
        <v>25</v>
      </c>
      <c r="Y176" s="18">
        <f>X176*'Parametri Modello'!$B$30</f>
        <v>25</v>
      </c>
      <c r="Z176" s="18">
        <f t="shared" si="20"/>
        <v>975</v>
      </c>
      <c r="AA176" s="18">
        <f t="shared" si="21"/>
        <v>3</v>
      </c>
      <c r="AB176" s="18"/>
      <c r="AC176" s="18" t="str">
        <f>IF($AB176="","",IF($AB176&gt;$AA176,"PASS",IF($AB176&lt;=$AA176*(1-'Parametri Modello'!$B$68),"BID","ATTENZIONE")))</f>
        <v/>
      </c>
      <c r="AD176" s="28">
        <f t="shared" si="22"/>
        <v>71</v>
      </c>
      <c r="AE176" s="5" t="str">
        <f>IFERROR(INDEX('Stato Asta'!$G$9:$G$12,MATCH($B176,'Stato Asta'!$A$9:$A$12,0)),"")</f>
        <v>🔴 Non aspettare</v>
      </c>
      <c r="AF176" t="str">
        <f>IFERROR(IF($V176&lt;=INDEX('Parametri Modello'!$C$57:$C$60,MATCH($B176,'Parametri Modello'!$A$57:$A$60,0)),"Titolare","Riserva"),"")</f>
        <v>Riserva</v>
      </c>
      <c r="AG176" t="str">
        <f>IFERROR(INDEX('Pressione Competitiva'!$F$3:$F$6,MATCH($B176,'Pressione Competitiva'!$B$3:$B$6,0)),"")</f>
        <v>🔴 Molto Alta</v>
      </c>
      <c r="AH176" t="str">
        <f t="shared" si="23"/>
        <v/>
      </c>
      <c r="AI176" t="str">
        <f>IFERROR(IF($AH176="","",IF($AH176&gt;=$AA176*'Parametri Modello'!$B$68,"🟢 Opportunita'",IF($AH176&lt;=$AA176*'Parametri Modello'!$B$69,"🔴 Sovrapprezzo","🟡 Prezzo Corretto"))),"")</f>
        <v/>
      </c>
      <c r="AJ176" t="str">
        <f t="shared" si="24"/>
        <v/>
      </c>
      <c r="AK176">
        <f t="shared" si="25"/>
        <v>11</v>
      </c>
      <c r="AL176" t="str">
        <f t="shared" si="26"/>
        <v>C|Nella Media|11</v>
      </c>
    </row>
    <row r="177" spans="1:38" ht="14.25" customHeight="1" x14ac:dyDescent="0.25">
      <c r="A177" s="18">
        <v>5674</v>
      </c>
      <c r="B177" s="18" t="s">
        <v>17</v>
      </c>
      <c r="C177" s="18" t="s">
        <v>316</v>
      </c>
      <c r="E177" s="23" t="str">
        <f>IF(COUNTIF('Info Strategia'!$D$2:$D$51,$C177)&gt;0,"SI","NO")</f>
        <v>NO</v>
      </c>
      <c r="F177" s="24">
        <f>IFERROR(ROUND(($G177+($H177-$G177)*'Info Strategia'!$B$6)*(1+IF($E177="SI",'Parametri Modello'!$B$7*'Info Strategia'!$B$6,0)),0),"")</f>
        <v>3</v>
      </c>
      <c r="G177" s="24">
        <f>IFERROR(ROUND(MAX(1,(IF($V177&lt;=INDEX('Parametri Modello'!$C$57:$C$60,MATCH($B177,'Parametri Modello'!$A$57:$A$60,0)),IF(INDEX('Parametri Modello'!$E$57:$E$60,MATCH($B177,'Parametri Modello'!$A$57:$A$60,0))=0,0,($O177/INDEX('Parametri Modello'!$E$57:$E$60,MATCH($B177,'Parametri Modello'!$A$57:$A$60,0)))*(INDEX('Parametri Modello'!$D$57:$D$60,MATCH($B177,'Parametri Modello'!$A$57:$A$60,0))*(INDEX('Parametri Modello'!$B$50:$B$53,MATCH($B177,'Parametri Modello'!$A$50:$A$53,0))*'Parametri Modello'!$B$44))),IF(INDEX('Parametri Modello'!$F$57:$F$60,MATCH($B177,'Parametri Modello'!$A$57:$A$60,0))=0,0,($O177/INDEX('Parametri Modello'!$F$57:$F$60,MATCH($B177,'Parametri Modello'!$A$57:$A$60,0)))*((1-INDEX('Parametri Modello'!$D$57:$D$60,MATCH($B177,'Parametri Modello'!$A$57:$A$60,0)))*(INDEX('Parametri Modello'!$B$50:$B$53,MATCH($B177,'Parametri Modello'!$A$50:$A$53,0))*'Parametri Modello'!$B$44))))*(1+IF(IF($B177="D",'Info Lega'!$B$25,IF($B177="C",'Info Lega'!$B$26,"No"))="Si",'Parametri Modello'!$B$5,0))*(1+MAX(-0.25,MIN(0.25,IF(OR($T177="",$I177="",$I177=0,INDEX('Parametri Modello'!$B$19:$B$22,MATCH($B177,'Parametri Modello'!$A$19:$A$22,0))="",INDEX('Parametri Modello'!$B$19:$B$22,MATCH($B177,'Parametri Modello'!$A$19:$A$22,0))=0),0,(($T177-INDEX('Parametri Modello'!$B$19:$B$22,MATCH($B177,'Parametri Modello'!$A$19:$A$22,0)))/INDEX('Parametri Modello'!$B$19:$B$22,MATCH($B177,'Parametri Modello'!$A$19:$A$22,0)))*'Parametri Modello'!$B$9))))*(1+IF('Parametri Modello'!$B$27="Si",MAX(-'Parametri Modello'!$B$28,MIN('Parametri Modello'!$B$28*1.5,IF(OR(INDEX('Parametri Modello'!$F$32:$F$35,MATCH($B177,'Parametri Modello'!$A$32:$A$35,0))="",INDEX('Parametri Modello'!$F$32:$F$35,MATCH($B177,'Parametri Modello'!$A$32:$A$35,0))=0),0,(1/INDEX('Parametri Modello'!$F$32:$F$35,MATCH($B177,'Parametri Modello'!$A$32:$A$35,0))-1)*'Parametri Modello'!$B$28))),0)))*(1-INDEX('Parametri Modello'!$B$12:$B$15,MATCH($B177,'Parametri Modello'!$A$12:$A$15,0)))),0),"")</f>
        <v>2</v>
      </c>
      <c r="H177" s="24">
        <f>IFERROR(ROUND((IF($V177&lt;=INDEX('Parametri Modello'!$C$57:$C$60,MATCH($B177,'Parametri Modello'!$A$57:$A$60,0)),IF(INDEX('Parametri Modello'!$E$57:$E$60,MATCH($B177,'Parametri Modello'!$A$57:$A$60,0))=0,0,($O177/INDEX('Parametri Modello'!$E$57:$E$60,MATCH($B177,'Parametri Modello'!$A$57:$A$60,0)))*(INDEX('Parametri Modello'!$D$57:$D$60,MATCH($B177,'Parametri Modello'!$A$57:$A$60,0))*(INDEX('Parametri Modello'!$B$50:$B$53,MATCH($B177,'Parametri Modello'!$A$50:$A$53,0))*'Parametri Modello'!$B$44))),IF(INDEX('Parametri Modello'!$F$57:$F$60,MATCH($B177,'Parametri Modello'!$A$57:$A$60,0))=0,0,($O177/INDEX('Parametri Modello'!$F$57:$F$60,MATCH($B177,'Parametri Modello'!$A$57:$A$60,0)))*((1-INDEX('Parametri Modello'!$D$57:$D$60,MATCH($B177,'Parametri Modello'!$A$57:$A$60,0)))*(INDEX('Parametri Modello'!$B$50:$B$53,MATCH($B177,'Parametri Modello'!$A$50:$A$53,0))*'Parametri Modello'!$B$44))))*(1+IF(IF($B177="D",'Info Lega'!$B$25,IF($B177="C",'Info Lega'!$B$26,"No"))="Si",'Parametri Modello'!$B$5,0))*(1+MAX(-0.25,MIN(0.25,IF(OR($T177="",$I177="",$I177=0,INDEX('Parametri Modello'!$B$19:$B$22,MATCH($B177,'Parametri Modello'!$A$19:$A$22,0))="",INDEX('Parametri Modello'!$B$19:$B$22,MATCH($B177,'Parametri Modello'!$A$19:$A$22,0))=0),0,(($T177-INDEX('Parametri Modello'!$B$19:$B$22,MATCH($B177,'Parametri Modello'!$A$19:$A$22,0)))/INDEX('Parametri Modello'!$B$19:$B$22,MATCH($B177,'Parametri Modello'!$A$19:$A$22,0)))*'Parametri Modello'!$B$9))))*(1+IF('Parametri Modello'!$B$27="Si",MAX(-'Parametri Modello'!$B$28,MIN('Parametri Modello'!$B$28*1.5,IF(OR(INDEX('Parametri Modello'!$F$32:$F$35,MATCH($B177,'Parametri Modello'!$A$32:$A$35,0))="",INDEX('Parametri Modello'!$F$32:$F$35,MATCH($B177,'Parametri Modello'!$A$32:$A$35,0))=0),0,(1/INDEX('Parametri Modello'!$F$32:$F$35,MATCH($B177,'Parametri Modello'!$A$32:$A$35,0))-1)*'Parametri Modello'!$B$28))),0)))*(1+INDEX('Parametri Modello'!$B$12:$B$15,MATCH($B177,'Parametri Modello'!$A$12:$A$15,0))),0),"")</f>
        <v>3</v>
      </c>
      <c r="I177" s="23">
        <f>IFERROR(INDEX('Input Statistiche 2025_26'!$F$3:$F$665,MATCH($A177,'Input Statistiche 2025_26'!$A$3:$A$665,0)),"")</f>
        <v>23</v>
      </c>
      <c r="J177" s="23">
        <f t="shared" si="18"/>
        <v>15</v>
      </c>
      <c r="K177" s="23">
        <f>IFERROR(INDEX('Input Statistiche 2025_26'!$I$3:$I$665,MATCH($A177,'Input Statistiche 2025_26'!$A$3:$A$665,0)),"")</f>
        <v>2</v>
      </c>
      <c r="L177" s="23">
        <f>IFERROR(INDEX('Input Statistiche 2025_26'!$O$3:$O$665,MATCH($A177,'Input Statistiche 2025_26'!$A$3:$A$665,0)),"")</f>
        <v>3</v>
      </c>
      <c r="M177" s="25"/>
      <c r="N177" s="24">
        <f>IFERROR(INDEX('Input Giocatori 2026_27'!$E$3:$E$493,MATCH($A177,'Input Giocatori 2026_27'!$A$3:$A$493,0)),"")</f>
        <v>6</v>
      </c>
      <c r="O177" s="24">
        <f>IFERROR(INDEX('Input Giocatori 2026_27'!$G$3:$G$493,MATCH($A177,'Input Giocatori 2026_27'!$A$3:$A$493,0)),"")</f>
        <v>19</v>
      </c>
      <c r="P177" s="23" t="str">
        <f>IFERROR(IF($O177="","",IF((1-(COUNTIFS($B$2:$B$492,$B177,$O$2:$O$492,"&gt;"&amp;$O177)+1-1)/COUNTIF($B$2:$B$492,$B177))&gt;='Parametri Modello'!$B$63,"Top",IF((1-(COUNTIFS($B$2:$B$492,$B177,$O$2:$O$492,"&gt;"&amp;$O177)+1-1)/COUNTIF($B$2:$B$492,$B177))&gt;='Parametri Modello'!$B$64,"Buono",IF((1-(COUNTIFS($B$2:$B$492,$B177,$O$2:$O$492,"&gt;"&amp;$O177)+1-1)/COUNTIF($B$2:$B$492,$B177))&gt;='Parametri Modello'!$B$65,"Nella Media","Scommessa/Riserva")))),"")</f>
        <v>Nella Media</v>
      </c>
      <c r="Q177" s="26">
        <f>IF(AND($D177="",$N177&gt;1),SUMPRODUCT(($D$2:$D177="")*($N$2:$N177&gt;1)),"")</f>
        <v>176</v>
      </c>
      <c r="R177" s="26" t="str">
        <f>IF($D177='Info Lega'!$B$28,COUNTIFS($D$2:$D177,'Info Lega'!$B$28),"")</f>
        <v/>
      </c>
      <c r="S177" s="27">
        <f>IFERROR(INDEX('Input Statistiche 2025_26'!$G$3:$G$665,MATCH($A177,'Input Statistiche 2025_26'!$A$3:$A$665,0)),"")</f>
        <v>6.09</v>
      </c>
      <c r="T177" s="27">
        <f>IFERROR(INDEX('Input Statistiche 2025_26'!$H$3:$H$665,MATCH($A177,'Input Statistiche 2025_26'!$A$3:$A$665,0)),"")</f>
        <v>6.43</v>
      </c>
      <c r="U177" s="23" t="str">
        <f>IF(OR('La Mia Rosa'!$O$12="",$D177&lt;&gt;""),"",IF($F177&lt;='La Mia Rosa'!$O$12*'Parametri Modello'!$B$24,"OK",IF($F177&lt;='La Mia Rosa'!$O$12*'Parametri Modello'!$B$25,"Attenzione","Rischio Alto")))</f>
        <v>OK</v>
      </c>
      <c r="V177" s="23">
        <f t="shared" si="19"/>
        <v>66</v>
      </c>
      <c r="W177" s="18">
        <f>'Info Lega'!$B$4-SUMIFS($M$2:$M$492,$D$2:$D$492,'Info Lega'!$B$28)</f>
        <v>1000</v>
      </c>
      <c r="X177" s="18">
        <f>('Info Lega'!$B$5-COUNTIFS($D$2:$D$492,'Info Lega'!$B$28,$B$2:$B$492,"P"))+('Info Lega'!$B$6-COUNTIFS($D$2:$D$492,'Info Lega'!$B$28,$B$2:$B$492,"D"))+('Info Lega'!$B$7-COUNTIFS($D$2:$D$492,'Info Lega'!$B$28,$B$2:$B$492,"C"))+('Info Lega'!$B$8-COUNTIFS($D$2:$D$492,'Info Lega'!$B$28,$B$2:$B$492,"A"))</f>
        <v>25</v>
      </c>
      <c r="Y177" s="18">
        <f>X177*'Parametri Modello'!$B$30</f>
        <v>25</v>
      </c>
      <c r="Z177" s="18">
        <f t="shared" si="20"/>
        <v>975</v>
      </c>
      <c r="AA177" s="18">
        <f t="shared" si="21"/>
        <v>3</v>
      </c>
      <c r="AB177" s="18"/>
      <c r="AC177" s="18" t="str">
        <f>IF($AB177="","",IF($AB177&gt;$AA177,"PASS",IF($AB177&lt;=$AA177*(1-'Parametri Modello'!$B$68),"BID","ATTENZIONE")))</f>
        <v/>
      </c>
      <c r="AD177" s="28">
        <f t="shared" si="22"/>
        <v>54</v>
      </c>
      <c r="AE177" s="5" t="str">
        <f>IFERROR(INDEX('Stato Asta'!$G$9:$G$12,MATCH($B177,'Stato Asta'!$A$9:$A$12,0)),"")</f>
        <v>🔴 Non aspettare</v>
      </c>
      <c r="AF177" t="str">
        <f>IFERROR(IF($V177&lt;=INDEX('Parametri Modello'!$C$57:$C$60,MATCH($B177,'Parametri Modello'!$A$57:$A$60,0)),"Titolare","Riserva"),"")</f>
        <v>Riserva</v>
      </c>
      <c r="AG177" t="str">
        <f>IFERROR(INDEX('Pressione Competitiva'!$F$3:$F$6,MATCH($B177,'Pressione Competitiva'!$B$3:$B$6,0)),"")</f>
        <v>🔴 Molto Alta</v>
      </c>
      <c r="AH177" t="str">
        <f t="shared" si="23"/>
        <v/>
      </c>
      <c r="AI177" t="str">
        <f>IFERROR(IF($AH177="","",IF($AH177&gt;=$AA177*'Parametri Modello'!$B$68,"🟢 Opportunita'",IF($AH177&lt;=$AA177*'Parametri Modello'!$B$69,"🔴 Sovrapprezzo","🟡 Prezzo Corretto"))),"")</f>
        <v/>
      </c>
      <c r="AJ177" t="str">
        <f t="shared" si="24"/>
        <v/>
      </c>
      <c r="AK177">
        <f t="shared" si="25"/>
        <v>11</v>
      </c>
      <c r="AL177" t="str">
        <f t="shared" si="26"/>
        <v>C|Nella Media|11</v>
      </c>
    </row>
    <row r="178" spans="1:38" ht="14.25" customHeight="1" x14ac:dyDescent="0.25">
      <c r="A178" s="18">
        <v>2529</v>
      </c>
      <c r="B178" s="18" t="s">
        <v>17</v>
      </c>
      <c r="C178" s="18" t="s">
        <v>317</v>
      </c>
      <c r="E178" s="23" t="str">
        <f>IF(COUNTIF('Info Strategia'!$D$2:$D$51,$C178)&gt;0,"SI","NO")</f>
        <v>NO</v>
      </c>
      <c r="F178" s="24">
        <f>IFERROR(ROUND(($G178+($H178-$G178)*'Info Strategia'!$B$6)*(1+IF($E178="SI",'Parametri Modello'!$B$7*'Info Strategia'!$B$6,0)),0),"")</f>
        <v>3</v>
      </c>
      <c r="G178" s="24">
        <f>IFERROR(ROUND(MAX(1,(IF($V178&lt;=INDEX('Parametri Modello'!$C$57:$C$60,MATCH($B178,'Parametri Modello'!$A$57:$A$60,0)),IF(INDEX('Parametri Modello'!$E$57:$E$60,MATCH($B178,'Parametri Modello'!$A$57:$A$60,0))=0,0,($O178/INDEX('Parametri Modello'!$E$57:$E$60,MATCH($B178,'Parametri Modello'!$A$57:$A$60,0)))*(INDEX('Parametri Modello'!$D$57:$D$60,MATCH($B178,'Parametri Modello'!$A$57:$A$60,0))*(INDEX('Parametri Modello'!$B$50:$B$53,MATCH($B178,'Parametri Modello'!$A$50:$A$53,0))*'Parametri Modello'!$B$44))),IF(INDEX('Parametri Modello'!$F$57:$F$60,MATCH($B178,'Parametri Modello'!$A$57:$A$60,0))=0,0,($O178/INDEX('Parametri Modello'!$F$57:$F$60,MATCH($B178,'Parametri Modello'!$A$57:$A$60,0)))*((1-INDEX('Parametri Modello'!$D$57:$D$60,MATCH($B178,'Parametri Modello'!$A$57:$A$60,0)))*(INDEX('Parametri Modello'!$B$50:$B$53,MATCH($B178,'Parametri Modello'!$A$50:$A$53,0))*'Parametri Modello'!$B$44))))*(1+IF(IF($B178="D",'Info Lega'!$B$25,IF($B178="C",'Info Lega'!$B$26,"No"))="Si",'Parametri Modello'!$B$5,0))*(1+MAX(-0.25,MIN(0.25,IF(OR($T178="",$I178="",$I178=0,INDEX('Parametri Modello'!$B$19:$B$22,MATCH($B178,'Parametri Modello'!$A$19:$A$22,0))="",INDEX('Parametri Modello'!$B$19:$B$22,MATCH($B178,'Parametri Modello'!$A$19:$A$22,0))=0),0,(($T178-INDEX('Parametri Modello'!$B$19:$B$22,MATCH($B178,'Parametri Modello'!$A$19:$A$22,0)))/INDEX('Parametri Modello'!$B$19:$B$22,MATCH($B178,'Parametri Modello'!$A$19:$A$22,0)))*'Parametri Modello'!$B$9))))*(1+IF('Parametri Modello'!$B$27="Si",MAX(-'Parametri Modello'!$B$28,MIN('Parametri Modello'!$B$28*1.5,IF(OR(INDEX('Parametri Modello'!$F$32:$F$35,MATCH($B178,'Parametri Modello'!$A$32:$A$35,0))="",INDEX('Parametri Modello'!$F$32:$F$35,MATCH($B178,'Parametri Modello'!$A$32:$A$35,0))=0),0,(1/INDEX('Parametri Modello'!$F$32:$F$35,MATCH($B178,'Parametri Modello'!$A$32:$A$35,0))-1)*'Parametri Modello'!$B$28))),0)))*(1-INDEX('Parametri Modello'!$B$12:$B$15,MATCH($B178,'Parametri Modello'!$A$12:$A$15,0)))),0),"")</f>
        <v>2</v>
      </c>
      <c r="H178" s="24">
        <f>IFERROR(ROUND((IF($V178&lt;=INDEX('Parametri Modello'!$C$57:$C$60,MATCH($B178,'Parametri Modello'!$A$57:$A$60,0)),IF(INDEX('Parametri Modello'!$E$57:$E$60,MATCH($B178,'Parametri Modello'!$A$57:$A$60,0))=0,0,($O178/INDEX('Parametri Modello'!$E$57:$E$60,MATCH($B178,'Parametri Modello'!$A$57:$A$60,0)))*(INDEX('Parametri Modello'!$D$57:$D$60,MATCH($B178,'Parametri Modello'!$A$57:$A$60,0))*(INDEX('Parametri Modello'!$B$50:$B$53,MATCH($B178,'Parametri Modello'!$A$50:$A$53,0))*'Parametri Modello'!$B$44))),IF(INDEX('Parametri Modello'!$F$57:$F$60,MATCH($B178,'Parametri Modello'!$A$57:$A$60,0))=0,0,($O178/INDEX('Parametri Modello'!$F$57:$F$60,MATCH($B178,'Parametri Modello'!$A$57:$A$60,0)))*((1-INDEX('Parametri Modello'!$D$57:$D$60,MATCH($B178,'Parametri Modello'!$A$57:$A$60,0)))*(INDEX('Parametri Modello'!$B$50:$B$53,MATCH($B178,'Parametri Modello'!$A$50:$A$53,0))*'Parametri Modello'!$B$44))))*(1+IF(IF($B178="D",'Info Lega'!$B$25,IF($B178="C",'Info Lega'!$B$26,"No"))="Si",'Parametri Modello'!$B$5,0))*(1+MAX(-0.25,MIN(0.25,IF(OR($T178="",$I178="",$I178=0,INDEX('Parametri Modello'!$B$19:$B$22,MATCH($B178,'Parametri Modello'!$A$19:$A$22,0))="",INDEX('Parametri Modello'!$B$19:$B$22,MATCH($B178,'Parametri Modello'!$A$19:$A$22,0))=0),0,(($T178-INDEX('Parametri Modello'!$B$19:$B$22,MATCH($B178,'Parametri Modello'!$A$19:$A$22,0)))/INDEX('Parametri Modello'!$B$19:$B$22,MATCH($B178,'Parametri Modello'!$A$19:$A$22,0)))*'Parametri Modello'!$B$9))))*(1+IF('Parametri Modello'!$B$27="Si",MAX(-'Parametri Modello'!$B$28,MIN('Parametri Modello'!$B$28*1.5,IF(OR(INDEX('Parametri Modello'!$F$32:$F$35,MATCH($B178,'Parametri Modello'!$A$32:$A$35,0))="",INDEX('Parametri Modello'!$F$32:$F$35,MATCH($B178,'Parametri Modello'!$A$32:$A$35,0))=0),0,(1/INDEX('Parametri Modello'!$F$32:$F$35,MATCH($B178,'Parametri Modello'!$A$32:$A$35,0))-1)*'Parametri Modello'!$B$28))),0)))*(1+INDEX('Parametri Modello'!$B$12:$B$15,MATCH($B178,'Parametri Modello'!$A$12:$A$15,0))),0),"")</f>
        <v>3</v>
      </c>
      <c r="I178" s="23">
        <f>IFERROR(INDEX('Input Statistiche 2025_26'!$F$3:$F$665,MATCH($A178,'Input Statistiche 2025_26'!$A$3:$A$665,0)),"")</f>
        <v>28</v>
      </c>
      <c r="J178" s="23">
        <f t="shared" si="18"/>
        <v>10</v>
      </c>
      <c r="K178" s="23">
        <f>IFERROR(INDEX('Input Statistiche 2025_26'!$I$3:$I$665,MATCH($A178,'Input Statistiche 2025_26'!$A$3:$A$665,0)),"")</f>
        <v>4</v>
      </c>
      <c r="L178" s="23">
        <f>IFERROR(INDEX('Input Statistiche 2025_26'!$O$3:$O$665,MATCH($A178,'Input Statistiche 2025_26'!$A$3:$A$665,0)),"")</f>
        <v>1</v>
      </c>
      <c r="M178" s="25"/>
      <c r="N178" s="24">
        <f>IFERROR(INDEX('Input Giocatori 2026_27'!$E$3:$E$493,MATCH($A178,'Input Giocatori 2026_27'!$A$3:$A$493,0)),"")</f>
        <v>5</v>
      </c>
      <c r="O178" s="24">
        <f>IFERROR(INDEX('Input Giocatori 2026_27'!$G$3:$G$493,MATCH($A178,'Input Giocatori 2026_27'!$A$3:$A$493,0)),"")</f>
        <v>19</v>
      </c>
      <c r="P178" s="23" t="str">
        <f>IFERROR(IF($O178="","",IF((1-(COUNTIFS($B$2:$B$492,$B178,$O$2:$O$492,"&gt;"&amp;$O178)+1-1)/COUNTIF($B$2:$B$492,$B178))&gt;='Parametri Modello'!$B$63,"Top",IF((1-(COUNTIFS($B$2:$B$492,$B178,$O$2:$O$492,"&gt;"&amp;$O178)+1-1)/COUNTIF($B$2:$B$492,$B178))&gt;='Parametri Modello'!$B$64,"Buono",IF((1-(COUNTIFS($B$2:$B$492,$B178,$O$2:$O$492,"&gt;"&amp;$O178)+1-1)/COUNTIF($B$2:$B$492,$B178))&gt;='Parametri Modello'!$B$65,"Nella Media","Scommessa/Riserva")))),"")</f>
        <v>Nella Media</v>
      </c>
      <c r="Q178" s="26">
        <f>IF(AND($D178="",$N178&gt;1),SUMPRODUCT(($D$2:$D178="")*($N$2:$N178&gt;1)),"")</f>
        <v>177</v>
      </c>
      <c r="R178" s="26" t="str">
        <f>IF($D178='Info Lega'!$B$28,COUNTIFS($D$2:$D178,'Info Lega'!$B$28),"")</f>
        <v/>
      </c>
      <c r="S178" s="27">
        <f>IFERROR(INDEX('Input Statistiche 2025_26'!$G$3:$G$665,MATCH($A178,'Input Statistiche 2025_26'!$A$3:$A$665,0)),"")</f>
        <v>6.21</v>
      </c>
      <c r="T178" s="27">
        <f>IFERROR(INDEX('Input Statistiche 2025_26'!$H$3:$H$665,MATCH($A178,'Input Statistiche 2025_26'!$A$3:$A$665,0)),"")</f>
        <v>6.59</v>
      </c>
      <c r="U178" s="23" t="str">
        <f>IF(OR('La Mia Rosa'!$O$12="",$D178&lt;&gt;""),"",IF($F178&lt;='La Mia Rosa'!$O$12*'Parametri Modello'!$B$24,"OK",IF($F178&lt;='La Mia Rosa'!$O$12*'Parametri Modello'!$B$25,"Attenzione","Rischio Alto")))</f>
        <v>OK</v>
      </c>
      <c r="V178" s="23">
        <f t="shared" si="19"/>
        <v>66</v>
      </c>
      <c r="W178" s="18">
        <f>'Info Lega'!$B$4-SUMIFS($M$2:$M$492,$D$2:$D$492,'Info Lega'!$B$28)</f>
        <v>1000</v>
      </c>
      <c r="X178" s="18">
        <f>('Info Lega'!$B$5-COUNTIFS($D$2:$D$492,'Info Lega'!$B$28,$B$2:$B$492,"P"))+('Info Lega'!$B$6-COUNTIFS($D$2:$D$492,'Info Lega'!$B$28,$B$2:$B$492,"D"))+('Info Lega'!$B$7-COUNTIFS($D$2:$D$492,'Info Lega'!$B$28,$B$2:$B$492,"C"))+('Info Lega'!$B$8-COUNTIFS($D$2:$D$492,'Info Lega'!$B$28,$B$2:$B$492,"A"))</f>
        <v>25</v>
      </c>
      <c r="Y178" s="18">
        <f>X178*'Parametri Modello'!$B$30</f>
        <v>25</v>
      </c>
      <c r="Z178" s="18">
        <f t="shared" si="20"/>
        <v>975</v>
      </c>
      <c r="AA178" s="18">
        <f t="shared" si="21"/>
        <v>3</v>
      </c>
      <c r="AB178" s="18"/>
      <c r="AC178" s="18" t="str">
        <f>IF($AB178="","",IF($AB178&gt;$AA178,"PASS",IF($AB178&lt;=$AA178*(1-'Parametri Modello'!$B$68),"BID","ATTENZIONE")))</f>
        <v/>
      </c>
      <c r="AD178" s="28">
        <f t="shared" si="22"/>
        <v>61</v>
      </c>
      <c r="AE178" s="5" t="str">
        <f>IFERROR(INDEX('Stato Asta'!$G$9:$G$12,MATCH($B178,'Stato Asta'!$A$9:$A$12,0)),"")</f>
        <v>🔴 Non aspettare</v>
      </c>
      <c r="AF178" t="str">
        <f>IFERROR(IF($V178&lt;=INDEX('Parametri Modello'!$C$57:$C$60,MATCH($B178,'Parametri Modello'!$A$57:$A$60,0)),"Titolare","Riserva"),"")</f>
        <v>Riserva</v>
      </c>
      <c r="AG178" t="str">
        <f>IFERROR(INDEX('Pressione Competitiva'!$F$3:$F$6,MATCH($B178,'Pressione Competitiva'!$B$3:$B$6,0)),"")</f>
        <v>🔴 Molto Alta</v>
      </c>
      <c r="AH178" t="str">
        <f t="shared" si="23"/>
        <v/>
      </c>
      <c r="AI178" t="str">
        <f>IFERROR(IF($AH178="","",IF($AH178&gt;=$AA178*'Parametri Modello'!$B$68,"🟢 Opportunita'",IF($AH178&lt;=$AA178*'Parametri Modello'!$B$69,"🔴 Sovrapprezzo","🟡 Prezzo Corretto"))),"")</f>
        <v/>
      </c>
      <c r="AJ178" t="str">
        <f t="shared" si="24"/>
        <v/>
      </c>
      <c r="AK178">
        <f t="shared" si="25"/>
        <v>11</v>
      </c>
      <c r="AL178" t="str">
        <f t="shared" si="26"/>
        <v>C|Nella Media|11</v>
      </c>
    </row>
    <row r="179" spans="1:38" ht="14.25" customHeight="1" x14ac:dyDescent="0.25">
      <c r="A179" s="18">
        <v>6598</v>
      </c>
      <c r="B179" s="18" t="s">
        <v>18</v>
      </c>
      <c r="C179" s="18" t="s">
        <v>318</v>
      </c>
      <c r="E179" s="23" t="str">
        <f>IF(COUNTIF('Info Strategia'!$D$2:$D$51,$C179)&gt;0,"SI","NO")</f>
        <v>NO</v>
      </c>
      <c r="F179" s="24">
        <f>IFERROR(ROUND(($G179+($H179-$G179)*'Info Strategia'!$B$6)*(1+IF($E179="SI",'Parametri Modello'!$B$7*'Info Strategia'!$B$6,0)),0),"")</f>
        <v>6</v>
      </c>
      <c r="G179" s="24">
        <f>IFERROR(ROUND(MAX(1,(IF($V179&lt;=INDEX('Parametri Modello'!$C$57:$C$60,MATCH($B179,'Parametri Modello'!$A$57:$A$60,0)),IF(INDEX('Parametri Modello'!$E$57:$E$60,MATCH($B179,'Parametri Modello'!$A$57:$A$60,0))=0,0,($O179/INDEX('Parametri Modello'!$E$57:$E$60,MATCH($B179,'Parametri Modello'!$A$57:$A$60,0)))*(INDEX('Parametri Modello'!$D$57:$D$60,MATCH($B179,'Parametri Modello'!$A$57:$A$60,0))*(INDEX('Parametri Modello'!$B$50:$B$53,MATCH($B179,'Parametri Modello'!$A$50:$A$53,0))*'Parametri Modello'!$B$44))),IF(INDEX('Parametri Modello'!$F$57:$F$60,MATCH($B179,'Parametri Modello'!$A$57:$A$60,0))=0,0,($O179/INDEX('Parametri Modello'!$F$57:$F$60,MATCH($B179,'Parametri Modello'!$A$57:$A$60,0)))*((1-INDEX('Parametri Modello'!$D$57:$D$60,MATCH($B179,'Parametri Modello'!$A$57:$A$60,0)))*(INDEX('Parametri Modello'!$B$50:$B$53,MATCH($B179,'Parametri Modello'!$A$50:$A$53,0))*'Parametri Modello'!$B$44))))*(1+IF(IF($B179="D",'Info Lega'!$B$25,IF($B179="C",'Info Lega'!$B$26,"No"))="Si",'Parametri Modello'!$B$5,0))*(1+MAX(-0.25,MIN(0.25,IF(OR($T179="",$I179="",$I179=0,INDEX('Parametri Modello'!$B$19:$B$22,MATCH($B179,'Parametri Modello'!$A$19:$A$22,0))="",INDEX('Parametri Modello'!$B$19:$B$22,MATCH($B179,'Parametri Modello'!$A$19:$A$22,0))=0),0,(($T179-INDEX('Parametri Modello'!$B$19:$B$22,MATCH($B179,'Parametri Modello'!$A$19:$A$22,0)))/INDEX('Parametri Modello'!$B$19:$B$22,MATCH($B179,'Parametri Modello'!$A$19:$A$22,0)))*'Parametri Modello'!$B$9))))*(1+IF('Parametri Modello'!$B$27="Si",MAX(-'Parametri Modello'!$B$28,MIN('Parametri Modello'!$B$28*1.5,IF(OR(INDEX('Parametri Modello'!$F$32:$F$35,MATCH($B179,'Parametri Modello'!$A$32:$A$35,0))="",INDEX('Parametri Modello'!$F$32:$F$35,MATCH($B179,'Parametri Modello'!$A$32:$A$35,0))=0),0,(1/INDEX('Parametri Modello'!$F$32:$F$35,MATCH($B179,'Parametri Modello'!$A$32:$A$35,0))-1)*'Parametri Modello'!$B$28))),0)))*(1-INDEX('Parametri Modello'!$B$12:$B$15,MATCH($B179,'Parametri Modello'!$A$12:$A$15,0)))),0),"")</f>
        <v>4</v>
      </c>
      <c r="H179" s="24">
        <f>IFERROR(ROUND((IF($V179&lt;=INDEX('Parametri Modello'!$C$57:$C$60,MATCH($B179,'Parametri Modello'!$A$57:$A$60,0)),IF(INDEX('Parametri Modello'!$E$57:$E$60,MATCH($B179,'Parametri Modello'!$A$57:$A$60,0))=0,0,($O179/INDEX('Parametri Modello'!$E$57:$E$60,MATCH($B179,'Parametri Modello'!$A$57:$A$60,0)))*(INDEX('Parametri Modello'!$D$57:$D$60,MATCH($B179,'Parametri Modello'!$A$57:$A$60,0))*(INDEX('Parametri Modello'!$B$50:$B$53,MATCH($B179,'Parametri Modello'!$A$50:$A$53,0))*'Parametri Modello'!$B$44))),IF(INDEX('Parametri Modello'!$F$57:$F$60,MATCH($B179,'Parametri Modello'!$A$57:$A$60,0))=0,0,($O179/INDEX('Parametri Modello'!$F$57:$F$60,MATCH($B179,'Parametri Modello'!$A$57:$A$60,0)))*((1-INDEX('Parametri Modello'!$D$57:$D$60,MATCH($B179,'Parametri Modello'!$A$57:$A$60,0)))*(INDEX('Parametri Modello'!$B$50:$B$53,MATCH($B179,'Parametri Modello'!$A$50:$A$53,0))*'Parametri Modello'!$B$44))))*(1+IF(IF($B179="D",'Info Lega'!$B$25,IF($B179="C",'Info Lega'!$B$26,"No"))="Si",'Parametri Modello'!$B$5,0))*(1+MAX(-0.25,MIN(0.25,IF(OR($T179="",$I179="",$I179=0,INDEX('Parametri Modello'!$B$19:$B$22,MATCH($B179,'Parametri Modello'!$A$19:$A$22,0))="",INDEX('Parametri Modello'!$B$19:$B$22,MATCH($B179,'Parametri Modello'!$A$19:$A$22,0))=0),0,(($T179-INDEX('Parametri Modello'!$B$19:$B$22,MATCH($B179,'Parametri Modello'!$A$19:$A$22,0)))/INDEX('Parametri Modello'!$B$19:$B$22,MATCH($B179,'Parametri Modello'!$A$19:$A$22,0)))*'Parametri Modello'!$B$9))))*(1+IF('Parametri Modello'!$B$27="Si",MAX(-'Parametri Modello'!$B$28,MIN('Parametri Modello'!$B$28*1.5,IF(OR(INDEX('Parametri Modello'!$F$32:$F$35,MATCH($B179,'Parametri Modello'!$A$32:$A$35,0))="",INDEX('Parametri Modello'!$F$32:$F$35,MATCH($B179,'Parametri Modello'!$A$32:$A$35,0))=0),0,(1/INDEX('Parametri Modello'!$F$32:$F$35,MATCH($B179,'Parametri Modello'!$A$32:$A$35,0))-1)*'Parametri Modello'!$B$28))),0)))*(1+INDEX('Parametri Modello'!$B$12:$B$15,MATCH($B179,'Parametri Modello'!$A$12:$A$15,0))),0),"")</f>
        <v>7</v>
      </c>
      <c r="I179" s="23" t="str">
        <f>IFERROR(INDEX('Input Statistiche 2025_26'!$F$3:$F$665,MATCH($A179,'Input Statistiche 2025_26'!$A$3:$A$665,0)),"")</f>
        <v/>
      </c>
      <c r="J179" s="23" t="str">
        <f t="shared" si="18"/>
        <v/>
      </c>
      <c r="K179" s="23" t="str">
        <f>IFERROR(INDEX('Input Statistiche 2025_26'!$I$3:$I$665,MATCH($A179,'Input Statistiche 2025_26'!$A$3:$A$665,0)),"")</f>
        <v/>
      </c>
      <c r="L179" s="23" t="str">
        <f>IFERROR(INDEX('Input Statistiche 2025_26'!$O$3:$O$665,MATCH($A179,'Input Statistiche 2025_26'!$A$3:$A$665,0)),"")</f>
        <v/>
      </c>
      <c r="M179" s="25"/>
      <c r="N179" s="24">
        <f>IFERROR(INDEX('Input Giocatori 2026_27'!$E$3:$E$493,MATCH($A179,'Input Giocatori 2026_27'!$A$3:$A$493,0)),"")</f>
        <v>6</v>
      </c>
      <c r="O179" s="24">
        <f>IFERROR(INDEX('Input Giocatori 2026_27'!$G$3:$G$493,MATCH($A179,'Input Giocatori 2026_27'!$A$3:$A$493,0)),"")</f>
        <v>19</v>
      </c>
      <c r="P179" s="23" t="str">
        <f>IFERROR(IF($O179="","",IF((1-(COUNTIFS($B$2:$B$492,$B179,$O$2:$O$492,"&gt;"&amp;$O179)+1-1)/COUNTIF($B$2:$B$492,$B179))&gt;='Parametri Modello'!$B$63,"Top",IF((1-(COUNTIFS($B$2:$B$492,$B179,$O$2:$O$492,"&gt;"&amp;$O179)+1-1)/COUNTIF($B$2:$B$492,$B179))&gt;='Parametri Modello'!$B$64,"Buono",IF((1-(COUNTIFS($B$2:$B$492,$B179,$O$2:$O$492,"&gt;"&amp;$O179)+1-1)/COUNTIF($B$2:$B$492,$B179))&gt;='Parametri Modello'!$B$65,"Nella Media","Scommessa/Riserva")))),"")</f>
        <v>Nella Media</v>
      </c>
      <c r="Q179" s="26">
        <f>IF(AND($D179="",$N179&gt;1),SUMPRODUCT(($D$2:$D179="")*($N$2:$N179&gt;1)),"")</f>
        <v>178</v>
      </c>
      <c r="R179" s="26" t="str">
        <f>IF($D179='Info Lega'!$B$28,COUNTIFS($D$2:$D179,'Info Lega'!$B$28),"")</f>
        <v/>
      </c>
      <c r="S179" s="27" t="str">
        <f>IFERROR(INDEX('Input Statistiche 2025_26'!$G$3:$G$665,MATCH($A179,'Input Statistiche 2025_26'!$A$3:$A$665,0)),"")</f>
        <v/>
      </c>
      <c r="T179" s="27" t="str">
        <f>IFERROR(INDEX('Input Statistiche 2025_26'!$H$3:$H$665,MATCH($A179,'Input Statistiche 2025_26'!$A$3:$A$665,0)),"")</f>
        <v/>
      </c>
      <c r="U179" s="23" t="str">
        <f>IF(OR('La Mia Rosa'!$O$12="",$D179&lt;&gt;""),"",IF($F179&lt;='La Mia Rosa'!$O$12*'Parametri Modello'!$B$24,"OK",IF($F179&lt;='La Mia Rosa'!$O$12*'Parametri Modello'!$B$25,"Attenzione","Rischio Alto")))</f>
        <v>OK</v>
      </c>
      <c r="V179" s="23">
        <f t="shared" si="19"/>
        <v>50</v>
      </c>
      <c r="W179" s="18">
        <f>'Info Lega'!$B$4-SUMIFS($M$2:$M$492,$D$2:$D$492,'Info Lega'!$B$28)</f>
        <v>1000</v>
      </c>
      <c r="X179" s="18">
        <f>('Info Lega'!$B$5-COUNTIFS($D$2:$D$492,'Info Lega'!$B$28,$B$2:$B$492,"P"))+('Info Lega'!$B$6-COUNTIFS($D$2:$D$492,'Info Lega'!$B$28,$B$2:$B$492,"D"))+('Info Lega'!$B$7-COUNTIFS($D$2:$D$492,'Info Lega'!$B$28,$B$2:$B$492,"C"))+('Info Lega'!$B$8-COUNTIFS($D$2:$D$492,'Info Lega'!$B$28,$B$2:$B$492,"A"))</f>
        <v>25</v>
      </c>
      <c r="Y179" s="18">
        <f>X179*'Parametri Modello'!$B$30</f>
        <v>25</v>
      </c>
      <c r="Z179" s="18">
        <f t="shared" si="20"/>
        <v>975</v>
      </c>
      <c r="AA179" s="18">
        <f t="shared" si="21"/>
        <v>6</v>
      </c>
      <c r="AB179" s="18"/>
      <c r="AC179" s="18" t="str">
        <f>IF($AB179="","",IF($AB179&gt;$AA179,"PASS",IF($AB179&lt;=$AA179*(1-'Parametri Modello'!$B$68),"BID","ATTENZIONE")))</f>
        <v/>
      </c>
      <c r="AD179" s="28" t="str">
        <f t="shared" si="22"/>
        <v/>
      </c>
      <c r="AE179" s="5" t="str">
        <f>IFERROR(INDEX('Stato Asta'!$G$9:$G$12,MATCH($B179,'Stato Asta'!$A$9:$A$12,0)),"")</f>
        <v>🔴 Non aspettare</v>
      </c>
      <c r="AF179" t="str">
        <f>IFERROR(IF($V179&lt;=INDEX('Parametri Modello'!$C$57:$C$60,MATCH($B179,'Parametri Modello'!$A$57:$A$60,0)),"Titolare","Riserva"),"")</f>
        <v>Riserva</v>
      </c>
      <c r="AG179" t="str">
        <f>IFERROR(INDEX('Pressione Competitiva'!$F$3:$F$6,MATCH($B179,'Pressione Competitiva'!$B$3:$B$6,0)),"")</f>
        <v>🔴 Molto Alta</v>
      </c>
      <c r="AH179" t="str">
        <f t="shared" si="23"/>
        <v/>
      </c>
      <c r="AI179" t="str">
        <f>IFERROR(IF($AH179="","",IF($AH179&gt;=$AA179*'Parametri Modello'!$B$68,"🟢 Opportunita'",IF($AH179&lt;=$AA179*'Parametri Modello'!$B$69,"🔴 Sovrapprezzo","🟡 Prezzo Corretto"))),"")</f>
        <v/>
      </c>
      <c r="AJ179" t="str">
        <f t="shared" si="24"/>
        <v/>
      </c>
      <c r="AK179">
        <f t="shared" si="25"/>
        <v>24</v>
      </c>
      <c r="AL179" t="str">
        <f t="shared" si="26"/>
        <v>A|Nella Media|24</v>
      </c>
    </row>
    <row r="180" spans="1:38" ht="14.25" customHeight="1" x14ac:dyDescent="0.25">
      <c r="A180" s="18">
        <v>7332</v>
      </c>
      <c r="B180" s="18" t="s">
        <v>15</v>
      </c>
      <c r="C180" s="18" t="s">
        <v>319</v>
      </c>
      <c r="E180" s="23" t="str">
        <f>IF(COUNTIF('Info Strategia'!$D$2:$D$51,$C180)&gt;0,"SI","NO")</f>
        <v>NO</v>
      </c>
      <c r="F180" s="24">
        <f>IFERROR(ROUND(($G180+($H180-$G180)*'Info Strategia'!$B$6)*(1+IF($E180="SI",'Parametri Modello'!$B$7*'Info Strategia'!$B$6,0)),0),"")</f>
        <v>6</v>
      </c>
      <c r="G180" s="24">
        <f>IFERROR(ROUND(MAX(1,(IF($V180&lt;=INDEX('Parametri Modello'!$C$57:$C$60,MATCH($B180,'Parametri Modello'!$A$57:$A$60,0)),IF(INDEX('Parametri Modello'!$E$57:$E$60,MATCH($B180,'Parametri Modello'!$A$57:$A$60,0))=0,0,($O180/INDEX('Parametri Modello'!$E$57:$E$60,MATCH($B180,'Parametri Modello'!$A$57:$A$60,0)))*(INDEX('Parametri Modello'!$D$57:$D$60,MATCH($B180,'Parametri Modello'!$A$57:$A$60,0))*(INDEX('Parametri Modello'!$B$50:$B$53,MATCH($B180,'Parametri Modello'!$A$50:$A$53,0))*'Parametri Modello'!$B$44))),IF(INDEX('Parametri Modello'!$F$57:$F$60,MATCH($B180,'Parametri Modello'!$A$57:$A$60,0))=0,0,($O180/INDEX('Parametri Modello'!$F$57:$F$60,MATCH($B180,'Parametri Modello'!$A$57:$A$60,0)))*((1-INDEX('Parametri Modello'!$D$57:$D$60,MATCH($B180,'Parametri Modello'!$A$57:$A$60,0)))*(INDEX('Parametri Modello'!$B$50:$B$53,MATCH($B180,'Parametri Modello'!$A$50:$A$53,0))*'Parametri Modello'!$B$44))))*(1+IF(IF($B180="D",'Info Lega'!$B$25,IF($B180="C",'Info Lega'!$B$26,"No"))="Si",'Parametri Modello'!$B$5,0))*(1+MAX(-0.25,MIN(0.25,IF(OR($T180="",$I180="",$I180=0,INDEX('Parametri Modello'!$B$19:$B$22,MATCH($B180,'Parametri Modello'!$A$19:$A$22,0))="",INDEX('Parametri Modello'!$B$19:$B$22,MATCH($B180,'Parametri Modello'!$A$19:$A$22,0))=0),0,(($T180-INDEX('Parametri Modello'!$B$19:$B$22,MATCH($B180,'Parametri Modello'!$A$19:$A$22,0)))/INDEX('Parametri Modello'!$B$19:$B$22,MATCH($B180,'Parametri Modello'!$A$19:$A$22,0)))*'Parametri Modello'!$B$9))))*(1+IF('Parametri Modello'!$B$27="Si",MAX(-'Parametri Modello'!$B$28,MIN('Parametri Modello'!$B$28*1.5,IF(OR(INDEX('Parametri Modello'!$F$32:$F$35,MATCH($B180,'Parametri Modello'!$A$32:$A$35,0))="",INDEX('Parametri Modello'!$F$32:$F$35,MATCH($B180,'Parametri Modello'!$A$32:$A$35,0))=0),0,(1/INDEX('Parametri Modello'!$F$32:$F$35,MATCH($B180,'Parametri Modello'!$A$32:$A$35,0))-1)*'Parametri Modello'!$B$28))),0)))*(1-INDEX('Parametri Modello'!$B$12:$B$15,MATCH($B180,'Parametri Modello'!$A$12:$A$15,0)))),0),"")</f>
        <v>5</v>
      </c>
      <c r="H180" s="24">
        <f>IFERROR(ROUND((IF($V180&lt;=INDEX('Parametri Modello'!$C$57:$C$60,MATCH($B180,'Parametri Modello'!$A$57:$A$60,0)),IF(INDEX('Parametri Modello'!$E$57:$E$60,MATCH($B180,'Parametri Modello'!$A$57:$A$60,0))=0,0,($O180/INDEX('Parametri Modello'!$E$57:$E$60,MATCH($B180,'Parametri Modello'!$A$57:$A$60,0)))*(INDEX('Parametri Modello'!$D$57:$D$60,MATCH($B180,'Parametri Modello'!$A$57:$A$60,0))*(INDEX('Parametri Modello'!$B$50:$B$53,MATCH($B180,'Parametri Modello'!$A$50:$A$53,0))*'Parametri Modello'!$B$44))),IF(INDEX('Parametri Modello'!$F$57:$F$60,MATCH($B180,'Parametri Modello'!$A$57:$A$60,0))=0,0,($O180/INDEX('Parametri Modello'!$F$57:$F$60,MATCH($B180,'Parametri Modello'!$A$57:$A$60,0)))*((1-INDEX('Parametri Modello'!$D$57:$D$60,MATCH($B180,'Parametri Modello'!$A$57:$A$60,0)))*(INDEX('Parametri Modello'!$B$50:$B$53,MATCH($B180,'Parametri Modello'!$A$50:$A$53,0))*'Parametri Modello'!$B$44))))*(1+IF(IF($B180="D",'Info Lega'!$B$25,IF($B180="C",'Info Lega'!$B$26,"No"))="Si",'Parametri Modello'!$B$5,0))*(1+MAX(-0.25,MIN(0.25,IF(OR($T180="",$I180="",$I180=0,INDEX('Parametri Modello'!$B$19:$B$22,MATCH($B180,'Parametri Modello'!$A$19:$A$22,0))="",INDEX('Parametri Modello'!$B$19:$B$22,MATCH($B180,'Parametri Modello'!$A$19:$A$22,0))=0),0,(($T180-INDEX('Parametri Modello'!$B$19:$B$22,MATCH($B180,'Parametri Modello'!$A$19:$A$22,0)))/INDEX('Parametri Modello'!$B$19:$B$22,MATCH($B180,'Parametri Modello'!$A$19:$A$22,0)))*'Parametri Modello'!$B$9))))*(1+IF('Parametri Modello'!$B$27="Si",MAX(-'Parametri Modello'!$B$28,MIN('Parametri Modello'!$B$28*1.5,IF(OR(INDEX('Parametri Modello'!$F$32:$F$35,MATCH($B180,'Parametri Modello'!$A$32:$A$35,0))="",INDEX('Parametri Modello'!$F$32:$F$35,MATCH($B180,'Parametri Modello'!$A$32:$A$35,0))=0),0,(1/INDEX('Parametri Modello'!$F$32:$F$35,MATCH($B180,'Parametri Modello'!$A$32:$A$35,0))-1)*'Parametri Modello'!$B$28))),0)))*(1+INDEX('Parametri Modello'!$B$12:$B$15,MATCH($B180,'Parametri Modello'!$A$12:$A$15,0))),0),"")</f>
        <v>7</v>
      </c>
      <c r="I180" s="23">
        <f>IFERROR(INDEX('Input Statistiche 2025_26'!$F$3:$F$665,MATCH($A180,'Input Statistiche 2025_26'!$A$3:$A$665,0)),"")</f>
        <v>16</v>
      </c>
      <c r="J180" s="23">
        <f t="shared" si="18"/>
        <v>22</v>
      </c>
      <c r="K180" s="23">
        <f>IFERROR(INDEX('Input Statistiche 2025_26'!$I$3:$I$665,MATCH($A180,'Input Statistiche 2025_26'!$A$3:$A$665,0)),"")</f>
        <v>0</v>
      </c>
      <c r="L180" s="23">
        <f>IFERROR(INDEX('Input Statistiche 2025_26'!$O$3:$O$665,MATCH($A180,'Input Statistiche 2025_26'!$A$3:$A$665,0)),"")</f>
        <v>0</v>
      </c>
      <c r="M180" s="25"/>
      <c r="N180" s="24">
        <f>IFERROR(INDEX('Input Giocatori 2026_27'!$E$3:$E$493,MATCH($A180,'Input Giocatori 2026_27'!$A$3:$A$493,0)),"")</f>
        <v>8</v>
      </c>
      <c r="O180" s="24">
        <f>IFERROR(INDEX('Input Giocatori 2026_27'!$G$3:$G$493,MATCH($A180,'Input Giocatori 2026_27'!$A$3:$A$493,0)),"")</f>
        <v>18</v>
      </c>
      <c r="P180" s="23" t="str">
        <f>IFERROR(IF($O180="","",IF((1-(COUNTIFS($B$2:$B$492,$B180,$O$2:$O$492,"&gt;"&amp;$O180)+1-1)/COUNTIF($B$2:$B$492,$B180))&gt;='Parametri Modello'!$B$63,"Top",IF((1-(COUNTIFS($B$2:$B$492,$B180,$O$2:$O$492,"&gt;"&amp;$O180)+1-1)/COUNTIF($B$2:$B$492,$B180))&gt;='Parametri Modello'!$B$64,"Buono",IF((1-(COUNTIFS($B$2:$B$492,$B180,$O$2:$O$492,"&gt;"&amp;$O180)+1-1)/COUNTIF($B$2:$B$492,$B180))&gt;='Parametri Modello'!$B$65,"Nella Media","Scommessa/Riserva")))),"")</f>
        <v>Buono</v>
      </c>
      <c r="Q180" s="26">
        <f>IF(AND($D180="",$N180&gt;1),SUMPRODUCT(($D$2:$D180="")*($N$2:$N180&gt;1)),"")</f>
        <v>179</v>
      </c>
      <c r="R180" s="26" t="str">
        <f>IF($D180='Info Lega'!$B$28,COUNTIFS($D$2:$D180,'Info Lega'!$B$28),"")</f>
        <v/>
      </c>
      <c r="S180" s="27">
        <f>IFERROR(INDEX('Input Statistiche 2025_26'!$G$3:$G$665,MATCH($A180,'Input Statistiche 2025_26'!$A$3:$A$665,0)),"")</f>
        <v>6.06</v>
      </c>
      <c r="T180" s="27">
        <f>IFERROR(INDEX('Input Statistiche 2025_26'!$H$3:$H$665,MATCH($A180,'Input Statistiche 2025_26'!$A$3:$A$665,0)),"")</f>
        <v>4.78</v>
      </c>
      <c r="U180" s="23" t="str">
        <f>IF(OR('La Mia Rosa'!$O$12="",$D180&lt;&gt;""),"",IF($F180&lt;='La Mia Rosa'!$O$12*'Parametri Modello'!$B$24,"OK",IF($F180&lt;='La Mia Rosa'!$O$12*'Parametri Modello'!$B$25,"Attenzione","Rischio Alto")))</f>
        <v>OK</v>
      </c>
      <c r="V180" s="23">
        <f t="shared" si="19"/>
        <v>15</v>
      </c>
      <c r="W180" s="18">
        <f>'Info Lega'!$B$4-SUMIFS($M$2:$M$492,$D$2:$D$492,'Info Lega'!$B$28)</f>
        <v>1000</v>
      </c>
      <c r="X180" s="18">
        <f>('Info Lega'!$B$5-COUNTIFS($D$2:$D$492,'Info Lega'!$B$28,$B$2:$B$492,"P"))+('Info Lega'!$B$6-COUNTIFS($D$2:$D$492,'Info Lega'!$B$28,$B$2:$B$492,"D"))+('Info Lega'!$B$7-COUNTIFS($D$2:$D$492,'Info Lega'!$B$28,$B$2:$B$492,"C"))+('Info Lega'!$B$8-COUNTIFS($D$2:$D$492,'Info Lega'!$B$28,$B$2:$B$492,"A"))</f>
        <v>25</v>
      </c>
      <c r="Y180" s="18">
        <f>X180*'Parametri Modello'!$B$30</f>
        <v>25</v>
      </c>
      <c r="Z180" s="18">
        <f t="shared" si="20"/>
        <v>975</v>
      </c>
      <c r="AA180" s="18">
        <f t="shared" si="21"/>
        <v>6</v>
      </c>
      <c r="AB180" s="18"/>
      <c r="AC180" s="18" t="str">
        <f>IF($AB180="","",IF($AB180&gt;$AA180,"PASS",IF($AB180&lt;=$AA180*(1-'Parametri Modello'!$B$68),"BID","ATTENZIONE")))</f>
        <v/>
      </c>
      <c r="AD180" s="28">
        <f t="shared" si="22"/>
        <v>41</v>
      </c>
      <c r="AE180" s="5" t="str">
        <f>IFERROR(INDEX('Stato Asta'!$G$9:$G$12,MATCH($B180,'Stato Asta'!$A$9:$A$12,0)),"")</f>
        <v>🔴 Non aspettare</v>
      </c>
      <c r="AF180" t="str">
        <f>IFERROR(IF($V180&lt;=INDEX('Parametri Modello'!$C$57:$C$60,MATCH($B180,'Parametri Modello'!$A$57:$A$60,0)),"Titolare","Riserva"),"")</f>
        <v>Riserva</v>
      </c>
      <c r="AG180" t="str">
        <f>IFERROR(INDEX('Pressione Competitiva'!$F$3:$F$6,MATCH($B180,'Pressione Competitiva'!$B$3:$B$6,0)),"")</f>
        <v>🔴 Molto Alta</v>
      </c>
      <c r="AH180" t="str">
        <f t="shared" si="23"/>
        <v/>
      </c>
      <c r="AI180" t="str">
        <f>IFERROR(IF($AH180="","",IF($AH180&gt;=$AA180*'Parametri Modello'!$B$68,"🟢 Opportunita'",IF($AH180&lt;=$AA180*'Parametri Modello'!$B$69,"🔴 Sovrapprezzo","🟡 Prezzo Corretto"))),"")</f>
        <v/>
      </c>
      <c r="AJ180" t="str">
        <f t="shared" si="24"/>
        <v/>
      </c>
      <c r="AK180">
        <f t="shared" si="25"/>
        <v>8</v>
      </c>
      <c r="AL180" t="str">
        <f t="shared" si="26"/>
        <v>P|Buono|8</v>
      </c>
    </row>
    <row r="181" spans="1:38" ht="14.25" customHeight="1" x14ac:dyDescent="0.25">
      <c r="A181" s="18">
        <v>6042</v>
      </c>
      <c r="B181" s="18" t="s">
        <v>16</v>
      </c>
      <c r="C181" s="18" t="s">
        <v>320</v>
      </c>
      <c r="E181" s="23" t="str">
        <f>IF(COUNTIF('Info Strategia'!$D$2:$D$51,$C181)&gt;0,"SI","NO")</f>
        <v>NO</v>
      </c>
      <c r="F181" s="24">
        <f>IFERROR(ROUND(($G181+($H181-$G181)*'Info Strategia'!$B$6)*(1+IF($E181="SI",'Parametri Modello'!$B$7*'Info Strategia'!$B$6,0)),0),"")</f>
        <v>3</v>
      </c>
      <c r="G181" s="24">
        <f>IFERROR(ROUND(MAX(1,(IF($V181&lt;=INDEX('Parametri Modello'!$C$57:$C$60,MATCH($B181,'Parametri Modello'!$A$57:$A$60,0)),IF(INDEX('Parametri Modello'!$E$57:$E$60,MATCH($B181,'Parametri Modello'!$A$57:$A$60,0))=0,0,($O181/INDEX('Parametri Modello'!$E$57:$E$60,MATCH($B181,'Parametri Modello'!$A$57:$A$60,0)))*(INDEX('Parametri Modello'!$D$57:$D$60,MATCH($B181,'Parametri Modello'!$A$57:$A$60,0))*(INDEX('Parametri Modello'!$B$50:$B$53,MATCH($B181,'Parametri Modello'!$A$50:$A$53,0))*'Parametri Modello'!$B$44))),IF(INDEX('Parametri Modello'!$F$57:$F$60,MATCH($B181,'Parametri Modello'!$A$57:$A$60,0))=0,0,($O181/INDEX('Parametri Modello'!$F$57:$F$60,MATCH($B181,'Parametri Modello'!$A$57:$A$60,0)))*((1-INDEX('Parametri Modello'!$D$57:$D$60,MATCH($B181,'Parametri Modello'!$A$57:$A$60,0)))*(INDEX('Parametri Modello'!$B$50:$B$53,MATCH($B181,'Parametri Modello'!$A$50:$A$53,0))*'Parametri Modello'!$B$44))))*(1+IF(IF($B181="D",'Info Lega'!$B$25,IF($B181="C",'Info Lega'!$B$26,"No"))="Si",'Parametri Modello'!$B$5,0))*(1+MAX(-0.25,MIN(0.25,IF(OR($T181="",$I181="",$I181=0,INDEX('Parametri Modello'!$B$19:$B$22,MATCH($B181,'Parametri Modello'!$A$19:$A$22,0))="",INDEX('Parametri Modello'!$B$19:$B$22,MATCH($B181,'Parametri Modello'!$A$19:$A$22,0))=0),0,(($T181-INDEX('Parametri Modello'!$B$19:$B$22,MATCH($B181,'Parametri Modello'!$A$19:$A$22,0)))/INDEX('Parametri Modello'!$B$19:$B$22,MATCH($B181,'Parametri Modello'!$A$19:$A$22,0)))*'Parametri Modello'!$B$9))))*(1+IF('Parametri Modello'!$B$27="Si",MAX(-'Parametri Modello'!$B$28,MIN('Parametri Modello'!$B$28*1.5,IF(OR(INDEX('Parametri Modello'!$F$32:$F$35,MATCH($B181,'Parametri Modello'!$A$32:$A$35,0))="",INDEX('Parametri Modello'!$F$32:$F$35,MATCH($B181,'Parametri Modello'!$A$32:$A$35,0))=0),0,(1/INDEX('Parametri Modello'!$F$32:$F$35,MATCH($B181,'Parametri Modello'!$A$32:$A$35,0))-1)*'Parametri Modello'!$B$28))),0)))*(1-INDEX('Parametri Modello'!$B$12:$B$15,MATCH($B181,'Parametri Modello'!$A$12:$A$15,0)))),0),"")</f>
        <v>2</v>
      </c>
      <c r="H181" s="24">
        <f>IFERROR(ROUND((IF($V181&lt;=INDEX('Parametri Modello'!$C$57:$C$60,MATCH($B181,'Parametri Modello'!$A$57:$A$60,0)),IF(INDEX('Parametri Modello'!$E$57:$E$60,MATCH($B181,'Parametri Modello'!$A$57:$A$60,0))=0,0,($O181/INDEX('Parametri Modello'!$E$57:$E$60,MATCH($B181,'Parametri Modello'!$A$57:$A$60,0)))*(INDEX('Parametri Modello'!$D$57:$D$60,MATCH($B181,'Parametri Modello'!$A$57:$A$60,0))*(INDEX('Parametri Modello'!$B$50:$B$53,MATCH($B181,'Parametri Modello'!$A$50:$A$53,0))*'Parametri Modello'!$B$44))),IF(INDEX('Parametri Modello'!$F$57:$F$60,MATCH($B181,'Parametri Modello'!$A$57:$A$60,0))=0,0,($O181/INDEX('Parametri Modello'!$F$57:$F$60,MATCH($B181,'Parametri Modello'!$A$57:$A$60,0)))*((1-INDEX('Parametri Modello'!$D$57:$D$60,MATCH($B181,'Parametri Modello'!$A$57:$A$60,0)))*(INDEX('Parametri Modello'!$B$50:$B$53,MATCH($B181,'Parametri Modello'!$A$50:$A$53,0))*'Parametri Modello'!$B$44))))*(1+IF(IF($B181="D",'Info Lega'!$B$25,IF($B181="C",'Info Lega'!$B$26,"No"))="Si",'Parametri Modello'!$B$5,0))*(1+MAX(-0.25,MIN(0.25,IF(OR($T181="",$I181="",$I181=0,INDEX('Parametri Modello'!$B$19:$B$22,MATCH($B181,'Parametri Modello'!$A$19:$A$22,0))="",INDEX('Parametri Modello'!$B$19:$B$22,MATCH($B181,'Parametri Modello'!$A$19:$A$22,0))=0),0,(($T181-INDEX('Parametri Modello'!$B$19:$B$22,MATCH($B181,'Parametri Modello'!$A$19:$A$22,0)))/INDEX('Parametri Modello'!$B$19:$B$22,MATCH($B181,'Parametri Modello'!$A$19:$A$22,0)))*'Parametri Modello'!$B$9))))*(1+IF('Parametri Modello'!$B$27="Si",MAX(-'Parametri Modello'!$B$28,MIN('Parametri Modello'!$B$28*1.5,IF(OR(INDEX('Parametri Modello'!$F$32:$F$35,MATCH($B181,'Parametri Modello'!$A$32:$A$35,0))="",INDEX('Parametri Modello'!$F$32:$F$35,MATCH($B181,'Parametri Modello'!$A$32:$A$35,0))=0),0,(1/INDEX('Parametri Modello'!$F$32:$F$35,MATCH($B181,'Parametri Modello'!$A$32:$A$35,0))-1)*'Parametri Modello'!$B$28))),0)))*(1+INDEX('Parametri Modello'!$B$12:$B$15,MATCH($B181,'Parametri Modello'!$A$12:$A$15,0))),0),"")</f>
        <v>4</v>
      </c>
      <c r="I181" s="23">
        <f>IFERROR(INDEX('Input Statistiche 2025_26'!$F$3:$F$665,MATCH($A181,'Input Statistiche 2025_26'!$A$3:$A$665,0)),"")</f>
        <v>28</v>
      </c>
      <c r="J181" s="23">
        <f t="shared" si="18"/>
        <v>10</v>
      </c>
      <c r="K181" s="23">
        <f>IFERROR(INDEX('Input Statistiche 2025_26'!$I$3:$I$665,MATCH($A181,'Input Statistiche 2025_26'!$A$3:$A$665,0)),"")</f>
        <v>1</v>
      </c>
      <c r="L181" s="23">
        <f>IFERROR(INDEX('Input Statistiche 2025_26'!$O$3:$O$665,MATCH($A181,'Input Statistiche 2025_26'!$A$3:$A$665,0)),"")</f>
        <v>0</v>
      </c>
      <c r="M181" s="25"/>
      <c r="N181" s="24">
        <f>IFERROR(INDEX('Input Giocatori 2026_27'!$E$3:$E$493,MATCH($A181,'Input Giocatori 2026_27'!$A$3:$A$493,0)),"")</f>
        <v>8</v>
      </c>
      <c r="O181" s="24">
        <f>IFERROR(INDEX('Input Giocatori 2026_27'!$G$3:$G$493,MATCH($A181,'Input Giocatori 2026_27'!$A$3:$A$493,0)),"")</f>
        <v>18</v>
      </c>
      <c r="P181" s="23" t="str">
        <f>IFERROR(IF($O181="","",IF((1-(COUNTIFS($B$2:$B$492,$B181,$O$2:$O$492,"&gt;"&amp;$O181)+1-1)/COUNTIF($B$2:$B$492,$B181))&gt;='Parametri Modello'!$B$63,"Top",IF((1-(COUNTIFS($B$2:$B$492,$B181,$O$2:$O$492,"&gt;"&amp;$O181)+1-1)/COUNTIF($B$2:$B$492,$B181))&gt;='Parametri Modello'!$B$64,"Buono",IF((1-(COUNTIFS($B$2:$B$492,$B181,$O$2:$O$492,"&gt;"&amp;$O181)+1-1)/COUNTIF($B$2:$B$492,$B181))&gt;='Parametri Modello'!$B$65,"Nella Media","Scommessa/Riserva")))),"")</f>
        <v>Buono</v>
      </c>
      <c r="Q181" s="26">
        <f>IF(AND($D181="",$N181&gt;1),SUMPRODUCT(($D$2:$D181="")*($N$2:$N181&gt;1)),"")</f>
        <v>180</v>
      </c>
      <c r="R181" s="26" t="str">
        <f>IF($D181='Info Lega'!$B$28,COUNTIFS($D$2:$D181,'Info Lega'!$B$28),"")</f>
        <v/>
      </c>
      <c r="S181" s="27">
        <f>IFERROR(INDEX('Input Statistiche 2025_26'!$G$3:$G$665,MATCH($A181,'Input Statistiche 2025_26'!$A$3:$A$665,0)),"")</f>
        <v>5.88</v>
      </c>
      <c r="T181" s="27">
        <f>IFERROR(INDEX('Input Statistiche 2025_26'!$H$3:$H$665,MATCH($A181,'Input Statistiche 2025_26'!$A$3:$A$665,0)),"")</f>
        <v>5.89</v>
      </c>
      <c r="U181" s="23" t="str">
        <f>IF(OR('La Mia Rosa'!$O$12="",$D181&lt;&gt;""),"",IF($F181&lt;='La Mia Rosa'!$O$12*'Parametri Modello'!$B$24,"OK",IF($F181&lt;='La Mia Rosa'!$O$12*'Parametri Modello'!$B$25,"Attenzione","Rischio Alto")))</f>
        <v>OK</v>
      </c>
      <c r="V181" s="23">
        <f t="shared" si="19"/>
        <v>45</v>
      </c>
      <c r="W181" s="18">
        <f>'Info Lega'!$B$4-SUMIFS($M$2:$M$492,$D$2:$D$492,'Info Lega'!$B$28)</f>
        <v>1000</v>
      </c>
      <c r="X181" s="18">
        <f>('Info Lega'!$B$5-COUNTIFS($D$2:$D$492,'Info Lega'!$B$28,$B$2:$B$492,"P"))+('Info Lega'!$B$6-COUNTIFS($D$2:$D$492,'Info Lega'!$B$28,$B$2:$B$492,"D"))+('Info Lega'!$B$7-COUNTIFS($D$2:$D$492,'Info Lega'!$B$28,$B$2:$B$492,"C"))+('Info Lega'!$B$8-COUNTIFS($D$2:$D$492,'Info Lega'!$B$28,$B$2:$B$492,"A"))</f>
        <v>25</v>
      </c>
      <c r="Y181" s="18">
        <f>X181*'Parametri Modello'!$B$30</f>
        <v>25</v>
      </c>
      <c r="Z181" s="18">
        <f t="shared" si="20"/>
        <v>975</v>
      </c>
      <c r="AA181" s="18">
        <f t="shared" si="21"/>
        <v>3</v>
      </c>
      <c r="AB181" s="18"/>
      <c r="AC181" s="18" t="str">
        <f>IF($AB181="","",IF($AB181&gt;$AA181,"PASS",IF($AB181&lt;=$AA181*(1-'Parametri Modello'!$B$68),"BID","ATTENZIONE")))</f>
        <v/>
      </c>
      <c r="AD181" s="28">
        <f t="shared" si="22"/>
        <v>61</v>
      </c>
      <c r="AE181" s="5" t="str">
        <f>IFERROR(INDEX('Stato Asta'!$G$9:$G$12,MATCH($B181,'Stato Asta'!$A$9:$A$12,0)),"")</f>
        <v>🔴 Non aspettare</v>
      </c>
      <c r="AF181" t="str">
        <f>IFERROR(IF($V181&lt;=INDEX('Parametri Modello'!$C$57:$C$60,MATCH($B181,'Parametri Modello'!$A$57:$A$60,0)),"Titolare","Riserva"),"")</f>
        <v>Riserva</v>
      </c>
      <c r="AG181" t="str">
        <f>IFERROR(INDEX('Pressione Competitiva'!$F$3:$F$6,MATCH($B181,'Pressione Competitiva'!$B$3:$B$6,0)),"")</f>
        <v>🔴 Molto Alta</v>
      </c>
      <c r="AH181" t="str">
        <f t="shared" si="23"/>
        <v/>
      </c>
      <c r="AI181" t="str">
        <f>IFERROR(IF($AH181="","",IF($AH181&gt;=$AA181*'Parametri Modello'!$B$68,"🟢 Opportunita'",IF($AH181&lt;=$AA181*'Parametri Modello'!$B$69,"🔴 Sovrapprezzo","🟡 Prezzo Corretto"))),"")</f>
        <v/>
      </c>
      <c r="AJ181" t="str">
        <f t="shared" si="24"/>
        <v/>
      </c>
      <c r="AK181">
        <f t="shared" si="25"/>
        <v>27</v>
      </c>
      <c r="AL181" t="str">
        <f t="shared" si="26"/>
        <v>D|Buono|27</v>
      </c>
    </row>
    <row r="182" spans="1:38" ht="14.25" customHeight="1" x14ac:dyDescent="0.25">
      <c r="A182" s="18">
        <v>2724</v>
      </c>
      <c r="B182" s="18" t="s">
        <v>16</v>
      </c>
      <c r="C182" s="18" t="s">
        <v>321</v>
      </c>
      <c r="E182" s="23" t="str">
        <f>IF(COUNTIF('Info Strategia'!$D$2:$D$51,$C182)&gt;0,"SI","NO")</f>
        <v>NO</v>
      </c>
      <c r="F182" s="24">
        <f>IFERROR(ROUND(($G182+($H182-$G182)*'Info Strategia'!$B$6)*(1+IF($E182="SI",'Parametri Modello'!$B$7*'Info Strategia'!$B$6,0)),0),"")</f>
        <v>3</v>
      </c>
      <c r="G182" s="24">
        <f>IFERROR(ROUND(MAX(1,(IF($V182&lt;=INDEX('Parametri Modello'!$C$57:$C$60,MATCH($B182,'Parametri Modello'!$A$57:$A$60,0)),IF(INDEX('Parametri Modello'!$E$57:$E$60,MATCH($B182,'Parametri Modello'!$A$57:$A$60,0))=0,0,($O182/INDEX('Parametri Modello'!$E$57:$E$60,MATCH($B182,'Parametri Modello'!$A$57:$A$60,0)))*(INDEX('Parametri Modello'!$D$57:$D$60,MATCH($B182,'Parametri Modello'!$A$57:$A$60,0))*(INDEX('Parametri Modello'!$B$50:$B$53,MATCH($B182,'Parametri Modello'!$A$50:$A$53,0))*'Parametri Modello'!$B$44))),IF(INDEX('Parametri Modello'!$F$57:$F$60,MATCH($B182,'Parametri Modello'!$A$57:$A$60,0))=0,0,($O182/INDEX('Parametri Modello'!$F$57:$F$60,MATCH($B182,'Parametri Modello'!$A$57:$A$60,0)))*((1-INDEX('Parametri Modello'!$D$57:$D$60,MATCH($B182,'Parametri Modello'!$A$57:$A$60,0)))*(INDEX('Parametri Modello'!$B$50:$B$53,MATCH($B182,'Parametri Modello'!$A$50:$A$53,0))*'Parametri Modello'!$B$44))))*(1+IF(IF($B182="D",'Info Lega'!$B$25,IF($B182="C",'Info Lega'!$B$26,"No"))="Si",'Parametri Modello'!$B$5,0))*(1+MAX(-0.25,MIN(0.25,IF(OR($T182="",$I182="",$I182=0,INDEX('Parametri Modello'!$B$19:$B$22,MATCH($B182,'Parametri Modello'!$A$19:$A$22,0))="",INDEX('Parametri Modello'!$B$19:$B$22,MATCH($B182,'Parametri Modello'!$A$19:$A$22,0))=0),0,(($T182-INDEX('Parametri Modello'!$B$19:$B$22,MATCH($B182,'Parametri Modello'!$A$19:$A$22,0)))/INDEX('Parametri Modello'!$B$19:$B$22,MATCH($B182,'Parametri Modello'!$A$19:$A$22,0)))*'Parametri Modello'!$B$9))))*(1+IF('Parametri Modello'!$B$27="Si",MAX(-'Parametri Modello'!$B$28,MIN('Parametri Modello'!$B$28*1.5,IF(OR(INDEX('Parametri Modello'!$F$32:$F$35,MATCH($B182,'Parametri Modello'!$A$32:$A$35,0))="",INDEX('Parametri Modello'!$F$32:$F$35,MATCH($B182,'Parametri Modello'!$A$32:$A$35,0))=0),0,(1/INDEX('Parametri Modello'!$F$32:$F$35,MATCH($B182,'Parametri Modello'!$A$32:$A$35,0))-1)*'Parametri Modello'!$B$28))),0)))*(1-INDEX('Parametri Modello'!$B$12:$B$15,MATCH($B182,'Parametri Modello'!$A$12:$A$15,0)))),0),"")</f>
        <v>2</v>
      </c>
      <c r="H182" s="24">
        <f>IFERROR(ROUND((IF($V182&lt;=INDEX('Parametri Modello'!$C$57:$C$60,MATCH($B182,'Parametri Modello'!$A$57:$A$60,0)),IF(INDEX('Parametri Modello'!$E$57:$E$60,MATCH($B182,'Parametri Modello'!$A$57:$A$60,0))=0,0,($O182/INDEX('Parametri Modello'!$E$57:$E$60,MATCH($B182,'Parametri Modello'!$A$57:$A$60,0)))*(INDEX('Parametri Modello'!$D$57:$D$60,MATCH($B182,'Parametri Modello'!$A$57:$A$60,0))*(INDEX('Parametri Modello'!$B$50:$B$53,MATCH($B182,'Parametri Modello'!$A$50:$A$53,0))*'Parametri Modello'!$B$44))),IF(INDEX('Parametri Modello'!$F$57:$F$60,MATCH($B182,'Parametri Modello'!$A$57:$A$60,0))=0,0,($O182/INDEX('Parametri Modello'!$F$57:$F$60,MATCH($B182,'Parametri Modello'!$A$57:$A$60,0)))*((1-INDEX('Parametri Modello'!$D$57:$D$60,MATCH($B182,'Parametri Modello'!$A$57:$A$60,0)))*(INDEX('Parametri Modello'!$B$50:$B$53,MATCH($B182,'Parametri Modello'!$A$50:$A$53,0))*'Parametri Modello'!$B$44))))*(1+IF(IF($B182="D",'Info Lega'!$B$25,IF($B182="C",'Info Lega'!$B$26,"No"))="Si",'Parametri Modello'!$B$5,0))*(1+MAX(-0.25,MIN(0.25,IF(OR($T182="",$I182="",$I182=0,INDEX('Parametri Modello'!$B$19:$B$22,MATCH($B182,'Parametri Modello'!$A$19:$A$22,0))="",INDEX('Parametri Modello'!$B$19:$B$22,MATCH($B182,'Parametri Modello'!$A$19:$A$22,0))=0),0,(($T182-INDEX('Parametri Modello'!$B$19:$B$22,MATCH($B182,'Parametri Modello'!$A$19:$A$22,0)))/INDEX('Parametri Modello'!$B$19:$B$22,MATCH($B182,'Parametri Modello'!$A$19:$A$22,0)))*'Parametri Modello'!$B$9))))*(1+IF('Parametri Modello'!$B$27="Si",MAX(-'Parametri Modello'!$B$28,MIN('Parametri Modello'!$B$28*1.5,IF(OR(INDEX('Parametri Modello'!$F$32:$F$35,MATCH($B182,'Parametri Modello'!$A$32:$A$35,0))="",INDEX('Parametri Modello'!$F$32:$F$35,MATCH($B182,'Parametri Modello'!$A$32:$A$35,0))=0),0,(1/INDEX('Parametri Modello'!$F$32:$F$35,MATCH($B182,'Parametri Modello'!$A$32:$A$35,0))-1)*'Parametri Modello'!$B$28))),0)))*(1+INDEX('Parametri Modello'!$B$12:$B$15,MATCH($B182,'Parametri Modello'!$A$12:$A$15,0))),0),"")</f>
        <v>4</v>
      </c>
      <c r="I182" s="23">
        <f>IFERROR(INDEX('Input Statistiche 2025_26'!$F$3:$F$665,MATCH($A182,'Input Statistiche 2025_26'!$A$3:$A$665,0)),"")</f>
        <v>32</v>
      </c>
      <c r="J182" s="23">
        <f t="shared" si="18"/>
        <v>6</v>
      </c>
      <c r="K182" s="23">
        <f>IFERROR(INDEX('Input Statistiche 2025_26'!$I$3:$I$665,MATCH($A182,'Input Statistiche 2025_26'!$A$3:$A$665,0)),"")</f>
        <v>0</v>
      </c>
      <c r="L182" s="23">
        <f>IFERROR(INDEX('Input Statistiche 2025_26'!$O$3:$O$665,MATCH($A182,'Input Statistiche 2025_26'!$A$3:$A$665,0)),"")</f>
        <v>1</v>
      </c>
      <c r="M182" s="25"/>
      <c r="N182" s="24">
        <f>IFERROR(INDEX('Input Giocatori 2026_27'!$E$3:$E$493,MATCH($A182,'Input Giocatori 2026_27'!$A$3:$A$493,0)),"")</f>
        <v>7</v>
      </c>
      <c r="O182" s="24">
        <f>IFERROR(INDEX('Input Giocatori 2026_27'!$G$3:$G$493,MATCH($A182,'Input Giocatori 2026_27'!$A$3:$A$493,0)),"")</f>
        <v>18</v>
      </c>
      <c r="P182" s="23" t="str">
        <f>IFERROR(IF($O182="","",IF((1-(COUNTIFS($B$2:$B$492,$B182,$O$2:$O$492,"&gt;"&amp;$O182)+1-1)/COUNTIF($B$2:$B$492,$B182))&gt;='Parametri Modello'!$B$63,"Top",IF((1-(COUNTIFS($B$2:$B$492,$B182,$O$2:$O$492,"&gt;"&amp;$O182)+1-1)/COUNTIF($B$2:$B$492,$B182))&gt;='Parametri Modello'!$B$64,"Buono",IF((1-(COUNTIFS($B$2:$B$492,$B182,$O$2:$O$492,"&gt;"&amp;$O182)+1-1)/COUNTIF($B$2:$B$492,$B182))&gt;='Parametri Modello'!$B$65,"Nella Media","Scommessa/Riserva")))),"")</f>
        <v>Buono</v>
      </c>
      <c r="Q182" s="26">
        <f>IF(AND($D182="",$N182&gt;1),SUMPRODUCT(($D$2:$D182="")*($N$2:$N182&gt;1)),"")</f>
        <v>181</v>
      </c>
      <c r="R182" s="26" t="str">
        <f>IF($D182='Info Lega'!$B$28,COUNTIFS($D$2:$D182,'Info Lega'!$B$28),"")</f>
        <v/>
      </c>
      <c r="S182" s="27">
        <f>IFERROR(INDEX('Input Statistiche 2025_26'!$G$3:$G$665,MATCH($A182,'Input Statistiche 2025_26'!$A$3:$A$665,0)),"")</f>
        <v>5.89</v>
      </c>
      <c r="T182" s="27">
        <f>IFERROR(INDEX('Input Statistiche 2025_26'!$H$3:$H$665,MATCH($A182,'Input Statistiche 2025_26'!$A$3:$A$665,0)),"")</f>
        <v>5.88</v>
      </c>
      <c r="U182" s="23" t="str">
        <f>IF(OR('La Mia Rosa'!$O$12="",$D182&lt;&gt;""),"",IF($F182&lt;='La Mia Rosa'!$O$12*'Parametri Modello'!$B$24,"OK",IF($F182&lt;='La Mia Rosa'!$O$12*'Parametri Modello'!$B$25,"Attenzione","Rischio Alto")))</f>
        <v>OK</v>
      </c>
      <c r="V182" s="23">
        <f t="shared" si="19"/>
        <v>45</v>
      </c>
      <c r="W182" s="18">
        <f>'Info Lega'!$B$4-SUMIFS($M$2:$M$492,$D$2:$D$492,'Info Lega'!$B$28)</f>
        <v>1000</v>
      </c>
      <c r="X182" s="18">
        <f>('Info Lega'!$B$5-COUNTIFS($D$2:$D$492,'Info Lega'!$B$28,$B$2:$B$492,"P"))+('Info Lega'!$B$6-COUNTIFS($D$2:$D$492,'Info Lega'!$B$28,$B$2:$B$492,"D"))+('Info Lega'!$B$7-COUNTIFS($D$2:$D$492,'Info Lega'!$B$28,$B$2:$B$492,"C"))+('Info Lega'!$B$8-COUNTIFS($D$2:$D$492,'Info Lega'!$B$28,$B$2:$B$492,"A"))</f>
        <v>25</v>
      </c>
      <c r="Y182" s="18">
        <f>X182*'Parametri Modello'!$B$30</f>
        <v>25</v>
      </c>
      <c r="Z182" s="18">
        <f t="shared" si="20"/>
        <v>975</v>
      </c>
      <c r="AA182" s="18">
        <f t="shared" si="21"/>
        <v>3</v>
      </c>
      <c r="AB182" s="18"/>
      <c r="AC182" s="18" t="str">
        <f>IF($AB182="","",IF($AB182&gt;$AA182,"PASS",IF($AB182&lt;=$AA182*(1-'Parametri Modello'!$B$68),"BID","ATTENZIONE")))</f>
        <v/>
      </c>
      <c r="AD182" s="28">
        <f t="shared" si="22"/>
        <v>66</v>
      </c>
      <c r="AE182" s="5" t="str">
        <f>IFERROR(INDEX('Stato Asta'!$G$9:$G$12,MATCH($B182,'Stato Asta'!$A$9:$A$12,0)),"")</f>
        <v>🔴 Non aspettare</v>
      </c>
      <c r="AF182" t="str">
        <f>IFERROR(IF($V182&lt;=INDEX('Parametri Modello'!$C$57:$C$60,MATCH($B182,'Parametri Modello'!$A$57:$A$60,0)),"Titolare","Riserva"),"")</f>
        <v>Riserva</v>
      </c>
      <c r="AG182" t="str">
        <f>IFERROR(INDEX('Pressione Competitiva'!$F$3:$F$6,MATCH($B182,'Pressione Competitiva'!$B$3:$B$6,0)),"")</f>
        <v>🔴 Molto Alta</v>
      </c>
      <c r="AH182" t="str">
        <f t="shared" si="23"/>
        <v/>
      </c>
      <c r="AI182" t="str">
        <f>IFERROR(IF($AH182="","",IF($AH182&gt;=$AA182*'Parametri Modello'!$B$68,"🟢 Opportunita'",IF($AH182&lt;=$AA182*'Parametri Modello'!$B$69,"🔴 Sovrapprezzo","🟡 Prezzo Corretto"))),"")</f>
        <v/>
      </c>
      <c r="AJ182" t="str">
        <f t="shared" si="24"/>
        <v/>
      </c>
      <c r="AK182">
        <f t="shared" si="25"/>
        <v>27</v>
      </c>
      <c r="AL182" t="str">
        <f t="shared" si="26"/>
        <v>D|Buono|27</v>
      </c>
    </row>
    <row r="183" spans="1:38" ht="14.25" customHeight="1" x14ac:dyDescent="0.25">
      <c r="A183" s="18">
        <v>6642</v>
      </c>
      <c r="B183" s="18" t="s">
        <v>16</v>
      </c>
      <c r="C183" s="18" t="s">
        <v>322</v>
      </c>
      <c r="E183" s="23" t="str">
        <f>IF(COUNTIF('Info Strategia'!$D$2:$D$51,$C183)&gt;0,"SI","NO")</f>
        <v>NO</v>
      </c>
      <c r="F183" s="24">
        <f>IFERROR(ROUND(($G183+($H183-$G183)*'Info Strategia'!$B$6)*(1+IF($E183="SI",'Parametri Modello'!$B$7*'Info Strategia'!$B$6,0)),0),"")</f>
        <v>3</v>
      </c>
      <c r="G183" s="24">
        <f>IFERROR(ROUND(MAX(1,(IF($V183&lt;=INDEX('Parametri Modello'!$C$57:$C$60,MATCH($B183,'Parametri Modello'!$A$57:$A$60,0)),IF(INDEX('Parametri Modello'!$E$57:$E$60,MATCH($B183,'Parametri Modello'!$A$57:$A$60,0))=0,0,($O183/INDEX('Parametri Modello'!$E$57:$E$60,MATCH($B183,'Parametri Modello'!$A$57:$A$60,0)))*(INDEX('Parametri Modello'!$D$57:$D$60,MATCH($B183,'Parametri Modello'!$A$57:$A$60,0))*(INDEX('Parametri Modello'!$B$50:$B$53,MATCH($B183,'Parametri Modello'!$A$50:$A$53,0))*'Parametri Modello'!$B$44))),IF(INDEX('Parametri Modello'!$F$57:$F$60,MATCH($B183,'Parametri Modello'!$A$57:$A$60,0))=0,0,($O183/INDEX('Parametri Modello'!$F$57:$F$60,MATCH($B183,'Parametri Modello'!$A$57:$A$60,0)))*((1-INDEX('Parametri Modello'!$D$57:$D$60,MATCH($B183,'Parametri Modello'!$A$57:$A$60,0)))*(INDEX('Parametri Modello'!$B$50:$B$53,MATCH($B183,'Parametri Modello'!$A$50:$A$53,0))*'Parametri Modello'!$B$44))))*(1+IF(IF($B183="D",'Info Lega'!$B$25,IF($B183="C",'Info Lega'!$B$26,"No"))="Si",'Parametri Modello'!$B$5,0))*(1+MAX(-0.25,MIN(0.25,IF(OR($T183="",$I183="",$I183=0,INDEX('Parametri Modello'!$B$19:$B$22,MATCH($B183,'Parametri Modello'!$A$19:$A$22,0))="",INDEX('Parametri Modello'!$B$19:$B$22,MATCH($B183,'Parametri Modello'!$A$19:$A$22,0))=0),0,(($T183-INDEX('Parametri Modello'!$B$19:$B$22,MATCH($B183,'Parametri Modello'!$A$19:$A$22,0)))/INDEX('Parametri Modello'!$B$19:$B$22,MATCH($B183,'Parametri Modello'!$A$19:$A$22,0)))*'Parametri Modello'!$B$9))))*(1+IF('Parametri Modello'!$B$27="Si",MAX(-'Parametri Modello'!$B$28,MIN('Parametri Modello'!$B$28*1.5,IF(OR(INDEX('Parametri Modello'!$F$32:$F$35,MATCH($B183,'Parametri Modello'!$A$32:$A$35,0))="",INDEX('Parametri Modello'!$F$32:$F$35,MATCH($B183,'Parametri Modello'!$A$32:$A$35,0))=0),0,(1/INDEX('Parametri Modello'!$F$32:$F$35,MATCH($B183,'Parametri Modello'!$A$32:$A$35,0))-1)*'Parametri Modello'!$B$28))),0)))*(1-INDEX('Parametri Modello'!$B$12:$B$15,MATCH($B183,'Parametri Modello'!$A$12:$A$15,0)))),0),"")</f>
        <v>2</v>
      </c>
      <c r="H183" s="24">
        <f>IFERROR(ROUND((IF($V183&lt;=INDEX('Parametri Modello'!$C$57:$C$60,MATCH($B183,'Parametri Modello'!$A$57:$A$60,0)),IF(INDEX('Parametri Modello'!$E$57:$E$60,MATCH($B183,'Parametri Modello'!$A$57:$A$60,0))=0,0,($O183/INDEX('Parametri Modello'!$E$57:$E$60,MATCH($B183,'Parametri Modello'!$A$57:$A$60,0)))*(INDEX('Parametri Modello'!$D$57:$D$60,MATCH($B183,'Parametri Modello'!$A$57:$A$60,0))*(INDEX('Parametri Modello'!$B$50:$B$53,MATCH($B183,'Parametri Modello'!$A$50:$A$53,0))*'Parametri Modello'!$B$44))),IF(INDEX('Parametri Modello'!$F$57:$F$60,MATCH($B183,'Parametri Modello'!$A$57:$A$60,0))=0,0,($O183/INDEX('Parametri Modello'!$F$57:$F$60,MATCH($B183,'Parametri Modello'!$A$57:$A$60,0)))*((1-INDEX('Parametri Modello'!$D$57:$D$60,MATCH($B183,'Parametri Modello'!$A$57:$A$60,0)))*(INDEX('Parametri Modello'!$B$50:$B$53,MATCH($B183,'Parametri Modello'!$A$50:$A$53,0))*'Parametri Modello'!$B$44))))*(1+IF(IF($B183="D",'Info Lega'!$B$25,IF($B183="C",'Info Lega'!$B$26,"No"))="Si",'Parametri Modello'!$B$5,0))*(1+MAX(-0.25,MIN(0.25,IF(OR($T183="",$I183="",$I183=0,INDEX('Parametri Modello'!$B$19:$B$22,MATCH($B183,'Parametri Modello'!$A$19:$A$22,0))="",INDEX('Parametri Modello'!$B$19:$B$22,MATCH($B183,'Parametri Modello'!$A$19:$A$22,0))=0),0,(($T183-INDEX('Parametri Modello'!$B$19:$B$22,MATCH($B183,'Parametri Modello'!$A$19:$A$22,0)))/INDEX('Parametri Modello'!$B$19:$B$22,MATCH($B183,'Parametri Modello'!$A$19:$A$22,0)))*'Parametri Modello'!$B$9))))*(1+IF('Parametri Modello'!$B$27="Si",MAX(-'Parametri Modello'!$B$28,MIN('Parametri Modello'!$B$28*1.5,IF(OR(INDEX('Parametri Modello'!$F$32:$F$35,MATCH($B183,'Parametri Modello'!$A$32:$A$35,0))="",INDEX('Parametri Modello'!$F$32:$F$35,MATCH($B183,'Parametri Modello'!$A$32:$A$35,0))=0),0,(1/INDEX('Parametri Modello'!$F$32:$F$35,MATCH($B183,'Parametri Modello'!$A$32:$A$35,0))-1)*'Parametri Modello'!$B$28))),0)))*(1+INDEX('Parametri Modello'!$B$12:$B$15,MATCH($B183,'Parametri Modello'!$A$12:$A$15,0))),0),"")</f>
        <v>4</v>
      </c>
      <c r="I183" s="23">
        <f>IFERROR(INDEX('Input Statistiche 2025_26'!$F$3:$F$665,MATCH($A183,'Input Statistiche 2025_26'!$A$3:$A$665,0)),"")</f>
        <v>35</v>
      </c>
      <c r="J183" s="23">
        <f t="shared" si="18"/>
        <v>3</v>
      </c>
      <c r="K183" s="23">
        <f>IFERROR(INDEX('Input Statistiche 2025_26'!$I$3:$I$665,MATCH($A183,'Input Statistiche 2025_26'!$A$3:$A$665,0)),"")</f>
        <v>1</v>
      </c>
      <c r="L183" s="23">
        <f>IFERROR(INDEX('Input Statistiche 2025_26'!$O$3:$O$665,MATCH($A183,'Input Statistiche 2025_26'!$A$3:$A$665,0)),"")</f>
        <v>1</v>
      </c>
      <c r="M183" s="25"/>
      <c r="N183" s="24">
        <f>IFERROR(INDEX('Input Giocatori 2026_27'!$E$3:$E$493,MATCH($A183,'Input Giocatori 2026_27'!$A$3:$A$493,0)),"")</f>
        <v>7</v>
      </c>
      <c r="O183" s="24">
        <f>IFERROR(INDEX('Input Giocatori 2026_27'!$G$3:$G$493,MATCH($A183,'Input Giocatori 2026_27'!$A$3:$A$493,0)),"")</f>
        <v>18</v>
      </c>
      <c r="P183" s="23" t="str">
        <f>IFERROR(IF($O183="","",IF((1-(COUNTIFS($B$2:$B$492,$B183,$O$2:$O$492,"&gt;"&amp;$O183)+1-1)/COUNTIF($B$2:$B$492,$B183))&gt;='Parametri Modello'!$B$63,"Top",IF((1-(COUNTIFS($B$2:$B$492,$B183,$O$2:$O$492,"&gt;"&amp;$O183)+1-1)/COUNTIF($B$2:$B$492,$B183))&gt;='Parametri Modello'!$B$64,"Buono",IF((1-(COUNTIFS($B$2:$B$492,$B183,$O$2:$O$492,"&gt;"&amp;$O183)+1-1)/COUNTIF($B$2:$B$492,$B183))&gt;='Parametri Modello'!$B$65,"Nella Media","Scommessa/Riserva")))),"")</f>
        <v>Buono</v>
      </c>
      <c r="Q183" s="26">
        <f>IF(AND($D183="",$N183&gt;1),SUMPRODUCT(($D$2:$D183="")*($N$2:$N183&gt;1)),"")</f>
        <v>182</v>
      </c>
      <c r="R183" s="26" t="str">
        <f>IF($D183='Info Lega'!$B$28,COUNTIFS($D$2:$D183,'Info Lega'!$B$28),"")</f>
        <v/>
      </c>
      <c r="S183" s="27">
        <f>IFERROR(INDEX('Input Statistiche 2025_26'!$G$3:$G$665,MATCH($A183,'Input Statistiche 2025_26'!$A$3:$A$665,0)),"")</f>
        <v>5.84</v>
      </c>
      <c r="T183" s="27">
        <f>IFERROR(INDEX('Input Statistiche 2025_26'!$H$3:$H$665,MATCH($A183,'Input Statistiche 2025_26'!$A$3:$A$665,0)),"")</f>
        <v>5.91</v>
      </c>
      <c r="U183" s="23" t="str">
        <f>IF(OR('La Mia Rosa'!$O$12="",$D183&lt;&gt;""),"",IF($F183&lt;='La Mia Rosa'!$O$12*'Parametri Modello'!$B$24,"OK",IF($F183&lt;='La Mia Rosa'!$O$12*'Parametri Modello'!$B$25,"Attenzione","Rischio Alto")))</f>
        <v>OK</v>
      </c>
      <c r="V183" s="23">
        <f t="shared" si="19"/>
        <v>45</v>
      </c>
      <c r="W183" s="18">
        <f>'Info Lega'!$B$4-SUMIFS($M$2:$M$492,$D$2:$D$492,'Info Lega'!$B$28)</f>
        <v>1000</v>
      </c>
      <c r="X183" s="18">
        <f>('Info Lega'!$B$5-COUNTIFS($D$2:$D$492,'Info Lega'!$B$28,$B$2:$B$492,"P"))+('Info Lega'!$B$6-COUNTIFS($D$2:$D$492,'Info Lega'!$B$28,$B$2:$B$492,"D"))+('Info Lega'!$B$7-COUNTIFS($D$2:$D$492,'Info Lega'!$B$28,$B$2:$B$492,"C"))+('Info Lega'!$B$8-COUNTIFS($D$2:$D$492,'Info Lega'!$B$28,$B$2:$B$492,"A"))</f>
        <v>25</v>
      </c>
      <c r="Y183" s="18">
        <f>X183*'Parametri Modello'!$B$30</f>
        <v>25</v>
      </c>
      <c r="Z183" s="18">
        <f t="shared" si="20"/>
        <v>975</v>
      </c>
      <c r="AA183" s="18">
        <f t="shared" si="21"/>
        <v>3</v>
      </c>
      <c r="AB183" s="18"/>
      <c r="AC183" s="18" t="str">
        <f>IF($AB183="","",IF($AB183&gt;$AA183,"PASS",IF($AB183&lt;=$AA183*(1-'Parametri Modello'!$B$68),"BID","ATTENZIONE")))</f>
        <v/>
      </c>
      <c r="AD183" s="28">
        <f t="shared" si="22"/>
        <v>69</v>
      </c>
      <c r="AE183" s="5" t="str">
        <f>IFERROR(INDEX('Stato Asta'!$G$9:$G$12,MATCH($B183,'Stato Asta'!$A$9:$A$12,0)),"")</f>
        <v>🔴 Non aspettare</v>
      </c>
      <c r="AF183" t="str">
        <f>IFERROR(IF($V183&lt;=INDEX('Parametri Modello'!$C$57:$C$60,MATCH($B183,'Parametri Modello'!$A$57:$A$60,0)),"Titolare","Riserva"),"")</f>
        <v>Riserva</v>
      </c>
      <c r="AG183" t="str">
        <f>IFERROR(INDEX('Pressione Competitiva'!$F$3:$F$6,MATCH($B183,'Pressione Competitiva'!$B$3:$B$6,0)),"")</f>
        <v>🔴 Molto Alta</v>
      </c>
      <c r="AH183" t="str">
        <f t="shared" si="23"/>
        <v/>
      </c>
      <c r="AI183" t="str">
        <f>IFERROR(IF($AH183="","",IF($AH183&gt;=$AA183*'Parametri Modello'!$B$68,"🟢 Opportunita'",IF($AH183&lt;=$AA183*'Parametri Modello'!$B$69,"🔴 Sovrapprezzo","🟡 Prezzo Corretto"))),"")</f>
        <v/>
      </c>
      <c r="AJ183" t="str">
        <f t="shared" si="24"/>
        <v/>
      </c>
      <c r="AK183">
        <f t="shared" si="25"/>
        <v>27</v>
      </c>
      <c r="AL183" t="str">
        <f t="shared" si="26"/>
        <v>D|Buono|27</v>
      </c>
    </row>
    <row r="184" spans="1:38" ht="14.25" customHeight="1" x14ac:dyDescent="0.25">
      <c r="A184" s="18">
        <v>5010</v>
      </c>
      <c r="B184" s="18" t="s">
        <v>16</v>
      </c>
      <c r="C184" s="18" t="s">
        <v>323</v>
      </c>
      <c r="E184" s="23" t="str">
        <f>IF(COUNTIF('Info Strategia'!$D$2:$D$51,$C184)&gt;0,"SI","NO")</f>
        <v>NO</v>
      </c>
      <c r="F184" s="24">
        <f>IFERROR(ROUND(($G184+($H184-$G184)*'Info Strategia'!$B$6)*(1+IF($E184="SI",'Parametri Modello'!$B$7*'Info Strategia'!$B$6,0)),0),"")</f>
        <v>3</v>
      </c>
      <c r="G184" s="24">
        <f>IFERROR(ROUND(MAX(1,(IF($V184&lt;=INDEX('Parametri Modello'!$C$57:$C$60,MATCH($B184,'Parametri Modello'!$A$57:$A$60,0)),IF(INDEX('Parametri Modello'!$E$57:$E$60,MATCH($B184,'Parametri Modello'!$A$57:$A$60,0))=0,0,($O184/INDEX('Parametri Modello'!$E$57:$E$60,MATCH($B184,'Parametri Modello'!$A$57:$A$60,0)))*(INDEX('Parametri Modello'!$D$57:$D$60,MATCH($B184,'Parametri Modello'!$A$57:$A$60,0))*(INDEX('Parametri Modello'!$B$50:$B$53,MATCH($B184,'Parametri Modello'!$A$50:$A$53,0))*'Parametri Modello'!$B$44))),IF(INDEX('Parametri Modello'!$F$57:$F$60,MATCH($B184,'Parametri Modello'!$A$57:$A$60,0))=0,0,($O184/INDEX('Parametri Modello'!$F$57:$F$60,MATCH($B184,'Parametri Modello'!$A$57:$A$60,0)))*((1-INDEX('Parametri Modello'!$D$57:$D$60,MATCH($B184,'Parametri Modello'!$A$57:$A$60,0)))*(INDEX('Parametri Modello'!$B$50:$B$53,MATCH($B184,'Parametri Modello'!$A$50:$A$53,0))*'Parametri Modello'!$B$44))))*(1+IF(IF($B184="D",'Info Lega'!$B$25,IF($B184="C",'Info Lega'!$B$26,"No"))="Si",'Parametri Modello'!$B$5,0))*(1+MAX(-0.25,MIN(0.25,IF(OR($T184="",$I184="",$I184=0,INDEX('Parametri Modello'!$B$19:$B$22,MATCH($B184,'Parametri Modello'!$A$19:$A$22,0))="",INDEX('Parametri Modello'!$B$19:$B$22,MATCH($B184,'Parametri Modello'!$A$19:$A$22,0))=0),0,(($T184-INDEX('Parametri Modello'!$B$19:$B$22,MATCH($B184,'Parametri Modello'!$A$19:$A$22,0)))/INDEX('Parametri Modello'!$B$19:$B$22,MATCH($B184,'Parametri Modello'!$A$19:$A$22,0)))*'Parametri Modello'!$B$9))))*(1+IF('Parametri Modello'!$B$27="Si",MAX(-'Parametri Modello'!$B$28,MIN('Parametri Modello'!$B$28*1.5,IF(OR(INDEX('Parametri Modello'!$F$32:$F$35,MATCH($B184,'Parametri Modello'!$A$32:$A$35,0))="",INDEX('Parametri Modello'!$F$32:$F$35,MATCH($B184,'Parametri Modello'!$A$32:$A$35,0))=0),0,(1/INDEX('Parametri Modello'!$F$32:$F$35,MATCH($B184,'Parametri Modello'!$A$32:$A$35,0))-1)*'Parametri Modello'!$B$28))),0)))*(1-INDEX('Parametri Modello'!$B$12:$B$15,MATCH($B184,'Parametri Modello'!$A$12:$A$15,0)))),0),"")</f>
        <v>2</v>
      </c>
      <c r="H184" s="24">
        <f>IFERROR(ROUND((IF($V184&lt;=INDEX('Parametri Modello'!$C$57:$C$60,MATCH($B184,'Parametri Modello'!$A$57:$A$60,0)),IF(INDEX('Parametri Modello'!$E$57:$E$60,MATCH($B184,'Parametri Modello'!$A$57:$A$60,0))=0,0,($O184/INDEX('Parametri Modello'!$E$57:$E$60,MATCH($B184,'Parametri Modello'!$A$57:$A$60,0)))*(INDEX('Parametri Modello'!$D$57:$D$60,MATCH($B184,'Parametri Modello'!$A$57:$A$60,0))*(INDEX('Parametri Modello'!$B$50:$B$53,MATCH($B184,'Parametri Modello'!$A$50:$A$53,0))*'Parametri Modello'!$B$44))),IF(INDEX('Parametri Modello'!$F$57:$F$60,MATCH($B184,'Parametri Modello'!$A$57:$A$60,0))=0,0,($O184/INDEX('Parametri Modello'!$F$57:$F$60,MATCH($B184,'Parametri Modello'!$A$57:$A$60,0)))*((1-INDEX('Parametri Modello'!$D$57:$D$60,MATCH($B184,'Parametri Modello'!$A$57:$A$60,0)))*(INDEX('Parametri Modello'!$B$50:$B$53,MATCH($B184,'Parametri Modello'!$A$50:$A$53,0))*'Parametri Modello'!$B$44))))*(1+IF(IF($B184="D",'Info Lega'!$B$25,IF($B184="C",'Info Lega'!$B$26,"No"))="Si",'Parametri Modello'!$B$5,0))*(1+MAX(-0.25,MIN(0.25,IF(OR($T184="",$I184="",$I184=0,INDEX('Parametri Modello'!$B$19:$B$22,MATCH($B184,'Parametri Modello'!$A$19:$A$22,0))="",INDEX('Parametri Modello'!$B$19:$B$22,MATCH($B184,'Parametri Modello'!$A$19:$A$22,0))=0),0,(($T184-INDEX('Parametri Modello'!$B$19:$B$22,MATCH($B184,'Parametri Modello'!$A$19:$A$22,0)))/INDEX('Parametri Modello'!$B$19:$B$22,MATCH($B184,'Parametri Modello'!$A$19:$A$22,0)))*'Parametri Modello'!$B$9))))*(1+IF('Parametri Modello'!$B$27="Si",MAX(-'Parametri Modello'!$B$28,MIN('Parametri Modello'!$B$28*1.5,IF(OR(INDEX('Parametri Modello'!$F$32:$F$35,MATCH($B184,'Parametri Modello'!$A$32:$A$35,0))="",INDEX('Parametri Modello'!$F$32:$F$35,MATCH($B184,'Parametri Modello'!$A$32:$A$35,0))=0),0,(1/INDEX('Parametri Modello'!$F$32:$F$35,MATCH($B184,'Parametri Modello'!$A$32:$A$35,0))-1)*'Parametri Modello'!$B$28))),0)))*(1+INDEX('Parametri Modello'!$B$12:$B$15,MATCH($B184,'Parametri Modello'!$A$12:$A$15,0))),0),"")</f>
        <v>4</v>
      </c>
      <c r="I184" s="23">
        <f>IFERROR(INDEX('Input Statistiche 2025_26'!$F$3:$F$665,MATCH($A184,'Input Statistiche 2025_26'!$A$3:$A$665,0)),"")</f>
        <v>24</v>
      </c>
      <c r="J184" s="23">
        <f t="shared" si="18"/>
        <v>14</v>
      </c>
      <c r="K184" s="23">
        <f>IFERROR(INDEX('Input Statistiche 2025_26'!$I$3:$I$665,MATCH($A184,'Input Statistiche 2025_26'!$A$3:$A$665,0)),"")</f>
        <v>0</v>
      </c>
      <c r="L184" s="23">
        <f>IFERROR(INDEX('Input Statistiche 2025_26'!$O$3:$O$665,MATCH($A184,'Input Statistiche 2025_26'!$A$3:$A$665,0)),"")</f>
        <v>2</v>
      </c>
      <c r="M184" s="25"/>
      <c r="N184" s="24">
        <f>IFERROR(INDEX('Input Giocatori 2026_27'!$E$3:$E$493,MATCH($A184,'Input Giocatori 2026_27'!$A$3:$A$493,0)),"")</f>
        <v>7</v>
      </c>
      <c r="O184" s="24">
        <f>IFERROR(INDEX('Input Giocatori 2026_27'!$G$3:$G$493,MATCH($A184,'Input Giocatori 2026_27'!$A$3:$A$493,0)),"")</f>
        <v>18</v>
      </c>
      <c r="P184" s="23" t="str">
        <f>IFERROR(IF($O184="","",IF((1-(COUNTIFS($B$2:$B$492,$B184,$O$2:$O$492,"&gt;"&amp;$O184)+1-1)/COUNTIF($B$2:$B$492,$B184))&gt;='Parametri Modello'!$B$63,"Top",IF((1-(COUNTIFS($B$2:$B$492,$B184,$O$2:$O$492,"&gt;"&amp;$O184)+1-1)/COUNTIF($B$2:$B$492,$B184))&gt;='Parametri Modello'!$B$64,"Buono",IF((1-(COUNTIFS($B$2:$B$492,$B184,$O$2:$O$492,"&gt;"&amp;$O184)+1-1)/COUNTIF($B$2:$B$492,$B184))&gt;='Parametri Modello'!$B$65,"Nella Media","Scommessa/Riserva")))),"")</f>
        <v>Buono</v>
      </c>
      <c r="Q184" s="26">
        <f>IF(AND($D184="",$N184&gt;1),SUMPRODUCT(($D$2:$D184="")*($N$2:$N184&gt;1)),"")</f>
        <v>183</v>
      </c>
      <c r="R184" s="26" t="str">
        <f>IF($D184='Info Lega'!$B$28,COUNTIFS($D$2:$D184,'Info Lega'!$B$28),"")</f>
        <v/>
      </c>
      <c r="S184" s="27">
        <f>IFERROR(INDEX('Input Statistiche 2025_26'!$G$3:$G$665,MATCH($A184,'Input Statistiche 2025_26'!$A$3:$A$665,0)),"")</f>
        <v>5.92</v>
      </c>
      <c r="T184" s="27">
        <f>IFERROR(INDEX('Input Statistiche 2025_26'!$H$3:$H$665,MATCH($A184,'Input Statistiche 2025_26'!$A$3:$A$665,0)),"")</f>
        <v>5.9</v>
      </c>
      <c r="U184" s="23" t="str">
        <f>IF(OR('La Mia Rosa'!$O$12="",$D184&lt;&gt;""),"",IF($F184&lt;='La Mia Rosa'!$O$12*'Parametri Modello'!$B$24,"OK",IF($F184&lt;='La Mia Rosa'!$O$12*'Parametri Modello'!$B$25,"Attenzione","Rischio Alto")))</f>
        <v>OK</v>
      </c>
      <c r="V184" s="23">
        <f t="shared" si="19"/>
        <v>45</v>
      </c>
      <c r="W184" s="18">
        <f>'Info Lega'!$B$4-SUMIFS($M$2:$M$492,$D$2:$D$492,'Info Lega'!$B$28)</f>
        <v>1000</v>
      </c>
      <c r="X184" s="18">
        <f>('Info Lega'!$B$5-COUNTIFS($D$2:$D$492,'Info Lega'!$B$28,$B$2:$B$492,"P"))+('Info Lega'!$B$6-COUNTIFS($D$2:$D$492,'Info Lega'!$B$28,$B$2:$B$492,"D"))+('Info Lega'!$B$7-COUNTIFS($D$2:$D$492,'Info Lega'!$B$28,$B$2:$B$492,"C"))+('Info Lega'!$B$8-COUNTIFS($D$2:$D$492,'Info Lega'!$B$28,$B$2:$B$492,"A"))</f>
        <v>25</v>
      </c>
      <c r="Y184" s="18">
        <f>X184*'Parametri Modello'!$B$30</f>
        <v>25</v>
      </c>
      <c r="Z184" s="18">
        <f t="shared" si="20"/>
        <v>975</v>
      </c>
      <c r="AA184" s="18">
        <f t="shared" si="21"/>
        <v>3</v>
      </c>
      <c r="AB184" s="18"/>
      <c r="AC184" s="18" t="str">
        <f>IF($AB184="","",IF($AB184&gt;$AA184,"PASS",IF($AB184&lt;=$AA184*(1-'Parametri Modello'!$B$68),"BID","ATTENZIONE")))</f>
        <v/>
      </c>
      <c r="AD184" s="28">
        <f t="shared" si="22"/>
        <v>55</v>
      </c>
      <c r="AE184" s="5" t="str">
        <f>IFERROR(INDEX('Stato Asta'!$G$9:$G$12,MATCH($B184,'Stato Asta'!$A$9:$A$12,0)),"")</f>
        <v>🔴 Non aspettare</v>
      </c>
      <c r="AF184" t="str">
        <f>IFERROR(IF($V184&lt;=INDEX('Parametri Modello'!$C$57:$C$60,MATCH($B184,'Parametri Modello'!$A$57:$A$60,0)),"Titolare","Riserva"),"")</f>
        <v>Riserva</v>
      </c>
      <c r="AG184" t="str">
        <f>IFERROR(INDEX('Pressione Competitiva'!$F$3:$F$6,MATCH($B184,'Pressione Competitiva'!$B$3:$B$6,0)),"")</f>
        <v>🔴 Molto Alta</v>
      </c>
      <c r="AH184" t="str">
        <f t="shared" si="23"/>
        <v/>
      </c>
      <c r="AI184" t="str">
        <f>IFERROR(IF($AH184="","",IF($AH184&gt;=$AA184*'Parametri Modello'!$B$68,"🟢 Opportunita'",IF($AH184&lt;=$AA184*'Parametri Modello'!$B$69,"🔴 Sovrapprezzo","🟡 Prezzo Corretto"))),"")</f>
        <v/>
      </c>
      <c r="AJ184" t="str">
        <f t="shared" si="24"/>
        <v/>
      </c>
      <c r="AK184">
        <f t="shared" si="25"/>
        <v>27</v>
      </c>
      <c r="AL184" t="str">
        <f t="shared" si="26"/>
        <v>D|Buono|27</v>
      </c>
    </row>
    <row r="185" spans="1:38" ht="14.25" customHeight="1" x14ac:dyDescent="0.25">
      <c r="A185" s="18">
        <v>6867</v>
      </c>
      <c r="B185" s="18" t="s">
        <v>16</v>
      </c>
      <c r="C185" s="18" t="s">
        <v>324</v>
      </c>
      <c r="E185" s="23" t="str">
        <f>IF(COUNTIF('Info Strategia'!$D$2:$D$51,$C185)&gt;0,"SI","NO")</f>
        <v>NO</v>
      </c>
      <c r="F185" s="24">
        <f>IFERROR(ROUND(($G185+($H185-$G185)*'Info Strategia'!$B$6)*(1+IF($E185="SI",'Parametri Modello'!$B$7*'Info Strategia'!$B$6,0)),0),"")</f>
        <v>3</v>
      </c>
      <c r="G185" s="24">
        <f>IFERROR(ROUND(MAX(1,(IF($V185&lt;=INDEX('Parametri Modello'!$C$57:$C$60,MATCH($B185,'Parametri Modello'!$A$57:$A$60,0)),IF(INDEX('Parametri Modello'!$E$57:$E$60,MATCH($B185,'Parametri Modello'!$A$57:$A$60,0))=0,0,($O185/INDEX('Parametri Modello'!$E$57:$E$60,MATCH($B185,'Parametri Modello'!$A$57:$A$60,0)))*(INDEX('Parametri Modello'!$D$57:$D$60,MATCH($B185,'Parametri Modello'!$A$57:$A$60,0))*(INDEX('Parametri Modello'!$B$50:$B$53,MATCH($B185,'Parametri Modello'!$A$50:$A$53,0))*'Parametri Modello'!$B$44))),IF(INDEX('Parametri Modello'!$F$57:$F$60,MATCH($B185,'Parametri Modello'!$A$57:$A$60,0))=0,0,($O185/INDEX('Parametri Modello'!$F$57:$F$60,MATCH($B185,'Parametri Modello'!$A$57:$A$60,0)))*((1-INDEX('Parametri Modello'!$D$57:$D$60,MATCH($B185,'Parametri Modello'!$A$57:$A$60,0)))*(INDEX('Parametri Modello'!$B$50:$B$53,MATCH($B185,'Parametri Modello'!$A$50:$A$53,0))*'Parametri Modello'!$B$44))))*(1+IF(IF($B185="D",'Info Lega'!$B$25,IF($B185="C",'Info Lega'!$B$26,"No"))="Si",'Parametri Modello'!$B$5,0))*(1+MAX(-0.25,MIN(0.25,IF(OR($T185="",$I185="",$I185=0,INDEX('Parametri Modello'!$B$19:$B$22,MATCH($B185,'Parametri Modello'!$A$19:$A$22,0))="",INDEX('Parametri Modello'!$B$19:$B$22,MATCH($B185,'Parametri Modello'!$A$19:$A$22,0))=0),0,(($T185-INDEX('Parametri Modello'!$B$19:$B$22,MATCH($B185,'Parametri Modello'!$A$19:$A$22,0)))/INDEX('Parametri Modello'!$B$19:$B$22,MATCH($B185,'Parametri Modello'!$A$19:$A$22,0)))*'Parametri Modello'!$B$9))))*(1+IF('Parametri Modello'!$B$27="Si",MAX(-'Parametri Modello'!$B$28,MIN('Parametri Modello'!$B$28*1.5,IF(OR(INDEX('Parametri Modello'!$F$32:$F$35,MATCH($B185,'Parametri Modello'!$A$32:$A$35,0))="",INDEX('Parametri Modello'!$F$32:$F$35,MATCH($B185,'Parametri Modello'!$A$32:$A$35,0))=0),0,(1/INDEX('Parametri Modello'!$F$32:$F$35,MATCH($B185,'Parametri Modello'!$A$32:$A$35,0))-1)*'Parametri Modello'!$B$28))),0)))*(1-INDEX('Parametri Modello'!$B$12:$B$15,MATCH($B185,'Parametri Modello'!$A$12:$A$15,0)))),0),"")</f>
        <v>2</v>
      </c>
      <c r="H185" s="24">
        <f>IFERROR(ROUND((IF($V185&lt;=INDEX('Parametri Modello'!$C$57:$C$60,MATCH($B185,'Parametri Modello'!$A$57:$A$60,0)),IF(INDEX('Parametri Modello'!$E$57:$E$60,MATCH($B185,'Parametri Modello'!$A$57:$A$60,0))=0,0,($O185/INDEX('Parametri Modello'!$E$57:$E$60,MATCH($B185,'Parametri Modello'!$A$57:$A$60,0)))*(INDEX('Parametri Modello'!$D$57:$D$60,MATCH($B185,'Parametri Modello'!$A$57:$A$60,0))*(INDEX('Parametri Modello'!$B$50:$B$53,MATCH($B185,'Parametri Modello'!$A$50:$A$53,0))*'Parametri Modello'!$B$44))),IF(INDEX('Parametri Modello'!$F$57:$F$60,MATCH($B185,'Parametri Modello'!$A$57:$A$60,0))=0,0,($O185/INDEX('Parametri Modello'!$F$57:$F$60,MATCH($B185,'Parametri Modello'!$A$57:$A$60,0)))*((1-INDEX('Parametri Modello'!$D$57:$D$60,MATCH($B185,'Parametri Modello'!$A$57:$A$60,0)))*(INDEX('Parametri Modello'!$B$50:$B$53,MATCH($B185,'Parametri Modello'!$A$50:$A$53,0))*'Parametri Modello'!$B$44))))*(1+IF(IF($B185="D",'Info Lega'!$B$25,IF($B185="C",'Info Lega'!$B$26,"No"))="Si",'Parametri Modello'!$B$5,0))*(1+MAX(-0.25,MIN(0.25,IF(OR($T185="",$I185="",$I185=0,INDEX('Parametri Modello'!$B$19:$B$22,MATCH($B185,'Parametri Modello'!$A$19:$A$22,0))="",INDEX('Parametri Modello'!$B$19:$B$22,MATCH($B185,'Parametri Modello'!$A$19:$A$22,0))=0),0,(($T185-INDEX('Parametri Modello'!$B$19:$B$22,MATCH($B185,'Parametri Modello'!$A$19:$A$22,0)))/INDEX('Parametri Modello'!$B$19:$B$22,MATCH($B185,'Parametri Modello'!$A$19:$A$22,0)))*'Parametri Modello'!$B$9))))*(1+IF('Parametri Modello'!$B$27="Si",MAX(-'Parametri Modello'!$B$28,MIN('Parametri Modello'!$B$28*1.5,IF(OR(INDEX('Parametri Modello'!$F$32:$F$35,MATCH($B185,'Parametri Modello'!$A$32:$A$35,0))="",INDEX('Parametri Modello'!$F$32:$F$35,MATCH($B185,'Parametri Modello'!$A$32:$A$35,0))=0),0,(1/INDEX('Parametri Modello'!$F$32:$F$35,MATCH($B185,'Parametri Modello'!$A$32:$A$35,0))-1)*'Parametri Modello'!$B$28))),0)))*(1+INDEX('Parametri Modello'!$B$12:$B$15,MATCH($B185,'Parametri Modello'!$A$12:$A$15,0))),0),"")</f>
        <v>4</v>
      </c>
      <c r="I185" s="23">
        <f>IFERROR(INDEX('Input Statistiche 2025_26'!$F$3:$F$665,MATCH($A185,'Input Statistiche 2025_26'!$A$3:$A$665,0)),"")</f>
        <v>26</v>
      </c>
      <c r="J185" s="23">
        <f t="shared" si="18"/>
        <v>12</v>
      </c>
      <c r="K185" s="23">
        <f>IFERROR(INDEX('Input Statistiche 2025_26'!$I$3:$I$665,MATCH($A185,'Input Statistiche 2025_26'!$A$3:$A$665,0)),"")</f>
        <v>1</v>
      </c>
      <c r="L185" s="23">
        <f>IFERROR(INDEX('Input Statistiche 2025_26'!$O$3:$O$665,MATCH($A185,'Input Statistiche 2025_26'!$A$3:$A$665,0)),"")</f>
        <v>3</v>
      </c>
      <c r="M185" s="25"/>
      <c r="N185" s="24">
        <f>IFERROR(INDEX('Input Giocatori 2026_27'!$E$3:$E$493,MATCH($A185,'Input Giocatori 2026_27'!$A$3:$A$493,0)),"")</f>
        <v>6</v>
      </c>
      <c r="O185" s="24">
        <f>IFERROR(INDEX('Input Giocatori 2026_27'!$G$3:$G$493,MATCH($A185,'Input Giocatori 2026_27'!$A$3:$A$493,0)),"")</f>
        <v>18</v>
      </c>
      <c r="P185" s="23" t="str">
        <f>IFERROR(IF($O185="","",IF((1-(COUNTIFS($B$2:$B$492,$B185,$O$2:$O$492,"&gt;"&amp;$O185)+1-1)/COUNTIF($B$2:$B$492,$B185))&gt;='Parametri Modello'!$B$63,"Top",IF((1-(COUNTIFS($B$2:$B$492,$B185,$O$2:$O$492,"&gt;"&amp;$O185)+1-1)/COUNTIF($B$2:$B$492,$B185))&gt;='Parametri Modello'!$B$64,"Buono",IF((1-(COUNTIFS($B$2:$B$492,$B185,$O$2:$O$492,"&gt;"&amp;$O185)+1-1)/COUNTIF($B$2:$B$492,$B185))&gt;='Parametri Modello'!$B$65,"Nella Media","Scommessa/Riserva")))),"")</f>
        <v>Buono</v>
      </c>
      <c r="Q185" s="26">
        <f>IF(AND($D185="",$N185&gt;1),SUMPRODUCT(($D$2:$D185="")*($N$2:$N185&gt;1)),"")</f>
        <v>184</v>
      </c>
      <c r="R185" s="26" t="str">
        <f>IF($D185='Info Lega'!$B$28,COUNTIFS($D$2:$D185,'Info Lega'!$B$28),"")</f>
        <v/>
      </c>
      <c r="S185" s="27">
        <f>IFERROR(INDEX('Input Statistiche 2025_26'!$G$3:$G$665,MATCH($A185,'Input Statistiche 2025_26'!$A$3:$A$665,0)),"")</f>
        <v>6.06</v>
      </c>
      <c r="T185" s="27">
        <f>IFERROR(INDEX('Input Statistiche 2025_26'!$H$3:$H$665,MATCH($A185,'Input Statistiche 2025_26'!$A$3:$A$665,0)),"")</f>
        <v>6.23</v>
      </c>
      <c r="U185" s="23" t="str">
        <f>IF(OR('La Mia Rosa'!$O$12="",$D185&lt;&gt;""),"",IF($F185&lt;='La Mia Rosa'!$O$12*'Parametri Modello'!$B$24,"OK",IF($F185&lt;='La Mia Rosa'!$O$12*'Parametri Modello'!$B$25,"Attenzione","Rischio Alto")))</f>
        <v>OK</v>
      </c>
      <c r="V185" s="23">
        <f t="shared" si="19"/>
        <v>45</v>
      </c>
      <c r="W185" s="18">
        <f>'Info Lega'!$B$4-SUMIFS($M$2:$M$492,$D$2:$D$492,'Info Lega'!$B$28)</f>
        <v>1000</v>
      </c>
      <c r="X185" s="18">
        <f>('Info Lega'!$B$5-COUNTIFS($D$2:$D$492,'Info Lega'!$B$28,$B$2:$B$492,"P"))+('Info Lega'!$B$6-COUNTIFS($D$2:$D$492,'Info Lega'!$B$28,$B$2:$B$492,"D"))+('Info Lega'!$B$7-COUNTIFS($D$2:$D$492,'Info Lega'!$B$28,$B$2:$B$492,"C"))+('Info Lega'!$B$8-COUNTIFS($D$2:$D$492,'Info Lega'!$B$28,$B$2:$B$492,"A"))</f>
        <v>25</v>
      </c>
      <c r="Y185" s="18">
        <f>X185*'Parametri Modello'!$B$30</f>
        <v>25</v>
      </c>
      <c r="Z185" s="18">
        <f t="shared" si="20"/>
        <v>975</v>
      </c>
      <c r="AA185" s="18">
        <f t="shared" si="21"/>
        <v>3</v>
      </c>
      <c r="AB185" s="18"/>
      <c r="AC185" s="18" t="str">
        <f>IF($AB185="","",IF($AB185&gt;$AA185,"PASS",IF($AB185&lt;=$AA185*(1-'Parametri Modello'!$B$68),"BID","ATTENZIONE")))</f>
        <v/>
      </c>
      <c r="AD185" s="28">
        <f t="shared" si="22"/>
        <v>58</v>
      </c>
      <c r="AE185" s="5" t="str">
        <f>IFERROR(INDEX('Stato Asta'!$G$9:$G$12,MATCH($B185,'Stato Asta'!$A$9:$A$12,0)),"")</f>
        <v>🔴 Non aspettare</v>
      </c>
      <c r="AF185" t="str">
        <f>IFERROR(IF($V185&lt;=INDEX('Parametri Modello'!$C$57:$C$60,MATCH($B185,'Parametri Modello'!$A$57:$A$60,0)),"Titolare","Riserva"),"")</f>
        <v>Riserva</v>
      </c>
      <c r="AG185" t="str">
        <f>IFERROR(INDEX('Pressione Competitiva'!$F$3:$F$6,MATCH($B185,'Pressione Competitiva'!$B$3:$B$6,0)),"")</f>
        <v>🔴 Molto Alta</v>
      </c>
      <c r="AH185" t="str">
        <f t="shared" si="23"/>
        <v/>
      </c>
      <c r="AI185" t="str">
        <f>IFERROR(IF($AH185="","",IF($AH185&gt;=$AA185*'Parametri Modello'!$B$68,"🟢 Opportunita'",IF($AH185&lt;=$AA185*'Parametri Modello'!$B$69,"🔴 Sovrapprezzo","🟡 Prezzo Corretto"))),"")</f>
        <v/>
      </c>
      <c r="AJ185" t="str">
        <f t="shared" si="24"/>
        <v/>
      </c>
      <c r="AK185">
        <f t="shared" si="25"/>
        <v>27</v>
      </c>
      <c r="AL185" t="str">
        <f t="shared" si="26"/>
        <v>D|Buono|27</v>
      </c>
    </row>
    <row r="186" spans="1:38" ht="14.25" customHeight="1" x14ac:dyDescent="0.25">
      <c r="A186" s="18">
        <v>7294</v>
      </c>
      <c r="B186" s="18" t="s">
        <v>16</v>
      </c>
      <c r="C186" s="18" t="s">
        <v>325</v>
      </c>
      <c r="E186" s="23" t="str">
        <f>IF(COUNTIF('Info Strategia'!$D$2:$D$51,$C186)&gt;0,"SI","NO")</f>
        <v>NO</v>
      </c>
      <c r="F186" s="24">
        <f>IFERROR(ROUND(($G186+($H186-$G186)*'Info Strategia'!$B$6)*(1+IF($E186="SI",'Parametri Modello'!$B$7*'Info Strategia'!$B$6,0)),0),"")</f>
        <v>3</v>
      </c>
      <c r="G186" s="24">
        <f>IFERROR(ROUND(MAX(1,(IF($V186&lt;=INDEX('Parametri Modello'!$C$57:$C$60,MATCH($B186,'Parametri Modello'!$A$57:$A$60,0)),IF(INDEX('Parametri Modello'!$E$57:$E$60,MATCH($B186,'Parametri Modello'!$A$57:$A$60,0))=0,0,($O186/INDEX('Parametri Modello'!$E$57:$E$60,MATCH($B186,'Parametri Modello'!$A$57:$A$60,0)))*(INDEX('Parametri Modello'!$D$57:$D$60,MATCH($B186,'Parametri Modello'!$A$57:$A$60,0))*(INDEX('Parametri Modello'!$B$50:$B$53,MATCH($B186,'Parametri Modello'!$A$50:$A$53,0))*'Parametri Modello'!$B$44))),IF(INDEX('Parametri Modello'!$F$57:$F$60,MATCH($B186,'Parametri Modello'!$A$57:$A$60,0))=0,0,($O186/INDEX('Parametri Modello'!$F$57:$F$60,MATCH($B186,'Parametri Modello'!$A$57:$A$60,0)))*((1-INDEX('Parametri Modello'!$D$57:$D$60,MATCH($B186,'Parametri Modello'!$A$57:$A$60,0)))*(INDEX('Parametri Modello'!$B$50:$B$53,MATCH($B186,'Parametri Modello'!$A$50:$A$53,0))*'Parametri Modello'!$B$44))))*(1+IF(IF($B186="D",'Info Lega'!$B$25,IF($B186="C",'Info Lega'!$B$26,"No"))="Si",'Parametri Modello'!$B$5,0))*(1+MAX(-0.25,MIN(0.25,IF(OR($T186="",$I186="",$I186=0,INDEX('Parametri Modello'!$B$19:$B$22,MATCH($B186,'Parametri Modello'!$A$19:$A$22,0))="",INDEX('Parametri Modello'!$B$19:$B$22,MATCH($B186,'Parametri Modello'!$A$19:$A$22,0))=0),0,(($T186-INDEX('Parametri Modello'!$B$19:$B$22,MATCH($B186,'Parametri Modello'!$A$19:$A$22,0)))/INDEX('Parametri Modello'!$B$19:$B$22,MATCH($B186,'Parametri Modello'!$A$19:$A$22,0)))*'Parametri Modello'!$B$9))))*(1+IF('Parametri Modello'!$B$27="Si",MAX(-'Parametri Modello'!$B$28,MIN('Parametri Modello'!$B$28*1.5,IF(OR(INDEX('Parametri Modello'!$F$32:$F$35,MATCH($B186,'Parametri Modello'!$A$32:$A$35,0))="",INDEX('Parametri Modello'!$F$32:$F$35,MATCH($B186,'Parametri Modello'!$A$32:$A$35,0))=0),0,(1/INDEX('Parametri Modello'!$F$32:$F$35,MATCH($B186,'Parametri Modello'!$A$32:$A$35,0))-1)*'Parametri Modello'!$B$28))),0)))*(1-INDEX('Parametri Modello'!$B$12:$B$15,MATCH($B186,'Parametri Modello'!$A$12:$A$15,0)))),0),"")</f>
        <v>2</v>
      </c>
      <c r="H186" s="24">
        <f>IFERROR(ROUND((IF($V186&lt;=INDEX('Parametri Modello'!$C$57:$C$60,MATCH($B186,'Parametri Modello'!$A$57:$A$60,0)),IF(INDEX('Parametri Modello'!$E$57:$E$60,MATCH($B186,'Parametri Modello'!$A$57:$A$60,0))=0,0,($O186/INDEX('Parametri Modello'!$E$57:$E$60,MATCH($B186,'Parametri Modello'!$A$57:$A$60,0)))*(INDEX('Parametri Modello'!$D$57:$D$60,MATCH($B186,'Parametri Modello'!$A$57:$A$60,0))*(INDEX('Parametri Modello'!$B$50:$B$53,MATCH($B186,'Parametri Modello'!$A$50:$A$53,0))*'Parametri Modello'!$B$44))),IF(INDEX('Parametri Modello'!$F$57:$F$60,MATCH($B186,'Parametri Modello'!$A$57:$A$60,0))=0,0,($O186/INDEX('Parametri Modello'!$F$57:$F$60,MATCH($B186,'Parametri Modello'!$A$57:$A$60,0)))*((1-INDEX('Parametri Modello'!$D$57:$D$60,MATCH($B186,'Parametri Modello'!$A$57:$A$60,0)))*(INDEX('Parametri Modello'!$B$50:$B$53,MATCH($B186,'Parametri Modello'!$A$50:$A$53,0))*'Parametri Modello'!$B$44))))*(1+IF(IF($B186="D",'Info Lega'!$B$25,IF($B186="C",'Info Lega'!$B$26,"No"))="Si",'Parametri Modello'!$B$5,0))*(1+MAX(-0.25,MIN(0.25,IF(OR($T186="",$I186="",$I186=0,INDEX('Parametri Modello'!$B$19:$B$22,MATCH($B186,'Parametri Modello'!$A$19:$A$22,0))="",INDEX('Parametri Modello'!$B$19:$B$22,MATCH($B186,'Parametri Modello'!$A$19:$A$22,0))=0),0,(($T186-INDEX('Parametri Modello'!$B$19:$B$22,MATCH($B186,'Parametri Modello'!$A$19:$A$22,0)))/INDEX('Parametri Modello'!$B$19:$B$22,MATCH($B186,'Parametri Modello'!$A$19:$A$22,0)))*'Parametri Modello'!$B$9))))*(1+IF('Parametri Modello'!$B$27="Si",MAX(-'Parametri Modello'!$B$28,MIN('Parametri Modello'!$B$28*1.5,IF(OR(INDEX('Parametri Modello'!$F$32:$F$35,MATCH($B186,'Parametri Modello'!$A$32:$A$35,0))="",INDEX('Parametri Modello'!$F$32:$F$35,MATCH($B186,'Parametri Modello'!$A$32:$A$35,0))=0),0,(1/INDEX('Parametri Modello'!$F$32:$F$35,MATCH($B186,'Parametri Modello'!$A$32:$A$35,0))-1)*'Parametri Modello'!$B$28))),0)))*(1+INDEX('Parametri Modello'!$B$12:$B$15,MATCH($B186,'Parametri Modello'!$A$12:$A$15,0))),0),"")</f>
        <v>4</v>
      </c>
      <c r="I186" s="23" t="str">
        <f>IFERROR(INDEX('Input Statistiche 2025_26'!$F$3:$F$665,MATCH($A186,'Input Statistiche 2025_26'!$A$3:$A$665,0)),"")</f>
        <v/>
      </c>
      <c r="J186" s="23" t="str">
        <f t="shared" si="18"/>
        <v/>
      </c>
      <c r="K186" s="23" t="str">
        <f>IFERROR(INDEX('Input Statistiche 2025_26'!$I$3:$I$665,MATCH($A186,'Input Statistiche 2025_26'!$A$3:$A$665,0)),"")</f>
        <v/>
      </c>
      <c r="L186" s="23" t="str">
        <f>IFERROR(INDEX('Input Statistiche 2025_26'!$O$3:$O$665,MATCH($A186,'Input Statistiche 2025_26'!$A$3:$A$665,0)),"")</f>
        <v/>
      </c>
      <c r="M186" s="25"/>
      <c r="N186" s="24">
        <f>IFERROR(INDEX('Input Giocatori 2026_27'!$E$3:$E$493,MATCH($A186,'Input Giocatori 2026_27'!$A$3:$A$493,0)),"")</f>
        <v>6</v>
      </c>
      <c r="O186" s="24">
        <f>IFERROR(INDEX('Input Giocatori 2026_27'!$G$3:$G$493,MATCH($A186,'Input Giocatori 2026_27'!$A$3:$A$493,0)),"")</f>
        <v>18</v>
      </c>
      <c r="P186" s="23" t="str">
        <f>IFERROR(IF($O186="","",IF((1-(COUNTIFS($B$2:$B$492,$B186,$O$2:$O$492,"&gt;"&amp;$O186)+1-1)/COUNTIF($B$2:$B$492,$B186))&gt;='Parametri Modello'!$B$63,"Top",IF((1-(COUNTIFS($B$2:$B$492,$B186,$O$2:$O$492,"&gt;"&amp;$O186)+1-1)/COUNTIF($B$2:$B$492,$B186))&gt;='Parametri Modello'!$B$64,"Buono",IF((1-(COUNTIFS($B$2:$B$492,$B186,$O$2:$O$492,"&gt;"&amp;$O186)+1-1)/COUNTIF($B$2:$B$492,$B186))&gt;='Parametri Modello'!$B$65,"Nella Media","Scommessa/Riserva")))),"")</f>
        <v>Buono</v>
      </c>
      <c r="Q186" s="26">
        <f>IF(AND($D186="",$N186&gt;1),SUMPRODUCT(($D$2:$D186="")*($N$2:$N186&gt;1)),"")</f>
        <v>185</v>
      </c>
      <c r="R186" s="26" t="str">
        <f>IF($D186='Info Lega'!$B$28,COUNTIFS($D$2:$D186,'Info Lega'!$B$28),"")</f>
        <v/>
      </c>
      <c r="S186" s="27" t="str">
        <f>IFERROR(INDEX('Input Statistiche 2025_26'!$G$3:$G$665,MATCH($A186,'Input Statistiche 2025_26'!$A$3:$A$665,0)),"")</f>
        <v/>
      </c>
      <c r="T186" s="27" t="str">
        <f>IFERROR(INDEX('Input Statistiche 2025_26'!$H$3:$H$665,MATCH($A186,'Input Statistiche 2025_26'!$A$3:$A$665,0)),"")</f>
        <v/>
      </c>
      <c r="U186" s="23" t="str">
        <f>IF(OR('La Mia Rosa'!$O$12="",$D186&lt;&gt;""),"",IF($F186&lt;='La Mia Rosa'!$O$12*'Parametri Modello'!$B$24,"OK",IF($F186&lt;='La Mia Rosa'!$O$12*'Parametri Modello'!$B$25,"Attenzione","Rischio Alto")))</f>
        <v>OK</v>
      </c>
      <c r="V186" s="23">
        <f t="shared" si="19"/>
        <v>45</v>
      </c>
      <c r="W186" s="18">
        <f>'Info Lega'!$B$4-SUMIFS($M$2:$M$492,$D$2:$D$492,'Info Lega'!$B$28)</f>
        <v>1000</v>
      </c>
      <c r="X186" s="18">
        <f>('Info Lega'!$B$5-COUNTIFS($D$2:$D$492,'Info Lega'!$B$28,$B$2:$B$492,"P"))+('Info Lega'!$B$6-COUNTIFS($D$2:$D$492,'Info Lega'!$B$28,$B$2:$B$492,"D"))+('Info Lega'!$B$7-COUNTIFS($D$2:$D$492,'Info Lega'!$B$28,$B$2:$B$492,"C"))+('Info Lega'!$B$8-COUNTIFS($D$2:$D$492,'Info Lega'!$B$28,$B$2:$B$492,"A"))</f>
        <v>25</v>
      </c>
      <c r="Y186" s="18">
        <f>X186*'Parametri Modello'!$B$30</f>
        <v>25</v>
      </c>
      <c r="Z186" s="18">
        <f t="shared" si="20"/>
        <v>975</v>
      </c>
      <c r="AA186" s="18">
        <f t="shared" si="21"/>
        <v>3</v>
      </c>
      <c r="AB186" s="18"/>
      <c r="AC186" s="18" t="str">
        <f>IF($AB186="","",IF($AB186&gt;$AA186,"PASS",IF($AB186&lt;=$AA186*(1-'Parametri Modello'!$B$68),"BID","ATTENZIONE")))</f>
        <v/>
      </c>
      <c r="AD186" s="28" t="str">
        <f t="shared" si="22"/>
        <v/>
      </c>
      <c r="AE186" s="5" t="str">
        <f>IFERROR(INDEX('Stato Asta'!$G$9:$G$12,MATCH($B186,'Stato Asta'!$A$9:$A$12,0)),"")</f>
        <v>🔴 Non aspettare</v>
      </c>
      <c r="AF186" t="str">
        <f>IFERROR(IF($V186&lt;=INDEX('Parametri Modello'!$C$57:$C$60,MATCH($B186,'Parametri Modello'!$A$57:$A$60,0)),"Titolare","Riserva"),"")</f>
        <v>Riserva</v>
      </c>
      <c r="AG186" t="str">
        <f>IFERROR(INDEX('Pressione Competitiva'!$F$3:$F$6,MATCH($B186,'Pressione Competitiva'!$B$3:$B$6,0)),"")</f>
        <v>🔴 Molto Alta</v>
      </c>
      <c r="AH186" t="str">
        <f t="shared" si="23"/>
        <v/>
      </c>
      <c r="AI186" t="str">
        <f>IFERROR(IF($AH186="","",IF($AH186&gt;=$AA186*'Parametri Modello'!$B$68,"🟢 Opportunita'",IF($AH186&lt;=$AA186*'Parametri Modello'!$B$69,"🔴 Sovrapprezzo","🟡 Prezzo Corretto"))),"")</f>
        <v/>
      </c>
      <c r="AJ186" t="str">
        <f t="shared" si="24"/>
        <v/>
      </c>
      <c r="AK186">
        <f t="shared" si="25"/>
        <v>27</v>
      </c>
      <c r="AL186" t="str">
        <f t="shared" si="26"/>
        <v>D|Buono|27</v>
      </c>
    </row>
    <row r="187" spans="1:38" ht="14.25" customHeight="1" x14ac:dyDescent="0.25">
      <c r="A187" s="18">
        <v>4177</v>
      </c>
      <c r="B187" s="18" t="s">
        <v>16</v>
      </c>
      <c r="C187" s="18" t="s">
        <v>326</v>
      </c>
      <c r="E187" s="23" t="str">
        <f>IF(COUNTIF('Info Strategia'!$D$2:$D$51,$C187)&gt;0,"SI","NO")</f>
        <v>NO</v>
      </c>
      <c r="F187" s="24">
        <f>IFERROR(ROUND(($G187+($H187-$G187)*'Info Strategia'!$B$6)*(1+IF($E187="SI",'Parametri Modello'!$B$7*'Info Strategia'!$B$6,0)),0),"")</f>
        <v>3</v>
      </c>
      <c r="G187" s="24">
        <f>IFERROR(ROUND(MAX(1,(IF($V187&lt;=INDEX('Parametri Modello'!$C$57:$C$60,MATCH($B187,'Parametri Modello'!$A$57:$A$60,0)),IF(INDEX('Parametri Modello'!$E$57:$E$60,MATCH($B187,'Parametri Modello'!$A$57:$A$60,0))=0,0,($O187/INDEX('Parametri Modello'!$E$57:$E$60,MATCH($B187,'Parametri Modello'!$A$57:$A$60,0)))*(INDEX('Parametri Modello'!$D$57:$D$60,MATCH($B187,'Parametri Modello'!$A$57:$A$60,0))*(INDEX('Parametri Modello'!$B$50:$B$53,MATCH($B187,'Parametri Modello'!$A$50:$A$53,0))*'Parametri Modello'!$B$44))),IF(INDEX('Parametri Modello'!$F$57:$F$60,MATCH($B187,'Parametri Modello'!$A$57:$A$60,0))=0,0,($O187/INDEX('Parametri Modello'!$F$57:$F$60,MATCH($B187,'Parametri Modello'!$A$57:$A$60,0)))*((1-INDEX('Parametri Modello'!$D$57:$D$60,MATCH($B187,'Parametri Modello'!$A$57:$A$60,0)))*(INDEX('Parametri Modello'!$B$50:$B$53,MATCH($B187,'Parametri Modello'!$A$50:$A$53,0))*'Parametri Modello'!$B$44))))*(1+IF(IF($B187="D",'Info Lega'!$B$25,IF($B187="C",'Info Lega'!$B$26,"No"))="Si",'Parametri Modello'!$B$5,0))*(1+MAX(-0.25,MIN(0.25,IF(OR($T187="",$I187="",$I187=0,INDEX('Parametri Modello'!$B$19:$B$22,MATCH($B187,'Parametri Modello'!$A$19:$A$22,0))="",INDEX('Parametri Modello'!$B$19:$B$22,MATCH($B187,'Parametri Modello'!$A$19:$A$22,0))=0),0,(($T187-INDEX('Parametri Modello'!$B$19:$B$22,MATCH($B187,'Parametri Modello'!$A$19:$A$22,0)))/INDEX('Parametri Modello'!$B$19:$B$22,MATCH($B187,'Parametri Modello'!$A$19:$A$22,0)))*'Parametri Modello'!$B$9))))*(1+IF('Parametri Modello'!$B$27="Si",MAX(-'Parametri Modello'!$B$28,MIN('Parametri Modello'!$B$28*1.5,IF(OR(INDEX('Parametri Modello'!$F$32:$F$35,MATCH($B187,'Parametri Modello'!$A$32:$A$35,0))="",INDEX('Parametri Modello'!$F$32:$F$35,MATCH($B187,'Parametri Modello'!$A$32:$A$35,0))=0),0,(1/INDEX('Parametri Modello'!$F$32:$F$35,MATCH($B187,'Parametri Modello'!$A$32:$A$35,0))-1)*'Parametri Modello'!$B$28))),0)))*(1-INDEX('Parametri Modello'!$B$12:$B$15,MATCH($B187,'Parametri Modello'!$A$12:$A$15,0)))),0),"")</f>
        <v>2</v>
      </c>
      <c r="H187" s="24">
        <f>IFERROR(ROUND((IF($V187&lt;=INDEX('Parametri Modello'!$C$57:$C$60,MATCH($B187,'Parametri Modello'!$A$57:$A$60,0)),IF(INDEX('Parametri Modello'!$E$57:$E$60,MATCH($B187,'Parametri Modello'!$A$57:$A$60,0))=0,0,($O187/INDEX('Parametri Modello'!$E$57:$E$60,MATCH($B187,'Parametri Modello'!$A$57:$A$60,0)))*(INDEX('Parametri Modello'!$D$57:$D$60,MATCH($B187,'Parametri Modello'!$A$57:$A$60,0))*(INDEX('Parametri Modello'!$B$50:$B$53,MATCH($B187,'Parametri Modello'!$A$50:$A$53,0))*'Parametri Modello'!$B$44))),IF(INDEX('Parametri Modello'!$F$57:$F$60,MATCH($B187,'Parametri Modello'!$A$57:$A$60,0))=0,0,($O187/INDEX('Parametri Modello'!$F$57:$F$60,MATCH($B187,'Parametri Modello'!$A$57:$A$60,0)))*((1-INDEX('Parametri Modello'!$D$57:$D$60,MATCH($B187,'Parametri Modello'!$A$57:$A$60,0)))*(INDEX('Parametri Modello'!$B$50:$B$53,MATCH($B187,'Parametri Modello'!$A$50:$A$53,0))*'Parametri Modello'!$B$44))))*(1+IF(IF($B187="D",'Info Lega'!$B$25,IF($B187="C",'Info Lega'!$B$26,"No"))="Si",'Parametri Modello'!$B$5,0))*(1+MAX(-0.25,MIN(0.25,IF(OR($T187="",$I187="",$I187=0,INDEX('Parametri Modello'!$B$19:$B$22,MATCH($B187,'Parametri Modello'!$A$19:$A$22,0))="",INDEX('Parametri Modello'!$B$19:$B$22,MATCH($B187,'Parametri Modello'!$A$19:$A$22,0))=0),0,(($T187-INDEX('Parametri Modello'!$B$19:$B$22,MATCH($B187,'Parametri Modello'!$A$19:$A$22,0)))/INDEX('Parametri Modello'!$B$19:$B$22,MATCH($B187,'Parametri Modello'!$A$19:$A$22,0)))*'Parametri Modello'!$B$9))))*(1+IF('Parametri Modello'!$B$27="Si",MAX(-'Parametri Modello'!$B$28,MIN('Parametri Modello'!$B$28*1.5,IF(OR(INDEX('Parametri Modello'!$F$32:$F$35,MATCH($B187,'Parametri Modello'!$A$32:$A$35,0))="",INDEX('Parametri Modello'!$F$32:$F$35,MATCH($B187,'Parametri Modello'!$A$32:$A$35,0))=0),0,(1/INDEX('Parametri Modello'!$F$32:$F$35,MATCH($B187,'Parametri Modello'!$A$32:$A$35,0))-1)*'Parametri Modello'!$B$28))),0)))*(1+INDEX('Parametri Modello'!$B$12:$B$15,MATCH($B187,'Parametri Modello'!$A$12:$A$15,0))),0),"")</f>
        <v>4</v>
      </c>
      <c r="I187" s="23">
        <f>IFERROR(INDEX('Input Statistiche 2025_26'!$F$3:$F$665,MATCH($A187,'Input Statistiche 2025_26'!$A$3:$A$665,0)),"")</f>
        <v>1</v>
      </c>
      <c r="J187" s="23">
        <f t="shared" si="18"/>
        <v>37</v>
      </c>
      <c r="K187" s="23">
        <f>IFERROR(INDEX('Input Statistiche 2025_26'!$I$3:$I$665,MATCH($A187,'Input Statistiche 2025_26'!$A$3:$A$665,0)),"")</f>
        <v>0</v>
      </c>
      <c r="L187" s="23">
        <f>IFERROR(INDEX('Input Statistiche 2025_26'!$O$3:$O$665,MATCH($A187,'Input Statistiche 2025_26'!$A$3:$A$665,0)),"")</f>
        <v>0</v>
      </c>
      <c r="M187" s="25"/>
      <c r="N187" s="24">
        <f>IFERROR(INDEX('Input Giocatori 2026_27'!$E$3:$E$493,MATCH($A187,'Input Giocatori 2026_27'!$A$3:$A$493,0)),"")</f>
        <v>6</v>
      </c>
      <c r="O187" s="24">
        <f>IFERROR(INDEX('Input Giocatori 2026_27'!$G$3:$G$493,MATCH($A187,'Input Giocatori 2026_27'!$A$3:$A$493,0)),"")</f>
        <v>18</v>
      </c>
      <c r="P187" s="23" t="str">
        <f>IFERROR(IF($O187="","",IF((1-(COUNTIFS($B$2:$B$492,$B187,$O$2:$O$492,"&gt;"&amp;$O187)+1-1)/COUNTIF($B$2:$B$492,$B187))&gt;='Parametri Modello'!$B$63,"Top",IF((1-(COUNTIFS($B$2:$B$492,$B187,$O$2:$O$492,"&gt;"&amp;$O187)+1-1)/COUNTIF($B$2:$B$492,$B187))&gt;='Parametri Modello'!$B$64,"Buono",IF((1-(COUNTIFS($B$2:$B$492,$B187,$O$2:$O$492,"&gt;"&amp;$O187)+1-1)/COUNTIF($B$2:$B$492,$B187))&gt;='Parametri Modello'!$B$65,"Nella Media","Scommessa/Riserva")))),"")</f>
        <v>Buono</v>
      </c>
      <c r="Q187" s="26">
        <f>IF(AND($D187="",$N187&gt;1),SUMPRODUCT(($D$2:$D187="")*($N$2:$N187&gt;1)),"")</f>
        <v>186</v>
      </c>
      <c r="R187" s="26" t="str">
        <f>IF($D187='Info Lega'!$B$28,COUNTIFS($D$2:$D187,'Info Lega'!$B$28),"")</f>
        <v/>
      </c>
      <c r="S187" s="27">
        <f>IFERROR(INDEX('Input Statistiche 2025_26'!$G$3:$G$665,MATCH($A187,'Input Statistiche 2025_26'!$A$3:$A$665,0)),"")</f>
        <v>6.5</v>
      </c>
      <c r="T187" s="27">
        <f>IFERROR(INDEX('Input Statistiche 2025_26'!$H$3:$H$665,MATCH($A187,'Input Statistiche 2025_26'!$A$3:$A$665,0)),"")</f>
        <v>6.5</v>
      </c>
      <c r="U187" s="23" t="str">
        <f>IF(OR('La Mia Rosa'!$O$12="",$D187&lt;&gt;""),"",IF($F187&lt;='La Mia Rosa'!$O$12*'Parametri Modello'!$B$24,"OK",IF($F187&lt;='La Mia Rosa'!$O$12*'Parametri Modello'!$B$25,"Attenzione","Rischio Alto")))</f>
        <v>OK</v>
      </c>
      <c r="V187" s="23">
        <f t="shared" si="19"/>
        <v>45</v>
      </c>
      <c r="W187" s="18">
        <f>'Info Lega'!$B$4-SUMIFS($M$2:$M$492,$D$2:$D$492,'Info Lega'!$B$28)</f>
        <v>1000</v>
      </c>
      <c r="X187" s="18">
        <f>('Info Lega'!$B$5-COUNTIFS($D$2:$D$492,'Info Lega'!$B$28,$B$2:$B$492,"P"))+('Info Lega'!$B$6-COUNTIFS($D$2:$D$492,'Info Lega'!$B$28,$B$2:$B$492,"D"))+('Info Lega'!$B$7-COUNTIFS($D$2:$D$492,'Info Lega'!$B$28,$B$2:$B$492,"C"))+('Info Lega'!$B$8-COUNTIFS($D$2:$D$492,'Info Lega'!$B$28,$B$2:$B$492,"A"))</f>
        <v>25</v>
      </c>
      <c r="Y187" s="18">
        <f>X187*'Parametri Modello'!$B$30</f>
        <v>25</v>
      </c>
      <c r="Z187" s="18">
        <f t="shared" si="20"/>
        <v>975</v>
      </c>
      <c r="AA187" s="18">
        <f t="shared" si="21"/>
        <v>3</v>
      </c>
      <c r="AB187" s="18"/>
      <c r="AC187" s="18" t="str">
        <f>IF($AB187="","",IF($AB187&gt;$AA187,"PASS",IF($AB187&lt;=$AA187*(1-'Parametri Modello'!$B$68),"BID","ATTENZIONE")))</f>
        <v/>
      </c>
      <c r="AD187" s="28">
        <f t="shared" si="22"/>
        <v>3</v>
      </c>
      <c r="AE187" s="5" t="str">
        <f>IFERROR(INDEX('Stato Asta'!$G$9:$G$12,MATCH($B187,'Stato Asta'!$A$9:$A$12,0)),"")</f>
        <v>🔴 Non aspettare</v>
      </c>
      <c r="AF187" t="str">
        <f>IFERROR(IF($V187&lt;=INDEX('Parametri Modello'!$C$57:$C$60,MATCH($B187,'Parametri Modello'!$A$57:$A$60,0)),"Titolare","Riserva"),"")</f>
        <v>Riserva</v>
      </c>
      <c r="AG187" t="str">
        <f>IFERROR(INDEX('Pressione Competitiva'!$F$3:$F$6,MATCH($B187,'Pressione Competitiva'!$B$3:$B$6,0)),"")</f>
        <v>🔴 Molto Alta</v>
      </c>
      <c r="AH187" t="str">
        <f t="shared" si="23"/>
        <v/>
      </c>
      <c r="AI187" t="str">
        <f>IFERROR(IF($AH187="","",IF($AH187&gt;=$AA187*'Parametri Modello'!$B$68,"🟢 Opportunita'",IF($AH187&lt;=$AA187*'Parametri Modello'!$B$69,"🔴 Sovrapprezzo","🟡 Prezzo Corretto"))),"")</f>
        <v/>
      </c>
      <c r="AJ187" t="str">
        <f t="shared" si="24"/>
        <v/>
      </c>
      <c r="AK187">
        <f t="shared" si="25"/>
        <v>27</v>
      </c>
      <c r="AL187" t="str">
        <f t="shared" si="26"/>
        <v>D|Buono|27</v>
      </c>
    </row>
    <row r="188" spans="1:38" ht="14.25" customHeight="1" x14ac:dyDescent="0.25">
      <c r="A188" s="18">
        <v>6663</v>
      </c>
      <c r="B188" s="18" t="s">
        <v>16</v>
      </c>
      <c r="C188" s="18" t="s">
        <v>327</v>
      </c>
      <c r="E188" s="23" t="str">
        <f>IF(COUNTIF('Info Strategia'!$D$2:$D$51,$C188)&gt;0,"SI","NO")</f>
        <v>NO</v>
      </c>
      <c r="F188" s="24">
        <f>IFERROR(ROUND(($G188+($H188-$G188)*'Info Strategia'!$B$6)*(1+IF($E188="SI",'Parametri Modello'!$B$7*'Info Strategia'!$B$6,0)),0),"")</f>
        <v>3</v>
      </c>
      <c r="G188" s="24">
        <f>IFERROR(ROUND(MAX(1,(IF($V188&lt;=INDEX('Parametri Modello'!$C$57:$C$60,MATCH($B188,'Parametri Modello'!$A$57:$A$60,0)),IF(INDEX('Parametri Modello'!$E$57:$E$60,MATCH($B188,'Parametri Modello'!$A$57:$A$60,0))=0,0,($O188/INDEX('Parametri Modello'!$E$57:$E$60,MATCH($B188,'Parametri Modello'!$A$57:$A$60,0)))*(INDEX('Parametri Modello'!$D$57:$D$60,MATCH($B188,'Parametri Modello'!$A$57:$A$60,0))*(INDEX('Parametri Modello'!$B$50:$B$53,MATCH($B188,'Parametri Modello'!$A$50:$A$53,0))*'Parametri Modello'!$B$44))),IF(INDEX('Parametri Modello'!$F$57:$F$60,MATCH($B188,'Parametri Modello'!$A$57:$A$60,0))=0,0,($O188/INDEX('Parametri Modello'!$F$57:$F$60,MATCH($B188,'Parametri Modello'!$A$57:$A$60,0)))*((1-INDEX('Parametri Modello'!$D$57:$D$60,MATCH($B188,'Parametri Modello'!$A$57:$A$60,0)))*(INDEX('Parametri Modello'!$B$50:$B$53,MATCH($B188,'Parametri Modello'!$A$50:$A$53,0))*'Parametri Modello'!$B$44))))*(1+IF(IF($B188="D",'Info Lega'!$B$25,IF($B188="C",'Info Lega'!$B$26,"No"))="Si",'Parametri Modello'!$B$5,0))*(1+MAX(-0.25,MIN(0.25,IF(OR($T188="",$I188="",$I188=0,INDEX('Parametri Modello'!$B$19:$B$22,MATCH($B188,'Parametri Modello'!$A$19:$A$22,0))="",INDEX('Parametri Modello'!$B$19:$B$22,MATCH($B188,'Parametri Modello'!$A$19:$A$22,0))=0),0,(($T188-INDEX('Parametri Modello'!$B$19:$B$22,MATCH($B188,'Parametri Modello'!$A$19:$A$22,0)))/INDEX('Parametri Modello'!$B$19:$B$22,MATCH($B188,'Parametri Modello'!$A$19:$A$22,0)))*'Parametri Modello'!$B$9))))*(1+IF('Parametri Modello'!$B$27="Si",MAX(-'Parametri Modello'!$B$28,MIN('Parametri Modello'!$B$28*1.5,IF(OR(INDEX('Parametri Modello'!$F$32:$F$35,MATCH($B188,'Parametri Modello'!$A$32:$A$35,0))="",INDEX('Parametri Modello'!$F$32:$F$35,MATCH($B188,'Parametri Modello'!$A$32:$A$35,0))=0),0,(1/INDEX('Parametri Modello'!$F$32:$F$35,MATCH($B188,'Parametri Modello'!$A$32:$A$35,0))-1)*'Parametri Modello'!$B$28))),0)))*(1-INDEX('Parametri Modello'!$B$12:$B$15,MATCH($B188,'Parametri Modello'!$A$12:$A$15,0)))),0),"")</f>
        <v>2</v>
      </c>
      <c r="H188" s="24">
        <f>IFERROR(ROUND((IF($V188&lt;=INDEX('Parametri Modello'!$C$57:$C$60,MATCH($B188,'Parametri Modello'!$A$57:$A$60,0)),IF(INDEX('Parametri Modello'!$E$57:$E$60,MATCH($B188,'Parametri Modello'!$A$57:$A$60,0))=0,0,($O188/INDEX('Parametri Modello'!$E$57:$E$60,MATCH($B188,'Parametri Modello'!$A$57:$A$60,0)))*(INDEX('Parametri Modello'!$D$57:$D$60,MATCH($B188,'Parametri Modello'!$A$57:$A$60,0))*(INDEX('Parametri Modello'!$B$50:$B$53,MATCH($B188,'Parametri Modello'!$A$50:$A$53,0))*'Parametri Modello'!$B$44))),IF(INDEX('Parametri Modello'!$F$57:$F$60,MATCH($B188,'Parametri Modello'!$A$57:$A$60,0))=0,0,($O188/INDEX('Parametri Modello'!$F$57:$F$60,MATCH($B188,'Parametri Modello'!$A$57:$A$60,0)))*((1-INDEX('Parametri Modello'!$D$57:$D$60,MATCH($B188,'Parametri Modello'!$A$57:$A$60,0)))*(INDEX('Parametri Modello'!$B$50:$B$53,MATCH($B188,'Parametri Modello'!$A$50:$A$53,0))*'Parametri Modello'!$B$44))))*(1+IF(IF($B188="D",'Info Lega'!$B$25,IF($B188="C",'Info Lega'!$B$26,"No"))="Si",'Parametri Modello'!$B$5,0))*(1+MAX(-0.25,MIN(0.25,IF(OR($T188="",$I188="",$I188=0,INDEX('Parametri Modello'!$B$19:$B$22,MATCH($B188,'Parametri Modello'!$A$19:$A$22,0))="",INDEX('Parametri Modello'!$B$19:$B$22,MATCH($B188,'Parametri Modello'!$A$19:$A$22,0))=0),0,(($T188-INDEX('Parametri Modello'!$B$19:$B$22,MATCH($B188,'Parametri Modello'!$A$19:$A$22,0)))/INDEX('Parametri Modello'!$B$19:$B$22,MATCH($B188,'Parametri Modello'!$A$19:$A$22,0)))*'Parametri Modello'!$B$9))))*(1+IF('Parametri Modello'!$B$27="Si",MAX(-'Parametri Modello'!$B$28,MIN('Parametri Modello'!$B$28*1.5,IF(OR(INDEX('Parametri Modello'!$F$32:$F$35,MATCH($B188,'Parametri Modello'!$A$32:$A$35,0))="",INDEX('Parametri Modello'!$F$32:$F$35,MATCH($B188,'Parametri Modello'!$A$32:$A$35,0))=0),0,(1/INDEX('Parametri Modello'!$F$32:$F$35,MATCH($B188,'Parametri Modello'!$A$32:$A$35,0))-1)*'Parametri Modello'!$B$28))),0)))*(1+INDEX('Parametri Modello'!$B$12:$B$15,MATCH($B188,'Parametri Modello'!$A$12:$A$15,0))),0),"")</f>
        <v>4</v>
      </c>
      <c r="I188" s="23">
        <f>IFERROR(INDEX('Input Statistiche 2025_26'!$F$3:$F$665,MATCH($A188,'Input Statistiche 2025_26'!$A$3:$A$665,0)),"")</f>
        <v>31</v>
      </c>
      <c r="J188" s="23">
        <f t="shared" si="18"/>
        <v>7</v>
      </c>
      <c r="K188" s="23">
        <f>IFERROR(INDEX('Input Statistiche 2025_26'!$I$3:$I$665,MATCH($A188,'Input Statistiche 2025_26'!$A$3:$A$665,0)),"")</f>
        <v>1</v>
      </c>
      <c r="L188" s="23">
        <f>IFERROR(INDEX('Input Statistiche 2025_26'!$O$3:$O$665,MATCH($A188,'Input Statistiche 2025_26'!$A$3:$A$665,0)),"")</f>
        <v>0</v>
      </c>
      <c r="M188" s="25"/>
      <c r="N188" s="24">
        <f>IFERROR(INDEX('Input Giocatori 2026_27'!$E$3:$E$493,MATCH($A188,'Input Giocatori 2026_27'!$A$3:$A$493,0)),"")</f>
        <v>6</v>
      </c>
      <c r="O188" s="24">
        <f>IFERROR(INDEX('Input Giocatori 2026_27'!$G$3:$G$493,MATCH($A188,'Input Giocatori 2026_27'!$A$3:$A$493,0)),"")</f>
        <v>18</v>
      </c>
      <c r="P188" s="23" t="str">
        <f>IFERROR(IF($O188="","",IF((1-(COUNTIFS($B$2:$B$492,$B188,$O$2:$O$492,"&gt;"&amp;$O188)+1-1)/COUNTIF($B$2:$B$492,$B188))&gt;='Parametri Modello'!$B$63,"Top",IF((1-(COUNTIFS($B$2:$B$492,$B188,$O$2:$O$492,"&gt;"&amp;$O188)+1-1)/COUNTIF($B$2:$B$492,$B188))&gt;='Parametri Modello'!$B$64,"Buono",IF((1-(COUNTIFS($B$2:$B$492,$B188,$O$2:$O$492,"&gt;"&amp;$O188)+1-1)/COUNTIF($B$2:$B$492,$B188))&gt;='Parametri Modello'!$B$65,"Nella Media","Scommessa/Riserva")))),"")</f>
        <v>Buono</v>
      </c>
      <c r="Q188" s="26">
        <f>IF(AND($D188="",$N188&gt;1),SUMPRODUCT(($D$2:$D188="")*($N$2:$N188&gt;1)),"")</f>
        <v>187</v>
      </c>
      <c r="R188" s="26" t="str">
        <f>IF($D188='Info Lega'!$B$28,COUNTIFS($D$2:$D188,'Info Lega'!$B$28),"")</f>
        <v/>
      </c>
      <c r="S188" s="27">
        <f>IFERROR(INDEX('Input Statistiche 2025_26'!$G$3:$G$665,MATCH($A188,'Input Statistiche 2025_26'!$A$3:$A$665,0)),"")</f>
        <v>5.92</v>
      </c>
      <c r="T188" s="27">
        <f>IFERROR(INDEX('Input Statistiche 2025_26'!$H$3:$H$665,MATCH($A188,'Input Statistiche 2025_26'!$A$3:$A$665,0)),"")</f>
        <v>5.92</v>
      </c>
      <c r="U188" s="23" t="str">
        <f>IF(OR('La Mia Rosa'!$O$12="",$D188&lt;&gt;""),"",IF($F188&lt;='La Mia Rosa'!$O$12*'Parametri Modello'!$B$24,"OK",IF($F188&lt;='La Mia Rosa'!$O$12*'Parametri Modello'!$B$25,"Attenzione","Rischio Alto")))</f>
        <v>OK</v>
      </c>
      <c r="V188" s="23">
        <f t="shared" si="19"/>
        <v>45</v>
      </c>
      <c r="W188" s="18">
        <f>'Info Lega'!$B$4-SUMIFS($M$2:$M$492,$D$2:$D$492,'Info Lega'!$B$28)</f>
        <v>1000</v>
      </c>
      <c r="X188" s="18">
        <f>('Info Lega'!$B$5-COUNTIFS($D$2:$D$492,'Info Lega'!$B$28,$B$2:$B$492,"P"))+('Info Lega'!$B$6-COUNTIFS($D$2:$D$492,'Info Lega'!$B$28,$B$2:$B$492,"D"))+('Info Lega'!$B$7-COUNTIFS($D$2:$D$492,'Info Lega'!$B$28,$B$2:$B$492,"C"))+('Info Lega'!$B$8-COUNTIFS($D$2:$D$492,'Info Lega'!$B$28,$B$2:$B$492,"A"))</f>
        <v>25</v>
      </c>
      <c r="Y188" s="18">
        <f>X188*'Parametri Modello'!$B$30</f>
        <v>25</v>
      </c>
      <c r="Z188" s="18">
        <f t="shared" si="20"/>
        <v>975</v>
      </c>
      <c r="AA188" s="18">
        <f t="shared" si="21"/>
        <v>3</v>
      </c>
      <c r="AB188" s="18"/>
      <c r="AC188" s="18" t="str">
        <f>IF($AB188="","",IF($AB188&gt;$AA188,"PASS",IF($AB188&lt;=$AA188*(1-'Parametri Modello'!$B$68),"BID","ATTENZIONE")))</f>
        <v/>
      </c>
      <c r="AD188" s="28">
        <f t="shared" si="22"/>
        <v>64</v>
      </c>
      <c r="AE188" s="5" t="str">
        <f>IFERROR(INDEX('Stato Asta'!$G$9:$G$12,MATCH($B188,'Stato Asta'!$A$9:$A$12,0)),"")</f>
        <v>🔴 Non aspettare</v>
      </c>
      <c r="AF188" t="str">
        <f>IFERROR(IF($V188&lt;=INDEX('Parametri Modello'!$C$57:$C$60,MATCH($B188,'Parametri Modello'!$A$57:$A$60,0)),"Titolare","Riserva"),"")</f>
        <v>Riserva</v>
      </c>
      <c r="AG188" t="str">
        <f>IFERROR(INDEX('Pressione Competitiva'!$F$3:$F$6,MATCH($B188,'Pressione Competitiva'!$B$3:$B$6,0)),"")</f>
        <v>🔴 Molto Alta</v>
      </c>
      <c r="AH188" t="str">
        <f t="shared" si="23"/>
        <v/>
      </c>
      <c r="AI188" t="str">
        <f>IFERROR(IF($AH188="","",IF($AH188&gt;=$AA188*'Parametri Modello'!$B$68,"🟢 Opportunita'",IF($AH188&lt;=$AA188*'Parametri Modello'!$B$69,"🔴 Sovrapprezzo","🟡 Prezzo Corretto"))),"")</f>
        <v/>
      </c>
      <c r="AJ188" t="str">
        <f t="shared" si="24"/>
        <v/>
      </c>
      <c r="AK188">
        <f t="shared" si="25"/>
        <v>27</v>
      </c>
      <c r="AL188" t="str">
        <f t="shared" si="26"/>
        <v>D|Buono|27</v>
      </c>
    </row>
    <row r="189" spans="1:38" ht="14.25" customHeight="1" x14ac:dyDescent="0.25">
      <c r="A189" s="18">
        <v>5858</v>
      </c>
      <c r="B189" s="18" t="s">
        <v>17</v>
      </c>
      <c r="C189" s="18" t="s">
        <v>328</v>
      </c>
      <c r="E189" s="23" t="str">
        <f>IF(COUNTIF('Info Strategia'!$D$2:$D$51,$C189)&gt;0,"SI","NO")</f>
        <v>NO</v>
      </c>
      <c r="F189" s="24">
        <f>IFERROR(ROUND(($G189+($H189-$G189)*'Info Strategia'!$B$6)*(1+IF($E189="SI",'Parametri Modello'!$B$7*'Info Strategia'!$B$6,0)),0),"")</f>
        <v>3</v>
      </c>
      <c r="G189" s="24">
        <f>IFERROR(ROUND(MAX(1,(IF($V189&lt;=INDEX('Parametri Modello'!$C$57:$C$60,MATCH($B189,'Parametri Modello'!$A$57:$A$60,0)),IF(INDEX('Parametri Modello'!$E$57:$E$60,MATCH($B189,'Parametri Modello'!$A$57:$A$60,0))=0,0,($O189/INDEX('Parametri Modello'!$E$57:$E$60,MATCH($B189,'Parametri Modello'!$A$57:$A$60,0)))*(INDEX('Parametri Modello'!$D$57:$D$60,MATCH($B189,'Parametri Modello'!$A$57:$A$60,0))*(INDEX('Parametri Modello'!$B$50:$B$53,MATCH($B189,'Parametri Modello'!$A$50:$A$53,0))*'Parametri Modello'!$B$44))),IF(INDEX('Parametri Modello'!$F$57:$F$60,MATCH($B189,'Parametri Modello'!$A$57:$A$60,0))=0,0,($O189/INDEX('Parametri Modello'!$F$57:$F$60,MATCH($B189,'Parametri Modello'!$A$57:$A$60,0)))*((1-INDEX('Parametri Modello'!$D$57:$D$60,MATCH($B189,'Parametri Modello'!$A$57:$A$60,0)))*(INDEX('Parametri Modello'!$B$50:$B$53,MATCH($B189,'Parametri Modello'!$A$50:$A$53,0))*'Parametri Modello'!$B$44))))*(1+IF(IF($B189="D",'Info Lega'!$B$25,IF($B189="C",'Info Lega'!$B$26,"No"))="Si",'Parametri Modello'!$B$5,0))*(1+MAX(-0.25,MIN(0.25,IF(OR($T189="",$I189="",$I189=0,INDEX('Parametri Modello'!$B$19:$B$22,MATCH($B189,'Parametri Modello'!$A$19:$A$22,0))="",INDEX('Parametri Modello'!$B$19:$B$22,MATCH($B189,'Parametri Modello'!$A$19:$A$22,0))=0),0,(($T189-INDEX('Parametri Modello'!$B$19:$B$22,MATCH($B189,'Parametri Modello'!$A$19:$A$22,0)))/INDEX('Parametri Modello'!$B$19:$B$22,MATCH($B189,'Parametri Modello'!$A$19:$A$22,0)))*'Parametri Modello'!$B$9))))*(1+IF('Parametri Modello'!$B$27="Si",MAX(-'Parametri Modello'!$B$28,MIN('Parametri Modello'!$B$28*1.5,IF(OR(INDEX('Parametri Modello'!$F$32:$F$35,MATCH($B189,'Parametri Modello'!$A$32:$A$35,0))="",INDEX('Parametri Modello'!$F$32:$F$35,MATCH($B189,'Parametri Modello'!$A$32:$A$35,0))=0),0,(1/INDEX('Parametri Modello'!$F$32:$F$35,MATCH($B189,'Parametri Modello'!$A$32:$A$35,0))-1)*'Parametri Modello'!$B$28))),0)))*(1-INDEX('Parametri Modello'!$B$12:$B$15,MATCH($B189,'Parametri Modello'!$A$12:$A$15,0)))),0),"")</f>
        <v>2</v>
      </c>
      <c r="H189" s="24">
        <f>IFERROR(ROUND((IF($V189&lt;=INDEX('Parametri Modello'!$C$57:$C$60,MATCH($B189,'Parametri Modello'!$A$57:$A$60,0)),IF(INDEX('Parametri Modello'!$E$57:$E$60,MATCH($B189,'Parametri Modello'!$A$57:$A$60,0))=0,0,($O189/INDEX('Parametri Modello'!$E$57:$E$60,MATCH($B189,'Parametri Modello'!$A$57:$A$60,0)))*(INDEX('Parametri Modello'!$D$57:$D$60,MATCH($B189,'Parametri Modello'!$A$57:$A$60,0))*(INDEX('Parametri Modello'!$B$50:$B$53,MATCH($B189,'Parametri Modello'!$A$50:$A$53,0))*'Parametri Modello'!$B$44))),IF(INDEX('Parametri Modello'!$F$57:$F$60,MATCH($B189,'Parametri Modello'!$A$57:$A$60,0))=0,0,($O189/INDEX('Parametri Modello'!$F$57:$F$60,MATCH($B189,'Parametri Modello'!$A$57:$A$60,0)))*((1-INDEX('Parametri Modello'!$D$57:$D$60,MATCH($B189,'Parametri Modello'!$A$57:$A$60,0)))*(INDEX('Parametri Modello'!$B$50:$B$53,MATCH($B189,'Parametri Modello'!$A$50:$A$53,0))*'Parametri Modello'!$B$44))))*(1+IF(IF($B189="D",'Info Lega'!$B$25,IF($B189="C",'Info Lega'!$B$26,"No"))="Si",'Parametri Modello'!$B$5,0))*(1+MAX(-0.25,MIN(0.25,IF(OR($T189="",$I189="",$I189=0,INDEX('Parametri Modello'!$B$19:$B$22,MATCH($B189,'Parametri Modello'!$A$19:$A$22,0))="",INDEX('Parametri Modello'!$B$19:$B$22,MATCH($B189,'Parametri Modello'!$A$19:$A$22,0))=0),0,(($T189-INDEX('Parametri Modello'!$B$19:$B$22,MATCH($B189,'Parametri Modello'!$A$19:$A$22,0)))/INDEX('Parametri Modello'!$B$19:$B$22,MATCH($B189,'Parametri Modello'!$A$19:$A$22,0)))*'Parametri Modello'!$B$9))))*(1+IF('Parametri Modello'!$B$27="Si",MAX(-'Parametri Modello'!$B$28,MIN('Parametri Modello'!$B$28*1.5,IF(OR(INDEX('Parametri Modello'!$F$32:$F$35,MATCH($B189,'Parametri Modello'!$A$32:$A$35,0))="",INDEX('Parametri Modello'!$F$32:$F$35,MATCH($B189,'Parametri Modello'!$A$32:$A$35,0))=0),0,(1/INDEX('Parametri Modello'!$F$32:$F$35,MATCH($B189,'Parametri Modello'!$A$32:$A$35,0))-1)*'Parametri Modello'!$B$28))),0)))*(1+INDEX('Parametri Modello'!$B$12:$B$15,MATCH($B189,'Parametri Modello'!$A$12:$A$15,0))),0),"")</f>
        <v>3</v>
      </c>
      <c r="I189" s="23">
        <f>IFERROR(INDEX('Input Statistiche 2025_26'!$F$3:$F$665,MATCH($A189,'Input Statistiche 2025_26'!$A$3:$A$665,0)),"")</f>
        <v>23</v>
      </c>
      <c r="J189" s="23">
        <f t="shared" si="18"/>
        <v>15</v>
      </c>
      <c r="K189" s="23">
        <f>IFERROR(INDEX('Input Statistiche 2025_26'!$I$3:$I$665,MATCH($A189,'Input Statistiche 2025_26'!$A$3:$A$665,0)),"")</f>
        <v>1</v>
      </c>
      <c r="L189" s="23">
        <f>IFERROR(INDEX('Input Statistiche 2025_26'!$O$3:$O$665,MATCH($A189,'Input Statistiche 2025_26'!$A$3:$A$665,0)),"")</f>
        <v>0</v>
      </c>
      <c r="M189" s="25"/>
      <c r="N189" s="24">
        <f>IFERROR(INDEX('Input Giocatori 2026_27'!$E$3:$E$493,MATCH($A189,'Input Giocatori 2026_27'!$A$3:$A$493,0)),"")</f>
        <v>7</v>
      </c>
      <c r="O189" s="24">
        <f>IFERROR(INDEX('Input Giocatori 2026_27'!$G$3:$G$493,MATCH($A189,'Input Giocatori 2026_27'!$A$3:$A$493,0)),"")</f>
        <v>18</v>
      </c>
      <c r="P189" s="23" t="str">
        <f>IFERROR(IF($O189="","",IF((1-(COUNTIFS($B$2:$B$492,$B189,$O$2:$O$492,"&gt;"&amp;$O189)+1-1)/COUNTIF($B$2:$B$492,$B189))&gt;='Parametri Modello'!$B$63,"Top",IF((1-(COUNTIFS($B$2:$B$492,$B189,$O$2:$O$492,"&gt;"&amp;$O189)+1-1)/COUNTIF($B$2:$B$492,$B189))&gt;='Parametri Modello'!$B$64,"Buono",IF((1-(COUNTIFS($B$2:$B$492,$B189,$O$2:$O$492,"&gt;"&amp;$O189)+1-1)/COUNTIF($B$2:$B$492,$B189))&gt;='Parametri Modello'!$B$65,"Nella Media","Scommessa/Riserva")))),"")</f>
        <v>Nella Media</v>
      </c>
      <c r="Q189" s="26">
        <f>IF(AND($D189="",$N189&gt;1),SUMPRODUCT(($D$2:$D189="")*($N$2:$N189&gt;1)),"")</f>
        <v>188</v>
      </c>
      <c r="R189" s="26" t="str">
        <f>IF($D189='Info Lega'!$B$28,COUNTIFS($D$2:$D189,'Info Lega'!$B$28),"")</f>
        <v/>
      </c>
      <c r="S189" s="27">
        <f>IFERROR(INDEX('Input Statistiche 2025_26'!$G$3:$G$665,MATCH($A189,'Input Statistiche 2025_26'!$A$3:$A$665,0)),"")</f>
        <v>5.8</v>
      </c>
      <c r="T189" s="27">
        <f>IFERROR(INDEX('Input Statistiche 2025_26'!$H$3:$H$665,MATCH($A189,'Input Statistiche 2025_26'!$A$3:$A$665,0)),"")</f>
        <v>5.78</v>
      </c>
      <c r="U189" s="23" t="str">
        <f>IF(OR('La Mia Rosa'!$O$12="",$D189&lt;&gt;""),"",IF($F189&lt;='La Mia Rosa'!$O$12*'Parametri Modello'!$B$24,"OK",IF($F189&lt;='La Mia Rosa'!$O$12*'Parametri Modello'!$B$25,"Attenzione","Rischio Alto")))</f>
        <v>OK</v>
      </c>
      <c r="V189" s="23">
        <f t="shared" si="19"/>
        <v>71</v>
      </c>
      <c r="W189" s="18">
        <f>'Info Lega'!$B$4-SUMIFS($M$2:$M$492,$D$2:$D$492,'Info Lega'!$B$28)</f>
        <v>1000</v>
      </c>
      <c r="X189" s="18">
        <f>('Info Lega'!$B$5-COUNTIFS($D$2:$D$492,'Info Lega'!$B$28,$B$2:$B$492,"P"))+('Info Lega'!$B$6-COUNTIFS($D$2:$D$492,'Info Lega'!$B$28,$B$2:$B$492,"D"))+('Info Lega'!$B$7-COUNTIFS($D$2:$D$492,'Info Lega'!$B$28,$B$2:$B$492,"C"))+('Info Lega'!$B$8-COUNTIFS($D$2:$D$492,'Info Lega'!$B$28,$B$2:$B$492,"A"))</f>
        <v>25</v>
      </c>
      <c r="Y189" s="18">
        <f>X189*'Parametri Modello'!$B$30</f>
        <v>25</v>
      </c>
      <c r="Z189" s="18">
        <f t="shared" si="20"/>
        <v>975</v>
      </c>
      <c r="AA189" s="18">
        <f t="shared" si="21"/>
        <v>3</v>
      </c>
      <c r="AB189" s="18"/>
      <c r="AC189" s="18" t="str">
        <f>IF($AB189="","",IF($AB189&gt;$AA189,"PASS",IF($AB189&lt;=$AA189*(1-'Parametri Modello'!$B$68),"BID","ATTENZIONE")))</f>
        <v/>
      </c>
      <c r="AD189" s="28">
        <f t="shared" si="22"/>
        <v>54</v>
      </c>
      <c r="AE189" s="5" t="str">
        <f>IFERROR(INDEX('Stato Asta'!$G$9:$G$12,MATCH($B189,'Stato Asta'!$A$9:$A$12,0)),"")</f>
        <v>🔴 Non aspettare</v>
      </c>
      <c r="AF189" t="str">
        <f>IFERROR(IF($V189&lt;=INDEX('Parametri Modello'!$C$57:$C$60,MATCH($B189,'Parametri Modello'!$A$57:$A$60,0)),"Titolare","Riserva"),"")</f>
        <v>Riserva</v>
      </c>
      <c r="AG189" t="str">
        <f>IFERROR(INDEX('Pressione Competitiva'!$F$3:$F$6,MATCH($B189,'Pressione Competitiva'!$B$3:$B$6,0)),"")</f>
        <v>🔴 Molto Alta</v>
      </c>
      <c r="AH189" t="str">
        <f t="shared" si="23"/>
        <v/>
      </c>
      <c r="AI189" t="str">
        <f>IFERROR(IF($AH189="","",IF($AH189&gt;=$AA189*'Parametri Modello'!$B$68,"🟢 Opportunita'",IF($AH189&lt;=$AA189*'Parametri Modello'!$B$69,"🔴 Sovrapprezzo","🟡 Prezzo Corretto"))),"")</f>
        <v/>
      </c>
      <c r="AJ189" t="str">
        <f t="shared" si="24"/>
        <v/>
      </c>
      <c r="AK189">
        <f t="shared" si="25"/>
        <v>16</v>
      </c>
      <c r="AL189" t="str">
        <f t="shared" si="26"/>
        <v>C|Nella Media|16</v>
      </c>
    </row>
    <row r="190" spans="1:38" ht="14.25" customHeight="1" x14ac:dyDescent="0.25">
      <c r="A190" s="18">
        <v>6020</v>
      </c>
      <c r="B190" s="18" t="s">
        <v>17</v>
      </c>
      <c r="C190" s="18" t="s">
        <v>329</v>
      </c>
      <c r="E190" s="23" t="str">
        <f>IF(COUNTIF('Info Strategia'!$D$2:$D$51,$C190)&gt;0,"SI","NO")</f>
        <v>NO</v>
      </c>
      <c r="F190" s="24">
        <f>IFERROR(ROUND(($G190+($H190-$G190)*'Info Strategia'!$B$6)*(1+IF($E190="SI",'Parametri Modello'!$B$7*'Info Strategia'!$B$6,0)),0),"")</f>
        <v>3</v>
      </c>
      <c r="G190" s="24">
        <f>IFERROR(ROUND(MAX(1,(IF($V190&lt;=INDEX('Parametri Modello'!$C$57:$C$60,MATCH($B190,'Parametri Modello'!$A$57:$A$60,0)),IF(INDEX('Parametri Modello'!$E$57:$E$60,MATCH($B190,'Parametri Modello'!$A$57:$A$60,0))=0,0,($O190/INDEX('Parametri Modello'!$E$57:$E$60,MATCH($B190,'Parametri Modello'!$A$57:$A$60,0)))*(INDEX('Parametri Modello'!$D$57:$D$60,MATCH($B190,'Parametri Modello'!$A$57:$A$60,0))*(INDEX('Parametri Modello'!$B$50:$B$53,MATCH($B190,'Parametri Modello'!$A$50:$A$53,0))*'Parametri Modello'!$B$44))),IF(INDEX('Parametri Modello'!$F$57:$F$60,MATCH($B190,'Parametri Modello'!$A$57:$A$60,0))=0,0,($O190/INDEX('Parametri Modello'!$F$57:$F$60,MATCH($B190,'Parametri Modello'!$A$57:$A$60,0)))*((1-INDEX('Parametri Modello'!$D$57:$D$60,MATCH($B190,'Parametri Modello'!$A$57:$A$60,0)))*(INDEX('Parametri Modello'!$B$50:$B$53,MATCH($B190,'Parametri Modello'!$A$50:$A$53,0))*'Parametri Modello'!$B$44))))*(1+IF(IF($B190="D",'Info Lega'!$B$25,IF($B190="C",'Info Lega'!$B$26,"No"))="Si",'Parametri Modello'!$B$5,0))*(1+MAX(-0.25,MIN(0.25,IF(OR($T190="",$I190="",$I190=0,INDEX('Parametri Modello'!$B$19:$B$22,MATCH($B190,'Parametri Modello'!$A$19:$A$22,0))="",INDEX('Parametri Modello'!$B$19:$B$22,MATCH($B190,'Parametri Modello'!$A$19:$A$22,0))=0),0,(($T190-INDEX('Parametri Modello'!$B$19:$B$22,MATCH($B190,'Parametri Modello'!$A$19:$A$22,0)))/INDEX('Parametri Modello'!$B$19:$B$22,MATCH($B190,'Parametri Modello'!$A$19:$A$22,0)))*'Parametri Modello'!$B$9))))*(1+IF('Parametri Modello'!$B$27="Si",MAX(-'Parametri Modello'!$B$28,MIN('Parametri Modello'!$B$28*1.5,IF(OR(INDEX('Parametri Modello'!$F$32:$F$35,MATCH($B190,'Parametri Modello'!$A$32:$A$35,0))="",INDEX('Parametri Modello'!$F$32:$F$35,MATCH($B190,'Parametri Modello'!$A$32:$A$35,0))=0),0,(1/INDEX('Parametri Modello'!$F$32:$F$35,MATCH($B190,'Parametri Modello'!$A$32:$A$35,0))-1)*'Parametri Modello'!$B$28))),0)))*(1-INDEX('Parametri Modello'!$B$12:$B$15,MATCH($B190,'Parametri Modello'!$A$12:$A$15,0)))),0),"")</f>
        <v>2</v>
      </c>
      <c r="H190" s="24">
        <f>IFERROR(ROUND((IF($V190&lt;=INDEX('Parametri Modello'!$C$57:$C$60,MATCH($B190,'Parametri Modello'!$A$57:$A$60,0)),IF(INDEX('Parametri Modello'!$E$57:$E$60,MATCH($B190,'Parametri Modello'!$A$57:$A$60,0))=0,0,($O190/INDEX('Parametri Modello'!$E$57:$E$60,MATCH($B190,'Parametri Modello'!$A$57:$A$60,0)))*(INDEX('Parametri Modello'!$D$57:$D$60,MATCH($B190,'Parametri Modello'!$A$57:$A$60,0))*(INDEX('Parametri Modello'!$B$50:$B$53,MATCH($B190,'Parametri Modello'!$A$50:$A$53,0))*'Parametri Modello'!$B$44))),IF(INDEX('Parametri Modello'!$F$57:$F$60,MATCH($B190,'Parametri Modello'!$A$57:$A$60,0))=0,0,($O190/INDEX('Parametri Modello'!$F$57:$F$60,MATCH($B190,'Parametri Modello'!$A$57:$A$60,0)))*((1-INDEX('Parametri Modello'!$D$57:$D$60,MATCH($B190,'Parametri Modello'!$A$57:$A$60,0)))*(INDEX('Parametri Modello'!$B$50:$B$53,MATCH($B190,'Parametri Modello'!$A$50:$A$53,0))*'Parametri Modello'!$B$44))))*(1+IF(IF($B190="D",'Info Lega'!$B$25,IF($B190="C",'Info Lega'!$B$26,"No"))="Si",'Parametri Modello'!$B$5,0))*(1+MAX(-0.25,MIN(0.25,IF(OR($T190="",$I190="",$I190=0,INDEX('Parametri Modello'!$B$19:$B$22,MATCH($B190,'Parametri Modello'!$A$19:$A$22,0))="",INDEX('Parametri Modello'!$B$19:$B$22,MATCH($B190,'Parametri Modello'!$A$19:$A$22,0))=0),0,(($T190-INDEX('Parametri Modello'!$B$19:$B$22,MATCH($B190,'Parametri Modello'!$A$19:$A$22,0)))/INDEX('Parametri Modello'!$B$19:$B$22,MATCH($B190,'Parametri Modello'!$A$19:$A$22,0)))*'Parametri Modello'!$B$9))))*(1+IF('Parametri Modello'!$B$27="Si",MAX(-'Parametri Modello'!$B$28,MIN('Parametri Modello'!$B$28*1.5,IF(OR(INDEX('Parametri Modello'!$F$32:$F$35,MATCH($B190,'Parametri Modello'!$A$32:$A$35,0))="",INDEX('Parametri Modello'!$F$32:$F$35,MATCH($B190,'Parametri Modello'!$A$32:$A$35,0))=0),0,(1/INDEX('Parametri Modello'!$F$32:$F$35,MATCH($B190,'Parametri Modello'!$A$32:$A$35,0))-1)*'Parametri Modello'!$B$28))),0)))*(1+INDEX('Parametri Modello'!$B$12:$B$15,MATCH($B190,'Parametri Modello'!$A$12:$A$15,0))),0),"")</f>
        <v>3</v>
      </c>
      <c r="I190" s="23">
        <f>IFERROR(INDEX('Input Statistiche 2025_26'!$F$3:$F$665,MATCH($A190,'Input Statistiche 2025_26'!$A$3:$A$665,0)),"")</f>
        <v>35</v>
      </c>
      <c r="J190" s="23">
        <f t="shared" si="18"/>
        <v>3</v>
      </c>
      <c r="K190" s="23">
        <f>IFERROR(INDEX('Input Statistiche 2025_26'!$I$3:$I$665,MATCH($A190,'Input Statistiche 2025_26'!$A$3:$A$665,0)),"")</f>
        <v>1</v>
      </c>
      <c r="L190" s="23">
        <f>IFERROR(INDEX('Input Statistiche 2025_26'!$O$3:$O$665,MATCH($A190,'Input Statistiche 2025_26'!$A$3:$A$665,0)),"")</f>
        <v>1</v>
      </c>
      <c r="M190" s="25"/>
      <c r="N190" s="24">
        <f>IFERROR(INDEX('Input Giocatori 2026_27'!$E$3:$E$493,MATCH($A190,'Input Giocatori 2026_27'!$A$3:$A$493,0)),"")</f>
        <v>6</v>
      </c>
      <c r="O190" s="24">
        <f>IFERROR(INDEX('Input Giocatori 2026_27'!$G$3:$G$493,MATCH($A190,'Input Giocatori 2026_27'!$A$3:$A$493,0)),"")</f>
        <v>18</v>
      </c>
      <c r="P190" s="23" t="str">
        <f>IFERROR(IF($O190="","",IF((1-(COUNTIFS($B$2:$B$492,$B190,$O$2:$O$492,"&gt;"&amp;$O190)+1-1)/COUNTIF($B$2:$B$492,$B190))&gt;='Parametri Modello'!$B$63,"Top",IF((1-(COUNTIFS($B$2:$B$492,$B190,$O$2:$O$492,"&gt;"&amp;$O190)+1-1)/COUNTIF($B$2:$B$492,$B190))&gt;='Parametri Modello'!$B$64,"Buono",IF((1-(COUNTIFS($B$2:$B$492,$B190,$O$2:$O$492,"&gt;"&amp;$O190)+1-1)/COUNTIF($B$2:$B$492,$B190))&gt;='Parametri Modello'!$B$65,"Nella Media","Scommessa/Riserva")))),"")</f>
        <v>Nella Media</v>
      </c>
      <c r="Q190" s="26">
        <f>IF(AND($D190="",$N190&gt;1),SUMPRODUCT(($D$2:$D190="")*($N$2:$N190&gt;1)),"")</f>
        <v>189</v>
      </c>
      <c r="R190" s="26" t="str">
        <f>IF($D190='Info Lega'!$B$28,COUNTIFS($D$2:$D190,'Info Lega'!$B$28),"")</f>
        <v/>
      </c>
      <c r="S190" s="27">
        <f>IFERROR(INDEX('Input Statistiche 2025_26'!$G$3:$G$665,MATCH($A190,'Input Statistiche 2025_26'!$A$3:$A$665,0)),"")</f>
        <v>5.84</v>
      </c>
      <c r="T190" s="27">
        <f>IFERROR(INDEX('Input Statistiche 2025_26'!$H$3:$H$665,MATCH($A190,'Input Statistiche 2025_26'!$A$3:$A$665,0)),"")</f>
        <v>5.91</v>
      </c>
      <c r="U190" s="23" t="str">
        <f>IF(OR('La Mia Rosa'!$O$12="",$D190&lt;&gt;""),"",IF($F190&lt;='La Mia Rosa'!$O$12*'Parametri Modello'!$B$24,"OK",IF($F190&lt;='La Mia Rosa'!$O$12*'Parametri Modello'!$B$25,"Attenzione","Rischio Alto")))</f>
        <v>OK</v>
      </c>
      <c r="V190" s="23">
        <f t="shared" si="19"/>
        <v>71</v>
      </c>
      <c r="W190" s="18">
        <f>'Info Lega'!$B$4-SUMIFS($M$2:$M$492,$D$2:$D$492,'Info Lega'!$B$28)</f>
        <v>1000</v>
      </c>
      <c r="X190" s="18">
        <f>('Info Lega'!$B$5-COUNTIFS($D$2:$D$492,'Info Lega'!$B$28,$B$2:$B$492,"P"))+('Info Lega'!$B$6-COUNTIFS($D$2:$D$492,'Info Lega'!$B$28,$B$2:$B$492,"D"))+('Info Lega'!$B$7-COUNTIFS($D$2:$D$492,'Info Lega'!$B$28,$B$2:$B$492,"C"))+('Info Lega'!$B$8-COUNTIFS($D$2:$D$492,'Info Lega'!$B$28,$B$2:$B$492,"A"))</f>
        <v>25</v>
      </c>
      <c r="Y190" s="18">
        <f>X190*'Parametri Modello'!$B$30</f>
        <v>25</v>
      </c>
      <c r="Z190" s="18">
        <f t="shared" si="20"/>
        <v>975</v>
      </c>
      <c r="AA190" s="18">
        <f t="shared" si="21"/>
        <v>3</v>
      </c>
      <c r="AB190" s="18"/>
      <c r="AC190" s="18" t="str">
        <f>IF($AB190="","",IF($AB190&gt;$AA190,"PASS",IF($AB190&lt;=$AA190*(1-'Parametri Modello'!$B$68),"BID","ATTENZIONE")))</f>
        <v/>
      </c>
      <c r="AD190" s="28">
        <f t="shared" si="22"/>
        <v>69</v>
      </c>
      <c r="AE190" s="5" t="str">
        <f>IFERROR(INDEX('Stato Asta'!$G$9:$G$12,MATCH($B190,'Stato Asta'!$A$9:$A$12,0)),"")</f>
        <v>🔴 Non aspettare</v>
      </c>
      <c r="AF190" t="str">
        <f>IFERROR(IF($V190&lt;=INDEX('Parametri Modello'!$C$57:$C$60,MATCH($B190,'Parametri Modello'!$A$57:$A$60,0)),"Titolare","Riserva"),"")</f>
        <v>Riserva</v>
      </c>
      <c r="AG190" t="str">
        <f>IFERROR(INDEX('Pressione Competitiva'!$F$3:$F$6,MATCH($B190,'Pressione Competitiva'!$B$3:$B$6,0)),"")</f>
        <v>🔴 Molto Alta</v>
      </c>
      <c r="AH190" t="str">
        <f t="shared" si="23"/>
        <v/>
      </c>
      <c r="AI190" t="str">
        <f>IFERROR(IF($AH190="","",IF($AH190&gt;=$AA190*'Parametri Modello'!$B$68,"🟢 Opportunita'",IF($AH190&lt;=$AA190*'Parametri Modello'!$B$69,"🔴 Sovrapprezzo","🟡 Prezzo Corretto"))),"")</f>
        <v/>
      </c>
      <c r="AJ190" t="str">
        <f t="shared" si="24"/>
        <v/>
      </c>
      <c r="AK190">
        <f t="shared" si="25"/>
        <v>16</v>
      </c>
      <c r="AL190" t="str">
        <f t="shared" si="26"/>
        <v>C|Nella Media|16</v>
      </c>
    </row>
    <row r="191" spans="1:38" ht="14.25" customHeight="1" x14ac:dyDescent="0.25">
      <c r="A191" s="18">
        <v>5761</v>
      </c>
      <c r="B191" s="18" t="s">
        <v>17</v>
      </c>
      <c r="C191" s="18" t="s">
        <v>330</v>
      </c>
      <c r="E191" s="23" t="str">
        <f>IF(COUNTIF('Info Strategia'!$D$2:$D$51,$C191)&gt;0,"SI","NO")</f>
        <v>NO</v>
      </c>
      <c r="F191" s="24">
        <f>IFERROR(ROUND(($G191+($H191-$G191)*'Info Strategia'!$B$6)*(1+IF($E191="SI",'Parametri Modello'!$B$7*'Info Strategia'!$B$6,0)),0),"")</f>
        <v>3</v>
      </c>
      <c r="G191" s="24">
        <f>IFERROR(ROUND(MAX(1,(IF($V191&lt;=INDEX('Parametri Modello'!$C$57:$C$60,MATCH($B191,'Parametri Modello'!$A$57:$A$60,0)),IF(INDEX('Parametri Modello'!$E$57:$E$60,MATCH($B191,'Parametri Modello'!$A$57:$A$60,0))=0,0,($O191/INDEX('Parametri Modello'!$E$57:$E$60,MATCH($B191,'Parametri Modello'!$A$57:$A$60,0)))*(INDEX('Parametri Modello'!$D$57:$D$60,MATCH($B191,'Parametri Modello'!$A$57:$A$60,0))*(INDEX('Parametri Modello'!$B$50:$B$53,MATCH($B191,'Parametri Modello'!$A$50:$A$53,0))*'Parametri Modello'!$B$44))),IF(INDEX('Parametri Modello'!$F$57:$F$60,MATCH($B191,'Parametri Modello'!$A$57:$A$60,0))=0,0,($O191/INDEX('Parametri Modello'!$F$57:$F$60,MATCH($B191,'Parametri Modello'!$A$57:$A$60,0)))*((1-INDEX('Parametri Modello'!$D$57:$D$60,MATCH($B191,'Parametri Modello'!$A$57:$A$60,0)))*(INDEX('Parametri Modello'!$B$50:$B$53,MATCH($B191,'Parametri Modello'!$A$50:$A$53,0))*'Parametri Modello'!$B$44))))*(1+IF(IF($B191="D",'Info Lega'!$B$25,IF($B191="C",'Info Lega'!$B$26,"No"))="Si",'Parametri Modello'!$B$5,0))*(1+MAX(-0.25,MIN(0.25,IF(OR($T191="",$I191="",$I191=0,INDEX('Parametri Modello'!$B$19:$B$22,MATCH($B191,'Parametri Modello'!$A$19:$A$22,0))="",INDEX('Parametri Modello'!$B$19:$B$22,MATCH($B191,'Parametri Modello'!$A$19:$A$22,0))=0),0,(($T191-INDEX('Parametri Modello'!$B$19:$B$22,MATCH($B191,'Parametri Modello'!$A$19:$A$22,0)))/INDEX('Parametri Modello'!$B$19:$B$22,MATCH($B191,'Parametri Modello'!$A$19:$A$22,0)))*'Parametri Modello'!$B$9))))*(1+IF('Parametri Modello'!$B$27="Si",MAX(-'Parametri Modello'!$B$28,MIN('Parametri Modello'!$B$28*1.5,IF(OR(INDEX('Parametri Modello'!$F$32:$F$35,MATCH($B191,'Parametri Modello'!$A$32:$A$35,0))="",INDEX('Parametri Modello'!$F$32:$F$35,MATCH($B191,'Parametri Modello'!$A$32:$A$35,0))=0),0,(1/INDEX('Parametri Modello'!$F$32:$F$35,MATCH($B191,'Parametri Modello'!$A$32:$A$35,0))-1)*'Parametri Modello'!$B$28))),0)))*(1-INDEX('Parametri Modello'!$B$12:$B$15,MATCH($B191,'Parametri Modello'!$A$12:$A$15,0)))),0),"")</f>
        <v>2</v>
      </c>
      <c r="H191" s="24">
        <f>IFERROR(ROUND((IF($V191&lt;=INDEX('Parametri Modello'!$C$57:$C$60,MATCH($B191,'Parametri Modello'!$A$57:$A$60,0)),IF(INDEX('Parametri Modello'!$E$57:$E$60,MATCH($B191,'Parametri Modello'!$A$57:$A$60,0))=0,0,($O191/INDEX('Parametri Modello'!$E$57:$E$60,MATCH($B191,'Parametri Modello'!$A$57:$A$60,0)))*(INDEX('Parametri Modello'!$D$57:$D$60,MATCH($B191,'Parametri Modello'!$A$57:$A$60,0))*(INDEX('Parametri Modello'!$B$50:$B$53,MATCH($B191,'Parametri Modello'!$A$50:$A$53,0))*'Parametri Modello'!$B$44))),IF(INDEX('Parametri Modello'!$F$57:$F$60,MATCH($B191,'Parametri Modello'!$A$57:$A$60,0))=0,0,($O191/INDEX('Parametri Modello'!$F$57:$F$60,MATCH($B191,'Parametri Modello'!$A$57:$A$60,0)))*((1-INDEX('Parametri Modello'!$D$57:$D$60,MATCH($B191,'Parametri Modello'!$A$57:$A$60,0)))*(INDEX('Parametri Modello'!$B$50:$B$53,MATCH($B191,'Parametri Modello'!$A$50:$A$53,0))*'Parametri Modello'!$B$44))))*(1+IF(IF($B191="D",'Info Lega'!$B$25,IF($B191="C",'Info Lega'!$B$26,"No"))="Si",'Parametri Modello'!$B$5,0))*(1+MAX(-0.25,MIN(0.25,IF(OR($T191="",$I191="",$I191=0,INDEX('Parametri Modello'!$B$19:$B$22,MATCH($B191,'Parametri Modello'!$A$19:$A$22,0))="",INDEX('Parametri Modello'!$B$19:$B$22,MATCH($B191,'Parametri Modello'!$A$19:$A$22,0))=0),0,(($T191-INDEX('Parametri Modello'!$B$19:$B$22,MATCH($B191,'Parametri Modello'!$A$19:$A$22,0)))/INDEX('Parametri Modello'!$B$19:$B$22,MATCH($B191,'Parametri Modello'!$A$19:$A$22,0)))*'Parametri Modello'!$B$9))))*(1+IF('Parametri Modello'!$B$27="Si",MAX(-'Parametri Modello'!$B$28,MIN('Parametri Modello'!$B$28*1.5,IF(OR(INDEX('Parametri Modello'!$F$32:$F$35,MATCH($B191,'Parametri Modello'!$A$32:$A$35,0))="",INDEX('Parametri Modello'!$F$32:$F$35,MATCH($B191,'Parametri Modello'!$A$32:$A$35,0))=0),0,(1/INDEX('Parametri Modello'!$F$32:$F$35,MATCH($B191,'Parametri Modello'!$A$32:$A$35,0))-1)*'Parametri Modello'!$B$28))),0)))*(1+INDEX('Parametri Modello'!$B$12:$B$15,MATCH($B191,'Parametri Modello'!$A$12:$A$15,0))),0),"")</f>
        <v>3</v>
      </c>
      <c r="I191" s="23">
        <f>IFERROR(INDEX('Input Statistiche 2025_26'!$F$3:$F$665,MATCH($A191,'Input Statistiche 2025_26'!$A$3:$A$665,0)),"")</f>
        <v>12</v>
      </c>
      <c r="J191" s="23">
        <f t="shared" si="18"/>
        <v>26</v>
      </c>
      <c r="K191" s="23">
        <f>IFERROR(INDEX('Input Statistiche 2025_26'!$I$3:$I$665,MATCH($A191,'Input Statistiche 2025_26'!$A$3:$A$665,0)),"")</f>
        <v>0</v>
      </c>
      <c r="L191" s="23">
        <f>IFERROR(INDEX('Input Statistiche 2025_26'!$O$3:$O$665,MATCH($A191,'Input Statistiche 2025_26'!$A$3:$A$665,0)),"")</f>
        <v>0</v>
      </c>
      <c r="M191" s="25"/>
      <c r="N191" s="24">
        <f>IFERROR(INDEX('Input Giocatori 2026_27'!$E$3:$E$493,MATCH($A191,'Input Giocatori 2026_27'!$A$3:$A$493,0)),"")</f>
        <v>6</v>
      </c>
      <c r="O191" s="24">
        <f>IFERROR(INDEX('Input Giocatori 2026_27'!$G$3:$G$493,MATCH($A191,'Input Giocatori 2026_27'!$A$3:$A$493,0)),"")</f>
        <v>18</v>
      </c>
      <c r="P191" s="23" t="str">
        <f>IFERROR(IF($O191="","",IF((1-(COUNTIFS($B$2:$B$492,$B191,$O$2:$O$492,"&gt;"&amp;$O191)+1-1)/COUNTIF($B$2:$B$492,$B191))&gt;='Parametri Modello'!$B$63,"Top",IF((1-(COUNTIFS($B$2:$B$492,$B191,$O$2:$O$492,"&gt;"&amp;$O191)+1-1)/COUNTIF($B$2:$B$492,$B191))&gt;='Parametri Modello'!$B$64,"Buono",IF((1-(COUNTIFS($B$2:$B$492,$B191,$O$2:$O$492,"&gt;"&amp;$O191)+1-1)/COUNTIF($B$2:$B$492,$B191))&gt;='Parametri Modello'!$B$65,"Nella Media","Scommessa/Riserva")))),"")</f>
        <v>Nella Media</v>
      </c>
      <c r="Q191" s="26">
        <f>IF(AND($D191="",$N191&gt;1),SUMPRODUCT(($D$2:$D191="")*($N$2:$N191&gt;1)),"")</f>
        <v>190</v>
      </c>
      <c r="R191" s="26" t="str">
        <f>IF($D191='Info Lega'!$B$28,COUNTIFS($D$2:$D191,'Info Lega'!$B$28),"")</f>
        <v/>
      </c>
      <c r="S191" s="27">
        <f>IFERROR(INDEX('Input Statistiche 2025_26'!$G$3:$G$665,MATCH($A191,'Input Statistiche 2025_26'!$A$3:$A$665,0)),"")</f>
        <v>5.96</v>
      </c>
      <c r="T191" s="27">
        <f>IFERROR(INDEX('Input Statistiche 2025_26'!$H$3:$H$665,MATCH($A191,'Input Statistiche 2025_26'!$A$3:$A$665,0)),"")</f>
        <v>5.96</v>
      </c>
      <c r="U191" s="23" t="str">
        <f>IF(OR('La Mia Rosa'!$O$12="",$D191&lt;&gt;""),"",IF($F191&lt;='La Mia Rosa'!$O$12*'Parametri Modello'!$B$24,"OK",IF($F191&lt;='La Mia Rosa'!$O$12*'Parametri Modello'!$B$25,"Attenzione","Rischio Alto")))</f>
        <v>OK</v>
      </c>
      <c r="V191" s="23">
        <f t="shared" si="19"/>
        <v>71</v>
      </c>
      <c r="W191" s="18">
        <f>'Info Lega'!$B$4-SUMIFS($M$2:$M$492,$D$2:$D$492,'Info Lega'!$B$28)</f>
        <v>1000</v>
      </c>
      <c r="X191" s="18">
        <f>('Info Lega'!$B$5-COUNTIFS($D$2:$D$492,'Info Lega'!$B$28,$B$2:$B$492,"P"))+('Info Lega'!$B$6-COUNTIFS($D$2:$D$492,'Info Lega'!$B$28,$B$2:$B$492,"D"))+('Info Lega'!$B$7-COUNTIFS($D$2:$D$492,'Info Lega'!$B$28,$B$2:$B$492,"C"))+('Info Lega'!$B$8-COUNTIFS($D$2:$D$492,'Info Lega'!$B$28,$B$2:$B$492,"A"))</f>
        <v>25</v>
      </c>
      <c r="Y191" s="18">
        <f>X191*'Parametri Modello'!$B$30</f>
        <v>25</v>
      </c>
      <c r="Z191" s="18">
        <f t="shared" si="20"/>
        <v>975</v>
      </c>
      <c r="AA191" s="18">
        <f t="shared" si="21"/>
        <v>3</v>
      </c>
      <c r="AB191" s="18"/>
      <c r="AC191" s="18" t="str">
        <f>IF($AB191="","",IF($AB191&gt;$AA191,"PASS",IF($AB191&lt;=$AA191*(1-'Parametri Modello'!$B$68),"BID","ATTENZIONE")))</f>
        <v/>
      </c>
      <c r="AD191" s="28">
        <f t="shared" si="22"/>
        <v>33</v>
      </c>
      <c r="AE191" s="5" t="str">
        <f>IFERROR(INDEX('Stato Asta'!$G$9:$G$12,MATCH($B191,'Stato Asta'!$A$9:$A$12,0)),"")</f>
        <v>🔴 Non aspettare</v>
      </c>
      <c r="AF191" t="str">
        <f>IFERROR(IF($V191&lt;=INDEX('Parametri Modello'!$C$57:$C$60,MATCH($B191,'Parametri Modello'!$A$57:$A$60,0)),"Titolare","Riserva"),"")</f>
        <v>Riserva</v>
      </c>
      <c r="AG191" t="str">
        <f>IFERROR(INDEX('Pressione Competitiva'!$F$3:$F$6,MATCH($B191,'Pressione Competitiva'!$B$3:$B$6,0)),"")</f>
        <v>🔴 Molto Alta</v>
      </c>
      <c r="AH191" t="str">
        <f t="shared" si="23"/>
        <v/>
      </c>
      <c r="AI191" t="str">
        <f>IFERROR(IF($AH191="","",IF($AH191&gt;=$AA191*'Parametri Modello'!$B$68,"🟢 Opportunita'",IF($AH191&lt;=$AA191*'Parametri Modello'!$B$69,"🔴 Sovrapprezzo","🟡 Prezzo Corretto"))),"")</f>
        <v/>
      </c>
      <c r="AJ191" t="str">
        <f t="shared" si="24"/>
        <v/>
      </c>
      <c r="AK191">
        <f t="shared" si="25"/>
        <v>16</v>
      </c>
      <c r="AL191" t="str">
        <f t="shared" si="26"/>
        <v>C|Nella Media|16</v>
      </c>
    </row>
    <row r="192" spans="1:38" ht="14.25" customHeight="1" x14ac:dyDescent="0.25">
      <c r="A192" s="18">
        <v>4349</v>
      </c>
      <c r="B192" s="18" t="s">
        <v>17</v>
      </c>
      <c r="C192" s="18" t="s">
        <v>331</v>
      </c>
      <c r="E192" s="23" t="str">
        <f>IF(COUNTIF('Info Strategia'!$D$2:$D$51,$C192)&gt;0,"SI","NO")</f>
        <v>NO</v>
      </c>
      <c r="F192" s="24">
        <f>IFERROR(ROUND(($G192+($H192-$G192)*'Info Strategia'!$B$6)*(1+IF($E192="SI",'Parametri Modello'!$B$7*'Info Strategia'!$B$6,0)),0),"")</f>
        <v>3</v>
      </c>
      <c r="G192" s="24">
        <f>IFERROR(ROUND(MAX(1,(IF($V192&lt;=INDEX('Parametri Modello'!$C$57:$C$60,MATCH($B192,'Parametri Modello'!$A$57:$A$60,0)),IF(INDEX('Parametri Modello'!$E$57:$E$60,MATCH($B192,'Parametri Modello'!$A$57:$A$60,0))=0,0,($O192/INDEX('Parametri Modello'!$E$57:$E$60,MATCH($B192,'Parametri Modello'!$A$57:$A$60,0)))*(INDEX('Parametri Modello'!$D$57:$D$60,MATCH($B192,'Parametri Modello'!$A$57:$A$60,0))*(INDEX('Parametri Modello'!$B$50:$B$53,MATCH($B192,'Parametri Modello'!$A$50:$A$53,0))*'Parametri Modello'!$B$44))),IF(INDEX('Parametri Modello'!$F$57:$F$60,MATCH($B192,'Parametri Modello'!$A$57:$A$60,0))=0,0,($O192/INDEX('Parametri Modello'!$F$57:$F$60,MATCH($B192,'Parametri Modello'!$A$57:$A$60,0)))*((1-INDEX('Parametri Modello'!$D$57:$D$60,MATCH($B192,'Parametri Modello'!$A$57:$A$60,0)))*(INDEX('Parametri Modello'!$B$50:$B$53,MATCH($B192,'Parametri Modello'!$A$50:$A$53,0))*'Parametri Modello'!$B$44))))*(1+IF(IF($B192="D",'Info Lega'!$B$25,IF($B192="C",'Info Lega'!$B$26,"No"))="Si",'Parametri Modello'!$B$5,0))*(1+MAX(-0.25,MIN(0.25,IF(OR($T192="",$I192="",$I192=0,INDEX('Parametri Modello'!$B$19:$B$22,MATCH($B192,'Parametri Modello'!$A$19:$A$22,0))="",INDEX('Parametri Modello'!$B$19:$B$22,MATCH($B192,'Parametri Modello'!$A$19:$A$22,0))=0),0,(($T192-INDEX('Parametri Modello'!$B$19:$B$22,MATCH($B192,'Parametri Modello'!$A$19:$A$22,0)))/INDEX('Parametri Modello'!$B$19:$B$22,MATCH($B192,'Parametri Modello'!$A$19:$A$22,0)))*'Parametri Modello'!$B$9))))*(1+IF('Parametri Modello'!$B$27="Si",MAX(-'Parametri Modello'!$B$28,MIN('Parametri Modello'!$B$28*1.5,IF(OR(INDEX('Parametri Modello'!$F$32:$F$35,MATCH($B192,'Parametri Modello'!$A$32:$A$35,0))="",INDEX('Parametri Modello'!$F$32:$F$35,MATCH($B192,'Parametri Modello'!$A$32:$A$35,0))=0),0,(1/INDEX('Parametri Modello'!$F$32:$F$35,MATCH($B192,'Parametri Modello'!$A$32:$A$35,0))-1)*'Parametri Modello'!$B$28))),0)))*(1-INDEX('Parametri Modello'!$B$12:$B$15,MATCH($B192,'Parametri Modello'!$A$12:$A$15,0)))),0),"")</f>
        <v>2</v>
      </c>
      <c r="H192" s="24">
        <f>IFERROR(ROUND((IF($V192&lt;=INDEX('Parametri Modello'!$C$57:$C$60,MATCH($B192,'Parametri Modello'!$A$57:$A$60,0)),IF(INDEX('Parametri Modello'!$E$57:$E$60,MATCH($B192,'Parametri Modello'!$A$57:$A$60,0))=0,0,($O192/INDEX('Parametri Modello'!$E$57:$E$60,MATCH($B192,'Parametri Modello'!$A$57:$A$60,0)))*(INDEX('Parametri Modello'!$D$57:$D$60,MATCH($B192,'Parametri Modello'!$A$57:$A$60,0))*(INDEX('Parametri Modello'!$B$50:$B$53,MATCH($B192,'Parametri Modello'!$A$50:$A$53,0))*'Parametri Modello'!$B$44))),IF(INDEX('Parametri Modello'!$F$57:$F$60,MATCH($B192,'Parametri Modello'!$A$57:$A$60,0))=0,0,($O192/INDEX('Parametri Modello'!$F$57:$F$60,MATCH($B192,'Parametri Modello'!$A$57:$A$60,0)))*((1-INDEX('Parametri Modello'!$D$57:$D$60,MATCH($B192,'Parametri Modello'!$A$57:$A$60,0)))*(INDEX('Parametri Modello'!$B$50:$B$53,MATCH($B192,'Parametri Modello'!$A$50:$A$53,0))*'Parametri Modello'!$B$44))))*(1+IF(IF($B192="D",'Info Lega'!$B$25,IF($B192="C",'Info Lega'!$B$26,"No"))="Si",'Parametri Modello'!$B$5,0))*(1+MAX(-0.25,MIN(0.25,IF(OR($T192="",$I192="",$I192=0,INDEX('Parametri Modello'!$B$19:$B$22,MATCH($B192,'Parametri Modello'!$A$19:$A$22,0))="",INDEX('Parametri Modello'!$B$19:$B$22,MATCH($B192,'Parametri Modello'!$A$19:$A$22,0))=0),0,(($T192-INDEX('Parametri Modello'!$B$19:$B$22,MATCH($B192,'Parametri Modello'!$A$19:$A$22,0)))/INDEX('Parametri Modello'!$B$19:$B$22,MATCH($B192,'Parametri Modello'!$A$19:$A$22,0)))*'Parametri Modello'!$B$9))))*(1+IF('Parametri Modello'!$B$27="Si",MAX(-'Parametri Modello'!$B$28,MIN('Parametri Modello'!$B$28*1.5,IF(OR(INDEX('Parametri Modello'!$F$32:$F$35,MATCH($B192,'Parametri Modello'!$A$32:$A$35,0))="",INDEX('Parametri Modello'!$F$32:$F$35,MATCH($B192,'Parametri Modello'!$A$32:$A$35,0))=0),0,(1/INDEX('Parametri Modello'!$F$32:$F$35,MATCH($B192,'Parametri Modello'!$A$32:$A$35,0))-1)*'Parametri Modello'!$B$28))),0)))*(1+INDEX('Parametri Modello'!$B$12:$B$15,MATCH($B192,'Parametri Modello'!$A$12:$A$15,0))),0),"")</f>
        <v>3</v>
      </c>
      <c r="I192" s="23">
        <f>IFERROR(INDEX('Input Statistiche 2025_26'!$F$3:$F$665,MATCH($A192,'Input Statistiche 2025_26'!$A$3:$A$665,0)),"")</f>
        <v>23</v>
      </c>
      <c r="J192" s="23">
        <f t="shared" si="18"/>
        <v>15</v>
      </c>
      <c r="K192" s="23">
        <f>IFERROR(INDEX('Input Statistiche 2025_26'!$I$3:$I$665,MATCH($A192,'Input Statistiche 2025_26'!$A$3:$A$665,0)),"")</f>
        <v>0</v>
      </c>
      <c r="L192" s="23">
        <f>IFERROR(INDEX('Input Statistiche 2025_26'!$O$3:$O$665,MATCH($A192,'Input Statistiche 2025_26'!$A$3:$A$665,0)),"")</f>
        <v>4</v>
      </c>
      <c r="M192" s="25"/>
      <c r="N192" s="24">
        <f>IFERROR(INDEX('Input Giocatori 2026_27'!$E$3:$E$493,MATCH($A192,'Input Giocatori 2026_27'!$A$3:$A$493,0)),"")</f>
        <v>6</v>
      </c>
      <c r="O192" s="24">
        <f>IFERROR(INDEX('Input Giocatori 2026_27'!$G$3:$G$493,MATCH($A192,'Input Giocatori 2026_27'!$A$3:$A$493,0)),"")</f>
        <v>18</v>
      </c>
      <c r="P192" s="23" t="str">
        <f>IFERROR(IF($O192="","",IF((1-(COUNTIFS($B$2:$B$492,$B192,$O$2:$O$492,"&gt;"&amp;$O192)+1-1)/COUNTIF($B$2:$B$492,$B192))&gt;='Parametri Modello'!$B$63,"Top",IF((1-(COUNTIFS($B$2:$B$492,$B192,$O$2:$O$492,"&gt;"&amp;$O192)+1-1)/COUNTIF($B$2:$B$492,$B192))&gt;='Parametri Modello'!$B$64,"Buono",IF((1-(COUNTIFS($B$2:$B$492,$B192,$O$2:$O$492,"&gt;"&amp;$O192)+1-1)/COUNTIF($B$2:$B$492,$B192))&gt;='Parametri Modello'!$B$65,"Nella Media","Scommessa/Riserva")))),"")</f>
        <v>Nella Media</v>
      </c>
      <c r="Q192" s="26">
        <f>IF(AND($D192="",$N192&gt;1),SUMPRODUCT(($D$2:$D192="")*($N$2:$N192&gt;1)),"")</f>
        <v>191</v>
      </c>
      <c r="R192" s="26" t="str">
        <f>IF($D192='Info Lega'!$B$28,COUNTIFS($D$2:$D192,'Info Lega'!$B$28),"")</f>
        <v/>
      </c>
      <c r="S192" s="27">
        <f>IFERROR(INDEX('Input Statistiche 2025_26'!$G$3:$G$665,MATCH($A192,'Input Statistiche 2025_26'!$A$3:$A$665,0)),"")</f>
        <v>5.89</v>
      </c>
      <c r="T192" s="27">
        <f>IFERROR(INDEX('Input Statistiche 2025_26'!$H$3:$H$665,MATCH($A192,'Input Statistiche 2025_26'!$A$3:$A$665,0)),"")</f>
        <v>6.02</v>
      </c>
      <c r="U192" s="23" t="str">
        <f>IF(OR('La Mia Rosa'!$O$12="",$D192&lt;&gt;""),"",IF($F192&lt;='La Mia Rosa'!$O$12*'Parametri Modello'!$B$24,"OK",IF($F192&lt;='La Mia Rosa'!$O$12*'Parametri Modello'!$B$25,"Attenzione","Rischio Alto")))</f>
        <v>OK</v>
      </c>
      <c r="V192" s="23">
        <f t="shared" si="19"/>
        <v>71</v>
      </c>
      <c r="W192" s="18">
        <f>'Info Lega'!$B$4-SUMIFS($M$2:$M$492,$D$2:$D$492,'Info Lega'!$B$28)</f>
        <v>1000</v>
      </c>
      <c r="X192" s="18">
        <f>('Info Lega'!$B$5-COUNTIFS($D$2:$D$492,'Info Lega'!$B$28,$B$2:$B$492,"P"))+('Info Lega'!$B$6-COUNTIFS($D$2:$D$492,'Info Lega'!$B$28,$B$2:$B$492,"D"))+('Info Lega'!$B$7-COUNTIFS($D$2:$D$492,'Info Lega'!$B$28,$B$2:$B$492,"C"))+('Info Lega'!$B$8-COUNTIFS($D$2:$D$492,'Info Lega'!$B$28,$B$2:$B$492,"A"))</f>
        <v>25</v>
      </c>
      <c r="Y192" s="18">
        <f>X192*'Parametri Modello'!$B$30</f>
        <v>25</v>
      </c>
      <c r="Z192" s="18">
        <f t="shared" si="20"/>
        <v>975</v>
      </c>
      <c r="AA192" s="18">
        <f t="shared" si="21"/>
        <v>3</v>
      </c>
      <c r="AB192" s="18"/>
      <c r="AC192" s="18" t="str">
        <f>IF($AB192="","",IF($AB192&gt;$AA192,"PASS",IF($AB192&lt;=$AA192*(1-'Parametri Modello'!$B$68),"BID","ATTENZIONE")))</f>
        <v/>
      </c>
      <c r="AD192" s="28">
        <f t="shared" si="22"/>
        <v>54</v>
      </c>
      <c r="AE192" s="5" t="str">
        <f>IFERROR(INDEX('Stato Asta'!$G$9:$G$12,MATCH($B192,'Stato Asta'!$A$9:$A$12,0)),"")</f>
        <v>🔴 Non aspettare</v>
      </c>
      <c r="AF192" t="str">
        <f>IFERROR(IF($V192&lt;=INDEX('Parametri Modello'!$C$57:$C$60,MATCH($B192,'Parametri Modello'!$A$57:$A$60,0)),"Titolare","Riserva"),"")</f>
        <v>Riserva</v>
      </c>
      <c r="AG192" t="str">
        <f>IFERROR(INDEX('Pressione Competitiva'!$F$3:$F$6,MATCH($B192,'Pressione Competitiva'!$B$3:$B$6,0)),"")</f>
        <v>🔴 Molto Alta</v>
      </c>
      <c r="AH192" t="str">
        <f t="shared" si="23"/>
        <v/>
      </c>
      <c r="AI192" t="str">
        <f>IFERROR(IF($AH192="","",IF($AH192&gt;=$AA192*'Parametri Modello'!$B$68,"🟢 Opportunita'",IF($AH192&lt;=$AA192*'Parametri Modello'!$B$69,"🔴 Sovrapprezzo","🟡 Prezzo Corretto"))),"")</f>
        <v/>
      </c>
      <c r="AJ192" t="str">
        <f t="shared" si="24"/>
        <v/>
      </c>
      <c r="AK192">
        <f t="shared" si="25"/>
        <v>16</v>
      </c>
      <c r="AL192" t="str">
        <f t="shared" si="26"/>
        <v>C|Nella Media|16</v>
      </c>
    </row>
    <row r="193" spans="1:38" ht="14.25" customHeight="1" x14ac:dyDescent="0.25">
      <c r="A193" s="18">
        <v>6984</v>
      </c>
      <c r="B193" s="18" t="s">
        <v>17</v>
      </c>
      <c r="C193" s="18" t="s">
        <v>332</v>
      </c>
      <c r="E193" s="23" t="str">
        <f>IF(COUNTIF('Info Strategia'!$D$2:$D$51,$C193)&gt;0,"SI","NO")</f>
        <v>NO</v>
      </c>
      <c r="F193" s="24">
        <f>IFERROR(ROUND(($G193+($H193-$G193)*'Info Strategia'!$B$6)*(1+IF($E193="SI",'Parametri Modello'!$B$7*'Info Strategia'!$B$6,0)),0),"")</f>
        <v>3</v>
      </c>
      <c r="G193" s="24">
        <f>IFERROR(ROUND(MAX(1,(IF($V193&lt;=INDEX('Parametri Modello'!$C$57:$C$60,MATCH($B193,'Parametri Modello'!$A$57:$A$60,0)),IF(INDEX('Parametri Modello'!$E$57:$E$60,MATCH($B193,'Parametri Modello'!$A$57:$A$60,0))=0,0,($O193/INDEX('Parametri Modello'!$E$57:$E$60,MATCH($B193,'Parametri Modello'!$A$57:$A$60,0)))*(INDEX('Parametri Modello'!$D$57:$D$60,MATCH($B193,'Parametri Modello'!$A$57:$A$60,0))*(INDEX('Parametri Modello'!$B$50:$B$53,MATCH($B193,'Parametri Modello'!$A$50:$A$53,0))*'Parametri Modello'!$B$44))),IF(INDEX('Parametri Modello'!$F$57:$F$60,MATCH($B193,'Parametri Modello'!$A$57:$A$60,0))=0,0,($O193/INDEX('Parametri Modello'!$F$57:$F$60,MATCH($B193,'Parametri Modello'!$A$57:$A$60,0)))*((1-INDEX('Parametri Modello'!$D$57:$D$60,MATCH($B193,'Parametri Modello'!$A$57:$A$60,0)))*(INDEX('Parametri Modello'!$B$50:$B$53,MATCH($B193,'Parametri Modello'!$A$50:$A$53,0))*'Parametri Modello'!$B$44))))*(1+IF(IF($B193="D",'Info Lega'!$B$25,IF($B193="C",'Info Lega'!$B$26,"No"))="Si",'Parametri Modello'!$B$5,0))*(1+MAX(-0.25,MIN(0.25,IF(OR($T193="",$I193="",$I193=0,INDEX('Parametri Modello'!$B$19:$B$22,MATCH($B193,'Parametri Modello'!$A$19:$A$22,0))="",INDEX('Parametri Modello'!$B$19:$B$22,MATCH($B193,'Parametri Modello'!$A$19:$A$22,0))=0),0,(($T193-INDEX('Parametri Modello'!$B$19:$B$22,MATCH($B193,'Parametri Modello'!$A$19:$A$22,0)))/INDEX('Parametri Modello'!$B$19:$B$22,MATCH($B193,'Parametri Modello'!$A$19:$A$22,0)))*'Parametri Modello'!$B$9))))*(1+IF('Parametri Modello'!$B$27="Si",MAX(-'Parametri Modello'!$B$28,MIN('Parametri Modello'!$B$28*1.5,IF(OR(INDEX('Parametri Modello'!$F$32:$F$35,MATCH($B193,'Parametri Modello'!$A$32:$A$35,0))="",INDEX('Parametri Modello'!$F$32:$F$35,MATCH($B193,'Parametri Modello'!$A$32:$A$35,0))=0),0,(1/INDEX('Parametri Modello'!$F$32:$F$35,MATCH($B193,'Parametri Modello'!$A$32:$A$35,0))-1)*'Parametri Modello'!$B$28))),0)))*(1-INDEX('Parametri Modello'!$B$12:$B$15,MATCH($B193,'Parametri Modello'!$A$12:$A$15,0)))),0),"")</f>
        <v>2</v>
      </c>
      <c r="H193" s="24">
        <f>IFERROR(ROUND((IF($V193&lt;=INDEX('Parametri Modello'!$C$57:$C$60,MATCH($B193,'Parametri Modello'!$A$57:$A$60,0)),IF(INDEX('Parametri Modello'!$E$57:$E$60,MATCH($B193,'Parametri Modello'!$A$57:$A$60,0))=0,0,($O193/INDEX('Parametri Modello'!$E$57:$E$60,MATCH($B193,'Parametri Modello'!$A$57:$A$60,0)))*(INDEX('Parametri Modello'!$D$57:$D$60,MATCH($B193,'Parametri Modello'!$A$57:$A$60,0))*(INDEX('Parametri Modello'!$B$50:$B$53,MATCH($B193,'Parametri Modello'!$A$50:$A$53,0))*'Parametri Modello'!$B$44))),IF(INDEX('Parametri Modello'!$F$57:$F$60,MATCH($B193,'Parametri Modello'!$A$57:$A$60,0))=0,0,($O193/INDEX('Parametri Modello'!$F$57:$F$60,MATCH($B193,'Parametri Modello'!$A$57:$A$60,0)))*((1-INDEX('Parametri Modello'!$D$57:$D$60,MATCH($B193,'Parametri Modello'!$A$57:$A$60,0)))*(INDEX('Parametri Modello'!$B$50:$B$53,MATCH($B193,'Parametri Modello'!$A$50:$A$53,0))*'Parametri Modello'!$B$44))))*(1+IF(IF($B193="D",'Info Lega'!$B$25,IF($B193="C",'Info Lega'!$B$26,"No"))="Si",'Parametri Modello'!$B$5,0))*(1+MAX(-0.25,MIN(0.25,IF(OR($T193="",$I193="",$I193=0,INDEX('Parametri Modello'!$B$19:$B$22,MATCH($B193,'Parametri Modello'!$A$19:$A$22,0))="",INDEX('Parametri Modello'!$B$19:$B$22,MATCH($B193,'Parametri Modello'!$A$19:$A$22,0))=0),0,(($T193-INDEX('Parametri Modello'!$B$19:$B$22,MATCH($B193,'Parametri Modello'!$A$19:$A$22,0)))/INDEX('Parametri Modello'!$B$19:$B$22,MATCH($B193,'Parametri Modello'!$A$19:$A$22,0)))*'Parametri Modello'!$B$9))))*(1+IF('Parametri Modello'!$B$27="Si",MAX(-'Parametri Modello'!$B$28,MIN('Parametri Modello'!$B$28*1.5,IF(OR(INDEX('Parametri Modello'!$F$32:$F$35,MATCH($B193,'Parametri Modello'!$A$32:$A$35,0))="",INDEX('Parametri Modello'!$F$32:$F$35,MATCH($B193,'Parametri Modello'!$A$32:$A$35,0))=0),0,(1/INDEX('Parametri Modello'!$F$32:$F$35,MATCH($B193,'Parametri Modello'!$A$32:$A$35,0))-1)*'Parametri Modello'!$B$28))),0)))*(1+INDEX('Parametri Modello'!$B$12:$B$15,MATCH($B193,'Parametri Modello'!$A$12:$A$15,0))),0),"")</f>
        <v>3</v>
      </c>
      <c r="I193" s="23">
        <f>IFERROR(INDEX('Input Statistiche 2025_26'!$F$3:$F$665,MATCH($A193,'Input Statistiche 2025_26'!$A$3:$A$665,0)),"")</f>
        <v>15</v>
      </c>
      <c r="J193" s="23">
        <f t="shared" si="18"/>
        <v>23</v>
      </c>
      <c r="K193" s="23">
        <f>IFERROR(INDEX('Input Statistiche 2025_26'!$I$3:$I$665,MATCH($A193,'Input Statistiche 2025_26'!$A$3:$A$665,0)),"")</f>
        <v>0</v>
      </c>
      <c r="L193" s="23">
        <f>IFERROR(INDEX('Input Statistiche 2025_26'!$O$3:$O$665,MATCH($A193,'Input Statistiche 2025_26'!$A$3:$A$665,0)),"")</f>
        <v>0</v>
      </c>
      <c r="M193" s="25"/>
      <c r="N193" s="24">
        <f>IFERROR(INDEX('Input Giocatori 2026_27'!$E$3:$E$493,MATCH($A193,'Input Giocatori 2026_27'!$A$3:$A$493,0)),"")</f>
        <v>5</v>
      </c>
      <c r="O193" s="24">
        <f>IFERROR(INDEX('Input Giocatori 2026_27'!$G$3:$G$493,MATCH($A193,'Input Giocatori 2026_27'!$A$3:$A$493,0)),"")</f>
        <v>18</v>
      </c>
      <c r="P193" s="23" t="str">
        <f>IFERROR(IF($O193="","",IF((1-(COUNTIFS($B$2:$B$492,$B193,$O$2:$O$492,"&gt;"&amp;$O193)+1-1)/COUNTIF($B$2:$B$492,$B193))&gt;='Parametri Modello'!$B$63,"Top",IF((1-(COUNTIFS($B$2:$B$492,$B193,$O$2:$O$492,"&gt;"&amp;$O193)+1-1)/COUNTIF($B$2:$B$492,$B193))&gt;='Parametri Modello'!$B$64,"Buono",IF((1-(COUNTIFS($B$2:$B$492,$B193,$O$2:$O$492,"&gt;"&amp;$O193)+1-1)/COUNTIF($B$2:$B$492,$B193))&gt;='Parametri Modello'!$B$65,"Nella Media","Scommessa/Riserva")))),"")</f>
        <v>Nella Media</v>
      </c>
      <c r="Q193" s="26">
        <f>IF(AND($D193="",$N193&gt;1),SUMPRODUCT(($D$2:$D193="")*($N$2:$N193&gt;1)),"")</f>
        <v>192</v>
      </c>
      <c r="R193" s="26" t="str">
        <f>IF($D193='Info Lega'!$B$28,COUNTIFS($D$2:$D193,'Info Lega'!$B$28),"")</f>
        <v/>
      </c>
      <c r="S193" s="27">
        <f>IFERROR(INDEX('Input Statistiche 2025_26'!$G$3:$G$665,MATCH($A193,'Input Statistiche 2025_26'!$A$3:$A$665,0)),"")</f>
        <v>5.7</v>
      </c>
      <c r="T193" s="27">
        <f>IFERROR(INDEX('Input Statistiche 2025_26'!$H$3:$H$665,MATCH($A193,'Input Statistiche 2025_26'!$A$3:$A$665,0)),"")</f>
        <v>5.63</v>
      </c>
      <c r="U193" s="23" t="str">
        <f>IF(OR('La Mia Rosa'!$O$12="",$D193&lt;&gt;""),"",IF($F193&lt;='La Mia Rosa'!$O$12*'Parametri Modello'!$B$24,"OK",IF($F193&lt;='La Mia Rosa'!$O$12*'Parametri Modello'!$B$25,"Attenzione","Rischio Alto")))</f>
        <v>OK</v>
      </c>
      <c r="V193" s="23">
        <f t="shared" si="19"/>
        <v>71</v>
      </c>
      <c r="W193" s="18">
        <f>'Info Lega'!$B$4-SUMIFS($M$2:$M$492,$D$2:$D$492,'Info Lega'!$B$28)</f>
        <v>1000</v>
      </c>
      <c r="X193" s="18">
        <f>('Info Lega'!$B$5-COUNTIFS($D$2:$D$492,'Info Lega'!$B$28,$B$2:$B$492,"P"))+('Info Lega'!$B$6-COUNTIFS($D$2:$D$492,'Info Lega'!$B$28,$B$2:$B$492,"D"))+('Info Lega'!$B$7-COUNTIFS($D$2:$D$492,'Info Lega'!$B$28,$B$2:$B$492,"C"))+('Info Lega'!$B$8-COUNTIFS($D$2:$D$492,'Info Lega'!$B$28,$B$2:$B$492,"A"))</f>
        <v>25</v>
      </c>
      <c r="Y193" s="18">
        <f>X193*'Parametri Modello'!$B$30</f>
        <v>25</v>
      </c>
      <c r="Z193" s="18">
        <f t="shared" si="20"/>
        <v>975</v>
      </c>
      <c r="AA193" s="18">
        <f t="shared" si="21"/>
        <v>3</v>
      </c>
      <c r="AB193" s="18"/>
      <c r="AC193" s="18" t="str">
        <f>IF($AB193="","",IF($AB193&gt;$AA193,"PASS",IF($AB193&lt;=$AA193*(1-'Parametri Modello'!$B$68),"BID","ATTENZIONE")))</f>
        <v/>
      </c>
      <c r="AD193" s="28">
        <f t="shared" si="22"/>
        <v>39</v>
      </c>
      <c r="AE193" s="5" t="str">
        <f>IFERROR(INDEX('Stato Asta'!$G$9:$G$12,MATCH($B193,'Stato Asta'!$A$9:$A$12,0)),"")</f>
        <v>🔴 Non aspettare</v>
      </c>
      <c r="AF193" t="str">
        <f>IFERROR(IF($V193&lt;=INDEX('Parametri Modello'!$C$57:$C$60,MATCH($B193,'Parametri Modello'!$A$57:$A$60,0)),"Titolare","Riserva"),"")</f>
        <v>Riserva</v>
      </c>
      <c r="AG193" t="str">
        <f>IFERROR(INDEX('Pressione Competitiva'!$F$3:$F$6,MATCH($B193,'Pressione Competitiva'!$B$3:$B$6,0)),"")</f>
        <v>🔴 Molto Alta</v>
      </c>
      <c r="AH193" t="str">
        <f t="shared" si="23"/>
        <v/>
      </c>
      <c r="AI193" t="str">
        <f>IFERROR(IF($AH193="","",IF($AH193&gt;=$AA193*'Parametri Modello'!$B$68,"🟢 Opportunita'",IF($AH193&lt;=$AA193*'Parametri Modello'!$B$69,"🔴 Sovrapprezzo","🟡 Prezzo Corretto"))),"")</f>
        <v/>
      </c>
      <c r="AJ193" t="str">
        <f t="shared" si="24"/>
        <v/>
      </c>
      <c r="AK193">
        <f t="shared" si="25"/>
        <v>16</v>
      </c>
      <c r="AL193" t="str">
        <f t="shared" si="26"/>
        <v>C|Nella Media|16</v>
      </c>
    </row>
    <row r="194" spans="1:38" ht="14.25" customHeight="1" x14ac:dyDescent="0.25">
      <c r="A194" s="18">
        <v>7060</v>
      </c>
      <c r="B194" s="18" t="s">
        <v>17</v>
      </c>
      <c r="C194" s="18" t="s">
        <v>333</v>
      </c>
      <c r="E194" s="23" t="str">
        <f>IF(COUNTIF('Info Strategia'!$D$2:$D$51,$C194)&gt;0,"SI","NO")</f>
        <v>NO</v>
      </c>
      <c r="F194" s="24">
        <f>IFERROR(ROUND(($G194+($H194-$G194)*'Info Strategia'!$B$6)*(1+IF($E194="SI",'Parametri Modello'!$B$7*'Info Strategia'!$B$6,0)),0),"")</f>
        <v>3</v>
      </c>
      <c r="G194" s="24">
        <f>IFERROR(ROUND(MAX(1,(IF($V194&lt;=INDEX('Parametri Modello'!$C$57:$C$60,MATCH($B194,'Parametri Modello'!$A$57:$A$60,0)),IF(INDEX('Parametri Modello'!$E$57:$E$60,MATCH($B194,'Parametri Modello'!$A$57:$A$60,0))=0,0,($O194/INDEX('Parametri Modello'!$E$57:$E$60,MATCH($B194,'Parametri Modello'!$A$57:$A$60,0)))*(INDEX('Parametri Modello'!$D$57:$D$60,MATCH($B194,'Parametri Modello'!$A$57:$A$60,0))*(INDEX('Parametri Modello'!$B$50:$B$53,MATCH($B194,'Parametri Modello'!$A$50:$A$53,0))*'Parametri Modello'!$B$44))),IF(INDEX('Parametri Modello'!$F$57:$F$60,MATCH($B194,'Parametri Modello'!$A$57:$A$60,0))=0,0,($O194/INDEX('Parametri Modello'!$F$57:$F$60,MATCH($B194,'Parametri Modello'!$A$57:$A$60,0)))*((1-INDEX('Parametri Modello'!$D$57:$D$60,MATCH($B194,'Parametri Modello'!$A$57:$A$60,0)))*(INDEX('Parametri Modello'!$B$50:$B$53,MATCH($B194,'Parametri Modello'!$A$50:$A$53,0))*'Parametri Modello'!$B$44))))*(1+IF(IF($B194="D",'Info Lega'!$B$25,IF($B194="C",'Info Lega'!$B$26,"No"))="Si",'Parametri Modello'!$B$5,0))*(1+MAX(-0.25,MIN(0.25,IF(OR($T194="",$I194="",$I194=0,INDEX('Parametri Modello'!$B$19:$B$22,MATCH($B194,'Parametri Modello'!$A$19:$A$22,0))="",INDEX('Parametri Modello'!$B$19:$B$22,MATCH($B194,'Parametri Modello'!$A$19:$A$22,0))=0),0,(($T194-INDEX('Parametri Modello'!$B$19:$B$22,MATCH($B194,'Parametri Modello'!$A$19:$A$22,0)))/INDEX('Parametri Modello'!$B$19:$B$22,MATCH($B194,'Parametri Modello'!$A$19:$A$22,0)))*'Parametri Modello'!$B$9))))*(1+IF('Parametri Modello'!$B$27="Si",MAX(-'Parametri Modello'!$B$28,MIN('Parametri Modello'!$B$28*1.5,IF(OR(INDEX('Parametri Modello'!$F$32:$F$35,MATCH($B194,'Parametri Modello'!$A$32:$A$35,0))="",INDEX('Parametri Modello'!$F$32:$F$35,MATCH($B194,'Parametri Modello'!$A$32:$A$35,0))=0),0,(1/INDEX('Parametri Modello'!$F$32:$F$35,MATCH($B194,'Parametri Modello'!$A$32:$A$35,0))-1)*'Parametri Modello'!$B$28))),0)))*(1-INDEX('Parametri Modello'!$B$12:$B$15,MATCH($B194,'Parametri Modello'!$A$12:$A$15,0)))),0),"")</f>
        <v>2</v>
      </c>
      <c r="H194" s="24">
        <f>IFERROR(ROUND((IF($V194&lt;=INDEX('Parametri Modello'!$C$57:$C$60,MATCH($B194,'Parametri Modello'!$A$57:$A$60,0)),IF(INDEX('Parametri Modello'!$E$57:$E$60,MATCH($B194,'Parametri Modello'!$A$57:$A$60,0))=0,0,($O194/INDEX('Parametri Modello'!$E$57:$E$60,MATCH($B194,'Parametri Modello'!$A$57:$A$60,0)))*(INDEX('Parametri Modello'!$D$57:$D$60,MATCH($B194,'Parametri Modello'!$A$57:$A$60,0))*(INDEX('Parametri Modello'!$B$50:$B$53,MATCH($B194,'Parametri Modello'!$A$50:$A$53,0))*'Parametri Modello'!$B$44))),IF(INDEX('Parametri Modello'!$F$57:$F$60,MATCH($B194,'Parametri Modello'!$A$57:$A$60,0))=0,0,($O194/INDEX('Parametri Modello'!$F$57:$F$60,MATCH($B194,'Parametri Modello'!$A$57:$A$60,0)))*((1-INDEX('Parametri Modello'!$D$57:$D$60,MATCH($B194,'Parametri Modello'!$A$57:$A$60,0)))*(INDEX('Parametri Modello'!$B$50:$B$53,MATCH($B194,'Parametri Modello'!$A$50:$A$53,0))*'Parametri Modello'!$B$44))))*(1+IF(IF($B194="D",'Info Lega'!$B$25,IF($B194="C",'Info Lega'!$B$26,"No"))="Si",'Parametri Modello'!$B$5,0))*(1+MAX(-0.25,MIN(0.25,IF(OR($T194="",$I194="",$I194=0,INDEX('Parametri Modello'!$B$19:$B$22,MATCH($B194,'Parametri Modello'!$A$19:$A$22,0))="",INDEX('Parametri Modello'!$B$19:$B$22,MATCH($B194,'Parametri Modello'!$A$19:$A$22,0))=0),0,(($T194-INDEX('Parametri Modello'!$B$19:$B$22,MATCH($B194,'Parametri Modello'!$A$19:$A$22,0)))/INDEX('Parametri Modello'!$B$19:$B$22,MATCH($B194,'Parametri Modello'!$A$19:$A$22,0)))*'Parametri Modello'!$B$9))))*(1+IF('Parametri Modello'!$B$27="Si",MAX(-'Parametri Modello'!$B$28,MIN('Parametri Modello'!$B$28*1.5,IF(OR(INDEX('Parametri Modello'!$F$32:$F$35,MATCH($B194,'Parametri Modello'!$A$32:$A$35,0))="",INDEX('Parametri Modello'!$F$32:$F$35,MATCH($B194,'Parametri Modello'!$A$32:$A$35,0))=0),0,(1/INDEX('Parametri Modello'!$F$32:$F$35,MATCH($B194,'Parametri Modello'!$A$32:$A$35,0))-1)*'Parametri Modello'!$B$28))),0)))*(1+INDEX('Parametri Modello'!$B$12:$B$15,MATCH($B194,'Parametri Modello'!$A$12:$A$15,0))),0),"")</f>
        <v>3</v>
      </c>
      <c r="I194" s="23" t="str">
        <f>IFERROR(INDEX('Input Statistiche 2025_26'!$F$3:$F$665,MATCH($A194,'Input Statistiche 2025_26'!$A$3:$A$665,0)),"")</f>
        <v/>
      </c>
      <c r="J194" s="23" t="str">
        <f t="shared" ref="J194:J257" si="27">IFERROR(IF($I194="","",MAX(0,38-$I194)),"")</f>
        <v/>
      </c>
      <c r="K194" s="23" t="str">
        <f>IFERROR(INDEX('Input Statistiche 2025_26'!$I$3:$I$665,MATCH($A194,'Input Statistiche 2025_26'!$A$3:$A$665,0)),"")</f>
        <v/>
      </c>
      <c r="L194" s="23" t="str">
        <f>IFERROR(INDEX('Input Statistiche 2025_26'!$O$3:$O$665,MATCH($A194,'Input Statistiche 2025_26'!$A$3:$A$665,0)),"")</f>
        <v/>
      </c>
      <c r="M194" s="25"/>
      <c r="N194" s="24">
        <f>IFERROR(INDEX('Input Giocatori 2026_27'!$E$3:$E$493,MATCH($A194,'Input Giocatori 2026_27'!$A$3:$A$493,0)),"")</f>
        <v>5</v>
      </c>
      <c r="O194" s="24">
        <f>IFERROR(INDEX('Input Giocatori 2026_27'!$G$3:$G$493,MATCH($A194,'Input Giocatori 2026_27'!$A$3:$A$493,0)),"")</f>
        <v>18</v>
      </c>
      <c r="P194" s="23" t="str">
        <f>IFERROR(IF($O194="","",IF((1-(COUNTIFS($B$2:$B$492,$B194,$O$2:$O$492,"&gt;"&amp;$O194)+1-1)/COUNTIF($B$2:$B$492,$B194))&gt;='Parametri Modello'!$B$63,"Top",IF((1-(COUNTIFS($B$2:$B$492,$B194,$O$2:$O$492,"&gt;"&amp;$O194)+1-1)/COUNTIF($B$2:$B$492,$B194))&gt;='Parametri Modello'!$B$64,"Buono",IF((1-(COUNTIFS($B$2:$B$492,$B194,$O$2:$O$492,"&gt;"&amp;$O194)+1-1)/COUNTIF($B$2:$B$492,$B194))&gt;='Parametri Modello'!$B$65,"Nella Media","Scommessa/Riserva")))),"")</f>
        <v>Nella Media</v>
      </c>
      <c r="Q194" s="26">
        <f>IF(AND($D194="",$N194&gt;1),SUMPRODUCT(($D$2:$D194="")*($N$2:$N194&gt;1)),"")</f>
        <v>193</v>
      </c>
      <c r="R194" s="26" t="str">
        <f>IF($D194='Info Lega'!$B$28,COUNTIFS($D$2:$D194,'Info Lega'!$B$28),"")</f>
        <v/>
      </c>
      <c r="S194" s="27" t="str">
        <f>IFERROR(INDEX('Input Statistiche 2025_26'!$G$3:$G$665,MATCH($A194,'Input Statistiche 2025_26'!$A$3:$A$665,0)),"")</f>
        <v/>
      </c>
      <c r="T194" s="27" t="str">
        <f>IFERROR(INDEX('Input Statistiche 2025_26'!$H$3:$H$665,MATCH($A194,'Input Statistiche 2025_26'!$A$3:$A$665,0)),"")</f>
        <v/>
      </c>
      <c r="U194" s="23" t="str">
        <f>IF(OR('La Mia Rosa'!$O$12="",$D194&lt;&gt;""),"",IF($F194&lt;='La Mia Rosa'!$O$12*'Parametri Modello'!$B$24,"OK",IF($F194&lt;='La Mia Rosa'!$O$12*'Parametri Modello'!$B$25,"Attenzione","Rischio Alto")))</f>
        <v>OK</v>
      </c>
      <c r="V194" s="23">
        <f t="shared" ref="V194:V257" si="28">IFERROR(COUNTIFS($B$2:$B$492,$B194,$O$2:$O$492,"&gt;"&amp;$O194)+1,"")</f>
        <v>71</v>
      </c>
      <c r="W194" s="18">
        <f>'Info Lega'!$B$4-SUMIFS($M$2:$M$492,$D$2:$D$492,'Info Lega'!$B$28)</f>
        <v>1000</v>
      </c>
      <c r="X194" s="18">
        <f>('Info Lega'!$B$5-COUNTIFS($D$2:$D$492,'Info Lega'!$B$28,$B$2:$B$492,"P"))+('Info Lega'!$B$6-COUNTIFS($D$2:$D$492,'Info Lega'!$B$28,$B$2:$B$492,"D"))+('Info Lega'!$B$7-COUNTIFS($D$2:$D$492,'Info Lega'!$B$28,$B$2:$B$492,"C"))+('Info Lega'!$B$8-COUNTIFS($D$2:$D$492,'Info Lega'!$B$28,$B$2:$B$492,"A"))</f>
        <v>25</v>
      </c>
      <c r="Y194" s="18">
        <f>X194*'Parametri Modello'!$B$30</f>
        <v>25</v>
      </c>
      <c r="Z194" s="18">
        <f t="shared" ref="Z194:Z257" si="29">MAX(0,W194-Y194)</f>
        <v>975</v>
      </c>
      <c r="AA194" s="18">
        <f t="shared" ref="AA194:AA257" si="30">MIN(F194,Z194)</f>
        <v>3</v>
      </c>
      <c r="AB194" s="18"/>
      <c r="AC194" s="18" t="str">
        <f>IF($AB194="","",IF($AB194&gt;$AA194,"PASS",IF($AB194&lt;=$AA194*(1-'Parametri Modello'!$B$68),"BID","ATTENZIONE")))</f>
        <v/>
      </c>
      <c r="AD194" s="28" t="str">
        <f t="shared" ref="AD194:AD257" si="31">IF(I194="","",ROUND(100*(1-EXP(-I194/30)),0))</f>
        <v/>
      </c>
      <c r="AE194" s="5" t="str">
        <f>IFERROR(INDEX('Stato Asta'!$G$9:$G$12,MATCH($B194,'Stato Asta'!$A$9:$A$12,0)),"")</f>
        <v>🔴 Non aspettare</v>
      </c>
      <c r="AF194" t="str">
        <f>IFERROR(IF($V194&lt;=INDEX('Parametri Modello'!$C$57:$C$60,MATCH($B194,'Parametri Modello'!$A$57:$A$60,0)),"Titolare","Riserva"),"")</f>
        <v>Riserva</v>
      </c>
      <c r="AG194" t="str">
        <f>IFERROR(INDEX('Pressione Competitiva'!$F$3:$F$6,MATCH($B194,'Pressione Competitiva'!$B$3:$B$6,0)),"")</f>
        <v>🔴 Molto Alta</v>
      </c>
      <c r="AH194" t="str">
        <f t="shared" ref="AH194:AH257" si="32">IF($AB194="","",$AA194-$AB194)</f>
        <v/>
      </c>
      <c r="AI194" t="str">
        <f>IFERROR(IF($AH194="","",IF($AH194&gt;=$AA194*'Parametri Modello'!$B$68,"🟢 Opportunita'",IF($AH194&lt;=$AA194*'Parametri Modello'!$B$69,"🔴 Sovrapprezzo","🟡 Prezzo Corretto"))),"")</f>
        <v/>
      </c>
      <c r="AJ194" t="str">
        <f t="shared" ref="AJ194:AJ257" si="33">IF($AB194="","",IF($AC194="PASS","Prezzo sopra la tua Offerta Max Dinamica ("&amp;$AA194&amp;" cr).",IF($AC194="BID","Margine ampio sul tuo tetto (+"&amp;($AA194-$AB194)&amp;" cr).","Margine ridotto: sei vicino al tuo tetto ("&amp;($AA194-$AB194)&amp;" cr residui).")))</f>
        <v/>
      </c>
      <c r="AK194">
        <f t="shared" ref="AK194:AK257" si="34">IF(AND($D194="",$N194&gt;1),COUNTIFS($B$2:$B$492,$B194,$P$2:$P$492,$P194,$D$2:$D$492,"",$N$2:$N$492,"&gt;1",$O$2:$O$492,"&gt;"&amp;$O194)+1,"")</f>
        <v>16</v>
      </c>
      <c r="AL194" t="str">
        <f t="shared" ref="AL194:AL257" si="35">IF($AK194="","",$B194&amp;"|"&amp;$P194&amp;"|"&amp;$AK194)</f>
        <v>C|Nella Media|16</v>
      </c>
    </row>
    <row r="195" spans="1:38" ht="14.25" customHeight="1" x14ac:dyDescent="0.25">
      <c r="A195" s="18">
        <v>6271</v>
      </c>
      <c r="B195" s="18" t="s">
        <v>17</v>
      </c>
      <c r="C195" s="18" t="s">
        <v>334</v>
      </c>
      <c r="E195" s="23" t="str">
        <f>IF(COUNTIF('Info Strategia'!$D$2:$D$51,$C195)&gt;0,"SI","NO")</f>
        <v>NO</v>
      </c>
      <c r="F195" s="24">
        <f>IFERROR(ROUND(($G195+($H195-$G195)*'Info Strategia'!$B$6)*(1+IF($E195="SI",'Parametri Modello'!$B$7*'Info Strategia'!$B$6,0)),0),"")</f>
        <v>3</v>
      </c>
      <c r="G195" s="24">
        <f>IFERROR(ROUND(MAX(1,(IF($V195&lt;=INDEX('Parametri Modello'!$C$57:$C$60,MATCH($B195,'Parametri Modello'!$A$57:$A$60,0)),IF(INDEX('Parametri Modello'!$E$57:$E$60,MATCH($B195,'Parametri Modello'!$A$57:$A$60,0))=0,0,($O195/INDEX('Parametri Modello'!$E$57:$E$60,MATCH($B195,'Parametri Modello'!$A$57:$A$60,0)))*(INDEX('Parametri Modello'!$D$57:$D$60,MATCH($B195,'Parametri Modello'!$A$57:$A$60,0))*(INDEX('Parametri Modello'!$B$50:$B$53,MATCH($B195,'Parametri Modello'!$A$50:$A$53,0))*'Parametri Modello'!$B$44))),IF(INDEX('Parametri Modello'!$F$57:$F$60,MATCH($B195,'Parametri Modello'!$A$57:$A$60,0))=0,0,($O195/INDEX('Parametri Modello'!$F$57:$F$60,MATCH($B195,'Parametri Modello'!$A$57:$A$60,0)))*((1-INDEX('Parametri Modello'!$D$57:$D$60,MATCH($B195,'Parametri Modello'!$A$57:$A$60,0)))*(INDEX('Parametri Modello'!$B$50:$B$53,MATCH($B195,'Parametri Modello'!$A$50:$A$53,0))*'Parametri Modello'!$B$44))))*(1+IF(IF($B195="D",'Info Lega'!$B$25,IF($B195="C",'Info Lega'!$B$26,"No"))="Si",'Parametri Modello'!$B$5,0))*(1+MAX(-0.25,MIN(0.25,IF(OR($T195="",$I195="",$I195=0,INDEX('Parametri Modello'!$B$19:$B$22,MATCH($B195,'Parametri Modello'!$A$19:$A$22,0))="",INDEX('Parametri Modello'!$B$19:$B$22,MATCH($B195,'Parametri Modello'!$A$19:$A$22,0))=0),0,(($T195-INDEX('Parametri Modello'!$B$19:$B$22,MATCH($B195,'Parametri Modello'!$A$19:$A$22,0)))/INDEX('Parametri Modello'!$B$19:$B$22,MATCH($B195,'Parametri Modello'!$A$19:$A$22,0)))*'Parametri Modello'!$B$9))))*(1+IF('Parametri Modello'!$B$27="Si",MAX(-'Parametri Modello'!$B$28,MIN('Parametri Modello'!$B$28*1.5,IF(OR(INDEX('Parametri Modello'!$F$32:$F$35,MATCH($B195,'Parametri Modello'!$A$32:$A$35,0))="",INDEX('Parametri Modello'!$F$32:$F$35,MATCH($B195,'Parametri Modello'!$A$32:$A$35,0))=0),0,(1/INDEX('Parametri Modello'!$F$32:$F$35,MATCH($B195,'Parametri Modello'!$A$32:$A$35,0))-1)*'Parametri Modello'!$B$28))),0)))*(1-INDEX('Parametri Modello'!$B$12:$B$15,MATCH($B195,'Parametri Modello'!$A$12:$A$15,0)))),0),"")</f>
        <v>2</v>
      </c>
      <c r="H195" s="24">
        <f>IFERROR(ROUND((IF($V195&lt;=INDEX('Parametri Modello'!$C$57:$C$60,MATCH($B195,'Parametri Modello'!$A$57:$A$60,0)),IF(INDEX('Parametri Modello'!$E$57:$E$60,MATCH($B195,'Parametri Modello'!$A$57:$A$60,0))=0,0,($O195/INDEX('Parametri Modello'!$E$57:$E$60,MATCH($B195,'Parametri Modello'!$A$57:$A$60,0)))*(INDEX('Parametri Modello'!$D$57:$D$60,MATCH($B195,'Parametri Modello'!$A$57:$A$60,0))*(INDEX('Parametri Modello'!$B$50:$B$53,MATCH($B195,'Parametri Modello'!$A$50:$A$53,0))*'Parametri Modello'!$B$44))),IF(INDEX('Parametri Modello'!$F$57:$F$60,MATCH($B195,'Parametri Modello'!$A$57:$A$60,0))=0,0,($O195/INDEX('Parametri Modello'!$F$57:$F$60,MATCH($B195,'Parametri Modello'!$A$57:$A$60,0)))*((1-INDEX('Parametri Modello'!$D$57:$D$60,MATCH($B195,'Parametri Modello'!$A$57:$A$60,0)))*(INDEX('Parametri Modello'!$B$50:$B$53,MATCH($B195,'Parametri Modello'!$A$50:$A$53,0))*'Parametri Modello'!$B$44))))*(1+IF(IF($B195="D",'Info Lega'!$B$25,IF($B195="C",'Info Lega'!$B$26,"No"))="Si",'Parametri Modello'!$B$5,0))*(1+MAX(-0.25,MIN(0.25,IF(OR($T195="",$I195="",$I195=0,INDEX('Parametri Modello'!$B$19:$B$22,MATCH($B195,'Parametri Modello'!$A$19:$A$22,0))="",INDEX('Parametri Modello'!$B$19:$B$22,MATCH($B195,'Parametri Modello'!$A$19:$A$22,0))=0),0,(($T195-INDEX('Parametri Modello'!$B$19:$B$22,MATCH($B195,'Parametri Modello'!$A$19:$A$22,0)))/INDEX('Parametri Modello'!$B$19:$B$22,MATCH($B195,'Parametri Modello'!$A$19:$A$22,0)))*'Parametri Modello'!$B$9))))*(1+IF('Parametri Modello'!$B$27="Si",MAX(-'Parametri Modello'!$B$28,MIN('Parametri Modello'!$B$28*1.5,IF(OR(INDEX('Parametri Modello'!$F$32:$F$35,MATCH($B195,'Parametri Modello'!$A$32:$A$35,0))="",INDEX('Parametri Modello'!$F$32:$F$35,MATCH($B195,'Parametri Modello'!$A$32:$A$35,0))=0),0,(1/INDEX('Parametri Modello'!$F$32:$F$35,MATCH($B195,'Parametri Modello'!$A$32:$A$35,0))-1)*'Parametri Modello'!$B$28))),0)))*(1+INDEX('Parametri Modello'!$B$12:$B$15,MATCH($B195,'Parametri Modello'!$A$12:$A$15,0))),0),"")</f>
        <v>3</v>
      </c>
      <c r="I195" s="23">
        <f>IFERROR(INDEX('Input Statistiche 2025_26'!$F$3:$F$665,MATCH($A195,'Input Statistiche 2025_26'!$A$3:$A$665,0)),"")</f>
        <v>21</v>
      </c>
      <c r="J195" s="23">
        <f t="shared" si="27"/>
        <v>17</v>
      </c>
      <c r="K195" s="23">
        <f>IFERROR(INDEX('Input Statistiche 2025_26'!$I$3:$I$665,MATCH($A195,'Input Statistiche 2025_26'!$A$3:$A$665,0)),"")</f>
        <v>1</v>
      </c>
      <c r="L195" s="23">
        <f>IFERROR(INDEX('Input Statistiche 2025_26'!$O$3:$O$665,MATCH($A195,'Input Statistiche 2025_26'!$A$3:$A$665,0)),"")</f>
        <v>2</v>
      </c>
      <c r="M195" s="25"/>
      <c r="N195" s="24">
        <f>IFERROR(INDEX('Input Giocatori 2026_27'!$E$3:$E$493,MATCH($A195,'Input Giocatori 2026_27'!$A$3:$A$493,0)),"")</f>
        <v>4</v>
      </c>
      <c r="O195" s="24">
        <f>IFERROR(INDEX('Input Giocatori 2026_27'!$G$3:$G$493,MATCH($A195,'Input Giocatori 2026_27'!$A$3:$A$493,0)),"")</f>
        <v>18</v>
      </c>
      <c r="P195" s="23" t="str">
        <f>IFERROR(IF($O195="","",IF((1-(COUNTIFS($B$2:$B$492,$B195,$O$2:$O$492,"&gt;"&amp;$O195)+1-1)/COUNTIF($B$2:$B$492,$B195))&gt;='Parametri Modello'!$B$63,"Top",IF((1-(COUNTIFS($B$2:$B$492,$B195,$O$2:$O$492,"&gt;"&amp;$O195)+1-1)/COUNTIF($B$2:$B$492,$B195))&gt;='Parametri Modello'!$B$64,"Buono",IF((1-(COUNTIFS($B$2:$B$492,$B195,$O$2:$O$492,"&gt;"&amp;$O195)+1-1)/COUNTIF($B$2:$B$492,$B195))&gt;='Parametri Modello'!$B$65,"Nella Media","Scommessa/Riserva")))),"")</f>
        <v>Nella Media</v>
      </c>
      <c r="Q195" s="26">
        <f>IF(AND($D195="",$N195&gt;1),SUMPRODUCT(($D$2:$D195="")*($N$2:$N195&gt;1)),"")</f>
        <v>194</v>
      </c>
      <c r="R195" s="26" t="str">
        <f>IF($D195='Info Lega'!$B$28,COUNTIFS($D$2:$D195,'Info Lega'!$B$28),"")</f>
        <v/>
      </c>
      <c r="S195" s="27">
        <f>IFERROR(INDEX('Input Statistiche 2025_26'!$G$3:$G$665,MATCH($A195,'Input Statistiche 2025_26'!$A$3:$A$665,0)),"")</f>
        <v>5.98</v>
      </c>
      <c r="T195" s="27">
        <f>IFERROR(INDEX('Input Statistiche 2025_26'!$H$3:$H$665,MATCH($A195,'Input Statistiche 2025_26'!$A$3:$A$665,0)),"")</f>
        <v>6.1</v>
      </c>
      <c r="U195" s="23" t="str">
        <f>IF(OR('La Mia Rosa'!$O$12="",$D195&lt;&gt;""),"",IF($F195&lt;='La Mia Rosa'!$O$12*'Parametri Modello'!$B$24,"OK",IF($F195&lt;='La Mia Rosa'!$O$12*'Parametri Modello'!$B$25,"Attenzione","Rischio Alto")))</f>
        <v>OK</v>
      </c>
      <c r="V195" s="23">
        <f t="shared" si="28"/>
        <v>71</v>
      </c>
      <c r="W195" s="18">
        <f>'Info Lega'!$B$4-SUMIFS($M$2:$M$492,$D$2:$D$492,'Info Lega'!$B$28)</f>
        <v>1000</v>
      </c>
      <c r="X195" s="18">
        <f>('Info Lega'!$B$5-COUNTIFS($D$2:$D$492,'Info Lega'!$B$28,$B$2:$B$492,"P"))+('Info Lega'!$B$6-COUNTIFS($D$2:$D$492,'Info Lega'!$B$28,$B$2:$B$492,"D"))+('Info Lega'!$B$7-COUNTIFS($D$2:$D$492,'Info Lega'!$B$28,$B$2:$B$492,"C"))+('Info Lega'!$B$8-COUNTIFS($D$2:$D$492,'Info Lega'!$B$28,$B$2:$B$492,"A"))</f>
        <v>25</v>
      </c>
      <c r="Y195" s="18">
        <f>X195*'Parametri Modello'!$B$30</f>
        <v>25</v>
      </c>
      <c r="Z195" s="18">
        <f t="shared" si="29"/>
        <v>975</v>
      </c>
      <c r="AA195" s="18">
        <f t="shared" si="30"/>
        <v>3</v>
      </c>
      <c r="AB195" s="18"/>
      <c r="AC195" s="18" t="str">
        <f>IF($AB195="","",IF($AB195&gt;$AA195,"PASS",IF($AB195&lt;=$AA195*(1-'Parametri Modello'!$B$68),"BID","ATTENZIONE")))</f>
        <v/>
      </c>
      <c r="AD195" s="28">
        <f t="shared" si="31"/>
        <v>50</v>
      </c>
      <c r="AE195" s="5" t="str">
        <f>IFERROR(INDEX('Stato Asta'!$G$9:$G$12,MATCH($B195,'Stato Asta'!$A$9:$A$12,0)),"")</f>
        <v>🔴 Non aspettare</v>
      </c>
      <c r="AF195" t="str">
        <f>IFERROR(IF($V195&lt;=INDEX('Parametri Modello'!$C$57:$C$60,MATCH($B195,'Parametri Modello'!$A$57:$A$60,0)),"Titolare","Riserva"),"")</f>
        <v>Riserva</v>
      </c>
      <c r="AG195" t="str">
        <f>IFERROR(INDEX('Pressione Competitiva'!$F$3:$F$6,MATCH($B195,'Pressione Competitiva'!$B$3:$B$6,0)),"")</f>
        <v>🔴 Molto Alta</v>
      </c>
      <c r="AH195" t="str">
        <f t="shared" si="32"/>
        <v/>
      </c>
      <c r="AI195" t="str">
        <f>IFERROR(IF($AH195="","",IF($AH195&gt;=$AA195*'Parametri Modello'!$B$68,"🟢 Opportunita'",IF($AH195&lt;=$AA195*'Parametri Modello'!$B$69,"🔴 Sovrapprezzo","🟡 Prezzo Corretto"))),"")</f>
        <v/>
      </c>
      <c r="AJ195" t="str">
        <f t="shared" si="33"/>
        <v/>
      </c>
      <c r="AK195">
        <f t="shared" si="34"/>
        <v>16</v>
      </c>
      <c r="AL195" t="str">
        <f t="shared" si="35"/>
        <v>C|Nella Media|16</v>
      </c>
    </row>
    <row r="196" spans="1:38" ht="14.25" customHeight="1" x14ac:dyDescent="0.25">
      <c r="A196" s="18">
        <v>7252</v>
      </c>
      <c r="B196" s="18" t="s">
        <v>18</v>
      </c>
      <c r="C196" s="18" t="s">
        <v>335</v>
      </c>
      <c r="E196" s="23" t="str">
        <f>IF(COUNTIF('Info Strategia'!$D$2:$D$51,$C196)&gt;0,"SI","NO")</f>
        <v>NO</v>
      </c>
      <c r="F196" s="24">
        <f>IFERROR(ROUND(($G196+($H196-$G196)*'Info Strategia'!$B$6)*(1+IF($E196="SI",'Parametri Modello'!$B$7*'Info Strategia'!$B$6,0)),0),"")</f>
        <v>6</v>
      </c>
      <c r="G196" s="24">
        <f>IFERROR(ROUND(MAX(1,(IF($V196&lt;=INDEX('Parametri Modello'!$C$57:$C$60,MATCH($B196,'Parametri Modello'!$A$57:$A$60,0)),IF(INDEX('Parametri Modello'!$E$57:$E$60,MATCH($B196,'Parametri Modello'!$A$57:$A$60,0))=0,0,($O196/INDEX('Parametri Modello'!$E$57:$E$60,MATCH($B196,'Parametri Modello'!$A$57:$A$60,0)))*(INDEX('Parametri Modello'!$D$57:$D$60,MATCH($B196,'Parametri Modello'!$A$57:$A$60,0))*(INDEX('Parametri Modello'!$B$50:$B$53,MATCH($B196,'Parametri Modello'!$A$50:$A$53,0))*'Parametri Modello'!$B$44))),IF(INDEX('Parametri Modello'!$F$57:$F$60,MATCH($B196,'Parametri Modello'!$A$57:$A$60,0))=0,0,($O196/INDEX('Parametri Modello'!$F$57:$F$60,MATCH($B196,'Parametri Modello'!$A$57:$A$60,0)))*((1-INDEX('Parametri Modello'!$D$57:$D$60,MATCH($B196,'Parametri Modello'!$A$57:$A$60,0)))*(INDEX('Parametri Modello'!$B$50:$B$53,MATCH($B196,'Parametri Modello'!$A$50:$A$53,0))*'Parametri Modello'!$B$44))))*(1+IF(IF($B196="D",'Info Lega'!$B$25,IF($B196="C",'Info Lega'!$B$26,"No"))="Si",'Parametri Modello'!$B$5,0))*(1+MAX(-0.25,MIN(0.25,IF(OR($T196="",$I196="",$I196=0,INDEX('Parametri Modello'!$B$19:$B$22,MATCH($B196,'Parametri Modello'!$A$19:$A$22,0))="",INDEX('Parametri Modello'!$B$19:$B$22,MATCH($B196,'Parametri Modello'!$A$19:$A$22,0))=0),0,(($T196-INDEX('Parametri Modello'!$B$19:$B$22,MATCH($B196,'Parametri Modello'!$A$19:$A$22,0)))/INDEX('Parametri Modello'!$B$19:$B$22,MATCH($B196,'Parametri Modello'!$A$19:$A$22,0)))*'Parametri Modello'!$B$9))))*(1+IF('Parametri Modello'!$B$27="Si",MAX(-'Parametri Modello'!$B$28,MIN('Parametri Modello'!$B$28*1.5,IF(OR(INDEX('Parametri Modello'!$F$32:$F$35,MATCH($B196,'Parametri Modello'!$A$32:$A$35,0))="",INDEX('Parametri Modello'!$F$32:$F$35,MATCH($B196,'Parametri Modello'!$A$32:$A$35,0))=0),0,(1/INDEX('Parametri Modello'!$F$32:$F$35,MATCH($B196,'Parametri Modello'!$A$32:$A$35,0))-1)*'Parametri Modello'!$B$28))),0)))*(1-INDEX('Parametri Modello'!$B$12:$B$15,MATCH($B196,'Parametri Modello'!$A$12:$A$15,0)))),0),"")</f>
        <v>4</v>
      </c>
      <c r="H196" s="24">
        <f>IFERROR(ROUND((IF($V196&lt;=INDEX('Parametri Modello'!$C$57:$C$60,MATCH($B196,'Parametri Modello'!$A$57:$A$60,0)),IF(INDEX('Parametri Modello'!$E$57:$E$60,MATCH($B196,'Parametri Modello'!$A$57:$A$60,0))=0,0,($O196/INDEX('Parametri Modello'!$E$57:$E$60,MATCH($B196,'Parametri Modello'!$A$57:$A$60,0)))*(INDEX('Parametri Modello'!$D$57:$D$60,MATCH($B196,'Parametri Modello'!$A$57:$A$60,0))*(INDEX('Parametri Modello'!$B$50:$B$53,MATCH($B196,'Parametri Modello'!$A$50:$A$53,0))*'Parametri Modello'!$B$44))),IF(INDEX('Parametri Modello'!$F$57:$F$60,MATCH($B196,'Parametri Modello'!$A$57:$A$60,0))=0,0,($O196/INDEX('Parametri Modello'!$F$57:$F$60,MATCH($B196,'Parametri Modello'!$A$57:$A$60,0)))*((1-INDEX('Parametri Modello'!$D$57:$D$60,MATCH($B196,'Parametri Modello'!$A$57:$A$60,0)))*(INDEX('Parametri Modello'!$B$50:$B$53,MATCH($B196,'Parametri Modello'!$A$50:$A$53,0))*'Parametri Modello'!$B$44))))*(1+IF(IF($B196="D",'Info Lega'!$B$25,IF($B196="C",'Info Lega'!$B$26,"No"))="Si",'Parametri Modello'!$B$5,0))*(1+MAX(-0.25,MIN(0.25,IF(OR($T196="",$I196="",$I196=0,INDEX('Parametri Modello'!$B$19:$B$22,MATCH($B196,'Parametri Modello'!$A$19:$A$22,0))="",INDEX('Parametri Modello'!$B$19:$B$22,MATCH($B196,'Parametri Modello'!$A$19:$A$22,0))=0),0,(($T196-INDEX('Parametri Modello'!$B$19:$B$22,MATCH($B196,'Parametri Modello'!$A$19:$A$22,0)))/INDEX('Parametri Modello'!$B$19:$B$22,MATCH($B196,'Parametri Modello'!$A$19:$A$22,0)))*'Parametri Modello'!$B$9))))*(1+IF('Parametri Modello'!$B$27="Si",MAX(-'Parametri Modello'!$B$28,MIN('Parametri Modello'!$B$28*1.5,IF(OR(INDEX('Parametri Modello'!$F$32:$F$35,MATCH($B196,'Parametri Modello'!$A$32:$A$35,0))="",INDEX('Parametri Modello'!$F$32:$F$35,MATCH($B196,'Parametri Modello'!$A$32:$A$35,0))=0),0,(1/INDEX('Parametri Modello'!$F$32:$F$35,MATCH($B196,'Parametri Modello'!$A$32:$A$35,0))-1)*'Parametri Modello'!$B$28))),0)))*(1+INDEX('Parametri Modello'!$B$12:$B$15,MATCH($B196,'Parametri Modello'!$A$12:$A$15,0))),0),"")</f>
        <v>7</v>
      </c>
      <c r="I196" s="23">
        <f>IFERROR(INDEX('Input Statistiche 2025_26'!$F$3:$F$665,MATCH($A196,'Input Statistiche 2025_26'!$A$3:$A$665,0)),"")</f>
        <v>30</v>
      </c>
      <c r="J196" s="23">
        <f t="shared" si="27"/>
        <v>8</v>
      </c>
      <c r="K196" s="23">
        <f>IFERROR(INDEX('Input Statistiche 2025_26'!$I$3:$I$665,MATCH($A196,'Input Statistiche 2025_26'!$A$3:$A$665,0)),"")</f>
        <v>4</v>
      </c>
      <c r="L196" s="23">
        <f>IFERROR(INDEX('Input Statistiche 2025_26'!$O$3:$O$665,MATCH($A196,'Input Statistiche 2025_26'!$A$3:$A$665,0)),"")</f>
        <v>0</v>
      </c>
      <c r="M196" s="25"/>
      <c r="N196" s="24">
        <f>IFERROR(INDEX('Input Giocatori 2026_27'!$E$3:$E$493,MATCH($A196,'Input Giocatori 2026_27'!$A$3:$A$493,0)),"")</f>
        <v>7</v>
      </c>
      <c r="O196" s="24">
        <f>IFERROR(INDEX('Input Giocatori 2026_27'!$G$3:$G$493,MATCH($A196,'Input Giocatori 2026_27'!$A$3:$A$493,0)),"")</f>
        <v>18</v>
      </c>
      <c r="P196" s="23" t="str">
        <f>IFERROR(IF($O196="","",IF((1-(COUNTIFS($B$2:$B$492,$B196,$O$2:$O$492,"&gt;"&amp;$O196)+1-1)/COUNTIF($B$2:$B$492,$B196))&gt;='Parametri Modello'!$B$63,"Top",IF((1-(COUNTIFS($B$2:$B$492,$B196,$O$2:$O$492,"&gt;"&amp;$O196)+1-1)/COUNTIF($B$2:$B$492,$B196))&gt;='Parametri Modello'!$B$64,"Buono",IF((1-(COUNTIFS($B$2:$B$492,$B196,$O$2:$O$492,"&gt;"&amp;$O196)+1-1)/COUNTIF($B$2:$B$492,$B196))&gt;='Parametri Modello'!$B$65,"Nella Media","Scommessa/Riserva")))),"")</f>
        <v>Nella Media</v>
      </c>
      <c r="Q196" s="26">
        <f>IF(AND($D196="",$N196&gt;1),SUMPRODUCT(($D$2:$D196="")*($N$2:$N196&gt;1)),"")</f>
        <v>195</v>
      </c>
      <c r="R196" s="26" t="str">
        <f>IF($D196='Info Lega'!$B$28,COUNTIFS($D$2:$D196,'Info Lega'!$B$28),"")</f>
        <v/>
      </c>
      <c r="S196" s="27">
        <f>IFERROR(INDEX('Input Statistiche 2025_26'!$G$3:$G$665,MATCH($A196,'Input Statistiche 2025_26'!$A$3:$A$665,0)),"")</f>
        <v>5.73</v>
      </c>
      <c r="T196" s="27">
        <f>IFERROR(INDEX('Input Statistiche 2025_26'!$H$3:$H$665,MATCH($A196,'Input Statistiche 2025_26'!$A$3:$A$665,0)),"")</f>
        <v>6.12</v>
      </c>
      <c r="U196" s="23" t="str">
        <f>IF(OR('La Mia Rosa'!$O$12="",$D196&lt;&gt;""),"",IF($F196&lt;='La Mia Rosa'!$O$12*'Parametri Modello'!$B$24,"OK",IF($F196&lt;='La Mia Rosa'!$O$12*'Parametri Modello'!$B$25,"Attenzione","Rischio Alto")))</f>
        <v>OK</v>
      </c>
      <c r="V196" s="23">
        <f t="shared" si="28"/>
        <v>51</v>
      </c>
      <c r="W196" s="18">
        <f>'Info Lega'!$B$4-SUMIFS($M$2:$M$492,$D$2:$D$492,'Info Lega'!$B$28)</f>
        <v>1000</v>
      </c>
      <c r="X196" s="18">
        <f>('Info Lega'!$B$5-COUNTIFS($D$2:$D$492,'Info Lega'!$B$28,$B$2:$B$492,"P"))+('Info Lega'!$B$6-COUNTIFS($D$2:$D$492,'Info Lega'!$B$28,$B$2:$B$492,"D"))+('Info Lega'!$B$7-COUNTIFS($D$2:$D$492,'Info Lega'!$B$28,$B$2:$B$492,"C"))+('Info Lega'!$B$8-COUNTIFS($D$2:$D$492,'Info Lega'!$B$28,$B$2:$B$492,"A"))</f>
        <v>25</v>
      </c>
      <c r="Y196" s="18">
        <f>X196*'Parametri Modello'!$B$30</f>
        <v>25</v>
      </c>
      <c r="Z196" s="18">
        <f t="shared" si="29"/>
        <v>975</v>
      </c>
      <c r="AA196" s="18">
        <f t="shared" si="30"/>
        <v>6</v>
      </c>
      <c r="AB196" s="18"/>
      <c r="AC196" s="18" t="str">
        <f>IF($AB196="","",IF($AB196&gt;$AA196,"PASS",IF($AB196&lt;=$AA196*(1-'Parametri Modello'!$B$68),"BID","ATTENZIONE")))</f>
        <v/>
      </c>
      <c r="AD196" s="28">
        <f t="shared" si="31"/>
        <v>63</v>
      </c>
      <c r="AE196" s="5" t="str">
        <f>IFERROR(INDEX('Stato Asta'!$G$9:$G$12,MATCH($B196,'Stato Asta'!$A$9:$A$12,0)),"")</f>
        <v>🔴 Non aspettare</v>
      </c>
      <c r="AF196" t="str">
        <f>IFERROR(IF($V196&lt;=INDEX('Parametri Modello'!$C$57:$C$60,MATCH($B196,'Parametri Modello'!$A$57:$A$60,0)),"Titolare","Riserva"),"")</f>
        <v>Riserva</v>
      </c>
      <c r="AG196" t="str">
        <f>IFERROR(INDEX('Pressione Competitiva'!$F$3:$F$6,MATCH($B196,'Pressione Competitiva'!$B$3:$B$6,0)),"")</f>
        <v>🔴 Molto Alta</v>
      </c>
      <c r="AH196" t="str">
        <f t="shared" si="32"/>
        <v/>
      </c>
      <c r="AI196" t="str">
        <f>IFERROR(IF($AH196="","",IF($AH196&gt;=$AA196*'Parametri Modello'!$B$68,"🟢 Opportunita'",IF($AH196&lt;=$AA196*'Parametri Modello'!$B$69,"🔴 Sovrapprezzo","🟡 Prezzo Corretto"))),"")</f>
        <v/>
      </c>
      <c r="AJ196" t="str">
        <f t="shared" si="33"/>
        <v/>
      </c>
      <c r="AK196">
        <f t="shared" si="34"/>
        <v>25</v>
      </c>
      <c r="AL196" t="str">
        <f t="shared" si="35"/>
        <v>A|Nella Media|25</v>
      </c>
    </row>
    <row r="197" spans="1:38" ht="14.25" customHeight="1" x14ac:dyDescent="0.25">
      <c r="A197" s="18">
        <v>608</v>
      </c>
      <c r="B197" s="18" t="s">
        <v>18</v>
      </c>
      <c r="C197" s="18" t="s">
        <v>336</v>
      </c>
      <c r="E197" s="23" t="str">
        <f>IF(COUNTIF('Info Strategia'!$D$2:$D$51,$C197)&gt;0,"SI","NO")</f>
        <v>NO</v>
      </c>
      <c r="F197" s="24">
        <f>IFERROR(ROUND(($G197+($H197-$G197)*'Info Strategia'!$B$6)*(1+IF($E197="SI",'Parametri Modello'!$B$7*'Info Strategia'!$B$6,0)),0),"")</f>
        <v>6</v>
      </c>
      <c r="G197" s="24">
        <f>IFERROR(ROUND(MAX(1,(IF($V197&lt;=INDEX('Parametri Modello'!$C$57:$C$60,MATCH($B197,'Parametri Modello'!$A$57:$A$60,0)),IF(INDEX('Parametri Modello'!$E$57:$E$60,MATCH($B197,'Parametri Modello'!$A$57:$A$60,0))=0,0,($O197/INDEX('Parametri Modello'!$E$57:$E$60,MATCH($B197,'Parametri Modello'!$A$57:$A$60,0)))*(INDEX('Parametri Modello'!$D$57:$D$60,MATCH($B197,'Parametri Modello'!$A$57:$A$60,0))*(INDEX('Parametri Modello'!$B$50:$B$53,MATCH($B197,'Parametri Modello'!$A$50:$A$53,0))*'Parametri Modello'!$B$44))),IF(INDEX('Parametri Modello'!$F$57:$F$60,MATCH($B197,'Parametri Modello'!$A$57:$A$60,0))=0,0,($O197/INDEX('Parametri Modello'!$F$57:$F$60,MATCH($B197,'Parametri Modello'!$A$57:$A$60,0)))*((1-INDEX('Parametri Modello'!$D$57:$D$60,MATCH($B197,'Parametri Modello'!$A$57:$A$60,0)))*(INDEX('Parametri Modello'!$B$50:$B$53,MATCH($B197,'Parametri Modello'!$A$50:$A$53,0))*'Parametri Modello'!$B$44))))*(1+IF(IF($B197="D",'Info Lega'!$B$25,IF($B197="C",'Info Lega'!$B$26,"No"))="Si",'Parametri Modello'!$B$5,0))*(1+MAX(-0.25,MIN(0.25,IF(OR($T197="",$I197="",$I197=0,INDEX('Parametri Modello'!$B$19:$B$22,MATCH($B197,'Parametri Modello'!$A$19:$A$22,0))="",INDEX('Parametri Modello'!$B$19:$B$22,MATCH($B197,'Parametri Modello'!$A$19:$A$22,0))=0),0,(($T197-INDEX('Parametri Modello'!$B$19:$B$22,MATCH($B197,'Parametri Modello'!$A$19:$A$22,0)))/INDEX('Parametri Modello'!$B$19:$B$22,MATCH($B197,'Parametri Modello'!$A$19:$A$22,0)))*'Parametri Modello'!$B$9))))*(1+IF('Parametri Modello'!$B$27="Si",MAX(-'Parametri Modello'!$B$28,MIN('Parametri Modello'!$B$28*1.5,IF(OR(INDEX('Parametri Modello'!$F$32:$F$35,MATCH($B197,'Parametri Modello'!$A$32:$A$35,0))="",INDEX('Parametri Modello'!$F$32:$F$35,MATCH($B197,'Parametri Modello'!$A$32:$A$35,0))=0),0,(1/INDEX('Parametri Modello'!$F$32:$F$35,MATCH($B197,'Parametri Modello'!$A$32:$A$35,0))-1)*'Parametri Modello'!$B$28))),0)))*(1-INDEX('Parametri Modello'!$B$12:$B$15,MATCH($B197,'Parametri Modello'!$A$12:$A$15,0)))),0),"")</f>
        <v>4</v>
      </c>
      <c r="H197" s="24">
        <f>IFERROR(ROUND((IF($V197&lt;=INDEX('Parametri Modello'!$C$57:$C$60,MATCH($B197,'Parametri Modello'!$A$57:$A$60,0)),IF(INDEX('Parametri Modello'!$E$57:$E$60,MATCH($B197,'Parametri Modello'!$A$57:$A$60,0))=0,0,($O197/INDEX('Parametri Modello'!$E$57:$E$60,MATCH($B197,'Parametri Modello'!$A$57:$A$60,0)))*(INDEX('Parametri Modello'!$D$57:$D$60,MATCH($B197,'Parametri Modello'!$A$57:$A$60,0))*(INDEX('Parametri Modello'!$B$50:$B$53,MATCH($B197,'Parametri Modello'!$A$50:$A$53,0))*'Parametri Modello'!$B$44))),IF(INDEX('Parametri Modello'!$F$57:$F$60,MATCH($B197,'Parametri Modello'!$A$57:$A$60,0))=0,0,($O197/INDEX('Parametri Modello'!$F$57:$F$60,MATCH($B197,'Parametri Modello'!$A$57:$A$60,0)))*((1-INDEX('Parametri Modello'!$D$57:$D$60,MATCH($B197,'Parametri Modello'!$A$57:$A$60,0)))*(INDEX('Parametri Modello'!$B$50:$B$53,MATCH($B197,'Parametri Modello'!$A$50:$A$53,0))*'Parametri Modello'!$B$44))))*(1+IF(IF($B197="D",'Info Lega'!$B$25,IF($B197="C",'Info Lega'!$B$26,"No"))="Si",'Parametri Modello'!$B$5,0))*(1+MAX(-0.25,MIN(0.25,IF(OR($T197="",$I197="",$I197=0,INDEX('Parametri Modello'!$B$19:$B$22,MATCH($B197,'Parametri Modello'!$A$19:$A$22,0))="",INDEX('Parametri Modello'!$B$19:$B$22,MATCH($B197,'Parametri Modello'!$A$19:$A$22,0))=0),0,(($T197-INDEX('Parametri Modello'!$B$19:$B$22,MATCH($B197,'Parametri Modello'!$A$19:$A$22,0)))/INDEX('Parametri Modello'!$B$19:$B$22,MATCH($B197,'Parametri Modello'!$A$19:$A$22,0)))*'Parametri Modello'!$B$9))))*(1+IF('Parametri Modello'!$B$27="Si",MAX(-'Parametri Modello'!$B$28,MIN('Parametri Modello'!$B$28*1.5,IF(OR(INDEX('Parametri Modello'!$F$32:$F$35,MATCH($B197,'Parametri Modello'!$A$32:$A$35,0))="",INDEX('Parametri Modello'!$F$32:$F$35,MATCH($B197,'Parametri Modello'!$A$32:$A$35,0))=0),0,(1/INDEX('Parametri Modello'!$F$32:$F$35,MATCH($B197,'Parametri Modello'!$A$32:$A$35,0))-1)*'Parametri Modello'!$B$28))),0)))*(1+INDEX('Parametri Modello'!$B$12:$B$15,MATCH($B197,'Parametri Modello'!$A$12:$A$15,0))),0),"")</f>
        <v>7</v>
      </c>
      <c r="I197" s="23">
        <f>IFERROR(INDEX('Input Statistiche 2025_26'!$F$3:$F$665,MATCH($A197,'Input Statistiche 2025_26'!$A$3:$A$665,0)),"")</f>
        <v>23</v>
      </c>
      <c r="J197" s="23">
        <f t="shared" si="27"/>
        <v>15</v>
      </c>
      <c r="K197" s="23">
        <f>IFERROR(INDEX('Input Statistiche 2025_26'!$I$3:$I$665,MATCH($A197,'Input Statistiche 2025_26'!$A$3:$A$665,0)),"")</f>
        <v>3</v>
      </c>
      <c r="L197" s="23">
        <f>IFERROR(INDEX('Input Statistiche 2025_26'!$O$3:$O$665,MATCH($A197,'Input Statistiche 2025_26'!$A$3:$A$665,0)),"")</f>
        <v>1</v>
      </c>
      <c r="M197" s="25"/>
      <c r="N197" s="24">
        <f>IFERROR(INDEX('Input Giocatori 2026_27'!$E$3:$E$493,MATCH($A197,'Input Giocatori 2026_27'!$A$3:$A$493,0)),"")</f>
        <v>7</v>
      </c>
      <c r="O197" s="24">
        <f>IFERROR(INDEX('Input Giocatori 2026_27'!$G$3:$G$493,MATCH($A197,'Input Giocatori 2026_27'!$A$3:$A$493,0)),"")</f>
        <v>18</v>
      </c>
      <c r="P197" s="23" t="str">
        <f>IFERROR(IF($O197="","",IF((1-(COUNTIFS($B$2:$B$492,$B197,$O$2:$O$492,"&gt;"&amp;$O197)+1-1)/COUNTIF($B$2:$B$492,$B197))&gt;='Parametri Modello'!$B$63,"Top",IF((1-(COUNTIFS($B$2:$B$492,$B197,$O$2:$O$492,"&gt;"&amp;$O197)+1-1)/COUNTIF($B$2:$B$492,$B197))&gt;='Parametri Modello'!$B$64,"Buono",IF((1-(COUNTIFS($B$2:$B$492,$B197,$O$2:$O$492,"&gt;"&amp;$O197)+1-1)/COUNTIF($B$2:$B$492,$B197))&gt;='Parametri Modello'!$B$65,"Nella Media","Scommessa/Riserva")))),"")</f>
        <v>Nella Media</v>
      </c>
      <c r="Q197" s="26">
        <f>IF(AND($D197="",$N197&gt;1),SUMPRODUCT(($D$2:$D197="")*($N$2:$N197&gt;1)),"")</f>
        <v>196</v>
      </c>
      <c r="R197" s="26" t="str">
        <f>IF($D197='Info Lega'!$B$28,COUNTIFS($D$2:$D197,'Info Lega'!$B$28),"")</f>
        <v/>
      </c>
      <c r="S197" s="27">
        <f>IFERROR(INDEX('Input Statistiche 2025_26'!$G$3:$G$665,MATCH($A197,'Input Statistiche 2025_26'!$A$3:$A$665,0)),"")</f>
        <v>5.83</v>
      </c>
      <c r="T197" s="27">
        <f>IFERROR(INDEX('Input Statistiche 2025_26'!$H$3:$H$665,MATCH($A197,'Input Statistiche 2025_26'!$A$3:$A$665,0)),"")</f>
        <v>6.13</v>
      </c>
      <c r="U197" s="23" t="str">
        <f>IF(OR('La Mia Rosa'!$O$12="",$D197&lt;&gt;""),"",IF($F197&lt;='La Mia Rosa'!$O$12*'Parametri Modello'!$B$24,"OK",IF($F197&lt;='La Mia Rosa'!$O$12*'Parametri Modello'!$B$25,"Attenzione","Rischio Alto")))</f>
        <v>OK</v>
      </c>
      <c r="V197" s="23">
        <f t="shared" si="28"/>
        <v>51</v>
      </c>
      <c r="W197" s="18">
        <f>'Info Lega'!$B$4-SUMIFS($M$2:$M$492,$D$2:$D$492,'Info Lega'!$B$28)</f>
        <v>1000</v>
      </c>
      <c r="X197" s="18">
        <f>('Info Lega'!$B$5-COUNTIFS($D$2:$D$492,'Info Lega'!$B$28,$B$2:$B$492,"P"))+('Info Lega'!$B$6-COUNTIFS($D$2:$D$492,'Info Lega'!$B$28,$B$2:$B$492,"D"))+('Info Lega'!$B$7-COUNTIFS($D$2:$D$492,'Info Lega'!$B$28,$B$2:$B$492,"C"))+('Info Lega'!$B$8-COUNTIFS($D$2:$D$492,'Info Lega'!$B$28,$B$2:$B$492,"A"))</f>
        <v>25</v>
      </c>
      <c r="Y197" s="18">
        <f>X197*'Parametri Modello'!$B$30</f>
        <v>25</v>
      </c>
      <c r="Z197" s="18">
        <f t="shared" si="29"/>
        <v>975</v>
      </c>
      <c r="AA197" s="18">
        <f t="shared" si="30"/>
        <v>6</v>
      </c>
      <c r="AB197" s="18"/>
      <c r="AC197" s="18" t="str">
        <f>IF($AB197="","",IF($AB197&gt;$AA197,"PASS",IF($AB197&lt;=$AA197*(1-'Parametri Modello'!$B$68),"BID","ATTENZIONE")))</f>
        <v/>
      </c>
      <c r="AD197" s="28">
        <f t="shared" si="31"/>
        <v>54</v>
      </c>
      <c r="AE197" s="5" t="str">
        <f>IFERROR(INDEX('Stato Asta'!$G$9:$G$12,MATCH($B197,'Stato Asta'!$A$9:$A$12,0)),"")</f>
        <v>🔴 Non aspettare</v>
      </c>
      <c r="AF197" t="str">
        <f>IFERROR(IF($V197&lt;=INDEX('Parametri Modello'!$C$57:$C$60,MATCH($B197,'Parametri Modello'!$A$57:$A$60,0)),"Titolare","Riserva"),"")</f>
        <v>Riserva</v>
      </c>
      <c r="AG197" t="str">
        <f>IFERROR(INDEX('Pressione Competitiva'!$F$3:$F$6,MATCH($B197,'Pressione Competitiva'!$B$3:$B$6,0)),"")</f>
        <v>🔴 Molto Alta</v>
      </c>
      <c r="AH197" t="str">
        <f t="shared" si="32"/>
        <v/>
      </c>
      <c r="AI197" t="str">
        <f>IFERROR(IF($AH197="","",IF($AH197&gt;=$AA197*'Parametri Modello'!$B$68,"🟢 Opportunita'",IF($AH197&lt;=$AA197*'Parametri Modello'!$B$69,"🔴 Sovrapprezzo","🟡 Prezzo Corretto"))),"")</f>
        <v/>
      </c>
      <c r="AJ197" t="str">
        <f t="shared" si="33"/>
        <v/>
      </c>
      <c r="AK197">
        <f t="shared" si="34"/>
        <v>25</v>
      </c>
      <c r="AL197" t="str">
        <f t="shared" si="35"/>
        <v>A|Nella Media|25</v>
      </c>
    </row>
    <row r="198" spans="1:38" ht="14.25" customHeight="1" x14ac:dyDescent="0.25">
      <c r="A198" s="18">
        <v>6519</v>
      </c>
      <c r="B198" s="18" t="s">
        <v>18</v>
      </c>
      <c r="C198" s="18" t="s">
        <v>337</v>
      </c>
      <c r="E198" s="23" t="str">
        <f>IF(COUNTIF('Info Strategia'!$D$2:$D$51,$C198)&gt;0,"SI","NO")</f>
        <v>NO</v>
      </c>
      <c r="F198" s="24">
        <f>IFERROR(ROUND(($G198+($H198-$G198)*'Info Strategia'!$B$6)*(1+IF($E198="SI",'Parametri Modello'!$B$7*'Info Strategia'!$B$6,0)),0),"")</f>
        <v>6</v>
      </c>
      <c r="G198" s="24">
        <f>IFERROR(ROUND(MAX(1,(IF($V198&lt;=INDEX('Parametri Modello'!$C$57:$C$60,MATCH($B198,'Parametri Modello'!$A$57:$A$60,0)),IF(INDEX('Parametri Modello'!$E$57:$E$60,MATCH($B198,'Parametri Modello'!$A$57:$A$60,0))=0,0,($O198/INDEX('Parametri Modello'!$E$57:$E$60,MATCH($B198,'Parametri Modello'!$A$57:$A$60,0)))*(INDEX('Parametri Modello'!$D$57:$D$60,MATCH($B198,'Parametri Modello'!$A$57:$A$60,0))*(INDEX('Parametri Modello'!$B$50:$B$53,MATCH($B198,'Parametri Modello'!$A$50:$A$53,0))*'Parametri Modello'!$B$44))),IF(INDEX('Parametri Modello'!$F$57:$F$60,MATCH($B198,'Parametri Modello'!$A$57:$A$60,0))=0,0,($O198/INDEX('Parametri Modello'!$F$57:$F$60,MATCH($B198,'Parametri Modello'!$A$57:$A$60,0)))*((1-INDEX('Parametri Modello'!$D$57:$D$60,MATCH($B198,'Parametri Modello'!$A$57:$A$60,0)))*(INDEX('Parametri Modello'!$B$50:$B$53,MATCH($B198,'Parametri Modello'!$A$50:$A$53,0))*'Parametri Modello'!$B$44))))*(1+IF(IF($B198="D",'Info Lega'!$B$25,IF($B198="C",'Info Lega'!$B$26,"No"))="Si",'Parametri Modello'!$B$5,0))*(1+MAX(-0.25,MIN(0.25,IF(OR($T198="",$I198="",$I198=0,INDEX('Parametri Modello'!$B$19:$B$22,MATCH($B198,'Parametri Modello'!$A$19:$A$22,0))="",INDEX('Parametri Modello'!$B$19:$B$22,MATCH($B198,'Parametri Modello'!$A$19:$A$22,0))=0),0,(($T198-INDEX('Parametri Modello'!$B$19:$B$22,MATCH($B198,'Parametri Modello'!$A$19:$A$22,0)))/INDEX('Parametri Modello'!$B$19:$B$22,MATCH($B198,'Parametri Modello'!$A$19:$A$22,0)))*'Parametri Modello'!$B$9))))*(1+IF('Parametri Modello'!$B$27="Si",MAX(-'Parametri Modello'!$B$28,MIN('Parametri Modello'!$B$28*1.5,IF(OR(INDEX('Parametri Modello'!$F$32:$F$35,MATCH($B198,'Parametri Modello'!$A$32:$A$35,0))="",INDEX('Parametri Modello'!$F$32:$F$35,MATCH($B198,'Parametri Modello'!$A$32:$A$35,0))=0),0,(1/INDEX('Parametri Modello'!$F$32:$F$35,MATCH($B198,'Parametri Modello'!$A$32:$A$35,0))-1)*'Parametri Modello'!$B$28))),0)))*(1-INDEX('Parametri Modello'!$B$12:$B$15,MATCH($B198,'Parametri Modello'!$A$12:$A$15,0)))),0),"")</f>
        <v>4</v>
      </c>
      <c r="H198" s="24">
        <f>IFERROR(ROUND((IF($V198&lt;=INDEX('Parametri Modello'!$C$57:$C$60,MATCH($B198,'Parametri Modello'!$A$57:$A$60,0)),IF(INDEX('Parametri Modello'!$E$57:$E$60,MATCH($B198,'Parametri Modello'!$A$57:$A$60,0))=0,0,($O198/INDEX('Parametri Modello'!$E$57:$E$60,MATCH($B198,'Parametri Modello'!$A$57:$A$60,0)))*(INDEX('Parametri Modello'!$D$57:$D$60,MATCH($B198,'Parametri Modello'!$A$57:$A$60,0))*(INDEX('Parametri Modello'!$B$50:$B$53,MATCH($B198,'Parametri Modello'!$A$50:$A$53,0))*'Parametri Modello'!$B$44))),IF(INDEX('Parametri Modello'!$F$57:$F$60,MATCH($B198,'Parametri Modello'!$A$57:$A$60,0))=0,0,($O198/INDEX('Parametri Modello'!$F$57:$F$60,MATCH($B198,'Parametri Modello'!$A$57:$A$60,0)))*((1-INDEX('Parametri Modello'!$D$57:$D$60,MATCH($B198,'Parametri Modello'!$A$57:$A$60,0)))*(INDEX('Parametri Modello'!$B$50:$B$53,MATCH($B198,'Parametri Modello'!$A$50:$A$53,0))*'Parametri Modello'!$B$44))))*(1+IF(IF($B198="D",'Info Lega'!$B$25,IF($B198="C",'Info Lega'!$B$26,"No"))="Si",'Parametri Modello'!$B$5,0))*(1+MAX(-0.25,MIN(0.25,IF(OR($T198="",$I198="",$I198=0,INDEX('Parametri Modello'!$B$19:$B$22,MATCH($B198,'Parametri Modello'!$A$19:$A$22,0))="",INDEX('Parametri Modello'!$B$19:$B$22,MATCH($B198,'Parametri Modello'!$A$19:$A$22,0))=0),0,(($T198-INDEX('Parametri Modello'!$B$19:$B$22,MATCH($B198,'Parametri Modello'!$A$19:$A$22,0)))/INDEX('Parametri Modello'!$B$19:$B$22,MATCH($B198,'Parametri Modello'!$A$19:$A$22,0)))*'Parametri Modello'!$B$9))))*(1+IF('Parametri Modello'!$B$27="Si",MAX(-'Parametri Modello'!$B$28,MIN('Parametri Modello'!$B$28*1.5,IF(OR(INDEX('Parametri Modello'!$F$32:$F$35,MATCH($B198,'Parametri Modello'!$A$32:$A$35,0))="",INDEX('Parametri Modello'!$F$32:$F$35,MATCH($B198,'Parametri Modello'!$A$32:$A$35,0))=0),0,(1/INDEX('Parametri Modello'!$F$32:$F$35,MATCH($B198,'Parametri Modello'!$A$32:$A$35,0))-1)*'Parametri Modello'!$B$28))),0)))*(1+INDEX('Parametri Modello'!$B$12:$B$15,MATCH($B198,'Parametri Modello'!$A$12:$A$15,0))),0),"")</f>
        <v>7</v>
      </c>
      <c r="I198" s="23">
        <f>IFERROR(INDEX('Input Statistiche 2025_26'!$F$3:$F$665,MATCH($A198,'Input Statistiche 2025_26'!$A$3:$A$665,0)),"")</f>
        <v>18</v>
      </c>
      <c r="J198" s="23">
        <f t="shared" si="27"/>
        <v>20</v>
      </c>
      <c r="K198" s="23">
        <f>IFERROR(INDEX('Input Statistiche 2025_26'!$I$3:$I$665,MATCH($A198,'Input Statistiche 2025_26'!$A$3:$A$665,0)),"")</f>
        <v>1</v>
      </c>
      <c r="L198" s="23">
        <f>IFERROR(INDEX('Input Statistiche 2025_26'!$O$3:$O$665,MATCH($A198,'Input Statistiche 2025_26'!$A$3:$A$665,0)),"")</f>
        <v>0</v>
      </c>
      <c r="M198" s="25"/>
      <c r="N198" s="24">
        <f>IFERROR(INDEX('Input Giocatori 2026_27'!$E$3:$E$493,MATCH($A198,'Input Giocatori 2026_27'!$A$3:$A$493,0)),"")</f>
        <v>5</v>
      </c>
      <c r="O198" s="24">
        <f>IFERROR(INDEX('Input Giocatori 2026_27'!$G$3:$G$493,MATCH($A198,'Input Giocatori 2026_27'!$A$3:$A$493,0)),"")</f>
        <v>18</v>
      </c>
      <c r="P198" s="23" t="str">
        <f>IFERROR(IF($O198="","",IF((1-(COUNTIFS($B$2:$B$492,$B198,$O$2:$O$492,"&gt;"&amp;$O198)+1-1)/COUNTIF($B$2:$B$492,$B198))&gt;='Parametri Modello'!$B$63,"Top",IF((1-(COUNTIFS($B$2:$B$492,$B198,$O$2:$O$492,"&gt;"&amp;$O198)+1-1)/COUNTIF($B$2:$B$492,$B198))&gt;='Parametri Modello'!$B$64,"Buono",IF((1-(COUNTIFS($B$2:$B$492,$B198,$O$2:$O$492,"&gt;"&amp;$O198)+1-1)/COUNTIF($B$2:$B$492,$B198))&gt;='Parametri Modello'!$B$65,"Nella Media","Scommessa/Riserva")))),"")</f>
        <v>Nella Media</v>
      </c>
      <c r="Q198" s="26">
        <f>IF(AND($D198="",$N198&gt;1),SUMPRODUCT(($D$2:$D198="")*($N$2:$N198&gt;1)),"")</f>
        <v>197</v>
      </c>
      <c r="R198" s="26" t="str">
        <f>IF($D198='Info Lega'!$B$28,COUNTIFS($D$2:$D198,'Info Lega'!$B$28),"")</f>
        <v/>
      </c>
      <c r="S198" s="27">
        <f>IFERROR(INDEX('Input Statistiche 2025_26'!$G$3:$G$665,MATCH($A198,'Input Statistiche 2025_26'!$A$3:$A$665,0)),"")</f>
        <v>5.67</v>
      </c>
      <c r="T198" s="27">
        <f>IFERROR(INDEX('Input Statistiche 2025_26'!$H$3:$H$665,MATCH($A198,'Input Statistiche 2025_26'!$A$3:$A$665,0)),"")</f>
        <v>5.64</v>
      </c>
      <c r="U198" s="23" t="str">
        <f>IF(OR('La Mia Rosa'!$O$12="",$D198&lt;&gt;""),"",IF($F198&lt;='La Mia Rosa'!$O$12*'Parametri Modello'!$B$24,"OK",IF($F198&lt;='La Mia Rosa'!$O$12*'Parametri Modello'!$B$25,"Attenzione","Rischio Alto")))</f>
        <v>OK</v>
      </c>
      <c r="V198" s="23">
        <f t="shared" si="28"/>
        <v>51</v>
      </c>
      <c r="W198" s="18">
        <f>'Info Lega'!$B$4-SUMIFS($M$2:$M$492,$D$2:$D$492,'Info Lega'!$B$28)</f>
        <v>1000</v>
      </c>
      <c r="X198" s="18">
        <f>('Info Lega'!$B$5-COUNTIFS($D$2:$D$492,'Info Lega'!$B$28,$B$2:$B$492,"P"))+('Info Lega'!$B$6-COUNTIFS($D$2:$D$492,'Info Lega'!$B$28,$B$2:$B$492,"D"))+('Info Lega'!$B$7-COUNTIFS($D$2:$D$492,'Info Lega'!$B$28,$B$2:$B$492,"C"))+('Info Lega'!$B$8-COUNTIFS($D$2:$D$492,'Info Lega'!$B$28,$B$2:$B$492,"A"))</f>
        <v>25</v>
      </c>
      <c r="Y198" s="18">
        <f>X198*'Parametri Modello'!$B$30</f>
        <v>25</v>
      </c>
      <c r="Z198" s="18">
        <f t="shared" si="29"/>
        <v>975</v>
      </c>
      <c r="AA198" s="18">
        <f t="shared" si="30"/>
        <v>6</v>
      </c>
      <c r="AB198" s="18"/>
      <c r="AC198" s="18" t="str">
        <f>IF($AB198="","",IF($AB198&gt;$AA198,"PASS",IF($AB198&lt;=$AA198*(1-'Parametri Modello'!$B$68),"BID","ATTENZIONE")))</f>
        <v/>
      </c>
      <c r="AD198" s="28">
        <f t="shared" si="31"/>
        <v>45</v>
      </c>
      <c r="AE198" s="5" t="str">
        <f>IFERROR(INDEX('Stato Asta'!$G$9:$G$12,MATCH($B198,'Stato Asta'!$A$9:$A$12,0)),"")</f>
        <v>🔴 Non aspettare</v>
      </c>
      <c r="AF198" t="str">
        <f>IFERROR(IF($V198&lt;=INDEX('Parametri Modello'!$C$57:$C$60,MATCH($B198,'Parametri Modello'!$A$57:$A$60,0)),"Titolare","Riserva"),"")</f>
        <v>Riserva</v>
      </c>
      <c r="AG198" t="str">
        <f>IFERROR(INDEX('Pressione Competitiva'!$F$3:$F$6,MATCH($B198,'Pressione Competitiva'!$B$3:$B$6,0)),"")</f>
        <v>🔴 Molto Alta</v>
      </c>
      <c r="AH198" t="str">
        <f t="shared" si="32"/>
        <v/>
      </c>
      <c r="AI198" t="str">
        <f>IFERROR(IF($AH198="","",IF($AH198&gt;=$AA198*'Parametri Modello'!$B$68,"🟢 Opportunita'",IF($AH198&lt;=$AA198*'Parametri Modello'!$B$69,"🔴 Sovrapprezzo","🟡 Prezzo Corretto"))),"")</f>
        <v/>
      </c>
      <c r="AJ198" t="str">
        <f t="shared" si="33"/>
        <v/>
      </c>
      <c r="AK198">
        <f t="shared" si="34"/>
        <v>25</v>
      </c>
      <c r="AL198" t="str">
        <f t="shared" si="35"/>
        <v>A|Nella Media|25</v>
      </c>
    </row>
    <row r="199" spans="1:38" ht="14.25" customHeight="1" x14ac:dyDescent="0.25">
      <c r="A199" s="18">
        <v>5882</v>
      </c>
      <c r="B199" s="18" t="s">
        <v>18</v>
      </c>
      <c r="C199" s="18" t="s">
        <v>338</v>
      </c>
      <c r="E199" s="23" t="str">
        <f>IF(COUNTIF('Info Strategia'!$D$2:$D$51,$C199)&gt;0,"SI","NO")</f>
        <v>NO</v>
      </c>
      <c r="F199" s="24">
        <f>IFERROR(ROUND(($G199+($H199-$G199)*'Info Strategia'!$B$6)*(1+IF($E199="SI",'Parametri Modello'!$B$7*'Info Strategia'!$B$6,0)),0),"")</f>
        <v>6</v>
      </c>
      <c r="G199" s="24">
        <f>IFERROR(ROUND(MAX(1,(IF($V199&lt;=INDEX('Parametri Modello'!$C$57:$C$60,MATCH($B199,'Parametri Modello'!$A$57:$A$60,0)),IF(INDEX('Parametri Modello'!$E$57:$E$60,MATCH($B199,'Parametri Modello'!$A$57:$A$60,0))=0,0,($O199/INDEX('Parametri Modello'!$E$57:$E$60,MATCH($B199,'Parametri Modello'!$A$57:$A$60,0)))*(INDEX('Parametri Modello'!$D$57:$D$60,MATCH($B199,'Parametri Modello'!$A$57:$A$60,0))*(INDEX('Parametri Modello'!$B$50:$B$53,MATCH($B199,'Parametri Modello'!$A$50:$A$53,0))*'Parametri Modello'!$B$44))),IF(INDEX('Parametri Modello'!$F$57:$F$60,MATCH($B199,'Parametri Modello'!$A$57:$A$60,0))=0,0,($O199/INDEX('Parametri Modello'!$F$57:$F$60,MATCH($B199,'Parametri Modello'!$A$57:$A$60,0)))*((1-INDEX('Parametri Modello'!$D$57:$D$60,MATCH($B199,'Parametri Modello'!$A$57:$A$60,0)))*(INDEX('Parametri Modello'!$B$50:$B$53,MATCH($B199,'Parametri Modello'!$A$50:$A$53,0))*'Parametri Modello'!$B$44))))*(1+IF(IF($B199="D",'Info Lega'!$B$25,IF($B199="C",'Info Lega'!$B$26,"No"))="Si",'Parametri Modello'!$B$5,0))*(1+MAX(-0.25,MIN(0.25,IF(OR($T199="",$I199="",$I199=0,INDEX('Parametri Modello'!$B$19:$B$22,MATCH($B199,'Parametri Modello'!$A$19:$A$22,0))="",INDEX('Parametri Modello'!$B$19:$B$22,MATCH($B199,'Parametri Modello'!$A$19:$A$22,0))=0),0,(($T199-INDEX('Parametri Modello'!$B$19:$B$22,MATCH($B199,'Parametri Modello'!$A$19:$A$22,0)))/INDEX('Parametri Modello'!$B$19:$B$22,MATCH($B199,'Parametri Modello'!$A$19:$A$22,0)))*'Parametri Modello'!$B$9))))*(1+IF('Parametri Modello'!$B$27="Si",MAX(-'Parametri Modello'!$B$28,MIN('Parametri Modello'!$B$28*1.5,IF(OR(INDEX('Parametri Modello'!$F$32:$F$35,MATCH($B199,'Parametri Modello'!$A$32:$A$35,0))="",INDEX('Parametri Modello'!$F$32:$F$35,MATCH($B199,'Parametri Modello'!$A$32:$A$35,0))=0),0,(1/INDEX('Parametri Modello'!$F$32:$F$35,MATCH($B199,'Parametri Modello'!$A$32:$A$35,0))-1)*'Parametri Modello'!$B$28))),0)))*(1-INDEX('Parametri Modello'!$B$12:$B$15,MATCH($B199,'Parametri Modello'!$A$12:$A$15,0)))),0),"")</f>
        <v>4</v>
      </c>
      <c r="H199" s="24">
        <f>IFERROR(ROUND((IF($V199&lt;=INDEX('Parametri Modello'!$C$57:$C$60,MATCH($B199,'Parametri Modello'!$A$57:$A$60,0)),IF(INDEX('Parametri Modello'!$E$57:$E$60,MATCH($B199,'Parametri Modello'!$A$57:$A$60,0))=0,0,($O199/INDEX('Parametri Modello'!$E$57:$E$60,MATCH($B199,'Parametri Modello'!$A$57:$A$60,0)))*(INDEX('Parametri Modello'!$D$57:$D$60,MATCH($B199,'Parametri Modello'!$A$57:$A$60,0))*(INDEX('Parametri Modello'!$B$50:$B$53,MATCH($B199,'Parametri Modello'!$A$50:$A$53,0))*'Parametri Modello'!$B$44))),IF(INDEX('Parametri Modello'!$F$57:$F$60,MATCH($B199,'Parametri Modello'!$A$57:$A$60,0))=0,0,($O199/INDEX('Parametri Modello'!$F$57:$F$60,MATCH($B199,'Parametri Modello'!$A$57:$A$60,0)))*((1-INDEX('Parametri Modello'!$D$57:$D$60,MATCH($B199,'Parametri Modello'!$A$57:$A$60,0)))*(INDEX('Parametri Modello'!$B$50:$B$53,MATCH($B199,'Parametri Modello'!$A$50:$A$53,0))*'Parametri Modello'!$B$44))))*(1+IF(IF($B199="D",'Info Lega'!$B$25,IF($B199="C",'Info Lega'!$B$26,"No"))="Si",'Parametri Modello'!$B$5,0))*(1+MAX(-0.25,MIN(0.25,IF(OR($T199="",$I199="",$I199=0,INDEX('Parametri Modello'!$B$19:$B$22,MATCH($B199,'Parametri Modello'!$A$19:$A$22,0))="",INDEX('Parametri Modello'!$B$19:$B$22,MATCH($B199,'Parametri Modello'!$A$19:$A$22,0))=0),0,(($T199-INDEX('Parametri Modello'!$B$19:$B$22,MATCH($B199,'Parametri Modello'!$A$19:$A$22,0)))/INDEX('Parametri Modello'!$B$19:$B$22,MATCH($B199,'Parametri Modello'!$A$19:$A$22,0)))*'Parametri Modello'!$B$9))))*(1+IF('Parametri Modello'!$B$27="Si",MAX(-'Parametri Modello'!$B$28,MIN('Parametri Modello'!$B$28*1.5,IF(OR(INDEX('Parametri Modello'!$F$32:$F$35,MATCH($B199,'Parametri Modello'!$A$32:$A$35,0))="",INDEX('Parametri Modello'!$F$32:$F$35,MATCH($B199,'Parametri Modello'!$A$32:$A$35,0))=0),0,(1/INDEX('Parametri Modello'!$F$32:$F$35,MATCH($B199,'Parametri Modello'!$A$32:$A$35,0))-1)*'Parametri Modello'!$B$28))),0)))*(1+INDEX('Parametri Modello'!$B$12:$B$15,MATCH($B199,'Parametri Modello'!$A$12:$A$15,0))),0),"")</f>
        <v>7</v>
      </c>
      <c r="I199" s="23" t="str">
        <f>IFERROR(INDEX('Input Statistiche 2025_26'!$F$3:$F$665,MATCH($A199,'Input Statistiche 2025_26'!$A$3:$A$665,0)),"")</f>
        <v/>
      </c>
      <c r="J199" s="23" t="str">
        <f t="shared" si="27"/>
        <v/>
      </c>
      <c r="K199" s="23" t="str">
        <f>IFERROR(INDEX('Input Statistiche 2025_26'!$I$3:$I$665,MATCH($A199,'Input Statistiche 2025_26'!$A$3:$A$665,0)),"")</f>
        <v/>
      </c>
      <c r="L199" s="23" t="str">
        <f>IFERROR(INDEX('Input Statistiche 2025_26'!$O$3:$O$665,MATCH($A199,'Input Statistiche 2025_26'!$A$3:$A$665,0)),"")</f>
        <v/>
      </c>
      <c r="M199" s="25"/>
      <c r="N199" s="24">
        <f>IFERROR(INDEX('Input Giocatori 2026_27'!$E$3:$E$493,MATCH($A199,'Input Giocatori 2026_27'!$A$3:$A$493,0)),"")</f>
        <v>5</v>
      </c>
      <c r="O199" s="24">
        <f>IFERROR(INDEX('Input Giocatori 2026_27'!$G$3:$G$493,MATCH($A199,'Input Giocatori 2026_27'!$A$3:$A$493,0)),"")</f>
        <v>18</v>
      </c>
      <c r="P199" s="23" t="str">
        <f>IFERROR(IF($O199="","",IF((1-(COUNTIFS($B$2:$B$492,$B199,$O$2:$O$492,"&gt;"&amp;$O199)+1-1)/COUNTIF($B$2:$B$492,$B199))&gt;='Parametri Modello'!$B$63,"Top",IF((1-(COUNTIFS($B$2:$B$492,$B199,$O$2:$O$492,"&gt;"&amp;$O199)+1-1)/COUNTIF($B$2:$B$492,$B199))&gt;='Parametri Modello'!$B$64,"Buono",IF((1-(COUNTIFS($B$2:$B$492,$B199,$O$2:$O$492,"&gt;"&amp;$O199)+1-1)/COUNTIF($B$2:$B$492,$B199))&gt;='Parametri Modello'!$B$65,"Nella Media","Scommessa/Riserva")))),"")</f>
        <v>Nella Media</v>
      </c>
      <c r="Q199" s="26">
        <f>IF(AND($D199="",$N199&gt;1),SUMPRODUCT(($D$2:$D199="")*($N$2:$N199&gt;1)),"")</f>
        <v>198</v>
      </c>
      <c r="R199" s="26" t="str">
        <f>IF($D199='Info Lega'!$B$28,COUNTIFS($D$2:$D199,'Info Lega'!$B$28),"")</f>
        <v/>
      </c>
      <c r="S199" s="27" t="str">
        <f>IFERROR(INDEX('Input Statistiche 2025_26'!$G$3:$G$665,MATCH($A199,'Input Statistiche 2025_26'!$A$3:$A$665,0)),"")</f>
        <v/>
      </c>
      <c r="T199" s="27" t="str">
        <f>IFERROR(INDEX('Input Statistiche 2025_26'!$H$3:$H$665,MATCH($A199,'Input Statistiche 2025_26'!$A$3:$A$665,0)),"")</f>
        <v/>
      </c>
      <c r="U199" s="23" t="str">
        <f>IF(OR('La Mia Rosa'!$O$12="",$D199&lt;&gt;""),"",IF($F199&lt;='La Mia Rosa'!$O$12*'Parametri Modello'!$B$24,"OK",IF($F199&lt;='La Mia Rosa'!$O$12*'Parametri Modello'!$B$25,"Attenzione","Rischio Alto")))</f>
        <v>OK</v>
      </c>
      <c r="V199" s="23">
        <f t="shared" si="28"/>
        <v>51</v>
      </c>
      <c r="W199" s="18">
        <f>'Info Lega'!$B$4-SUMIFS($M$2:$M$492,$D$2:$D$492,'Info Lega'!$B$28)</f>
        <v>1000</v>
      </c>
      <c r="X199" s="18">
        <f>('Info Lega'!$B$5-COUNTIFS($D$2:$D$492,'Info Lega'!$B$28,$B$2:$B$492,"P"))+('Info Lega'!$B$6-COUNTIFS($D$2:$D$492,'Info Lega'!$B$28,$B$2:$B$492,"D"))+('Info Lega'!$B$7-COUNTIFS($D$2:$D$492,'Info Lega'!$B$28,$B$2:$B$492,"C"))+('Info Lega'!$B$8-COUNTIFS($D$2:$D$492,'Info Lega'!$B$28,$B$2:$B$492,"A"))</f>
        <v>25</v>
      </c>
      <c r="Y199" s="18">
        <f>X199*'Parametri Modello'!$B$30</f>
        <v>25</v>
      </c>
      <c r="Z199" s="18">
        <f t="shared" si="29"/>
        <v>975</v>
      </c>
      <c r="AA199" s="18">
        <f t="shared" si="30"/>
        <v>6</v>
      </c>
      <c r="AB199" s="18"/>
      <c r="AC199" s="18" t="str">
        <f>IF($AB199="","",IF($AB199&gt;$AA199,"PASS",IF($AB199&lt;=$AA199*(1-'Parametri Modello'!$B$68),"BID","ATTENZIONE")))</f>
        <v/>
      </c>
      <c r="AD199" s="28" t="str">
        <f t="shared" si="31"/>
        <v/>
      </c>
      <c r="AE199" s="5" t="str">
        <f>IFERROR(INDEX('Stato Asta'!$G$9:$G$12,MATCH($B199,'Stato Asta'!$A$9:$A$12,0)),"")</f>
        <v>🔴 Non aspettare</v>
      </c>
      <c r="AF199" t="str">
        <f>IFERROR(IF($V199&lt;=INDEX('Parametri Modello'!$C$57:$C$60,MATCH($B199,'Parametri Modello'!$A$57:$A$60,0)),"Titolare","Riserva"),"")</f>
        <v>Riserva</v>
      </c>
      <c r="AG199" t="str">
        <f>IFERROR(INDEX('Pressione Competitiva'!$F$3:$F$6,MATCH($B199,'Pressione Competitiva'!$B$3:$B$6,0)),"")</f>
        <v>🔴 Molto Alta</v>
      </c>
      <c r="AH199" t="str">
        <f t="shared" si="32"/>
        <v/>
      </c>
      <c r="AI199" t="str">
        <f>IFERROR(IF($AH199="","",IF($AH199&gt;=$AA199*'Parametri Modello'!$B$68,"🟢 Opportunita'",IF($AH199&lt;=$AA199*'Parametri Modello'!$B$69,"🔴 Sovrapprezzo","🟡 Prezzo Corretto"))),"")</f>
        <v/>
      </c>
      <c r="AJ199" t="str">
        <f t="shared" si="33"/>
        <v/>
      </c>
      <c r="AK199">
        <f t="shared" si="34"/>
        <v>25</v>
      </c>
      <c r="AL199" t="str">
        <f t="shared" si="35"/>
        <v>A|Nella Media|25</v>
      </c>
    </row>
    <row r="200" spans="1:38" ht="14.25" customHeight="1" x14ac:dyDescent="0.25">
      <c r="A200" s="18">
        <v>6989</v>
      </c>
      <c r="B200" s="18" t="s">
        <v>16</v>
      </c>
      <c r="C200" s="18" t="s">
        <v>339</v>
      </c>
      <c r="E200" s="23" t="str">
        <f>IF(COUNTIF('Info Strategia'!$D$2:$D$51,$C200)&gt;0,"SI","NO")</f>
        <v>NO</v>
      </c>
      <c r="F200" s="24">
        <f>IFERROR(ROUND(($G200+($H200-$G200)*'Info Strategia'!$B$6)*(1+IF($E200="SI",'Parametri Modello'!$B$7*'Info Strategia'!$B$6,0)),0),"")</f>
        <v>3</v>
      </c>
      <c r="G200" s="24">
        <f>IFERROR(ROUND(MAX(1,(IF($V200&lt;=INDEX('Parametri Modello'!$C$57:$C$60,MATCH($B200,'Parametri Modello'!$A$57:$A$60,0)),IF(INDEX('Parametri Modello'!$E$57:$E$60,MATCH($B200,'Parametri Modello'!$A$57:$A$60,0))=0,0,($O200/INDEX('Parametri Modello'!$E$57:$E$60,MATCH($B200,'Parametri Modello'!$A$57:$A$60,0)))*(INDEX('Parametri Modello'!$D$57:$D$60,MATCH($B200,'Parametri Modello'!$A$57:$A$60,0))*(INDEX('Parametri Modello'!$B$50:$B$53,MATCH($B200,'Parametri Modello'!$A$50:$A$53,0))*'Parametri Modello'!$B$44))),IF(INDEX('Parametri Modello'!$F$57:$F$60,MATCH($B200,'Parametri Modello'!$A$57:$A$60,0))=0,0,($O200/INDEX('Parametri Modello'!$F$57:$F$60,MATCH($B200,'Parametri Modello'!$A$57:$A$60,0)))*((1-INDEX('Parametri Modello'!$D$57:$D$60,MATCH($B200,'Parametri Modello'!$A$57:$A$60,0)))*(INDEX('Parametri Modello'!$B$50:$B$53,MATCH($B200,'Parametri Modello'!$A$50:$A$53,0))*'Parametri Modello'!$B$44))))*(1+IF(IF($B200="D",'Info Lega'!$B$25,IF($B200="C",'Info Lega'!$B$26,"No"))="Si",'Parametri Modello'!$B$5,0))*(1+MAX(-0.25,MIN(0.25,IF(OR($T200="",$I200="",$I200=0,INDEX('Parametri Modello'!$B$19:$B$22,MATCH($B200,'Parametri Modello'!$A$19:$A$22,0))="",INDEX('Parametri Modello'!$B$19:$B$22,MATCH($B200,'Parametri Modello'!$A$19:$A$22,0))=0),0,(($T200-INDEX('Parametri Modello'!$B$19:$B$22,MATCH($B200,'Parametri Modello'!$A$19:$A$22,0)))/INDEX('Parametri Modello'!$B$19:$B$22,MATCH($B200,'Parametri Modello'!$A$19:$A$22,0)))*'Parametri Modello'!$B$9))))*(1+IF('Parametri Modello'!$B$27="Si",MAX(-'Parametri Modello'!$B$28,MIN('Parametri Modello'!$B$28*1.5,IF(OR(INDEX('Parametri Modello'!$F$32:$F$35,MATCH($B200,'Parametri Modello'!$A$32:$A$35,0))="",INDEX('Parametri Modello'!$F$32:$F$35,MATCH($B200,'Parametri Modello'!$A$32:$A$35,0))=0),0,(1/INDEX('Parametri Modello'!$F$32:$F$35,MATCH($B200,'Parametri Modello'!$A$32:$A$35,0))-1)*'Parametri Modello'!$B$28))),0)))*(1-INDEX('Parametri Modello'!$B$12:$B$15,MATCH($B200,'Parametri Modello'!$A$12:$A$15,0)))),0),"")</f>
        <v>2</v>
      </c>
      <c r="H200" s="24">
        <f>IFERROR(ROUND((IF($V200&lt;=INDEX('Parametri Modello'!$C$57:$C$60,MATCH($B200,'Parametri Modello'!$A$57:$A$60,0)),IF(INDEX('Parametri Modello'!$E$57:$E$60,MATCH($B200,'Parametri Modello'!$A$57:$A$60,0))=0,0,($O200/INDEX('Parametri Modello'!$E$57:$E$60,MATCH($B200,'Parametri Modello'!$A$57:$A$60,0)))*(INDEX('Parametri Modello'!$D$57:$D$60,MATCH($B200,'Parametri Modello'!$A$57:$A$60,0))*(INDEX('Parametri Modello'!$B$50:$B$53,MATCH($B200,'Parametri Modello'!$A$50:$A$53,0))*'Parametri Modello'!$B$44))),IF(INDEX('Parametri Modello'!$F$57:$F$60,MATCH($B200,'Parametri Modello'!$A$57:$A$60,0))=0,0,($O200/INDEX('Parametri Modello'!$F$57:$F$60,MATCH($B200,'Parametri Modello'!$A$57:$A$60,0)))*((1-INDEX('Parametri Modello'!$D$57:$D$60,MATCH($B200,'Parametri Modello'!$A$57:$A$60,0)))*(INDEX('Parametri Modello'!$B$50:$B$53,MATCH($B200,'Parametri Modello'!$A$50:$A$53,0))*'Parametri Modello'!$B$44))))*(1+IF(IF($B200="D",'Info Lega'!$B$25,IF($B200="C",'Info Lega'!$B$26,"No"))="Si",'Parametri Modello'!$B$5,0))*(1+MAX(-0.25,MIN(0.25,IF(OR($T200="",$I200="",$I200=0,INDEX('Parametri Modello'!$B$19:$B$22,MATCH($B200,'Parametri Modello'!$A$19:$A$22,0))="",INDEX('Parametri Modello'!$B$19:$B$22,MATCH($B200,'Parametri Modello'!$A$19:$A$22,0))=0),0,(($T200-INDEX('Parametri Modello'!$B$19:$B$22,MATCH($B200,'Parametri Modello'!$A$19:$A$22,0)))/INDEX('Parametri Modello'!$B$19:$B$22,MATCH($B200,'Parametri Modello'!$A$19:$A$22,0)))*'Parametri Modello'!$B$9))))*(1+IF('Parametri Modello'!$B$27="Si",MAX(-'Parametri Modello'!$B$28,MIN('Parametri Modello'!$B$28*1.5,IF(OR(INDEX('Parametri Modello'!$F$32:$F$35,MATCH($B200,'Parametri Modello'!$A$32:$A$35,0))="",INDEX('Parametri Modello'!$F$32:$F$35,MATCH($B200,'Parametri Modello'!$A$32:$A$35,0))=0),0,(1/INDEX('Parametri Modello'!$F$32:$F$35,MATCH($B200,'Parametri Modello'!$A$32:$A$35,0))-1)*'Parametri Modello'!$B$28))),0)))*(1+INDEX('Parametri Modello'!$B$12:$B$15,MATCH($B200,'Parametri Modello'!$A$12:$A$15,0))),0),"")</f>
        <v>3</v>
      </c>
      <c r="I200" s="23">
        <f>IFERROR(INDEX('Input Statistiche 2025_26'!$F$3:$F$665,MATCH($A200,'Input Statistiche 2025_26'!$A$3:$A$665,0)),"")</f>
        <v>36</v>
      </c>
      <c r="J200" s="23">
        <f t="shared" si="27"/>
        <v>2</v>
      </c>
      <c r="K200" s="23">
        <f>IFERROR(INDEX('Input Statistiche 2025_26'!$I$3:$I$665,MATCH($A200,'Input Statistiche 2025_26'!$A$3:$A$665,0)),"")</f>
        <v>2</v>
      </c>
      <c r="L200" s="23">
        <f>IFERROR(INDEX('Input Statistiche 2025_26'!$O$3:$O$665,MATCH($A200,'Input Statistiche 2025_26'!$A$3:$A$665,0)),"")</f>
        <v>0</v>
      </c>
      <c r="M200" s="25"/>
      <c r="N200" s="24">
        <f>IFERROR(INDEX('Input Giocatori 2026_27'!$E$3:$E$493,MATCH($A200,'Input Giocatori 2026_27'!$A$3:$A$493,0)),"")</f>
        <v>7</v>
      </c>
      <c r="O200" s="24">
        <f>IFERROR(INDEX('Input Giocatori 2026_27'!$G$3:$G$493,MATCH($A200,'Input Giocatori 2026_27'!$A$3:$A$493,0)),"")</f>
        <v>17</v>
      </c>
      <c r="P200" s="23" t="str">
        <f>IFERROR(IF($O200="","",IF((1-(COUNTIFS($B$2:$B$492,$B200,$O$2:$O$492,"&gt;"&amp;$O200)+1-1)/COUNTIF($B$2:$B$492,$B200))&gt;='Parametri Modello'!$B$63,"Top",IF((1-(COUNTIFS($B$2:$B$492,$B200,$O$2:$O$492,"&gt;"&amp;$O200)+1-1)/COUNTIF($B$2:$B$492,$B200))&gt;='Parametri Modello'!$B$64,"Buono",IF((1-(COUNTIFS($B$2:$B$492,$B200,$O$2:$O$492,"&gt;"&amp;$O200)+1-1)/COUNTIF($B$2:$B$492,$B200))&gt;='Parametri Modello'!$B$65,"Nella Media","Scommessa/Riserva")))),"")</f>
        <v>Buono</v>
      </c>
      <c r="Q200" s="26">
        <f>IF(AND($D200="",$N200&gt;1),SUMPRODUCT(($D$2:$D200="")*($N$2:$N200&gt;1)),"")</f>
        <v>199</v>
      </c>
      <c r="R200" s="26" t="str">
        <f>IF($D200='Info Lega'!$B$28,COUNTIFS($D$2:$D200,'Info Lega'!$B$28),"")</f>
        <v/>
      </c>
      <c r="S200" s="27">
        <f>IFERROR(INDEX('Input Statistiche 2025_26'!$G$3:$G$665,MATCH($A200,'Input Statistiche 2025_26'!$A$3:$A$665,0)),"")</f>
        <v>6</v>
      </c>
      <c r="T200" s="27">
        <f>IFERROR(INDEX('Input Statistiche 2025_26'!$H$3:$H$665,MATCH($A200,'Input Statistiche 2025_26'!$A$3:$A$665,0)),"")</f>
        <v>6.01</v>
      </c>
      <c r="U200" s="23" t="str">
        <f>IF(OR('La Mia Rosa'!$O$12="",$D200&lt;&gt;""),"",IF($F200&lt;='La Mia Rosa'!$O$12*'Parametri Modello'!$B$24,"OK",IF($F200&lt;='La Mia Rosa'!$O$12*'Parametri Modello'!$B$25,"Attenzione","Rischio Alto")))</f>
        <v>OK</v>
      </c>
      <c r="V200" s="23">
        <f t="shared" si="28"/>
        <v>53</v>
      </c>
      <c r="W200" s="18">
        <f>'Info Lega'!$B$4-SUMIFS($M$2:$M$492,$D$2:$D$492,'Info Lega'!$B$28)</f>
        <v>1000</v>
      </c>
      <c r="X200" s="18">
        <f>('Info Lega'!$B$5-COUNTIFS($D$2:$D$492,'Info Lega'!$B$28,$B$2:$B$492,"P"))+('Info Lega'!$B$6-COUNTIFS($D$2:$D$492,'Info Lega'!$B$28,$B$2:$B$492,"D"))+('Info Lega'!$B$7-COUNTIFS($D$2:$D$492,'Info Lega'!$B$28,$B$2:$B$492,"C"))+('Info Lega'!$B$8-COUNTIFS($D$2:$D$492,'Info Lega'!$B$28,$B$2:$B$492,"A"))</f>
        <v>25</v>
      </c>
      <c r="Y200" s="18">
        <f>X200*'Parametri Modello'!$B$30</f>
        <v>25</v>
      </c>
      <c r="Z200" s="18">
        <f t="shared" si="29"/>
        <v>975</v>
      </c>
      <c r="AA200" s="18">
        <f t="shared" si="30"/>
        <v>3</v>
      </c>
      <c r="AB200" s="18"/>
      <c r="AC200" s="18" t="str">
        <f>IF($AB200="","",IF($AB200&gt;$AA200,"PASS",IF($AB200&lt;=$AA200*(1-'Parametri Modello'!$B$68),"BID","ATTENZIONE")))</f>
        <v/>
      </c>
      <c r="AD200" s="28">
        <f t="shared" si="31"/>
        <v>70</v>
      </c>
      <c r="AE200" s="5" t="str">
        <f>IFERROR(INDEX('Stato Asta'!$G$9:$G$12,MATCH($B200,'Stato Asta'!$A$9:$A$12,0)),"")</f>
        <v>🔴 Non aspettare</v>
      </c>
      <c r="AF200" t="str">
        <f>IFERROR(IF($V200&lt;=INDEX('Parametri Modello'!$C$57:$C$60,MATCH($B200,'Parametri Modello'!$A$57:$A$60,0)),"Titolare","Riserva"),"")</f>
        <v>Riserva</v>
      </c>
      <c r="AG200" t="str">
        <f>IFERROR(INDEX('Pressione Competitiva'!$F$3:$F$6,MATCH($B200,'Pressione Competitiva'!$B$3:$B$6,0)),"")</f>
        <v>🔴 Molto Alta</v>
      </c>
      <c r="AH200" t="str">
        <f t="shared" si="32"/>
        <v/>
      </c>
      <c r="AI200" t="str">
        <f>IFERROR(IF($AH200="","",IF($AH200&gt;=$AA200*'Parametri Modello'!$B$68,"🟢 Opportunita'",IF($AH200&lt;=$AA200*'Parametri Modello'!$B$69,"🔴 Sovrapprezzo","🟡 Prezzo Corretto"))),"")</f>
        <v/>
      </c>
      <c r="AJ200" t="str">
        <f t="shared" si="33"/>
        <v/>
      </c>
      <c r="AK200">
        <f t="shared" si="34"/>
        <v>35</v>
      </c>
      <c r="AL200" t="str">
        <f t="shared" si="35"/>
        <v>D|Buono|35</v>
      </c>
    </row>
    <row r="201" spans="1:38" ht="14.25" customHeight="1" x14ac:dyDescent="0.25">
      <c r="A201" s="18">
        <v>7219</v>
      </c>
      <c r="B201" s="18" t="s">
        <v>16</v>
      </c>
      <c r="C201" s="18" t="s">
        <v>340</v>
      </c>
      <c r="E201" s="23" t="str">
        <f>IF(COUNTIF('Info Strategia'!$D$2:$D$51,$C201)&gt;0,"SI","NO")</f>
        <v>NO</v>
      </c>
      <c r="F201" s="24">
        <f>IFERROR(ROUND(($G201+($H201-$G201)*'Info Strategia'!$B$6)*(1+IF($E201="SI",'Parametri Modello'!$B$7*'Info Strategia'!$B$6,0)),0),"")</f>
        <v>3</v>
      </c>
      <c r="G201" s="24">
        <f>IFERROR(ROUND(MAX(1,(IF($V201&lt;=INDEX('Parametri Modello'!$C$57:$C$60,MATCH($B201,'Parametri Modello'!$A$57:$A$60,0)),IF(INDEX('Parametri Modello'!$E$57:$E$60,MATCH($B201,'Parametri Modello'!$A$57:$A$60,0))=0,0,($O201/INDEX('Parametri Modello'!$E$57:$E$60,MATCH($B201,'Parametri Modello'!$A$57:$A$60,0)))*(INDEX('Parametri Modello'!$D$57:$D$60,MATCH($B201,'Parametri Modello'!$A$57:$A$60,0))*(INDEX('Parametri Modello'!$B$50:$B$53,MATCH($B201,'Parametri Modello'!$A$50:$A$53,0))*'Parametri Modello'!$B$44))),IF(INDEX('Parametri Modello'!$F$57:$F$60,MATCH($B201,'Parametri Modello'!$A$57:$A$60,0))=0,0,($O201/INDEX('Parametri Modello'!$F$57:$F$60,MATCH($B201,'Parametri Modello'!$A$57:$A$60,0)))*((1-INDEX('Parametri Modello'!$D$57:$D$60,MATCH($B201,'Parametri Modello'!$A$57:$A$60,0)))*(INDEX('Parametri Modello'!$B$50:$B$53,MATCH($B201,'Parametri Modello'!$A$50:$A$53,0))*'Parametri Modello'!$B$44))))*(1+IF(IF($B201="D",'Info Lega'!$B$25,IF($B201="C",'Info Lega'!$B$26,"No"))="Si",'Parametri Modello'!$B$5,0))*(1+MAX(-0.25,MIN(0.25,IF(OR($T201="",$I201="",$I201=0,INDEX('Parametri Modello'!$B$19:$B$22,MATCH($B201,'Parametri Modello'!$A$19:$A$22,0))="",INDEX('Parametri Modello'!$B$19:$B$22,MATCH($B201,'Parametri Modello'!$A$19:$A$22,0))=0),0,(($T201-INDEX('Parametri Modello'!$B$19:$B$22,MATCH($B201,'Parametri Modello'!$A$19:$A$22,0)))/INDEX('Parametri Modello'!$B$19:$B$22,MATCH($B201,'Parametri Modello'!$A$19:$A$22,0)))*'Parametri Modello'!$B$9))))*(1+IF('Parametri Modello'!$B$27="Si",MAX(-'Parametri Modello'!$B$28,MIN('Parametri Modello'!$B$28*1.5,IF(OR(INDEX('Parametri Modello'!$F$32:$F$35,MATCH($B201,'Parametri Modello'!$A$32:$A$35,0))="",INDEX('Parametri Modello'!$F$32:$F$35,MATCH($B201,'Parametri Modello'!$A$32:$A$35,0))=0),0,(1/INDEX('Parametri Modello'!$F$32:$F$35,MATCH($B201,'Parametri Modello'!$A$32:$A$35,0))-1)*'Parametri Modello'!$B$28))),0)))*(1-INDEX('Parametri Modello'!$B$12:$B$15,MATCH($B201,'Parametri Modello'!$A$12:$A$15,0)))),0),"")</f>
        <v>2</v>
      </c>
      <c r="H201" s="24">
        <f>IFERROR(ROUND((IF($V201&lt;=INDEX('Parametri Modello'!$C$57:$C$60,MATCH($B201,'Parametri Modello'!$A$57:$A$60,0)),IF(INDEX('Parametri Modello'!$E$57:$E$60,MATCH($B201,'Parametri Modello'!$A$57:$A$60,0))=0,0,($O201/INDEX('Parametri Modello'!$E$57:$E$60,MATCH($B201,'Parametri Modello'!$A$57:$A$60,0)))*(INDEX('Parametri Modello'!$D$57:$D$60,MATCH($B201,'Parametri Modello'!$A$57:$A$60,0))*(INDEX('Parametri Modello'!$B$50:$B$53,MATCH($B201,'Parametri Modello'!$A$50:$A$53,0))*'Parametri Modello'!$B$44))),IF(INDEX('Parametri Modello'!$F$57:$F$60,MATCH($B201,'Parametri Modello'!$A$57:$A$60,0))=0,0,($O201/INDEX('Parametri Modello'!$F$57:$F$60,MATCH($B201,'Parametri Modello'!$A$57:$A$60,0)))*((1-INDEX('Parametri Modello'!$D$57:$D$60,MATCH($B201,'Parametri Modello'!$A$57:$A$60,0)))*(INDEX('Parametri Modello'!$B$50:$B$53,MATCH($B201,'Parametri Modello'!$A$50:$A$53,0))*'Parametri Modello'!$B$44))))*(1+IF(IF($B201="D",'Info Lega'!$B$25,IF($B201="C",'Info Lega'!$B$26,"No"))="Si",'Parametri Modello'!$B$5,0))*(1+MAX(-0.25,MIN(0.25,IF(OR($T201="",$I201="",$I201=0,INDEX('Parametri Modello'!$B$19:$B$22,MATCH($B201,'Parametri Modello'!$A$19:$A$22,0))="",INDEX('Parametri Modello'!$B$19:$B$22,MATCH($B201,'Parametri Modello'!$A$19:$A$22,0))=0),0,(($T201-INDEX('Parametri Modello'!$B$19:$B$22,MATCH($B201,'Parametri Modello'!$A$19:$A$22,0)))/INDEX('Parametri Modello'!$B$19:$B$22,MATCH($B201,'Parametri Modello'!$A$19:$A$22,0)))*'Parametri Modello'!$B$9))))*(1+IF('Parametri Modello'!$B$27="Si",MAX(-'Parametri Modello'!$B$28,MIN('Parametri Modello'!$B$28*1.5,IF(OR(INDEX('Parametri Modello'!$F$32:$F$35,MATCH($B201,'Parametri Modello'!$A$32:$A$35,0))="",INDEX('Parametri Modello'!$F$32:$F$35,MATCH($B201,'Parametri Modello'!$A$32:$A$35,0))=0),0,(1/INDEX('Parametri Modello'!$F$32:$F$35,MATCH($B201,'Parametri Modello'!$A$32:$A$35,0))-1)*'Parametri Modello'!$B$28))),0)))*(1+INDEX('Parametri Modello'!$B$12:$B$15,MATCH($B201,'Parametri Modello'!$A$12:$A$15,0))),0),"")</f>
        <v>3</v>
      </c>
      <c r="I201" s="23">
        <f>IFERROR(INDEX('Input Statistiche 2025_26'!$F$3:$F$665,MATCH($A201,'Input Statistiche 2025_26'!$A$3:$A$665,0)),"")</f>
        <v>22</v>
      </c>
      <c r="J201" s="23">
        <f t="shared" si="27"/>
        <v>16</v>
      </c>
      <c r="K201" s="23">
        <f>IFERROR(INDEX('Input Statistiche 2025_26'!$I$3:$I$665,MATCH($A201,'Input Statistiche 2025_26'!$A$3:$A$665,0)),"")</f>
        <v>0</v>
      </c>
      <c r="L201" s="23">
        <f>IFERROR(INDEX('Input Statistiche 2025_26'!$O$3:$O$665,MATCH($A201,'Input Statistiche 2025_26'!$A$3:$A$665,0)),"")</f>
        <v>3</v>
      </c>
      <c r="M201" s="25"/>
      <c r="N201" s="24">
        <f>IFERROR(INDEX('Input Giocatori 2026_27'!$E$3:$E$493,MATCH($A201,'Input Giocatori 2026_27'!$A$3:$A$493,0)),"")</f>
        <v>6</v>
      </c>
      <c r="O201" s="24">
        <f>IFERROR(INDEX('Input Giocatori 2026_27'!$G$3:$G$493,MATCH($A201,'Input Giocatori 2026_27'!$A$3:$A$493,0)),"")</f>
        <v>17</v>
      </c>
      <c r="P201" s="23" t="str">
        <f>IFERROR(IF($O201="","",IF((1-(COUNTIFS($B$2:$B$492,$B201,$O$2:$O$492,"&gt;"&amp;$O201)+1-1)/COUNTIF($B$2:$B$492,$B201))&gt;='Parametri Modello'!$B$63,"Top",IF((1-(COUNTIFS($B$2:$B$492,$B201,$O$2:$O$492,"&gt;"&amp;$O201)+1-1)/COUNTIF($B$2:$B$492,$B201))&gt;='Parametri Modello'!$B$64,"Buono",IF((1-(COUNTIFS($B$2:$B$492,$B201,$O$2:$O$492,"&gt;"&amp;$O201)+1-1)/COUNTIF($B$2:$B$492,$B201))&gt;='Parametri Modello'!$B$65,"Nella Media","Scommessa/Riserva")))),"")</f>
        <v>Buono</v>
      </c>
      <c r="Q201" s="26">
        <f>IF(AND($D201="",$N201&gt;1),SUMPRODUCT(($D$2:$D201="")*($N$2:$N201&gt;1)),"")</f>
        <v>200</v>
      </c>
      <c r="R201" s="26" t="str">
        <f>IF($D201='Info Lega'!$B$28,COUNTIFS($D$2:$D201,'Info Lega'!$B$28),"")</f>
        <v/>
      </c>
      <c r="S201" s="27">
        <f>IFERROR(INDEX('Input Statistiche 2025_26'!$G$3:$G$665,MATCH($A201,'Input Statistiche 2025_26'!$A$3:$A$665,0)),"")</f>
        <v>6.09</v>
      </c>
      <c r="T201" s="27">
        <f>IFERROR(INDEX('Input Statistiche 2025_26'!$H$3:$H$665,MATCH($A201,'Input Statistiche 2025_26'!$A$3:$A$665,0)),"")</f>
        <v>6.16</v>
      </c>
      <c r="U201" s="23" t="str">
        <f>IF(OR('La Mia Rosa'!$O$12="",$D201&lt;&gt;""),"",IF($F201&lt;='La Mia Rosa'!$O$12*'Parametri Modello'!$B$24,"OK",IF($F201&lt;='La Mia Rosa'!$O$12*'Parametri Modello'!$B$25,"Attenzione","Rischio Alto")))</f>
        <v>OK</v>
      </c>
      <c r="V201" s="23">
        <f t="shared" si="28"/>
        <v>53</v>
      </c>
      <c r="W201" s="18">
        <f>'Info Lega'!$B$4-SUMIFS($M$2:$M$492,$D$2:$D$492,'Info Lega'!$B$28)</f>
        <v>1000</v>
      </c>
      <c r="X201" s="18">
        <f>('Info Lega'!$B$5-COUNTIFS($D$2:$D$492,'Info Lega'!$B$28,$B$2:$B$492,"P"))+('Info Lega'!$B$6-COUNTIFS($D$2:$D$492,'Info Lega'!$B$28,$B$2:$B$492,"D"))+('Info Lega'!$B$7-COUNTIFS($D$2:$D$492,'Info Lega'!$B$28,$B$2:$B$492,"C"))+('Info Lega'!$B$8-COUNTIFS($D$2:$D$492,'Info Lega'!$B$28,$B$2:$B$492,"A"))</f>
        <v>25</v>
      </c>
      <c r="Y201" s="18">
        <f>X201*'Parametri Modello'!$B$30</f>
        <v>25</v>
      </c>
      <c r="Z201" s="18">
        <f t="shared" si="29"/>
        <v>975</v>
      </c>
      <c r="AA201" s="18">
        <f t="shared" si="30"/>
        <v>3</v>
      </c>
      <c r="AB201" s="18"/>
      <c r="AC201" s="18" t="str">
        <f>IF($AB201="","",IF($AB201&gt;$AA201,"PASS",IF($AB201&lt;=$AA201*(1-'Parametri Modello'!$B$68),"BID","ATTENZIONE")))</f>
        <v/>
      </c>
      <c r="AD201" s="28">
        <f t="shared" si="31"/>
        <v>52</v>
      </c>
      <c r="AE201" s="5" t="str">
        <f>IFERROR(INDEX('Stato Asta'!$G$9:$G$12,MATCH($B201,'Stato Asta'!$A$9:$A$12,0)),"")</f>
        <v>🔴 Non aspettare</v>
      </c>
      <c r="AF201" t="str">
        <f>IFERROR(IF($V201&lt;=INDEX('Parametri Modello'!$C$57:$C$60,MATCH($B201,'Parametri Modello'!$A$57:$A$60,0)),"Titolare","Riserva"),"")</f>
        <v>Riserva</v>
      </c>
      <c r="AG201" t="str">
        <f>IFERROR(INDEX('Pressione Competitiva'!$F$3:$F$6,MATCH($B201,'Pressione Competitiva'!$B$3:$B$6,0)),"")</f>
        <v>🔴 Molto Alta</v>
      </c>
      <c r="AH201" t="str">
        <f t="shared" si="32"/>
        <v/>
      </c>
      <c r="AI201" t="str">
        <f>IFERROR(IF($AH201="","",IF($AH201&gt;=$AA201*'Parametri Modello'!$B$68,"🟢 Opportunita'",IF($AH201&lt;=$AA201*'Parametri Modello'!$B$69,"🔴 Sovrapprezzo","🟡 Prezzo Corretto"))),"")</f>
        <v/>
      </c>
      <c r="AJ201" t="str">
        <f t="shared" si="33"/>
        <v/>
      </c>
      <c r="AK201">
        <f t="shared" si="34"/>
        <v>35</v>
      </c>
      <c r="AL201" t="str">
        <f t="shared" si="35"/>
        <v>D|Buono|35</v>
      </c>
    </row>
    <row r="202" spans="1:38" ht="14.25" customHeight="1" x14ac:dyDescent="0.25">
      <c r="A202" s="18">
        <v>5620</v>
      </c>
      <c r="B202" s="18" t="s">
        <v>16</v>
      </c>
      <c r="C202" s="18" t="s">
        <v>341</v>
      </c>
      <c r="E202" s="23" t="str">
        <f>IF(COUNTIF('Info Strategia'!$D$2:$D$51,$C202)&gt;0,"SI","NO")</f>
        <v>NO</v>
      </c>
      <c r="F202" s="24">
        <f>IFERROR(ROUND(($G202+($H202-$G202)*'Info Strategia'!$B$6)*(1+IF($E202="SI",'Parametri Modello'!$B$7*'Info Strategia'!$B$6,0)),0),"")</f>
        <v>3</v>
      </c>
      <c r="G202" s="24">
        <f>IFERROR(ROUND(MAX(1,(IF($V202&lt;=INDEX('Parametri Modello'!$C$57:$C$60,MATCH($B202,'Parametri Modello'!$A$57:$A$60,0)),IF(INDEX('Parametri Modello'!$E$57:$E$60,MATCH($B202,'Parametri Modello'!$A$57:$A$60,0))=0,0,($O202/INDEX('Parametri Modello'!$E$57:$E$60,MATCH($B202,'Parametri Modello'!$A$57:$A$60,0)))*(INDEX('Parametri Modello'!$D$57:$D$60,MATCH($B202,'Parametri Modello'!$A$57:$A$60,0))*(INDEX('Parametri Modello'!$B$50:$B$53,MATCH($B202,'Parametri Modello'!$A$50:$A$53,0))*'Parametri Modello'!$B$44))),IF(INDEX('Parametri Modello'!$F$57:$F$60,MATCH($B202,'Parametri Modello'!$A$57:$A$60,0))=0,0,($O202/INDEX('Parametri Modello'!$F$57:$F$60,MATCH($B202,'Parametri Modello'!$A$57:$A$60,0)))*((1-INDEX('Parametri Modello'!$D$57:$D$60,MATCH($B202,'Parametri Modello'!$A$57:$A$60,0)))*(INDEX('Parametri Modello'!$B$50:$B$53,MATCH($B202,'Parametri Modello'!$A$50:$A$53,0))*'Parametri Modello'!$B$44))))*(1+IF(IF($B202="D",'Info Lega'!$B$25,IF($B202="C",'Info Lega'!$B$26,"No"))="Si",'Parametri Modello'!$B$5,0))*(1+MAX(-0.25,MIN(0.25,IF(OR($T202="",$I202="",$I202=0,INDEX('Parametri Modello'!$B$19:$B$22,MATCH($B202,'Parametri Modello'!$A$19:$A$22,0))="",INDEX('Parametri Modello'!$B$19:$B$22,MATCH($B202,'Parametri Modello'!$A$19:$A$22,0))=0),0,(($T202-INDEX('Parametri Modello'!$B$19:$B$22,MATCH($B202,'Parametri Modello'!$A$19:$A$22,0)))/INDEX('Parametri Modello'!$B$19:$B$22,MATCH($B202,'Parametri Modello'!$A$19:$A$22,0)))*'Parametri Modello'!$B$9))))*(1+IF('Parametri Modello'!$B$27="Si",MAX(-'Parametri Modello'!$B$28,MIN('Parametri Modello'!$B$28*1.5,IF(OR(INDEX('Parametri Modello'!$F$32:$F$35,MATCH($B202,'Parametri Modello'!$A$32:$A$35,0))="",INDEX('Parametri Modello'!$F$32:$F$35,MATCH($B202,'Parametri Modello'!$A$32:$A$35,0))=0),0,(1/INDEX('Parametri Modello'!$F$32:$F$35,MATCH($B202,'Parametri Modello'!$A$32:$A$35,0))-1)*'Parametri Modello'!$B$28))),0)))*(1-INDEX('Parametri Modello'!$B$12:$B$15,MATCH($B202,'Parametri Modello'!$A$12:$A$15,0)))),0),"")</f>
        <v>2</v>
      </c>
      <c r="H202" s="24">
        <f>IFERROR(ROUND((IF($V202&lt;=INDEX('Parametri Modello'!$C$57:$C$60,MATCH($B202,'Parametri Modello'!$A$57:$A$60,0)),IF(INDEX('Parametri Modello'!$E$57:$E$60,MATCH($B202,'Parametri Modello'!$A$57:$A$60,0))=0,0,($O202/INDEX('Parametri Modello'!$E$57:$E$60,MATCH($B202,'Parametri Modello'!$A$57:$A$60,0)))*(INDEX('Parametri Modello'!$D$57:$D$60,MATCH($B202,'Parametri Modello'!$A$57:$A$60,0))*(INDEX('Parametri Modello'!$B$50:$B$53,MATCH($B202,'Parametri Modello'!$A$50:$A$53,0))*'Parametri Modello'!$B$44))),IF(INDEX('Parametri Modello'!$F$57:$F$60,MATCH($B202,'Parametri Modello'!$A$57:$A$60,0))=0,0,($O202/INDEX('Parametri Modello'!$F$57:$F$60,MATCH($B202,'Parametri Modello'!$A$57:$A$60,0)))*((1-INDEX('Parametri Modello'!$D$57:$D$60,MATCH($B202,'Parametri Modello'!$A$57:$A$60,0)))*(INDEX('Parametri Modello'!$B$50:$B$53,MATCH($B202,'Parametri Modello'!$A$50:$A$53,0))*'Parametri Modello'!$B$44))))*(1+IF(IF($B202="D",'Info Lega'!$B$25,IF($B202="C",'Info Lega'!$B$26,"No"))="Si",'Parametri Modello'!$B$5,0))*(1+MAX(-0.25,MIN(0.25,IF(OR($T202="",$I202="",$I202=0,INDEX('Parametri Modello'!$B$19:$B$22,MATCH($B202,'Parametri Modello'!$A$19:$A$22,0))="",INDEX('Parametri Modello'!$B$19:$B$22,MATCH($B202,'Parametri Modello'!$A$19:$A$22,0))=0),0,(($T202-INDEX('Parametri Modello'!$B$19:$B$22,MATCH($B202,'Parametri Modello'!$A$19:$A$22,0)))/INDEX('Parametri Modello'!$B$19:$B$22,MATCH($B202,'Parametri Modello'!$A$19:$A$22,0)))*'Parametri Modello'!$B$9))))*(1+IF('Parametri Modello'!$B$27="Si",MAX(-'Parametri Modello'!$B$28,MIN('Parametri Modello'!$B$28*1.5,IF(OR(INDEX('Parametri Modello'!$F$32:$F$35,MATCH($B202,'Parametri Modello'!$A$32:$A$35,0))="",INDEX('Parametri Modello'!$F$32:$F$35,MATCH($B202,'Parametri Modello'!$A$32:$A$35,0))=0),0,(1/INDEX('Parametri Modello'!$F$32:$F$35,MATCH($B202,'Parametri Modello'!$A$32:$A$35,0))-1)*'Parametri Modello'!$B$28))),0)))*(1+INDEX('Parametri Modello'!$B$12:$B$15,MATCH($B202,'Parametri Modello'!$A$12:$A$15,0))),0),"")</f>
        <v>3</v>
      </c>
      <c r="I202" s="23">
        <f>IFERROR(INDEX('Input Statistiche 2025_26'!$F$3:$F$665,MATCH($A202,'Input Statistiche 2025_26'!$A$3:$A$665,0)),"")</f>
        <v>22</v>
      </c>
      <c r="J202" s="23">
        <f t="shared" si="27"/>
        <v>16</v>
      </c>
      <c r="K202" s="23">
        <f>IFERROR(INDEX('Input Statistiche 2025_26'!$I$3:$I$665,MATCH($A202,'Input Statistiche 2025_26'!$A$3:$A$665,0)),"")</f>
        <v>0</v>
      </c>
      <c r="L202" s="23">
        <f>IFERROR(INDEX('Input Statistiche 2025_26'!$O$3:$O$665,MATCH($A202,'Input Statistiche 2025_26'!$A$3:$A$665,0)),"")</f>
        <v>0</v>
      </c>
      <c r="M202" s="25"/>
      <c r="N202" s="24">
        <f>IFERROR(INDEX('Input Giocatori 2026_27'!$E$3:$E$493,MATCH($A202,'Input Giocatori 2026_27'!$A$3:$A$493,0)),"")</f>
        <v>6</v>
      </c>
      <c r="O202" s="24">
        <f>IFERROR(INDEX('Input Giocatori 2026_27'!$G$3:$G$493,MATCH($A202,'Input Giocatori 2026_27'!$A$3:$A$493,0)),"")</f>
        <v>17</v>
      </c>
      <c r="P202" s="23" t="str">
        <f>IFERROR(IF($O202="","",IF((1-(COUNTIFS($B$2:$B$492,$B202,$O$2:$O$492,"&gt;"&amp;$O202)+1-1)/COUNTIF($B$2:$B$492,$B202))&gt;='Parametri Modello'!$B$63,"Top",IF((1-(COUNTIFS($B$2:$B$492,$B202,$O$2:$O$492,"&gt;"&amp;$O202)+1-1)/COUNTIF($B$2:$B$492,$B202))&gt;='Parametri Modello'!$B$64,"Buono",IF((1-(COUNTIFS($B$2:$B$492,$B202,$O$2:$O$492,"&gt;"&amp;$O202)+1-1)/COUNTIF($B$2:$B$492,$B202))&gt;='Parametri Modello'!$B$65,"Nella Media","Scommessa/Riserva")))),"")</f>
        <v>Buono</v>
      </c>
      <c r="Q202" s="26">
        <f>IF(AND($D202="",$N202&gt;1),SUMPRODUCT(($D$2:$D202="")*($N$2:$N202&gt;1)),"")</f>
        <v>201</v>
      </c>
      <c r="R202" s="26" t="str">
        <f>IF($D202='Info Lega'!$B$28,COUNTIFS($D$2:$D202,'Info Lega'!$B$28),"")</f>
        <v/>
      </c>
      <c r="S202" s="27">
        <f>IFERROR(INDEX('Input Statistiche 2025_26'!$G$3:$G$665,MATCH($A202,'Input Statistiche 2025_26'!$A$3:$A$665,0)),"")</f>
        <v>5.91</v>
      </c>
      <c r="T202" s="27">
        <f>IFERROR(INDEX('Input Statistiche 2025_26'!$H$3:$H$665,MATCH($A202,'Input Statistiche 2025_26'!$A$3:$A$665,0)),"")</f>
        <v>5.8</v>
      </c>
      <c r="U202" s="23" t="str">
        <f>IF(OR('La Mia Rosa'!$O$12="",$D202&lt;&gt;""),"",IF($F202&lt;='La Mia Rosa'!$O$12*'Parametri Modello'!$B$24,"OK",IF($F202&lt;='La Mia Rosa'!$O$12*'Parametri Modello'!$B$25,"Attenzione","Rischio Alto")))</f>
        <v>OK</v>
      </c>
      <c r="V202" s="23">
        <f t="shared" si="28"/>
        <v>53</v>
      </c>
      <c r="W202" s="18">
        <f>'Info Lega'!$B$4-SUMIFS($M$2:$M$492,$D$2:$D$492,'Info Lega'!$B$28)</f>
        <v>1000</v>
      </c>
      <c r="X202" s="18">
        <f>('Info Lega'!$B$5-COUNTIFS($D$2:$D$492,'Info Lega'!$B$28,$B$2:$B$492,"P"))+('Info Lega'!$B$6-COUNTIFS($D$2:$D$492,'Info Lega'!$B$28,$B$2:$B$492,"D"))+('Info Lega'!$B$7-COUNTIFS($D$2:$D$492,'Info Lega'!$B$28,$B$2:$B$492,"C"))+('Info Lega'!$B$8-COUNTIFS($D$2:$D$492,'Info Lega'!$B$28,$B$2:$B$492,"A"))</f>
        <v>25</v>
      </c>
      <c r="Y202" s="18">
        <f>X202*'Parametri Modello'!$B$30</f>
        <v>25</v>
      </c>
      <c r="Z202" s="18">
        <f t="shared" si="29"/>
        <v>975</v>
      </c>
      <c r="AA202" s="18">
        <f t="shared" si="30"/>
        <v>3</v>
      </c>
      <c r="AB202" s="18"/>
      <c r="AC202" s="18" t="str">
        <f>IF($AB202="","",IF($AB202&gt;$AA202,"PASS",IF($AB202&lt;=$AA202*(1-'Parametri Modello'!$B$68),"BID","ATTENZIONE")))</f>
        <v/>
      </c>
      <c r="AD202" s="28">
        <f t="shared" si="31"/>
        <v>52</v>
      </c>
      <c r="AE202" s="5" t="str">
        <f>IFERROR(INDEX('Stato Asta'!$G$9:$G$12,MATCH($B202,'Stato Asta'!$A$9:$A$12,0)),"")</f>
        <v>🔴 Non aspettare</v>
      </c>
      <c r="AF202" t="str">
        <f>IFERROR(IF($V202&lt;=INDEX('Parametri Modello'!$C$57:$C$60,MATCH($B202,'Parametri Modello'!$A$57:$A$60,0)),"Titolare","Riserva"),"")</f>
        <v>Riserva</v>
      </c>
      <c r="AG202" t="str">
        <f>IFERROR(INDEX('Pressione Competitiva'!$F$3:$F$6,MATCH($B202,'Pressione Competitiva'!$B$3:$B$6,0)),"")</f>
        <v>🔴 Molto Alta</v>
      </c>
      <c r="AH202" t="str">
        <f t="shared" si="32"/>
        <v/>
      </c>
      <c r="AI202" t="str">
        <f>IFERROR(IF($AH202="","",IF($AH202&gt;=$AA202*'Parametri Modello'!$B$68,"🟢 Opportunita'",IF($AH202&lt;=$AA202*'Parametri Modello'!$B$69,"🔴 Sovrapprezzo","🟡 Prezzo Corretto"))),"")</f>
        <v/>
      </c>
      <c r="AJ202" t="str">
        <f t="shared" si="33"/>
        <v/>
      </c>
      <c r="AK202">
        <f t="shared" si="34"/>
        <v>35</v>
      </c>
      <c r="AL202" t="str">
        <f t="shared" si="35"/>
        <v>D|Buono|35</v>
      </c>
    </row>
    <row r="203" spans="1:38" ht="14.25" customHeight="1" x14ac:dyDescent="0.25">
      <c r="A203" s="18">
        <v>6190</v>
      </c>
      <c r="B203" s="18" t="s">
        <v>17</v>
      </c>
      <c r="C203" s="18" t="s">
        <v>342</v>
      </c>
      <c r="E203" s="23" t="str">
        <f>IF(COUNTIF('Info Strategia'!$D$2:$D$51,$C203)&gt;0,"SI","NO")</f>
        <v>NO</v>
      </c>
      <c r="F203" s="24">
        <f>IFERROR(ROUND(($G203+($H203-$G203)*'Info Strategia'!$B$6)*(1+IF($E203="SI",'Parametri Modello'!$B$7*'Info Strategia'!$B$6,0)),0),"")</f>
        <v>3</v>
      </c>
      <c r="G203" s="24">
        <f>IFERROR(ROUND(MAX(1,(IF($V203&lt;=INDEX('Parametri Modello'!$C$57:$C$60,MATCH($B203,'Parametri Modello'!$A$57:$A$60,0)),IF(INDEX('Parametri Modello'!$E$57:$E$60,MATCH($B203,'Parametri Modello'!$A$57:$A$60,0))=0,0,($O203/INDEX('Parametri Modello'!$E$57:$E$60,MATCH($B203,'Parametri Modello'!$A$57:$A$60,0)))*(INDEX('Parametri Modello'!$D$57:$D$60,MATCH($B203,'Parametri Modello'!$A$57:$A$60,0))*(INDEX('Parametri Modello'!$B$50:$B$53,MATCH($B203,'Parametri Modello'!$A$50:$A$53,0))*'Parametri Modello'!$B$44))),IF(INDEX('Parametri Modello'!$F$57:$F$60,MATCH($B203,'Parametri Modello'!$A$57:$A$60,0))=0,0,($O203/INDEX('Parametri Modello'!$F$57:$F$60,MATCH($B203,'Parametri Modello'!$A$57:$A$60,0)))*((1-INDEX('Parametri Modello'!$D$57:$D$60,MATCH($B203,'Parametri Modello'!$A$57:$A$60,0)))*(INDEX('Parametri Modello'!$B$50:$B$53,MATCH($B203,'Parametri Modello'!$A$50:$A$53,0))*'Parametri Modello'!$B$44))))*(1+IF(IF($B203="D",'Info Lega'!$B$25,IF($B203="C",'Info Lega'!$B$26,"No"))="Si",'Parametri Modello'!$B$5,0))*(1+MAX(-0.25,MIN(0.25,IF(OR($T203="",$I203="",$I203=0,INDEX('Parametri Modello'!$B$19:$B$22,MATCH($B203,'Parametri Modello'!$A$19:$A$22,0))="",INDEX('Parametri Modello'!$B$19:$B$22,MATCH($B203,'Parametri Modello'!$A$19:$A$22,0))=0),0,(($T203-INDEX('Parametri Modello'!$B$19:$B$22,MATCH($B203,'Parametri Modello'!$A$19:$A$22,0)))/INDEX('Parametri Modello'!$B$19:$B$22,MATCH($B203,'Parametri Modello'!$A$19:$A$22,0)))*'Parametri Modello'!$B$9))))*(1+IF('Parametri Modello'!$B$27="Si",MAX(-'Parametri Modello'!$B$28,MIN('Parametri Modello'!$B$28*1.5,IF(OR(INDEX('Parametri Modello'!$F$32:$F$35,MATCH($B203,'Parametri Modello'!$A$32:$A$35,0))="",INDEX('Parametri Modello'!$F$32:$F$35,MATCH($B203,'Parametri Modello'!$A$32:$A$35,0))=0),0,(1/INDEX('Parametri Modello'!$F$32:$F$35,MATCH($B203,'Parametri Modello'!$A$32:$A$35,0))-1)*'Parametri Modello'!$B$28))),0)))*(1-INDEX('Parametri Modello'!$B$12:$B$15,MATCH($B203,'Parametri Modello'!$A$12:$A$15,0)))),0),"")</f>
        <v>2</v>
      </c>
      <c r="H203" s="24">
        <f>IFERROR(ROUND((IF($V203&lt;=INDEX('Parametri Modello'!$C$57:$C$60,MATCH($B203,'Parametri Modello'!$A$57:$A$60,0)),IF(INDEX('Parametri Modello'!$E$57:$E$60,MATCH($B203,'Parametri Modello'!$A$57:$A$60,0))=0,0,($O203/INDEX('Parametri Modello'!$E$57:$E$60,MATCH($B203,'Parametri Modello'!$A$57:$A$60,0)))*(INDEX('Parametri Modello'!$D$57:$D$60,MATCH($B203,'Parametri Modello'!$A$57:$A$60,0))*(INDEX('Parametri Modello'!$B$50:$B$53,MATCH($B203,'Parametri Modello'!$A$50:$A$53,0))*'Parametri Modello'!$B$44))),IF(INDEX('Parametri Modello'!$F$57:$F$60,MATCH($B203,'Parametri Modello'!$A$57:$A$60,0))=0,0,($O203/INDEX('Parametri Modello'!$F$57:$F$60,MATCH($B203,'Parametri Modello'!$A$57:$A$60,0)))*((1-INDEX('Parametri Modello'!$D$57:$D$60,MATCH($B203,'Parametri Modello'!$A$57:$A$60,0)))*(INDEX('Parametri Modello'!$B$50:$B$53,MATCH($B203,'Parametri Modello'!$A$50:$A$53,0))*'Parametri Modello'!$B$44))))*(1+IF(IF($B203="D",'Info Lega'!$B$25,IF($B203="C",'Info Lega'!$B$26,"No"))="Si",'Parametri Modello'!$B$5,0))*(1+MAX(-0.25,MIN(0.25,IF(OR($T203="",$I203="",$I203=0,INDEX('Parametri Modello'!$B$19:$B$22,MATCH($B203,'Parametri Modello'!$A$19:$A$22,0))="",INDEX('Parametri Modello'!$B$19:$B$22,MATCH($B203,'Parametri Modello'!$A$19:$A$22,0))=0),0,(($T203-INDEX('Parametri Modello'!$B$19:$B$22,MATCH($B203,'Parametri Modello'!$A$19:$A$22,0)))/INDEX('Parametri Modello'!$B$19:$B$22,MATCH($B203,'Parametri Modello'!$A$19:$A$22,0)))*'Parametri Modello'!$B$9))))*(1+IF('Parametri Modello'!$B$27="Si",MAX(-'Parametri Modello'!$B$28,MIN('Parametri Modello'!$B$28*1.5,IF(OR(INDEX('Parametri Modello'!$F$32:$F$35,MATCH($B203,'Parametri Modello'!$A$32:$A$35,0))="",INDEX('Parametri Modello'!$F$32:$F$35,MATCH($B203,'Parametri Modello'!$A$32:$A$35,0))=0),0,(1/INDEX('Parametri Modello'!$F$32:$F$35,MATCH($B203,'Parametri Modello'!$A$32:$A$35,0))-1)*'Parametri Modello'!$B$28))),0)))*(1+INDEX('Parametri Modello'!$B$12:$B$15,MATCH($B203,'Parametri Modello'!$A$12:$A$15,0))),0),"")</f>
        <v>3</v>
      </c>
      <c r="I203" s="23">
        <f>IFERROR(INDEX('Input Statistiche 2025_26'!$F$3:$F$665,MATCH($A203,'Input Statistiche 2025_26'!$A$3:$A$665,0)),"")</f>
        <v>22</v>
      </c>
      <c r="J203" s="23">
        <f t="shared" si="27"/>
        <v>16</v>
      </c>
      <c r="K203" s="23">
        <f>IFERROR(INDEX('Input Statistiche 2025_26'!$I$3:$I$665,MATCH($A203,'Input Statistiche 2025_26'!$A$3:$A$665,0)),"")</f>
        <v>2</v>
      </c>
      <c r="L203" s="23">
        <f>IFERROR(INDEX('Input Statistiche 2025_26'!$O$3:$O$665,MATCH($A203,'Input Statistiche 2025_26'!$A$3:$A$665,0)),"")</f>
        <v>4</v>
      </c>
      <c r="M203" s="25"/>
      <c r="N203" s="24">
        <f>IFERROR(INDEX('Input Giocatori 2026_27'!$E$3:$E$493,MATCH($A203,'Input Giocatori 2026_27'!$A$3:$A$493,0)),"")</f>
        <v>5</v>
      </c>
      <c r="O203" s="24">
        <f>IFERROR(INDEX('Input Giocatori 2026_27'!$G$3:$G$493,MATCH($A203,'Input Giocatori 2026_27'!$A$3:$A$493,0)),"")</f>
        <v>17</v>
      </c>
      <c r="P203" s="23" t="str">
        <f>IFERROR(IF($O203="","",IF((1-(COUNTIFS($B$2:$B$492,$B203,$O$2:$O$492,"&gt;"&amp;$O203)+1-1)/COUNTIF($B$2:$B$492,$B203))&gt;='Parametri Modello'!$B$63,"Top",IF((1-(COUNTIFS($B$2:$B$492,$B203,$O$2:$O$492,"&gt;"&amp;$O203)+1-1)/COUNTIF($B$2:$B$492,$B203))&gt;='Parametri Modello'!$B$64,"Buono",IF((1-(COUNTIFS($B$2:$B$492,$B203,$O$2:$O$492,"&gt;"&amp;$O203)+1-1)/COUNTIF($B$2:$B$492,$B203))&gt;='Parametri Modello'!$B$65,"Nella Media","Scommessa/Riserva")))),"")</f>
        <v>Nella Media</v>
      </c>
      <c r="Q203" s="26">
        <f>IF(AND($D203="",$N203&gt;1),SUMPRODUCT(($D$2:$D203="")*($N$2:$N203&gt;1)),"")</f>
        <v>202</v>
      </c>
      <c r="R203" s="26" t="str">
        <f>IF($D203='Info Lega'!$B$28,COUNTIFS($D$2:$D203,'Info Lega'!$B$28),"")</f>
        <v/>
      </c>
      <c r="S203" s="27">
        <f>IFERROR(INDEX('Input Statistiche 2025_26'!$G$3:$G$665,MATCH($A203,'Input Statistiche 2025_26'!$A$3:$A$665,0)),"")</f>
        <v>6.09</v>
      </c>
      <c r="T203" s="27">
        <f>IFERROR(INDEX('Input Statistiche 2025_26'!$H$3:$H$665,MATCH($A203,'Input Statistiche 2025_26'!$A$3:$A$665,0)),"")</f>
        <v>6.48</v>
      </c>
      <c r="U203" s="23" t="str">
        <f>IF(OR('La Mia Rosa'!$O$12="",$D203&lt;&gt;""),"",IF($F203&lt;='La Mia Rosa'!$O$12*'Parametri Modello'!$B$24,"OK",IF($F203&lt;='La Mia Rosa'!$O$12*'Parametri Modello'!$B$25,"Attenzione","Rischio Alto")))</f>
        <v>OK</v>
      </c>
      <c r="V203" s="23">
        <f t="shared" si="28"/>
        <v>78</v>
      </c>
      <c r="W203" s="18">
        <f>'Info Lega'!$B$4-SUMIFS($M$2:$M$492,$D$2:$D$492,'Info Lega'!$B$28)</f>
        <v>1000</v>
      </c>
      <c r="X203" s="18">
        <f>('Info Lega'!$B$5-COUNTIFS($D$2:$D$492,'Info Lega'!$B$28,$B$2:$B$492,"P"))+('Info Lega'!$B$6-COUNTIFS($D$2:$D$492,'Info Lega'!$B$28,$B$2:$B$492,"D"))+('Info Lega'!$B$7-COUNTIFS($D$2:$D$492,'Info Lega'!$B$28,$B$2:$B$492,"C"))+('Info Lega'!$B$8-COUNTIFS($D$2:$D$492,'Info Lega'!$B$28,$B$2:$B$492,"A"))</f>
        <v>25</v>
      </c>
      <c r="Y203" s="18">
        <f>X203*'Parametri Modello'!$B$30</f>
        <v>25</v>
      </c>
      <c r="Z203" s="18">
        <f t="shared" si="29"/>
        <v>975</v>
      </c>
      <c r="AA203" s="18">
        <f t="shared" si="30"/>
        <v>3</v>
      </c>
      <c r="AB203" s="18"/>
      <c r="AC203" s="18" t="str">
        <f>IF($AB203="","",IF($AB203&gt;$AA203,"PASS",IF($AB203&lt;=$AA203*(1-'Parametri Modello'!$B$68),"BID","ATTENZIONE")))</f>
        <v/>
      </c>
      <c r="AD203" s="28">
        <f t="shared" si="31"/>
        <v>52</v>
      </c>
      <c r="AE203" s="5" t="str">
        <f>IFERROR(INDEX('Stato Asta'!$G$9:$G$12,MATCH($B203,'Stato Asta'!$A$9:$A$12,0)),"")</f>
        <v>🔴 Non aspettare</v>
      </c>
      <c r="AF203" t="str">
        <f>IFERROR(IF($V203&lt;=INDEX('Parametri Modello'!$C$57:$C$60,MATCH($B203,'Parametri Modello'!$A$57:$A$60,0)),"Titolare","Riserva"),"")</f>
        <v>Riserva</v>
      </c>
      <c r="AG203" t="str">
        <f>IFERROR(INDEX('Pressione Competitiva'!$F$3:$F$6,MATCH($B203,'Pressione Competitiva'!$B$3:$B$6,0)),"")</f>
        <v>🔴 Molto Alta</v>
      </c>
      <c r="AH203" t="str">
        <f t="shared" si="32"/>
        <v/>
      </c>
      <c r="AI203" t="str">
        <f>IFERROR(IF($AH203="","",IF($AH203&gt;=$AA203*'Parametri Modello'!$B$68,"🟢 Opportunita'",IF($AH203&lt;=$AA203*'Parametri Modello'!$B$69,"🔴 Sovrapprezzo","🟡 Prezzo Corretto"))),"")</f>
        <v/>
      </c>
      <c r="AJ203" t="str">
        <f t="shared" si="33"/>
        <v/>
      </c>
      <c r="AK203">
        <f t="shared" si="34"/>
        <v>23</v>
      </c>
      <c r="AL203" t="str">
        <f t="shared" si="35"/>
        <v>C|Nella Media|23</v>
      </c>
    </row>
    <row r="204" spans="1:38" ht="14.25" customHeight="1" x14ac:dyDescent="0.25">
      <c r="A204" s="18">
        <v>6556</v>
      </c>
      <c r="B204" s="18" t="s">
        <v>18</v>
      </c>
      <c r="C204" s="18" t="s">
        <v>343</v>
      </c>
      <c r="E204" s="23" t="str">
        <f>IF(COUNTIF('Info Strategia'!$D$2:$D$51,$C204)&gt;0,"SI","NO")</f>
        <v>NO</v>
      </c>
      <c r="F204" s="24">
        <f>IFERROR(ROUND(($G204+($H204-$G204)*'Info Strategia'!$B$6)*(1+IF($E204="SI",'Parametri Modello'!$B$7*'Info Strategia'!$B$6,0)),0),"")</f>
        <v>5</v>
      </c>
      <c r="G204" s="24">
        <f>IFERROR(ROUND(MAX(1,(IF($V204&lt;=INDEX('Parametri Modello'!$C$57:$C$60,MATCH($B204,'Parametri Modello'!$A$57:$A$60,0)),IF(INDEX('Parametri Modello'!$E$57:$E$60,MATCH($B204,'Parametri Modello'!$A$57:$A$60,0))=0,0,($O204/INDEX('Parametri Modello'!$E$57:$E$60,MATCH($B204,'Parametri Modello'!$A$57:$A$60,0)))*(INDEX('Parametri Modello'!$D$57:$D$60,MATCH($B204,'Parametri Modello'!$A$57:$A$60,0))*(INDEX('Parametri Modello'!$B$50:$B$53,MATCH($B204,'Parametri Modello'!$A$50:$A$53,0))*'Parametri Modello'!$B$44))),IF(INDEX('Parametri Modello'!$F$57:$F$60,MATCH($B204,'Parametri Modello'!$A$57:$A$60,0))=0,0,($O204/INDEX('Parametri Modello'!$F$57:$F$60,MATCH($B204,'Parametri Modello'!$A$57:$A$60,0)))*((1-INDEX('Parametri Modello'!$D$57:$D$60,MATCH($B204,'Parametri Modello'!$A$57:$A$60,0)))*(INDEX('Parametri Modello'!$B$50:$B$53,MATCH($B204,'Parametri Modello'!$A$50:$A$53,0))*'Parametri Modello'!$B$44))))*(1+IF(IF($B204="D",'Info Lega'!$B$25,IF($B204="C",'Info Lega'!$B$26,"No"))="Si",'Parametri Modello'!$B$5,0))*(1+MAX(-0.25,MIN(0.25,IF(OR($T204="",$I204="",$I204=0,INDEX('Parametri Modello'!$B$19:$B$22,MATCH($B204,'Parametri Modello'!$A$19:$A$22,0))="",INDEX('Parametri Modello'!$B$19:$B$22,MATCH($B204,'Parametri Modello'!$A$19:$A$22,0))=0),0,(($T204-INDEX('Parametri Modello'!$B$19:$B$22,MATCH($B204,'Parametri Modello'!$A$19:$A$22,0)))/INDEX('Parametri Modello'!$B$19:$B$22,MATCH($B204,'Parametri Modello'!$A$19:$A$22,0)))*'Parametri Modello'!$B$9))))*(1+IF('Parametri Modello'!$B$27="Si",MAX(-'Parametri Modello'!$B$28,MIN('Parametri Modello'!$B$28*1.5,IF(OR(INDEX('Parametri Modello'!$F$32:$F$35,MATCH($B204,'Parametri Modello'!$A$32:$A$35,0))="",INDEX('Parametri Modello'!$F$32:$F$35,MATCH($B204,'Parametri Modello'!$A$32:$A$35,0))=0),0,(1/INDEX('Parametri Modello'!$F$32:$F$35,MATCH($B204,'Parametri Modello'!$A$32:$A$35,0))-1)*'Parametri Modello'!$B$28))),0)))*(1-INDEX('Parametri Modello'!$B$12:$B$15,MATCH($B204,'Parametri Modello'!$A$12:$A$15,0)))),0),"")</f>
        <v>3</v>
      </c>
      <c r="H204" s="24">
        <f>IFERROR(ROUND((IF($V204&lt;=INDEX('Parametri Modello'!$C$57:$C$60,MATCH($B204,'Parametri Modello'!$A$57:$A$60,0)),IF(INDEX('Parametri Modello'!$E$57:$E$60,MATCH($B204,'Parametri Modello'!$A$57:$A$60,0))=0,0,($O204/INDEX('Parametri Modello'!$E$57:$E$60,MATCH($B204,'Parametri Modello'!$A$57:$A$60,0)))*(INDEX('Parametri Modello'!$D$57:$D$60,MATCH($B204,'Parametri Modello'!$A$57:$A$60,0))*(INDEX('Parametri Modello'!$B$50:$B$53,MATCH($B204,'Parametri Modello'!$A$50:$A$53,0))*'Parametri Modello'!$B$44))),IF(INDEX('Parametri Modello'!$F$57:$F$60,MATCH($B204,'Parametri Modello'!$A$57:$A$60,0))=0,0,($O204/INDEX('Parametri Modello'!$F$57:$F$60,MATCH($B204,'Parametri Modello'!$A$57:$A$60,0)))*((1-INDEX('Parametri Modello'!$D$57:$D$60,MATCH($B204,'Parametri Modello'!$A$57:$A$60,0)))*(INDEX('Parametri Modello'!$B$50:$B$53,MATCH($B204,'Parametri Modello'!$A$50:$A$53,0))*'Parametri Modello'!$B$44))))*(1+IF(IF($B204="D",'Info Lega'!$B$25,IF($B204="C",'Info Lega'!$B$26,"No"))="Si",'Parametri Modello'!$B$5,0))*(1+MAX(-0.25,MIN(0.25,IF(OR($T204="",$I204="",$I204=0,INDEX('Parametri Modello'!$B$19:$B$22,MATCH($B204,'Parametri Modello'!$A$19:$A$22,0))="",INDEX('Parametri Modello'!$B$19:$B$22,MATCH($B204,'Parametri Modello'!$A$19:$A$22,0))=0),0,(($T204-INDEX('Parametri Modello'!$B$19:$B$22,MATCH($B204,'Parametri Modello'!$A$19:$A$22,0)))/INDEX('Parametri Modello'!$B$19:$B$22,MATCH($B204,'Parametri Modello'!$A$19:$A$22,0)))*'Parametri Modello'!$B$9))))*(1+IF('Parametri Modello'!$B$27="Si",MAX(-'Parametri Modello'!$B$28,MIN('Parametri Modello'!$B$28*1.5,IF(OR(INDEX('Parametri Modello'!$F$32:$F$35,MATCH($B204,'Parametri Modello'!$A$32:$A$35,0))="",INDEX('Parametri Modello'!$F$32:$F$35,MATCH($B204,'Parametri Modello'!$A$32:$A$35,0))=0),0,(1/INDEX('Parametri Modello'!$F$32:$F$35,MATCH($B204,'Parametri Modello'!$A$32:$A$35,0))-1)*'Parametri Modello'!$B$28))),0)))*(1+INDEX('Parametri Modello'!$B$12:$B$15,MATCH($B204,'Parametri Modello'!$A$12:$A$15,0))),0),"")</f>
        <v>6</v>
      </c>
      <c r="I204" s="23">
        <f>IFERROR(INDEX('Input Statistiche 2025_26'!$F$3:$F$665,MATCH($A204,'Input Statistiche 2025_26'!$A$3:$A$665,0)),"")</f>
        <v>23</v>
      </c>
      <c r="J204" s="23">
        <f t="shared" si="27"/>
        <v>15</v>
      </c>
      <c r="K204" s="23">
        <f>IFERROR(INDEX('Input Statistiche 2025_26'!$I$3:$I$665,MATCH($A204,'Input Statistiche 2025_26'!$A$3:$A$665,0)),"")</f>
        <v>4</v>
      </c>
      <c r="L204" s="23">
        <f>IFERROR(INDEX('Input Statistiche 2025_26'!$O$3:$O$665,MATCH($A204,'Input Statistiche 2025_26'!$A$3:$A$665,0)),"")</f>
        <v>2</v>
      </c>
      <c r="M204" s="25"/>
      <c r="N204" s="24">
        <f>IFERROR(INDEX('Input Giocatori 2026_27'!$E$3:$E$493,MATCH($A204,'Input Giocatori 2026_27'!$A$3:$A$493,0)),"")</f>
        <v>6</v>
      </c>
      <c r="O204" s="24">
        <f>IFERROR(INDEX('Input Giocatori 2026_27'!$G$3:$G$493,MATCH($A204,'Input Giocatori 2026_27'!$A$3:$A$493,0)),"")</f>
        <v>17</v>
      </c>
      <c r="P204" s="23" t="str">
        <f>IFERROR(IF($O204="","",IF((1-(COUNTIFS($B$2:$B$492,$B204,$O$2:$O$492,"&gt;"&amp;$O204)+1-1)/COUNTIF($B$2:$B$492,$B204))&gt;='Parametri Modello'!$B$63,"Top",IF((1-(COUNTIFS($B$2:$B$492,$B204,$O$2:$O$492,"&gt;"&amp;$O204)+1-1)/COUNTIF($B$2:$B$492,$B204))&gt;='Parametri Modello'!$B$64,"Buono",IF((1-(COUNTIFS($B$2:$B$492,$B204,$O$2:$O$492,"&gt;"&amp;$O204)+1-1)/COUNTIF($B$2:$B$492,$B204))&gt;='Parametri Modello'!$B$65,"Nella Media","Scommessa/Riserva")))),"")</f>
        <v>Scommessa/Riserva</v>
      </c>
      <c r="Q204" s="26">
        <f>IF(AND($D204="",$N204&gt;1),SUMPRODUCT(($D$2:$D204="")*($N$2:$N204&gt;1)),"")</f>
        <v>203</v>
      </c>
      <c r="R204" s="26" t="str">
        <f>IF($D204='Info Lega'!$B$28,COUNTIFS($D$2:$D204,'Info Lega'!$B$28),"")</f>
        <v/>
      </c>
      <c r="S204" s="27">
        <f>IFERROR(INDEX('Input Statistiche 2025_26'!$G$3:$G$665,MATCH($A204,'Input Statistiche 2025_26'!$A$3:$A$665,0)),"")</f>
        <v>6.02</v>
      </c>
      <c r="T204" s="27">
        <f>IFERROR(INDEX('Input Statistiche 2025_26'!$H$3:$H$665,MATCH($A204,'Input Statistiche 2025_26'!$A$3:$A$665,0)),"")</f>
        <v>6.5</v>
      </c>
      <c r="U204" s="23" t="str">
        <f>IF(OR('La Mia Rosa'!$O$12="",$D204&lt;&gt;""),"",IF($F204&lt;='La Mia Rosa'!$O$12*'Parametri Modello'!$B$24,"OK",IF($F204&lt;='La Mia Rosa'!$O$12*'Parametri Modello'!$B$25,"Attenzione","Rischio Alto")))</f>
        <v>OK</v>
      </c>
      <c r="V204" s="23">
        <f t="shared" si="28"/>
        <v>55</v>
      </c>
      <c r="W204" s="18">
        <f>'Info Lega'!$B$4-SUMIFS($M$2:$M$492,$D$2:$D$492,'Info Lega'!$B$28)</f>
        <v>1000</v>
      </c>
      <c r="X204" s="18">
        <f>('Info Lega'!$B$5-COUNTIFS($D$2:$D$492,'Info Lega'!$B$28,$B$2:$B$492,"P"))+('Info Lega'!$B$6-COUNTIFS($D$2:$D$492,'Info Lega'!$B$28,$B$2:$B$492,"D"))+('Info Lega'!$B$7-COUNTIFS($D$2:$D$492,'Info Lega'!$B$28,$B$2:$B$492,"C"))+('Info Lega'!$B$8-COUNTIFS($D$2:$D$492,'Info Lega'!$B$28,$B$2:$B$492,"A"))</f>
        <v>25</v>
      </c>
      <c r="Y204" s="18">
        <f>X204*'Parametri Modello'!$B$30</f>
        <v>25</v>
      </c>
      <c r="Z204" s="18">
        <f t="shared" si="29"/>
        <v>975</v>
      </c>
      <c r="AA204" s="18">
        <f t="shared" si="30"/>
        <v>5</v>
      </c>
      <c r="AB204" s="18"/>
      <c r="AC204" s="18" t="str">
        <f>IF($AB204="","",IF($AB204&gt;$AA204,"PASS",IF($AB204&lt;=$AA204*(1-'Parametri Modello'!$B$68),"BID","ATTENZIONE")))</f>
        <v/>
      </c>
      <c r="AD204" s="28">
        <f t="shared" si="31"/>
        <v>54</v>
      </c>
      <c r="AE204" s="5" t="str">
        <f>IFERROR(INDEX('Stato Asta'!$G$9:$G$12,MATCH($B204,'Stato Asta'!$A$9:$A$12,0)),"")</f>
        <v>🔴 Non aspettare</v>
      </c>
      <c r="AF204" t="str">
        <f>IFERROR(IF($V204&lt;=INDEX('Parametri Modello'!$C$57:$C$60,MATCH($B204,'Parametri Modello'!$A$57:$A$60,0)),"Titolare","Riserva"),"")</f>
        <v>Riserva</v>
      </c>
      <c r="AG204" t="str">
        <f>IFERROR(INDEX('Pressione Competitiva'!$F$3:$F$6,MATCH($B204,'Pressione Competitiva'!$B$3:$B$6,0)),"")</f>
        <v>🔴 Molto Alta</v>
      </c>
      <c r="AH204" t="str">
        <f t="shared" si="32"/>
        <v/>
      </c>
      <c r="AI204" t="str">
        <f>IFERROR(IF($AH204="","",IF($AH204&gt;=$AA204*'Parametri Modello'!$B$68,"🟢 Opportunita'",IF($AH204&lt;=$AA204*'Parametri Modello'!$B$69,"🔴 Sovrapprezzo","🟡 Prezzo Corretto"))),"")</f>
        <v/>
      </c>
      <c r="AJ204" t="str">
        <f t="shared" si="33"/>
        <v/>
      </c>
      <c r="AK204">
        <f t="shared" si="34"/>
        <v>1</v>
      </c>
      <c r="AL204" t="str">
        <f t="shared" si="35"/>
        <v>A|Scommessa/Riserva|1</v>
      </c>
    </row>
    <row r="205" spans="1:38" ht="14.25" customHeight="1" x14ac:dyDescent="0.25">
      <c r="A205" s="18">
        <v>6046</v>
      </c>
      <c r="B205" s="18" t="s">
        <v>16</v>
      </c>
      <c r="C205" s="18" t="s">
        <v>344</v>
      </c>
      <c r="E205" s="23" t="str">
        <f>IF(COUNTIF('Info Strategia'!$D$2:$D$51,$C205)&gt;0,"SI","NO")</f>
        <v>NO</v>
      </c>
      <c r="F205" s="24">
        <f>IFERROR(ROUND(($G205+($H205-$G205)*'Info Strategia'!$B$6)*(1+IF($E205="SI",'Parametri Modello'!$B$7*'Info Strategia'!$B$6,0)),0),"")</f>
        <v>3</v>
      </c>
      <c r="G205" s="24">
        <f>IFERROR(ROUND(MAX(1,(IF($V205&lt;=INDEX('Parametri Modello'!$C$57:$C$60,MATCH($B205,'Parametri Modello'!$A$57:$A$60,0)),IF(INDEX('Parametri Modello'!$E$57:$E$60,MATCH($B205,'Parametri Modello'!$A$57:$A$60,0))=0,0,($O205/INDEX('Parametri Modello'!$E$57:$E$60,MATCH($B205,'Parametri Modello'!$A$57:$A$60,0)))*(INDEX('Parametri Modello'!$D$57:$D$60,MATCH($B205,'Parametri Modello'!$A$57:$A$60,0))*(INDEX('Parametri Modello'!$B$50:$B$53,MATCH($B205,'Parametri Modello'!$A$50:$A$53,0))*'Parametri Modello'!$B$44))),IF(INDEX('Parametri Modello'!$F$57:$F$60,MATCH($B205,'Parametri Modello'!$A$57:$A$60,0))=0,0,($O205/INDEX('Parametri Modello'!$F$57:$F$60,MATCH($B205,'Parametri Modello'!$A$57:$A$60,0)))*((1-INDEX('Parametri Modello'!$D$57:$D$60,MATCH($B205,'Parametri Modello'!$A$57:$A$60,0)))*(INDEX('Parametri Modello'!$B$50:$B$53,MATCH($B205,'Parametri Modello'!$A$50:$A$53,0))*'Parametri Modello'!$B$44))))*(1+IF(IF($B205="D",'Info Lega'!$B$25,IF($B205="C",'Info Lega'!$B$26,"No"))="Si",'Parametri Modello'!$B$5,0))*(1+MAX(-0.25,MIN(0.25,IF(OR($T205="",$I205="",$I205=0,INDEX('Parametri Modello'!$B$19:$B$22,MATCH($B205,'Parametri Modello'!$A$19:$A$22,0))="",INDEX('Parametri Modello'!$B$19:$B$22,MATCH($B205,'Parametri Modello'!$A$19:$A$22,0))=0),0,(($T205-INDEX('Parametri Modello'!$B$19:$B$22,MATCH($B205,'Parametri Modello'!$A$19:$A$22,0)))/INDEX('Parametri Modello'!$B$19:$B$22,MATCH($B205,'Parametri Modello'!$A$19:$A$22,0)))*'Parametri Modello'!$B$9))))*(1+IF('Parametri Modello'!$B$27="Si",MAX(-'Parametri Modello'!$B$28,MIN('Parametri Modello'!$B$28*1.5,IF(OR(INDEX('Parametri Modello'!$F$32:$F$35,MATCH($B205,'Parametri Modello'!$A$32:$A$35,0))="",INDEX('Parametri Modello'!$F$32:$F$35,MATCH($B205,'Parametri Modello'!$A$32:$A$35,0))=0),0,(1/INDEX('Parametri Modello'!$F$32:$F$35,MATCH($B205,'Parametri Modello'!$A$32:$A$35,0))-1)*'Parametri Modello'!$B$28))),0)))*(1-INDEX('Parametri Modello'!$B$12:$B$15,MATCH($B205,'Parametri Modello'!$A$12:$A$15,0)))),0),"")</f>
        <v>2</v>
      </c>
      <c r="H205" s="24">
        <f>IFERROR(ROUND((IF($V205&lt;=INDEX('Parametri Modello'!$C$57:$C$60,MATCH($B205,'Parametri Modello'!$A$57:$A$60,0)),IF(INDEX('Parametri Modello'!$E$57:$E$60,MATCH($B205,'Parametri Modello'!$A$57:$A$60,0))=0,0,($O205/INDEX('Parametri Modello'!$E$57:$E$60,MATCH($B205,'Parametri Modello'!$A$57:$A$60,0)))*(INDEX('Parametri Modello'!$D$57:$D$60,MATCH($B205,'Parametri Modello'!$A$57:$A$60,0))*(INDEX('Parametri Modello'!$B$50:$B$53,MATCH($B205,'Parametri Modello'!$A$50:$A$53,0))*'Parametri Modello'!$B$44))),IF(INDEX('Parametri Modello'!$F$57:$F$60,MATCH($B205,'Parametri Modello'!$A$57:$A$60,0))=0,0,($O205/INDEX('Parametri Modello'!$F$57:$F$60,MATCH($B205,'Parametri Modello'!$A$57:$A$60,0)))*((1-INDEX('Parametri Modello'!$D$57:$D$60,MATCH($B205,'Parametri Modello'!$A$57:$A$60,0)))*(INDEX('Parametri Modello'!$B$50:$B$53,MATCH($B205,'Parametri Modello'!$A$50:$A$53,0))*'Parametri Modello'!$B$44))))*(1+IF(IF($B205="D",'Info Lega'!$B$25,IF($B205="C",'Info Lega'!$B$26,"No"))="Si",'Parametri Modello'!$B$5,0))*(1+MAX(-0.25,MIN(0.25,IF(OR($T205="",$I205="",$I205=0,INDEX('Parametri Modello'!$B$19:$B$22,MATCH($B205,'Parametri Modello'!$A$19:$A$22,0))="",INDEX('Parametri Modello'!$B$19:$B$22,MATCH($B205,'Parametri Modello'!$A$19:$A$22,0))=0),0,(($T205-INDEX('Parametri Modello'!$B$19:$B$22,MATCH($B205,'Parametri Modello'!$A$19:$A$22,0)))/INDEX('Parametri Modello'!$B$19:$B$22,MATCH($B205,'Parametri Modello'!$A$19:$A$22,0)))*'Parametri Modello'!$B$9))))*(1+IF('Parametri Modello'!$B$27="Si",MAX(-'Parametri Modello'!$B$28,MIN('Parametri Modello'!$B$28*1.5,IF(OR(INDEX('Parametri Modello'!$F$32:$F$35,MATCH($B205,'Parametri Modello'!$A$32:$A$35,0))="",INDEX('Parametri Modello'!$F$32:$F$35,MATCH($B205,'Parametri Modello'!$A$32:$A$35,0))=0),0,(1/INDEX('Parametri Modello'!$F$32:$F$35,MATCH($B205,'Parametri Modello'!$A$32:$A$35,0))-1)*'Parametri Modello'!$B$28))),0)))*(1+INDEX('Parametri Modello'!$B$12:$B$15,MATCH($B205,'Parametri Modello'!$A$12:$A$15,0))),0),"")</f>
        <v>3</v>
      </c>
      <c r="I205" s="23">
        <f>IFERROR(INDEX('Input Statistiche 2025_26'!$F$3:$F$665,MATCH($A205,'Input Statistiche 2025_26'!$A$3:$A$665,0)),"")</f>
        <v>28</v>
      </c>
      <c r="J205" s="23">
        <f t="shared" si="27"/>
        <v>10</v>
      </c>
      <c r="K205" s="23">
        <f>IFERROR(INDEX('Input Statistiche 2025_26'!$I$3:$I$665,MATCH($A205,'Input Statistiche 2025_26'!$A$3:$A$665,0)),"")</f>
        <v>1</v>
      </c>
      <c r="L205" s="23">
        <f>IFERROR(INDEX('Input Statistiche 2025_26'!$O$3:$O$665,MATCH($A205,'Input Statistiche 2025_26'!$A$3:$A$665,0)),"")</f>
        <v>0</v>
      </c>
      <c r="M205" s="25"/>
      <c r="N205" s="24">
        <f>IFERROR(INDEX('Input Giocatori 2026_27'!$E$3:$E$493,MATCH($A205,'Input Giocatori 2026_27'!$A$3:$A$493,0)),"")</f>
        <v>8</v>
      </c>
      <c r="O205" s="24">
        <f>IFERROR(INDEX('Input Giocatori 2026_27'!$G$3:$G$493,MATCH($A205,'Input Giocatori 2026_27'!$A$3:$A$493,0)),"")</f>
        <v>16</v>
      </c>
      <c r="P205" s="23" t="str">
        <f>IFERROR(IF($O205="","",IF((1-(COUNTIFS($B$2:$B$492,$B205,$O$2:$O$492,"&gt;"&amp;$O205)+1-1)/COUNTIF($B$2:$B$492,$B205))&gt;='Parametri Modello'!$B$63,"Top",IF((1-(COUNTIFS($B$2:$B$492,$B205,$O$2:$O$492,"&gt;"&amp;$O205)+1-1)/COUNTIF($B$2:$B$492,$B205))&gt;='Parametri Modello'!$B$64,"Buono",IF((1-(COUNTIFS($B$2:$B$492,$B205,$O$2:$O$492,"&gt;"&amp;$O205)+1-1)/COUNTIF($B$2:$B$492,$B205))&gt;='Parametri Modello'!$B$65,"Nella Media","Scommessa/Riserva")))),"")</f>
        <v>Nella Media</v>
      </c>
      <c r="Q205" s="26">
        <f>IF(AND($D205="",$N205&gt;1),SUMPRODUCT(($D$2:$D205="")*($N$2:$N205&gt;1)),"")</f>
        <v>204</v>
      </c>
      <c r="R205" s="26" t="str">
        <f>IF($D205='Info Lega'!$B$28,COUNTIFS($D$2:$D205,'Info Lega'!$B$28),"")</f>
        <v/>
      </c>
      <c r="S205" s="27">
        <f>IFERROR(INDEX('Input Statistiche 2025_26'!$G$3:$G$665,MATCH($A205,'Input Statistiche 2025_26'!$A$3:$A$665,0)),"")</f>
        <v>5.91</v>
      </c>
      <c r="T205" s="27">
        <f>IFERROR(INDEX('Input Statistiche 2025_26'!$H$3:$H$665,MATCH($A205,'Input Statistiche 2025_26'!$A$3:$A$665,0)),"")</f>
        <v>5.86</v>
      </c>
      <c r="U205" s="23" t="str">
        <f>IF(OR('La Mia Rosa'!$O$12="",$D205&lt;&gt;""),"",IF($F205&lt;='La Mia Rosa'!$O$12*'Parametri Modello'!$B$24,"OK",IF($F205&lt;='La Mia Rosa'!$O$12*'Parametri Modello'!$B$25,"Attenzione","Rischio Alto")))</f>
        <v>OK</v>
      </c>
      <c r="V205" s="23">
        <f t="shared" si="28"/>
        <v>56</v>
      </c>
      <c r="W205" s="18">
        <f>'Info Lega'!$B$4-SUMIFS($M$2:$M$492,$D$2:$D$492,'Info Lega'!$B$28)</f>
        <v>1000</v>
      </c>
      <c r="X205" s="18">
        <f>('Info Lega'!$B$5-COUNTIFS($D$2:$D$492,'Info Lega'!$B$28,$B$2:$B$492,"P"))+('Info Lega'!$B$6-COUNTIFS($D$2:$D$492,'Info Lega'!$B$28,$B$2:$B$492,"D"))+('Info Lega'!$B$7-COUNTIFS($D$2:$D$492,'Info Lega'!$B$28,$B$2:$B$492,"C"))+('Info Lega'!$B$8-COUNTIFS($D$2:$D$492,'Info Lega'!$B$28,$B$2:$B$492,"A"))</f>
        <v>25</v>
      </c>
      <c r="Y205" s="18">
        <f>X205*'Parametri Modello'!$B$30</f>
        <v>25</v>
      </c>
      <c r="Z205" s="18">
        <f t="shared" si="29"/>
        <v>975</v>
      </c>
      <c r="AA205" s="18">
        <f t="shared" si="30"/>
        <v>3</v>
      </c>
      <c r="AB205" s="18"/>
      <c r="AC205" s="18" t="str">
        <f>IF($AB205="","",IF($AB205&gt;$AA205,"PASS",IF($AB205&lt;=$AA205*(1-'Parametri Modello'!$B$68),"BID","ATTENZIONE")))</f>
        <v/>
      </c>
      <c r="AD205" s="28">
        <f t="shared" si="31"/>
        <v>61</v>
      </c>
      <c r="AE205" s="5" t="str">
        <f>IFERROR(INDEX('Stato Asta'!$G$9:$G$12,MATCH($B205,'Stato Asta'!$A$9:$A$12,0)),"")</f>
        <v>🔴 Non aspettare</v>
      </c>
      <c r="AF205" t="str">
        <f>IFERROR(IF($V205&lt;=INDEX('Parametri Modello'!$C$57:$C$60,MATCH($B205,'Parametri Modello'!$A$57:$A$60,0)),"Titolare","Riserva"),"")</f>
        <v>Riserva</v>
      </c>
      <c r="AG205" t="str">
        <f>IFERROR(INDEX('Pressione Competitiva'!$F$3:$F$6,MATCH($B205,'Pressione Competitiva'!$B$3:$B$6,0)),"")</f>
        <v>🔴 Molto Alta</v>
      </c>
      <c r="AH205" t="str">
        <f t="shared" si="32"/>
        <v/>
      </c>
      <c r="AI205" t="str">
        <f>IFERROR(IF($AH205="","",IF($AH205&gt;=$AA205*'Parametri Modello'!$B$68,"🟢 Opportunita'",IF($AH205&lt;=$AA205*'Parametri Modello'!$B$69,"🔴 Sovrapprezzo","🟡 Prezzo Corretto"))),"")</f>
        <v/>
      </c>
      <c r="AJ205" t="str">
        <f t="shared" si="33"/>
        <v/>
      </c>
      <c r="AK205">
        <f t="shared" si="34"/>
        <v>1</v>
      </c>
      <c r="AL205" t="str">
        <f t="shared" si="35"/>
        <v>D|Nella Media|1</v>
      </c>
    </row>
    <row r="206" spans="1:38" ht="14.25" customHeight="1" x14ac:dyDescent="0.25">
      <c r="A206" s="18">
        <v>787</v>
      </c>
      <c r="B206" s="18" t="s">
        <v>16</v>
      </c>
      <c r="C206" s="18" t="s">
        <v>345</v>
      </c>
      <c r="E206" s="23" t="str">
        <f>IF(COUNTIF('Info Strategia'!$D$2:$D$51,$C206)&gt;0,"SI","NO")</f>
        <v>NO</v>
      </c>
      <c r="F206" s="24">
        <f>IFERROR(ROUND(($G206+($H206-$G206)*'Info Strategia'!$B$6)*(1+IF($E206="SI",'Parametri Modello'!$B$7*'Info Strategia'!$B$6,0)),0),"")</f>
        <v>3</v>
      </c>
      <c r="G206" s="24">
        <f>IFERROR(ROUND(MAX(1,(IF($V206&lt;=INDEX('Parametri Modello'!$C$57:$C$60,MATCH($B206,'Parametri Modello'!$A$57:$A$60,0)),IF(INDEX('Parametri Modello'!$E$57:$E$60,MATCH($B206,'Parametri Modello'!$A$57:$A$60,0))=0,0,($O206/INDEX('Parametri Modello'!$E$57:$E$60,MATCH($B206,'Parametri Modello'!$A$57:$A$60,0)))*(INDEX('Parametri Modello'!$D$57:$D$60,MATCH($B206,'Parametri Modello'!$A$57:$A$60,0))*(INDEX('Parametri Modello'!$B$50:$B$53,MATCH($B206,'Parametri Modello'!$A$50:$A$53,0))*'Parametri Modello'!$B$44))),IF(INDEX('Parametri Modello'!$F$57:$F$60,MATCH($B206,'Parametri Modello'!$A$57:$A$60,0))=0,0,($O206/INDEX('Parametri Modello'!$F$57:$F$60,MATCH($B206,'Parametri Modello'!$A$57:$A$60,0)))*((1-INDEX('Parametri Modello'!$D$57:$D$60,MATCH($B206,'Parametri Modello'!$A$57:$A$60,0)))*(INDEX('Parametri Modello'!$B$50:$B$53,MATCH($B206,'Parametri Modello'!$A$50:$A$53,0))*'Parametri Modello'!$B$44))))*(1+IF(IF($B206="D",'Info Lega'!$B$25,IF($B206="C",'Info Lega'!$B$26,"No"))="Si",'Parametri Modello'!$B$5,0))*(1+MAX(-0.25,MIN(0.25,IF(OR($T206="",$I206="",$I206=0,INDEX('Parametri Modello'!$B$19:$B$22,MATCH($B206,'Parametri Modello'!$A$19:$A$22,0))="",INDEX('Parametri Modello'!$B$19:$B$22,MATCH($B206,'Parametri Modello'!$A$19:$A$22,0))=0),0,(($T206-INDEX('Parametri Modello'!$B$19:$B$22,MATCH($B206,'Parametri Modello'!$A$19:$A$22,0)))/INDEX('Parametri Modello'!$B$19:$B$22,MATCH($B206,'Parametri Modello'!$A$19:$A$22,0)))*'Parametri Modello'!$B$9))))*(1+IF('Parametri Modello'!$B$27="Si",MAX(-'Parametri Modello'!$B$28,MIN('Parametri Modello'!$B$28*1.5,IF(OR(INDEX('Parametri Modello'!$F$32:$F$35,MATCH($B206,'Parametri Modello'!$A$32:$A$35,0))="",INDEX('Parametri Modello'!$F$32:$F$35,MATCH($B206,'Parametri Modello'!$A$32:$A$35,0))=0),0,(1/INDEX('Parametri Modello'!$F$32:$F$35,MATCH($B206,'Parametri Modello'!$A$32:$A$35,0))-1)*'Parametri Modello'!$B$28))),0)))*(1-INDEX('Parametri Modello'!$B$12:$B$15,MATCH($B206,'Parametri Modello'!$A$12:$A$15,0)))),0),"")</f>
        <v>2</v>
      </c>
      <c r="H206" s="24">
        <f>IFERROR(ROUND((IF($V206&lt;=INDEX('Parametri Modello'!$C$57:$C$60,MATCH($B206,'Parametri Modello'!$A$57:$A$60,0)),IF(INDEX('Parametri Modello'!$E$57:$E$60,MATCH($B206,'Parametri Modello'!$A$57:$A$60,0))=0,0,($O206/INDEX('Parametri Modello'!$E$57:$E$60,MATCH($B206,'Parametri Modello'!$A$57:$A$60,0)))*(INDEX('Parametri Modello'!$D$57:$D$60,MATCH($B206,'Parametri Modello'!$A$57:$A$60,0))*(INDEX('Parametri Modello'!$B$50:$B$53,MATCH($B206,'Parametri Modello'!$A$50:$A$53,0))*'Parametri Modello'!$B$44))),IF(INDEX('Parametri Modello'!$F$57:$F$60,MATCH($B206,'Parametri Modello'!$A$57:$A$60,0))=0,0,($O206/INDEX('Parametri Modello'!$F$57:$F$60,MATCH($B206,'Parametri Modello'!$A$57:$A$60,0)))*((1-INDEX('Parametri Modello'!$D$57:$D$60,MATCH($B206,'Parametri Modello'!$A$57:$A$60,0)))*(INDEX('Parametri Modello'!$B$50:$B$53,MATCH($B206,'Parametri Modello'!$A$50:$A$53,0))*'Parametri Modello'!$B$44))))*(1+IF(IF($B206="D",'Info Lega'!$B$25,IF($B206="C",'Info Lega'!$B$26,"No"))="Si",'Parametri Modello'!$B$5,0))*(1+MAX(-0.25,MIN(0.25,IF(OR($T206="",$I206="",$I206=0,INDEX('Parametri Modello'!$B$19:$B$22,MATCH($B206,'Parametri Modello'!$A$19:$A$22,0))="",INDEX('Parametri Modello'!$B$19:$B$22,MATCH($B206,'Parametri Modello'!$A$19:$A$22,0))=0),0,(($T206-INDEX('Parametri Modello'!$B$19:$B$22,MATCH($B206,'Parametri Modello'!$A$19:$A$22,0)))/INDEX('Parametri Modello'!$B$19:$B$22,MATCH($B206,'Parametri Modello'!$A$19:$A$22,0)))*'Parametri Modello'!$B$9))))*(1+IF('Parametri Modello'!$B$27="Si",MAX(-'Parametri Modello'!$B$28,MIN('Parametri Modello'!$B$28*1.5,IF(OR(INDEX('Parametri Modello'!$F$32:$F$35,MATCH($B206,'Parametri Modello'!$A$32:$A$35,0))="",INDEX('Parametri Modello'!$F$32:$F$35,MATCH($B206,'Parametri Modello'!$A$32:$A$35,0))=0),0,(1/INDEX('Parametri Modello'!$F$32:$F$35,MATCH($B206,'Parametri Modello'!$A$32:$A$35,0))-1)*'Parametri Modello'!$B$28))),0)))*(1+INDEX('Parametri Modello'!$B$12:$B$15,MATCH($B206,'Parametri Modello'!$A$12:$A$15,0))),0),"")</f>
        <v>3</v>
      </c>
      <c r="I206" s="23">
        <f>IFERROR(INDEX('Input Statistiche 2025_26'!$F$3:$F$665,MATCH($A206,'Input Statistiche 2025_26'!$A$3:$A$665,0)),"")</f>
        <v>33</v>
      </c>
      <c r="J206" s="23">
        <f t="shared" si="27"/>
        <v>5</v>
      </c>
      <c r="K206" s="23">
        <f>IFERROR(INDEX('Input Statistiche 2025_26'!$I$3:$I$665,MATCH($A206,'Input Statistiche 2025_26'!$A$3:$A$665,0)),"")</f>
        <v>0</v>
      </c>
      <c r="L206" s="23">
        <f>IFERROR(INDEX('Input Statistiche 2025_26'!$O$3:$O$665,MATCH($A206,'Input Statistiche 2025_26'!$A$3:$A$665,0)),"")</f>
        <v>0</v>
      </c>
      <c r="M206" s="25"/>
      <c r="N206" s="24">
        <f>IFERROR(INDEX('Input Giocatori 2026_27'!$E$3:$E$493,MATCH($A206,'Input Giocatori 2026_27'!$A$3:$A$493,0)),"")</f>
        <v>7</v>
      </c>
      <c r="O206" s="24">
        <f>IFERROR(INDEX('Input Giocatori 2026_27'!$G$3:$G$493,MATCH($A206,'Input Giocatori 2026_27'!$A$3:$A$493,0)),"")</f>
        <v>16</v>
      </c>
      <c r="P206" s="23" t="str">
        <f>IFERROR(IF($O206="","",IF((1-(COUNTIFS($B$2:$B$492,$B206,$O$2:$O$492,"&gt;"&amp;$O206)+1-1)/COUNTIF($B$2:$B$492,$B206))&gt;='Parametri Modello'!$B$63,"Top",IF((1-(COUNTIFS($B$2:$B$492,$B206,$O$2:$O$492,"&gt;"&amp;$O206)+1-1)/COUNTIF($B$2:$B$492,$B206))&gt;='Parametri Modello'!$B$64,"Buono",IF((1-(COUNTIFS($B$2:$B$492,$B206,$O$2:$O$492,"&gt;"&amp;$O206)+1-1)/COUNTIF($B$2:$B$492,$B206))&gt;='Parametri Modello'!$B$65,"Nella Media","Scommessa/Riserva")))),"")</f>
        <v>Nella Media</v>
      </c>
      <c r="Q206" s="26">
        <f>IF(AND($D206="",$N206&gt;1),SUMPRODUCT(($D$2:$D206="")*($N$2:$N206&gt;1)),"")</f>
        <v>205</v>
      </c>
      <c r="R206" s="26" t="str">
        <f>IF($D206='Info Lega'!$B$28,COUNTIFS($D$2:$D206,'Info Lega'!$B$28),"")</f>
        <v/>
      </c>
      <c r="S206" s="27">
        <f>IFERROR(INDEX('Input Statistiche 2025_26'!$G$3:$G$665,MATCH($A206,'Input Statistiche 2025_26'!$A$3:$A$665,0)),"")</f>
        <v>5.86</v>
      </c>
      <c r="T206" s="27">
        <f>IFERROR(INDEX('Input Statistiche 2025_26'!$H$3:$H$665,MATCH($A206,'Input Statistiche 2025_26'!$A$3:$A$665,0)),"")</f>
        <v>5.8</v>
      </c>
      <c r="U206" s="23" t="str">
        <f>IF(OR('La Mia Rosa'!$O$12="",$D206&lt;&gt;""),"",IF($F206&lt;='La Mia Rosa'!$O$12*'Parametri Modello'!$B$24,"OK",IF($F206&lt;='La Mia Rosa'!$O$12*'Parametri Modello'!$B$25,"Attenzione","Rischio Alto")))</f>
        <v>OK</v>
      </c>
      <c r="V206" s="23">
        <f t="shared" si="28"/>
        <v>56</v>
      </c>
      <c r="W206" s="18">
        <f>'Info Lega'!$B$4-SUMIFS($M$2:$M$492,$D$2:$D$492,'Info Lega'!$B$28)</f>
        <v>1000</v>
      </c>
      <c r="X206" s="18">
        <f>('Info Lega'!$B$5-COUNTIFS($D$2:$D$492,'Info Lega'!$B$28,$B$2:$B$492,"P"))+('Info Lega'!$B$6-COUNTIFS($D$2:$D$492,'Info Lega'!$B$28,$B$2:$B$492,"D"))+('Info Lega'!$B$7-COUNTIFS($D$2:$D$492,'Info Lega'!$B$28,$B$2:$B$492,"C"))+('Info Lega'!$B$8-COUNTIFS($D$2:$D$492,'Info Lega'!$B$28,$B$2:$B$492,"A"))</f>
        <v>25</v>
      </c>
      <c r="Y206" s="18">
        <f>X206*'Parametri Modello'!$B$30</f>
        <v>25</v>
      </c>
      <c r="Z206" s="18">
        <f t="shared" si="29"/>
        <v>975</v>
      </c>
      <c r="AA206" s="18">
        <f t="shared" si="30"/>
        <v>3</v>
      </c>
      <c r="AB206" s="18"/>
      <c r="AC206" s="18" t="str">
        <f>IF($AB206="","",IF($AB206&gt;$AA206,"PASS",IF($AB206&lt;=$AA206*(1-'Parametri Modello'!$B$68),"BID","ATTENZIONE")))</f>
        <v/>
      </c>
      <c r="AD206" s="28">
        <f t="shared" si="31"/>
        <v>67</v>
      </c>
      <c r="AE206" s="5" t="str">
        <f>IFERROR(INDEX('Stato Asta'!$G$9:$G$12,MATCH($B206,'Stato Asta'!$A$9:$A$12,0)),"")</f>
        <v>🔴 Non aspettare</v>
      </c>
      <c r="AF206" t="str">
        <f>IFERROR(IF($V206&lt;=INDEX('Parametri Modello'!$C$57:$C$60,MATCH($B206,'Parametri Modello'!$A$57:$A$60,0)),"Titolare","Riserva"),"")</f>
        <v>Riserva</v>
      </c>
      <c r="AG206" t="str">
        <f>IFERROR(INDEX('Pressione Competitiva'!$F$3:$F$6,MATCH($B206,'Pressione Competitiva'!$B$3:$B$6,0)),"")</f>
        <v>🔴 Molto Alta</v>
      </c>
      <c r="AH206" t="str">
        <f t="shared" si="32"/>
        <v/>
      </c>
      <c r="AI206" t="str">
        <f>IFERROR(IF($AH206="","",IF($AH206&gt;=$AA206*'Parametri Modello'!$B$68,"🟢 Opportunita'",IF($AH206&lt;=$AA206*'Parametri Modello'!$B$69,"🔴 Sovrapprezzo","🟡 Prezzo Corretto"))),"")</f>
        <v/>
      </c>
      <c r="AJ206" t="str">
        <f t="shared" si="33"/>
        <v/>
      </c>
      <c r="AK206">
        <f t="shared" si="34"/>
        <v>1</v>
      </c>
      <c r="AL206" t="str">
        <f t="shared" si="35"/>
        <v>D|Nella Media|1</v>
      </c>
    </row>
    <row r="207" spans="1:38" ht="14.25" customHeight="1" x14ac:dyDescent="0.25">
      <c r="A207" s="18">
        <v>6916</v>
      </c>
      <c r="B207" s="18" t="s">
        <v>16</v>
      </c>
      <c r="C207" s="18" t="s">
        <v>346</v>
      </c>
      <c r="E207" s="23" t="str">
        <f>IF(COUNTIF('Info Strategia'!$D$2:$D$51,$C207)&gt;0,"SI","NO")</f>
        <v>NO</v>
      </c>
      <c r="F207" s="24">
        <f>IFERROR(ROUND(($G207+($H207-$G207)*'Info Strategia'!$B$6)*(1+IF($E207="SI",'Parametri Modello'!$B$7*'Info Strategia'!$B$6,0)),0),"")</f>
        <v>3</v>
      </c>
      <c r="G207" s="24">
        <f>IFERROR(ROUND(MAX(1,(IF($V207&lt;=INDEX('Parametri Modello'!$C$57:$C$60,MATCH($B207,'Parametri Modello'!$A$57:$A$60,0)),IF(INDEX('Parametri Modello'!$E$57:$E$60,MATCH($B207,'Parametri Modello'!$A$57:$A$60,0))=0,0,($O207/INDEX('Parametri Modello'!$E$57:$E$60,MATCH($B207,'Parametri Modello'!$A$57:$A$60,0)))*(INDEX('Parametri Modello'!$D$57:$D$60,MATCH($B207,'Parametri Modello'!$A$57:$A$60,0))*(INDEX('Parametri Modello'!$B$50:$B$53,MATCH($B207,'Parametri Modello'!$A$50:$A$53,0))*'Parametri Modello'!$B$44))),IF(INDEX('Parametri Modello'!$F$57:$F$60,MATCH($B207,'Parametri Modello'!$A$57:$A$60,0))=0,0,($O207/INDEX('Parametri Modello'!$F$57:$F$60,MATCH($B207,'Parametri Modello'!$A$57:$A$60,0)))*((1-INDEX('Parametri Modello'!$D$57:$D$60,MATCH($B207,'Parametri Modello'!$A$57:$A$60,0)))*(INDEX('Parametri Modello'!$B$50:$B$53,MATCH($B207,'Parametri Modello'!$A$50:$A$53,0))*'Parametri Modello'!$B$44))))*(1+IF(IF($B207="D",'Info Lega'!$B$25,IF($B207="C",'Info Lega'!$B$26,"No"))="Si",'Parametri Modello'!$B$5,0))*(1+MAX(-0.25,MIN(0.25,IF(OR($T207="",$I207="",$I207=0,INDEX('Parametri Modello'!$B$19:$B$22,MATCH($B207,'Parametri Modello'!$A$19:$A$22,0))="",INDEX('Parametri Modello'!$B$19:$B$22,MATCH($B207,'Parametri Modello'!$A$19:$A$22,0))=0),0,(($T207-INDEX('Parametri Modello'!$B$19:$B$22,MATCH($B207,'Parametri Modello'!$A$19:$A$22,0)))/INDEX('Parametri Modello'!$B$19:$B$22,MATCH($B207,'Parametri Modello'!$A$19:$A$22,0)))*'Parametri Modello'!$B$9))))*(1+IF('Parametri Modello'!$B$27="Si",MAX(-'Parametri Modello'!$B$28,MIN('Parametri Modello'!$B$28*1.5,IF(OR(INDEX('Parametri Modello'!$F$32:$F$35,MATCH($B207,'Parametri Modello'!$A$32:$A$35,0))="",INDEX('Parametri Modello'!$F$32:$F$35,MATCH($B207,'Parametri Modello'!$A$32:$A$35,0))=0),0,(1/INDEX('Parametri Modello'!$F$32:$F$35,MATCH($B207,'Parametri Modello'!$A$32:$A$35,0))-1)*'Parametri Modello'!$B$28))),0)))*(1-INDEX('Parametri Modello'!$B$12:$B$15,MATCH($B207,'Parametri Modello'!$A$12:$A$15,0)))),0),"")</f>
        <v>2</v>
      </c>
      <c r="H207" s="24">
        <f>IFERROR(ROUND((IF($V207&lt;=INDEX('Parametri Modello'!$C$57:$C$60,MATCH($B207,'Parametri Modello'!$A$57:$A$60,0)),IF(INDEX('Parametri Modello'!$E$57:$E$60,MATCH($B207,'Parametri Modello'!$A$57:$A$60,0))=0,0,($O207/INDEX('Parametri Modello'!$E$57:$E$60,MATCH($B207,'Parametri Modello'!$A$57:$A$60,0)))*(INDEX('Parametri Modello'!$D$57:$D$60,MATCH($B207,'Parametri Modello'!$A$57:$A$60,0))*(INDEX('Parametri Modello'!$B$50:$B$53,MATCH($B207,'Parametri Modello'!$A$50:$A$53,0))*'Parametri Modello'!$B$44))),IF(INDEX('Parametri Modello'!$F$57:$F$60,MATCH($B207,'Parametri Modello'!$A$57:$A$60,0))=0,0,($O207/INDEX('Parametri Modello'!$F$57:$F$60,MATCH($B207,'Parametri Modello'!$A$57:$A$60,0)))*((1-INDEX('Parametri Modello'!$D$57:$D$60,MATCH($B207,'Parametri Modello'!$A$57:$A$60,0)))*(INDEX('Parametri Modello'!$B$50:$B$53,MATCH($B207,'Parametri Modello'!$A$50:$A$53,0))*'Parametri Modello'!$B$44))))*(1+IF(IF($B207="D",'Info Lega'!$B$25,IF($B207="C",'Info Lega'!$B$26,"No"))="Si",'Parametri Modello'!$B$5,0))*(1+MAX(-0.25,MIN(0.25,IF(OR($T207="",$I207="",$I207=0,INDEX('Parametri Modello'!$B$19:$B$22,MATCH($B207,'Parametri Modello'!$A$19:$A$22,0))="",INDEX('Parametri Modello'!$B$19:$B$22,MATCH($B207,'Parametri Modello'!$A$19:$A$22,0))=0),0,(($T207-INDEX('Parametri Modello'!$B$19:$B$22,MATCH($B207,'Parametri Modello'!$A$19:$A$22,0)))/INDEX('Parametri Modello'!$B$19:$B$22,MATCH($B207,'Parametri Modello'!$A$19:$A$22,0)))*'Parametri Modello'!$B$9))))*(1+IF('Parametri Modello'!$B$27="Si",MAX(-'Parametri Modello'!$B$28,MIN('Parametri Modello'!$B$28*1.5,IF(OR(INDEX('Parametri Modello'!$F$32:$F$35,MATCH($B207,'Parametri Modello'!$A$32:$A$35,0))="",INDEX('Parametri Modello'!$F$32:$F$35,MATCH($B207,'Parametri Modello'!$A$32:$A$35,0))=0),0,(1/INDEX('Parametri Modello'!$F$32:$F$35,MATCH($B207,'Parametri Modello'!$A$32:$A$35,0))-1)*'Parametri Modello'!$B$28))),0)))*(1+INDEX('Parametri Modello'!$B$12:$B$15,MATCH($B207,'Parametri Modello'!$A$12:$A$15,0))),0),"")</f>
        <v>3</v>
      </c>
      <c r="I207" s="23">
        <f>IFERROR(INDEX('Input Statistiche 2025_26'!$F$3:$F$665,MATCH($A207,'Input Statistiche 2025_26'!$A$3:$A$665,0)),"")</f>
        <v>21</v>
      </c>
      <c r="J207" s="23">
        <f t="shared" si="27"/>
        <v>17</v>
      </c>
      <c r="K207" s="23">
        <f>IFERROR(INDEX('Input Statistiche 2025_26'!$I$3:$I$665,MATCH($A207,'Input Statistiche 2025_26'!$A$3:$A$665,0)),"")</f>
        <v>0</v>
      </c>
      <c r="L207" s="23">
        <f>IFERROR(INDEX('Input Statistiche 2025_26'!$O$3:$O$665,MATCH($A207,'Input Statistiche 2025_26'!$A$3:$A$665,0)),"")</f>
        <v>0</v>
      </c>
      <c r="M207" s="25"/>
      <c r="N207" s="24">
        <f>IFERROR(INDEX('Input Giocatori 2026_27'!$E$3:$E$493,MATCH($A207,'Input Giocatori 2026_27'!$A$3:$A$493,0)),"")</f>
        <v>6</v>
      </c>
      <c r="O207" s="24">
        <f>IFERROR(INDEX('Input Giocatori 2026_27'!$G$3:$G$493,MATCH($A207,'Input Giocatori 2026_27'!$A$3:$A$493,0)),"")</f>
        <v>16</v>
      </c>
      <c r="P207" s="23" t="str">
        <f>IFERROR(IF($O207="","",IF((1-(COUNTIFS($B$2:$B$492,$B207,$O$2:$O$492,"&gt;"&amp;$O207)+1-1)/COUNTIF($B$2:$B$492,$B207))&gt;='Parametri Modello'!$B$63,"Top",IF((1-(COUNTIFS($B$2:$B$492,$B207,$O$2:$O$492,"&gt;"&amp;$O207)+1-1)/COUNTIF($B$2:$B$492,$B207))&gt;='Parametri Modello'!$B$64,"Buono",IF((1-(COUNTIFS($B$2:$B$492,$B207,$O$2:$O$492,"&gt;"&amp;$O207)+1-1)/COUNTIF($B$2:$B$492,$B207))&gt;='Parametri Modello'!$B$65,"Nella Media","Scommessa/Riserva")))),"")</f>
        <v>Nella Media</v>
      </c>
      <c r="Q207" s="26">
        <f>IF(AND($D207="",$N207&gt;1),SUMPRODUCT(($D$2:$D207="")*($N$2:$N207&gt;1)),"")</f>
        <v>206</v>
      </c>
      <c r="R207" s="26" t="str">
        <f>IF($D207='Info Lega'!$B$28,COUNTIFS($D$2:$D207,'Info Lega'!$B$28),"")</f>
        <v/>
      </c>
      <c r="S207" s="27">
        <f>IFERROR(INDEX('Input Statistiche 2025_26'!$G$3:$G$665,MATCH($A207,'Input Statistiche 2025_26'!$A$3:$A$665,0)),"")</f>
        <v>5.79</v>
      </c>
      <c r="T207" s="27">
        <f>IFERROR(INDEX('Input Statistiche 2025_26'!$H$3:$H$665,MATCH($A207,'Input Statistiche 2025_26'!$A$3:$A$665,0)),"")</f>
        <v>5.69</v>
      </c>
      <c r="U207" s="23" t="str">
        <f>IF(OR('La Mia Rosa'!$O$12="",$D207&lt;&gt;""),"",IF($F207&lt;='La Mia Rosa'!$O$12*'Parametri Modello'!$B$24,"OK",IF($F207&lt;='La Mia Rosa'!$O$12*'Parametri Modello'!$B$25,"Attenzione","Rischio Alto")))</f>
        <v>OK</v>
      </c>
      <c r="V207" s="23">
        <f t="shared" si="28"/>
        <v>56</v>
      </c>
      <c r="W207" s="18">
        <f>'Info Lega'!$B$4-SUMIFS($M$2:$M$492,$D$2:$D$492,'Info Lega'!$B$28)</f>
        <v>1000</v>
      </c>
      <c r="X207" s="18">
        <f>('Info Lega'!$B$5-COUNTIFS($D$2:$D$492,'Info Lega'!$B$28,$B$2:$B$492,"P"))+('Info Lega'!$B$6-COUNTIFS($D$2:$D$492,'Info Lega'!$B$28,$B$2:$B$492,"D"))+('Info Lega'!$B$7-COUNTIFS($D$2:$D$492,'Info Lega'!$B$28,$B$2:$B$492,"C"))+('Info Lega'!$B$8-COUNTIFS($D$2:$D$492,'Info Lega'!$B$28,$B$2:$B$492,"A"))</f>
        <v>25</v>
      </c>
      <c r="Y207" s="18">
        <f>X207*'Parametri Modello'!$B$30</f>
        <v>25</v>
      </c>
      <c r="Z207" s="18">
        <f t="shared" si="29"/>
        <v>975</v>
      </c>
      <c r="AA207" s="18">
        <f t="shared" si="30"/>
        <v>3</v>
      </c>
      <c r="AB207" s="18"/>
      <c r="AC207" s="18" t="str">
        <f>IF($AB207="","",IF($AB207&gt;$AA207,"PASS",IF($AB207&lt;=$AA207*(1-'Parametri Modello'!$B$68),"BID","ATTENZIONE")))</f>
        <v/>
      </c>
      <c r="AD207" s="28">
        <f t="shared" si="31"/>
        <v>50</v>
      </c>
      <c r="AE207" s="5" t="str">
        <f>IFERROR(INDEX('Stato Asta'!$G$9:$G$12,MATCH($B207,'Stato Asta'!$A$9:$A$12,0)),"")</f>
        <v>🔴 Non aspettare</v>
      </c>
      <c r="AF207" t="str">
        <f>IFERROR(IF($V207&lt;=INDEX('Parametri Modello'!$C$57:$C$60,MATCH($B207,'Parametri Modello'!$A$57:$A$60,0)),"Titolare","Riserva"),"")</f>
        <v>Riserva</v>
      </c>
      <c r="AG207" t="str">
        <f>IFERROR(INDEX('Pressione Competitiva'!$F$3:$F$6,MATCH($B207,'Pressione Competitiva'!$B$3:$B$6,0)),"")</f>
        <v>🔴 Molto Alta</v>
      </c>
      <c r="AH207" t="str">
        <f t="shared" si="32"/>
        <v/>
      </c>
      <c r="AI207" t="str">
        <f>IFERROR(IF($AH207="","",IF($AH207&gt;=$AA207*'Parametri Modello'!$B$68,"🟢 Opportunita'",IF($AH207&lt;=$AA207*'Parametri Modello'!$B$69,"🔴 Sovrapprezzo","🟡 Prezzo Corretto"))),"")</f>
        <v/>
      </c>
      <c r="AJ207" t="str">
        <f t="shared" si="33"/>
        <v/>
      </c>
      <c r="AK207">
        <f t="shared" si="34"/>
        <v>1</v>
      </c>
      <c r="AL207" t="str">
        <f t="shared" si="35"/>
        <v>D|Nella Media|1</v>
      </c>
    </row>
    <row r="208" spans="1:38" ht="14.25" customHeight="1" x14ac:dyDescent="0.25">
      <c r="A208" s="18">
        <v>6202</v>
      </c>
      <c r="B208" s="18" t="s">
        <v>16</v>
      </c>
      <c r="C208" s="18" t="s">
        <v>347</v>
      </c>
      <c r="E208" s="23" t="str">
        <f>IF(COUNTIF('Info Strategia'!$D$2:$D$51,$C208)&gt;0,"SI","NO")</f>
        <v>NO</v>
      </c>
      <c r="F208" s="24">
        <f>IFERROR(ROUND(($G208+($H208-$G208)*'Info Strategia'!$B$6)*(1+IF($E208="SI",'Parametri Modello'!$B$7*'Info Strategia'!$B$6,0)),0),"")</f>
        <v>3</v>
      </c>
      <c r="G208" s="24">
        <f>IFERROR(ROUND(MAX(1,(IF($V208&lt;=INDEX('Parametri Modello'!$C$57:$C$60,MATCH($B208,'Parametri Modello'!$A$57:$A$60,0)),IF(INDEX('Parametri Modello'!$E$57:$E$60,MATCH($B208,'Parametri Modello'!$A$57:$A$60,0))=0,0,($O208/INDEX('Parametri Modello'!$E$57:$E$60,MATCH($B208,'Parametri Modello'!$A$57:$A$60,0)))*(INDEX('Parametri Modello'!$D$57:$D$60,MATCH($B208,'Parametri Modello'!$A$57:$A$60,0))*(INDEX('Parametri Modello'!$B$50:$B$53,MATCH($B208,'Parametri Modello'!$A$50:$A$53,0))*'Parametri Modello'!$B$44))),IF(INDEX('Parametri Modello'!$F$57:$F$60,MATCH($B208,'Parametri Modello'!$A$57:$A$60,0))=0,0,($O208/INDEX('Parametri Modello'!$F$57:$F$60,MATCH($B208,'Parametri Modello'!$A$57:$A$60,0)))*((1-INDEX('Parametri Modello'!$D$57:$D$60,MATCH($B208,'Parametri Modello'!$A$57:$A$60,0)))*(INDEX('Parametri Modello'!$B$50:$B$53,MATCH($B208,'Parametri Modello'!$A$50:$A$53,0))*'Parametri Modello'!$B$44))))*(1+IF(IF($B208="D",'Info Lega'!$B$25,IF($B208="C",'Info Lega'!$B$26,"No"))="Si",'Parametri Modello'!$B$5,0))*(1+MAX(-0.25,MIN(0.25,IF(OR($T208="",$I208="",$I208=0,INDEX('Parametri Modello'!$B$19:$B$22,MATCH($B208,'Parametri Modello'!$A$19:$A$22,0))="",INDEX('Parametri Modello'!$B$19:$B$22,MATCH($B208,'Parametri Modello'!$A$19:$A$22,0))=0),0,(($T208-INDEX('Parametri Modello'!$B$19:$B$22,MATCH($B208,'Parametri Modello'!$A$19:$A$22,0)))/INDEX('Parametri Modello'!$B$19:$B$22,MATCH($B208,'Parametri Modello'!$A$19:$A$22,0)))*'Parametri Modello'!$B$9))))*(1+IF('Parametri Modello'!$B$27="Si",MAX(-'Parametri Modello'!$B$28,MIN('Parametri Modello'!$B$28*1.5,IF(OR(INDEX('Parametri Modello'!$F$32:$F$35,MATCH($B208,'Parametri Modello'!$A$32:$A$35,0))="",INDEX('Parametri Modello'!$F$32:$F$35,MATCH($B208,'Parametri Modello'!$A$32:$A$35,0))=0),0,(1/INDEX('Parametri Modello'!$F$32:$F$35,MATCH($B208,'Parametri Modello'!$A$32:$A$35,0))-1)*'Parametri Modello'!$B$28))),0)))*(1-INDEX('Parametri Modello'!$B$12:$B$15,MATCH($B208,'Parametri Modello'!$A$12:$A$15,0)))),0),"")</f>
        <v>2</v>
      </c>
      <c r="H208" s="24">
        <f>IFERROR(ROUND((IF($V208&lt;=INDEX('Parametri Modello'!$C$57:$C$60,MATCH($B208,'Parametri Modello'!$A$57:$A$60,0)),IF(INDEX('Parametri Modello'!$E$57:$E$60,MATCH($B208,'Parametri Modello'!$A$57:$A$60,0))=0,0,($O208/INDEX('Parametri Modello'!$E$57:$E$60,MATCH($B208,'Parametri Modello'!$A$57:$A$60,0)))*(INDEX('Parametri Modello'!$D$57:$D$60,MATCH($B208,'Parametri Modello'!$A$57:$A$60,0))*(INDEX('Parametri Modello'!$B$50:$B$53,MATCH($B208,'Parametri Modello'!$A$50:$A$53,0))*'Parametri Modello'!$B$44))),IF(INDEX('Parametri Modello'!$F$57:$F$60,MATCH($B208,'Parametri Modello'!$A$57:$A$60,0))=0,0,($O208/INDEX('Parametri Modello'!$F$57:$F$60,MATCH($B208,'Parametri Modello'!$A$57:$A$60,0)))*((1-INDEX('Parametri Modello'!$D$57:$D$60,MATCH($B208,'Parametri Modello'!$A$57:$A$60,0)))*(INDEX('Parametri Modello'!$B$50:$B$53,MATCH($B208,'Parametri Modello'!$A$50:$A$53,0))*'Parametri Modello'!$B$44))))*(1+IF(IF($B208="D",'Info Lega'!$B$25,IF($B208="C",'Info Lega'!$B$26,"No"))="Si",'Parametri Modello'!$B$5,0))*(1+MAX(-0.25,MIN(0.25,IF(OR($T208="",$I208="",$I208=0,INDEX('Parametri Modello'!$B$19:$B$22,MATCH($B208,'Parametri Modello'!$A$19:$A$22,0))="",INDEX('Parametri Modello'!$B$19:$B$22,MATCH($B208,'Parametri Modello'!$A$19:$A$22,0))=0),0,(($T208-INDEX('Parametri Modello'!$B$19:$B$22,MATCH($B208,'Parametri Modello'!$A$19:$A$22,0)))/INDEX('Parametri Modello'!$B$19:$B$22,MATCH($B208,'Parametri Modello'!$A$19:$A$22,0)))*'Parametri Modello'!$B$9))))*(1+IF('Parametri Modello'!$B$27="Si",MAX(-'Parametri Modello'!$B$28,MIN('Parametri Modello'!$B$28*1.5,IF(OR(INDEX('Parametri Modello'!$F$32:$F$35,MATCH($B208,'Parametri Modello'!$A$32:$A$35,0))="",INDEX('Parametri Modello'!$F$32:$F$35,MATCH($B208,'Parametri Modello'!$A$32:$A$35,0))=0),0,(1/INDEX('Parametri Modello'!$F$32:$F$35,MATCH($B208,'Parametri Modello'!$A$32:$A$35,0))-1)*'Parametri Modello'!$B$28))),0)))*(1+INDEX('Parametri Modello'!$B$12:$B$15,MATCH($B208,'Parametri Modello'!$A$12:$A$15,0))),0),"")</f>
        <v>3</v>
      </c>
      <c r="I208" s="23">
        <f>IFERROR(INDEX('Input Statistiche 2025_26'!$F$3:$F$665,MATCH($A208,'Input Statistiche 2025_26'!$A$3:$A$665,0)),"")</f>
        <v>22</v>
      </c>
      <c r="J208" s="23">
        <f t="shared" si="27"/>
        <v>16</v>
      </c>
      <c r="K208" s="23">
        <f>IFERROR(INDEX('Input Statistiche 2025_26'!$I$3:$I$665,MATCH($A208,'Input Statistiche 2025_26'!$A$3:$A$665,0)),"")</f>
        <v>2</v>
      </c>
      <c r="L208" s="23">
        <f>IFERROR(INDEX('Input Statistiche 2025_26'!$O$3:$O$665,MATCH($A208,'Input Statistiche 2025_26'!$A$3:$A$665,0)),"")</f>
        <v>0</v>
      </c>
      <c r="M208" s="25"/>
      <c r="N208" s="24">
        <f>IFERROR(INDEX('Input Giocatori 2026_27'!$E$3:$E$493,MATCH($A208,'Input Giocatori 2026_27'!$A$3:$A$493,0)),"")</f>
        <v>6</v>
      </c>
      <c r="O208" s="24">
        <f>IFERROR(INDEX('Input Giocatori 2026_27'!$G$3:$G$493,MATCH($A208,'Input Giocatori 2026_27'!$A$3:$A$493,0)),"")</f>
        <v>16</v>
      </c>
      <c r="P208" s="23" t="str">
        <f>IFERROR(IF($O208="","",IF((1-(COUNTIFS($B$2:$B$492,$B208,$O$2:$O$492,"&gt;"&amp;$O208)+1-1)/COUNTIF($B$2:$B$492,$B208))&gt;='Parametri Modello'!$B$63,"Top",IF((1-(COUNTIFS($B$2:$B$492,$B208,$O$2:$O$492,"&gt;"&amp;$O208)+1-1)/COUNTIF($B$2:$B$492,$B208))&gt;='Parametri Modello'!$B$64,"Buono",IF((1-(COUNTIFS($B$2:$B$492,$B208,$O$2:$O$492,"&gt;"&amp;$O208)+1-1)/COUNTIF($B$2:$B$492,$B208))&gt;='Parametri Modello'!$B$65,"Nella Media","Scommessa/Riserva")))),"")</f>
        <v>Nella Media</v>
      </c>
      <c r="Q208" s="26">
        <f>IF(AND($D208="",$N208&gt;1),SUMPRODUCT(($D$2:$D208="")*($N$2:$N208&gt;1)),"")</f>
        <v>207</v>
      </c>
      <c r="R208" s="26" t="str">
        <f>IF($D208='Info Lega'!$B$28,COUNTIFS($D$2:$D208,'Info Lega'!$B$28),"")</f>
        <v/>
      </c>
      <c r="S208" s="27">
        <f>IFERROR(INDEX('Input Statistiche 2025_26'!$G$3:$G$665,MATCH($A208,'Input Statistiche 2025_26'!$A$3:$A$665,0)),"")</f>
        <v>5.93</v>
      </c>
      <c r="T208" s="27">
        <f>IFERROR(INDEX('Input Statistiche 2025_26'!$H$3:$H$665,MATCH($A208,'Input Statistiche 2025_26'!$A$3:$A$665,0)),"")</f>
        <v>6.16</v>
      </c>
      <c r="U208" s="23" t="str">
        <f>IF(OR('La Mia Rosa'!$O$12="",$D208&lt;&gt;""),"",IF($F208&lt;='La Mia Rosa'!$O$12*'Parametri Modello'!$B$24,"OK",IF($F208&lt;='La Mia Rosa'!$O$12*'Parametri Modello'!$B$25,"Attenzione","Rischio Alto")))</f>
        <v>OK</v>
      </c>
      <c r="V208" s="23">
        <f t="shared" si="28"/>
        <v>56</v>
      </c>
      <c r="W208" s="18">
        <f>'Info Lega'!$B$4-SUMIFS($M$2:$M$492,$D$2:$D$492,'Info Lega'!$B$28)</f>
        <v>1000</v>
      </c>
      <c r="X208" s="18">
        <f>('Info Lega'!$B$5-COUNTIFS($D$2:$D$492,'Info Lega'!$B$28,$B$2:$B$492,"P"))+('Info Lega'!$B$6-COUNTIFS($D$2:$D$492,'Info Lega'!$B$28,$B$2:$B$492,"D"))+('Info Lega'!$B$7-COUNTIFS($D$2:$D$492,'Info Lega'!$B$28,$B$2:$B$492,"C"))+('Info Lega'!$B$8-COUNTIFS($D$2:$D$492,'Info Lega'!$B$28,$B$2:$B$492,"A"))</f>
        <v>25</v>
      </c>
      <c r="Y208" s="18">
        <f>X208*'Parametri Modello'!$B$30</f>
        <v>25</v>
      </c>
      <c r="Z208" s="18">
        <f t="shared" si="29"/>
        <v>975</v>
      </c>
      <c r="AA208" s="18">
        <f t="shared" si="30"/>
        <v>3</v>
      </c>
      <c r="AB208" s="18"/>
      <c r="AC208" s="18" t="str">
        <f>IF($AB208="","",IF($AB208&gt;$AA208,"PASS",IF($AB208&lt;=$AA208*(1-'Parametri Modello'!$B$68),"BID","ATTENZIONE")))</f>
        <v/>
      </c>
      <c r="AD208" s="28">
        <f t="shared" si="31"/>
        <v>52</v>
      </c>
      <c r="AE208" s="5" t="str">
        <f>IFERROR(INDEX('Stato Asta'!$G$9:$G$12,MATCH($B208,'Stato Asta'!$A$9:$A$12,0)),"")</f>
        <v>🔴 Non aspettare</v>
      </c>
      <c r="AF208" t="str">
        <f>IFERROR(IF($V208&lt;=INDEX('Parametri Modello'!$C$57:$C$60,MATCH($B208,'Parametri Modello'!$A$57:$A$60,0)),"Titolare","Riserva"),"")</f>
        <v>Riserva</v>
      </c>
      <c r="AG208" t="str">
        <f>IFERROR(INDEX('Pressione Competitiva'!$F$3:$F$6,MATCH($B208,'Pressione Competitiva'!$B$3:$B$6,0)),"")</f>
        <v>🔴 Molto Alta</v>
      </c>
      <c r="AH208" t="str">
        <f t="shared" si="32"/>
        <v/>
      </c>
      <c r="AI208" t="str">
        <f>IFERROR(IF($AH208="","",IF($AH208&gt;=$AA208*'Parametri Modello'!$B$68,"🟢 Opportunita'",IF($AH208&lt;=$AA208*'Parametri Modello'!$B$69,"🔴 Sovrapprezzo","🟡 Prezzo Corretto"))),"")</f>
        <v/>
      </c>
      <c r="AJ208" t="str">
        <f t="shared" si="33"/>
        <v/>
      </c>
      <c r="AK208">
        <f t="shared" si="34"/>
        <v>1</v>
      </c>
      <c r="AL208" t="str">
        <f t="shared" si="35"/>
        <v>D|Nella Media|1</v>
      </c>
    </row>
    <row r="209" spans="1:38" ht="14.25" customHeight="1" x14ac:dyDescent="0.25">
      <c r="A209" s="18">
        <v>6986</v>
      </c>
      <c r="B209" s="18" t="s">
        <v>16</v>
      </c>
      <c r="C209" s="18" t="s">
        <v>348</v>
      </c>
      <c r="E209" s="23" t="str">
        <f>IF(COUNTIF('Info Strategia'!$D$2:$D$51,$C209)&gt;0,"SI","NO")</f>
        <v>NO</v>
      </c>
      <c r="F209" s="24">
        <f>IFERROR(ROUND(($G209+($H209-$G209)*'Info Strategia'!$B$6)*(1+IF($E209="SI",'Parametri Modello'!$B$7*'Info Strategia'!$B$6,0)),0),"")</f>
        <v>3</v>
      </c>
      <c r="G209" s="24">
        <f>IFERROR(ROUND(MAX(1,(IF($V209&lt;=INDEX('Parametri Modello'!$C$57:$C$60,MATCH($B209,'Parametri Modello'!$A$57:$A$60,0)),IF(INDEX('Parametri Modello'!$E$57:$E$60,MATCH($B209,'Parametri Modello'!$A$57:$A$60,0))=0,0,($O209/INDEX('Parametri Modello'!$E$57:$E$60,MATCH($B209,'Parametri Modello'!$A$57:$A$60,0)))*(INDEX('Parametri Modello'!$D$57:$D$60,MATCH($B209,'Parametri Modello'!$A$57:$A$60,0))*(INDEX('Parametri Modello'!$B$50:$B$53,MATCH($B209,'Parametri Modello'!$A$50:$A$53,0))*'Parametri Modello'!$B$44))),IF(INDEX('Parametri Modello'!$F$57:$F$60,MATCH($B209,'Parametri Modello'!$A$57:$A$60,0))=0,0,($O209/INDEX('Parametri Modello'!$F$57:$F$60,MATCH($B209,'Parametri Modello'!$A$57:$A$60,0)))*((1-INDEX('Parametri Modello'!$D$57:$D$60,MATCH($B209,'Parametri Modello'!$A$57:$A$60,0)))*(INDEX('Parametri Modello'!$B$50:$B$53,MATCH($B209,'Parametri Modello'!$A$50:$A$53,0))*'Parametri Modello'!$B$44))))*(1+IF(IF($B209="D",'Info Lega'!$B$25,IF($B209="C",'Info Lega'!$B$26,"No"))="Si",'Parametri Modello'!$B$5,0))*(1+MAX(-0.25,MIN(0.25,IF(OR($T209="",$I209="",$I209=0,INDEX('Parametri Modello'!$B$19:$B$22,MATCH($B209,'Parametri Modello'!$A$19:$A$22,0))="",INDEX('Parametri Modello'!$B$19:$B$22,MATCH($B209,'Parametri Modello'!$A$19:$A$22,0))=0),0,(($T209-INDEX('Parametri Modello'!$B$19:$B$22,MATCH($B209,'Parametri Modello'!$A$19:$A$22,0)))/INDEX('Parametri Modello'!$B$19:$B$22,MATCH($B209,'Parametri Modello'!$A$19:$A$22,0)))*'Parametri Modello'!$B$9))))*(1+IF('Parametri Modello'!$B$27="Si",MAX(-'Parametri Modello'!$B$28,MIN('Parametri Modello'!$B$28*1.5,IF(OR(INDEX('Parametri Modello'!$F$32:$F$35,MATCH($B209,'Parametri Modello'!$A$32:$A$35,0))="",INDEX('Parametri Modello'!$F$32:$F$35,MATCH($B209,'Parametri Modello'!$A$32:$A$35,0))=0),0,(1/INDEX('Parametri Modello'!$F$32:$F$35,MATCH($B209,'Parametri Modello'!$A$32:$A$35,0))-1)*'Parametri Modello'!$B$28))),0)))*(1-INDEX('Parametri Modello'!$B$12:$B$15,MATCH($B209,'Parametri Modello'!$A$12:$A$15,0)))),0),"")</f>
        <v>2</v>
      </c>
      <c r="H209" s="24">
        <f>IFERROR(ROUND((IF($V209&lt;=INDEX('Parametri Modello'!$C$57:$C$60,MATCH($B209,'Parametri Modello'!$A$57:$A$60,0)),IF(INDEX('Parametri Modello'!$E$57:$E$60,MATCH($B209,'Parametri Modello'!$A$57:$A$60,0))=0,0,($O209/INDEX('Parametri Modello'!$E$57:$E$60,MATCH($B209,'Parametri Modello'!$A$57:$A$60,0)))*(INDEX('Parametri Modello'!$D$57:$D$60,MATCH($B209,'Parametri Modello'!$A$57:$A$60,0))*(INDEX('Parametri Modello'!$B$50:$B$53,MATCH($B209,'Parametri Modello'!$A$50:$A$53,0))*'Parametri Modello'!$B$44))),IF(INDEX('Parametri Modello'!$F$57:$F$60,MATCH($B209,'Parametri Modello'!$A$57:$A$60,0))=0,0,($O209/INDEX('Parametri Modello'!$F$57:$F$60,MATCH($B209,'Parametri Modello'!$A$57:$A$60,0)))*((1-INDEX('Parametri Modello'!$D$57:$D$60,MATCH($B209,'Parametri Modello'!$A$57:$A$60,0)))*(INDEX('Parametri Modello'!$B$50:$B$53,MATCH($B209,'Parametri Modello'!$A$50:$A$53,0))*'Parametri Modello'!$B$44))))*(1+IF(IF($B209="D",'Info Lega'!$B$25,IF($B209="C",'Info Lega'!$B$26,"No"))="Si",'Parametri Modello'!$B$5,0))*(1+MAX(-0.25,MIN(0.25,IF(OR($T209="",$I209="",$I209=0,INDEX('Parametri Modello'!$B$19:$B$22,MATCH($B209,'Parametri Modello'!$A$19:$A$22,0))="",INDEX('Parametri Modello'!$B$19:$B$22,MATCH($B209,'Parametri Modello'!$A$19:$A$22,0))=0),0,(($T209-INDEX('Parametri Modello'!$B$19:$B$22,MATCH($B209,'Parametri Modello'!$A$19:$A$22,0)))/INDEX('Parametri Modello'!$B$19:$B$22,MATCH($B209,'Parametri Modello'!$A$19:$A$22,0)))*'Parametri Modello'!$B$9))))*(1+IF('Parametri Modello'!$B$27="Si",MAX(-'Parametri Modello'!$B$28,MIN('Parametri Modello'!$B$28*1.5,IF(OR(INDEX('Parametri Modello'!$F$32:$F$35,MATCH($B209,'Parametri Modello'!$A$32:$A$35,0))="",INDEX('Parametri Modello'!$F$32:$F$35,MATCH($B209,'Parametri Modello'!$A$32:$A$35,0))=0),0,(1/INDEX('Parametri Modello'!$F$32:$F$35,MATCH($B209,'Parametri Modello'!$A$32:$A$35,0))-1)*'Parametri Modello'!$B$28))),0)))*(1+INDEX('Parametri Modello'!$B$12:$B$15,MATCH($B209,'Parametri Modello'!$A$12:$A$15,0))),0),"")</f>
        <v>3</v>
      </c>
      <c r="I209" s="23">
        <f>IFERROR(INDEX('Input Statistiche 2025_26'!$F$3:$F$665,MATCH($A209,'Input Statistiche 2025_26'!$A$3:$A$665,0)),"")</f>
        <v>19</v>
      </c>
      <c r="J209" s="23">
        <f t="shared" si="27"/>
        <v>19</v>
      </c>
      <c r="K209" s="23">
        <f>IFERROR(INDEX('Input Statistiche 2025_26'!$I$3:$I$665,MATCH($A209,'Input Statistiche 2025_26'!$A$3:$A$665,0)),"")</f>
        <v>1</v>
      </c>
      <c r="L209" s="23">
        <f>IFERROR(INDEX('Input Statistiche 2025_26'!$O$3:$O$665,MATCH($A209,'Input Statistiche 2025_26'!$A$3:$A$665,0)),"")</f>
        <v>4</v>
      </c>
      <c r="M209" s="25"/>
      <c r="N209" s="24">
        <f>IFERROR(INDEX('Input Giocatori 2026_27'!$E$3:$E$493,MATCH($A209,'Input Giocatori 2026_27'!$A$3:$A$493,0)),"")</f>
        <v>5</v>
      </c>
      <c r="O209" s="24">
        <f>IFERROR(INDEX('Input Giocatori 2026_27'!$G$3:$G$493,MATCH($A209,'Input Giocatori 2026_27'!$A$3:$A$493,0)),"")</f>
        <v>16</v>
      </c>
      <c r="P209" s="23" t="str">
        <f>IFERROR(IF($O209="","",IF((1-(COUNTIFS($B$2:$B$492,$B209,$O$2:$O$492,"&gt;"&amp;$O209)+1-1)/COUNTIF($B$2:$B$492,$B209))&gt;='Parametri Modello'!$B$63,"Top",IF((1-(COUNTIFS($B$2:$B$492,$B209,$O$2:$O$492,"&gt;"&amp;$O209)+1-1)/COUNTIF($B$2:$B$492,$B209))&gt;='Parametri Modello'!$B$64,"Buono",IF((1-(COUNTIFS($B$2:$B$492,$B209,$O$2:$O$492,"&gt;"&amp;$O209)+1-1)/COUNTIF($B$2:$B$492,$B209))&gt;='Parametri Modello'!$B$65,"Nella Media","Scommessa/Riserva")))),"")</f>
        <v>Nella Media</v>
      </c>
      <c r="Q209" s="26">
        <f>IF(AND($D209="",$N209&gt;1),SUMPRODUCT(($D$2:$D209="")*($N$2:$N209&gt;1)),"")</f>
        <v>208</v>
      </c>
      <c r="R209" s="26" t="str">
        <f>IF($D209='Info Lega'!$B$28,COUNTIFS($D$2:$D209,'Info Lega'!$B$28),"")</f>
        <v/>
      </c>
      <c r="S209" s="27">
        <f>IFERROR(INDEX('Input Statistiche 2025_26'!$G$3:$G$665,MATCH($A209,'Input Statistiche 2025_26'!$A$3:$A$665,0)),"")</f>
        <v>6.16</v>
      </c>
      <c r="T209" s="27">
        <f>IFERROR(INDEX('Input Statistiche 2025_26'!$H$3:$H$665,MATCH($A209,'Input Statistiche 2025_26'!$A$3:$A$665,0)),"")</f>
        <v>6.5</v>
      </c>
      <c r="U209" s="23" t="str">
        <f>IF(OR('La Mia Rosa'!$O$12="",$D209&lt;&gt;""),"",IF($F209&lt;='La Mia Rosa'!$O$12*'Parametri Modello'!$B$24,"OK",IF($F209&lt;='La Mia Rosa'!$O$12*'Parametri Modello'!$B$25,"Attenzione","Rischio Alto")))</f>
        <v>OK</v>
      </c>
      <c r="V209" s="23">
        <f t="shared" si="28"/>
        <v>56</v>
      </c>
      <c r="W209" s="18">
        <f>'Info Lega'!$B$4-SUMIFS($M$2:$M$492,$D$2:$D$492,'Info Lega'!$B$28)</f>
        <v>1000</v>
      </c>
      <c r="X209" s="18">
        <f>('Info Lega'!$B$5-COUNTIFS($D$2:$D$492,'Info Lega'!$B$28,$B$2:$B$492,"P"))+('Info Lega'!$B$6-COUNTIFS($D$2:$D$492,'Info Lega'!$B$28,$B$2:$B$492,"D"))+('Info Lega'!$B$7-COUNTIFS($D$2:$D$492,'Info Lega'!$B$28,$B$2:$B$492,"C"))+('Info Lega'!$B$8-COUNTIFS($D$2:$D$492,'Info Lega'!$B$28,$B$2:$B$492,"A"))</f>
        <v>25</v>
      </c>
      <c r="Y209" s="18">
        <f>X209*'Parametri Modello'!$B$30</f>
        <v>25</v>
      </c>
      <c r="Z209" s="18">
        <f t="shared" si="29"/>
        <v>975</v>
      </c>
      <c r="AA209" s="18">
        <f t="shared" si="30"/>
        <v>3</v>
      </c>
      <c r="AB209" s="18"/>
      <c r="AC209" s="18" t="str">
        <f>IF($AB209="","",IF($AB209&gt;$AA209,"PASS",IF($AB209&lt;=$AA209*(1-'Parametri Modello'!$B$68),"BID","ATTENZIONE")))</f>
        <v/>
      </c>
      <c r="AD209" s="28">
        <f t="shared" si="31"/>
        <v>47</v>
      </c>
      <c r="AE209" s="5" t="str">
        <f>IFERROR(INDEX('Stato Asta'!$G$9:$G$12,MATCH($B209,'Stato Asta'!$A$9:$A$12,0)),"")</f>
        <v>🔴 Non aspettare</v>
      </c>
      <c r="AF209" t="str">
        <f>IFERROR(IF($V209&lt;=INDEX('Parametri Modello'!$C$57:$C$60,MATCH($B209,'Parametri Modello'!$A$57:$A$60,0)),"Titolare","Riserva"),"")</f>
        <v>Riserva</v>
      </c>
      <c r="AG209" t="str">
        <f>IFERROR(INDEX('Pressione Competitiva'!$F$3:$F$6,MATCH($B209,'Pressione Competitiva'!$B$3:$B$6,0)),"")</f>
        <v>🔴 Molto Alta</v>
      </c>
      <c r="AH209" t="str">
        <f t="shared" si="32"/>
        <v/>
      </c>
      <c r="AI209" t="str">
        <f>IFERROR(IF($AH209="","",IF($AH209&gt;=$AA209*'Parametri Modello'!$B$68,"🟢 Opportunita'",IF($AH209&lt;=$AA209*'Parametri Modello'!$B$69,"🔴 Sovrapprezzo","🟡 Prezzo Corretto"))),"")</f>
        <v/>
      </c>
      <c r="AJ209" t="str">
        <f t="shared" si="33"/>
        <v/>
      </c>
      <c r="AK209">
        <f t="shared" si="34"/>
        <v>1</v>
      </c>
      <c r="AL209" t="str">
        <f t="shared" si="35"/>
        <v>D|Nella Media|1</v>
      </c>
    </row>
    <row r="210" spans="1:38" ht="14.25" customHeight="1" x14ac:dyDescent="0.25">
      <c r="A210" s="18">
        <v>4459</v>
      </c>
      <c r="B210" s="18" t="s">
        <v>17</v>
      </c>
      <c r="C210" s="18" t="s">
        <v>349</v>
      </c>
      <c r="E210" s="23" t="str">
        <f>IF(COUNTIF('Info Strategia'!$D$2:$D$51,$C210)&gt;0,"SI","NO")</f>
        <v>NO</v>
      </c>
      <c r="F210" s="24">
        <f>IFERROR(ROUND(($G210+($H210-$G210)*'Info Strategia'!$B$6)*(1+IF($E210="SI",'Parametri Modello'!$B$7*'Info Strategia'!$B$6,0)),0),"")</f>
        <v>2</v>
      </c>
      <c r="G210" s="24">
        <f>IFERROR(ROUND(MAX(1,(IF($V210&lt;=INDEX('Parametri Modello'!$C$57:$C$60,MATCH($B210,'Parametri Modello'!$A$57:$A$60,0)),IF(INDEX('Parametri Modello'!$E$57:$E$60,MATCH($B210,'Parametri Modello'!$A$57:$A$60,0))=0,0,($O210/INDEX('Parametri Modello'!$E$57:$E$60,MATCH($B210,'Parametri Modello'!$A$57:$A$60,0)))*(INDEX('Parametri Modello'!$D$57:$D$60,MATCH($B210,'Parametri Modello'!$A$57:$A$60,0))*(INDEX('Parametri Modello'!$B$50:$B$53,MATCH($B210,'Parametri Modello'!$A$50:$A$53,0))*'Parametri Modello'!$B$44))),IF(INDEX('Parametri Modello'!$F$57:$F$60,MATCH($B210,'Parametri Modello'!$A$57:$A$60,0))=0,0,($O210/INDEX('Parametri Modello'!$F$57:$F$60,MATCH($B210,'Parametri Modello'!$A$57:$A$60,0)))*((1-INDEX('Parametri Modello'!$D$57:$D$60,MATCH($B210,'Parametri Modello'!$A$57:$A$60,0)))*(INDEX('Parametri Modello'!$B$50:$B$53,MATCH($B210,'Parametri Modello'!$A$50:$A$53,0))*'Parametri Modello'!$B$44))))*(1+IF(IF($B210="D",'Info Lega'!$B$25,IF($B210="C",'Info Lega'!$B$26,"No"))="Si",'Parametri Modello'!$B$5,0))*(1+MAX(-0.25,MIN(0.25,IF(OR($T210="",$I210="",$I210=0,INDEX('Parametri Modello'!$B$19:$B$22,MATCH($B210,'Parametri Modello'!$A$19:$A$22,0))="",INDEX('Parametri Modello'!$B$19:$B$22,MATCH($B210,'Parametri Modello'!$A$19:$A$22,0))=0),0,(($T210-INDEX('Parametri Modello'!$B$19:$B$22,MATCH($B210,'Parametri Modello'!$A$19:$A$22,0)))/INDEX('Parametri Modello'!$B$19:$B$22,MATCH($B210,'Parametri Modello'!$A$19:$A$22,0)))*'Parametri Modello'!$B$9))))*(1+IF('Parametri Modello'!$B$27="Si",MAX(-'Parametri Modello'!$B$28,MIN('Parametri Modello'!$B$28*1.5,IF(OR(INDEX('Parametri Modello'!$F$32:$F$35,MATCH($B210,'Parametri Modello'!$A$32:$A$35,0))="",INDEX('Parametri Modello'!$F$32:$F$35,MATCH($B210,'Parametri Modello'!$A$32:$A$35,0))=0),0,(1/INDEX('Parametri Modello'!$F$32:$F$35,MATCH($B210,'Parametri Modello'!$A$32:$A$35,0))-1)*'Parametri Modello'!$B$28))),0)))*(1-INDEX('Parametri Modello'!$B$12:$B$15,MATCH($B210,'Parametri Modello'!$A$12:$A$15,0)))),0),"")</f>
        <v>1</v>
      </c>
      <c r="H210" s="24">
        <f>IFERROR(ROUND((IF($V210&lt;=INDEX('Parametri Modello'!$C$57:$C$60,MATCH($B210,'Parametri Modello'!$A$57:$A$60,0)),IF(INDEX('Parametri Modello'!$E$57:$E$60,MATCH($B210,'Parametri Modello'!$A$57:$A$60,0))=0,0,($O210/INDEX('Parametri Modello'!$E$57:$E$60,MATCH($B210,'Parametri Modello'!$A$57:$A$60,0)))*(INDEX('Parametri Modello'!$D$57:$D$60,MATCH($B210,'Parametri Modello'!$A$57:$A$60,0))*(INDEX('Parametri Modello'!$B$50:$B$53,MATCH($B210,'Parametri Modello'!$A$50:$A$53,0))*'Parametri Modello'!$B$44))),IF(INDEX('Parametri Modello'!$F$57:$F$60,MATCH($B210,'Parametri Modello'!$A$57:$A$60,0))=0,0,($O210/INDEX('Parametri Modello'!$F$57:$F$60,MATCH($B210,'Parametri Modello'!$A$57:$A$60,0)))*((1-INDEX('Parametri Modello'!$D$57:$D$60,MATCH($B210,'Parametri Modello'!$A$57:$A$60,0)))*(INDEX('Parametri Modello'!$B$50:$B$53,MATCH($B210,'Parametri Modello'!$A$50:$A$53,0))*'Parametri Modello'!$B$44))))*(1+IF(IF($B210="D",'Info Lega'!$B$25,IF($B210="C",'Info Lega'!$B$26,"No"))="Si",'Parametri Modello'!$B$5,0))*(1+MAX(-0.25,MIN(0.25,IF(OR($T210="",$I210="",$I210=0,INDEX('Parametri Modello'!$B$19:$B$22,MATCH($B210,'Parametri Modello'!$A$19:$A$22,0))="",INDEX('Parametri Modello'!$B$19:$B$22,MATCH($B210,'Parametri Modello'!$A$19:$A$22,0))=0),0,(($T210-INDEX('Parametri Modello'!$B$19:$B$22,MATCH($B210,'Parametri Modello'!$A$19:$A$22,0)))/INDEX('Parametri Modello'!$B$19:$B$22,MATCH($B210,'Parametri Modello'!$A$19:$A$22,0)))*'Parametri Modello'!$B$9))))*(1+IF('Parametri Modello'!$B$27="Si",MAX(-'Parametri Modello'!$B$28,MIN('Parametri Modello'!$B$28*1.5,IF(OR(INDEX('Parametri Modello'!$F$32:$F$35,MATCH($B210,'Parametri Modello'!$A$32:$A$35,0))="",INDEX('Parametri Modello'!$F$32:$F$35,MATCH($B210,'Parametri Modello'!$A$32:$A$35,0))=0),0,(1/INDEX('Parametri Modello'!$F$32:$F$35,MATCH($B210,'Parametri Modello'!$A$32:$A$35,0))-1)*'Parametri Modello'!$B$28))),0)))*(1+INDEX('Parametri Modello'!$B$12:$B$15,MATCH($B210,'Parametri Modello'!$A$12:$A$15,0))),0),"")</f>
        <v>2</v>
      </c>
      <c r="I210" s="23">
        <f>IFERROR(INDEX('Input Statistiche 2025_26'!$F$3:$F$665,MATCH($A210,'Input Statistiche 2025_26'!$A$3:$A$665,0)),"")</f>
        <v>11</v>
      </c>
      <c r="J210" s="23">
        <f t="shared" si="27"/>
        <v>27</v>
      </c>
      <c r="K210" s="23">
        <f>IFERROR(INDEX('Input Statistiche 2025_26'!$I$3:$I$665,MATCH($A210,'Input Statistiche 2025_26'!$A$3:$A$665,0)),"")</f>
        <v>0</v>
      </c>
      <c r="L210" s="23">
        <f>IFERROR(INDEX('Input Statistiche 2025_26'!$O$3:$O$665,MATCH($A210,'Input Statistiche 2025_26'!$A$3:$A$665,0)),"")</f>
        <v>1</v>
      </c>
      <c r="M210" s="25"/>
      <c r="N210" s="24">
        <f>IFERROR(INDEX('Input Giocatori 2026_27'!$E$3:$E$493,MATCH($A210,'Input Giocatori 2026_27'!$A$3:$A$493,0)),"")</f>
        <v>6</v>
      </c>
      <c r="O210" s="24">
        <f>IFERROR(INDEX('Input Giocatori 2026_27'!$G$3:$G$493,MATCH($A210,'Input Giocatori 2026_27'!$A$3:$A$493,0)),"")</f>
        <v>16</v>
      </c>
      <c r="P210" s="23" t="str">
        <f>IFERROR(IF($O210="","",IF((1-(COUNTIFS($B$2:$B$492,$B210,$O$2:$O$492,"&gt;"&amp;$O210)+1-1)/COUNTIF($B$2:$B$492,$B210))&gt;='Parametri Modello'!$B$63,"Top",IF((1-(COUNTIFS($B$2:$B$492,$B210,$O$2:$O$492,"&gt;"&amp;$O210)+1-1)/COUNTIF($B$2:$B$492,$B210))&gt;='Parametri Modello'!$B$64,"Buono",IF((1-(COUNTIFS($B$2:$B$492,$B210,$O$2:$O$492,"&gt;"&amp;$O210)+1-1)/COUNTIF($B$2:$B$492,$B210))&gt;='Parametri Modello'!$B$65,"Nella Media","Scommessa/Riserva")))),"")</f>
        <v>Nella Media</v>
      </c>
      <c r="Q210" s="26">
        <f>IF(AND($D210="",$N210&gt;1),SUMPRODUCT(($D$2:$D210="")*($N$2:$N210&gt;1)),"")</f>
        <v>209</v>
      </c>
      <c r="R210" s="26" t="str">
        <f>IF($D210='Info Lega'!$B$28,COUNTIFS($D$2:$D210,'Info Lega'!$B$28),"")</f>
        <v/>
      </c>
      <c r="S210" s="27">
        <f>IFERROR(INDEX('Input Statistiche 2025_26'!$G$3:$G$665,MATCH($A210,'Input Statistiche 2025_26'!$A$3:$A$665,0)),"")</f>
        <v>5.73</v>
      </c>
      <c r="T210" s="27">
        <f>IFERROR(INDEX('Input Statistiche 2025_26'!$H$3:$H$665,MATCH($A210,'Input Statistiche 2025_26'!$A$3:$A$665,0)),"")</f>
        <v>5.64</v>
      </c>
      <c r="U210" s="23" t="str">
        <f>IF(OR('La Mia Rosa'!$O$12="",$D210&lt;&gt;""),"",IF($F210&lt;='La Mia Rosa'!$O$12*'Parametri Modello'!$B$24,"OK",IF($F210&lt;='La Mia Rosa'!$O$12*'Parametri Modello'!$B$25,"Attenzione","Rischio Alto")))</f>
        <v>OK</v>
      </c>
      <c r="V210" s="23">
        <f t="shared" si="28"/>
        <v>79</v>
      </c>
      <c r="W210" s="18">
        <f>'Info Lega'!$B$4-SUMIFS($M$2:$M$492,$D$2:$D$492,'Info Lega'!$B$28)</f>
        <v>1000</v>
      </c>
      <c r="X210" s="18">
        <f>('Info Lega'!$B$5-COUNTIFS($D$2:$D$492,'Info Lega'!$B$28,$B$2:$B$492,"P"))+('Info Lega'!$B$6-COUNTIFS($D$2:$D$492,'Info Lega'!$B$28,$B$2:$B$492,"D"))+('Info Lega'!$B$7-COUNTIFS($D$2:$D$492,'Info Lega'!$B$28,$B$2:$B$492,"C"))+('Info Lega'!$B$8-COUNTIFS($D$2:$D$492,'Info Lega'!$B$28,$B$2:$B$492,"A"))</f>
        <v>25</v>
      </c>
      <c r="Y210" s="18">
        <f>X210*'Parametri Modello'!$B$30</f>
        <v>25</v>
      </c>
      <c r="Z210" s="18">
        <f t="shared" si="29"/>
        <v>975</v>
      </c>
      <c r="AA210" s="18">
        <f t="shared" si="30"/>
        <v>2</v>
      </c>
      <c r="AB210" s="18"/>
      <c r="AC210" s="18" t="str">
        <f>IF($AB210="","",IF($AB210&gt;$AA210,"PASS",IF($AB210&lt;=$AA210*(1-'Parametri Modello'!$B$68),"BID","ATTENZIONE")))</f>
        <v/>
      </c>
      <c r="AD210" s="28">
        <f t="shared" si="31"/>
        <v>31</v>
      </c>
      <c r="AE210" s="5" t="str">
        <f>IFERROR(INDEX('Stato Asta'!$G$9:$G$12,MATCH($B210,'Stato Asta'!$A$9:$A$12,0)),"")</f>
        <v>🔴 Non aspettare</v>
      </c>
      <c r="AF210" t="str">
        <f>IFERROR(IF($V210&lt;=INDEX('Parametri Modello'!$C$57:$C$60,MATCH($B210,'Parametri Modello'!$A$57:$A$60,0)),"Titolare","Riserva"),"")</f>
        <v>Riserva</v>
      </c>
      <c r="AG210" t="str">
        <f>IFERROR(INDEX('Pressione Competitiva'!$F$3:$F$6,MATCH($B210,'Pressione Competitiva'!$B$3:$B$6,0)),"")</f>
        <v>🔴 Molto Alta</v>
      </c>
      <c r="AH210" t="str">
        <f t="shared" si="32"/>
        <v/>
      </c>
      <c r="AI210" t="str">
        <f>IFERROR(IF($AH210="","",IF($AH210&gt;=$AA210*'Parametri Modello'!$B$68,"🟢 Opportunita'",IF($AH210&lt;=$AA210*'Parametri Modello'!$B$69,"🔴 Sovrapprezzo","🟡 Prezzo Corretto"))),"")</f>
        <v/>
      </c>
      <c r="AJ210" t="str">
        <f t="shared" si="33"/>
        <v/>
      </c>
      <c r="AK210">
        <f t="shared" si="34"/>
        <v>24</v>
      </c>
      <c r="AL210" t="str">
        <f t="shared" si="35"/>
        <v>C|Nella Media|24</v>
      </c>
    </row>
    <row r="211" spans="1:38" ht="14.25" customHeight="1" x14ac:dyDescent="0.25">
      <c r="A211" s="18">
        <v>6593</v>
      </c>
      <c r="B211" s="18" t="s">
        <v>17</v>
      </c>
      <c r="C211" s="18" t="s">
        <v>350</v>
      </c>
      <c r="E211" s="23" t="str">
        <f>IF(COUNTIF('Info Strategia'!$D$2:$D$51,$C211)&gt;0,"SI","NO")</f>
        <v>NO</v>
      </c>
      <c r="F211" s="24">
        <f>IFERROR(ROUND(($G211+($H211-$G211)*'Info Strategia'!$B$6)*(1+IF($E211="SI",'Parametri Modello'!$B$7*'Info Strategia'!$B$6,0)),0),"")</f>
        <v>2</v>
      </c>
      <c r="G211" s="24">
        <f>IFERROR(ROUND(MAX(1,(IF($V211&lt;=INDEX('Parametri Modello'!$C$57:$C$60,MATCH($B211,'Parametri Modello'!$A$57:$A$60,0)),IF(INDEX('Parametri Modello'!$E$57:$E$60,MATCH($B211,'Parametri Modello'!$A$57:$A$60,0))=0,0,($O211/INDEX('Parametri Modello'!$E$57:$E$60,MATCH($B211,'Parametri Modello'!$A$57:$A$60,0)))*(INDEX('Parametri Modello'!$D$57:$D$60,MATCH($B211,'Parametri Modello'!$A$57:$A$60,0))*(INDEX('Parametri Modello'!$B$50:$B$53,MATCH($B211,'Parametri Modello'!$A$50:$A$53,0))*'Parametri Modello'!$B$44))),IF(INDEX('Parametri Modello'!$F$57:$F$60,MATCH($B211,'Parametri Modello'!$A$57:$A$60,0))=0,0,($O211/INDEX('Parametri Modello'!$F$57:$F$60,MATCH($B211,'Parametri Modello'!$A$57:$A$60,0)))*((1-INDEX('Parametri Modello'!$D$57:$D$60,MATCH($B211,'Parametri Modello'!$A$57:$A$60,0)))*(INDEX('Parametri Modello'!$B$50:$B$53,MATCH($B211,'Parametri Modello'!$A$50:$A$53,0))*'Parametri Modello'!$B$44))))*(1+IF(IF($B211="D",'Info Lega'!$B$25,IF($B211="C",'Info Lega'!$B$26,"No"))="Si",'Parametri Modello'!$B$5,0))*(1+MAX(-0.25,MIN(0.25,IF(OR($T211="",$I211="",$I211=0,INDEX('Parametri Modello'!$B$19:$B$22,MATCH($B211,'Parametri Modello'!$A$19:$A$22,0))="",INDEX('Parametri Modello'!$B$19:$B$22,MATCH($B211,'Parametri Modello'!$A$19:$A$22,0))=0),0,(($T211-INDEX('Parametri Modello'!$B$19:$B$22,MATCH($B211,'Parametri Modello'!$A$19:$A$22,0)))/INDEX('Parametri Modello'!$B$19:$B$22,MATCH($B211,'Parametri Modello'!$A$19:$A$22,0)))*'Parametri Modello'!$B$9))))*(1+IF('Parametri Modello'!$B$27="Si",MAX(-'Parametri Modello'!$B$28,MIN('Parametri Modello'!$B$28*1.5,IF(OR(INDEX('Parametri Modello'!$F$32:$F$35,MATCH($B211,'Parametri Modello'!$A$32:$A$35,0))="",INDEX('Parametri Modello'!$F$32:$F$35,MATCH($B211,'Parametri Modello'!$A$32:$A$35,0))=0),0,(1/INDEX('Parametri Modello'!$F$32:$F$35,MATCH($B211,'Parametri Modello'!$A$32:$A$35,0))-1)*'Parametri Modello'!$B$28))),0)))*(1-INDEX('Parametri Modello'!$B$12:$B$15,MATCH($B211,'Parametri Modello'!$A$12:$A$15,0)))),0),"")</f>
        <v>1</v>
      </c>
      <c r="H211" s="24">
        <f>IFERROR(ROUND((IF($V211&lt;=INDEX('Parametri Modello'!$C$57:$C$60,MATCH($B211,'Parametri Modello'!$A$57:$A$60,0)),IF(INDEX('Parametri Modello'!$E$57:$E$60,MATCH($B211,'Parametri Modello'!$A$57:$A$60,0))=0,0,($O211/INDEX('Parametri Modello'!$E$57:$E$60,MATCH($B211,'Parametri Modello'!$A$57:$A$60,0)))*(INDEX('Parametri Modello'!$D$57:$D$60,MATCH($B211,'Parametri Modello'!$A$57:$A$60,0))*(INDEX('Parametri Modello'!$B$50:$B$53,MATCH($B211,'Parametri Modello'!$A$50:$A$53,0))*'Parametri Modello'!$B$44))),IF(INDEX('Parametri Modello'!$F$57:$F$60,MATCH($B211,'Parametri Modello'!$A$57:$A$60,0))=0,0,($O211/INDEX('Parametri Modello'!$F$57:$F$60,MATCH($B211,'Parametri Modello'!$A$57:$A$60,0)))*((1-INDEX('Parametri Modello'!$D$57:$D$60,MATCH($B211,'Parametri Modello'!$A$57:$A$60,0)))*(INDEX('Parametri Modello'!$B$50:$B$53,MATCH($B211,'Parametri Modello'!$A$50:$A$53,0))*'Parametri Modello'!$B$44))))*(1+IF(IF($B211="D",'Info Lega'!$B$25,IF($B211="C",'Info Lega'!$B$26,"No"))="Si",'Parametri Modello'!$B$5,0))*(1+MAX(-0.25,MIN(0.25,IF(OR($T211="",$I211="",$I211=0,INDEX('Parametri Modello'!$B$19:$B$22,MATCH($B211,'Parametri Modello'!$A$19:$A$22,0))="",INDEX('Parametri Modello'!$B$19:$B$22,MATCH($B211,'Parametri Modello'!$A$19:$A$22,0))=0),0,(($T211-INDEX('Parametri Modello'!$B$19:$B$22,MATCH($B211,'Parametri Modello'!$A$19:$A$22,0)))/INDEX('Parametri Modello'!$B$19:$B$22,MATCH($B211,'Parametri Modello'!$A$19:$A$22,0)))*'Parametri Modello'!$B$9))))*(1+IF('Parametri Modello'!$B$27="Si",MAX(-'Parametri Modello'!$B$28,MIN('Parametri Modello'!$B$28*1.5,IF(OR(INDEX('Parametri Modello'!$F$32:$F$35,MATCH($B211,'Parametri Modello'!$A$32:$A$35,0))="",INDEX('Parametri Modello'!$F$32:$F$35,MATCH($B211,'Parametri Modello'!$A$32:$A$35,0))=0),0,(1/INDEX('Parametri Modello'!$F$32:$F$35,MATCH($B211,'Parametri Modello'!$A$32:$A$35,0))-1)*'Parametri Modello'!$B$28))),0)))*(1+INDEX('Parametri Modello'!$B$12:$B$15,MATCH($B211,'Parametri Modello'!$A$12:$A$15,0))),0),"")</f>
        <v>2</v>
      </c>
      <c r="I211" s="23">
        <f>IFERROR(INDEX('Input Statistiche 2025_26'!$F$3:$F$665,MATCH($A211,'Input Statistiche 2025_26'!$A$3:$A$665,0)),"")</f>
        <v>23</v>
      </c>
      <c r="J211" s="23">
        <f t="shared" si="27"/>
        <v>15</v>
      </c>
      <c r="K211" s="23">
        <f>IFERROR(INDEX('Input Statistiche 2025_26'!$I$3:$I$665,MATCH($A211,'Input Statistiche 2025_26'!$A$3:$A$665,0)),"")</f>
        <v>0</v>
      </c>
      <c r="L211" s="23">
        <f>IFERROR(INDEX('Input Statistiche 2025_26'!$O$3:$O$665,MATCH($A211,'Input Statistiche 2025_26'!$A$3:$A$665,0)),"")</f>
        <v>1</v>
      </c>
      <c r="M211" s="25"/>
      <c r="N211" s="24">
        <f>IFERROR(INDEX('Input Giocatori 2026_27'!$E$3:$E$493,MATCH($A211,'Input Giocatori 2026_27'!$A$3:$A$493,0)),"")</f>
        <v>6</v>
      </c>
      <c r="O211" s="24">
        <f>IFERROR(INDEX('Input Giocatori 2026_27'!$G$3:$G$493,MATCH($A211,'Input Giocatori 2026_27'!$A$3:$A$493,0)),"")</f>
        <v>16</v>
      </c>
      <c r="P211" s="23" t="str">
        <f>IFERROR(IF($O211="","",IF((1-(COUNTIFS($B$2:$B$492,$B211,$O$2:$O$492,"&gt;"&amp;$O211)+1-1)/COUNTIF($B$2:$B$492,$B211))&gt;='Parametri Modello'!$B$63,"Top",IF((1-(COUNTIFS($B$2:$B$492,$B211,$O$2:$O$492,"&gt;"&amp;$O211)+1-1)/COUNTIF($B$2:$B$492,$B211))&gt;='Parametri Modello'!$B$64,"Buono",IF((1-(COUNTIFS($B$2:$B$492,$B211,$O$2:$O$492,"&gt;"&amp;$O211)+1-1)/COUNTIF($B$2:$B$492,$B211))&gt;='Parametri Modello'!$B$65,"Nella Media","Scommessa/Riserva")))),"")</f>
        <v>Nella Media</v>
      </c>
      <c r="Q211" s="26">
        <f>IF(AND($D211="",$N211&gt;1),SUMPRODUCT(($D$2:$D211="")*($N$2:$N211&gt;1)),"")</f>
        <v>210</v>
      </c>
      <c r="R211" s="26" t="str">
        <f>IF($D211='Info Lega'!$B$28,COUNTIFS($D$2:$D211,'Info Lega'!$B$28),"")</f>
        <v/>
      </c>
      <c r="S211" s="27">
        <f>IFERROR(INDEX('Input Statistiche 2025_26'!$G$3:$G$665,MATCH($A211,'Input Statistiche 2025_26'!$A$3:$A$665,0)),"")</f>
        <v>5.8</v>
      </c>
      <c r="T211" s="27">
        <f>IFERROR(INDEX('Input Statistiche 2025_26'!$H$3:$H$665,MATCH($A211,'Input Statistiche 2025_26'!$A$3:$A$665,0)),"")</f>
        <v>5.8</v>
      </c>
      <c r="U211" s="23" t="str">
        <f>IF(OR('La Mia Rosa'!$O$12="",$D211&lt;&gt;""),"",IF($F211&lt;='La Mia Rosa'!$O$12*'Parametri Modello'!$B$24,"OK",IF($F211&lt;='La Mia Rosa'!$O$12*'Parametri Modello'!$B$25,"Attenzione","Rischio Alto")))</f>
        <v>OK</v>
      </c>
      <c r="V211" s="23">
        <f t="shared" si="28"/>
        <v>79</v>
      </c>
      <c r="W211" s="18">
        <f>'Info Lega'!$B$4-SUMIFS($M$2:$M$492,$D$2:$D$492,'Info Lega'!$B$28)</f>
        <v>1000</v>
      </c>
      <c r="X211" s="18">
        <f>('Info Lega'!$B$5-COUNTIFS($D$2:$D$492,'Info Lega'!$B$28,$B$2:$B$492,"P"))+('Info Lega'!$B$6-COUNTIFS($D$2:$D$492,'Info Lega'!$B$28,$B$2:$B$492,"D"))+('Info Lega'!$B$7-COUNTIFS($D$2:$D$492,'Info Lega'!$B$28,$B$2:$B$492,"C"))+('Info Lega'!$B$8-COUNTIFS($D$2:$D$492,'Info Lega'!$B$28,$B$2:$B$492,"A"))</f>
        <v>25</v>
      </c>
      <c r="Y211" s="18">
        <f>X211*'Parametri Modello'!$B$30</f>
        <v>25</v>
      </c>
      <c r="Z211" s="18">
        <f t="shared" si="29"/>
        <v>975</v>
      </c>
      <c r="AA211" s="18">
        <f t="shared" si="30"/>
        <v>2</v>
      </c>
      <c r="AB211" s="18"/>
      <c r="AC211" s="18" t="str">
        <f>IF($AB211="","",IF($AB211&gt;$AA211,"PASS",IF($AB211&lt;=$AA211*(1-'Parametri Modello'!$B$68),"BID","ATTENZIONE")))</f>
        <v/>
      </c>
      <c r="AD211" s="28">
        <f t="shared" si="31"/>
        <v>54</v>
      </c>
      <c r="AE211" s="5" t="str">
        <f>IFERROR(INDEX('Stato Asta'!$G$9:$G$12,MATCH($B211,'Stato Asta'!$A$9:$A$12,0)),"")</f>
        <v>🔴 Non aspettare</v>
      </c>
      <c r="AF211" t="str">
        <f>IFERROR(IF($V211&lt;=INDEX('Parametri Modello'!$C$57:$C$60,MATCH($B211,'Parametri Modello'!$A$57:$A$60,0)),"Titolare","Riserva"),"")</f>
        <v>Riserva</v>
      </c>
      <c r="AG211" t="str">
        <f>IFERROR(INDEX('Pressione Competitiva'!$F$3:$F$6,MATCH($B211,'Pressione Competitiva'!$B$3:$B$6,0)),"")</f>
        <v>🔴 Molto Alta</v>
      </c>
      <c r="AH211" t="str">
        <f t="shared" si="32"/>
        <v/>
      </c>
      <c r="AI211" t="str">
        <f>IFERROR(IF($AH211="","",IF($AH211&gt;=$AA211*'Parametri Modello'!$B$68,"🟢 Opportunita'",IF($AH211&lt;=$AA211*'Parametri Modello'!$B$69,"🔴 Sovrapprezzo","🟡 Prezzo Corretto"))),"")</f>
        <v/>
      </c>
      <c r="AJ211" t="str">
        <f t="shared" si="33"/>
        <v/>
      </c>
      <c r="AK211">
        <f t="shared" si="34"/>
        <v>24</v>
      </c>
      <c r="AL211" t="str">
        <f t="shared" si="35"/>
        <v>C|Nella Media|24</v>
      </c>
    </row>
    <row r="212" spans="1:38" ht="14.25" customHeight="1" x14ac:dyDescent="0.25">
      <c r="A212" s="18">
        <v>6015</v>
      </c>
      <c r="B212" s="18" t="s">
        <v>17</v>
      </c>
      <c r="C212" s="18" t="s">
        <v>351</v>
      </c>
      <c r="E212" s="23" t="str">
        <f>IF(COUNTIF('Info Strategia'!$D$2:$D$51,$C212)&gt;0,"SI","NO")</f>
        <v>NO</v>
      </c>
      <c r="F212" s="24">
        <f>IFERROR(ROUND(($G212+($H212-$G212)*'Info Strategia'!$B$6)*(1+IF($E212="SI",'Parametri Modello'!$B$7*'Info Strategia'!$B$6,0)),0),"")</f>
        <v>2</v>
      </c>
      <c r="G212" s="24">
        <f>IFERROR(ROUND(MAX(1,(IF($V212&lt;=INDEX('Parametri Modello'!$C$57:$C$60,MATCH($B212,'Parametri Modello'!$A$57:$A$60,0)),IF(INDEX('Parametri Modello'!$E$57:$E$60,MATCH($B212,'Parametri Modello'!$A$57:$A$60,0))=0,0,($O212/INDEX('Parametri Modello'!$E$57:$E$60,MATCH($B212,'Parametri Modello'!$A$57:$A$60,0)))*(INDEX('Parametri Modello'!$D$57:$D$60,MATCH($B212,'Parametri Modello'!$A$57:$A$60,0))*(INDEX('Parametri Modello'!$B$50:$B$53,MATCH($B212,'Parametri Modello'!$A$50:$A$53,0))*'Parametri Modello'!$B$44))),IF(INDEX('Parametri Modello'!$F$57:$F$60,MATCH($B212,'Parametri Modello'!$A$57:$A$60,0))=0,0,($O212/INDEX('Parametri Modello'!$F$57:$F$60,MATCH($B212,'Parametri Modello'!$A$57:$A$60,0)))*((1-INDEX('Parametri Modello'!$D$57:$D$60,MATCH($B212,'Parametri Modello'!$A$57:$A$60,0)))*(INDEX('Parametri Modello'!$B$50:$B$53,MATCH($B212,'Parametri Modello'!$A$50:$A$53,0))*'Parametri Modello'!$B$44))))*(1+IF(IF($B212="D",'Info Lega'!$B$25,IF($B212="C",'Info Lega'!$B$26,"No"))="Si",'Parametri Modello'!$B$5,0))*(1+MAX(-0.25,MIN(0.25,IF(OR($T212="",$I212="",$I212=0,INDEX('Parametri Modello'!$B$19:$B$22,MATCH($B212,'Parametri Modello'!$A$19:$A$22,0))="",INDEX('Parametri Modello'!$B$19:$B$22,MATCH($B212,'Parametri Modello'!$A$19:$A$22,0))=0),0,(($T212-INDEX('Parametri Modello'!$B$19:$B$22,MATCH($B212,'Parametri Modello'!$A$19:$A$22,0)))/INDEX('Parametri Modello'!$B$19:$B$22,MATCH($B212,'Parametri Modello'!$A$19:$A$22,0)))*'Parametri Modello'!$B$9))))*(1+IF('Parametri Modello'!$B$27="Si",MAX(-'Parametri Modello'!$B$28,MIN('Parametri Modello'!$B$28*1.5,IF(OR(INDEX('Parametri Modello'!$F$32:$F$35,MATCH($B212,'Parametri Modello'!$A$32:$A$35,0))="",INDEX('Parametri Modello'!$F$32:$F$35,MATCH($B212,'Parametri Modello'!$A$32:$A$35,0))=0),0,(1/INDEX('Parametri Modello'!$F$32:$F$35,MATCH($B212,'Parametri Modello'!$A$32:$A$35,0))-1)*'Parametri Modello'!$B$28))),0)))*(1-INDEX('Parametri Modello'!$B$12:$B$15,MATCH($B212,'Parametri Modello'!$A$12:$A$15,0)))),0),"")</f>
        <v>1</v>
      </c>
      <c r="H212" s="24">
        <f>IFERROR(ROUND((IF($V212&lt;=INDEX('Parametri Modello'!$C$57:$C$60,MATCH($B212,'Parametri Modello'!$A$57:$A$60,0)),IF(INDEX('Parametri Modello'!$E$57:$E$60,MATCH($B212,'Parametri Modello'!$A$57:$A$60,0))=0,0,($O212/INDEX('Parametri Modello'!$E$57:$E$60,MATCH($B212,'Parametri Modello'!$A$57:$A$60,0)))*(INDEX('Parametri Modello'!$D$57:$D$60,MATCH($B212,'Parametri Modello'!$A$57:$A$60,0))*(INDEX('Parametri Modello'!$B$50:$B$53,MATCH($B212,'Parametri Modello'!$A$50:$A$53,0))*'Parametri Modello'!$B$44))),IF(INDEX('Parametri Modello'!$F$57:$F$60,MATCH($B212,'Parametri Modello'!$A$57:$A$60,0))=0,0,($O212/INDEX('Parametri Modello'!$F$57:$F$60,MATCH($B212,'Parametri Modello'!$A$57:$A$60,0)))*((1-INDEX('Parametri Modello'!$D$57:$D$60,MATCH($B212,'Parametri Modello'!$A$57:$A$60,0)))*(INDEX('Parametri Modello'!$B$50:$B$53,MATCH($B212,'Parametri Modello'!$A$50:$A$53,0))*'Parametri Modello'!$B$44))))*(1+IF(IF($B212="D",'Info Lega'!$B$25,IF($B212="C",'Info Lega'!$B$26,"No"))="Si",'Parametri Modello'!$B$5,0))*(1+MAX(-0.25,MIN(0.25,IF(OR($T212="",$I212="",$I212=0,INDEX('Parametri Modello'!$B$19:$B$22,MATCH($B212,'Parametri Modello'!$A$19:$A$22,0))="",INDEX('Parametri Modello'!$B$19:$B$22,MATCH($B212,'Parametri Modello'!$A$19:$A$22,0))=0),0,(($T212-INDEX('Parametri Modello'!$B$19:$B$22,MATCH($B212,'Parametri Modello'!$A$19:$A$22,0)))/INDEX('Parametri Modello'!$B$19:$B$22,MATCH($B212,'Parametri Modello'!$A$19:$A$22,0)))*'Parametri Modello'!$B$9))))*(1+IF('Parametri Modello'!$B$27="Si",MAX(-'Parametri Modello'!$B$28,MIN('Parametri Modello'!$B$28*1.5,IF(OR(INDEX('Parametri Modello'!$F$32:$F$35,MATCH($B212,'Parametri Modello'!$A$32:$A$35,0))="",INDEX('Parametri Modello'!$F$32:$F$35,MATCH($B212,'Parametri Modello'!$A$32:$A$35,0))=0),0,(1/INDEX('Parametri Modello'!$F$32:$F$35,MATCH($B212,'Parametri Modello'!$A$32:$A$35,0))-1)*'Parametri Modello'!$B$28))),0)))*(1+INDEX('Parametri Modello'!$B$12:$B$15,MATCH($B212,'Parametri Modello'!$A$12:$A$15,0))),0),"")</f>
        <v>2</v>
      </c>
      <c r="I212" s="23">
        <f>IFERROR(INDEX('Input Statistiche 2025_26'!$F$3:$F$665,MATCH($A212,'Input Statistiche 2025_26'!$A$3:$A$665,0)),"")</f>
        <v>12</v>
      </c>
      <c r="J212" s="23">
        <f t="shared" si="27"/>
        <v>26</v>
      </c>
      <c r="K212" s="23">
        <f>IFERROR(INDEX('Input Statistiche 2025_26'!$I$3:$I$665,MATCH($A212,'Input Statistiche 2025_26'!$A$3:$A$665,0)),"")</f>
        <v>2</v>
      </c>
      <c r="L212" s="23">
        <f>IFERROR(INDEX('Input Statistiche 2025_26'!$O$3:$O$665,MATCH($A212,'Input Statistiche 2025_26'!$A$3:$A$665,0)),"")</f>
        <v>3</v>
      </c>
      <c r="M212" s="25"/>
      <c r="N212" s="24">
        <f>IFERROR(INDEX('Input Giocatori 2026_27'!$E$3:$E$493,MATCH($A212,'Input Giocatori 2026_27'!$A$3:$A$493,0)),"")</f>
        <v>5</v>
      </c>
      <c r="O212" s="24">
        <f>IFERROR(INDEX('Input Giocatori 2026_27'!$G$3:$G$493,MATCH($A212,'Input Giocatori 2026_27'!$A$3:$A$493,0)),"")</f>
        <v>16</v>
      </c>
      <c r="P212" s="23" t="str">
        <f>IFERROR(IF($O212="","",IF((1-(COUNTIFS($B$2:$B$492,$B212,$O$2:$O$492,"&gt;"&amp;$O212)+1-1)/COUNTIF($B$2:$B$492,$B212))&gt;='Parametri Modello'!$B$63,"Top",IF((1-(COUNTIFS($B$2:$B$492,$B212,$O$2:$O$492,"&gt;"&amp;$O212)+1-1)/COUNTIF($B$2:$B$492,$B212))&gt;='Parametri Modello'!$B$64,"Buono",IF((1-(COUNTIFS($B$2:$B$492,$B212,$O$2:$O$492,"&gt;"&amp;$O212)+1-1)/COUNTIF($B$2:$B$492,$B212))&gt;='Parametri Modello'!$B$65,"Nella Media","Scommessa/Riserva")))),"")</f>
        <v>Nella Media</v>
      </c>
      <c r="Q212" s="26">
        <f>IF(AND($D212="",$N212&gt;1),SUMPRODUCT(($D$2:$D212="")*($N$2:$N212&gt;1)),"")</f>
        <v>211</v>
      </c>
      <c r="R212" s="26" t="str">
        <f>IF($D212='Info Lega'!$B$28,COUNTIFS($D$2:$D212,'Info Lega'!$B$28),"")</f>
        <v/>
      </c>
      <c r="S212" s="27">
        <f>IFERROR(INDEX('Input Statistiche 2025_26'!$G$3:$G$665,MATCH($A212,'Input Statistiche 2025_26'!$A$3:$A$665,0)),"")</f>
        <v>6.17</v>
      </c>
      <c r="T212" s="27">
        <f>IFERROR(INDEX('Input Statistiche 2025_26'!$H$3:$H$665,MATCH($A212,'Input Statistiche 2025_26'!$A$3:$A$665,0)),"")</f>
        <v>6.92</v>
      </c>
      <c r="U212" s="23" t="str">
        <f>IF(OR('La Mia Rosa'!$O$12="",$D212&lt;&gt;""),"",IF($F212&lt;='La Mia Rosa'!$O$12*'Parametri Modello'!$B$24,"OK",IF($F212&lt;='La Mia Rosa'!$O$12*'Parametri Modello'!$B$25,"Attenzione","Rischio Alto")))</f>
        <v>OK</v>
      </c>
      <c r="V212" s="23">
        <f t="shared" si="28"/>
        <v>79</v>
      </c>
      <c r="W212" s="18">
        <f>'Info Lega'!$B$4-SUMIFS($M$2:$M$492,$D$2:$D$492,'Info Lega'!$B$28)</f>
        <v>1000</v>
      </c>
      <c r="X212" s="18">
        <f>('Info Lega'!$B$5-COUNTIFS($D$2:$D$492,'Info Lega'!$B$28,$B$2:$B$492,"P"))+('Info Lega'!$B$6-COUNTIFS($D$2:$D$492,'Info Lega'!$B$28,$B$2:$B$492,"D"))+('Info Lega'!$B$7-COUNTIFS($D$2:$D$492,'Info Lega'!$B$28,$B$2:$B$492,"C"))+('Info Lega'!$B$8-COUNTIFS($D$2:$D$492,'Info Lega'!$B$28,$B$2:$B$492,"A"))</f>
        <v>25</v>
      </c>
      <c r="Y212" s="18">
        <f>X212*'Parametri Modello'!$B$30</f>
        <v>25</v>
      </c>
      <c r="Z212" s="18">
        <f t="shared" si="29"/>
        <v>975</v>
      </c>
      <c r="AA212" s="18">
        <f t="shared" si="30"/>
        <v>2</v>
      </c>
      <c r="AB212" s="18"/>
      <c r="AC212" s="18" t="str">
        <f>IF($AB212="","",IF($AB212&gt;$AA212,"PASS",IF($AB212&lt;=$AA212*(1-'Parametri Modello'!$B$68),"BID","ATTENZIONE")))</f>
        <v/>
      </c>
      <c r="AD212" s="28">
        <f t="shared" si="31"/>
        <v>33</v>
      </c>
      <c r="AE212" s="5" t="str">
        <f>IFERROR(INDEX('Stato Asta'!$G$9:$G$12,MATCH($B212,'Stato Asta'!$A$9:$A$12,0)),"")</f>
        <v>🔴 Non aspettare</v>
      </c>
      <c r="AF212" t="str">
        <f>IFERROR(IF($V212&lt;=INDEX('Parametri Modello'!$C$57:$C$60,MATCH($B212,'Parametri Modello'!$A$57:$A$60,0)),"Titolare","Riserva"),"")</f>
        <v>Riserva</v>
      </c>
      <c r="AG212" t="str">
        <f>IFERROR(INDEX('Pressione Competitiva'!$F$3:$F$6,MATCH($B212,'Pressione Competitiva'!$B$3:$B$6,0)),"")</f>
        <v>🔴 Molto Alta</v>
      </c>
      <c r="AH212" t="str">
        <f t="shared" si="32"/>
        <v/>
      </c>
      <c r="AI212" t="str">
        <f>IFERROR(IF($AH212="","",IF($AH212&gt;=$AA212*'Parametri Modello'!$B$68,"🟢 Opportunita'",IF($AH212&lt;=$AA212*'Parametri Modello'!$B$69,"🔴 Sovrapprezzo","🟡 Prezzo Corretto"))),"")</f>
        <v/>
      </c>
      <c r="AJ212" t="str">
        <f t="shared" si="33"/>
        <v/>
      </c>
      <c r="AK212">
        <f t="shared" si="34"/>
        <v>24</v>
      </c>
      <c r="AL212" t="str">
        <f t="shared" si="35"/>
        <v>C|Nella Media|24</v>
      </c>
    </row>
    <row r="213" spans="1:38" ht="14.25" customHeight="1" x14ac:dyDescent="0.25">
      <c r="A213" s="18">
        <v>7036</v>
      </c>
      <c r="B213" s="18" t="s">
        <v>17</v>
      </c>
      <c r="C213" s="18" t="s">
        <v>352</v>
      </c>
      <c r="E213" s="23" t="str">
        <f>IF(COUNTIF('Info Strategia'!$D$2:$D$51,$C213)&gt;0,"SI","NO")</f>
        <v>NO</v>
      </c>
      <c r="F213" s="24">
        <f>IFERROR(ROUND(($G213+($H213-$G213)*'Info Strategia'!$B$6)*(1+IF($E213="SI",'Parametri Modello'!$B$7*'Info Strategia'!$B$6,0)),0),"")</f>
        <v>2</v>
      </c>
      <c r="G213" s="24">
        <f>IFERROR(ROUND(MAX(1,(IF($V213&lt;=INDEX('Parametri Modello'!$C$57:$C$60,MATCH($B213,'Parametri Modello'!$A$57:$A$60,0)),IF(INDEX('Parametri Modello'!$E$57:$E$60,MATCH($B213,'Parametri Modello'!$A$57:$A$60,0))=0,0,($O213/INDEX('Parametri Modello'!$E$57:$E$60,MATCH($B213,'Parametri Modello'!$A$57:$A$60,0)))*(INDEX('Parametri Modello'!$D$57:$D$60,MATCH($B213,'Parametri Modello'!$A$57:$A$60,0))*(INDEX('Parametri Modello'!$B$50:$B$53,MATCH($B213,'Parametri Modello'!$A$50:$A$53,0))*'Parametri Modello'!$B$44))),IF(INDEX('Parametri Modello'!$F$57:$F$60,MATCH($B213,'Parametri Modello'!$A$57:$A$60,0))=0,0,($O213/INDEX('Parametri Modello'!$F$57:$F$60,MATCH($B213,'Parametri Modello'!$A$57:$A$60,0)))*((1-INDEX('Parametri Modello'!$D$57:$D$60,MATCH($B213,'Parametri Modello'!$A$57:$A$60,0)))*(INDEX('Parametri Modello'!$B$50:$B$53,MATCH($B213,'Parametri Modello'!$A$50:$A$53,0))*'Parametri Modello'!$B$44))))*(1+IF(IF($B213="D",'Info Lega'!$B$25,IF($B213="C",'Info Lega'!$B$26,"No"))="Si",'Parametri Modello'!$B$5,0))*(1+MAX(-0.25,MIN(0.25,IF(OR($T213="",$I213="",$I213=0,INDEX('Parametri Modello'!$B$19:$B$22,MATCH($B213,'Parametri Modello'!$A$19:$A$22,0))="",INDEX('Parametri Modello'!$B$19:$B$22,MATCH($B213,'Parametri Modello'!$A$19:$A$22,0))=0),0,(($T213-INDEX('Parametri Modello'!$B$19:$B$22,MATCH($B213,'Parametri Modello'!$A$19:$A$22,0)))/INDEX('Parametri Modello'!$B$19:$B$22,MATCH($B213,'Parametri Modello'!$A$19:$A$22,0)))*'Parametri Modello'!$B$9))))*(1+IF('Parametri Modello'!$B$27="Si",MAX(-'Parametri Modello'!$B$28,MIN('Parametri Modello'!$B$28*1.5,IF(OR(INDEX('Parametri Modello'!$F$32:$F$35,MATCH($B213,'Parametri Modello'!$A$32:$A$35,0))="",INDEX('Parametri Modello'!$F$32:$F$35,MATCH($B213,'Parametri Modello'!$A$32:$A$35,0))=0),0,(1/INDEX('Parametri Modello'!$F$32:$F$35,MATCH($B213,'Parametri Modello'!$A$32:$A$35,0))-1)*'Parametri Modello'!$B$28))),0)))*(1-INDEX('Parametri Modello'!$B$12:$B$15,MATCH($B213,'Parametri Modello'!$A$12:$A$15,0)))),0),"")</f>
        <v>1</v>
      </c>
      <c r="H213" s="24">
        <f>IFERROR(ROUND((IF($V213&lt;=INDEX('Parametri Modello'!$C$57:$C$60,MATCH($B213,'Parametri Modello'!$A$57:$A$60,0)),IF(INDEX('Parametri Modello'!$E$57:$E$60,MATCH($B213,'Parametri Modello'!$A$57:$A$60,0))=0,0,($O213/INDEX('Parametri Modello'!$E$57:$E$60,MATCH($B213,'Parametri Modello'!$A$57:$A$60,0)))*(INDEX('Parametri Modello'!$D$57:$D$60,MATCH($B213,'Parametri Modello'!$A$57:$A$60,0))*(INDEX('Parametri Modello'!$B$50:$B$53,MATCH($B213,'Parametri Modello'!$A$50:$A$53,0))*'Parametri Modello'!$B$44))),IF(INDEX('Parametri Modello'!$F$57:$F$60,MATCH($B213,'Parametri Modello'!$A$57:$A$60,0))=0,0,($O213/INDEX('Parametri Modello'!$F$57:$F$60,MATCH($B213,'Parametri Modello'!$A$57:$A$60,0)))*((1-INDEX('Parametri Modello'!$D$57:$D$60,MATCH($B213,'Parametri Modello'!$A$57:$A$60,0)))*(INDEX('Parametri Modello'!$B$50:$B$53,MATCH($B213,'Parametri Modello'!$A$50:$A$53,0))*'Parametri Modello'!$B$44))))*(1+IF(IF($B213="D",'Info Lega'!$B$25,IF($B213="C",'Info Lega'!$B$26,"No"))="Si",'Parametri Modello'!$B$5,0))*(1+MAX(-0.25,MIN(0.25,IF(OR($T213="",$I213="",$I213=0,INDEX('Parametri Modello'!$B$19:$B$22,MATCH($B213,'Parametri Modello'!$A$19:$A$22,0))="",INDEX('Parametri Modello'!$B$19:$B$22,MATCH($B213,'Parametri Modello'!$A$19:$A$22,0))=0),0,(($T213-INDEX('Parametri Modello'!$B$19:$B$22,MATCH($B213,'Parametri Modello'!$A$19:$A$22,0)))/INDEX('Parametri Modello'!$B$19:$B$22,MATCH($B213,'Parametri Modello'!$A$19:$A$22,0)))*'Parametri Modello'!$B$9))))*(1+IF('Parametri Modello'!$B$27="Si",MAX(-'Parametri Modello'!$B$28,MIN('Parametri Modello'!$B$28*1.5,IF(OR(INDEX('Parametri Modello'!$F$32:$F$35,MATCH($B213,'Parametri Modello'!$A$32:$A$35,0))="",INDEX('Parametri Modello'!$F$32:$F$35,MATCH($B213,'Parametri Modello'!$A$32:$A$35,0))=0),0,(1/INDEX('Parametri Modello'!$F$32:$F$35,MATCH($B213,'Parametri Modello'!$A$32:$A$35,0))-1)*'Parametri Modello'!$B$28))),0)))*(1+INDEX('Parametri Modello'!$B$12:$B$15,MATCH($B213,'Parametri Modello'!$A$12:$A$15,0))),0),"")</f>
        <v>2</v>
      </c>
      <c r="I213" s="23">
        <f>IFERROR(INDEX('Input Statistiche 2025_26'!$F$3:$F$665,MATCH($A213,'Input Statistiche 2025_26'!$A$3:$A$665,0)),"")</f>
        <v>3</v>
      </c>
      <c r="J213" s="23">
        <f t="shared" si="27"/>
        <v>35</v>
      </c>
      <c r="K213" s="23">
        <f>IFERROR(INDEX('Input Statistiche 2025_26'!$I$3:$I$665,MATCH($A213,'Input Statistiche 2025_26'!$A$3:$A$665,0)),"")</f>
        <v>0</v>
      </c>
      <c r="L213" s="23">
        <f>IFERROR(INDEX('Input Statistiche 2025_26'!$O$3:$O$665,MATCH($A213,'Input Statistiche 2025_26'!$A$3:$A$665,0)),"")</f>
        <v>0</v>
      </c>
      <c r="M213" s="25"/>
      <c r="N213" s="24">
        <f>IFERROR(INDEX('Input Giocatori 2026_27'!$E$3:$E$493,MATCH($A213,'Input Giocatori 2026_27'!$A$3:$A$493,0)),"")</f>
        <v>5</v>
      </c>
      <c r="O213" s="24">
        <f>IFERROR(INDEX('Input Giocatori 2026_27'!$G$3:$G$493,MATCH($A213,'Input Giocatori 2026_27'!$A$3:$A$493,0)),"")</f>
        <v>16</v>
      </c>
      <c r="P213" s="23" t="str">
        <f>IFERROR(IF($O213="","",IF((1-(COUNTIFS($B$2:$B$492,$B213,$O$2:$O$492,"&gt;"&amp;$O213)+1-1)/COUNTIF($B$2:$B$492,$B213))&gt;='Parametri Modello'!$B$63,"Top",IF((1-(COUNTIFS($B$2:$B$492,$B213,$O$2:$O$492,"&gt;"&amp;$O213)+1-1)/COUNTIF($B$2:$B$492,$B213))&gt;='Parametri Modello'!$B$64,"Buono",IF((1-(COUNTIFS($B$2:$B$492,$B213,$O$2:$O$492,"&gt;"&amp;$O213)+1-1)/COUNTIF($B$2:$B$492,$B213))&gt;='Parametri Modello'!$B$65,"Nella Media","Scommessa/Riserva")))),"")</f>
        <v>Nella Media</v>
      </c>
      <c r="Q213" s="26">
        <f>IF(AND($D213="",$N213&gt;1),SUMPRODUCT(($D$2:$D213="")*($N$2:$N213&gt;1)),"")</f>
        <v>212</v>
      </c>
      <c r="R213" s="26" t="str">
        <f>IF($D213='Info Lega'!$B$28,COUNTIFS($D$2:$D213,'Info Lega'!$B$28),"")</f>
        <v/>
      </c>
      <c r="S213" s="27">
        <f>IFERROR(INDEX('Input Statistiche 2025_26'!$G$3:$G$665,MATCH($A213,'Input Statistiche 2025_26'!$A$3:$A$665,0)),"")</f>
        <v>6.17</v>
      </c>
      <c r="T213" s="27">
        <f>IFERROR(INDEX('Input Statistiche 2025_26'!$H$3:$H$665,MATCH($A213,'Input Statistiche 2025_26'!$A$3:$A$665,0)),"")</f>
        <v>6.17</v>
      </c>
      <c r="U213" s="23" t="str">
        <f>IF(OR('La Mia Rosa'!$O$12="",$D213&lt;&gt;""),"",IF($F213&lt;='La Mia Rosa'!$O$12*'Parametri Modello'!$B$24,"OK",IF($F213&lt;='La Mia Rosa'!$O$12*'Parametri Modello'!$B$25,"Attenzione","Rischio Alto")))</f>
        <v>OK</v>
      </c>
      <c r="V213" s="23">
        <f t="shared" si="28"/>
        <v>79</v>
      </c>
      <c r="W213" s="18">
        <f>'Info Lega'!$B$4-SUMIFS($M$2:$M$492,$D$2:$D$492,'Info Lega'!$B$28)</f>
        <v>1000</v>
      </c>
      <c r="X213" s="18">
        <f>('Info Lega'!$B$5-COUNTIFS($D$2:$D$492,'Info Lega'!$B$28,$B$2:$B$492,"P"))+('Info Lega'!$B$6-COUNTIFS($D$2:$D$492,'Info Lega'!$B$28,$B$2:$B$492,"D"))+('Info Lega'!$B$7-COUNTIFS($D$2:$D$492,'Info Lega'!$B$28,$B$2:$B$492,"C"))+('Info Lega'!$B$8-COUNTIFS($D$2:$D$492,'Info Lega'!$B$28,$B$2:$B$492,"A"))</f>
        <v>25</v>
      </c>
      <c r="Y213" s="18">
        <f>X213*'Parametri Modello'!$B$30</f>
        <v>25</v>
      </c>
      <c r="Z213" s="18">
        <f t="shared" si="29"/>
        <v>975</v>
      </c>
      <c r="AA213" s="18">
        <f t="shared" si="30"/>
        <v>2</v>
      </c>
      <c r="AB213" s="18"/>
      <c r="AC213" s="18" t="str">
        <f>IF($AB213="","",IF($AB213&gt;$AA213,"PASS",IF($AB213&lt;=$AA213*(1-'Parametri Modello'!$B$68),"BID","ATTENZIONE")))</f>
        <v/>
      </c>
      <c r="AD213" s="28">
        <f t="shared" si="31"/>
        <v>10</v>
      </c>
      <c r="AE213" s="5" t="str">
        <f>IFERROR(INDEX('Stato Asta'!$G$9:$G$12,MATCH($B213,'Stato Asta'!$A$9:$A$12,0)),"")</f>
        <v>🔴 Non aspettare</v>
      </c>
      <c r="AF213" t="str">
        <f>IFERROR(IF($V213&lt;=INDEX('Parametri Modello'!$C$57:$C$60,MATCH($B213,'Parametri Modello'!$A$57:$A$60,0)),"Titolare","Riserva"),"")</f>
        <v>Riserva</v>
      </c>
      <c r="AG213" t="str">
        <f>IFERROR(INDEX('Pressione Competitiva'!$F$3:$F$6,MATCH($B213,'Pressione Competitiva'!$B$3:$B$6,0)),"")</f>
        <v>🔴 Molto Alta</v>
      </c>
      <c r="AH213" t="str">
        <f t="shared" si="32"/>
        <v/>
      </c>
      <c r="AI213" t="str">
        <f>IFERROR(IF($AH213="","",IF($AH213&gt;=$AA213*'Parametri Modello'!$B$68,"🟢 Opportunita'",IF($AH213&lt;=$AA213*'Parametri Modello'!$B$69,"🔴 Sovrapprezzo","🟡 Prezzo Corretto"))),"")</f>
        <v/>
      </c>
      <c r="AJ213" t="str">
        <f t="shared" si="33"/>
        <v/>
      </c>
      <c r="AK213">
        <f t="shared" si="34"/>
        <v>24</v>
      </c>
      <c r="AL213" t="str">
        <f t="shared" si="35"/>
        <v>C|Nella Media|24</v>
      </c>
    </row>
    <row r="214" spans="1:38" ht="14.25" customHeight="1" x14ac:dyDescent="0.25">
      <c r="A214" s="18">
        <v>5918</v>
      </c>
      <c r="B214" s="18" t="s">
        <v>18</v>
      </c>
      <c r="C214" s="18" t="s">
        <v>353</v>
      </c>
      <c r="E214" s="23" t="str">
        <f>IF(COUNTIF('Info Strategia'!$D$2:$D$51,$C214)&gt;0,"SI","NO")</f>
        <v>NO</v>
      </c>
      <c r="F214" s="24">
        <f>IFERROR(ROUND(($G214+($H214-$G214)*'Info Strategia'!$B$6)*(1+IF($E214="SI",'Parametri Modello'!$B$7*'Info Strategia'!$B$6,0)),0),"")</f>
        <v>5</v>
      </c>
      <c r="G214" s="24">
        <f>IFERROR(ROUND(MAX(1,(IF($V214&lt;=INDEX('Parametri Modello'!$C$57:$C$60,MATCH($B214,'Parametri Modello'!$A$57:$A$60,0)),IF(INDEX('Parametri Modello'!$E$57:$E$60,MATCH($B214,'Parametri Modello'!$A$57:$A$60,0))=0,0,($O214/INDEX('Parametri Modello'!$E$57:$E$60,MATCH($B214,'Parametri Modello'!$A$57:$A$60,0)))*(INDEX('Parametri Modello'!$D$57:$D$60,MATCH($B214,'Parametri Modello'!$A$57:$A$60,0))*(INDEX('Parametri Modello'!$B$50:$B$53,MATCH($B214,'Parametri Modello'!$A$50:$A$53,0))*'Parametri Modello'!$B$44))),IF(INDEX('Parametri Modello'!$F$57:$F$60,MATCH($B214,'Parametri Modello'!$A$57:$A$60,0))=0,0,($O214/INDEX('Parametri Modello'!$F$57:$F$60,MATCH($B214,'Parametri Modello'!$A$57:$A$60,0)))*((1-INDEX('Parametri Modello'!$D$57:$D$60,MATCH($B214,'Parametri Modello'!$A$57:$A$60,0)))*(INDEX('Parametri Modello'!$B$50:$B$53,MATCH($B214,'Parametri Modello'!$A$50:$A$53,0))*'Parametri Modello'!$B$44))))*(1+IF(IF($B214="D",'Info Lega'!$B$25,IF($B214="C",'Info Lega'!$B$26,"No"))="Si",'Parametri Modello'!$B$5,0))*(1+MAX(-0.25,MIN(0.25,IF(OR($T214="",$I214="",$I214=0,INDEX('Parametri Modello'!$B$19:$B$22,MATCH($B214,'Parametri Modello'!$A$19:$A$22,0))="",INDEX('Parametri Modello'!$B$19:$B$22,MATCH($B214,'Parametri Modello'!$A$19:$A$22,0))=0),0,(($T214-INDEX('Parametri Modello'!$B$19:$B$22,MATCH($B214,'Parametri Modello'!$A$19:$A$22,0)))/INDEX('Parametri Modello'!$B$19:$B$22,MATCH($B214,'Parametri Modello'!$A$19:$A$22,0)))*'Parametri Modello'!$B$9))))*(1+IF('Parametri Modello'!$B$27="Si",MAX(-'Parametri Modello'!$B$28,MIN('Parametri Modello'!$B$28*1.5,IF(OR(INDEX('Parametri Modello'!$F$32:$F$35,MATCH($B214,'Parametri Modello'!$A$32:$A$35,0))="",INDEX('Parametri Modello'!$F$32:$F$35,MATCH($B214,'Parametri Modello'!$A$32:$A$35,0))=0),0,(1/INDEX('Parametri Modello'!$F$32:$F$35,MATCH($B214,'Parametri Modello'!$A$32:$A$35,0))-1)*'Parametri Modello'!$B$28))),0)))*(1-INDEX('Parametri Modello'!$B$12:$B$15,MATCH($B214,'Parametri Modello'!$A$12:$A$15,0)))),0),"")</f>
        <v>3</v>
      </c>
      <c r="H214" s="24">
        <f>IFERROR(ROUND((IF($V214&lt;=INDEX('Parametri Modello'!$C$57:$C$60,MATCH($B214,'Parametri Modello'!$A$57:$A$60,0)),IF(INDEX('Parametri Modello'!$E$57:$E$60,MATCH($B214,'Parametri Modello'!$A$57:$A$60,0))=0,0,($O214/INDEX('Parametri Modello'!$E$57:$E$60,MATCH($B214,'Parametri Modello'!$A$57:$A$60,0)))*(INDEX('Parametri Modello'!$D$57:$D$60,MATCH($B214,'Parametri Modello'!$A$57:$A$60,0))*(INDEX('Parametri Modello'!$B$50:$B$53,MATCH($B214,'Parametri Modello'!$A$50:$A$53,0))*'Parametri Modello'!$B$44))),IF(INDEX('Parametri Modello'!$F$57:$F$60,MATCH($B214,'Parametri Modello'!$A$57:$A$60,0))=0,0,($O214/INDEX('Parametri Modello'!$F$57:$F$60,MATCH($B214,'Parametri Modello'!$A$57:$A$60,0)))*((1-INDEX('Parametri Modello'!$D$57:$D$60,MATCH($B214,'Parametri Modello'!$A$57:$A$60,0)))*(INDEX('Parametri Modello'!$B$50:$B$53,MATCH($B214,'Parametri Modello'!$A$50:$A$53,0))*'Parametri Modello'!$B$44))))*(1+IF(IF($B214="D",'Info Lega'!$B$25,IF($B214="C",'Info Lega'!$B$26,"No"))="Si",'Parametri Modello'!$B$5,0))*(1+MAX(-0.25,MIN(0.25,IF(OR($T214="",$I214="",$I214=0,INDEX('Parametri Modello'!$B$19:$B$22,MATCH($B214,'Parametri Modello'!$A$19:$A$22,0))="",INDEX('Parametri Modello'!$B$19:$B$22,MATCH($B214,'Parametri Modello'!$A$19:$A$22,0))=0),0,(($T214-INDEX('Parametri Modello'!$B$19:$B$22,MATCH($B214,'Parametri Modello'!$A$19:$A$22,0)))/INDEX('Parametri Modello'!$B$19:$B$22,MATCH($B214,'Parametri Modello'!$A$19:$A$22,0)))*'Parametri Modello'!$B$9))))*(1+IF('Parametri Modello'!$B$27="Si",MAX(-'Parametri Modello'!$B$28,MIN('Parametri Modello'!$B$28*1.5,IF(OR(INDEX('Parametri Modello'!$F$32:$F$35,MATCH($B214,'Parametri Modello'!$A$32:$A$35,0))="",INDEX('Parametri Modello'!$F$32:$F$35,MATCH($B214,'Parametri Modello'!$A$32:$A$35,0))=0),0,(1/INDEX('Parametri Modello'!$F$32:$F$35,MATCH($B214,'Parametri Modello'!$A$32:$A$35,0))-1)*'Parametri Modello'!$B$28))),0)))*(1+INDEX('Parametri Modello'!$B$12:$B$15,MATCH($B214,'Parametri Modello'!$A$12:$A$15,0))),0),"")</f>
        <v>6</v>
      </c>
      <c r="I214" s="23">
        <f>IFERROR(INDEX('Input Statistiche 2025_26'!$F$3:$F$665,MATCH($A214,'Input Statistiche 2025_26'!$A$3:$A$665,0)),"")</f>
        <v>21</v>
      </c>
      <c r="J214" s="23">
        <f t="shared" si="27"/>
        <v>17</v>
      </c>
      <c r="K214" s="23">
        <f>IFERROR(INDEX('Input Statistiche 2025_26'!$I$3:$I$665,MATCH($A214,'Input Statistiche 2025_26'!$A$3:$A$665,0)),"")</f>
        <v>2</v>
      </c>
      <c r="L214" s="23">
        <f>IFERROR(INDEX('Input Statistiche 2025_26'!$O$3:$O$665,MATCH($A214,'Input Statistiche 2025_26'!$A$3:$A$665,0)),"")</f>
        <v>1</v>
      </c>
      <c r="M214" s="25"/>
      <c r="N214" s="24">
        <f>IFERROR(INDEX('Input Giocatori 2026_27'!$E$3:$E$493,MATCH($A214,'Input Giocatori 2026_27'!$A$3:$A$493,0)),"")</f>
        <v>6</v>
      </c>
      <c r="O214" s="24">
        <f>IFERROR(INDEX('Input Giocatori 2026_27'!$G$3:$G$493,MATCH($A214,'Input Giocatori 2026_27'!$A$3:$A$493,0)),"")</f>
        <v>16</v>
      </c>
      <c r="P214" s="23" t="str">
        <f>IFERROR(IF($O214="","",IF((1-(COUNTIFS($B$2:$B$492,$B214,$O$2:$O$492,"&gt;"&amp;$O214)+1-1)/COUNTIF($B$2:$B$492,$B214))&gt;='Parametri Modello'!$B$63,"Top",IF((1-(COUNTIFS($B$2:$B$492,$B214,$O$2:$O$492,"&gt;"&amp;$O214)+1-1)/COUNTIF($B$2:$B$492,$B214))&gt;='Parametri Modello'!$B$64,"Buono",IF((1-(COUNTIFS($B$2:$B$492,$B214,$O$2:$O$492,"&gt;"&amp;$O214)+1-1)/COUNTIF($B$2:$B$492,$B214))&gt;='Parametri Modello'!$B$65,"Nella Media","Scommessa/Riserva")))),"")</f>
        <v>Scommessa/Riserva</v>
      </c>
      <c r="Q214" s="26">
        <f>IF(AND($D214="",$N214&gt;1),SUMPRODUCT(($D$2:$D214="")*($N$2:$N214&gt;1)),"")</f>
        <v>213</v>
      </c>
      <c r="R214" s="26" t="str">
        <f>IF($D214='Info Lega'!$B$28,COUNTIFS($D$2:$D214,'Info Lega'!$B$28),"")</f>
        <v/>
      </c>
      <c r="S214" s="27">
        <f>IFERROR(INDEX('Input Statistiche 2025_26'!$G$3:$G$665,MATCH($A214,'Input Statistiche 2025_26'!$A$3:$A$665,0)),"")</f>
        <v>6</v>
      </c>
      <c r="T214" s="27">
        <f>IFERROR(INDEX('Input Statistiche 2025_26'!$H$3:$H$665,MATCH($A214,'Input Statistiche 2025_26'!$A$3:$A$665,0)),"")</f>
        <v>6.24</v>
      </c>
      <c r="U214" s="23" t="str">
        <f>IF(OR('La Mia Rosa'!$O$12="",$D214&lt;&gt;""),"",IF($F214&lt;='La Mia Rosa'!$O$12*'Parametri Modello'!$B$24,"OK",IF($F214&lt;='La Mia Rosa'!$O$12*'Parametri Modello'!$B$25,"Attenzione","Rischio Alto")))</f>
        <v>OK</v>
      </c>
      <c r="V214" s="23">
        <f t="shared" si="28"/>
        <v>56</v>
      </c>
      <c r="W214" s="18">
        <f>'Info Lega'!$B$4-SUMIFS($M$2:$M$492,$D$2:$D$492,'Info Lega'!$B$28)</f>
        <v>1000</v>
      </c>
      <c r="X214" s="18">
        <f>('Info Lega'!$B$5-COUNTIFS($D$2:$D$492,'Info Lega'!$B$28,$B$2:$B$492,"P"))+('Info Lega'!$B$6-COUNTIFS($D$2:$D$492,'Info Lega'!$B$28,$B$2:$B$492,"D"))+('Info Lega'!$B$7-COUNTIFS($D$2:$D$492,'Info Lega'!$B$28,$B$2:$B$492,"C"))+('Info Lega'!$B$8-COUNTIFS($D$2:$D$492,'Info Lega'!$B$28,$B$2:$B$492,"A"))</f>
        <v>25</v>
      </c>
      <c r="Y214" s="18">
        <f>X214*'Parametri Modello'!$B$30</f>
        <v>25</v>
      </c>
      <c r="Z214" s="18">
        <f t="shared" si="29"/>
        <v>975</v>
      </c>
      <c r="AA214" s="18">
        <f t="shared" si="30"/>
        <v>5</v>
      </c>
      <c r="AB214" s="18"/>
      <c r="AC214" s="18" t="str">
        <f>IF($AB214="","",IF($AB214&gt;$AA214,"PASS",IF($AB214&lt;=$AA214*(1-'Parametri Modello'!$B$68),"BID","ATTENZIONE")))</f>
        <v/>
      </c>
      <c r="AD214" s="28">
        <f t="shared" si="31"/>
        <v>50</v>
      </c>
      <c r="AE214" s="5" t="str">
        <f>IFERROR(INDEX('Stato Asta'!$G$9:$G$12,MATCH($B214,'Stato Asta'!$A$9:$A$12,0)),"")</f>
        <v>🔴 Non aspettare</v>
      </c>
      <c r="AF214" t="str">
        <f>IFERROR(IF($V214&lt;=INDEX('Parametri Modello'!$C$57:$C$60,MATCH($B214,'Parametri Modello'!$A$57:$A$60,0)),"Titolare","Riserva"),"")</f>
        <v>Riserva</v>
      </c>
      <c r="AG214" t="str">
        <f>IFERROR(INDEX('Pressione Competitiva'!$F$3:$F$6,MATCH($B214,'Pressione Competitiva'!$B$3:$B$6,0)),"")</f>
        <v>🔴 Molto Alta</v>
      </c>
      <c r="AH214" t="str">
        <f t="shared" si="32"/>
        <v/>
      </c>
      <c r="AI214" t="str">
        <f>IFERROR(IF($AH214="","",IF($AH214&gt;=$AA214*'Parametri Modello'!$B$68,"🟢 Opportunita'",IF($AH214&lt;=$AA214*'Parametri Modello'!$B$69,"🔴 Sovrapprezzo","🟡 Prezzo Corretto"))),"")</f>
        <v/>
      </c>
      <c r="AJ214" t="str">
        <f t="shared" si="33"/>
        <v/>
      </c>
      <c r="AK214">
        <f t="shared" si="34"/>
        <v>2</v>
      </c>
      <c r="AL214" t="str">
        <f t="shared" si="35"/>
        <v>A|Scommessa/Riserva|2</v>
      </c>
    </row>
    <row r="215" spans="1:38" ht="14.25" customHeight="1" x14ac:dyDescent="0.25">
      <c r="A215" s="18">
        <v>4236</v>
      </c>
      <c r="B215" s="18" t="s">
        <v>15</v>
      </c>
      <c r="C215" s="18" t="s">
        <v>354</v>
      </c>
      <c r="E215" s="23" t="str">
        <f>IF(COUNTIF('Info Strategia'!$D$2:$D$51,$C215)&gt;0,"SI","NO")</f>
        <v>NO</v>
      </c>
      <c r="F215" s="24">
        <f>IFERROR(ROUND(($G215+($H215-$G215)*'Info Strategia'!$B$6)*(1+IF($E215="SI",'Parametri Modello'!$B$7*'Info Strategia'!$B$6,0)),0),"")</f>
        <v>5</v>
      </c>
      <c r="G215" s="24">
        <f>IFERROR(ROUND(MAX(1,(IF($V215&lt;=INDEX('Parametri Modello'!$C$57:$C$60,MATCH($B215,'Parametri Modello'!$A$57:$A$60,0)),IF(INDEX('Parametri Modello'!$E$57:$E$60,MATCH($B215,'Parametri Modello'!$A$57:$A$60,0))=0,0,($O215/INDEX('Parametri Modello'!$E$57:$E$60,MATCH($B215,'Parametri Modello'!$A$57:$A$60,0)))*(INDEX('Parametri Modello'!$D$57:$D$60,MATCH($B215,'Parametri Modello'!$A$57:$A$60,0))*(INDEX('Parametri Modello'!$B$50:$B$53,MATCH($B215,'Parametri Modello'!$A$50:$A$53,0))*'Parametri Modello'!$B$44))),IF(INDEX('Parametri Modello'!$F$57:$F$60,MATCH($B215,'Parametri Modello'!$A$57:$A$60,0))=0,0,($O215/INDEX('Parametri Modello'!$F$57:$F$60,MATCH($B215,'Parametri Modello'!$A$57:$A$60,0)))*((1-INDEX('Parametri Modello'!$D$57:$D$60,MATCH($B215,'Parametri Modello'!$A$57:$A$60,0)))*(INDEX('Parametri Modello'!$B$50:$B$53,MATCH($B215,'Parametri Modello'!$A$50:$A$53,0))*'Parametri Modello'!$B$44))))*(1+IF(IF($B215="D",'Info Lega'!$B$25,IF($B215="C",'Info Lega'!$B$26,"No"))="Si",'Parametri Modello'!$B$5,0))*(1+MAX(-0.25,MIN(0.25,IF(OR($T215="",$I215="",$I215=0,INDEX('Parametri Modello'!$B$19:$B$22,MATCH($B215,'Parametri Modello'!$A$19:$A$22,0))="",INDEX('Parametri Modello'!$B$19:$B$22,MATCH($B215,'Parametri Modello'!$A$19:$A$22,0))=0),0,(($T215-INDEX('Parametri Modello'!$B$19:$B$22,MATCH($B215,'Parametri Modello'!$A$19:$A$22,0)))/INDEX('Parametri Modello'!$B$19:$B$22,MATCH($B215,'Parametri Modello'!$A$19:$A$22,0)))*'Parametri Modello'!$B$9))))*(1+IF('Parametri Modello'!$B$27="Si",MAX(-'Parametri Modello'!$B$28,MIN('Parametri Modello'!$B$28*1.5,IF(OR(INDEX('Parametri Modello'!$F$32:$F$35,MATCH($B215,'Parametri Modello'!$A$32:$A$35,0))="",INDEX('Parametri Modello'!$F$32:$F$35,MATCH($B215,'Parametri Modello'!$A$32:$A$35,0))=0),0,(1/INDEX('Parametri Modello'!$F$32:$F$35,MATCH($B215,'Parametri Modello'!$A$32:$A$35,0))-1)*'Parametri Modello'!$B$28))),0)))*(1-INDEX('Parametri Modello'!$B$12:$B$15,MATCH($B215,'Parametri Modello'!$A$12:$A$15,0)))),0),"")</f>
        <v>4</v>
      </c>
      <c r="H215" s="24">
        <f>IFERROR(ROUND((IF($V215&lt;=INDEX('Parametri Modello'!$C$57:$C$60,MATCH($B215,'Parametri Modello'!$A$57:$A$60,0)),IF(INDEX('Parametri Modello'!$E$57:$E$60,MATCH($B215,'Parametri Modello'!$A$57:$A$60,0))=0,0,($O215/INDEX('Parametri Modello'!$E$57:$E$60,MATCH($B215,'Parametri Modello'!$A$57:$A$60,0)))*(INDEX('Parametri Modello'!$D$57:$D$60,MATCH($B215,'Parametri Modello'!$A$57:$A$60,0))*(INDEX('Parametri Modello'!$B$50:$B$53,MATCH($B215,'Parametri Modello'!$A$50:$A$53,0))*'Parametri Modello'!$B$44))),IF(INDEX('Parametri Modello'!$F$57:$F$60,MATCH($B215,'Parametri Modello'!$A$57:$A$60,0))=0,0,($O215/INDEX('Parametri Modello'!$F$57:$F$60,MATCH($B215,'Parametri Modello'!$A$57:$A$60,0)))*((1-INDEX('Parametri Modello'!$D$57:$D$60,MATCH($B215,'Parametri Modello'!$A$57:$A$60,0)))*(INDEX('Parametri Modello'!$B$50:$B$53,MATCH($B215,'Parametri Modello'!$A$50:$A$53,0))*'Parametri Modello'!$B$44))))*(1+IF(IF($B215="D",'Info Lega'!$B$25,IF($B215="C",'Info Lega'!$B$26,"No"))="Si",'Parametri Modello'!$B$5,0))*(1+MAX(-0.25,MIN(0.25,IF(OR($T215="",$I215="",$I215=0,INDEX('Parametri Modello'!$B$19:$B$22,MATCH($B215,'Parametri Modello'!$A$19:$A$22,0))="",INDEX('Parametri Modello'!$B$19:$B$22,MATCH($B215,'Parametri Modello'!$A$19:$A$22,0))=0),0,(($T215-INDEX('Parametri Modello'!$B$19:$B$22,MATCH($B215,'Parametri Modello'!$A$19:$A$22,0)))/INDEX('Parametri Modello'!$B$19:$B$22,MATCH($B215,'Parametri Modello'!$A$19:$A$22,0)))*'Parametri Modello'!$B$9))))*(1+IF('Parametri Modello'!$B$27="Si",MAX(-'Parametri Modello'!$B$28,MIN('Parametri Modello'!$B$28*1.5,IF(OR(INDEX('Parametri Modello'!$F$32:$F$35,MATCH($B215,'Parametri Modello'!$A$32:$A$35,0))="",INDEX('Parametri Modello'!$F$32:$F$35,MATCH($B215,'Parametri Modello'!$A$32:$A$35,0))=0),0,(1/INDEX('Parametri Modello'!$F$32:$F$35,MATCH($B215,'Parametri Modello'!$A$32:$A$35,0))-1)*'Parametri Modello'!$B$28))),0)))*(1+INDEX('Parametri Modello'!$B$12:$B$15,MATCH($B215,'Parametri Modello'!$A$12:$A$15,0))),0),"")</f>
        <v>6</v>
      </c>
      <c r="I215" s="23">
        <f>IFERROR(INDEX('Input Statistiche 2025_26'!$F$3:$F$665,MATCH($A215,'Input Statistiche 2025_26'!$A$3:$A$665,0)),"")</f>
        <v>32</v>
      </c>
      <c r="J215" s="23">
        <f t="shared" si="27"/>
        <v>6</v>
      </c>
      <c r="K215" s="23">
        <f>IFERROR(INDEX('Input Statistiche 2025_26'!$I$3:$I$665,MATCH($A215,'Input Statistiche 2025_26'!$A$3:$A$665,0)),"")</f>
        <v>0</v>
      </c>
      <c r="L215" s="23">
        <f>IFERROR(INDEX('Input Statistiche 2025_26'!$O$3:$O$665,MATCH($A215,'Input Statistiche 2025_26'!$A$3:$A$665,0)),"")</f>
        <v>0</v>
      </c>
      <c r="M215" s="25"/>
      <c r="N215" s="24">
        <f>IFERROR(INDEX('Input Giocatori 2026_27'!$E$3:$E$493,MATCH($A215,'Input Giocatori 2026_27'!$A$3:$A$493,0)),"")</f>
        <v>7</v>
      </c>
      <c r="O215" s="24">
        <f>IFERROR(INDEX('Input Giocatori 2026_27'!$G$3:$G$493,MATCH($A215,'Input Giocatori 2026_27'!$A$3:$A$493,0)),"")</f>
        <v>15</v>
      </c>
      <c r="P215" s="23" t="str">
        <f>IFERROR(IF($O215="","",IF((1-(COUNTIFS($B$2:$B$492,$B215,$O$2:$O$492,"&gt;"&amp;$O215)+1-1)/COUNTIF($B$2:$B$492,$B215))&gt;='Parametri Modello'!$B$63,"Top",IF((1-(COUNTIFS($B$2:$B$492,$B215,$O$2:$O$492,"&gt;"&amp;$O215)+1-1)/COUNTIF($B$2:$B$492,$B215))&gt;='Parametri Modello'!$B$64,"Buono",IF((1-(COUNTIFS($B$2:$B$492,$B215,$O$2:$O$492,"&gt;"&amp;$O215)+1-1)/COUNTIF($B$2:$B$492,$B215))&gt;='Parametri Modello'!$B$65,"Nella Media","Scommessa/Riserva")))),"")</f>
        <v>Buono</v>
      </c>
      <c r="Q215" s="26">
        <f>IF(AND($D215="",$N215&gt;1),SUMPRODUCT(($D$2:$D215="")*($N$2:$N215&gt;1)),"")</f>
        <v>214</v>
      </c>
      <c r="R215" s="26" t="str">
        <f>IF($D215='Info Lega'!$B$28,COUNTIFS($D$2:$D215,'Info Lega'!$B$28),"")</f>
        <v/>
      </c>
      <c r="S215" s="27">
        <f>IFERROR(INDEX('Input Statistiche 2025_26'!$G$3:$G$665,MATCH($A215,'Input Statistiche 2025_26'!$A$3:$A$665,0)),"")</f>
        <v>6.08</v>
      </c>
      <c r="T215" s="27">
        <f>IFERROR(INDEX('Input Statistiche 2025_26'!$H$3:$H$665,MATCH($A215,'Input Statistiche 2025_26'!$A$3:$A$665,0)),"")</f>
        <v>4.7699999999999996</v>
      </c>
      <c r="U215" s="23" t="str">
        <f>IF(OR('La Mia Rosa'!$O$12="",$D215&lt;&gt;""),"",IF($F215&lt;='La Mia Rosa'!$O$12*'Parametri Modello'!$B$24,"OK",IF($F215&lt;='La Mia Rosa'!$O$12*'Parametri Modello'!$B$25,"Attenzione","Rischio Alto")))</f>
        <v>OK</v>
      </c>
      <c r="V215" s="23">
        <f t="shared" si="28"/>
        <v>16</v>
      </c>
      <c r="W215" s="18">
        <f>'Info Lega'!$B$4-SUMIFS($M$2:$M$492,$D$2:$D$492,'Info Lega'!$B$28)</f>
        <v>1000</v>
      </c>
      <c r="X215" s="18">
        <f>('Info Lega'!$B$5-COUNTIFS($D$2:$D$492,'Info Lega'!$B$28,$B$2:$B$492,"P"))+('Info Lega'!$B$6-COUNTIFS($D$2:$D$492,'Info Lega'!$B$28,$B$2:$B$492,"D"))+('Info Lega'!$B$7-COUNTIFS($D$2:$D$492,'Info Lega'!$B$28,$B$2:$B$492,"C"))+('Info Lega'!$B$8-COUNTIFS($D$2:$D$492,'Info Lega'!$B$28,$B$2:$B$492,"A"))</f>
        <v>25</v>
      </c>
      <c r="Y215" s="18">
        <f>X215*'Parametri Modello'!$B$30</f>
        <v>25</v>
      </c>
      <c r="Z215" s="18">
        <f t="shared" si="29"/>
        <v>975</v>
      </c>
      <c r="AA215" s="18">
        <f t="shared" si="30"/>
        <v>5</v>
      </c>
      <c r="AB215" s="18"/>
      <c r="AC215" s="18" t="str">
        <f>IF($AB215="","",IF($AB215&gt;$AA215,"PASS",IF($AB215&lt;=$AA215*(1-'Parametri Modello'!$B$68),"BID","ATTENZIONE")))</f>
        <v/>
      </c>
      <c r="AD215" s="28">
        <f t="shared" si="31"/>
        <v>66</v>
      </c>
      <c r="AE215" s="5" t="str">
        <f>IFERROR(INDEX('Stato Asta'!$G$9:$G$12,MATCH($B215,'Stato Asta'!$A$9:$A$12,0)),"")</f>
        <v>🔴 Non aspettare</v>
      </c>
      <c r="AF215" t="str">
        <f>IFERROR(IF($V215&lt;=INDEX('Parametri Modello'!$C$57:$C$60,MATCH($B215,'Parametri Modello'!$A$57:$A$60,0)),"Titolare","Riserva"),"")</f>
        <v>Riserva</v>
      </c>
      <c r="AG215" t="str">
        <f>IFERROR(INDEX('Pressione Competitiva'!$F$3:$F$6,MATCH($B215,'Pressione Competitiva'!$B$3:$B$6,0)),"")</f>
        <v>🔴 Molto Alta</v>
      </c>
      <c r="AH215" t="str">
        <f t="shared" si="32"/>
        <v/>
      </c>
      <c r="AI215" t="str">
        <f>IFERROR(IF($AH215="","",IF($AH215&gt;=$AA215*'Parametri Modello'!$B$68,"🟢 Opportunita'",IF($AH215&lt;=$AA215*'Parametri Modello'!$B$69,"🔴 Sovrapprezzo","🟡 Prezzo Corretto"))),"")</f>
        <v/>
      </c>
      <c r="AJ215" t="str">
        <f t="shared" si="33"/>
        <v/>
      </c>
      <c r="AK215">
        <f t="shared" si="34"/>
        <v>9</v>
      </c>
      <c r="AL215" t="str">
        <f t="shared" si="35"/>
        <v>P|Buono|9</v>
      </c>
    </row>
    <row r="216" spans="1:38" ht="14.25" customHeight="1" x14ac:dyDescent="0.25">
      <c r="A216" s="18">
        <v>6485</v>
      </c>
      <c r="B216" s="18" t="s">
        <v>16</v>
      </c>
      <c r="C216" s="18" t="s">
        <v>355</v>
      </c>
      <c r="E216" s="23" t="str">
        <f>IF(COUNTIF('Info Strategia'!$D$2:$D$51,$C216)&gt;0,"SI","NO")</f>
        <v>NO</v>
      </c>
      <c r="F216" s="24">
        <f>IFERROR(ROUND(($G216+($H216-$G216)*'Info Strategia'!$B$6)*(1+IF($E216="SI",'Parametri Modello'!$B$7*'Info Strategia'!$B$6,0)),0),"")</f>
        <v>3</v>
      </c>
      <c r="G216" s="24">
        <f>IFERROR(ROUND(MAX(1,(IF($V216&lt;=INDEX('Parametri Modello'!$C$57:$C$60,MATCH($B216,'Parametri Modello'!$A$57:$A$60,0)),IF(INDEX('Parametri Modello'!$E$57:$E$60,MATCH($B216,'Parametri Modello'!$A$57:$A$60,0))=0,0,($O216/INDEX('Parametri Modello'!$E$57:$E$60,MATCH($B216,'Parametri Modello'!$A$57:$A$60,0)))*(INDEX('Parametri Modello'!$D$57:$D$60,MATCH($B216,'Parametri Modello'!$A$57:$A$60,0))*(INDEX('Parametri Modello'!$B$50:$B$53,MATCH($B216,'Parametri Modello'!$A$50:$A$53,0))*'Parametri Modello'!$B$44))),IF(INDEX('Parametri Modello'!$F$57:$F$60,MATCH($B216,'Parametri Modello'!$A$57:$A$60,0))=0,0,($O216/INDEX('Parametri Modello'!$F$57:$F$60,MATCH($B216,'Parametri Modello'!$A$57:$A$60,0)))*((1-INDEX('Parametri Modello'!$D$57:$D$60,MATCH($B216,'Parametri Modello'!$A$57:$A$60,0)))*(INDEX('Parametri Modello'!$B$50:$B$53,MATCH($B216,'Parametri Modello'!$A$50:$A$53,0))*'Parametri Modello'!$B$44))))*(1+IF(IF($B216="D",'Info Lega'!$B$25,IF($B216="C",'Info Lega'!$B$26,"No"))="Si",'Parametri Modello'!$B$5,0))*(1+MAX(-0.25,MIN(0.25,IF(OR($T216="",$I216="",$I216=0,INDEX('Parametri Modello'!$B$19:$B$22,MATCH($B216,'Parametri Modello'!$A$19:$A$22,0))="",INDEX('Parametri Modello'!$B$19:$B$22,MATCH($B216,'Parametri Modello'!$A$19:$A$22,0))=0),0,(($T216-INDEX('Parametri Modello'!$B$19:$B$22,MATCH($B216,'Parametri Modello'!$A$19:$A$22,0)))/INDEX('Parametri Modello'!$B$19:$B$22,MATCH($B216,'Parametri Modello'!$A$19:$A$22,0)))*'Parametri Modello'!$B$9))))*(1+IF('Parametri Modello'!$B$27="Si",MAX(-'Parametri Modello'!$B$28,MIN('Parametri Modello'!$B$28*1.5,IF(OR(INDEX('Parametri Modello'!$F$32:$F$35,MATCH($B216,'Parametri Modello'!$A$32:$A$35,0))="",INDEX('Parametri Modello'!$F$32:$F$35,MATCH($B216,'Parametri Modello'!$A$32:$A$35,0))=0),0,(1/INDEX('Parametri Modello'!$F$32:$F$35,MATCH($B216,'Parametri Modello'!$A$32:$A$35,0))-1)*'Parametri Modello'!$B$28))),0)))*(1-INDEX('Parametri Modello'!$B$12:$B$15,MATCH($B216,'Parametri Modello'!$A$12:$A$15,0)))),0),"")</f>
        <v>2</v>
      </c>
      <c r="H216" s="24">
        <f>IFERROR(ROUND((IF($V216&lt;=INDEX('Parametri Modello'!$C$57:$C$60,MATCH($B216,'Parametri Modello'!$A$57:$A$60,0)),IF(INDEX('Parametri Modello'!$E$57:$E$60,MATCH($B216,'Parametri Modello'!$A$57:$A$60,0))=0,0,($O216/INDEX('Parametri Modello'!$E$57:$E$60,MATCH($B216,'Parametri Modello'!$A$57:$A$60,0)))*(INDEX('Parametri Modello'!$D$57:$D$60,MATCH($B216,'Parametri Modello'!$A$57:$A$60,0))*(INDEX('Parametri Modello'!$B$50:$B$53,MATCH($B216,'Parametri Modello'!$A$50:$A$53,0))*'Parametri Modello'!$B$44))),IF(INDEX('Parametri Modello'!$F$57:$F$60,MATCH($B216,'Parametri Modello'!$A$57:$A$60,0))=0,0,($O216/INDEX('Parametri Modello'!$F$57:$F$60,MATCH($B216,'Parametri Modello'!$A$57:$A$60,0)))*((1-INDEX('Parametri Modello'!$D$57:$D$60,MATCH($B216,'Parametri Modello'!$A$57:$A$60,0)))*(INDEX('Parametri Modello'!$B$50:$B$53,MATCH($B216,'Parametri Modello'!$A$50:$A$53,0))*'Parametri Modello'!$B$44))))*(1+IF(IF($B216="D",'Info Lega'!$B$25,IF($B216="C",'Info Lega'!$B$26,"No"))="Si",'Parametri Modello'!$B$5,0))*(1+MAX(-0.25,MIN(0.25,IF(OR($T216="",$I216="",$I216=0,INDEX('Parametri Modello'!$B$19:$B$22,MATCH($B216,'Parametri Modello'!$A$19:$A$22,0))="",INDEX('Parametri Modello'!$B$19:$B$22,MATCH($B216,'Parametri Modello'!$A$19:$A$22,0))=0),0,(($T216-INDEX('Parametri Modello'!$B$19:$B$22,MATCH($B216,'Parametri Modello'!$A$19:$A$22,0)))/INDEX('Parametri Modello'!$B$19:$B$22,MATCH($B216,'Parametri Modello'!$A$19:$A$22,0)))*'Parametri Modello'!$B$9))))*(1+IF('Parametri Modello'!$B$27="Si",MAX(-'Parametri Modello'!$B$28,MIN('Parametri Modello'!$B$28*1.5,IF(OR(INDEX('Parametri Modello'!$F$32:$F$35,MATCH($B216,'Parametri Modello'!$A$32:$A$35,0))="",INDEX('Parametri Modello'!$F$32:$F$35,MATCH($B216,'Parametri Modello'!$A$32:$A$35,0))=0),0,(1/INDEX('Parametri Modello'!$F$32:$F$35,MATCH($B216,'Parametri Modello'!$A$32:$A$35,0))-1)*'Parametri Modello'!$B$28))),0)))*(1+INDEX('Parametri Modello'!$B$12:$B$15,MATCH($B216,'Parametri Modello'!$A$12:$A$15,0))),0),"")</f>
        <v>3</v>
      </c>
      <c r="I216" s="23">
        <f>IFERROR(INDEX('Input Statistiche 2025_26'!$F$3:$F$665,MATCH($A216,'Input Statistiche 2025_26'!$A$3:$A$665,0)),"")</f>
        <v>28</v>
      </c>
      <c r="J216" s="23">
        <f t="shared" si="27"/>
        <v>10</v>
      </c>
      <c r="K216" s="23">
        <f>IFERROR(INDEX('Input Statistiche 2025_26'!$I$3:$I$665,MATCH($A216,'Input Statistiche 2025_26'!$A$3:$A$665,0)),"")</f>
        <v>3</v>
      </c>
      <c r="L216" s="23">
        <f>IFERROR(INDEX('Input Statistiche 2025_26'!$O$3:$O$665,MATCH($A216,'Input Statistiche 2025_26'!$A$3:$A$665,0)),"")</f>
        <v>0</v>
      </c>
      <c r="M216" s="25"/>
      <c r="N216" s="24">
        <f>IFERROR(INDEX('Input Giocatori 2026_27'!$E$3:$E$493,MATCH($A216,'Input Giocatori 2026_27'!$A$3:$A$493,0)),"")</f>
        <v>7</v>
      </c>
      <c r="O216" s="24">
        <f>IFERROR(INDEX('Input Giocatori 2026_27'!$G$3:$G$493,MATCH($A216,'Input Giocatori 2026_27'!$A$3:$A$493,0)),"")</f>
        <v>15</v>
      </c>
      <c r="P216" s="23" t="str">
        <f>IFERROR(IF($O216="","",IF((1-(COUNTIFS($B$2:$B$492,$B216,$O$2:$O$492,"&gt;"&amp;$O216)+1-1)/COUNTIF($B$2:$B$492,$B216))&gt;='Parametri Modello'!$B$63,"Top",IF((1-(COUNTIFS($B$2:$B$492,$B216,$O$2:$O$492,"&gt;"&amp;$O216)+1-1)/COUNTIF($B$2:$B$492,$B216))&gt;='Parametri Modello'!$B$64,"Buono",IF((1-(COUNTIFS($B$2:$B$492,$B216,$O$2:$O$492,"&gt;"&amp;$O216)+1-1)/COUNTIF($B$2:$B$492,$B216))&gt;='Parametri Modello'!$B$65,"Nella Media","Scommessa/Riserva")))),"")</f>
        <v>Nella Media</v>
      </c>
      <c r="Q216" s="26">
        <f>IF(AND($D216="",$N216&gt;1),SUMPRODUCT(($D$2:$D216="")*($N$2:$N216&gt;1)),"")</f>
        <v>215</v>
      </c>
      <c r="R216" s="26" t="str">
        <f>IF($D216='Info Lega'!$B$28,COUNTIFS($D$2:$D216,'Info Lega'!$B$28),"")</f>
        <v/>
      </c>
      <c r="S216" s="27">
        <f>IFERROR(INDEX('Input Statistiche 2025_26'!$G$3:$G$665,MATCH($A216,'Input Statistiche 2025_26'!$A$3:$A$665,0)),"")</f>
        <v>5.98</v>
      </c>
      <c r="T216" s="27">
        <f>IFERROR(INDEX('Input Statistiche 2025_26'!$H$3:$H$665,MATCH($A216,'Input Statistiche 2025_26'!$A$3:$A$665,0)),"")</f>
        <v>6.23</v>
      </c>
      <c r="U216" s="23" t="str">
        <f>IF(OR('La Mia Rosa'!$O$12="",$D216&lt;&gt;""),"",IF($F216&lt;='La Mia Rosa'!$O$12*'Parametri Modello'!$B$24,"OK",IF($F216&lt;='La Mia Rosa'!$O$12*'Parametri Modello'!$B$25,"Attenzione","Rischio Alto")))</f>
        <v>OK</v>
      </c>
      <c r="V216" s="23">
        <f t="shared" si="28"/>
        <v>61</v>
      </c>
      <c r="W216" s="18">
        <f>'Info Lega'!$B$4-SUMIFS($M$2:$M$492,$D$2:$D$492,'Info Lega'!$B$28)</f>
        <v>1000</v>
      </c>
      <c r="X216" s="18">
        <f>('Info Lega'!$B$5-COUNTIFS($D$2:$D$492,'Info Lega'!$B$28,$B$2:$B$492,"P"))+('Info Lega'!$B$6-COUNTIFS($D$2:$D$492,'Info Lega'!$B$28,$B$2:$B$492,"D"))+('Info Lega'!$B$7-COUNTIFS($D$2:$D$492,'Info Lega'!$B$28,$B$2:$B$492,"C"))+('Info Lega'!$B$8-COUNTIFS($D$2:$D$492,'Info Lega'!$B$28,$B$2:$B$492,"A"))</f>
        <v>25</v>
      </c>
      <c r="Y216" s="18">
        <f>X216*'Parametri Modello'!$B$30</f>
        <v>25</v>
      </c>
      <c r="Z216" s="18">
        <f t="shared" si="29"/>
        <v>975</v>
      </c>
      <c r="AA216" s="18">
        <f t="shared" si="30"/>
        <v>3</v>
      </c>
      <c r="AB216" s="18"/>
      <c r="AC216" s="18" t="str">
        <f>IF($AB216="","",IF($AB216&gt;$AA216,"PASS",IF($AB216&lt;=$AA216*(1-'Parametri Modello'!$B$68),"BID","ATTENZIONE")))</f>
        <v/>
      </c>
      <c r="AD216" s="28">
        <f t="shared" si="31"/>
        <v>61</v>
      </c>
      <c r="AE216" s="5" t="str">
        <f>IFERROR(INDEX('Stato Asta'!$G$9:$G$12,MATCH($B216,'Stato Asta'!$A$9:$A$12,0)),"")</f>
        <v>🔴 Non aspettare</v>
      </c>
      <c r="AF216" t="str">
        <f>IFERROR(IF($V216&lt;=INDEX('Parametri Modello'!$C$57:$C$60,MATCH($B216,'Parametri Modello'!$A$57:$A$60,0)),"Titolare","Riserva"),"")</f>
        <v>Riserva</v>
      </c>
      <c r="AG216" t="str">
        <f>IFERROR(INDEX('Pressione Competitiva'!$F$3:$F$6,MATCH($B216,'Pressione Competitiva'!$B$3:$B$6,0)),"")</f>
        <v>🔴 Molto Alta</v>
      </c>
      <c r="AH216" t="str">
        <f t="shared" si="32"/>
        <v/>
      </c>
      <c r="AI216" t="str">
        <f>IFERROR(IF($AH216="","",IF($AH216&gt;=$AA216*'Parametri Modello'!$B$68,"🟢 Opportunita'",IF($AH216&lt;=$AA216*'Parametri Modello'!$B$69,"🔴 Sovrapprezzo","🟡 Prezzo Corretto"))),"")</f>
        <v/>
      </c>
      <c r="AJ216" t="str">
        <f t="shared" si="33"/>
        <v/>
      </c>
      <c r="AK216">
        <f t="shared" si="34"/>
        <v>6</v>
      </c>
      <c r="AL216" t="str">
        <f t="shared" si="35"/>
        <v>D|Nella Media|6</v>
      </c>
    </row>
    <row r="217" spans="1:38" ht="14.25" customHeight="1" x14ac:dyDescent="0.25">
      <c r="A217" s="18">
        <v>4887</v>
      </c>
      <c r="B217" s="18" t="s">
        <v>16</v>
      </c>
      <c r="C217" s="18" t="s">
        <v>356</v>
      </c>
      <c r="E217" s="23" t="str">
        <f>IF(COUNTIF('Info Strategia'!$D$2:$D$51,$C217)&gt;0,"SI","NO")</f>
        <v>NO</v>
      </c>
      <c r="F217" s="24">
        <f>IFERROR(ROUND(($G217+($H217-$G217)*'Info Strategia'!$B$6)*(1+IF($E217="SI",'Parametri Modello'!$B$7*'Info Strategia'!$B$6,0)),0),"")</f>
        <v>3</v>
      </c>
      <c r="G217" s="24">
        <f>IFERROR(ROUND(MAX(1,(IF($V217&lt;=INDEX('Parametri Modello'!$C$57:$C$60,MATCH($B217,'Parametri Modello'!$A$57:$A$60,0)),IF(INDEX('Parametri Modello'!$E$57:$E$60,MATCH($B217,'Parametri Modello'!$A$57:$A$60,0))=0,0,($O217/INDEX('Parametri Modello'!$E$57:$E$60,MATCH($B217,'Parametri Modello'!$A$57:$A$60,0)))*(INDEX('Parametri Modello'!$D$57:$D$60,MATCH($B217,'Parametri Modello'!$A$57:$A$60,0))*(INDEX('Parametri Modello'!$B$50:$B$53,MATCH($B217,'Parametri Modello'!$A$50:$A$53,0))*'Parametri Modello'!$B$44))),IF(INDEX('Parametri Modello'!$F$57:$F$60,MATCH($B217,'Parametri Modello'!$A$57:$A$60,0))=0,0,($O217/INDEX('Parametri Modello'!$F$57:$F$60,MATCH($B217,'Parametri Modello'!$A$57:$A$60,0)))*((1-INDEX('Parametri Modello'!$D$57:$D$60,MATCH($B217,'Parametri Modello'!$A$57:$A$60,0)))*(INDEX('Parametri Modello'!$B$50:$B$53,MATCH($B217,'Parametri Modello'!$A$50:$A$53,0))*'Parametri Modello'!$B$44))))*(1+IF(IF($B217="D",'Info Lega'!$B$25,IF($B217="C",'Info Lega'!$B$26,"No"))="Si",'Parametri Modello'!$B$5,0))*(1+MAX(-0.25,MIN(0.25,IF(OR($T217="",$I217="",$I217=0,INDEX('Parametri Modello'!$B$19:$B$22,MATCH($B217,'Parametri Modello'!$A$19:$A$22,0))="",INDEX('Parametri Modello'!$B$19:$B$22,MATCH($B217,'Parametri Modello'!$A$19:$A$22,0))=0),0,(($T217-INDEX('Parametri Modello'!$B$19:$B$22,MATCH($B217,'Parametri Modello'!$A$19:$A$22,0)))/INDEX('Parametri Modello'!$B$19:$B$22,MATCH($B217,'Parametri Modello'!$A$19:$A$22,0)))*'Parametri Modello'!$B$9))))*(1+IF('Parametri Modello'!$B$27="Si",MAX(-'Parametri Modello'!$B$28,MIN('Parametri Modello'!$B$28*1.5,IF(OR(INDEX('Parametri Modello'!$F$32:$F$35,MATCH($B217,'Parametri Modello'!$A$32:$A$35,0))="",INDEX('Parametri Modello'!$F$32:$F$35,MATCH($B217,'Parametri Modello'!$A$32:$A$35,0))=0),0,(1/INDEX('Parametri Modello'!$F$32:$F$35,MATCH($B217,'Parametri Modello'!$A$32:$A$35,0))-1)*'Parametri Modello'!$B$28))),0)))*(1-INDEX('Parametri Modello'!$B$12:$B$15,MATCH($B217,'Parametri Modello'!$A$12:$A$15,0)))),0),"")</f>
        <v>2</v>
      </c>
      <c r="H217" s="24">
        <f>IFERROR(ROUND((IF($V217&lt;=INDEX('Parametri Modello'!$C$57:$C$60,MATCH($B217,'Parametri Modello'!$A$57:$A$60,0)),IF(INDEX('Parametri Modello'!$E$57:$E$60,MATCH($B217,'Parametri Modello'!$A$57:$A$60,0))=0,0,($O217/INDEX('Parametri Modello'!$E$57:$E$60,MATCH($B217,'Parametri Modello'!$A$57:$A$60,0)))*(INDEX('Parametri Modello'!$D$57:$D$60,MATCH($B217,'Parametri Modello'!$A$57:$A$60,0))*(INDEX('Parametri Modello'!$B$50:$B$53,MATCH($B217,'Parametri Modello'!$A$50:$A$53,0))*'Parametri Modello'!$B$44))),IF(INDEX('Parametri Modello'!$F$57:$F$60,MATCH($B217,'Parametri Modello'!$A$57:$A$60,0))=0,0,($O217/INDEX('Parametri Modello'!$F$57:$F$60,MATCH($B217,'Parametri Modello'!$A$57:$A$60,0)))*((1-INDEX('Parametri Modello'!$D$57:$D$60,MATCH($B217,'Parametri Modello'!$A$57:$A$60,0)))*(INDEX('Parametri Modello'!$B$50:$B$53,MATCH($B217,'Parametri Modello'!$A$50:$A$53,0))*'Parametri Modello'!$B$44))))*(1+IF(IF($B217="D",'Info Lega'!$B$25,IF($B217="C",'Info Lega'!$B$26,"No"))="Si",'Parametri Modello'!$B$5,0))*(1+MAX(-0.25,MIN(0.25,IF(OR($T217="",$I217="",$I217=0,INDEX('Parametri Modello'!$B$19:$B$22,MATCH($B217,'Parametri Modello'!$A$19:$A$22,0))="",INDEX('Parametri Modello'!$B$19:$B$22,MATCH($B217,'Parametri Modello'!$A$19:$A$22,0))=0),0,(($T217-INDEX('Parametri Modello'!$B$19:$B$22,MATCH($B217,'Parametri Modello'!$A$19:$A$22,0)))/INDEX('Parametri Modello'!$B$19:$B$22,MATCH($B217,'Parametri Modello'!$A$19:$A$22,0)))*'Parametri Modello'!$B$9))))*(1+IF('Parametri Modello'!$B$27="Si",MAX(-'Parametri Modello'!$B$28,MIN('Parametri Modello'!$B$28*1.5,IF(OR(INDEX('Parametri Modello'!$F$32:$F$35,MATCH($B217,'Parametri Modello'!$A$32:$A$35,0))="",INDEX('Parametri Modello'!$F$32:$F$35,MATCH($B217,'Parametri Modello'!$A$32:$A$35,0))=0),0,(1/INDEX('Parametri Modello'!$F$32:$F$35,MATCH($B217,'Parametri Modello'!$A$32:$A$35,0))-1)*'Parametri Modello'!$B$28))),0)))*(1+INDEX('Parametri Modello'!$B$12:$B$15,MATCH($B217,'Parametri Modello'!$A$12:$A$15,0))),0),"")</f>
        <v>3</v>
      </c>
      <c r="I217" s="23">
        <f>IFERROR(INDEX('Input Statistiche 2025_26'!$F$3:$F$665,MATCH($A217,'Input Statistiche 2025_26'!$A$3:$A$665,0)),"")</f>
        <v>22</v>
      </c>
      <c r="J217" s="23">
        <f t="shared" si="27"/>
        <v>16</v>
      </c>
      <c r="K217" s="23">
        <f>IFERROR(INDEX('Input Statistiche 2025_26'!$I$3:$I$665,MATCH($A217,'Input Statistiche 2025_26'!$A$3:$A$665,0)),"")</f>
        <v>0</v>
      </c>
      <c r="L217" s="23">
        <f>IFERROR(INDEX('Input Statistiche 2025_26'!$O$3:$O$665,MATCH($A217,'Input Statistiche 2025_26'!$A$3:$A$665,0)),"")</f>
        <v>1</v>
      </c>
      <c r="M217" s="25"/>
      <c r="N217" s="24">
        <f>IFERROR(INDEX('Input Giocatori 2026_27'!$E$3:$E$493,MATCH($A217,'Input Giocatori 2026_27'!$A$3:$A$493,0)),"")</f>
        <v>6</v>
      </c>
      <c r="O217" s="24">
        <f>IFERROR(INDEX('Input Giocatori 2026_27'!$G$3:$G$493,MATCH($A217,'Input Giocatori 2026_27'!$A$3:$A$493,0)),"")</f>
        <v>15</v>
      </c>
      <c r="P217" s="23" t="str">
        <f>IFERROR(IF($O217="","",IF((1-(COUNTIFS($B$2:$B$492,$B217,$O$2:$O$492,"&gt;"&amp;$O217)+1-1)/COUNTIF($B$2:$B$492,$B217))&gt;='Parametri Modello'!$B$63,"Top",IF((1-(COUNTIFS($B$2:$B$492,$B217,$O$2:$O$492,"&gt;"&amp;$O217)+1-1)/COUNTIF($B$2:$B$492,$B217))&gt;='Parametri Modello'!$B$64,"Buono",IF((1-(COUNTIFS($B$2:$B$492,$B217,$O$2:$O$492,"&gt;"&amp;$O217)+1-1)/COUNTIF($B$2:$B$492,$B217))&gt;='Parametri Modello'!$B$65,"Nella Media","Scommessa/Riserva")))),"")</f>
        <v>Nella Media</v>
      </c>
      <c r="Q217" s="26">
        <f>IF(AND($D217="",$N217&gt;1),SUMPRODUCT(($D$2:$D217="")*($N$2:$N217&gt;1)),"")</f>
        <v>216</v>
      </c>
      <c r="R217" s="26" t="str">
        <f>IF($D217='Info Lega'!$B$28,COUNTIFS($D$2:$D217,'Info Lega'!$B$28),"")</f>
        <v/>
      </c>
      <c r="S217" s="27">
        <f>IFERROR(INDEX('Input Statistiche 2025_26'!$G$3:$G$665,MATCH($A217,'Input Statistiche 2025_26'!$A$3:$A$665,0)),"")</f>
        <v>5.82</v>
      </c>
      <c r="T217" s="27">
        <f>IFERROR(INDEX('Input Statistiche 2025_26'!$H$3:$H$665,MATCH($A217,'Input Statistiche 2025_26'!$A$3:$A$665,0)),"")</f>
        <v>5.82</v>
      </c>
      <c r="U217" s="23" t="str">
        <f>IF(OR('La Mia Rosa'!$O$12="",$D217&lt;&gt;""),"",IF($F217&lt;='La Mia Rosa'!$O$12*'Parametri Modello'!$B$24,"OK",IF($F217&lt;='La Mia Rosa'!$O$12*'Parametri Modello'!$B$25,"Attenzione","Rischio Alto")))</f>
        <v>OK</v>
      </c>
      <c r="V217" s="23">
        <f t="shared" si="28"/>
        <v>61</v>
      </c>
      <c r="W217" s="18">
        <f>'Info Lega'!$B$4-SUMIFS($M$2:$M$492,$D$2:$D$492,'Info Lega'!$B$28)</f>
        <v>1000</v>
      </c>
      <c r="X217" s="18">
        <f>('Info Lega'!$B$5-COUNTIFS($D$2:$D$492,'Info Lega'!$B$28,$B$2:$B$492,"P"))+('Info Lega'!$B$6-COUNTIFS($D$2:$D$492,'Info Lega'!$B$28,$B$2:$B$492,"D"))+('Info Lega'!$B$7-COUNTIFS($D$2:$D$492,'Info Lega'!$B$28,$B$2:$B$492,"C"))+('Info Lega'!$B$8-COUNTIFS($D$2:$D$492,'Info Lega'!$B$28,$B$2:$B$492,"A"))</f>
        <v>25</v>
      </c>
      <c r="Y217" s="18">
        <f>X217*'Parametri Modello'!$B$30</f>
        <v>25</v>
      </c>
      <c r="Z217" s="18">
        <f t="shared" si="29"/>
        <v>975</v>
      </c>
      <c r="AA217" s="18">
        <f t="shared" si="30"/>
        <v>3</v>
      </c>
      <c r="AB217" s="18"/>
      <c r="AC217" s="18" t="str">
        <f>IF($AB217="","",IF($AB217&gt;$AA217,"PASS",IF($AB217&lt;=$AA217*(1-'Parametri Modello'!$B$68),"BID","ATTENZIONE")))</f>
        <v/>
      </c>
      <c r="AD217" s="28">
        <f t="shared" si="31"/>
        <v>52</v>
      </c>
      <c r="AE217" s="5" t="str">
        <f>IFERROR(INDEX('Stato Asta'!$G$9:$G$12,MATCH($B217,'Stato Asta'!$A$9:$A$12,0)),"")</f>
        <v>🔴 Non aspettare</v>
      </c>
      <c r="AF217" t="str">
        <f>IFERROR(IF($V217&lt;=INDEX('Parametri Modello'!$C$57:$C$60,MATCH($B217,'Parametri Modello'!$A$57:$A$60,0)),"Titolare","Riserva"),"")</f>
        <v>Riserva</v>
      </c>
      <c r="AG217" t="str">
        <f>IFERROR(INDEX('Pressione Competitiva'!$F$3:$F$6,MATCH($B217,'Pressione Competitiva'!$B$3:$B$6,0)),"")</f>
        <v>🔴 Molto Alta</v>
      </c>
      <c r="AH217" t="str">
        <f t="shared" si="32"/>
        <v/>
      </c>
      <c r="AI217" t="str">
        <f>IFERROR(IF($AH217="","",IF($AH217&gt;=$AA217*'Parametri Modello'!$B$68,"🟢 Opportunita'",IF($AH217&lt;=$AA217*'Parametri Modello'!$B$69,"🔴 Sovrapprezzo","🟡 Prezzo Corretto"))),"")</f>
        <v/>
      </c>
      <c r="AJ217" t="str">
        <f t="shared" si="33"/>
        <v/>
      </c>
      <c r="AK217">
        <f t="shared" si="34"/>
        <v>6</v>
      </c>
      <c r="AL217" t="str">
        <f t="shared" si="35"/>
        <v>D|Nella Media|6</v>
      </c>
    </row>
    <row r="218" spans="1:38" ht="14.25" customHeight="1" x14ac:dyDescent="0.25">
      <c r="A218" s="18">
        <v>7212</v>
      </c>
      <c r="B218" s="18" t="s">
        <v>16</v>
      </c>
      <c r="C218" s="18" t="s">
        <v>357</v>
      </c>
      <c r="E218" s="23" t="str">
        <f>IF(COUNTIF('Info Strategia'!$D$2:$D$51,$C218)&gt;0,"SI","NO")</f>
        <v>NO</v>
      </c>
      <c r="F218" s="24">
        <f>IFERROR(ROUND(($G218+($H218-$G218)*'Info Strategia'!$B$6)*(1+IF($E218="SI",'Parametri Modello'!$B$7*'Info Strategia'!$B$6,0)),0),"")</f>
        <v>3</v>
      </c>
      <c r="G218" s="24">
        <f>IFERROR(ROUND(MAX(1,(IF($V218&lt;=INDEX('Parametri Modello'!$C$57:$C$60,MATCH($B218,'Parametri Modello'!$A$57:$A$60,0)),IF(INDEX('Parametri Modello'!$E$57:$E$60,MATCH($B218,'Parametri Modello'!$A$57:$A$60,0))=0,0,($O218/INDEX('Parametri Modello'!$E$57:$E$60,MATCH($B218,'Parametri Modello'!$A$57:$A$60,0)))*(INDEX('Parametri Modello'!$D$57:$D$60,MATCH($B218,'Parametri Modello'!$A$57:$A$60,0))*(INDEX('Parametri Modello'!$B$50:$B$53,MATCH($B218,'Parametri Modello'!$A$50:$A$53,0))*'Parametri Modello'!$B$44))),IF(INDEX('Parametri Modello'!$F$57:$F$60,MATCH($B218,'Parametri Modello'!$A$57:$A$60,0))=0,0,($O218/INDEX('Parametri Modello'!$F$57:$F$60,MATCH($B218,'Parametri Modello'!$A$57:$A$60,0)))*((1-INDEX('Parametri Modello'!$D$57:$D$60,MATCH($B218,'Parametri Modello'!$A$57:$A$60,0)))*(INDEX('Parametri Modello'!$B$50:$B$53,MATCH($B218,'Parametri Modello'!$A$50:$A$53,0))*'Parametri Modello'!$B$44))))*(1+IF(IF($B218="D",'Info Lega'!$B$25,IF($B218="C",'Info Lega'!$B$26,"No"))="Si",'Parametri Modello'!$B$5,0))*(1+MAX(-0.25,MIN(0.25,IF(OR($T218="",$I218="",$I218=0,INDEX('Parametri Modello'!$B$19:$B$22,MATCH($B218,'Parametri Modello'!$A$19:$A$22,0))="",INDEX('Parametri Modello'!$B$19:$B$22,MATCH($B218,'Parametri Modello'!$A$19:$A$22,0))=0),0,(($T218-INDEX('Parametri Modello'!$B$19:$B$22,MATCH($B218,'Parametri Modello'!$A$19:$A$22,0)))/INDEX('Parametri Modello'!$B$19:$B$22,MATCH($B218,'Parametri Modello'!$A$19:$A$22,0)))*'Parametri Modello'!$B$9))))*(1+IF('Parametri Modello'!$B$27="Si",MAX(-'Parametri Modello'!$B$28,MIN('Parametri Modello'!$B$28*1.5,IF(OR(INDEX('Parametri Modello'!$F$32:$F$35,MATCH($B218,'Parametri Modello'!$A$32:$A$35,0))="",INDEX('Parametri Modello'!$F$32:$F$35,MATCH($B218,'Parametri Modello'!$A$32:$A$35,0))=0),0,(1/INDEX('Parametri Modello'!$F$32:$F$35,MATCH($B218,'Parametri Modello'!$A$32:$A$35,0))-1)*'Parametri Modello'!$B$28))),0)))*(1-INDEX('Parametri Modello'!$B$12:$B$15,MATCH($B218,'Parametri Modello'!$A$12:$A$15,0)))),0),"")</f>
        <v>2</v>
      </c>
      <c r="H218" s="24">
        <f>IFERROR(ROUND((IF($V218&lt;=INDEX('Parametri Modello'!$C$57:$C$60,MATCH($B218,'Parametri Modello'!$A$57:$A$60,0)),IF(INDEX('Parametri Modello'!$E$57:$E$60,MATCH($B218,'Parametri Modello'!$A$57:$A$60,0))=0,0,($O218/INDEX('Parametri Modello'!$E$57:$E$60,MATCH($B218,'Parametri Modello'!$A$57:$A$60,0)))*(INDEX('Parametri Modello'!$D$57:$D$60,MATCH($B218,'Parametri Modello'!$A$57:$A$60,0))*(INDEX('Parametri Modello'!$B$50:$B$53,MATCH($B218,'Parametri Modello'!$A$50:$A$53,0))*'Parametri Modello'!$B$44))),IF(INDEX('Parametri Modello'!$F$57:$F$60,MATCH($B218,'Parametri Modello'!$A$57:$A$60,0))=0,0,($O218/INDEX('Parametri Modello'!$F$57:$F$60,MATCH($B218,'Parametri Modello'!$A$57:$A$60,0)))*((1-INDEX('Parametri Modello'!$D$57:$D$60,MATCH($B218,'Parametri Modello'!$A$57:$A$60,0)))*(INDEX('Parametri Modello'!$B$50:$B$53,MATCH($B218,'Parametri Modello'!$A$50:$A$53,0))*'Parametri Modello'!$B$44))))*(1+IF(IF($B218="D",'Info Lega'!$B$25,IF($B218="C",'Info Lega'!$B$26,"No"))="Si",'Parametri Modello'!$B$5,0))*(1+MAX(-0.25,MIN(0.25,IF(OR($T218="",$I218="",$I218=0,INDEX('Parametri Modello'!$B$19:$B$22,MATCH($B218,'Parametri Modello'!$A$19:$A$22,0))="",INDEX('Parametri Modello'!$B$19:$B$22,MATCH($B218,'Parametri Modello'!$A$19:$A$22,0))=0),0,(($T218-INDEX('Parametri Modello'!$B$19:$B$22,MATCH($B218,'Parametri Modello'!$A$19:$A$22,0)))/INDEX('Parametri Modello'!$B$19:$B$22,MATCH($B218,'Parametri Modello'!$A$19:$A$22,0)))*'Parametri Modello'!$B$9))))*(1+IF('Parametri Modello'!$B$27="Si",MAX(-'Parametri Modello'!$B$28,MIN('Parametri Modello'!$B$28*1.5,IF(OR(INDEX('Parametri Modello'!$F$32:$F$35,MATCH($B218,'Parametri Modello'!$A$32:$A$35,0))="",INDEX('Parametri Modello'!$F$32:$F$35,MATCH($B218,'Parametri Modello'!$A$32:$A$35,0))=0),0,(1/INDEX('Parametri Modello'!$F$32:$F$35,MATCH($B218,'Parametri Modello'!$A$32:$A$35,0))-1)*'Parametri Modello'!$B$28))),0)))*(1+INDEX('Parametri Modello'!$B$12:$B$15,MATCH($B218,'Parametri Modello'!$A$12:$A$15,0))),0),"")</f>
        <v>3</v>
      </c>
      <c r="I218" s="23">
        <f>IFERROR(INDEX('Input Statistiche 2025_26'!$F$3:$F$665,MATCH($A218,'Input Statistiche 2025_26'!$A$3:$A$665,0)),"")</f>
        <v>25</v>
      </c>
      <c r="J218" s="23">
        <f t="shared" si="27"/>
        <v>13</v>
      </c>
      <c r="K218" s="23">
        <f>IFERROR(INDEX('Input Statistiche 2025_26'!$I$3:$I$665,MATCH($A218,'Input Statistiche 2025_26'!$A$3:$A$665,0)),"")</f>
        <v>0</v>
      </c>
      <c r="L218" s="23">
        <f>IFERROR(INDEX('Input Statistiche 2025_26'!$O$3:$O$665,MATCH($A218,'Input Statistiche 2025_26'!$A$3:$A$665,0)),"")</f>
        <v>0</v>
      </c>
      <c r="M218" s="25"/>
      <c r="N218" s="24">
        <f>IFERROR(INDEX('Input Giocatori 2026_27'!$E$3:$E$493,MATCH($A218,'Input Giocatori 2026_27'!$A$3:$A$493,0)),"")</f>
        <v>6</v>
      </c>
      <c r="O218" s="24">
        <f>IFERROR(INDEX('Input Giocatori 2026_27'!$G$3:$G$493,MATCH($A218,'Input Giocatori 2026_27'!$A$3:$A$493,0)),"")</f>
        <v>15</v>
      </c>
      <c r="P218" s="23" t="str">
        <f>IFERROR(IF($O218="","",IF((1-(COUNTIFS($B$2:$B$492,$B218,$O$2:$O$492,"&gt;"&amp;$O218)+1-1)/COUNTIF($B$2:$B$492,$B218))&gt;='Parametri Modello'!$B$63,"Top",IF((1-(COUNTIFS($B$2:$B$492,$B218,$O$2:$O$492,"&gt;"&amp;$O218)+1-1)/COUNTIF($B$2:$B$492,$B218))&gt;='Parametri Modello'!$B$64,"Buono",IF((1-(COUNTIFS($B$2:$B$492,$B218,$O$2:$O$492,"&gt;"&amp;$O218)+1-1)/COUNTIF($B$2:$B$492,$B218))&gt;='Parametri Modello'!$B$65,"Nella Media","Scommessa/Riserva")))),"")</f>
        <v>Nella Media</v>
      </c>
      <c r="Q218" s="26">
        <f>IF(AND($D218="",$N218&gt;1),SUMPRODUCT(($D$2:$D218="")*($N$2:$N218&gt;1)),"")</f>
        <v>217</v>
      </c>
      <c r="R218" s="26" t="str">
        <f>IF($D218='Info Lega'!$B$28,COUNTIFS($D$2:$D218,'Info Lega'!$B$28),"")</f>
        <v/>
      </c>
      <c r="S218" s="27">
        <f>IFERROR(INDEX('Input Statistiche 2025_26'!$G$3:$G$665,MATCH($A218,'Input Statistiche 2025_26'!$A$3:$A$665,0)),"")</f>
        <v>5.84</v>
      </c>
      <c r="T218" s="27">
        <f>IFERROR(INDEX('Input Statistiche 2025_26'!$H$3:$H$665,MATCH($A218,'Input Statistiche 2025_26'!$A$3:$A$665,0)),"")</f>
        <v>5.8</v>
      </c>
      <c r="U218" s="23" t="str">
        <f>IF(OR('La Mia Rosa'!$O$12="",$D218&lt;&gt;""),"",IF($F218&lt;='La Mia Rosa'!$O$12*'Parametri Modello'!$B$24,"OK",IF($F218&lt;='La Mia Rosa'!$O$12*'Parametri Modello'!$B$25,"Attenzione","Rischio Alto")))</f>
        <v>OK</v>
      </c>
      <c r="V218" s="23">
        <f t="shared" si="28"/>
        <v>61</v>
      </c>
      <c r="W218" s="18">
        <f>'Info Lega'!$B$4-SUMIFS($M$2:$M$492,$D$2:$D$492,'Info Lega'!$B$28)</f>
        <v>1000</v>
      </c>
      <c r="X218" s="18">
        <f>('Info Lega'!$B$5-COUNTIFS($D$2:$D$492,'Info Lega'!$B$28,$B$2:$B$492,"P"))+('Info Lega'!$B$6-COUNTIFS($D$2:$D$492,'Info Lega'!$B$28,$B$2:$B$492,"D"))+('Info Lega'!$B$7-COUNTIFS($D$2:$D$492,'Info Lega'!$B$28,$B$2:$B$492,"C"))+('Info Lega'!$B$8-COUNTIFS($D$2:$D$492,'Info Lega'!$B$28,$B$2:$B$492,"A"))</f>
        <v>25</v>
      </c>
      <c r="Y218" s="18">
        <f>X218*'Parametri Modello'!$B$30</f>
        <v>25</v>
      </c>
      <c r="Z218" s="18">
        <f t="shared" si="29"/>
        <v>975</v>
      </c>
      <c r="AA218" s="18">
        <f t="shared" si="30"/>
        <v>3</v>
      </c>
      <c r="AB218" s="18"/>
      <c r="AC218" s="18" t="str">
        <f>IF($AB218="","",IF($AB218&gt;$AA218,"PASS",IF($AB218&lt;=$AA218*(1-'Parametri Modello'!$B$68),"BID","ATTENZIONE")))</f>
        <v/>
      </c>
      <c r="AD218" s="28">
        <f t="shared" si="31"/>
        <v>57</v>
      </c>
      <c r="AE218" s="5" t="str">
        <f>IFERROR(INDEX('Stato Asta'!$G$9:$G$12,MATCH($B218,'Stato Asta'!$A$9:$A$12,0)),"")</f>
        <v>🔴 Non aspettare</v>
      </c>
      <c r="AF218" t="str">
        <f>IFERROR(IF($V218&lt;=INDEX('Parametri Modello'!$C$57:$C$60,MATCH($B218,'Parametri Modello'!$A$57:$A$60,0)),"Titolare","Riserva"),"")</f>
        <v>Riserva</v>
      </c>
      <c r="AG218" t="str">
        <f>IFERROR(INDEX('Pressione Competitiva'!$F$3:$F$6,MATCH($B218,'Pressione Competitiva'!$B$3:$B$6,0)),"")</f>
        <v>🔴 Molto Alta</v>
      </c>
      <c r="AH218" t="str">
        <f t="shared" si="32"/>
        <v/>
      </c>
      <c r="AI218" t="str">
        <f>IFERROR(IF($AH218="","",IF($AH218&gt;=$AA218*'Parametri Modello'!$B$68,"🟢 Opportunita'",IF($AH218&lt;=$AA218*'Parametri Modello'!$B$69,"🔴 Sovrapprezzo","🟡 Prezzo Corretto"))),"")</f>
        <v/>
      </c>
      <c r="AJ218" t="str">
        <f t="shared" si="33"/>
        <v/>
      </c>
      <c r="AK218">
        <f t="shared" si="34"/>
        <v>6</v>
      </c>
      <c r="AL218" t="str">
        <f t="shared" si="35"/>
        <v>D|Nella Media|6</v>
      </c>
    </row>
    <row r="219" spans="1:38" ht="14.25" customHeight="1" x14ac:dyDescent="0.25">
      <c r="A219" s="18">
        <v>7485</v>
      </c>
      <c r="B219" s="18" t="s">
        <v>16</v>
      </c>
      <c r="C219" s="18" t="s">
        <v>358</v>
      </c>
      <c r="E219" s="23" t="str">
        <f>IF(COUNTIF('Info Strategia'!$D$2:$D$51,$C219)&gt;0,"SI","NO")</f>
        <v>NO</v>
      </c>
      <c r="F219" s="24">
        <f>IFERROR(ROUND(($G219+($H219-$G219)*'Info Strategia'!$B$6)*(1+IF($E219="SI",'Parametri Modello'!$B$7*'Info Strategia'!$B$6,0)),0),"")</f>
        <v>3</v>
      </c>
      <c r="G219" s="24">
        <f>IFERROR(ROUND(MAX(1,(IF($V219&lt;=INDEX('Parametri Modello'!$C$57:$C$60,MATCH($B219,'Parametri Modello'!$A$57:$A$60,0)),IF(INDEX('Parametri Modello'!$E$57:$E$60,MATCH($B219,'Parametri Modello'!$A$57:$A$60,0))=0,0,($O219/INDEX('Parametri Modello'!$E$57:$E$60,MATCH($B219,'Parametri Modello'!$A$57:$A$60,0)))*(INDEX('Parametri Modello'!$D$57:$D$60,MATCH($B219,'Parametri Modello'!$A$57:$A$60,0))*(INDEX('Parametri Modello'!$B$50:$B$53,MATCH($B219,'Parametri Modello'!$A$50:$A$53,0))*'Parametri Modello'!$B$44))),IF(INDEX('Parametri Modello'!$F$57:$F$60,MATCH($B219,'Parametri Modello'!$A$57:$A$60,0))=0,0,($O219/INDEX('Parametri Modello'!$F$57:$F$60,MATCH($B219,'Parametri Modello'!$A$57:$A$60,0)))*((1-INDEX('Parametri Modello'!$D$57:$D$60,MATCH($B219,'Parametri Modello'!$A$57:$A$60,0)))*(INDEX('Parametri Modello'!$B$50:$B$53,MATCH($B219,'Parametri Modello'!$A$50:$A$53,0))*'Parametri Modello'!$B$44))))*(1+IF(IF($B219="D",'Info Lega'!$B$25,IF($B219="C",'Info Lega'!$B$26,"No"))="Si",'Parametri Modello'!$B$5,0))*(1+MAX(-0.25,MIN(0.25,IF(OR($T219="",$I219="",$I219=0,INDEX('Parametri Modello'!$B$19:$B$22,MATCH($B219,'Parametri Modello'!$A$19:$A$22,0))="",INDEX('Parametri Modello'!$B$19:$B$22,MATCH($B219,'Parametri Modello'!$A$19:$A$22,0))=0),0,(($T219-INDEX('Parametri Modello'!$B$19:$B$22,MATCH($B219,'Parametri Modello'!$A$19:$A$22,0)))/INDEX('Parametri Modello'!$B$19:$B$22,MATCH($B219,'Parametri Modello'!$A$19:$A$22,0)))*'Parametri Modello'!$B$9))))*(1+IF('Parametri Modello'!$B$27="Si",MAX(-'Parametri Modello'!$B$28,MIN('Parametri Modello'!$B$28*1.5,IF(OR(INDEX('Parametri Modello'!$F$32:$F$35,MATCH($B219,'Parametri Modello'!$A$32:$A$35,0))="",INDEX('Parametri Modello'!$F$32:$F$35,MATCH($B219,'Parametri Modello'!$A$32:$A$35,0))=0),0,(1/INDEX('Parametri Modello'!$F$32:$F$35,MATCH($B219,'Parametri Modello'!$A$32:$A$35,0))-1)*'Parametri Modello'!$B$28))),0)))*(1-INDEX('Parametri Modello'!$B$12:$B$15,MATCH($B219,'Parametri Modello'!$A$12:$A$15,0)))),0),"")</f>
        <v>2</v>
      </c>
      <c r="H219" s="24">
        <f>IFERROR(ROUND((IF($V219&lt;=INDEX('Parametri Modello'!$C$57:$C$60,MATCH($B219,'Parametri Modello'!$A$57:$A$60,0)),IF(INDEX('Parametri Modello'!$E$57:$E$60,MATCH($B219,'Parametri Modello'!$A$57:$A$60,0))=0,0,($O219/INDEX('Parametri Modello'!$E$57:$E$60,MATCH($B219,'Parametri Modello'!$A$57:$A$60,0)))*(INDEX('Parametri Modello'!$D$57:$D$60,MATCH($B219,'Parametri Modello'!$A$57:$A$60,0))*(INDEX('Parametri Modello'!$B$50:$B$53,MATCH($B219,'Parametri Modello'!$A$50:$A$53,0))*'Parametri Modello'!$B$44))),IF(INDEX('Parametri Modello'!$F$57:$F$60,MATCH($B219,'Parametri Modello'!$A$57:$A$60,0))=0,0,($O219/INDEX('Parametri Modello'!$F$57:$F$60,MATCH($B219,'Parametri Modello'!$A$57:$A$60,0)))*((1-INDEX('Parametri Modello'!$D$57:$D$60,MATCH($B219,'Parametri Modello'!$A$57:$A$60,0)))*(INDEX('Parametri Modello'!$B$50:$B$53,MATCH($B219,'Parametri Modello'!$A$50:$A$53,0))*'Parametri Modello'!$B$44))))*(1+IF(IF($B219="D",'Info Lega'!$B$25,IF($B219="C",'Info Lega'!$B$26,"No"))="Si",'Parametri Modello'!$B$5,0))*(1+MAX(-0.25,MIN(0.25,IF(OR($T219="",$I219="",$I219=0,INDEX('Parametri Modello'!$B$19:$B$22,MATCH($B219,'Parametri Modello'!$A$19:$A$22,0))="",INDEX('Parametri Modello'!$B$19:$B$22,MATCH($B219,'Parametri Modello'!$A$19:$A$22,0))=0),0,(($T219-INDEX('Parametri Modello'!$B$19:$B$22,MATCH($B219,'Parametri Modello'!$A$19:$A$22,0)))/INDEX('Parametri Modello'!$B$19:$B$22,MATCH($B219,'Parametri Modello'!$A$19:$A$22,0)))*'Parametri Modello'!$B$9))))*(1+IF('Parametri Modello'!$B$27="Si",MAX(-'Parametri Modello'!$B$28,MIN('Parametri Modello'!$B$28*1.5,IF(OR(INDEX('Parametri Modello'!$F$32:$F$35,MATCH($B219,'Parametri Modello'!$A$32:$A$35,0))="",INDEX('Parametri Modello'!$F$32:$F$35,MATCH($B219,'Parametri Modello'!$A$32:$A$35,0))=0),0,(1/INDEX('Parametri Modello'!$F$32:$F$35,MATCH($B219,'Parametri Modello'!$A$32:$A$35,0))-1)*'Parametri Modello'!$B$28))),0)))*(1+INDEX('Parametri Modello'!$B$12:$B$15,MATCH($B219,'Parametri Modello'!$A$12:$A$15,0))),0),"")</f>
        <v>3</v>
      </c>
      <c r="I219" s="23" t="str">
        <f>IFERROR(INDEX('Input Statistiche 2025_26'!$F$3:$F$665,MATCH($A219,'Input Statistiche 2025_26'!$A$3:$A$665,0)),"")</f>
        <v/>
      </c>
      <c r="J219" s="23" t="str">
        <f t="shared" si="27"/>
        <v/>
      </c>
      <c r="K219" s="23" t="str">
        <f>IFERROR(INDEX('Input Statistiche 2025_26'!$I$3:$I$665,MATCH($A219,'Input Statistiche 2025_26'!$A$3:$A$665,0)),"")</f>
        <v/>
      </c>
      <c r="L219" s="23" t="str">
        <f>IFERROR(INDEX('Input Statistiche 2025_26'!$O$3:$O$665,MATCH($A219,'Input Statistiche 2025_26'!$A$3:$A$665,0)),"")</f>
        <v/>
      </c>
      <c r="M219" s="25"/>
      <c r="N219" s="24">
        <f>IFERROR(INDEX('Input Giocatori 2026_27'!$E$3:$E$493,MATCH($A219,'Input Giocatori 2026_27'!$A$3:$A$493,0)),"")</f>
        <v>6</v>
      </c>
      <c r="O219" s="24">
        <f>IFERROR(INDEX('Input Giocatori 2026_27'!$G$3:$G$493,MATCH($A219,'Input Giocatori 2026_27'!$A$3:$A$493,0)),"")</f>
        <v>15</v>
      </c>
      <c r="P219" s="23" t="str">
        <f>IFERROR(IF($O219="","",IF((1-(COUNTIFS($B$2:$B$492,$B219,$O$2:$O$492,"&gt;"&amp;$O219)+1-1)/COUNTIF($B$2:$B$492,$B219))&gt;='Parametri Modello'!$B$63,"Top",IF((1-(COUNTIFS($B$2:$B$492,$B219,$O$2:$O$492,"&gt;"&amp;$O219)+1-1)/COUNTIF($B$2:$B$492,$B219))&gt;='Parametri Modello'!$B$64,"Buono",IF((1-(COUNTIFS($B$2:$B$492,$B219,$O$2:$O$492,"&gt;"&amp;$O219)+1-1)/COUNTIF($B$2:$B$492,$B219))&gt;='Parametri Modello'!$B$65,"Nella Media","Scommessa/Riserva")))),"")</f>
        <v>Nella Media</v>
      </c>
      <c r="Q219" s="26">
        <f>IF(AND($D219="",$N219&gt;1),SUMPRODUCT(($D$2:$D219="")*($N$2:$N219&gt;1)),"")</f>
        <v>218</v>
      </c>
      <c r="R219" s="26" t="str">
        <f>IF($D219='Info Lega'!$B$28,COUNTIFS($D$2:$D219,'Info Lega'!$B$28),"")</f>
        <v/>
      </c>
      <c r="S219" s="27" t="str">
        <f>IFERROR(INDEX('Input Statistiche 2025_26'!$G$3:$G$665,MATCH($A219,'Input Statistiche 2025_26'!$A$3:$A$665,0)),"")</f>
        <v/>
      </c>
      <c r="T219" s="27" t="str">
        <f>IFERROR(INDEX('Input Statistiche 2025_26'!$H$3:$H$665,MATCH($A219,'Input Statistiche 2025_26'!$A$3:$A$665,0)),"")</f>
        <v/>
      </c>
      <c r="U219" s="23" t="str">
        <f>IF(OR('La Mia Rosa'!$O$12="",$D219&lt;&gt;""),"",IF($F219&lt;='La Mia Rosa'!$O$12*'Parametri Modello'!$B$24,"OK",IF($F219&lt;='La Mia Rosa'!$O$12*'Parametri Modello'!$B$25,"Attenzione","Rischio Alto")))</f>
        <v>OK</v>
      </c>
      <c r="V219" s="23">
        <f t="shared" si="28"/>
        <v>61</v>
      </c>
      <c r="W219" s="18">
        <f>'Info Lega'!$B$4-SUMIFS($M$2:$M$492,$D$2:$D$492,'Info Lega'!$B$28)</f>
        <v>1000</v>
      </c>
      <c r="X219" s="18">
        <f>('Info Lega'!$B$5-COUNTIFS($D$2:$D$492,'Info Lega'!$B$28,$B$2:$B$492,"P"))+('Info Lega'!$B$6-COUNTIFS($D$2:$D$492,'Info Lega'!$B$28,$B$2:$B$492,"D"))+('Info Lega'!$B$7-COUNTIFS($D$2:$D$492,'Info Lega'!$B$28,$B$2:$B$492,"C"))+('Info Lega'!$B$8-COUNTIFS($D$2:$D$492,'Info Lega'!$B$28,$B$2:$B$492,"A"))</f>
        <v>25</v>
      </c>
      <c r="Y219" s="18">
        <f>X219*'Parametri Modello'!$B$30</f>
        <v>25</v>
      </c>
      <c r="Z219" s="18">
        <f t="shared" si="29"/>
        <v>975</v>
      </c>
      <c r="AA219" s="18">
        <f t="shared" si="30"/>
        <v>3</v>
      </c>
      <c r="AB219" s="18"/>
      <c r="AC219" s="18" t="str">
        <f>IF($AB219="","",IF($AB219&gt;$AA219,"PASS",IF($AB219&lt;=$AA219*(1-'Parametri Modello'!$B$68),"BID","ATTENZIONE")))</f>
        <v/>
      </c>
      <c r="AD219" s="28" t="str">
        <f t="shared" si="31"/>
        <v/>
      </c>
      <c r="AE219" s="5" t="str">
        <f>IFERROR(INDEX('Stato Asta'!$G$9:$G$12,MATCH($B219,'Stato Asta'!$A$9:$A$12,0)),"")</f>
        <v>🔴 Non aspettare</v>
      </c>
      <c r="AF219" t="str">
        <f>IFERROR(IF($V219&lt;=INDEX('Parametri Modello'!$C$57:$C$60,MATCH($B219,'Parametri Modello'!$A$57:$A$60,0)),"Titolare","Riserva"),"")</f>
        <v>Riserva</v>
      </c>
      <c r="AG219" t="str">
        <f>IFERROR(INDEX('Pressione Competitiva'!$F$3:$F$6,MATCH($B219,'Pressione Competitiva'!$B$3:$B$6,0)),"")</f>
        <v>🔴 Molto Alta</v>
      </c>
      <c r="AH219" t="str">
        <f t="shared" si="32"/>
        <v/>
      </c>
      <c r="AI219" t="str">
        <f>IFERROR(IF($AH219="","",IF($AH219&gt;=$AA219*'Parametri Modello'!$B$68,"🟢 Opportunita'",IF($AH219&lt;=$AA219*'Parametri Modello'!$B$69,"🔴 Sovrapprezzo","🟡 Prezzo Corretto"))),"")</f>
        <v/>
      </c>
      <c r="AJ219" t="str">
        <f t="shared" si="33"/>
        <v/>
      </c>
      <c r="AK219">
        <f t="shared" si="34"/>
        <v>6</v>
      </c>
      <c r="AL219" t="str">
        <f t="shared" si="35"/>
        <v>D|Nella Media|6</v>
      </c>
    </row>
    <row r="220" spans="1:38" ht="14.25" customHeight="1" x14ac:dyDescent="0.25">
      <c r="A220" s="18">
        <v>2593</v>
      </c>
      <c r="B220" s="18" t="s">
        <v>16</v>
      </c>
      <c r="C220" s="18" t="s">
        <v>359</v>
      </c>
      <c r="E220" s="23" t="str">
        <f>IF(COUNTIF('Info Strategia'!$D$2:$D$51,$C220)&gt;0,"SI","NO")</f>
        <v>NO</v>
      </c>
      <c r="F220" s="24">
        <f>IFERROR(ROUND(($G220+($H220-$G220)*'Info Strategia'!$B$6)*(1+IF($E220="SI",'Parametri Modello'!$B$7*'Info Strategia'!$B$6,0)),0),"")</f>
        <v>3</v>
      </c>
      <c r="G220" s="24">
        <f>IFERROR(ROUND(MAX(1,(IF($V220&lt;=INDEX('Parametri Modello'!$C$57:$C$60,MATCH($B220,'Parametri Modello'!$A$57:$A$60,0)),IF(INDEX('Parametri Modello'!$E$57:$E$60,MATCH($B220,'Parametri Modello'!$A$57:$A$60,0))=0,0,($O220/INDEX('Parametri Modello'!$E$57:$E$60,MATCH($B220,'Parametri Modello'!$A$57:$A$60,0)))*(INDEX('Parametri Modello'!$D$57:$D$60,MATCH($B220,'Parametri Modello'!$A$57:$A$60,0))*(INDEX('Parametri Modello'!$B$50:$B$53,MATCH($B220,'Parametri Modello'!$A$50:$A$53,0))*'Parametri Modello'!$B$44))),IF(INDEX('Parametri Modello'!$F$57:$F$60,MATCH($B220,'Parametri Modello'!$A$57:$A$60,0))=0,0,($O220/INDEX('Parametri Modello'!$F$57:$F$60,MATCH($B220,'Parametri Modello'!$A$57:$A$60,0)))*((1-INDEX('Parametri Modello'!$D$57:$D$60,MATCH($B220,'Parametri Modello'!$A$57:$A$60,0)))*(INDEX('Parametri Modello'!$B$50:$B$53,MATCH($B220,'Parametri Modello'!$A$50:$A$53,0))*'Parametri Modello'!$B$44))))*(1+IF(IF($B220="D",'Info Lega'!$B$25,IF($B220="C",'Info Lega'!$B$26,"No"))="Si",'Parametri Modello'!$B$5,0))*(1+MAX(-0.25,MIN(0.25,IF(OR($T220="",$I220="",$I220=0,INDEX('Parametri Modello'!$B$19:$B$22,MATCH($B220,'Parametri Modello'!$A$19:$A$22,0))="",INDEX('Parametri Modello'!$B$19:$B$22,MATCH($B220,'Parametri Modello'!$A$19:$A$22,0))=0),0,(($T220-INDEX('Parametri Modello'!$B$19:$B$22,MATCH($B220,'Parametri Modello'!$A$19:$A$22,0)))/INDEX('Parametri Modello'!$B$19:$B$22,MATCH($B220,'Parametri Modello'!$A$19:$A$22,0)))*'Parametri Modello'!$B$9))))*(1+IF('Parametri Modello'!$B$27="Si",MAX(-'Parametri Modello'!$B$28,MIN('Parametri Modello'!$B$28*1.5,IF(OR(INDEX('Parametri Modello'!$F$32:$F$35,MATCH($B220,'Parametri Modello'!$A$32:$A$35,0))="",INDEX('Parametri Modello'!$F$32:$F$35,MATCH($B220,'Parametri Modello'!$A$32:$A$35,0))=0),0,(1/INDEX('Parametri Modello'!$F$32:$F$35,MATCH($B220,'Parametri Modello'!$A$32:$A$35,0))-1)*'Parametri Modello'!$B$28))),0)))*(1-INDEX('Parametri Modello'!$B$12:$B$15,MATCH($B220,'Parametri Modello'!$A$12:$A$15,0)))),0),"")</f>
        <v>2</v>
      </c>
      <c r="H220" s="24">
        <f>IFERROR(ROUND((IF($V220&lt;=INDEX('Parametri Modello'!$C$57:$C$60,MATCH($B220,'Parametri Modello'!$A$57:$A$60,0)),IF(INDEX('Parametri Modello'!$E$57:$E$60,MATCH($B220,'Parametri Modello'!$A$57:$A$60,0))=0,0,($O220/INDEX('Parametri Modello'!$E$57:$E$60,MATCH($B220,'Parametri Modello'!$A$57:$A$60,0)))*(INDEX('Parametri Modello'!$D$57:$D$60,MATCH($B220,'Parametri Modello'!$A$57:$A$60,0))*(INDEX('Parametri Modello'!$B$50:$B$53,MATCH($B220,'Parametri Modello'!$A$50:$A$53,0))*'Parametri Modello'!$B$44))),IF(INDEX('Parametri Modello'!$F$57:$F$60,MATCH($B220,'Parametri Modello'!$A$57:$A$60,0))=0,0,($O220/INDEX('Parametri Modello'!$F$57:$F$60,MATCH($B220,'Parametri Modello'!$A$57:$A$60,0)))*((1-INDEX('Parametri Modello'!$D$57:$D$60,MATCH($B220,'Parametri Modello'!$A$57:$A$60,0)))*(INDEX('Parametri Modello'!$B$50:$B$53,MATCH($B220,'Parametri Modello'!$A$50:$A$53,0))*'Parametri Modello'!$B$44))))*(1+IF(IF($B220="D",'Info Lega'!$B$25,IF($B220="C",'Info Lega'!$B$26,"No"))="Si",'Parametri Modello'!$B$5,0))*(1+MAX(-0.25,MIN(0.25,IF(OR($T220="",$I220="",$I220=0,INDEX('Parametri Modello'!$B$19:$B$22,MATCH($B220,'Parametri Modello'!$A$19:$A$22,0))="",INDEX('Parametri Modello'!$B$19:$B$22,MATCH($B220,'Parametri Modello'!$A$19:$A$22,0))=0),0,(($T220-INDEX('Parametri Modello'!$B$19:$B$22,MATCH($B220,'Parametri Modello'!$A$19:$A$22,0)))/INDEX('Parametri Modello'!$B$19:$B$22,MATCH($B220,'Parametri Modello'!$A$19:$A$22,0)))*'Parametri Modello'!$B$9))))*(1+IF('Parametri Modello'!$B$27="Si",MAX(-'Parametri Modello'!$B$28,MIN('Parametri Modello'!$B$28*1.5,IF(OR(INDEX('Parametri Modello'!$F$32:$F$35,MATCH($B220,'Parametri Modello'!$A$32:$A$35,0))="",INDEX('Parametri Modello'!$F$32:$F$35,MATCH($B220,'Parametri Modello'!$A$32:$A$35,0))=0),0,(1/INDEX('Parametri Modello'!$F$32:$F$35,MATCH($B220,'Parametri Modello'!$A$32:$A$35,0))-1)*'Parametri Modello'!$B$28))),0)))*(1+INDEX('Parametri Modello'!$B$12:$B$15,MATCH($B220,'Parametri Modello'!$A$12:$A$15,0))),0),"")</f>
        <v>3</v>
      </c>
      <c r="I220" s="23">
        <f>IFERROR(INDEX('Input Statistiche 2025_26'!$F$3:$F$665,MATCH($A220,'Input Statistiche 2025_26'!$A$3:$A$665,0)),"")</f>
        <v>29</v>
      </c>
      <c r="J220" s="23">
        <f t="shared" si="27"/>
        <v>9</v>
      </c>
      <c r="K220" s="23">
        <f>IFERROR(INDEX('Input Statistiche 2025_26'!$I$3:$I$665,MATCH($A220,'Input Statistiche 2025_26'!$A$3:$A$665,0)),"")</f>
        <v>1</v>
      </c>
      <c r="L220" s="23">
        <f>IFERROR(INDEX('Input Statistiche 2025_26'!$O$3:$O$665,MATCH($A220,'Input Statistiche 2025_26'!$A$3:$A$665,0)),"")</f>
        <v>5</v>
      </c>
      <c r="M220" s="25"/>
      <c r="N220" s="24">
        <f>IFERROR(INDEX('Input Giocatori 2026_27'!$E$3:$E$493,MATCH($A220,'Input Giocatori 2026_27'!$A$3:$A$493,0)),"")</f>
        <v>5</v>
      </c>
      <c r="O220" s="24">
        <f>IFERROR(INDEX('Input Giocatori 2026_27'!$G$3:$G$493,MATCH($A220,'Input Giocatori 2026_27'!$A$3:$A$493,0)),"")</f>
        <v>15</v>
      </c>
      <c r="P220" s="23" t="str">
        <f>IFERROR(IF($O220="","",IF((1-(COUNTIFS($B$2:$B$492,$B220,$O$2:$O$492,"&gt;"&amp;$O220)+1-1)/COUNTIF($B$2:$B$492,$B220))&gt;='Parametri Modello'!$B$63,"Top",IF((1-(COUNTIFS($B$2:$B$492,$B220,$O$2:$O$492,"&gt;"&amp;$O220)+1-1)/COUNTIF($B$2:$B$492,$B220))&gt;='Parametri Modello'!$B$64,"Buono",IF((1-(COUNTIFS($B$2:$B$492,$B220,$O$2:$O$492,"&gt;"&amp;$O220)+1-1)/COUNTIF($B$2:$B$492,$B220))&gt;='Parametri Modello'!$B$65,"Nella Media","Scommessa/Riserva")))),"")</f>
        <v>Nella Media</v>
      </c>
      <c r="Q220" s="26">
        <f>IF(AND($D220="",$N220&gt;1),SUMPRODUCT(($D$2:$D220="")*($N$2:$N220&gt;1)),"")</f>
        <v>219</v>
      </c>
      <c r="R220" s="26" t="str">
        <f>IF($D220='Info Lega'!$B$28,COUNTIFS($D$2:$D220,'Info Lega'!$B$28),"")</f>
        <v/>
      </c>
      <c r="S220" s="27">
        <f>IFERROR(INDEX('Input Statistiche 2025_26'!$G$3:$G$665,MATCH($A220,'Input Statistiche 2025_26'!$A$3:$A$665,0)),"")</f>
        <v>5.97</v>
      </c>
      <c r="T220" s="27">
        <f>IFERROR(INDEX('Input Statistiche 2025_26'!$H$3:$H$665,MATCH($A220,'Input Statistiche 2025_26'!$A$3:$A$665,0)),"")</f>
        <v>6.1</v>
      </c>
      <c r="U220" s="23" t="str">
        <f>IF(OR('La Mia Rosa'!$O$12="",$D220&lt;&gt;""),"",IF($F220&lt;='La Mia Rosa'!$O$12*'Parametri Modello'!$B$24,"OK",IF($F220&lt;='La Mia Rosa'!$O$12*'Parametri Modello'!$B$25,"Attenzione","Rischio Alto")))</f>
        <v>OK</v>
      </c>
      <c r="V220" s="23">
        <f t="shared" si="28"/>
        <v>61</v>
      </c>
      <c r="W220" s="18">
        <f>'Info Lega'!$B$4-SUMIFS($M$2:$M$492,$D$2:$D$492,'Info Lega'!$B$28)</f>
        <v>1000</v>
      </c>
      <c r="X220" s="18">
        <f>('Info Lega'!$B$5-COUNTIFS($D$2:$D$492,'Info Lega'!$B$28,$B$2:$B$492,"P"))+('Info Lega'!$B$6-COUNTIFS($D$2:$D$492,'Info Lega'!$B$28,$B$2:$B$492,"D"))+('Info Lega'!$B$7-COUNTIFS($D$2:$D$492,'Info Lega'!$B$28,$B$2:$B$492,"C"))+('Info Lega'!$B$8-COUNTIFS($D$2:$D$492,'Info Lega'!$B$28,$B$2:$B$492,"A"))</f>
        <v>25</v>
      </c>
      <c r="Y220" s="18">
        <f>X220*'Parametri Modello'!$B$30</f>
        <v>25</v>
      </c>
      <c r="Z220" s="18">
        <f t="shared" si="29"/>
        <v>975</v>
      </c>
      <c r="AA220" s="18">
        <f t="shared" si="30"/>
        <v>3</v>
      </c>
      <c r="AB220" s="18"/>
      <c r="AC220" s="18" t="str">
        <f>IF($AB220="","",IF($AB220&gt;$AA220,"PASS",IF($AB220&lt;=$AA220*(1-'Parametri Modello'!$B$68),"BID","ATTENZIONE")))</f>
        <v/>
      </c>
      <c r="AD220" s="28">
        <f t="shared" si="31"/>
        <v>62</v>
      </c>
      <c r="AE220" s="5" t="str">
        <f>IFERROR(INDEX('Stato Asta'!$G$9:$G$12,MATCH($B220,'Stato Asta'!$A$9:$A$12,0)),"")</f>
        <v>🔴 Non aspettare</v>
      </c>
      <c r="AF220" t="str">
        <f>IFERROR(IF($V220&lt;=INDEX('Parametri Modello'!$C$57:$C$60,MATCH($B220,'Parametri Modello'!$A$57:$A$60,0)),"Titolare","Riserva"),"")</f>
        <v>Riserva</v>
      </c>
      <c r="AG220" t="str">
        <f>IFERROR(INDEX('Pressione Competitiva'!$F$3:$F$6,MATCH($B220,'Pressione Competitiva'!$B$3:$B$6,0)),"")</f>
        <v>🔴 Molto Alta</v>
      </c>
      <c r="AH220" t="str">
        <f t="shared" si="32"/>
        <v/>
      </c>
      <c r="AI220" t="str">
        <f>IFERROR(IF($AH220="","",IF($AH220&gt;=$AA220*'Parametri Modello'!$B$68,"🟢 Opportunita'",IF($AH220&lt;=$AA220*'Parametri Modello'!$B$69,"🔴 Sovrapprezzo","🟡 Prezzo Corretto"))),"")</f>
        <v/>
      </c>
      <c r="AJ220" t="str">
        <f t="shared" si="33"/>
        <v/>
      </c>
      <c r="AK220">
        <f t="shared" si="34"/>
        <v>6</v>
      </c>
      <c r="AL220" t="str">
        <f t="shared" si="35"/>
        <v>D|Nella Media|6</v>
      </c>
    </row>
    <row r="221" spans="1:38" ht="14.25" customHeight="1" x14ac:dyDescent="0.25">
      <c r="A221" s="18">
        <v>4817</v>
      </c>
      <c r="B221" s="18" t="s">
        <v>16</v>
      </c>
      <c r="C221" s="18" t="s">
        <v>360</v>
      </c>
      <c r="E221" s="23" t="str">
        <f>IF(COUNTIF('Info Strategia'!$D$2:$D$51,$C221)&gt;0,"SI","NO")</f>
        <v>NO</v>
      </c>
      <c r="F221" s="24">
        <f>IFERROR(ROUND(($G221+($H221-$G221)*'Info Strategia'!$B$6)*(1+IF($E221="SI",'Parametri Modello'!$B$7*'Info Strategia'!$B$6,0)),0),"")</f>
        <v>3</v>
      </c>
      <c r="G221" s="24">
        <f>IFERROR(ROUND(MAX(1,(IF($V221&lt;=INDEX('Parametri Modello'!$C$57:$C$60,MATCH($B221,'Parametri Modello'!$A$57:$A$60,0)),IF(INDEX('Parametri Modello'!$E$57:$E$60,MATCH($B221,'Parametri Modello'!$A$57:$A$60,0))=0,0,($O221/INDEX('Parametri Modello'!$E$57:$E$60,MATCH($B221,'Parametri Modello'!$A$57:$A$60,0)))*(INDEX('Parametri Modello'!$D$57:$D$60,MATCH($B221,'Parametri Modello'!$A$57:$A$60,0))*(INDEX('Parametri Modello'!$B$50:$B$53,MATCH($B221,'Parametri Modello'!$A$50:$A$53,0))*'Parametri Modello'!$B$44))),IF(INDEX('Parametri Modello'!$F$57:$F$60,MATCH($B221,'Parametri Modello'!$A$57:$A$60,0))=0,0,($O221/INDEX('Parametri Modello'!$F$57:$F$60,MATCH($B221,'Parametri Modello'!$A$57:$A$60,0)))*((1-INDEX('Parametri Modello'!$D$57:$D$60,MATCH($B221,'Parametri Modello'!$A$57:$A$60,0)))*(INDEX('Parametri Modello'!$B$50:$B$53,MATCH($B221,'Parametri Modello'!$A$50:$A$53,0))*'Parametri Modello'!$B$44))))*(1+IF(IF($B221="D",'Info Lega'!$B$25,IF($B221="C",'Info Lega'!$B$26,"No"))="Si",'Parametri Modello'!$B$5,0))*(1+MAX(-0.25,MIN(0.25,IF(OR($T221="",$I221="",$I221=0,INDEX('Parametri Modello'!$B$19:$B$22,MATCH($B221,'Parametri Modello'!$A$19:$A$22,0))="",INDEX('Parametri Modello'!$B$19:$B$22,MATCH($B221,'Parametri Modello'!$A$19:$A$22,0))=0),0,(($T221-INDEX('Parametri Modello'!$B$19:$B$22,MATCH($B221,'Parametri Modello'!$A$19:$A$22,0)))/INDEX('Parametri Modello'!$B$19:$B$22,MATCH($B221,'Parametri Modello'!$A$19:$A$22,0)))*'Parametri Modello'!$B$9))))*(1+IF('Parametri Modello'!$B$27="Si",MAX(-'Parametri Modello'!$B$28,MIN('Parametri Modello'!$B$28*1.5,IF(OR(INDEX('Parametri Modello'!$F$32:$F$35,MATCH($B221,'Parametri Modello'!$A$32:$A$35,0))="",INDEX('Parametri Modello'!$F$32:$F$35,MATCH($B221,'Parametri Modello'!$A$32:$A$35,0))=0),0,(1/INDEX('Parametri Modello'!$F$32:$F$35,MATCH($B221,'Parametri Modello'!$A$32:$A$35,0))-1)*'Parametri Modello'!$B$28))),0)))*(1-INDEX('Parametri Modello'!$B$12:$B$15,MATCH($B221,'Parametri Modello'!$A$12:$A$15,0)))),0),"")</f>
        <v>2</v>
      </c>
      <c r="H221" s="24">
        <f>IFERROR(ROUND((IF($V221&lt;=INDEX('Parametri Modello'!$C$57:$C$60,MATCH($B221,'Parametri Modello'!$A$57:$A$60,0)),IF(INDEX('Parametri Modello'!$E$57:$E$60,MATCH($B221,'Parametri Modello'!$A$57:$A$60,0))=0,0,($O221/INDEX('Parametri Modello'!$E$57:$E$60,MATCH($B221,'Parametri Modello'!$A$57:$A$60,0)))*(INDEX('Parametri Modello'!$D$57:$D$60,MATCH($B221,'Parametri Modello'!$A$57:$A$60,0))*(INDEX('Parametri Modello'!$B$50:$B$53,MATCH($B221,'Parametri Modello'!$A$50:$A$53,0))*'Parametri Modello'!$B$44))),IF(INDEX('Parametri Modello'!$F$57:$F$60,MATCH($B221,'Parametri Modello'!$A$57:$A$60,0))=0,0,($O221/INDEX('Parametri Modello'!$F$57:$F$60,MATCH($B221,'Parametri Modello'!$A$57:$A$60,0)))*((1-INDEX('Parametri Modello'!$D$57:$D$60,MATCH($B221,'Parametri Modello'!$A$57:$A$60,0)))*(INDEX('Parametri Modello'!$B$50:$B$53,MATCH($B221,'Parametri Modello'!$A$50:$A$53,0))*'Parametri Modello'!$B$44))))*(1+IF(IF($B221="D",'Info Lega'!$B$25,IF($B221="C",'Info Lega'!$B$26,"No"))="Si",'Parametri Modello'!$B$5,0))*(1+MAX(-0.25,MIN(0.25,IF(OR($T221="",$I221="",$I221=0,INDEX('Parametri Modello'!$B$19:$B$22,MATCH($B221,'Parametri Modello'!$A$19:$A$22,0))="",INDEX('Parametri Modello'!$B$19:$B$22,MATCH($B221,'Parametri Modello'!$A$19:$A$22,0))=0),0,(($T221-INDEX('Parametri Modello'!$B$19:$B$22,MATCH($B221,'Parametri Modello'!$A$19:$A$22,0)))/INDEX('Parametri Modello'!$B$19:$B$22,MATCH($B221,'Parametri Modello'!$A$19:$A$22,0)))*'Parametri Modello'!$B$9))))*(1+IF('Parametri Modello'!$B$27="Si",MAX(-'Parametri Modello'!$B$28,MIN('Parametri Modello'!$B$28*1.5,IF(OR(INDEX('Parametri Modello'!$F$32:$F$35,MATCH($B221,'Parametri Modello'!$A$32:$A$35,0))="",INDEX('Parametri Modello'!$F$32:$F$35,MATCH($B221,'Parametri Modello'!$A$32:$A$35,0))=0),0,(1/INDEX('Parametri Modello'!$F$32:$F$35,MATCH($B221,'Parametri Modello'!$A$32:$A$35,0))-1)*'Parametri Modello'!$B$28))),0)))*(1+INDEX('Parametri Modello'!$B$12:$B$15,MATCH($B221,'Parametri Modello'!$A$12:$A$15,0))),0),"")</f>
        <v>3</v>
      </c>
      <c r="I221" s="23" t="str">
        <f>IFERROR(INDEX('Input Statistiche 2025_26'!$F$3:$F$665,MATCH($A221,'Input Statistiche 2025_26'!$A$3:$A$665,0)),"")</f>
        <v/>
      </c>
      <c r="J221" s="23" t="str">
        <f t="shared" si="27"/>
        <v/>
      </c>
      <c r="K221" s="23" t="str">
        <f>IFERROR(INDEX('Input Statistiche 2025_26'!$I$3:$I$665,MATCH($A221,'Input Statistiche 2025_26'!$A$3:$A$665,0)),"")</f>
        <v/>
      </c>
      <c r="L221" s="23" t="str">
        <f>IFERROR(INDEX('Input Statistiche 2025_26'!$O$3:$O$665,MATCH($A221,'Input Statistiche 2025_26'!$A$3:$A$665,0)),"")</f>
        <v/>
      </c>
      <c r="M221" s="25"/>
      <c r="N221" s="24">
        <f>IFERROR(INDEX('Input Giocatori 2026_27'!$E$3:$E$493,MATCH($A221,'Input Giocatori 2026_27'!$A$3:$A$493,0)),"")</f>
        <v>5</v>
      </c>
      <c r="O221" s="24">
        <f>IFERROR(INDEX('Input Giocatori 2026_27'!$G$3:$G$493,MATCH($A221,'Input Giocatori 2026_27'!$A$3:$A$493,0)),"")</f>
        <v>15</v>
      </c>
      <c r="P221" s="23" t="str">
        <f>IFERROR(IF($O221="","",IF((1-(COUNTIFS($B$2:$B$492,$B221,$O$2:$O$492,"&gt;"&amp;$O221)+1-1)/COUNTIF($B$2:$B$492,$B221))&gt;='Parametri Modello'!$B$63,"Top",IF((1-(COUNTIFS($B$2:$B$492,$B221,$O$2:$O$492,"&gt;"&amp;$O221)+1-1)/COUNTIF($B$2:$B$492,$B221))&gt;='Parametri Modello'!$B$64,"Buono",IF((1-(COUNTIFS($B$2:$B$492,$B221,$O$2:$O$492,"&gt;"&amp;$O221)+1-1)/COUNTIF($B$2:$B$492,$B221))&gt;='Parametri Modello'!$B$65,"Nella Media","Scommessa/Riserva")))),"")</f>
        <v>Nella Media</v>
      </c>
      <c r="Q221" s="26">
        <f>IF(AND($D221="",$N221&gt;1),SUMPRODUCT(($D$2:$D221="")*($N$2:$N221&gt;1)),"")</f>
        <v>220</v>
      </c>
      <c r="R221" s="26" t="str">
        <f>IF($D221='Info Lega'!$B$28,COUNTIFS($D$2:$D221,'Info Lega'!$B$28),"")</f>
        <v/>
      </c>
      <c r="S221" s="27" t="str">
        <f>IFERROR(INDEX('Input Statistiche 2025_26'!$G$3:$G$665,MATCH($A221,'Input Statistiche 2025_26'!$A$3:$A$665,0)),"")</f>
        <v/>
      </c>
      <c r="T221" s="27" t="str">
        <f>IFERROR(INDEX('Input Statistiche 2025_26'!$H$3:$H$665,MATCH($A221,'Input Statistiche 2025_26'!$A$3:$A$665,0)),"")</f>
        <v/>
      </c>
      <c r="U221" s="23" t="str">
        <f>IF(OR('La Mia Rosa'!$O$12="",$D221&lt;&gt;""),"",IF($F221&lt;='La Mia Rosa'!$O$12*'Parametri Modello'!$B$24,"OK",IF($F221&lt;='La Mia Rosa'!$O$12*'Parametri Modello'!$B$25,"Attenzione","Rischio Alto")))</f>
        <v>OK</v>
      </c>
      <c r="V221" s="23">
        <f t="shared" si="28"/>
        <v>61</v>
      </c>
      <c r="W221" s="18">
        <f>'Info Lega'!$B$4-SUMIFS($M$2:$M$492,$D$2:$D$492,'Info Lega'!$B$28)</f>
        <v>1000</v>
      </c>
      <c r="X221" s="18">
        <f>('Info Lega'!$B$5-COUNTIFS($D$2:$D$492,'Info Lega'!$B$28,$B$2:$B$492,"P"))+('Info Lega'!$B$6-COUNTIFS($D$2:$D$492,'Info Lega'!$B$28,$B$2:$B$492,"D"))+('Info Lega'!$B$7-COUNTIFS($D$2:$D$492,'Info Lega'!$B$28,$B$2:$B$492,"C"))+('Info Lega'!$B$8-COUNTIFS($D$2:$D$492,'Info Lega'!$B$28,$B$2:$B$492,"A"))</f>
        <v>25</v>
      </c>
      <c r="Y221" s="18">
        <f>X221*'Parametri Modello'!$B$30</f>
        <v>25</v>
      </c>
      <c r="Z221" s="18">
        <f t="shared" si="29"/>
        <v>975</v>
      </c>
      <c r="AA221" s="18">
        <f t="shared" si="30"/>
        <v>3</v>
      </c>
      <c r="AB221" s="18"/>
      <c r="AC221" s="18" t="str">
        <f>IF($AB221="","",IF($AB221&gt;$AA221,"PASS",IF($AB221&lt;=$AA221*(1-'Parametri Modello'!$B$68),"BID","ATTENZIONE")))</f>
        <v/>
      </c>
      <c r="AD221" s="28" t="str">
        <f t="shared" si="31"/>
        <v/>
      </c>
      <c r="AE221" s="5" t="str">
        <f>IFERROR(INDEX('Stato Asta'!$G$9:$G$12,MATCH($B221,'Stato Asta'!$A$9:$A$12,0)),"")</f>
        <v>🔴 Non aspettare</v>
      </c>
      <c r="AF221" t="str">
        <f>IFERROR(IF($V221&lt;=INDEX('Parametri Modello'!$C$57:$C$60,MATCH($B221,'Parametri Modello'!$A$57:$A$60,0)),"Titolare","Riserva"),"")</f>
        <v>Riserva</v>
      </c>
      <c r="AG221" t="str">
        <f>IFERROR(INDEX('Pressione Competitiva'!$F$3:$F$6,MATCH($B221,'Pressione Competitiva'!$B$3:$B$6,0)),"")</f>
        <v>🔴 Molto Alta</v>
      </c>
      <c r="AH221" t="str">
        <f t="shared" si="32"/>
        <v/>
      </c>
      <c r="AI221" t="str">
        <f>IFERROR(IF($AH221="","",IF($AH221&gt;=$AA221*'Parametri Modello'!$B$68,"🟢 Opportunita'",IF($AH221&lt;=$AA221*'Parametri Modello'!$B$69,"🔴 Sovrapprezzo","🟡 Prezzo Corretto"))),"")</f>
        <v/>
      </c>
      <c r="AJ221" t="str">
        <f t="shared" si="33"/>
        <v/>
      </c>
      <c r="AK221">
        <f t="shared" si="34"/>
        <v>6</v>
      </c>
      <c r="AL221" t="str">
        <f t="shared" si="35"/>
        <v>D|Nella Media|6</v>
      </c>
    </row>
    <row r="222" spans="1:38" ht="14.25" customHeight="1" x14ac:dyDescent="0.25">
      <c r="A222" s="18">
        <v>6898</v>
      </c>
      <c r="B222" s="18" t="s">
        <v>17</v>
      </c>
      <c r="C222" s="18" t="s">
        <v>361</v>
      </c>
      <c r="E222" s="23" t="str">
        <f>IF(COUNTIF('Info Strategia'!$D$2:$D$51,$C222)&gt;0,"SI","NO")</f>
        <v>NO</v>
      </c>
      <c r="F222" s="24">
        <f>IFERROR(ROUND(($G222+($H222-$G222)*'Info Strategia'!$B$6)*(1+IF($E222="SI",'Parametri Modello'!$B$7*'Info Strategia'!$B$6,0)),0),"")</f>
        <v>2</v>
      </c>
      <c r="G222" s="24">
        <f>IFERROR(ROUND(MAX(1,(IF($V222&lt;=INDEX('Parametri Modello'!$C$57:$C$60,MATCH($B222,'Parametri Modello'!$A$57:$A$60,0)),IF(INDEX('Parametri Modello'!$E$57:$E$60,MATCH($B222,'Parametri Modello'!$A$57:$A$60,0))=0,0,($O222/INDEX('Parametri Modello'!$E$57:$E$60,MATCH($B222,'Parametri Modello'!$A$57:$A$60,0)))*(INDEX('Parametri Modello'!$D$57:$D$60,MATCH($B222,'Parametri Modello'!$A$57:$A$60,0))*(INDEX('Parametri Modello'!$B$50:$B$53,MATCH($B222,'Parametri Modello'!$A$50:$A$53,0))*'Parametri Modello'!$B$44))),IF(INDEX('Parametri Modello'!$F$57:$F$60,MATCH($B222,'Parametri Modello'!$A$57:$A$60,0))=0,0,($O222/INDEX('Parametri Modello'!$F$57:$F$60,MATCH($B222,'Parametri Modello'!$A$57:$A$60,0)))*((1-INDEX('Parametri Modello'!$D$57:$D$60,MATCH($B222,'Parametri Modello'!$A$57:$A$60,0)))*(INDEX('Parametri Modello'!$B$50:$B$53,MATCH($B222,'Parametri Modello'!$A$50:$A$53,0))*'Parametri Modello'!$B$44))))*(1+IF(IF($B222="D",'Info Lega'!$B$25,IF($B222="C",'Info Lega'!$B$26,"No"))="Si",'Parametri Modello'!$B$5,0))*(1+MAX(-0.25,MIN(0.25,IF(OR($T222="",$I222="",$I222=0,INDEX('Parametri Modello'!$B$19:$B$22,MATCH($B222,'Parametri Modello'!$A$19:$A$22,0))="",INDEX('Parametri Modello'!$B$19:$B$22,MATCH($B222,'Parametri Modello'!$A$19:$A$22,0))=0),0,(($T222-INDEX('Parametri Modello'!$B$19:$B$22,MATCH($B222,'Parametri Modello'!$A$19:$A$22,0)))/INDEX('Parametri Modello'!$B$19:$B$22,MATCH($B222,'Parametri Modello'!$A$19:$A$22,0)))*'Parametri Modello'!$B$9))))*(1+IF('Parametri Modello'!$B$27="Si",MAX(-'Parametri Modello'!$B$28,MIN('Parametri Modello'!$B$28*1.5,IF(OR(INDEX('Parametri Modello'!$F$32:$F$35,MATCH($B222,'Parametri Modello'!$A$32:$A$35,0))="",INDEX('Parametri Modello'!$F$32:$F$35,MATCH($B222,'Parametri Modello'!$A$32:$A$35,0))=0),0,(1/INDEX('Parametri Modello'!$F$32:$F$35,MATCH($B222,'Parametri Modello'!$A$32:$A$35,0))-1)*'Parametri Modello'!$B$28))),0)))*(1-INDEX('Parametri Modello'!$B$12:$B$15,MATCH($B222,'Parametri Modello'!$A$12:$A$15,0)))),0),"")</f>
        <v>1</v>
      </c>
      <c r="H222" s="24">
        <f>IFERROR(ROUND((IF($V222&lt;=INDEX('Parametri Modello'!$C$57:$C$60,MATCH($B222,'Parametri Modello'!$A$57:$A$60,0)),IF(INDEX('Parametri Modello'!$E$57:$E$60,MATCH($B222,'Parametri Modello'!$A$57:$A$60,0))=0,0,($O222/INDEX('Parametri Modello'!$E$57:$E$60,MATCH($B222,'Parametri Modello'!$A$57:$A$60,0)))*(INDEX('Parametri Modello'!$D$57:$D$60,MATCH($B222,'Parametri Modello'!$A$57:$A$60,0))*(INDEX('Parametri Modello'!$B$50:$B$53,MATCH($B222,'Parametri Modello'!$A$50:$A$53,0))*'Parametri Modello'!$B$44))),IF(INDEX('Parametri Modello'!$F$57:$F$60,MATCH($B222,'Parametri Modello'!$A$57:$A$60,0))=0,0,($O222/INDEX('Parametri Modello'!$F$57:$F$60,MATCH($B222,'Parametri Modello'!$A$57:$A$60,0)))*((1-INDEX('Parametri Modello'!$D$57:$D$60,MATCH($B222,'Parametri Modello'!$A$57:$A$60,0)))*(INDEX('Parametri Modello'!$B$50:$B$53,MATCH($B222,'Parametri Modello'!$A$50:$A$53,0))*'Parametri Modello'!$B$44))))*(1+IF(IF($B222="D",'Info Lega'!$B$25,IF($B222="C",'Info Lega'!$B$26,"No"))="Si",'Parametri Modello'!$B$5,0))*(1+MAX(-0.25,MIN(0.25,IF(OR($T222="",$I222="",$I222=0,INDEX('Parametri Modello'!$B$19:$B$22,MATCH($B222,'Parametri Modello'!$A$19:$A$22,0))="",INDEX('Parametri Modello'!$B$19:$B$22,MATCH($B222,'Parametri Modello'!$A$19:$A$22,0))=0),0,(($T222-INDEX('Parametri Modello'!$B$19:$B$22,MATCH($B222,'Parametri Modello'!$A$19:$A$22,0)))/INDEX('Parametri Modello'!$B$19:$B$22,MATCH($B222,'Parametri Modello'!$A$19:$A$22,0)))*'Parametri Modello'!$B$9))))*(1+IF('Parametri Modello'!$B$27="Si",MAX(-'Parametri Modello'!$B$28,MIN('Parametri Modello'!$B$28*1.5,IF(OR(INDEX('Parametri Modello'!$F$32:$F$35,MATCH($B222,'Parametri Modello'!$A$32:$A$35,0))="",INDEX('Parametri Modello'!$F$32:$F$35,MATCH($B222,'Parametri Modello'!$A$32:$A$35,0))=0),0,(1/INDEX('Parametri Modello'!$F$32:$F$35,MATCH($B222,'Parametri Modello'!$A$32:$A$35,0))-1)*'Parametri Modello'!$B$28))),0)))*(1+INDEX('Parametri Modello'!$B$12:$B$15,MATCH($B222,'Parametri Modello'!$A$12:$A$15,0))),0),"")</f>
        <v>2</v>
      </c>
      <c r="I222" s="23">
        <f>IFERROR(INDEX('Input Statistiche 2025_26'!$F$3:$F$665,MATCH($A222,'Input Statistiche 2025_26'!$A$3:$A$665,0)),"")</f>
        <v>36</v>
      </c>
      <c r="J222" s="23">
        <f t="shared" si="27"/>
        <v>2</v>
      </c>
      <c r="K222" s="23">
        <f>IFERROR(INDEX('Input Statistiche 2025_26'!$I$3:$I$665,MATCH($A222,'Input Statistiche 2025_26'!$A$3:$A$665,0)),"")</f>
        <v>1</v>
      </c>
      <c r="L222" s="23">
        <f>IFERROR(INDEX('Input Statistiche 2025_26'!$O$3:$O$665,MATCH($A222,'Input Statistiche 2025_26'!$A$3:$A$665,0)),"")</f>
        <v>1</v>
      </c>
      <c r="M222" s="25"/>
      <c r="N222" s="24">
        <f>IFERROR(INDEX('Input Giocatori 2026_27'!$E$3:$E$493,MATCH($A222,'Input Giocatori 2026_27'!$A$3:$A$493,0)),"")</f>
        <v>5</v>
      </c>
      <c r="O222" s="24">
        <f>IFERROR(INDEX('Input Giocatori 2026_27'!$G$3:$G$493,MATCH($A222,'Input Giocatori 2026_27'!$A$3:$A$493,0)),"")</f>
        <v>15</v>
      </c>
      <c r="P222" s="23" t="str">
        <f>IFERROR(IF($O222="","",IF((1-(COUNTIFS($B$2:$B$492,$B222,$O$2:$O$492,"&gt;"&amp;$O222)+1-1)/COUNTIF($B$2:$B$492,$B222))&gt;='Parametri Modello'!$B$63,"Top",IF((1-(COUNTIFS($B$2:$B$492,$B222,$O$2:$O$492,"&gt;"&amp;$O222)+1-1)/COUNTIF($B$2:$B$492,$B222))&gt;='Parametri Modello'!$B$64,"Buono",IF((1-(COUNTIFS($B$2:$B$492,$B222,$O$2:$O$492,"&gt;"&amp;$O222)+1-1)/COUNTIF($B$2:$B$492,$B222))&gt;='Parametri Modello'!$B$65,"Nella Media","Scommessa/Riserva")))),"")</f>
        <v>Nella Media</v>
      </c>
      <c r="Q222" s="26">
        <f>IF(AND($D222="",$N222&gt;1),SUMPRODUCT(($D$2:$D222="")*($N$2:$N222&gt;1)),"")</f>
        <v>221</v>
      </c>
      <c r="R222" s="26" t="str">
        <f>IF($D222='Info Lega'!$B$28,COUNTIFS($D$2:$D222,'Info Lega'!$B$28),"")</f>
        <v/>
      </c>
      <c r="S222" s="27">
        <f>IFERROR(INDEX('Input Statistiche 2025_26'!$G$3:$G$665,MATCH($A222,'Input Statistiche 2025_26'!$A$3:$A$665,0)),"")</f>
        <v>6.01</v>
      </c>
      <c r="T222" s="27">
        <f>IFERROR(INDEX('Input Statistiche 2025_26'!$H$3:$H$665,MATCH($A222,'Input Statistiche 2025_26'!$A$3:$A$665,0)),"")</f>
        <v>6.06</v>
      </c>
      <c r="U222" s="23" t="str">
        <f>IF(OR('La Mia Rosa'!$O$12="",$D222&lt;&gt;""),"",IF($F222&lt;='La Mia Rosa'!$O$12*'Parametri Modello'!$B$24,"OK",IF($F222&lt;='La Mia Rosa'!$O$12*'Parametri Modello'!$B$25,"Attenzione","Rischio Alto")))</f>
        <v>OK</v>
      </c>
      <c r="V222" s="23">
        <f t="shared" si="28"/>
        <v>83</v>
      </c>
      <c r="W222" s="18">
        <f>'Info Lega'!$B$4-SUMIFS($M$2:$M$492,$D$2:$D$492,'Info Lega'!$B$28)</f>
        <v>1000</v>
      </c>
      <c r="X222" s="18">
        <f>('Info Lega'!$B$5-COUNTIFS($D$2:$D$492,'Info Lega'!$B$28,$B$2:$B$492,"P"))+('Info Lega'!$B$6-COUNTIFS($D$2:$D$492,'Info Lega'!$B$28,$B$2:$B$492,"D"))+('Info Lega'!$B$7-COUNTIFS($D$2:$D$492,'Info Lega'!$B$28,$B$2:$B$492,"C"))+('Info Lega'!$B$8-COUNTIFS($D$2:$D$492,'Info Lega'!$B$28,$B$2:$B$492,"A"))</f>
        <v>25</v>
      </c>
      <c r="Y222" s="18">
        <f>X222*'Parametri Modello'!$B$30</f>
        <v>25</v>
      </c>
      <c r="Z222" s="18">
        <f t="shared" si="29"/>
        <v>975</v>
      </c>
      <c r="AA222" s="18">
        <f t="shared" si="30"/>
        <v>2</v>
      </c>
      <c r="AB222" s="18"/>
      <c r="AC222" s="18" t="str">
        <f>IF($AB222="","",IF($AB222&gt;$AA222,"PASS",IF($AB222&lt;=$AA222*(1-'Parametri Modello'!$B$68),"BID","ATTENZIONE")))</f>
        <v/>
      </c>
      <c r="AD222" s="28">
        <f t="shared" si="31"/>
        <v>70</v>
      </c>
      <c r="AE222" s="5" t="str">
        <f>IFERROR(INDEX('Stato Asta'!$G$9:$G$12,MATCH($B222,'Stato Asta'!$A$9:$A$12,0)),"")</f>
        <v>🔴 Non aspettare</v>
      </c>
      <c r="AF222" t="str">
        <f>IFERROR(IF($V222&lt;=INDEX('Parametri Modello'!$C$57:$C$60,MATCH($B222,'Parametri Modello'!$A$57:$A$60,0)),"Titolare","Riserva"),"")</f>
        <v>Riserva</v>
      </c>
      <c r="AG222" t="str">
        <f>IFERROR(INDEX('Pressione Competitiva'!$F$3:$F$6,MATCH($B222,'Pressione Competitiva'!$B$3:$B$6,0)),"")</f>
        <v>🔴 Molto Alta</v>
      </c>
      <c r="AH222" t="str">
        <f t="shared" si="32"/>
        <v/>
      </c>
      <c r="AI222" t="str">
        <f>IFERROR(IF($AH222="","",IF($AH222&gt;=$AA222*'Parametri Modello'!$B$68,"🟢 Opportunita'",IF($AH222&lt;=$AA222*'Parametri Modello'!$B$69,"🔴 Sovrapprezzo","🟡 Prezzo Corretto"))),"")</f>
        <v/>
      </c>
      <c r="AJ222" t="str">
        <f t="shared" si="33"/>
        <v/>
      </c>
      <c r="AK222">
        <f t="shared" si="34"/>
        <v>28</v>
      </c>
      <c r="AL222" t="str">
        <f t="shared" si="35"/>
        <v>C|Nella Media|28</v>
      </c>
    </row>
    <row r="223" spans="1:38" ht="14.25" customHeight="1" x14ac:dyDescent="0.25">
      <c r="A223" s="18">
        <v>2528</v>
      </c>
      <c r="B223" s="18" t="s">
        <v>17</v>
      </c>
      <c r="C223" s="18" t="s">
        <v>362</v>
      </c>
      <c r="E223" s="23" t="str">
        <f>IF(COUNTIF('Info Strategia'!$D$2:$D$51,$C223)&gt;0,"SI","NO")</f>
        <v>NO</v>
      </c>
      <c r="F223" s="24">
        <f>IFERROR(ROUND(($G223+($H223-$G223)*'Info Strategia'!$B$6)*(1+IF($E223="SI",'Parametri Modello'!$B$7*'Info Strategia'!$B$6,0)),0),"")</f>
        <v>2</v>
      </c>
      <c r="G223" s="24">
        <f>IFERROR(ROUND(MAX(1,(IF($V223&lt;=INDEX('Parametri Modello'!$C$57:$C$60,MATCH($B223,'Parametri Modello'!$A$57:$A$60,0)),IF(INDEX('Parametri Modello'!$E$57:$E$60,MATCH($B223,'Parametri Modello'!$A$57:$A$60,0))=0,0,($O223/INDEX('Parametri Modello'!$E$57:$E$60,MATCH($B223,'Parametri Modello'!$A$57:$A$60,0)))*(INDEX('Parametri Modello'!$D$57:$D$60,MATCH($B223,'Parametri Modello'!$A$57:$A$60,0))*(INDEX('Parametri Modello'!$B$50:$B$53,MATCH($B223,'Parametri Modello'!$A$50:$A$53,0))*'Parametri Modello'!$B$44))),IF(INDEX('Parametri Modello'!$F$57:$F$60,MATCH($B223,'Parametri Modello'!$A$57:$A$60,0))=0,0,($O223/INDEX('Parametri Modello'!$F$57:$F$60,MATCH($B223,'Parametri Modello'!$A$57:$A$60,0)))*((1-INDEX('Parametri Modello'!$D$57:$D$60,MATCH($B223,'Parametri Modello'!$A$57:$A$60,0)))*(INDEX('Parametri Modello'!$B$50:$B$53,MATCH($B223,'Parametri Modello'!$A$50:$A$53,0))*'Parametri Modello'!$B$44))))*(1+IF(IF($B223="D",'Info Lega'!$B$25,IF($B223="C",'Info Lega'!$B$26,"No"))="Si",'Parametri Modello'!$B$5,0))*(1+MAX(-0.25,MIN(0.25,IF(OR($T223="",$I223="",$I223=0,INDEX('Parametri Modello'!$B$19:$B$22,MATCH($B223,'Parametri Modello'!$A$19:$A$22,0))="",INDEX('Parametri Modello'!$B$19:$B$22,MATCH($B223,'Parametri Modello'!$A$19:$A$22,0))=0),0,(($T223-INDEX('Parametri Modello'!$B$19:$B$22,MATCH($B223,'Parametri Modello'!$A$19:$A$22,0)))/INDEX('Parametri Modello'!$B$19:$B$22,MATCH($B223,'Parametri Modello'!$A$19:$A$22,0)))*'Parametri Modello'!$B$9))))*(1+IF('Parametri Modello'!$B$27="Si",MAX(-'Parametri Modello'!$B$28,MIN('Parametri Modello'!$B$28*1.5,IF(OR(INDEX('Parametri Modello'!$F$32:$F$35,MATCH($B223,'Parametri Modello'!$A$32:$A$35,0))="",INDEX('Parametri Modello'!$F$32:$F$35,MATCH($B223,'Parametri Modello'!$A$32:$A$35,0))=0),0,(1/INDEX('Parametri Modello'!$F$32:$F$35,MATCH($B223,'Parametri Modello'!$A$32:$A$35,0))-1)*'Parametri Modello'!$B$28))),0)))*(1-INDEX('Parametri Modello'!$B$12:$B$15,MATCH($B223,'Parametri Modello'!$A$12:$A$15,0)))),0),"")</f>
        <v>1</v>
      </c>
      <c r="H223" s="24">
        <f>IFERROR(ROUND((IF($V223&lt;=INDEX('Parametri Modello'!$C$57:$C$60,MATCH($B223,'Parametri Modello'!$A$57:$A$60,0)),IF(INDEX('Parametri Modello'!$E$57:$E$60,MATCH($B223,'Parametri Modello'!$A$57:$A$60,0))=0,0,($O223/INDEX('Parametri Modello'!$E$57:$E$60,MATCH($B223,'Parametri Modello'!$A$57:$A$60,0)))*(INDEX('Parametri Modello'!$D$57:$D$60,MATCH($B223,'Parametri Modello'!$A$57:$A$60,0))*(INDEX('Parametri Modello'!$B$50:$B$53,MATCH($B223,'Parametri Modello'!$A$50:$A$53,0))*'Parametri Modello'!$B$44))),IF(INDEX('Parametri Modello'!$F$57:$F$60,MATCH($B223,'Parametri Modello'!$A$57:$A$60,0))=0,0,($O223/INDEX('Parametri Modello'!$F$57:$F$60,MATCH($B223,'Parametri Modello'!$A$57:$A$60,0)))*((1-INDEX('Parametri Modello'!$D$57:$D$60,MATCH($B223,'Parametri Modello'!$A$57:$A$60,0)))*(INDEX('Parametri Modello'!$B$50:$B$53,MATCH($B223,'Parametri Modello'!$A$50:$A$53,0))*'Parametri Modello'!$B$44))))*(1+IF(IF($B223="D",'Info Lega'!$B$25,IF($B223="C",'Info Lega'!$B$26,"No"))="Si",'Parametri Modello'!$B$5,0))*(1+MAX(-0.25,MIN(0.25,IF(OR($T223="",$I223="",$I223=0,INDEX('Parametri Modello'!$B$19:$B$22,MATCH($B223,'Parametri Modello'!$A$19:$A$22,0))="",INDEX('Parametri Modello'!$B$19:$B$22,MATCH($B223,'Parametri Modello'!$A$19:$A$22,0))=0),0,(($T223-INDEX('Parametri Modello'!$B$19:$B$22,MATCH($B223,'Parametri Modello'!$A$19:$A$22,0)))/INDEX('Parametri Modello'!$B$19:$B$22,MATCH($B223,'Parametri Modello'!$A$19:$A$22,0)))*'Parametri Modello'!$B$9))))*(1+IF('Parametri Modello'!$B$27="Si",MAX(-'Parametri Modello'!$B$28,MIN('Parametri Modello'!$B$28*1.5,IF(OR(INDEX('Parametri Modello'!$F$32:$F$35,MATCH($B223,'Parametri Modello'!$A$32:$A$35,0))="",INDEX('Parametri Modello'!$F$32:$F$35,MATCH($B223,'Parametri Modello'!$A$32:$A$35,0))=0),0,(1/INDEX('Parametri Modello'!$F$32:$F$35,MATCH($B223,'Parametri Modello'!$A$32:$A$35,0))-1)*'Parametri Modello'!$B$28))),0)))*(1+INDEX('Parametri Modello'!$B$12:$B$15,MATCH($B223,'Parametri Modello'!$A$12:$A$15,0))),0),"")</f>
        <v>2</v>
      </c>
      <c r="I223" s="23">
        <f>IFERROR(INDEX('Input Statistiche 2025_26'!$F$3:$F$665,MATCH($A223,'Input Statistiche 2025_26'!$A$3:$A$665,0)),"")</f>
        <v>34</v>
      </c>
      <c r="J223" s="23">
        <f t="shared" si="27"/>
        <v>4</v>
      </c>
      <c r="K223" s="23">
        <f>IFERROR(INDEX('Input Statistiche 2025_26'!$I$3:$I$665,MATCH($A223,'Input Statistiche 2025_26'!$A$3:$A$665,0)),"")</f>
        <v>1</v>
      </c>
      <c r="L223" s="23">
        <f>IFERROR(INDEX('Input Statistiche 2025_26'!$O$3:$O$665,MATCH($A223,'Input Statistiche 2025_26'!$A$3:$A$665,0)),"")</f>
        <v>1</v>
      </c>
      <c r="M223" s="25"/>
      <c r="N223" s="24">
        <f>IFERROR(INDEX('Input Giocatori 2026_27'!$E$3:$E$493,MATCH($A223,'Input Giocatori 2026_27'!$A$3:$A$493,0)),"")</f>
        <v>5</v>
      </c>
      <c r="O223" s="24">
        <f>IFERROR(INDEX('Input Giocatori 2026_27'!$G$3:$G$493,MATCH($A223,'Input Giocatori 2026_27'!$A$3:$A$493,0)),"")</f>
        <v>15</v>
      </c>
      <c r="P223" s="23" t="str">
        <f>IFERROR(IF($O223="","",IF((1-(COUNTIFS($B$2:$B$492,$B223,$O$2:$O$492,"&gt;"&amp;$O223)+1-1)/COUNTIF($B$2:$B$492,$B223))&gt;='Parametri Modello'!$B$63,"Top",IF((1-(COUNTIFS($B$2:$B$492,$B223,$O$2:$O$492,"&gt;"&amp;$O223)+1-1)/COUNTIF($B$2:$B$492,$B223))&gt;='Parametri Modello'!$B$64,"Buono",IF((1-(COUNTIFS($B$2:$B$492,$B223,$O$2:$O$492,"&gt;"&amp;$O223)+1-1)/COUNTIF($B$2:$B$492,$B223))&gt;='Parametri Modello'!$B$65,"Nella Media","Scommessa/Riserva")))),"")</f>
        <v>Nella Media</v>
      </c>
      <c r="Q223" s="26">
        <f>IF(AND($D223="",$N223&gt;1),SUMPRODUCT(($D$2:$D223="")*($N$2:$N223&gt;1)),"")</f>
        <v>222</v>
      </c>
      <c r="R223" s="26" t="str">
        <f>IF($D223='Info Lega'!$B$28,COUNTIFS($D$2:$D223,'Info Lega'!$B$28),"")</f>
        <v/>
      </c>
      <c r="S223" s="27">
        <f>IFERROR(INDEX('Input Statistiche 2025_26'!$G$3:$G$665,MATCH($A223,'Input Statistiche 2025_26'!$A$3:$A$665,0)),"")</f>
        <v>5.96</v>
      </c>
      <c r="T223" s="27">
        <f>IFERROR(INDEX('Input Statistiche 2025_26'!$H$3:$H$665,MATCH($A223,'Input Statistiche 2025_26'!$A$3:$A$665,0)),"")</f>
        <v>5.96</v>
      </c>
      <c r="U223" s="23" t="str">
        <f>IF(OR('La Mia Rosa'!$O$12="",$D223&lt;&gt;""),"",IF($F223&lt;='La Mia Rosa'!$O$12*'Parametri Modello'!$B$24,"OK",IF($F223&lt;='La Mia Rosa'!$O$12*'Parametri Modello'!$B$25,"Attenzione","Rischio Alto")))</f>
        <v>OK</v>
      </c>
      <c r="V223" s="23">
        <f t="shared" si="28"/>
        <v>83</v>
      </c>
      <c r="W223" s="18">
        <f>'Info Lega'!$B$4-SUMIFS($M$2:$M$492,$D$2:$D$492,'Info Lega'!$B$28)</f>
        <v>1000</v>
      </c>
      <c r="X223" s="18">
        <f>('Info Lega'!$B$5-COUNTIFS($D$2:$D$492,'Info Lega'!$B$28,$B$2:$B$492,"P"))+('Info Lega'!$B$6-COUNTIFS($D$2:$D$492,'Info Lega'!$B$28,$B$2:$B$492,"D"))+('Info Lega'!$B$7-COUNTIFS($D$2:$D$492,'Info Lega'!$B$28,$B$2:$B$492,"C"))+('Info Lega'!$B$8-COUNTIFS($D$2:$D$492,'Info Lega'!$B$28,$B$2:$B$492,"A"))</f>
        <v>25</v>
      </c>
      <c r="Y223" s="18">
        <f>X223*'Parametri Modello'!$B$30</f>
        <v>25</v>
      </c>
      <c r="Z223" s="18">
        <f t="shared" si="29"/>
        <v>975</v>
      </c>
      <c r="AA223" s="18">
        <f t="shared" si="30"/>
        <v>2</v>
      </c>
      <c r="AB223" s="18"/>
      <c r="AC223" s="18" t="str">
        <f>IF($AB223="","",IF($AB223&gt;$AA223,"PASS",IF($AB223&lt;=$AA223*(1-'Parametri Modello'!$B$68),"BID","ATTENZIONE")))</f>
        <v/>
      </c>
      <c r="AD223" s="28">
        <f t="shared" si="31"/>
        <v>68</v>
      </c>
      <c r="AE223" s="5" t="str">
        <f>IFERROR(INDEX('Stato Asta'!$G$9:$G$12,MATCH($B223,'Stato Asta'!$A$9:$A$12,0)),"")</f>
        <v>🔴 Non aspettare</v>
      </c>
      <c r="AF223" t="str">
        <f>IFERROR(IF($V223&lt;=INDEX('Parametri Modello'!$C$57:$C$60,MATCH($B223,'Parametri Modello'!$A$57:$A$60,0)),"Titolare","Riserva"),"")</f>
        <v>Riserva</v>
      </c>
      <c r="AG223" t="str">
        <f>IFERROR(INDEX('Pressione Competitiva'!$F$3:$F$6,MATCH($B223,'Pressione Competitiva'!$B$3:$B$6,0)),"")</f>
        <v>🔴 Molto Alta</v>
      </c>
      <c r="AH223" t="str">
        <f t="shared" si="32"/>
        <v/>
      </c>
      <c r="AI223" t="str">
        <f>IFERROR(IF($AH223="","",IF($AH223&gt;=$AA223*'Parametri Modello'!$B$68,"🟢 Opportunita'",IF($AH223&lt;=$AA223*'Parametri Modello'!$B$69,"🔴 Sovrapprezzo","🟡 Prezzo Corretto"))),"")</f>
        <v/>
      </c>
      <c r="AJ223" t="str">
        <f t="shared" si="33"/>
        <v/>
      </c>
      <c r="AK223">
        <f t="shared" si="34"/>
        <v>28</v>
      </c>
      <c r="AL223" t="str">
        <f t="shared" si="35"/>
        <v>C|Nella Media|28</v>
      </c>
    </row>
    <row r="224" spans="1:38" ht="14.25" customHeight="1" x14ac:dyDescent="0.25">
      <c r="A224" s="18">
        <v>7198</v>
      </c>
      <c r="B224" s="18" t="s">
        <v>17</v>
      </c>
      <c r="C224" s="18" t="s">
        <v>363</v>
      </c>
      <c r="E224" s="23" t="str">
        <f>IF(COUNTIF('Info Strategia'!$D$2:$D$51,$C224)&gt;0,"SI","NO")</f>
        <v>NO</v>
      </c>
      <c r="F224" s="24">
        <f>IFERROR(ROUND(($G224+($H224-$G224)*'Info Strategia'!$B$6)*(1+IF($E224="SI",'Parametri Modello'!$B$7*'Info Strategia'!$B$6,0)),0),"")</f>
        <v>2</v>
      </c>
      <c r="G224" s="24">
        <f>IFERROR(ROUND(MAX(1,(IF($V224&lt;=INDEX('Parametri Modello'!$C$57:$C$60,MATCH($B224,'Parametri Modello'!$A$57:$A$60,0)),IF(INDEX('Parametri Modello'!$E$57:$E$60,MATCH($B224,'Parametri Modello'!$A$57:$A$60,0))=0,0,($O224/INDEX('Parametri Modello'!$E$57:$E$60,MATCH($B224,'Parametri Modello'!$A$57:$A$60,0)))*(INDEX('Parametri Modello'!$D$57:$D$60,MATCH($B224,'Parametri Modello'!$A$57:$A$60,0))*(INDEX('Parametri Modello'!$B$50:$B$53,MATCH($B224,'Parametri Modello'!$A$50:$A$53,0))*'Parametri Modello'!$B$44))),IF(INDEX('Parametri Modello'!$F$57:$F$60,MATCH($B224,'Parametri Modello'!$A$57:$A$60,0))=0,0,($O224/INDEX('Parametri Modello'!$F$57:$F$60,MATCH($B224,'Parametri Modello'!$A$57:$A$60,0)))*((1-INDEX('Parametri Modello'!$D$57:$D$60,MATCH($B224,'Parametri Modello'!$A$57:$A$60,0)))*(INDEX('Parametri Modello'!$B$50:$B$53,MATCH($B224,'Parametri Modello'!$A$50:$A$53,0))*'Parametri Modello'!$B$44))))*(1+IF(IF($B224="D",'Info Lega'!$B$25,IF($B224="C",'Info Lega'!$B$26,"No"))="Si",'Parametri Modello'!$B$5,0))*(1+MAX(-0.25,MIN(0.25,IF(OR($T224="",$I224="",$I224=0,INDEX('Parametri Modello'!$B$19:$B$22,MATCH($B224,'Parametri Modello'!$A$19:$A$22,0))="",INDEX('Parametri Modello'!$B$19:$B$22,MATCH($B224,'Parametri Modello'!$A$19:$A$22,0))=0),0,(($T224-INDEX('Parametri Modello'!$B$19:$B$22,MATCH($B224,'Parametri Modello'!$A$19:$A$22,0)))/INDEX('Parametri Modello'!$B$19:$B$22,MATCH($B224,'Parametri Modello'!$A$19:$A$22,0)))*'Parametri Modello'!$B$9))))*(1+IF('Parametri Modello'!$B$27="Si",MAX(-'Parametri Modello'!$B$28,MIN('Parametri Modello'!$B$28*1.5,IF(OR(INDEX('Parametri Modello'!$F$32:$F$35,MATCH($B224,'Parametri Modello'!$A$32:$A$35,0))="",INDEX('Parametri Modello'!$F$32:$F$35,MATCH($B224,'Parametri Modello'!$A$32:$A$35,0))=0),0,(1/INDEX('Parametri Modello'!$F$32:$F$35,MATCH($B224,'Parametri Modello'!$A$32:$A$35,0))-1)*'Parametri Modello'!$B$28))),0)))*(1-INDEX('Parametri Modello'!$B$12:$B$15,MATCH($B224,'Parametri Modello'!$A$12:$A$15,0)))),0),"")</f>
        <v>1</v>
      </c>
      <c r="H224" s="24">
        <f>IFERROR(ROUND((IF($V224&lt;=INDEX('Parametri Modello'!$C$57:$C$60,MATCH($B224,'Parametri Modello'!$A$57:$A$60,0)),IF(INDEX('Parametri Modello'!$E$57:$E$60,MATCH($B224,'Parametri Modello'!$A$57:$A$60,0))=0,0,($O224/INDEX('Parametri Modello'!$E$57:$E$60,MATCH($B224,'Parametri Modello'!$A$57:$A$60,0)))*(INDEX('Parametri Modello'!$D$57:$D$60,MATCH($B224,'Parametri Modello'!$A$57:$A$60,0))*(INDEX('Parametri Modello'!$B$50:$B$53,MATCH($B224,'Parametri Modello'!$A$50:$A$53,0))*'Parametri Modello'!$B$44))),IF(INDEX('Parametri Modello'!$F$57:$F$60,MATCH($B224,'Parametri Modello'!$A$57:$A$60,0))=0,0,($O224/INDEX('Parametri Modello'!$F$57:$F$60,MATCH($B224,'Parametri Modello'!$A$57:$A$60,0)))*((1-INDEX('Parametri Modello'!$D$57:$D$60,MATCH($B224,'Parametri Modello'!$A$57:$A$60,0)))*(INDEX('Parametri Modello'!$B$50:$B$53,MATCH($B224,'Parametri Modello'!$A$50:$A$53,0))*'Parametri Modello'!$B$44))))*(1+IF(IF($B224="D",'Info Lega'!$B$25,IF($B224="C",'Info Lega'!$B$26,"No"))="Si",'Parametri Modello'!$B$5,0))*(1+MAX(-0.25,MIN(0.25,IF(OR($T224="",$I224="",$I224=0,INDEX('Parametri Modello'!$B$19:$B$22,MATCH($B224,'Parametri Modello'!$A$19:$A$22,0))="",INDEX('Parametri Modello'!$B$19:$B$22,MATCH($B224,'Parametri Modello'!$A$19:$A$22,0))=0),0,(($T224-INDEX('Parametri Modello'!$B$19:$B$22,MATCH($B224,'Parametri Modello'!$A$19:$A$22,0)))/INDEX('Parametri Modello'!$B$19:$B$22,MATCH($B224,'Parametri Modello'!$A$19:$A$22,0)))*'Parametri Modello'!$B$9))))*(1+IF('Parametri Modello'!$B$27="Si",MAX(-'Parametri Modello'!$B$28,MIN('Parametri Modello'!$B$28*1.5,IF(OR(INDEX('Parametri Modello'!$F$32:$F$35,MATCH($B224,'Parametri Modello'!$A$32:$A$35,0))="",INDEX('Parametri Modello'!$F$32:$F$35,MATCH($B224,'Parametri Modello'!$A$32:$A$35,0))=0),0,(1/INDEX('Parametri Modello'!$F$32:$F$35,MATCH($B224,'Parametri Modello'!$A$32:$A$35,0))-1)*'Parametri Modello'!$B$28))),0)))*(1+INDEX('Parametri Modello'!$B$12:$B$15,MATCH($B224,'Parametri Modello'!$A$12:$A$15,0))),0),"")</f>
        <v>2</v>
      </c>
      <c r="I224" s="23">
        <f>IFERROR(INDEX('Input Statistiche 2025_26'!$F$3:$F$665,MATCH($A224,'Input Statistiche 2025_26'!$A$3:$A$665,0)),"")</f>
        <v>30</v>
      </c>
      <c r="J224" s="23">
        <f t="shared" si="27"/>
        <v>8</v>
      </c>
      <c r="K224" s="23">
        <f>IFERROR(INDEX('Input Statistiche 2025_26'!$I$3:$I$665,MATCH($A224,'Input Statistiche 2025_26'!$A$3:$A$665,0)),"")</f>
        <v>1</v>
      </c>
      <c r="L224" s="23">
        <f>IFERROR(INDEX('Input Statistiche 2025_26'!$O$3:$O$665,MATCH($A224,'Input Statistiche 2025_26'!$A$3:$A$665,0)),"")</f>
        <v>0</v>
      </c>
      <c r="M224" s="25"/>
      <c r="N224" s="24">
        <f>IFERROR(INDEX('Input Giocatori 2026_27'!$E$3:$E$493,MATCH($A224,'Input Giocatori 2026_27'!$A$3:$A$493,0)),"")</f>
        <v>5</v>
      </c>
      <c r="O224" s="24">
        <f>IFERROR(INDEX('Input Giocatori 2026_27'!$G$3:$G$493,MATCH($A224,'Input Giocatori 2026_27'!$A$3:$A$493,0)),"")</f>
        <v>15</v>
      </c>
      <c r="P224" s="23" t="str">
        <f>IFERROR(IF($O224="","",IF((1-(COUNTIFS($B$2:$B$492,$B224,$O$2:$O$492,"&gt;"&amp;$O224)+1-1)/COUNTIF($B$2:$B$492,$B224))&gt;='Parametri Modello'!$B$63,"Top",IF((1-(COUNTIFS($B$2:$B$492,$B224,$O$2:$O$492,"&gt;"&amp;$O224)+1-1)/COUNTIF($B$2:$B$492,$B224))&gt;='Parametri Modello'!$B$64,"Buono",IF((1-(COUNTIFS($B$2:$B$492,$B224,$O$2:$O$492,"&gt;"&amp;$O224)+1-1)/COUNTIF($B$2:$B$492,$B224))&gt;='Parametri Modello'!$B$65,"Nella Media","Scommessa/Riserva")))),"")</f>
        <v>Nella Media</v>
      </c>
      <c r="Q224" s="26">
        <f>IF(AND($D224="",$N224&gt;1),SUMPRODUCT(($D$2:$D224="")*($N$2:$N224&gt;1)),"")</f>
        <v>223</v>
      </c>
      <c r="R224" s="26" t="str">
        <f>IF($D224='Info Lega'!$B$28,COUNTIFS($D$2:$D224,'Info Lega'!$B$28),"")</f>
        <v/>
      </c>
      <c r="S224" s="27">
        <f>IFERROR(INDEX('Input Statistiche 2025_26'!$G$3:$G$665,MATCH($A224,'Input Statistiche 2025_26'!$A$3:$A$665,0)),"")</f>
        <v>5.88</v>
      </c>
      <c r="T224" s="27">
        <f>IFERROR(INDEX('Input Statistiche 2025_26'!$H$3:$H$665,MATCH($A224,'Input Statistiche 2025_26'!$A$3:$A$665,0)),"")</f>
        <v>5.95</v>
      </c>
      <c r="U224" s="23" t="str">
        <f>IF(OR('La Mia Rosa'!$O$12="",$D224&lt;&gt;""),"",IF($F224&lt;='La Mia Rosa'!$O$12*'Parametri Modello'!$B$24,"OK",IF($F224&lt;='La Mia Rosa'!$O$12*'Parametri Modello'!$B$25,"Attenzione","Rischio Alto")))</f>
        <v>OK</v>
      </c>
      <c r="V224" s="23">
        <f t="shared" si="28"/>
        <v>83</v>
      </c>
      <c r="W224" s="18">
        <f>'Info Lega'!$B$4-SUMIFS($M$2:$M$492,$D$2:$D$492,'Info Lega'!$B$28)</f>
        <v>1000</v>
      </c>
      <c r="X224" s="18">
        <f>('Info Lega'!$B$5-COUNTIFS($D$2:$D$492,'Info Lega'!$B$28,$B$2:$B$492,"P"))+('Info Lega'!$B$6-COUNTIFS($D$2:$D$492,'Info Lega'!$B$28,$B$2:$B$492,"D"))+('Info Lega'!$B$7-COUNTIFS($D$2:$D$492,'Info Lega'!$B$28,$B$2:$B$492,"C"))+('Info Lega'!$B$8-COUNTIFS($D$2:$D$492,'Info Lega'!$B$28,$B$2:$B$492,"A"))</f>
        <v>25</v>
      </c>
      <c r="Y224" s="18">
        <f>X224*'Parametri Modello'!$B$30</f>
        <v>25</v>
      </c>
      <c r="Z224" s="18">
        <f t="shared" si="29"/>
        <v>975</v>
      </c>
      <c r="AA224" s="18">
        <f t="shared" si="30"/>
        <v>2</v>
      </c>
      <c r="AB224" s="18"/>
      <c r="AC224" s="18" t="str">
        <f>IF($AB224="","",IF($AB224&gt;$AA224,"PASS",IF($AB224&lt;=$AA224*(1-'Parametri Modello'!$B$68),"BID","ATTENZIONE")))</f>
        <v/>
      </c>
      <c r="AD224" s="28">
        <f t="shared" si="31"/>
        <v>63</v>
      </c>
      <c r="AE224" s="5" t="str">
        <f>IFERROR(INDEX('Stato Asta'!$G$9:$G$12,MATCH($B224,'Stato Asta'!$A$9:$A$12,0)),"")</f>
        <v>🔴 Non aspettare</v>
      </c>
      <c r="AF224" t="str">
        <f>IFERROR(IF($V224&lt;=INDEX('Parametri Modello'!$C$57:$C$60,MATCH($B224,'Parametri Modello'!$A$57:$A$60,0)),"Titolare","Riserva"),"")</f>
        <v>Riserva</v>
      </c>
      <c r="AG224" t="str">
        <f>IFERROR(INDEX('Pressione Competitiva'!$F$3:$F$6,MATCH($B224,'Pressione Competitiva'!$B$3:$B$6,0)),"")</f>
        <v>🔴 Molto Alta</v>
      </c>
      <c r="AH224" t="str">
        <f t="shared" si="32"/>
        <v/>
      </c>
      <c r="AI224" t="str">
        <f>IFERROR(IF($AH224="","",IF($AH224&gt;=$AA224*'Parametri Modello'!$B$68,"🟢 Opportunita'",IF($AH224&lt;=$AA224*'Parametri Modello'!$B$69,"🔴 Sovrapprezzo","🟡 Prezzo Corretto"))),"")</f>
        <v/>
      </c>
      <c r="AJ224" t="str">
        <f t="shared" si="33"/>
        <v/>
      </c>
      <c r="AK224">
        <f t="shared" si="34"/>
        <v>28</v>
      </c>
      <c r="AL224" t="str">
        <f t="shared" si="35"/>
        <v>C|Nella Media|28</v>
      </c>
    </row>
    <row r="225" spans="1:38" ht="14.25" customHeight="1" x14ac:dyDescent="0.25">
      <c r="A225" s="18">
        <v>6204</v>
      </c>
      <c r="B225" s="18" t="s">
        <v>18</v>
      </c>
      <c r="C225" s="18" t="s">
        <v>364</v>
      </c>
      <c r="E225" s="23" t="str">
        <f>IF(COUNTIF('Info Strategia'!$D$2:$D$51,$C225)&gt;0,"SI","NO")</f>
        <v>NO</v>
      </c>
      <c r="F225" s="24">
        <f>IFERROR(ROUND(($G225+($H225-$G225)*'Info Strategia'!$B$6)*(1+IF($E225="SI",'Parametri Modello'!$B$7*'Info Strategia'!$B$6,0)),0),"")</f>
        <v>5</v>
      </c>
      <c r="G225" s="24">
        <f>IFERROR(ROUND(MAX(1,(IF($V225&lt;=INDEX('Parametri Modello'!$C$57:$C$60,MATCH($B225,'Parametri Modello'!$A$57:$A$60,0)),IF(INDEX('Parametri Modello'!$E$57:$E$60,MATCH($B225,'Parametri Modello'!$A$57:$A$60,0))=0,0,($O225/INDEX('Parametri Modello'!$E$57:$E$60,MATCH($B225,'Parametri Modello'!$A$57:$A$60,0)))*(INDEX('Parametri Modello'!$D$57:$D$60,MATCH($B225,'Parametri Modello'!$A$57:$A$60,0))*(INDEX('Parametri Modello'!$B$50:$B$53,MATCH($B225,'Parametri Modello'!$A$50:$A$53,0))*'Parametri Modello'!$B$44))),IF(INDEX('Parametri Modello'!$F$57:$F$60,MATCH($B225,'Parametri Modello'!$A$57:$A$60,0))=0,0,($O225/INDEX('Parametri Modello'!$F$57:$F$60,MATCH($B225,'Parametri Modello'!$A$57:$A$60,0)))*((1-INDEX('Parametri Modello'!$D$57:$D$60,MATCH($B225,'Parametri Modello'!$A$57:$A$60,0)))*(INDEX('Parametri Modello'!$B$50:$B$53,MATCH($B225,'Parametri Modello'!$A$50:$A$53,0))*'Parametri Modello'!$B$44))))*(1+IF(IF($B225="D",'Info Lega'!$B$25,IF($B225="C",'Info Lega'!$B$26,"No"))="Si",'Parametri Modello'!$B$5,0))*(1+MAX(-0.25,MIN(0.25,IF(OR($T225="",$I225="",$I225=0,INDEX('Parametri Modello'!$B$19:$B$22,MATCH($B225,'Parametri Modello'!$A$19:$A$22,0))="",INDEX('Parametri Modello'!$B$19:$B$22,MATCH($B225,'Parametri Modello'!$A$19:$A$22,0))=0),0,(($T225-INDEX('Parametri Modello'!$B$19:$B$22,MATCH($B225,'Parametri Modello'!$A$19:$A$22,0)))/INDEX('Parametri Modello'!$B$19:$B$22,MATCH($B225,'Parametri Modello'!$A$19:$A$22,0)))*'Parametri Modello'!$B$9))))*(1+IF('Parametri Modello'!$B$27="Si",MAX(-'Parametri Modello'!$B$28,MIN('Parametri Modello'!$B$28*1.5,IF(OR(INDEX('Parametri Modello'!$F$32:$F$35,MATCH($B225,'Parametri Modello'!$A$32:$A$35,0))="",INDEX('Parametri Modello'!$F$32:$F$35,MATCH($B225,'Parametri Modello'!$A$32:$A$35,0))=0),0,(1/INDEX('Parametri Modello'!$F$32:$F$35,MATCH($B225,'Parametri Modello'!$A$32:$A$35,0))-1)*'Parametri Modello'!$B$28))),0)))*(1-INDEX('Parametri Modello'!$B$12:$B$15,MATCH($B225,'Parametri Modello'!$A$12:$A$15,0)))),0),"")</f>
        <v>3</v>
      </c>
      <c r="H225" s="24">
        <f>IFERROR(ROUND((IF($V225&lt;=INDEX('Parametri Modello'!$C$57:$C$60,MATCH($B225,'Parametri Modello'!$A$57:$A$60,0)),IF(INDEX('Parametri Modello'!$E$57:$E$60,MATCH($B225,'Parametri Modello'!$A$57:$A$60,0))=0,0,($O225/INDEX('Parametri Modello'!$E$57:$E$60,MATCH($B225,'Parametri Modello'!$A$57:$A$60,0)))*(INDEX('Parametri Modello'!$D$57:$D$60,MATCH($B225,'Parametri Modello'!$A$57:$A$60,0))*(INDEX('Parametri Modello'!$B$50:$B$53,MATCH($B225,'Parametri Modello'!$A$50:$A$53,0))*'Parametri Modello'!$B$44))),IF(INDEX('Parametri Modello'!$F$57:$F$60,MATCH($B225,'Parametri Modello'!$A$57:$A$60,0))=0,0,($O225/INDEX('Parametri Modello'!$F$57:$F$60,MATCH($B225,'Parametri Modello'!$A$57:$A$60,0)))*((1-INDEX('Parametri Modello'!$D$57:$D$60,MATCH($B225,'Parametri Modello'!$A$57:$A$60,0)))*(INDEX('Parametri Modello'!$B$50:$B$53,MATCH($B225,'Parametri Modello'!$A$50:$A$53,0))*'Parametri Modello'!$B$44))))*(1+IF(IF($B225="D",'Info Lega'!$B$25,IF($B225="C",'Info Lega'!$B$26,"No"))="Si",'Parametri Modello'!$B$5,0))*(1+MAX(-0.25,MIN(0.25,IF(OR($T225="",$I225="",$I225=0,INDEX('Parametri Modello'!$B$19:$B$22,MATCH($B225,'Parametri Modello'!$A$19:$A$22,0))="",INDEX('Parametri Modello'!$B$19:$B$22,MATCH($B225,'Parametri Modello'!$A$19:$A$22,0))=0),0,(($T225-INDEX('Parametri Modello'!$B$19:$B$22,MATCH($B225,'Parametri Modello'!$A$19:$A$22,0)))/INDEX('Parametri Modello'!$B$19:$B$22,MATCH($B225,'Parametri Modello'!$A$19:$A$22,0)))*'Parametri Modello'!$B$9))))*(1+IF('Parametri Modello'!$B$27="Si",MAX(-'Parametri Modello'!$B$28,MIN('Parametri Modello'!$B$28*1.5,IF(OR(INDEX('Parametri Modello'!$F$32:$F$35,MATCH($B225,'Parametri Modello'!$A$32:$A$35,0))="",INDEX('Parametri Modello'!$F$32:$F$35,MATCH($B225,'Parametri Modello'!$A$32:$A$35,0))=0),0,(1/INDEX('Parametri Modello'!$F$32:$F$35,MATCH($B225,'Parametri Modello'!$A$32:$A$35,0))-1)*'Parametri Modello'!$B$28))),0)))*(1+INDEX('Parametri Modello'!$B$12:$B$15,MATCH($B225,'Parametri Modello'!$A$12:$A$15,0))),0),"")</f>
        <v>6</v>
      </c>
      <c r="I225" s="23" t="str">
        <f>IFERROR(INDEX('Input Statistiche 2025_26'!$F$3:$F$665,MATCH($A225,'Input Statistiche 2025_26'!$A$3:$A$665,0)),"")</f>
        <v/>
      </c>
      <c r="J225" s="23" t="str">
        <f t="shared" si="27"/>
        <v/>
      </c>
      <c r="K225" s="23" t="str">
        <f>IFERROR(INDEX('Input Statistiche 2025_26'!$I$3:$I$665,MATCH($A225,'Input Statistiche 2025_26'!$A$3:$A$665,0)),"")</f>
        <v/>
      </c>
      <c r="L225" s="23" t="str">
        <f>IFERROR(INDEX('Input Statistiche 2025_26'!$O$3:$O$665,MATCH($A225,'Input Statistiche 2025_26'!$A$3:$A$665,0)),"")</f>
        <v/>
      </c>
      <c r="M225" s="25"/>
      <c r="N225" s="24">
        <f>IFERROR(INDEX('Input Giocatori 2026_27'!$E$3:$E$493,MATCH($A225,'Input Giocatori 2026_27'!$A$3:$A$493,0)),"")</f>
        <v>4</v>
      </c>
      <c r="O225" s="24">
        <f>IFERROR(INDEX('Input Giocatori 2026_27'!$G$3:$G$493,MATCH($A225,'Input Giocatori 2026_27'!$A$3:$A$493,0)),"")</f>
        <v>15</v>
      </c>
      <c r="P225" s="23" t="str">
        <f>IFERROR(IF($O225="","",IF((1-(COUNTIFS($B$2:$B$492,$B225,$O$2:$O$492,"&gt;"&amp;$O225)+1-1)/COUNTIF($B$2:$B$492,$B225))&gt;='Parametri Modello'!$B$63,"Top",IF((1-(COUNTIFS($B$2:$B$492,$B225,$O$2:$O$492,"&gt;"&amp;$O225)+1-1)/COUNTIF($B$2:$B$492,$B225))&gt;='Parametri Modello'!$B$64,"Buono",IF((1-(COUNTIFS($B$2:$B$492,$B225,$O$2:$O$492,"&gt;"&amp;$O225)+1-1)/COUNTIF($B$2:$B$492,$B225))&gt;='Parametri Modello'!$B$65,"Nella Media","Scommessa/Riserva")))),"")</f>
        <v>Scommessa/Riserva</v>
      </c>
      <c r="Q225" s="26">
        <f>IF(AND($D225="",$N225&gt;1),SUMPRODUCT(($D$2:$D225="")*($N$2:$N225&gt;1)),"")</f>
        <v>224</v>
      </c>
      <c r="R225" s="26" t="str">
        <f>IF($D225='Info Lega'!$B$28,COUNTIFS($D$2:$D225,'Info Lega'!$B$28),"")</f>
        <v/>
      </c>
      <c r="S225" s="27" t="str">
        <f>IFERROR(INDEX('Input Statistiche 2025_26'!$G$3:$G$665,MATCH($A225,'Input Statistiche 2025_26'!$A$3:$A$665,0)),"")</f>
        <v/>
      </c>
      <c r="T225" s="27" t="str">
        <f>IFERROR(INDEX('Input Statistiche 2025_26'!$H$3:$H$665,MATCH($A225,'Input Statistiche 2025_26'!$A$3:$A$665,0)),"")</f>
        <v/>
      </c>
      <c r="U225" s="23" t="str">
        <f>IF(OR('La Mia Rosa'!$O$12="",$D225&lt;&gt;""),"",IF($F225&lt;='La Mia Rosa'!$O$12*'Parametri Modello'!$B$24,"OK",IF($F225&lt;='La Mia Rosa'!$O$12*'Parametri Modello'!$B$25,"Attenzione","Rischio Alto")))</f>
        <v>OK</v>
      </c>
      <c r="V225" s="23">
        <f t="shared" si="28"/>
        <v>57</v>
      </c>
      <c r="W225" s="18">
        <f>'Info Lega'!$B$4-SUMIFS($M$2:$M$492,$D$2:$D$492,'Info Lega'!$B$28)</f>
        <v>1000</v>
      </c>
      <c r="X225" s="18">
        <f>('Info Lega'!$B$5-COUNTIFS($D$2:$D$492,'Info Lega'!$B$28,$B$2:$B$492,"P"))+('Info Lega'!$B$6-COUNTIFS($D$2:$D$492,'Info Lega'!$B$28,$B$2:$B$492,"D"))+('Info Lega'!$B$7-COUNTIFS($D$2:$D$492,'Info Lega'!$B$28,$B$2:$B$492,"C"))+('Info Lega'!$B$8-COUNTIFS($D$2:$D$492,'Info Lega'!$B$28,$B$2:$B$492,"A"))</f>
        <v>25</v>
      </c>
      <c r="Y225" s="18">
        <f>X225*'Parametri Modello'!$B$30</f>
        <v>25</v>
      </c>
      <c r="Z225" s="18">
        <f t="shared" si="29"/>
        <v>975</v>
      </c>
      <c r="AA225" s="18">
        <f t="shared" si="30"/>
        <v>5</v>
      </c>
      <c r="AB225" s="18"/>
      <c r="AC225" s="18" t="str">
        <f>IF($AB225="","",IF($AB225&gt;$AA225,"PASS",IF($AB225&lt;=$AA225*(1-'Parametri Modello'!$B$68),"BID","ATTENZIONE")))</f>
        <v/>
      </c>
      <c r="AD225" s="28" t="str">
        <f t="shared" si="31"/>
        <v/>
      </c>
      <c r="AE225" s="5" t="str">
        <f>IFERROR(INDEX('Stato Asta'!$G$9:$G$12,MATCH($B225,'Stato Asta'!$A$9:$A$12,0)),"")</f>
        <v>🔴 Non aspettare</v>
      </c>
      <c r="AF225" t="str">
        <f>IFERROR(IF($V225&lt;=INDEX('Parametri Modello'!$C$57:$C$60,MATCH($B225,'Parametri Modello'!$A$57:$A$60,0)),"Titolare","Riserva"),"")</f>
        <v>Riserva</v>
      </c>
      <c r="AG225" t="str">
        <f>IFERROR(INDEX('Pressione Competitiva'!$F$3:$F$6,MATCH($B225,'Pressione Competitiva'!$B$3:$B$6,0)),"")</f>
        <v>🔴 Molto Alta</v>
      </c>
      <c r="AH225" t="str">
        <f t="shared" si="32"/>
        <v/>
      </c>
      <c r="AI225" t="str">
        <f>IFERROR(IF($AH225="","",IF($AH225&gt;=$AA225*'Parametri Modello'!$B$68,"🟢 Opportunita'",IF($AH225&lt;=$AA225*'Parametri Modello'!$B$69,"🔴 Sovrapprezzo","🟡 Prezzo Corretto"))),"")</f>
        <v/>
      </c>
      <c r="AJ225" t="str">
        <f t="shared" si="33"/>
        <v/>
      </c>
      <c r="AK225">
        <f t="shared" si="34"/>
        <v>3</v>
      </c>
      <c r="AL225" t="str">
        <f t="shared" si="35"/>
        <v>A|Scommessa/Riserva|3</v>
      </c>
    </row>
    <row r="226" spans="1:38" ht="14.25" customHeight="1" x14ac:dyDescent="0.25">
      <c r="A226" s="18">
        <v>6248</v>
      </c>
      <c r="B226" s="18" t="s">
        <v>15</v>
      </c>
      <c r="C226" s="18" t="s">
        <v>365</v>
      </c>
      <c r="E226" s="23" t="str">
        <f>IF(COUNTIF('Info Strategia'!$D$2:$D$51,$C226)&gt;0,"SI","NO")</f>
        <v>NO</v>
      </c>
      <c r="F226" s="24">
        <f>IFERROR(ROUND(($G226+($H226-$G226)*'Info Strategia'!$B$6)*(1+IF($E226="SI",'Parametri Modello'!$B$7*'Info Strategia'!$B$6,0)),0),"")</f>
        <v>5</v>
      </c>
      <c r="G226" s="24">
        <f>IFERROR(ROUND(MAX(1,(IF($V226&lt;=INDEX('Parametri Modello'!$C$57:$C$60,MATCH($B226,'Parametri Modello'!$A$57:$A$60,0)),IF(INDEX('Parametri Modello'!$E$57:$E$60,MATCH($B226,'Parametri Modello'!$A$57:$A$60,0))=0,0,($O226/INDEX('Parametri Modello'!$E$57:$E$60,MATCH($B226,'Parametri Modello'!$A$57:$A$60,0)))*(INDEX('Parametri Modello'!$D$57:$D$60,MATCH($B226,'Parametri Modello'!$A$57:$A$60,0))*(INDEX('Parametri Modello'!$B$50:$B$53,MATCH($B226,'Parametri Modello'!$A$50:$A$53,0))*'Parametri Modello'!$B$44))),IF(INDEX('Parametri Modello'!$F$57:$F$60,MATCH($B226,'Parametri Modello'!$A$57:$A$60,0))=0,0,($O226/INDEX('Parametri Modello'!$F$57:$F$60,MATCH($B226,'Parametri Modello'!$A$57:$A$60,0)))*((1-INDEX('Parametri Modello'!$D$57:$D$60,MATCH($B226,'Parametri Modello'!$A$57:$A$60,0)))*(INDEX('Parametri Modello'!$B$50:$B$53,MATCH($B226,'Parametri Modello'!$A$50:$A$53,0))*'Parametri Modello'!$B$44))))*(1+IF(IF($B226="D",'Info Lega'!$B$25,IF($B226="C",'Info Lega'!$B$26,"No"))="Si",'Parametri Modello'!$B$5,0))*(1+MAX(-0.25,MIN(0.25,IF(OR($T226="",$I226="",$I226=0,INDEX('Parametri Modello'!$B$19:$B$22,MATCH($B226,'Parametri Modello'!$A$19:$A$22,0))="",INDEX('Parametri Modello'!$B$19:$B$22,MATCH($B226,'Parametri Modello'!$A$19:$A$22,0))=0),0,(($T226-INDEX('Parametri Modello'!$B$19:$B$22,MATCH($B226,'Parametri Modello'!$A$19:$A$22,0)))/INDEX('Parametri Modello'!$B$19:$B$22,MATCH($B226,'Parametri Modello'!$A$19:$A$22,0)))*'Parametri Modello'!$B$9))))*(1+IF('Parametri Modello'!$B$27="Si",MAX(-'Parametri Modello'!$B$28,MIN('Parametri Modello'!$B$28*1.5,IF(OR(INDEX('Parametri Modello'!$F$32:$F$35,MATCH($B226,'Parametri Modello'!$A$32:$A$35,0))="",INDEX('Parametri Modello'!$F$32:$F$35,MATCH($B226,'Parametri Modello'!$A$32:$A$35,0))=0),0,(1/INDEX('Parametri Modello'!$F$32:$F$35,MATCH($B226,'Parametri Modello'!$A$32:$A$35,0))-1)*'Parametri Modello'!$B$28))),0)))*(1-INDEX('Parametri Modello'!$B$12:$B$15,MATCH($B226,'Parametri Modello'!$A$12:$A$15,0)))),0),"")</f>
        <v>4</v>
      </c>
      <c r="H226" s="24">
        <f>IFERROR(ROUND((IF($V226&lt;=INDEX('Parametri Modello'!$C$57:$C$60,MATCH($B226,'Parametri Modello'!$A$57:$A$60,0)),IF(INDEX('Parametri Modello'!$E$57:$E$60,MATCH($B226,'Parametri Modello'!$A$57:$A$60,0))=0,0,($O226/INDEX('Parametri Modello'!$E$57:$E$60,MATCH($B226,'Parametri Modello'!$A$57:$A$60,0)))*(INDEX('Parametri Modello'!$D$57:$D$60,MATCH($B226,'Parametri Modello'!$A$57:$A$60,0))*(INDEX('Parametri Modello'!$B$50:$B$53,MATCH($B226,'Parametri Modello'!$A$50:$A$53,0))*'Parametri Modello'!$B$44))),IF(INDEX('Parametri Modello'!$F$57:$F$60,MATCH($B226,'Parametri Modello'!$A$57:$A$60,0))=0,0,($O226/INDEX('Parametri Modello'!$F$57:$F$60,MATCH($B226,'Parametri Modello'!$A$57:$A$60,0)))*((1-INDEX('Parametri Modello'!$D$57:$D$60,MATCH($B226,'Parametri Modello'!$A$57:$A$60,0)))*(INDEX('Parametri Modello'!$B$50:$B$53,MATCH($B226,'Parametri Modello'!$A$50:$A$53,0))*'Parametri Modello'!$B$44))))*(1+IF(IF($B226="D",'Info Lega'!$B$25,IF($B226="C",'Info Lega'!$B$26,"No"))="Si",'Parametri Modello'!$B$5,0))*(1+MAX(-0.25,MIN(0.25,IF(OR($T226="",$I226="",$I226=0,INDEX('Parametri Modello'!$B$19:$B$22,MATCH($B226,'Parametri Modello'!$A$19:$A$22,0))="",INDEX('Parametri Modello'!$B$19:$B$22,MATCH($B226,'Parametri Modello'!$A$19:$A$22,0))=0),0,(($T226-INDEX('Parametri Modello'!$B$19:$B$22,MATCH($B226,'Parametri Modello'!$A$19:$A$22,0)))/INDEX('Parametri Modello'!$B$19:$B$22,MATCH($B226,'Parametri Modello'!$A$19:$A$22,0)))*'Parametri Modello'!$B$9))))*(1+IF('Parametri Modello'!$B$27="Si",MAX(-'Parametri Modello'!$B$28,MIN('Parametri Modello'!$B$28*1.5,IF(OR(INDEX('Parametri Modello'!$F$32:$F$35,MATCH($B226,'Parametri Modello'!$A$32:$A$35,0))="",INDEX('Parametri Modello'!$F$32:$F$35,MATCH($B226,'Parametri Modello'!$A$32:$A$35,0))=0),0,(1/INDEX('Parametri Modello'!$F$32:$F$35,MATCH($B226,'Parametri Modello'!$A$32:$A$35,0))-1)*'Parametri Modello'!$B$28))),0)))*(1+INDEX('Parametri Modello'!$B$12:$B$15,MATCH($B226,'Parametri Modello'!$A$12:$A$15,0))),0),"")</f>
        <v>5</v>
      </c>
      <c r="I226" s="23" t="str">
        <f>IFERROR(INDEX('Input Statistiche 2025_26'!$F$3:$F$665,MATCH($A226,'Input Statistiche 2025_26'!$A$3:$A$665,0)),"")</f>
        <v/>
      </c>
      <c r="J226" s="23" t="str">
        <f t="shared" si="27"/>
        <v/>
      </c>
      <c r="K226" s="23" t="str">
        <f>IFERROR(INDEX('Input Statistiche 2025_26'!$I$3:$I$665,MATCH($A226,'Input Statistiche 2025_26'!$A$3:$A$665,0)),"")</f>
        <v/>
      </c>
      <c r="L226" s="23" t="str">
        <f>IFERROR(INDEX('Input Statistiche 2025_26'!$O$3:$O$665,MATCH($A226,'Input Statistiche 2025_26'!$A$3:$A$665,0)),"")</f>
        <v/>
      </c>
      <c r="M226" s="25"/>
      <c r="N226" s="24">
        <f>IFERROR(INDEX('Input Giocatori 2026_27'!$E$3:$E$493,MATCH($A226,'Input Giocatori 2026_27'!$A$3:$A$493,0)),"")</f>
        <v>6</v>
      </c>
      <c r="O226" s="24">
        <f>IFERROR(INDEX('Input Giocatori 2026_27'!$G$3:$G$493,MATCH($A226,'Input Giocatori 2026_27'!$A$3:$A$493,0)),"")</f>
        <v>14</v>
      </c>
      <c r="P226" s="23" t="str">
        <f>IFERROR(IF($O226="","",IF((1-(COUNTIFS($B$2:$B$492,$B226,$O$2:$O$492,"&gt;"&amp;$O226)+1-1)/COUNTIF($B$2:$B$492,$B226))&gt;='Parametri Modello'!$B$63,"Top",IF((1-(COUNTIFS($B$2:$B$492,$B226,$O$2:$O$492,"&gt;"&amp;$O226)+1-1)/COUNTIF($B$2:$B$492,$B226))&gt;='Parametri Modello'!$B$64,"Buono",IF((1-(COUNTIFS($B$2:$B$492,$B226,$O$2:$O$492,"&gt;"&amp;$O226)+1-1)/COUNTIF($B$2:$B$492,$B226))&gt;='Parametri Modello'!$B$65,"Nella Media","Scommessa/Riserva")))),"")</f>
        <v>Buono</v>
      </c>
      <c r="Q226" s="26">
        <f>IF(AND($D226="",$N226&gt;1),SUMPRODUCT(($D$2:$D226="")*($N$2:$N226&gt;1)),"")</f>
        <v>225</v>
      </c>
      <c r="R226" s="26" t="str">
        <f>IF($D226='Info Lega'!$B$28,COUNTIFS($D$2:$D226,'Info Lega'!$B$28),"")</f>
        <v/>
      </c>
      <c r="S226" s="27" t="str">
        <f>IFERROR(INDEX('Input Statistiche 2025_26'!$G$3:$G$665,MATCH($A226,'Input Statistiche 2025_26'!$A$3:$A$665,0)),"")</f>
        <v/>
      </c>
      <c r="T226" s="27" t="str">
        <f>IFERROR(INDEX('Input Statistiche 2025_26'!$H$3:$H$665,MATCH($A226,'Input Statistiche 2025_26'!$A$3:$A$665,0)),"")</f>
        <v/>
      </c>
      <c r="U226" s="23" t="str">
        <f>IF(OR('La Mia Rosa'!$O$12="",$D226&lt;&gt;""),"",IF($F226&lt;='La Mia Rosa'!$O$12*'Parametri Modello'!$B$24,"OK",IF($F226&lt;='La Mia Rosa'!$O$12*'Parametri Modello'!$B$25,"Attenzione","Rischio Alto")))</f>
        <v>OK</v>
      </c>
      <c r="V226" s="23">
        <f t="shared" si="28"/>
        <v>17</v>
      </c>
      <c r="W226" s="18">
        <f>'Info Lega'!$B$4-SUMIFS($M$2:$M$492,$D$2:$D$492,'Info Lega'!$B$28)</f>
        <v>1000</v>
      </c>
      <c r="X226" s="18">
        <f>('Info Lega'!$B$5-COUNTIFS($D$2:$D$492,'Info Lega'!$B$28,$B$2:$B$492,"P"))+('Info Lega'!$B$6-COUNTIFS($D$2:$D$492,'Info Lega'!$B$28,$B$2:$B$492,"D"))+('Info Lega'!$B$7-COUNTIFS($D$2:$D$492,'Info Lega'!$B$28,$B$2:$B$492,"C"))+('Info Lega'!$B$8-COUNTIFS($D$2:$D$492,'Info Lega'!$B$28,$B$2:$B$492,"A"))</f>
        <v>25</v>
      </c>
      <c r="Y226" s="18">
        <f>X226*'Parametri Modello'!$B$30</f>
        <v>25</v>
      </c>
      <c r="Z226" s="18">
        <f t="shared" si="29"/>
        <v>975</v>
      </c>
      <c r="AA226" s="18">
        <f t="shared" si="30"/>
        <v>5</v>
      </c>
      <c r="AB226" s="18"/>
      <c r="AC226" s="18" t="str">
        <f>IF($AB226="","",IF($AB226&gt;$AA226,"PASS",IF($AB226&lt;=$AA226*(1-'Parametri Modello'!$B$68),"BID","ATTENZIONE")))</f>
        <v/>
      </c>
      <c r="AD226" s="28" t="str">
        <f t="shared" si="31"/>
        <v/>
      </c>
      <c r="AE226" s="5" t="str">
        <f>IFERROR(INDEX('Stato Asta'!$G$9:$G$12,MATCH($B226,'Stato Asta'!$A$9:$A$12,0)),"")</f>
        <v>🔴 Non aspettare</v>
      </c>
      <c r="AF226" t="str">
        <f>IFERROR(IF($V226&lt;=INDEX('Parametri Modello'!$C$57:$C$60,MATCH($B226,'Parametri Modello'!$A$57:$A$60,0)),"Titolare","Riserva"),"")</f>
        <v>Riserva</v>
      </c>
      <c r="AG226" t="str">
        <f>IFERROR(INDEX('Pressione Competitiva'!$F$3:$F$6,MATCH($B226,'Pressione Competitiva'!$B$3:$B$6,0)),"")</f>
        <v>🔴 Molto Alta</v>
      </c>
      <c r="AH226" t="str">
        <f t="shared" si="32"/>
        <v/>
      </c>
      <c r="AI226" t="str">
        <f>IFERROR(IF($AH226="","",IF($AH226&gt;=$AA226*'Parametri Modello'!$B$68,"🟢 Opportunita'",IF($AH226&lt;=$AA226*'Parametri Modello'!$B$69,"🔴 Sovrapprezzo","🟡 Prezzo Corretto"))),"")</f>
        <v/>
      </c>
      <c r="AJ226" t="str">
        <f t="shared" si="33"/>
        <v/>
      </c>
      <c r="AK226">
        <f t="shared" si="34"/>
        <v>10</v>
      </c>
      <c r="AL226" t="str">
        <f t="shared" si="35"/>
        <v>P|Buono|10</v>
      </c>
    </row>
    <row r="227" spans="1:38" ht="14.25" customHeight="1" x14ac:dyDescent="0.25">
      <c r="A227" s="18">
        <v>5701</v>
      </c>
      <c r="B227" s="18" t="s">
        <v>16</v>
      </c>
      <c r="C227" s="18" t="s">
        <v>366</v>
      </c>
      <c r="E227" s="23" t="str">
        <f>IF(COUNTIF('Info Strategia'!$D$2:$D$51,$C227)&gt;0,"SI","NO")</f>
        <v>NO</v>
      </c>
      <c r="F227" s="24">
        <f>IFERROR(ROUND(($G227+($H227-$G227)*'Info Strategia'!$B$6)*(1+IF($E227="SI",'Parametri Modello'!$B$7*'Info Strategia'!$B$6,0)),0),"")</f>
        <v>3</v>
      </c>
      <c r="G227" s="24">
        <f>IFERROR(ROUND(MAX(1,(IF($V227&lt;=INDEX('Parametri Modello'!$C$57:$C$60,MATCH($B227,'Parametri Modello'!$A$57:$A$60,0)),IF(INDEX('Parametri Modello'!$E$57:$E$60,MATCH($B227,'Parametri Modello'!$A$57:$A$60,0))=0,0,($O227/INDEX('Parametri Modello'!$E$57:$E$60,MATCH($B227,'Parametri Modello'!$A$57:$A$60,0)))*(INDEX('Parametri Modello'!$D$57:$D$60,MATCH($B227,'Parametri Modello'!$A$57:$A$60,0))*(INDEX('Parametri Modello'!$B$50:$B$53,MATCH($B227,'Parametri Modello'!$A$50:$A$53,0))*'Parametri Modello'!$B$44))),IF(INDEX('Parametri Modello'!$F$57:$F$60,MATCH($B227,'Parametri Modello'!$A$57:$A$60,0))=0,0,($O227/INDEX('Parametri Modello'!$F$57:$F$60,MATCH($B227,'Parametri Modello'!$A$57:$A$60,0)))*((1-INDEX('Parametri Modello'!$D$57:$D$60,MATCH($B227,'Parametri Modello'!$A$57:$A$60,0)))*(INDEX('Parametri Modello'!$B$50:$B$53,MATCH($B227,'Parametri Modello'!$A$50:$A$53,0))*'Parametri Modello'!$B$44))))*(1+IF(IF($B227="D",'Info Lega'!$B$25,IF($B227="C",'Info Lega'!$B$26,"No"))="Si",'Parametri Modello'!$B$5,0))*(1+MAX(-0.25,MIN(0.25,IF(OR($T227="",$I227="",$I227=0,INDEX('Parametri Modello'!$B$19:$B$22,MATCH($B227,'Parametri Modello'!$A$19:$A$22,0))="",INDEX('Parametri Modello'!$B$19:$B$22,MATCH($B227,'Parametri Modello'!$A$19:$A$22,0))=0),0,(($T227-INDEX('Parametri Modello'!$B$19:$B$22,MATCH($B227,'Parametri Modello'!$A$19:$A$22,0)))/INDEX('Parametri Modello'!$B$19:$B$22,MATCH($B227,'Parametri Modello'!$A$19:$A$22,0)))*'Parametri Modello'!$B$9))))*(1+IF('Parametri Modello'!$B$27="Si",MAX(-'Parametri Modello'!$B$28,MIN('Parametri Modello'!$B$28*1.5,IF(OR(INDEX('Parametri Modello'!$F$32:$F$35,MATCH($B227,'Parametri Modello'!$A$32:$A$35,0))="",INDEX('Parametri Modello'!$F$32:$F$35,MATCH($B227,'Parametri Modello'!$A$32:$A$35,0))=0),0,(1/INDEX('Parametri Modello'!$F$32:$F$35,MATCH($B227,'Parametri Modello'!$A$32:$A$35,0))-1)*'Parametri Modello'!$B$28))),0)))*(1-INDEX('Parametri Modello'!$B$12:$B$15,MATCH($B227,'Parametri Modello'!$A$12:$A$15,0)))),0),"")</f>
        <v>2</v>
      </c>
      <c r="H227" s="24">
        <f>IFERROR(ROUND((IF($V227&lt;=INDEX('Parametri Modello'!$C$57:$C$60,MATCH($B227,'Parametri Modello'!$A$57:$A$60,0)),IF(INDEX('Parametri Modello'!$E$57:$E$60,MATCH($B227,'Parametri Modello'!$A$57:$A$60,0))=0,0,($O227/INDEX('Parametri Modello'!$E$57:$E$60,MATCH($B227,'Parametri Modello'!$A$57:$A$60,0)))*(INDEX('Parametri Modello'!$D$57:$D$60,MATCH($B227,'Parametri Modello'!$A$57:$A$60,0))*(INDEX('Parametri Modello'!$B$50:$B$53,MATCH($B227,'Parametri Modello'!$A$50:$A$53,0))*'Parametri Modello'!$B$44))),IF(INDEX('Parametri Modello'!$F$57:$F$60,MATCH($B227,'Parametri Modello'!$A$57:$A$60,0))=0,0,($O227/INDEX('Parametri Modello'!$F$57:$F$60,MATCH($B227,'Parametri Modello'!$A$57:$A$60,0)))*((1-INDEX('Parametri Modello'!$D$57:$D$60,MATCH($B227,'Parametri Modello'!$A$57:$A$60,0)))*(INDEX('Parametri Modello'!$B$50:$B$53,MATCH($B227,'Parametri Modello'!$A$50:$A$53,0))*'Parametri Modello'!$B$44))))*(1+IF(IF($B227="D",'Info Lega'!$B$25,IF($B227="C",'Info Lega'!$B$26,"No"))="Si",'Parametri Modello'!$B$5,0))*(1+MAX(-0.25,MIN(0.25,IF(OR($T227="",$I227="",$I227=0,INDEX('Parametri Modello'!$B$19:$B$22,MATCH($B227,'Parametri Modello'!$A$19:$A$22,0))="",INDEX('Parametri Modello'!$B$19:$B$22,MATCH($B227,'Parametri Modello'!$A$19:$A$22,0))=0),0,(($T227-INDEX('Parametri Modello'!$B$19:$B$22,MATCH($B227,'Parametri Modello'!$A$19:$A$22,0)))/INDEX('Parametri Modello'!$B$19:$B$22,MATCH($B227,'Parametri Modello'!$A$19:$A$22,0)))*'Parametri Modello'!$B$9))))*(1+IF('Parametri Modello'!$B$27="Si",MAX(-'Parametri Modello'!$B$28,MIN('Parametri Modello'!$B$28*1.5,IF(OR(INDEX('Parametri Modello'!$F$32:$F$35,MATCH($B227,'Parametri Modello'!$A$32:$A$35,0))="",INDEX('Parametri Modello'!$F$32:$F$35,MATCH($B227,'Parametri Modello'!$A$32:$A$35,0))=0),0,(1/INDEX('Parametri Modello'!$F$32:$F$35,MATCH($B227,'Parametri Modello'!$A$32:$A$35,0))-1)*'Parametri Modello'!$B$28))),0)))*(1+INDEX('Parametri Modello'!$B$12:$B$15,MATCH($B227,'Parametri Modello'!$A$12:$A$15,0))),0),"")</f>
        <v>3</v>
      </c>
      <c r="I227" s="23">
        <f>IFERROR(INDEX('Input Statistiche 2025_26'!$F$3:$F$665,MATCH($A227,'Input Statistiche 2025_26'!$A$3:$A$665,0)),"")</f>
        <v>34</v>
      </c>
      <c r="J227" s="23">
        <f t="shared" si="27"/>
        <v>4</v>
      </c>
      <c r="K227" s="23">
        <f>IFERROR(INDEX('Input Statistiche 2025_26'!$I$3:$I$665,MATCH($A227,'Input Statistiche 2025_26'!$A$3:$A$665,0)),"")</f>
        <v>0</v>
      </c>
      <c r="L227" s="23">
        <f>IFERROR(INDEX('Input Statistiche 2025_26'!$O$3:$O$665,MATCH($A227,'Input Statistiche 2025_26'!$A$3:$A$665,0)),"")</f>
        <v>3</v>
      </c>
      <c r="M227" s="25"/>
      <c r="N227" s="24">
        <f>IFERROR(INDEX('Input Giocatori 2026_27'!$E$3:$E$493,MATCH($A227,'Input Giocatori 2026_27'!$A$3:$A$493,0)),"")</f>
        <v>7</v>
      </c>
      <c r="O227" s="24">
        <f>IFERROR(INDEX('Input Giocatori 2026_27'!$G$3:$G$493,MATCH($A227,'Input Giocatori 2026_27'!$A$3:$A$493,0)),"")</f>
        <v>14</v>
      </c>
      <c r="P227" s="23" t="str">
        <f>IFERROR(IF($O227="","",IF((1-(COUNTIFS($B$2:$B$492,$B227,$O$2:$O$492,"&gt;"&amp;$O227)+1-1)/COUNTIF($B$2:$B$492,$B227))&gt;='Parametri Modello'!$B$63,"Top",IF((1-(COUNTIFS($B$2:$B$492,$B227,$O$2:$O$492,"&gt;"&amp;$O227)+1-1)/COUNTIF($B$2:$B$492,$B227))&gt;='Parametri Modello'!$B$64,"Buono",IF((1-(COUNTIFS($B$2:$B$492,$B227,$O$2:$O$492,"&gt;"&amp;$O227)+1-1)/COUNTIF($B$2:$B$492,$B227))&gt;='Parametri Modello'!$B$65,"Nella Media","Scommessa/Riserva")))),"")</f>
        <v>Nella Media</v>
      </c>
      <c r="Q227" s="26">
        <f>IF(AND($D227="",$N227&gt;1),SUMPRODUCT(($D$2:$D227="")*($N$2:$N227&gt;1)),"")</f>
        <v>226</v>
      </c>
      <c r="R227" s="26" t="str">
        <f>IF($D227='Info Lega'!$B$28,COUNTIFS($D$2:$D227,'Info Lega'!$B$28),"")</f>
        <v/>
      </c>
      <c r="S227" s="27">
        <f>IFERROR(INDEX('Input Statistiche 2025_26'!$G$3:$G$665,MATCH($A227,'Input Statistiche 2025_26'!$A$3:$A$665,0)),"")</f>
        <v>5.88</v>
      </c>
      <c r="T227" s="27">
        <f>IFERROR(INDEX('Input Statistiche 2025_26'!$H$3:$H$665,MATCH($A227,'Input Statistiche 2025_26'!$A$3:$A$665,0)),"")</f>
        <v>5.82</v>
      </c>
      <c r="U227" s="23" t="str">
        <f>IF(OR('La Mia Rosa'!$O$12="",$D227&lt;&gt;""),"",IF($F227&lt;='La Mia Rosa'!$O$12*'Parametri Modello'!$B$24,"OK",IF($F227&lt;='La Mia Rosa'!$O$12*'Parametri Modello'!$B$25,"Attenzione","Rischio Alto")))</f>
        <v>OK</v>
      </c>
      <c r="V227" s="23">
        <f t="shared" si="28"/>
        <v>67</v>
      </c>
      <c r="W227" s="18">
        <f>'Info Lega'!$B$4-SUMIFS($M$2:$M$492,$D$2:$D$492,'Info Lega'!$B$28)</f>
        <v>1000</v>
      </c>
      <c r="X227" s="18">
        <f>('Info Lega'!$B$5-COUNTIFS($D$2:$D$492,'Info Lega'!$B$28,$B$2:$B$492,"P"))+('Info Lega'!$B$6-COUNTIFS($D$2:$D$492,'Info Lega'!$B$28,$B$2:$B$492,"D"))+('Info Lega'!$B$7-COUNTIFS($D$2:$D$492,'Info Lega'!$B$28,$B$2:$B$492,"C"))+('Info Lega'!$B$8-COUNTIFS($D$2:$D$492,'Info Lega'!$B$28,$B$2:$B$492,"A"))</f>
        <v>25</v>
      </c>
      <c r="Y227" s="18">
        <f>X227*'Parametri Modello'!$B$30</f>
        <v>25</v>
      </c>
      <c r="Z227" s="18">
        <f t="shared" si="29"/>
        <v>975</v>
      </c>
      <c r="AA227" s="18">
        <f t="shared" si="30"/>
        <v>3</v>
      </c>
      <c r="AB227" s="18"/>
      <c r="AC227" s="18" t="str">
        <f>IF($AB227="","",IF($AB227&gt;$AA227,"PASS",IF($AB227&lt;=$AA227*(1-'Parametri Modello'!$B$68),"BID","ATTENZIONE")))</f>
        <v/>
      </c>
      <c r="AD227" s="28">
        <f t="shared" si="31"/>
        <v>68</v>
      </c>
      <c r="AE227" s="5" t="str">
        <f>IFERROR(INDEX('Stato Asta'!$G$9:$G$12,MATCH($B227,'Stato Asta'!$A$9:$A$12,0)),"")</f>
        <v>🔴 Non aspettare</v>
      </c>
      <c r="AF227" t="str">
        <f>IFERROR(IF($V227&lt;=INDEX('Parametri Modello'!$C$57:$C$60,MATCH($B227,'Parametri Modello'!$A$57:$A$60,0)),"Titolare","Riserva"),"")</f>
        <v>Riserva</v>
      </c>
      <c r="AG227" t="str">
        <f>IFERROR(INDEX('Pressione Competitiva'!$F$3:$F$6,MATCH($B227,'Pressione Competitiva'!$B$3:$B$6,0)),"")</f>
        <v>🔴 Molto Alta</v>
      </c>
      <c r="AH227" t="str">
        <f t="shared" si="32"/>
        <v/>
      </c>
      <c r="AI227" t="str">
        <f>IFERROR(IF($AH227="","",IF($AH227&gt;=$AA227*'Parametri Modello'!$B$68,"🟢 Opportunita'",IF($AH227&lt;=$AA227*'Parametri Modello'!$B$69,"🔴 Sovrapprezzo","🟡 Prezzo Corretto"))),"")</f>
        <v/>
      </c>
      <c r="AJ227" t="str">
        <f t="shared" si="33"/>
        <v/>
      </c>
      <c r="AK227">
        <f t="shared" si="34"/>
        <v>12</v>
      </c>
      <c r="AL227" t="str">
        <f t="shared" si="35"/>
        <v>D|Nella Media|12</v>
      </c>
    </row>
    <row r="228" spans="1:38" ht="14.25" customHeight="1" x14ac:dyDescent="0.25">
      <c r="A228" s="18">
        <v>4952</v>
      </c>
      <c r="B228" s="18" t="s">
        <v>16</v>
      </c>
      <c r="C228" s="18" t="s">
        <v>367</v>
      </c>
      <c r="E228" s="23" t="str">
        <f>IF(COUNTIF('Info Strategia'!$D$2:$D$51,$C228)&gt;0,"SI","NO")</f>
        <v>NO</v>
      </c>
      <c r="F228" s="24">
        <f>IFERROR(ROUND(($G228+($H228-$G228)*'Info Strategia'!$B$6)*(1+IF($E228="SI",'Parametri Modello'!$B$7*'Info Strategia'!$B$6,0)),0),"")</f>
        <v>3</v>
      </c>
      <c r="G228" s="24">
        <f>IFERROR(ROUND(MAX(1,(IF($V228&lt;=INDEX('Parametri Modello'!$C$57:$C$60,MATCH($B228,'Parametri Modello'!$A$57:$A$60,0)),IF(INDEX('Parametri Modello'!$E$57:$E$60,MATCH($B228,'Parametri Modello'!$A$57:$A$60,0))=0,0,($O228/INDEX('Parametri Modello'!$E$57:$E$60,MATCH($B228,'Parametri Modello'!$A$57:$A$60,0)))*(INDEX('Parametri Modello'!$D$57:$D$60,MATCH($B228,'Parametri Modello'!$A$57:$A$60,0))*(INDEX('Parametri Modello'!$B$50:$B$53,MATCH($B228,'Parametri Modello'!$A$50:$A$53,0))*'Parametri Modello'!$B$44))),IF(INDEX('Parametri Modello'!$F$57:$F$60,MATCH($B228,'Parametri Modello'!$A$57:$A$60,0))=0,0,($O228/INDEX('Parametri Modello'!$F$57:$F$60,MATCH($B228,'Parametri Modello'!$A$57:$A$60,0)))*((1-INDEX('Parametri Modello'!$D$57:$D$60,MATCH($B228,'Parametri Modello'!$A$57:$A$60,0)))*(INDEX('Parametri Modello'!$B$50:$B$53,MATCH($B228,'Parametri Modello'!$A$50:$A$53,0))*'Parametri Modello'!$B$44))))*(1+IF(IF($B228="D",'Info Lega'!$B$25,IF($B228="C",'Info Lega'!$B$26,"No"))="Si",'Parametri Modello'!$B$5,0))*(1+MAX(-0.25,MIN(0.25,IF(OR($T228="",$I228="",$I228=0,INDEX('Parametri Modello'!$B$19:$B$22,MATCH($B228,'Parametri Modello'!$A$19:$A$22,0))="",INDEX('Parametri Modello'!$B$19:$B$22,MATCH($B228,'Parametri Modello'!$A$19:$A$22,0))=0),0,(($T228-INDEX('Parametri Modello'!$B$19:$B$22,MATCH($B228,'Parametri Modello'!$A$19:$A$22,0)))/INDEX('Parametri Modello'!$B$19:$B$22,MATCH($B228,'Parametri Modello'!$A$19:$A$22,0)))*'Parametri Modello'!$B$9))))*(1+IF('Parametri Modello'!$B$27="Si",MAX(-'Parametri Modello'!$B$28,MIN('Parametri Modello'!$B$28*1.5,IF(OR(INDEX('Parametri Modello'!$F$32:$F$35,MATCH($B228,'Parametri Modello'!$A$32:$A$35,0))="",INDEX('Parametri Modello'!$F$32:$F$35,MATCH($B228,'Parametri Modello'!$A$32:$A$35,0))=0),0,(1/INDEX('Parametri Modello'!$F$32:$F$35,MATCH($B228,'Parametri Modello'!$A$32:$A$35,0))-1)*'Parametri Modello'!$B$28))),0)))*(1-INDEX('Parametri Modello'!$B$12:$B$15,MATCH($B228,'Parametri Modello'!$A$12:$A$15,0)))),0),"")</f>
        <v>2</v>
      </c>
      <c r="H228" s="24">
        <f>IFERROR(ROUND((IF($V228&lt;=INDEX('Parametri Modello'!$C$57:$C$60,MATCH($B228,'Parametri Modello'!$A$57:$A$60,0)),IF(INDEX('Parametri Modello'!$E$57:$E$60,MATCH($B228,'Parametri Modello'!$A$57:$A$60,0))=0,0,($O228/INDEX('Parametri Modello'!$E$57:$E$60,MATCH($B228,'Parametri Modello'!$A$57:$A$60,0)))*(INDEX('Parametri Modello'!$D$57:$D$60,MATCH($B228,'Parametri Modello'!$A$57:$A$60,0))*(INDEX('Parametri Modello'!$B$50:$B$53,MATCH($B228,'Parametri Modello'!$A$50:$A$53,0))*'Parametri Modello'!$B$44))),IF(INDEX('Parametri Modello'!$F$57:$F$60,MATCH($B228,'Parametri Modello'!$A$57:$A$60,0))=0,0,($O228/INDEX('Parametri Modello'!$F$57:$F$60,MATCH($B228,'Parametri Modello'!$A$57:$A$60,0)))*((1-INDEX('Parametri Modello'!$D$57:$D$60,MATCH($B228,'Parametri Modello'!$A$57:$A$60,0)))*(INDEX('Parametri Modello'!$B$50:$B$53,MATCH($B228,'Parametri Modello'!$A$50:$A$53,0))*'Parametri Modello'!$B$44))))*(1+IF(IF($B228="D",'Info Lega'!$B$25,IF($B228="C",'Info Lega'!$B$26,"No"))="Si",'Parametri Modello'!$B$5,0))*(1+MAX(-0.25,MIN(0.25,IF(OR($T228="",$I228="",$I228=0,INDEX('Parametri Modello'!$B$19:$B$22,MATCH($B228,'Parametri Modello'!$A$19:$A$22,0))="",INDEX('Parametri Modello'!$B$19:$B$22,MATCH($B228,'Parametri Modello'!$A$19:$A$22,0))=0),0,(($T228-INDEX('Parametri Modello'!$B$19:$B$22,MATCH($B228,'Parametri Modello'!$A$19:$A$22,0)))/INDEX('Parametri Modello'!$B$19:$B$22,MATCH($B228,'Parametri Modello'!$A$19:$A$22,0)))*'Parametri Modello'!$B$9))))*(1+IF('Parametri Modello'!$B$27="Si",MAX(-'Parametri Modello'!$B$28,MIN('Parametri Modello'!$B$28*1.5,IF(OR(INDEX('Parametri Modello'!$F$32:$F$35,MATCH($B228,'Parametri Modello'!$A$32:$A$35,0))="",INDEX('Parametri Modello'!$F$32:$F$35,MATCH($B228,'Parametri Modello'!$A$32:$A$35,0))=0),0,(1/INDEX('Parametri Modello'!$F$32:$F$35,MATCH($B228,'Parametri Modello'!$A$32:$A$35,0))-1)*'Parametri Modello'!$B$28))),0)))*(1+INDEX('Parametri Modello'!$B$12:$B$15,MATCH($B228,'Parametri Modello'!$A$12:$A$15,0))),0),"")</f>
        <v>3</v>
      </c>
      <c r="I228" s="23" t="str">
        <f>IFERROR(INDEX('Input Statistiche 2025_26'!$F$3:$F$665,MATCH($A228,'Input Statistiche 2025_26'!$A$3:$A$665,0)),"")</f>
        <v/>
      </c>
      <c r="J228" s="23" t="str">
        <f t="shared" si="27"/>
        <v/>
      </c>
      <c r="K228" s="23" t="str">
        <f>IFERROR(INDEX('Input Statistiche 2025_26'!$I$3:$I$665,MATCH($A228,'Input Statistiche 2025_26'!$A$3:$A$665,0)),"")</f>
        <v/>
      </c>
      <c r="L228" s="23" t="str">
        <f>IFERROR(INDEX('Input Statistiche 2025_26'!$O$3:$O$665,MATCH($A228,'Input Statistiche 2025_26'!$A$3:$A$665,0)),"")</f>
        <v/>
      </c>
      <c r="M228" s="25"/>
      <c r="N228" s="24">
        <f>IFERROR(INDEX('Input Giocatori 2026_27'!$E$3:$E$493,MATCH($A228,'Input Giocatori 2026_27'!$A$3:$A$493,0)),"")</f>
        <v>6</v>
      </c>
      <c r="O228" s="24">
        <f>IFERROR(INDEX('Input Giocatori 2026_27'!$G$3:$G$493,MATCH($A228,'Input Giocatori 2026_27'!$A$3:$A$493,0)),"")</f>
        <v>14</v>
      </c>
      <c r="P228" s="23" t="str">
        <f>IFERROR(IF($O228="","",IF((1-(COUNTIFS($B$2:$B$492,$B228,$O$2:$O$492,"&gt;"&amp;$O228)+1-1)/COUNTIF($B$2:$B$492,$B228))&gt;='Parametri Modello'!$B$63,"Top",IF((1-(COUNTIFS($B$2:$B$492,$B228,$O$2:$O$492,"&gt;"&amp;$O228)+1-1)/COUNTIF($B$2:$B$492,$B228))&gt;='Parametri Modello'!$B$64,"Buono",IF((1-(COUNTIFS($B$2:$B$492,$B228,$O$2:$O$492,"&gt;"&amp;$O228)+1-1)/COUNTIF($B$2:$B$492,$B228))&gt;='Parametri Modello'!$B$65,"Nella Media","Scommessa/Riserva")))),"")</f>
        <v>Nella Media</v>
      </c>
      <c r="Q228" s="26">
        <f>IF(AND($D228="",$N228&gt;1),SUMPRODUCT(($D$2:$D228="")*($N$2:$N228&gt;1)),"")</f>
        <v>227</v>
      </c>
      <c r="R228" s="26" t="str">
        <f>IF($D228='Info Lega'!$B$28,COUNTIFS($D$2:$D228,'Info Lega'!$B$28),"")</f>
        <v/>
      </c>
      <c r="S228" s="27" t="str">
        <f>IFERROR(INDEX('Input Statistiche 2025_26'!$G$3:$G$665,MATCH($A228,'Input Statistiche 2025_26'!$A$3:$A$665,0)),"")</f>
        <v/>
      </c>
      <c r="T228" s="27" t="str">
        <f>IFERROR(INDEX('Input Statistiche 2025_26'!$H$3:$H$665,MATCH($A228,'Input Statistiche 2025_26'!$A$3:$A$665,0)),"")</f>
        <v/>
      </c>
      <c r="U228" s="23" t="str">
        <f>IF(OR('La Mia Rosa'!$O$12="",$D228&lt;&gt;""),"",IF($F228&lt;='La Mia Rosa'!$O$12*'Parametri Modello'!$B$24,"OK",IF($F228&lt;='La Mia Rosa'!$O$12*'Parametri Modello'!$B$25,"Attenzione","Rischio Alto")))</f>
        <v>OK</v>
      </c>
      <c r="V228" s="23">
        <f t="shared" si="28"/>
        <v>67</v>
      </c>
      <c r="W228" s="18">
        <f>'Info Lega'!$B$4-SUMIFS($M$2:$M$492,$D$2:$D$492,'Info Lega'!$B$28)</f>
        <v>1000</v>
      </c>
      <c r="X228" s="18">
        <f>('Info Lega'!$B$5-COUNTIFS($D$2:$D$492,'Info Lega'!$B$28,$B$2:$B$492,"P"))+('Info Lega'!$B$6-COUNTIFS($D$2:$D$492,'Info Lega'!$B$28,$B$2:$B$492,"D"))+('Info Lega'!$B$7-COUNTIFS($D$2:$D$492,'Info Lega'!$B$28,$B$2:$B$492,"C"))+('Info Lega'!$B$8-COUNTIFS($D$2:$D$492,'Info Lega'!$B$28,$B$2:$B$492,"A"))</f>
        <v>25</v>
      </c>
      <c r="Y228" s="18">
        <f>X228*'Parametri Modello'!$B$30</f>
        <v>25</v>
      </c>
      <c r="Z228" s="18">
        <f t="shared" si="29"/>
        <v>975</v>
      </c>
      <c r="AA228" s="18">
        <f t="shared" si="30"/>
        <v>3</v>
      </c>
      <c r="AB228" s="18"/>
      <c r="AC228" s="18" t="str">
        <f>IF($AB228="","",IF($AB228&gt;$AA228,"PASS",IF($AB228&lt;=$AA228*(1-'Parametri Modello'!$B$68),"BID","ATTENZIONE")))</f>
        <v/>
      </c>
      <c r="AD228" s="28" t="str">
        <f t="shared" si="31"/>
        <v/>
      </c>
      <c r="AE228" s="5" t="str">
        <f>IFERROR(INDEX('Stato Asta'!$G$9:$G$12,MATCH($B228,'Stato Asta'!$A$9:$A$12,0)),"")</f>
        <v>🔴 Non aspettare</v>
      </c>
      <c r="AF228" t="str">
        <f>IFERROR(IF($V228&lt;=INDEX('Parametri Modello'!$C$57:$C$60,MATCH($B228,'Parametri Modello'!$A$57:$A$60,0)),"Titolare","Riserva"),"")</f>
        <v>Riserva</v>
      </c>
      <c r="AG228" t="str">
        <f>IFERROR(INDEX('Pressione Competitiva'!$F$3:$F$6,MATCH($B228,'Pressione Competitiva'!$B$3:$B$6,0)),"")</f>
        <v>🔴 Molto Alta</v>
      </c>
      <c r="AH228" t="str">
        <f t="shared" si="32"/>
        <v/>
      </c>
      <c r="AI228" t="str">
        <f>IFERROR(IF($AH228="","",IF($AH228&gt;=$AA228*'Parametri Modello'!$B$68,"🟢 Opportunita'",IF($AH228&lt;=$AA228*'Parametri Modello'!$B$69,"🔴 Sovrapprezzo","🟡 Prezzo Corretto"))),"")</f>
        <v/>
      </c>
      <c r="AJ228" t="str">
        <f t="shared" si="33"/>
        <v/>
      </c>
      <c r="AK228">
        <f t="shared" si="34"/>
        <v>12</v>
      </c>
      <c r="AL228" t="str">
        <f t="shared" si="35"/>
        <v>D|Nella Media|12</v>
      </c>
    </row>
    <row r="229" spans="1:38" ht="14.25" customHeight="1" x14ac:dyDescent="0.25">
      <c r="A229" s="18">
        <v>5298</v>
      </c>
      <c r="B229" s="18" t="s">
        <v>17</v>
      </c>
      <c r="C229" s="18" t="s">
        <v>368</v>
      </c>
      <c r="E229" s="23" t="str">
        <f>IF(COUNTIF('Info Strategia'!$D$2:$D$51,$C229)&gt;0,"SI","NO")</f>
        <v>NO</v>
      </c>
      <c r="F229" s="24">
        <f>IFERROR(ROUND(($G229+($H229-$G229)*'Info Strategia'!$B$6)*(1+IF($E229="SI",'Parametri Modello'!$B$7*'Info Strategia'!$B$6,0)),0),"")</f>
        <v>2</v>
      </c>
      <c r="G229" s="24">
        <f>IFERROR(ROUND(MAX(1,(IF($V229&lt;=INDEX('Parametri Modello'!$C$57:$C$60,MATCH($B229,'Parametri Modello'!$A$57:$A$60,0)),IF(INDEX('Parametri Modello'!$E$57:$E$60,MATCH($B229,'Parametri Modello'!$A$57:$A$60,0))=0,0,($O229/INDEX('Parametri Modello'!$E$57:$E$60,MATCH($B229,'Parametri Modello'!$A$57:$A$60,0)))*(INDEX('Parametri Modello'!$D$57:$D$60,MATCH($B229,'Parametri Modello'!$A$57:$A$60,0))*(INDEX('Parametri Modello'!$B$50:$B$53,MATCH($B229,'Parametri Modello'!$A$50:$A$53,0))*'Parametri Modello'!$B$44))),IF(INDEX('Parametri Modello'!$F$57:$F$60,MATCH($B229,'Parametri Modello'!$A$57:$A$60,0))=0,0,($O229/INDEX('Parametri Modello'!$F$57:$F$60,MATCH($B229,'Parametri Modello'!$A$57:$A$60,0)))*((1-INDEX('Parametri Modello'!$D$57:$D$60,MATCH($B229,'Parametri Modello'!$A$57:$A$60,0)))*(INDEX('Parametri Modello'!$B$50:$B$53,MATCH($B229,'Parametri Modello'!$A$50:$A$53,0))*'Parametri Modello'!$B$44))))*(1+IF(IF($B229="D",'Info Lega'!$B$25,IF($B229="C",'Info Lega'!$B$26,"No"))="Si",'Parametri Modello'!$B$5,0))*(1+MAX(-0.25,MIN(0.25,IF(OR($T229="",$I229="",$I229=0,INDEX('Parametri Modello'!$B$19:$B$22,MATCH($B229,'Parametri Modello'!$A$19:$A$22,0))="",INDEX('Parametri Modello'!$B$19:$B$22,MATCH($B229,'Parametri Modello'!$A$19:$A$22,0))=0),0,(($T229-INDEX('Parametri Modello'!$B$19:$B$22,MATCH($B229,'Parametri Modello'!$A$19:$A$22,0)))/INDEX('Parametri Modello'!$B$19:$B$22,MATCH($B229,'Parametri Modello'!$A$19:$A$22,0)))*'Parametri Modello'!$B$9))))*(1+IF('Parametri Modello'!$B$27="Si",MAX(-'Parametri Modello'!$B$28,MIN('Parametri Modello'!$B$28*1.5,IF(OR(INDEX('Parametri Modello'!$F$32:$F$35,MATCH($B229,'Parametri Modello'!$A$32:$A$35,0))="",INDEX('Parametri Modello'!$F$32:$F$35,MATCH($B229,'Parametri Modello'!$A$32:$A$35,0))=0),0,(1/INDEX('Parametri Modello'!$F$32:$F$35,MATCH($B229,'Parametri Modello'!$A$32:$A$35,0))-1)*'Parametri Modello'!$B$28))),0)))*(1-INDEX('Parametri Modello'!$B$12:$B$15,MATCH($B229,'Parametri Modello'!$A$12:$A$15,0)))),0),"")</f>
        <v>1</v>
      </c>
      <c r="H229" s="24">
        <f>IFERROR(ROUND((IF($V229&lt;=INDEX('Parametri Modello'!$C$57:$C$60,MATCH($B229,'Parametri Modello'!$A$57:$A$60,0)),IF(INDEX('Parametri Modello'!$E$57:$E$60,MATCH($B229,'Parametri Modello'!$A$57:$A$60,0))=0,0,($O229/INDEX('Parametri Modello'!$E$57:$E$60,MATCH($B229,'Parametri Modello'!$A$57:$A$60,0)))*(INDEX('Parametri Modello'!$D$57:$D$60,MATCH($B229,'Parametri Modello'!$A$57:$A$60,0))*(INDEX('Parametri Modello'!$B$50:$B$53,MATCH($B229,'Parametri Modello'!$A$50:$A$53,0))*'Parametri Modello'!$B$44))),IF(INDEX('Parametri Modello'!$F$57:$F$60,MATCH($B229,'Parametri Modello'!$A$57:$A$60,0))=0,0,($O229/INDEX('Parametri Modello'!$F$57:$F$60,MATCH($B229,'Parametri Modello'!$A$57:$A$60,0)))*((1-INDEX('Parametri Modello'!$D$57:$D$60,MATCH($B229,'Parametri Modello'!$A$57:$A$60,0)))*(INDEX('Parametri Modello'!$B$50:$B$53,MATCH($B229,'Parametri Modello'!$A$50:$A$53,0))*'Parametri Modello'!$B$44))))*(1+IF(IF($B229="D",'Info Lega'!$B$25,IF($B229="C",'Info Lega'!$B$26,"No"))="Si",'Parametri Modello'!$B$5,0))*(1+MAX(-0.25,MIN(0.25,IF(OR($T229="",$I229="",$I229=0,INDEX('Parametri Modello'!$B$19:$B$22,MATCH($B229,'Parametri Modello'!$A$19:$A$22,0))="",INDEX('Parametri Modello'!$B$19:$B$22,MATCH($B229,'Parametri Modello'!$A$19:$A$22,0))=0),0,(($T229-INDEX('Parametri Modello'!$B$19:$B$22,MATCH($B229,'Parametri Modello'!$A$19:$A$22,0)))/INDEX('Parametri Modello'!$B$19:$B$22,MATCH($B229,'Parametri Modello'!$A$19:$A$22,0)))*'Parametri Modello'!$B$9))))*(1+IF('Parametri Modello'!$B$27="Si",MAX(-'Parametri Modello'!$B$28,MIN('Parametri Modello'!$B$28*1.5,IF(OR(INDEX('Parametri Modello'!$F$32:$F$35,MATCH($B229,'Parametri Modello'!$A$32:$A$35,0))="",INDEX('Parametri Modello'!$F$32:$F$35,MATCH($B229,'Parametri Modello'!$A$32:$A$35,0))=0),0,(1/INDEX('Parametri Modello'!$F$32:$F$35,MATCH($B229,'Parametri Modello'!$A$32:$A$35,0))-1)*'Parametri Modello'!$B$28))),0)))*(1+INDEX('Parametri Modello'!$B$12:$B$15,MATCH($B229,'Parametri Modello'!$A$12:$A$15,0))),0),"")</f>
        <v>2</v>
      </c>
      <c r="I229" s="23">
        <f>IFERROR(INDEX('Input Statistiche 2025_26'!$F$3:$F$665,MATCH($A229,'Input Statistiche 2025_26'!$A$3:$A$665,0)),"")</f>
        <v>23</v>
      </c>
      <c r="J229" s="23">
        <f t="shared" si="27"/>
        <v>15</v>
      </c>
      <c r="K229" s="23">
        <f>IFERROR(INDEX('Input Statistiche 2025_26'!$I$3:$I$665,MATCH($A229,'Input Statistiche 2025_26'!$A$3:$A$665,0)),"")</f>
        <v>3</v>
      </c>
      <c r="L229" s="23">
        <f>IFERROR(INDEX('Input Statistiche 2025_26'!$O$3:$O$665,MATCH($A229,'Input Statistiche 2025_26'!$A$3:$A$665,0)),"")</f>
        <v>1</v>
      </c>
      <c r="M229" s="25"/>
      <c r="N229" s="24">
        <f>IFERROR(INDEX('Input Giocatori 2026_27'!$E$3:$E$493,MATCH($A229,'Input Giocatori 2026_27'!$A$3:$A$493,0)),"")</f>
        <v>6</v>
      </c>
      <c r="O229" s="24">
        <f>IFERROR(INDEX('Input Giocatori 2026_27'!$G$3:$G$493,MATCH($A229,'Input Giocatori 2026_27'!$A$3:$A$493,0)),"")</f>
        <v>14</v>
      </c>
      <c r="P229" s="23" t="str">
        <f>IFERROR(IF($O229="","",IF((1-(COUNTIFS($B$2:$B$492,$B229,$O$2:$O$492,"&gt;"&amp;$O229)+1-1)/COUNTIF($B$2:$B$492,$B229))&gt;='Parametri Modello'!$B$63,"Top",IF((1-(COUNTIFS($B$2:$B$492,$B229,$O$2:$O$492,"&gt;"&amp;$O229)+1-1)/COUNTIF($B$2:$B$492,$B229))&gt;='Parametri Modello'!$B$64,"Buono",IF((1-(COUNTIFS($B$2:$B$492,$B229,$O$2:$O$492,"&gt;"&amp;$O229)+1-1)/COUNTIF($B$2:$B$492,$B229))&gt;='Parametri Modello'!$B$65,"Nella Media","Scommessa/Riserva")))),"")</f>
        <v>Nella Media</v>
      </c>
      <c r="Q229" s="26">
        <f>IF(AND($D229="",$N229&gt;1),SUMPRODUCT(($D$2:$D229="")*($N$2:$N229&gt;1)),"")</f>
        <v>228</v>
      </c>
      <c r="R229" s="26" t="str">
        <f>IF($D229='Info Lega'!$B$28,COUNTIFS($D$2:$D229,'Info Lega'!$B$28),"")</f>
        <v/>
      </c>
      <c r="S229" s="27">
        <f>IFERROR(INDEX('Input Statistiche 2025_26'!$G$3:$G$665,MATCH($A229,'Input Statistiche 2025_26'!$A$3:$A$665,0)),"")</f>
        <v>5.83</v>
      </c>
      <c r="T229" s="27">
        <f>IFERROR(INDEX('Input Statistiche 2025_26'!$H$3:$H$665,MATCH($A229,'Input Statistiche 2025_26'!$A$3:$A$665,0)),"")</f>
        <v>6.17</v>
      </c>
      <c r="U229" s="23" t="str">
        <f>IF(OR('La Mia Rosa'!$O$12="",$D229&lt;&gt;""),"",IF($F229&lt;='La Mia Rosa'!$O$12*'Parametri Modello'!$B$24,"OK",IF($F229&lt;='La Mia Rosa'!$O$12*'Parametri Modello'!$B$25,"Attenzione","Rischio Alto")))</f>
        <v>OK</v>
      </c>
      <c r="V229" s="23">
        <f t="shared" si="28"/>
        <v>86</v>
      </c>
      <c r="W229" s="18">
        <f>'Info Lega'!$B$4-SUMIFS($M$2:$M$492,$D$2:$D$492,'Info Lega'!$B$28)</f>
        <v>1000</v>
      </c>
      <c r="X229" s="18">
        <f>('Info Lega'!$B$5-COUNTIFS($D$2:$D$492,'Info Lega'!$B$28,$B$2:$B$492,"P"))+('Info Lega'!$B$6-COUNTIFS($D$2:$D$492,'Info Lega'!$B$28,$B$2:$B$492,"D"))+('Info Lega'!$B$7-COUNTIFS($D$2:$D$492,'Info Lega'!$B$28,$B$2:$B$492,"C"))+('Info Lega'!$B$8-COUNTIFS($D$2:$D$492,'Info Lega'!$B$28,$B$2:$B$492,"A"))</f>
        <v>25</v>
      </c>
      <c r="Y229" s="18">
        <f>X229*'Parametri Modello'!$B$30</f>
        <v>25</v>
      </c>
      <c r="Z229" s="18">
        <f t="shared" si="29"/>
        <v>975</v>
      </c>
      <c r="AA229" s="18">
        <f t="shared" si="30"/>
        <v>2</v>
      </c>
      <c r="AB229" s="18"/>
      <c r="AC229" s="18" t="str">
        <f>IF($AB229="","",IF($AB229&gt;$AA229,"PASS",IF($AB229&lt;=$AA229*(1-'Parametri Modello'!$B$68),"BID","ATTENZIONE")))</f>
        <v/>
      </c>
      <c r="AD229" s="28">
        <f t="shared" si="31"/>
        <v>54</v>
      </c>
      <c r="AE229" s="5" t="str">
        <f>IFERROR(INDEX('Stato Asta'!$G$9:$G$12,MATCH($B229,'Stato Asta'!$A$9:$A$12,0)),"")</f>
        <v>🔴 Non aspettare</v>
      </c>
      <c r="AF229" t="str">
        <f>IFERROR(IF($V229&lt;=INDEX('Parametri Modello'!$C$57:$C$60,MATCH($B229,'Parametri Modello'!$A$57:$A$60,0)),"Titolare","Riserva"),"")</f>
        <v>Riserva</v>
      </c>
      <c r="AG229" t="str">
        <f>IFERROR(INDEX('Pressione Competitiva'!$F$3:$F$6,MATCH($B229,'Pressione Competitiva'!$B$3:$B$6,0)),"")</f>
        <v>🔴 Molto Alta</v>
      </c>
      <c r="AH229" t="str">
        <f t="shared" si="32"/>
        <v/>
      </c>
      <c r="AI229" t="str">
        <f>IFERROR(IF($AH229="","",IF($AH229&gt;=$AA229*'Parametri Modello'!$B$68,"🟢 Opportunita'",IF($AH229&lt;=$AA229*'Parametri Modello'!$B$69,"🔴 Sovrapprezzo","🟡 Prezzo Corretto"))),"")</f>
        <v/>
      </c>
      <c r="AJ229" t="str">
        <f t="shared" si="33"/>
        <v/>
      </c>
      <c r="AK229">
        <f t="shared" si="34"/>
        <v>31</v>
      </c>
      <c r="AL229" t="str">
        <f t="shared" si="35"/>
        <v>C|Nella Media|31</v>
      </c>
    </row>
    <row r="230" spans="1:38" ht="14.25" customHeight="1" x14ac:dyDescent="0.25">
      <c r="A230" s="18">
        <v>4260</v>
      </c>
      <c r="B230" s="18" t="s">
        <v>17</v>
      </c>
      <c r="C230" s="18" t="s">
        <v>369</v>
      </c>
      <c r="E230" s="23" t="str">
        <f>IF(COUNTIF('Info Strategia'!$D$2:$D$51,$C230)&gt;0,"SI","NO")</f>
        <v>NO</v>
      </c>
      <c r="F230" s="24">
        <f>IFERROR(ROUND(($G230+($H230-$G230)*'Info Strategia'!$B$6)*(1+IF($E230="SI",'Parametri Modello'!$B$7*'Info Strategia'!$B$6,0)),0),"")</f>
        <v>2</v>
      </c>
      <c r="G230" s="24">
        <f>IFERROR(ROUND(MAX(1,(IF($V230&lt;=INDEX('Parametri Modello'!$C$57:$C$60,MATCH($B230,'Parametri Modello'!$A$57:$A$60,0)),IF(INDEX('Parametri Modello'!$E$57:$E$60,MATCH($B230,'Parametri Modello'!$A$57:$A$60,0))=0,0,($O230/INDEX('Parametri Modello'!$E$57:$E$60,MATCH($B230,'Parametri Modello'!$A$57:$A$60,0)))*(INDEX('Parametri Modello'!$D$57:$D$60,MATCH($B230,'Parametri Modello'!$A$57:$A$60,0))*(INDEX('Parametri Modello'!$B$50:$B$53,MATCH($B230,'Parametri Modello'!$A$50:$A$53,0))*'Parametri Modello'!$B$44))),IF(INDEX('Parametri Modello'!$F$57:$F$60,MATCH($B230,'Parametri Modello'!$A$57:$A$60,0))=0,0,($O230/INDEX('Parametri Modello'!$F$57:$F$60,MATCH($B230,'Parametri Modello'!$A$57:$A$60,0)))*((1-INDEX('Parametri Modello'!$D$57:$D$60,MATCH($B230,'Parametri Modello'!$A$57:$A$60,0)))*(INDEX('Parametri Modello'!$B$50:$B$53,MATCH($B230,'Parametri Modello'!$A$50:$A$53,0))*'Parametri Modello'!$B$44))))*(1+IF(IF($B230="D",'Info Lega'!$B$25,IF($B230="C",'Info Lega'!$B$26,"No"))="Si",'Parametri Modello'!$B$5,0))*(1+MAX(-0.25,MIN(0.25,IF(OR($T230="",$I230="",$I230=0,INDEX('Parametri Modello'!$B$19:$B$22,MATCH($B230,'Parametri Modello'!$A$19:$A$22,0))="",INDEX('Parametri Modello'!$B$19:$B$22,MATCH($B230,'Parametri Modello'!$A$19:$A$22,0))=0),0,(($T230-INDEX('Parametri Modello'!$B$19:$B$22,MATCH($B230,'Parametri Modello'!$A$19:$A$22,0)))/INDEX('Parametri Modello'!$B$19:$B$22,MATCH($B230,'Parametri Modello'!$A$19:$A$22,0)))*'Parametri Modello'!$B$9))))*(1+IF('Parametri Modello'!$B$27="Si",MAX(-'Parametri Modello'!$B$28,MIN('Parametri Modello'!$B$28*1.5,IF(OR(INDEX('Parametri Modello'!$F$32:$F$35,MATCH($B230,'Parametri Modello'!$A$32:$A$35,0))="",INDEX('Parametri Modello'!$F$32:$F$35,MATCH($B230,'Parametri Modello'!$A$32:$A$35,0))=0),0,(1/INDEX('Parametri Modello'!$F$32:$F$35,MATCH($B230,'Parametri Modello'!$A$32:$A$35,0))-1)*'Parametri Modello'!$B$28))),0)))*(1-INDEX('Parametri Modello'!$B$12:$B$15,MATCH($B230,'Parametri Modello'!$A$12:$A$15,0)))),0),"")</f>
        <v>1</v>
      </c>
      <c r="H230" s="24">
        <f>IFERROR(ROUND((IF($V230&lt;=INDEX('Parametri Modello'!$C$57:$C$60,MATCH($B230,'Parametri Modello'!$A$57:$A$60,0)),IF(INDEX('Parametri Modello'!$E$57:$E$60,MATCH($B230,'Parametri Modello'!$A$57:$A$60,0))=0,0,($O230/INDEX('Parametri Modello'!$E$57:$E$60,MATCH($B230,'Parametri Modello'!$A$57:$A$60,0)))*(INDEX('Parametri Modello'!$D$57:$D$60,MATCH($B230,'Parametri Modello'!$A$57:$A$60,0))*(INDEX('Parametri Modello'!$B$50:$B$53,MATCH($B230,'Parametri Modello'!$A$50:$A$53,0))*'Parametri Modello'!$B$44))),IF(INDEX('Parametri Modello'!$F$57:$F$60,MATCH($B230,'Parametri Modello'!$A$57:$A$60,0))=0,0,($O230/INDEX('Parametri Modello'!$F$57:$F$60,MATCH($B230,'Parametri Modello'!$A$57:$A$60,0)))*((1-INDEX('Parametri Modello'!$D$57:$D$60,MATCH($B230,'Parametri Modello'!$A$57:$A$60,0)))*(INDEX('Parametri Modello'!$B$50:$B$53,MATCH($B230,'Parametri Modello'!$A$50:$A$53,0))*'Parametri Modello'!$B$44))))*(1+IF(IF($B230="D",'Info Lega'!$B$25,IF($B230="C",'Info Lega'!$B$26,"No"))="Si",'Parametri Modello'!$B$5,0))*(1+MAX(-0.25,MIN(0.25,IF(OR($T230="",$I230="",$I230=0,INDEX('Parametri Modello'!$B$19:$B$22,MATCH($B230,'Parametri Modello'!$A$19:$A$22,0))="",INDEX('Parametri Modello'!$B$19:$B$22,MATCH($B230,'Parametri Modello'!$A$19:$A$22,0))=0),0,(($T230-INDEX('Parametri Modello'!$B$19:$B$22,MATCH($B230,'Parametri Modello'!$A$19:$A$22,0)))/INDEX('Parametri Modello'!$B$19:$B$22,MATCH($B230,'Parametri Modello'!$A$19:$A$22,0)))*'Parametri Modello'!$B$9))))*(1+IF('Parametri Modello'!$B$27="Si",MAX(-'Parametri Modello'!$B$28,MIN('Parametri Modello'!$B$28*1.5,IF(OR(INDEX('Parametri Modello'!$F$32:$F$35,MATCH($B230,'Parametri Modello'!$A$32:$A$35,0))="",INDEX('Parametri Modello'!$F$32:$F$35,MATCH($B230,'Parametri Modello'!$A$32:$A$35,0))=0),0,(1/INDEX('Parametri Modello'!$F$32:$F$35,MATCH($B230,'Parametri Modello'!$A$32:$A$35,0))-1)*'Parametri Modello'!$B$28))),0)))*(1+INDEX('Parametri Modello'!$B$12:$B$15,MATCH($B230,'Parametri Modello'!$A$12:$A$15,0))),0),"")</f>
        <v>2</v>
      </c>
      <c r="I230" s="23" t="str">
        <f>IFERROR(INDEX('Input Statistiche 2025_26'!$F$3:$F$665,MATCH($A230,'Input Statistiche 2025_26'!$A$3:$A$665,0)),"")</f>
        <v/>
      </c>
      <c r="J230" s="23" t="str">
        <f t="shared" si="27"/>
        <v/>
      </c>
      <c r="K230" s="23" t="str">
        <f>IFERROR(INDEX('Input Statistiche 2025_26'!$I$3:$I$665,MATCH($A230,'Input Statistiche 2025_26'!$A$3:$A$665,0)),"")</f>
        <v/>
      </c>
      <c r="L230" s="23" t="str">
        <f>IFERROR(INDEX('Input Statistiche 2025_26'!$O$3:$O$665,MATCH($A230,'Input Statistiche 2025_26'!$A$3:$A$665,0)),"")</f>
        <v/>
      </c>
      <c r="M230" s="25"/>
      <c r="N230" s="24">
        <f>IFERROR(INDEX('Input Giocatori 2026_27'!$E$3:$E$493,MATCH($A230,'Input Giocatori 2026_27'!$A$3:$A$493,0)),"")</f>
        <v>6</v>
      </c>
      <c r="O230" s="24">
        <f>IFERROR(INDEX('Input Giocatori 2026_27'!$G$3:$G$493,MATCH($A230,'Input Giocatori 2026_27'!$A$3:$A$493,0)),"")</f>
        <v>14</v>
      </c>
      <c r="P230" s="23" t="str">
        <f>IFERROR(IF($O230="","",IF((1-(COUNTIFS($B$2:$B$492,$B230,$O$2:$O$492,"&gt;"&amp;$O230)+1-1)/COUNTIF($B$2:$B$492,$B230))&gt;='Parametri Modello'!$B$63,"Top",IF((1-(COUNTIFS($B$2:$B$492,$B230,$O$2:$O$492,"&gt;"&amp;$O230)+1-1)/COUNTIF($B$2:$B$492,$B230))&gt;='Parametri Modello'!$B$64,"Buono",IF((1-(COUNTIFS($B$2:$B$492,$B230,$O$2:$O$492,"&gt;"&amp;$O230)+1-1)/COUNTIF($B$2:$B$492,$B230))&gt;='Parametri Modello'!$B$65,"Nella Media","Scommessa/Riserva")))),"")</f>
        <v>Nella Media</v>
      </c>
      <c r="Q230" s="26">
        <f>IF(AND($D230="",$N230&gt;1),SUMPRODUCT(($D$2:$D230="")*($N$2:$N230&gt;1)),"")</f>
        <v>229</v>
      </c>
      <c r="R230" s="26" t="str">
        <f>IF($D230='Info Lega'!$B$28,COUNTIFS($D$2:$D230,'Info Lega'!$B$28),"")</f>
        <v/>
      </c>
      <c r="S230" s="27" t="str">
        <f>IFERROR(INDEX('Input Statistiche 2025_26'!$G$3:$G$665,MATCH($A230,'Input Statistiche 2025_26'!$A$3:$A$665,0)),"")</f>
        <v/>
      </c>
      <c r="T230" s="27" t="str">
        <f>IFERROR(INDEX('Input Statistiche 2025_26'!$H$3:$H$665,MATCH($A230,'Input Statistiche 2025_26'!$A$3:$A$665,0)),"")</f>
        <v/>
      </c>
      <c r="U230" s="23" t="str">
        <f>IF(OR('La Mia Rosa'!$O$12="",$D230&lt;&gt;""),"",IF($F230&lt;='La Mia Rosa'!$O$12*'Parametri Modello'!$B$24,"OK",IF($F230&lt;='La Mia Rosa'!$O$12*'Parametri Modello'!$B$25,"Attenzione","Rischio Alto")))</f>
        <v>OK</v>
      </c>
      <c r="V230" s="23">
        <f t="shared" si="28"/>
        <v>86</v>
      </c>
      <c r="W230" s="18">
        <f>'Info Lega'!$B$4-SUMIFS($M$2:$M$492,$D$2:$D$492,'Info Lega'!$B$28)</f>
        <v>1000</v>
      </c>
      <c r="X230" s="18">
        <f>('Info Lega'!$B$5-COUNTIFS($D$2:$D$492,'Info Lega'!$B$28,$B$2:$B$492,"P"))+('Info Lega'!$B$6-COUNTIFS($D$2:$D$492,'Info Lega'!$B$28,$B$2:$B$492,"D"))+('Info Lega'!$B$7-COUNTIFS($D$2:$D$492,'Info Lega'!$B$28,$B$2:$B$492,"C"))+('Info Lega'!$B$8-COUNTIFS($D$2:$D$492,'Info Lega'!$B$28,$B$2:$B$492,"A"))</f>
        <v>25</v>
      </c>
      <c r="Y230" s="18">
        <f>X230*'Parametri Modello'!$B$30</f>
        <v>25</v>
      </c>
      <c r="Z230" s="18">
        <f t="shared" si="29"/>
        <v>975</v>
      </c>
      <c r="AA230" s="18">
        <f t="shared" si="30"/>
        <v>2</v>
      </c>
      <c r="AB230" s="18"/>
      <c r="AC230" s="18" t="str">
        <f>IF($AB230="","",IF($AB230&gt;$AA230,"PASS",IF($AB230&lt;=$AA230*(1-'Parametri Modello'!$B$68),"BID","ATTENZIONE")))</f>
        <v/>
      </c>
      <c r="AD230" s="28" t="str">
        <f t="shared" si="31"/>
        <v/>
      </c>
      <c r="AE230" s="5" t="str">
        <f>IFERROR(INDEX('Stato Asta'!$G$9:$G$12,MATCH($B230,'Stato Asta'!$A$9:$A$12,0)),"")</f>
        <v>🔴 Non aspettare</v>
      </c>
      <c r="AF230" t="str">
        <f>IFERROR(IF($V230&lt;=INDEX('Parametri Modello'!$C$57:$C$60,MATCH($B230,'Parametri Modello'!$A$57:$A$60,0)),"Titolare","Riserva"),"")</f>
        <v>Riserva</v>
      </c>
      <c r="AG230" t="str">
        <f>IFERROR(INDEX('Pressione Competitiva'!$F$3:$F$6,MATCH($B230,'Pressione Competitiva'!$B$3:$B$6,0)),"")</f>
        <v>🔴 Molto Alta</v>
      </c>
      <c r="AH230" t="str">
        <f t="shared" si="32"/>
        <v/>
      </c>
      <c r="AI230" t="str">
        <f>IFERROR(IF($AH230="","",IF($AH230&gt;=$AA230*'Parametri Modello'!$B$68,"🟢 Opportunita'",IF($AH230&lt;=$AA230*'Parametri Modello'!$B$69,"🔴 Sovrapprezzo","🟡 Prezzo Corretto"))),"")</f>
        <v/>
      </c>
      <c r="AJ230" t="str">
        <f t="shared" si="33"/>
        <v/>
      </c>
      <c r="AK230">
        <f t="shared" si="34"/>
        <v>31</v>
      </c>
      <c r="AL230" t="str">
        <f t="shared" si="35"/>
        <v>C|Nella Media|31</v>
      </c>
    </row>
    <row r="231" spans="1:38" ht="14.25" customHeight="1" x14ac:dyDescent="0.25">
      <c r="A231" s="18">
        <v>5504</v>
      </c>
      <c r="B231" s="18" t="s">
        <v>17</v>
      </c>
      <c r="C231" s="18" t="s">
        <v>370</v>
      </c>
      <c r="E231" s="23" t="str">
        <f>IF(COUNTIF('Info Strategia'!$D$2:$D$51,$C231)&gt;0,"SI","NO")</f>
        <v>NO</v>
      </c>
      <c r="F231" s="24">
        <f>IFERROR(ROUND(($G231+($H231-$G231)*'Info Strategia'!$B$6)*(1+IF($E231="SI",'Parametri Modello'!$B$7*'Info Strategia'!$B$6,0)),0),"")</f>
        <v>2</v>
      </c>
      <c r="G231" s="24">
        <f>IFERROR(ROUND(MAX(1,(IF($V231&lt;=INDEX('Parametri Modello'!$C$57:$C$60,MATCH($B231,'Parametri Modello'!$A$57:$A$60,0)),IF(INDEX('Parametri Modello'!$E$57:$E$60,MATCH($B231,'Parametri Modello'!$A$57:$A$60,0))=0,0,($O231/INDEX('Parametri Modello'!$E$57:$E$60,MATCH($B231,'Parametri Modello'!$A$57:$A$60,0)))*(INDEX('Parametri Modello'!$D$57:$D$60,MATCH($B231,'Parametri Modello'!$A$57:$A$60,0))*(INDEX('Parametri Modello'!$B$50:$B$53,MATCH($B231,'Parametri Modello'!$A$50:$A$53,0))*'Parametri Modello'!$B$44))),IF(INDEX('Parametri Modello'!$F$57:$F$60,MATCH($B231,'Parametri Modello'!$A$57:$A$60,0))=0,0,($O231/INDEX('Parametri Modello'!$F$57:$F$60,MATCH($B231,'Parametri Modello'!$A$57:$A$60,0)))*((1-INDEX('Parametri Modello'!$D$57:$D$60,MATCH($B231,'Parametri Modello'!$A$57:$A$60,0)))*(INDEX('Parametri Modello'!$B$50:$B$53,MATCH($B231,'Parametri Modello'!$A$50:$A$53,0))*'Parametri Modello'!$B$44))))*(1+IF(IF($B231="D",'Info Lega'!$B$25,IF($B231="C",'Info Lega'!$B$26,"No"))="Si",'Parametri Modello'!$B$5,0))*(1+MAX(-0.25,MIN(0.25,IF(OR($T231="",$I231="",$I231=0,INDEX('Parametri Modello'!$B$19:$B$22,MATCH($B231,'Parametri Modello'!$A$19:$A$22,0))="",INDEX('Parametri Modello'!$B$19:$B$22,MATCH($B231,'Parametri Modello'!$A$19:$A$22,0))=0),0,(($T231-INDEX('Parametri Modello'!$B$19:$B$22,MATCH($B231,'Parametri Modello'!$A$19:$A$22,0)))/INDEX('Parametri Modello'!$B$19:$B$22,MATCH($B231,'Parametri Modello'!$A$19:$A$22,0)))*'Parametri Modello'!$B$9))))*(1+IF('Parametri Modello'!$B$27="Si",MAX(-'Parametri Modello'!$B$28,MIN('Parametri Modello'!$B$28*1.5,IF(OR(INDEX('Parametri Modello'!$F$32:$F$35,MATCH($B231,'Parametri Modello'!$A$32:$A$35,0))="",INDEX('Parametri Modello'!$F$32:$F$35,MATCH($B231,'Parametri Modello'!$A$32:$A$35,0))=0),0,(1/INDEX('Parametri Modello'!$F$32:$F$35,MATCH($B231,'Parametri Modello'!$A$32:$A$35,0))-1)*'Parametri Modello'!$B$28))),0)))*(1-INDEX('Parametri Modello'!$B$12:$B$15,MATCH($B231,'Parametri Modello'!$A$12:$A$15,0)))),0),"")</f>
        <v>1</v>
      </c>
      <c r="H231" s="24">
        <f>IFERROR(ROUND((IF($V231&lt;=INDEX('Parametri Modello'!$C$57:$C$60,MATCH($B231,'Parametri Modello'!$A$57:$A$60,0)),IF(INDEX('Parametri Modello'!$E$57:$E$60,MATCH($B231,'Parametri Modello'!$A$57:$A$60,0))=0,0,($O231/INDEX('Parametri Modello'!$E$57:$E$60,MATCH($B231,'Parametri Modello'!$A$57:$A$60,0)))*(INDEX('Parametri Modello'!$D$57:$D$60,MATCH($B231,'Parametri Modello'!$A$57:$A$60,0))*(INDEX('Parametri Modello'!$B$50:$B$53,MATCH($B231,'Parametri Modello'!$A$50:$A$53,0))*'Parametri Modello'!$B$44))),IF(INDEX('Parametri Modello'!$F$57:$F$60,MATCH($B231,'Parametri Modello'!$A$57:$A$60,0))=0,0,($O231/INDEX('Parametri Modello'!$F$57:$F$60,MATCH($B231,'Parametri Modello'!$A$57:$A$60,0)))*((1-INDEX('Parametri Modello'!$D$57:$D$60,MATCH($B231,'Parametri Modello'!$A$57:$A$60,0)))*(INDEX('Parametri Modello'!$B$50:$B$53,MATCH($B231,'Parametri Modello'!$A$50:$A$53,0))*'Parametri Modello'!$B$44))))*(1+IF(IF($B231="D",'Info Lega'!$B$25,IF($B231="C",'Info Lega'!$B$26,"No"))="Si",'Parametri Modello'!$B$5,0))*(1+MAX(-0.25,MIN(0.25,IF(OR($T231="",$I231="",$I231=0,INDEX('Parametri Modello'!$B$19:$B$22,MATCH($B231,'Parametri Modello'!$A$19:$A$22,0))="",INDEX('Parametri Modello'!$B$19:$B$22,MATCH($B231,'Parametri Modello'!$A$19:$A$22,0))=0),0,(($T231-INDEX('Parametri Modello'!$B$19:$B$22,MATCH($B231,'Parametri Modello'!$A$19:$A$22,0)))/INDEX('Parametri Modello'!$B$19:$B$22,MATCH($B231,'Parametri Modello'!$A$19:$A$22,0)))*'Parametri Modello'!$B$9))))*(1+IF('Parametri Modello'!$B$27="Si",MAX(-'Parametri Modello'!$B$28,MIN('Parametri Modello'!$B$28*1.5,IF(OR(INDEX('Parametri Modello'!$F$32:$F$35,MATCH($B231,'Parametri Modello'!$A$32:$A$35,0))="",INDEX('Parametri Modello'!$F$32:$F$35,MATCH($B231,'Parametri Modello'!$A$32:$A$35,0))=0),0,(1/INDEX('Parametri Modello'!$F$32:$F$35,MATCH($B231,'Parametri Modello'!$A$32:$A$35,0))-1)*'Parametri Modello'!$B$28))),0)))*(1+INDEX('Parametri Modello'!$B$12:$B$15,MATCH($B231,'Parametri Modello'!$A$12:$A$15,0))),0),"")</f>
        <v>2</v>
      </c>
      <c r="I231" s="23">
        <f>IFERROR(INDEX('Input Statistiche 2025_26'!$F$3:$F$665,MATCH($A231,'Input Statistiche 2025_26'!$A$3:$A$665,0)),"")</f>
        <v>33</v>
      </c>
      <c r="J231" s="23">
        <f t="shared" si="27"/>
        <v>5</v>
      </c>
      <c r="K231" s="23">
        <f>IFERROR(INDEX('Input Statistiche 2025_26'!$I$3:$I$665,MATCH($A231,'Input Statistiche 2025_26'!$A$3:$A$665,0)),"")</f>
        <v>3</v>
      </c>
      <c r="L231" s="23">
        <f>IFERROR(INDEX('Input Statistiche 2025_26'!$O$3:$O$665,MATCH($A231,'Input Statistiche 2025_26'!$A$3:$A$665,0)),"")</f>
        <v>1</v>
      </c>
      <c r="M231" s="25"/>
      <c r="N231" s="24">
        <f>IFERROR(INDEX('Input Giocatori 2026_27'!$E$3:$E$493,MATCH($A231,'Input Giocatori 2026_27'!$A$3:$A$493,0)),"")</f>
        <v>6</v>
      </c>
      <c r="O231" s="24">
        <f>IFERROR(INDEX('Input Giocatori 2026_27'!$G$3:$G$493,MATCH($A231,'Input Giocatori 2026_27'!$A$3:$A$493,0)),"")</f>
        <v>14</v>
      </c>
      <c r="P231" s="23" t="str">
        <f>IFERROR(IF($O231="","",IF((1-(COUNTIFS($B$2:$B$492,$B231,$O$2:$O$492,"&gt;"&amp;$O231)+1-1)/COUNTIF($B$2:$B$492,$B231))&gt;='Parametri Modello'!$B$63,"Top",IF((1-(COUNTIFS($B$2:$B$492,$B231,$O$2:$O$492,"&gt;"&amp;$O231)+1-1)/COUNTIF($B$2:$B$492,$B231))&gt;='Parametri Modello'!$B$64,"Buono",IF((1-(COUNTIFS($B$2:$B$492,$B231,$O$2:$O$492,"&gt;"&amp;$O231)+1-1)/COUNTIF($B$2:$B$492,$B231))&gt;='Parametri Modello'!$B$65,"Nella Media","Scommessa/Riserva")))),"")</f>
        <v>Nella Media</v>
      </c>
      <c r="Q231" s="26">
        <f>IF(AND($D231="",$N231&gt;1),SUMPRODUCT(($D$2:$D231="")*($N$2:$N231&gt;1)),"")</f>
        <v>230</v>
      </c>
      <c r="R231" s="26" t="str">
        <f>IF($D231='Info Lega'!$B$28,COUNTIFS($D$2:$D231,'Info Lega'!$B$28),"")</f>
        <v/>
      </c>
      <c r="S231" s="27">
        <f>IFERROR(INDEX('Input Statistiche 2025_26'!$G$3:$G$665,MATCH($A231,'Input Statistiche 2025_26'!$A$3:$A$665,0)),"")</f>
        <v>6.05</v>
      </c>
      <c r="T231" s="27">
        <f>IFERROR(INDEX('Input Statistiche 2025_26'!$H$3:$H$665,MATCH($A231,'Input Statistiche 2025_26'!$A$3:$A$665,0)),"")</f>
        <v>6.29</v>
      </c>
      <c r="U231" s="23" t="str">
        <f>IF(OR('La Mia Rosa'!$O$12="",$D231&lt;&gt;""),"",IF($F231&lt;='La Mia Rosa'!$O$12*'Parametri Modello'!$B$24,"OK",IF($F231&lt;='La Mia Rosa'!$O$12*'Parametri Modello'!$B$25,"Attenzione","Rischio Alto")))</f>
        <v>OK</v>
      </c>
      <c r="V231" s="23">
        <f t="shared" si="28"/>
        <v>86</v>
      </c>
      <c r="W231" s="18">
        <f>'Info Lega'!$B$4-SUMIFS($M$2:$M$492,$D$2:$D$492,'Info Lega'!$B$28)</f>
        <v>1000</v>
      </c>
      <c r="X231" s="18">
        <f>('Info Lega'!$B$5-COUNTIFS($D$2:$D$492,'Info Lega'!$B$28,$B$2:$B$492,"P"))+('Info Lega'!$B$6-COUNTIFS($D$2:$D$492,'Info Lega'!$B$28,$B$2:$B$492,"D"))+('Info Lega'!$B$7-COUNTIFS($D$2:$D$492,'Info Lega'!$B$28,$B$2:$B$492,"C"))+('Info Lega'!$B$8-COUNTIFS($D$2:$D$492,'Info Lega'!$B$28,$B$2:$B$492,"A"))</f>
        <v>25</v>
      </c>
      <c r="Y231" s="18">
        <f>X231*'Parametri Modello'!$B$30</f>
        <v>25</v>
      </c>
      <c r="Z231" s="18">
        <f t="shared" si="29"/>
        <v>975</v>
      </c>
      <c r="AA231" s="18">
        <f t="shared" si="30"/>
        <v>2</v>
      </c>
      <c r="AB231" s="18"/>
      <c r="AC231" s="18" t="str">
        <f>IF($AB231="","",IF($AB231&gt;$AA231,"PASS",IF($AB231&lt;=$AA231*(1-'Parametri Modello'!$B$68),"BID","ATTENZIONE")))</f>
        <v/>
      </c>
      <c r="AD231" s="28">
        <f t="shared" si="31"/>
        <v>67</v>
      </c>
      <c r="AE231" s="5" t="str">
        <f>IFERROR(INDEX('Stato Asta'!$G$9:$G$12,MATCH($B231,'Stato Asta'!$A$9:$A$12,0)),"")</f>
        <v>🔴 Non aspettare</v>
      </c>
      <c r="AF231" t="str">
        <f>IFERROR(IF($V231&lt;=INDEX('Parametri Modello'!$C$57:$C$60,MATCH($B231,'Parametri Modello'!$A$57:$A$60,0)),"Titolare","Riserva"),"")</f>
        <v>Riserva</v>
      </c>
      <c r="AG231" t="str">
        <f>IFERROR(INDEX('Pressione Competitiva'!$F$3:$F$6,MATCH($B231,'Pressione Competitiva'!$B$3:$B$6,0)),"")</f>
        <v>🔴 Molto Alta</v>
      </c>
      <c r="AH231" t="str">
        <f t="shared" si="32"/>
        <v/>
      </c>
      <c r="AI231" t="str">
        <f>IFERROR(IF($AH231="","",IF($AH231&gt;=$AA231*'Parametri Modello'!$B$68,"🟢 Opportunita'",IF($AH231&lt;=$AA231*'Parametri Modello'!$B$69,"🔴 Sovrapprezzo","🟡 Prezzo Corretto"))),"")</f>
        <v/>
      </c>
      <c r="AJ231" t="str">
        <f t="shared" si="33"/>
        <v/>
      </c>
      <c r="AK231">
        <f t="shared" si="34"/>
        <v>31</v>
      </c>
      <c r="AL231" t="str">
        <f t="shared" si="35"/>
        <v>C|Nella Media|31</v>
      </c>
    </row>
    <row r="232" spans="1:38" ht="14.25" customHeight="1" x14ac:dyDescent="0.25">
      <c r="A232" s="18">
        <v>7412</v>
      </c>
      <c r="B232" s="18" t="s">
        <v>17</v>
      </c>
      <c r="C232" s="18" t="s">
        <v>371</v>
      </c>
      <c r="E232" s="23" t="str">
        <f>IF(COUNTIF('Info Strategia'!$D$2:$D$51,$C232)&gt;0,"SI","NO")</f>
        <v>NO</v>
      </c>
      <c r="F232" s="24">
        <f>IFERROR(ROUND(($G232+($H232-$G232)*'Info Strategia'!$B$6)*(1+IF($E232="SI",'Parametri Modello'!$B$7*'Info Strategia'!$B$6,0)),0),"")</f>
        <v>2</v>
      </c>
      <c r="G232" s="24">
        <f>IFERROR(ROUND(MAX(1,(IF($V232&lt;=INDEX('Parametri Modello'!$C$57:$C$60,MATCH($B232,'Parametri Modello'!$A$57:$A$60,0)),IF(INDEX('Parametri Modello'!$E$57:$E$60,MATCH($B232,'Parametri Modello'!$A$57:$A$60,0))=0,0,($O232/INDEX('Parametri Modello'!$E$57:$E$60,MATCH($B232,'Parametri Modello'!$A$57:$A$60,0)))*(INDEX('Parametri Modello'!$D$57:$D$60,MATCH($B232,'Parametri Modello'!$A$57:$A$60,0))*(INDEX('Parametri Modello'!$B$50:$B$53,MATCH($B232,'Parametri Modello'!$A$50:$A$53,0))*'Parametri Modello'!$B$44))),IF(INDEX('Parametri Modello'!$F$57:$F$60,MATCH($B232,'Parametri Modello'!$A$57:$A$60,0))=0,0,($O232/INDEX('Parametri Modello'!$F$57:$F$60,MATCH($B232,'Parametri Modello'!$A$57:$A$60,0)))*((1-INDEX('Parametri Modello'!$D$57:$D$60,MATCH($B232,'Parametri Modello'!$A$57:$A$60,0)))*(INDEX('Parametri Modello'!$B$50:$B$53,MATCH($B232,'Parametri Modello'!$A$50:$A$53,0))*'Parametri Modello'!$B$44))))*(1+IF(IF($B232="D",'Info Lega'!$B$25,IF($B232="C",'Info Lega'!$B$26,"No"))="Si",'Parametri Modello'!$B$5,0))*(1+MAX(-0.25,MIN(0.25,IF(OR($T232="",$I232="",$I232=0,INDEX('Parametri Modello'!$B$19:$B$22,MATCH($B232,'Parametri Modello'!$A$19:$A$22,0))="",INDEX('Parametri Modello'!$B$19:$B$22,MATCH($B232,'Parametri Modello'!$A$19:$A$22,0))=0),0,(($T232-INDEX('Parametri Modello'!$B$19:$B$22,MATCH($B232,'Parametri Modello'!$A$19:$A$22,0)))/INDEX('Parametri Modello'!$B$19:$B$22,MATCH($B232,'Parametri Modello'!$A$19:$A$22,0)))*'Parametri Modello'!$B$9))))*(1+IF('Parametri Modello'!$B$27="Si",MAX(-'Parametri Modello'!$B$28,MIN('Parametri Modello'!$B$28*1.5,IF(OR(INDEX('Parametri Modello'!$F$32:$F$35,MATCH($B232,'Parametri Modello'!$A$32:$A$35,0))="",INDEX('Parametri Modello'!$F$32:$F$35,MATCH($B232,'Parametri Modello'!$A$32:$A$35,0))=0),0,(1/INDEX('Parametri Modello'!$F$32:$F$35,MATCH($B232,'Parametri Modello'!$A$32:$A$35,0))-1)*'Parametri Modello'!$B$28))),0)))*(1-INDEX('Parametri Modello'!$B$12:$B$15,MATCH($B232,'Parametri Modello'!$A$12:$A$15,0)))),0),"")</f>
        <v>1</v>
      </c>
      <c r="H232" s="24">
        <f>IFERROR(ROUND((IF($V232&lt;=INDEX('Parametri Modello'!$C$57:$C$60,MATCH($B232,'Parametri Modello'!$A$57:$A$60,0)),IF(INDEX('Parametri Modello'!$E$57:$E$60,MATCH($B232,'Parametri Modello'!$A$57:$A$60,0))=0,0,($O232/INDEX('Parametri Modello'!$E$57:$E$60,MATCH($B232,'Parametri Modello'!$A$57:$A$60,0)))*(INDEX('Parametri Modello'!$D$57:$D$60,MATCH($B232,'Parametri Modello'!$A$57:$A$60,0))*(INDEX('Parametri Modello'!$B$50:$B$53,MATCH($B232,'Parametri Modello'!$A$50:$A$53,0))*'Parametri Modello'!$B$44))),IF(INDEX('Parametri Modello'!$F$57:$F$60,MATCH($B232,'Parametri Modello'!$A$57:$A$60,0))=0,0,($O232/INDEX('Parametri Modello'!$F$57:$F$60,MATCH($B232,'Parametri Modello'!$A$57:$A$60,0)))*((1-INDEX('Parametri Modello'!$D$57:$D$60,MATCH($B232,'Parametri Modello'!$A$57:$A$60,0)))*(INDEX('Parametri Modello'!$B$50:$B$53,MATCH($B232,'Parametri Modello'!$A$50:$A$53,0))*'Parametri Modello'!$B$44))))*(1+IF(IF($B232="D",'Info Lega'!$B$25,IF($B232="C",'Info Lega'!$B$26,"No"))="Si",'Parametri Modello'!$B$5,0))*(1+MAX(-0.25,MIN(0.25,IF(OR($T232="",$I232="",$I232=0,INDEX('Parametri Modello'!$B$19:$B$22,MATCH($B232,'Parametri Modello'!$A$19:$A$22,0))="",INDEX('Parametri Modello'!$B$19:$B$22,MATCH($B232,'Parametri Modello'!$A$19:$A$22,0))=0),0,(($T232-INDEX('Parametri Modello'!$B$19:$B$22,MATCH($B232,'Parametri Modello'!$A$19:$A$22,0)))/INDEX('Parametri Modello'!$B$19:$B$22,MATCH($B232,'Parametri Modello'!$A$19:$A$22,0)))*'Parametri Modello'!$B$9))))*(1+IF('Parametri Modello'!$B$27="Si",MAX(-'Parametri Modello'!$B$28,MIN('Parametri Modello'!$B$28*1.5,IF(OR(INDEX('Parametri Modello'!$F$32:$F$35,MATCH($B232,'Parametri Modello'!$A$32:$A$35,0))="",INDEX('Parametri Modello'!$F$32:$F$35,MATCH($B232,'Parametri Modello'!$A$32:$A$35,0))=0),0,(1/INDEX('Parametri Modello'!$F$32:$F$35,MATCH($B232,'Parametri Modello'!$A$32:$A$35,0))-1)*'Parametri Modello'!$B$28))),0)))*(1+INDEX('Parametri Modello'!$B$12:$B$15,MATCH($B232,'Parametri Modello'!$A$12:$A$15,0))),0),"")</f>
        <v>2</v>
      </c>
      <c r="I232" s="23" t="str">
        <f>IFERROR(INDEX('Input Statistiche 2025_26'!$F$3:$F$665,MATCH($A232,'Input Statistiche 2025_26'!$A$3:$A$665,0)),"")</f>
        <v/>
      </c>
      <c r="J232" s="23" t="str">
        <f t="shared" si="27"/>
        <v/>
      </c>
      <c r="K232" s="23" t="str">
        <f>IFERROR(INDEX('Input Statistiche 2025_26'!$I$3:$I$665,MATCH($A232,'Input Statistiche 2025_26'!$A$3:$A$665,0)),"")</f>
        <v/>
      </c>
      <c r="L232" s="23" t="str">
        <f>IFERROR(INDEX('Input Statistiche 2025_26'!$O$3:$O$665,MATCH($A232,'Input Statistiche 2025_26'!$A$3:$A$665,0)),"")</f>
        <v/>
      </c>
      <c r="M232" s="25"/>
      <c r="N232" s="24">
        <f>IFERROR(INDEX('Input Giocatori 2026_27'!$E$3:$E$493,MATCH($A232,'Input Giocatori 2026_27'!$A$3:$A$493,0)),"")</f>
        <v>5</v>
      </c>
      <c r="O232" s="24">
        <f>IFERROR(INDEX('Input Giocatori 2026_27'!$G$3:$G$493,MATCH($A232,'Input Giocatori 2026_27'!$A$3:$A$493,0)),"")</f>
        <v>14</v>
      </c>
      <c r="P232" s="23" t="str">
        <f>IFERROR(IF($O232="","",IF((1-(COUNTIFS($B$2:$B$492,$B232,$O$2:$O$492,"&gt;"&amp;$O232)+1-1)/COUNTIF($B$2:$B$492,$B232))&gt;='Parametri Modello'!$B$63,"Top",IF((1-(COUNTIFS($B$2:$B$492,$B232,$O$2:$O$492,"&gt;"&amp;$O232)+1-1)/COUNTIF($B$2:$B$492,$B232))&gt;='Parametri Modello'!$B$64,"Buono",IF((1-(COUNTIFS($B$2:$B$492,$B232,$O$2:$O$492,"&gt;"&amp;$O232)+1-1)/COUNTIF($B$2:$B$492,$B232))&gt;='Parametri Modello'!$B$65,"Nella Media","Scommessa/Riserva")))),"")</f>
        <v>Nella Media</v>
      </c>
      <c r="Q232" s="26">
        <f>IF(AND($D232="",$N232&gt;1),SUMPRODUCT(($D$2:$D232="")*($N$2:$N232&gt;1)),"")</f>
        <v>231</v>
      </c>
      <c r="R232" s="26" t="str">
        <f>IF($D232='Info Lega'!$B$28,COUNTIFS($D$2:$D232,'Info Lega'!$B$28),"")</f>
        <v/>
      </c>
      <c r="S232" s="27" t="str">
        <f>IFERROR(INDEX('Input Statistiche 2025_26'!$G$3:$G$665,MATCH($A232,'Input Statistiche 2025_26'!$A$3:$A$665,0)),"")</f>
        <v/>
      </c>
      <c r="T232" s="27" t="str">
        <f>IFERROR(INDEX('Input Statistiche 2025_26'!$H$3:$H$665,MATCH($A232,'Input Statistiche 2025_26'!$A$3:$A$665,0)),"")</f>
        <v/>
      </c>
      <c r="U232" s="23" t="str">
        <f>IF(OR('La Mia Rosa'!$O$12="",$D232&lt;&gt;""),"",IF($F232&lt;='La Mia Rosa'!$O$12*'Parametri Modello'!$B$24,"OK",IF($F232&lt;='La Mia Rosa'!$O$12*'Parametri Modello'!$B$25,"Attenzione","Rischio Alto")))</f>
        <v>OK</v>
      </c>
      <c r="V232" s="23">
        <f t="shared" si="28"/>
        <v>86</v>
      </c>
      <c r="W232" s="18">
        <f>'Info Lega'!$B$4-SUMIFS($M$2:$M$492,$D$2:$D$492,'Info Lega'!$B$28)</f>
        <v>1000</v>
      </c>
      <c r="X232" s="18">
        <f>('Info Lega'!$B$5-COUNTIFS($D$2:$D$492,'Info Lega'!$B$28,$B$2:$B$492,"P"))+('Info Lega'!$B$6-COUNTIFS($D$2:$D$492,'Info Lega'!$B$28,$B$2:$B$492,"D"))+('Info Lega'!$B$7-COUNTIFS($D$2:$D$492,'Info Lega'!$B$28,$B$2:$B$492,"C"))+('Info Lega'!$B$8-COUNTIFS($D$2:$D$492,'Info Lega'!$B$28,$B$2:$B$492,"A"))</f>
        <v>25</v>
      </c>
      <c r="Y232" s="18">
        <f>X232*'Parametri Modello'!$B$30</f>
        <v>25</v>
      </c>
      <c r="Z232" s="18">
        <f t="shared" si="29"/>
        <v>975</v>
      </c>
      <c r="AA232" s="18">
        <f t="shared" si="30"/>
        <v>2</v>
      </c>
      <c r="AB232" s="18"/>
      <c r="AC232" s="18" t="str">
        <f>IF($AB232="","",IF($AB232&gt;$AA232,"PASS",IF($AB232&lt;=$AA232*(1-'Parametri Modello'!$B$68),"BID","ATTENZIONE")))</f>
        <v/>
      </c>
      <c r="AD232" s="28" t="str">
        <f t="shared" si="31"/>
        <v/>
      </c>
      <c r="AE232" s="5" t="str">
        <f>IFERROR(INDEX('Stato Asta'!$G$9:$G$12,MATCH($B232,'Stato Asta'!$A$9:$A$12,0)),"")</f>
        <v>🔴 Non aspettare</v>
      </c>
      <c r="AF232" t="str">
        <f>IFERROR(IF($V232&lt;=INDEX('Parametri Modello'!$C$57:$C$60,MATCH($B232,'Parametri Modello'!$A$57:$A$60,0)),"Titolare","Riserva"),"")</f>
        <v>Riserva</v>
      </c>
      <c r="AG232" t="str">
        <f>IFERROR(INDEX('Pressione Competitiva'!$F$3:$F$6,MATCH($B232,'Pressione Competitiva'!$B$3:$B$6,0)),"")</f>
        <v>🔴 Molto Alta</v>
      </c>
      <c r="AH232" t="str">
        <f t="shared" si="32"/>
        <v/>
      </c>
      <c r="AI232" t="str">
        <f>IFERROR(IF($AH232="","",IF($AH232&gt;=$AA232*'Parametri Modello'!$B$68,"🟢 Opportunita'",IF($AH232&lt;=$AA232*'Parametri Modello'!$B$69,"🔴 Sovrapprezzo","🟡 Prezzo Corretto"))),"")</f>
        <v/>
      </c>
      <c r="AJ232" t="str">
        <f t="shared" si="33"/>
        <v/>
      </c>
      <c r="AK232">
        <f t="shared" si="34"/>
        <v>31</v>
      </c>
      <c r="AL232" t="str">
        <f t="shared" si="35"/>
        <v>C|Nella Media|31</v>
      </c>
    </row>
    <row r="233" spans="1:38" ht="14.25" customHeight="1" x14ac:dyDescent="0.25">
      <c r="A233" s="18">
        <v>7409</v>
      </c>
      <c r="B233" s="18" t="s">
        <v>17</v>
      </c>
      <c r="C233" s="18" t="s">
        <v>372</v>
      </c>
      <c r="E233" s="23" t="str">
        <f>IF(COUNTIF('Info Strategia'!$D$2:$D$51,$C233)&gt;0,"SI","NO")</f>
        <v>NO</v>
      </c>
      <c r="F233" s="24">
        <f>IFERROR(ROUND(($G233+($H233-$G233)*'Info Strategia'!$B$6)*(1+IF($E233="SI",'Parametri Modello'!$B$7*'Info Strategia'!$B$6,0)),0),"")</f>
        <v>2</v>
      </c>
      <c r="G233" s="24">
        <f>IFERROR(ROUND(MAX(1,(IF($V233&lt;=INDEX('Parametri Modello'!$C$57:$C$60,MATCH($B233,'Parametri Modello'!$A$57:$A$60,0)),IF(INDEX('Parametri Modello'!$E$57:$E$60,MATCH($B233,'Parametri Modello'!$A$57:$A$60,0))=0,0,($O233/INDEX('Parametri Modello'!$E$57:$E$60,MATCH($B233,'Parametri Modello'!$A$57:$A$60,0)))*(INDEX('Parametri Modello'!$D$57:$D$60,MATCH($B233,'Parametri Modello'!$A$57:$A$60,0))*(INDEX('Parametri Modello'!$B$50:$B$53,MATCH($B233,'Parametri Modello'!$A$50:$A$53,0))*'Parametri Modello'!$B$44))),IF(INDEX('Parametri Modello'!$F$57:$F$60,MATCH($B233,'Parametri Modello'!$A$57:$A$60,0))=0,0,($O233/INDEX('Parametri Modello'!$F$57:$F$60,MATCH($B233,'Parametri Modello'!$A$57:$A$60,0)))*((1-INDEX('Parametri Modello'!$D$57:$D$60,MATCH($B233,'Parametri Modello'!$A$57:$A$60,0)))*(INDEX('Parametri Modello'!$B$50:$B$53,MATCH($B233,'Parametri Modello'!$A$50:$A$53,0))*'Parametri Modello'!$B$44))))*(1+IF(IF($B233="D",'Info Lega'!$B$25,IF($B233="C",'Info Lega'!$B$26,"No"))="Si",'Parametri Modello'!$B$5,0))*(1+MAX(-0.25,MIN(0.25,IF(OR($T233="",$I233="",$I233=0,INDEX('Parametri Modello'!$B$19:$B$22,MATCH($B233,'Parametri Modello'!$A$19:$A$22,0))="",INDEX('Parametri Modello'!$B$19:$B$22,MATCH($B233,'Parametri Modello'!$A$19:$A$22,0))=0),0,(($T233-INDEX('Parametri Modello'!$B$19:$B$22,MATCH($B233,'Parametri Modello'!$A$19:$A$22,0)))/INDEX('Parametri Modello'!$B$19:$B$22,MATCH($B233,'Parametri Modello'!$A$19:$A$22,0)))*'Parametri Modello'!$B$9))))*(1+IF('Parametri Modello'!$B$27="Si",MAX(-'Parametri Modello'!$B$28,MIN('Parametri Modello'!$B$28*1.5,IF(OR(INDEX('Parametri Modello'!$F$32:$F$35,MATCH($B233,'Parametri Modello'!$A$32:$A$35,0))="",INDEX('Parametri Modello'!$F$32:$F$35,MATCH($B233,'Parametri Modello'!$A$32:$A$35,0))=0),0,(1/INDEX('Parametri Modello'!$F$32:$F$35,MATCH($B233,'Parametri Modello'!$A$32:$A$35,0))-1)*'Parametri Modello'!$B$28))),0)))*(1-INDEX('Parametri Modello'!$B$12:$B$15,MATCH($B233,'Parametri Modello'!$A$12:$A$15,0)))),0),"")</f>
        <v>1</v>
      </c>
      <c r="H233" s="24">
        <f>IFERROR(ROUND((IF($V233&lt;=INDEX('Parametri Modello'!$C$57:$C$60,MATCH($B233,'Parametri Modello'!$A$57:$A$60,0)),IF(INDEX('Parametri Modello'!$E$57:$E$60,MATCH($B233,'Parametri Modello'!$A$57:$A$60,0))=0,0,($O233/INDEX('Parametri Modello'!$E$57:$E$60,MATCH($B233,'Parametri Modello'!$A$57:$A$60,0)))*(INDEX('Parametri Modello'!$D$57:$D$60,MATCH($B233,'Parametri Modello'!$A$57:$A$60,0))*(INDEX('Parametri Modello'!$B$50:$B$53,MATCH($B233,'Parametri Modello'!$A$50:$A$53,0))*'Parametri Modello'!$B$44))),IF(INDEX('Parametri Modello'!$F$57:$F$60,MATCH($B233,'Parametri Modello'!$A$57:$A$60,0))=0,0,($O233/INDEX('Parametri Modello'!$F$57:$F$60,MATCH($B233,'Parametri Modello'!$A$57:$A$60,0)))*((1-INDEX('Parametri Modello'!$D$57:$D$60,MATCH($B233,'Parametri Modello'!$A$57:$A$60,0)))*(INDEX('Parametri Modello'!$B$50:$B$53,MATCH($B233,'Parametri Modello'!$A$50:$A$53,0))*'Parametri Modello'!$B$44))))*(1+IF(IF($B233="D",'Info Lega'!$B$25,IF($B233="C",'Info Lega'!$B$26,"No"))="Si",'Parametri Modello'!$B$5,0))*(1+MAX(-0.25,MIN(0.25,IF(OR($T233="",$I233="",$I233=0,INDEX('Parametri Modello'!$B$19:$B$22,MATCH($B233,'Parametri Modello'!$A$19:$A$22,0))="",INDEX('Parametri Modello'!$B$19:$B$22,MATCH($B233,'Parametri Modello'!$A$19:$A$22,0))=0),0,(($T233-INDEX('Parametri Modello'!$B$19:$B$22,MATCH($B233,'Parametri Modello'!$A$19:$A$22,0)))/INDEX('Parametri Modello'!$B$19:$B$22,MATCH($B233,'Parametri Modello'!$A$19:$A$22,0)))*'Parametri Modello'!$B$9))))*(1+IF('Parametri Modello'!$B$27="Si",MAX(-'Parametri Modello'!$B$28,MIN('Parametri Modello'!$B$28*1.5,IF(OR(INDEX('Parametri Modello'!$F$32:$F$35,MATCH($B233,'Parametri Modello'!$A$32:$A$35,0))="",INDEX('Parametri Modello'!$F$32:$F$35,MATCH($B233,'Parametri Modello'!$A$32:$A$35,0))=0),0,(1/INDEX('Parametri Modello'!$F$32:$F$35,MATCH($B233,'Parametri Modello'!$A$32:$A$35,0))-1)*'Parametri Modello'!$B$28))),0)))*(1+INDEX('Parametri Modello'!$B$12:$B$15,MATCH($B233,'Parametri Modello'!$A$12:$A$15,0))),0),"")</f>
        <v>2</v>
      </c>
      <c r="I233" s="23" t="str">
        <f>IFERROR(INDEX('Input Statistiche 2025_26'!$F$3:$F$665,MATCH($A233,'Input Statistiche 2025_26'!$A$3:$A$665,0)),"")</f>
        <v/>
      </c>
      <c r="J233" s="23" t="str">
        <f t="shared" si="27"/>
        <v/>
      </c>
      <c r="K233" s="23" t="str">
        <f>IFERROR(INDEX('Input Statistiche 2025_26'!$I$3:$I$665,MATCH($A233,'Input Statistiche 2025_26'!$A$3:$A$665,0)),"")</f>
        <v/>
      </c>
      <c r="L233" s="23" t="str">
        <f>IFERROR(INDEX('Input Statistiche 2025_26'!$O$3:$O$665,MATCH($A233,'Input Statistiche 2025_26'!$A$3:$A$665,0)),"")</f>
        <v/>
      </c>
      <c r="M233" s="25"/>
      <c r="N233" s="24">
        <f>IFERROR(INDEX('Input Giocatori 2026_27'!$E$3:$E$493,MATCH($A233,'Input Giocatori 2026_27'!$A$3:$A$493,0)),"")</f>
        <v>5</v>
      </c>
      <c r="O233" s="24">
        <f>IFERROR(INDEX('Input Giocatori 2026_27'!$G$3:$G$493,MATCH($A233,'Input Giocatori 2026_27'!$A$3:$A$493,0)),"")</f>
        <v>14</v>
      </c>
      <c r="P233" s="23" t="str">
        <f>IFERROR(IF($O233="","",IF((1-(COUNTIFS($B$2:$B$492,$B233,$O$2:$O$492,"&gt;"&amp;$O233)+1-1)/COUNTIF($B$2:$B$492,$B233))&gt;='Parametri Modello'!$B$63,"Top",IF((1-(COUNTIFS($B$2:$B$492,$B233,$O$2:$O$492,"&gt;"&amp;$O233)+1-1)/COUNTIF($B$2:$B$492,$B233))&gt;='Parametri Modello'!$B$64,"Buono",IF((1-(COUNTIFS($B$2:$B$492,$B233,$O$2:$O$492,"&gt;"&amp;$O233)+1-1)/COUNTIF($B$2:$B$492,$B233))&gt;='Parametri Modello'!$B$65,"Nella Media","Scommessa/Riserva")))),"")</f>
        <v>Nella Media</v>
      </c>
      <c r="Q233" s="26">
        <f>IF(AND($D233="",$N233&gt;1),SUMPRODUCT(($D$2:$D233="")*($N$2:$N233&gt;1)),"")</f>
        <v>232</v>
      </c>
      <c r="R233" s="26" t="str">
        <f>IF($D233='Info Lega'!$B$28,COUNTIFS($D$2:$D233,'Info Lega'!$B$28),"")</f>
        <v/>
      </c>
      <c r="S233" s="27" t="str">
        <f>IFERROR(INDEX('Input Statistiche 2025_26'!$G$3:$G$665,MATCH($A233,'Input Statistiche 2025_26'!$A$3:$A$665,0)),"")</f>
        <v/>
      </c>
      <c r="T233" s="27" t="str">
        <f>IFERROR(INDEX('Input Statistiche 2025_26'!$H$3:$H$665,MATCH($A233,'Input Statistiche 2025_26'!$A$3:$A$665,0)),"")</f>
        <v/>
      </c>
      <c r="U233" s="23" t="str">
        <f>IF(OR('La Mia Rosa'!$O$12="",$D233&lt;&gt;""),"",IF($F233&lt;='La Mia Rosa'!$O$12*'Parametri Modello'!$B$24,"OK",IF($F233&lt;='La Mia Rosa'!$O$12*'Parametri Modello'!$B$25,"Attenzione","Rischio Alto")))</f>
        <v>OK</v>
      </c>
      <c r="V233" s="23">
        <f t="shared" si="28"/>
        <v>86</v>
      </c>
      <c r="W233" s="18">
        <f>'Info Lega'!$B$4-SUMIFS($M$2:$M$492,$D$2:$D$492,'Info Lega'!$B$28)</f>
        <v>1000</v>
      </c>
      <c r="X233" s="18">
        <f>('Info Lega'!$B$5-COUNTIFS($D$2:$D$492,'Info Lega'!$B$28,$B$2:$B$492,"P"))+('Info Lega'!$B$6-COUNTIFS($D$2:$D$492,'Info Lega'!$B$28,$B$2:$B$492,"D"))+('Info Lega'!$B$7-COUNTIFS($D$2:$D$492,'Info Lega'!$B$28,$B$2:$B$492,"C"))+('Info Lega'!$B$8-COUNTIFS($D$2:$D$492,'Info Lega'!$B$28,$B$2:$B$492,"A"))</f>
        <v>25</v>
      </c>
      <c r="Y233" s="18">
        <f>X233*'Parametri Modello'!$B$30</f>
        <v>25</v>
      </c>
      <c r="Z233" s="18">
        <f t="shared" si="29"/>
        <v>975</v>
      </c>
      <c r="AA233" s="18">
        <f t="shared" si="30"/>
        <v>2</v>
      </c>
      <c r="AB233" s="18"/>
      <c r="AC233" s="18" t="str">
        <f>IF($AB233="","",IF($AB233&gt;$AA233,"PASS",IF($AB233&lt;=$AA233*(1-'Parametri Modello'!$B$68),"BID","ATTENZIONE")))</f>
        <v/>
      </c>
      <c r="AD233" s="28" t="str">
        <f t="shared" si="31"/>
        <v/>
      </c>
      <c r="AE233" s="5" t="str">
        <f>IFERROR(INDEX('Stato Asta'!$G$9:$G$12,MATCH($B233,'Stato Asta'!$A$9:$A$12,0)),"")</f>
        <v>🔴 Non aspettare</v>
      </c>
      <c r="AF233" t="str">
        <f>IFERROR(IF($V233&lt;=INDEX('Parametri Modello'!$C$57:$C$60,MATCH($B233,'Parametri Modello'!$A$57:$A$60,0)),"Titolare","Riserva"),"")</f>
        <v>Riserva</v>
      </c>
      <c r="AG233" t="str">
        <f>IFERROR(INDEX('Pressione Competitiva'!$F$3:$F$6,MATCH($B233,'Pressione Competitiva'!$B$3:$B$6,0)),"")</f>
        <v>🔴 Molto Alta</v>
      </c>
      <c r="AH233" t="str">
        <f t="shared" si="32"/>
        <v/>
      </c>
      <c r="AI233" t="str">
        <f>IFERROR(IF($AH233="","",IF($AH233&gt;=$AA233*'Parametri Modello'!$B$68,"🟢 Opportunita'",IF($AH233&lt;=$AA233*'Parametri Modello'!$B$69,"🔴 Sovrapprezzo","🟡 Prezzo Corretto"))),"")</f>
        <v/>
      </c>
      <c r="AJ233" t="str">
        <f t="shared" si="33"/>
        <v/>
      </c>
      <c r="AK233">
        <f t="shared" si="34"/>
        <v>31</v>
      </c>
      <c r="AL233" t="str">
        <f t="shared" si="35"/>
        <v>C|Nella Media|31</v>
      </c>
    </row>
    <row r="234" spans="1:38" ht="14.25" customHeight="1" x14ac:dyDescent="0.25">
      <c r="A234" s="18">
        <v>5685</v>
      </c>
      <c r="B234" s="18" t="s">
        <v>17</v>
      </c>
      <c r="C234" s="18" t="s">
        <v>373</v>
      </c>
      <c r="E234" s="23" t="str">
        <f>IF(COUNTIF('Info Strategia'!$D$2:$D$51,$C234)&gt;0,"SI","NO")</f>
        <v>NO</v>
      </c>
      <c r="F234" s="24">
        <f>IFERROR(ROUND(($G234+($H234-$G234)*'Info Strategia'!$B$6)*(1+IF($E234="SI",'Parametri Modello'!$B$7*'Info Strategia'!$B$6,0)),0),"")</f>
        <v>2</v>
      </c>
      <c r="G234" s="24">
        <f>IFERROR(ROUND(MAX(1,(IF($V234&lt;=INDEX('Parametri Modello'!$C$57:$C$60,MATCH($B234,'Parametri Modello'!$A$57:$A$60,0)),IF(INDEX('Parametri Modello'!$E$57:$E$60,MATCH($B234,'Parametri Modello'!$A$57:$A$60,0))=0,0,($O234/INDEX('Parametri Modello'!$E$57:$E$60,MATCH($B234,'Parametri Modello'!$A$57:$A$60,0)))*(INDEX('Parametri Modello'!$D$57:$D$60,MATCH($B234,'Parametri Modello'!$A$57:$A$60,0))*(INDEX('Parametri Modello'!$B$50:$B$53,MATCH($B234,'Parametri Modello'!$A$50:$A$53,0))*'Parametri Modello'!$B$44))),IF(INDEX('Parametri Modello'!$F$57:$F$60,MATCH($B234,'Parametri Modello'!$A$57:$A$60,0))=0,0,($O234/INDEX('Parametri Modello'!$F$57:$F$60,MATCH($B234,'Parametri Modello'!$A$57:$A$60,0)))*((1-INDEX('Parametri Modello'!$D$57:$D$60,MATCH($B234,'Parametri Modello'!$A$57:$A$60,0)))*(INDEX('Parametri Modello'!$B$50:$B$53,MATCH($B234,'Parametri Modello'!$A$50:$A$53,0))*'Parametri Modello'!$B$44))))*(1+IF(IF($B234="D",'Info Lega'!$B$25,IF($B234="C",'Info Lega'!$B$26,"No"))="Si",'Parametri Modello'!$B$5,0))*(1+MAX(-0.25,MIN(0.25,IF(OR($T234="",$I234="",$I234=0,INDEX('Parametri Modello'!$B$19:$B$22,MATCH($B234,'Parametri Modello'!$A$19:$A$22,0))="",INDEX('Parametri Modello'!$B$19:$B$22,MATCH($B234,'Parametri Modello'!$A$19:$A$22,0))=0),0,(($T234-INDEX('Parametri Modello'!$B$19:$B$22,MATCH($B234,'Parametri Modello'!$A$19:$A$22,0)))/INDEX('Parametri Modello'!$B$19:$B$22,MATCH($B234,'Parametri Modello'!$A$19:$A$22,0)))*'Parametri Modello'!$B$9))))*(1+IF('Parametri Modello'!$B$27="Si",MAX(-'Parametri Modello'!$B$28,MIN('Parametri Modello'!$B$28*1.5,IF(OR(INDEX('Parametri Modello'!$F$32:$F$35,MATCH($B234,'Parametri Modello'!$A$32:$A$35,0))="",INDEX('Parametri Modello'!$F$32:$F$35,MATCH($B234,'Parametri Modello'!$A$32:$A$35,0))=0),0,(1/INDEX('Parametri Modello'!$F$32:$F$35,MATCH($B234,'Parametri Modello'!$A$32:$A$35,0))-1)*'Parametri Modello'!$B$28))),0)))*(1-INDEX('Parametri Modello'!$B$12:$B$15,MATCH($B234,'Parametri Modello'!$A$12:$A$15,0)))),0),"")</f>
        <v>1</v>
      </c>
      <c r="H234" s="24">
        <f>IFERROR(ROUND((IF($V234&lt;=INDEX('Parametri Modello'!$C$57:$C$60,MATCH($B234,'Parametri Modello'!$A$57:$A$60,0)),IF(INDEX('Parametri Modello'!$E$57:$E$60,MATCH($B234,'Parametri Modello'!$A$57:$A$60,0))=0,0,($O234/INDEX('Parametri Modello'!$E$57:$E$60,MATCH($B234,'Parametri Modello'!$A$57:$A$60,0)))*(INDEX('Parametri Modello'!$D$57:$D$60,MATCH($B234,'Parametri Modello'!$A$57:$A$60,0))*(INDEX('Parametri Modello'!$B$50:$B$53,MATCH($B234,'Parametri Modello'!$A$50:$A$53,0))*'Parametri Modello'!$B$44))),IF(INDEX('Parametri Modello'!$F$57:$F$60,MATCH($B234,'Parametri Modello'!$A$57:$A$60,0))=0,0,($O234/INDEX('Parametri Modello'!$F$57:$F$60,MATCH($B234,'Parametri Modello'!$A$57:$A$60,0)))*((1-INDEX('Parametri Modello'!$D$57:$D$60,MATCH($B234,'Parametri Modello'!$A$57:$A$60,0)))*(INDEX('Parametri Modello'!$B$50:$B$53,MATCH($B234,'Parametri Modello'!$A$50:$A$53,0))*'Parametri Modello'!$B$44))))*(1+IF(IF($B234="D",'Info Lega'!$B$25,IF($B234="C",'Info Lega'!$B$26,"No"))="Si",'Parametri Modello'!$B$5,0))*(1+MAX(-0.25,MIN(0.25,IF(OR($T234="",$I234="",$I234=0,INDEX('Parametri Modello'!$B$19:$B$22,MATCH($B234,'Parametri Modello'!$A$19:$A$22,0))="",INDEX('Parametri Modello'!$B$19:$B$22,MATCH($B234,'Parametri Modello'!$A$19:$A$22,0))=0),0,(($T234-INDEX('Parametri Modello'!$B$19:$B$22,MATCH($B234,'Parametri Modello'!$A$19:$A$22,0)))/INDEX('Parametri Modello'!$B$19:$B$22,MATCH($B234,'Parametri Modello'!$A$19:$A$22,0)))*'Parametri Modello'!$B$9))))*(1+IF('Parametri Modello'!$B$27="Si",MAX(-'Parametri Modello'!$B$28,MIN('Parametri Modello'!$B$28*1.5,IF(OR(INDEX('Parametri Modello'!$F$32:$F$35,MATCH($B234,'Parametri Modello'!$A$32:$A$35,0))="",INDEX('Parametri Modello'!$F$32:$F$35,MATCH($B234,'Parametri Modello'!$A$32:$A$35,0))=0),0,(1/INDEX('Parametri Modello'!$F$32:$F$35,MATCH($B234,'Parametri Modello'!$A$32:$A$35,0))-1)*'Parametri Modello'!$B$28))),0)))*(1+INDEX('Parametri Modello'!$B$12:$B$15,MATCH($B234,'Parametri Modello'!$A$12:$A$15,0))),0),"")</f>
        <v>2</v>
      </c>
      <c r="I234" s="23">
        <f>IFERROR(INDEX('Input Statistiche 2025_26'!$F$3:$F$665,MATCH($A234,'Input Statistiche 2025_26'!$A$3:$A$665,0)),"")</f>
        <v>29</v>
      </c>
      <c r="J234" s="23">
        <f t="shared" si="27"/>
        <v>9</v>
      </c>
      <c r="K234" s="23">
        <f>IFERROR(INDEX('Input Statistiche 2025_26'!$I$3:$I$665,MATCH($A234,'Input Statistiche 2025_26'!$A$3:$A$665,0)),"")</f>
        <v>0</v>
      </c>
      <c r="L234" s="23">
        <f>IFERROR(INDEX('Input Statistiche 2025_26'!$O$3:$O$665,MATCH($A234,'Input Statistiche 2025_26'!$A$3:$A$665,0)),"")</f>
        <v>0</v>
      </c>
      <c r="M234" s="25"/>
      <c r="N234" s="24">
        <f>IFERROR(INDEX('Input Giocatori 2026_27'!$E$3:$E$493,MATCH($A234,'Input Giocatori 2026_27'!$A$3:$A$493,0)),"")</f>
        <v>5</v>
      </c>
      <c r="O234" s="24">
        <f>IFERROR(INDEX('Input Giocatori 2026_27'!$G$3:$G$493,MATCH($A234,'Input Giocatori 2026_27'!$A$3:$A$493,0)),"")</f>
        <v>14</v>
      </c>
      <c r="P234" s="23" t="str">
        <f>IFERROR(IF($O234="","",IF((1-(COUNTIFS($B$2:$B$492,$B234,$O$2:$O$492,"&gt;"&amp;$O234)+1-1)/COUNTIF($B$2:$B$492,$B234))&gt;='Parametri Modello'!$B$63,"Top",IF((1-(COUNTIFS($B$2:$B$492,$B234,$O$2:$O$492,"&gt;"&amp;$O234)+1-1)/COUNTIF($B$2:$B$492,$B234))&gt;='Parametri Modello'!$B$64,"Buono",IF((1-(COUNTIFS($B$2:$B$492,$B234,$O$2:$O$492,"&gt;"&amp;$O234)+1-1)/COUNTIF($B$2:$B$492,$B234))&gt;='Parametri Modello'!$B$65,"Nella Media","Scommessa/Riserva")))),"")</f>
        <v>Nella Media</v>
      </c>
      <c r="Q234" s="26">
        <f>IF(AND($D234="",$N234&gt;1),SUMPRODUCT(($D$2:$D234="")*($N$2:$N234&gt;1)),"")</f>
        <v>233</v>
      </c>
      <c r="R234" s="26" t="str">
        <f>IF($D234='Info Lega'!$B$28,COUNTIFS($D$2:$D234,'Info Lega'!$B$28),"")</f>
        <v/>
      </c>
      <c r="S234" s="27">
        <f>IFERROR(INDEX('Input Statistiche 2025_26'!$G$3:$G$665,MATCH($A234,'Input Statistiche 2025_26'!$A$3:$A$665,0)),"")</f>
        <v>5.64</v>
      </c>
      <c r="T234" s="27">
        <f>IFERROR(INDEX('Input Statistiche 2025_26'!$H$3:$H$665,MATCH($A234,'Input Statistiche 2025_26'!$A$3:$A$665,0)),"")</f>
        <v>5.55</v>
      </c>
      <c r="U234" s="23" t="str">
        <f>IF(OR('La Mia Rosa'!$O$12="",$D234&lt;&gt;""),"",IF($F234&lt;='La Mia Rosa'!$O$12*'Parametri Modello'!$B$24,"OK",IF($F234&lt;='La Mia Rosa'!$O$12*'Parametri Modello'!$B$25,"Attenzione","Rischio Alto")))</f>
        <v>OK</v>
      </c>
      <c r="V234" s="23">
        <f t="shared" si="28"/>
        <v>86</v>
      </c>
      <c r="W234" s="18">
        <f>'Info Lega'!$B$4-SUMIFS($M$2:$M$492,$D$2:$D$492,'Info Lega'!$B$28)</f>
        <v>1000</v>
      </c>
      <c r="X234" s="18">
        <f>('Info Lega'!$B$5-COUNTIFS($D$2:$D$492,'Info Lega'!$B$28,$B$2:$B$492,"P"))+('Info Lega'!$B$6-COUNTIFS($D$2:$D$492,'Info Lega'!$B$28,$B$2:$B$492,"D"))+('Info Lega'!$B$7-COUNTIFS($D$2:$D$492,'Info Lega'!$B$28,$B$2:$B$492,"C"))+('Info Lega'!$B$8-COUNTIFS($D$2:$D$492,'Info Lega'!$B$28,$B$2:$B$492,"A"))</f>
        <v>25</v>
      </c>
      <c r="Y234" s="18">
        <f>X234*'Parametri Modello'!$B$30</f>
        <v>25</v>
      </c>
      <c r="Z234" s="18">
        <f t="shared" si="29"/>
        <v>975</v>
      </c>
      <c r="AA234" s="18">
        <f t="shared" si="30"/>
        <v>2</v>
      </c>
      <c r="AB234" s="18"/>
      <c r="AC234" s="18" t="str">
        <f>IF($AB234="","",IF($AB234&gt;$AA234,"PASS",IF($AB234&lt;=$AA234*(1-'Parametri Modello'!$B$68),"BID","ATTENZIONE")))</f>
        <v/>
      </c>
      <c r="AD234" s="28">
        <f t="shared" si="31"/>
        <v>62</v>
      </c>
      <c r="AE234" s="5" t="str">
        <f>IFERROR(INDEX('Stato Asta'!$G$9:$G$12,MATCH($B234,'Stato Asta'!$A$9:$A$12,0)),"")</f>
        <v>🔴 Non aspettare</v>
      </c>
      <c r="AF234" t="str">
        <f>IFERROR(IF($V234&lt;=INDEX('Parametri Modello'!$C$57:$C$60,MATCH($B234,'Parametri Modello'!$A$57:$A$60,0)),"Titolare","Riserva"),"")</f>
        <v>Riserva</v>
      </c>
      <c r="AG234" t="str">
        <f>IFERROR(INDEX('Pressione Competitiva'!$F$3:$F$6,MATCH($B234,'Pressione Competitiva'!$B$3:$B$6,0)),"")</f>
        <v>🔴 Molto Alta</v>
      </c>
      <c r="AH234" t="str">
        <f t="shared" si="32"/>
        <v/>
      </c>
      <c r="AI234" t="str">
        <f>IFERROR(IF($AH234="","",IF($AH234&gt;=$AA234*'Parametri Modello'!$B$68,"🟢 Opportunita'",IF($AH234&lt;=$AA234*'Parametri Modello'!$B$69,"🔴 Sovrapprezzo","🟡 Prezzo Corretto"))),"")</f>
        <v/>
      </c>
      <c r="AJ234" t="str">
        <f t="shared" si="33"/>
        <v/>
      </c>
      <c r="AK234">
        <f t="shared" si="34"/>
        <v>31</v>
      </c>
      <c r="AL234" t="str">
        <f t="shared" si="35"/>
        <v>C|Nella Media|31</v>
      </c>
    </row>
    <row r="235" spans="1:38" ht="14.25" customHeight="1" x14ac:dyDescent="0.25">
      <c r="A235" s="18">
        <v>7318</v>
      </c>
      <c r="B235" s="18" t="s">
        <v>17</v>
      </c>
      <c r="C235" s="18" t="s">
        <v>374</v>
      </c>
      <c r="E235" s="23" t="str">
        <f>IF(COUNTIF('Info Strategia'!$D$2:$D$51,$C235)&gt;0,"SI","NO")</f>
        <v>NO</v>
      </c>
      <c r="F235" s="24">
        <f>IFERROR(ROUND(($G235+($H235-$G235)*'Info Strategia'!$B$6)*(1+IF($E235="SI",'Parametri Modello'!$B$7*'Info Strategia'!$B$6,0)),0),"")</f>
        <v>2</v>
      </c>
      <c r="G235" s="24">
        <f>IFERROR(ROUND(MAX(1,(IF($V235&lt;=INDEX('Parametri Modello'!$C$57:$C$60,MATCH($B235,'Parametri Modello'!$A$57:$A$60,0)),IF(INDEX('Parametri Modello'!$E$57:$E$60,MATCH($B235,'Parametri Modello'!$A$57:$A$60,0))=0,0,($O235/INDEX('Parametri Modello'!$E$57:$E$60,MATCH($B235,'Parametri Modello'!$A$57:$A$60,0)))*(INDEX('Parametri Modello'!$D$57:$D$60,MATCH($B235,'Parametri Modello'!$A$57:$A$60,0))*(INDEX('Parametri Modello'!$B$50:$B$53,MATCH($B235,'Parametri Modello'!$A$50:$A$53,0))*'Parametri Modello'!$B$44))),IF(INDEX('Parametri Modello'!$F$57:$F$60,MATCH($B235,'Parametri Modello'!$A$57:$A$60,0))=0,0,($O235/INDEX('Parametri Modello'!$F$57:$F$60,MATCH($B235,'Parametri Modello'!$A$57:$A$60,0)))*((1-INDEX('Parametri Modello'!$D$57:$D$60,MATCH($B235,'Parametri Modello'!$A$57:$A$60,0)))*(INDEX('Parametri Modello'!$B$50:$B$53,MATCH($B235,'Parametri Modello'!$A$50:$A$53,0))*'Parametri Modello'!$B$44))))*(1+IF(IF($B235="D",'Info Lega'!$B$25,IF($B235="C",'Info Lega'!$B$26,"No"))="Si",'Parametri Modello'!$B$5,0))*(1+MAX(-0.25,MIN(0.25,IF(OR($T235="",$I235="",$I235=0,INDEX('Parametri Modello'!$B$19:$B$22,MATCH($B235,'Parametri Modello'!$A$19:$A$22,0))="",INDEX('Parametri Modello'!$B$19:$B$22,MATCH($B235,'Parametri Modello'!$A$19:$A$22,0))=0),0,(($T235-INDEX('Parametri Modello'!$B$19:$B$22,MATCH($B235,'Parametri Modello'!$A$19:$A$22,0)))/INDEX('Parametri Modello'!$B$19:$B$22,MATCH($B235,'Parametri Modello'!$A$19:$A$22,0)))*'Parametri Modello'!$B$9))))*(1+IF('Parametri Modello'!$B$27="Si",MAX(-'Parametri Modello'!$B$28,MIN('Parametri Modello'!$B$28*1.5,IF(OR(INDEX('Parametri Modello'!$F$32:$F$35,MATCH($B235,'Parametri Modello'!$A$32:$A$35,0))="",INDEX('Parametri Modello'!$F$32:$F$35,MATCH($B235,'Parametri Modello'!$A$32:$A$35,0))=0),0,(1/INDEX('Parametri Modello'!$F$32:$F$35,MATCH($B235,'Parametri Modello'!$A$32:$A$35,0))-1)*'Parametri Modello'!$B$28))),0)))*(1-INDEX('Parametri Modello'!$B$12:$B$15,MATCH($B235,'Parametri Modello'!$A$12:$A$15,0)))),0),"")</f>
        <v>1</v>
      </c>
      <c r="H235" s="24">
        <f>IFERROR(ROUND((IF($V235&lt;=INDEX('Parametri Modello'!$C$57:$C$60,MATCH($B235,'Parametri Modello'!$A$57:$A$60,0)),IF(INDEX('Parametri Modello'!$E$57:$E$60,MATCH($B235,'Parametri Modello'!$A$57:$A$60,0))=0,0,($O235/INDEX('Parametri Modello'!$E$57:$E$60,MATCH($B235,'Parametri Modello'!$A$57:$A$60,0)))*(INDEX('Parametri Modello'!$D$57:$D$60,MATCH($B235,'Parametri Modello'!$A$57:$A$60,0))*(INDEX('Parametri Modello'!$B$50:$B$53,MATCH($B235,'Parametri Modello'!$A$50:$A$53,0))*'Parametri Modello'!$B$44))),IF(INDEX('Parametri Modello'!$F$57:$F$60,MATCH($B235,'Parametri Modello'!$A$57:$A$60,0))=0,0,($O235/INDEX('Parametri Modello'!$F$57:$F$60,MATCH($B235,'Parametri Modello'!$A$57:$A$60,0)))*((1-INDEX('Parametri Modello'!$D$57:$D$60,MATCH($B235,'Parametri Modello'!$A$57:$A$60,0)))*(INDEX('Parametri Modello'!$B$50:$B$53,MATCH($B235,'Parametri Modello'!$A$50:$A$53,0))*'Parametri Modello'!$B$44))))*(1+IF(IF($B235="D",'Info Lega'!$B$25,IF($B235="C",'Info Lega'!$B$26,"No"))="Si",'Parametri Modello'!$B$5,0))*(1+MAX(-0.25,MIN(0.25,IF(OR($T235="",$I235="",$I235=0,INDEX('Parametri Modello'!$B$19:$B$22,MATCH($B235,'Parametri Modello'!$A$19:$A$22,0))="",INDEX('Parametri Modello'!$B$19:$B$22,MATCH($B235,'Parametri Modello'!$A$19:$A$22,0))=0),0,(($T235-INDEX('Parametri Modello'!$B$19:$B$22,MATCH($B235,'Parametri Modello'!$A$19:$A$22,0)))/INDEX('Parametri Modello'!$B$19:$B$22,MATCH($B235,'Parametri Modello'!$A$19:$A$22,0)))*'Parametri Modello'!$B$9))))*(1+IF('Parametri Modello'!$B$27="Si",MAX(-'Parametri Modello'!$B$28,MIN('Parametri Modello'!$B$28*1.5,IF(OR(INDEX('Parametri Modello'!$F$32:$F$35,MATCH($B235,'Parametri Modello'!$A$32:$A$35,0))="",INDEX('Parametri Modello'!$F$32:$F$35,MATCH($B235,'Parametri Modello'!$A$32:$A$35,0))=0),0,(1/INDEX('Parametri Modello'!$F$32:$F$35,MATCH($B235,'Parametri Modello'!$A$32:$A$35,0))-1)*'Parametri Modello'!$B$28))),0)))*(1+INDEX('Parametri Modello'!$B$12:$B$15,MATCH($B235,'Parametri Modello'!$A$12:$A$15,0))),0),"")</f>
        <v>2</v>
      </c>
      <c r="I235" s="23">
        <f>IFERROR(INDEX('Input Statistiche 2025_26'!$F$3:$F$665,MATCH($A235,'Input Statistiche 2025_26'!$A$3:$A$665,0)),"")</f>
        <v>16</v>
      </c>
      <c r="J235" s="23">
        <f t="shared" si="27"/>
        <v>22</v>
      </c>
      <c r="K235" s="23">
        <f>IFERROR(INDEX('Input Statistiche 2025_26'!$I$3:$I$665,MATCH($A235,'Input Statistiche 2025_26'!$A$3:$A$665,0)),"")</f>
        <v>2</v>
      </c>
      <c r="L235" s="23">
        <f>IFERROR(INDEX('Input Statistiche 2025_26'!$O$3:$O$665,MATCH($A235,'Input Statistiche 2025_26'!$A$3:$A$665,0)),"")</f>
        <v>1</v>
      </c>
      <c r="M235" s="25"/>
      <c r="N235" s="24">
        <f>IFERROR(INDEX('Input Giocatori 2026_27'!$E$3:$E$493,MATCH($A235,'Input Giocatori 2026_27'!$A$3:$A$493,0)),"")</f>
        <v>5</v>
      </c>
      <c r="O235" s="24">
        <f>IFERROR(INDEX('Input Giocatori 2026_27'!$G$3:$G$493,MATCH($A235,'Input Giocatori 2026_27'!$A$3:$A$493,0)),"")</f>
        <v>14</v>
      </c>
      <c r="P235" s="23" t="str">
        <f>IFERROR(IF($O235="","",IF((1-(COUNTIFS($B$2:$B$492,$B235,$O$2:$O$492,"&gt;"&amp;$O235)+1-1)/COUNTIF($B$2:$B$492,$B235))&gt;='Parametri Modello'!$B$63,"Top",IF((1-(COUNTIFS($B$2:$B$492,$B235,$O$2:$O$492,"&gt;"&amp;$O235)+1-1)/COUNTIF($B$2:$B$492,$B235))&gt;='Parametri Modello'!$B$64,"Buono",IF((1-(COUNTIFS($B$2:$B$492,$B235,$O$2:$O$492,"&gt;"&amp;$O235)+1-1)/COUNTIF($B$2:$B$492,$B235))&gt;='Parametri Modello'!$B$65,"Nella Media","Scommessa/Riserva")))),"")</f>
        <v>Nella Media</v>
      </c>
      <c r="Q235" s="26">
        <f>IF(AND($D235="",$N235&gt;1),SUMPRODUCT(($D$2:$D235="")*($N$2:$N235&gt;1)),"")</f>
        <v>234</v>
      </c>
      <c r="R235" s="26" t="str">
        <f>IF($D235='Info Lega'!$B$28,COUNTIFS($D$2:$D235,'Info Lega'!$B$28),"")</f>
        <v/>
      </c>
      <c r="S235" s="27">
        <f>IFERROR(INDEX('Input Statistiche 2025_26'!$G$3:$G$665,MATCH($A235,'Input Statistiche 2025_26'!$A$3:$A$665,0)),"")</f>
        <v>5.97</v>
      </c>
      <c r="T235" s="27">
        <f>IFERROR(INDEX('Input Statistiche 2025_26'!$H$3:$H$665,MATCH($A235,'Input Statistiche 2025_26'!$A$3:$A$665,0)),"")</f>
        <v>6.41</v>
      </c>
      <c r="U235" s="23" t="str">
        <f>IF(OR('La Mia Rosa'!$O$12="",$D235&lt;&gt;""),"",IF($F235&lt;='La Mia Rosa'!$O$12*'Parametri Modello'!$B$24,"OK",IF($F235&lt;='La Mia Rosa'!$O$12*'Parametri Modello'!$B$25,"Attenzione","Rischio Alto")))</f>
        <v>OK</v>
      </c>
      <c r="V235" s="23">
        <f t="shared" si="28"/>
        <v>86</v>
      </c>
      <c r="W235" s="18">
        <f>'Info Lega'!$B$4-SUMIFS($M$2:$M$492,$D$2:$D$492,'Info Lega'!$B$28)</f>
        <v>1000</v>
      </c>
      <c r="X235" s="18">
        <f>('Info Lega'!$B$5-COUNTIFS($D$2:$D$492,'Info Lega'!$B$28,$B$2:$B$492,"P"))+('Info Lega'!$B$6-COUNTIFS($D$2:$D$492,'Info Lega'!$B$28,$B$2:$B$492,"D"))+('Info Lega'!$B$7-COUNTIFS($D$2:$D$492,'Info Lega'!$B$28,$B$2:$B$492,"C"))+('Info Lega'!$B$8-COUNTIFS($D$2:$D$492,'Info Lega'!$B$28,$B$2:$B$492,"A"))</f>
        <v>25</v>
      </c>
      <c r="Y235" s="18">
        <f>X235*'Parametri Modello'!$B$30</f>
        <v>25</v>
      </c>
      <c r="Z235" s="18">
        <f t="shared" si="29"/>
        <v>975</v>
      </c>
      <c r="AA235" s="18">
        <f t="shared" si="30"/>
        <v>2</v>
      </c>
      <c r="AB235" s="18"/>
      <c r="AC235" s="18" t="str">
        <f>IF($AB235="","",IF($AB235&gt;$AA235,"PASS",IF($AB235&lt;=$AA235*(1-'Parametri Modello'!$B$68),"BID","ATTENZIONE")))</f>
        <v/>
      </c>
      <c r="AD235" s="28">
        <f t="shared" si="31"/>
        <v>41</v>
      </c>
      <c r="AE235" s="5" t="str">
        <f>IFERROR(INDEX('Stato Asta'!$G$9:$G$12,MATCH($B235,'Stato Asta'!$A$9:$A$12,0)),"")</f>
        <v>🔴 Non aspettare</v>
      </c>
      <c r="AF235" t="str">
        <f>IFERROR(IF($V235&lt;=INDEX('Parametri Modello'!$C$57:$C$60,MATCH($B235,'Parametri Modello'!$A$57:$A$60,0)),"Titolare","Riserva"),"")</f>
        <v>Riserva</v>
      </c>
      <c r="AG235" t="str">
        <f>IFERROR(INDEX('Pressione Competitiva'!$F$3:$F$6,MATCH($B235,'Pressione Competitiva'!$B$3:$B$6,0)),"")</f>
        <v>🔴 Molto Alta</v>
      </c>
      <c r="AH235" t="str">
        <f t="shared" si="32"/>
        <v/>
      </c>
      <c r="AI235" t="str">
        <f>IFERROR(IF($AH235="","",IF($AH235&gt;=$AA235*'Parametri Modello'!$B$68,"🟢 Opportunita'",IF($AH235&lt;=$AA235*'Parametri Modello'!$B$69,"🔴 Sovrapprezzo","🟡 Prezzo Corretto"))),"")</f>
        <v/>
      </c>
      <c r="AJ235" t="str">
        <f t="shared" si="33"/>
        <v/>
      </c>
      <c r="AK235">
        <f t="shared" si="34"/>
        <v>31</v>
      </c>
      <c r="AL235" t="str">
        <f t="shared" si="35"/>
        <v>C|Nella Media|31</v>
      </c>
    </row>
    <row r="236" spans="1:38" ht="14.25" customHeight="1" x14ac:dyDescent="0.25">
      <c r="A236" s="18">
        <v>6677</v>
      </c>
      <c r="B236" s="18" t="s">
        <v>17</v>
      </c>
      <c r="C236" s="18" t="s">
        <v>375</v>
      </c>
      <c r="E236" s="23" t="str">
        <f>IF(COUNTIF('Info Strategia'!$D$2:$D$51,$C236)&gt;0,"SI","NO")</f>
        <v>NO</v>
      </c>
      <c r="F236" s="24">
        <f>IFERROR(ROUND(($G236+($H236-$G236)*'Info Strategia'!$B$6)*(1+IF($E236="SI",'Parametri Modello'!$B$7*'Info Strategia'!$B$6,0)),0),"")</f>
        <v>2</v>
      </c>
      <c r="G236" s="24">
        <f>IFERROR(ROUND(MAX(1,(IF($V236&lt;=INDEX('Parametri Modello'!$C$57:$C$60,MATCH($B236,'Parametri Modello'!$A$57:$A$60,0)),IF(INDEX('Parametri Modello'!$E$57:$E$60,MATCH($B236,'Parametri Modello'!$A$57:$A$60,0))=0,0,($O236/INDEX('Parametri Modello'!$E$57:$E$60,MATCH($B236,'Parametri Modello'!$A$57:$A$60,0)))*(INDEX('Parametri Modello'!$D$57:$D$60,MATCH($B236,'Parametri Modello'!$A$57:$A$60,0))*(INDEX('Parametri Modello'!$B$50:$B$53,MATCH($B236,'Parametri Modello'!$A$50:$A$53,0))*'Parametri Modello'!$B$44))),IF(INDEX('Parametri Modello'!$F$57:$F$60,MATCH($B236,'Parametri Modello'!$A$57:$A$60,0))=0,0,($O236/INDEX('Parametri Modello'!$F$57:$F$60,MATCH($B236,'Parametri Modello'!$A$57:$A$60,0)))*((1-INDEX('Parametri Modello'!$D$57:$D$60,MATCH($B236,'Parametri Modello'!$A$57:$A$60,0)))*(INDEX('Parametri Modello'!$B$50:$B$53,MATCH($B236,'Parametri Modello'!$A$50:$A$53,0))*'Parametri Modello'!$B$44))))*(1+IF(IF($B236="D",'Info Lega'!$B$25,IF($B236="C",'Info Lega'!$B$26,"No"))="Si",'Parametri Modello'!$B$5,0))*(1+MAX(-0.25,MIN(0.25,IF(OR($T236="",$I236="",$I236=0,INDEX('Parametri Modello'!$B$19:$B$22,MATCH($B236,'Parametri Modello'!$A$19:$A$22,0))="",INDEX('Parametri Modello'!$B$19:$B$22,MATCH($B236,'Parametri Modello'!$A$19:$A$22,0))=0),0,(($T236-INDEX('Parametri Modello'!$B$19:$B$22,MATCH($B236,'Parametri Modello'!$A$19:$A$22,0)))/INDEX('Parametri Modello'!$B$19:$B$22,MATCH($B236,'Parametri Modello'!$A$19:$A$22,0)))*'Parametri Modello'!$B$9))))*(1+IF('Parametri Modello'!$B$27="Si",MAX(-'Parametri Modello'!$B$28,MIN('Parametri Modello'!$B$28*1.5,IF(OR(INDEX('Parametri Modello'!$F$32:$F$35,MATCH($B236,'Parametri Modello'!$A$32:$A$35,0))="",INDEX('Parametri Modello'!$F$32:$F$35,MATCH($B236,'Parametri Modello'!$A$32:$A$35,0))=0),0,(1/INDEX('Parametri Modello'!$F$32:$F$35,MATCH($B236,'Parametri Modello'!$A$32:$A$35,0))-1)*'Parametri Modello'!$B$28))),0)))*(1-INDEX('Parametri Modello'!$B$12:$B$15,MATCH($B236,'Parametri Modello'!$A$12:$A$15,0)))),0),"")</f>
        <v>1</v>
      </c>
      <c r="H236" s="24">
        <f>IFERROR(ROUND((IF($V236&lt;=INDEX('Parametri Modello'!$C$57:$C$60,MATCH($B236,'Parametri Modello'!$A$57:$A$60,0)),IF(INDEX('Parametri Modello'!$E$57:$E$60,MATCH($B236,'Parametri Modello'!$A$57:$A$60,0))=0,0,($O236/INDEX('Parametri Modello'!$E$57:$E$60,MATCH($B236,'Parametri Modello'!$A$57:$A$60,0)))*(INDEX('Parametri Modello'!$D$57:$D$60,MATCH($B236,'Parametri Modello'!$A$57:$A$60,0))*(INDEX('Parametri Modello'!$B$50:$B$53,MATCH($B236,'Parametri Modello'!$A$50:$A$53,0))*'Parametri Modello'!$B$44))),IF(INDEX('Parametri Modello'!$F$57:$F$60,MATCH($B236,'Parametri Modello'!$A$57:$A$60,0))=0,0,($O236/INDEX('Parametri Modello'!$F$57:$F$60,MATCH($B236,'Parametri Modello'!$A$57:$A$60,0)))*((1-INDEX('Parametri Modello'!$D$57:$D$60,MATCH($B236,'Parametri Modello'!$A$57:$A$60,0)))*(INDEX('Parametri Modello'!$B$50:$B$53,MATCH($B236,'Parametri Modello'!$A$50:$A$53,0))*'Parametri Modello'!$B$44))))*(1+IF(IF($B236="D",'Info Lega'!$B$25,IF($B236="C",'Info Lega'!$B$26,"No"))="Si",'Parametri Modello'!$B$5,0))*(1+MAX(-0.25,MIN(0.25,IF(OR($T236="",$I236="",$I236=0,INDEX('Parametri Modello'!$B$19:$B$22,MATCH($B236,'Parametri Modello'!$A$19:$A$22,0))="",INDEX('Parametri Modello'!$B$19:$B$22,MATCH($B236,'Parametri Modello'!$A$19:$A$22,0))=0),0,(($T236-INDEX('Parametri Modello'!$B$19:$B$22,MATCH($B236,'Parametri Modello'!$A$19:$A$22,0)))/INDEX('Parametri Modello'!$B$19:$B$22,MATCH($B236,'Parametri Modello'!$A$19:$A$22,0)))*'Parametri Modello'!$B$9))))*(1+IF('Parametri Modello'!$B$27="Si",MAX(-'Parametri Modello'!$B$28,MIN('Parametri Modello'!$B$28*1.5,IF(OR(INDEX('Parametri Modello'!$F$32:$F$35,MATCH($B236,'Parametri Modello'!$A$32:$A$35,0))="",INDEX('Parametri Modello'!$F$32:$F$35,MATCH($B236,'Parametri Modello'!$A$32:$A$35,0))=0),0,(1/INDEX('Parametri Modello'!$F$32:$F$35,MATCH($B236,'Parametri Modello'!$A$32:$A$35,0))-1)*'Parametri Modello'!$B$28))),0)))*(1+INDEX('Parametri Modello'!$B$12:$B$15,MATCH($B236,'Parametri Modello'!$A$12:$A$15,0))),0),"")</f>
        <v>2</v>
      </c>
      <c r="I236" s="23">
        <f>IFERROR(INDEX('Input Statistiche 2025_26'!$F$3:$F$665,MATCH($A236,'Input Statistiche 2025_26'!$A$3:$A$665,0)),"")</f>
        <v>4</v>
      </c>
      <c r="J236" s="23">
        <f t="shared" si="27"/>
        <v>34</v>
      </c>
      <c r="K236" s="23">
        <f>IFERROR(INDEX('Input Statistiche 2025_26'!$I$3:$I$665,MATCH($A236,'Input Statistiche 2025_26'!$A$3:$A$665,0)),"")</f>
        <v>1</v>
      </c>
      <c r="L236" s="23">
        <f>IFERROR(INDEX('Input Statistiche 2025_26'!$O$3:$O$665,MATCH($A236,'Input Statistiche 2025_26'!$A$3:$A$665,0)),"")</f>
        <v>0</v>
      </c>
      <c r="M236" s="25"/>
      <c r="N236" s="24">
        <f>IFERROR(INDEX('Input Giocatori 2026_27'!$E$3:$E$493,MATCH($A236,'Input Giocatori 2026_27'!$A$3:$A$493,0)),"")</f>
        <v>5</v>
      </c>
      <c r="O236" s="24">
        <f>IFERROR(INDEX('Input Giocatori 2026_27'!$G$3:$G$493,MATCH($A236,'Input Giocatori 2026_27'!$A$3:$A$493,0)),"")</f>
        <v>14</v>
      </c>
      <c r="P236" s="23" t="str">
        <f>IFERROR(IF($O236="","",IF((1-(COUNTIFS($B$2:$B$492,$B236,$O$2:$O$492,"&gt;"&amp;$O236)+1-1)/COUNTIF($B$2:$B$492,$B236))&gt;='Parametri Modello'!$B$63,"Top",IF((1-(COUNTIFS($B$2:$B$492,$B236,$O$2:$O$492,"&gt;"&amp;$O236)+1-1)/COUNTIF($B$2:$B$492,$B236))&gt;='Parametri Modello'!$B$64,"Buono",IF((1-(COUNTIFS($B$2:$B$492,$B236,$O$2:$O$492,"&gt;"&amp;$O236)+1-1)/COUNTIF($B$2:$B$492,$B236))&gt;='Parametri Modello'!$B$65,"Nella Media","Scommessa/Riserva")))),"")</f>
        <v>Nella Media</v>
      </c>
      <c r="Q236" s="26">
        <f>IF(AND($D236="",$N236&gt;1),SUMPRODUCT(($D$2:$D236="")*($N$2:$N236&gt;1)),"")</f>
        <v>235</v>
      </c>
      <c r="R236" s="26" t="str">
        <f>IF($D236='Info Lega'!$B$28,COUNTIFS($D$2:$D236,'Info Lega'!$B$28),"")</f>
        <v/>
      </c>
      <c r="S236" s="27">
        <f>IFERROR(INDEX('Input Statistiche 2025_26'!$G$3:$G$665,MATCH($A236,'Input Statistiche 2025_26'!$A$3:$A$665,0)),"")</f>
        <v>6.12</v>
      </c>
      <c r="T236" s="27">
        <f>IFERROR(INDEX('Input Statistiche 2025_26'!$H$3:$H$665,MATCH($A236,'Input Statistiche 2025_26'!$A$3:$A$665,0)),"")</f>
        <v>6.88</v>
      </c>
      <c r="U236" s="23" t="str">
        <f>IF(OR('La Mia Rosa'!$O$12="",$D236&lt;&gt;""),"",IF($F236&lt;='La Mia Rosa'!$O$12*'Parametri Modello'!$B$24,"OK",IF($F236&lt;='La Mia Rosa'!$O$12*'Parametri Modello'!$B$25,"Attenzione","Rischio Alto")))</f>
        <v>OK</v>
      </c>
      <c r="V236" s="23">
        <f t="shared" si="28"/>
        <v>86</v>
      </c>
      <c r="W236" s="18">
        <f>'Info Lega'!$B$4-SUMIFS($M$2:$M$492,$D$2:$D$492,'Info Lega'!$B$28)</f>
        <v>1000</v>
      </c>
      <c r="X236" s="18">
        <f>('Info Lega'!$B$5-COUNTIFS($D$2:$D$492,'Info Lega'!$B$28,$B$2:$B$492,"P"))+('Info Lega'!$B$6-COUNTIFS($D$2:$D$492,'Info Lega'!$B$28,$B$2:$B$492,"D"))+('Info Lega'!$B$7-COUNTIFS($D$2:$D$492,'Info Lega'!$B$28,$B$2:$B$492,"C"))+('Info Lega'!$B$8-COUNTIFS($D$2:$D$492,'Info Lega'!$B$28,$B$2:$B$492,"A"))</f>
        <v>25</v>
      </c>
      <c r="Y236" s="18">
        <f>X236*'Parametri Modello'!$B$30</f>
        <v>25</v>
      </c>
      <c r="Z236" s="18">
        <f t="shared" si="29"/>
        <v>975</v>
      </c>
      <c r="AA236" s="18">
        <f t="shared" si="30"/>
        <v>2</v>
      </c>
      <c r="AB236" s="18"/>
      <c r="AC236" s="18" t="str">
        <f>IF($AB236="","",IF($AB236&gt;$AA236,"PASS",IF($AB236&lt;=$AA236*(1-'Parametri Modello'!$B$68),"BID","ATTENZIONE")))</f>
        <v/>
      </c>
      <c r="AD236" s="28">
        <f t="shared" si="31"/>
        <v>12</v>
      </c>
      <c r="AE236" s="5" t="str">
        <f>IFERROR(INDEX('Stato Asta'!$G$9:$G$12,MATCH($B236,'Stato Asta'!$A$9:$A$12,0)),"")</f>
        <v>🔴 Non aspettare</v>
      </c>
      <c r="AF236" t="str">
        <f>IFERROR(IF($V236&lt;=INDEX('Parametri Modello'!$C$57:$C$60,MATCH($B236,'Parametri Modello'!$A$57:$A$60,0)),"Titolare","Riserva"),"")</f>
        <v>Riserva</v>
      </c>
      <c r="AG236" t="str">
        <f>IFERROR(INDEX('Pressione Competitiva'!$F$3:$F$6,MATCH($B236,'Pressione Competitiva'!$B$3:$B$6,0)),"")</f>
        <v>🔴 Molto Alta</v>
      </c>
      <c r="AH236" t="str">
        <f t="shared" si="32"/>
        <v/>
      </c>
      <c r="AI236" t="str">
        <f>IFERROR(IF($AH236="","",IF($AH236&gt;=$AA236*'Parametri Modello'!$B$68,"🟢 Opportunita'",IF($AH236&lt;=$AA236*'Parametri Modello'!$B$69,"🔴 Sovrapprezzo","🟡 Prezzo Corretto"))),"")</f>
        <v/>
      </c>
      <c r="AJ236" t="str">
        <f t="shared" si="33"/>
        <v/>
      </c>
      <c r="AK236">
        <f t="shared" si="34"/>
        <v>31</v>
      </c>
      <c r="AL236" t="str">
        <f t="shared" si="35"/>
        <v>C|Nella Media|31</v>
      </c>
    </row>
    <row r="237" spans="1:38" ht="14.25" customHeight="1" x14ac:dyDescent="0.25">
      <c r="A237" s="18">
        <v>5507</v>
      </c>
      <c r="B237" s="18" t="s">
        <v>17</v>
      </c>
      <c r="C237" s="18" t="s">
        <v>376</v>
      </c>
      <c r="E237" s="23" t="str">
        <f>IF(COUNTIF('Info Strategia'!$D$2:$D$51,$C237)&gt;0,"SI","NO")</f>
        <v>NO</v>
      </c>
      <c r="F237" s="24">
        <f>IFERROR(ROUND(($G237+($H237-$G237)*'Info Strategia'!$B$6)*(1+IF($E237="SI",'Parametri Modello'!$B$7*'Info Strategia'!$B$6,0)),0),"")</f>
        <v>2</v>
      </c>
      <c r="G237" s="24">
        <f>IFERROR(ROUND(MAX(1,(IF($V237&lt;=INDEX('Parametri Modello'!$C$57:$C$60,MATCH($B237,'Parametri Modello'!$A$57:$A$60,0)),IF(INDEX('Parametri Modello'!$E$57:$E$60,MATCH($B237,'Parametri Modello'!$A$57:$A$60,0))=0,0,($O237/INDEX('Parametri Modello'!$E$57:$E$60,MATCH($B237,'Parametri Modello'!$A$57:$A$60,0)))*(INDEX('Parametri Modello'!$D$57:$D$60,MATCH($B237,'Parametri Modello'!$A$57:$A$60,0))*(INDEX('Parametri Modello'!$B$50:$B$53,MATCH($B237,'Parametri Modello'!$A$50:$A$53,0))*'Parametri Modello'!$B$44))),IF(INDEX('Parametri Modello'!$F$57:$F$60,MATCH($B237,'Parametri Modello'!$A$57:$A$60,0))=0,0,($O237/INDEX('Parametri Modello'!$F$57:$F$60,MATCH($B237,'Parametri Modello'!$A$57:$A$60,0)))*((1-INDEX('Parametri Modello'!$D$57:$D$60,MATCH($B237,'Parametri Modello'!$A$57:$A$60,0)))*(INDEX('Parametri Modello'!$B$50:$B$53,MATCH($B237,'Parametri Modello'!$A$50:$A$53,0))*'Parametri Modello'!$B$44))))*(1+IF(IF($B237="D",'Info Lega'!$B$25,IF($B237="C",'Info Lega'!$B$26,"No"))="Si",'Parametri Modello'!$B$5,0))*(1+MAX(-0.25,MIN(0.25,IF(OR($T237="",$I237="",$I237=0,INDEX('Parametri Modello'!$B$19:$B$22,MATCH($B237,'Parametri Modello'!$A$19:$A$22,0))="",INDEX('Parametri Modello'!$B$19:$B$22,MATCH($B237,'Parametri Modello'!$A$19:$A$22,0))=0),0,(($T237-INDEX('Parametri Modello'!$B$19:$B$22,MATCH($B237,'Parametri Modello'!$A$19:$A$22,0)))/INDEX('Parametri Modello'!$B$19:$B$22,MATCH($B237,'Parametri Modello'!$A$19:$A$22,0)))*'Parametri Modello'!$B$9))))*(1+IF('Parametri Modello'!$B$27="Si",MAX(-'Parametri Modello'!$B$28,MIN('Parametri Modello'!$B$28*1.5,IF(OR(INDEX('Parametri Modello'!$F$32:$F$35,MATCH($B237,'Parametri Modello'!$A$32:$A$35,0))="",INDEX('Parametri Modello'!$F$32:$F$35,MATCH($B237,'Parametri Modello'!$A$32:$A$35,0))=0),0,(1/INDEX('Parametri Modello'!$F$32:$F$35,MATCH($B237,'Parametri Modello'!$A$32:$A$35,0))-1)*'Parametri Modello'!$B$28))),0)))*(1-INDEX('Parametri Modello'!$B$12:$B$15,MATCH($B237,'Parametri Modello'!$A$12:$A$15,0)))),0),"")</f>
        <v>1</v>
      </c>
      <c r="H237" s="24">
        <f>IFERROR(ROUND((IF($V237&lt;=INDEX('Parametri Modello'!$C$57:$C$60,MATCH($B237,'Parametri Modello'!$A$57:$A$60,0)),IF(INDEX('Parametri Modello'!$E$57:$E$60,MATCH($B237,'Parametri Modello'!$A$57:$A$60,0))=0,0,($O237/INDEX('Parametri Modello'!$E$57:$E$60,MATCH($B237,'Parametri Modello'!$A$57:$A$60,0)))*(INDEX('Parametri Modello'!$D$57:$D$60,MATCH($B237,'Parametri Modello'!$A$57:$A$60,0))*(INDEX('Parametri Modello'!$B$50:$B$53,MATCH($B237,'Parametri Modello'!$A$50:$A$53,0))*'Parametri Modello'!$B$44))),IF(INDEX('Parametri Modello'!$F$57:$F$60,MATCH($B237,'Parametri Modello'!$A$57:$A$60,0))=0,0,($O237/INDEX('Parametri Modello'!$F$57:$F$60,MATCH($B237,'Parametri Modello'!$A$57:$A$60,0)))*((1-INDEX('Parametri Modello'!$D$57:$D$60,MATCH($B237,'Parametri Modello'!$A$57:$A$60,0)))*(INDEX('Parametri Modello'!$B$50:$B$53,MATCH($B237,'Parametri Modello'!$A$50:$A$53,0))*'Parametri Modello'!$B$44))))*(1+IF(IF($B237="D",'Info Lega'!$B$25,IF($B237="C",'Info Lega'!$B$26,"No"))="Si",'Parametri Modello'!$B$5,0))*(1+MAX(-0.25,MIN(0.25,IF(OR($T237="",$I237="",$I237=0,INDEX('Parametri Modello'!$B$19:$B$22,MATCH($B237,'Parametri Modello'!$A$19:$A$22,0))="",INDEX('Parametri Modello'!$B$19:$B$22,MATCH($B237,'Parametri Modello'!$A$19:$A$22,0))=0),0,(($T237-INDEX('Parametri Modello'!$B$19:$B$22,MATCH($B237,'Parametri Modello'!$A$19:$A$22,0)))/INDEX('Parametri Modello'!$B$19:$B$22,MATCH($B237,'Parametri Modello'!$A$19:$A$22,0)))*'Parametri Modello'!$B$9))))*(1+IF('Parametri Modello'!$B$27="Si",MAX(-'Parametri Modello'!$B$28,MIN('Parametri Modello'!$B$28*1.5,IF(OR(INDEX('Parametri Modello'!$F$32:$F$35,MATCH($B237,'Parametri Modello'!$A$32:$A$35,0))="",INDEX('Parametri Modello'!$F$32:$F$35,MATCH($B237,'Parametri Modello'!$A$32:$A$35,0))=0),0,(1/INDEX('Parametri Modello'!$F$32:$F$35,MATCH($B237,'Parametri Modello'!$A$32:$A$35,0))-1)*'Parametri Modello'!$B$28))),0)))*(1+INDEX('Parametri Modello'!$B$12:$B$15,MATCH($B237,'Parametri Modello'!$A$12:$A$15,0))),0),"")</f>
        <v>2</v>
      </c>
      <c r="I237" s="23" t="str">
        <f>IFERROR(INDEX('Input Statistiche 2025_26'!$F$3:$F$665,MATCH($A237,'Input Statistiche 2025_26'!$A$3:$A$665,0)),"")</f>
        <v/>
      </c>
      <c r="J237" s="23" t="str">
        <f t="shared" si="27"/>
        <v/>
      </c>
      <c r="K237" s="23" t="str">
        <f>IFERROR(INDEX('Input Statistiche 2025_26'!$I$3:$I$665,MATCH($A237,'Input Statistiche 2025_26'!$A$3:$A$665,0)),"")</f>
        <v/>
      </c>
      <c r="L237" s="23" t="str">
        <f>IFERROR(INDEX('Input Statistiche 2025_26'!$O$3:$O$665,MATCH($A237,'Input Statistiche 2025_26'!$A$3:$A$665,0)),"")</f>
        <v/>
      </c>
      <c r="M237" s="25"/>
      <c r="N237" s="24">
        <f>IFERROR(INDEX('Input Giocatori 2026_27'!$E$3:$E$493,MATCH($A237,'Input Giocatori 2026_27'!$A$3:$A$493,0)),"")</f>
        <v>5</v>
      </c>
      <c r="O237" s="24">
        <f>IFERROR(INDEX('Input Giocatori 2026_27'!$G$3:$G$493,MATCH($A237,'Input Giocatori 2026_27'!$A$3:$A$493,0)),"")</f>
        <v>14</v>
      </c>
      <c r="P237" s="23" t="str">
        <f>IFERROR(IF($O237="","",IF((1-(COUNTIFS($B$2:$B$492,$B237,$O$2:$O$492,"&gt;"&amp;$O237)+1-1)/COUNTIF($B$2:$B$492,$B237))&gt;='Parametri Modello'!$B$63,"Top",IF((1-(COUNTIFS($B$2:$B$492,$B237,$O$2:$O$492,"&gt;"&amp;$O237)+1-1)/COUNTIF($B$2:$B$492,$B237))&gt;='Parametri Modello'!$B$64,"Buono",IF((1-(COUNTIFS($B$2:$B$492,$B237,$O$2:$O$492,"&gt;"&amp;$O237)+1-1)/COUNTIF($B$2:$B$492,$B237))&gt;='Parametri Modello'!$B$65,"Nella Media","Scommessa/Riserva")))),"")</f>
        <v>Nella Media</v>
      </c>
      <c r="Q237" s="26">
        <f>IF(AND($D237="",$N237&gt;1),SUMPRODUCT(($D$2:$D237="")*($N$2:$N237&gt;1)),"")</f>
        <v>236</v>
      </c>
      <c r="R237" s="26" t="str">
        <f>IF($D237='Info Lega'!$B$28,COUNTIFS($D$2:$D237,'Info Lega'!$B$28),"")</f>
        <v/>
      </c>
      <c r="S237" s="27" t="str">
        <f>IFERROR(INDEX('Input Statistiche 2025_26'!$G$3:$G$665,MATCH($A237,'Input Statistiche 2025_26'!$A$3:$A$665,0)),"")</f>
        <v/>
      </c>
      <c r="T237" s="27" t="str">
        <f>IFERROR(INDEX('Input Statistiche 2025_26'!$H$3:$H$665,MATCH($A237,'Input Statistiche 2025_26'!$A$3:$A$665,0)),"")</f>
        <v/>
      </c>
      <c r="U237" s="23" t="str">
        <f>IF(OR('La Mia Rosa'!$O$12="",$D237&lt;&gt;""),"",IF($F237&lt;='La Mia Rosa'!$O$12*'Parametri Modello'!$B$24,"OK",IF($F237&lt;='La Mia Rosa'!$O$12*'Parametri Modello'!$B$25,"Attenzione","Rischio Alto")))</f>
        <v>OK</v>
      </c>
      <c r="V237" s="23">
        <f t="shared" si="28"/>
        <v>86</v>
      </c>
      <c r="W237" s="18">
        <f>'Info Lega'!$B$4-SUMIFS($M$2:$M$492,$D$2:$D$492,'Info Lega'!$B$28)</f>
        <v>1000</v>
      </c>
      <c r="X237" s="18">
        <f>('Info Lega'!$B$5-COUNTIFS($D$2:$D$492,'Info Lega'!$B$28,$B$2:$B$492,"P"))+('Info Lega'!$B$6-COUNTIFS($D$2:$D$492,'Info Lega'!$B$28,$B$2:$B$492,"D"))+('Info Lega'!$B$7-COUNTIFS($D$2:$D$492,'Info Lega'!$B$28,$B$2:$B$492,"C"))+('Info Lega'!$B$8-COUNTIFS($D$2:$D$492,'Info Lega'!$B$28,$B$2:$B$492,"A"))</f>
        <v>25</v>
      </c>
      <c r="Y237" s="18">
        <f>X237*'Parametri Modello'!$B$30</f>
        <v>25</v>
      </c>
      <c r="Z237" s="18">
        <f t="shared" si="29"/>
        <v>975</v>
      </c>
      <c r="AA237" s="18">
        <f t="shared" si="30"/>
        <v>2</v>
      </c>
      <c r="AB237" s="18"/>
      <c r="AC237" s="18" t="str">
        <f>IF($AB237="","",IF($AB237&gt;$AA237,"PASS",IF($AB237&lt;=$AA237*(1-'Parametri Modello'!$B$68),"BID","ATTENZIONE")))</f>
        <v/>
      </c>
      <c r="AD237" s="28" t="str">
        <f t="shared" si="31"/>
        <v/>
      </c>
      <c r="AE237" s="5" t="str">
        <f>IFERROR(INDEX('Stato Asta'!$G$9:$G$12,MATCH($B237,'Stato Asta'!$A$9:$A$12,0)),"")</f>
        <v>🔴 Non aspettare</v>
      </c>
      <c r="AF237" t="str">
        <f>IFERROR(IF($V237&lt;=INDEX('Parametri Modello'!$C$57:$C$60,MATCH($B237,'Parametri Modello'!$A$57:$A$60,0)),"Titolare","Riserva"),"")</f>
        <v>Riserva</v>
      </c>
      <c r="AG237" t="str">
        <f>IFERROR(INDEX('Pressione Competitiva'!$F$3:$F$6,MATCH($B237,'Pressione Competitiva'!$B$3:$B$6,0)),"")</f>
        <v>🔴 Molto Alta</v>
      </c>
      <c r="AH237" t="str">
        <f t="shared" si="32"/>
        <v/>
      </c>
      <c r="AI237" t="str">
        <f>IFERROR(IF($AH237="","",IF($AH237&gt;=$AA237*'Parametri Modello'!$B$68,"🟢 Opportunita'",IF($AH237&lt;=$AA237*'Parametri Modello'!$B$69,"🔴 Sovrapprezzo","🟡 Prezzo Corretto"))),"")</f>
        <v/>
      </c>
      <c r="AJ237" t="str">
        <f t="shared" si="33"/>
        <v/>
      </c>
      <c r="AK237">
        <f t="shared" si="34"/>
        <v>31</v>
      </c>
      <c r="AL237" t="str">
        <f t="shared" si="35"/>
        <v>C|Nella Media|31</v>
      </c>
    </row>
    <row r="238" spans="1:38" ht="14.25" customHeight="1" x14ac:dyDescent="0.25">
      <c r="A238" s="18">
        <v>5319</v>
      </c>
      <c r="B238" s="18" t="s">
        <v>17</v>
      </c>
      <c r="C238" s="18" t="s">
        <v>377</v>
      </c>
      <c r="E238" s="23" t="str">
        <f>IF(COUNTIF('Info Strategia'!$D$2:$D$51,$C238)&gt;0,"SI","NO")</f>
        <v>NO</v>
      </c>
      <c r="F238" s="24">
        <f>IFERROR(ROUND(($G238+($H238-$G238)*'Info Strategia'!$B$6)*(1+IF($E238="SI",'Parametri Modello'!$B$7*'Info Strategia'!$B$6,0)),0),"")</f>
        <v>2</v>
      </c>
      <c r="G238" s="24">
        <f>IFERROR(ROUND(MAX(1,(IF($V238&lt;=INDEX('Parametri Modello'!$C$57:$C$60,MATCH($B238,'Parametri Modello'!$A$57:$A$60,0)),IF(INDEX('Parametri Modello'!$E$57:$E$60,MATCH($B238,'Parametri Modello'!$A$57:$A$60,0))=0,0,($O238/INDEX('Parametri Modello'!$E$57:$E$60,MATCH($B238,'Parametri Modello'!$A$57:$A$60,0)))*(INDEX('Parametri Modello'!$D$57:$D$60,MATCH($B238,'Parametri Modello'!$A$57:$A$60,0))*(INDEX('Parametri Modello'!$B$50:$B$53,MATCH($B238,'Parametri Modello'!$A$50:$A$53,0))*'Parametri Modello'!$B$44))),IF(INDEX('Parametri Modello'!$F$57:$F$60,MATCH($B238,'Parametri Modello'!$A$57:$A$60,0))=0,0,($O238/INDEX('Parametri Modello'!$F$57:$F$60,MATCH($B238,'Parametri Modello'!$A$57:$A$60,0)))*((1-INDEX('Parametri Modello'!$D$57:$D$60,MATCH($B238,'Parametri Modello'!$A$57:$A$60,0)))*(INDEX('Parametri Modello'!$B$50:$B$53,MATCH($B238,'Parametri Modello'!$A$50:$A$53,0))*'Parametri Modello'!$B$44))))*(1+IF(IF($B238="D",'Info Lega'!$B$25,IF($B238="C",'Info Lega'!$B$26,"No"))="Si",'Parametri Modello'!$B$5,0))*(1+MAX(-0.25,MIN(0.25,IF(OR($T238="",$I238="",$I238=0,INDEX('Parametri Modello'!$B$19:$B$22,MATCH($B238,'Parametri Modello'!$A$19:$A$22,0))="",INDEX('Parametri Modello'!$B$19:$B$22,MATCH($B238,'Parametri Modello'!$A$19:$A$22,0))=0),0,(($T238-INDEX('Parametri Modello'!$B$19:$B$22,MATCH($B238,'Parametri Modello'!$A$19:$A$22,0)))/INDEX('Parametri Modello'!$B$19:$B$22,MATCH($B238,'Parametri Modello'!$A$19:$A$22,0)))*'Parametri Modello'!$B$9))))*(1+IF('Parametri Modello'!$B$27="Si",MAX(-'Parametri Modello'!$B$28,MIN('Parametri Modello'!$B$28*1.5,IF(OR(INDEX('Parametri Modello'!$F$32:$F$35,MATCH($B238,'Parametri Modello'!$A$32:$A$35,0))="",INDEX('Parametri Modello'!$F$32:$F$35,MATCH($B238,'Parametri Modello'!$A$32:$A$35,0))=0),0,(1/INDEX('Parametri Modello'!$F$32:$F$35,MATCH($B238,'Parametri Modello'!$A$32:$A$35,0))-1)*'Parametri Modello'!$B$28))),0)))*(1-INDEX('Parametri Modello'!$B$12:$B$15,MATCH($B238,'Parametri Modello'!$A$12:$A$15,0)))),0),"")</f>
        <v>1</v>
      </c>
      <c r="H238" s="24">
        <f>IFERROR(ROUND((IF($V238&lt;=INDEX('Parametri Modello'!$C$57:$C$60,MATCH($B238,'Parametri Modello'!$A$57:$A$60,0)),IF(INDEX('Parametri Modello'!$E$57:$E$60,MATCH($B238,'Parametri Modello'!$A$57:$A$60,0))=0,0,($O238/INDEX('Parametri Modello'!$E$57:$E$60,MATCH($B238,'Parametri Modello'!$A$57:$A$60,0)))*(INDEX('Parametri Modello'!$D$57:$D$60,MATCH($B238,'Parametri Modello'!$A$57:$A$60,0))*(INDEX('Parametri Modello'!$B$50:$B$53,MATCH($B238,'Parametri Modello'!$A$50:$A$53,0))*'Parametri Modello'!$B$44))),IF(INDEX('Parametri Modello'!$F$57:$F$60,MATCH($B238,'Parametri Modello'!$A$57:$A$60,0))=0,0,($O238/INDEX('Parametri Modello'!$F$57:$F$60,MATCH($B238,'Parametri Modello'!$A$57:$A$60,0)))*((1-INDEX('Parametri Modello'!$D$57:$D$60,MATCH($B238,'Parametri Modello'!$A$57:$A$60,0)))*(INDEX('Parametri Modello'!$B$50:$B$53,MATCH($B238,'Parametri Modello'!$A$50:$A$53,0))*'Parametri Modello'!$B$44))))*(1+IF(IF($B238="D",'Info Lega'!$B$25,IF($B238="C",'Info Lega'!$B$26,"No"))="Si",'Parametri Modello'!$B$5,0))*(1+MAX(-0.25,MIN(0.25,IF(OR($T238="",$I238="",$I238=0,INDEX('Parametri Modello'!$B$19:$B$22,MATCH($B238,'Parametri Modello'!$A$19:$A$22,0))="",INDEX('Parametri Modello'!$B$19:$B$22,MATCH($B238,'Parametri Modello'!$A$19:$A$22,0))=0),0,(($T238-INDEX('Parametri Modello'!$B$19:$B$22,MATCH($B238,'Parametri Modello'!$A$19:$A$22,0)))/INDEX('Parametri Modello'!$B$19:$B$22,MATCH($B238,'Parametri Modello'!$A$19:$A$22,0)))*'Parametri Modello'!$B$9))))*(1+IF('Parametri Modello'!$B$27="Si",MAX(-'Parametri Modello'!$B$28,MIN('Parametri Modello'!$B$28*1.5,IF(OR(INDEX('Parametri Modello'!$F$32:$F$35,MATCH($B238,'Parametri Modello'!$A$32:$A$35,0))="",INDEX('Parametri Modello'!$F$32:$F$35,MATCH($B238,'Parametri Modello'!$A$32:$A$35,0))=0),0,(1/INDEX('Parametri Modello'!$F$32:$F$35,MATCH($B238,'Parametri Modello'!$A$32:$A$35,0))-1)*'Parametri Modello'!$B$28))),0)))*(1+INDEX('Parametri Modello'!$B$12:$B$15,MATCH($B238,'Parametri Modello'!$A$12:$A$15,0))),0),"")</f>
        <v>2</v>
      </c>
      <c r="I238" s="23">
        <f>IFERROR(INDEX('Input Statistiche 2025_26'!$F$3:$F$665,MATCH($A238,'Input Statistiche 2025_26'!$A$3:$A$665,0)),"")</f>
        <v>24</v>
      </c>
      <c r="J238" s="23">
        <f t="shared" si="27"/>
        <v>14</v>
      </c>
      <c r="K238" s="23">
        <f>IFERROR(INDEX('Input Statistiche 2025_26'!$I$3:$I$665,MATCH($A238,'Input Statistiche 2025_26'!$A$3:$A$665,0)),"")</f>
        <v>0</v>
      </c>
      <c r="L238" s="23">
        <f>IFERROR(INDEX('Input Statistiche 2025_26'!$O$3:$O$665,MATCH($A238,'Input Statistiche 2025_26'!$A$3:$A$665,0)),"")</f>
        <v>1</v>
      </c>
      <c r="M238" s="25"/>
      <c r="N238" s="24">
        <f>IFERROR(INDEX('Input Giocatori 2026_27'!$E$3:$E$493,MATCH($A238,'Input Giocatori 2026_27'!$A$3:$A$493,0)),"")</f>
        <v>5</v>
      </c>
      <c r="O238" s="24">
        <f>IFERROR(INDEX('Input Giocatori 2026_27'!$G$3:$G$493,MATCH($A238,'Input Giocatori 2026_27'!$A$3:$A$493,0)),"")</f>
        <v>14</v>
      </c>
      <c r="P238" s="23" t="str">
        <f>IFERROR(IF($O238="","",IF((1-(COUNTIFS($B$2:$B$492,$B238,$O$2:$O$492,"&gt;"&amp;$O238)+1-1)/COUNTIF($B$2:$B$492,$B238))&gt;='Parametri Modello'!$B$63,"Top",IF((1-(COUNTIFS($B$2:$B$492,$B238,$O$2:$O$492,"&gt;"&amp;$O238)+1-1)/COUNTIF($B$2:$B$492,$B238))&gt;='Parametri Modello'!$B$64,"Buono",IF((1-(COUNTIFS($B$2:$B$492,$B238,$O$2:$O$492,"&gt;"&amp;$O238)+1-1)/COUNTIF($B$2:$B$492,$B238))&gt;='Parametri Modello'!$B$65,"Nella Media","Scommessa/Riserva")))),"")</f>
        <v>Nella Media</v>
      </c>
      <c r="Q238" s="26">
        <f>IF(AND($D238="",$N238&gt;1),SUMPRODUCT(($D$2:$D238="")*($N$2:$N238&gt;1)),"")</f>
        <v>237</v>
      </c>
      <c r="R238" s="26" t="str">
        <f>IF($D238='Info Lega'!$B$28,COUNTIFS($D$2:$D238,'Info Lega'!$B$28),"")</f>
        <v/>
      </c>
      <c r="S238" s="27">
        <f>IFERROR(INDEX('Input Statistiche 2025_26'!$G$3:$G$665,MATCH($A238,'Input Statistiche 2025_26'!$A$3:$A$665,0)),"")</f>
        <v>5.65</v>
      </c>
      <c r="T238" s="27">
        <f>IFERROR(INDEX('Input Statistiche 2025_26'!$H$3:$H$665,MATCH($A238,'Input Statistiche 2025_26'!$A$3:$A$665,0)),"")</f>
        <v>5.62</v>
      </c>
      <c r="U238" s="23" t="str">
        <f>IF(OR('La Mia Rosa'!$O$12="",$D238&lt;&gt;""),"",IF($F238&lt;='La Mia Rosa'!$O$12*'Parametri Modello'!$B$24,"OK",IF($F238&lt;='La Mia Rosa'!$O$12*'Parametri Modello'!$B$25,"Attenzione","Rischio Alto")))</f>
        <v>OK</v>
      </c>
      <c r="V238" s="23">
        <f t="shared" si="28"/>
        <v>86</v>
      </c>
      <c r="W238" s="18">
        <f>'Info Lega'!$B$4-SUMIFS($M$2:$M$492,$D$2:$D$492,'Info Lega'!$B$28)</f>
        <v>1000</v>
      </c>
      <c r="X238" s="18">
        <f>('Info Lega'!$B$5-COUNTIFS($D$2:$D$492,'Info Lega'!$B$28,$B$2:$B$492,"P"))+('Info Lega'!$B$6-COUNTIFS($D$2:$D$492,'Info Lega'!$B$28,$B$2:$B$492,"D"))+('Info Lega'!$B$7-COUNTIFS($D$2:$D$492,'Info Lega'!$B$28,$B$2:$B$492,"C"))+('Info Lega'!$B$8-COUNTIFS($D$2:$D$492,'Info Lega'!$B$28,$B$2:$B$492,"A"))</f>
        <v>25</v>
      </c>
      <c r="Y238" s="18">
        <f>X238*'Parametri Modello'!$B$30</f>
        <v>25</v>
      </c>
      <c r="Z238" s="18">
        <f t="shared" si="29"/>
        <v>975</v>
      </c>
      <c r="AA238" s="18">
        <f t="shared" si="30"/>
        <v>2</v>
      </c>
      <c r="AB238" s="18"/>
      <c r="AC238" s="18" t="str">
        <f>IF($AB238="","",IF($AB238&gt;$AA238,"PASS",IF($AB238&lt;=$AA238*(1-'Parametri Modello'!$B$68),"BID","ATTENZIONE")))</f>
        <v/>
      </c>
      <c r="AD238" s="28">
        <f t="shared" si="31"/>
        <v>55</v>
      </c>
      <c r="AE238" s="5" t="str">
        <f>IFERROR(INDEX('Stato Asta'!$G$9:$G$12,MATCH($B238,'Stato Asta'!$A$9:$A$12,0)),"")</f>
        <v>🔴 Non aspettare</v>
      </c>
      <c r="AF238" t="str">
        <f>IFERROR(IF($V238&lt;=INDEX('Parametri Modello'!$C$57:$C$60,MATCH($B238,'Parametri Modello'!$A$57:$A$60,0)),"Titolare","Riserva"),"")</f>
        <v>Riserva</v>
      </c>
      <c r="AG238" t="str">
        <f>IFERROR(INDEX('Pressione Competitiva'!$F$3:$F$6,MATCH($B238,'Pressione Competitiva'!$B$3:$B$6,0)),"")</f>
        <v>🔴 Molto Alta</v>
      </c>
      <c r="AH238" t="str">
        <f t="shared" si="32"/>
        <v/>
      </c>
      <c r="AI238" t="str">
        <f>IFERROR(IF($AH238="","",IF($AH238&gt;=$AA238*'Parametri Modello'!$B$68,"🟢 Opportunita'",IF($AH238&lt;=$AA238*'Parametri Modello'!$B$69,"🔴 Sovrapprezzo","🟡 Prezzo Corretto"))),"")</f>
        <v/>
      </c>
      <c r="AJ238" t="str">
        <f t="shared" si="33"/>
        <v/>
      </c>
      <c r="AK238">
        <f t="shared" si="34"/>
        <v>31</v>
      </c>
      <c r="AL238" t="str">
        <f t="shared" si="35"/>
        <v>C|Nella Media|31</v>
      </c>
    </row>
    <row r="239" spans="1:38" ht="14.25" customHeight="1" x14ac:dyDescent="0.25">
      <c r="A239" s="18">
        <v>6994</v>
      </c>
      <c r="B239" s="18" t="s">
        <v>17</v>
      </c>
      <c r="C239" s="18" t="s">
        <v>378</v>
      </c>
      <c r="E239" s="23" t="str">
        <f>IF(COUNTIF('Info Strategia'!$D$2:$D$51,$C239)&gt;0,"SI","NO")</f>
        <v>NO</v>
      </c>
      <c r="F239" s="24">
        <f>IFERROR(ROUND(($G239+($H239-$G239)*'Info Strategia'!$B$6)*(1+IF($E239="SI",'Parametri Modello'!$B$7*'Info Strategia'!$B$6,0)),0),"")</f>
        <v>2</v>
      </c>
      <c r="G239" s="24">
        <f>IFERROR(ROUND(MAX(1,(IF($V239&lt;=INDEX('Parametri Modello'!$C$57:$C$60,MATCH($B239,'Parametri Modello'!$A$57:$A$60,0)),IF(INDEX('Parametri Modello'!$E$57:$E$60,MATCH($B239,'Parametri Modello'!$A$57:$A$60,0))=0,0,($O239/INDEX('Parametri Modello'!$E$57:$E$60,MATCH($B239,'Parametri Modello'!$A$57:$A$60,0)))*(INDEX('Parametri Modello'!$D$57:$D$60,MATCH($B239,'Parametri Modello'!$A$57:$A$60,0))*(INDEX('Parametri Modello'!$B$50:$B$53,MATCH($B239,'Parametri Modello'!$A$50:$A$53,0))*'Parametri Modello'!$B$44))),IF(INDEX('Parametri Modello'!$F$57:$F$60,MATCH($B239,'Parametri Modello'!$A$57:$A$60,0))=0,0,($O239/INDEX('Parametri Modello'!$F$57:$F$60,MATCH($B239,'Parametri Modello'!$A$57:$A$60,0)))*((1-INDEX('Parametri Modello'!$D$57:$D$60,MATCH($B239,'Parametri Modello'!$A$57:$A$60,0)))*(INDEX('Parametri Modello'!$B$50:$B$53,MATCH($B239,'Parametri Modello'!$A$50:$A$53,0))*'Parametri Modello'!$B$44))))*(1+IF(IF($B239="D",'Info Lega'!$B$25,IF($B239="C",'Info Lega'!$B$26,"No"))="Si",'Parametri Modello'!$B$5,0))*(1+MAX(-0.25,MIN(0.25,IF(OR($T239="",$I239="",$I239=0,INDEX('Parametri Modello'!$B$19:$B$22,MATCH($B239,'Parametri Modello'!$A$19:$A$22,0))="",INDEX('Parametri Modello'!$B$19:$B$22,MATCH($B239,'Parametri Modello'!$A$19:$A$22,0))=0),0,(($T239-INDEX('Parametri Modello'!$B$19:$B$22,MATCH($B239,'Parametri Modello'!$A$19:$A$22,0)))/INDEX('Parametri Modello'!$B$19:$B$22,MATCH($B239,'Parametri Modello'!$A$19:$A$22,0)))*'Parametri Modello'!$B$9))))*(1+IF('Parametri Modello'!$B$27="Si",MAX(-'Parametri Modello'!$B$28,MIN('Parametri Modello'!$B$28*1.5,IF(OR(INDEX('Parametri Modello'!$F$32:$F$35,MATCH($B239,'Parametri Modello'!$A$32:$A$35,0))="",INDEX('Parametri Modello'!$F$32:$F$35,MATCH($B239,'Parametri Modello'!$A$32:$A$35,0))=0),0,(1/INDEX('Parametri Modello'!$F$32:$F$35,MATCH($B239,'Parametri Modello'!$A$32:$A$35,0))-1)*'Parametri Modello'!$B$28))),0)))*(1-INDEX('Parametri Modello'!$B$12:$B$15,MATCH($B239,'Parametri Modello'!$A$12:$A$15,0)))),0),"")</f>
        <v>1</v>
      </c>
      <c r="H239" s="24">
        <f>IFERROR(ROUND((IF($V239&lt;=INDEX('Parametri Modello'!$C$57:$C$60,MATCH($B239,'Parametri Modello'!$A$57:$A$60,0)),IF(INDEX('Parametri Modello'!$E$57:$E$60,MATCH($B239,'Parametri Modello'!$A$57:$A$60,0))=0,0,($O239/INDEX('Parametri Modello'!$E$57:$E$60,MATCH($B239,'Parametri Modello'!$A$57:$A$60,0)))*(INDEX('Parametri Modello'!$D$57:$D$60,MATCH($B239,'Parametri Modello'!$A$57:$A$60,0))*(INDEX('Parametri Modello'!$B$50:$B$53,MATCH($B239,'Parametri Modello'!$A$50:$A$53,0))*'Parametri Modello'!$B$44))),IF(INDEX('Parametri Modello'!$F$57:$F$60,MATCH($B239,'Parametri Modello'!$A$57:$A$60,0))=0,0,($O239/INDEX('Parametri Modello'!$F$57:$F$60,MATCH($B239,'Parametri Modello'!$A$57:$A$60,0)))*((1-INDEX('Parametri Modello'!$D$57:$D$60,MATCH($B239,'Parametri Modello'!$A$57:$A$60,0)))*(INDEX('Parametri Modello'!$B$50:$B$53,MATCH($B239,'Parametri Modello'!$A$50:$A$53,0))*'Parametri Modello'!$B$44))))*(1+IF(IF($B239="D",'Info Lega'!$B$25,IF($B239="C",'Info Lega'!$B$26,"No"))="Si",'Parametri Modello'!$B$5,0))*(1+MAX(-0.25,MIN(0.25,IF(OR($T239="",$I239="",$I239=0,INDEX('Parametri Modello'!$B$19:$B$22,MATCH($B239,'Parametri Modello'!$A$19:$A$22,0))="",INDEX('Parametri Modello'!$B$19:$B$22,MATCH($B239,'Parametri Modello'!$A$19:$A$22,0))=0),0,(($T239-INDEX('Parametri Modello'!$B$19:$B$22,MATCH($B239,'Parametri Modello'!$A$19:$A$22,0)))/INDEX('Parametri Modello'!$B$19:$B$22,MATCH($B239,'Parametri Modello'!$A$19:$A$22,0)))*'Parametri Modello'!$B$9))))*(1+IF('Parametri Modello'!$B$27="Si",MAX(-'Parametri Modello'!$B$28,MIN('Parametri Modello'!$B$28*1.5,IF(OR(INDEX('Parametri Modello'!$F$32:$F$35,MATCH($B239,'Parametri Modello'!$A$32:$A$35,0))="",INDEX('Parametri Modello'!$F$32:$F$35,MATCH($B239,'Parametri Modello'!$A$32:$A$35,0))=0),0,(1/INDEX('Parametri Modello'!$F$32:$F$35,MATCH($B239,'Parametri Modello'!$A$32:$A$35,0))-1)*'Parametri Modello'!$B$28))),0)))*(1+INDEX('Parametri Modello'!$B$12:$B$15,MATCH($B239,'Parametri Modello'!$A$12:$A$15,0))),0),"")</f>
        <v>2</v>
      </c>
      <c r="I239" s="23" t="str">
        <f>IFERROR(INDEX('Input Statistiche 2025_26'!$F$3:$F$665,MATCH($A239,'Input Statistiche 2025_26'!$A$3:$A$665,0)),"")</f>
        <v/>
      </c>
      <c r="J239" s="23" t="str">
        <f t="shared" si="27"/>
        <v/>
      </c>
      <c r="K239" s="23" t="str">
        <f>IFERROR(INDEX('Input Statistiche 2025_26'!$I$3:$I$665,MATCH($A239,'Input Statistiche 2025_26'!$A$3:$A$665,0)),"")</f>
        <v/>
      </c>
      <c r="L239" s="23" t="str">
        <f>IFERROR(INDEX('Input Statistiche 2025_26'!$O$3:$O$665,MATCH($A239,'Input Statistiche 2025_26'!$A$3:$A$665,0)),"")</f>
        <v/>
      </c>
      <c r="M239" s="25"/>
      <c r="N239" s="24">
        <f>IFERROR(INDEX('Input Giocatori 2026_27'!$E$3:$E$493,MATCH($A239,'Input Giocatori 2026_27'!$A$3:$A$493,0)),"")</f>
        <v>5</v>
      </c>
      <c r="O239" s="24">
        <f>IFERROR(INDEX('Input Giocatori 2026_27'!$G$3:$G$493,MATCH($A239,'Input Giocatori 2026_27'!$A$3:$A$493,0)),"")</f>
        <v>14</v>
      </c>
      <c r="P239" s="23" t="str">
        <f>IFERROR(IF($O239="","",IF((1-(COUNTIFS($B$2:$B$492,$B239,$O$2:$O$492,"&gt;"&amp;$O239)+1-1)/COUNTIF($B$2:$B$492,$B239))&gt;='Parametri Modello'!$B$63,"Top",IF((1-(COUNTIFS($B$2:$B$492,$B239,$O$2:$O$492,"&gt;"&amp;$O239)+1-1)/COUNTIF($B$2:$B$492,$B239))&gt;='Parametri Modello'!$B$64,"Buono",IF((1-(COUNTIFS($B$2:$B$492,$B239,$O$2:$O$492,"&gt;"&amp;$O239)+1-1)/COUNTIF($B$2:$B$492,$B239))&gt;='Parametri Modello'!$B$65,"Nella Media","Scommessa/Riserva")))),"")</f>
        <v>Nella Media</v>
      </c>
      <c r="Q239" s="26">
        <f>IF(AND($D239="",$N239&gt;1),SUMPRODUCT(($D$2:$D239="")*($N$2:$N239&gt;1)),"")</f>
        <v>238</v>
      </c>
      <c r="R239" s="26" t="str">
        <f>IF($D239='Info Lega'!$B$28,COUNTIFS($D$2:$D239,'Info Lega'!$B$28),"")</f>
        <v/>
      </c>
      <c r="S239" s="27" t="str">
        <f>IFERROR(INDEX('Input Statistiche 2025_26'!$G$3:$G$665,MATCH($A239,'Input Statistiche 2025_26'!$A$3:$A$665,0)),"")</f>
        <v/>
      </c>
      <c r="T239" s="27" t="str">
        <f>IFERROR(INDEX('Input Statistiche 2025_26'!$H$3:$H$665,MATCH($A239,'Input Statistiche 2025_26'!$A$3:$A$665,0)),"")</f>
        <v/>
      </c>
      <c r="U239" s="23" t="str">
        <f>IF(OR('La Mia Rosa'!$O$12="",$D239&lt;&gt;""),"",IF($F239&lt;='La Mia Rosa'!$O$12*'Parametri Modello'!$B$24,"OK",IF($F239&lt;='La Mia Rosa'!$O$12*'Parametri Modello'!$B$25,"Attenzione","Rischio Alto")))</f>
        <v>OK</v>
      </c>
      <c r="V239" s="23">
        <f t="shared" si="28"/>
        <v>86</v>
      </c>
      <c r="W239" s="18">
        <f>'Info Lega'!$B$4-SUMIFS($M$2:$M$492,$D$2:$D$492,'Info Lega'!$B$28)</f>
        <v>1000</v>
      </c>
      <c r="X239" s="18">
        <f>('Info Lega'!$B$5-COUNTIFS($D$2:$D$492,'Info Lega'!$B$28,$B$2:$B$492,"P"))+('Info Lega'!$B$6-COUNTIFS($D$2:$D$492,'Info Lega'!$B$28,$B$2:$B$492,"D"))+('Info Lega'!$B$7-COUNTIFS($D$2:$D$492,'Info Lega'!$B$28,$B$2:$B$492,"C"))+('Info Lega'!$B$8-COUNTIFS($D$2:$D$492,'Info Lega'!$B$28,$B$2:$B$492,"A"))</f>
        <v>25</v>
      </c>
      <c r="Y239" s="18">
        <f>X239*'Parametri Modello'!$B$30</f>
        <v>25</v>
      </c>
      <c r="Z239" s="18">
        <f t="shared" si="29"/>
        <v>975</v>
      </c>
      <c r="AA239" s="18">
        <f t="shared" si="30"/>
        <v>2</v>
      </c>
      <c r="AB239" s="18"/>
      <c r="AC239" s="18" t="str">
        <f>IF($AB239="","",IF($AB239&gt;$AA239,"PASS",IF($AB239&lt;=$AA239*(1-'Parametri Modello'!$B$68),"BID","ATTENZIONE")))</f>
        <v/>
      </c>
      <c r="AD239" s="28" t="str">
        <f t="shared" si="31"/>
        <v/>
      </c>
      <c r="AE239" s="5" t="str">
        <f>IFERROR(INDEX('Stato Asta'!$G$9:$G$12,MATCH($B239,'Stato Asta'!$A$9:$A$12,0)),"")</f>
        <v>🔴 Non aspettare</v>
      </c>
      <c r="AF239" t="str">
        <f>IFERROR(IF($V239&lt;=INDEX('Parametri Modello'!$C$57:$C$60,MATCH($B239,'Parametri Modello'!$A$57:$A$60,0)),"Titolare","Riserva"),"")</f>
        <v>Riserva</v>
      </c>
      <c r="AG239" t="str">
        <f>IFERROR(INDEX('Pressione Competitiva'!$F$3:$F$6,MATCH($B239,'Pressione Competitiva'!$B$3:$B$6,0)),"")</f>
        <v>🔴 Molto Alta</v>
      </c>
      <c r="AH239" t="str">
        <f t="shared" si="32"/>
        <v/>
      </c>
      <c r="AI239" t="str">
        <f>IFERROR(IF($AH239="","",IF($AH239&gt;=$AA239*'Parametri Modello'!$B$68,"🟢 Opportunita'",IF($AH239&lt;=$AA239*'Parametri Modello'!$B$69,"🔴 Sovrapprezzo","🟡 Prezzo Corretto"))),"")</f>
        <v/>
      </c>
      <c r="AJ239" t="str">
        <f t="shared" si="33"/>
        <v/>
      </c>
      <c r="AK239">
        <f t="shared" si="34"/>
        <v>31</v>
      </c>
      <c r="AL239" t="str">
        <f t="shared" si="35"/>
        <v>C|Nella Media|31</v>
      </c>
    </row>
    <row r="240" spans="1:38" ht="14.25" customHeight="1" x14ac:dyDescent="0.25">
      <c r="A240" s="18">
        <v>6207</v>
      </c>
      <c r="B240" s="18" t="s">
        <v>17</v>
      </c>
      <c r="C240" s="18" t="s">
        <v>379</v>
      </c>
      <c r="E240" s="23" t="str">
        <f>IF(COUNTIF('Info Strategia'!$D$2:$D$51,$C240)&gt;0,"SI","NO")</f>
        <v>NO</v>
      </c>
      <c r="F240" s="24">
        <f>IFERROR(ROUND(($G240+($H240-$G240)*'Info Strategia'!$B$6)*(1+IF($E240="SI",'Parametri Modello'!$B$7*'Info Strategia'!$B$6,0)),0),"")</f>
        <v>2</v>
      </c>
      <c r="G240" s="24">
        <f>IFERROR(ROUND(MAX(1,(IF($V240&lt;=INDEX('Parametri Modello'!$C$57:$C$60,MATCH($B240,'Parametri Modello'!$A$57:$A$60,0)),IF(INDEX('Parametri Modello'!$E$57:$E$60,MATCH($B240,'Parametri Modello'!$A$57:$A$60,0))=0,0,($O240/INDEX('Parametri Modello'!$E$57:$E$60,MATCH($B240,'Parametri Modello'!$A$57:$A$60,0)))*(INDEX('Parametri Modello'!$D$57:$D$60,MATCH($B240,'Parametri Modello'!$A$57:$A$60,0))*(INDEX('Parametri Modello'!$B$50:$B$53,MATCH($B240,'Parametri Modello'!$A$50:$A$53,0))*'Parametri Modello'!$B$44))),IF(INDEX('Parametri Modello'!$F$57:$F$60,MATCH($B240,'Parametri Modello'!$A$57:$A$60,0))=0,0,($O240/INDEX('Parametri Modello'!$F$57:$F$60,MATCH($B240,'Parametri Modello'!$A$57:$A$60,0)))*((1-INDEX('Parametri Modello'!$D$57:$D$60,MATCH($B240,'Parametri Modello'!$A$57:$A$60,0)))*(INDEX('Parametri Modello'!$B$50:$B$53,MATCH($B240,'Parametri Modello'!$A$50:$A$53,0))*'Parametri Modello'!$B$44))))*(1+IF(IF($B240="D",'Info Lega'!$B$25,IF($B240="C",'Info Lega'!$B$26,"No"))="Si",'Parametri Modello'!$B$5,0))*(1+MAX(-0.25,MIN(0.25,IF(OR($T240="",$I240="",$I240=0,INDEX('Parametri Modello'!$B$19:$B$22,MATCH($B240,'Parametri Modello'!$A$19:$A$22,0))="",INDEX('Parametri Modello'!$B$19:$B$22,MATCH($B240,'Parametri Modello'!$A$19:$A$22,0))=0),0,(($T240-INDEX('Parametri Modello'!$B$19:$B$22,MATCH($B240,'Parametri Modello'!$A$19:$A$22,0)))/INDEX('Parametri Modello'!$B$19:$B$22,MATCH($B240,'Parametri Modello'!$A$19:$A$22,0)))*'Parametri Modello'!$B$9))))*(1+IF('Parametri Modello'!$B$27="Si",MAX(-'Parametri Modello'!$B$28,MIN('Parametri Modello'!$B$28*1.5,IF(OR(INDEX('Parametri Modello'!$F$32:$F$35,MATCH($B240,'Parametri Modello'!$A$32:$A$35,0))="",INDEX('Parametri Modello'!$F$32:$F$35,MATCH($B240,'Parametri Modello'!$A$32:$A$35,0))=0),0,(1/INDEX('Parametri Modello'!$F$32:$F$35,MATCH($B240,'Parametri Modello'!$A$32:$A$35,0))-1)*'Parametri Modello'!$B$28))),0)))*(1-INDEX('Parametri Modello'!$B$12:$B$15,MATCH($B240,'Parametri Modello'!$A$12:$A$15,0)))),0),"")</f>
        <v>1</v>
      </c>
      <c r="H240" s="24">
        <f>IFERROR(ROUND((IF($V240&lt;=INDEX('Parametri Modello'!$C$57:$C$60,MATCH($B240,'Parametri Modello'!$A$57:$A$60,0)),IF(INDEX('Parametri Modello'!$E$57:$E$60,MATCH($B240,'Parametri Modello'!$A$57:$A$60,0))=0,0,($O240/INDEX('Parametri Modello'!$E$57:$E$60,MATCH($B240,'Parametri Modello'!$A$57:$A$60,0)))*(INDEX('Parametri Modello'!$D$57:$D$60,MATCH($B240,'Parametri Modello'!$A$57:$A$60,0))*(INDEX('Parametri Modello'!$B$50:$B$53,MATCH($B240,'Parametri Modello'!$A$50:$A$53,0))*'Parametri Modello'!$B$44))),IF(INDEX('Parametri Modello'!$F$57:$F$60,MATCH($B240,'Parametri Modello'!$A$57:$A$60,0))=0,0,($O240/INDEX('Parametri Modello'!$F$57:$F$60,MATCH($B240,'Parametri Modello'!$A$57:$A$60,0)))*((1-INDEX('Parametri Modello'!$D$57:$D$60,MATCH($B240,'Parametri Modello'!$A$57:$A$60,0)))*(INDEX('Parametri Modello'!$B$50:$B$53,MATCH($B240,'Parametri Modello'!$A$50:$A$53,0))*'Parametri Modello'!$B$44))))*(1+IF(IF($B240="D",'Info Lega'!$B$25,IF($B240="C",'Info Lega'!$B$26,"No"))="Si",'Parametri Modello'!$B$5,0))*(1+MAX(-0.25,MIN(0.25,IF(OR($T240="",$I240="",$I240=0,INDEX('Parametri Modello'!$B$19:$B$22,MATCH($B240,'Parametri Modello'!$A$19:$A$22,0))="",INDEX('Parametri Modello'!$B$19:$B$22,MATCH($B240,'Parametri Modello'!$A$19:$A$22,0))=0),0,(($T240-INDEX('Parametri Modello'!$B$19:$B$22,MATCH($B240,'Parametri Modello'!$A$19:$A$22,0)))/INDEX('Parametri Modello'!$B$19:$B$22,MATCH($B240,'Parametri Modello'!$A$19:$A$22,0)))*'Parametri Modello'!$B$9))))*(1+IF('Parametri Modello'!$B$27="Si",MAX(-'Parametri Modello'!$B$28,MIN('Parametri Modello'!$B$28*1.5,IF(OR(INDEX('Parametri Modello'!$F$32:$F$35,MATCH($B240,'Parametri Modello'!$A$32:$A$35,0))="",INDEX('Parametri Modello'!$F$32:$F$35,MATCH($B240,'Parametri Modello'!$A$32:$A$35,0))=0),0,(1/INDEX('Parametri Modello'!$F$32:$F$35,MATCH($B240,'Parametri Modello'!$A$32:$A$35,0))-1)*'Parametri Modello'!$B$28))),0)))*(1+INDEX('Parametri Modello'!$B$12:$B$15,MATCH($B240,'Parametri Modello'!$A$12:$A$15,0))),0),"")</f>
        <v>2</v>
      </c>
      <c r="I240" s="23">
        <f>IFERROR(INDEX('Input Statistiche 2025_26'!$F$3:$F$665,MATCH($A240,'Input Statistiche 2025_26'!$A$3:$A$665,0)),"")</f>
        <v>9</v>
      </c>
      <c r="J240" s="23">
        <f t="shared" si="27"/>
        <v>29</v>
      </c>
      <c r="K240" s="23">
        <f>IFERROR(INDEX('Input Statistiche 2025_26'!$I$3:$I$665,MATCH($A240,'Input Statistiche 2025_26'!$A$3:$A$665,0)),"")</f>
        <v>0</v>
      </c>
      <c r="L240" s="23">
        <f>IFERROR(INDEX('Input Statistiche 2025_26'!$O$3:$O$665,MATCH($A240,'Input Statistiche 2025_26'!$A$3:$A$665,0)),"")</f>
        <v>1</v>
      </c>
      <c r="M240" s="25"/>
      <c r="N240" s="24">
        <f>IFERROR(INDEX('Input Giocatori 2026_27'!$E$3:$E$493,MATCH($A240,'Input Giocatori 2026_27'!$A$3:$A$493,0)),"")</f>
        <v>4</v>
      </c>
      <c r="O240" s="24">
        <f>IFERROR(INDEX('Input Giocatori 2026_27'!$G$3:$G$493,MATCH($A240,'Input Giocatori 2026_27'!$A$3:$A$493,0)),"")</f>
        <v>14</v>
      </c>
      <c r="P240" s="23" t="str">
        <f>IFERROR(IF($O240="","",IF((1-(COUNTIFS($B$2:$B$492,$B240,$O$2:$O$492,"&gt;"&amp;$O240)+1-1)/COUNTIF($B$2:$B$492,$B240))&gt;='Parametri Modello'!$B$63,"Top",IF((1-(COUNTIFS($B$2:$B$492,$B240,$O$2:$O$492,"&gt;"&amp;$O240)+1-1)/COUNTIF($B$2:$B$492,$B240))&gt;='Parametri Modello'!$B$64,"Buono",IF((1-(COUNTIFS($B$2:$B$492,$B240,$O$2:$O$492,"&gt;"&amp;$O240)+1-1)/COUNTIF($B$2:$B$492,$B240))&gt;='Parametri Modello'!$B$65,"Nella Media","Scommessa/Riserva")))),"")</f>
        <v>Nella Media</v>
      </c>
      <c r="Q240" s="26">
        <f>IF(AND($D240="",$N240&gt;1),SUMPRODUCT(($D$2:$D240="")*($N$2:$N240&gt;1)),"")</f>
        <v>239</v>
      </c>
      <c r="R240" s="26" t="str">
        <f>IF($D240='Info Lega'!$B$28,COUNTIFS($D$2:$D240,'Info Lega'!$B$28),"")</f>
        <v/>
      </c>
      <c r="S240" s="27">
        <f>IFERROR(INDEX('Input Statistiche 2025_26'!$G$3:$G$665,MATCH($A240,'Input Statistiche 2025_26'!$A$3:$A$665,0)),"")</f>
        <v>5.94</v>
      </c>
      <c r="T240" s="27">
        <f>IFERROR(INDEX('Input Statistiche 2025_26'!$H$3:$H$665,MATCH($A240,'Input Statistiche 2025_26'!$A$3:$A$665,0)),"")</f>
        <v>6.06</v>
      </c>
      <c r="U240" s="23" t="str">
        <f>IF(OR('La Mia Rosa'!$O$12="",$D240&lt;&gt;""),"",IF($F240&lt;='La Mia Rosa'!$O$12*'Parametri Modello'!$B$24,"OK",IF($F240&lt;='La Mia Rosa'!$O$12*'Parametri Modello'!$B$25,"Attenzione","Rischio Alto")))</f>
        <v>OK</v>
      </c>
      <c r="V240" s="23">
        <f t="shared" si="28"/>
        <v>86</v>
      </c>
      <c r="W240" s="18">
        <f>'Info Lega'!$B$4-SUMIFS($M$2:$M$492,$D$2:$D$492,'Info Lega'!$B$28)</f>
        <v>1000</v>
      </c>
      <c r="X240" s="18">
        <f>('Info Lega'!$B$5-COUNTIFS($D$2:$D$492,'Info Lega'!$B$28,$B$2:$B$492,"P"))+('Info Lega'!$B$6-COUNTIFS($D$2:$D$492,'Info Lega'!$B$28,$B$2:$B$492,"D"))+('Info Lega'!$B$7-COUNTIFS($D$2:$D$492,'Info Lega'!$B$28,$B$2:$B$492,"C"))+('Info Lega'!$B$8-COUNTIFS($D$2:$D$492,'Info Lega'!$B$28,$B$2:$B$492,"A"))</f>
        <v>25</v>
      </c>
      <c r="Y240" s="18">
        <f>X240*'Parametri Modello'!$B$30</f>
        <v>25</v>
      </c>
      <c r="Z240" s="18">
        <f t="shared" si="29"/>
        <v>975</v>
      </c>
      <c r="AA240" s="18">
        <f t="shared" si="30"/>
        <v>2</v>
      </c>
      <c r="AB240" s="18"/>
      <c r="AC240" s="18" t="str">
        <f>IF($AB240="","",IF($AB240&gt;$AA240,"PASS",IF($AB240&lt;=$AA240*(1-'Parametri Modello'!$B$68),"BID","ATTENZIONE")))</f>
        <v/>
      </c>
      <c r="AD240" s="28">
        <f t="shared" si="31"/>
        <v>26</v>
      </c>
      <c r="AE240" s="5" t="str">
        <f>IFERROR(INDEX('Stato Asta'!$G$9:$G$12,MATCH($B240,'Stato Asta'!$A$9:$A$12,0)),"")</f>
        <v>🔴 Non aspettare</v>
      </c>
      <c r="AF240" t="str">
        <f>IFERROR(IF($V240&lt;=INDEX('Parametri Modello'!$C$57:$C$60,MATCH($B240,'Parametri Modello'!$A$57:$A$60,0)),"Titolare","Riserva"),"")</f>
        <v>Riserva</v>
      </c>
      <c r="AG240" t="str">
        <f>IFERROR(INDEX('Pressione Competitiva'!$F$3:$F$6,MATCH($B240,'Pressione Competitiva'!$B$3:$B$6,0)),"")</f>
        <v>🔴 Molto Alta</v>
      </c>
      <c r="AH240" t="str">
        <f t="shared" si="32"/>
        <v/>
      </c>
      <c r="AI240" t="str">
        <f>IFERROR(IF($AH240="","",IF($AH240&gt;=$AA240*'Parametri Modello'!$B$68,"🟢 Opportunita'",IF($AH240&lt;=$AA240*'Parametri Modello'!$B$69,"🔴 Sovrapprezzo","🟡 Prezzo Corretto"))),"")</f>
        <v/>
      </c>
      <c r="AJ240" t="str">
        <f t="shared" si="33"/>
        <v/>
      </c>
      <c r="AK240">
        <f t="shared" si="34"/>
        <v>31</v>
      </c>
      <c r="AL240" t="str">
        <f t="shared" si="35"/>
        <v>C|Nella Media|31</v>
      </c>
    </row>
    <row r="241" spans="1:38" ht="14.25" customHeight="1" x14ac:dyDescent="0.25">
      <c r="A241" s="18">
        <v>7008</v>
      </c>
      <c r="B241" s="18" t="s">
        <v>18</v>
      </c>
      <c r="C241" s="18" t="s">
        <v>380</v>
      </c>
      <c r="E241" s="23" t="str">
        <f>IF(COUNTIF('Info Strategia'!$D$2:$D$51,$C241)&gt;0,"SI","NO")</f>
        <v>NO</v>
      </c>
      <c r="F241" s="24">
        <f>IFERROR(ROUND(($G241+($H241-$G241)*'Info Strategia'!$B$6)*(1+IF($E241="SI",'Parametri Modello'!$B$7*'Info Strategia'!$B$6,0)),0),"")</f>
        <v>4</v>
      </c>
      <c r="G241" s="24">
        <f>IFERROR(ROUND(MAX(1,(IF($V241&lt;=INDEX('Parametri Modello'!$C$57:$C$60,MATCH($B241,'Parametri Modello'!$A$57:$A$60,0)),IF(INDEX('Parametri Modello'!$E$57:$E$60,MATCH($B241,'Parametri Modello'!$A$57:$A$60,0))=0,0,($O241/INDEX('Parametri Modello'!$E$57:$E$60,MATCH($B241,'Parametri Modello'!$A$57:$A$60,0)))*(INDEX('Parametri Modello'!$D$57:$D$60,MATCH($B241,'Parametri Modello'!$A$57:$A$60,0))*(INDEX('Parametri Modello'!$B$50:$B$53,MATCH($B241,'Parametri Modello'!$A$50:$A$53,0))*'Parametri Modello'!$B$44))),IF(INDEX('Parametri Modello'!$F$57:$F$60,MATCH($B241,'Parametri Modello'!$A$57:$A$60,0))=0,0,($O241/INDEX('Parametri Modello'!$F$57:$F$60,MATCH($B241,'Parametri Modello'!$A$57:$A$60,0)))*((1-INDEX('Parametri Modello'!$D$57:$D$60,MATCH($B241,'Parametri Modello'!$A$57:$A$60,0)))*(INDEX('Parametri Modello'!$B$50:$B$53,MATCH($B241,'Parametri Modello'!$A$50:$A$53,0))*'Parametri Modello'!$B$44))))*(1+IF(IF($B241="D",'Info Lega'!$B$25,IF($B241="C",'Info Lega'!$B$26,"No"))="Si",'Parametri Modello'!$B$5,0))*(1+MAX(-0.25,MIN(0.25,IF(OR($T241="",$I241="",$I241=0,INDEX('Parametri Modello'!$B$19:$B$22,MATCH($B241,'Parametri Modello'!$A$19:$A$22,0))="",INDEX('Parametri Modello'!$B$19:$B$22,MATCH($B241,'Parametri Modello'!$A$19:$A$22,0))=0),0,(($T241-INDEX('Parametri Modello'!$B$19:$B$22,MATCH($B241,'Parametri Modello'!$A$19:$A$22,0)))/INDEX('Parametri Modello'!$B$19:$B$22,MATCH($B241,'Parametri Modello'!$A$19:$A$22,0)))*'Parametri Modello'!$B$9))))*(1+IF('Parametri Modello'!$B$27="Si",MAX(-'Parametri Modello'!$B$28,MIN('Parametri Modello'!$B$28*1.5,IF(OR(INDEX('Parametri Modello'!$F$32:$F$35,MATCH($B241,'Parametri Modello'!$A$32:$A$35,0))="",INDEX('Parametri Modello'!$F$32:$F$35,MATCH($B241,'Parametri Modello'!$A$32:$A$35,0))=0),0,(1/INDEX('Parametri Modello'!$F$32:$F$35,MATCH($B241,'Parametri Modello'!$A$32:$A$35,0))-1)*'Parametri Modello'!$B$28))),0)))*(1-INDEX('Parametri Modello'!$B$12:$B$15,MATCH($B241,'Parametri Modello'!$A$12:$A$15,0)))),0),"")</f>
        <v>3</v>
      </c>
      <c r="H241" s="24">
        <f>IFERROR(ROUND((IF($V241&lt;=INDEX('Parametri Modello'!$C$57:$C$60,MATCH($B241,'Parametri Modello'!$A$57:$A$60,0)),IF(INDEX('Parametri Modello'!$E$57:$E$60,MATCH($B241,'Parametri Modello'!$A$57:$A$60,0))=0,0,($O241/INDEX('Parametri Modello'!$E$57:$E$60,MATCH($B241,'Parametri Modello'!$A$57:$A$60,0)))*(INDEX('Parametri Modello'!$D$57:$D$60,MATCH($B241,'Parametri Modello'!$A$57:$A$60,0))*(INDEX('Parametri Modello'!$B$50:$B$53,MATCH($B241,'Parametri Modello'!$A$50:$A$53,0))*'Parametri Modello'!$B$44))),IF(INDEX('Parametri Modello'!$F$57:$F$60,MATCH($B241,'Parametri Modello'!$A$57:$A$60,0))=0,0,($O241/INDEX('Parametri Modello'!$F$57:$F$60,MATCH($B241,'Parametri Modello'!$A$57:$A$60,0)))*((1-INDEX('Parametri Modello'!$D$57:$D$60,MATCH($B241,'Parametri Modello'!$A$57:$A$60,0)))*(INDEX('Parametri Modello'!$B$50:$B$53,MATCH($B241,'Parametri Modello'!$A$50:$A$53,0))*'Parametri Modello'!$B$44))))*(1+IF(IF($B241="D",'Info Lega'!$B$25,IF($B241="C",'Info Lega'!$B$26,"No"))="Si",'Parametri Modello'!$B$5,0))*(1+MAX(-0.25,MIN(0.25,IF(OR($T241="",$I241="",$I241=0,INDEX('Parametri Modello'!$B$19:$B$22,MATCH($B241,'Parametri Modello'!$A$19:$A$22,0))="",INDEX('Parametri Modello'!$B$19:$B$22,MATCH($B241,'Parametri Modello'!$A$19:$A$22,0))=0),0,(($T241-INDEX('Parametri Modello'!$B$19:$B$22,MATCH($B241,'Parametri Modello'!$A$19:$A$22,0)))/INDEX('Parametri Modello'!$B$19:$B$22,MATCH($B241,'Parametri Modello'!$A$19:$A$22,0)))*'Parametri Modello'!$B$9))))*(1+IF('Parametri Modello'!$B$27="Si",MAX(-'Parametri Modello'!$B$28,MIN('Parametri Modello'!$B$28*1.5,IF(OR(INDEX('Parametri Modello'!$F$32:$F$35,MATCH($B241,'Parametri Modello'!$A$32:$A$35,0))="",INDEX('Parametri Modello'!$F$32:$F$35,MATCH($B241,'Parametri Modello'!$A$32:$A$35,0))=0),0,(1/INDEX('Parametri Modello'!$F$32:$F$35,MATCH($B241,'Parametri Modello'!$A$32:$A$35,0))-1)*'Parametri Modello'!$B$28))),0)))*(1+INDEX('Parametri Modello'!$B$12:$B$15,MATCH($B241,'Parametri Modello'!$A$12:$A$15,0))),0),"")</f>
        <v>5</v>
      </c>
      <c r="I241" s="23">
        <f>IFERROR(INDEX('Input Statistiche 2025_26'!$F$3:$F$665,MATCH($A241,'Input Statistiche 2025_26'!$A$3:$A$665,0)),"")</f>
        <v>15</v>
      </c>
      <c r="J241" s="23">
        <f t="shared" si="27"/>
        <v>23</v>
      </c>
      <c r="K241" s="23">
        <f>IFERROR(INDEX('Input Statistiche 2025_26'!$I$3:$I$665,MATCH($A241,'Input Statistiche 2025_26'!$A$3:$A$665,0)),"")</f>
        <v>0</v>
      </c>
      <c r="L241" s="23">
        <f>IFERROR(INDEX('Input Statistiche 2025_26'!$O$3:$O$665,MATCH($A241,'Input Statistiche 2025_26'!$A$3:$A$665,0)),"")</f>
        <v>1</v>
      </c>
      <c r="M241" s="25"/>
      <c r="N241" s="24">
        <f>IFERROR(INDEX('Input Giocatori 2026_27'!$E$3:$E$493,MATCH($A241,'Input Giocatori 2026_27'!$A$3:$A$493,0)),"")</f>
        <v>6</v>
      </c>
      <c r="O241" s="24">
        <f>IFERROR(INDEX('Input Giocatori 2026_27'!$G$3:$G$493,MATCH($A241,'Input Giocatori 2026_27'!$A$3:$A$493,0)),"")</f>
        <v>14</v>
      </c>
      <c r="P241" s="23" t="str">
        <f>IFERROR(IF($O241="","",IF((1-(COUNTIFS($B$2:$B$492,$B241,$O$2:$O$492,"&gt;"&amp;$O241)+1-1)/COUNTIF($B$2:$B$492,$B241))&gt;='Parametri Modello'!$B$63,"Top",IF((1-(COUNTIFS($B$2:$B$492,$B241,$O$2:$O$492,"&gt;"&amp;$O241)+1-1)/COUNTIF($B$2:$B$492,$B241))&gt;='Parametri Modello'!$B$64,"Buono",IF((1-(COUNTIFS($B$2:$B$492,$B241,$O$2:$O$492,"&gt;"&amp;$O241)+1-1)/COUNTIF($B$2:$B$492,$B241))&gt;='Parametri Modello'!$B$65,"Nella Media","Scommessa/Riserva")))),"")</f>
        <v>Scommessa/Riserva</v>
      </c>
      <c r="Q241" s="26">
        <f>IF(AND($D241="",$N241&gt;1),SUMPRODUCT(($D$2:$D241="")*($N$2:$N241&gt;1)),"")</f>
        <v>240</v>
      </c>
      <c r="R241" s="26" t="str">
        <f>IF($D241='Info Lega'!$B$28,COUNTIFS($D$2:$D241,'Info Lega'!$B$28),"")</f>
        <v/>
      </c>
      <c r="S241" s="27">
        <f>IFERROR(INDEX('Input Statistiche 2025_26'!$G$3:$G$665,MATCH($A241,'Input Statistiche 2025_26'!$A$3:$A$665,0)),"")</f>
        <v>5.5</v>
      </c>
      <c r="T241" s="27">
        <f>IFERROR(INDEX('Input Statistiche 2025_26'!$H$3:$H$665,MATCH($A241,'Input Statistiche 2025_26'!$A$3:$A$665,0)),"")</f>
        <v>5.53</v>
      </c>
      <c r="U241" s="23" t="str">
        <f>IF(OR('La Mia Rosa'!$O$12="",$D241&lt;&gt;""),"",IF($F241&lt;='La Mia Rosa'!$O$12*'Parametri Modello'!$B$24,"OK",IF($F241&lt;='La Mia Rosa'!$O$12*'Parametri Modello'!$B$25,"Attenzione","Rischio Alto")))</f>
        <v>OK</v>
      </c>
      <c r="V241" s="23">
        <f t="shared" si="28"/>
        <v>58</v>
      </c>
      <c r="W241" s="18">
        <f>'Info Lega'!$B$4-SUMIFS($M$2:$M$492,$D$2:$D$492,'Info Lega'!$B$28)</f>
        <v>1000</v>
      </c>
      <c r="X241" s="18">
        <f>('Info Lega'!$B$5-COUNTIFS($D$2:$D$492,'Info Lega'!$B$28,$B$2:$B$492,"P"))+('Info Lega'!$B$6-COUNTIFS($D$2:$D$492,'Info Lega'!$B$28,$B$2:$B$492,"D"))+('Info Lega'!$B$7-COUNTIFS($D$2:$D$492,'Info Lega'!$B$28,$B$2:$B$492,"C"))+('Info Lega'!$B$8-COUNTIFS($D$2:$D$492,'Info Lega'!$B$28,$B$2:$B$492,"A"))</f>
        <v>25</v>
      </c>
      <c r="Y241" s="18">
        <f>X241*'Parametri Modello'!$B$30</f>
        <v>25</v>
      </c>
      <c r="Z241" s="18">
        <f t="shared" si="29"/>
        <v>975</v>
      </c>
      <c r="AA241" s="18">
        <f t="shared" si="30"/>
        <v>4</v>
      </c>
      <c r="AB241" s="18"/>
      <c r="AC241" s="18" t="str">
        <f>IF($AB241="","",IF($AB241&gt;$AA241,"PASS",IF($AB241&lt;=$AA241*(1-'Parametri Modello'!$B$68),"BID","ATTENZIONE")))</f>
        <v/>
      </c>
      <c r="AD241" s="28">
        <f t="shared" si="31"/>
        <v>39</v>
      </c>
      <c r="AE241" s="5" t="str">
        <f>IFERROR(INDEX('Stato Asta'!$G$9:$G$12,MATCH($B241,'Stato Asta'!$A$9:$A$12,0)),"")</f>
        <v>🔴 Non aspettare</v>
      </c>
      <c r="AF241" t="str">
        <f>IFERROR(IF($V241&lt;=INDEX('Parametri Modello'!$C$57:$C$60,MATCH($B241,'Parametri Modello'!$A$57:$A$60,0)),"Titolare","Riserva"),"")</f>
        <v>Riserva</v>
      </c>
      <c r="AG241" t="str">
        <f>IFERROR(INDEX('Pressione Competitiva'!$F$3:$F$6,MATCH($B241,'Pressione Competitiva'!$B$3:$B$6,0)),"")</f>
        <v>🔴 Molto Alta</v>
      </c>
      <c r="AH241" t="str">
        <f t="shared" si="32"/>
        <v/>
      </c>
      <c r="AI241" t="str">
        <f>IFERROR(IF($AH241="","",IF($AH241&gt;=$AA241*'Parametri Modello'!$B$68,"🟢 Opportunita'",IF($AH241&lt;=$AA241*'Parametri Modello'!$B$69,"🔴 Sovrapprezzo","🟡 Prezzo Corretto"))),"")</f>
        <v/>
      </c>
      <c r="AJ241" t="str">
        <f t="shared" si="33"/>
        <v/>
      </c>
      <c r="AK241">
        <f t="shared" si="34"/>
        <v>4</v>
      </c>
      <c r="AL241" t="str">
        <f t="shared" si="35"/>
        <v>A|Scommessa/Riserva|4</v>
      </c>
    </row>
    <row r="242" spans="1:38" ht="14.25" customHeight="1" x14ac:dyDescent="0.25">
      <c r="A242" s="18">
        <v>4896</v>
      </c>
      <c r="B242" s="18" t="s">
        <v>18</v>
      </c>
      <c r="C242" s="18" t="s">
        <v>381</v>
      </c>
      <c r="E242" s="23" t="str">
        <f>IF(COUNTIF('Info Strategia'!$D$2:$D$51,$C242)&gt;0,"SI","NO")</f>
        <v>NO</v>
      </c>
      <c r="F242" s="24">
        <f>IFERROR(ROUND(($G242+($H242-$G242)*'Info Strategia'!$B$6)*(1+IF($E242="SI",'Parametri Modello'!$B$7*'Info Strategia'!$B$6,0)),0),"")</f>
        <v>4</v>
      </c>
      <c r="G242" s="24">
        <f>IFERROR(ROUND(MAX(1,(IF($V242&lt;=INDEX('Parametri Modello'!$C$57:$C$60,MATCH($B242,'Parametri Modello'!$A$57:$A$60,0)),IF(INDEX('Parametri Modello'!$E$57:$E$60,MATCH($B242,'Parametri Modello'!$A$57:$A$60,0))=0,0,($O242/INDEX('Parametri Modello'!$E$57:$E$60,MATCH($B242,'Parametri Modello'!$A$57:$A$60,0)))*(INDEX('Parametri Modello'!$D$57:$D$60,MATCH($B242,'Parametri Modello'!$A$57:$A$60,0))*(INDEX('Parametri Modello'!$B$50:$B$53,MATCH($B242,'Parametri Modello'!$A$50:$A$53,0))*'Parametri Modello'!$B$44))),IF(INDEX('Parametri Modello'!$F$57:$F$60,MATCH($B242,'Parametri Modello'!$A$57:$A$60,0))=0,0,($O242/INDEX('Parametri Modello'!$F$57:$F$60,MATCH($B242,'Parametri Modello'!$A$57:$A$60,0)))*((1-INDEX('Parametri Modello'!$D$57:$D$60,MATCH($B242,'Parametri Modello'!$A$57:$A$60,0)))*(INDEX('Parametri Modello'!$B$50:$B$53,MATCH($B242,'Parametri Modello'!$A$50:$A$53,0))*'Parametri Modello'!$B$44))))*(1+IF(IF($B242="D",'Info Lega'!$B$25,IF($B242="C",'Info Lega'!$B$26,"No"))="Si",'Parametri Modello'!$B$5,0))*(1+MAX(-0.25,MIN(0.25,IF(OR($T242="",$I242="",$I242=0,INDEX('Parametri Modello'!$B$19:$B$22,MATCH($B242,'Parametri Modello'!$A$19:$A$22,0))="",INDEX('Parametri Modello'!$B$19:$B$22,MATCH($B242,'Parametri Modello'!$A$19:$A$22,0))=0),0,(($T242-INDEX('Parametri Modello'!$B$19:$B$22,MATCH($B242,'Parametri Modello'!$A$19:$A$22,0)))/INDEX('Parametri Modello'!$B$19:$B$22,MATCH($B242,'Parametri Modello'!$A$19:$A$22,0)))*'Parametri Modello'!$B$9))))*(1+IF('Parametri Modello'!$B$27="Si",MAX(-'Parametri Modello'!$B$28,MIN('Parametri Modello'!$B$28*1.5,IF(OR(INDEX('Parametri Modello'!$F$32:$F$35,MATCH($B242,'Parametri Modello'!$A$32:$A$35,0))="",INDEX('Parametri Modello'!$F$32:$F$35,MATCH($B242,'Parametri Modello'!$A$32:$A$35,0))=0),0,(1/INDEX('Parametri Modello'!$F$32:$F$35,MATCH($B242,'Parametri Modello'!$A$32:$A$35,0))-1)*'Parametri Modello'!$B$28))),0)))*(1-INDEX('Parametri Modello'!$B$12:$B$15,MATCH($B242,'Parametri Modello'!$A$12:$A$15,0)))),0),"")</f>
        <v>3</v>
      </c>
      <c r="H242" s="24">
        <f>IFERROR(ROUND((IF($V242&lt;=INDEX('Parametri Modello'!$C$57:$C$60,MATCH($B242,'Parametri Modello'!$A$57:$A$60,0)),IF(INDEX('Parametri Modello'!$E$57:$E$60,MATCH($B242,'Parametri Modello'!$A$57:$A$60,0))=0,0,($O242/INDEX('Parametri Modello'!$E$57:$E$60,MATCH($B242,'Parametri Modello'!$A$57:$A$60,0)))*(INDEX('Parametri Modello'!$D$57:$D$60,MATCH($B242,'Parametri Modello'!$A$57:$A$60,0))*(INDEX('Parametri Modello'!$B$50:$B$53,MATCH($B242,'Parametri Modello'!$A$50:$A$53,0))*'Parametri Modello'!$B$44))),IF(INDEX('Parametri Modello'!$F$57:$F$60,MATCH($B242,'Parametri Modello'!$A$57:$A$60,0))=0,0,($O242/INDEX('Parametri Modello'!$F$57:$F$60,MATCH($B242,'Parametri Modello'!$A$57:$A$60,0)))*((1-INDEX('Parametri Modello'!$D$57:$D$60,MATCH($B242,'Parametri Modello'!$A$57:$A$60,0)))*(INDEX('Parametri Modello'!$B$50:$B$53,MATCH($B242,'Parametri Modello'!$A$50:$A$53,0))*'Parametri Modello'!$B$44))))*(1+IF(IF($B242="D",'Info Lega'!$B$25,IF($B242="C",'Info Lega'!$B$26,"No"))="Si",'Parametri Modello'!$B$5,0))*(1+MAX(-0.25,MIN(0.25,IF(OR($T242="",$I242="",$I242=0,INDEX('Parametri Modello'!$B$19:$B$22,MATCH($B242,'Parametri Modello'!$A$19:$A$22,0))="",INDEX('Parametri Modello'!$B$19:$B$22,MATCH($B242,'Parametri Modello'!$A$19:$A$22,0))=0),0,(($T242-INDEX('Parametri Modello'!$B$19:$B$22,MATCH($B242,'Parametri Modello'!$A$19:$A$22,0)))/INDEX('Parametri Modello'!$B$19:$B$22,MATCH($B242,'Parametri Modello'!$A$19:$A$22,0)))*'Parametri Modello'!$B$9))))*(1+IF('Parametri Modello'!$B$27="Si",MAX(-'Parametri Modello'!$B$28,MIN('Parametri Modello'!$B$28*1.5,IF(OR(INDEX('Parametri Modello'!$F$32:$F$35,MATCH($B242,'Parametri Modello'!$A$32:$A$35,0))="",INDEX('Parametri Modello'!$F$32:$F$35,MATCH($B242,'Parametri Modello'!$A$32:$A$35,0))=0),0,(1/INDEX('Parametri Modello'!$F$32:$F$35,MATCH($B242,'Parametri Modello'!$A$32:$A$35,0))-1)*'Parametri Modello'!$B$28))),0)))*(1+INDEX('Parametri Modello'!$B$12:$B$15,MATCH($B242,'Parametri Modello'!$A$12:$A$15,0))),0),"")</f>
        <v>5</v>
      </c>
      <c r="I242" s="23">
        <f>IFERROR(INDEX('Input Statistiche 2025_26'!$F$3:$F$665,MATCH($A242,'Input Statistiche 2025_26'!$A$3:$A$665,0)),"")</f>
        <v>18</v>
      </c>
      <c r="J242" s="23">
        <f t="shared" si="27"/>
        <v>20</v>
      </c>
      <c r="K242" s="23">
        <f>IFERROR(INDEX('Input Statistiche 2025_26'!$I$3:$I$665,MATCH($A242,'Input Statistiche 2025_26'!$A$3:$A$665,0)),"")</f>
        <v>2</v>
      </c>
      <c r="L242" s="23">
        <f>IFERROR(INDEX('Input Statistiche 2025_26'!$O$3:$O$665,MATCH($A242,'Input Statistiche 2025_26'!$A$3:$A$665,0)),"")</f>
        <v>1</v>
      </c>
      <c r="M242" s="25"/>
      <c r="N242" s="24">
        <f>IFERROR(INDEX('Input Giocatori 2026_27'!$E$3:$E$493,MATCH($A242,'Input Giocatori 2026_27'!$A$3:$A$493,0)),"")</f>
        <v>5</v>
      </c>
      <c r="O242" s="24">
        <f>IFERROR(INDEX('Input Giocatori 2026_27'!$G$3:$G$493,MATCH($A242,'Input Giocatori 2026_27'!$A$3:$A$493,0)),"")</f>
        <v>14</v>
      </c>
      <c r="P242" s="23" t="str">
        <f>IFERROR(IF($O242="","",IF((1-(COUNTIFS($B$2:$B$492,$B242,$O$2:$O$492,"&gt;"&amp;$O242)+1-1)/COUNTIF($B$2:$B$492,$B242))&gt;='Parametri Modello'!$B$63,"Top",IF((1-(COUNTIFS($B$2:$B$492,$B242,$O$2:$O$492,"&gt;"&amp;$O242)+1-1)/COUNTIF($B$2:$B$492,$B242))&gt;='Parametri Modello'!$B$64,"Buono",IF((1-(COUNTIFS($B$2:$B$492,$B242,$O$2:$O$492,"&gt;"&amp;$O242)+1-1)/COUNTIF($B$2:$B$492,$B242))&gt;='Parametri Modello'!$B$65,"Nella Media","Scommessa/Riserva")))),"")</f>
        <v>Scommessa/Riserva</v>
      </c>
      <c r="Q242" s="26">
        <f>IF(AND($D242="",$N242&gt;1),SUMPRODUCT(($D$2:$D242="")*($N$2:$N242&gt;1)),"")</f>
        <v>241</v>
      </c>
      <c r="R242" s="26" t="str">
        <f>IF($D242='Info Lega'!$B$28,COUNTIFS($D$2:$D242,'Info Lega'!$B$28),"")</f>
        <v/>
      </c>
      <c r="S242" s="27">
        <f>IFERROR(INDEX('Input Statistiche 2025_26'!$G$3:$G$665,MATCH($A242,'Input Statistiche 2025_26'!$A$3:$A$665,0)),"")</f>
        <v>5.94</v>
      </c>
      <c r="T242" s="27">
        <f>IFERROR(INDEX('Input Statistiche 2025_26'!$H$3:$H$665,MATCH($A242,'Input Statistiche 2025_26'!$A$3:$A$665,0)),"")</f>
        <v>6.31</v>
      </c>
      <c r="U242" s="23" t="str">
        <f>IF(OR('La Mia Rosa'!$O$12="",$D242&lt;&gt;""),"",IF($F242&lt;='La Mia Rosa'!$O$12*'Parametri Modello'!$B$24,"OK",IF($F242&lt;='La Mia Rosa'!$O$12*'Parametri Modello'!$B$25,"Attenzione","Rischio Alto")))</f>
        <v>OK</v>
      </c>
      <c r="V242" s="23">
        <f t="shared" si="28"/>
        <v>58</v>
      </c>
      <c r="W242" s="18">
        <f>'Info Lega'!$B$4-SUMIFS($M$2:$M$492,$D$2:$D$492,'Info Lega'!$B$28)</f>
        <v>1000</v>
      </c>
      <c r="X242" s="18">
        <f>('Info Lega'!$B$5-COUNTIFS($D$2:$D$492,'Info Lega'!$B$28,$B$2:$B$492,"P"))+('Info Lega'!$B$6-COUNTIFS($D$2:$D$492,'Info Lega'!$B$28,$B$2:$B$492,"D"))+('Info Lega'!$B$7-COUNTIFS($D$2:$D$492,'Info Lega'!$B$28,$B$2:$B$492,"C"))+('Info Lega'!$B$8-COUNTIFS($D$2:$D$492,'Info Lega'!$B$28,$B$2:$B$492,"A"))</f>
        <v>25</v>
      </c>
      <c r="Y242" s="18">
        <f>X242*'Parametri Modello'!$B$30</f>
        <v>25</v>
      </c>
      <c r="Z242" s="18">
        <f t="shared" si="29"/>
        <v>975</v>
      </c>
      <c r="AA242" s="18">
        <f t="shared" si="30"/>
        <v>4</v>
      </c>
      <c r="AB242" s="18"/>
      <c r="AC242" s="18" t="str">
        <f>IF($AB242="","",IF($AB242&gt;$AA242,"PASS",IF($AB242&lt;=$AA242*(1-'Parametri Modello'!$B$68),"BID","ATTENZIONE")))</f>
        <v/>
      </c>
      <c r="AD242" s="28">
        <f t="shared" si="31"/>
        <v>45</v>
      </c>
      <c r="AE242" s="5" t="str">
        <f>IFERROR(INDEX('Stato Asta'!$G$9:$G$12,MATCH($B242,'Stato Asta'!$A$9:$A$12,0)),"")</f>
        <v>🔴 Non aspettare</v>
      </c>
      <c r="AF242" t="str">
        <f>IFERROR(IF($V242&lt;=INDEX('Parametri Modello'!$C$57:$C$60,MATCH($B242,'Parametri Modello'!$A$57:$A$60,0)),"Titolare","Riserva"),"")</f>
        <v>Riserva</v>
      </c>
      <c r="AG242" t="str">
        <f>IFERROR(INDEX('Pressione Competitiva'!$F$3:$F$6,MATCH($B242,'Pressione Competitiva'!$B$3:$B$6,0)),"")</f>
        <v>🔴 Molto Alta</v>
      </c>
      <c r="AH242" t="str">
        <f t="shared" si="32"/>
        <v/>
      </c>
      <c r="AI242" t="str">
        <f>IFERROR(IF($AH242="","",IF($AH242&gt;=$AA242*'Parametri Modello'!$B$68,"🟢 Opportunita'",IF($AH242&lt;=$AA242*'Parametri Modello'!$B$69,"🔴 Sovrapprezzo","🟡 Prezzo Corretto"))),"")</f>
        <v/>
      </c>
      <c r="AJ242" t="str">
        <f t="shared" si="33"/>
        <v/>
      </c>
      <c r="AK242">
        <f t="shared" si="34"/>
        <v>4</v>
      </c>
      <c r="AL242" t="str">
        <f t="shared" si="35"/>
        <v>A|Scommessa/Riserva|4</v>
      </c>
    </row>
    <row r="243" spans="1:38" ht="14.25" customHeight="1" x14ac:dyDescent="0.25">
      <c r="A243" s="18">
        <v>4387</v>
      </c>
      <c r="B243" s="18" t="s">
        <v>18</v>
      </c>
      <c r="C243" s="18" t="s">
        <v>382</v>
      </c>
      <c r="E243" s="23" t="str">
        <f>IF(COUNTIF('Info Strategia'!$D$2:$D$51,$C243)&gt;0,"SI","NO")</f>
        <v>NO</v>
      </c>
      <c r="F243" s="24">
        <f>IFERROR(ROUND(($G243+($H243-$G243)*'Info Strategia'!$B$6)*(1+IF($E243="SI",'Parametri Modello'!$B$7*'Info Strategia'!$B$6,0)),0),"")</f>
        <v>4</v>
      </c>
      <c r="G243" s="24">
        <f>IFERROR(ROUND(MAX(1,(IF($V243&lt;=INDEX('Parametri Modello'!$C$57:$C$60,MATCH($B243,'Parametri Modello'!$A$57:$A$60,0)),IF(INDEX('Parametri Modello'!$E$57:$E$60,MATCH($B243,'Parametri Modello'!$A$57:$A$60,0))=0,0,($O243/INDEX('Parametri Modello'!$E$57:$E$60,MATCH($B243,'Parametri Modello'!$A$57:$A$60,0)))*(INDEX('Parametri Modello'!$D$57:$D$60,MATCH($B243,'Parametri Modello'!$A$57:$A$60,0))*(INDEX('Parametri Modello'!$B$50:$B$53,MATCH($B243,'Parametri Modello'!$A$50:$A$53,0))*'Parametri Modello'!$B$44))),IF(INDEX('Parametri Modello'!$F$57:$F$60,MATCH($B243,'Parametri Modello'!$A$57:$A$60,0))=0,0,($O243/INDEX('Parametri Modello'!$F$57:$F$60,MATCH($B243,'Parametri Modello'!$A$57:$A$60,0)))*((1-INDEX('Parametri Modello'!$D$57:$D$60,MATCH($B243,'Parametri Modello'!$A$57:$A$60,0)))*(INDEX('Parametri Modello'!$B$50:$B$53,MATCH($B243,'Parametri Modello'!$A$50:$A$53,0))*'Parametri Modello'!$B$44))))*(1+IF(IF($B243="D",'Info Lega'!$B$25,IF($B243="C",'Info Lega'!$B$26,"No"))="Si",'Parametri Modello'!$B$5,0))*(1+MAX(-0.25,MIN(0.25,IF(OR($T243="",$I243="",$I243=0,INDEX('Parametri Modello'!$B$19:$B$22,MATCH($B243,'Parametri Modello'!$A$19:$A$22,0))="",INDEX('Parametri Modello'!$B$19:$B$22,MATCH($B243,'Parametri Modello'!$A$19:$A$22,0))=0),0,(($T243-INDEX('Parametri Modello'!$B$19:$B$22,MATCH($B243,'Parametri Modello'!$A$19:$A$22,0)))/INDEX('Parametri Modello'!$B$19:$B$22,MATCH($B243,'Parametri Modello'!$A$19:$A$22,0)))*'Parametri Modello'!$B$9))))*(1+IF('Parametri Modello'!$B$27="Si",MAX(-'Parametri Modello'!$B$28,MIN('Parametri Modello'!$B$28*1.5,IF(OR(INDEX('Parametri Modello'!$F$32:$F$35,MATCH($B243,'Parametri Modello'!$A$32:$A$35,0))="",INDEX('Parametri Modello'!$F$32:$F$35,MATCH($B243,'Parametri Modello'!$A$32:$A$35,0))=0),0,(1/INDEX('Parametri Modello'!$F$32:$F$35,MATCH($B243,'Parametri Modello'!$A$32:$A$35,0))-1)*'Parametri Modello'!$B$28))),0)))*(1-INDEX('Parametri Modello'!$B$12:$B$15,MATCH($B243,'Parametri Modello'!$A$12:$A$15,0)))),0),"")</f>
        <v>3</v>
      </c>
      <c r="H243" s="24">
        <f>IFERROR(ROUND((IF($V243&lt;=INDEX('Parametri Modello'!$C$57:$C$60,MATCH($B243,'Parametri Modello'!$A$57:$A$60,0)),IF(INDEX('Parametri Modello'!$E$57:$E$60,MATCH($B243,'Parametri Modello'!$A$57:$A$60,0))=0,0,($O243/INDEX('Parametri Modello'!$E$57:$E$60,MATCH($B243,'Parametri Modello'!$A$57:$A$60,0)))*(INDEX('Parametri Modello'!$D$57:$D$60,MATCH($B243,'Parametri Modello'!$A$57:$A$60,0))*(INDEX('Parametri Modello'!$B$50:$B$53,MATCH($B243,'Parametri Modello'!$A$50:$A$53,0))*'Parametri Modello'!$B$44))),IF(INDEX('Parametri Modello'!$F$57:$F$60,MATCH($B243,'Parametri Modello'!$A$57:$A$60,0))=0,0,($O243/INDEX('Parametri Modello'!$F$57:$F$60,MATCH($B243,'Parametri Modello'!$A$57:$A$60,0)))*((1-INDEX('Parametri Modello'!$D$57:$D$60,MATCH($B243,'Parametri Modello'!$A$57:$A$60,0)))*(INDEX('Parametri Modello'!$B$50:$B$53,MATCH($B243,'Parametri Modello'!$A$50:$A$53,0))*'Parametri Modello'!$B$44))))*(1+IF(IF($B243="D",'Info Lega'!$B$25,IF($B243="C",'Info Lega'!$B$26,"No"))="Si",'Parametri Modello'!$B$5,0))*(1+MAX(-0.25,MIN(0.25,IF(OR($T243="",$I243="",$I243=0,INDEX('Parametri Modello'!$B$19:$B$22,MATCH($B243,'Parametri Modello'!$A$19:$A$22,0))="",INDEX('Parametri Modello'!$B$19:$B$22,MATCH($B243,'Parametri Modello'!$A$19:$A$22,0))=0),0,(($T243-INDEX('Parametri Modello'!$B$19:$B$22,MATCH($B243,'Parametri Modello'!$A$19:$A$22,0)))/INDEX('Parametri Modello'!$B$19:$B$22,MATCH($B243,'Parametri Modello'!$A$19:$A$22,0)))*'Parametri Modello'!$B$9))))*(1+IF('Parametri Modello'!$B$27="Si",MAX(-'Parametri Modello'!$B$28,MIN('Parametri Modello'!$B$28*1.5,IF(OR(INDEX('Parametri Modello'!$F$32:$F$35,MATCH($B243,'Parametri Modello'!$A$32:$A$35,0))="",INDEX('Parametri Modello'!$F$32:$F$35,MATCH($B243,'Parametri Modello'!$A$32:$A$35,0))=0),0,(1/INDEX('Parametri Modello'!$F$32:$F$35,MATCH($B243,'Parametri Modello'!$A$32:$A$35,0))-1)*'Parametri Modello'!$B$28))),0)))*(1+INDEX('Parametri Modello'!$B$12:$B$15,MATCH($B243,'Parametri Modello'!$A$12:$A$15,0))),0),"")</f>
        <v>5</v>
      </c>
      <c r="I243" s="23" t="str">
        <f>IFERROR(INDEX('Input Statistiche 2025_26'!$F$3:$F$665,MATCH($A243,'Input Statistiche 2025_26'!$A$3:$A$665,0)),"")</f>
        <v/>
      </c>
      <c r="J243" s="23" t="str">
        <f t="shared" si="27"/>
        <v/>
      </c>
      <c r="K243" s="23" t="str">
        <f>IFERROR(INDEX('Input Statistiche 2025_26'!$I$3:$I$665,MATCH($A243,'Input Statistiche 2025_26'!$A$3:$A$665,0)),"")</f>
        <v/>
      </c>
      <c r="L243" s="23" t="str">
        <f>IFERROR(INDEX('Input Statistiche 2025_26'!$O$3:$O$665,MATCH($A243,'Input Statistiche 2025_26'!$A$3:$A$665,0)),"")</f>
        <v/>
      </c>
      <c r="M243" s="25"/>
      <c r="N243" s="24">
        <f>IFERROR(INDEX('Input Giocatori 2026_27'!$E$3:$E$493,MATCH($A243,'Input Giocatori 2026_27'!$A$3:$A$493,0)),"")</f>
        <v>5</v>
      </c>
      <c r="O243" s="24">
        <f>IFERROR(INDEX('Input Giocatori 2026_27'!$G$3:$G$493,MATCH($A243,'Input Giocatori 2026_27'!$A$3:$A$493,0)),"")</f>
        <v>14</v>
      </c>
      <c r="P243" s="23" t="str">
        <f>IFERROR(IF($O243="","",IF((1-(COUNTIFS($B$2:$B$492,$B243,$O$2:$O$492,"&gt;"&amp;$O243)+1-1)/COUNTIF($B$2:$B$492,$B243))&gt;='Parametri Modello'!$B$63,"Top",IF((1-(COUNTIFS($B$2:$B$492,$B243,$O$2:$O$492,"&gt;"&amp;$O243)+1-1)/COUNTIF($B$2:$B$492,$B243))&gt;='Parametri Modello'!$B$64,"Buono",IF((1-(COUNTIFS($B$2:$B$492,$B243,$O$2:$O$492,"&gt;"&amp;$O243)+1-1)/COUNTIF($B$2:$B$492,$B243))&gt;='Parametri Modello'!$B$65,"Nella Media","Scommessa/Riserva")))),"")</f>
        <v>Scommessa/Riserva</v>
      </c>
      <c r="Q243" s="26">
        <f>IF(AND($D243="",$N243&gt;1),SUMPRODUCT(($D$2:$D243="")*($N$2:$N243&gt;1)),"")</f>
        <v>242</v>
      </c>
      <c r="R243" s="26" t="str">
        <f>IF($D243='Info Lega'!$B$28,COUNTIFS($D$2:$D243,'Info Lega'!$B$28),"")</f>
        <v/>
      </c>
      <c r="S243" s="27" t="str">
        <f>IFERROR(INDEX('Input Statistiche 2025_26'!$G$3:$G$665,MATCH($A243,'Input Statistiche 2025_26'!$A$3:$A$665,0)),"")</f>
        <v/>
      </c>
      <c r="T243" s="27" t="str">
        <f>IFERROR(INDEX('Input Statistiche 2025_26'!$H$3:$H$665,MATCH($A243,'Input Statistiche 2025_26'!$A$3:$A$665,0)),"")</f>
        <v/>
      </c>
      <c r="U243" s="23" t="str">
        <f>IF(OR('La Mia Rosa'!$O$12="",$D243&lt;&gt;""),"",IF($F243&lt;='La Mia Rosa'!$O$12*'Parametri Modello'!$B$24,"OK",IF($F243&lt;='La Mia Rosa'!$O$12*'Parametri Modello'!$B$25,"Attenzione","Rischio Alto")))</f>
        <v>OK</v>
      </c>
      <c r="V243" s="23">
        <f t="shared" si="28"/>
        <v>58</v>
      </c>
      <c r="W243" s="18">
        <f>'Info Lega'!$B$4-SUMIFS($M$2:$M$492,$D$2:$D$492,'Info Lega'!$B$28)</f>
        <v>1000</v>
      </c>
      <c r="X243" s="18">
        <f>('Info Lega'!$B$5-COUNTIFS($D$2:$D$492,'Info Lega'!$B$28,$B$2:$B$492,"P"))+('Info Lega'!$B$6-COUNTIFS($D$2:$D$492,'Info Lega'!$B$28,$B$2:$B$492,"D"))+('Info Lega'!$B$7-COUNTIFS($D$2:$D$492,'Info Lega'!$B$28,$B$2:$B$492,"C"))+('Info Lega'!$B$8-COUNTIFS($D$2:$D$492,'Info Lega'!$B$28,$B$2:$B$492,"A"))</f>
        <v>25</v>
      </c>
      <c r="Y243" s="18">
        <f>X243*'Parametri Modello'!$B$30</f>
        <v>25</v>
      </c>
      <c r="Z243" s="18">
        <f t="shared" si="29"/>
        <v>975</v>
      </c>
      <c r="AA243" s="18">
        <f t="shared" si="30"/>
        <v>4</v>
      </c>
      <c r="AB243" s="18"/>
      <c r="AC243" s="18" t="str">
        <f>IF($AB243="","",IF($AB243&gt;$AA243,"PASS",IF($AB243&lt;=$AA243*(1-'Parametri Modello'!$B$68),"BID","ATTENZIONE")))</f>
        <v/>
      </c>
      <c r="AD243" s="28" t="str">
        <f t="shared" si="31"/>
        <v/>
      </c>
      <c r="AE243" s="5" t="str">
        <f>IFERROR(INDEX('Stato Asta'!$G$9:$G$12,MATCH($B243,'Stato Asta'!$A$9:$A$12,0)),"")</f>
        <v>🔴 Non aspettare</v>
      </c>
      <c r="AF243" t="str">
        <f>IFERROR(IF($V243&lt;=INDEX('Parametri Modello'!$C$57:$C$60,MATCH($B243,'Parametri Modello'!$A$57:$A$60,0)),"Titolare","Riserva"),"")</f>
        <v>Riserva</v>
      </c>
      <c r="AG243" t="str">
        <f>IFERROR(INDEX('Pressione Competitiva'!$F$3:$F$6,MATCH($B243,'Pressione Competitiva'!$B$3:$B$6,0)),"")</f>
        <v>🔴 Molto Alta</v>
      </c>
      <c r="AH243" t="str">
        <f t="shared" si="32"/>
        <v/>
      </c>
      <c r="AI243" t="str">
        <f>IFERROR(IF($AH243="","",IF($AH243&gt;=$AA243*'Parametri Modello'!$B$68,"🟢 Opportunita'",IF($AH243&lt;=$AA243*'Parametri Modello'!$B$69,"🔴 Sovrapprezzo","🟡 Prezzo Corretto"))),"")</f>
        <v/>
      </c>
      <c r="AJ243" t="str">
        <f t="shared" si="33"/>
        <v/>
      </c>
      <c r="AK243">
        <f t="shared" si="34"/>
        <v>4</v>
      </c>
      <c r="AL243" t="str">
        <f t="shared" si="35"/>
        <v>A|Scommessa/Riserva|4</v>
      </c>
    </row>
    <row r="244" spans="1:38" ht="14.25" customHeight="1" x14ac:dyDescent="0.25">
      <c r="A244" s="18">
        <v>6660</v>
      </c>
      <c r="B244" s="18" t="s">
        <v>16</v>
      </c>
      <c r="C244" s="18" t="s">
        <v>383</v>
      </c>
      <c r="E244" s="23" t="str">
        <f>IF(COUNTIF('Info Strategia'!$D$2:$D$51,$C244)&gt;0,"SI","NO")</f>
        <v>NO</v>
      </c>
      <c r="F244" s="24">
        <f>IFERROR(ROUND(($G244+($H244-$G244)*'Info Strategia'!$B$6)*(1+IF($E244="SI",'Parametri Modello'!$B$7*'Info Strategia'!$B$6,0)),0),"")</f>
        <v>3</v>
      </c>
      <c r="G244" s="24">
        <f>IFERROR(ROUND(MAX(1,(IF($V244&lt;=INDEX('Parametri Modello'!$C$57:$C$60,MATCH($B244,'Parametri Modello'!$A$57:$A$60,0)),IF(INDEX('Parametri Modello'!$E$57:$E$60,MATCH($B244,'Parametri Modello'!$A$57:$A$60,0))=0,0,($O244/INDEX('Parametri Modello'!$E$57:$E$60,MATCH($B244,'Parametri Modello'!$A$57:$A$60,0)))*(INDEX('Parametri Modello'!$D$57:$D$60,MATCH($B244,'Parametri Modello'!$A$57:$A$60,0))*(INDEX('Parametri Modello'!$B$50:$B$53,MATCH($B244,'Parametri Modello'!$A$50:$A$53,0))*'Parametri Modello'!$B$44))),IF(INDEX('Parametri Modello'!$F$57:$F$60,MATCH($B244,'Parametri Modello'!$A$57:$A$60,0))=0,0,($O244/INDEX('Parametri Modello'!$F$57:$F$60,MATCH($B244,'Parametri Modello'!$A$57:$A$60,0)))*((1-INDEX('Parametri Modello'!$D$57:$D$60,MATCH($B244,'Parametri Modello'!$A$57:$A$60,0)))*(INDEX('Parametri Modello'!$B$50:$B$53,MATCH($B244,'Parametri Modello'!$A$50:$A$53,0))*'Parametri Modello'!$B$44))))*(1+IF(IF($B244="D",'Info Lega'!$B$25,IF($B244="C",'Info Lega'!$B$26,"No"))="Si",'Parametri Modello'!$B$5,0))*(1+MAX(-0.25,MIN(0.25,IF(OR($T244="",$I244="",$I244=0,INDEX('Parametri Modello'!$B$19:$B$22,MATCH($B244,'Parametri Modello'!$A$19:$A$22,0))="",INDEX('Parametri Modello'!$B$19:$B$22,MATCH($B244,'Parametri Modello'!$A$19:$A$22,0))=0),0,(($T244-INDEX('Parametri Modello'!$B$19:$B$22,MATCH($B244,'Parametri Modello'!$A$19:$A$22,0)))/INDEX('Parametri Modello'!$B$19:$B$22,MATCH($B244,'Parametri Modello'!$A$19:$A$22,0)))*'Parametri Modello'!$B$9))))*(1+IF('Parametri Modello'!$B$27="Si",MAX(-'Parametri Modello'!$B$28,MIN('Parametri Modello'!$B$28*1.5,IF(OR(INDEX('Parametri Modello'!$F$32:$F$35,MATCH($B244,'Parametri Modello'!$A$32:$A$35,0))="",INDEX('Parametri Modello'!$F$32:$F$35,MATCH($B244,'Parametri Modello'!$A$32:$A$35,0))=0),0,(1/INDEX('Parametri Modello'!$F$32:$F$35,MATCH($B244,'Parametri Modello'!$A$32:$A$35,0))-1)*'Parametri Modello'!$B$28))),0)))*(1-INDEX('Parametri Modello'!$B$12:$B$15,MATCH($B244,'Parametri Modello'!$A$12:$A$15,0)))),0),"")</f>
        <v>2</v>
      </c>
      <c r="H244" s="24">
        <f>IFERROR(ROUND((IF($V244&lt;=INDEX('Parametri Modello'!$C$57:$C$60,MATCH($B244,'Parametri Modello'!$A$57:$A$60,0)),IF(INDEX('Parametri Modello'!$E$57:$E$60,MATCH($B244,'Parametri Modello'!$A$57:$A$60,0))=0,0,($O244/INDEX('Parametri Modello'!$E$57:$E$60,MATCH($B244,'Parametri Modello'!$A$57:$A$60,0)))*(INDEX('Parametri Modello'!$D$57:$D$60,MATCH($B244,'Parametri Modello'!$A$57:$A$60,0))*(INDEX('Parametri Modello'!$B$50:$B$53,MATCH($B244,'Parametri Modello'!$A$50:$A$53,0))*'Parametri Modello'!$B$44))),IF(INDEX('Parametri Modello'!$F$57:$F$60,MATCH($B244,'Parametri Modello'!$A$57:$A$60,0))=0,0,($O244/INDEX('Parametri Modello'!$F$57:$F$60,MATCH($B244,'Parametri Modello'!$A$57:$A$60,0)))*((1-INDEX('Parametri Modello'!$D$57:$D$60,MATCH($B244,'Parametri Modello'!$A$57:$A$60,0)))*(INDEX('Parametri Modello'!$B$50:$B$53,MATCH($B244,'Parametri Modello'!$A$50:$A$53,0))*'Parametri Modello'!$B$44))))*(1+IF(IF($B244="D",'Info Lega'!$B$25,IF($B244="C",'Info Lega'!$B$26,"No"))="Si",'Parametri Modello'!$B$5,0))*(1+MAX(-0.25,MIN(0.25,IF(OR($T244="",$I244="",$I244=0,INDEX('Parametri Modello'!$B$19:$B$22,MATCH($B244,'Parametri Modello'!$A$19:$A$22,0))="",INDEX('Parametri Modello'!$B$19:$B$22,MATCH($B244,'Parametri Modello'!$A$19:$A$22,0))=0),0,(($T244-INDEX('Parametri Modello'!$B$19:$B$22,MATCH($B244,'Parametri Modello'!$A$19:$A$22,0)))/INDEX('Parametri Modello'!$B$19:$B$22,MATCH($B244,'Parametri Modello'!$A$19:$A$22,0)))*'Parametri Modello'!$B$9))))*(1+IF('Parametri Modello'!$B$27="Si",MAX(-'Parametri Modello'!$B$28,MIN('Parametri Modello'!$B$28*1.5,IF(OR(INDEX('Parametri Modello'!$F$32:$F$35,MATCH($B244,'Parametri Modello'!$A$32:$A$35,0))="",INDEX('Parametri Modello'!$F$32:$F$35,MATCH($B244,'Parametri Modello'!$A$32:$A$35,0))=0),0,(1/INDEX('Parametri Modello'!$F$32:$F$35,MATCH($B244,'Parametri Modello'!$A$32:$A$35,0))-1)*'Parametri Modello'!$B$28))),0)))*(1+INDEX('Parametri Modello'!$B$12:$B$15,MATCH($B244,'Parametri Modello'!$A$12:$A$15,0))),0),"")</f>
        <v>3</v>
      </c>
      <c r="I244" s="23">
        <f>IFERROR(INDEX('Input Statistiche 2025_26'!$F$3:$F$665,MATCH($A244,'Input Statistiche 2025_26'!$A$3:$A$665,0)),"")</f>
        <v>31</v>
      </c>
      <c r="J244" s="23">
        <f t="shared" si="27"/>
        <v>7</v>
      </c>
      <c r="K244" s="23">
        <f>IFERROR(INDEX('Input Statistiche 2025_26'!$I$3:$I$665,MATCH($A244,'Input Statistiche 2025_26'!$A$3:$A$665,0)),"")</f>
        <v>0</v>
      </c>
      <c r="L244" s="23">
        <f>IFERROR(INDEX('Input Statistiche 2025_26'!$O$3:$O$665,MATCH($A244,'Input Statistiche 2025_26'!$A$3:$A$665,0)),"")</f>
        <v>1</v>
      </c>
      <c r="M244" s="25"/>
      <c r="N244" s="24">
        <f>IFERROR(INDEX('Input Giocatori 2026_27'!$E$3:$E$493,MATCH($A244,'Input Giocatori 2026_27'!$A$3:$A$493,0)),"")</f>
        <v>6</v>
      </c>
      <c r="O244" s="24">
        <f>IFERROR(INDEX('Input Giocatori 2026_27'!$G$3:$G$493,MATCH($A244,'Input Giocatori 2026_27'!$A$3:$A$493,0)),"")</f>
        <v>13</v>
      </c>
      <c r="P244" s="23" t="str">
        <f>IFERROR(IF($O244="","",IF((1-(COUNTIFS($B$2:$B$492,$B244,$O$2:$O$492,"&gt;"&amp;$O244)+1-1)/COUNTIF($B$2:$B$492,$B244))&gt;='Parametri Modello'!$B$63,"Top",IF((1-(COUNTIFS($B$2:$B$492,$B244,$O$2:$O$492,"&gt;"&amp;$O244)+1-1)/COUNTIF($B$2:$B$492,$B244))&gt;='Parametri Modello'!$B$64,"Buono",IF((1-(COUNTIFS($B$2:$B$492,$B244,$O$2:$O$492,"&gt;"&amp;$O244)+1-1)/COUNTIF($B$2:$B$492,$B244))&gt;='Parametri Modello'!$B$65,"Nella Media","Scommessa/Riserva")))),"")</f>
        <v>Nella Media</v>
      </c>
      <c r="Q244" s="26">
        <f>IF(AND($D244="",$N244&gt;1),SUMPRODUCT(($D$2:$D244="")*($N$2:$N244&gt;1)),"")</f>
        <v>243</v>
      </c>
      <c r="R244" s="26" t="str">
        <f>IF($D244='Info Lega'!$B$28,COUNTIFS($D$2:$D244,'Info Lega'!$B$28),"")</f>
        <v/>
      </c>
      <c r="S244" s="27">
        <f>IFERROR(INDEX('Input Statistiche 2025_26'!$G$3:$G$665,MATCH($A244,'Input Statistiche 2025_26'!$A$3:$A$665,0)),"")</f>
        <v>5.87</v>
      </c>
      <c r="T244" s="27">
        <f>IFERROR(INDEX('Input Statistiche 2025_26'!$H$3:$H$665,MATCH($A244,'Input Statistiche 2025_26'!$A$3:$A$665,0)),"")</f>
        <v>5.84</v>
      </c>
      <c r="U244" s="23" t="str">
        <f>IF(OR('La Mia Rosa'!$O$12="",$D244&lt;&gt;""),"",IF($F244&lt;='La Mia Rosa'!$O$12*'Parametri Modello'!$B$24,"OK",IF($F244&lt;='La Mia Rosa'!$O$12*'Parametri Modello'!$B$25,"Attenzione","Rischio Alto")))</f>
        <v>OK</v>
      </c>
      <c r="V244" s="23">
        <f t="shared" si="28"/>
        <v>69</v>
      </c>
      <c r="W244" s="18">
        <f>'Info Lega'!$B$4-SUMIFS($M$2:$M$492,$D$2:$D$492,'Info Lega'!$B$28)</f>
        <v>1000</v>
      </c>
      <c r="X244" s="18">
        <f>('Info Lega'!$B$5-COUNTIFS($D$2:$D$492,'Info Lega'!$B$28,$B$2:$B$492,"P"))+('Info Lega'!$B$6-COUNTIFS($D$2:$D$492,'Info Lega'!$B$28,$B$2:$B$492,"D"))+('Info Lega'!$B$7-COUNTIFS($D$2:$D$492,'Info Lega'!$B$28,$B$2:$B$492,"C"))+('Info Lega'!$B$8-COUNTIFS($D$2:$D$492,'Info Lega'!$B$28,$B$2:$B$492,"A"))</f>
        <v>25</v>
      </c>
      <c r="Y244" s="18">
        <f>X244*'Parametri Modello'!$B$30</f>
        <v>25</v>
      </c>
      <c r="Z244" s="18">
        <f t="shared" si="29"/>
        <v>975</v>
      </c>
      <c r="AA244" s="18">
        <f t="shared" si="30"/>
        <v>3</v>
      </c>
      <c r="AB244" s="18"/>
      <c r="AC244" s="18" t="str">
        <f>IF($AB244="","",IF($AB244&gt;$AA244,"PASS",IF($AB244&lt;=$AA244*(1-'Parametri Modello'!$B$68),"BID","ATTENZIONE")))</f>
        <v/>
      </c>
      <c r="AD244" s="28">
        <f t="shared" si="31"/>
        <v>64</v>
      </c>
      <c r="AE244" s="5" t="str">
        <f>IFERROR(INDEX('Stato Asta'!$G$9:$G$12,MATCH($B244,'Stato Asta'!$A$9:$A$12,0)),"")</f>
        <v>🔴 Non aspettare</v>
      </c>
      <c r="AF244" t="str">
        <f>IFERROR(IF($V244&lt;=INDEX('Parametri Modello'!$C$57:$C$60,MATCH($B244,'Parametri Modello'!$A$57:$A$60,0)),"Titolare","Riserva"),"")</f>
        <v>Riserva</v>
      </c>
      <c r="AG244" t="str">
        <f>IFERROR(INDEX('Pressione Competitiva'!$F$3:$F$6,MATCH($B244,'Pressione Competitiva'!$B$3:$B$6,0)),"")</f>
        <v>🔴 Molto Alta</v>
      </c>
      <c r="AH244" t="str">
        <f t="shared" si="32"/>
        <v/>
      </c>
      <c r="AI244" t="str">
        <f>IFERROR(IF($AH244="","",IF($AH244&gt;=$AA244*'Parametri Modello'!$B$68,"🟢 Opportunita'",IF($AH244&lt;=$AA244*'Parametri Modello'!$B$69,"🔴 Sovrapprezzo","🟡 Prezzo Corretto"))),"")</f>
        <v/>
      </c>
      <c r="AJ244" t="str">
        <f t="shared" si="33"/>
        <v/>
      </c>
      <c r="AK244">
        <f t="shared" si="34"/>
        <v>14</v>
      </c>
      <c r="AL244" t="str">
        <f t="shared" si="35"/>
        <v>D|Nella Media|14</v>
      </c>
    </row>
    <row r="245" spans="1:38" ht="14.25" customHeight="1" x14ac:dyDescent="0.25">
      <c r="A245" s="18">
        <v>4502</v>
      </c>
      <c r="B245" s="18" t="s">
        <v>16</v>
      </c>
      <c r="C245" s="18" t="s">
        <v>384</v>
      </c>
      <c r="E245" s="23" t="str">
        <f>IF(COUNTIF('Info Strategia'!$D$2:$D$51,$C245)&gt;0,"SI","NO")</f>
        <v>NO</v>
      </c>
      <c r="F245" s="24">
        <f>IFERROR(ROUND(($G245+($H245-$G245)*'Info Strategia'!$B$6)*(1+IF($E245="SI",'Parametri Modello'!$B$7*'Info Strategia'!$B$6,0)),0),"")</f>
        <v>3</v>
      </c>
      <c r="G245" s="24">
        <f>IFERROR(ROUND(MAX(1,(IF($V245&lt;=INDEX('Parametri Modello'!$C$57:$C$60,MATCH($B245,'Parametri Modello'!$A$57:$A$60,0)),IF(INDEX('Parametri Modello'!$E$57:$E$60,MATCH($B245,'Parametri Modello'!$A$57:$A$60,0))=0,0,($O245/INDEX('Parametri Modello'!$E$57:$E$60,MATCH($B245,'Parametri Modello'!$A$57:$A$60,0)))*(INDEX('Parametri Modello'!$D$57:$D$60,MATCH($B245,'Parametri Modello'!$A$57:$A$60,0))*(INDEX('Parametri Modello'!$B$50:$B$53,MATCH($B245,'Parametri Modello'!$A$50:$A$53,0))*'Parametri Modello'!$B$44))),IF(INDEX('Parametri Modello'!$F$57:$F$60,MATCH($B245,'Parametri Modello'!$A$57:$A$60,0))=0,0,($O245/INDEX('Parametri Modello'!$F$57:$F$60,MATCH($B245,'Parametri Modello'!$A$57:$A$60,0)))*((1-INDEX('Parametri Modello'!$D$57:$D$60,MATCH($B245,'Parametri Modello'!$A$57:$A$60,0)))*(INDEX('Parametri Modello'!$B$50:$B$53,MATCH($B245,'Parametri Modello'!$A$50:$A$53,0))*'Parametri Modello'!$B$44))))*(1+IF(IF($B245="D",'Info Lega'!$B$25,IF($B245="C",'Info Lega'!$B$26,"No"))="Si",'Parametri Modello'!$B$5,0))*(1+MAX(-0.25,MIN(0.25,IF(OR($T245="",$I245="",$I245=0,INDEX('Parametri Modello'!$B$19:$B$22,MATCH($B245,'Parametri Modello'!$A$19:$A$22,0))="",INDEX('Parametri Modello'!$B$19:$B$22,MATCH($B245,'Parametri Modello'!$A$19:$A$22,0))=0),0,(($T245-INDEX('Parametri Modello'!$B$19:$B$22,MATCH($B245,'Parametri Modello'!$A$19:$A$22,0)))/INDEX('Parametri Modello'!$B$19:$B$22,MATCH($B245,'Parametri Modello'!$A$19:$A$22,0)))*'Parametri Modello'!$B$9))))*(1+IF('Parametri Modello'!$B$27="Si",MAX(-'Parametri Modello'!$B$28,MIN('Parametri Modello'!$B$28*1.5,IF(OR(INDEX('Parametri Modello'!$F$32:$F$35,MATCH($B245,'Parametri Modello'!$A$32:$A$35,0))="",INDEX('Parametri Modello'!$F$32:$F$35,MATCH($B245,'Parametri Modello'!$A$32:$A$35,0))=0),0,(1/INDEX('Parametri Modello'!$F$32:$F$35,MATCH($B245,'Parametri Modello'!$A$32:$A$35,0))-1)*'Parametri Modello'!$B$28))),0)))*(1-INDEX('Parametri Modello'!$B$12:$B$15,MATCH($B245,'Parametri Modello'!$A$12:$A$15,0)))),0),"")</f>
        <v>2</v>
      </c>
      <c r="H245" s="24">
        <f>IFERROR(ROUND((IF($V245&lt;=INDEX('Parametri Modello'!$C$57:$C$60,MATCH($B245,'Parametri Modello'!$A$57:$A$60,0)),IF(INDEX('Parametri Modello'!$E$57:$E$60,MATCH($B245,'Parametri Modello'!$A$57:$A$60,0))=0,0,($O245/INDEX('Parametri Modello'!$E$57:$E$60,MATCH($B245,'Parametri Modello'!$A$57:$A$60,0)))*(INDEX('Parametri Modello'!$D$57:$D$60,MATCH($B245,'Parametri Modello'!$A$57:$A$60,0))*(INDEX('Parametri Modello'!$B$50:$B$53,MATCH($B245,'Parametri Modello'!$A$50:$A$53,0))*'Parametri Modello'!$B$44))),IF(INDEX('Parametri Modello'!$F$57:$F$60,MATCH($B245,'Parametri Modello'!$A$57:$A$60,0))=0,0,($O245/INDEX('Parametri Modello'!$F$57:$F$60,MATCH($B245,'Parametri Modello'!$A$57:$A$60,0)))*((1-INDEX('Parametri Modello'!$D$57:$D$60,MATCH($B245,'Parametri Modello'!$A$57:$A$60,0)))*(INDEX('Parametri Modello'!$B$50:$B$53,MATCH($B245,'Parametri Modello'!$A$50:$A$53,0))*'Parametri Modello'!$B$44))))*(1+IF(IF($B245="D",'Info Lega'!$B$25,IF($B245="C",'Info Lega'!$B$26,"No"))="Si",'Parametri Modello'!$B$5,0))*(1+MAX(-0.25,MIN(0.25,IF(OR($T245="",$I245="",$I245=0,INDEX('Parametri Modello'!$B$19:$B$22,MATCH($B245,'Parametri Modello'!$A$19:$A$22,0))="",INDEX('Parametri Modello'!$B$19:$B$22,MATCH($B245,'Parametri Modello'!$A$19:$A$22,0))=0),0,(($T245-INDEX('Parametri Modello'!$B$19:$B$22,MATCH($B245,'Parametri Modello'!$A$19:$A$22,0)))/INDEX('Parametri Modello'!$B$19:$B$22,MATCH($B245,'Parametri Modello'!$A$19:$A$22,0)))*'Parametri Modello'!$B$9))))*(1+IF('Parametri Modello'!$B$27="Si",MAX(-'Parametri Modello'!$B$28,MIN('Parametri Modello'!$B$28*1.5,IF(OR(INDEX('Parametri Modello'!$F$32:$F$35,MATCH($B245,'Parametri Modello'!$A$32:$A$35,0))="",INDEX('Parametri Modello'!$F$32:$F$35,MATCH($B245,'Parametri Modello'!$A$32:$A$35,0))=0),0,(1/INDEX('Parametri Modello'!$F$32:$F$35,MATCH($B245,'Parametri Modello'!$A$32:$A$35,0))-1)*'Parametri Modello'!$B$28))),0)))*(1+INDEX('Parametri Modello'!$B$12:$B$15,MATCH($B245,'Parametri Modello'!$A$12:$A$15,0))),0),"")</f>
        <v>3</v>
      </c>
      <c r="I245" s="23">
        <f>IFERROR(INDEX('Input Statistiche 2025_26'!$F$3:$F$665,MATCH($A245,'Input Statistiche 2025_26'!$A$3:$A$665,0)),"")</f>
        <v>37</v>
      </c>
      <c r="J245" s="23">
        <f t="shared" si="27"/>
        <v>1</v>
      </c>
      <c r="K245" s="23">
        <f>IFERROR(INDEX('Input Statistiche 2025_26'!$I$3:$I$665,MATCH($A245,'Input Statistiche 2025_26'!$A$3:$A$665,0)),"")</f>
        <v>0</v>
      </c>
      <c r="L245" s="23">
        <f>IFERROR(INDEX('Input Statistiche 2025_26'!$O$3:$O$665,MATCH($A245,'Input Statistiche 2025_26'!$A$3:$A$665,0)),"")</f>
        <v>3</v>
      </c>
      <c r="M245" s="25"/>
      <c r="N245" s="24">
        <f>IFERROR(INDEX('Input Giocatori 2026_27'!$E$3:$E$493,MATCH($A245,'Input Giocatori 2026_27'!$A$3:$A$493,0)),"")</f>
        <v>6</v>
      </c>
      <c r="O245" s="24">
        <f>IFERROR(INDEX('Input Giocatori 2026_27'!$G$3:$G$493,MATCH($A245,'Input Giocatori 2026_27'!$A$3:$A$493,0)),"")</f>
        <v>13</v>
      </c>
      <c r="P245" s="23" t="str">
        <f>IFERROR(IF($O245="","",IF((1-(COUNTIFS($B$2:$B$492,$B245,$O$2:$O$492,"&gt;"&amp;$O245)+1-1)/COUNTIF($B$2:$B$492,$B245))&gt;='Parametri Modello'!$B$63,"Top",IF((1-(COUNTIFS($B$2:$B$492,$B245,$O$2:$O$492,"&gt;"&amp;$O245)+1-1)/COUNTIF($B$2:$B$492,$B245))&gt;='Parametri Modello'!$B$64,"Buono",IF((1-(COUNTIFS($B$2:$B$492,$B245,$O$2:$O$492,"&gt;"&amp;$O245)+1-1)/COUNTIF($B$2:$B$492,$B245))&gt;='Parametri Modello'!$B$65,"Nella Media","Scommessa/Riserva")))),"")</f>
        <v>Nella Media</v>
      </c>
      <c r="Q245" s="26">
        <f>IF(AND($D245="",$N245&gt;1),SUMPRODUCT(($D$2:$D245="")*($N$2:$N245&gt;1)),"")</f>
        <v>244</v>
      </c>
      <c r="R245" s="26" t="str">
        <f>IF($D245='Info Lega'!$B$28,COUNTIFS($D$2:$D245,'Info Lega'!$B$28),"")</f>
        <v/>
      </c>
      <c r="S245" s="27">
        <f>IFERROR(INDEX('Input Statistiche 2025_26'!$G$3:$G$665,MATCH($A245,'Input Statistiche 2025_26'!$A$3:$A$665,0)),"")</f>
        <v>5.95</v>
      </c>
      <c r="T245" s="27">
        <f>IFERROR(INDEX('Input Statistiche 2025_26'!$H$3:$H$665,MATCH($A245,'Input Statistiche 2025_26'!$A$3:$A$665,0)),"")</f>
        <v>5.99</v>
      </c>
      <c r="U245" s="23" t="str">
        <f>IF(OR('La Mia Rosa'!$O$12="",$D245&lt;&gt;""),"",IF($F245&lt;='La Mia Rosa'!$O$12*'Parametri Modello'!$B$24,"OK",IF($F245&lt;='La Mia Rosa'!$O$12*'Parametri Modello'!$B$25,"Attenzione","Rischio Alto")))</f>
        <v>OK</v>
      </c>
      <c r="V245" s="23">
        <f t="shared" si="28"/>
        <v>69</v>
      </c>
      <c r="W245" s="18">
        <f>'Info Lega'!$B$4-SUMIFS($M$2:$M$492,$D$2:$D$492,'Info Lega'!$B$28)</f>
        <v>1000</v>
      </c>
      <c r="X245" s="18">
        <f>('Info Lega'!$B$5-COUNTIFS($D$2:$D$492,'Info Lega'!$B$28,$B$2:$B$492,"P"))+('Info Lega'!$B$6-COUNTIFS($D$2:$D$492,'Info Lega'!$B$28,$B$2:$B$492,"D"))+('Info Lega'!$B$7-COUNTIFS($D$2:$D$492,'Info Lega'!$B$28,$B$2:$B$492,"C"))+('Info Lega'!$B$8-COUNTIFS($D$2:$D$492,'Info Lega'!$B$28,$B$2:$B$492,"A"))</f>
        <v>25</v>
      </c>
      <c r="Y245" s="18">
        <f>X245*'Parametri Modello'!$B$30</f>
        <v>25</v>
      </c>
      <c r="Z245" s="18">
        <f t="shared" si="29"/>
        <v>975</v>
      </c>
      <c r="AA245" s="18">
        <f t="shared" si="30"/>
        <v>3</v>
      </c>
      <c r="AB245" s="18"/>
      <c r="AC245" s="18" t="str">
        <f>IF($AB245="","",IF($AB245&gt;$AA245,"PASS",IF($AB245&lt;=$AA245*(1-'Parametri Modello'!$B$68),"BID","ATTENZIONE")))</f>
        <v/>
      </c>
      <c r="AD245" s="28">
        <f t="shared" si="31"/>
        <v>71</v>
      </c>
      <c r="AE245" s="5" t="str">
        <f>IFERROR(INDEX('Stato Asta'!$G$9:$G$12,MATCH($B245,'Stato Asta'!$A$9:$A$12,0)),"")</f>
        <v>🔴 Non aspettare</v>
      </c>
      <c r="AF245" t="str">
        <f>IFERROR(IF($V245&lt;=INDEX('Parametri Modello'!$C$57:$C$60,MATCH($B245,'Parametri Modello'!$A$57:$A$60,0)),"Titolare","Riserva"),"")</f>
        <v>Riserva</v>
      </c>
      <c r="AG245" t="str">
        <f>IFERROR(INDEX('Pressione Competitiva'!$F$3:$F$6,MATCH($B245,'Pressione Competitiva'!$B$3:$B$6,0)),"")</f>
        <v>🔴 Molto Alta</v>
      </c>
      <c r="AH245" t="str">
        <f t="shared" si="32"/>
        <v/>
      </c>
      <c r="AI245" t="str">
        <f>IFERROR(IF($AH245="","",IF($AH245&gt;=$AA245*'Parametri Modello'!$B$68,"🟢 Opportunita'",IF($AH245&lt;=$AA245*'Parametri Modello'!$B$69,"🔴 Sovrapprezzo","🟡 Prezzo Corretto"))),"")</f>
        <v/>
      </c>
      <c r="AJ245" t="str">
        <f t="shared" si="33"/>
        <v/>
      </c>
      <c r="AK245">
        <f t="shared" si="34"/>
        <v>14</v>
      </c>
      <c r="AL245" t="str">
        <f t="shared" si="35"/>
        <v>D|Nella Media|14</v>
      </c>
    </row>
    <row r="246" spans="1:38" ht="14.25" customHeight="1" x14ac:dyDescent="0.25">
      <c r="A246" s="18">
        <v>7253</v>
      </c>
      <c r="B246" s="18" t="s">
        <v>16</v>
      </c>
      <c r="C246" s="18" t="s">
        <v>385</v>
      </c>
      <c r="E246" s="23" t="str">
        <f>IF(COUNTIF('Info Strategia'!$D$2:$D$51,$C246)&gt;0,"SI","NO")</f>
        <v>NO</v>
      </c>
      <c r="F246" s="24">
        <f>IFERROR(ROUND(($G246+($H246-$G246)*'Info Strategia'!$B$6)*(1+IF($E246="SI",'Parametri Modello'!$B$7*'Info Strategia'!$B$6,0)),0),"")</f>
        <v>3</v>
      </c>
      <c r="G246" s="24">
        <f>IFERROR(ROUND(MAX(1,(IF($V246&lt;=INDEX('Parametri Modello'!$C$57:$C$60,MATCH($B246,'Parametri Modello'!$A$57:$A$60,0)),IF(INDEX('Parametri Modello'!$E$57:$E$60,MATCH($B246,'Parametri Modello'!$A$57:$A$60,0))=0,0,($O246/INDEX('Parametri Modello'!$E$57:$E$60,MATCH($B246,'Parametri Modello'!$A$57:$A$60,0)))*(INDEX('Parametri Modello'!$D$57:$D$60,MATCH($B246,'Parametri Modello'!$A$57:$A$60,0))*(INDEX('Parametri Modello'!$B$50:$B$53,MATCH($B246,'Parametri Modello'!$A$50:$A$53,0))*'Parametri Modello'!$B$44))),IF(INDEX('Parametri Modello'!$F$57:$F$60,MATCH($B246,'Parametri Modello'!$A$57:$A$60,0))=0,0,($O246/INDEX('Parametri Modello'!$F$57:$F$60,MATCH($B246,'Parametri Modello'!$A$57:$A$60,0)))*((1-INDEX('Parametri Modello'!$D$57:$D$60,MATCH($B246,'Parametri Modello'!$A$57:$A$60,0)))*(INDEX('Parametri Modello'!$B$50:$B$53,MATCH($B246,'Parametri Modello'!$A$50:$A$53,0))*'Parametri Modello'!$B$44))))*(1+IF(IF($B246="D",'Info Lega'!$B$25,IF($B246="C",'Info Lega'!$B$26,"No"))="Si",'Parametri Modello'!$B$5,0))*(1+MAX(-0.25,MIN(0.25,IF(OR($T246="",$I246="",$I246=0,INDEX('Parametri Modello'!$B$19:$B$22,MATCH($B246,'Parametri Modello'!$A$19:$A$22,0))="",INDEX('Parametri Modello'!$B$19:$B$22,MATCH($B246,'Parametri Modello'!$A$19:$A$22,0))=0),0,(($T246-INDEX('Parametri Modello'!$B$19:$B$22,MATCH($B246,'Parametri Modello'!$A$19:$A$22,0)))/INDEX('Parametri Modello'!$B$19:$B$22,MATCH($B246,'Parametri Modello'!$A$19:$A$22,0)))*'Parametri Modello'!$B$9))))*(1+IF('Parametri Modello'!$B$27="Si",MAX(-'Parametri Modello'!$B$28,MIN('Parametri Modello'!$B$28*1.5,IF(OR(INDEX('Parametri Modello'!$F$32:$F$35,MATCH($B246,'Parametri Modello'!$A$32:$A$35,0))="",INDEX('Parametri Modello'!$F$32:$F$35,MATCH($B246,'Parametri Modello'!$A$32:$A$35,0))=0),0,(1/INDEX('Parametri Modello'!$F$32:$F$35,MATCH($B246,'Parametri Modello'!$A$32:$A$35,0))-1)*'Parametri Modello'!$B$28))),0)))*(1-INDEX('Parametri Modello'!$B$12:$B$15,MATCH($B246,'Parametri Modello'!$A$12:$A$15,0)))),0),"")</f>
        <v>2</v>
      </c>
      <c r="H246" s="24">
        <f>IFERROR(ROUND((IF($V246&lt;=INDEX('Parametri Modello'!$C$57:$C$60,MATCH($B246,'Parametri Modello'!$A$57:$A$60,0)),IF(INDEX('Parametri Modello'!$E$57:$E$60,MATCH($B246,'Parametri Modello'!$A$57:$A$60,0))=0,0,($O246/INDEX('Parametri Modello'!$E$57:$E$60,MATCH($B246,'Parametri Modello'!$A$57:$A$60,0)))*(INDEX('Parametri Modello'!$D$57:$D$60,MATCH($B246,'Parametri Modello'!$A$57:$A$60,0))*(INDEX('Parametri Modello'!$B$50:$B$53,MATCH($B246,'Parametri Modello'!$A$50:$A$53,0))*'Parametri Modello'!$B$44))),IF(INDEX('Parametri Modello'!$F$57:$F$60,MATCH($B246,'Parametri Modello'!$A$57:$A$60,0))=0,0,($O246/INDEX('Parametri Modello'!$F$57:$F$60,MATCH($B246,'Parametri Modello'!$A$57:$A$60,0)))*((1-INDEX('Parametri Modello'!$D$57:$D$60,MATCH($B246,'Parametri Modello'!$A$57:$A$60,0)))*(INDEX('Parametri Modello'!$B$50:$B$53,MATCH($B246,'Parametri Modello'!$A$50:$A$53,0))*'Parametri Modello'!$B$44))))*(1+IF(IF($B246="D",'Info Lega'!$B$25,IF($B246="C",'Info Lega'!$B$26,"No"))="Si",'Parametri Modello'!$B$5,0))*(1+MAX(-0.25,MIN(0.25,IF(OR($T246="",$I246="",$I246=0,INDEX('Parametri Modello'!$B$19:$B$22,MATCH($B246,'Parametri Modello'!$A$19:$A$22,0))="",INDEX('Parametri Modello'!$B$19:$B$22,MATCH($B246,'Parametri Modello'!$A$19:$A$22,0))=0),0,(($T246-INDEX('Parametri Modello'!$B$19:$B$22,MATCH($B246,'Parametri Modello'!$A$19:$A$22,0)))/INDEX('Parametri Modello'!$B$19:$B$22,MATCH($B246,'Parametri Modello'!$A$19:$A$22,0)))*'Parametri Modello'!$B$9))))*(1+IF('Parametri Modello'!$B$27="Si",MAX(-'Parametri Modello'!$B$28,MIN('Parametri Modello'!$B$28*1.5,IF(OR(INDEX('Parametri Modello'!$F$32:$F$35,MATCH($B246,'Parametri Modello'!$A$32:$A$35,0))="",INDEX('Parametri Modello'!$F$32:$F$35,MATCH($B246,'Parametri Modello'!$A$32:$A$35,0))=0),0,(1/INDEX('Parametri Modello'!$F$32:$F$35,MATCH($B246,'Parametri Modello'!$A$32:$A$35,0))-1)*'Parametri Modello'!$B$28))),0)))*(1+INDEX('Parametri Modello'!$B$12:$B$15,MATCH($B246,'Parametri Modello'!$A$12:$A$15,0))),0),"")</f>
        <v>3</v>
      </c>
      <c r="I246" s="23">
        <f>IFERROR(INDEX('Input Statistiche 2025_26'!$F$3:$F$665,MATCH($A246,'Input Statistiche 2025_26'!$A$3:$A$665,0)),"")</f>
        <v>18</v>
      </c>
      <c r="J246" s="23">
        <f t="shared" si="27"/>
        <v>20</v>
      </c>
      <c r="K246" s="23">
        <f>IFERROR(INDEX('Input Statistiche 2025_26'!$I$3:$I$665,MATCH($A246,'Input Statistiche 2025_26'!$A$3:$A$665,0)),"")</f>
        <v>0</v>
      </c>
      <c r="L246" s="23">
        <f>IFERROR(INDEX('Input Statistiche 2025_26'!$O$3:$O$665,MATCH($A246,'Input Statistiche 2025_26'!$A$3:$A$665,0)),"")</f>
        <v>0</v>
      </c>
      <c r="M246" s="25"/>
      <c r="N246" s="24">
        <f>IFERROR(INDEX('Input Giocatori 2026_27'!$E$3:$E$493,MATCH($A246,'Input Giocatori 2026_27'!$A$3:$A$493,0)),"")</f>
        <v>6</v>
      </c>
      <c r="O246" s="24">
        <f>IFERROR(INDEX('Input Giocatori 2026_27'!$G$3:$G$493,MATCH($A246,'Input Giocatori 2026_27'!$A$3:$A$493,0)),"")</f>
        <v>13</v>
      </c>
      <c r="P246" s="23" t="str">
        <f>IFERROR(IF($O246="","",IF((1-(COUNTIFS($B$2:$B$492,$B246,$O$2:$O$492,"&gt;"&amp;$O246)+1-1)/COUNTIF($B$2:$B$492,$B246))&gt;='Parametri Modello'!$B$63,"Top",IF((1-(COUNTIFS($B$2:$B$492,$B246,$O$2:$O$492,"&gt;"&amp;$O246)+1-1)/COUNTIF($B$2:$B$492,$B246))&gt;='Parametri Modello'!$B$64,"Buono",IF((1-(COUNTIFS($B$2:$B$492,$B246,$O$2:$O$492,"&gt;"&amp;$O246)+1-1)/COUNTIF($B$2:$B$492,$B246))&gt;='Parametri Modello'!$B$65,"Nella Media","Scommessa/Riserva")))),"")</f>
        <v>Nella Media</v>
      </c>
      <c r="Q246" s="26">
        <f>IF(AND($D246="",$N246&gt;1),SUMPRODUCT(($D$2:$D246="")*($N$2:$N246&gt;1)),"")</f>
        <v>245</v>
      </c>
      <c r="R246" s="26" t="str">
        <f>IF($D246='Info Lega'!$B$28,COUNTIFS($D$2:$D246,'Info Lega'!$B$28),"")</f>
        <v/>
      </c>
      <c r="S246" s="27">
        <f>IFERROR(INDEX('Input Statistiche 2025_26'!$G$3:$G$665,MATCH($A246,'Input Statistiche 2025_26'!$A$3:$A$665,0)),"")</f>
        <v>5.83</v>
      </c>
      <c r="T246" s="27">
        <f>IFERROR(INDEX('Input Statistiche 2025_26'!$H$3:$H$665,MATCH($A246,'Input Statistiche 2025_26'!$A$3:$A$665,0)),"")</f>
        <v>5.75</v>
      </c>
      <c r="U246" s="23" t="str">
        <f>IF(OR('La Mia Rosa'!$O$12="",$D246&lt;&gt;""),"",IF($F246&lt;='La Mia Rosa'!$O$12*'Parametri Modello'!$B$24,"OK",IF($F246&lt;='La Mia Rosa'!$O$12*'Parametri Modello'!$B$25,"Attenzione","Rischio Alto")))</f>
        <v>OK</v>
      </c>
      <c r="V246" s="23">
        <f t="shared" si="28"/>
        <v>69</v>
      </c>
      <c r="W246" s="18">
        <f>'Info Lega'!$B$4-SUMIFS($M$2:$M$492,$D$2:$D$492,'Info Lega'!$B$28)</f>
        <v>1000</v>
      </c>
      <c r="X246" s="18">
        <f>('Info Lega'!$B$5-COUNTIFS($D$2:$D$492,'Info Lega'!$B$28,$B$2:$B$492,"P"))+('Info Lega'!$B$6-COUNTIFS($D$2:$D$492,'Info Lega'!$B$28,$B$2:$B$492,"D"))+('Info Lega'!$B$7-COUNTIFS($D$2:$D$492,'Info Lega'!$B$28,$B$2:$B$492,"C"))+('Info Lega'!$B$8-COUNTIFS($D$2:$D$492,'Info Lega'!$B$28,$B$2:$B$492,"A"))</f>
        <v>25</v>
      </c>
      <c r="Y246" s="18">
        <f>X246*'Parametri Modello'!$B$30</f>
        <v>25</v>
      </c>
      <c r="Z246" s="18">
        <f t="shared" si="29"/>
        <v>975</v>
      </c>
      <c r="AA246" s="18">
        <f t="shared" si="30"/>
        <v>3</v>
      </c>
      <c r="AB246" s="18"/>
      <c r="AC246" s="18" t="str">
        <f>IF($AB246="","",IF($AB246&gt;$AA246,"PASS",IF($AB246&lt;=$AA246*(1-'Parametri Modello'!$B$68),"BID","ATTENZIONE")))</f>
        <v/>
      </c>
      <c r="AD246" s="28">
        <f t="shared" si="31"/>
        <v>45</v>
      </c>
      <c r="AE246" s="5" t="str">
        <f>IFERROR(INDEX('Stato Asta'!$G$9:$G$12,MATCH($B246,'Stato Asta'!$A$9:$A$12,0)),"")</f>
        <v>🔴 Non aspettare</v>
      </c>
      <c r="AF246" t="str">
        <f>IFERROR(IF($V246&lt;=INDEX('Parametri Modello'!$C$57:$C$60,MATCH($B246,'Parametri Modello'!$A$57:$A$60,0)),"Titolare","Riserva"),"")</f>
        <v>Riserva</v>
      </c>
      <c r="AG246" t="str">
        <f>IFERROR(INDEX('Pressione Competitiva'!$F$3:$F$6,MATCH($B246,'Pressione Competitiva'!$B$3:$B$6,0)),"")</f>
        <v>🔴 Molto Alta</v>
      </c>
      <c r="AH246" t="str">
        <f t="shared" si="32"/>
        <v/>
      </c>
      <c r="AI246" t="str">
        <f>IFERROR(IF($AH246="","",IF($AH246&gt;=$AA246*'Parametri Modello'!$B$68,"🟢 Opportunita'",IF($AH246&lt;=$AA246*'Parametri Modello'!$B$69,"🔴 Sovrapprezzo","🟡 Prezzo Corretto"))),"")</f>
        <v/>
      </c>
      <c r="AJ246" t="str">
        <f t="shared" si="33"/>
        <v/>
      </c>
      <c r="AK246">
        <f t="shared" si="34"/>
        <v>14</v>
      </c>
      <c r="AL246" t="str">
        <f t="shared" si="35"/>
        <v>D|Nella Media|14</v>
      </c>
    </row>
    <row r="247" spans="1:38" ht="14.25" customHeight="1" x14ac:dyDescent="0.25">
      <c r="A247" s="18">
        <v>5678</v>
      </c>
      <c r="B247" s="18" t="s">
        <v>16</v>
      </c>
      <c r="C247" s="18" t="s">
        <v>386</v>
      </c>
      <c r="E247" s="23" t="str">
        <f>IF(COUNTIF('Info Strategia'!$D$2:$D$51,$C247)&gt;0,"SI","NO")</f>
        <v>NO</v>
      </c>
      <c r="F247" s="24">
        <f>IFERROR(ROUND(($G247+($H247-$G247)*'Info Strategia'!$B$6)*(1+IF($E247="SI",'Parametri Modello'!$B$7*'Info Strategia'!$B$6,0)),0),"")</f>
        <v>3</v>
      </c>
      <c r="G247" s="24">
        <f>IFERROR(ROUND(MAX(1,(IF($V247&lt;=INDEX('Parametri Modello'!$C$57:$C$60,MATCH($B247,'Parametri Modello'!$A$57:$A$60,0)),IF(INDEX('Parametri Modello'!$E$57:$E$60,MATCH($B247,'Parametri Modello'!$A$57:$A$60,0))=0,0,($O247/INDEX('Parametri Modello'!$E$57:$E$60,MATCH($B247,'Parametri Modello'!$A$57:$A$60,0)))*(INDEX('Parametri Modello'!$D$57:$D$60,MATCH($B247,'Parametri Modello'!$A$57:$A$60,0))*(INDEX('Parametri Modello'!$B$50:$B$53,MATCH($B247,'Parametri Modello'!$A$50:$A$53,0))*'Parametri Modello'!$B$44))),IF(INDEX('Parametri Modello'!$F$57:$F$60,MATCH($B247,'Parametri Modello'!$A$57:$A$60,0))=0,0,($O247/INDEX('Parametri Modello'!$F$57:$F$60,MATCH($B247,'Parametri Modello'!$A$57:$A$60,0)))*((1-INDEX('Parametri Modello'!$D$57:$D$60,MATCH($B247,'Parametri Modello'!$A$57:$A$60,0)))*(INDEX('Parametri Modello'!$B$50:$B$53,MATCH($B247,'Parametri Modello'!$A$50:$A$53,0))*'Parametri Modello'!$B$44))))*(1+IF(IF($B247="D",'Info Lega'!$B$25,IF($B247="C",'Info Lega'!$B$26,"No"))="Si",'Parametri Modello'!$B$5,0))*(1+MAX(-0.25,MIN(0.25,IF(OR($T247="",$I247="",$I247=0,INDEX('Parametri Modello'!$B$19:$B$22,MATCH($B247,'Parametri Modello'!$A$19:$A$22,0))="",INDEX('Parametri Modello'!$B$19:$B$22,MATCH($B247,'Parametri Modello'!$A$19:$A$22,0))=0),0,(($T247-INDEX('Parametri Modello'!$B$19:$B$22,MATCH($B247,'Parametri Modello'!$A$19:$A$22,0)))/INDEX('Parametri Modello'!$B$19:$B$22,MATCH($B247,'Parametri Modello'!$A$19:$A$22,0)))*'Parametri Modello'!$B$9))))*(1+IF('Parametri Modello'!$B$27="Si",MAX(-'Parametri Modello'!$B$28,MIN('Parametri Modello'!$B$28*1.5,IF(OR(INDEX('Parametri Modello'!$F$32:$F$35,MATCH($B247,'Parametri Modello'!$A$32:$A$35,0))="",INDEX('Parametri Modello'!$F$32:$F$35,MATCH($B247,'Parametri Modello'!$A$32:$A$35,0))=0),0,(1/INDEX('Parametri Modello'!$F$32:$F$35,MATCH($B247,'Parametri Modello'!$A$32:$A$35,0))-1)*'Parametri Modello'!$B$28))),0)))*(1-INDEX('Parametri Modello'!$B$12:$B$15,MATCH($B247,'Parametri Modello'!$A$12:$A$15,0)))),0),"")</f>
        <v>2</v>
      </c>
      <c r="H247" s="24">
        <f>IFERROR(ROUND((IF($V247&lt;=INDEX('Parametri Modello'!$C$57:$C$60,MATCH($B247,'Parametri Modello'!$A$57:$A$60,0)),IF(INDEX('Parametri Modello'!$E$57:$E$60,MATCH($B247,'Parametri Modello'!$A$57:$A$60,0))=0,0,($O247/INDEX('Parametri Modello'!$E$57:$E$60,MATCH($B247,'Parametri Modello'!$A$57:$A$60,0)))*(INDEX('Parametri Modello'!$D$57:$D$60,MATCH($B247,'Parametri Modello'!$A$57:$A$60,0))*(INDEX('Parametri Modello'!$B$50:$B$53,MATCH($B247,'Parametri Modello'!$A$50:$A$53,0))*'Parametri Modello'!$B$44))),IF(INDEX('Parametri Modello'!$F$57:$F$60,MATCH($B247,'Parametri Modello'!$A$57:$A$60,0))=0,0,($O247/INDEX('Parametri Modello'!$F$57:$F$60,MATCH($B247,'Parametri Modello'!$A$57:$A$60,0)))*((1-INDEX('Parametri Modello'!$D$57:$D$60,MATCH($B247,'Parametri Modello'!$A$57:$A$60,0)))*(INDEX('Parametri Modello'!$B$50:$B$53,MATCH($B247,'Parametri Modello'!$A$50:$A$53,0))*'Parametri Modello'!$B$44))))*(1+IF(IF($B247="D",'Info Lega'!$B$25,IF($B247="C",'Info Lega'!$B$26,"No"))="Si",'Parametri Modello'!$B$5,0))*(1+MAX(-0.25,MIN(0.25,IF(OR($T247="",$I247="",$I247=0,INDEX('Parametri Modello'!$B$19:$B$22,MATCH($B247,'Parametri Modello'!$A$19:$A$22,0))="",INDEX('Parametri Modello'!$B$19:$B$22,MATCH($B247,'Parametri Modello'!$A$19:$A$22,0))=0),0,(($T247-INDEX('Parametri Modello'!$B$19:$B$22,MATCH($B247,'Parametri Modello'!$A$19:$A$22,0)))/INDEX('Parametri Modello'!$B$19:$B$22,MATCH($B247,'Parametri Modello'!$A$19:$A$22,0)))*'Parametri Modello'!$B$9))))*(1+IF('Parametri Modello'!$B$27="Si",MAX(-'Parametri Modello'!$B$28,MIN('Parametri Modello'!$B$28*1.5,IF(OR(INDEX('Parametri Modello'!$F$32:$F$35,MATCH($B247,'Parametri Modello'!$A$32:$A$35,0))="",INDEX('Parametri Modello'!$F$32:$F$35,MATCH($B247,'Parametri Modello'!$A$32:$A$35,0))=0),0,(1/INDEX('Parametri Modello'!$F$32:$F$35,MATCH($B247,'Parametri Modello'!$A$32:$A$35,0))-1)*'Parametri Modello'!$B$28))),0)))*(1+INDEX('Parametri Modello'!$B$12:$B$15,MATCH($B247,'Parametri Modello'!$A$12:$A$15,0))),0),"")</f>
        <v>3</v>
      </c>
      <c r="I247" s="23">
        <f>IFERROR(INDEX('Input Statistiche 2025_26'!$F$3:$F$665,MATCH($A247,'Input Statistiche 2025_26'!$A$3:$A$665,0)),"")</f>
        <v>16</v>
      </c>
      <c r="J247" s="23">
        <f t="shared" si="27"/>
        <v>22</v>
      </c>
      <c r="K247" s="23">
        <f>IFERROR(INDEX('Input Statistiche 2025_26'!$I$3:$I$665,MATCH($A247,'Input Statistiche 2025_26'!$A$3:$A$665,0)),"")</f>
        <v>1</v>
      </c>
      <c r="L247" s="23">
        <f>IFERROR(INDEX('Input Statistiche 2025_26'!$O$3:$O$665,MATCH($A247,'Input Statistiche 2025_26'!$A$3:$A$665,0)),"")</f>
        <v>4</v>
      </c>
      <c r="M247" s="25"/>
      <c r="N247" s="24">
        <f>IFERROR(INDEX('Input Giocatori 2026_27'!$E$3:$E$493,MATCH($A247,'Input Giocatori 2026_27'!$A$3:$A$493,0)),"")</f>
        <v>5</v>
      </c>
      <c r="O247" s="24">
        <f>IFERROR(INDEX('Input Giocatori 2026_27'!$G$3:$G$493,MATCH($A247,'Input Giocatori 2026_27'!$A$3:$A$493,0)),"")</f>
        <v>13</v>
      </c>
      <c r="P247" s="23" t="str">
        <f>IFERROR(IF($O247="","",IF((1-(COUNTIFS($B$2:$B$492,$B247,$O$2:$O$492,"&gt;"&amp;$O247)+1-1)/COUNTIF($B$2:$B$492,$B247))&gt;='Parametri Modello'!$B$63,"Top",IF((1-(COUNTIFS($B$2:$B$492,$B247,$O$2:$O$492,"&gt;"&amp;$O247)+1-1)/COUNTIF($B$2:$B$492,$B247))&gt;='Parametri Modello'!$B$64,"Buono",IF((1-(COUNTIFS($B$2:$B$492,$B247,$O$2:$O$492,"&gt;"&amp;$O247)+1-1)/COUNTIF($B$2:$B$492,$B247))&gt;='Parametri Modello'!$B$65,"Nella Media","Scommessa/Riserva")))),"")</f>
        <v>Nella Media</v>
      </c>
      <c r="Q247" s="26">
        <f>IF(AND($D247="",$N247&gt;1),SUMPRODUCT(($D$2:$D247="")*($N$2:$N247&gt;1)),"")</f>
        <v>246</v>
      </c>
      <c r="R247" s="26" t="str">
        <f>IF($D247='Info Lega'!$B$28,COUNTIFS($D$2:$D247,'Info Lega'!$B$28),"")</f>
        <v/>
      </c>
      <c r="S247" s="27">
        <f>IFERROR(INDEX('Input Statistiche 2025_26'!$G$3:$G$665,MATCH($A247,'Input Statistiche 2025_26'!$A$3:$A$665,0)),"")</f>
        <v>6.09</v>
      </c>
      <c r="T247" s="27">
        <f>IFERROR(INDEX('Input Statistiche 2025_26'!$H$3:$H$665,MATCH($A247,'Input Statistiche 2025_26'!$A$3:$A$665,0)),"")</f>
        <v>6.44</v>
      </c>
      <c r="U247" s="23" t="str">
        <f>IF(OR('La Mia Rosa'!$O$12="",$D247&lt;&gt;""),"",IF($F247&lt;='La Mia Rosa'!$O$12*'Parametri Modello'!$B$24,"OK",IF($F247&lt;='La Mia Rosa'!$O$12*'Parametri Modello'!$B$25,"Attenzione","Rischio Alto")))</f>
        <v>OK</v>
      </c>
      <c r="V247" s="23">
        <f t="shared" si="28"/>
        <v>69</v>
      </c>
      <c r="W247" s="18">
        <f>'Info Lega'!$B$4-SUMIFS($M$2:$M$492,$D$2:$D$492,'Info Lega'!$B$28)</f>
        <v>1000</v>
      </c>
      <c r="X247" s="18">
        <f>('Info Lega'!$B$5-COUNTIFS($D$2:$D$492,'Info Lega'!$B$28,$B$2:$B$492,"P"))+('Info Lega'!$B$6-COUNTIFS($D$2:$D$492,'Info Lega'!$B$28,$B$2:$B$492,"D"))+('Info Lega'!$B$7-COUNTIFS($D$2:$D$492,'Info Lega'!$B$28,$B$2:$B$492,"C"))+('Info Lega'!$B$8-COUNTIFS($D$2:$D$492,'Info Lega'!$B$28,$B$2:$B$492,"A"))</f>
        <v>25</v>
      </c>
      <c r="Y247" s="18">
        <f>X247*'Parametri Modello'!$B$30</f>
        <v>25</v>
      </c>
      <c r="Z247" s="18">
        <f t="shared" si="29"/>
        <v>975</v>
      </c>
      <c r="AA247" s="18">
        <f t="shared" si="30"/>
        <v>3</v>
      </c>
      <c r="AB247" s="18"/>
      <c r="AC247" s="18" t="str">
        <f>IF($AB247="","",IF($AB247&gt;$AA247,"PASS",IF($AB247&lt;=$AA247*(1-'Parametri Modello'!$B$68),"BID","ATTENZIONE")))</f>
        <v/>
      </c>
      <c r="AD247" s="28">
        <f t="shared" si="31"/>
        <v>41</v>
      </c>
      <c r="AE247" s="5" t="str">
        <f>IFERROR(INDEX('Stato Asta'!$G$9:$G$12,MATCH($B247,'Stato Asta'!$A$9:$A$12,0)),"")</f>
        <v>🔴 Non aspettare</v>
      </c>
      <c r="AF247" t="str">
        <f>IFERROR(IF($V247&lt;=INDEX('Parametri Modello'!$C$57:$C$60,MATCH($B247,'Parametri Modello'!$A$57:$A$60,0)),"Titolare","Riserva"),"")</f>
        <v>Riserva</v>
      </c>
      <c r="AG247" t="str">
        <f>IFERROR(INDEX('Pressione Competitiva'!$F$3:$F$6,MATCH($B247,'Pressione Competitiva'!$B$3:$B$6,0)),"")</f>
        <v>🔴 Molto Alta</v>
      </c>
      <c r="AH247" t="str">
        <f t="shared" si="32"/>
        <v/>
      </c>
      <c r="AI247" t="str">
        <f>IFERROR(IF($AH247="","",IF($AH247&gt;=$AA247*'Parametri Modello'!$B$68,"🟢 Opportunita'",IF($AH247&lt;=$AA247*'Parametri Modello'!$B$69,"🔴 Sovrapprezzo","🟡 Prezzo Corretto"))),"")</f>
        <v/>
      </c>
      <c r="AJ247" t="str">
        <f t="shared" si="33"/>
        <v/>
      </c>
      <c r="AK247">
        <f t="shared" si="34"/>
        <v>14</v>
      </c>
      <c r="AL247" t="str">
        <f t="shared" si="35"/>
        <v>D|Nella Media|14</v>
      </c>
    </row>
    <row r="248" spans="1:38" ht="14.25" customHeight="1" x14ac:dyDescent="0.25">
      <c r="A248" s="18">
        <v>6893</v>
      </c>
      <c r="B248" s="18" t="s">
        <v>16</v>
      </c>
      <c r="C248" s="18" t="s">
        <v>387</v>
      </c>
      <c r="E248" s="23" t="str">
        <f>IF(COUNTIF('Info Strategia'!$D$2:$D$51,$C248)&gt;0,"SI","NO")</f>
        <v>NO</v>
      </c>
      <c r="F248" s="24">
        <f>IFERROR(ROUND(($G248+($H248-$G248)*'Info Strategia'!$B$6)*(1+IF($E248="SI",'Parametri Modello'!$B$7*'Info Strategia'!$B$6,0)),0),"")</f>
        <v>3</v>
      </c>
      <c r="G248" s="24">
        <f>IFERROR(ROUND(MAX(1,(IF($V248&lt;=INDEX('Parametri Modello'!$C$57:$C$60,MATCH($B248,'Parametri Modello'!$A$57:$A$60,0)),IF(INDEX('Parametri Modello'!$E$57:$E$60,MATCH($B248,'Parametri Modello'!$A$57:$A$60,0))=0,0,($O248/INDEX('Parametri Modello'!$E$57:$E$60,MATCH($B248,'Parametri Modello'!$A$57:$A$60,0)))*(INDEX('Parametri Modello'!$D$57:$D$60,MATCH($B248,'Parametri Modello'!$A$57:$A$60,0))*(INDEX('Parametri Modello'!$B$50:$B$53,MATCH($B248,'Parametri Modello'!$A$50:$A$53,0))*'Parametri Modello'!$B$44))),IF(INDEX('Parametri Modello'!$F$57:$F$60,MATCH($B248,'Parametri Modello'!$A$57:$A$60,0))=0,0,($O248/INDEX('Parametri Modello'!$F$57:$F$60,MATCH($B248,'Parametri Modello'!$A$57:$A$60,0)))*((1-INDEX('Parametri Modello'!$D$57:$D$60,MATCH($B248,'Parametri Modello'!$A$57:$A$60,0)))*(INDEX('Parametri Modello'!$B$50:$B$53,MATCH($B248,'Parametri Modello'!$A$50:$A$53,0))*'Parametri Modello'!$B$44))))*(1+IF(IF($B248="D",'Info Lega'!$B$25,IF($B248="C",'Info Lega'!$B$26,"No"))="Si",'Parametri Modello'!$B$5,0))*(1+MAX(-0.25,MIN(0.25,IF(OR($T248="",$I248="",$I248=0,INDEX('Parametri Modello'!$B$19:$B$22,MATCH($B248,'Parametri Modello'!$A$19:$A$22,0))="",INDEX('Parametri Modello'!$B$19:$B$22,MATCH($B248,'Parametri Modello'!$A$19:$A$22,0))=0),0,(($T248-INDEX('Parametri Modello'!$B$19:$B$22,MATCH($B248,'Parametri Modello'!$A$19:$A$22,0)))/INDEX('Parametri Modello'!$B$19:$B$22,MATCH($B248,'Parametri Modello'!$A$19:$A$22,0)))*'Parametri Modello'!$B$9))))*(1+IF('Parametri Modello'!$B$27="Si",MAX(-'Parametri Modello'!$B$28,MIN('Parametri Modello'!$B$28*1.5,IF(OR(INDEX('Parametri Modello'!$F$32:$F$35,MATCH($B248,'Parametri Modello'!$A$32:$A$35,0))="",INDEX('Parametri Modello'!$F$32:$F$35,MATCH($B248,'Parametri Modello'!$A$32:$A$35,0))=0),0,(1/INDEX('Parametri Modello'!$F$32:$F$35,MATCH($B248,'Parametri Modello'!$A$32:$A$35,0))-1)*'Parametri Modello'!$B$28))),0)))*(1-INDEX('Parametri Modello'!$B$12:$B$15,MATCH($B248,'Parametri Modello'!$A$12:$A$15,0)))),0),"")</f>
        <v>2</v>
      </c>
      <c r="H248" s="24">
        <f>IFERROR(ROUND((IF($V248&lt;=INDEX('Parametri Modello'!$C$57:$C$60,MATCH($B248,'Parametri Modello'!$A$57:$A$60,0)),IF(INDEX('Parametri Modello'!$E$57:$E$60,MATCH($B248,'Parametri Modello'!$A$57:$A$60,0))=0,0,($O248/INDEX('Parametri Modello'!$E$57:$E$60,MATCH($B248,'Parametri Modello'!$A$57:$A$60,0)))*(INDEX('Parametri Modello'!$D$57:$D$60,MATCH($B248,'Parametri Modello'!$A$57:$A$60,0))*(INDEX('Parametri Modello'!$B$50:$B$53,MATCH($B248,'Parametri Modello'!$A$50:$A$53,0))*'Parametri Modello'!$B$44))),IF(INDEX('Parametri Modello'!$F$57:$F$60,MATCH($B248,'Parametri Modello'!$A$57:$A$60,0))=0,0,($O248/INDEX('Parametri Modello'!$F$57:$F$60,MATCH($B248,'Parametri Modello'!$A$57:$A$60,0)))*((1-INDEX('Parametri Modello'!$D$57:$D$60,MATCH($B248,'Parametri Modello'!$A$57:$A$60,0)))*(INDEX('Parametri Modello'!$B$50:$B$53,MATCH($B248,'Parametri Modello'!$A$50:$A$53,0))*'Parametri Modello'!$B$44))))*(1+IF(IF($B248="D",'Info Lega'!$B$25,IF($B248="C",'Info Lega'!$B$26,"No"))="Si",'Parametri Modello'!$B$5,0))*(1+MAX(-0.25,MIN(0.25,IF(OR($T248="",$I248="",$I248=0,INDEX('Parametri Modello'!$B$19:$B$22,MATCH($B248,'Parametri Modello'!$A$19:$A$22,0))="",INDEX('Parametri Modello'!$B$19:$B$22,MATCH($B248,'Parametri Modello'!$A$19:$A$22,0))=0),0,(($T248-INDEX('Parametri Modello'!$B$19:$B$22,MATCH($B248,'Parametri Modello'!$A$19:$A$22,0)))/INDEX('Parametri Modello'!$B$19:$B$22,MATCH($B248,'Parametri Modello'!$A$19:$A$22,0)))*'Parametri Modello'!$B$9))))*(1+IF('Parametri Modello'!$B$27="Si",MAX(-'Parametri Modello'!$B$28,MIN('Parametri Modello'!$B$28*1.5,IF(OR(INDEX('Parametri Modello'!$F$32:$F$35,MATCH($B248,'Parametri Modello'!$A$32:$A$35,0))="",INDEX('Parametri Modello'!$F$32:$F$35,MATCH($B248,'Parametri Modello'!$A$32:$A$35,0))=0),0,(1/INDEX('Parametri Modello'!$F$32:$F$35,MATCH($B248,'Parametri Modello'!$A$32:$A$35,0))-1)*'Parametri Modello'!$B$28))),0)))*(1+INDEX('Parametri Modello'!$B$12:$B$15,MATCH($B248,'Parametri Modello'!$A$12:$A$15,0))),0),"")</f>
        <v>3</v>
      </c>
      <c r="I248" s="23">
        <f>IFERROR(INDEX('Input Statistiche 2025_26'!$F$3:$F$665,MATCH($A248,'Input Statistiche 2025_26'!$A$3:$A$665,0)),"")</f>
        <v>29</v>
      </c>
      <c r="J248" s="23">
        <f t="shared" si="27"/>
        <v>9</v>
      </c>
      <c r="K248" s="23">
        <f>IFERROR(INDEX('Input Statistiche 2025_26'!$I$3:$I$665,MATCH($A248,'Input Statistiche 2025_26'!$A$3:$A$665,0)),"")</f>
        <v>4</v>
      </c>
      <c r="L248" s="23">
        <f>IFERROR(INDEX('Input Statistiche 2025_26'!$O$3:$O$665,MATCH($A248,'Input Statistiche 2025_26'!$A$3:$A$665,0)),"")</f>
        <v>1</v>
      </c>
      <c r="M248" s="25"/>
      <c r="N248" s="24">
        <f>IFERROR(INDEX('Input Giocatori 2026_27'!$E$3:$E$493,MATCH($A248,'Input Giocatori 2026_27'!$A$3:$A$493,0)),"")</f>
        <v>5</v>
      </c>
      <c r="O248" s="24">
        <f>IFERROR(INDEX('Input Giocatori 2026_27'!$G$3:$G$493,MATCH($A248,'Input Giocatori 2026_27'!$A$3:$A$493,0)),"")</f>
        <v>13</v>
      </c>
      <c r="P248" s="23" t="str">
        <f>IFERROR(IF($O248="","",IF((1-(COUNTIFS($B$2:$B$492,$B248,$O$2:$O$492,"&gt;"&amp;$O248)+1-1)/COUNTIF($B$2:$B$492,$B248))&gt;='Parametri Modello'!$B$63,"Top",IF((1-(COUNTIFS($B$2:$B$492,$B248,$O$2:$O$492,"&gt;"&amp;$O248)+1-1)/COUNTIF($B$2:$B$492,$B248))&gt;='Parametri Modello'!$B$64,"Buono",IF((1-(COUNTIFS($B$2:$B$492,$B248,$O$2:$O$492,"&gt;"&amp;$O248)+1-1)/COUNTIF($B$2:$B$492,$B248))&gt;='Parametri Modello'!$B$65,"Nella Media","Scommessa/Riserva")))),"")</f>
        <v>Nella Media</v>
      </c>
      <c r="Q248" s="26">
        <f>IF(AND($D248="",$N248&gt;1),SUMPRODUCT(($D$2:$D248="")*($N$2:$N248&gt;1)),"")</f>
        <v>247</v>
      </c>
      <c r="R248" s="26" t="str">
        <f>IF($D248='Info Lega'!$B$28,COUNTIFS($D$2:$D248,'Info Lega'!$B$28),"")</f>
        <v/>
      </c>
      <c r="S248" s="27">
        <f>IFERROR(INDEX('Input Statistiche 2025_26'!$G$3:$G$665,MATCH($A248,'Input Statistiche 2025_26'!$A$3:$A$665,0)),"")</f>
        <v>6.12</v>
      </c>
      <c r="T248" s="27">
        <f>IFERROR(INDEX('Input Statistiche 2025_26'!$H$3:$H$665,MATCH($A248,'Input Statistiche 2025_26'!$A$3:$A$665,0)),"")</f>
        <v>6.52</v>
      </c>
      <c r="U248" s="23" t="str">
        <f>IF(OR('La Mia Rosa'!$O$12="",$D248&lt;&gt;""),"",IF($F248&lt;='La Mia Rosa'!$O$12*'Parametri Modello'!$B$24,"OK",IF($F248&lt;='La Mia Rosa'!$O$12*'Parametri Modello'!$B$25,"Attenzione","Rischio Alto")))</f>
        <v>OK</v>
      </c>
      <c r="V248" s="23">
        <f t="shared" si="28"/>
        <v>69</v>
      </c>
      <c r="W248" s="18">
        <f>'Info Lega'!$B$4-SUMIFS($M$2:$M$492,$D$2:$D$492,'Info Lega'!$B$28)</f>
        <v>1000</v>
      </c>
      <c r="X248" s="18">
        <f>('Info Lega'!$B$5-COUNTIFS($D$2:$D$492,'Info Lega'!$B$28,$B$2:$B$492,"P"))+('Info Lega'!$B$6-COUNTIFS($D$2:$D$492,'Info Lega'!$B$28,$B$2:$B$492,"D"))+('Info Lega'!$B$7-COUNTIFS($D$2:$D$492,'Info Lega'!$B$28,$B$2:$B$492,"C"))+('Info Lega'!$B$8-COUNTIFS($D$2:$D$492,'Info Lega'!$B$28,$B$2:$B$492,"A"))</f>
        <v>25</v>
      </c>
      <c r="Y248" s="18">
        <f>X248*'Parametri Modello'!$B$30</f>
        <v>25</v>
      </c>
      <c r="Z248" s="18">
        <f t="shared" si="29"/>
        <v>975</v>
      </c>
      <c r="AA248" s="18">
        <f t="shared" si="30"/>
        <v>3</v>
      </c>
      <c r="AB248" s="18"/>
      <c r="AC248" s="18" t="str">
        <f>IF($AB248="","",IF($AB248&gt;$AA248,"PASS",IF($AB248&lt;=$AA248*(1-'Parametri Modello'!$B$68),"BID","ATTENZIONE")))</f>
        <v/>
      </c>
      <c r="AD248" s="28">
        <f t="shared" si="31"/>
        <v>62</v>
      </c>
      <c r="AE248" s="5" t="str">
        <f>IFERROR(INDEX('Stato Asta'!$G$9:$G$12,MATCH($B248,'Stato Asta'!$A$9:$A$12,0)),"")</f>
        <v>🔴 Non aspettare</v>
      </c>
      <c r="AF248" t="str">
        <f>IFERROR(IF($V248&lt;=INDEX('Parametri Modello'!$C$57:$C$60,MATCH($B248,'Parametri Modello'!$A$57:$A$60,0)),"Titolare","Riserva"),"")</f>
        <v>Riserva</v>
      </c>
      <c r="AG248" t="str">
        <f>IFERROR(INDEX('Pressione Competitiva'!$F$3:$F$6,MATCH($B248,'Pressione Competitiva'!$B$3:$B$6,0)),"")</f>
        <v>🔴 Molto Alta</v>
      </c>
      <c r="AH248" t="str">
        <f t="shared" si="32"/>
        <v/>
      </c>
      <c r="AI248" t="str">
        <f>IFERROR(IF($AH248="","",IF($AH248&gt;=$AA248*'Parametri Modello'!$B$68,"🟢 Opportunita'",IF($AH248&lt;=$AA248*'Parametri Modello'!$B$69,"🔴 Sovrapprezzo","🟡 Prezzo Corretto"))),"")</f>
        <v/>
      </c>
      <c r="AJ248" t="str">
        <f t="shared" si="33"/>
        <v/>
      </c>
      <c r="AK248">
        <f t="shared" si="34"/>
        <v>14</v>
      </c>
      <c r="AL248" t="str">
        <f t="shared" si="35"/>
        <v>D|Nella Media|14</v>
      </c>
    </row>
    <row r="249" spans="1:38" ht="14.25" customHeight="1" x14ac:dyDescent="0.25">
      <c r="A249" s="18">
        <v>6766</v>
      </c>
      <c r="B249" s="18" t="s">
        <v>16</v>
      </c>
      <c r="C249" s="18" t="s">
        <v>388</v>
      </c>
      <c r="E249" s="23" t="str">
        <f>IF(COUNTIF('Info Strategia'!$D$2:$D$51,$C249)&gt;0,"SI","NO")</f>
        <v>NO</v>
      </c>
      <c r="F249" s="24">
        <f>IFERROR(ROUND(($G249+($H249-$G249)*'Info Strategia'!$B$6)*(1+IF($E249="SI",'Parametri Modello'!$B$7*'Info Strategia'!$B$6,0)),0),"")</f>
        <v>3</v>
      </c>
      <c r="G249" s="24">
        <f>IFERROR(ROUND(MAX(1,(IF($V249&lt;=INDEX('Parametri Modello'!$C$57:$C$60,MATCH($B249,'Parametri Modello'!$A$57:$A$60,0)),IF(INDEX('Parametri Modello'!$E$57:$E$60,MATCH($B249,'Parametri Modello'!$A$57:$A$60,0))=0,0,($O249/INDEX('Parametri Modello'!$E$57:$E$60,MATCH($B249,'Parametri Modello'!$A$57:$A$60,0)))*(INDEX('Parametri Modello'!$D$57:$D$60,MATCH($B249,'Parametri Modello'!$A$57:$A$60,0))*(INDEX('Parametri Modello'!$B$50:$B$53,MATCH($B249,'Parametri Modello'!$A$50:$A$53,0))*'Parametri Modello'!$B$44))),IF(INDEX('Parametri Modello'!$F$57:$F$60,MATCH($B249,'Parametri Modello'!$A$57:$A$60,0))=0,0,($O249/INDEX('Parametri Modello'!$F$57:$F$60,MATCH($B249,'Parametri Modello'!$A$57:$A$60,0)))*((1-INDEX('Parametri Modello'!$D$57:$D$60,MATCH($B249,'Parametri Modello'!$A$57:$A$60,0)))*(INDEX('Parametri Modello'!$B$50:$B$53,MATCH($B249,'Parametri Modello'!$A$50:$A$53,0))*'Parametri Modello'!$B$44))))*(1+IF(IF($B249="D",'Info Lega'!$B$25,IF($B249="C",'Info Lega'!$B$26,"No"))="Si",'Parametri Modello'!$B$5,0))*(1+MAX(-0.25,MIN(0.25,IF(OR($T249="",$I249="",$I249=0,INDEX('Parametri Modello'!$B$19:$B$22,MATCH($B249,'Parametri Modello'!$A$19:$A$22,0))="",INDEX('Parametri Modello'!$B$19:$B$22,MATCH($B249,'Parametri Modello'!$A$19:$A$22,0))=0),0,(($T249-INDEX('Parametri Modello'!$B$19:$B$22,MATCH($B249,'Parametri Modello'!$A$19:$A$22,0)))/INDEX('Parametri Modello'!$B$19:$B$22,MATCH($B249,'Parametri Modello'!$A$19:$A$22,0)))*'Parametri Modello'!$B$9))))*(1+IF('Parametri Modello'!$B$27="Si",MAX(-'Parametri Modello'!$B$28,MIN('Parametri Modello'!$B$28*1.5,IF(OR(INDEX('Parametri Modello'!$F$32:$F$35,MATCH($B249,'Parametri Modello'!$A$32:$A$35,0))="",INDEX('Parametri Modello'!$F$32:$F$35,MATCH($B249,'Parametri Modello'!$A$32:$A$35,0))=0),0,(1/INDEX('Parametri Modello'!$F$32:$F$35,MATCH($B249,'Parametri Modello'!$A$32:$A$35,0))-1)*'Parametri Modello'!$B$28))),0)))*(1-INDEX('Parametri Modello'!$B$12:$B$15,MATCH($B249,'Parametri Modello'!$A$12:$A$15,0)))),0),"")</f>
        <v>2</v>
      </c>
      <c r="H249" s="24">
        <f>IFERROR(ROUND((IF($V249&lt;=INDEX('Parametri Modello'!$C$57:$C$60,MATCH($B249,'Parametri Modello'!$A$57:$A$60,0)),IF(INDEX('Parametri Modello'!$E$57:$E$60,MATCH($B249,'Parametri Modello'!$A$57:$A$60,0))=0,0,($O249/INDEX('Parametri Modello'!$E$57:$E$60,MATCH($B249,'Parametri Modello'!$A$57:$A$60,0)))*(INDEX('Parametri Modello'!$D$57:$D$60,MATCH($B249,'Parametri Modello'!$A$57:$A$60,0))*(INDEX('Parametri Modello'!$B$50:$B$53,MATCH($B249,'Parametri Modello'!$A$50:$A$53,0))*'Parametri Modello'!$B$44))),IF(INDEX('Parametri Modello'!$F$57:$F$60,MATCH($B249,'Parametri Modello'!$A$57:$A$60,0))=0,0,($O249/INDEX('Parametri Modello'!$F$57:$F$60,MATCH($B249,'Parametri Modello'!$A$57:$A$60,0)))*((1-INDEX('Parametri Modello'!$D$57:$D$60,MATCH($B249,'Parametri Modello'!$A$57:$A$60,0)))*(INDEX('Parametri Modello'!$B$50:$B$53,MATCH($B249,'Parametri Modello'!$A$50:$A$53,0))*'Parametri Modello'!$B$44))))*(1+IF(IF($B249="D",'Info Lega'!$B$25,IF($B249="C",'Info Lega'!$B$26,"No"))="Si",'Parametri Modello'!$B$5,0))*(1+MAX(-0.25,MIN(0.25,IF(OR($T249="",$I249="",$I249=0,INDEX('Parametri Modello'!$B$19:$B$22,MATCH($B249,'Parametri Modello'!$A$19:$A$22,0))="",INDEX('Parametri Modello'!$B$19:$B$22,MATCH($B249,'Parametri Modello'!$A$19:$A$22,0))=0),0,(($T249-INDEX('Parametri Modello'!$B$19:$B$22,MATCH($B249,'Parametri Modello'!$A$19:$A$22,0)))/INDEX('Parametri Modello'!$B$19:$B$22,MATCH($B249,'Parametri Modello'!$A$19:$A$22,0)))*'Parametri Modello'!$B$9))))*(1+IF('Parametri Modello'!$B$27="Si",MAX(-'Parametri Modello'!$B$28,MIN('Parametri Modello'!$B$28*1.5,IF(OR(INDEX('Parametri Modello'!$F$32:$F$35,MATCH($B249,'Parametri Modello'!$A$32:$A$35,0))="",INDEX('Parametri Modello'!$F$32:$F$35,MATCH($B249,'Parametri Modello'!$A$32:$A$35,0))=0),0,(1/INDEX('Parametri Modello'!$F$32:$F$35,MATCH($B249,'Parametri Modello'!$A$32:$A$35,0))-1)*'Parametri Modello'!$B$28))),0)))*(1+INDEX('Parametri Modello'!$B$12:$B$15,MATCH($B249,'Parametri Modello'!$A$12:$A$15,0))),0),"")</f>
        <v>3</v>
      </c>
      <c r="I249" s="23">
        <f>IFERROR(INDEX('Input Statistiche 2025_26'!$F$3:$F$665,MATCH($A249,'Input Statistiche 2025_26'!$A$3:$A$665,0)),"")</f>
        <v>35</v>
      </c>
      <c r="J249" s="23">
        <f t="shared" si="27"/>
        <v>3</v>
      </c>
      <c r="K249" s="23">
        <f>IFERROR(INDEX('Input Statistiche 2025_26'!$I$3:$I$665,MATCH($A249,'Input Statistiche 2025_26'!$A$3:$A$665,0)),"")</f>
        <v>1</v>
      </c>
      <c r="L249" s="23">
        <f>IFERROR(INDEX('Input Statistiche 2025_26'!$O$3:$O$665,MATCH($A249,'Input Statistiche 2025_26'!$A$3:$A$665,0)),"")</f>
        <v>1</v>
      </c>
      <c r="M249" s="25"/>
      <c r="N249" s="24">
        <f>IFERROR(INDEX('Input Giocatori 2026_27'!$E$3:$E$493,MATCH($A249,'Input Giocatori 2026_27'!$A$3:$A$493,0)),"")</f>
        <v>5</v>
      </c>
      <c r="O249" s="24">
        <f>IFERROR(INDEX('Input Giocatori 2026_27'!$G$3:$G$493,MATCH($A249,'Input Giocatori 2026_27'!$A$3:$A$493,0)),"")</f>
        <v>13</v>
      </c>
      <c r="P249" s="23" t="str">
        <f>IFERROR(IF($O249="","",IF((1-(COUNTIFS($B$2:$B$492,$B249,$O$2:$O$492,"&gt;"&amp;$O249)+1-1)/COUNTIF($B$2:$B$492,$B249))&gt;='Parametri Modello'!$B$63,"Top",IF((1-(COUNTIFS($B$2:$B$492,$B249,$O$2:$O$492,"&gt;"&amp;$O249)+1-1)/COUNTIF($B$2:$B$492,$B249))&gt;='Parametri Modello'!$B$64,"Buono",IF((1-(COUNTIFS($B$2:$B$492,$B249,$O$2:$O$492,"&gt;"&amp;$O249)+1-1)/COUNTIF($B$2:$B$492,$B249))&gt;='Parametri Modello'!$B$65,"Nella Media","Scommessa/Riserva")))),"")</f>
        <v>Nella Media</v>
      </c>
      <c r="Q249" s="26">
        <f>IF(AND($D249="",$N249&gt;1),SUMPRODUCT(($D$2:$D249="")*($N$2:$N249&gt;1)),"")</f>
        <v>248</v>
      </c>
      <c r="R249" s="26" t="str">
        <f>IF($D249='Info Lega'!$B$28,COUNTIFS($D$2:$D249,'Info Lega'!$B$28),"")</f>
        <v/>
      </c>
      <c r="S249" s="27">
        <f>IFERROR(INDEX('Input Statistiche 2025_26'!$G$3:$G$665,MATCH($A249,'Input Statistiche 2025_26'!$A$3:$A$665,0)),"")</f>
        <v>6.01</v>
      </c>
      <c r="T249" s="27">
        <f>IFERROR(INDEX('Input Statistiche 2025_26'!$H$3:$H$665,MATCH($A249,'Input Statistiche 2025_26'!$A$3:$A$665,0)),"")</f>
        <v>6.07</v>
      </c>
      <c r="U249" s="23" t="str">
        <f>IF(OR('La Mia Rosa'!$O$12="",$D249&lt;&gt;""),"",IF($F249&lt;='La Mia Rosa'!$O$12*'Parametri Modello'!$B$24,"OK",IF($F249&lt;='La Mia Rosa'!$O$12*'Parametri Modello'!$B$25,"Attenzione","Rischio Alto")))</f>
        <v>OK</v>
      </c>
      <c r="V249" s="23">
        <f t="shared" si="28"/>
        <v>69</v>
      </c>
      <c r="W249" s="18">
        <f>'Info Lega'!$B$4-SUMIFS($M$2:$M$492,$D$2:$D$492,'Info Lega'!$B$28)</f>
        <v>1000</v>
      </c>
      <c r="X249" s="18">
        <f>('Info Lega'!$B$5-COUNTIFS($D$2:$D$492,'Info Lega'!$B$28,$B$2:$B$492,"P"))+('Info Lega'!$B$6-COUNTIFS($D$2:$D$492,'Info Lega'!$B$28,$B$2:$B$492,"D"))+('Info Lega'!$B$7-COUNTIFS($D$2:$D$492,'Info Lega'!$B$28,$B$2:$B$492,"C"))+('Info Lega'!$B$8-COUNTIFS($D$2:$D$492,'Info Lega'!$B$28,$B$2:$B$492,"A"))</f>
        <v>25</v>
      </c>
      <c r="Y249" s="18">
        <f>X249*'Parametri Modello'!$B$30</f>
        <v>25</v>
      </c>
      <c r="Z249" s="18">
        <f t="shared" si="29"/>
        <v>975</v>
      </c>
      <c r="AA249" s="18">
        <f t="shared" si="30"/>
        <v>3</v>
      </c>
      <c r="AB249" s="18"/>
      <c r="AC249" s="18" t="str">
        <f>IF($AB249="","",IF($AB249&gt;$AA249,"PASS",IF($AB249&lt;=$AA249*(1-'Parametri Modello'!$B$68),"BID","ATTENZIONE")))</f>
        <v/>
      </c>
      <c r="AD249" s="28">
        <f t="shared" si="31"/>
        <v>69</v>
      </c>
      <c r="AE249" s="5" t="str">
        <f>IFERROR(INDEX('Stato Asta'!$G$9:$G$12,MATCH($B249,'Stato Asta'!$A$9:$A$12,0)),"")</f>
        <v>🔴 Non aspettare</v>
      </c>
      <c r="AF249" t="str">
        <f>IFERROR(IF($V249&lt;=INDEX('Parametri Modello'!$C$57:$C$60,MATCH($B249,'Parametri Modello'!$A$57:$A$60,0)),"Titolare","Riserva"),"")</f>
        <v>Riserva</v>
      </c>
      <c r="AG249" t="str">
        <f>IFERROR(INDEX('Pressione Competitiva'!$F$3:$F$6,MATCH($B249,'Pressione Competitiva'!$B$3:$B$6,0)),"")</f>
        <v>🔴 Molto Alta</v>
      </c>
      <c r="AH249" t="str">
        <f t="shared" si="32"/>
        <v/>
      </c>
      <c r="AI249" t="str">
        <f>IFERROR(IF($AH249="","",IF($AH249&gt;=$AA249*'Parametri Modello'!$B$68,"🟢 Opportunita'",IF($AH249&lt;=$AA249*'Parametri Modello'!$B$69,"🔴 Sovrapprezzo","🟡 Prezzo Corretto"))),"")</f>
        <v/>
      </c>
      <c r="AJ249" t="str">
        <f t="shared" si="33"/>
        <v/>
      </c>
      <c r="AK249">
        <f t="shared" si="34"/>
        <v>14</v>
      </c>
      <c r="AL249" t="str">
        <f t="shared" si="35"/>
        <v>D|Nella Media|14</v>
      </c>
    </row>
    <row r="250" spans="1:38" ht="14.25" customHeight="1" x14ac:dyDescent="0.25">
      <c r="A250" s="18">
        <v>5840</v>
      </c>
      <c r="B250" s="18" t="s">
        <v>16</v>
      </c>
      <c r="C250" s="18" t="s">
        <v>389</v>
      </c>
      <c r="E250" s="23" t="str">
        <f>IF(COUNTIF('Info Strategia'!$D$2:$D$51,$C250)&gt;0,"SI","NO")</f>
        <v>NO</v>
      </c>
      <c r="F250" s="24">
        <f>IFERROR(ROUND(($G250+($H250-$G250)*'Info Strategia'!$B$6)*(1+IF($E250="SI",'Parametri Modello'!$B$7*'Info Strategia'!$B$6,0)),0),"")</f>
        <v>3</v>
      </c>
      <c r="G250" s="24">
        <f>IFERROR(ROUND(MAX(1,(IF($V250&lt;=INDEX('Parametri Modello'!$C$57:$C$60,MATCH($B250,'Parametri Modello'!$A$57:$A$60,0)),IF(INDEX('Parametri Modello'!$E$57:$E$60,MATCH($B250,'Parametri Modello'!$A$57:$A$60,0))=0,0,($O250/INDEX('Parametri Modello'!$E$57:$E$60,MATCH($B250,'Parametri Modello'!$A$57:$A$60,0)))*(INDEX('Parametri Modello'!$D$57:$D$60,MATCH($B250,'Parametri Modello'!$A$57:$A$60,0))*(INDEX('Parametri Modello'!$B$50:$B$53,MATCH($B250,'Parametri Modello'!$A$50:$A$53,0))*'Parametri Modello'!$B$44))),IF(INDEX('Parametri Modello'!$F$57:$F$60,MATCH($B250,'Parametri Modello'!$A$57:$A$60,0))=0,0,($O250/INDEX('Parametri Modello'!$F$57:$F$60,MATCH($B250,'Parametri Modello'!$A$57:$A$60,0)))*((1-INDEX('Parametri Modello'!$D$57:$D$60,MATCH($B250,'Parametri Modello'!$A$57:$A$60,0)))*(INDEX('Parametri Modello'!$B$50:$B$53,MATCH($B250,'Parametri Modello'!$A$50:$A$53,0))*'Parametri Modello'!$B$44))))*(1+IF(IF($B250="D",'Info Lega'!$B$25,IF($B250="C",'Info Lega'!$B$26,"No"))="Si",'Parametri Modello'!$B$5,0))*(1+MAX(-0.25,MIN(0.25,IF(OR($T250="",$I250="",$I250=0,INDEX('Parametri Modello'!$B$19:$B$22,MATCH($B250,'Parametri Modello'!$A$19:$A$22,0))="",INDEX('Parametri Modello'!$B$19:$B$22,MATCH($B250,'Parametri Modello'!$A$19:$A$22,0))=0),0,(($T250-INDEX('Parametri Modello'!$B$19:$B$22,MATCH($B250,'Parametri Modello'!$A$19:$A$22,0)))/INDEX('Parametri Modello'!$B$19:$B$22,MATCH($B250,'Parametri Modello'!$A$19:$A$22,0)))*'Parametri Modello'!$B$9))))*(1+IF('Parametri Modello'!$B$27="Si",MAX(-'Parametri Modello'!$B$28,MIN('Parametri Modello'!$B$28*1.5,IF(OR(INDEX('Parametri Modello'!$F$32:$F$35,MATCH($B250,'Parametri Modello'!$A$32:$A$35,0))="",INDEX('Parametri Modello'!$F$32:$F$35,MATCH($B250,'Parametri Modello'!$A$32:$A$35,0))=0),0,(1/INDEX('Parametri Modello'!$F$32:$F$35,MATCH($B250,'Parametri Modello'!$A$32:$A$35,0))-1)*'Parametri Modello'!$B$28))),0)))*(1-INDEX('Parametri Modello'!$B$12:$B$15,MATCH($B250,'Parametri Modello'!$A$12:$A$15,0)))),0),"")</f>
        <v>2</v>
      </c>
      <c r="H250" s="24">
        <f>IFERROR(ROUND((IF($V250&lt;=INDEX('Parametri Modello'!$C$57:$C$60,MATCH($B250,'Parametri Modello'!$A$57:$A$60,0)),IF(INDEX('Parametri Modello'!$E$57:$E$60,MATCH($B250,'Parametri Modello'!$A$57:$A$60,0))=0,0,($O250/INDEX('Parametri Modello'!$E$57:$E$60,MATCH($B250,'Parametri Modello'!$A$57:$A$60,0)))*(INDEX('Parametri Modello'!$D$57:$D$60,MATCH($B250,'Parametri Modello'!$A$57:$A$60,0))*(INDEX('Parametri Modello'!$B$50:$B$53,MATCH($B250,'Parametri Modello'!$A$50:$A$53,0))*'Parametri Modello'!$B$44))),IF(INDEX('Parametri Modello'!$F$57:$F$60,MATCH($B250,'Parametri Modello'!$A$57:$A$60,0))=0,0,($O250/INDEX('Parametri Modello'!$F$57:$F$60,MATCH($B250,'Parametri Modello'!$A$57:$A$60,0)))*((1-INDEX('Parametri Modello'!$D$57:$D$60,MATCH($B250,'Parametri Modello'!$A$57:$A$60,0)))*(INDEX('Parametri Modello'!$B$50:$B$53,MATCH($B250,'Parametri Modello'!$A$50:$A$53,0))*'Parametri Modello'!$B$44))))*(1+IF(IF($B250="D",'Info Lega'!$B$25,IF($B250="C",'Info Lega'!$B$26,"No"))="Si",'Parametri Modello'!$B$5,0))*(1+MAX(-0.25,MIN(0.25,IF(OR($T250="",$I250="",$I250=0,INDEX('Parametri Modello'!$B$19:$B$22,MATCH($B250,'Parametri Modello'!$A$19:$A$22,0))="",INDEX('Parametri Modello'!$B$19:$B$22,MATCH($B250,'Parametri Modello'!$A$19:$A$22,0))=0),0,(($T250-INDEX('Parametri Modello'!$B$19:$B$22,MATCH($B250,'Parametri Modello'!$A$19:$A$22,0)))/INDEX('Parametri Modello'!$B$19:$B$22,MATCH($B250,'Parametri Modello'!$A$19:$A$22,0)))*'Parametri Modello'!$B$9))))*(1+IF('Parametri Modello'!$B$27="Si",MAX(-'Parametri Modello'!$B$28,MIN('Parametri Modello'!$B$28*1.5,IF(OR(INDEX('Parametri Modello'!$F$32:$F$35,MATCH($B250,'Parametri Modello'!$A$32:$A$35,0))="",INDEX('Parametri Modello'!$F$32:$F$35,MATCH($B250,'Parametri Modello'!$A$32:$A$35,0))=0),0,(1/INDEX('Parametri Modello'!$F$32:$F$35,MATCH($B250,'Parametri Modello'!$A$32:$A$35,0))-1)*'Parametri Modello'!$B$28))),0)))*(1+INDEX('Parametri Modello'!$B$12:$B$15,MATCH($B250,'Parametri Modello'!$A$12:$A$15,0))),0),"")</f>
        <v>3</v>
      </c>
      <c r="I250" s="23">
        <f>IFERROR(INDEX('Input Statistiche 2025_26'!$F$3:$F$665,MATCH($A250,'Input Statistiche 2025_26'!$A$3:$A$665,0)),"")</f>
        <v>22</v>
      </c>
      <c r="J250" s="23">
        <f t="shared" si="27"/>
        <v>16</v>
      </c>
      <c r="K250" s="23">
        <f>IFERROR(INDEX('Input Statistiche 2025_26'!$I$3:$I$665,MATCH($A250,'Input Statistiche 2025_26'!$A$3:$A$665,0)),"")</f>
        <v>0</v>
      </c>
      <c r="L250" s="23">
        <f>IFERROR(INDEX('Input Statistiche 2025_26'!$O$3:$O$665,MATCH($A250,'Input Statistiche 2025_26'!$A$3:$A$665,0)),"")</f>
        <v>0</v>
      </c>
      <c r="M250" s="25"/>
      <c r="N250" s="24">
        <f>IFERROR(INDEX('Input Giocatori 2026_27'!$E$3:$E$493,MATCH($A250,'Input Giocatori 2026_27'!$A$3:$A$493,0)),"")</f>
        <v>5</v>
      </c>
      <c r="O250" s="24">
        <f>IFERROR(INDEX('Input Giocatori 2026_27'!$G$3:$G$493,MATCH($A250,'Input Giocatori 2026_27'!$A$3:$A$493,0)),"")</f>
        <v>13</v>
      </c>
      <c r="P250" s="23" t="str">
        <f>IFERROR(IF($O250="","",IF((1-(COUNTIFS($B$2:$B$492,$B250,$O$2:$O$492,"&gt;"&amp;$O250)+1-1)/COUNTIF($B$2:$B$492,$B250))&gt;='Parametri Modello'!$B$63,"Top",IF((1-(COUNTIFS($B$2:$B$492,$B250,$O$2:$O$492,"&gt;"&amp;$O250)+1-1)/COUNTIF($B$2:$B$492,$B250))&gt;='Parametri Modello'!$B$64,"Buono",IF((1-(COUNTIFS($B$2:$B$492,$B250,$O$2:$O$492,"&gt;"&amp;$O250)+1-1)/COUNTIF($B$2:$B$492,$B250))&gt;='Parametri Modello'!$B$65,"Nella Media","Scommessa/Riserva")))),"")</f>
        <v>Nella Media</v>
      </c>
      <c r="Q250" s="26">
        <f>IF(AND($D250="",$N250&gt;1),SUMPRODUCT(($D$2:$D250="")*($N$2:$N250&gt;1)),"")</f>
        <v>249</v>
      </c>
      <c r="R250" s="26" t="str">
        <f>IF($D250='Info Lega'!$B$28,COUNTIFS($D$2:$D250,'Info Lega'!$B$28),"")</f>
        <v/>
      </c>
      <c r="S250" s="27">
        <f>IFERROR(INDEX('Input Statistiche 2025_26'!$G$3:$G$665,MATCH($A250,'Input Statistiche 2025_26'!$A$3:$A$665,0)),"")</f>
        <v>5.75</v>
      </c>
      <c r="T250" s="27">
        <f>IFERROR(INDEX('Input Statistiche 2025_26'!$H$3:$H$665,MATCH($A250,'Input Statistiche 2025_26'!$A$3:$A$665,0)),"")</f>
        <v>5.68</v>
      </c>
      <c r="U250" s="23" t="str">
        <f>IF(OR('La Mia Rosa'!$O$12="",$D250&lt;&gt;""),"",IF($F250&lt;='La Mia Rosa'!$O$12*'Parametri Modello'!$B$24,"OK",IF($F250&lt;='La Mia Rosa'!$O$12*'Parametri Modello'!$B$25,"Attenzione","Rischio Alto")))</f>
        <v>OK</v>
      </c>
      <c r="V250" s="23">
        <f t="shared" si="28"/>
        <v>69</v>
      </c>
      <c r="W250" s="18">
        <f>'Info Lega'!$B$4-SUMIFS($M$2:$M$492,$D$2:$D$492,'Info Lega'!$B$28)</f>
        <v>1000</v>
      </c>
      <c r="X250" s="18">
        <f>('Info Lega'!$B$5-COUNTIFS($D$2:$D$492,'Info Lega'!$B$28,$B$2:$B$492,"P"))+('Info Lega'!$B$6-COUNTIFS($D$2:$D$492,'Info Lega'!$B$28,$B$2:$B$492,"D"))+('Info Lega'!$B$7-COUNTIFS($D$2:$D$492,'Info Lega'!$B$28,$B$2:$B$492,"C"))+('Info Lega'!$B$8-COUNTIFS($D$2:$D$492,'Info Lega'!$B$28,$B$2:$B$492,"A"))</f>
        <v>25</v>
      </c>
      <c r="Y250" s="18">
        <f>X250*'Parametri Modello'!$B$30</f>
        <v>25</v>
      </c>
      <c r="Z250" s="18">
        <f t="shared" si="29"/>
        <v>975</v>
      </c>
      <c r="AA250" s="18">
        <f t="shared" si="30"/>
        <v>3</v>
      </c>
      <c r="AB250" s="18"/>
      <c r="AC250" s="18" t="str">
        <f>IF($AB250="","",IF($AB250&gt;$AA250,"PASS",IF($AB250&lt;=$AA250*(1-'Parametri Modello'!$B$68),"BID","ATTENZIONE")))</f>
        <v/>
      </c>
      <c r="AD250" s="28">
        <f t="shared" si="31"/>
        <v>52</v>
      </c>
      <c r="AE250" s="5" t="str">
        <f>IFERROR(INDEX('Stato Asta'!$G$9:$G$12,MATCH($B250,'Stato Asta'!$A$9:$A$12,0)),"")</f>
        <v>🔴 Non aspettare</v>
      </c>
      <c r="AF250" t="str">
        <f>IFERROR(IF($V250&lt;=INDEX('Parametri Modello'!$C$57:$C$60,MATCH($B250,'Parametri Modello'!$A$57:$A$60,0)),"Titolare","Riserva"),"")</f>
        <v>Riserva</v>
      </c>
      <c r="AG250" t="str">
        <f>IFERROR(INDEX('Pressione Competitiva'!$F$3:$F$6,MATCH($B250,'Pressione Competitiva'!$B$3:$B$6,0)),"")</f>
        <v>🔴 Molto Alta</v>
      </c>
      <c r="AH250" t="str">
        <f t="shared" si="32"/>
        <v/>
      </c>
      <c r="AI250" t="str">
        <f>IFERROR(IF($AH250="","",IF($AH250&gt;=$AA250*'Parametri Modello'!$B$68,"🟢 Opportunita'",IF($AH250&lt;=$AA250*'Parametri Modello'!$B$69,"🔴 Sovrapprezzo","🟡 Prezzo Corretto"))),"")</f>
        <v/>
      </c>
      <c r="AJ250" t="str">
        <f t="shared" si="33"/>
        <v/>
      </c>
      <c r="AK250">
        <f t="shared" si="34"/>
        <v>14</v>
      </c>
      <c r="AL250" t="str">
        <f t="shared" si="35"/>
        <v>D|Nella Media|14</v>
      </c>
    </row>
    <row r="251" spans="1:38" ht="14.25" customHeight="1" x14ac:dyDescent="0.25">
      <c r="A251" s="18">
        <v>6426</v>
      </c>
      <c r="B251" s="18" t="s">
        <v>16</v>
      </c>
      <c r="C251" s="18" t="s">
        <v>390</v>
      </c>
      <c r="E251" s="23" t="str">
        <f>IF(COUNTIF('Info Strategia'!$D$2:$D$51,$C251)&gt;0,"SI","NO")</f>
        <v>NO</v>
      </c>
      <c r="F251" s="24">
        <f>IFERROR(ROUND(($G251+($H251-$G251)*'Info Strategia'!$B$6)*(1+IF($E251="SI",'Parametri Modello'!$B$7*'Info Strategia'!$B$6,0)),0),"")</f>
        <v>3</v>
      </c>
      <c r="G251" s="24">
        <f>IFERROR(ROUND(MAX(1,(IF($V251&lt;=INDEX('Parametri Modello'!$C$57:$C$60,MATCH($B251,'Parametri Modello'!$A$57:$A$60,0)),IF(INDEX('Parametri Modello'!$E$57:$E$60,MATCH($B251,'Parametri Modello'!$A$57:$A$60,0))=0,0,($O251/INDEX('Parametri Modello'!$E$57:$E$60,MATCH($B251,'Parametri Modello'!$A$57:$A$60,0)))*(INDEX('Parametri Modello'!$D$57:$D$60,MATCH($B251,'Parametri Modello'!$A$57:$A$60,0))*(INDEX('Parametri Modello'!$B$50:$B$53,MATCH($B251,'Parametri Modello'!$A$50:$A$53,0))*'Parametri Modello'!$B$44))),IF(INDEX('Parametri Modello'!$F$57:$F$60,MATCH($B251,'Parametri Modello'!$A$57:$A$60,0))=0,0,($O251/INDEX('Parametri Modello'!$F$57:$F$60,MATCH($B251,'Parametri Modello'!$A$57:$A$60,0)))*((1-INDEX('Parametri Modello'!$D$57:$D$60,MATCH($B251,'Parametri Modello'!$A$57:$A$60,0)))*(INDEX('Parametri Modello'!$B$50:$B$53,MATCH($B251,'Parametri Modello'!$A$50:$A$53,0))*'Parametri Modello'!$B$44))))*(1+IF(IF($B251="D",'Info Lega'!$B$25,IF($B251="C",'Info Lega'!$B$26,"No"))="Si",'Parametri Modello'!$B$5,0))*(1+MAX(-0.25,MIN(0.25,IF(OR($T251="",$I251="",$I251=0,INDEX('Parametri Modello'!$B$19:$B$22,MATCH($B251,'Parametri Modello'!$A$19:$A$22,0))="",INDEX('Parametri Modello'!$B$19:$B$22,MATCH($B251,'Parametri Modello'!$A$19:$A$22,0))=0),0,(($T251-INDEX('Parametri Modello'!$B$19:$B$22,MATCH($B251,'Parametri Modello'!$A$19:$A$22,0)))/INDEX('Parametri Modello'!$B$19:$B$22,MATCH($B251,'Parametri Modello'!$A$19:$A$22,0)))*'Parametri Modello'!$B$9))))*(1+IF('Parametri Modello'!$B$27="Si",MAX(-'Parametri Modello'!$B$28,MIN('Parametri Modello'!$B$28*1.5,IF(OR(INDEX('Parametri Modello'!$F$32:$F$35,MATCH($B251,'Parametri Modello'!$A$32:$A$35,0))="",INDEX('Parametri Modello'!$F$32:$F$35,MATCH($B251,'Parametri Modello'!$A$32:$A$35,0))=0),0,(1/INDEX('Parametri Modello'!$F$32:$F$35,MATCH($B251,'Parametri Modello'!$A$32:$A$35,0))-1)*'Parametri Modello'!$B$28))),0)))*(1-INDEX('Parametri Modello'!$B$12:$B$15,MATCH($B251,'Parametri Modello'!$A$12:$A$15,0)))),0),"")</f>
        <v>2</v>
      </c>
      <c r="H251" s="24">
        <f>IFERROR(ROUND((IF($V251&lt;=INDEX('Parametri Modello'!$C$57:$C$60,MATCH($B251,'Parametri Modello'!$A$57:$A$60,0)),IF(INDEX('Parametri Modello'!$E$57:$E$60,MATCH($B251,'Parametri Modello'!$A$57:$A$60,0))=0,0,($O251/INDEX('Parametri Modello'!$E$57:$E$60,MATCH($B251,'Parametri Modello'!$A$57:$A$60,0)))*(INDEX('Parametri Modello'!$D$57:$D$60,MATCH($B251,'Parametri Modello'!$A$57:$A$60,0))*(INDEX('Parametri Modello'!$B$50:$B$53,MATCH($B251,'Parametri Modello'!$A$50:$A$53,0))*'Parametri Modello'!$B$44))),IF(INDEX('Parametri Modello'!$F$57:$F$60,MATCH($B251,'Parametri Modello'!$A$57:$A$60,0))=0,0,($O251/INDEX('Parametri Modello'!$F$57:$F$60,MATCH($B251,'Parametri Modello'!$A$57:$A$60,0)))*((1-INDEX('Parametri Modello'!$D$57:$D$60,MATCH($B251,'Parametri Modello'!$A$57:$A$60,0)))*(INDEX('Parametri Modello'!$B$50:$B$53,MATCH($B251,'Parametri Modello'!$A$50:$A$53,0))*'Parametri Modello'!$B$44))))*(1+IF(IF($B251="D",'Info Lega'!$B$25,IF($B251="C",'Info Lega'!$B$26,"No"))="Si",'Parametri Modello'!$B$5,0))*(1+MAX(-0.25,MIN(0.25,IF(OR($T251="",$I251="",$I251=0,INDEX('Parametri Modello'!$B$19:$B$22,MATCH($B251,'Parametri Modello'!$A$19:$A$22,0))="",INDEX('Parametri Modello'!$B$19:$B$22,MATCH($B251,'Parametri Modello'!$A$19:$A$22,0))=0),0,(($T251-INDEX('Parametri Modello'!$B$19:$B$22,MATCH($B251,'Parametri Modello'!$A$19:$A$22,0)))/INDEX('Parametri Modello'!$B$19:$B$22,MATCH($B251,'Parametri Modello'!$A$19:$A$22,0)))*'Parametri Modello'!$B$9))))*(1+IF('Parametri Modello'!$B$27="Si",MAX(-'Parametri Modello'!$B$28,MIN('Parametri Modello'!$B$28*1.5,IF(OR(INDEX('Parametri Modello'!$F$32:$F$35,MATCH($B251,'Parametri Modello'!$A$32:$A$35,0))="",INDEX('Parametri Modello'!$F$32:$F$35,MATCH($B251,'Parametri Modello'!$A$32:$A$35,0))=0),0,(1/INDEX('Parametri Modello'!$F$32:$F$35,MATCH($B251,'Parametri Modello'!$A$32:$A$35,0))-1)*'Parametri Modello'!$B$28))),0)))*(1+INDEX('Parametri Modello'!$B$12:$B$15,MATCH($B251,'Parametri Modello'!$A$12:$A$15,0))),0),"")</f>
        <v>3</v>
      </c>
      <c r="I251" s="23">
        <f>IFERROR(INDEX('Input Statistiche 2025_26'!$F$3:$F$665,MATCH($A251,'Input Statistiche 2025_26'!$A$3:$A$665,0)),"")</f>
        <v>28</v>
      </c>
      <c r="J251" s="23">
        <f t="shared" si="27"/>
        <v>10</v>
      </c>
      <c r="K251" s="23">
        <f>IFERROR(INDEX('Input Statistiche 2025_26'!$I$3:$I$665,MATCH($A251,'Input Statistiche 2025_26'!$A$3:$A$665,0)),"")</f>
        <v>1</v>
      </c>
      <c r="L251" s="23">
        <f>IFERROR(INDEX('Input Statistiche 2025_26'!$O$3:$O$665,MATCH($A251,'Input Statistiche 2025_26'!$A$3:$A$665,0)),"")</f>
        <v>2</v>
      </c>
      <c r="M251" s="25"/>
      <c r="N251" s="24">
        <f>IFERROR(INDEX('Input Giocatori 2026_27'!$E$3:$E$493,MATCH($A251,'Input Giocatori 2026_27'!$A$3:$A$493,0)),"")</f>
        <v>5</v>
      </c>
      <c r="O251" s="24">
        <f>IFERROR(INDEX('Input Giocatori 2026_27'!$G$3:$G$493,MATCH($A251,'Input Giocatori 2026_27'!$A$3:$A$493,0)),"")</f>
        <v>13</v>
      </c>
      <c r="P251" s="23" t="str">
        <f>IFERROR(IF($O251="","",IF((1-(COUNTIFS($B$2:$B$492,$B251,$O$2:$O$492,"&gt;"&amp;$O251)+1-1)/COUNTIF($B$2:$B$492,$B251))&gt;='Parametri Modello'!$B$63,"Top",IF((1-(COUNTIFS($B$2:$B$492,$B251,$O$2:$O$492,"&gt;"&amp;$O251)+1-1)/COUNTIF($B$2:$B$492,$B251))&gt;='Parametri Modello'!$B$64,"Buono",IF((1-(COUNTIFS($B$2:$B$492,$B251,$O$2:$O$492,"&gt;"&amp;$O251)+1-1)/COUNTIF($B$2:$B$492,$B251))&gt;='Parametri Modello'!$B$65,"Nella Media","Scommessa/Riserva")))),"")</f>
        <v>Nella Media</v>
      </c>
      <c r="Q251" s="26">
        <f>IF(AND($D251="",$N251&gt;1),SUMPRODUCT(($D$2:$D251="")*($N$2:$N251&gt;1)),"")</f>
        <v>250</v>
      </c>
      <c r="R251" s="26" t="str">
        <f>IF($D251='Info Lega'!$B$28,COUNTIFS($D$2:$D251,'Info Lega'!$B$28),"")</f>
        <v/>
      </c>
      <c r="S251" s="27">
        <f>IFERROR(INDEX('Input Statistiche 2025_26'!$G$3:$G$665,MATCH($A251,'Input Statistiche 2025_26'!$A$3:$A$665,0)),"")</f>
        <v>5.84</v>
      </c>
      <c r="T251" s="27">
        <f>IFERROR(INDEX('Input Statistiche 2025_26'!$H$3:$H$665,MATCH($A251,'Input Statistiche 2025_26'!$A$3:$A$665,0)),"")</f>
        <v>5.96</v>
      </c>
      <c r="U251" s="23" t="str">
        <f>IF(OR('La Mia Rosa'!$O$12="",$D251&lt;&gt;""),"",IF($F251&lt;='La Mia Rosa'!$O$12*'Parametri Modello'!$B$24,"OK",IF($F251&lt;='La Mia Rosa'!$O$12*'Parametri Modello'!$B$25,"Attenzione","Rischio Alto")))</f>
        <v>OK</v>
      </c>
      <c r="V251" s="23">
        <f t="shared" si="28"/>
        <v>69</v>
      </c>
      <c r="W251" s="18">
        <f>'Info Lega'!$B$4-SUMIFS($M$2:$M$492,$D$2:$D$492,'Info Lega'!$B$28)</f>
        <v>1000</v>
      </c>
      <c r="X251" s="18">
        <f>('Info Lega'!$B$5-COUNTIFS($D$2:$D$492,'Info Lega'!$B$28,$B$2:$B$492,"P"))+('Info Lega'!$B$6-COUNTIFS($D$2:$D$492,'Info Lega'!$B$28,$B$2:$B$492,"D"))+('Info Lega'!$B$7-COUNTIFS($D$2:$D$492,'Info Lega'!$B$28,$B$2:$B$492,"C"))+('Info Lega'!$B$8-COUNTIFS($D$2:$D$492,'Info Lega'!$B$28,$B$2:$B$492,"A"))</f>
        <v>25</v>
      </c>
      <c r="Y251" s="18">
        <f>X251*'Parametri Modello'!$B$30</f>
        <v>25</v>
      </c>
      <c r="Z251" s="18">
        <f t="shared" si="29"/>
        <v>975</v>
      </c>
      <c r="AA251" s="18">
        <f t="shared" si="30"/>
        <v>3</v>
      </c>
      <c r="AB251" s="18"/>
      <c r="AC251" s="18" t="str">
        <f>IF($AB251="","",IF($AB251&gt;$AA251,"PASS",IF($AB251&lt;=$AA251*(1-'Parametri Modello'!$B$68),"BID","ATTENZIONE")))</f>
        <v/>
      </c>
      <c r="AD251" s="28">
        <f t="shared" si="31"/>
        <v>61</v>
      </c>
      <c r="AE251" s="5" t="str">
        <f>IFERROR(INDEX('Stato Asta'!$G$9:$G$12,MATCH($B251,'Stato Asta'!$A$9:$A$12,0)),"")</f>
        <v>🔴 Non aspettare</v>
      </c>
      <c r="AF251" t="str">
        <f>IFERROR(IF($V251&lt;=INDEX('Parametri Modello'!$C$57:$C$60,MATCH($B251,'Parametri Modello'!$A$57:$A$60,0)),"Titolare","Riserva"),"")</f>
        <v>Riserva</v>
      </c>
      <c r="AG251" t="str">
        <f>IFERROR(INDEX('Pressione Competitiva'!$F$3:$F$6,MATCH($B251,'Pressione Competitiva'!$B$3:$B$6,0)),"")</f>
        <v>🔴 Molto Alta</v>
      </c>
      <c r="AH251" t="str">
        <f t="shared" si="32"/>
        <v/>
      </c>
      <c r="AI251" t="str">
        <f>IFERROR(IF($AH251="","",IF($AH251&gt;=$AA251*'Parametri Modello'!$B$68,"🟢 Opportunita'",IF($AH251&lt;=$AA251*'Parametri Modello'!$B$69,"🔴 Sovrapprezzo","🟡 Prezzo Corretto"))),"")</f>
        <v/>
      </c>
      <c r="AJ251" t="str">
        <f t="shared" si="33"/>
        <v/>
      </c>
      <c r="AK251">
        <f t="shared" si="34"/>
        <v>14</v>
      </c>
      <c r="AL251" t="str">
        <f t="shared" si="35"/>
        <v>D|Nella Media|14</v>
      </c>
    </row>
    <row r="252" spans="1:38" ht="14.25" customHeight="1" x14ac:dyDescent="0.25">
      <c r="A252" s="18">
        <v>5851</v>
      </c>
      <c r="B252" s="18" t="s">
        <v>16</v>
      </c>
      <c r="C252" s="18" t="s">
        <v>391</v>
      </c>
      <c r="E252" s="23" t="str">
        <f>IF(COUNTIF('Info Strategia'!$D$2:$D$51,$C252)&gt;0,"SI","NO")</f>
        <v>NO</v>
      </c>
      <c r="F252" s="24">
        <f>IFERROR(ROUND(($G252+($H252-$G252)*'Info Strategia'!$B$6)*(1+IF($E252="SI",'Parametri Modello'!$B$7*'Info Strategia'!$B$6,0)),0),"")</f>
        <v>3</v>
      </c>
      <c r="G252" s="24">
        <f>IFERROR(ROUND(MAX(1,(IF($V252&lt;=INDEX('Parametri Modello'!$C$57:$C$60,MATCH($B252,'Parametri Modello'!$A$57:$A$60,0)),IF(INDEX('Parametri Modello'!$E$57:$E$60,MATCH($B252,'Parametri Modello'!$A$57:$A$60,0))=0,0,($O252/INDEX('Parametri Modello'!$E$57:$E$60,MATCH($B252,'Parametri Modello'!$A$57:$A$60,0)))*(INDEX('Parametri Modello'!$D$57:$D$60,MATCH($B252,'Parametri Modello'!$A$57:$A$60,0))*(INDEX('Parametri Modello'!$B$50:$B$53,MATCH($B252,'Parametri Modello'!$A$50:$A$53,0))*'Parametri Modello'!$B$44))),IF(INDEX('Parametri Modello'!$F$57:$F$60,MATCH($B252,'Parametri Modello'!$A$57:$A$60,0))=0,0,($O252/INDEX('Parametri Modello'!$F$57:$F$60,MATCH($B252,'Parametri Modello'!$A$57:$A$60,0)))*((1-INDEX('Parametri Modello'!$D$57:$D$60,MATCH($B252,'Parametri Modello'!$A$57:$A$60,0)))*(INDEX('Parametri Modello'!$B$50:$B$53,MATCH($B252,'Parametri Modello'!$A$50:$A$53,0))*'Parametri Modello'!$B$44))))*(1+IF(IF($B252="D",'Info Lega'!$B$25,IF($B252="C",'Info Lega'!$B$26,"No"))="Si",'Parametri Modello'!$B$5,0))*(1+MAX(-0.25,MIN(0.25,IF(OR($T252="",$I252="",$I252=0,INDEX('Parametri Modello'!$B$19:$B$22,MATCH($B252,'Parametri Modello'!$A$19:$A$22,0))="",INDEX('Parametri Modello'!$B$19:$B$22,MATCH($B252,'Parametri Modello'!$A$19:$A$22,0))=0),0,(($T252-INDEX('Parametri Modello'!$B$19:$B$22,MATCH($B252,'Parametri Modello'!$A$19:$A$22,0)))/INDEX('Parametri Modello'!$B$19:$B$22,MATCH($B252,'Parametri Modello'!$A$19:$A$22,0)))*'Parametri Modello'!$B$9))))*(1+IF('Parametri Modello'!$B$27="Si",MAX(-'Parametri Modello'!$B$28,MIN('Parametri Modello'!$B$28*1.5,IF(OR(INDEX('Parametri Modello'!$F$32:$F$35,MATCH($B252,'Parametri Modello'!$A$32:$A$35,0))="",INDEX('Parametri Modello'!$F$32:$F$35,MATCH($B252,'Parametri Modello'!$A$32:$A$35,0))=0),0,(1/INDEX('Parametri Modello'!$F$32:$F$35,MATCH($B252,'Parametri Modello'!$A$32:$A$35,0))-1)*'Parametri Modello'!$B$28))),0)))*(1-INDEX('Parametri Modello'!$B$12:$B$15,MATCH($B252,'Parametri Modello'!$A$12:$A$15,0)))),0),"")</f>
        <v>2</v>
      </c>
      <c r="H252" s="24">
        <f>IFERROR(ROUND((IF($V252&lt;=INDEX('Parametri Modello'!$C$57:$C$60,MATCH($B252,'Parametri Modello'!$A$57:$A$60,0)),IF(INDEX('Parametri Modello'!$E$57:$E$60,MATCH($B252,'Parametri Modello'!$A$57:$A$60,0))=0,0,($O252/INDEX('Parametri Modello'!$E$57:$E$60,MATCH($B252,'Parametri Modello'!$A$57:$A$60,0)))*(INDEX('Parametri Modello'!$D$57:$D$60,MATCH($B252,'Parametri Modello'!$A$57:$A$60,0))*(INDEX('Parametri Modello'!$B$50:$B$53,MATCH($B252,'Parametri Modello'!$A$50:$A$53,0))*'Parametri Modello'!$B$44))),IF(INDEX('Parametri Modello'!$F$57:$F$60,MATCH($B252,'Parametri Modello'!$A$57:$A$60,0))=0,0,($O252/INDEX('Parametri Modello'!$F$57:$F$60,MATCH($B252,'Parametri Modello'!$A$57:$A$60,0)))*((1-INDEX('Parametri Modello'!$D$57:$D$60,MATCH($B252,'Parametri Modello'!$A$57:$A$60,0)))*(INDEX('Parametri Modello'!$B$50:$B$53,MATCH($B252,'Parametri Modello'!$A$50:$A$53,0))*'Parametri Modello'!$B$44))))*(1+IF(IF($B252="D",'Info Lega'!$B$25,IF($B252="C",'Info Lega'!$B$26,"No"))="Si",'Parametri Modello'!$B$5,0))*(1+MAX(-0.25,MIN(0.25,IF(OR($T252="",$I252="",$I252=0,INDEX('Parametri Modello'!$B$19:$B$22,MATCH($B252,'Parametri Modello'!$A$19:$A$22,0))="",INDEX('Parametri Modello'!$B$19:$B$22,MATCH($B252,'Parametri Modello'!$A$19:$A$22,0))=0),0,(($T252-INDEX('Parametri Modello'!$B$19:$B$22,MATCH($B252,'Parametri Modello'!$A$19:$A$22,0)))/INDEX('Parametri Modello'!$B$19:$B$22,MATCH($B252,'Parametri Modello'!$A$19:$A$22,0)))*'Parametri Modello'!$B$9))))*(1+IF('Parametri Modello'!$B$27="Si",MAX(-'Parametri Modello'!$B$28,MIN('Parametri Modello'!$B$28*1.5,IF(OR(INDEX('Parametri Modello'!$F$32:$F$35,MATCH($B252,'Parametri Modello'!$A$32:$A$35,0))="",INDEX('Parametri Modello'!$F$32:$F$35,MATCH($B252,'Parametri Modello'!$A$32:$A$35,0))=0),0,(1/INDEX('Parametri Modello'!$F$32:$F$35,MATCH($B252,'Parametri Modello'!$A$32:$A$35,0))-1)*'Parametri Modello'!$B$28))),0)))*(1+INDEX('Parametri Modello'!$B$12:$B$15,MATCH($B252,'Parametri Modello'!$A$12:$A$15,0))),0),"")</f>
        <v>3</v>
      </c>
      <c r="I252" s="23">
        <f>IFERROR(INDEX('Input Statistiche 2025_26'!$F$3:$F$665,MATCH($A252,'Input Statistiche 2025_26'!$A$3:$A$665,0)),"")</f>
        <v>27</v>
      </c>
      <c r="J252" s="23">
        <f t="shared" si="27"/>
        <v>11</v>
      </c>
      <c r="K252" s="23">
        <f>IFERROR(INDEX('Input Statistiche 2025_26'!$I$3:$I$665,MATCH($A252,'Input Statistiche 2025_26'!$A$3:$A$665,0)),"")</f>
        <v>0</v>
      </c>
      <c r="L252" s="23">
        <f>IFERROR(INDEX('Input Statistiche 2025_26'!$O$3:$O$665,MATCH($A252,'Input Statistiche 2025_26'!$A$3:$A$665,0)),"")</f>
        <v>0</v>
      </c>
      <c r="M252" s="25"/>
      <c r="N252" s="24">
        <f>IFERROR(INDEX('Input Giocatori 2026_27'!$E$3:$E$493,MATCH($A252,'Input Giocatori 2026_27'!$A$3:$A$493,0)),"")</f>
        <v>4</v>
      </c>
      <c r="O252" s="24">
        <f>IFERROR(INDEX('Input Giocatori 2026_27'!$G$3:$G$493,MATCH($A252,'Input Giocatori 2026_27'!$A$3:$A$493,0)),"")</f>
        <v>13</v>
      </c>
      <c r="P252" s="23" t="str">
        <f>IFERROR(IF($O252="","",IF((1-(COUNTIFS($B$2:$B$492,$B252,$O$2:$O$492,"&gt;"&amp;$O252)+1-1)/COUNTIF($B$2:$B$492,$B252))&gt;='Parametri Modello'!$B$63,"Top",IF((1-(COUNTIFS($B$2:$B$492,$B252,$O$2:$O$492,"&gt;"&amp;$O252)+1-1)/COUNTIF($B$2:$B$492,$B252))&gt;='Parametri Modello'!$B$64,"Buono",IF((1-(COUNTIFS($B$2:$B$492,$B252,$O$2:$O$492,"&gt;"&amp;$O252)+1-1)/COUNTIF($B$2:$B$492,$B252))&gt;='Parametri Modello'!$B$65,"Nella Media","Scommessa/Riserva")))),"")</f>
        <v>Nella Media</v>
      </c>
      <c r="Q252" s="26">
        <f>IF(AND($D252="",$N252&gt;1),SUMPRODUCT(($D$2:$D252="")*($N$2:$N252&gt;1)),"")</f>
        <v>251</v>
      </c>
      <c r="R252" s="26" t="str">
        <f>IF($D252='Info Lega'!$B$28,COUNTIFS($D$2:$D252,'Info Lega'!$B$28),"")</f>
        <v/>
      </c>
      <c r="S252" s="27">
        <f>IFERROR(INDEX('Input Statistiche 2025_26'!$G$3:$G$665,MATCH($A252,'Input Statistiche 2025_26'!$A$3:$A$665,0)),"")</f>
        <v>5.85</v>
      </c>
      <c r="T252" s="27">
        <f>IFERROR(INDEX('Input Statistiche 2025_26'!$H$3:$H$665,MATCH($A252,'Input Statistiche 2025_26'!$A$3:$A$665,0)),"")</f>
        <v>5.76</v>
      </c>
      <c r="U252" s="23" t="str">
        <f>IF(OR('La Mia Rosa'!$O$12="",$D252&lt;&gt;""),"",IF($F252&lt;='La Mia Rosa'!$O$12*'Parametri Modello'!$B$24,"OK",IF($F252&lt;='La Mia Rosa'!$O$12*'Parametri Modello'!$B$25,"Attenzione","Rischio Alto")))</f>
        <v>OK</v>
      </c>
      <c r="V252" s="23">
        <f t="shared" si="28"/>
        <v>69</v>
      </c>
      <c r="W252" s="18">
        <f>'Info Lega'!$B$4-SUMIFS($M$2:$M$492,$D$2:$D$492,'Info Lega'!$B$28)</f>
        <v>1000</v>
      </c>
      <c r="X252" s="18">
        <f>('Info Lega'!$B$5-COUNTIFS($D$2:$D$492,'Info Lega'!$B$28,$B$2:$B$492,"P"))+('Info Lega'!$B$6-COUNTIFS($D$2:$D$492,'Info Lega'!$B$28,$B$2:$B$492,"D"))+('Info Lega'!$B$7-COUNTIFS($D$2:$D$492,'Info Lega'!$B$28,$B$2:$B$492,"C"))+('Info Lega'!$B$8-COUNTIFS($D$2:$D$492,'Info Lega'!$B$28,$B$2:$B$492,"A"))</f>
        <v>25</v>
      </c>
      <c r="Y252" s="18">
        <f>X252*'Parametri Modello'!$B$30</f>
        <v>25</v>
      </c>
      <c r="Z252" s="18">
        <f t="shared" si="29"/>
        <v>975</v>
      </c>
      <c r="AA252" s="18">
        <f t="shared" si="30"/>
        <v>3</v>
      </c>
      <c r="AB252" s="18"/>
      <c r="AC252" s="18" t="str">
        <f>IF($AB252="","",IF($AB252&gt;$AA252,"PASS",IF($AB252&lt;=$AA252*(1-'Parametri Modello'!$B$68),"BID","ATTENZIONE")))</f>
        <v/>
      </c>
      <c r="AD252" s="28">
        <f t="shared" si="31"/>
        <v>59</v>
      </c>
      <c r="AE252" s="5" t="str">
        <f>IFERROR(INDEX('Stato Asta'!$G$9:$G$12,MATCH($B252,'Stato Asta'!$A$9:$A$12,0)),"")</f>
        <v>🔴 Non aspettare</v>
      </c>
      <c r="AF252" t="str">
        <f>IFERROR(IF($V252&lt;=INDEX('Parametri Modello'!$C$57:$C$60,MATCH($B252,'Parametri Modello'!$A$57:$A$60,0)),"Titolare","Riserva"),"")</f>
        <v>Riserva</v>
      </c>
      <c r="AG252" t="str">
        <f>IFERROR(INDEX('Pressione Competitiva'!$F$3:$F$6,MATCH($B252,'Pressione Competitiva'!$B$3:$B$6,0)),"")</f>
        <v>🔴 Molto Alta</v>
      </c>
      <c r="AH252" t="str">
        <f t="shared" si="32"/>
        <v/>
      </c>
      <c r="AI252" t="str">
        <f>IFERROR(IF($AH252="","",IF($AH252&gt;=$AA252*'Parametri Modello'!$B$68,"🟢 Opportunita'",IF($AH252&lt;=$AA252*'Parametri Modello'!$B$69,"🔴 Sovrapprezzo","🟡 Prezzo Corretto"))),"")</f>
        <v/>
      </c>
      <c r="AJ252" t="str">
        <f t="shared" si="33"/>
        <v/>
      </c>
      <c r="AK252">
        <f t="shared" si="34"/>
        <v>14</v>
      </c>
      <c r="AL252" t="str">
        <f t="shared" si="35"/>
        <v>D|Nella Media|14</v>
      </c>
    </row>
    <row r="253" spans="1:38" ht="14.25" customHeight="1" x14ac:dyDescent="0.25">
      <c r="A253" s="18">
        <v>2848</v>
      </c>
      <c r="B253" s="18" t="s">
        <v>17</v>
      </c>
      <c r="C253" s="18" t="s">
        <v>392</v>
      </c>
      <c r="E253" s="23" t="str">
        <f>IF(COUNTIF('Info Strategia'!$D$2:$D$51,$C253)&gt;0,"SI","NO")</f>
        <v>NO</v>
      </c>
      <c r="F253" s="24">
        <f>IFERROR(ROUND(($G253+($H253-$G253)*'Info Strategia'!$B$6)*(1+IF($E253="SI",'Parametri Modello'!$B$7*'Info Strategia'!$B$6,0)),0),"")</f>
        <v>2</v>
      </c>
      <c r="G253" s="24">
        <f>IFERROR(ROUND(MAX(1,(IF($V253&lt;=INDEX('Parametri Modello'!$C$57:$C$60,MATCH($B253,'Parametri Modello'!$A$57:$A$60,0)),IF(INDEX('Parametri Modello'!$E$57:$E$60,MATCH($B253,'Parametri Modello'!$A$57:$A$60,0))=0,0,($O253/INDEX('Parametri Modello'!$E$57:$E$60,MATCH($B253,'Parametri Modello'!$A$57:$A$60,0)))*(INDEX('Parametri Modello'!$D$57:$D$60,MATCH($B253,'Parametri Modello'!$A$57:$A$60,0))*(INDEX('Parametri Modello'!$B$50:$B$53,MATCH($B253,'Parametri Modello'!$A$50:$A$53,0))*'Parametri Modello'!$B$44))),IF(INDEX('Parametri Modello'!$F$57:$F$60,MATCH($B253,'Parametri Modello'!$A$57:$A$60,0))=0,0,($O253/INDEX('Parametri Modello'!$F$57:$F$60,MATCH($B253,'Parametri Modello'!$A$57:$A$60,0)))*((1-INDEX('Parametri Modello'!$D$57:$D$60,MATCH($B253,'Parametri Modello'!$A$57:$A$60,0)))*(INDEX('Parametri Modello'!$B$50:$B$53,MATCH($B253,'Parametri Modello'!$A$50:$A$53,0))*'Parametri Modello'!$B$44))))*(1+IF(IF($B253="D",'Info Lega'!$B$25,IF($B253="C",'Info Lega'!$B$26,"No"))="Si",'Parametri Modello'!$B$5,0))*(1+MAX(-0.25,MIN(0.25,IF(OR($T253="",$I253="",$I253=0,INDEX('Parametri Modello'!$B$19:$B$22,MATCH($B253,'Parametri Modello'!$A$19:$A$22,0))="",INDEX('Parametri Modello'!$B$19:$B$22,MATCH($B253,'Parametri Modello'!$A$19:$A$22,0))=0),0,(($T253-INDEX('Parametri Modello'!$B$19:$B$22,MATCH($B253,'Parametri Modello'!$A$19:$A$22,0)))/INDEX('Parametri Modello'!$B$19:$B$22,MATCH($B253,'Parametri Modello'!$A$19:$A$22,0)))*'Parametri Modello'!$B$9))))*(1+IF('Parametri Modello'!$B$27="Si",MAX(-'Parametri Modello'!$B$28,MIN('Parametri Modello'!$B$28*1.5,IF(OR(INDEX('Parametri Modello'!$F$32:$F$35,MATCH($B253,'Parametri Modello'!$A$32:$A$35,0))="",INDEX('Parametri Modello'!$F$32:$F$35,MATCH($B253,'Parametri Modello'!$A$32:$A$35,0))=0),0,(1/INDEX('Parametri Modello'!$F$32:$F$35,MATCH($B253,'Parametri Modello'!$A$32:$A$35,0))-1)*'Parametri Modello'!$B$28))),0)))*(1-INDEX('Parametri Modello'!$B$12:$B$15,MATCH($B253,'Parametri Modello'!$A$12:$A$15,0)))),0),"")</f>
        <v>1</v>
      </c>
      <c r="H253" s="24">
        <f>IFERROR(ROUND((IF($V253&lt;=INDEX('Parametri Modello'!$C$57:$C$60,MATCH($B253,'Parametri Modello'!$A$57:$A$60,0)),IF(INDEX('Parametri Modello'!$E$57:$E$60,MATCH($B253,'Parametri Modello'!$A$57:$A$60,0))=0,0,($O253/INDEX('Parametri Modello'!$E$57:$E$60,MATCH($B253,'Parametri Modello'!$A$57:$A$60,0)))*(INDEX('Parametri Modello'!$D$57:$D$60,MATCH($B253,'Parametri Modello'!$A$57:$A$60,0))*(INDEX('Parametri Modello'!$B$50:$B$53,MATCH($B253,'Parametri Modello'!$A$50:$A$53,0))*'Parametri Modello'!$B$44))),IF(INDEX('Parametri Modello'!$F$57:$F$60,MATCH($B253,'Parametri Modello'!$A$57:$A$60,0))=0,0,($O253/INDEX('Parametri Modello'!$F$57:$F$60,MATCH($B253,'Parametri Modello'!$A$57:$A$60,0)))*((1-INDEX('Parametri Modello'!$D$57:$D$60,MATCH($B253,'Parametri Modello'!$A$57:$A$60,0)))*(INDEX('Parametri Modello'!$B$50:$B$53,MATCH($B253,'Parametri Modello'!$A$50:$A$53,0))*'Parametri Modello'!$B$44))))*(1+IF(IF($B253="D",'Info Lega'!$B$25,IF($B253="C",'Info Lega'!$B$26,"No"))="Si",'Parametri Modello'!$B$5,0))*(1+MAX(-0.25,MIN(0.25,IF(OR($T253="",$I253="",$I253=0,INDEX('Parametri Modello'!$B$19:$B$22,MATCH($B253,'Parametri Modello'!$A$19:$A$22,0))="",INDEX('Parametri Modello'!$B$19:$B$22,MATCH($B253,'Parametri Modello'!$A$19:$A$22,0))=0),0,(($T253-INDEX('Parametri Modello'!$B$19:$B$22,MATCH($B253,'Parametri Modello'!$A$19:$A$22,0)))/INDEX('Parametri Modello'!$B$19:$B$22,MATCH($B253,'Parametri Modello'!$A$19:$A$22,0)))*'Parametri Modello'!$B$9))))*(1+IF('Parametri Modello'!$B$27="Si",MAX(-'Parametri Modello'!$B$28,MIN('Parametri Modello'!$B$28*1.5,IF(OR(INDEX('Parametri Modello'!$F$32:$F$35,MATCH($B253,'Parametri Modello'!$A$32:$A$35,0))="",INDEX('Parametri Modello'!$F$32:$F$35,MATCH($B253,'Parametri Modello'!$A$32:$A$35,0))=0),0,(1/INDEX('Parametri Modello'!$F$32:$F$35,MATCH($B253,'Parametri Modello'!$A$32:$A$35,0))-1)*'Parametri Modello'!$B$28))),0)))*(1+INDEX('Parametri Modello'!$B$12:$B$15,MATCH($B253,'Parametri Modello'!$A$12:$A$15,0))),0),"")</f>
        <v>2</v>
      </c>
      <c r="I253" s="23">
        <f>IFERROR(INDEX('Input Statistiche 2025_26'!$F$3:$F$665,MATCH($A253,'Input Statistiche 2025_26'!$A$3:$A$665,0)),"")</f>
        <v>14</v>
      </c>
      <c r="J253" s="23">
        <f t="shared" si="27"/>
        <v>24</v>
      </c>
      <c r="K253" s="23">
        <f>IFERROR(INDEX('Input Statistiche 2025_26'!$I$3:$I$665,MATCH($A253,'Input Statistiche 2025_26'!$A$3:$A$665,0)),"")</f>
        <v>0</v>
      </c>
      <c r="L253" s="23">
        <f>IFERROR(INDEX('Input Statistiche 2025_26'!$O$3:$O$665,MATCH($A253,'Input Statistiche 2025_26'!$A$3:$A$665,0)),"")</f>
        <v>0</v>
      </c>
      <c r="M253" s="25"/>
      <c r="N253" s="24">
        <f>IFERROR(INDEX('Input Giocatori 2026_27'!$E$3:$E$493,MATCH($A253,'Input Giocatori 2026_27'!$A$3:$A$493,0)),"")</f>
        <v>7</v>
      </c>
      <c r="O253" s="24">
        <f>IFERROR(INDEX('Input Giocatori 2026_27'!$G$3:$G$493,MATCH($A253,'Input Giocatori 2026_27'!$A$3:$A$493,0)),"")</f>
        <v>13</v>
      </c>
      <c r="P253" s="23" t="str">
        <f>IFERROR(IF($O253="","",IF((1-(COUNTIFS($B$2:$B$492,$B253,$O$2:$O$492,"&gt;"&amp;$O253)+1-1)/COUNTIF($B$2:$B$492,$B253))&gt;='Parametri Modello'!$B$63,"Top",IF((1-(COUNTIFS($B$2:$B$492,$B253,$O$2:$O$492,"&gt;"&amp;$O253)+1-1)/COUNTIF($B$2:$B$492,$B253))&gt;='Parametri Modello'!$B$64,"Buono",IF((1-(COUNTIFS($B$2:$B$492,$B253,$O$2:$O$492,"&gt;"&amp;$O253)+1-1)/COUNTIF($B$2:$B$492,$B253))&gt;='Parametri Modello'!$B$65,"Nella Media","Scommessa/Riserva")))),"")</f>
        <v>Nella Media</v>
      </c>
      <c r="Q253" s="26">
        <f>IF(AND($D253="",$N253&gt;1),SUMPRODUCT(($D$2:$D253="")*($N$2:$N253&gt;1)),"")</f>
        <v>252</v>
      </c>
      <c r="R253" s="26" t="str">
        <f>IF($D253='Info Lega'!$B$28,COUNTIFS($D$2:$D253,'Info Lega'!$B$28),"")</f>
        <v/>
      </c>
      <c r="S253" s="27">
        <f>IFERROR(INDEX('Input Statistiche 2025_26'!$G$3:$G$665,MATCH($A253,'Input Statistiche 2025_26'!$A$3:$A$665,0)),"")</f>
        <v>5.89</v>
      </c>
      <c r="T253" s="27">
        <f>IFERROR(INDEX('Input Statistiche 2025_26'!$H$3:$H$665,MATCH($A253,'Input Statistiche 2025_26'!$A$3:$A$665,0)),"")</f>
        <v>5.89</v>
      </c>
      <c r="U253" s="23" t="str">
        <f>IF(OR('La Mia Rosa'!$O$12="",$D253&lt;&gt;""),"",IF($F253&lt;='La Mia Rosa'!$O$12*'Parametri Modello'!$B$24,"OK",IF($F253&lt;='La Mia Rosa'!$O$12*'Parametri Modello'!$B$25,"Attenzione","Rischio Alto")))</f>
        <v>OK</v>
      </c>
      <c r="V253" s="23">
        <f t="shared" si="28"/>
        <v>98</v>
      </c>
      <c r="W253" s="18">
        <f>'Info Lega'!$B$4-SUMIFS($M$2:$M$492,$D$2:$D$492,'Info Lega'!$B$28)</f>
        <v>1000</v>
      </c>
      <c r="X253" s="18">
        <f>('Info Lega'!$B$5-COUNTIFS($D$2:$D$492,'Info Lega'!$B$28,$B$2:$B$492,"P"))+('Info Lega'!$B$6-COUNTIFS($D$2:$D$492,'Info Lega'!$B$28,$B$2:$B$492,"D"))+('Info Lega'!$B$7-COUNTIFS($D$2:$D$492,'Info Lega'!$B$28,$B$2:$B$492,"C"))+('Info Lega'!$B$8-COUNTIFS($D$2:$D$492,'Info Lega'!$B$28,$B$2:$B$492,"A"))</f>
        <v>25</v>
      </c>
      <c r="Y253" s="18">
        <f>X253*'Parametri Modello'!$B$30</f>
        <v>25</v>
      </c>
      <c r="Z253" s="18">
        <f t="shared" si="29"/>
        <v>975</v>
      </c>
      <c r="AA253" s="18">
        <f t="shared" si="30"/>
        <v>2</v>
      </c>
      <c r="AB253" s="18"/>
      <c r="AC253" s="18" t="str">
        <f>IF($AB253="","",IF($AB253&gt;$AA253,"PASS",IF($AB253&lt;=$AA253*(1-'Parametri Modello'!$B$68),"BID","ATTENZIONE")))</f>
        <v/>
      </c>
      <c r="AD253" s="28">
        <f t="shared" si="31"/>
        <v>37</v>
      </c>
      <c r="AE253" s="5" t="str">
        <f>IFERROR(INDEX('Stato Asta'!$G$9:$G$12,MATCH($B253,'Stato Asta'!$A$9:$A$12,0)),"")</f>
        <v>🔴 Non aspettare</v>
      </c>
      <c r="AF253" t="str">
        <f>IFERROR(IF($V253&lt;=INDEX('Parametri Modello'!$C$57:$C$60,MATCH($B253,'Parametri Modello'!$A$57:$A$60,0)),"Titolare","Riserva"),"")</f>
        <v>Riserva</v>
      </c>
      <c r="AG253" t="str">
        <f>IFERROR(INDEX('Pressione Competitiva'!$F$3:$F$6,MATCH($B253,'Pressione Competitiva'!$B$3:$B$6,0)),"")</f>
        <v>🔴 Molto Alta</v>
      </c>
      <c r="AH253" t="str">
        <f t="shared" si="32"/>
        <v/>
      </c>
      <c r="AI253" t="str">
        <f>IFERROR(IF($AH253="","",IF($AH253&gt;=$AA253*'Parametri Modello'!$B$68,"🟢 Opportunita'",IF($AH253&lt;=$AA253*'Parametri Modello'!$B$69,"🔴 Sovrapprezzo","🟡 Prezzo Corretto"))),"")</f>
        <v/>
      </c>
      <c r="AJ253" t="str">
        <f t="shared" si="33"/>
        <v/>
      </c>
      <c r="AK253">
        <f t="shared" si="34"/>
        <v>43</v>
      </c>
      <c r="AL253" t="str">
        <f t="shared" si="35"/>
        <v>C|Nella Media|43</v>
      </c>
    </row>
    <row r="254" spans="1:38" ht="14.25" customHeight="1" x14ac:dyDescent="0.25">
      <c r="A254" s="18">
        <v>4870</v>
      </c>
      <c r="B254" s="18" t="s">
        <v>17</v>
      </c>
      <c r="C254" s="18" t="s">
        <v>393</v>
      </c>
      <c r="E254" s="23" t="str">
        <f>IF(COUNTIF('Info Strategia'!$D$2:$D$51,$C254)&gt;0,"SI","NO")</f>
        <v>NO</v>
      </c>
      <c r="F254" s="24">
        <f>IFERROR(ROUND(($G254+($H254-$G254)*'Info Strategia'!$B$6)*(1+IF($E254="SI",'Parametri Modello'!$B$7*'Info Strategia'!$B$6,0)),0),"")</f>
        <v>2</v>
      </c>
      <c r="G254" s="24">
        <f>IFERROR(ROUND(MAX(1,(IF($V254&lt;=INDEX('Parametri Modello'!$C$57:$C$60,MATCH($B254,'Parametri Modello'!$A$57:$A$60,0)),IF(INDEX('Parametri Modello'!$E$57:$E$60,MATCH($B254,'Parametri Modello'!$A$57:$A$60,0))=0,0,($O254/INDEX('Parametri Modello'!$E$57:$E$60,MATCH($B254,'Parametri Modello'!$A$57:$A$60,0)))*(INDEX('Parametri Modello'!$D$57:$D$60,MATCH($B254,'Parametri Modello'!$A$57:$A$60,0))*(INDEX('Parametri Modello'!$B$50:$B$53,MATCH($B254,'Parametri Modello'!$A$50:$A$53,0))*'Parametri Modello'!$B$44))),IF(INDEX('Parametri Modello'!$F$57:$F$60,MATCH($B254,'Parametri Modello'!$A$57:$A$60,0))=0,0,($O254/INDEX('Parametri Modello'!$F$57:$F$60,MATCH($B254,'Parametri Modello'!$A$57:$A$60,0)))*((1-INDEX('Parametri Modello'!$D$57:$D$60,MATCH($B254,'Parametri Modello'!$A$57:$A$60,0)))*(INDEX('Parametri Modello'!$B$50:$B$53,MATCH($B254,'Parametri Modello'!$A$50:$A$53,0))*'Parametri Modello'!$B$44))))*(1+IF(IF($B254="D",'Info Lega'!$B$25,IF($B254="C",'Info Lega'!$B$26,"No"))="Si",'Parametri Modello'!$B$5,0))*(1+MAX(-0.25,MIN(0.25,IF(OR($T254="",$I254="",$I254=0,INDEX('Parametri Modello'!$B$19:$B$22,MATCH($B254,'Parametri Modello'!$A$19:$A$22,0))="",INDEX('Parametri Modello'!$B$19:$B$22,MATCH($B254,'Parametri Modello'!$A$19:$A$22,0))=0),0,(($T254-INDEX('Parametri Modello'!$B$19:$B$22,MATCH($B254,'Parametri Modello'!$A$19:$A$22,0)))/INDEX('Parametri Modello'!$B$19:$B$22,MATCH($B254,'Parametri Modello'!$A$19:$A$22,0)))*'Parametri Modello'!$B$9))))*(1+IF('Parametri Modello'!$B$27="Si",MAX(-'Parametri Modello'!$B$28,MIN('Parametri Modello'!$B$28*1.5,IF(OR(INDEX('Parametri Modello'!$F$32:$F$35,MATCH($B254,'Parametri Modello'!$A$32:$A$35,0))="",INDEX('Parametri Modello'!$F$32:$F$35,MATCH($B254,'Parametri Modello'!$A$32:$A$35,0))=0),0,(1/INDEX('Parametri Modello'!$F$32:$F$35,MATCH($B254,'Parametri Modello'!$A$32:$A$35,0))-1)*'Parametri Modello'!$B$28))),0)))*(1-INDEX('Parametri Modello'!$B$12:$B$15,MATCH($B254,'Parametri Modello'!$A$12:$A$15,0)))),0),"")</f>
        <v>1</v>
      </c>
      <c r="H254" s="24">
        <f>IFERROR(ROUND((IF($V254&lt;=INDEX('Parametri Modello'!$C$57:$C$60,MATCH($B254,'Parametri Modello'!$A$57:$A$60,0)),IF(INDEX('Parametri Modello'!$E$57:$E$60,MATCH($B254,'Parametri Modello'!$A$57:$A$60,0))=0,0,($O254/INDEX('Parametri Modello'!$E$57:$E$60,MATCH($B254,'Parametri Modello'!$A$57:$A$60,0)))*(INDEX('Parametri Modello'!$D$57:$D$60,MATCH($B254,'Parametri Modello'!$A$57:$A$60,0))*(INDEX('Parametri Modello'!$B$50:$B$53,MATCH($B254,'Parametri Modello'!$A$50:$A$53,0))*'Parametri Modello'!$B$44))),IF(INDEX('Parametri Modello'!$F$57:$F$60,MATCH($B254,'Parametri Modello'!$A$57:$A$60,0))=0,0,($O254/INDEX('Parametri Modello'!$F$57:$F$60,MATCH($B254,'Parametri Modello'!$A$57:$A$60,0)))*((1-INDEX('Parametri Modello'!$D$57:$D$60,MATCH($B254,'Parametri Modello'!$A$57:$A$60,0)))*(INDEX('Parametri Modello'!$B$50:$B$53,MATCH($B254,'Parametri Modello'!$A$50:$A$53,0))*'Parametri Modello'!$B$44))))*(1+IF(IF($B254="D",'Info Lega'!$B$25,IF($B254="C",'Info Lega'!$B$26,"No"))="Si",'Parametri Modello'!$B$5,0))*(1+MAX(-0.25,MIN(0.25,IF(OR($T254="",$I254="",$I254=0,INDEX('Parametri Modello'!$B$19:$B$22,MATCH($B254,'Parametri Modello'!$A$19:$A$22,0))="",INDEX('Parametri Modello'!$B$19:$B$22,MATCH($B254,'Parametri Modello'!$A$19:$A$22,0))=0),0,(($T254-INDEX('Parametri Modello'!$B$19:$B$22,MATCH($B254,'Parametri Modello'!$A$19:$A$22,0)))/INDEX('Parametri Modello'!$B$19:$B$22,MATCH($B254,'Parametri Modello'!$A$19:$A$22,0)))*'Parametri Modello'!$B$9))))*(1+IF('Parametri Modello'!$B$27="Si",MAX(-'Parametri Modello'!$B$28,MIN('Parametri Modello'!$B$28*1.5,IF(OR(INDEX('Parametri Modello'!$F$32:$F$35,MATCH($B254,'Parametri Modello'!$A$32:$A$35,0))="",INDEX('Parametri Modello'!$F$32:$F$35,MATCH($B254,'Parametri Modello'!$A$32:$A$35,0))=0),0,(1/INDEX('Parametri Modello'!$F$32:$F$35,MATCH($B254,'Parametri Modello'!$A$32:$A$35,0))-1)*'Parametri Modello'!$B$28))),0)))*(1+INDEX('Parametri Modello'!$B$12:$B$15,MATCH($B254,'Parametri Modello'!$A$12:$A$15,0))),0),"")</f>
        <v>2</v>
      </c>
      <c r="I254" s="23">
        <f>IFERROR(INDEX('Input Statistiche 2025_26'!$F$3:$F$665,MATCH($A254,'Input Statistiche 2025_26'!$A$3:$A$665,0)),"")</f>
        <v>38</v>
      </c>
      <c r="J254" s="23">
        <f t="shared" si="27"/>
        <v>0</v>
      </c>
      <c r="K254" s="23">
        <f>IFERROR(INDEX('Input Statistiche 2025_26'!$I$3:$I$665,MATCH($A254,'Input Statistiche 2025_26'!$A$3:$A$665,0)),"")</f>
        <v>1</v>
      </c>
      <c r="L254" s="23">
        <f>IFERROR(INDEX('Input Statistiche 2025_26'!$O$3:$O$665,MATCH($A254,'Input Statistiche 2025_26'!$A$3:$A$665,0)),"")</f>
        <v>1</v>
      </c>
      <c r="M254" s="25"/>
      <c r="N254" s="24">
        <f>IFERROR(INDEX('Input Giocatori 2026_27'!$E$3:$E$493,MATCH($A254,'Input Giocatori 2026_27'!$A$3:$A$493,0)),"")</f>
        <v>6</v>
      </c>
      <c r="O254" s="24">
        <f>IFERROR(INDEX('Input Giocatori 2026_27'!$G$3:$G$493,MATCH($A254,'Input Giocatori 2026_27'!$A$3:$A$493,0)),"")</f>
        <v>13</v>
      </c>
      <c r="P254" s="23" t="str">
        <f>IFERROR(IF($O254="","",IF((1-(COUNTIFS($B$2:$B$492,$B254,$O$2:$O$492,"&gt;"&amp;$O254)+1-1)/COUNTIF($B$2:$B$492,$B254))&gt;='Parametri Modello'!$B$63,"Top",IF((1-(COUNTIFS($B$2:$B$492,$B254,$O$2:$O$492,"&gt;"&amp;$O254)+1-1)/COUNTIF($B$2:$B$492,$B254))&gt;='Parametri Modello'!$B$64,"Buono",IF((1-(COUNTIFS($B$2:$B$492,$B254,$O$2:$O$492,"&gt;"&amp;$O254)+1-1)/COUNTIF($B$2:$B$492,$B254))&gt;='Parametri Modello'!$B$65,"Nella Media","Scommessa/Riserva")))),"")</f>
        <v>Nella Media</v>
      </c>
      <c r="Q254" s="26">
        <f>IF(AND($D254="",$N254&gt;1),SUMPRODUCT(($D$2:$D254="")*($N$2:$N254&gt;1)),"")</f>
        <v>253</v>
      </c>
      <c r="R254" s="26" t="str">
        <f>IF($D254='Info Lega'!$B$28,COUNTIFS($D$2:$D254,'Info Lega'!$B$28),"")</f>
        <v/>
      </c>
      <c r="S254" s="27">
        <f>IFERROR(INDEX('Input Statistiche 2025_26'!$G$3:$G$665,MATCH($A254,'Input Statistiche 2025_26'!$A$3:$A$665,0)),"")</f>
        <v>5.83</v>
      </c>
      <c r="T254" s="27">
        <f>IFERROR(INDEX('Input Statistiche 2025_26'!$H$3:$H$665,MATCH($A254,'Input Statistiche 2025_26'!$A$3:$A$665,0)),"")</f>
        <v>5.88</v>
      </c>
      <c r="U254" s="23" t="str">
        <f>IF(OR('La Mia Rosa'!$O$12="",$D254&lt;&gt;""),"",IF($F254&lt;='La Mia Rosa'!$O$12*'Parametri Modello'!$B$24,"OK",IF($F254&lt;='La Mia Rosa'!$O$12*'Parametri Modello'!$B$25,"Attenzione","Rischio Alto")))</f>
        <v>OK</v>
      </c>
      <c r="V254" s="23">
        <f t="shared" si="28"/>
        <v>98</v>
      </c>
      <c r="W254" s="18">
        <f>'Info Lega'!$B$4-SUMIFS($M$2:$M$492,$D$2:$D$492,'Info Lega'!$B$28)</f>
        <v>1000</v>
      </c>
      <c r="X254" s="18">
        <f>('Info Lega'!$B$5-COUNTIFS($D$2:$D$492,'Info Lega'!$B$28,$B$2:$B$492,"P"))+('Info Lega'!$B$6-COUNTIFS($D$2:$D$492,'Info Lega'!$B$28,$B$2:$B$492,"D"))+('Info Lega'!$B$7-COUNTIFS($D$2:$D$492,'Info Lega'!$B$28,$B$2:$B$492,"C"))+('Info Lega'!$B$8-COUNTIFS($D$2:$D$492,'Info Lega'!$B$28,$B$2:$B$492,"A"))</f>
        <v>25</v>
      </c>
      <c r="Y254" s="18">
        <f>X254*'Parametri Modello'!$B$30</f>
        <v>25</v>
      </c>
      <c r="Z254" s="18">
        <f t="shared" si="29"/>
        <v>975</v>
      </c>
      <c r="AA254" s="18">
        <f t="shared" si="30"/>
        <v>2</v>
      </c>
      <c r="AB254" s="18"/>
      <c r="AC254" s="18" t="str">
        <f>IF($AB254="","",IF($AB254&gt;$AA254,"PASS",IF($AB254&lt;=$AA254*(1-'Parametri Modello'!$B$68),"BID","ATTENZIONE")))</f>
        <v/>
      </c>
      <c r="AD254" s="28">
        <f t="shared" si="31"/>
        <v>72</v>
      </c>
      <c r="AE254" s="5" t="str">
        <f>IFERROR(INDEX('Stato Asta'!$G$9:$G$12,MATCH($B254,'Stato Asta'!$A$9:$A$12,0)),"")</f>
        <v>🔴 Non aspettare</v>
      </c>
      <c r="AF254" t="str">
        <f>IFERROR(IF($V254&lt;=INDEX('Parametri Modello'!$C$57:$C$60,MATCH($B254,'Parametri Modello'!$A$57:$A$60,0)),"Titolare","Riserva"),"")</f>
        <v>Riserva</v>
      </c>
      <c r="AG254" t="str">
        <f>IFERROR(INDEX('Pressione Competitiva'!$F$3:$F$6,MATCH($B254,'Pressione Competitiva'!$B$3:$B$6,0)),"")</f>
        <v>🔴 Molto Alta</v>
      </c>
      <c r="AH254" t="str">
        <f t="shared" si="32"/>
        <v/>
      </c>
      <c r="AI254" t="str">
        <f>IFERROR(IF($AH254="","",IF($AH254&gt;=$AA254*'Parametri Modello'!$B$68,"🟢 Opportunita'",IF($AH254&lt;=$AA254*'Parametri Modello'!$B$69,"🔴 Sovrapprezzo","🟡 Prezzo Corretto"))),"")</f>
        <v/>
      </c>
      <c r="AJ254" t="str">
        <f t="shared" si="33"/>
        <v/>
      </c>
      <c r="AK254">
        <f t="shared" si="34"/>
        <v>43</v>
      </c>
      <c r="AL254" t="str">
        <f t="shared" si="35"/>
        <v>C|Nella Media|43</v>
      </c>
    </row>
    <row r="255" spans="1:38" ht="14.25" customHeight="1" x14ac:dyDescent="0.25">
      <c r="A255" s="18">
        <v>5998</v>
      </c>
      <c r="B255" s="18" t="s">
        <v>17</v>
      </c>
      <c r="C255" s="18" t="s">
        <v>394</v>
      </c>
      <c r="E255" s="23" t="str">
        <f>IF(COUNTIF('Info Strategia'!$D$2:$D$51,$C255)&gt;0,"SI","NO")</f>
        <v>NO</v>
      </c>
      <c r="F255" s="24">
        <f>IFERROR(ROUND(($G255+($H255-$G255)*'Info Strategia'!$B$6)*(1+IF($E255="SI",'Parametri Modello'!$B$7*'Info Strategia'!$B$6,0)),0),"")</f>
        <v>2</v>
      </c>
      <c r="G255" s="24">
        <f>IFERROR(ROUND(MAX(1,(IF($V255&lt;=INDEX('Parametri Modello'!$C$57:$C$60,MATCH($B255,'Parametri Modello'!$A$57:$A$60,0)),IF(INDEX('Parametri Modello'!$E$57:$E$60,MATCH($B255,'Parametri Modello'!$A$57:$A$60,0))=0,0,($O255/INDEX('Parametri Modello'!$E$57:$E$60,MATCH($B255,'Parametri Modello'!$A$57:$A$60,0)))*(INDEX('Parametri Modello'!$D$57:$D$60,MATCH($B255,'Parametri Modello'!$A$57:$A$60,0))*(INDEX('Parametri Modello'!$B$50:$B$53,MATCH($B255,'Parametri Modello'!$A$50:$A$53,0))*'Parametri Modello'!$B$44))),IF(INDEX('Parametri Modello'!$F$57:$F$60,MATCH($B255,'Parametri Modello'!$A$57:$A$60,0))=0,0,($O255/INDEX('Parametri Modello'!$F$57:$F$60,MATCH($B255,'Parametri Modello'!$A$57:$A$60,0)))*((1-INDEX('Parametri Modello'!$D$57:$D$60,MATCH($B255,'Parametri Modello'!$A$57:$A$60,0)))*(INDEX('Parametri Modello'!$B$50:$B$53,MATCH($B255,'Parametri Modello'!$A$50:$A$53,0))*'Parametri Modello'!$B$44))))*(1+IF(IF($B255="D",'Info Lega'!$B$25,IF($B255="C",'Info Lega'!$B$26,"No"))="Si",'Parametri Modello'!$B$5,0))*(1+MAX(-0.25,MIN(0.25,IF(OR($T255="",$I255="",$I255=0,INDEX('Parametri Modello'!$B$19:$B$22,MATCH($B255,'Parametri Modello'!$A$19:$A$22,0))="",INDEX('Parametri Modello'!$B$19:$B$22,MATCH($B255,'Parametri Modello'!$A$19:$A$22,0))=0),0,(($T255-INDEX('Parametri Modello'!$B$19:$B$22,MATCH($B255,'Parametri Modello'!$A$19:$A$22,0)))/INDEX('Parametri Modello'!$B$19:$B$22,MATCH($B255,'Parametri Modello'!$A$19:$A$22,0)))*'Parametri Modello'!$B$9))))*(1+IF('Parametri Modello'!$B$27="Si",MAX(-'Parametri Modello'!$B$28,MIN('Parametri Modello'!$B$28*1.5,IF(OR(INDEX('Parametri Modello'!$F$32:$F$35,MATCH($B255,'Parametri Modello'!$A$32:$A$35,0))="",INDEX('Parametri Modello'!$F$32:$F$35,MATCH($B255,'Parametri Modello'!$A$32:$A$35,0))=0),0,(1/INDEX('Parametri Modello'!$F$32:$F$35,MATCH($B255,'Parametri Modello'!$A$32:$A$35,0))-1)*'Parametri Modello'!$B$28))),0)))*(1-INDEX('Parametri Modello'!$B$12:$B$15,MATCH($B255,'Parametri Modello'!$A$12:$A$15,0)))),0),"")</f>
        <v>1</v>
      </c>
      <c r="H255" s="24">
        <f>IFERROR(ROUND((IF($V255&lt;=INDEX('Parametri Modello'!$C$57:$C$60,MATCH($B255,'Parametri Modello'!$A$57:$A$60,0)),IF(INDEX('Parametri Modello'!$E$57:$E$60,MATCH($B255,'Parametri Modello'!$A$57:$A$60,0))=0,0,($O255/INDEX('Parametri Modello'!$E$57:$E$60,MATCH($B255,'Parametri Modello'!$A$57:$A$60,0)))*(INDEX('Parametri Modello'!$D$57:$D$60,MATCH($B255,'Parametri Modello'!$A$57:$A$60,0))*(INDEX('Parametri Modello'!$B$50:$B$53,MATCH($B255,'Parametri Modello'!$A$50:$A$53,0))*'Parametri Modello'!$B$44))),IF(INDEX('Parametri Modello'!$F$57:$F$60,MATCH($B255,'Parametri Modello'!$A$57:$A$60,0))=0,0,($O255/INDEX('Parametri Modello'!$F$57:$F$60,MATCH($B255,'Parametri Modello'!$A$57:$A$60,0)))*((1-INDEX('Parametri Modello'!$D$57:$D$60,MATCH($B255,'Parametri Modello'!$A$57:$A$60,0)))*(INDEX('Parametri Modello'!$B$50:$B$53,MATCH($B255,'Parametri Modello'!$A$50:$A$53,0))*'Parametri Modello'!$B$44))))*(1+IF(IF($B255="D",'Info Lega'!$B$25,IF($B255="C",'Info Lega'!$B$26,"No"))="Si",'Parametri Modello'!$B$5,0))*(1+MAX(-0.25,MIN(0.25,IF(OR($T255="",$I255="",$I255=0,INDEX('Parametri Modello'!$B$19:$B$22,MATCH($B255,'Parametri Modello'!$A$19:$A$22,0))="",INDEX('Parametri Modello'!$B$19:$B$22,MATCH($B255,'Parametri Modello'!$A$19:$A$22,0))=0),0,(($T255-INDEX('Parametri Modello'!$B$19:$B$22,MATCH($B255,'Parametri Modello'!$A$19:$A$22,0)))/INDEX('Parametri Modello'!$B$19:$B$22,MATCH($B255,'Parametri Modello'!$A$19:$A$22,0)))*'Parametri Modello'!$B$9))))*(1+IF('Parametri Modello'!$B$27="Si",MAX(-'Parametri Modello'!$B$28,MIN('Parametri Modello'!$B$28*1.5,IF(OR(INDEX('Parametri Modello'!$F$32:$F$35,MATCH($B255,'Parametri Modello'!$A$32:$A$35,0))="",INDEX('Parametri Modello'!$F$32:$F$35,MATCH($B255,'Parametri Modello'!$A$32:$A$35,0))=0),0,(1/INDEX('Parametri Modello'!$F$32:$F$35,MATCH($B255,'Parametri Modello'!$A$32:$A$35,0))-1)*'Parametri Modello'!$B$28))),0)))*(1+INDEX('Parametri Modello'!$B$12:$B$15,MATCH($B255,'Parametri Modello'!$A$12:$A$15,0))),0),"")</f>
        <v>2</v>
      </c>
      <c r="I255" s="23">
        <f>IFERROR(INDEX('Input Statistiche 2025_26'!$F$3:$F$665,MATCH($A255,'Input Statistiche 2025_26'!$A$3:$A$665,0)),"")</f>
        <v>29</v>
      </c>
      <c r="J255" s="23">
        <f t="shared" si="27"/>
        <v>9</v>
      </c>
      <c r="K255" s="23">
        <f>IFERROR(INDEX('Input Statistiche 2025_26'!$I$3:$I$665,MATCH($A255,'Input Statistiche 2025_26'!$A$3:$A$665,0)),"")</f>
        <v>0</v>
      </c>
      <c r="L255" s="23">
        <f>IFERROR(INDEX('Input Statistiche 2025_26'!$O$3:$O$665,MATCH($A255,'Input Statistiche 2025_26'!$A$3:$A$665,0)),"")</f>
        <v>2</v>
      </c>
      <c r="M255" s="25"/>
      <c r="N255" s="24">
        <f>IFERROR(INDEX('Input Giocatori 2026_27'!$E$3:$E$493,MATCH($A255,'Input Giocatori 2026_27'!$A$3:$A$493,0)),"")</f>
        <v>5</v>
      </c>
      <c r="O255" s="24">
        <f>IFERROR(INDEX('Input Giocatori 2026_27'!$G$3:$G$493,MATCH($A255,'Input Giocatori 2026_27'!$A$3:$A$493,0)),"")</f>
        <v>13</v>
      </c>
      <c r="P255" s="23" t="str">
        <f>IFERROR(IF($O255="","",IF((1-(COUNTIFS($B$2:$B$492,$B255,$O$2:$O$492,"&gt;"&amp;$O255)+1-1)/COUNTIF($B$2:$B$492,$B255))&gt;='Parametri Modello'!$B$63,"Top",IF((1-(COUNTIFS($B$2:$B$492,$B255,$O$2:$O$492,"&gt;"&amp;$O255)+1-1)/COUNTIF($B$2:$B$492,$B255))&gt;='Parametri Modello'!$B$64,"Buono",IF((1-(COUNTIFS($B$2:$B$492,$B255,$O$2:$O$492,"&gt;"&amp;$O255)+1-1)/COUNTIF($B$2:$B$492,$B255))&gt;='Parametri Modello'!$B$65,"Nella Media","Scommessa/Riserva")))),"")</f>
        <v>Nella Media</v>
      </c>
      <c r="Q255" s="26">
        <f>IF(AND($D255="",$N255&gt;1),SUMPRODUCT(($D$2:$D255="")*($N$2:$N255&gt;1)),"")</f>
        <v>254</v>
      </c>
      <c r="R255" s="26" t="str">
        <f>IF($D255='Info Lega'!$B$28,COUNTIFS($D$2:$D255,'Info Lega'!$B$28),"")</f>
        <v/>
      </c>
      <c r="S255" s="27">
        <f>IFERROR(INDEX('Input Statistiche 2025_26'!$G$3:$G$665,MATCH($A255,'Input Statistiche 2025_26'!$A$3:$A$665,0)),"")</f>
        <v>5.76</v>
      </c>
      <c r="T255" s="27">
        <f>IFERROR(INDEX('Input Statistiche 2025_26'!$H$3:$H$665,MATCH($A255,'Input Statistiche 2025_26'!$A$3:$A$665,0)),"")</f>
        <v>5.79</v>
      </c>
      <c r="U255" s="23" t="str">
        <f>IF(OR('La Mia Rosa'!$O$12="",$D255&lt;&gt;""),"",IF($F255&lt;='La Mia Rosa'!$O$12*'Parametri Modello'!$B$24,"OK",IF($F255&lt;='La Mia Rosa'!$O$12*'Parametri Modello'!$B$25,"Attenzione","Rischio Alto")))</f>
        <v>OK</v>
      </c>
      <c r="V255" s="23">
        <f t="shared" si="28"/>
        <v>98</v>
      </c>
      <c r="W255" s="18">
        <f>'Info Lega'!$B$4-SUMIFS($M$2:$M$492,$D$2:$D$492,'Info Lega'!$B$28)</f>
        <v>1000</v>
      </c>
      <c r="X255" s="18">
        <f>('Info Lega'!$B$5-COUNTIFS($D$2:$D$492,'Info Lega'!$B$28,$B$2:$B$492,"P"))+('Info Lega'!$B$6-COUNTIFS($D$2:$D$492,'Info Lega'!$B$28,$B$2:$B$492,"D"))+('Info Lega'!$B$7-COUNTIFS($D$2:$D$492,'Info Lega'!$B$28,$B$2:$B$492,"C"))+('Info Lega'!$B$8-COUNTIFS($D$2:$D$492,'Info Lega'!$B$28,$B$2:$B$492,"A"))</f>
        <v>25</v>
      </c>
      <c r="Y255" s="18">
        <f>X255*'Parametri Modello'!$B$30</f>
        <v>25</v>
      </c>
      <c r="Z255" s="18">
        <f t="shared" si="29"/>
        <v>975</v>
      </c>
      <c r="AA255" s="18">
        <f t="shared" si="30"/>
        <v>2</v>
      </c>
      <c r="AB255" s="18"/>
      <c r="AC255" s="18" t="str">
        <f>IF($AB255="","",IF($AB255&gt;$AA255,"PASS",IF($AB255&lt;=$AA255*(1-'Parametri Modello'!$B$68),"BID","ATTENZIONE")))</f>
        <v/>
      </c>
      <c r="AD255" s="28">
        <f t="shared" si="31"/>
        <v>62</v>
      </c>
      <c r="AE255" s="5" t="str">
        <f>IFERROR(INDEX('Stato Asta'!$G$9:$G$12,MATCH($B255,'Stato Asta'!$A$9:$A$12,0)),"")</f>
        <v>🔴 Non aspettare</v>
      </c>
      <c r="AF255" t="str">
        <f>IFERROR(IF($V255&lt;=INDEX('Parametri Modello'!$C$57:$C$60,MATCH($B255,'Parametri Modello'!$A$57:$A$60,0)),"Titolare","Riserva"),"")</f>
        <v>Riserva</v>
      </c>
      <c r="AG255" t="str">
        <f>IFERROR(INDEX('Pressione Competitiva'!$F$3:$F$6,MATCH($B255,'Pressione Competitiva'!$B$3:$B$6,0)),"")</f>
        <v>🔴 Molto Alta</v>
      </c>
      <c r="AH255" t="str">
        <f t="shared" si="32"/>
        <v/>
      </c>
      <c r="AI255" t="str">
        <f>IFERROR(IF($AH255="","",IF($AH255&gt;=$AA255*'Parametri Modello'!$B$68,"🟢 Opportunita'",IF($AH255&lt;=$AA255*'Parametri Modello'!$B$69,"🔴 Sovrapprezzo","🟡 Prezzo Corretto"))),"")</f>
        <v/>
      </c>
      <c r="AJ255" t="str">
        <f t="shared" si="33"/>
        <v/>
      </c>
      <c r="AK255">
        <f t="shared" si="34"/>
        <v>43</v>
      </c>
      <c r="AL255" t="str">
        <f t="shared" si="35"/>
        <v>C|Nella Media|43</v>
      </c>
    </row>
    <row r="256" spans="1:38" ht="14.25" customHeight="1" x14ac:dyDescent="0.25">
      <c r="A256" s="18">
        <v>6629</v>
      </c>
      <c r="B256" s="18" t="s">
        <v>17</v>
      </c>
      <c r="C256" s="18" t="s">
        <v>395</v>
      </c>
      <c r="E256" s="23" t="str">
        <f>IF(COUNTIF('Info Strategia'!$D$2:$D$51,$C256)&gt;0,"SI","NO")</f>
        <v>NO</v>
      </c>
      <c r="F256" s="24">
        <f>IFERROR(ROUND(($G256+($H256-$G256)*'Info Strategia'!$B$6)*(1+IF($E256="SI",'Parametri Modello'!$B$7*'Info Strategia'!$B$6,0)),0),"")</f>
        <v>2</v>
      </c>
      <c r="G256" s="24">
        <f>IFERROR(ROUND(MAX(1,(IF($V256&lt;=INDEX('Parametri Modello'!$C$57:$C$60,MATCH($B256,'Parametri Modello'!$A$57:$A$60,0)),IF(INDEX('Parametri Modello'!$E$57:$E$60,MATCH($B256,'Parametri Modello'!$A$57:$A$60,0))=0,0,($O256/INDEX('Parametri Modello'!$E$57:$E$60,MATCH($B256,'Parametri Modello'!$A$57:$A$60,0)))*(INDEX('Parametri Modello'!$D$57:$D$60,MATCH($B256,'Parametri Modello'!$A$57:$A$60,0))*(INDEX('Parametri Modello'!$B$50:$B$53,MATCH($B256,'Parametri Modello'!$A$50:$A$53,0))*'Parametri Modello'!$B$44))),IF(INDEX('Parametri Modello'!$F$57:$F$60,MATCH($B256,'Parametri Modello'!$A$57:$A$60,0))=0,0,($O256/INDEX('Parametri Modello'!$F$57:$F$60,MATCH($B256,'Parametri Modello'!$A$57:$A$60,0)))*((1-INDEX('Parametri Modello'!$D$57:$D$60,MATCH($B256,'Parametri Modello'!$A$57:$A$60,0)))*(INDEX('Parametri Modello'!$B$50:$B$53,MATCH($B256,'Parametri Modello'!$A$50:$A$53,0))*'Parametri Modello'!$B$44))))*(1+IF(IF($B256="D",'Info Lega'!$B$25,IF($B256="C",'Info Lega'!$B$26,"No"))="Si",'Parametri Modello'!$B$5,0))*(1+MAX(-0.25,MIN(0.25,IF(OR($T256="",$I256="",$I256=0,INDEX('Parametri Modello'!$B$19:$B$22,MATCH($B256,'Parametri Modello'!$A$19:$A$22,0))="",INDEX('Parametri Modello'!$B$19:$B$22,MATCH($B256,'Parametri Modello'!$A$19:$A$22,0))=0),0,(($T256-INDEX('Parametri Modello'!$B$19:$B$22,MATCH($B256,'Parametri Modello'!$A$19:$A$22,0)))/INDEX('Parametri Modello'!$B$19:$B$22,MATCH($B256,'Parametri Modello'!$A$19:$A$22,0)))*'Parametri Modello'!$B$9))))*(1+IF('Parametri Modello'!$B$27="Si",MAX(-'Parametri Modello'!$B$28,MIN('Parametri Modello'!$B$28*1.5,IF(OR(INDEX('Parametri Modello'!$F$32:$F$35,MATCH($B256,'Parametri Modello'!$A$32:$A$35,0))="",INDEX('Parametri Modello'!$F$32:$F$35,MATCH($B256,'Parametri Modello'!$A$32:$A$35,0))=0),0,(1/INDEX('Parametri Modello'!$F$32:$F$35,MATCH($B256,'Parametri Modello'!$A$32:$A$35,0))-1)*'Parametri Modello'!$B$28))),0)))*(1-INDEX('Parametri Modello'!$B$12:$B$15,MATCH($B256,'Parametri Modello'!$A$12:$A$15,0)))),0),"")</f>
        <v>1</v>
      </c>
      <c r="H256" s="24">
        <f>IFERROR(ROUND((IF($V256&lt;=INDEX('Parametri Modello'!$C$57:$C$60,MATCH($B256,'Parametri Modello'!$A$57:$A$60,0)),IF(INDEX('Parametri Modello'!$E$57:$E$60,MATCH($B256,'Parametri Modello'!$A$57:$A$60,0))=0,0,($O256/INDEX('Parametri Modello'!$E$57:$E$60,MATCH($B256,'Parametri Modello'!$A$57:$A$60,0)))*(INDEX('Parametri Modello'!$D$57:$D$60,MATCH($B256,'Parametri Modello'!$A$57:$A$60,0))*(INDEX('Parametri Modello'!$B$50:$B$53,MATCH($B256,'Parametri Modello'!$A$50:$A$53,0))*'Parametri Modello'!$B$44))),IF(INDEX('Parametri Modello'!$F$57:$F$60,MATCH($B256,'Parametri Modello'!$A$57:$A$60,0))=0,0,($O256/INDEX('Parametri Modello'!$F$57:$F$60,MATCH($B256,'Parametri Modello'!$A$57:$A$60,0)))*((1-INDEX('Parametri Modello'!$D$57:$D$60,MATCH($B256,'Parametri Modello'!$A$57:$A$60,0)))*(INDEX('Parametri Modello'!$B$50:$B$53,MATCH($B256,'Parametri Modello'!$A$50:$A$53,0))*'Parametri Modello'!$B$44))))*(1+IF(IF($B256="D",'Info Lega'!$B$25,IF($B256="C",'Info Lega'!$B$26,"No"))="Si",'Parametri Modello'!$B$5,0))*(1+MAX(-0.25,MIN(0.25,IF(OR($T256="",$I256="",$I256=0,INDEX('Parametri Modello'!$B$19:$B$22,MATCH($B256,'Parametri Modello'!$A$19:$A$22,0))="",INDEX('Parametri Modello'!$B$19:$B$22,MATCH($B256,'Parametri Modello'!$A$19:$A$22,0))=0),0,(($T256-INDEX('Parametri Modello'!$B$19:$B$22,MATCH($B256,'Parametri Modello'!$A$19:$A$22,0)))/INDEX('Parametri Modello'!$B$19:$B$22,MATCH($B256,'Parametri Modello'!$A$19:$A$22,0)))*'Parametri Modello'!$B$9))))*(1+IF('Parametri Modello'!$B$27="Si",MAX(-'Parametri Modello'!$B$28,MIN('Parametri Modello'!$B$28*1.5,IF(OR(INDEX('Parametri Modello'!$F$32:$F$35,MATCH($B256,'Parametri Modello'!$A$32:$A$35,0))="",INDEX('Parametri Modello'!$F$32:$F$35,MATCH($B256,'Parametri Modello'!$A$32:$A$35,0))=0),0,(1/INDEX('Parametri Modello'!$F$32:$F$35,MATCH($B256,'Parametri Modello'!$A$32:$A$35,0))-1)*'Parametri Modello'!$B$28))),0)))*(1+INDEX('Parametri Modello'!$B$12:$B$15,MATCH($B256,'Parametri Modello'!$A$12:$A$15,0))),0),"")</f>
        <v>2</v>
      </c>
      <c r="I256" s="23">
        <f>IFERROR(INDEX('Input Statistiche 2025_26'!$F$3:$F$665,MATCH($A256,'Input Statistiche 2025_26'!$A$3:$A$665,0)),"")</f>
        <v>21</v>
      </c>
      <c r="J256" s="23">
        <f t="shared" si="27"/>
        <v>17</v>
      </c>
      <c r="K256" s="23">
        <f>IFERROR(INDEX('Input Statistiche 2025_26'!$I$3:$I$665,MATCH($A256,'Input Statistiche 2025_26'!$A$3:$A$665,0)),"")</f>
        <v>1</v>
      </c>
      <c r="L256" s="23">
        <f>IFERROR(INDEX('Input Statistiche 2025_26'!$O$3:$O$665,MATCH($A256,'Input Statistiche 2025_26'!$A$3:$A$665,0)),"")</f>
        <v>0</v>
      </c>
      <c r="M256" s="25"/>
      <c r="N256" s="24">
        <f>IFERROR(INDEX('Input Giocatori 2026_27'!$E$3:$E$493,MATCH($A256,'Input Giocatori 2026_27'!$A$3:$A$493,0)),"")</f>
        <v>5</v>
      </c>
      <c r="O256" s="24">
        <f>IFERROR(INDEX('Input Giocatori 2026_27'!$G$3:$G$493,MATCH($A256,'Input Giocatori 2026_27'!$A$3:$A$493,0)),"")</f>
        <v>13</v>
      </c>
      <c r="P256" s="23" t="str">
        <f>IFERROR(IF($O256="","",IF((1-(COUNTIFS($B$2:$B$492,$B256,$O$2:$O$492,"&gt;"&amp;$O256)+1-1)/COUNTIF($B$2:$B$492,$B256))&gt;='Parametri Modello'!$B$63,"Top",IF((1-(COUNTIFS($B$2:$B$492,$B256,$O$2:$O$492,"&gt;"&amp;$O256)+1-1)/COUNTIF($B$2:$B$492,$B256))&gt;='Parametri Modello'!$B$64,"Buono",IF((1-(COUNTIFS($B$2:$B$492,$B256,$O$2:$O$492,"&gt;"&amp;$O256)+1-1)/COUNTIF($B$2:$B$492,$B256))&gt;='Parametri Modello'!$B$65,"Nella Media","Scommessa/Riserva")))),"")</f>
        <v>Nella Media</v>
      </c>
      <c r="Q256" s="26">
        <f>IF(AND($D256="",$N256&gt;1),SUMPRODUCT(($D$2:$D256="")*($N$2:$N256&gt;1)),"")</f>
        <v>255</v>
      </c>
      <c r="R256" s="26" t="str">
        <f>IF($D256='Info Lega'!$B$28,COUNTIFS($D$2:$D256,'Info Lega'!$B$28),"")</f>
        <v/>
      </c>
      <c r="S256" s="27">
        <f>IFERROR(INDEX('Input Statistiche 2025_26'!$G$3:$G$665,MATCH($A256,'Input Statistiche 2025_26'!$A$3:$A$665,0)),"")</f>
        <v>5.69</v>
      </c>
      <c r="T256" s="27">
        <f>IFERROR(INDEX('Input Statistiche 2025_26'!$H$3:$H$665,MATCH($A256,'Input Statistiche 2025_26'!$A$3:$A$665,0)),"")</f>
        <v>5.83</v>
      </c>
      <c r="U256" s="23" t="str">
        <f>IF(OR('La Mia Rosa'!$O$12="",$D256&lt;&gt;""),"",IF($F256&lt;='La Mia Rosa'!$O$12*'Parametri Modello'!$B$24,"OK",IF($F256&lt;='La Mia Rosa'!$O$12*'Parametri Modello'!$B$25,"Attenzione","Rischio Alto")))</f>
        <v>OK</v>
      </c>
      <c r="V256" s="23">
        <f t="shared" si="28"/>
        <v>98</v>
      </c>
      <c r="W256" s="18">
        <f>'Info Lega'!$B$4-SUMIFS($M$2:$M$492,$D$2:$D$492,'Info Lega'!$B$28)</f>
        <v>1000</v>
      </c>
      <c r="X256" s="18">
        <f>('Info Lega'!$B$5-COUNTIFS($D$2:$D$492,'Info Lega'!$B$28,$B$2:$B$492,"P"))+('Info Lega'!$B$6-COUNTIFS($D$2:$D$492,'Info Lega'!$B$28,$B$2:$B$492,"D"))+('Info Lega'!$B$7-COUNTIFS($D$2:$D$492,'Info Lega'!$B$28,$B$2:$B$492,"C"))+('Info Lega'!$B$8-COUNTIFS($D$2:$D$492,'Info Lega'!$B$28,$B$2:$B$492,"A"))</f>
        <v>25</v>
      </c>
      <c r="Y256" s="18">
        <f>X256*'Parametri Modello'!$B$30</f>
        <v>25</v>
      </c>
      <c r="Z256" s="18">
        <f t="shared" si="29"/>
        <v>975</v>
      </c>
      <c r="AA256" s="18">
        <f t="shared" si="30"/>
        <v>2</v>
      </c>
      <c r="AB256" s="18"/>
      <c r="AC256" s="18" t="str">
        <f>IF($AB256="","",IF($AB256&gt;$AA256,"PASS",IF($AB256&lt;=$AA256*(1-'Parametri Modello'!$B$68),"BID","ATTENZIONE")))</f>
        <v/>
      </c>
      <c r="AD256" s="28">
        <f t="shared" si="31"/>
        <v>50</v>
      </c>
      <c r="AE256" s="5" t="str">
        <f>IFERROR(INDEX('Stato Asta'!$G$9:$G$12,MATCH($B256,'Stato Asta'!$A$9:$A$12,0)),"")</f>
        <v>🔴 Non aspettare</v>
      </c>
      <c r="AF256" t="str">
        <f>IFERROR(IF($V256&lt;=INDEX('Parametri Modello'!$C$57:$C$60,MATCH($B256,'Parametri Modello'!$A$57:$A$60,0)),"Titolare","Riserva"),"")</f>
        <v>Riserva</v>
      </c>
      <c r="AG256" t="str">
        <f>IFERROR(INDEX('Pressione Competitiva'!$F$3:$F$6,MATCH($B256,'Pressione Competitiva'!$B$3:$B$6,0)),"")</f>
        <v>🔴 Molto Alta</v>
      </c>
      <c r="AH256" t="str">
        <f t="shared" si="32"/>
        <v/>
      </c>
      <c r="AI256" t="str">
        <f>IFERROR(IF($AH256="","",IF($AH256&gt;=$AA256*'Parametri Modello'!$B$68,"🟢 Opportunita'",IF($AH256&lt;=$AA256*'Parametri Modello'!$B$69,"🔴 Sovrapprezzo","🟡 Prezzo Corretto"))),"")</f>
        <v/>
      </c>
      <c r="AJ256" t="str">
        <f t="shared" si="33"/>
        <v/>
      </c>
      <c r="AK256">
        <f t="shared" si="34"/>
        <v>43</v>
      </c>
      <c r="AL256" t="str">
        <f t="shared" si="35"/>
        <v>C|Nella Media|43</v>
      </c>
    </row>
    <row r="257" spans="1:38" ht="14.25" customHeight="1" x14ac:dyDescent="0.25">
      <c r="A257" s="18">
        <v>6170</v>
      </c>
      <c r="B257" s="18" t="s">
        <v>17</v>
      </c>
      <c r="C257" s="18" t="s">
        <v>396</v>
      </c>
      <c r="E257" s="23" t="str">
        <f>IF(COUNTIF('Info Strategia'!$D$2:$D$51,$C257)&gt;0,"SI","NO")</f>
        <v>NO</v>
      </c>
      <c r="F257" s="24">
        <f>IFERROR(ROUND(($G257+($H257-$G257)*'Info Strategia'!$B$6)*(1+IF($E257="SI",'Parametri Modello'!$B$7*'Info Strategia'!$B$6,0)),0),"")</f>
        <v>2</v>
      </c>
      <c r="G257" s="24">
        <f>IFERROR(ROUND(MAX(1,(IF($V257&lt;=INDEX('Parametri Modello'!$C$57:$C$60,MATCH($B257,'Parametri Modello'!$A$57:$A$60,0)),IF(INDEX('Parametri Modello'!$E$57:$E$60,MATCH($B257,'Parametri Modello'!$A$57:$A$60,0))=0,0,($O257/INDEX('Parametri Modello'!$E$57:$E$60,MATCH($B257,'Parametri Modello'!$A$57:$A$60,0)))*(INDEX('Parametri Modello'!$D$57:$D$60,MATCH($B257,'Parametri Modello'!$A$57:$A$60,0))*(INDEX('Parametri Modello'!$B$50:$B$53,MATCH($B257,'Parametri Modello'!$A$50:$A$53,0))*'Parametri Modello'!$B$44))),IF(INDEX('Parametri Modello'!$F$57:$F$60,MATCH($B257,'Parametri Modello'!$A$57:$A$60,0))=0,0,($O257/INDEX('Parametri Modello'!$F$57:$F$60,MATCH($B257,'Parametri Modello'!$A$57:$A$60,0)))*((1-INDEX('Parametri Modello'!$D$57:$D$60,MATCH($B257,'Parametri Modello'!$A$57:$A$60,0)))*(INDEX('Parametri Modello'!$B$50:$B$53,MATCH($B257,'Parametri Modello'!$A$50:$A$53,0))*'Parametri Modello'!$B$44))))*(1+IF(IF($B257="D",'Info Lega'!$B$25,IF($B257="C",'Info Lega'!$B$26,"No"))="Si",'Parametri Modello'!$B$5,0))*(1+MAX(-0.25,MIN(0.25,IF(OR($T257="",$I257="",$I257=0,INDEX('Parametri Modello'!$B$19:$B$22,MATCH($B257,'Parametri Modello'!$A$19:$A$22,0))="",INDEX('Parametri Modello'!$B$19:$B$22,MATCH($B257,'Parametri Modello'!$A$19:$A$22,0))=0),0,(($T257-INDEX('Parametri Modello'!$B$19:$B$22,MATCH($B257,'Parametri Modello'!$A$19:$A$22,0)))/INDEX('Parametri Modello'!$B$19:$B$22,MATCH($B257,'Parametri Modello'!$A$19:$A$22,0)))*'Parametri Modello'!$B$9))))*(1+IF('Parametri Modello'!$B$27="Si",MAX(-'Parametri Modello'!$B$28,MIN('Parametri Modello'!$B$28*1.5,IF(OR(INDEX('Parametri Modello'!$F$32:$F$35,MATCH($B257,'Parametri Modello'!$A$32:$A$35,0))="",INDEX('Parametri Modello'!$F$32:$F$35,MATCH($B257,'Parametri Modello'!$A$32:$A$35,0))=0),0,(1/INDEX('Parametri Modello'!$F$32:$F$35,MATCH($B257,'Parametri Modello'!$A$32:$A$35,0))-1)*'Parametri Modello'!$B$28))),0)))*(1-INDEX('Parametri Modello'!$B$12:$B$15,MATCH($B257,'Parametri Modello'!$A$12:$A$15,0)))),0),"")</f>
        <v>1</v>
      </c>
      <c r="H257" s="24">
        <f>IFERROR(ROUND((IF($V257&lt;=INDEX('Parametri Modello'!$C$57:$C$60,MATCH($B257,'Parametri Modello'!$A$57:$A$60,0)),IF(INDEX('Parametri Modello'!$E$57:$E$60,MATCH($B257,'Parametri Modello'!$A$57:$A$60,0))=0,0,($O257/INDEX('Parametri Modello'!$E$57:$E$60,MATCH($B257,'Parametri Modello'!$A$57:$A$60,0)))*(INDEX('Parametri Modello'!$D$57:$D$60,MATCH($B257,'Parametri Modello'!$A$57:$A$60,0))*(INDEX('Parametri Modello'!$B$50:$B$53,MATCH($B257,'Parametri Modello'!$A$50:$A$53,0))*'Parametri Modello'!$B$44))),IF(INDEX('Parametri Modello'!$F$57:$F$60,MATCH($B257,'Parametri Modello'!$A$57:$A$60,0))=0,0,($O257/INDEX('Parametri Modello'!$F$57:$F$60,MATCH($B257,'Parametri Modello'!$A$57:$A$60,0)))*((1-INDEX('Parametri Modello'!$D$57:$D$60,MATCH($B257,'Parametri Modello'!$A$57:$A$60,0)))*(INDEX('Parametri Modello'!$B$50:$B$53,MATCH($B257,'Parametri Modello'!$A$50:$A$53,0))*'Parametri Modello'!$B$44))))*(1+IF(IF($B257="D",'Info Lega'!$B$25,IF($B257="C",'Info Lega'!$B$26,"No"))="Si",'Parametri Modello'!$B$5,0))*(1+MAX(-0.25,MIN(0.25,IF(OR($T257="",$I257="",$I257=0,INDEX('Parametri Modello'!$B$19:$B$22,MATCH($B257,'Parametri Modello'!$A$19:$A$22,0))="",INDEX('Parametri Modello'!$B$19:$B$22,MATCH($B257,'Parametri Modello'!$A$19:$A$22,0))=0),0,(($T257-INDEX('Parametri Modello'!$B$19:$B$22,MATCH($B257,'Parametri Modello'!$A$19:$A$22,0)))/INDEX('Parametri Modello'!$B$19:$B$22,MATCH($B257,'Parametri Modello'!$A$19:$A$22,0)))*'Parametri Modello'!$B$9))))*(1+IF('Parametri Modello'!$B$27="Si",MAX(-'Parametri Modello'!$B$28,MIN('Parametri Modello'!$B$28*1.5,IF(OR(INDEX('Parametri Modello'!$F$32:$F$35,MATCH($B257,'Parametri Modello'!$A$32:$A$35,0))="",INDEX('Parametri Modello'!$F$32:$F$35,MATCH($B257,'Parametri Modello'!$A$32:$A$35,0))=0),0,(1/INDEX('Parametri Modello'!$F$32:$F$35,MATCH($B257,'Parametri Modello'!$A$32:$A$35,0))-1)*'Parametri Modello'!$B$28))),0)))*(1+INDEX('Parametri Modello'!$B$12:$B$15,MATCH($B257,'Parametri Modello'!$A$12:$A$15,0))),0),"")</f>
        <v>2</v>
      </c>
      <c r="I257" s="23">
        <f>IFERROR(INDEX('Input Statistiche 2025_26'!$F$3:$F$665,MATCH($A257,'Input Statistiche 2025_26'!$A$3:$A$665,0)),"")</f>
        <v>27</v>
      </c>
      <c r="J257" s="23">
        <f t="shared" si="27"/>
        <v>11</v>
      </c>
      <c r="K257" s="23">
        <f>IFERROR(INDEX('Input Statistiche 2025_26'!$I$3:$I$665,MATCH($A257,'Input Statistiche 2025_26'!$A$3:$A$665,0)),"")</f>
        <v>0</v>
      </c>
      <c r="L257" s="23">
        <f>IFERROR(INDEX('Input Statistiche 2025_26'!$O$3:$O$665,MATCH($A257,'Input Statistiche 2025_26'!$A$3:$A$665,0)),"")</f>
        <v>1</v>
      </c>
      <c r="M257" s="25"/>
      <c r="N257" s="24">
        <f>IFERROR(INDEX('Input Giocatori 2026_27'!$E$3:$E$493,MATCH($A257,'Input Giocatori 2026_27'!$A$3:$A$493,0)),"")</f>
        <v>5</v>
      </c>
      <c r="O257" s="24">
        <f>IFERROR(INDEX('Input Giocatori 2026_27'!$G$3:$G$493,MATCH($A257,'Input Giocatori 2026_27'!$A$3:$A$493,0)),"")</f>
        <v>13</v>
      </c>
      <c r="P257" s="23" t="str">
        <f>IFERROR(IF($O257="","",IF((1-(COUNTIFS($B$2:$B$492,$B257,$O$2:$O$492,"&gt;"&amp;$O257)+1-1)/COUNTIF($B$2:$B$492,$B257))&gt;='Parametri Modello'!$B$63,"Top",IF((1-(COUNTIFS($B$2:$B$492,$B257,$O$2:$O$492,"&gt;"&amp;$O257)+1-1)/COUNTIF($B$2:$B$492,$B257))&gt;='Parametri Modello'!$B$64,"Buono",IF((1-(COUNTIFS($B$2:$B$492,$B257,$O$2:$O$492,"&gt;"&amp;$O257)+1-1)/COUNTIF($B$2:$B$492,$B257))&gt;='Parametri Modello'!$B$65,"Nella Media","Scommessa/Riserva")))),"")</f>
        <v>Nella Media</v>
      </c>
      <c r="Q257" s="26">
        <f>IF(AND($D257="",$N257&gt;1),SUMPRODUCT(($D$2:$D257="")*($N$2:$N257&gt;1)),"")</f>
        <v>256</v>
      </c>
      <c r="R257" s="26" t="str">
        <f>IF($D257='Info Lega'!$B$28,COUNTIFS($D$2:$D257,'Info Lega'!$B$28),"")</f>
        <v/>
      </c>
      <c r="S257" s="27">
        <f>IFERROR(INDEX('Input Statistiche 2025_26'!$G$3:$G$665,MATCH($A257,'Input Statistiche 2025_26'!$A$3:$A$665,0)),"")</f>
        <v>5.87</v>
      </c>
      <c r="T257" s="27">
        <f>IFERROR(INDEX('Input Statistiche 2025_26'!$H$3:$H$665,MATCH($A257,'Input Statistiche 2025_26'!$A$3:$A$665,0)),"")</f>
        <v>5.81</v>
      </c>
      <c r="U257" s="23" t="str">
        <f>IF(OR('La Mia Rosa'!$O$12="",$D257&lt;&gt;""),"",IF($F257&lt;='La Mia Rosa'!$O$12*'Parametri Modello'!$B$24,"OK",IF($F257&lt;='La Mia Rosa'!$O$12*'Parametri Modello'!$B$25,"Attenzione","Rischio Alto")))</f>
        <v>OK</v>
      </c>
      <c r="V257" s="23">
        <f t="shared" si="28"/>
        <v>98</v>
      </c>
      <c r="W257" s="18">
        <f>'Info Lega'!$B$4-SUMIFS($M$2:$M$492,$D$2:$D$492,'Info Lega'!$B$28)</f>
        <v>1000</v>
      </c>
      <c r="X257" s="18">
        <f>('Info Lega'!$B$5-COUNTIFS($D$2:$D$492,'Info Lega'!$B$28,$B$2:$B$492,"P"))+('Info Lega'!$B$6-COUNTIFS($D$2:$D$492,'Info Lega'!$B$28,$B$2:$B$492,"D"))+('Info Lega'!$B$7-COUNTIFS($D$2:$D$492,'Info Lega'!$B$28,$B$2:$B$492,"C"))+('Info Lega'!$B$8-COUNTIFS($D$2:$D$492,'Info Lega'!$B$28,$B$2:$B$492,"A"))</f>
        <v>25</v>
      </c>
      <c r="Y257" s="18">
        <f>X257*'Parametri Modello'!$B$30</f>
        <v>25</v>
      </c>
      <c r="Z257" s="18">
        <f t="shared" si="29"/>
        <v>975</v>
      </c>
      <c r="AA257" s="18">
        <f t="shared" si="30"/>
        <v>2</v>
      </c>
      <c r="AB257" s="18"/>
      <c r="AC257" s="18" t="str">
        <f>IF($AB257="","",IF($AB257&gt;$AA257,"PASS",IF($AB257&lt;=$AA257*(1-'Parametri Modello'!$B$68),"BID","ATTENZIONE")))</f>
        <v/>
      </c>
      <c r="AD257" s="28">
        <f t="shared" si="31"/>
        <v>59</v>
      </c>
      <c r="AE257" s="5" t="str">
        <f>IFERROR(INDEX('Stato Asta'!$G$9:$G$12,MATCH($B257,'Stato Asta'!$A$9:$A$12,0)),"")</f>
        <v>🔴 Non aspettare</v>
      </c>
      <c r="AF257" t="str">
        <f>IFERROR(IF($V257&lt;=INDEX('Parametri Modello'!$C$57:$C$60,MATCH($B257,'Parametri Modello'!$A$57:$A$60,0)),"Titolare","Riserva"),"")</f>
        <v>Riserva</v>
      </c>
      <c r="AG257" t="str">
        <f>IFERROR(INDEX('Pressione Competitiva'!$F$3:$F$6,MATCH($B257,'Pressione Competitiva'!$B$3:$B$6,0)),"")</f>
        <v>🔴 Molto Alta</v>
      </c>
      <c r="AH257" t="str">
        <f t="shared" si="32"/>
        <v/>
      </c>
      <c r="AI257" t="str">
        <f>IFERROR(IF($AH257="","",IF($AH257&gt;=$AA257*'Parametri Modello'!$B$68,"🟢 Opportunita'",IF($AH257&lt;=$AA257*'Parametri Modello'!$B$69,"🔴 Sovrapprezzo","🟡 Prezzo Corretto"))),"")</f>
        <v/>
      </c>
      <c r="AJ257" t="str">
        <f t="shared" si="33"/>
        <v/>
      </c>
      <c r="AK257">
        <f t="shared" si="34"/>
        <v>43</v>
      </c>
      <c r="AL257" t="str">
        <f t="shared" si="35"/>
        <v>C|Nella Media|43</v>
      </c>
    </row>
    <row r="258" spans="1:38" ht="14.25" customHeight="1" x14ac:dyDescent="0.25">
      <c r="A258" s="18">
        <v>5301</v>
      </c>
      <c r="B258" s="18" t="s">
        <v>17</v>
      </c>
      <c r="C258" s="18" t="s">
        <v>397</v>
      </c>
      <c r="E258" s="23" t="str">
        <f>IF(COUNTIF('Info Strategia'!$D$2:$D$51,$C258)&gt;0,"SI","NO")</f>
        <v>NO</v>
      </c>
      <c r="F258" s="24">
        <f>IFERROR(ROUND(($G258+($H258-$G258)*'Info Strategia'!$B$6)*(1+IF($E258="SI",'Parametri Modello'!$B$7*'Info Strategia'!$B$6,0)),0),"")</f>
        <v>2</v>
      </c>
      <c r="G258" s="24">
        <f>IFERROR(ROUND(MAX(1,(IF($V258&lt;=INDEX('Parametri Modello'!$C$57:$C$60,MATCH($B258,'Parametri Modello'!$A$57:$A$60,0)),IF(INDEX('Parametri Modello'!$E$57:$E$60,MATCH($B258,'Parametri Modello'!$A$57:$A$60,0))=0,0,($O258/INDEX('Parametri Modello'!$E$57:$E$60,MATCH($B258,'Parametri Modello'!$A$57:$A$60,0)))*(INDEX('Parametri Modello'!$D$57:$D$60,MATCH($B258,'Parametri Modello'!$A$57:$A$60,0))*(INDEX('Parametri Modello'!$B$50:$B$53,MATCH($B258,'Parametri Modello'!$A$50:$A$53,0))*'Parametri Modello'!$B$44))),IF(INDEX('Parametri Modello'!$F$57:$F$60,MATCH($B258,'Parametri Modello'!$A$57:$A$60,0))=0,0,($O258/INDEX('Parametri Modello'!$F$57:$F$60,MATCH($B258,'Parametri Modello'!$A$57:$A$60,0)))*((1-INDEX('Parametri Modello'!$D$57:$D$60,MATCH($B258,'Parametri Modello'!$A$57:$A$60,0)))*(INDEX('Parametri Modello'!$B$50:$B$53,MATCH($B258,'Parametri Modello'!$A$50:$A$53,0))*'Parametri Modello'!$B$44))))*(1+IF(IF($B258="D",'Info Lega'!$B$25,IF($B258="C",'Info Lega'!$B$26,"No"))="Si",'Parametri Modello'!$B$5,0))*(1+MAX(-0.25,MIN(0.25,IF(OR($T258="",$I258="",$I258=0,INDEX('Parametri Modello'!$B$19:$B$22,MATCH($B258,'Parametri Modello'!$A$19:$A$22,0))="",INDEX('Parametri Modello'!$B$19:$B$22,MATCH($B258,'Parametri Modello'!$A$19:$A$22,0))=0),0,(($T258-INDEX('Parametri Modello'!$B$19:$B$22,MATCH($B258,'Parametri Modello'!$A$19:$A$22,0)))/INDEX('Parametri Modello'!$B$19:$B$22,MATCH($B258,'Parametri Modello'!$A$19:$A$22,0)))*'Parametri Modello'!$B$9))))*(1+IF('Parametri Modello'!$B$27="Si",MAX(-'Parametri Modello'!$B$28,MIN('Parametri Modello'!$B$28*1.5,IF(OR(INDEX('Parametri Modello'!$F$32:$F$35,MATCH($B258,'Parametri Modello'!$A$32:$A$35,0))="",INDEX('Parametri Modello'!$F$32:$F$35,MATCH($B258,'Parametri Modello'!$A$32:$A$35,0))=0),0,(1/INDEX('Parametri Modello'!$F$32:$F$35,MATCH($B258,'Parametri Modello'!$A$32:$A$35,0))-1)*'Parametri Modello'!$B$28))),0)))*(1-INDEX('Parametri Modello'!$B$12:$B$15,MATCH($B258,'Parametri Modello'!$A$12:$A$15,0)))),0),"")</f>
        <v>1</v>
      </c>
      <c r="H258" s="24">
        <f>IFERROR(ROUND((IF($V258&lt;=INDEX('Parametri Modello'!$C$57:$C$60,MATCH($B258,'Parametri Modello'!$A$57:$A$60,0)),IF(INDEX('Parametri Modello'!$E$57:$E$60,MATCH($B258,'Parametri Modello'!$A$57:$A$60,0))=0,0,($O258/INDEX('Parametri Modello'!$E$57:$E$60,MATCH($B258,'Parametri Modello'!$A$57:$A$60,0)))*(INDEX('Parametri Modello'!$D$57:$D$60,MATCH($B258,'Parametri Modello'!$A$57:$A$60,0))*(INDEX('Parametri Modello'!$B$50:$B$53,MATCH($B258,'Parametri Modello'!$A$50:$A$53,0))*'Parametri Modello'!$B$44))),IF(INDEX('Parametri Modello'!$F$57:$F$60,MATCH($B258,'Parametri Modello'!$A$57:$A$60,0))=0,0,($O258/INDEX('Parametri Modello'!$F$57:$F$60,MATCH($B258,'Parametri Modello'!$A$57:$A$60,0)))*((1-INDEX('Parametri Modello'!$D$57:$D$60,MATCH($B258,'Parametri Modello'!$A$57:$A$60,0)))*(INDEX('Parametri Modello'!$B$50:$B$53,MATCH($B258,'Parametri Modello'!$A$50:$A$53,0))*'Parametri Modello'!$B$44))))*(1+IF(IF($B258="D",'Info Lega'!$B$25,IF($B258="C",'Info Lega'!$B$26,"No"))="Si",'Parametri Modello'!$B$5,0))*(1+MAX(-0.25,MIN(0.25,IF(OR($T258="",$I258="",$I258=0,INDEX('Parametri Modello'!$B$19:$B$22,MATCH($B258,'Parametri Modello'!$A$19:$A$22,0))="",INDEX('Parametri Modello'!$B$19:$B$22,MATCH($B258,'Parametri Modello'!$A$19:$A$22,0))=0),0,(($T258-INDEX('Parametri Modello'!$B$19:$B$22,MATCH($B258,'Parametri Modello'!$A$19:$A$22,0)))/INDEX('Parametri Modello'!$B$19:$B$22,MATCH($B258,'Parametri Modello'!$A$19:$A$22,0)))*'Parametri Modello'!$B$9))))*(1+IF('Parametri Modello'!$B$27="Si",MAX(-'Parametri Modello'!$B$28,MIN('Parametri Modello'!$B$28*1.5,IF(OR(INDEX('Parametri Modello'!$F$32:$F$35,MATCH($B258,'Parametri Modello'!$A$32:$A$35,0))="",INDEX('Parametri Modello'!$F$32:$F$35,MATCH($B258,'Parametri Modello'!$A$32:$A$35,0))=0),0,(1/INDEX('Parametri Modello'!$F$32:$F$35,MATCH($B258,'Parametri Modello'!$A$32:$A$35,0))-1)*'Parametri Modello'!$B$28))),0)))*(1+INDEX('Parametri Modello'!$B$12:$B$15,MATCH($B258,'Parametri Modello'!$A$12:$A$15,0))),0),"")</f>
        <v>2</v>
      </c>
      <c r="I258" s="23">
        <f>IFERROR(INDEX('Input Statistiche 2025_26'!$F$3:$F$665,MATCH($A258,'Input Statistiche 2025_26'!$A$3:$A$665,0)),"")</f>
        <v>27</v>
      </c>
      <c r="J258" s="23">
        <f t="shared" ref="J258:J321" si="36">IFERROR(IF($I258="","",MAX(0,38-$I258)),"")</f>
        <v>11</v>
      </c>
      <c r="K258" s="23">
        <f>IFERROR(INDEX('Input Statistiche 2025_26'!$I$3:$I$665,MATCH($A258,'Input Statistiche 2025_26'!$A$3:$A$665,0)),"")</f>
        <v>1</v>
      </c>
      <c r="L258" s="23">
        <f>IFERROR(INDEX('Input Statistiche 2025_26'!$O$3:$O$665,MATCH($A258,'Input Statistiche 2025_26'!$A$3:$A$665,0)),"")</f>
        <v>2</v>
      </c>
      <c r="M258" s="25"/>
      <c r="N258" s="24">
        <f>IFERROR(INDEX('Input Giocatori 2026_27'!$E$3:$E$493,MATCH($A258,'Input Giocatori 2026_27'!$A$3:$A$493,0)),"")</f>
        <v>4</v>
      </c>
      <c r="O258" s="24">
        <f>IFERROR(INDEX('Input Giocatori 2026_27'!$G$3:$G$493,MATCH($A258,'Input Giocatori 2026_27'!$A$3:$A$493,0)),"")</f>
        <v>13</v>
      </c>
      <c r="P258" s="23" t="str">
        <f>IFERROR(IF($O258="","",IF((1-(COUNTIFS($B$2:$B$492,$B258,$O$2:$O$492,"&gt;"&amp;$O258)+1-1)/COUNTIF($B$2:$B$492,$B258))&gt;='Parametri Modello'!$B$63,"Top",IF((1-(COUNTIFS($B$2:$B$492,$B258,$O$2:$O$492,"&gt;"&amp;$O258)+1-1)/COUNTIF($B$2:$B$492,$B258))&gt;='Parametri Modello'!$B$64,"Buono",IF((1-(COUNTIFS($B$2:$B$492,$B258,$O$2:$O$492,"&gt;"&amp;$O258)+1-1)/COUNTIF($B$2:$B$492,$B258))&gt;='Parametri Modello'!$B$65,"Nella Media","Scommessa/Riserva")))),"")</f>
        <v>Nella Media</v>
      </c>
      <c r="Q258" s="26">
        <f>IF(AND($D258="",$N258&gt;1),SUMPRODUCT(($D$2:$D258="")*($N$2:$N258&gt;1)),"")</f>
        <v>257</v>
      </c>
      <c r="R258" s="26" t="str">
        <f>IF($D258='Info Lega'!$B$28,COUNTIFS($D$2:$D258,'Info Lega'!$B$28),"")</f>
        <v/>
      </c>
      <c r="S258" s="27">
        <f>IFERROR(INDEX('Input Statistiche 2025_26'!$G$3:$G$665,MATCH($A258,'Input Statistiche 2025_26'!$A$3:$A$665,0)),"")</f>
        <v>5.89</v>
      </c>
      <c r="T258" s="27">
        <f>IFERROR(INDEX('Input Statistiche 2025_26'!$H$3:$H$665,MATCH($A258,'Input Statistiche 2025_26'!$A$3:$A$665,0)),"")</f>
        <v>6.06</v>
      </c>
      <c r="U258" s="23" t="str">
        <f>IF(OR('La Mia Rosa'!$O$12="",$D258&lt;&gt;""),"",IF($F258&lt;='La Mia Rosa'!$O$12*'Parametri Modello'!$B$24,"OK",IF($F258&lt;='La Mia Rosa'!$O$12*'Parametri Modello'!$B$25,"Attenzione","Rischio Alto")))</f>
        <v>OK</v>
      </c>
      <c r="V258" s="23">
        <f t="shared" ref="V258:V321" si="37">IFERROR(COUNTIFS($B$2:$B$492,$B258,$O$2:$O$492,"&gt;"&amp;$O258)+1,"")</f>
        <v>98</v>
      </c>
      <c r="W258" s="18">
        <f>'Info Lega'!$B$4-SUMIFS($M$2:$M$492,$D$2:$D$492,'Info Lega'!$B$28)</f>
        <v>1000</v>
      </c>
      <c r="X258" s="18">
        <f>('Info Lega'!$B$5-COUNTIFS($D$2:$D$492,'Info Lega'!$B$28,$B$2:$B$492,"P"))+('Info Lega'!$B$6-COUNTIFS($D$2:$D$492,'Info Lega'!$B$28,$B$2:$B$492,"D"))+('Info Lega'!$B$7-COUNTIFS($D$2:$D$492,'Info Lega'!$B$28,$B$2:$B$492,"C"))+('Info Lega'!$B$8-COUNTIFS($D$2:$D$492,'Info Lega'!$B$28,$B$2:$B$492,"A"))</f>
        <v>25</v>
      </c>
      <c r="Y258" s="18">
        <f>X258*'Parametri Modello'!$B$30</f>
        <v>25</v>
      </c>
      <c r="Z258" s="18">
        <f t="shared" ref="Z258:Z321" si="38">MAX(0,W258-Y258)</f>
        <v>975</v>
      </c>
      <c r="AA258" s="18">
        <f t="shared" ref="AA258:AA321" si="39">MIN(F258,Z258)</f>
        <v>2</v>
      </c>
      <c r="AB258" s="18"/>
      <c r="AC258" s="18" t="str">
        <f>IF($AB258="","",IF($AB258&gt;$AA258,"PASS",IF($AB258&lt;=$AA258*(1-'Parametri Modello'!$B$68),"BID","ATTENZIONE")))</f>
        <v/>
      </c>
      <c r="AD258" s="28">
        <f t="shared" ref="AD258:AD321" si="40">IF(I258="","",ROUND(100*(1-EXP(-I258/30)),0))</f>
        <v>59</v>
      </c>
      <c r="AE258" s="5" t="str">
        <f>IFERROR(INDEX('Stato Asta'!$G$9:$G$12,MATCH($B258,'Stato Asta'!$A$9:$A$12,0)),"")</f>
        <v>🔴 Non aspettare</v>
      </c>
      <c r="AF258" t="str">
        <f>IFERROR(IF($V258&lt;=INDEX('Parametri Modello'!$C$57:$C$60,MATCH($B258,'Parametri Modello'!$A$57:$A$60,0)),"Titolare","Riserva"),"")</f>
        <v>Riserva</v>
      </c>
      <c r="AG258" t="str">
        <f>IFERROR(INDEX('Pressione Competitiva'!$F$3:$F$6,MATCH($B258,'Pressione Competitiva'!$B$3:$B$6,0)),"")</f>
        <v>🔴 Molto Alta</v>
      </c>
      <c r="AH258" t="str">
        <f t="shared" ref="AH258:AH321" si="41">IF($AB258="","",$AA258-$AB258)</f>
        <v/>
      </c>
      <c r="AI258" t="str">
        <f>IFERROR(IF($AH258="","",IF($AH258&gt;=$AA258*'Parametri Modello'!$B$68,"🟢 Opportunita'",IF($AH258&lt;=$AA258*'Parametri Modello'!$B$69,"🔴 Sovrapprezzo","🟡 Prezzo Corretto"))),"")</f>
        <v/>
      </c>
      <c r="AJ258" t="str">
        <f t="shared" ref="AJ258:AJ321" si="42">IF($AB258="","",IF($AC258="PASS","Prezzo sopra la tua Offerta Max Dinamica ("&amp;$AA258&amp;" cr).",IF($AC258="BID","Margine ampio sul tuo tetto (+"&amp;($AA258-$AB258)&amp;" cr).","Margine ridotto: sei vicino al tuo tetto ("&amp;($AA258-$AB258)&amp;" cr residui).")))</f>
        <v/>
      </c>
      <c r="AK258">
        <f t="shared" ref="AK258:AK321" si="43">IF(AND($D258="",$N258&gt;1),COUNTIFS($B$2:$B$492,$B258,$P$2:$P$492,$P258,$D$2:$D$492,"",$N$2:$N$492,"&gt;1",$O$2:$O$492,"&gt;"&amp;$O258)+1,"")</f>
        <v>43</v>
      </c>
      <c r="AL258" t="str">
        <f t="shared" ref="AL258:AL321" si="44">IF($AK258="","",$B258&amp;"|"&amp;$P258&amp;"|"&amp;$AK258)</f>
        <v>C|Nella Media|43</v>
      </c>
    </row>
    <row r="259" spans="1:38" ht="14.25" customHeight="1" x14ac:dyDescent="0.25">
      <c r="A259" s="18">
        <v>7535</v>
      </c>
      <c r="B259" s="18" t="s">
        <v>17</v>
      </c>
      <c r="C259" s="18" t="s">
        <v>398</v>
      </c>
      <c r="E259" s="23" t="str">
        <f>IF(COUNTIF('Info Strategia'!$D$2:$D$51,$C259)&gt;0,"SI","NO")</f>
        <v>NO</v>
      </c>
      <c r="F259" s="24">
        <f>IFERROR(ROUND(($G259+($H259-$G259)*'Info Strategia'!$B$6)*(1+IF($E259="SI",'Parametri Modello'!$B$7*'Info Strategia'!$B$6,0)),0),"")</f>
        <v>2</v>
      </c>
      <c r="G259" s="24">
        <f>IFERROR(ROUND(MAX(1,(IF($V259&lt;=INDEX('Parametri Modello'!$C$57:$C$60,MATCH($B259,'Parametri Modello'!$A$57:$A$60,0)),IF(INDEX('Parametri Modello'!$E$57:$E$60,MATCH($B259,'Parametri Modello'!$A$57:$A$60,0))=0,0,($O259/INDEX('Parametri Modello'!$E$57:$E$60,MATCH($B259,'Parametri Modello'!$A$57:$A$60,0)))*(INDEX('Parametri Modello'!$D$57:$D$60,MATCH($B259,'Parametri Modello'!$A$57:$A$60,0))*(INDEX('Parametri Modello'!$B$50:$B$53,MATCH($B259,'Parametri Modello'!$A$50:$A$53,0))*'Parametri Modello'!$B$44))),IF(INDEX('Parametri Modello'!$F$57:$F$60,MATCH($B259,'Parametri Modello'!$A$57:$A$60,0))=0,0,($O259/INDEX('Parametri Modello'!$F$57:$F$60,MATCH($B259,'Parametri Modello'!$A$57:$A$60,0)))*((1-INDEX('Parametri Modello'!$D$57:$D$60,MATCH($B259,'Parametri Modello'!$A$57:$A$60,0)))*(INDEX('Parametri Modello'!$B$50:$B$53,MATCH($B259,'Parametri Modello'!$A$50:$A$53,0))*'Parametri Modello'!$B$44))))*(1+IF(IF($B259="D",'Info Lega'!$B$25,IF($B259="C",'Info Lega'!$B$26,"No"))="Si",'Parametri Modello'!$B$5,0))*(1+MAX(-0.25,MIN(0.25,IF(OR($T259="",$I259="",$I259=0,INDEX('Parametri Modello'!$B$19:$B$22,MATCH($B259,'Parametri Modello'!$A$19:$A$22,0))="",INDEX('Parametri Modello'!$B$19:$B$22,MATCH($B259,'Parametri Modello'!$A$19:$A$22,0))=0),0,(($T259-INDEX('Parametri Modello'!$B$19:$B$22,MATCH($B259,'Parametri Modello'!$A$19:$A$22,0)))/INDEX('Parametri Modello'!$B$19:$B$22,MATCH($B259,'Parametri Modello'!$A$19:$A$22,0)))*'Parametri Modello'!$B$9))))*(1+IF('Parametri Modello'!$B$27="Si",MAX(-'Parametri Modello'!$B$28,MIN('Parametri Modello'!$B$28*1.5,IF(OR(INDEX('Parametri Modello'!$F$32:$F$35,MATCH($B259,'Parametri Modello'!$A$32:$A$35,0))="",INDEX('Parametri Modello'!$F$32:$F$35,MATCH($B259,'Parametri Modello'!$A$32:$A$35,0))=0),0,(1/INDEX('Parametri Modello'!$F$32:$F$35,MATCH($B259,'Parametri Modello'!$A$32:$A$35,0))-1)*'Parametri Modello'!$B$28))),0)))*(1-INDEX('Parametri Modello'!$B$12:$B$15,MATCH($B259,'Parametri Modello'!$A$12:$A$15,0)))),0),"")</f>
        <v>1</v>
      </c>
      <c r="H259" s="24">
        <f>IFERROR(ROUND((IF($V259&lt;=INDEX('Parametri Modello'!$C$57:$C$60,MATCH($B259,'Parametri Modello'!$A$57:$A$60,0)),IF(INDEX('Parametri Modello'!$E$57:$E$60,MATCH($B259,'Parametri Modello'!$A$57:$A$60,0))=0,0,($O259/INDEX('Parametri Modello'!$E$57:$E$60,MATCH($B259,'Parametri Modello'!$A$57:$A$60,0)))*(INDEX('Parametri Modello'!$D$57:$D$60,MATCH($B259,'Parametri Modello'!$A$57:$A$60,0))*(INDEX('Parametri Modello'!$B$50:$B$53,MATCH($B259,'Parametri Modello'!$A$50:$A$53,0))*'Parametri Modello'!$B$44))),IF(INDEX('Parametri Modello'!$F$57:$F$60,MATCH($B259,'Parametri Modello'!$A$57:$A$60,0))=0,0,($O259/INDEX('Parametri Modello'!$F$57:$F$60,MATCH($B259,'Parametri Modello'!$A$57:$A$60,0)))*((1-INDEX('Parametri Modello'!$D$57:$D$60,MATCH($B259,'Parametri Modello'!$A$57:$A$60,0)))*(INDEX('Parametri Modello'!$B$50:$B$53,MATCH($B259,'Parametri Modello'!$A$50:$A$53,0))*'Parametri Modello'!$B$44))))*(1+IF(IF($B259="D",'Info Lega'!$B$25,IF($B259="C",'Info Lega'!$B$26,"No"))="Si",'Parametri Modello'!$B$5,0))*(1+MAX(-0.25,MIN(0.25,IF(OR($T259="",$I259="",$I259=0,INDEX('Parametri Modello'!$B$19:$B$22,MATCH($B259,'Parametri Modello'!$A$19:$A$22,0))="",INDEX('Parametri Modello'!$B$19:$B$22,MATCH($B259,'Parametri Modello'!$A$19:$A$22,0))=0),0,(($T259-INDEX('Parametri Modello'!$B$19:$B$22,MATCH($B259,'Parametri Modello'!$A$19:$A$22,0)))/INDEX('Parametri Modello'!$B$19:$B$22,MATCH($B259,'Parametri Modello'!$A$19:$A$22,0)))*'Parametri Modello'!$B$9))))*(1+IF('Parametri Modello'!$B$27="Si",MAX(-'Parametri Modello'!$B$28,MIN('Parametri Modello'!$B$28*1.5,IF(OR(INDEX('Parametri Modello'!$F$32:$F$35,MATCH($B259,'Parametri Modello'!$A$32:$A$35,0))="",INDEX('Parametri Modello'!$F$32:$F$35,MATCH($B259,'Parametri Modello'!$A$32:$A$35,0))=0),0,(1/INDEX('Parametri Modello'!$F$32:$F$35,MATCH($B259,'Parametri Modello'!$A$32:$A$35,0))-1)*'Parametri Modello'!$B$28))),0)))*(1+INDEX('Parametri Modello'!$B$12:$B$15,MATCH($B259,'Parametri Modello'!$A$12:$A$15,0))),0),"")</f>
        <v>2</v>
      </c>
      <c r="I259" s="23" t="str">
        <f>IFERROR(INDEX('Input Statistiche 2025_26'!$F$3:$F$665,MATCH($A259,'Input Statistiche 2025_26'!$A$3:$A$665,0)),"")</f>
        <v/>
      </c>
      <c r="J259" s="23" t="str">
        <f t="shared" si="36"/>
        <v/>
      </c>
      <c r="K259" s="23" t="str">
        <f>IFERROR(INDEX('Input Statistiche 2025_26'!$I$3:$I$665,MATCH($A259,'Input Statistiche 2025_26'!$A$3:$A$665,0)),"")</f>
        <v/>
      </c>
      <c r="L259" s="23" t="str">
        <f>IFERROR(INDEX('Input Statistiche 2025_26'!$O$3:$O$665,MATCH($A259,'Input Statistiche 2025_26'!$A$3:$A$665,0)),"")</f>
        <v/>
      </c>
      <c r="M259" s="25"/>
      <c r="N259" s="24">
        <f>IFERROR(INDEX('Input Giocatori 2026_27'!$E$3:$E$493,MATCH($A259,'Input Giocatori 2026_27'!$A$3:$A$493,0)),"")</f>
        <v>4</v>
      </c>
      <c r="O259" s="24">
        <f>IFERROR(INDEX('Input Giocatori 2026_27'!$G$3:$G$493,MATCH($A259,'Input Giocatori 2026_27'!$A$3:$A$493,0)),"")</f>
        <v>13</v>
      </c>
      <c r="P259" s="23" t="str">
        <f>IFERROR(IF($O259="","",IF((1-(COUNTIFS($B$2:$B$492,$B259,$O$2:$O$492,"&gt;"&amp;$O259)+1-1)/COUNTIF($B$2:$B$492,$B259))&gt;='Parametri Modello'!$B$63,"Top",IF((1-(COUNTIFS($B$2:$B$492,$B259,$O$2:$O$492,"&gt;"&amp;$O259)+1-1)/COUNTIF($B$2:$B$492,$B259))&gt;='Parametri Modello'!$B$64,"Buono",IF((1-(COUNTIFS($B$2:$B$492,$B259,$O$2:$O$492,"&gt;"&amp;$O259)+1-1)/COUNTIF($B$2:$B$492,$B259))&gt;='Parametri Modello'!$B$65,"Nella Media","Scommessa/Riserva")))),"")</f>
        <v>Nella Media</v>
      </c>
      <c r="Q259" s="26">
        <f>IF(AND($D259="",$N259&gt;1),SUMPRODUCT(($D$2:$D259="")*($N$2:$N259&gt;1)),"")</f>
        <v>258</v>
      </c>
      <c r="R259" s="26" t="str">
        <f>IF($D259='Info Lega'!$B$28,COUNTIFS($D$2:$D259,'Info Lega'!$B$28),"")</f>
        <v/>
      </c>
      <c r="S259" s="27" t="str">
        <f>IFERROR(INDEX('Input Statistiche 2025_26'!$G$3:$G$665,MATCH($A259,'Input Statistiche 2025_26'!$A$3:$A$665,0)),"")</f>
        <v/>
      </c>
      <c r="T259" s="27" t="str">
        <f>IFERROR(INDEX('Input Statistiche 2025_26'!$H$3:$H$665,MATCH($A259,'Input Statistiche 2025_26'!$A$3:$A$665,0)),"")</f>
        <v/>
      </c>
      <c r="U259" s="23" t="str">
        <f>IF(OR('La Mia Rosa'!$O$12="",$D259&lt;&gt;""),"",IF($F259&lt;='La Mia Rosa'!$O$12*'Parametri Modello'!$B$24,"OK",IF($F259&lt;='La Mia Rosa'!$O$12*'Parametri Modello'!$B$25,"Attenzione","Rischio Alto")))</f>
        <v>OK</v>
      </c>
      <c r="V259" s="23">
        <f t="shared" si="37"/>
        <v>98</v>
      </c>
      <c r="W259" s="18">
        <f>'Info Lega'!$B$4-SUMIFS($M$2:$M$492,$D$2:$D$492,'Info Lega'!$B$28)</f>
        <v>1000</v>
      </c>
      <c r="X259" s="18">
        <f>('Info Lega'!$B$5-COUNTIFS($D$2:$D$492,'Info Lega'!$B$28,$B$2:$B$492,"P"))+('Info Lega'!$B$6-COUNTIFS($D$2:$D$492,'Info Lega'!$B$28,$B$2:$B$492,"D"))+('Info Lega'!$B$7-COUNTIFS($D$2:$D$492,'Info Lega'!$B$28,$B$2:$B$492,"C"))+('Info Lega'!$B$8-COUNTIFS($D$2:$D$492,'Info Lega'!$B$28,$B$2:$B$492,"A"))</f>
        <v>25</v>
      </c>
      <c r="Y259" s="18">
        <f>X259*'Parametri Modello'!$B$30</f>
        <v>25</v>
      </c>
      <c r="Z259" s="18">
        <f t="shared" si="38"/>
        <v>975</v>
      </c>
      <c r="AA259" s="18">
        <f t="shared" si="39"/>
        <v>2</v>
      </c>
      <c r="AB259" s="18"/>
      <c r="AC259" s="18" t="str">
        <f>IF($AB259="","",IF($AB259&gt;$AA259,"PASS",IF($AB259&lt;=$AA259*(1-'Parametri Modello'!$B$68),"BID","ATTENZIONE")))</f>
        <v/>
      </c>
      <c r="AD259" s="28" t="str">
        <f t="shared" si="40"/>
        <v/>
      </c>
      <c r="AE259" s="5" t="str">
        <f>IFERROR(INDEX('Stato Asta'!$G$9:$G$12,MATCH($B259,'Stato Asta'!$A$9:$A$12,0)),"")</f>
        <v>🔴 Non aspettare</v>
      </c>
      <c r="AF259" t="str">
        <f>IFERROR(IF($V259&lt;=INDEX('Parametri Modello'!$C$57:$C$60,MATCH($B259,'Parametri Modello'!$A$57:$A$60,0)),"Titolare","Riserva"),"")</f>
        <v>Riserva</v>
      </c>
      <c r="AG259" t="str">
        <f>IFERROR(INDEX('Pressione Competitiva'!$F$3:$F$6,MATCH($B259,'Pressione Competitiva'!$B$3:$B$6,0)),"")</f>
        <v>🔴 Molto Alta</v>
      </c>
      <c r="AH259" t="str">
        <f t="shared" si="41"/>
        <v/>
      </c>
      <c r="AI259" t="str">
        <f>IFERROR(IF($AH259="","",IF($AH259&gt;=$AA259*'Parametri Modello'!$B$68,"🟢 Opportunita'",IF($AH259&lt;=$AA259*'Parametri Modello'!$B$69,"🔴 Sovrapprezzo","🟡 Prezzo Corretto"))),"")</f>
        <v/>
      </c>
      <c r="AJ259" t="str">
        <f t="shared" si="42"/>
        <v/>
      </c>
      <c r="AK259">
        <f t="shared" si="43"/>
        <v>43</v>
      </c>
      <c r="AL259" t="str">
        <f t="shared" si="44"/>
        <v>C|Nella Media|43</v>
      </c>
    </row>
    <row r="260" spans="1:38" ht="14.25" customHeight="1" x14ac:dyDescent="0.25">
      <c r="A260" s="18">
        <v>7213</v>
      </c>
      <c r="B260" s="18" t="s">
        <v>18</v>
      </c>
      <c r="C260" s="18" t="s">
        <v>399</v>
      </c>
      <c r="E260" s="23" t="str">
        <f>IF(COUNTIF('Info Strategia'!$D$2:$D$51,$C260)&gt;0,"SI","NO")</f>
        <v>NO</v>
      </c>
      <c r="F260" s="24">
        <f>IFERROR(ROUND(($G260+($H260-$G260)*'Info Strategia'!$B$6)*(1+IF($E260="SI",'Parametri Modello'!$B$7*'Info Strategia'!$B$6,0)),0),"")</f>
        <v>4</v>
      </c>
      <c r="G260" s="24">
        <f>IFERROR(ROUND(MAX(1,(IF($V260&lt;=INDEX('Parametri Modello'!$C$57:$C$60,MATCH($B260,'Parametri Modello'!$A$57:$A$60,0)),IF(INDEX('Parametri Modello'!$E$57:$E$60,MATCH($B260,'Parametri Modello'!$A$57:$A$60,0))=0,0,($O260/INDEX('Parametri Modello'!$E$57:$E$60,MATCH($B260,'Parametri Modello'!$A$57:$A$60,0)))*(INDEX('Parametri Modello'!$D$57:$D$60,MATCH($B260,'Parametri Modello'!$A$57:$A$60,0))*(INDEX('Parametri Modello'!$B$50:$B$53,MATCH($B260,'Parametri Modello'!$A$50:$A$53,0))*'Parametri Modello'!$B$44))),IF(INDEX('Parametri Modello'!$F$57:$F$60,MATCH($B260,'Parametri Modello'!$A$57:$A$60,0))=0,0,($O260/INDEX('Parametri Modello'!$F$57:$F$60,MATCH($B260,'Parametri Modello'!$A$57:$A$60,0)))*((1-INDEX('Parametri Modello'!$D$57:$D$60,MATCH($B260,'Parametri Modello'!$A$57:$A$60,0)))*(INDEX('Parametri Modello'!$B$50:$B$53,MATCH($B260,'Parametri Modello'!$A$50:$A$53,0))*'Parametri Modello'!$B$44))))*(1+IF(IF($B260="D",'Info Lega'!$B$25,IF($B260="C",'Info Lega'!$B$26,"No"))="Si",'Parametri Modello'!$B$5,0))*(1+MAX(-0.25,MIN(0.25,IF(OR($T260="",$I260="",$I260=0,INDEX('Parametri Modello'!$B$19:$B$22,MATCH($B260,'Parametri Modello'!$A$19:$A$22,0))="",INDEX('Parametri Modello'!$B$19:$B$22,MATCH($B260,'Parametri Modello'!$A$19:$A$22,0))=0),0,(($T260-INDEX('Parametri Modello'!$B$19:$B$22,MATCH($B260,'Parametri Modello'!$A$19:$A$22,0)))/INDEX('Parametri Modello'!$B$19:$B$22,MATCH($B260,'Parametri Modello'!$A$19:$A$22,0)))*'Parametri Modello'!$B$9))))*(1+IF('Parametri Modello'!$B$27="Si",MAX(-'Parametri Modello'!$B$28,MIN('Parametri Modello'!$B$28*1.5,IF(OR(INDEX('Parametri Modello'!$F$32:$F$35,MATCH($B260,'Parametri Modello'!$A$32:$A$35,0))="",INDEX('Parametri Modello'!$F$32:$F$35,MATCH($B260,'Parametri Modello'!$A$32:$A$35,0))=0),0,(1/INDEX('Parametri Modello'!$F$32:$F$35,MATCH($B260,'Parametri Modello'!$A$32:$A$35,0))-1)*'Parametri Modello'!$B$28))),0)))*(1-INDEX('Parametri Modello'!$B$12:$B$15,MATCH($B260,'Parametri Modello'!$A$12:$A$15,0)))),0),"")</f>
        <v>3</v>
      </c>
      <c r="H260" s="24">
        <f>IFERROR(ROUND((IF($V260&lt;=INDEX('Parametri Modello'!$C$57:$C$60,MATCH($B260,'Parametri Modello'!$A$57:$A$60,0)),IF(INDEX('Parametri Modello'!$E$57:$E$60,MATCH($B260,'Parametri Modello'!$A$57:$A$60,0))=0,0,($O260/INDEX('Parametri Modello'!$E$57:$E$60,MATCH($B260,'Parametri Modello'!$A$57:$A$60,0)))*(INDEX('Parametri Modello'!$D$57:$D$60,MATCH($B260,'Parametri Modello'!$A$57:$A$60,0))*(INDEX('Parametri Modello'!$B$50:$B$53,MATCH($B260,'Parametri Modello'!$A$50:$A$53,0))*'Parametri Modello'!$B$44))),IF(INDEX('Parametri Modello'!$F$57:$F$60,MATCH($B260,'Parametri Modello'!$A$57:$A$60,0))=0,0,($O260/INDEX('Parametri Modello'!$F$57:$F$60,MATCH($B260,'Parametri Modello'!$A$57:$A$60,0)))*((1-INDEX('Parametri Modello'!$D$57:$D$60,MATCH($B260,'Parametri Modello'!$A$57:$A$60,0)))*(INDEX('Parametri Modello'!$B$50:$B$53,MATCH($B260,'Parametri Modello'!$A$50:$A$53,0))*'Parametri Modello'!$B$44))))*(1+IF(IF($B260="D",'Info Lega'!$B$25,IF($B260="C",'Info Lega'!$B$26,"No"))="Si",'Parametri Modello'!$B$5,0))*(1+MAX(-0.25,MIN(0.25,IF(OR($T260="",$I260="",$I260=0,INDEX('Parametri Modello'!$B$19:$B$22,MATCH($B260,'Parametri Modello'!$A$19:$A$22,0))="",INDEX('Parametri Modello'!$B$19:$B$22,MATCH($B260,'Parametri Modello'!$A$19:$A$22,0))=0),0,(($T260-INDEX('Parametri Modello'!$B$19:$B$22,MATCH($B260,'Parametri Modello'!$A$19:$A$22,0)))/INDEX('Parametri Modello'!$B$19:$B$22,MATCH($B260,'Parametri Modello'!$A$19:$A$22,0)))*'Parametri Modello'!$B$9))))*(1+IF('Parametri Modello'!$B$27="Si",MAX(-'Parametri Modello'!$B$28,MIN('Parametri Modello'!$B$28*1.5,IF(OR(INDEX('Parametri Modello'!$F$32:$F$35,MATCH($B260,'Parametri Modello'!$A$32:$A$35,0))="",INDEX('Parametri Modello'!$F$32:$F$35,MATCH($B260,'Parametri Modello'!$A$32:$A$35,0))=0),0,(1/INDEX('Parametri Modello'!$F$32:$F$35,MATCH($B260,'Parametri Modello'!$A$32:$A$35,0))-1)*'Parametri Modello'!$B$28))),0)))*(1+INDEX('Parametri Modello'!$B$12:$B$15,MATCH($B260,'Parametri Modello'!$A$12:$A$15,0))),0),"")</f>
        <v>5</v>
      </c>
      <c r="I260" s="23">
        <f>IFERROR(INDEX('Input Statistiche 2025_26'!$F$3:$F$665,MATCH($A260,'Input Statistiche 2025_26'!$A$3:$A$665,0)),"")</f>
        <v>0</v>
      </c>
      <c r="J260" s="23">
        <f t="shared" si="36"/>
        <v>38</v>
      </c>
      <c r="K260" s="23">
        <f>IFERROR(INDEX('Input Statistiche 2025_26'!$I$3:$I$665,MATCH($A260,'Input Statistiche 2025_26'!$A$3:$A$665,0)),"")</f>
        <v>0</v>
      </c>
      <c r="L260" s="23">
        <f>IFERROR(INDEX('Input Statistiche 2025_26'!$O$3:$O$665,MATCH($A260,'Input Statistiche 2025_26'!$A$3:$A$665,0)),"")</f>
        <v>0</v>
      </c>
      <c r="M260" s="25"/>
      <c r="N260" s="24">
        <f>IFERROR(INDEX('Input Giocatori 2026_27'!$E$3:$E$493,MATCH($A260,'Input Giocatori 2026_27'!$A$3:$A$493,0)),"")</f>
        <v>5</v>
      </c>
      <c r="O260" s="24">
        <f>IFERROR(INDEX('Input Giocatori 2026_27'!$G$3:$G$493,MATCH($A260,'Input Giocatori 2026_27'!$A$3:$A$493,0)),"")</f>
        <v>13</v>
      </c>
      <c r="P260" s="23" t="str">
        <f>IFERROR(IF($O260="","",IF((1-(COUNTIFS($B$2:$B$492,$B260,$O$2:$O$492,"&gt;"&amp;$O260)+1-1)/COUNTIF($B$2:$B$492,$B260))&gt;='Parametri Modello'!$B$63,"Top",IF((1-(COUNTIFS($B$2:$B$492,$B260,$O$2:$O$492,"&gt;"&amp;$O260)+1-1)/COUNTIF($B$2:$B$492,$B260))&gt;='Parametri Modello'!$B$64,"Buono",IF((1-(COUNTIFS($B$2:$B$492,$B260,$O$2:$O$492,"&gt;"&amp;$O260)+1-1)/COUNTIF($B$2:$B$492,$B260))&gt;='Parametri Modello'!$B$65,"Nella Media","Scommessa/Riserva")))),"")</f>
        <v>Scommessa/Riserva</v>
      </c>
      <c r="Q260" s="26">
        <f>IF(AND($D260="",$N260&gt;1),SUMPRODUCT(($D$2:$D260="")*($N$2:$N260&gt;1)),"")</f>
        <v>259</v>
      </c>
      <c r="R260" s="26" t="str">
        <f>IF($D260='Info Lega'!$B$28,COUNTIFS($D$2:$D260,'Info Lega'!$B$28),"")</f>
        <v/>
      </c>
      <c r="S260" s="27">
        <f>IFERROR(INDEX('Input Statistiche 2025_26'!$G$3:$G$665,MATCH($A260,'Input Statistiche 2025_26'!$A$3:$A$665,0)),"")</f>
        <v>0</v>
      </c>
      <c r="T260" s="27">
        <f>IFERROR(INDEX('Input Statistiche 2025_26'!$H$3:$H$665,MATCH($A260,'Input Statistiche 2025_26'!$A$3:$A$665,0)),"")</f>
        <v>0</v>
      </c>
      <c r="U260" s="23" t="str">
        <f>IF(OR('La Mia Rosa'!$O$12="",$D260&lt;&gt;""),"",IF($F260&lt;='La Mia Rosa'!$O$12*'Parametri Modello'!$B$24,"OK",IF($F260&lt;='La Mia Rosa'!$O$12*'Parametri Modello'!$B$25,"Attenzione","Rischio Alto")))</f>
        <v>OK</v>
      </c>
      <c r="V260" s="23">
        <f t="shared" si="37"/>
        <v>61</v>
      </c>
      <c r="W260" s="18">
        <f>'Info Lega'!$B$4-SUMIFS($M$2:$M$492,$D$2:$D$492,'Info Lega'!$B$28)</f>
        <v>1000</v>
      </c>
      <c r="X260" s="18">
        <f>('Info Lega'!$B$5-COUNTIFS($D$2:$D$492,'Info Lega'!$B$28,$B$2:$B$492,"P"))+('Info Lega'!$B$6-COUNTIFS($D$2:$D$492,'Info Lega'!$B$28,$B$2:$B$492,"D"))+('Info Lega'!$B$7-COUNTIFS($D$2:$D$492,'Info Lega'!$B$28,$B$2:$B$492,"C"))+('Info Lega'!$B$8-COUNTIFS($D$2:$D$492,'Info Lega'!$B$28,$B$2:$B$492,"A"))</f>
        <v>25</v>
      </c>
      <c r="Y260" s="18">
        <f>X260*'Parametri Modello'!$B$30</f>
        <v>25</v>
      </c>
      <c r="Z260" s="18">
        <f t="shared" si="38"/>
        <v>975</v>
      </c>
      <c r="AA260" s="18">
        <f t="shared" si="39"/>
        <v>4</v>
      </c>
      <c r="AB260" s="18"/>
      <c r="AC260" s="18" t="str">
        <f>IF($AB260="","",IF($AB260&gt;$AA260,"PASS",IF($AB260&lt;=$AA260*(1-'Parametri Modello'!$B$68),"BID","ATTENZIONE")))</f>
        <v/>
      </c>
      <c r="AD260" s="28">
        <f t="shared" si="40"/>
        <v>0</v>
      </c>
      <c r="AE260" s="5" t="str">
        <f>IFERROR(INDEX('Stato Asta'!$G$9:$G$12,MATCH($B260,'Stato Asta'!$A$9:$A$12,0)),"")</f>
        <v>🔴 Non aspettare</v>
      </c>
      <c r="AF260" t="str">
        <f>IFERROR(IF($V260&lt;=INDEX('Parametri Modello'!$C$57:$C$60,MATCH($B260,'Parametri Modello'!$A$57:$A$60,0)),"Titolare","Riserva"),"")</f>
        <v>Riserva</v>
      </c>
      <c r="AG260" t="str">
        <f>IFERROR(INDEX('Pressione Competitiva'!$F$3:$F$6,MATCH($B260,'Pressione Competitiva'!$B$3:$B$6,0)),"")</f>
        <v>🔴 Molto Alta</v>
      </c>
      <c r="AH260" t="str">
        <f t="shared" si="41"/>
        <v/>
      </c>
      <c r="AI260" t="str">
        <f>IFERROR(IF($AH260="","",IF($AH260&gt;=$AA260*'Parametri Modello'!$B$68,"🟢 Opportunita'",IF($AH260&lt;=$AA260*'Parametri Modello'!$B$69,"🔴 Sovrapprezzo","🟡 Prezzo Corretto"))),"")</f>
        <v/>
      </c>
      <c r="AJ260" t="str">
        <f t="shared" si="42"/>
        <v/>
      </c>
      <c r="AK260">
        <f t="shared" si="43"/>
        <v>7</v>
      </c>
      <c r="AL260" t="str">
        <f t="shared" si="44"/>
        <v>A|Scommessa/Riserva|7</v>
      </c>
    </row>
    <row r="261" spans="1:38" ht="14.25" customHeight="1" x14ac:dyDescent="0.25">
      <c r="A261" s="18">
        <v>4485</v>
      </c>
      <c r="B261" s="18" t="s">
        <v>15</v>
      </c>
      <c r="C261" s="18" t="s">
        <v>400</v>
      </c>
      <c r="E261" s="23" t="str">
        <f>IF(COUNTIF('Info Strategia'!$D$2:$D$51,$C261)&gt;0,"SI","NO")</f>
        <v>NO</v>
      </c>
      <c r="F261" s="24">
        <f>IFERROR(ROUND(($G261+($H261-$G261)*'Info Strategia'!$B$6)*(1+IF($E261="SI",'Parametri Modello'!$B$7*'Info Strategia'!$B$6,0)),0),"")</f>
        <v>4</v>
      </c>
      <c r="G261" s="24">
        <f>IFERROR(ROUND(MAX(1,(IF($V261&lt;=INDEX('Parametri Modello'!$C$57:$C$60,MATCH($B261,'Parametri Modello'!$A$57:$A$60,0)),IF(INDEX('Parametri Modello'!$E$57:$E$60,MATCH($B261,'Parametri Modello'!$A$57:$A$60,0))=0,0,($O261/INDEX('Parametri Modello'!$E$57:$E$60,MATCH($B261,'Parametri Modello'!$A$57:$A$60,0)))*(INDEX('Parametri Modello'!$D$57:$D$60,MATCH($B261,'Parametri Modello'!$A$57:$A$60,0))*(INDEX('Parametri Modello'!$B$50:$B$53,MATCH($B261,'Parametri Modello'!$A$50:$A$53,0))*'Parametri Modello'!$B$44))),IF(INDEX('Parametri Modello'!$F$57:$F$60,MATCH($B261,'Parametri Modello'!$A$57:$A$60,0))=0,0,($O261/INDEX('Parametri Modello'!$F$57:$F$60,MATCH($B261,'Parametri Modello'!$A$57:$A$60,0)))*((1-INDEX('Parametri Modello'!$D$57:$D$60,MATCH($B261,'Parametri Modello'!$A$57:$A$60,0)))*(INDEX('Parametri Modello'!$B$50:$B$53,MATCH($B261,'Parametri Modello'!$A$50:$A$53,0))*'Parametri Modello'!$B$44))))*(1+IF(IF($B261="D",'Info Lega'!$B$25,IF($B261="C",'Info Lega'!$B$26,"No"))="Si",'Parametri Modello'!$B$5,0))*(1+MAX(-0.25,MIN(0.25,IF(OR($T261="",$I261="",$I261=0,INDEX('Parametri Modello'!$B$19:$B$22,MATCH($B261,'Parametri Modello'!$A$19:$A$22,0))="",INDEX('Parametri Modello'!$B$19:$B$22,MATCH($B261,'Parametri Modello'!$A$19:$A$22,0))=0),0,(($T261-INDEX('Parametri Modello'!$B$19:$B$22,MATCH($B261,'Parametri Modello'!$A$19:$A$22,0)))/INDEX('Parametri Modello'!$B$19:$B$22,MATCH($B261,'Parametri Modello'!$A$19:$A$22,0)))*'Parametri Modello'!$B$9))))*(1+IF('Parametri Modello'!$B$27="Si",MAX(-'Parametri Modello'!$B$28,MIN('Parametri Modello'!$B$28*1.5,IF(OR(INDEX('Parametri Modello'!$F$32:$F$35,MATCH($B261,'Parametri Modello'!$A$32:$A$35,0))="",INDEX('Parametri Modello'!$F$32:$F$35,MATCH($B261,'Parametri Modello'!$A$32:$A$35,0))=0),0,(1/INDEX('Parametri Modello'!$F$32:$F$35,MATCH($B261,'Parametri Modello'!$A$32:$A$35,0))-1)*'Parametri Modello'!$B$28))),0)))*(1-INDEX('Parametri Modello'!$B$12:$B$15,MATCH($B261,'Parametri Modello'!$A$12:$A$15,0)))),0),"")</f>
        <v>3</v>
      </c>
      <c r="H261" s="24">
        <f>IFERROR(ROUND((IF($V261&lt;=INDEX('Parametri Modello'!$C$57:$C$60,MATCH($B261,'Parametri Modello'!$A$57:$A$60,0)),IF(INDEX('Parametri Modello'!$E$57:$E$60,MATCH($B261,'Parametri Modello'!$A$57:$A$60,0))=0,0,($O261/INDEX('Parametri Modello'!$E$57:$E$60,MATCH($B261,'Parametri Modello'!$A$57:$A$60,0)))*(INDEX('Parametri Modello'!$D$57:$D$60,MATCH($B261,'Parametri Modello'!$A$57:$A$60,0))*(INDEX('Parametri Modello'!$B$50:$B$53,MATCH($B261,'Parametri Modello'!$A$50:$A$53,0))*'Parametri Modello'!$B$44))),IF(INDEX('Parametri Modello'!$F$57:$F$60,MATCH($B261,'Parametri Modello'!$A$57:$A$60,0))=0,0,($O261/INDEX('Parametri Modello'!$F$57:$F$60,MATCH($B261,'Parametri Modello'!$A$57:$A$60,0)))*((1-INDEX('Parametri Modello'!$D$57:$D$60,MATCH($B261,'Parametri Modello'!$A$57:$A$60,0)))*(INDEX('Parametri Modello'!$B$50:$B$53,MATCH($B261,'Parametri Modello'!$A$50:$A$53,0))*'Parametri Modello'!$B$44))))*(1+IF(IF($B261="D",'Info Lega'!$B$25,IF($B261="C",'Info Lega'!$B$26,"No"))="Si",'Parametri Modello'!$B$5,0))*(1+MAX(-0.25,MIN(0.25,IF(OR($T261="",$I261="",$I261=0,INDEX('Parametri Modello'!$B$19:$B$22,MATCH($B261,'Parametri Modello'!$A$19:$A$22,0))="",INDEX('Parametri Modello'!$B$19:$B$22,MATCH($B261,'Parametri Modello'!$A$19:$A$22,0))=0),0,(($T261-INDEX('Parametri Modello'!$B$19:$B$22,MATCH($B261,'Parametri Modello'!$A$19:$A$22,0)))/INDEX('Parametri Modello'!$B$19:$B$22,MATCH($B261,'Parametri Modello'!$A$19:$A$22,0)))*'Parametri Modello'!$B$9))))*(1+IF('Parametri Modello'!$B$27="Si",MAX(-'Parametri Modello'!$B$28,MIN('Parametri Modello'!$B$28*1.5,IF(OR(INDEX('Parametri Modello'!$F$32:$F$35,MATCH($B261,'Parametri Modello'!$A$32:$A$35,0))="",INDEX('Parametri Modello'!$F$32:$F$35,MATCH($B261,'Parametri Modello'!$A$32:$A$35,0))=0),0,(1/INDEX('Parametri Modello'!$F$32:$F$35,MATCH($B261,'Parametri Modello'!$A$32:$A$35,0))-1)*'Parametri Modello'!$B$28))),0)))*(1+INDEX('Parametri Modello'!$B$12:$B$15,MATCH($B261,'Parametri Modello'!$A$12:$A$15,0))),0),"")</f>
        <v>5</v>
      </c>
      <c r="I261" s="23" t="str">
        <f>IFERROR(INDEX('Input Statistiche 2025_26'!$F$3:$F$665,MATCH($A261,'Input Statistiche 2025_26'!$A$3:$A$665,0)),"")</f>
        <v/>
      </c>
      <c r="J261" s="23" t="str">
        <f t="shared" si="36"/>
        <v/>
      </c>
      <c r="K261" s="23" t="str">
        <f>IFERROR(INDEX('Input Statistiche 2025_26'!$I$3:$I$665,MATCH($A261,'Input Statistiche 2025_26'!$A$3:$A$665,0)),"")</f>
        <v/>
      </c>
      <c r="L261" s="23" t="str">
        <f>IFERROR(INDEX('Input Statistiche 2025_26'!$O$3:$O$665,MATCH($A261,'Input Statistiche 2025_26'!$A$3:$A$665,0)),"")</f>
        <v/>
      </c>
      <c r="M261" s="25"/>
      <c r="N261" s="24">
        <f>IFERROR(INDEX('Input Giocatori 2026_27'!$E$3:$E$493,MATCH($A261,'Input Giocatori 2026_27'!$A$3:$A$493,0)),"")</f>
        <v>5</v>
      </c>
      <c r="O261" s="24">
        <f>IFERROR(INDEX('Input Giocatori 2026_27'!$G$3:$G$493,MATCH($A261,'Input Giocatori 2026_27'!$A$3:$A$493,0)),"")</f>
        <v>12</v>
      </c>
      <c r="P261" s="23" t="str">
        <f>IFERROR(IF($O261="","",IF((1-(COUNTIFS($B$2:$B$492,$B261,$O$2:$O$492,"&gt;"&amp;$O261)+1-1)/COUNTIF($B$2:$B$492,$B261))&gt;='Parametri Modello'!$B$63,"Top",IF((1-(COUNTIFS($B$2:$B$492,$B261,$O$2:$O$492,"&gt;"&amp;$O261)+1-1)/COUNTIF($B$2:$B$492,$B261))&gt;='Parametri Modello'!$B$64,"Buono",IF((1-(COUNTIFS($B$2:$B$492,$B261,$O$2:$O$492,"&gt;"&amp;$O261)+1-1)/COUNTIF($B$2:$B$492,$B261))&gt;='Parametri Modello'!$B$65,"Nella Media","Scommessa/Riserva")))),"")</f>
        <v>Buono</v>
      </c>
      <c r="Q261" s="26">
        <f>IF(AND($D261="",$N261&gt;1),SUMPRODUCT(($D$2:$D261="")*($N$2:$N261&gt;1)),"")</f>
        <v>260</v>
      </c>
      <c r="R261" s="26" t="str">
        <f>IF($D261='Info Lega'!$B$28,COUNTIFS($D$2:$D261,'Info Lega'!$B$28),"")</f>
        <v/>
      </c>
      <c r="S261" s="27" t="str">
        <f>IFERROR(INDEX('Input Statistiche 2025_26'!$G$3:$G$665,MATCH($A261,'Input Statistiche 2025_26'!$A$3:$A$665,0)),"")</f>
        <v/>
      </c>
      <c r="T261" s="27" t="str">
        <f>IFERROR(INDEX('Input Statistiche 2025_26'!$H$3:$H$665,MATCH($A261,'Input Statistiche 2025_26'!$A$3:$A$665,0)),"")</f>
        <v/>
      </c>
      <c r="U261" s="23" t="str">
        <f>IF(OR('La Mia Rosa'!$O$12="",$D261&lt;&gt;""),"",IF($F261&lt;='La Mia Rosa'!$O$12*'Parametri Modello'!$B$24,"OK",IF($F261&lt;='La Mia Rosa'!$O$12*'Parametri Modello'!$B$25,"Attenzione","Rischio Alto")))</f>
        <v>OK</v>
      </c>
      <c r="V261" s="23">
        <f t="shared" si="37"/>
        <v>18</v>
      </c>
      <c r="W261" s="18">
        <f>'Info Lega'!$B$4-SUMIFS($M$2:$M$492,$D$2:$D$492,'Info Lega'!$B$28)</f>
        <v>1000</v>
      </c>
      <c r="X261" s="18">
        <f>('Info Lega'!$B$5-COUNTIFS($D$2:$D$492,'Info Lega'!$B$28,$B$2:$B$492,"P"))+('Info Lega'!$B$6-COUNTIFS($D$2:$D$492,'Info Lega'!$B$28,$B$2:$B$492,"D"))+('Info Lega'!$B$7-COUNTIFS($D$2:$D$492,'Info Lega'!$B$28,$B$2:$B$492,"C"))+('Info Lega'!$B$8-COUNTIFS($D$2:$D$492,'Info Lega'!$B$28,$B$2:$B$492,"A"))</f>
        <v>25</v>
      </c>
      <c r="Y261" s="18">
        <f>X261*'Parametri Modello'!$B$30</f>
        <v>25</v>
      </c>
      <c r="Z261" s="18">
        <f t="shared" si="38"/>
        <v>975</v>
      </c>
      <c r="AA261" s="18">
        <f t="shared" si="39"/>
        <v>4</v>
      </c>
      <c r="AB261" s="18"/>
      <c r="AC261" s="18" t="str">
        <f>IF($AB261="","",IF($AB261&gt;$AA261,"PASS",IF($AB261&lt;=$AA261*(1-'Parametri Modello'!$B$68),"BID","ATTENZIONE")))</f>
        <v/>
      </c>
      <c r="AD261" s="28" t="str">
        <f t="shared" si="40"/>
        <v/>
      </c>
      <c r="AE261" s="5" t="str">
        <f>IFERROR(INDEX('Stato Asta'!$G$9:$G$12,MATCH($B261,'Stato Asta'!$A$9:$A$12,0)),"")</f>
        <v>🔴 Non aspettare</v>
      </c>
      <c r="AF261" t="str">
        <f>IFERROR(IF($V261&lt;=INDEX('Parametri Modello'!$C$57:$C$60,MATCH($B261,'Parametri Modello'!$A$57:$A$60,0)),"Titolare","Riserva"),"")</f>
        <v>Riserva</v>
      </c>
      <c r="AG261" t="str">
        <f>IFERROR(INDEX('Pressione Competitiva'!$F$3:$F$6,MATCH($B261,'Pressione Competitiva'!$B$3:$B$6,0)),"")</f>
        <v>🔴 Molto Alta</v>
      </c>
      <c r="AH261" t="str">
        <f t="shared" si="41"/>
        <v/>
      </c>
      <c r="AI261" t="str">
        <f>IFERROR(IF($AH261="","",IF($AH261&gt;=$AA261*'Parametri Modello'!$B$68,"🟢 Opportunita'",IF($AH261&lt;=$AA261*'Parametri Modello'!$B$69,"🔴 Sovrapprezzo","🟡 Prezzo Corretto"))),"")</f>
        <v/>
      </c>
      <c r="AJ261" t="str">
        <f t="shared" si="42"/>
        <v/>
      </c>
      <c r="AK261">
        <f t="shared" si="43"/>
        <v>11</v>
      </c>
      <c r="AL261" t="str">
        <f t="shared" si="44"/>
        <v>P|Buono|11</v>
      </c>
    </row>
    <row r="262" spans="1:38" ht="14.25" customHeight="1" x14ac:dyDescent="0.25">
      <c r="A262" s="18">
        <v>5555</v>
      </c>
      <c r="B262" s="18" t="s">
        <v>16</v>
      </c>
      <c r="C262" s="18" t="s">
        <v>401</v>
      </c>
      <c r="E262" s="23" t="str">
        <f>IF(COUNTIF('Info Strategia'!$D$2:$D$51,$C262)&gt;0,"SI","NO")</f>
        <v>NO</v>
      </c>
      <c r="F262" s="24">
        <f>IFERROR(ROUND(($G262+($H262-$G262)*'Info Strategia'!$B$6)*(1+IF($E262="SI",'Parametri Modello'!$B$7*'Info Strategia'!$B$6,0)),0),"")</f>
        <v>2</v>
      </c>
      <c r="G262" s="24">
        <f>IFERROR(ROUND(MAX(1,(IF($V262&lt;=INDEX('Parametri Modello'!$C$57:$C$60,MATCH($B262,'Parametri Modello'!$A$57:$A$60,0)),IF(INDEX('Parametri Modello'!$E$57:$E$60,MATCH($B262,'Parametri Modello'!$A$57:$A$60,0))=0,0,($O262/INDEX('Parametri Modello'!$E$57:$E$60,MATCH($B262,'Parametri Modello'!$A$57:$A$60,0)))*(INDEX('Parametri Modello'!$D$57:$D$60,MATCH($B262,'Parametri Modello'!$A$57:$A$60,0))*(INDEX('Parametri Modello'!$B$50:$B$53,MATCH($B262,'Parametri Modello'!$A$50:$A$53,0))*'Parametri Modello'!$B$44))),IF(INDEX('Parametri Modello'!$F$57:$F$60,MATCH($B262,'Parametri Modello'!$A$57:$A$60,0))=0,0,($O262/INDEX('Parametri Modello'!$F$57:$F$60,MATCH($B262,'Parametri Modello'!$A$57:$A$60,0)))*((1-INDEX('Parametri Modello'!$D$57:$D$60,MATCH($B262,'Parametri Modello'!$A$57:$A$60,0)))*(INDEX('Parametri Modello'!$B$50:$B$53,MATCH($B262,'Parametri Modello'!$A$50:$A$53,0))*'Parametri Modello'!$B$44))))*(1+IF(IF($B262="D",'Info Lega'!$B$25,IF($B262="C",'Info Lega'!$B$26,"No"))="Si",'Parametri Modello'!$B$5,0))*(1+MAX(-0.25,MIN(0.25,IF(OR($T262="",$I262="",$I262=0,INDEX('Parametri Modello'!$B$19:$B$22,MATCH($B262,'Parametri Modello'!$A$19:$A$22,0))="",INDEX('Parametri Modello'!$B$19:$B$22,MATCH($B262,'Parametri Modello'!$A$19:$A$22,0))=0),0,(($T262-INDEX('Parametri Modello'!$B$19:$B$22,MATCH($B262,'Parametri Modello'!$A$19:$A$22,0)))/INDEX('Parametri Modello'!$B$19:$B$22,MATCH($B262,'Parametri Modello'!$A$19:$A$22,0)))*'Parametri Modello'!$B$9))))*(1+IF('Parametri Modello'!$B$27="Si",MAX(-'Parametri Modello'!$B$28,MIN('Parametri Modello'!$B$28*1.5,IF(OR(INDEX('Parametri Modello'!$F$32:$F$35,MATCH($B262,'Parametri Modello'!$A$32:$A$35,0))="",INDEX('Parametri Modello'!$F$32:$F$35,MATCH($B262,'Parametri Modello'!$A$32:$A$35,0))=0),0,(1/INDEX('Parametri Modello'!$F$32:$F$35,MATCH($B262,'Parametri Modello'!$A$32:$A$35,0))-1)*'Parametri Modello'!$B$28))),0)))*(1-INDEX('Parametri Modello'!$B$12:$B$15,MATCH($B262,'Parametri Modello'!$A$12:$A$15,0)))),0),"")</f>
        <v>2</v>
      </c>
      <c r="H262" s="24">
        <f>IFERROR(ROUND((IF($V262&lt;=INDEX('Parametri Modello'!$C$57:$C$60,MATCH($B262,'Parametri Modello'!$A$57:$A$60,0)),IF(INDEX('Parametri Modello'!$E$57:$E$60,MATCH($B262,'Parametri Modello'!$A$57:$A$60,0))=0,0,($O262/INDEX('Parametri Modello'!$E$57:$E$60,MATCH($B262,'Parametri Modello'!$A$57:$A$60,0)))*(INDEX('Parametri Modello'!$D$57:$D$60,MATCH($B262,'Parametri Modello'!$A$57:$A$60,0))*(INDEX('Parametri Modello'!$B$50:$B$53,MATCH($B262,'Parametri Modello'!$A$50:$A$53,0))*'Parametri Modello'!$B$44))),IF(INDEX('Parametri Modello'!$F$57:$F$60,MATCH($B262,'Parametri Modello'!$A$57:$A$60,0))=0,0,($O262/INDEX('Parametri Modello'!$F$57:$F$60,MATCH($B262,'Parametri Modello'!$A$57:$A$60,0)))*((1-INDEX('Parametri Modello'!$D$57:$D$60,MATCH($B262,'Parametri Modello'!$A$57:$A$60,0)))*(INDEX('Parametri Modello'!$B$50:$B$53,MATCH($B262,'Parametri Modello'!$A$50:$A$53,0))*'Parametri Modello'!$B$44))))*(1+IF(IF($B262="D",'Info Lega'!$B$25,IF($B262="C",'Info Lega'!$B$26,"No"))="Si",'Parametri Modello'!$B$5,0))*(1+MAX(-0.25,MIN(0.25,IF(OR($T262="",$I262="",$I262=0,INDEX('Parametri Modello'!$B$19:$B$22,MATCH($B262,'Parametri Modello'!$A$19:$A$22,0))="",INDEX('Parametri Modello'!$B$19:$B$22,MATCH($B262,'Parametri Modello'!$A$19:$A$22,0))=0),0,(($T262-INDEX('Parametri Modello'!$B$19:$B$22,MATCH($B262,'Parametri Modello'!$A$19:$A$22,0)))/INDEX('Parametri Modello'!$B$19:$B$22,MATCH($B262,'Parametri Modello'!$A$19:$A$22,0)))*'Parametri Modello'!$B$9))))*(1+IF('Parametri Modello'!$B$27="Si",MAX(-'Parametri Modello'!$B$28,MIN('Parametri Modello'!$B$28*1.5,IF(OR(INDEX('Parametri Modello'!$F$32:$F$35,MATCH($B262,'Parametri Modello'!$A$32:$A$35,0))="",INDEX('Parametri Modello'!$F$32:$F$35,MATCH($B262,'Parametri Modello'!$A$32:$A$35,0))=0),0,(1/INDEX('Parametri Modello'!$F$32:$F$35,MATCH($B262,'Parametri Modello'!$A$32:$A$35,0))-1)*'Parametri Modello'!$B$28))),0)))*(1+INDEX('Parametri Modello'!$B$12:$B$15,MATCH($B262,'Parametri Modello'!$A$12:$A$15,0))),0),"")</f>
        <v>2</v>
      </c>
      <c r="I262" s="23">
        <f>IFERROR(INDEX('Input Statistiche 2025_26'!$F$3:$F$665,MATCH($A262,'Input Statistiche 2025_26'!$A$3:$A$665,0)),"")</f>
        <v>26</v>
      </c>
      <c r="J262" s="23">
        <f t="shared" si="36"/>
        <v>12</v>
      </c>
      <c r="K262" s="23">
        <f>IFERROR(INDEX('Input Statistiche 2025_26'!$I$3:$I$665,MATCH($A262,'Input Statistiche 2025_26'!$A$3:$A$665,0)),"")</f>
        <v>0</v>
      </c>
      <c r="L262" s="23">
        <f>IFERROR(INDEX('Input Statistiche 2025_26'!$O$3:$O$665,MATCH($A262,'Input Statistiche 2025_26'!$A$3:$A$665,0)),"")</f>
        <v>2</v>
      </c>
      <c r="M262" s="25"/>
      <c r="N262" s="24">
        <f>IFERROR(INDEX('Input Giocatori 2026_27'!$E$3:$E$493,MATCH($A262,'Input Giocatori 2026_27'!$A$3:$A$493,0)),"")</f>
        <v>6</v>
      </c>
      <c r="O262" s="24">
        <f>IFERROR(INDEX('Input Giocatori 2026_27'!$G$3:$G$493,MATCH($A262,'Input Giocatori 2026_27'!$A$3:$A$493,0)),"")</f>
        <v>12</v>
      </c>
      <c r="P262" s="23" t="str">
        <f>IFERROR(IF($O262="","",IF((1-(COUNTIFS($B$2:$B$492,$B262,$O$2:$O$492,"&gt;"&amp;$O262)+1-1)/COUNTIF($B$2:$B$492,$B262))&gt;='Parametri Modello'!$B$63,"Top",IF((1-(COUNTIFS($B$2:$B$492,$B262,$O$2:$O$492,"&gt;"&amp;$O262)+1-1)/COUNTIF($B$2:$B$492,$B262))&gt;='Parametri Modello'!$B$64,"Buono",IF((1-(COUNTIFS($B$2:$B$492,$B262,$O$2:$O$492,"&gt;"&amp;$O262)+1-1)/COUNTIF($B$2:$B$492,$B262))&gt;='Parametri Modello'!$B$65,"Nella Media","Scommessa/Riserva")))),"")</f>
        <v>Nella Media</v>
      </c>
      <c r="Q262" s="26">
        <f>IF(AND($D262="",$N262&gt;1),SUMPRODUCT(($D$2:$D262="")*($N$2:$N262&gt;1)),"")</f>
        <v>261</v>
      </c>
      <c r="R262" s="26" t="str">
        <f>IF($D262='Info Lega'!$B$28,COUNTIFS($D$2:$D262,'Info Lega'!$B$28),"")</f>
        <v/>
      </c>
      <c r="S262" s="27">
        <f>IFERROR(INDEX('Input Statistiche 2025_26'!$G$3:$G$665,MATCH($A262,'Input Statistiche 2025_26'!$A$3:$A$665,0)),"")</f>
        <v>5.88</v>
      </c>
      <c r="T262" s="27">
        <f>IFERROR(INDEX('Input Statistiche 2025_26'!$H$3:$H$665,MATCH($A262,'Input Statistiche 2025_26'!$A$3:$A$665,0)),"")</f>
        <v>5.87</v>
      </c>
      <c r="U262" s="23" t="str">
        <f>IF(OR('La Mia Rosa'!$O$12="",$D262&lt;&gt;""),"",IF($F262&lt;='La Mia Rosa'!$O$12*'Parametri Modello'!$B$24,"OK",IF($F262&lt;='La Mia Rosa'!$O$12*'Parametri Modello'!$B$25,"Attenzione","Rischio Alto")))</f>
        <v>OK</v>
      </c>
      <c r="V262" s="23">
        <f t="shared" si="37"/>
        <v>78</v>
      </c>
      <c r="W262" s="18">
        <f>'Info Lega'!$B$4-SUMIFS($M$2:$M$492,$D$2:$D$492,'Info Lega'!$B$28)</f>
        <v>1000</v>
      </c>
      <c r="X262" s="18">
        <f>('Info Lega'!$B$5-COUNTIFS($D$2:$D$492,'Info Lega'!$B$28,$B$2:$B$492,"P"))+('Info Lega'!$B$6-COUNTIFS($D$2:$D$492,'Info Lega'!$B$28,$B$2:$B$492,"D"))+('Info Lega'!$B$7-COUNTIFS($D$2:$D$492,'Info Lega'!$B$28,$B$2:$B$492,"C"))+('Info Lega'!$B$8-COUNTIFS($D$2:$D$492,'Info Lega'!$B$28,$B$2:$B$492,"A"))</f>
        <v>25</v>
      </c>
      <c r="Y262" s="18">
        <f>X262*'Parametri Modello'!$B$30</f>
        <v>25</v>
      </c>
      <c r="Z262" s="18">
        <f t="shared" si="38"/>
        <v>975</v>
      </c>
      <c r="AA262" s="18">
        <f t="shared" si="39"/>
        <v>2</v>
      </c>
      <c r="AB262" s="18"/>
      <c r="AC262" s="18" t="str">
        <f>IF($AB262="","",IF($AB262&gt;$AA262,"PASS",IF($AB262&lt;=$AA262*(1-'Parametri Modello'!$B$68),"BID","ATTENZIONE")))</f>
        <v/>
      </c>
      <c r="AD262" s="28">
        <f t="shared" si="40"/>
        <v>58</v>
      </c>
      <c r="AE262" s="5" t="str">
        <f>IFERROR(INDEX('Stato Asta'!$G$9:$G$12,MATCH($B262,'Stato Asta'!$A$9:$A$12,0)),"")</f>
        <v>🔴 Non aspettare</v>
      </c>
      <c r="AF262" t="str">
        <f>IFERROR(IF($V262&lt;=INDEX('Parametri Modello'!$C$57:$C$60,MATCH($B262,'Parametri Modello'!$A$57:$A$60,0)),"Titolare","Riserva"),"")</f>
        <v>Riserva</v>
      </c>
      <c r="AG262" t="str">
        <f>IFERROR(INDEX('Pressione Competitiva'!$F$3:$F$6,MATCH($B262,'Pressione Competitiva'!$B$3:$B$6,0)),"")</f>
        <v>🔴 Molto Alta</v>
      </c>
      <c r="AH262" t="str">
        <f t="shared" si="41"/>
        <v/>
      </c>
      <c r="AI262" t="str">
        <f>IFERROR(IF($AH262="","",IF($AH262&gt;=$AA262*'Parametri Modello'!$B$68,"🟢 Opportunita'",IF($AH262&lt;=$AA262*'Parametri Modello'!$B$69,"🔴 Sovrapprezzo","🟡 Prezzo Corretto"))),"")</f>
        <v/>
      </c>
      <c r="AJ262" t="str">
        <f t="shared" si="42"/>
        <v/>
      </c>
      <c r="AK262">
        <f t="shared" si="43"/>
        <v>23</v>
      </c>
      <c r="AL262" t="str">
        <f t="shared" si="44"/>
        <v>D|Nella Media|23</v>
      </c>
    </row>
    <row r="263" spans="1:38" ht="14.25" customHeight="1" x14ac:dyDescent="0.25">
      <c r="A263" s="18">
        <v>2640</v>
      </c>
      <c r="B263" s="18" t="s">
        <v>16</v>
      </c>
      <c r="C263" s="18" t="s">
        <v>402</v>
      </c>
      <c r="E263" s="23" t="str">
        <f>IF(COUNTIF('Info Strategia'!$D$2:$D$51,$C263)&gt;0,"SI","NO")</f>
        <v>NO</v>
      </c>
      <c r="F263" s="24">
        <f>IFERROR(ROUND(($G263+($H263-$G263)*'Info Strategia'!$B$6)*(1+IF($E263="SI",'Parametri Modello'!$B$7*'Info Strategia'!$B$6,0)),0),"")</f>
        <v>2</v>
      </c>
      <c r="G263" s="24">
        <f>IFERROR(ROUND(MAX(1,(IF($V263&lt;=INDEX('Parametri Modello'!$C$57:$C$60,MATCH($B263,'Parametri Modello'!$A$57:$A$60,0)),IF(INDEX('Parametri Modello'!$E$57:$E$60,MATCH($B263,'Parametri Modello'!$A$57:$A$60,0))=0,0,($O263/INDEX('Parametri Modello'!$E$57:$E$60,MATCH($B263,'Parametri Modello'!$A$57:$A$60,0)))*(INDEX('Parametri Modello'!$D$57:$D$60,MATCH($B263,'Parametri Modello'!$A$57:$A$60,0))*(INDEX('Parametri Modello'!$B$50:$B$53,MATCH($B263,'Parametri Modello'!$A$50:$A$53,0))*'Parametri Modello'!$B$44))),IF(INDEX('Parametri Modello'!$F$57:$F$60,MATCH($B263,'Parametri Modello'!$A$57:$A$60,0))=0,0,($O263/INDEX('Parametri Modello'!$F$57:$F$60,MATCH($B263,'Parametri Modello'!$A$57:$A$60,0)))*((1-INDEX('Parametri Modello'!$D$57:$D$60,MATCH($B263,'Parametri Modello'!$A$57:$A$60,0)))*(INDEX('Parametri Modello'!$B$50:$B$53,MATCH($B263,'Parametri Modello'!$A$50:$A$53,0))*'Parametri Modello'!$B$44))))*(1+IF(IF($B263="D",'Info Lega'!$B$25,IF($B263="C",'Info Lega'!$B$26,"No"))="Si",'Parametri Modello'!$B$5,0))*(1+MAX(-0.25,MIN(0.25,IF(OR($T263="",$I263="",$I263=0,INDEX('Parametri Modello'!$B$19:$B$22,MATCH($B263,'Parametri Modello'!$A$19:$A$22,0))="",INDEX('Parametri Modello'!$B$19:$B$22,MATCH($B263,'Parametri Modello'!$A$19:$A$22,0))=0),0,(($T263-INDEX('Parametri Modello'!$B$19:$B$22,MATCH($B263,'Parametri Modello'!$A$19:$A$22,0)))/INDEX('Parametri Modello'!$B$19:$B$22,MATCH($B263,'Parametri Modello'!$A$19:$A$22,0)))*'Parametri Modello'!$B$9))))*(1+IF('Parametri Modello'!$B$27="Si",MAX(-'Parametri Modello'!$B$28,MIN('Parametri Modello'!$B$28*1.5,IF(OR(INDEX('Parametri Modello'!$F$32:$F$35,MATCH($B263,'Parametri Modello'!$A$32:$A$35,0))="",INDEX('Parametri Modello'!$F$32:$F$35,MATCH($B263,'Parametri Modello'!$A$32:$A$35,0))=0),0,(1/INDEX('Parametri Modello'!$F$32:$F$35,MATCH($B263,'Parametri Modello'!$A$32:$A$35,0))-1)*'Parametri Modello'!$B$28))),0)))*(1-INDEX('Parametri Modello'!$B$12:$B$15,MATCH($B263,'Parametri Modello'!$A$12:$A$15,0)))),0),"")</f>
        <v>2</v>
      </c>
      <c r="H263" s="24">
        <f>IFERROR(ROUND((IF($V263&lt;=INDEX('Parametri Modello'!$C$57:$C$60,MATCH($B263,'Parametri Modello'!$A$57:$A$60,0)),IF(INDEX('Parametri Modello'!$E$57:$E$60,MATCH($B263,'Parametri Modello'!$A$57:$A$60,0))=0,0,($O263/INDEX('Parametri Modello'!$E$57:$E$60,MATCH($B263,'Parametri Modello'!$A$57:$A$60,0)))*(INDEX('Parametri Modello'!$D$57:$D$60,MATCH($B263,'Parametri Modello'!$A$57:$A$60,0))*(INDEX('Parametri Modello'!$B$50:$B$53,MATCH($B263,'Parametri Modello'!$A$50:$A$53,0))*'Parametri Modello'!$B$44))),IF(INDEX('Parametri Modello'!$F$57:$F$60,MATCH($B263,'Parametri Modello'!$A$57:$A$60,0))=0,0,($O263/INDEX('Parametri Modello'!$F$57:$F$60,MATCH($B263,'Parametri Modello'!$A$57:$A$60,0)))*((1-INDEX('Parametri Modello'!$D$57:$D$60,MATCH($B263,'Parametri Modello'!$A$57:$A$60,0)))*(INDEX('Parametri Modello'!$B$50:$B$53,MATCH($B263,'Parametri Modello'!$A$50:$A$53,0))*'Parametri Modello'!$B$44))))*(1+IF(IF($B263="D",'Info Lega'!$B$25,IF($B263="C",'Info Lega'!$B$26,"No"))="Si",'Parametri Modello'!$B$5,0))*(1+MAX(-0.25,MIN(0.25,IF(OR($T263="",$I263="",$I263=0,INDEX('Parametri Modello'!$B$19:$B$22,MATCH($B263,'Parametri Modello'!$A$19:$A$22,0))="",INDEX('Parametri Modello'!$B$19:$B$22,MATCH($B263,'Parametri Modello'!$A$19:$A$22,0))=0),0,(($T263-INDEX('Parametri Modello'!$B$19:$B$22,MATCH($B263,'Parametri Modello'!$A$19:$A$22,0)))/INDEX('Parametri Modello'!$B$19:$B$22,MATCH($B263,'Parametri Modello'!$A$19:$A$22,0)))*'Parametri Modello'!$B$9))))*(1+IF('Parametri Modello'!$B$27="Si",MAX(-'Parametri Modello'!$B$28,MIN('Parametri Modello'!$B$28*1.5,IF(OR(INDEX('Parametri Modello'!$F$32:$F$35,MATCH($B263,'Parametri Modello'!$A$32:$A$35,0))="",INDEX('Parametri Modello'!$F$32:$F$35,MATCH($B263,'Parametri Modello'!$A$32:$A$35,0))=0),0,(1/INDEX('Parametri Modello'!$F$32:$F$35,MATCH($B263,'Parametri Modello'!$A$32:$A$35,0))-1)*'Parametri Modello'!$B$28))),0)))*(1+INDEX('Parametri Modello'!$B$12:$B$15,MATCH($B263,'Parametri Modello'!$A$12:$A$15,0))),0),"")</f>
        <v>2</v>
      </c>
      <c r="I263" s="23">
        <f>IFERROR(INDEX('Input Statistiche 2025_26'!$F$3:$F$665,MATCH($A263,'Input Statistiche 2025_26'!$A$3:$A$665,0)),"")</f>
        <v>17</v>
      </c>
      <c r="J263" s="23">
        <f t="shared" si="36"/>
        <v>21</v>
      </c>
      <c r="K263" s="23">
        <f>IFERROR(INDEX('Input Statistiche 2025_26'!$I$3:$I$665,MATCH($A263,'Input Statistiche 2025_26'!$A$3:$A$665,0)),"")</f>
        <v>0</v>
      </c>
      <c r="L263" s="23">
        <f>IFERROR(INDEX('Input Statistiche 2025_26'!$O$3:$O$665,MATCH($A263,'Input Statistiche 2025_26'!$A$3:$A$665,0)),"")</f>
        <v>0</v>
      </c>
      <c r="M263" s="25"/>
      <c r="N263" s="24">
        <f>IFERROR(INDEX('Input Giocatori 2026_27'!$E$3:$E$493,MATCH($A263,'Input Giocatori 2026_27'!$A$3:$A$493,0)),"")</f>
        <v>5</v>
      </c>
      <c r="O263" s="24">
        <f>IFERROR(INDEX('Input Giocatori 2026_27'!$G$3:$G$493,MATCH($A263,'Input Giocatori 2026_27'!$A$3:$A$493,0)),"")</f>
        <v>12</v>
      </c>
      <c r="P263" s="23" t="str">
        <f>IFERROR(IF($O263="","",IF((1-(COUNTIFS($B$2:$B$492,$B263,$O$2:$O$492,"&gt;"&amp;$O263)+1-1)/COUNTIF($B$2:$B$492,$B263))&gt;='Parametri Modello'!$B$63,"Top",IF((1-(COUNTIFS($B$2:$B$492,$B263,$O$2:$O$492,"&gt;"&amp;$O263)+1-1)/COUNTIF($B$2:$B$492,$B263))&gt;='Parametri Modello'!$B$64,"Buono",IF((1-(COUNTIFS($B$2:$B$492,$B263,$O$2:$O$492,"&gt;"&amp;$O263)+1-1)/COUNTIF($B$2:$B$492,$B263))&gt;='Parametri Modello'!$B$65,"Nella Media","Scommessa/Riserva")))),"")</f>
        <v>Nella Media</v>
      </c>
      <c r="Q263" s="26">
        <f>IF(AND($D263="",$N263&gt;1),SUMPRODUCT(($D$2:$D263="")*($N$2:$N263&gt;1)),"")</f>
        <v>262</v>
      </c>
      <c r="R263" s="26" t="str">
        <f>IF($D263='Info Lega'!$B$28,COUNTIFS($D$2:$D263,'Info Lega'!$B$28),"")</f>
        <v/>
      </c>
      <c r="S263" s="27">
        <f>IFERROR(INDEX('Input Statistiche 2025_26'!$G$3:$G$665,MATCH($A263,'Input Statistiche 2025_26'!$A$3:$A$665,0)),"")</f>
        <v>6.03</v>
      </c>
      <c r="T263" s="27">
        <f>IFERROR(INDEX('Input Statistiche 2025_26'!$H$3:$H$665,MATCH($A263,'Input Statistiche 2025_26'!$A$3:$A$665,0)),"")</f>
        <v>5.94</v>
      </c>
      <c r="U263" s="23" t="str">
        <f>IF(OR('La Mia Rosa'!$O$12="",$D263&lt;&gt;""),"",IF($F263&lt;='La Mia Rosa'!$O$12*'Parametri Modello'!$B$24,"OK",IF($F263&lt;='La Mia Rosa'!$O$12*'Parametri Modello'!$B$25,"Attenzione","Rischio Alto")))</f>
        <v>OK</v>
      </c>
      <c r="V263" s="23">
        <f t="shared" si="37"/>
        <v>78</v>
      </c>
      <c r="W263" s="18">
        <f>'Info Lega'!$B$4-SUMIFS($M$2:$M$492,$D$2:$D$492,'Info Lega'!$B$28)</f>
        <v>1000</v>
      </c>
      <c r="X263" s="18">
        <f>('Info Lega'!$B$5-COUNTIFS($D$2:$D$492,'Info Lega'!$B$28,$B$2:$B$492,"P"))+('Info Lega'!$B$6-COUNTIFS($D$2:$D$492,'Info Lega'!$B$28,$B$2:$B$492,"D"))+('Info Lega'!$B$7-COUNTIFS($D$2:$D$492,'Info Lega'!$B$28,$B$2:$B$492,"C"))+('Info Lega'!$B$8-COUNTIFS($D$2:$D$492,'Info Lega'!$B$28,$B$2:$B$492,"A"))</f>
        <v>25</v>
      </c>
      <c r="Y263" s="18">
        <f>X263*'Parametri Modello'!$B$30</f>
        <v>25</v>
      </c>
      <c r="Z263" s="18">
        <f t="shared" si="38"/>
        <v>975</v>
      </c>
      <c r="AA263" s="18">
        <f t="shared" si="39"/>
        <v>2</v>
      </c>
      <c r="AB263" s="18"/>
      <c r="AC263" s="18" t="str">
        <f>IF($AB263="","",IF($AB263&gt;$AA263,"PASS",IF($AB263&lt;=$AA263*(1-'Parametri Modello'!$B$68),"BID","ATTENZIONE")))</f>
        <v/>
      </c>
      <c r="AD263" s="28">
        <f t="shared" si="40"/>
        <v>43</v>
      </c>
      <c r="AE263" s="5" t="str">
        <f>IFERROR(INDEX('Stato Asta'!$G$9:$G$12,MATCH($B263,'Stato Asta'!$A$9:$A$12,0)),"")</f>
        <v>🔴 Non aspettare</v>
      </c>
      <c r="AF263" t="str">
        <f>IFERROR(IF($V263&lt;=INDEX('Parametri Modello'!$C$57:$C$60,MATCH($B263,'Parametri Modello'!$A$57:$A$60,0)),"Titolare","Riserva"),"")</f>
        <v>Riserva</v>
      </c>
      <c r="AG263" t="str">
        <f>IFERROR(INDEX('Pressione Competitiva'!$F$3:$F$6,MATCH($B263,'Pressione Competitiva'!$B$3:$B$6,0)),"")</f>
        <v>🔴 Molto Alta</v>
      </c>
      <c r="AH263" t="str">
        <f t="shared" si="41"/>
        <v/>
      </c>
      <c r="AI263" t="str">
        <f>IFERROR(IF($AH263="","",IF($AH263&gt;=$AA263*'Parametri Modello'!$B$68,"🟢 Opportunita'",IF($AH263&lt;=$AA263*'Parametri Modello'!$B$69,"🔴 Sovrapprezzo","🟡 Prezzo Corretto"))),"")</f>
        <v/>
      </c>
      <c r="AJ263" t="str">
        <f t="shared" si="42"/>
        <v/>
      </c>
      <c r="AK263">
        <f t="shared" si="43"/>
        <v>23</v>
      </c>
      <c r="AL263" t="str">
        <f t="shared" si="44"/>
        <v>D|Nella Media|23</v>
      </c>
    </row>
    <row r="264" spans="1:38" ht="14.25" customHeight="1" x14ac:dyDescent="0.25">
      <c r="A264" s="18">
        <v>5449</v>
      </c>
      <c r="B264" s="18" t="s">
        <v>16</v>
      </c>
      <c r="C264" s="18" t="s">
        <v>403</v>
      </c>
      <c r="E264" s="23" t="str">
        <f>IF(COUNTIF('Info Strategia'!$D$2:$D$51,$C264)&gt;0,"SI","NO")</f>
        <v>NO</v>
      </c>
      <c r="F264" s="24">
        <f>IFERROR(ROUND(($G264+($H264-$G264)*'Info Strategia'!$B$6)*(1+IF($E264="SI",'Parametri Modello'!$B$7*'Info Strategia'!$B$6,0)),0),"")</f>
        <v>2</v>
      </c>
      <c r="G264" s="24">
        <f>IFERROR(ROUND(MAX(1,(IF($V264&lt;=INDEX('Parametri Modello'!$C$57:$C$60,MATCH($B264,'Parametri Modello'!$A$57:$A$60,0)),IF(INDEX('Parametri Modello'!$E$57:$E$60,MATCH($B264,'Parametri Modello'!$A$57:$A$60,0))=0,0,($O264/INDEX('Parametri Modello'!$E$57:$E$60,MATCH($B264,'Parametri Modello'!$A$57:$A$60,0)))*(INDEX('Parametri Modello'!$D$57:$D$60,MATCH($B264,'Parametri Modello'!$A$57:$A$60,0))*(INDEX('Parametri Modello'!$B$50:$B$53,MATCH($B264,'Parametri Modello'!$A$50:$A$53,0))*'Parametri Modello'!$B$44))),IF(INDEX('Parametri Modello'!$F$57:$F$60,MATCH($B264,'Parametri Modello'!$A$57:$A$60,0))=0,0,($O264/INDEX('Parametri Modello'!$F$57:$F$60,MATCH($B264,'Parametri Modello'!$A$57:$A$60,0)))*((1-INDEX('Parametri Modello'!$D$57:$D$60,MATCH($B264,'Parametri Modello'!$A$57:$A$60,0)))*(INDEX('Parametri Modello'!$B$50:$B$53,MATCH($B264,'Parametri Modello'!$A$50:$A$53,0))*'Parametri Modello'!$B$44))))*(1+IF(IF($B264="D",'Info Lega'!$B$25,IF($B264="C",'Info Lega'!$B$26,"No"))="Si",'Parametri Modello'!$B$5,0))*(1+MAX(-0.25,MIN(0.25,IF(OR($T264="",$I264="",$I264=0,INDEX('Parametri Modello'!$B$19:$B$22,MATCH($B264,'Parametri Modello'!$A$19:$A$22,0))="",INDEX('Parametri Modello'!$B$19:$B$22,MATCH($B264,'Parametri Modello'!$A$19:$A$22,0))=0),0,(($T264-INDEX('Parametri Modello'!$B$19:$B$22,MATCH($B264,'Parametri Modello'!$A$19:$A$22,0)))/INDEX('Parametri Modello'!$B$19:$B$22,MATCH($B264,'Parametri Modello'!$A$19:$A$22,0)))*'Parametri Modello'!$B$9))))*(1+IF('Parametri Modello'!$B$27="Si",MAX(-'Parametri Modello'!$B$28,MIN('Parametri Modello'!$B$28*1.5,IF(OR(INDEX('Parametri Modello'!$F$32:$F$35,MATCH($B264,'Parametri Modello'!$A$32:$A$35,0))="",INDEX('Parametri Modello'!$F$32:$F$35,MATCH($B264,'Parametri Modello'!$A$32:$A$35,0))=0),0,(1/INDEX('Parametri Modello'!$F$32:$F$35,MATCH($B264,'Parametri Modello'!$A$32:$A$35,0))-1)*'Parametri Modello'!$B$28))),0)))*(1-INDEX('Parametri Modello'!$B$12:$B$15,MATCH($B264,'Parametri Modello'!$A$12:$A$15,0)))),0),"")</f>
        <v>2</v>
      </c>
      <c r="H264" s="24">
        <f>IFERROR(ROUND((IF($V264&lt;=INDEX('Parametri Modello'!$C$57:$C$60,MATCH($B264,'Parametri Modello'!$A$57:$A$60,0)),IF(INDEX('Parametri Modello'!$E$57:$E$60,MATCH($B264,'Parametri Modello'!$A$57:$A$60,0))=0,0,($O264/INDEX('Parametri Modello'!$E$57:$E$60,MATCH($B264,'Parametri Modello'!$A$57:$A$60,0)))*(INDEX('Parametri Modello'!$D$57:$D$60,MATCH($B264,'Parametri Modello'!$A$57:$A$60,0))*(INDEX('Parametri Modello'!$B$50:$B$53,MATCH($B264,'Parametri Modello'!$A$50:$A$53,0))*'Parametri Modello'!$B$44))),IF(INDEX('Parametri Modello'!$F$57:$F$60,MATCH($B264,'Parametri Modello'!$A$57:$A$60,0))=0,0,($O264/INDEX('Parametri Modello'!$F$57:$F$60,MATCH($B264,'Parametri Modello'!$A$57:$A$60,0)))*((1-INDEX('Parametri Modello'!$D$57:$D$60,MATCH($B264,'Parametri Modello'!$A$57:$A$60,0)))*(INDEX('Parametri Modello'!$B$50:$B$53,MATCH($B264,'Parametri Modello'!$A$50:$A$53,0))*'Parametri Modello'!$B$44))))*(1+IF(IF($B264="D",'Info Lega'!$B$25,IF($B264="C",'Info Lega'!$B$26,"No"))="Si",'Parametri Modello'!$B$5,0))*(1+MAX(-0.25,MIN(0.25,IF(OR($T264="",$I264="",$I264=0,INDEX('Parametri Modello'!$B$19:$B$22,MATCH($B264,'Parametri Modello'!$A$19:$A$22,0))="",INDEX('Parametri Modello'!$B$19:$B$22,MATCH($B264,'Parametri Modello'!$A$19:$A$22,0))=0),0,(($T264-INDEX('Parametri Modello'!$B$19:$B$22,MATCH($B264,'Parametri Modello'!$A$19:$A$22,0)))/INDEX('Parametri Modello'!$B$19:$B$22,MATCH($B264,'Parametri Modello'!$A$19:$A$22,0)))*'Parametri Modello'!$B$9))))*(1+IF('Parametri Modello'!$B$27="Si",MAX(-'Parametri Modello'!$B$28,MIN('Parametri Modello'!$B$28*1.5,IF(OR(INDEX('Parametri Modello'!$F$32:$F$35,MATCH($B264,'Parametri Modello'!$A$32:$A$35,0))="",INDEX('Parametri Modello'!$F$32:$F$35,MATCH($B264,'Parametri Modello'!$A$32:$A$35,0))=0),0,(1/INDEX('Parametri Modello'!$F$32:$F$35,MATCH($B264,'Parametri Modello'!$A$32:$A$35,0))-1)*'Parametri Modello'!$B$28))),0)))*(1+INDEX('Parametri Modello'!$B$12:$B$15,MATCH($B264,'Parametri Modello'!$A$12:$A$15,0))),0),"")</f>
        <v>2</v>
      </c>
      <c r="I264" s="23">
        <f>IFERROR(INDEX('Input Statistiche 2025_26'!$F$3:$F$665,MATCH($A264,'Input Statistiche 2025_26'!$A$3:$A$665,0)),"")</f>
        <v>23</v>
      </c>
      <c r="J264" s="23">
        <f t="shared" si="36"/>
        <v>15</v>
      </c>
      <c r="K264" s="23">
        <f>IFERROR(INDEX('Input Statistiche 2025_26'!$I$3:$I$665,MATCH($A264,'Input Statistiche 2025_26'!$A$3:$A$665,0)),"")</f>
        <v>1</v>
      </c>
      <c r="L264" s="23">
        <f>IFERROR(INDEX('Input Statistiche 2025_26'!$O$3:$O$665,MATCH($A264,'Input Statistiche 2025_26'!$A$3:$A$665,0)),"")</f>
        <v>1</v>
      </c>
      <c r="M264" s="25"/>
      <c r="N264" s="24">
        <f>IFERROR(INDEX('Input Giocatori 2026_27'!$E$3:$E$493,MATCH($A264,'Input Giocatori 2026_27'!$A$3:$A$493,0)),"")</f>
        <v>5</v>
      </c>
      <c r="O264" s="24">
        <f>IFERROR(INDEX('Input Giocatori 2026_27'!$G$3:$G$493,MATCH($A264,'Input Giocatori 2026_27'!$A$3:$A$493,0)),"")</f>
        <v>12</v>
      </c>
      <c r="P264" s="23" t="str">
        <f>IFERROR(IF($O264="","",IF((1-(COUNTIFS($B$2:$B$492,$B264,$O$2:$O$492,"&gt;"&amp;$O264)+1-1)/COUNTIF($B$2:$B$492,$B264))&gt;='Parametri Modello'!$B$63,"Top",IF((1-(COUNTIFS($B$2:$B$492,$B264,$O$2:$O$492,"&gt;"&amp;$O264)+1-1)/COUNTIF($B$2:$B$492,$B264))&gt;='Parametri Modello'!$B$64,"Buono",IF((1-(COUNTIFS($B$2:$B$492,$B264,$O$2:$O$492,"&gt;"&amp;$O264)+1-1)/COUNTIF($B$2:$B$492,$B264))&gt;='Parametri Modello'!$B$65,"Nella Media","Scommessa/Riserva")))),"")</f>
        <v>Nella Media</v>
      </c>
      <c r="Q264" s="26">
        <f>IF(AND($D264="",$N264&gt;1),SUMPRODUCT(($D$2:$D264="")*($N$2:$N264&gt;1)),"")</f>
        <v>263</v>
      </c>
      <c r="R264" s="26" t="str">
        <f>IF($D264='Info Lega'!$B$28,COUNTIFS($D$2:$D264,'Info Lega'!$B$28),"")</f>
        <v/>
      </c>
      <c r="S264" s="27">
        <f>IFERROR(INDEX('Input Statistiche 2025_26'!$G$3:$G$665,MATCH($A264,'Input Statistiche 2025_26'!$A$3:$A$665,0)),"")</f>
        <v>6.02</v>
      </c>
      <c r="T264" s="27">
        <f>IFERROR(INDEX('Input Statistiche 2025_26'!$H$3:$H$665,MATCH($A264,'Input Statistiche 2025_26'!$A$3:$A$665,0)),"")</f>
        <v>5.98</v>
      </c>
      <c r="U264" s="23" t="str">
        <f>IF(OR('La Mia Rosa'!$O$12="",$D264&lt;&gt;""),"",IF($F264&lt;='La Mia Rosa'!$O$12*'Parametri Modello'!$B$24,"OK",IF($F264&lt;='La Mia Rosa'!$O$12*'Parametri Modello'!$B$25,"Attenzione","Rischio Alto")))</f>
        <v>OK</v>
      </c>
      <c r="V264" s="23">
        <f t="shared" si="37"/>
        <v>78</v>
      </c>
      <c r="W264" s="18">
        <f>'Info Lega'!$B$4-SUMIFS($M$2:$M$492,$D$2:$D$492,'Info Lega'!$B$28)</f>
        <v>1000</v>
      </c>
      <c r="X264" s="18">
        <f>('Info Lega'!$B$5-COUNTIFS($D$2:$D$492,'Info Lega'!$B$28,$B$2:$B$492,"P"))+('Info Lega'!$B$6-COUNTIFS($D$2:$D$492,'Info Lega'!$B$28,$B$2:$B$492,"D"))+('Info Lega'!$B$7-COUNTIFS($D$2:$D$492,'Info Lega'!$B$28,$B$2:$B$492,"C"))+('Info Lega'!$B$8-COUNTIFS($D$2:$D$492,'Info Lega'!$B$28,$B$2:$B$492,"A"))</f>
        <v>25</v>
      </c>
      <c r="Y264" s="18">
        <f>X264*'Parametri Modello'!$B$30</f>
        <v>25</v>
      </c>
      <c r="Z264" s="18">
        <f t="shared" si="38"/>
        <v>975</v>
      </c>
      <c r="AA264" s="18">
        <f t="shared" si="39"/>
        <v>2</v>
      </c>
      <c r="AB264" s="18"/>
      <c r="AC264" s="18" t="str">
        <f>IF($AB264="","",IF($AB264&gt;$AA264,"PASS",IF($AB264&lt;=$AA264*(1-'Parametri Modello'!$B$68),"BID","ATTENZIONE")))</f>
        <v/>
      </c>
      <c r="AD264" s="28">
        <f t="shared" si="40"/>
        <v>54</v>
      </c>
      <c r="AE264" s="5" t="str">
        <f>IFERROR(INDEX('Stato Asta'!$G$9:$G$12,MATCH($B264,'Stato Asta'!$A$9:$A$12,0)),"")</f>
        <v>🔴 Non aspettare</v>
      </c>
      <c r="AF264" t="str">
        <f>IFERROR(IF($V264&lt;=INDEX('Parametri Modello'!$C$57:$C$60,MATCH($B264,'Parametri Modello'!$A$57:$A$60,0)),"Titolare","Riserva"),"")</f>
        <v>Riserva</v>
      </c>
      <c r="AG264" t="str">
        <f>IFERROR(INDEX('Pressione Competitiva'!$F$3:$F$6,MATCH($B264,'Pressione Competitiva'!$B$3:$B$6,0)),"")</f>
        <v>🔴 Molto Alta</v>
      </c>
      <c r="AH264" t="str">
        <f t="shared" si="41"/>
        <v/>
      </c>
      <c r="AI264" t="str">
        <f>IFERROR(IF($AH264="","",IF($AH264&gt;=$AA264*'Parametri Modello'!$B$68,"🟢 Opportunita'",IF($AH264&lt;=$AA264*'Parametri Modello'!$B$69,"🔴 Sovrapprezzo","🟡 Prezzo Corretto"))),"")</f>
        <v/>
      </c>
      <c r="AJ264" t="str">
        <f t="shared" si="42"/>
        <v/>
      </c>
      <c r="AK264">
        <f t="shared" si="43"/>
        <v>23</v>
      </c>
      <c r="AL264" t="str">
        <f t="shared" si="44"/>
        <v>D|Nella Media|23</v>
      </c>
    </row>
    <row r="265" spans="1:38" ht="14.25" customHeight="1" x14ac:dyDescent="0.25">
      <c r="A265" s="18">
        <v>6238</v>
      </c>
      <c r="B265" s="18" t="s">
        <v>16</v>
      </c>
      <c r="C265" s="18" t="s">
        <v>404</v>
      </c>
      <c r="E265" s="23" t="str">
        <f>IF(COUNTIF('Info Strategia'!$D$2:$D$51,$C265)&gt;0,"SI","NO")</f>
        <v>NO</v>
      </c>
      <c r="F265" s="24">
        <f>IFERROR(ROUND(($G265+($H265-$G265)*'Info Strategia'!$B$6)*(1+IF($E265="SI",'Parametri Modello'!$B$7*'Info Strategia'!$B$6,0)),0),"")</f>
        <v>2</v>
      </c>
      <c r="G265" s="24">
        <f>IFERROR(ROUND(MAX(1,(IF($V265&lt;=INDEX('Parametri Modello'!$C$57:$C$60,MATCH($B265,'Parametri Modello'!$A$57:$A$60,0)),IF(INDEX('Parametri Modello'!$E$57:$E$60,MATCH($B265,'Parametri Modello'!$A$57:$A$60,0))=0,0,($O265/INDEX('Parametri Modello'!$E$57:$E$60,MATCH($B265,'Parametri Modello'!$A$57:$A$60,0)))*(INDEX('Parametri Modello'!$D$57:$D$60,MATCH($B265,'Parametri Modello'!$A$57:$A$60,0))*(INDEX('Parametri Modello'!$B$50:$B$53,MATCH($B265,'Parametri Modello'!$A$50:$A$53,0))*'Parametri Modello'!$B$44))),IF(INDEX('Parametri Modello'!$F$57:$F$60,MATCH($B265,'Parametri Modello'!$A$57:$A$60,0))=0,0,($O265/INDEX('Parametri Modello'!$F$57:$F$60,MATCH($B265,'Parametri Modello'!$A$57:$A$60,0)))*((1-INDEX('Parametri Modello'!$D$57:$D$60,MATCH($B265,'Parametri Modello'!$A$57:$A$60,0)))*(INDEX('Parametri Modello'!$B$50:$B$53,MATCH($B265,'Parametri Modello'!$A$50:$A$53,0))*'Parametri Modello'!$B$44))))*(1+IF(IF($B265="D",'Info Lega'!$B$25,IF($B265="C",'Info Lega'!$B$26,"No"))="Si",'Parametri Modello'!$B$5,0))*(1+MAX(-0.25,MIN(0.25,IF(OR($T265="",$I265="",$I265=0,INDEX('Parametri Modello'!$B$19:$B$22,MATCH($B265,'Parametri Modello'!$A$19:$A$22,0))="",INDEX('Parametri Modello'!$B$19:$B$22,MATCH($B265,'Parametri Modello'!$A$19:$A$22,0))=0),0,(($T265-INDEX('Parametri Modello'!$B$19:$B$22,MATCH($B265,'Parametri Modello'!$A$19:$A$22,0)))/INDEX('Parametri Modello'!$B$19:$B$22,MATCH($B265,'Parametri Modello'!$A$19:$A$22,0)))*'Parametri Modello'!$B$9))))*(1+IF('Parametri Modello'!$B$27="Si",MAX(-'Parametri Modello'!$B$28,MIN('Parametri Modello'!$B$28*1.5,IF(OR(INDEX('Parametri Modello'!$F$32:$F$35,MATCH($B265,'Parametri Modello'!$A$32:$A$35,0))="",INDEX('Parametri Modello'!$F$32:$F$35,MATCH($B265,'Parametri Modello'!$A$32:$A$35,0))=0),0,(1/INDEX('Parametri Modello'!$F$32:$F$35,MATCH($B265,'Parametri Modello'!$A$32:$A$35,0))-1)*'Parametri Modello'!$B$28))),0)))*(1-INDEX('Parametri Modello'!$B$12:$B$15,MATCH($B265,'Parametri Modello'!$A$12:$A$15,0)))),0),"")</f>
        <v>2</v>
      </c>
      <c r="H265" s="24">
        <f>IFERROR(ROUND((IF($V265&lt;=INDEX('Parametri Modello'!$C$57:$C$60,MATCH($B265,'Parametri Modello'!$A$57:$A$60,0)),IF(INDEX('Parametri Modello'!$E$57:$E$60,MATCH($B265,'Parametri Modello'!$A$57:$A$60,0))=0,0,($O265/INDEX('Parametri Modello'!$E$57:$E$60,MATCH($B265,'Parametri Modello'!$A$57:$A$60,0)))*(INDEX('Parametri Modello'!$D$57:$D$60,MATCH($B265,'Parametri Modello'!$A$57:$A$60,0))*(INDEX('Parametri Modello'!$B$50:$B$53,MATCH($B265,'Parametri Modello'!$A$50:$A$53,0))*'Parametri Modello'!$B$44))),IF(INDEX('Parametri Modello'!$F$57:$F$60,MATCH($B265,'Parametri Modello'!$A$57:$A$60,0))=0,0,($O265/INDEX('Parametri Modello'!$F$57:$F$60,MATCH($B265,'Parametri Modello'!$A$57:$A$60,0)))*((1-INDEX('Parametri Modello'!$D$57:$D$60,MATCH($B265,'Parametri Modello'!$A$57:$A$60,0)))*(INDEX('Parametri Modello'!$B$50:$B$53,MATCH($B265,'Parametri Modello'!$A$50:$A$53,0))*'Parametri Modello'!$B$44))))*(1+IF(IF($B265="D",'Info Lega'!$B$25,IF($B265="C",'Info Lega'!$B$26,"No"))="Si",'Parametri Modello'!$B$5,0))*(1+MAX(-0.25,MIN(0.25,IF(OR($T265="",$I265="",$I265=0,INDEX('Parametri Modello'!$B$19:$B$22,MATCH($B265,'Parametri Modello'!$A$19:$A$22,0))="",INDEX('Parametri Modello'!$B$19:$B$22,MATCH($B265,'Parametri Modello'!$A$19:$A$22,0))=0),0,(($T265-INDEX('Parametri Modello'!$B$19:$B$22,MATCH($B265,'Parametri Modello'!$A$19:$A$22,0)))/INDEX('Parametri Modello'!$B$19:$B$22,MATCH($B265,'Parametri Modello'!$A$19:$A$22,0)))*'Parametri Modello'!$B$9))))*(1+IF('Parametri Modello'!$B$27="Si",MAX(-'Parametri Modello'!$B$28,MIN('Parametri Modello'!$B$28*1.5,IF(OR(INDEX('Parametri Modello'!$F$32:$F$35,MATCH($B265,'Parametri Modello'!$A$32:$A$35,0))="",INDEX('Parametri Modello'!$F$32:$F$35,MATCH($B265,'Parametri Modello'!$A$32:$A$35,0))=0),0,(1/INDEX('Parametri Modello'!$F$32:$F$35,MATCH($B265,'Parametri Modello'!$A$32:$A$35,0))-1)*'Parametri Modello'!$B$28))),0)))*(1+INDEX('Parametri Modello'!$B$12:$B$15,MATCH($B265,'Parametri Modello'!$A$12:$A$15,0))),0),"")</f>
        <v>2</v>
      </c>
      <c r="I265" s="23" t="str">
        <f>IFERROR(INDEX('Input Statistiche 2025_26'!$F$3:$F$665,MATCH($A265,'Input Statistiche 2025_26'!$A$3:$A$665,0)),"")</f>
        <v/>
      </c>
      <c r="J265" s="23" t="str">
        <f t="shared" si="36"/>
        <v/>
      </c>
      <c r="K265" s="23" t="str">
        <f>IFERROR(INDEX('Input Statistiche 2025_26'!$I$3:$I$665,MATCH($A265,'Input Statistiche 2025_26'!$A$3:$A$665,0)),"")</f>
        <v/>
      </c>
      <c r="L265" s="23" t="str">
        <f>IFERROR(INDEX('Input Statistiche 2025_26'!$O$3:$O$665,MATCH($A265,'Input Statistiche 2025_26'!$A$3:$A$665,0)),"")</f>
        <v/>
      </c>
      <c r="M265" s="25"/>
      <c r="N265" s="24">
        <f>IFERROR(INDEX('Input Giocatori 2026_27'!$E$3:$E$493,MATCH($A265,'Input Giocatori 2026_27'!$A$3:$A$493,0)),"")</f>
        <v>5</v>
      </c>
      <c r="O265" s="24">
        <f>IFERROR(INDEX('Input Giocatori 2026_27'!$G$3:$G$493,MATCH($A265,'Input Giocatori 2026_27'!$A$3:$A$493,0)),"")</f>
        <v>12</v>
      </c>
      <c r="P265" s="23" t="str">
        <f>IFERROR(IF($O265="","",IF((1-(COUNTIFS($B$2:$B$492,$B265,$O$2:$O$492,"&gt;"&amp;$O265)+1-1)/COUNTIF($B$2:$B$492,$B265))&gt;='Parametri Modello'!$B$63,"Top",IF((1-(COUNTIFS($B$2:$B$492,$B265,$O$2:$O$492,"&gt;"&amp;$O265)+1-1)/COUNTIF($B$2:$B$492,$B265))&gt;='Parametri Modello'!$B$64,"Buono",IF((1-(COUNTIFS($B$2:$B$492,$B265,$O$2:$O$492,"&gt;"&amp;$O265)+1-1)/COUNTIF($B$2:$B$492,$B265))&gt;='Parametri Modello'!$B$65,"Nella Media","Scommessa/Riserva")))),"")</f>
        <v>Nella Media</v>
      </c>
      <c r="Q265" s="26">
        <f>IF(AND($D265="",$N265&gt;1),SUMPRODUCT(($D$2:$D265="")*($N$2:$N265&gt;1)),"")</f>
        <v>264</v>
      </c>
      <c r="R265" s="26" t="str">
        <f>IF($D265='Info Lega'!$B$28,COUNTIFS($D$2:$D265,'Info Lega'!$B$28),"")</f>
        <v/>
      </c>
      <c r="S265" s="27" t="str">
        <f>IFERROR(INDEX('Input Statistiche 2025_26'!$G$3:$G$665,MATCH($A265,'Input Statistiche 2025_26'!$A$3:$A$665,0)),"")</f>
        <v/>
      </c>
      <c r="T265" s="27" t="str">
        <f>IFERROR(INDEX('Input Statistiche 2025_26'!$H$3:$H$665,MATCH($A265,'Input Statistiche 2025_26'!$A$3:$A$665,0)),"")</f>
        <v/>
      </c>
      <c r="U265" s="23" t="str">
        <f>IF(OR('La Mia Rosa'!$O$12="",$D265&lt;&gt;""),"",IF($F265&lt;='La Mia Rosa'!$O$12*'Parametri Modello'!$B$24,"OK",IF($F265&lt;='La Mia Rosa'!$O$12*'Parametri Modello'!$B$25,"Attenzione","Rischio Alto")))</f>
        <v>OK</v>
      </c>
      <c r="V265" s="23">
        <f t="shared" si="37"/>
        <v>78</v>
      </c>
      <c r="W265" s="18">
        <f>'Info Lega'!$B$4-SUMIFS($M$2:$M$492,$D$2:$D$492,'Info Lega'!$B$28)</f>
        <v>1000</v>
      </c>
      <c r="X265" s="18">
        <f>('Info Lega'!$B$5-COUNTIFS($D$2:$D$492,'Info Lega'!$B$28,$B$2:$B$492,"P"))+('Info Lega'!$B$6-COUNTIFS($D$2:$D$492,'Info Lega'!$B$28,$B$2:$B$492,"D"))+('Info Lega'!$B$7-COUNTIFS($D$2:$D$492,'Info Lega'!$B$28,$B$2:$B$492,"C"))+('Info Lega'!$B$8-COUNTIFS($D$2:$D$492,'Info Lega'!$B$28,$B$2:$B$492,"A"))</f>
        <v>25</v>
      </c>
      <c r="Y265" s="18">
        <f>X265*'Parametri Modello'!$B$30</f>
        <v>25</v>
      </c>
      <c r="Z265" s="18">
        <f t="shared" si="38"/>
        <v>975</v>
      </c>
      <c r="AA265" s="18">
        <f t="shared" si="39"/>
        <v>2</v>
      </c>
      <c r="AB265" s="18"/>
      <c r="AC265" s="18" t="str">
        <f>IF($AB265="","",IF($AB265&gt;$AA265,"PASS",IF($AB265&lt;=$AA265*(1-'Parametri Modello'!$B$68),"BID","ATTENZIONE")))</f>
        <v/>
      </c>
      <c r="AD265" s="28" t="str">
        <f t="shared" si="40"/>
        <v/>
      </c>
      <c r="AE265" s="5" t="str">
        <f>IFERROR(INDEX('Stato Asta'!$G$9:$G$12,MATCH($B265,'Stato Asta'!$A$9:$A$12,0)),"")</f>
        <v>🔴 Non aspettare</v>
      </c>
      <c r="AF265" t="str">
        <f>IFERROR(IF($V265&lt;=INDEX('Parametri Modello'!$C$57:$C$60,MATCH($B265,'Parametri Modello'!$A$57:$A$60,0)),"Titolare","Riserva"),"")</f>
        <v>Riserva</v>
      </c>
      <c r="AG265" t="str">
        <f>IFERROR(INDEX('Pressione Competitiva'!$F$3:$F$6,MATCH($B265,'Pressione Competitiva'!$B$3:$B$6,0)),"")</f>
        <v>🔴 Molto Alta</v>
      </c>
      <c r="AH265" t="str">
        <f t="shared" si="41"/>
        <v/>
      </c>
      <c r="AI265" t="str">
        <f>IFERROR(IF($AH265="","",IF($AH265&gt;=$AA265*'Parametri Modello'!$B$68,"🟢 Opportunita'",IF($AH265&lt;=$AA265*'Parametri Modello'!$B$69,"🔴 Sovrapprezzo","🟡 Prezzo Corretto"))),"")</f>
        <v/>
      </c>
      <c r="AJ265" t="str">
        <f t="shared" si="42"/>
        <v/>
      </c>
      <c r="AK265">
        <f t="shared" si="43"/>
        <v>23</v>
      </c>
      <c r="AL265" t="str">
        <f t="shared" si="44"/>
        <v>D|Nella Media|23</v>
      </c>
    </row>
    <row r="266" spans="1:38" ht="14.25" customHeight="1" x14ac:dyDescent="0.25">
      <c r="A266" s="18">
        <v>6632</v>
      </c>
      <c r="B266" s="18" t="s">
        <v>16</v>
      </c>
      <c r="C266" s="18" t="s">
        <v>405</v>
      </c>
      <c r="E266" s="23" t="str">
        <f>IF(COUNTIF('Info Strategia'!$D$2:$D$51,$C266)&gt;0,"SI","NO")</f>
        <v>NO</v>
      </c>
      <c r="F266" s="24">
        <f>IFERROR(ROUND(($G266+($H266-$G266)*'Info Strategia'!$B$6)*(1+IF($E266="SI",'Parametri Modello'!$B$7*'Info Strategia'!$B$6,0)),0),"")</f>
        <v>2</v>
      </c>
      <c r="G266" s="24">
        <f>IFERROR(ROUND(MAX(1,(IF($V266&lt;=INDEX('Parametri Modello'!$C$57:$C$60,MATCH($B266,'Parametri Modello'!$A$57:$A$60,0)),IF(INDEX('Parametri Modello'!$E$57:$E$60,MATCH($B266,'Parametri Modello'!$A$57:$A$60,0))=0,0,($O266/INDEX('Parametri Modello'!$E$57:$E$60,MATCH($B266,'Parametri Modello'!$A$57:$A$60,0)))*(INDEX('Parametri Modello'!$D$57:$D$60,MATCH($B266,'Parametri Modello'!$A$57:$A$60,0))*(INDEX('Parametri Modello'!$B$50:$B$53,MATCH($B266,'Parametri Modello'!$A$50:$A$53,0))*'Parametri Modello'!$B$44))),IF(INDEX('Parametri Modello'!$F$57:$F$60,MATCH($B266,'Parametri Modello'!$A$57:$A$60,0))=0,0,($O266/INDEX('Parametri Modello'!$F$57:$F$60,MATCH($B266,'Parametri Modello'!$A$57:$A$60,0)))*((1-INDEX('Parametri Modello'!$D$57:$D$60,MATCH($B266,'Parametri Modello'!$A$57:$A$60,0)))*(INDEX('Parametri Modello'!$B$50:$B$53,MATCH($B266,'Parametri Modello'!$A$50:$A$53,0))*'Parametri Modello'!$B$44))))*(1+IF(IF($B266="D",'Info Lega'!$B$25,IF($B266="C",'Info Lega'!$B$26,"No"))="Si",'Parametri Modello'!$B$5,0))*(1+MAX(-0.25,MIN(0.25,IF(OR($T266="",$I266="",$I266=0,INDEX('Parametri Modello'!$B$19:$B$22,MATCH($B266,'Parametri Modello'!$A$19:$A$22,0))="",INDEX('Parametri Modello'!$B$19:$B$22,MATCH($B266,'Parametri Modello'!$A$19:$A$22,0))=0),0,(($T266-INDEX('Parametri Modello'!$B$19:$B$22,MATCH($B266,'Parametri Modello'!$A$19:$A$22,0)))/INDEX('Parametri Modello'!$B$19:$B$22,MATCH($B266,'Parametri Modello'!$A$19:$A$22,0)))*'Parametri Modello'!$B$9))))*(1+IF('Parametri Modello'!$B$27="Si",MAX(-'Parametri Modello'!$B$28,MIN('Parametri Modello'!$B$28*1.5,IF(OR(INDEX('Parametri Modello'!$F$32:$F$35,MATCH($B266,'Parametri Modello'!$A$32:$A$35,0))="",INDEX('Parametri Modello'!$F$32:$F$35,MATCH($B266,'Parametri Modello'!$A$32:$A$35,0))=0),0,(1/INDEX('Parametri Modello'!$F$32:$F$35,MATCH($B266,'Parametri Modello'!$A$32:$A$35,0))-1)*'Parametri Modello'!$B$28))),0)))*(1-INDEX('Parametri Modello'!$B$12:$B$15,MATCH($B266,'Parametri Modello'!$A$12:$A$15,0)))),0),"")</f>
        <v>2</v>
      </c>
      <c r="H266" s="24">
        <f>IFERROR(ROUND((IF($V266&lt;=INDEX('Parametri Modello'!$C$57:$C$60,MATCH($B266,'Parametri Modello'!$A$57:$A$60,0)),IF(INDEX('Parametri Modello'!$E$57:$E$60,MATCH($B266,'Parametri Modello'!$A$57:$A$60,0))=0,0,($O266/INDEX('Parametri Modello'!$E$57:$E$60,MATCH($B266,'Parametri Modello'!$A$57:$A$60,0)))*(INDEX('Parametri Modello'!$D$57:$D$60,MATCH($B266,'Parametri Modello'!$A$57:$A$60,0))*(INDEX('Parametri Modello'!$B$50:$B$53,MATCH($B266,'Parametri Modello'!$A$50:$A$53,0))*'Parametri Modello'!$B$44))),IF(INDEX('Parametri Modello'!$F$57:$F$60,MATCH($B266,'Parametri Modello'!$A$57:$A$60,0))=0,0,($O266/INDEX('Parametri Modello'!$F$57:$F$60,MATCH($B266,'Parametri Modello'!$A$57:$A$60,0)))*((1-INDEX('Parametri Modello'!$D$57:$D$60,MATCH($B266,'Parametri Modello'!$A$57:$A$60,0)))*(INDEX('Parametri Modello'!$B$50:$B$53,MATCH($B266,'Parametri Modello'!$A$50:$A$53,0))*'Parametri Modello'!$B$44))))*(1+IF(IF($B266="D",'Info Lega'!$B$25,IF($B266="C",'Info Lega'!$B$26,"No"))="Si",'Parametri Modello'!$B$5,0))*(1+MAX(-0.25,MIN(0.25,IF(OR($T266="",$I266="",$I266=0,INDEX('Parametri Modello'!$B$19:$B$22,MATCH($B266,'Parametri Modello'!$A$19:$A$22,0))="",INDEX('Parametri Modello'!$B$19:$B$22,MATCH($B266,'Parametri Modello'!$A$19:$A$22,0))=0),0,(($T266-INDEX('Parametri Modello'!$B$19:$B$22,MATCH($B266,'Parametri Modello'!$A$19:$A$22,0)))/INDEX('Parametri Modello'!$B$19:$B$22,MATCH($B266,'Parametri Modello'!$A$19:$A$22,0)))*'Parametri Modello'!$B$9))))*(1+IF('Parametri Modello'!$B$27="Si",MAX(-'Parametri Modello'!$B$28,MIN('Parametri Modello'!$B$28*1.5,IF(OR(INDEX('Parametri Modello'!$F$32:$F$35,MATCH($B266,'Parametri Modello'!$A$32:$A$35,0))="",INDEX('Parametri Modello'!$F$32:$F$35,MATCH($B266,'Parametri Modello'!$A$32:$A$35,0))=0),0,(1/INDEX('Parametri Modello'!$F$32:$F$35,MATCH($B266,'Parametri Modello'!$A$32:$A$35,0))-1)*'Parametri Modello'!$B$28))),0)))*(1+INDEX('Parametri Modello'!$B$12:$B$15,MATCH($B266,'Parametri Modello'!$A$12:$A$15,0))),0),"")</f>
        <v>2</v>
      </c>
      <c r="I266" s="23">
        <f>IFERROR(INDEX('Input Statistiche 2025_26'!$F$3:$F$665,MATCH($A266,'Input Statistiche 2025_26'!$A$3:$A$665,0)),"")</f>
        <v>21</v>
      </c>
      <c r="J266" s="23">
        <f t="shared" si="36"/>
        <v>17</v>
      </c>
      <c r="K266" s="23">
        <f>IFERROR(INDEX('Input Statistiche 2025_26'!$I$3:$I$665,MATCH($A266,'Input Statistiche 2025_26'!$A$3:$A$665,0)),"")</f>
        <v>0</v>
      </c>
      <c r="L266" s="23">
        <f>IFERROR(INDEX('Input Statistiche 2025_26'!$O$3:$O$665,MATCH($A266,'Input Statistiche 2025_26'!$A$3:$A$665,0)),"")</f>
        <v>0</v>
      </c>
      <c r="M266" s="25"/>
      <c r="N266" s="24">
        <f>IFERROR(INDEX('Input Giocatori 2026_27'!$E$3:$E$493,MATCH($A266,'Input Giocatori 2026_27'!$A$3:$A$493,0)),"")</f>
        <v>5</v>
      </c>
      <c r="O266" s="24">
        <f>IFERROR(INDEX('Input Giocatori 2026_27'!$G$3:$G$493,MATCH($A266,'Input Giocatori 2026_27'!$A$3:$A$493,0)),"")</f>
        <v>12</v>
      </c>
      <c r="P266" s="23" t="str">
        <f>IFERROR(IF($O266="","",IF((1-(COUNTIFS($B$2:$B$492,$B266,$O$2:$O$492,"&gt;"&amp;$O266)+1-1)/COUNTIF($B$2:$B$492,$B266))&gt;='Parametri Modello'!$B$63,"Top",IF((1-(COUNTIFS($B$2:$B$492,$B266,$O$2:$O$492,"&gt;"&amp;$O266)+1-1)/COUNTIF($B$2:$B$492,$B266))&gt;='Parametri Modello'!$B$64,"Buono",IF((1-(COUNTIFS($B$2:$B$492,$B266,$O$2:$O$492,"&gt;"&amp;$O266)+1-1)/COUNTIF($B$2:$B$492,$B266))&gt;='Parametri Modello'!$B$65,"Nella Media","Scommessa/Riserva")))),"")</f>
        <v>Nella Media</v>
      </c>
      <c r="Q266" s="26">
        <f>IF(AND($D266="",$N266&gt;1),SUMPRODUCT(($D$2:$D266="")*($N$2:$N266&gt;1)),"")</f>
        <v>265</v>
      </c>
      <c r="R266" s="26" t="str">
        <f>IF($D266='Info Lega'!$B$28,COUNTIFS($D$2:$D266,'Info Lega'!$B$28),"")</f>
        <v/>
      </c>
      <c r="S266" s="27">
        <f>IFERROR(INDEX('Input Statistiche 2025_26'!$G$3:$G$665,MATCH($A266,'Input Statistiche 2025_26'!$A$3:$A$665,0)),"")</f>
        <v>5.83</v>
      </c>
      <c r="T266" s="27">
        <f>IFERROR(INDEX('Input Statistiche 2025_26'!$H$3:$H$665,MATCH($A266,'Input Statistiche 2025_26'!$A$3:$A$665,0)),"")</f>
        <v>5.64</v>
      </c>
      <c r="U266" s="23" t="str">
        <f>IF(OR('La Mia Rosa'!$O$12="",$D266&lt;&gt;""),"",IF($F266&lt;='La Mia Rosa'!$O$12*'Parametri Modello'!$B$24,"OK",IF($F266&lt;='La Mia Rosa'!$O$12*'Parametri Modello'!$B$25,"Attenzione","Rischio Alto")))</f>
        <v>OK</v>
      </c>
      <c r="V266" s="23">
        <f t="shared" si="37"/>
        <v>78</v>
      </c>
      <c r="W266" s="18">
        <f>'Info Lega'!$B$4-SUMIFS($M$2:$M$492,$D$2:$D$492,'Info Lega'!$B$28)</f>
        <v>1000</v>
      </c>
      <c r="X266" s="18">
        <f>('Info Lega'!$B$5-COUNTIFS($D$2:$D$492,'Info Lega'!$B$28,$B$2:$B$492,"P"))+('Info Lega'!$B$6-COUNTIFS($D$2:$D$492,'Info Lega'!$B$28,$B$2:$B$492,"D"))+('Info Lega'!$B$7-COUNTIFS($D$2:$D$492,'Info Lega'!$B$28,$B$2:$B$492,"C"))+('Info Lega'!$B$8-COUNTIFS($D$2:$D$492,'Info Lega'!$B$28,$B$2:$B$492,"A"))</f>
        <v>25</v>
      </c>
      <c r="Y266" s="18">
        <f>X266*'Parametri Modello'!$B$30</f>
        <v>25</v>
      </c>
      <c r="Z266" s="18">
        <f t="shared" si="38"/>
        <v>975</v>
      </c>
      <c r="AA266" s="18">
        <f t="shared" si="39"/>
        <v>2</v>
      </c>
      <c r="AB266" s="18"/>
      <c r="AC266" s="18" t="str">
        <f>IF($AB266="","",IF($AB266&gt;$AA266,"PASS",IF($AB266&lt;=$AA266*(1-'Parametri Modello'!$B$68),"BID","ATTENZIONE")))</f>
        <v/>
      </c>
      <c r="AD266" s="28">
        <f t="shared" si="40"/>
        <v>50</v>
      </c>
      <c r="AE266" s="5" t="str">
        <f>IFERROR(INDEX('Stato Asta'!$G$9:$G$12,MATCH($B266,'Stato Asta'!$A$9:$A$12,0)),"")</f>
        <v>🔴 Non aspettare</v>
      </c>
      <c r="AF266" t="str">
        <f>IFERROR(IF($V266&lt;=INDEX('Parametri Modello'!$C$57:$C$60,MATCH($B266,'Parametri Modello'!$A$57:$A$60,0)),"Titolare","Riserva"),"")</f>
        <v>Riserva</v>
      </c>
      <c r="AG266" t="str">
        <f>IFERROR(INDEX('Pressione Competitiva'!$F$3:$F$6,MATCH($B266,'Pressione Competitiva'!$B$3:$B$6,0)),"")</f>
        <v>🔴 Molto Alta</v>
      </c>
      <c r="AH266" t="str">
        <f t="shared" si="41"/>
        <v/>
      </c>
      <c r="AI266" t="str">
        <f>IFERROR(IF($AH266="","",IF($AH266&gt;=$AA266*'Parametri Modello'!$B$68,"🟢 Opportunita'",IF($AH266&lt;=$AA266*'Parametri Modello'!$B$69,"🔴 Sovrapprezzo","🟡 Prezzo Corretto"))),"")</f>
        <v/>
      </c>
      <c r="AJ266" t="str">
        <f t="shared" si="42"/>
        <v/>
      </c>
      <c r="AK266">
        <f t="shared" si="43"/>
        <v>23</v>
      </c>
      <c r="AL266" t="str">
        <f t="shared" si="44"/>
        <v>D|Nella Media|23</v>
      </c>
    </row>
    <row r="267" spans="1:38" ht="14.25" customHeight="1" x14ac:dyDescent="0.25">
      <c r="A267" s="18">
        <v>7240</v>
      </c>
      <c r="B267" s="18" t="s">
        <v>16</v>
      </c>
      <c r="C267" s="18" t="s">
        <v>406</v>
      </c>
      <c r="E267" s="23" t="str">
        <f>IF(COUNTIF('Info Strategia'!$D$2:$D$51,$C267)&gt;0,"SI","NO")</f>
        <v>NO</v>
      </c>
      <c r="F267" s="24">
        <f>IFERROR(ROUND(($G267+($H267-$G267)*'Info Strategia'!$B$6)*(1+IF($E267="SI",'Parametri Modello'!$B$7*'Info Strategia'!$B$6,0)),0),"")</f>
        <v>2</v>
      </c>
      <c r="G267" s="24">
        <f>IFERROR(ROUND(MAX(1,(IF($V267&lt;=INDEX('Parametri Modello'!$C$57:$C$60,MATCH($B267,'Parametri Modello'!$A$57:$A$60,0)),IF(INDEX('Parametri Modello'!$E$57:$E$60,MATCH($B267,'Parametri Modello'!$A$57:$A$60,0))=0,0,($O267/INDEX('Parametri Modello'!$E$57:$E$60,MATCH($B267,'Parametri Modello'!$A$57:$A$60,0)))*(INDEX('Parametri Modello'!$D$57:$D$60,MATCH($B267,'Parametri Modello'!$A$57:$A$60,0))*(INDEX('Parametri Modello'!$B$50:$B$53,MATCH($B267,'Parametri Modello'!$A$50:$A$53,0))*'Parametri Modello'!$B$44))),IF(INDEX('Parametri Modello'!$F$57:$F$60,MATCH($B267,'Parametri Modello'!$A$57:$A$60,0))=0,0,($O267/INDEX('Parametri Modello'!$F$57:$F$60,MATCH($B267,'Parametri Modello'!$A$57:$A$60,0)))*((1-INDEX('Parametri Modello'!$D$57:$D$60,MATCH($B267,'Parametri Modello'!$A$57:$A$60,0)))*(INDEX('Parametri Modello'!$B$50:$B$53,MATCH($B267,'Parametri Modello'!$A$50:$A$53,0))*'Parametri Modello'!$B$44))))*(1+IF(IF($B267="D",'Info Lega'!$B$25,IF($B267="C",'Info Lega'!$B$26,"No"))="Si",'Parametri Modello'!$B$5,0))*(1+MAX(-0.25,MIN(0.25,IF(OR($T267="",$I267="",$I267=0,INDEX('Parametri Modello'!$B$19:$B$22,MATCH($B267,'Parametri Modello'!$A$19:$A$22,0))="",INDEX('Parametri Modello'!$B$19:$B$22,MATCH($B267,'Parametri Modello'!$A$19:$A$22,0))=0),0,(($T267-INDEX('Parametri Modello'!$B$19:$B$22,MATCH($B267,'Parametri Modello'!$A$19:$A$22,0)))/INDEX('Parametri Modello'!$B$19:$B$22,MATCH($B267,'Parametri Modello'!$A$19:$A$22,0)))*'Parametri Modello'!$B$9))))*(1+IF('Parametri Modello'!$B$27="Si",MAX(-'Parametri Modello'!$B$28,MIN('Parametri Modello'!$B$28*1.5,IF(OR(INDEX('Parametri Modello'!$F$32:$F$35,MATCH($B267,'Parametri Modello'!$A$32:$A$35,0))="",INDEX('Parametri Modello'!$F$32:$F$35,MATCH($B267,'Parametri Modello'!$A$32:$A$35,0))=0),0,(1/INDEX('Parametri Modello'!$F$32:$F$35,MATCH($B267,'Parametri Modello'!$A$32:$A$35,0))-1)*'Parametri Modello'!$B$28))),0)))*(1-INDEX('Parametri Modello'!$B$12:$B$15,MATCH($B267,'Parametri Modello'!$A$12:$A$15,0)))),0),"")</f>
        <v>2</v>
      </c>
      <c r="H267" s="24">
        <f>IFERROR(ROUND((IF($V267&lt;=INDEX('Parametri Modello'!$C$57:$C$60,MATCH($B267,'Parametri Modello'!$A$57:$A$60,0)),IF(INDEX('Parametri Modello'!$E$57:$E$60,MATCH($B267,'Parametri Modello'!$A$57:$A$60,0))=0,0,($O267/INDEX('Parametri Modello'!$E$57:$E$60,MATCH($B267,'Parametri Modello'!$A$57:$A$60,0)))*(INDEX('Parametri Modello'!$D$57:$D$60,MATCH($B267,'Parametri Modello'!$A$57:$A$60,0))*(INDEX('Parametri Modello'!$B$50:$B$53,MATCH($B267,'Parametri Modello'!$A$50:$A$53,0))*'Parametri Modello'!$B$44))),IF(INDEX('Parametri Modello'!$F$57:$F$60,MATCH($B267,'Parametri Modello'!$A$57:$A$60,0))=0,0,($O267/INDEX('Parametri Modello'!$F$57:$F$60,MATCH($B267,'Parametri Modello'!$A$57:$A$60,0)))*((1-INDEX('Parametri Modello'!$D$57:$D$60,MATCH($B267,'Parametri Modello'!$A$57:$A$60,0)))*(INDEX('Parametri Modello'!$B$50:$B$53,MATCH($B267,'Parametri Modello'!$A$50:$A$53,0))*'Parametri Modello'!$B$44))))*(1+IF(IF($B267="D",'Info Lega'!$B$25,IF($B267="C",'Info Lega'!$B$26,"No"))="Si",'Parametri Modello'!$B$5,0))*(1+MAX(-0.25,MIN(0.25,IF(OR($T267="",$I267="",$I267=0,INDEX('Parametri Modello'!$B$19:$B$22,MATCH($B267,'Parametri Modello'!$A$19:$A$22,0))="",INDEX('Parametri Modello'!$B$19:$B$22,MATCH($B267,'Parametri Modello'!$A$19:$A$22,0))=0),0,(($T267-INDEX('Parametri Modello'!$B$19:$B$22,MATCH($B267,'Parametri Modello'!$A$19:$A$22,0)))/INDEX('Parametri Modello'!$B$19:$B$22,MATCH($B267,'Parametri Modello'!$A$19:$A$22,0)))*'Parametri Modello'!$B$9))))*(1+IF('Parametri Modello'!$B$27="Si",MAX(-'Parametri Modello'!$B$28,MIN('Parametri Modello'!$B$28*1.5,IF(OR(INDEX('Parametri Modello'!$F$32:$F$35,MATCH($B267,'Parametri Modello'!$A$32:$A$35,0))="",INDEX('Parametri Modello'!$F$32:$F$35,MATCH($B267,'Parametri Modello'!$A$32:$A$35,0))=0),0,(1/INDEX('Parametri Modello'!$F$32:$F$35,MATCH($B267,'Parametri Modello'!$A$32:$A$35,0))-1)*'Parametri Modello'!$B$28))),0)))*(1+INDEX('Parametri Modello'!$B$12:$B$15,MATCH($B267,'Parametri Modello'!$A$12:$A$15,0))),0),"")</f>
        <v>2</v>
      </c>
      <c r="I267" s="23">
        <f>IFERROR(INDEX('Input Statistiche 2025_26'!$F$3:$F$665,MATCH($A267,'Input Statistiche 2025_26'!$A$3:$A$665,0)),"")</f>
        <v>19</v>
      </c>
      <c r="J267" s="23">
        <f t="shared" si="36"/>
        <v>19</v>
      </c>
      <c r="K267" s="23">
        <f>IFERROR(INDEX('Input Statistiche 2025_26'!$I$3:$I$665,MATCH($A267,'Input Statistiche 2025_26'!$A$3:$A$665,0)),"")</f>
        <v>1</v>
      </c>
      <c r="L267" s="23">
        <f>IFERROR(INDEX('Input Statistiche 2025_26'!$O$3:$O$665,MATCH($A267,'Input Statistiche 2025_26'!$A$3:$A$665,0)),"")</f>
        <v>0</v>
      </c>
      <c r="M267" s="25"/>
      <c r="N267" s="24">
        <f>IFERROR(INDEX('Input Giocatori 2026_27'!$E$3:$E$493,MATCH($A267,'Input Giocatori 2026_27'!$A$3:$A$493,0)),"")</f>
        <v>4</v>
      </c>
      <c r="O267" s="24">
        <f>IFERROR(INDEX('Input Giocatori 2026_27'!$G$3:$G$493,MATCH($A267,'Input Giocatori 2026_27'!$A$3:$A$493,0)),"")</f>
        <v>12</v>
      </c>
      <c r="P267" s="23" t="str">
        <f>IFERROR(IF($O267="","",IF((1-(COUNTIFS($B$2:$B$492,$B267,$O$2:$O$492,"&gt;"&amp;$O267)+1-1)/COUNTIF($B$2:$B$492,$B267))&gt;='Parametri Modello'!$B$63,"Top",IF((1-(COUNTIFS($B$2:$B$492,$B267,$O$2:$O$492,"&gt;"&amp;$O267)+1-1)/COUNTIF($B$2:$B$492,$B267))&gt;='Parametri Modello'!$B$64,"Buono",IF((1-(COUNTIFS($B$2:$B$492,$B267,$O$2:$O$492,"&gt;"&amp;$O267)+1-1)/COUNTIF($B$2:$B$492,$B267))&gt;='Parametri Modello'!$B$65,"Nella Media","Scommessa/Riserva")))),"")</f>
        <v>Nella Media</v>
      </c>
      <c r="Q267" s="26">
        <f>IF(AND($D267="",$N267&gt;1),SUMPRODUCT(($D$2:$D267="")*($N$2:$N267&gt;1)),"")</f>
        <v>266</v>
      </c>
      <c r="R267" s="26" t="str">
        <f>IF($D267='Info Lega'!$B$28,COUNTIFS($D$2:$D267,'Info Lega'!$B$28),"")</f>
        <v/>
      </c>
      <c r="S267" s="27">
        <f>IFERROR(INDEX('Input Statistiche 2025_26'!$G$3:$G$665,MATCH($A267,'Input Statistiche 2025_26'!$A$3:$A$665,0)),"")</f>
        <v>5.68</v>
      </c>
      <c r="T267" s="27">
        <f>IFERROR(INDEX('Input Statistiche 2025_26'!$H$3:$H$665,MATCH($A267,'Input Statistiche 2025_26'!$A$3:$A$665,0)),"")</f>
        <v>5.76</v>
      </c>
      <c r="U267" s="23" t="str">
        <f>IF(OR('La Mia Rosa'!$O$12="",$D267&lt;&gt;""),"",IF($F267&lt;='La Mia Rosa'!$O$12*'Parametri Modello'!$B$24,"OK",IF($F267&lt;='La Mia Rosa'!$O$12*'Parametri Modello'!$B$25,"Attenzione","Rischio Alto")))</f>
        <v>OK</v>
      </c>
      <c r="V267" s="23">
        <f t="shared" si="37"/>
        <v>78</v>
      </c>
      <c r="W267" s="18">
        <f>'Info Lega'!$B$4-SUMIFS($M$2:$M$492,$D$2:$D$492,'Info Lega'!$B$28)</f>
        <v>1000</v>
      </c>
      <c r="X267" s="18">
        <f>('Info Lega'!$B$5-COUNTIFS($D$2:$D$492,'Info Lega'!$B$28,$B$2:$B$492,"P"))+('Info Lega'!$B$6-COUNTIFS($D$2:$D$492,'Info Lega'!$B$28,$B$2:$B$492,"D"))+('Info Lega'!$B$7-COUNTIFS($D$2:$D$492,'Info Lega'!$B$28,$B$2:$B$492,"C"))+('Info Lega'!$B$8-COUNTIFS($D$2:$D$492,'Info Lega'!$B$28,$B$2:$B$492,"A"))</f>
        <v>25</v>
      </c>
      <c r="Y267" s="18">
        <f>X267*'Parametri Modello'!$B$30</f>
        <v>25</v>
      </c>
      <c r="Z267" s="18">
        <f t="shared" si="38"/>
        <v>975</v>
      </c>
      <c r="AA267" s="18">
        <f t="shared" si="39"/>
        <v>2</v>
      </c>
      <c r="AB267" s="18"/>
      <c r="AC267" s="18" t="str">
        <f>IF($AB267="","",IF($AB267&gt;$AA267,"PASS",IF($AB267&lt;=$AA267*(1-'Parametri Modello'!$B$68),"BID","ATTENZIONE")))</f>
        <v/>
      </c>
      <c r="AD267" s="28">
        <f t="shared" si="40"/>
        <v>47</v>
      </c>
      <c r="AE267" s="5" t="str">
        <f>IFERROR(INDEX('Stato Asta'!$G$9:$G$12,MATCH($B267,'Stato Asta'!$A$9:$A$12,0)),"")</f>
        <v>🔴 Non aspettare</v>
      </c>
      <c r="AF267" t="str">
        <f>IFERROR(IF($V267&lt;=INDEX('Parametri Modello'!$C$57:$C$60,MATCH($B267,'Parametri Modello'!$A$57:$A$60,0)),"Titolare","Riserva"),"")</f>
        <v>Riserva</v>
      </c>
      <c r="AG267" t="str">
        <f>IFERROR(INDEX('Pressione Competitiva'!$F$3:$F$6,MATCH($B267,'Pressione Competitiva'!$B$3:$B$6,0)),"")</f>
        <v>🔴 Molto Alta</v>
      </c>
      <c r="AH267" t="str">
        <f t="shared" si="41"/>
        <v/>
      </c>
      <c r="AI267" t="str">
        <f>IFERROR(IF($AH267="","",IF($AH267&gt;=$AA267*'Parametri Modello'!$B$68,"🟢 Opportunita'",IF($AH267&lt;=$AA267*'Parametri Modello'!$B$69,"🔴 Sovrapprezzo","🟡 Prezzo Corretto"))),"")</f>
        <v/>
      </c>
      <c r="AJ267" t="str">
        <f t="shared" si="42"/>
        <v/>
      </c>
      <c r="AK267">
        <f t="shared" si="43"/>
        <v>23</v>
      </c>
      <c r="AL267" t="str">
        <f t="shared" si="44"/>
        <v>D|Nella Media|23</v>
      </c>
    </row>
    <row r="268" spans="1:38" ht="14.25" customHeight="1" x14ac:dyDescent="0.25">
      <c r="A268" s="18">
        <v>6659</v>
      </c>
      <c r="B268" s="18" t="s">
        <v>16</v>
      </c>
      <c r="C268" s="18" t="s">
        <v>407</v>
      </c>
      <c r="E268" s="23" t="str">
        <f>IF(COUNTIF('Info Strategia'!$D$2:$D$51,$C268)&gt;0,"SI","NO")</f>
        <v>NO</v>
      </c>
      <c r="F268" s="24">
        <f>IFERROR(ROUND(($G268+($H268-$G268)*'Info Strategia'!$B$6)*(1+IF($E268="SI",'Parametri Modello'!$B$7*'Info Strategia'!$B$6,0)),0),"")</f>
        <v>2</v>
      </c>
      <c r="G268" s="24">
        <f>IFERROR(ROUND(MAX(1,(IF($V268&lt;=INDEX('Parametri Modello'!$C$57:$C$60,MATCH($B268,'Parametri Modello'!$A$57:$A$60,0)),IF(INDEX('Parametri Modello'!$E$57:$E$60,MATCH($B268,'Parametri Modello'!$A$57:$A$60,0))=0,0,($O268/INDEX('Parametri Modello'!$E$57:$E$60,MATCH($B268,'Parametri Modello'!$A$57:$A$60,0)))*(INDEX('Parametri Modello'!$D$57:$D$60,MATCH($B268,'Parametri Modello'!$A$57:$A$60,0))*(INDEX('Parametri Modello'!$B$50:$B$53,MATCH($B268,'Parametri Modello'!$A$50:$A$53,0))*'Parametri Modello'!$B$44))),IF(INDEX('Parametri Modello'!$F$57:$F$60,MATCH($B268,'Parametri Modello'!$A$57:$A$60,0))=0,0,($O268/INDEX('Parametri Modello'!$F$57:$F$60,MATCH($B268,'Parametri Modello'!$A$57:$A$60,0)))*((1-INDEX('Parametri Modello'!$D$57:$D$60,MATCH($B268,'Parametri Modello'!$A$57:$A$60,0)))*(INDEX('Parametri Modello'!$B$50:$B$53,MATCH($B268,'Parametri Modello'!$A$50:$A$53,0))*'Parametri Modello'!$B$44))))*(1+IF(IF($B268="D",'Info Lega'!$B$25,IF($B268="C",'Info Lega'!$B$26,"No"))="Si",'Parametri Modello'!$B$5,0))*(1+MAX(-0.25,MIN(0.25,IF(OR($T268="",$I268="",$I268=0,INDEX('Parametri Modello'!$B$19:$B$22,MATCH($B268,'Parametri Modello'!$A$19:$A$22,0))="",INDEX('Parametri Modello'!$B$19:$B$22,MATCH($B268,'Parametri Modello'!$A$19:$A$22,0))=0),0,(($T268-INDEX('Parametri Modello'!$B$19:$B$22,MATCH($B268,'Parametri Modello'!$A$19:$A$22,0)))/INDEX('Parametri Modello'!$B$19:$B$22,MATCH($B268,'Parametri Modello'!$A$19:$A$22,0)))*'Parametri Modello'!$B$9))))*(1+IF('Parametri Modello'!$B$27="Si",MAX(-'Parametri Modello'!$B$28,MIN('Parametri Modello'!$B$28*1.5,IF(OR(INDEX('Parametri Modello'!$F$32:$F$35,MATCH($B268,'Parametri Modello'!$A$32:$A$35,0))="",INDEX('Parametri Modello'!$F$32:$F$35,MATCH($B268,'Parametri Modello'!$A$32:$A$35,0))=0),0,(1/INDEX('Parametri Modello'!$F$32:$F$35,MATCH($B268,'Parametri Modello'!$A$32:$A$35,0))-1)*'Parametri Modello'!$B$28))),0)))*(1-INDEX('Parametri Modello'!$B$12:$B$15,MATCH($B268,'Parametri Modello'!$A$12:$A$15,0)))),0),"")</f>
        <v>2</v>
      </c>
      <c r="H268" s="24">
        <f>IFERROR(ROUND((IF($V268&lt;=INDEX('Parametri Modello'!$C$57:$C$60,MATCH($B268,'Parametri Modello'!$A$57:$A$60,0)),IF(INDEX('Parametri Modello'!$E$57:$E$60,MATCH($B268,'Parametri Modello'!$A$57:$A$60,0))=0,0,($O268/INDEX('Parametri Modello'!$E$57:$E$60,MATCH($B268,'Parametri Modello'!$A$57:$A$60,0)))*(INDEX('Parametri Modello'!$D$57:$D$60,MATCH($B268,'Parametri Modello'!$A$57:$A$60,0))*(INDEX('Parametri Modello'!$B$50:$B$53,MATCH($B268,'Parametri Modello'!$A$50:$A$53,0))*'Parametri Modello'!$B$44))),IF(INDEX('Parametri Modello'!$F$57:$F$60,MATCH($B268,'Parametri Modello'!$A$57:$A$60,0))=0,0,($O268/INDEX('Parametri Modello'!$F$57:$F$60,MATCH($B268,'Parametri Modello'!$A$57:$A$60,0)))*((1-INDEX('Parametri Modello'!$D$57:$D$60,MATCH($B268,'Parametri Modello'!$A$57:$A$60,0)))*(INDEX('Parametri Modello'!$B$50:$B$53,MATCH($B268,'Parametri Modello'!$A$50:$A$53,0))*'Parametri Modello'!$B$44))))*(1+IF(IF($B268="D",'Info Lega'!$B$25,IF($B268="C",'Info Lega'!$B$26,"No"))="Si",'Parametri Modello'!$B$5,0))*(1+MAX(-0.25,MIN(0.25,IF(OR($T268="",$I268="",$I268=0,INDEX('Parametri Modello'!$B$19:$B$22,MATCH($B268,'Parametri Modello'!$A$19:$A$22,0))="",INDEX('Parametri Modello'!$B$19:$B$22,MATCH($B268,'Parametri Modello'!$A$19:$A$22,0))=0),0,(($T268-INDEX('Parametri Modello'!$B$19:$B$22,MATCH($B268,'Parametri Modello'!$A$19:$A$22,0)))/INDEX('Parametri Modello'!$B$19:$B$22,MATCH($B268,'Parametri Modello'!$A$19:$A$22,0)))*'Parametri Modello'!$B$9))))*(1+IF('Parametri Modello'!$B$27="Si",MAX(-'Parametri Modello'!$B$28,MIN('Parametri Modello'!$B$28*1.5,IF(OR(INDEX('Parametri Modello'!$F$32:$F$35,MATCH($B268,'Parametri Modello'!$A$32:$A$35,0))="",INDEX('Parametri Modello'!$F$32:$F$35,MATCH($B268,'Parametri Modello'!$A$32:$A$35,0))=0),0,(1/INDEX('Parametri Modello'!$F$32:$F$35,MATCH($B268,'Parametri Modello'!$A$32:$A$35,0))-1)*'Parametri Modello'!$B$28))),0)))*(1+INDEX('Parametri Modello'!$B$12:$B$15,MATCH($B268,'Parametri Modello'!$A$12:$A$15,0))),0),"")</f>
        <v>2</v>
      </c>
      <c r="I268" s="23" t="str">
        <f>IFERROR(INDEX('Input Statistiche 2025_26'!$F$3:$F$665,MATCH($A268,'Input Statistiche 2025_26'!$A$3:$A$665,0)),"")</f>
        <v/>
      </c>
      <c r="J268" s="23" t="str">
        <f t="shared" si="36"/>
        <v/>
      </c>
      <c r="K268" s="23" t="str">
        <f>IFERROR(INDEX('Input Statistiche 2025_26'!$I$3:$I$665,MATCH($A268,'Input Statistiche 2025_26'!$A$3:$A$665,0)),"")</f>
        <v/>
      </c>
      <c r="L268" s="23" t="str">
        <f>IFERROR(INDEX('Input Statistiche 2025_26'!$O$3:$O$665,MATCH($A268,'Input Statistiche 2025_26'!$A$3:$A$665,0)),"")</f>
        <v/>
      </c>
      <c r="M268" s="25"/>
      <c r="N268" s="24">
        <f>IFERROR(INDEX('Input Giocatori 2026_27'!$E$3:$E$493,MATCH($A268,'Input Giocatori 2026_27'!$A$3:$A$493,0)),"")</f>
        <v>4</v>
      </c>
      <c r="O268" s="24">
        <f>IFERROR(INDEX('Input Giocatori 2026_27'!$G$3:$G$493,MATCH($A268,'Input Giocatori 2026_27'!$A$3:$A$493,0)),"")</f>
        <v>12</v>
      </c>
      <c r="P268" s="23" t="str">
        <f>IFERROR(IF($O268="","",IF((1-(COUNTIFS($B$2:$B$492,$B268,$O$2:$O$492,"&gt;"&amp;$O268)+1-1)/COUNTIF($B$2:$B$492,$B268))&gt;='Parametri Modello'!$B$63,"Top",IF((1-(COUNTIFS($B$2:$B$492,$B268,$O$2:$O$492,"&gt;"&amp;$O268)+1-1)/COUNTIF($B$2:$B$492,$B268))&gt;='Parametri Modello'!$B$64,"Buono",IF((1-(COUNTIFS($B$2:$B$492,$B268,$O$2:$O$492,"&gt;"&amp;$O268)+1-1)/COUNTIF($B$2:$B$492,$B268))&gt;='Parametri Modello'!$B$65,"Nella Media","Scommessa/Riserva")))),"")</f>
        <v>Nella Media</v>
      </c>
      <c r="Q268" s="26">
        <f>IF(AND($D268="",$N268&gt;1),SUMPRODUCT(($D$2:$D268="")*($N$2:$N268&gt;1)),"")</f>
        <v>267</v>
      </c>
      <c r="R268" s="26" t="str">
        <f>IF($D268='Info Lega'!$B$28,COUNTIFS($D$2:$D268,'Info Lega'!$B$28),"")</f>
        <v/>
      </c>
      <c r="S268" s="27" t="str">
        <f>IFERROR(INDEX('Input Statistiche 2025_26'!$G$3:$G$665,MATCH($A268,'Input Statistiche 2025_26'!$A$3:$A$665,0)),"")</f>
        <v/>
      </c>
      <c r="T268" s="27" t="str">
        <f>IFERROR(INDEX('Input Statistiche 2025_26'!$H$3:$H$665,MATCH($A268,'Input Statistiche 2025_26'!$A$3:$A$665,0)),"")</f>
        <v/>
      </c>
      <c r="U268" s="23" t="str">
        <f>IF(OR('La Mia Rosa'!$O$12="",$D268&lt;&gt;""),"",IF($F268&lt;='La Mia Rosa'!$O$12*'Parametri Modello'!$B$24,"OK",IF($F268&lt;='La Mia Rosa'!$O$12*'Parametri Modello'!$B$25,"Attenzione","Rischio Alto")))</f>
        <v>OK</v>
      </c>
      <c r="V268" s="23">
        <f t="shared" si="37"/>
        <v>78</v>
      </c>
      <c r="W268" s="18">
        <f>'Info Lega'!$B$4-SUMIFS($M$2:$M$492,$D$2:$D$492,'Info Lega'!$B$28)</f>
        <v>1000</v>
      </c>
      <c r="X268" s="18">
        <f>('Info Lega'!$B$5-COUNTIFS($D$2:$D$492,'Info Lega'!$B$28,$B$2:$B$492,"P"))+('Info Lega'!$B$6-COUNTIFS($D$2:$D$492,'Info Lega'!$B$28,$B$2:$B$492,"D"))+('Info Lega'!$B$7-COUNTIFS($D$2:$D$492,'Info Lega'!$B$28,$B$2:$B$492,"C"))+('Info Lega'!$B$8-COUNTIFS($D$2:$D$492,'Info Lega'!$B$28,$B$2:$B$492,"A"))</f>
        <v>25</v>
      </c>
      <c r="Y268" s="18">
        <f>X268*'Parametri Modello'!$B$30</f>
        <v>25</v>
      </c>
      <c r="Z268" s="18">
        <f t="shared" si="38"/>
        <v>975</v>
      </c>
      <c r="AA268" s="18">
        <f t="shared" si="39"/>
        <v>2</v>
      </c>
      <c r="AB268" s="18"/>
      <c r="AC268" s="18" t="str">
        <f>IF($AB268="","",IF($AB268&gt;$AA268,"PASS",IF($AB268&lt;=$AA268*(1-'Parametri Modello'!$B$68),"BID","ATTENZIONE")))</f>
        <v/>
      </c>
      <c r="AD268" s="28" t="str">
        <f t="shared" si="40"/>
        <v/>
      </c>
      <c r="AE268" s="5" t="str">
        <f>IFERROR(INDEX('Stato Asta'!$G$9:$G$12,MATCH($B268,'Stato Asta'!$A$9:$A$12,0)),"")</f>
        <v>🔴 Non aspettare</v>
      </c>
      <c r="AF268" t="str">
        <f>IFERROR(IF($V268&lt;=INDEX('Parametri Modello'!$C$57:$C$60,MATCH($B268,'Parametri Modello'!$A$57:$A$60,0)),"Titolare","Riserva"),"")</f>
        <v>Riserva</v>
      </c>
      <c r="AG268" t="str">
        <f>IFERROR(INDEX('Pressione Competitiva'!$F$3:$F$6,MATCH($B268,'Pressione Competitiva'!$B$3:$B$6,0)),"")</f>
        <v>🔴 Molto Alta</v>
      </c>
      <c r="AH268" t="str">
        <f t="shared" si="41"/>
        <v/>
      </c>
      <c r="AI268" t="str">
        <f>IFERROR(IF($AH268="","",IF($AH268&gt;=$AA268*'Parametri Modello'!$B$68,"🟢 Opportunita'",IF($AH268&lt;=$AA268*'Parametri Modello'!$B$69,"🔴 Sovrapprezzo","🟡 Prezzo Corretto"))),"")</f>
        <v/>
      </c>
      <c r="AJ268" t="str">
        <f t="shared" si="42"/>
        <v/>
      </c>
      <c r="AK268">
        <f t="shared" si="43"/>
        <v>23</v>
      </c>
      <c r="AL268" t="str">
        <f t="shared" si="44"/>
        <v>D|Nella Media|23</v>
      </c>
    </row>
    <row r="269" spans="1:38" ht="14.25" customHeight="1" x14ac:dyDescent="0.25">
      <c r="A269" s="18">
        <v>5838</v>
      </c>
      <c r="B269" s="18" t="s">
        <v>16</v>
      </c>
      <c r="C269" s="18" t="s">
        <v>408</v>
      </c>
      <c r="E269" s="23" t="str">
        <f>IF(COUNTIF('Info Strategia'!$D$2:$D$51,$C269)&gt;0,"SI","NO")</f>
        <v>NO</v>
      </c>
      <c r="F269" s="24">
        <f>IFERROR(ROUND(($G269+($H269-$G269)*'Info Strategia'!$B$6)*(1+IF($E269="SI",'Parametri Modello'!$B$7*'Info Strategia'!$B$6,0)),0),"")</f>
        <v>2</v>
      </c>
      <c r="G269" s="24">
        <f>IFERROR(ROUND(MAX(1,(IF($V269&lt;=INDEX('Parametri Modello'!$C$57:$C$60,MATCH($B269,'Parametri Modello'!$A$57:$A$60,0)),IF(INDEX('Parametri Modello'!$E$57:$E$60,MATCH($B269,'Parametri Modello'!$A$57:$A$60,0))=0,0,($O269/INDEX('Parametri Modello'!$E$57:$E$60,MATCH($B269,'Parametri Modello'!$A$57:$A$60,0)))*(INDEX('Parametri Modello'!$D$57:$D$60,MATCH($B269,'Parametri Modello'!$A$57:$A$60,0))*(INDEX('Parametri Modello'!$B$50:$B$53,MATCH($B269,'Parametri Modello'!$A$50:$A$53,0))*'Parametri Modello'!$B$44))),IF(INDEX('Parametri Modello'!$F$57:$F$60,MATCH($B269,'Parametri Modello'!$A$57:$A$60,0))=0,0,($O269/INDEX('Parametri Modello'!$F$57:$F$60,MATCH($B269,'Parametri Modello'!$A$57:$A$60,0)))*((1-INDEX('Parametri Modello'!$D$57:$D$60,MATCH($B269,'Parametri Modello'!$A$57:$A$60,0)))*(INDEX('Parametri Modello'!$B$50:$B$53,MATCH($B269,'Parametri Modello'!$A$50:$A$53,0))*'Parametri Modello'!$B$44))))*(1+IF(IF($B269="D",'Info Lega'!$B$25,IF($B269="C",'Info Lega'!$B$26,"No"))="Si",'Parametri Modello'!$B$5,0))*(1+MAX(-0.25,MIN(0.25,IF(OR($T269="",$I269="",$I269=0,INDEX('Parametri Modello'!$B$19:$B$22,MATCH($B269,'Parametri Modello'!$A$19:$A$22,0))="",INDEX('Parametri Modello'!$B$19:$B$22,MATCH($B269,'Parametri Modello'!$A$19:$A$22,0))=0),0,(($T269-INDEX('Parametri Modello'!$B$19:$B$22,MATCH($B269,'Parametri Modello'!$A$19:$A$22,0)))/INDEX('Parametri Modello'!$B$19:$B$22,MATCH($B269,'Parametri Modello'!$A$19:$A$22,0)))*'Parametri Modello'!$B$9))))*(1+IF('Parametri Modello'!$B$27="Si",MAX(-'Parametri Modello'!$B$28,MIN('Parametri Modello'!$B$28*1.5,IF(OR(INDEX('Parametri Modello'!$F$32:$F$35,MATCH($B269,'Parametri Modello'!$A$32:$A$35,0))="",INDEX('Parametri Modello'!$F$32:$F$35,MATCH($B269,'Parametri Modello'!$A$32:$A$35,0))=0),0,(1/INDEX('Parametri Modello'!$F$32:$F$35,MATCH($B269,'Parametri Modello'!$A$32:$A$35,0))-1)*'Parametri Modello'!$B$28))),0)))*(1-INDEX('Parametri Modello'!$B$12:$B$15,MATCH($B269,'Parametri Modello'!$A$12:$A$15,0)))),0),"")</f>
        <v>2</v>
      </c>
      <c r="H269" s="24">
        <f>IFERROR(ROUND((IF($V269&lt;=INDEX('Parametri Modello'!$C$57:$C$60,MATCH($B269,'Parametri Modello'!$A$57:$A$60,0)),IF(INDEX('Parametri Modello'!$E$57:$E$60,MATCH($B269,'Parametri Modello'!$A$57:$A$60,0))=0,0,($O269/INDEX('Parametri Modello'!$E$57:$E$60,MATCH($B269,'Parametri Modello'!$A$57:$A$60,0)))*(INDEX('Parametri Modello'!$D$57:$D$60,MATCH($B269,'Parametri Modello'!$A$57:$A$60,0))*(INDEX('Parametri Modello'!$B$50:$B$53,MATCH($B269,'Parametri Modello'!$A$50:$A$53,0))*'Parametri Modello'!$B$44))),IF(INDEX('Parametri Modello'!$F$57:$F$60,MATCH($B269,'Parametri Modello'!$A$57:$A$60,0))=0,0,($O269/INDEX('Parametri Modello'!$F$57:$F$60,MATCH($B269,'Parametri Modello'!$A$57:$A$60,0)))*((1-INDEX('Parametri Modello'!$D$57:$D$60,MATCH($B269,'Parametri Modello'!$A$57:$A$60,0)))*(INDEX('Parametri Modello'!$B$50:$B$53,MATCH($B269,'Parametri Modello'!$A$50:$A$53,0))*'Parametri Modello'!$B$44))))*(1+IF(IF($B269="D",'Info Lega'!$B$25,IF($B269="C",'Info Lega'!$B$26,"No"))="Si",'Parametri Modello'!$B$5,0))*(1+MAX(-0.25,MIN(0.25,IF(OR($T269="",$I269="",$I269=0,INDEX('Parametri Modello'!$B$19:$B$22,MATCH($B269,'Parametri Modello'!$A$19:$A$22,0))="",INDEX('Parametri Modello'!$B$19:$B$22,MATCH($B269,'Parametri Modello'!$A$19:$A$22,0))=0),0,(($T269-INDEX('Parametri Modello'!$B$19:$B$22,MATCH($B269,'Parametri Modello'!$A$19:$A$22,0)))/INDEX('Parametri Modello'!$B$19:$B$22,MATCH($B269,'Parametri Modello'!$A$19:$A$22,0)))*'Parametri Modello'!$B$9))))*(1+IF('Parametri Modello'!$B$27="Si",MAX(-'Parametri Modello'!$B$28,MIN('Parametri Modello'!$B$28*1.5,IF(OR(INDEX('Parametri Modello'!$F$32:$F$35,MATCH($B269,'Parametri Modello'!$A$32:$A$35,0))="",INDEX('Parametri Modello'!$F$32:$F$35,MATCH($B269,'Parametri Modello'!$A$32:$A$35,0))=0),0,(1/INDEX('Parametri Modello'!$F$32:$F$35,MATCH($B269,'Parametri Modello'!$A$32:$A$35,0))-1)*'Parametri Modello'!$B$28))),0)))*(1+INDEX('Parametri Modello'!$B$12:$B$15,MATCH($B269,'Parametri Modello'!$A$12:$A$15,0))),0),"")</f>
        <v>2</v>
      </c>
      <c r="I269" s="23" t="str">
        <f>IFERROR(INDEX('Input Statistiche 2025_26'!$F$3:$F$665,MATCH($A269,'Input Statistiche 2025_26'!$A$3:$A$665,0)),"")</f>
        <v/>
      </c>
      <c r="J269" s="23" t="str">
        <f t="shared" si="36"/>
        <v/>
      </c>
      <c r="K269" s="23" t="str">
        <f>IFERROR(INDEX('Input Statistiche 2025_26'!$I$3:$I$665,MATCH($A269,'Input Statistiche 2025_26'!$A$3:$A$665,0)),"")</f>
        <v/>
      </c>
      <c r="L269" s="23" t="str">
        <f>IFERROR(INDEX('Input Statistiche 2025_26'!$O$3:$O$665,MATCH($A269,'Input Statistiche 2025_26'!$A$3:$A$665,0)),"")</f>
        <v/>
      </c>
      <c r="M269" s="25"/>
      <c r="N269" s="24">
        <f>IFERROR(INDEX('Input Giocatori 2026_27'!$E$3:$E$493,MATCH($A269,'Input Giocatori 2026_27'!$A$3:$A$493,0)),"")</f>
        <v>4</v>
      </c>
      <c r="O269" s="24">
        <f>IFERROR(INDEX('Input Giocatori 2026_27'!$G$3:$G$493,MATCH($A269,'Input Giocatori 2026_27'!$A$3:$A$493,0)),"")</f>
        <v>12</v>
      </c>
      <c r="P269" s="23" t="str">
        <f>IFERROR(IF($O269="","",IF((1-(COUNTIFS($B$2:$B$492,$B269,$O$2:$O$492,"&gt;"&amp;$O269)+1-1)/COUNTIF($B$2:$B$492,$B269))&gt;='Parametri Modello'!$B$63,"Top",IF((1-(COUNTIFS($B$2:$B$492,$B269,$O$2:$O$492,"&gt;"&amp;$O269)+1-1)/COUNTIF($B$2:$B$492,$B269))&gt;='Parametri Modello'!$B$64,"Buono",IF((1-(COUNTIFS($B$2:$B$492,$B269,$O$2:$O$492,"&gt;"&amp;$O269)+1-1)/COUNTIF($B$2:$B$492,$B269))&gt;='Parametri Modello'!$B$65,"Nella Media","Scommessa/Riserva")))),"")</f>
        <v>Nella Media</v>
      </c>
      <c r="Q269" s="26">
        <f>IF(AND($D269="",$N269&gt;1),SUMPRODUCT(($D$2:$D269="")*($N$2:$N269&gt;1)),"")</f>
        <v>268</v>
      </c>
      <c r="R269" s="26" t="str">
        <f>IF($D269='Info Lega'!$B$28,COUNTIFS($D$2:$D269,'Info Lega'!$B$28),"")</f>
        <v/>
      </c>
      <c r="S269" s="27" t="str">
        <f>IFERROR(INDEX('Input Statistiche 2025_26'!$G$3:$G$665,MATCH($A269,'Input Statistiche 2025_26'!$A$3:$A$665,0)),"")</f>
        <v/>
      </c>
      <c r="T269" s="27" t="str">
        <f>IFERROR(INDEX('Input Statistiche 2025_26'!$H$3:$H$665,MATCH($A269,'Input Statistiche 2025_26'!$A$3:$A$665,0)),"")</f>
        <v/>
      </c>
      <c r="U269" s="23" t="str">
        <f>IF(OR('La Mia Rosa'!$O$12="",$D269&lt;&gt;""),"",IF($F269&lt;='La Mia Rosa'!$O$12*'Parametri Modello'!$B$24,"OK",IF($F269&lt;='La Mia Rosa'!$O$12*'Parametri Modello'!$B$25,"Attenzione","Rischio Alto")))</f>
        <v>OK</v>
      </c>
      <c r="V269" s="23">
        <f t="shared" si="37"/>
        <v>78</v>
      </c>
      <c r="W269" s="18">
        <f>'Info Lega'!$B$4-SUMIFS($M$2:$M$492,$D$2:$D$492,'Info Lega'!$B$28)</f>
        <v>1000</v>
      </c>
      <c r="X269" s="18">
        <f>('Info Lega'!$B$5-COUNTIFS($D$2:$D$492,'Info Lega'!$B$28,$B$2:$B$492,"P"))+('Info Lega'!$B$6-COUNTIFS($D$2:$D$492,'Info Lega'!$B$28,$B$2:$B$492,"D"))+('Info Lega'!$B$7-COUNTIFS($D$2:$D$492,'Info Lega'!$B$28,$B$2:$B$492,"C"))+('Info Lega'!$B$8-COUNTIFS($D$2:$D$492,'Info Lega'!$B$28,$B$2:$B$492,"A"))</f>
        <v>25</v>
      </c>
      <c r="Y269" s="18">
        <f>X269*'Parametri Modello'!$B$30</f>
        <v>25</v>
      </c>
      <c r="Z269" s="18">
        <f t="shared" si="38"/>
        <v>975</v>
      </c>
      <c r="AA269" s="18">
        <f t="shared" si="39"/>
        <v>2</v>
      </c>
      <c r="AB269" s="18"/>
      <c r="AC269" s="18" t="str">
        <f>IF($AB269="","",IF($AB269&gt;$AA269,"PASS",IF($AB269&lt;=$AA269*(1-'Parametri Modello'!$B$68),"BID","ATTENZIONE")))</f>
        <v/>
      </c>
      <c r="AD269" s="28" t="str">
        <f t="shared" si="40"/>
        <v/>
      </c>
      <c r="AE269" s="5" t="str">
        <f>IFERROR(INDEX('Stato Asta'!$G$9:$G$12,MATCH($B269,'Stato Asta'!$A$9:$A$12,0)),"")</f>
        <v>🔴 Non aspettare</v>
      </c>
      <c r="AF269" t="str">
        <f>IFERROR(IF($V269&lt;=INDEX('Parametri Modello'!$C$57:$C$60,MATCH($B269,'Parametri Modello'!$A$57:$A$60,0)),"Titolare","Riserva"),"")</f>
        <v>Riserva</v>
      </c>
      <c r="AG269" t="str">
        <f>IFERROR(INDEX('Pressione Competitiva'!$F$3:$F$6,MATCH($B269,'Pressione Competitiva'!$B$3:$B$6,0)),"")</f>
        <v>🔴 Molto Alta</v>
      </c>
      <c r="AH269" t="str">
        <f t="shared" si="41"/>
        <v/>
      </c>
      <c r="AI269" t="str">
        <f>IFERROR(IF($AH269="","",IF($AH269&gt;=$AA269*'Parametri Modello'!$B$68,"🟢 Opportunita'",IF($AH269&lt;=$AA269*'Parametri Modello'!$B$69,"🔴 Sovrapprezzo","🟡 Prezzo Corretto"))),"")</f>
        <v/>
      </c>
      <c r="AJ269" t="str">
        <f t="shared" si="42"/>
        <v/>
      </c>
      <c r="AK269">
        <f t="shared" si="43"/>
        <v>23</v>
      </c>
      <c r="AL269" t="str">
        <f t="shared" si="44"/>
        <v>D|Nella Media|23</v>
      </c>
    </row>
    <row r="270" spans="1:38" ht="14.25" customHeight="1" x14ac:dyDescent="0.25">
      <c r="A270" s="18">
        <v>4845</v>
      </c>
      <c r="B270" s="18" t="s">
        <v>16</v>
      </c>
      <c r="C270" s="18" t="s">
        <v>409</v>
      </c>
      <c r="E270" s="23" t="str">
        <f>IF(COUNTIF('Info Strategia'!$D$2:$D$51,$C270)&gt;0,"SI","NO")</f>
        <v>NO</v>
      </c>
      <c r="F270" s="24">
        <f>IFERROR(ROUND(($G270+($H270-$G270)*'Info Strategia'!$B$6)*(1+IF($E270="SI",'Parametri Modello'!$B$7*'Info Strategia'!$B$6,0)),0),"")</f>
        <v>2</v>
      </c>
      <c r="G270" s="24">
        <f>IFERROR(ROUND(MAX(1,(IF($V270&lt;=INDEX('Parametri Modello'!$C$57:$C$60,MATCH($B270,'Parametri Modello'!$A$57:$A$60,0)),IF(INDEX('Parametri Modello'!$E$57:$E$60,MATCH($B270,'Parametri Modello'!$A$57:$A$60,0))=0,0,($O270/INDEX('Parametri Modello'!$E$57:$E$60,MATCH($B270,'Parametri Modello'!$A$57:$A$60,0)))*(INDEX('Parametri Modello'!$D$57:$D$60,MATCH($B270,'Parametri Modello'!$A$57:$A$60,0))*(INDEX('Parametri Modello'!$B$50:$B$53,MATCH($B270,'Parametri Modello'!$A$50:$A$53,0))*'Parametri Modello'!$B$44))),IF(INDEX('Parametri Modello'!$F$57:$F$60,MATCH($B270,'Parametri Modello'!$A$57:$A$60,0))=0,0,($O270/INDEX('Parametri Modello'!$F$57:$F$60,MATCH($B270,'Parametri Modello'!$A$57:$A$60,0)))*((1-INDEX('Parametri Modello'!$D$57:$D$60,MATCH($B270,'Parametri Modello'!$A$57:$A$60,0)))*(INDEX('Parametri Modello'!$B$50:$B$53,MATCH($B270,'Parametri Modello'!$A$50:$A$53,0))*'Parametri Modello'!$B$44))))*(1+IF(IF($B270="D",'Info Lega'!$B$25,IF($B270="C",'Info Lega'!$B$26,"No"))="Si",'Parametri Modello'!$B$5,0))*(1+MAX(-0.25,MIN(0.25,IF(OR($T270="",$I270="",$I270=0,INDEX('Parametri Modello'!$B$19:$B$22,MATCH($B270,'Parametri Modello'!$A$19:$A$22,0))="",INDEX('Parametri Modello'!$B$19:$B$22,MATCH($B270,'Parametri Modello'!$A$19:$A$22,0))=0),0,(($T270-INDEX('Parametri Modello'!$B$19:$B$22,MATCH($B270,'Parametri Modello'!$A$19:$A$22,0)))/INDEX('Parametri Modello'!$B$19:$B$22,MATCH($B270,'Parametri Modello'!$A$19:$A$22,0)))*'Parametri Modello'!$B$9))))*(1+IF('Parametri Modello'!$B$27="Si",MAX(-'Parametri Modello'!$B$28,MIN('Parametri Modello'!$B$28*1.5,IF(OR(INDEX('Parametri Modello'!$F$32:$F$35,MATCH($B270,'Parametri Modello'!$A$32:$A$35,0))="",INDEX('Parametri Modello'!$F$32:$F$35,MATCH($B270,'Parametri Modello'!$A$32:$A$35,0))=0),0,(1/INDEX('Parametri Modello'!$F$32:$F$35,MATCH($B270,'Parametri Modello'!$A$32:$A$35,0))-1)*'Parametri Modello'!$B$28))),0)))*(1-INDEX('Parametri Modello'!$B$12:$B$15,MATCH($B270,'Parametri Modello'!$A$12:$A$15,0)))),0),"")</f>
        <v>2</v>
      </c>
      <c r="H270" s="24">
        <f>IFERROR(ROUND((IF($V270&lt;=INDEX('Parametri Modello'!$C$57:$C$60,MATCH($B270,'Parametri Modello'!$A$57:$A$60,0)),IF(INDEX('Parametri Modello'!$E$57:$E$60,MATCH($B270,'Parametri Modello'!$A$57:$A$60,0))=0,0,($O270/INDEX('Parametri Modello'!$E$57:$E$60,MATCH($B270,'Parametri Modello'!$A$57:$A$60,0)))*(INDEX('Parametri Modello'!$D$57:$D$60,MATCH($B270,'Parametri Modello'!$A$57:$A$60,0))*(INDEX('Parametri Modello'!$B$50:$B$53,MATCH($B270,'Parametri Modello'!$A$50:$A$53,0))*'Parametri Modello'!$B$44))),IF(INDEX('Parametri Modello'!$F$57:$F$60,MATCH($B270,'Parametri Modello'!$A$57:$A$60,0))=0,0,($O270/INDEX('Parametri Modello'!$F$57:$F$60,MATCH($B270,'Parametri Modello'!$A$57:$A$60,0)))*((1-INDEX('Parametri Modello'!$D$57:$D$60,MATCH($B270,'Parametri Modello'!$A$57:$A$60,0)))*(INDEX('Parametri Modello'!$B$50:$B$53,MATCH($B270,'Parametri Modello'!$A$50:$A$53,0))*'Parametri Modello'!$B$44))))*(1+IF(IF($B270="D",'Info Lega'!$B$25,IF($B270="C",'Info Lega'!$B$26,"No"))="Si",'Parametri Modello'!$B$5,0))*(1+MAX(-0.25,MIN(0.25,IF(OR($T270="",$I270="",$I270=0,INDEX('Parametri Modello'!$B$19:$B$22,MATCH($B270,'Parametri Modello'!$A$19:$A$22,0))="",INDEX('Parametri Modello'!$B$19:$B$22,MATCH($B270,'Parametri Modello'!$A$19:$A$22,0))=0),0,(($T270-INDEX('Parametri Modello'!$B$19:$B$22,MATCH($B270,'Parametri Modello'!$A$19:$A$22,0)))/INDEX('Parametri Modello'!$B$19:$B$22,MATCH($B270,'Parametri Modello'!$A$19:$A$22,0)))*'Parametri Modello'!$B$9))))*(1+IF('Parametri Modello'!$B$27="Si",MAX(-'Parametri Modello'!$B$28,MIN('Parametri Modello'!$B$28*1.5,IF(OR(INDEX('Parametri Modello'!$F$32:$F$35,MATCH($B270,'Parametri Modello'!$A$32:$A$35,0))="",INDEX('Parametri Modello'!$F$32:$F$35,MATCH($B270,'Parametri Modello'!$A$32:$A$35,0))=0),0,(1/INDEX('Parametri Modello'!$F$32:$F$35,MATCH($B270,'Parametri Modello'!$A$32:$A$35,0))-1)*'Parametri Modello'!$B$28))),0)))*(1+INDEX('Parametri Modello'!$B$12:$B$15,MATCH($B270,'Parametri Modello'!$A$12:$A$15,0))),0),"")</f>
        <v>2</v>
      </c>
      <c r="I270" s="23" t="str">
        <f>IFERROR(INDEX('Input Statistiche 2025_26'!$F$3:$F$665,MATCH($A270,'Input Statistiche 2025_26'!$A$3:$A$665,0)),"")</f>
        <v/>
      </c>
      <c r="J270" s="23" t="str">
        <f t="shared" si="36"/>
        <v/>
      </c>
      <c r="K270" s="23" t="str">
        <f>IFERROR(INDEX('Input Statistiche 2025_26'!$I$3:$I$665,MATCH($A270,'Input Statistiche 2025_26'!$A$3:$A$665,0)),"")</f>
        <v/>
      </c>
      <c r="L270" s="23" t="str">
        <f>IFERROR(INDEX('Input Statistiche 2025_26'!$O$3:$O$665,MATCH($A270,'Input Statistiche 2025_26'!$A$3:$A$665,0)),"")</f>
        <v/>
      </c>
      <c r="M270" s="25"/>
      <c r="N270" s="24">
        <f>IFERROR(INDEX('Input Giocatori 2026_27'!$E$3:$E$493,MATCH($A270,'Input Giocatori 2026_27'!$A$3:$A$493,0)),"")</f>
        <v>4</v>
      </c>
      <c r="O270" s="24">
        <f>IFERROR(INDEX('Input Giocatori 2026_27'!$G$3:$G$493,MATCH($A270,'Input Giocatori 2026_27'!$A$3:$A$493,0)),"")</f>
        <v>12</v>
      </c>
      <c r="P270" s="23" t="str">
        <f>IFERROR(IF($O270="","",IF((1-(COUNTIFS($B$2:$B$492,$B270,$O$2:$O$492,"&gt;"&amp;$O270)+1-1)/COUNTIF($B$2:$B$492,$B270))&gt;='Parametri Modello'!$B$63,"Top",IF((1-(COUNTIFS($B$2:$B$492,$B270,$O$2:$O$492,"&gt;"&amp;$O270)+1-1)/COUNTIF($B$2:$B$492,$B270))&gt;='Parametri Modello'!$B$64,"Buono",IF((1-(COUNTIFS($B$2:$B$492,$B270,$O$2:$O$492,"&gt;"&amp;$O270)+1-1)/COUNTIF($B$2:$B$492,$B270))&gt;='Parametri Modello'!$B$65,"Nella Media","Scommessa/Riserva")))),"")</f>
        <v>Nella Media</v>
      </c>
      <c r="Q270" s="26">
        <f>IF(AND($D270="",$N270&gt;1),SUMPRODUCT(($D$2:$D270="")*($N$2:$N270&gt;1)),"")</f>
        <v>269</v>
      </c>
      <c r="R270" s="26" t="str">
        <f>IF($D270='Info Lega'!$B$28,COUNTIFS($D$2:$D270,'Info Lega'!$B$28),"")</f>
        <v/>
      </c>
      <c r="S270" s="27" t="str">
        <f>IFERROR(INDEX('Input Statistiche 2025_26'!$G$3:$G$665,MATCH($A270,'Input Statistiche 2025_26'!$A$3:$A$665,0)),"")</f>
        <v/>
      </c>
      <c r="T270" s="27" t="str">
        <f>IFERROR(INDEX('Input Statistiche 2025_26'!$H$3:$H$665,MATCH($A270,'Input Statistiche 2025_26'!$A$3:$A$665,0)),"")</f>
        <v/>
      </c>
      <c r="U270" s="23" t="str">
        <f>IF(OR('La Mia Rosa'!$O$12="",$D270&lt;&gt;""),"",IF($F270&lt;='La Mia Rosa'!$O$12*'Parametri Modello'!$B$24,"OK",IF($F270&lt;='La Mia Rosa'!$O$12*'Parametri Modello'!$B$25,"Attenzione","Rischio Alto")))</f>
        <v>OK</v>
      </c>
      <c r="V270" s="23">
        <f t="shared" si="37"/>
        <v>78</v>
      </c>
      <c r="W270" s="18">
        <f>'Info Lega'!$B$4-SUMIFS($M$2:$M$492,$D$2:$D$492,'Info Lega'!$B$28)</f>
        <v>1000</v>
      </c>
      <c r="X270" s="18">
        <f>('Info Lega'!$B$5-COUNTIFS($D$2:$D$492,'Info Lega'!$B$28,$B$2:$B$492,"P"))+('Info Lega'!$B$6-COUNTIFS($D$2:$D$492,'Info Lega'!$B$28,$B$2:$B$492,"D"))+('Info Lega'!$B$7-COUNTIFS($D$2:$D$492,'Info Lega'!$B$28,$B$2:$B$492,"C"))+('Info Lega'!$B$8-COUNTIFS($D$2:$D$492,'Info Lega'!$B$28,$B$2:$B$492,"A"))</f>
        <v>25</v>
      </c>
      <c r="Y270" s="18">
        <f>X270*'Parametri Modello'!$B$30</f>
        <v>25</v>
      </c>
      <c r="Z270" s="18">
        <f t="shared" si="38"/>
        <v>975</v>
      </c>
      <c r="AA270" s="18">
        <f t="shared" si="39"/>
        <v>2</v>
      </c>
      <c r="AB270" s="18"/>
      <c r="AC270" s="18" t="str">
        <f>IF($AB270="","",IF($AB270&gt;$AA270,"PASS",IF($AB270&lt;=$AA270*(1-'Parametri Modello'!$B$68),"BID","ATTENZIONE")))</f>
        <v/>
      </c>
      <c r="AD270" s="28" t="str">
        <f t="shared" si="40"/>
        <v/>
      </c>
      <c r="AE270" s="5" t="str">
        <f>IFERROR(INDEX('Stato Asta'!$G$9:$G$12,MATCH($B270,'Stato Asta'!$A$9:$A$12,0)),"")</f>
        <v>🔴 Non aspettare</v>
      </c>
      <c r="AF270" t="str">
        <f>IFERROR(IF($V270&lt;=INDEX('Parametri Modello'!$C$57:$C$60,MATCH($B270,'Parametri Modello'!$A$57:$A$60,0)),"Titolare","Riserva"),"")</f>
        <v>Riserva</v>
      </c>
      <c r="AG270" t="str">
        <f>IFERROR(INDEX('Pressione Competitiva'!$F$3:$F$6,MATCH($B270,'Pressione Competitiva'!$B$3:$B$6,0)),"")</f>
        <v>🔴 Molto Alta</v>
      </c>
      <c r="AH270" t="str">
        <f t="shared" si="41"/>
        <v/>
      </c>
      <c r="AI270" t="str">
        <f>IFERROR(IF($AH270="","",IF($AH270&gt;=$AA270*'Parametri Modello'!$B$68,"🟢 Opportunita'",IF($AH270&lt;=$AA270*'Parametri Modello'!$B$69,"🔴 Sovrapprezzo","🟡 Prezzo Corretto"))),"")</f>
        <v/>
      </c>
      <c r="AJ270" t="str">
        <f t="shared" si="42"/>
        <v/>
      </c>
      <c r="AK270">
        <f t="shared" si="43"/>
        <v>23</v>
      </c>
      <c r="AL270" t="str">
        <f t="shared" si="44"/>
        <v>D|Nella Media|23</v>
      </c>
    </row>
    <row r="271" spans="1:38" ht="14.25" customHeight="1" x14ac:dyDescent="0.25">
      <c r="A271" s="18">
        <v>7131</v>
      </c>
      <c r="B271" s="18" t="s">
        <v>16</v>
      </c>
      <c r="C271" s="18" t="s">
        <v>410</v>
      </c>
      <c r="E271" s="23" t="str">
        <f>IF(COUNTIF('Info Strategia'!$D$2:$D$51,$C271)&gt;0,"SI","NO")</f>
        <v>NO</v>
      </c>
      <c r="F271" s="24">
        <f>IFERROR(ROUND(($G271+($H271-$G271)*'Info Strategia'!$B$6)*(1+IF($E271="SI",'Parametri Modello'!$B$7*'Info Strategia'!$B$6,0)),0),"")</f>
        <v>2</v>
      </c>
      <c r="G271" s="24">
        <f>IFERROR(ROUND(MAX(1,(IF($V271&lt;=INDEX('Parametri Modello'!$C$57:$C$60,MATCH($B271,'Parametri Modello'!$A$57:$A$60,0)),IF(INDEX('Parametri Modello'!$E$57:$E$60,MATCH($B271,'Parametri Modello'!$A$57:$A$60,0))=0,0,($O271/INDEX('Parametri Modello'!$E$57:$E$60,MATCH($B271,'Parametri Modello'!$A$57:$A$60,0)))*(INDEX('Parametri Modello'!$D$57:$D$60,MATCH($B271,'Parametri Modello'!$A$57:$A$60,0))*(INDEX('Parametri Modello'!$B$50:$B$53,MATCH($B271,'Parametri Modello'!$A$50:$A$53,0))*'Parametri Modello'!$B$44))),IF(INDEX('Parametri Modello'!$F$57:$F$60,MATCH($B271,'Parametri Modello'!$A$57:$A$60,0))=0,0,($O271/INDEX('Parametri Modello'!$F$57:$F$60,MATCH($B271,'Parametri Modello'!$A$57:$A$60,0)))*((1-INDEX('Parametri Modello'!$D$57:$D$60,MATCH($B271,'Parametri Modello'!$A$57:$A$60,0)))*(INDEX('Parametri Modello'!$B$50:$B$53,MATCH($B271,'Parametri Modello'!$A$50:$A$53,0))*'Parametri Modello'!$B$44))))*(1+IF(IF($B271="D",'Info Lega'!$B$25,IF($B271="C",'Info Lega'!$B$26,"No"))="Si",'Parametri Modello'!$B$5,0))*(1+MAX(-0.25,MIN(0.25,IF(OR($T271="",$I271="",$I271=0,INDEX('Parametri Modello'!$B$19:$B$22,MATCH($B271,'Parametri Modello'!$A$19:$A$22,0))="",INDEX('Parametri Modello'!$B$19:$B$22,MATCH($B271,'Parametri Modello'!$A$19:$A$22,0))=0),0,(($T271-INDEX('Parametri Modello'!$B$19:$B$22,MATCH($B271,'Parametri Modello'!$A$19:$A$22,0)))/INDEX('Parametri Modello'!$B$19:$B$22,MATCH($B271,'Parametri Modello'!$A$19:$A$22,0)))*'Parametri Modello'!$B$9))))*(1+IF('Parametri Modello'!$B$27="Si",MAX(-'Parametri Modello'!$B$28,MIN('Parametri Modello'!$B$28*1.5,IF(OR(INDEX('Parametri Modello'!$F$32:$F$35,MATCH($B271,'Parametri Modello'!$A$32:$A$35,0))="",INDEX('Parametri Modello'!$F$32:$F$35,MATCH($B271,'Parametri Modello'!$A$32:$A$35,0))=0),0,(1/INDEX('Parametri Modello'!$F$32:$F$35,MATCH($B271,'Parametri Modello'!$A$32:$A$35,0))-1)*'Parametri Modello'!$B$28))),0)))*(1-INDEX('Parametri Modello'!$B$12:$B$15,MATCH($B271,'Parametri Modello'!$A$12:$A$15,0)))),0),"")</f>
        <v>2</v>
      </c>
      <c r="H271" s="24">
        <f>IFERROR(ROUND((IF($V271&lt;=INDEX('Parametri Modello'!$C$57:$C$60,MATCH($B271,'Parametri Modello'!$A$57:$A$60,0)),IF(INDEX('Parametri Modello'!$E$57:$E$60,MATCH($B271,'Parametri Modello'!$A$57:$A$60,0))=0,0,($O271/INDEX('Parametri Modello'!$E$57:$E$60,MATCH($B271,'Parametri Modello'!$A$57:$A$60,0)))*(INDEX('Parametri Modello'!$D$57:$D$60,MATCH($B271,'Parametri Modello'!$A$57:$A$60,0))*(INDEX('Parametri Modello'!$B$50:$B$53,MATCH($B271,'Parametri Modello'!$A$50:$A$53,0))*'Parametri Modello'!$B$44))),IF(INDEX('Parametri Modello'!$F$57:$F$60,MATCH($B271,'Parametri Modello'!$A$57:$A$60,0))=0,0,($O271/INDEX('Parametri Modello'!$F$57:$F$60,MATCH($B271,'Parametri Modello'!$A$57:$A$60,0)))*((1-INDEX('Parametri Modello'!$D$57:$D$60,MATCH($B271,'Parametri Modello'!$A$57:$A$60,0)))*(INDEX('Parametri Modello'!$B$50:$B$53,MATCH($B271,'Parametri Modello'!$A$50:$A$53,0))*'Parametri Modello'!$B$44))))*(1+IF(IF($B271="D",'Info Lega'!$B$25,IF($B271="C",'Info Lega'!$B$26,"No"))="Si",'Parametri Modello'!$B$5,0))*(1+MAX(-0.25,MIN(0.25,IF(OR($T271="",$I271="",$I271=0,INDEX('Parametri Modello'!$B$19:$B$22,MATCH($B271,'Parametri Modello'!$A$19:$A$22,0))="",INDEX('Parametri Modello'!$B$19:$B$22,MATCH($B271,'Parametri Modello'!$A$19:$A$22,0))=0),0,(($T271-INDEX('Parametri Modello'!$B$19:$B$22,MATCH($B271,'Parametri Modello'!$A$19:$A$22,0)))/INDEX('Parametri Modello'!$B$19:$B$22,MATCH($B271,'Parametri Modello'!$A$19:$A$22,0)))*'Parametri Modello'!$B$9))))*(1+IF('Parametri Modello'!$B$27="Si",MAX(-'Parametri Modello'!$B$28,MIN('Parametri Modello'!$B$28*1.5,IF(OR(INDEX('Parametri Modello'!$F$32:$F$35,MATCH($B271,'Parametri Modello'!$A$32:$A$35,0))="",INDEX('Parametri Modello'!$F$32:$F$35,MATCH($B271,'Parametri Modello'!$A$32:$A$35,0))=0),0,(1/INDEX('Parametri Modello'!$F$32:$F$35,MATCH($B271,'Parametri Modello'!$A$32:$A$35,0))-1)*'Parametri Modello'!$B$28))),0)))*(1+INDEX('Parametri Modello'!$B$12:$B$15,MATCH($B271,'Parametri Modello'!$A$12:$A$15,0))),0),"")</f>
        <v>2</v>
      </c>
      <c r="I271" s="23">
        <f>IFERROR(INDEX('Input Statistiche 2025_26'!$F$3:$F$665,MATCH($A271,'Input Statistiche 2025_26'!$A$3:$A$665,0)),"")</f>
        <v>23</v>
      </c>
      <c r="J271" s="23">
        <f t="shared" si="36"/>
        <v>15</v>
      </c>
      <c r="K271" s="23">
        <f>IFERROR(INDEX('Input Statistiche 2025_26'!$I$3:$I$665,MATCH($A271,'Input Statistiche 2025_26'!$A$3:$A$665,0)),"")</f>
        <v>0</v>
      </c>
      <c r="L271" s="23">
        <f>IFERROR(INDEX('Input Statistiche 2025_26'!$O$3:$O$665,MATCH($A271,'Input Statistiche 2025_26'!$A$3:$A$665,0)),"")</f>
        <v>1</v>
      </c>
      <c r="M271" s="25"/>
      <c r="N271" s="24">
        <f>IFERROR(INDEX('Input Giocatori 2026_27'!$E$3:$E$493,MATCH($A271,'Input Giocatori 2026_27'!$A$3:$A$493,0)),"")</f>
        <v>3</v>
      </c>
      <c r="O271" s="24">
        <f>IFERROR(INDEX('Input Giocatori 2026_27'!$G$3:$G$493,MATCH($A271,'Input Giocatori 2026_27'!$A$3:$A$493,0)),"")</f>
        <v>12</v>
      </c>
      <c r="P271" s="23" t="str">
        <f>IFERROR(IF($O271="","",IF((1-(COUNTIFS($B$2:$B$492,$B271,$O$2:$O$492,"&gt;"&amp;$O271)+1-1)/COUNTIF($B$2:$B$492,$B271))&gt;='Parametri Modello'!$B$63,"Top",IF((1-(COUNTIFS($B$2:$B$492,$B271,$O$2:$O$492,"&gt;"&amp;$O271)+1-1)/COUNTIF($B$2:$B$492,$B271))&gt;='Parametri Modello'!$B$64,"Buono",IF((1-(COUNTIFS($B$2:$B$492,$B271,$O$2:$O$492,"&gt;"&amp;$O271)+1-1)/COUNTIF($B$2:$B$492,$B271))&gt;='Parametri Modello'!$B$65,"Nella Media","Scommessa/Riserva")))),"")</f>
        <v>Nella Media</v>
      </c>
      <c r="Q271" s="26">
        <f>IF(AND($D271="",$N271&gt;1),SUMPRODUCT(($D$2:$D271="")*($N$2:$N271&gt;1)),"")</f>
        <v>270</v>
      </c>
      <c r="R271" s="26" t="str">
        <f>IF($D271='Info Lega'!$B$28,COUNTIFS($D$2:$D271,'Info Lega'!$B$28),"")</f>
        <v/>
      </c>
      <c r="S271" s="27">
        <f>IFERROR(INDEX('Input Statistiche 2025_26'!$G$3:$G$665,MATCH($A271,'Input Statistiche 2025_26'!$A$3:$A$665,0)),"")</f>
        <v>5.72</v>
      </c>
      <c r="T271" s="27">
        <f>IFERROR(INDEX('Input Statistiche 2025_26'!$H$3:$H$665,MATCH($A271,'Input Statistiche 2025_26'!$A$3:$A$665,0)),"")</f>
        <v>5.72</v>
      </c>
      <c r="U271" s="23" t="str">
        <f>IF(OR('La Mia Rosa'!$O$12="",$D271&lt;&gt;""),"",IF($F271&lt;='La Mia Rosa'!$O$12*'Parametri Modello'!$B$24,"OK",IF($F271&lt;='La Mia Rosa'!$O$12*'Parametri Modello'!$B$25,"Attenzione","Rischio Alto")))</f>
        <v>OK</v>
      </c>
      <c r="V271" s="23">
        <f t="shared" si="37"/>
        <v>78</v>
      </c>
      <c r="W271" s="18">
        <f>'Info Lega'!$B$4-SUMIFS($M$2:$M$492,$D$2:$D$492,'Info Lega'!$B$28)</f>
        <v>1000</v>
      </c>
      <c r="X271" s="18">
        <f>('Info Lega'!$B$5-COUNTIFS($D$2:$D$492,'Info Lega'!$B$28,$B$2:$B$492,"P"))+('Info Lega'!$B$6-COUNTIFS($D$2:$D$492,'Info Lega'!$B$28,$B$2:$B$492,"D"))+('Info Lega'!$B$7-COUNTIFS($D$2:$D$492,'Info Lega'!$B$28,$B$2:$B$492,"C"))+('Info Lega'!$B$8-COUNTIFS($D$2:$D$492,'Info Lega'!$B$28,$B$2:$B$492,"A"))</f>
        <v>25</v>
      </c>
      <c r="Y271" s="18">
        <f>X271*'Parametri Modello'!$B$30</f>
        <v>25</v>
      </c>
      <c r="Z271" s="18">
        <f t="shared" si="38"/>
        <v>975</v>
      </c>
      <c r="AA271" s="18">
        <f t="shared" si="39"/>
        <v>2</v>
      </c>
      <c r="AB271" s="18"/>
      <c r="AC271" s="18" t="str">
        <f>IF($AB271="","",IF($AB271&gt;$AA271,"PASS",IF($AB271&lt;=$AA271*(1-'Parametri Modello'!$B$68),"BID","ATTENZIONE")))</f>
        <v/>
      </c>
      <c r="AD271" s="28">
        <f t="shared" si="40"/>
        <v>54</v>
      </c>
      <c r="AE271" s="5" t="str">
        <f>IFERROR(INDEX('Stato Asta'!$G$9:$G$12,MATCH($B271,'Stato Asta'!$A$9:$A$12,0)),"")</f>
        <v>🔴 Non aspettare</v>
      </c>
      <c r="AF271" t="str">
        <f>IFERROR(IF($V271&lt;=INDEX('Parametri Modello'!$C$57:$C$60,MATCH($B271,'Parametri Modello'!$A$57:$A$60,0)),"Titolare","Riserva"),"")</f>
        <v>Riserva</v>
      </c>
      <c r="AG271" t="str">
        <f>IFERROR(INDEX('Pressione Competitiva'!$F$3:$F$6,MATCH($B271,'Pressione Competitiva'!$B$3:$B$6,0)),"")</f>
        <v>🔴 Molto Alta</v>
      </c>
      <c r="AH271" t="str">
        <f t="shared" si="41"/>
        <v/>
      </c>
      <c r="AI271" t="str">
        <f>IFERROR(IF($AH271="","",IF($AH271&gt;=$AA271*'Parametri Modello'!$B$68,"🟢 Opportunita'",IF($AH271&lt;=$AA271*'Parametri Modello'!$B$69,"🔴 Sovrapprezzo","🟡 Prezzo Corretto"))),"")</f>
        <v/>
      </c>
      <c r="AJ271" t="str">
        <f t="shared" si="42"/>
        <v/>
      </c>
      <c r="AK271">
        <f t="shared" si="43"/>
        <v>23</v>
      </c>
      <c r="AL271" t="str">
        <f t="shared" si="44"/>
        <v>D|Nella Media|23</v>
      </c>
    </row>
    <row r="272" spans="1:38" ht="14.25" customHeight="1" x14ac:dyDescent="0.25">
      <c r="A272" s="18">
        <v>5739</v>
      </c>
      <c r="B272" s="18" t="s">
        <v>16</v>
      </c>
      <c r="C272" s="18" t="s">
        <v>411</v>
      </c>
      <c r="E272" s="23" t="str">
        <f>IF(COUNTIF('Info Strategia'!$D$2:$D$51,$C272)&gt;0,"SI","NO")</f>
        <v>NO</v>
      </c>
      <c r="F272" s="24">
        <f>IFERROR(ROUND(($G272+($H272-$G272)*'Info Strategia'!$B$6)*(1+IF($E272="SI",'Parametri Modello'!$B$7*'Info Strategia'!$B$6,0)),0),"")</f>
        <v>2</v>
      </c>
      <c r="G272" s="24">
        <f>IFERROR(ROUND(MAX(1,(IF($V272&lt;=INDEX('Parametri Modello'!$C$57:$C$60,MATCH($B272,'Parametri Modello'!$A$57:$A$60,0)),IF(INDEX('Parametri Modello'!$E$57:$E$60,MATCH($B272,'Parametri Modello'!$A$57:$A$60,0))=0,0,($O272/INDEX('Parametri Modello'!$E$57:$E$60,MATCH($B272,'Parametri Modello'!$A$57:$A$60,0)))*(INDEX('Parametri Modello'!$D$57:$D$60,MATCH($B272,'Parametri Modello'!$A$57:$A$60,0))*(INDEX('Parametri Modello'!$B$50:$B$53,MATCH($B272,'Parametri Modello'!$A$50:$A$53,0))*'Parametri Modello'!$B$44))),IF(INDEX('Parametri Modello'!$F$57:$F$60,MATCH($B272,'Parametri Modello'!$A$57:$A$60,0))=0,0,($O272/INDEX('Parametri Modello'!$F$57:$F$60,MATCH($B272,'Parametri Modello'!$A$57:$A$60,0)))*((1-INDEX('Parametri Modello'!$D$57:$D$60,MATCH($B272,'Parametri Modello'!$A$57:$A$60,0)))*(INDEX('Parametri Modello'!$B$50:$B$53,MATCH($B272,'Parametri Modello'!$A$50:$A$53,0))*'Parametri Modello'!$B$44))))*(1+IF(IF($B272="D",'Info Lega'!$B$25,IF($B272="C",'Info Lega'!$B$26,"No"))="Si",'Parametri Modello'!$B$5,0))*(1+MAX(-0.25,MIN(0.25,IF(OR($T272="",$I272="",$I272=0,INDEX('Parametri Modello'!$B$19:$B$22,MATCH($B272,'Parametri Modello'!$A$19:$A$22,0))="",INDEX('Parametri Modello'!$B$19:$B$22,MATCH($B272,'Parametri Modello'!$A$19:$A$22,0))=0),0,(($T272-INDEX('Parametri Modello'!$B$19:$B$22,MATCH($B272,'Parametri Modello'!$A$19:$A$22,0)))/INDEX('Parametri Modello'!$B$19:$B$22,MATCH($B272,'Parametri Modello'!$A$19:$A$22,0)))*'Parametri Modello'!$B$9))))*(1+IF('Parametri Modello'!$B$27="Si",MAX(-'Parametri Modello'!$B$28,MIN('Parametri Modello'!$B$28*1.5,IF(OR(INDEX('Parametri Modello'!$F$32:$F$35,MATCH($B272,'Parametri Modello'!$A$32:$A$35,0))="",INDEX('Parametri Modello'!$F$32:$F$35,MATCH($B272,'Parametri Modello'!$A$32:$A$35,0))=0),0,(1/INDEX('Parametri Modello'!$F$32:$F$35,MATCH($B272,'Parametri Modello'!$A$32:$A$35,0))-1)*'Parametri Modello'!$B$28))),0)))*(1-INDEX('Parametri Modello'!$B$12:$B$15,MATCH($B272,'Parametri Modello'!$A$12:$A$15,0)))),0),"")</f>
        <v>2</v>
      </c>
      <c r="H272" s="24">
        <f>IFERROR(ROUND((IF($V272&lt;=INDEX('Parametri Modello'!$C$57:$C$60,MATCH($B272,'Parametri Modello'!$A$57:$A$60,0)),IF(INDEX('Parametri Modello'!$E$57:$E$60,MATCH($B272,'Parametri Modello'!$A$57:$A$60,0))=0,0,($O272/INDEX('Parametri Modello'!$E$57:$E$60,MATCH($B272,'Parametri Modello'!$A$57:$A$60,0)))*(INDEX('Parametri Modello'!$D$57:$D$60,MATCH($B272,'Parametri Modello'!$A$57:$A$60,0))*(INDEX('Parametri Modello'!$B$50:$B$53,MATCH($B272,'Parametri Modello'!$A$50:$A$53,0))*'Parametri Modello'!$B$44))),IF(INDEX('Parametri Modello'!$F$57:$F$60,MATCH($B272,'Parametri Modello'!$A$57:$A$60,0))=0,0,($O272/INDEX('Parametri Modello'!$F$57:$F$60,MATCH($B272,'Parametri Modello'!$A$57:$A$60,0)))*((1-INDEX('Parametri Modello'!$D$57:$D$60,MATCH($B272,'Parametri Modello'!$A$57:$A$60,0)))*(INDEX('Parametri Modello'!$B$50:$B$53,MATCH($B272,'Parametri Modello'!$A$50:$A$53,0))*'Parametri Modello'!$B$44))))*(1+IF(IF($B272="D",'Info Lega'!$B$25,IF($B272="C",'Info Lega'!$B$26,"No"))="Si",'Parametri Modello'!$B$5,0))*(1+MAX(-0.25,MIN(0.25,IF(OR($T272="",$I272="",$I272=0,INDEX('Parametri Modello'!$B$19:$B$22,MATCH($B272,'Parametri Modello'!$A$19:$A$22,0))="",INDEX('Parametri Modello'!$B$19:$B$22,MATCH($B272,'Parametri Modello'!$A$19:$A$22,0))=0),0,(($T272-INDEX('Parametri Modello'!$B$19:$B$22,MATCH($B272,'Parametri Modello'!$A$19:$A$22,0)))/INDEX('Parametri Modello'!$B$19:$B$22,MATCH($B272,'Parametri Modello'!$A$19:$A$22,0)))*'Parametri Modello'!$B$9))))*(1+IF('Parametri Modello'!$B$27="Si",MAX(-'Parametri Modello'!$B$28,MIN('Parametri Modello'!$B$28*1.5,IF(OR(INDEX('Parametri Modello'!$F$32:$F$35,MATCH($B272,'Parametri Modello'!$A$32:$A$35,0))="",INDEX('Parametri Modello'!$F$32:$F$35,MATCH($B272,'Parametri Modello'!$A$32:$A$35,0))=0),0,(1/INDEX('Parametri Modello'!$F$32:$F$35,MATCH($B272,'Parametri Modello'!$A$32:$A$35,0))-1)*'Parametri Modello'!$B$28))),0)))*(1+INDEX('Parametri Modello'!$B$12:$B$15,MATCH($B272,'Parametri Modello'!$A$12:$A$15,0))),0),"")</f>
        <v>2</v>
      </c>
      <c r="I272" s="23">
        <f>IFERROR(INDEX('Input Statistiche 2025_26'!$F$3:$F$665,MATCH($A272,'Input Statistiche 2025_26'!$A$3:$A$665,0)),"")</f>
        <v>24</v>
      </c>
      <c r="J272" s="23">
        <f t="shared" si="36"/>
        <v>14</v>
      </c>
      <c r="K272" s="23">
        <f>IFERROR(INDEX('Input Statistiche 2025_26'!$I$3:$I$665,MATCH($A272,'Input Statistiche 2025_26'!$A$3:$A$665,0)),"")</f>
        <v>1</v>
      </c>
      <c r="L272" s="23">
        <f>IFERROR(INDEX('Input Statistiche 2025_26'!$O$3:$O$665,MATCH($A272,'Input Statistiche 2025_26'!$A$3:$A$665,0)),"")</f>
        <v>1</v>
      </c>
      <c r="M272" s="25"/>
      <c r="N272" s="24">
        <f>IFERROR(INDEX('Input Giocatori 2026_27'!$E$3:$E$493,MATCH($A272,'Input Giocatori 2026_27'!$A$3:$A$493,0)),"")</f>
        <v>3</v>
      </c>
      <c r="O272" s="24">
        <f>IFERROR(INDEX('Input Giocatori 2026_27'!$G$3:$G$493,MATCH($A272,'Input Giocatori 2026_27'!$A$3:$A$493,0)),"")</f>
        <v>12</v>
      </c>
      <c r="P272" s="23" t="str">
        <f>IFERROR(IF($O272="","",IF((1-(COUNTIFS($B$2:$B$492,$B272,$O$2:$O$492,"&gt;"&amp;$O272)+1-1)/COUNTIF($B$2:$B$492,$B272))&gt;='Parametri Modello'!$B$63,"Top",IF((1-(COUNTIFS($B$2:$B$492,$B272,$O$2:$O$492,"&gt;"&amp;$O272)+1-1)/COUNTIF($B$2:$B$492,$B272))&gt;='Parametri Modello'!$B$64,"Buono",IF((1-(COUNTIFS($B$2:$B$492,$B272,$O$2:$O$492,"&gt;"&amp;$O272)+1-1)/COUNTIF($B$2:$B$492,$B272))&gt;='Parametri Modello'!$B$65,"Nella Media","Scommessa/Riserva")))),"")</f>
        <v>Nella Media</v>
      </c>
      <c r="Q272" s="26">
        <f>IF(AND($D272="",$N272&gt;1),SUMPRODUCT(($D$2:$D272="")*($N$2:$N272&gt;1)),"")</f>
        <v>271</v>
      </c>
      <c r="R272" s="26" t="str">
        <f>IF($D272='Info Lega'!$B$28,COUNTIFS($D$2:$D272,'Info Lega'!$B$28),"")</f>
        <v/>
      </c>
      <c r="S272" s="27">
        <f>IFERROR(INDEX('Input Statistiche 2025_26'!$G$3:$G$665,MATCH($A272,'Input Statistiche 2025_26'!$A$3:$A$665,0)),"")</f>
        <v>5.75</v>
      </c>
      <c r="T272" s="27">
        <f>IFERROR(INDEX('Input Statistiche 2025_26'!$H$3:$H$665,MATCH($A272,'Input Statistiche 2025_26'!$A$3:$A$665,0)),"")</f>
        <v>5.9</v>
      </c>
      <c r="U272" s="23" t="str">
        <f>IF(OR('La Mia Rosa'!$O$12="",$D272&lt;&gt;""),"",IF($F272&lt;='La Mia Rosa'!$O$12*'Parametri Modello'!$B$24,"OK",IF($F272&lt;='La Mia Rosa'!$O$12*'Parametri Modello'!$B$25,"Attenzione","Rischio Alto")))</f>
        <v>OK</v>
      </c>
      <c r="V272" s="23">
        <f t="shared" si="37"/>
        <v>78</v>
      </c>
      <c r="W272" s="18">
        <f>'Info Lega'!$B$4-SUMIFS($M$2:$M$492,$D$2:$D$492,'Info Lega'!$B$28)</f>
        <v>1000</v>
      </c>
      <c r="X272" s="18">
        <f>('Info Lega'!$B$5-COUNTIFS($D$2:$D$492,'Info Lega'!$B$28,$B$2:$B$492,"P"))+('Info Lega'!$B$6-COUNTIFS($D$2:$D$492,'Info Lega'!$B$28,$B$2:$B$492,"D"))+('Info Lega'!$B$7-COUNTIFS($D$2:$D$492,'Info Lega'!$B$28,$B$2:$B$492,"C"))+('Info Lega'!$B$8-COUNTIFS($D$2:$D$492,'Info Lega'!$B$28,$B$2:$B$492,"A"))</f>
        <v>25</v>
      </c>
      <c r="Y272" s="18">
        <f>X272*'Parametri Modello'!$B$30</f>
        <v>25</v>
      </c>
      <c r="Z272" s="18">
        <f t="shared" si="38"/>
        <v>975</v>
      </c>
      <c r="AA272" s="18">
        <f t="shared" si="39"/>
        <v>2</v>
      </c>
      <c r="AB272" s="18"/>
      <c r="AC272" s="18" t="str">
        <f>IF($AB272="","",IF($AB272&gt;$AA272,"PASS",IF($AB272&lt;=$AA272*(1-'Parametri Modello'!$B$68),"BID","ATTENZIONE")))</f>
        <v/>
      </c>
      <c r="AD272" s="28">
        <f t="shared" si="40"/>
        <v>55</v>
      </c>
      <c r="AE272" s="5" t="str">
        <f>IFERROR(INDEX('Stato Asta'!$G$9:$G$12,MATCH($B272,'Stato Asta'!$A$9:$A$12,0)),"")</f>
        <v>🔴 Non aspettare</v>
      </c>
      <c r="AF272" t="str">
        <f>IFERROR(IF($V272&lt;=INDEX('Parametri Modello'!$C$57:$C$60,MATCH($B272,'Parametri Modello'!$A$57:$A$60,0)),"Titolare","Riserva"),"")</f>
        <v>Riserva</v>
      </c>
      <c r="AG272" t="str">
        <f>IFERROR(INDEX('Pressione Competitiva'!$F$3:$F$6,MATCH($B272,'Pressione Competitiva'!$B$3:$B$6,0)),"")</f>
        <v>🔴 Molto Alta</v>
      </c>
      <c r="AH272" t="str">
        <f t="shared" si="41"/>
        <v/>
      </c>
      <c r="AI272" t="str">
        <f>IFERROR(IF($AH272="","",IF($AH272&gt;=$AA272*'Parametri Modello'!$B$68,"🟢 Opportunita'",IF($AH272&lt;=$AA272*'Parametri Modello'!$B$69,"🔴 Sovrapprezzo","🟡 Prezzo Corretto"))),"")</f>
        <v/>
      </c>
      <c r="AJ272" t="str">
        <f t="shared" si="42"/>
        <v/>
      </c>
      <c r="AK272">
        <f t="shared" si="43"/>
        <v>23</v>
      </c>
      <c r="AL272" t="str">
        <f t="shared" si="44"/>
        <v>D|Nella Media|23</v>
      </c>
    </row>
    <row r="273" spans="1:38" ht="14.25" customHeight="1" x14ac:dyDescent="0.25">
      <c r="A273" s="18">
        <v>6985</v>
      </c>
      <c r="B273" s="18" t="s">
        <v>16</v>
      </c>
      <c r="C273" s="18" t="s">
        <v>412</v>
      </c>
      <c r="E273" s="23" t="str">
        <f>IF(COUNTIF('Info Strategia'!$D$2:$D$51,$C273)&gt;0,"SI","NO")</f>
        <v>NO</v>
      </c>
      <c r="F273" s="24">
        <f>IFERROR(ROUND(($G273+($H273-$G273)*'Info Strategia'!$B$6)*(1+IF($E273="SI",'Parametri Modello'!$B$7*'Info Strategia'!$B$6,0)),0),"")</f>
        <v>2</v>
      </c>
      <c r="G273" s="24">
        <f>IFERROR(ROUND(MAX(1,(IF($V273&lt;=INDEX('Parametri Modello'!$C$57:$C$60,MATCH($B273,'Parametri Modello'!$A$57:$A$60,0)),IF(INDEX('Parametri Modello'!$E$57:$E$60,MATCH($B273,'Parametri Modello'!$A$57:$A$60,0))=0,0,($O273/INDEX('Parametri Modello'!$E$57:$E$60,MATCH($B273,'Parametri Modello'!$A$57:$A$60,0)))*(INDEX('Parametri Modello'!$D$57:$D$60,MATCH($B273,'Parametri Modello'!$A$57:$A$60,0))*(INDEX('Parametri Modello'!$B$50:$B$53,MATCH($B273,'Parametri Modello'!$A$50:$A$53,0))*'Parametri Modello'!$B$44))),IF(INDEX('Parametri Modello'!$F$57:$F$60,MATCH($B273,'Parametri Modello'!$A$57:$A$60,0))=0,0,($O273/INDEX('Parametri Modello'!$F$57:$F$60,MATCH($B273,'Parametri Modello'!$A$57:$A$60,0)))*((1-INDEX('Parametri Modello'!$D$57:$D$60,MATCH($B273,'Parametri Modello'!$A$57:$A$60,0)))*(INDEX('Parametri Modello'!$B$50:$B$53,MATCH($B273,'Parametri Modello'!$A$50:$A$53,0))*'Parametri Modello'!$B$44))))*(1+IF(IF($B273="D",'Info Lega'!$B$25,IF($B273="C",'Info Lega'!$B$26,"No"))="Si",'Parametri Modello'!$B$5,0))*(1+MAX(-0.25,MIN(0.25,IF(OR($T273="",$I273="",$I273=0,INDEX('Parametri Modello'!$B$19:$B$22,MATCH($B273,'Parametri Modello'!$A$19:$A$22,0))="",INDEX('Parametri Modello'!$B$19:$B$22,MATCH($B273,'Parametri Modello'!$A$19:$A$22,0))=0),0,(($T273-INDEX('Parametri Modello'!$B$19:$B$22,MATCH($B273,'Parametri Modello'!$A$19:$A$22,0)))/INDEX('Parametri Modello'!$B$19:$B$22,MATCH($B273,'Parametri Modello'!$A$19:$A$22,0)))*'Parametri Modello'!$B$9))))*(1+IF('Parametri Modello'!$B$27="Si",MAX(-'Parametri Modello'!$B$28,MIN('Parametri Modello'!$B$28*1.5,IF(OR(INDEX('Parametri Modello'!$F$32:$F$35,MATCH($B273,'Parametri Modello'!$A$32:$A$35,0))="",INDEX('Parametri Modello'!$F$32:$F$35,MATCH($B273,'Parametri Modello'!$A$32:$A$35,0))=0),0,(1/INDEX('Parametri Modello'!$F$32:$F$35,MATCH($B273,'Parametri Modello'!$A$32:$A$35,0))-1)*'Parametri Modello'!$B$28))),0)))*(1-INDEX('Parametri Modello'!$B$12:$B$15,MATCH($B273,'Parametri Modello'!$A$12:$A$15,0)))),0),"")</f>
        <v>2</v>
      </c>
      <c r="H273" s="24">
        <f>IFERROR(ROUND((IF($V273&lt;=INDEX('Parametri Modello'!$C$57:$C$60,MATCH($B273,'Parametri Modello'!$A$57:$A$60,0)),IF(INDEX('Parametri Modello'!$E$57:$E$60,MATCH($B273,'Parametri Modello'!$A$57:$A$60,0))=0,0,($O273/INDEX('Parametri Modello'!$E$57:$E$60,MATCH($B273,'Parametri Modello'!$A$57:$A$60,0)))*(INDEX('Parametri Modello'!$D$57:$D$60,MATCH($B273,'Parametri Modello'!$A$57:$A$60,0))*(INDEX('Parametri Modello'!$B$50:$B$53,MATCH($B273,'Parametri Modello'!$A$50:$A$53,0))*'Parametri Modello'!$B$44))),IF(INDEX('Parametri Modello'!$F$57:$F$60,MATCH($B273,'Parametri Modello'!$A$57:$A$60,0))=0,0,($O273/INDEX('Parametri Modello'!$F$57:$F$60,MATCH($B273,'Parametri Modello'!$A$57:$A$60,0)))*((1-INDEX('Parametri Modello'!$D$57:$D$60,MATCH($B273,'Parametri Modello'!$A$57:$A$60,0)))*(INDEX('Parametri Modello'!$B$50:$B$53,MATCH($B273,'Parametri Modello'!$A$50:$A$53,0))*'Parametri Modello'!$B$44))))*(1+IF(IF($B273="D",'Info Lega'!$B$25,IF($B273="C",'Info Lega'!$B$26,"No"))="Si",'Parametri Modello'!$B$5,0))*(1+MAX(-0.25,MIN(0.25,IF(OR($T273="",$I273="",$I273=0,INDEX('Parametri Modello'!$B$19:$B$22,MATCH($B273,'Parametri Modello'!$A$19:$A$22,0))="",INDEX('Parametri Modello'!$B$19:$B$22,MATCH($B273,'Parametri Modello'!$A$19:$A$22,0))=0),0,(($T273-INDEX('Parametri Modello'!$B$19:$B$22,MATCH($B273,'Parametri Modello'!$A$19:$A$22,0)))/INDEX('Parametri Modello'!$B$19:$B$22,MATCH($B273,'Parametri Modello'!$A$19:$A$22,0)))*'Parametri Modello'!$B$9))))*(1+IF('Parametri Modello'!$B$27="Si",MAX(-'Parametri Modello'!$B$28,MIN('Parametri Modello'!$B$28*1.5,IF(OR(INDEX('Parametri Modello'!$F$32:$F$35,MATCH($B273,'Parametri Modello'!$A$32:$A$35,0))="",INDEX('Parametri Modello'!$F$32:$F$35,MATCH($B273,'Parametri Modello'!$A$32:$A$35,0))=0),0,(1/INDEX('Parametri Modello'!$F$32:$F$35,MATCH($B273,'Parametri Modello'!$A$32:$A$35,0))-1)*'Parametri Modello'!$B$28))),0)))*(1+INDEX('Parametri Modello'!$B$12:$B$15,MATCH($B273,'Parametri Modello'!$A$12:$A$15,0))),0),"")</f>
        <v>2</v>
      </c>
      <c r="I273" s="23">
        <f>IFERROR(INDEX('Input Statistiche 2025_26'!$F$3:$F$665,MATCH($A273,'Input Statistiche 2025_26'!$A$3:$A$665,0)),"")</f>
        <v>8</v>
      </c>
      <c r="J273" s="23">
        <f t="shared" si="36"/>
        <v>30</v>
      </c>
      <c r="K273" s="23">
        <f>IFERROR(INDEX('Input Statistiche 2025_26'!$I$3:$I$665,MATCH($A273,'Input Statistiche 2025_26'!$A$3:$A$665,0)),"")</f>
        <v>0</v>
      </c>
      <c r="L273" s="23">
        <f>IFERROR(INDEX('Input Statistiche 2025_26'!$O$3:$O$665,MATCH($A273,'Input Statistiche 2025_26'!$A$3:$A$665,0)),"")</f>
        <v>0</v>
      </c>
      <c r="M273" s="25"/>
      <c r="N273" s="24">
        <f>IFERROR(INDEX('Input Giocatori 2026_27'!$E$3:$E$493,MATCH($A273,'Input Giocatori 2026_27'!$A$3:$A$493,0)),"")</f>
        <v>3</v>
      </c>
      <c r="O273" s="24">
        <f>IFERROR(INDEX('Input Giocatori 2026_27'!$G$3:$G$493,MATCH($A273,'Input Giocatori 2026_27'!$A$3:$A$493,0)),"")</f>
        <v>12</v>
      </c>
      <c r="P273" s="23" t="str">
        <f>IFERROR(IF($O273="","",IF((1-(COUNTIFS($B$2:$B$492,$B273,$O$2:$O$492,"&gt;"&amp;$O273)+1-1)/COUNTIF($B$2:$B$492,$B273))&gt;='Parametri Modello'!$B$63,"Top",IF((1-(COUNTIFS($B$2:$B$492,$B273,$O$2:$O$492,"&gt;"&amp;$O273)+1-1)/COUNTIF($B$2:$B$492,$B273))&gt;='Parametri Modello'!$B$64,"Buono",IF((1-(COUNTIFS($B$2:$B$492,$B273,$O$2:$O$492,"&gt;"&amp;$O273)+1-1)/COUNTIF($B$2:$B$492,$B273))&gt;='Parametri Modello'!$B$65,"Nella Media","Scommessa/Riserva")))),"")</f>
        <v>Nella Media</v>
      </c>
      <c r="Q273" s="26">
        <f>IF(AND($D273="",$N273&gt;1),SUMPRODUCT(($D$2:$D273="")*($N$2:$N273&gt;1)),"")</f>
        <v>272</v>
      </c>
      <c r="R273" s="26" t="str">
        <f>IF($D273='Info Lega'!$B$28,COUNTIFS($D$2:$D273,'Info Lega'!$B$28),"")</f>
        <v/>
      </c>
      <c r="S273" s="27">
        <f>IFERROR(INDEX('Input Statistiche 2025_26'!$G$3:$G$665,MATCH($A273,'Input Statistiche 2025_26'!$A$3:$A$665,0)),"")</f>
        <v>5.69</v>
      </c>
      <c r="T273" s="27">
        <f>IFERROR(INDEX('Input Statistiche 2025_26'!$H$3:$H$665,MATCH($A273,'Input Statistiche 2025_26'!$A$3:$A$665,0)),"")</f>
        <v>5.56</v>
      </c>
      <c r="U273" s="23" t="str">
        <f>IF(OR('La Mia Rosa'!$O$12="",$D273&lt;&gt;""),"",IF($F273&lt;='La Mia Rosa'!$O$12*'Parametri Modello'!$B$24,"OK",IF($F273&lt;='La Mia Rosa'!$O$12*'Parametri Modello'!$B$25,"Attenzione","Rischio Alto")))</f>
        <v>OK</v>
      </c>
      <c r="V273" s="23">
        <f t="shared" si="37"/>
        <v>78</v>
      </c>
      <c r="W273" s="18">
        <f>'Info Lega'!$B$4-SUMIFS($M$2:$M$492,$D$2:$D$492,'Info Lega'!$B$28)</f>
        <v>1000</v>
      </c>
      <c r="X273" s="18">
        <f>('Info Lega'!$B$5-COUNTIFS($D$2:$D$492,'Info Lega'!$B$28,$B$2:$B$492,"P"))+('Info Lega'!$B$6-COUNTIFS($D$2:$D$492,'Info Lega'!$B$28,$B$2:$B$492,"D"))+('Info Lega'!$B$7-COUNTIFS($D$2:$D$492,'Info Lega'!$B$28,$B$2:$B$492,"C"))+('Info Lega'!$B$8-COUNTIFS($D$2:$D$492,'Info Lega'!$B$28,$B$2:$B$492,"A"))</f>
        <v>25</v>
      </c>
      <c r="Y273" s="18">
        <f>X273*'Parametri Modello'!$B$30</f>
        <v>25</v>
      </c>
      <c r="Z273" s="18">
        <f t="shared" si="38"/>
        <v>975</v>
      </c>
      <c r="AA273" s="18">
        <f t="shared" si="39"/>
        <v>2</v>
      </c>
      <c r="AB273" s="18"/>
      <c r="AC273" s="18" t="str">
        <f>IF($AB273="","",IF($AB273&gt;$AA273,"PASS",IF($AB273&lt;=$AA273*(1-'Parametri Modello'!$B$68),"BID","ATTENZIONE")))</f>
        <v/>
      </c>
      <c r="AD273" s="28">
        <f t="shared" si="40"/>
        <v>23</v>
      </c>
      <c r="AE273" s="5" t="str">
        <f>IFERROR(INDEX('Stato Asta'!$G$9:$G$12,MATCH($B273,'Stato Asta'!$A$9:$A$12,0)),"")</f>
        <v>🔴 Non aspettare</v>
      </c>
      <c r="AF273" t="str">
        <f>IFERROR(IF($V273&lt;=INDEX('Parametri Modello'!$C$57:$C$60,MATCH($B273,'Parametri Modello'!$A$57:$A$60,0)),"Titolare","Riserva"),"")</f>
        <v>Riserva</v>
      </c>
      <c r="AG273" t="str">
        <f>IFERROR(INDEX('Pressione Competitiva'!$F$3:$F$6,MATCH($B273,'Pressione Competitiva'!$B$3:$B$6,0)),"")</f>
        <v>🔴 Molto Alta</v>
      </c>
      <c r="AH273" t="str">
        <f t="shared" si="41"/>
        <v/>
      </c>
      <c r="AI273" t="str">
        <f>IFERROR(IF($AH273="","",IF($AH273&gt;=$AA273*'Parametri Modello'!$B$68,"🟢 Opportunita'",IF($AH273&lt;=$AA273*'Parametri Modello'!$B$69,"🔴 Sovrapprezzo","🟡 Prezzo Corretto"))),"")</f>
        <v/>
      </c>
      <c r="AJ273" t="str">
        <f t="shared" si="42"/>
        <v/>
      </c>
      <c r="AK273">
        <f t="shared" si="43"/>
        <v>23</v>
      </c>
      <c r="AL273" t="str">
        <f t="shared" si="44"/>
        <v>D|Nella Media|23</v>
      </c>
    </row>
    <row r="274" spans="1:38" ht="14.25" customHeight="1" x14ac:dyDescent="0.25">
      <c r="A274" s="18">
        <v>7528</v>
      </c>
      <c r="B274" s="18" t="s">
        <v>17</v>
      </c>
      <c r="C274" s="18" t="s">
        <v>413</v>
      </c>
      <c r="E274" s="23" t="str">
        <f>IF(COUNTIF('Info Strategia'!$D$2:$D$51,$C274)&gt;0,"SI","NO")</f>
        <v>NO</v>
      </c>
      <c r="F274" s="24">
        <f>IFERROR(ROUND(($G274+($H274-$G274)*'Info Strategia'!$B$6)*(1+IF($E274="SI",'Parametri Modello'!$B$7*'Info Strategia'!$B$6,0)),0),"")</f>
        <v>2</v>
      </c>
      <c r="G274" s="24">
        <f>IFERROR(ROUND(MAX(1,(IF($V274&lt;=INDEX('Parametri Modello'!$C$57:$C$60,MATCH($B274,'Parametri Modello'!$A$57:$A$60,0)),IF(INDEX('Parametri Modello'!$E$57:$E$60,MATCH($B274,'Parametri Modello'!$A$57:$A$60,0))=0,0,($O274/INDEX('Parametri Modello'!$E$57:$E$60,MATCH($B274,'Parametri Modello'!$A$57:$A$60,0)))*(INDEX('Parametri Modello'!$D$57:$D$60,MATCH($B274,'Parametri Modello'!$A$57:$A$60,0))*(INDEX('Parametri Modello'!$B$50:$B$53,MATCH($B274,'Parametri Modello'!$A$50:$A$53,0))*'Parametri Modello'!$B$44))),IF(INDEX('Parametri Modello'!$F$57:$F$60,MATCH($B274,'Parametri Modello'!$A$57:$A$60,0))=0,0,($O274/INDEX('Parametri Modello'!$F$57:$F$60,MATCH($B274,'Parametri Modello'!$A$57:$A$60,0)))*((1-INDEX('Parametri Modello'!$D$57:$D$60,MATCH($B274,'Parametri Modello'!$A$57:$A$60,0)))*(INDEX('Parametri Modello'!$B$50:$B$53,MATCH($B274,'Parametri Modello'!$A$50:$A$53,0))*'Parametri Modello'!$B$44))))*(1+IF(IF($B274="D",'Info Lega'!$B$25,IF($B274="C",'Info Lega'!$B$26,"No"))="Si",'Parametri Modello'!$B$5,0))*(1+MAX(-0.25,MIN(0.25,IF(OR($T274="",$I274="",$I274=0,INDEX('Parametri Modello'!$B$19:$B$22,MATCH($B274,'Parametri Modello'!$A$19:$A$22,0))="",INDEX('Parametri Modello'!$B$19:$B$22,MATCH($B274,'Parametri Modello'!$A$19:$A$22,0))=0),0,(($T274-INDEX('Parametri Modello'!$B$19:$B$22,MATCH($B274,'Parametri Modello'!$A$19:$A$22,0)))/INDEX('Parametri Modello'!$B$19:$B$22,MATCH($B274,'Parametri Modello'!$A$19:$A$22,0)))*'Parametri Modello'!$B$9))))*(1+IF('Parametri Modello'!$B$27="Si",MAX(-'Parametri Modello'!$B$28,MIN('Parametri Modello'!$B$28*1.5,IF(OR(INDEX('Parametri Modello'!$F$32:$F$35,MATCH($B274,'Parametri Modello'!$A$32:$A$35,0))="",INDEX('Parametri Modello'!$F$32:$F$35,MATCH($B274,'Parametri Modello'!$A$32:$A$35,0))=0),0,(1/INDEX('Parametri Modello'!$F$32:$F$35,MATCH($B274,'Parametri Modello'!$A$32:$A$35,0))-1)*'Parametri Modello'!$B$28))),0)))*(1-INDEX('Parametri Modello'!$B$12:$B$15,MATCH($B274,'Parametri Modello'!$A$12:$A$15,0)))),0),"")</f>
        <v>1</v>
      </c>
      <c r="H274" s="24">
        <f>IFERROR(ROUND((IF($V274&lt;=INDEX('Parametri Modello'!$C$57:$C$60,MATCH($B274,'Parametri Modello'!$A$57:$A$60,0)),IF(INDEX('Parametri Modello'!$E$57:$E$60,MATCH($B274,'Parametri Modello'!$A$57:$A$60,0))=0,0,($O274/INDEX('Parametri Modello'!$E$57:$E$60,MATCH($B274,'Parametri Modello'!$A$57:$A$60,0)))*(INDEX('Parametri Modello'!$D$57:$D$60,MATCH($B274,'Parametri Modello'!$A$57:$A$60,0))*(INDEX('Parametri Modello'!$B$50:$B$53,MATCH($B274,'Parametri Modello'!$A$50:$A$53,0))*'Parametri Modello'!$B$44))),IF(INDEX('Parametri Modello'!$F$57:$F$60,MATCH($B274,'Parametri Modello'!$A$57:$A$60,0))=0,0,($O274/INDEX('Parametri Modello'!$F$57:$F$60,MATCH($B274,'Parametri Modello'!$A$57:$A$60,0)))*((1-INDEX('Parametri Modello'!$D$57:$D$60,MATCH($B274,'Parametri Modello'!$A$57:$A$60,0)))*(INDEX('Parametri Modello'!$B$50:$B$53,MATCH($B274,'Parametri Modello'!$A$50:$A$53,0))*'Parametri Modello'!$B$44))))*(1+IF(IF($B274="D",'Info Lega'!$B$25,IF($B274="C",'Info Lega'!$B$26,"No"))="Si",'Parametri Modello'!$B$5,0))*(1+MAX(-0.25,MIN(0.25,IF(OR($T274="",$I274="",$I274=0,INDEX('Parametri Modello'!$B$19:$B$22,MATCH($B274,'Parametri Modello'!$A$19:$A$22,0))="",INDEX('Parametri Modello'!$B$19:$B$22,MATCH($B274,'Parametri Modello'!$A$19:$A$22,0))=0),0,(($T274-INDEX('Parametri Modello'!$B$19:$B$22,MATCH($B274,'Parametri Modello'!$A$19:$A$22,0)))/INDEX('Parametri Modello'!$B$19:$B$22,MATCH($B274,'Parametri Modello'!$A$19:$A$22,0)))*'Parametri Modello'!$B$9))))*(1+IF('Parametri Modello'!$B$27="Si",MAX(-'Parametri Modello'!$B$28,MIN('Parametri Modello'!$B$28*1.5,IF(OR(INDEX('Parametri Modello'!$F$32:$F$35,MATCH($B274,'Parametri Modello'!$A$32:$A$35,0))="",INDEX('Parametri Modello'!$F$32:$F$35,MATCH($B274,'Parametri Modello'!$A$32:$A$35,0))=0),0,(1/INDEX('Parametri Modello'!$F$32:$F$35,MATCH($B274,'Parametri Modello'!$A$32:$A$35,0))-1)*'Parametri Modello'!$B$28))),0)))*(1+INDEX('Parametri Modello'!$B$12:$B$15,MATCH($B274,'Parametri Modello'!$A$12:$A$15,0))),0),"")</f>
        <v>2</v>
      </c>
      <c r="I274" s="23" t="str">
        <f>IFERROR(INDEX('Input Statistiche 2025_26'!$F$3:$F$665,MATCH($A274,'Input Statistiche 2025_26'!$A$3:$A$665,0)),"")</f>
        <v/>
      </c>
      <c r="J274" s="23" t="str">
        <f t="shared" si="36"/>
        <v/>
      </c>
      <c r="K274" s="23" t="str">
        <f>IFERROR(INDEX('Input Statistiche 2025_26'!$I$3:$I$665,MATCH($A274,'Input Statistiche 2025_26'!$A$3:$A$665,0)),"")</f>
        <v/>
      </c>
      <c r="L274" s="23" t="str">
        <f>IFERROR(INDEX('Input Statistiche 2025_26'!$O$3:$O$665,MATCH($A274,'Input Statistiche 2025_26'!$A$3:$A$665,0)),"")</f>
        <v/>
      </c>
      <c r="M274" s="25"/>
      <c r="N274" s="24">
        <f>IFERROR(INDEX('Input Giocatori 2026_27'!$E$3:$E$493,MATCH($A274,'Input Giocatori 2026_27'!$A$3:$A$493,0)),"")</f>
        <v>5</v>
      </c>
      <c r="O274" s="24">
        <f>IFERROR(INDEX('Input Giocatori 2026_27'!$G$3:$G$493,MATCH($A274,'Input Giocatori 2026_27'!$A$3:$A$493,0)),"")</f>
        <v>12</v>
      </c>
      <c r="P274" s="23" t="str">
        <f>IFERROR(IF($O274="","",IF((1-(COUNTIFS($B$2:$B$492,$B274,$O$2:$O$492,"&gt;"&amp;$O274)+1-1)/COUNTIF($B$2:$B$492,$B274))&gt;='Parametri Modello'!$B$63,"Top",IF((1-(COUNTIFS($B$2:$B$492,$B274,$O$2:$O$492,"&gt;"&amp;$O274)+1-1)/COUNTIF($B$2:$B$492,$B274))&gt;='Parametri Modello'!$B$64,"Buono",IF((1-(COUNTIFS($B$2:$B$492,$B274,$O$2:$O$492,"&gt;"&amp;$O274)+1-1)/COUNTIF($B$2:$B$492,$B274))&gt;='Parametri Modello'!$B$65,"Nella Media","Scommessa/Riserva")))),"")</f>
        <v>Scommessa/Riserva</v>
      </c>
      <c r="Q274" s="26">
        <f>IF(AND($D274="",$N274&gt;1),SUMPRODUCT(($D$2:$D274="")*($N$2:$N274&gt;1)),"")</f>
        <v>273</v>
      </c>
      <c r="R274" s="26" t="str">
        <f>IF($D274='Info Lega'!$B$28,COUNTIFS($D$2:$D274,'Info Lega'!$B$28),"")</f>
        <v/>
      </c>
      <c r="S274" s="27" t="str">
        <f>IFERROR(INDEX('Input Statistiche 2025_26'!$G$3:$G$665,MATCH($A274,'Input Statistiche 2025_26'!$A$3:$A$665,0)),"")</f>
        <v/>
      </c>
      <c r="T274" s="27" t="str">
        <f>IFERROR(INDEX('Input Statistiche 2025_26'!$H$3:$H$665,MATCH($A274,'Input Statistiche 2025_26'!$A$3:$A$665,0)),"")</f>
        <v/>
      </c>
      <c r="U274" s="23" t="str">
        <f>IF(OR('La Mia Rosa'!$O$12="",$D274&lt;&gt;""),"",IF($F274&lt;='La Mia Rosa'!$O$12*'Parametri Modello'!$B$24,"OK",IF($F274&lt;='La Mia Rosa'!$O$12*'Parametri Modello'!$B$25,"Attenzione","Rischio Alto")))</f>
        <v>OK</v>
      </c>
      <c r="V274" s="23">
        <f t="shared" si="37"/>
        <v>105</v>
      </c>
      <c r="W274" s="18">
        <f>'Info Lega'!$B$4-SUMIFS($M$2:$M$492,$D$2:$D$492,'Info Lega'!$B$28)</f>
        <v>1000</v>
      </c>
      <c r="X274" s="18">
        <f>('Info Lega'!$B$5-COUNTIFS($D$2:$D$492,'Info Lega'!$B$28,$B$2:$B$492,"P"))+('Info Lega'!$B$6-COUNTIFS($D$2:$D$492,'Info Lega'!$B$28,$B$2:$B$492,"D"))+('Info Lega'!$B$7-COUNTIFS($D$2:$D$492,'Info Lega'!$B$28,$B$2:$B$492,"C"))+('Info Lega'!$B$8-COUNTIFS($D$2:$D$492,'Info Lega'!$B$28,$B$2:$B$492,"A"))</f>
        <v>25</v>
      </c>
      <c r="Y274" s="18">
        <f>X274*'Parametri Modello'!$B$30</f>
        <v>25</v>
      </c>
      <c r="Z274" s="18">
        <f t="shared" si="38"/>
        <v>975</v>
      </c>
      <c r="AA274" s="18">
        <f t="shared" si="39"/>
        <v>2</v>
      </c>
      <c r="AB274" s="18"/>
      <c r="AC274" s="18" t="str">
        <f>IF($AB274="","",IF($AB274&gt;$AA274,"PASS",IF($AB274&lt;=$AA274*(1-'Parametri Modello'!$B$68),"BID","ATTENZIONE")))</f>
        <v/>
      </c>
      <c r="AD274" s="28" t="str">
        <f t="shared" si="40"/>
        <v/>
      </c>
      <c r="AE274" s="5" t="str">
        <f>IFERROR(INDEX('Stato Asta'!$G$9:$G$12,MATCH($B274,'Stato Asta'!$A$9:$A$12,0)),"")</f>
        <v>🔴 Non aspettare</v>
      </c>
      <c r="AF274" t="str">
        <f>IFERROR(IF($V274&lt;=INDEX('Parametri Modello'!$C$57:$C$60,MATCH($B274,'Parametri Modello'!$A$57:$A$60,0)),"Titolare","Riserva"),"")</f>
        <v>Riserva</v>
      </c>
      <c r="AG274" t="str">
        <f>IFERROR(INDEX('Pressione Competitiva'!$F$3:$F$6,MATCH($B274,'Pressione Competitiva'!$B$3:$B$6,0)),"")</f>
        <v>🔴 Molto Alta</v>
      </c>
      <c r="AH274" t="str">
        <f t="shared" si="41"/>
        <v/>
      </c>
      <c r="AI274" t="str">
        <f>IFERROR(IF($AH274="","",IF($AH274&gt;=$AA274*'Parametri Modello'!$B$68,"🟢 Opportunita'",IF($AH274&lt;=$AA274*'Parametri Modello'!$B$69,"🔴 Sovrapprezzo","🟡 Prezzo Corretto"))),"")</f>
        <v/>
      </c>
      <c r="AJ274" t="str">
        <f t="shared" si="42"/>
        <v/>
      </c>
      <c r="AK274">
        <f t="shared" si="43"/>
        <v>1</v>
      </c>
      <c r="AL274" t="str">
        <f t="shared" si="44"/>
        <v>C|Scommessa/Riserva|1</v>
      </c>
    </row>
    <row r="275" spans="1:38" ht="14.25" customHeight="1" x14ac:dyDescent="0.25">
      <c r="A275" s="18">
        <v>7311</v>
      </c>
      <c r="B275" s="18" t="s">
        <v>17</v>
      </c>
      <c r="C275" s="18" t="s">
        <v>414</v>
      </c>
      <c r="E275" s="23" t="str">
        <f>IF(COUNTIF('Info Strategia'!$D$2:$D$51,$C275)&gt;0,"SI","NO")</f>
        <v>NO</v>
      </c>
      <c r="F275" s="24">
        <f>IFERROR(ROUND(($G275+($H275-$G275)*'Info Strategia'!$B$6)*(1+IF($E275="SI",'Parametri Modello'!$B$7*'Info Strategia'!$B$6,0)),0),"")</f>
        <v>2</v>
      </c>
      <c r="G275" s="24">
        <f>IFERROR(ROUND(MAX(1,(IF($V275&lt;=INDEX('Parametri Modello'!$C$57:$C$60,MATCH($B275,'Parametri Modello'!$A$57:$A$60,0)),IF(INDEX('Parametri Modello'!$E$57:$E$60,MATCH($B275,'Parametri Modello'!$A$57:$A$60,0))=0,0,($O275/INDEX('Parametri Modello'!$E$57:$E$60,MATCH($B275,'Parametri Modello'!$A$57:$A$60,0)))*(INDEX('Parametri Modello'!$D$57:$D$60,MATCH($B275,'Parametri Modello'!$A$57:$A$60,0))*(INDEX('Parametri Modello'!$B$50:$B$53,MATCH($B275,'Parametri Modello'!$A$50:$A$53,0))*'Parametri Modello'!$B$44))),IF(INDEX('Parametri Modello'!$F$57:$F$60,MATCH($B275,'Parametri Modello'!$A$57:$A$60,0))=0,0,($O275/INDEX('Parametri Modello'!$F$57:$F$60,MATCH($B275,'Parametri Modello'!$A$57:$A$60,0)))*((1-INDEX('Parametri Modello'!$D$57:$D$60,MATCH($B275,'Parametri Modello'!$A$57:$A$60,0)))*(INDEX('Parametri Modello'!$B$50:$B$53,MATCH($B275,'Parametri Modello'!$A$50:$A$53,0))*'Parametri Modello'!$B$44))))*(1+IF(IF($B275="D",'Info Lega'!$B$25,IF($B275="C",'Info Lega'!$B$26,"No"))="Si",'Parametri Modello'!$B$5,0))*(1+MAX(-0.25,MIN(0.25,IF(OR($T275="",$I275="",$I275=0,INDEX('Parametri Modello'!$B$19:$B$22,MATCH($B275,'Parametri Modello'!$A$19:$A$22,0))="",INDEX('Parametri Modello'!$B$19:$B$22,MATCH($B275,'Parametri Modello'!$A$19:$A$22,0))=0),0,(($T275-INDEX('Parametri Modello'!$B$19:$B$22,MATCH($B275,'Parametri Modello'!$A$19:$A$22,0)))/INDEX('Parametri Modello'!$B$19:$B$22,MATCH($B275,'Parametri Modello'!$A$19:$A$22,0)))*'Parametri Modello'!$B$9))))*(1+IF('Parametri Modello'!$B$27="Si",MAX(-'Parametri Modello'!$B$28,MIN('Parametri Modello'!$B$28*1.5,IF(OR(INDEX('Parametri Modello'!$F$32:$F$35,MATCH($B275,'Parametri Modello'!$A$32:$A$35,0))="",INDEX('Parametri Modello'!$F$32:$F$35,MATCH($B275,'Parametri Modello'!$A$32:$A$35,0))=0),0,(1/INDEX('Parametri Modello'!$F$32:$F$35,MATCH($B275,'Parametri Modello'!$A$32:$A$35,0))-1)*'Parametri Modello'!$B$28))),0)))*(1-INDEX('Parametri Modello'!$B$12:$B$15,MATCH($B275,'Parametri Modello'!$A$12:$A$15,0)))),0),"")</f>
        <v>1</v>
      </c>
      <c r="H275" s="24">
        <f>IFERROR(ROUND((IF($V275&lt;=INDEX('Parametri Modello'!$C$57:$C$60,MATCH($B275,'Parametri Modello'!$A$57:$A$60,0)),IF(INDEX('Parametri Modello'!$E$57:$E$60,MATCH($B275,'Parametri Modello'!$A$57:$A$60,0))=0,0,($O275/INDEX('Parametri Modello'!$E$57:$E$60,MATCH($B275,'Parametri Modello'!$A$57:$A$60,0)))*(INDEX('Parametri Modello'!$D$57:$D$60,MATCH($B275,'Parametri Modello'!$A$57:$A$60,0))*(INDEX('Parametri Modello'!$B$50:$B$53,MATCH($B275,'Parametri Modello'!$A$50:$A$53,0))*'Parametri Modello'!$B$44))),IF(INDEX('Parametri Modello'!$F$57:$F$60,MATCH($B275,'Parametri Modello'!$A$57:$A$60,0))=0,0,($O275/INDEX('Parametri Modello'!$F$57:$F$60,MATCH($B275,'Parametri Modello'!$A$57:$A$60,0)))*((1-INDEX('Parametri Modello'!$D$57:$D$60,MATCH($B275,'Parametri Modello'!$A$57:$A$60,0)))*(INDEX('Parametri Modello'!$B$50:$B$53,MATCH($B275,'Parametri Modello'!$A$50:$A$53,0))*'Parametri Modello'!$B$44))))*(1+IF(IF($B275="D",'Info Lega'!$B$25,IF($B275="C",'Info Lega'!$B$26,"No"))="Si",'Parametri Modello'!$B$5,0))*(1+MAX(-0.25,MIN(0.25,IF(OR($T275="",$I275="",$I275=0,INDEX('Parametri Modello'!$B$19:$B$22,MATCH($B275,'Parametri Modello'!$A$19:$A$22,0))="",INDEX('Parametri Modello'!$B$19:$B$22,MATCH($B275,'Parametri Modello'!$A$19:$A$22,0))=0),0,(($T275-INDEX('Parametri Modello'!$B$19:$B$22,MATCH($B275,'Parametri Modello'!$A$19:$A$22,0)))/INDEX('Parametri Modello'!$B$19:$B$22,MATCH($B275,'Parametri Modello'!$A$19:$A$22,0)))*'Parametri Modello'!$B$9))))*(1+IF('Parametri Modello'!$B$27="Si",MAX(-'Parametri Modello'!$B$28,MIN('Parametri Modello'!$B$28*1.5,IF(OR(INDEX('Parametri Modello'!$F$32:$F$35,MATCH($B275,'Parametri Modello'!$A$32:$A$35,0))="",INDEX('Parametri Modello'!$F$32:$F$35,MATCH($B275,'Parametri Modello'!$A$32:$A$35,0))=0),0,(1/INDEX('Parametri Modello'!$F$32:$F$35,MATCH($B275,'Parametri Modello'!$A$32:$A$35,0))-1)*'Parametri Modello'!$B$28))),0)))*(1+INDEX('Parametri Modello'!$B$12:$B$15,MATCH($B275,'Parametri Modello'!$A$12:$A$15,0))),0),"")</f>
        <v>2</v>
      </c>
      <c r="I275" s="23" t="str">
        <f>IFERROR(INDEX('Input Statistiche 2025_26'!$F$3:$F$665,MATCH($A275,'Input Statistiche 2025_26'!$A$3:$A$665,0)),"")</f>
        <v/>
      </c>
      <c r="J275" s="23" t="str">
        <f t="shared" si="36"/>
        <v/>
      </c>
      <c r="K275" s="23" t="str">
        <f>IFERROR(INDEX('Input Statistiche 2025_26'!$I$3:$I$665,MATCH($A275,'Input Statistiche 2025_26'!$A$3:$A$665,0)),"")</f>
        <v/>
      </c>
      <c r="L275" s="23" t="str">
        <f>IFERROR(INDEX('Input Statistiche 2025_26'!$O$3:$O$665,MATCH($A275,'Input Statistiche 2025_26'!$A$3:$A$665,0)),"")</f>
        <v/>
      </c>
      <c r="M275" s="25"/>
      <c r="N275" s="24">
        <f>IFERROR(INDEX('Input Giocatori 2026_27'!$E$3:$E$493,MATCH($A275,'Input Giocatori 2026_27'!$A$3:$A$493,0)),"")</f>
        <v>5</v>
      </c>
      <c r="O275" s="24">
        <f>IFERROR(INDEX('Input Giocatori 2026_27'!$G$3:$G$493,MATCH($A275,'Input Giocatori 2026_27'!$A$3:$A$493,0)),"")</f>
        <v>12</v>
      </c>
      <c r="P275" s="23" t="str">
        <f>IFERROR(IF($O275="","",IF((1-(COUNTIFS($B$2:$B$492,$B275,$O$2:$O$492,"&gt;"&amp;$O275)+1-1)/COUNTIF($B$2:$B$492,$B275))&gt;='Parametri Modello'!$B$63,"Top",IF((1-(COUNTIFS($B$2:$B$492,$B275,$O$2:$O$492,"&gt;"&amp;$O275)+1-1)/COUNTIF($B$2:$B$492,$B275))&gt;='Parametri Modello'!$B$64,"Buono",IF((1-(COUNTIFS($B$2:$B$492,$B275,$O$2:$O$492,"&gt;"&amp;$O275)+1-1)/COUNTIF($B$2:$B$492,$B275))&gt;='Parametri Modello'!$B$65,"Nella Media","Scommessa/Riserva")))),"")</f>
        <v>Scommessa/Riserva</v>
      </c>
      <c r="Q275" s="26">
        <f>IF(AND($D275="",$N275&gt;1),SUMPRODUCT(($D$2:$D275="")*($N$2:$N275&gt;1)),"")</f>
        <v>274</v>
      </c>
      <c r="R275" s="26" t="str">
        <f>IF($D275='Info Lega'!$B$28,COUNTIFS($D$2:$D275,'Info Lega'!$B$28),"")</f>
        <v/>
      </c>
      <c r="S275" s="27" t="str">
        <f>IFERROR(INDEX('Input Statistiche 2025_26'!$G$3:$G$665,MATCH($A275,'Input Statistiche 2025_26'!$A$3:$A$665,0)),"")</f>
        <v/>
      </c>
      <c r="T275" s="27" t="str">
        <f>IFERROR(INDEX('Input Statistiche 2025_26'!$H$3:$H$665,MATCH($A275,'Input Statistiche 2025_26'!$A$3:$A$665,0)),"")</f>
        <v/>
      </c>
      <c r="U275" s="23" t="str">
        <f>IF(OR('La Mia Rosa'!$O$12="",$D275&lt;&gt;""),"",IF($F275&lt;='La Mia Rosa'!$O$12*'Parametri Modello'!$B$24,"OK",IF($F275&lt;='La Mia Rosa'!$O$12*'Parametri Modello'!$B$25,"Attenzione","Rischio Alto")))</f>
        <v>OK</v>
      </c>
      <c r="V275" s="23">
        <f t="shared" si="37"/>
        <v>105</v>
      </c>
      <c r="W275" s="18">
        <f>'Info Lega'!$B$4-SUMIFS($M$2:$M$492,$D$2:$D$492,'Info Lega'!$B$28)</f>
        <v>1000</v>
      </c>
      <c r="X275" s="18">
        <f>('Info Lega'!$B$5-COUNTIFS($D$2:$D$492,'Info Lega'!$B$28,$B$2:$B$492,"P"))+('Info Lega'!$B$6-COUNTIFS($D$2:$D$492,'Info Lega'!$B$28,$B$2:$B$492,"D"))+('Info Lega'!$B$7-COUNTIFS($D$2:$D$492,'Info Lega'!$B$28,$B$2:$B$492,"C"))+('Info Lega'!$B$8-COUNTIFS($D$2:$D$492,'Info Lega'!$B$28,$B$2:$B$492,"A"))</f>
        <v>25</v>
      </c>
      <c r="Y275" s="18">
        <f>X275*'Parametri Modello'!$B$30</f>
        <v>25</v>
      </c>
      <c r="Z275" s="18">
        <f t="shared" si="38"/>
        <v>975</v>
      </c>
      <c r="AA275" s="18">
        <f t="shared" si="39"/>
        <v>2</v>
      </c>
      <c r="AB275" s="18"/>
      <c r="AC275" s="18" t="str">
        <f>IF($AB275="","",IF($AB275&gt;$AA275,"PASS",IF($AB275&lt;=$AA275*(1-'Parametri Modello'!$B$68),"BID","ATTENZIONE")))</f>
        <v/>
      </c>
      <c r="AD275" s="28" t="str">
        <f t="shared" si="40"/>
        <v/>
      </c>
      <c r="AE275" s="5" t="str">
        <f>IFERROR(INDEX('Stato Asta'!$G$9:$G$12,MATCH($B275,'Stato Asta'!$A$9:$A$12,0)),"")</f>
        <v>🔴 Non aspettare</v>
      </c>
      <c r="AF275" t="str">
        <f>IFERROR(IF($V275&lt;=INDEX('Parametri Modello'!$C$57:$C$60,MATCH($B275,'Parametri Modello'!$A$57:$A$60,0)),"Titolare","Riserva"),"")</f>
        <v>Riserva</v>
      </c>
      <c r="AG275" t="str">
        <f>IFERROR(INDEX('Pressione Competitiva'!$F$3:$F$6,MATCH($B275,'Pressione Competitiva'!$B$3:$B$6,0)),"")</f>
        <v>🔴 Molto Alta</v>
      </c>
      <c r="AH275" t="str">
        <f t="shared" si="41"/>
        <v/>
      </c>
      <c r="AI275" t="str">
        <f>IFERROR(IF($AH275="","",IF($AH275&gt;=$AA275*'Parametri Modello'!$B$68,"🟢 Opportunita'",IF($AH275&lt;=$AA275*'Parametri Modello'!$B$69,"🔴 Sovrapprezzo","🟡 Prezzo Corretto"))),"")</f>
        <v/>
      </c>
      <c r="AJ275" t="str">
        <f t="shared" si="42"/>
        <v/>
      </c>
      <c r="AK275">
        <f t="shared" si="43"/>
        <v>1</v>
      </c>
      <c r="AL275" t="str">
        <f t="shared" si="44"/>
        <v>C|Scommessa/Riserva|1</v>
      </c>
    </row>
    <row r="276" spans="1:38" ht="14.25" customHeight="1" x14ac:dyDescent="0.25">
      <c r="A276" s="18">
        <v>22</v>
      </c>
      <c r="B276" s="18" t="s">
        <v>17</v>
      </c>
      <c r="C276" s="18" t="s">
        <v>415</v>
      </c>
      <c r="E276" s="23" t="str">
        <f>IF(COUNTIF('Info Strategia'!$D$2:$D$51,$C276)&gt;0,"SI","NO")</f>
        <v>NO</v>
      </c>
      <c r="F276" s="24">
        <f>IFERROR(ROUND(($G276+($H276-$G276)*'Info Strategia'!$B$6)*(1+IF($E276="SI",'Parametri Modello'!$B$7*'Info Strategia'!$B$6,0)),0),"")</f>
        <v>2</v>
      </c>
      <c r="G276" s="24">
        <f>IFERROR(ROUND(MAX(1,(IF($V276&lt;=INDEX('Parametri Modello'!$C$57:$C$60,MATCH($B276,'Parametri Modello'!$A$57:$A$60,0)),IF(INDEX('Parametri Modello'!$E$57:$E$60,MATCH($B276,'Parametri Modello'!$A$57:$A$60,0))=0,0,($O276/INDEX('Parametri Modello'!$E$57:$E$60,MATCH($B276,'Parametri Modello'!$A$57:$A$60,0)))*(INDEX('Parametri Modello'!$D$57:$D$60,MATCH($B276,'Parametri Modello'!$A$57:$A$60,0))*(INDEX('Parametri Modello'!$B$50:$B$53,MATCH($B276,'Parametri Modello'!$A$50:$A$53,0))*'Parametri Modello'!$B$44))),IF(INDEX('Parametri Modello'!$F$57:$F$60,MATCH($B276,'Parametri Modello'!$A$57:$A$60,0))=0,0,($O276/INDEX('Parametri Modello'!$F$57:$F$60,MATCH($B276,'Parametri Modello'!$A$57:$A$60,0)))*((1-INDEX('Parametri Modello'!$D$57:$D$60,MATCH($B276,'Parametri Modello'!$A$57:$A$60,0)))*(INDEX('Parametri Modello'!$B$50:$B$53,MATCH($B276,'Parametri Modello'!$A$50:$A$53,0))*'Parametri Modello'!$B$44))))*(1+IF(IF($B276="D",'Info Lega'!$B$25,IF($B276="C",'Info Lega'!$B$26,"No"))="Si",'Parametri Modello'!$B$5,0))*(1+MAX(-0.25,MIN(0.25,IF(OR($T276="",$I276="",$I276=0,INDEX('Parametri Modello'!$B$19:$B$22,MATCH($B276,'Parametri Modello'!$A$19:$A$22,0))="",INDEX('Parametri Modello'!$B$19:$B$22,MATCH($B276,'Parametri Modello'!$A$19:$A$22,0))=0),0,(($T276-INDEX('Parametri Modello'!$B$19:$B$22,MATCH($B276,'Parametri Modello'!$A$19:$A$22,0)))/INDEX('Parametri Modello'!$B$19:$B$22,MATCH($B276,'Parametri Modello'!$A$19:$A$22,0)))*'Parametri Modello'!$B$9))))*(1+IF('Parametri Modello'!$B$27="Si",MAX(-'Parametri Modello'!$B$28,MIN('Parametri Modello'!$B$28*1.5,IF(OR(INDEX('Parametri Modello'!$F$32:$F$35,MATCH($B276,'Parametri Modello'!$A$32:$A$35,0))="",INDEX('Parametri Modello'!$F$32:$F$35,MATCH($B276,'Parametri Modello'!$A$32:$A$35,0))=0),0,(1/INDEX('Parametri Modello'!$F$32:$F$35,MATCH($B276,'Parametri Modello'!$A$32:$A$35,0))-1)*'Parametri Modello'!$B$28))),0)))*(1-INDEX('Parametri Modello'!$B$12:$B$15,MATCH($B276,'Parametri Modello'!$A$12:$A$15,0)))),0),"")</f>
        <v>1</v>
      </c>
      <c r="H276" s="24">
        <f>IFERROR(ROUND((IF($V276&lt;=INDEX('Parametri Modello'!$C$57:$C$60,MATCH($B276,'Parametri Modello'!$A$57:$A$60,0)),IF(INDEX('Parametri Modello'!$E$57:$E$60,MATCH($B276,'Parametri Modello'!$A$57:$A$60,0))=0,0,($O276/INDEX('Parametri Modello'!$E$57:$E$60,MATCH($B276,'Parametri Modello'!$A$57:$A$60,0)))*(INDEX('Parametri Modello'!$D$57:$D$60,MATCH($B276,'Parametri Modello'!$A$57:$A$60,0))*(INDEX('Parametri Modello'!$B$50:$B$53,MATCH($B276,'Parametri Modello'!$A$50:$A$53,0))*'Parametri Modello'!$B$44))),IF(INDEX('Parametri Modello'!$F$57:$F$60,MATCH($B276,'Parametri Modello'!$A$57:$A$60,0))=0,0,($O276/INDEX('Parametri Modello'!$F$57:$F$60,MATCH($B276,'Parametri Modello'!$A$57:$A$60,0)))*((1-INDEX('Parametri Modello'!$D$57:$D$60,MATCH($B276,'Parametri Modello'!$A$57:$A$60,0)))*(INDEX('Parametri Modello'!$B$50:$B$53,MATCH($B276,'Parametri Modello'!$A$50:$A$53,0))*'Parametri Modello'!$B$44))))*(1+IF(IF($B276="D",'Info Lega'!$B$25,IF($B276="C",'Info Lega'!$B$26,"No"))="Si",'Parametri Modello'!$B$5,0))*(1+MAX(-0.25,MIN(0.25,IF(OR($T276="",$I276="",$I276=0,INDEX('Parametri Modello'!$B$19:$B$22,MATCH($B276,'Parametri Modello'!$A$19:$A$22,0))="",INDEX('Parametri Modello'!$B$19:$B$22,MATCH($B276,'Parametri Modello'!$A$19:$A$22,0))=0),0,(($T276-INDEX('Parametri Modello'!$B$19:$B$22,MATCH($B276,'Parametri Modello'!$A$19:$A$22,0)))/INDEX('Parametri Modello'!$B$19:$B$22,MATCH($B276,'Parametri Modello'!$A$19:$A$22,0)))*'Parametri Modello'!$B$9))))*(1+IF('Parametri Modello'!$B$27="Si",MAX(-'Parametri Modello'!$B$28,MIN('Parametri Modello'!$B$28*1.5,IF(OR(INDEX('Parametri Modello'!$F$32:$F$35,MATCH($B276,'Parametri Modello'!$A$32:$A$35,0))="",INDEX('Parametri Modello'!$F$32:$F$35,MATCH($B276,'Parametri Modello'!$A$32:$A$35,0))=0),0,(1/INDEX('Parametri Modello'!$F$32:$F$35,MATCH($B276,'Parametri Modello'!$A$32:$A$35,0))-1)*'Parametri Modello'!$B$28))),0)))*(1+INDEX('Parametri Modello'!$B$12:$B$15,MATCH($B276,'Parametri Modello'!$A$12:$A$15,0))),0),"")</f>
        <v>2</v>
      </c>
      <c r="I276" s="23">
        <f>IFERROR(INDEX('Input Statistiche 2025_26'!$F$3:$F$665,MATCH($A276,'Input Statistiche 2025_26'!$A$3:$A$665,0)),"")</f>
        <v>34</v>
      </c>
      <c r="J276" s="23">
        <f t="shared" si="36"/>
        <v>4</v>
      </c>
      <c r="K276" s="23">
        <f>IFERROR(INDEX('Input Statistiche 2025_26'!$I$3:$I$665,MATCH($A276,'Input Statistiche 2025_26'!$A$3:$A$665,0)),"")</f>
        <v>1</v>
      </c>
      <c r="L276" s="23">
        <f>IFERROR(INDEX('Input Statistiche 2025_26'!$O$3:$O$665,MATCH($A276,'Input Statistiche 2025_26'!$A$3:$A$665,0)),"")</f>
        <v>2</v>
      </c>
      <c r="M276" s="25"/>
      <c r="N276" s="24">
        <f>IFERROR(INDEX('Input Giocatori 2026_27'!$E$3:$E$493,MATCH($A276,'Input Giocatori 2026_27'!$A$3:$A$493,0)),"")</f>
        <v>4</v>
      </c>
      <c r="O276" s="24">
        <f>IFERROR(INDEX('Input Giocatori 2026_27'!$G$3:$G$493,MATCH($A276,'Input Giocatori 2026_27'!$A$3:$A$493,0)),"")</f>
        <v>12</v>
      </c>
      <c r="P276" s="23" t="str">
        <f>IFERROR(IF($O276="","",IF((1-(COUNTIFS($B$2:$B$492,$B276,$O$2:$O$492,"&gt;"&amp;$O276)+1-1)/COUNTIF($B$2:$B$492,$B276))&gt;='Parametri Modello'!$B$63,"Top",IF((1-(COUNTIFS($B$2:$B$492,$B276,$O$2:$O$492,"&gt;"&amp;$O276)+1-1)/COUNTIF($B$2:$B$492,$B276))&gt;='Parametri Modello'!$B$64,"Buono",IF((1-(COUNTIFS($B$2:$B$492,$B276,$O$2:$O$492,"&gt;"&amp;$O276)+1-1)/COUNTIF($B$2:$B$492,$B276))&gt;='Parametri Modello'!$B$65,"Nella Media","Scommessa/Riserva")))),"")</f>
        <v>Scommessa/Riserva</v>
      </c>
      <c r="Q276" s="26">
        <f>IF(AND($D276="",$N276&gt;1),SUMPRODUCT(($D$2:$D276="")*($N$2:$N276&gt;1)),"")</f>
        <v>275</v>
      </c>
      <c r="R276" s="26" t="str">
        <f>IF($D276='Info Lega'!$B$28,COUNTIFS($D$2:$D276,'Info Lega'!$B$28),"")</f>
        <v/>
      </c>
      <c r="S276" s="27">
        <f>IFERROR(INDEX('Input Statistiche 2025_26'!$G$3:$G$665,MATCH($A276,'Input Statistiche 2025_26'!$A$3:$A$665,0)),"")</f>
        <v>5.97</v>
      </c>
      <c r="T276" s="27">
        <f>IFERROR(INDEX('Input Statistiche 2025_26'!$H$3:$H$665,MATCH($A276,'Input Statistiche 2025_26'!$A$3:$A$665,0)),"")</f>
        <v>6</v>
      </c>
      <c r="U276" s="23" t="str">
        <f>IF(OR('La Mia Rosa'!$O$12="",$D276&lt;&gt;""),"",IF($F276&lt;='La Mia Rosa'!$O$12*'Parametri Modello'!$B$24,"OK",IF($F276&lt;='La Mia Rosa'!$O$12*'Parametri Modello'!$B$25,"Attenzione","Rischio Alto")))</f>
        <v>OK</v>
      </c>
      <c r="V276" s="23">
        <f t="shared" si="37"/>
        <v>105</v>
      </c>
      <c r="W276" s="18">
        <f>'Info Lega'!$B$4-SUMIFS($M$2:$M$492,$D$2:$D$492,'Info Lega'!$B$28)</f>
        <v>1000</v>
      </c>
      <c r="X276" s="18">
        <f>('Info Lega'!$B$5-COUNTIFS($D$2:$D$492,'Info Lega'!$B$28,$B$2:$B$492,"P"))+('Info Lega'!$B$6-COUNTIFS($D$2:$D$492,'Info Lega'!$B$28,$B$2:$B$492,"D"))+('Info Lega'!$B$7-COUNTIFS($D$2:$D$492,'Info Lega'!$B$28,$B$2:$B$492,"C"))+('Info Lega'!$B$8-COUNTIFS($D$2:$D$492,'Info Lega'!$B$28,$B$2:$B$492,"A"))</f>
        <v>25</v>
      </c>
      <c r="Y276" s="18">
        <f>X276*'Parametri Modello'!$B$30</f>
        <v>25</v>
      </c>
      <c r="Z276" s="18">
        <f t="shared" si="38"/>
        <v>975</v>
      </c>
      <c r="AA276" s="18">
        <f t="shared" si="39"/>
        <v>2</v>
      </c>
      <c r="AB276" s="18"/>
      <c r="AC276" s="18" t="str">
        <f>IF($AB276="","",IF($AB276&gt;$AA276,"PASS",IF($AB276&lt;=$AA276*(1-'Parametri Modello'!$B$68),"BID","ATTENZIONE")))</f>
        <v/>
      </c>
      <c r="AD276" s="28">
        <f t="shared" si="40"/>
        <v>68</v>
      </c>
      <c r="AE276" s="5" t="str">
        <f>IFERROR(INDEX('Stato Asta'!$G$9:$G$12,MATCH($B276,'Stato Asta'!$A$9:$A$12,0)),"")</f>
        <v>🔴 Non aspettare</v>
      </c>
      <c r="AF276" t="str">
        <f>IFERROR(IF($V276&lt;=INDEX('Parametri Modello'!$C$57:$C$60,MATCH($B276,'Parametri Modello'!$A$57:$A$60,0)),"Titolare","Riserva"),"")</f>
        <v>Riserva</v>
      </c>
      <c r="AG276" t="str">
        <f>IFERROR(INDEX('Pressione Competitiva'!$F$3:$F$6,MATCH($B276,'Pressione Competitiva'!$B$3:$B$6,0)),"")</f>
        <v>🔴 Molto Alta</v>
      </c>
      <c r="AH276" t="str">
        <f t="shared" si="41"/>
        <v/>
      </c>
      <c r="AI276" t="str">
        <f>IFERROR(IF($AH276="","",IF($AH276&gt;=$AA276*'Parametri Modello'!$B$68,"🟢 Opportunita'",IF($AH276&lt;=$AA276*'Parametri Modello'!$B$69,"🔴 Sovrapprezzo","🟡 Prezzo Corretto"))),"")</f>
        <v/>
      </c>
      <c r="AJ276" t="str">
        <f t="shared" si="42"/>
        <v/>
      </c>
      <c r="AK276">
        <f t="shared" si="43"/>
        <v>1</v>
      </c>
      <c r="AL276" t="str">
        <f t="shared" si="44"/>
        <v>C|Scommessa/Riserva|1</v>
      </c>
    </row>
    <row r="277" spans="1:38" ht="14.25" customHeight="1" x14ac:dyDescent="0.25">
      <c r="A277" s="18">
        <v>7474</v>
      </c>
      <c r="B277" s="18" t="s">
        <v>17</v>
      </c>
      <c r="C277" s="18" t="s">
        <v>416</v>
      </c>
      <c r="E277" s="23" t="str">
        <f>IF(COUNTIF('Info Strategia'!$D$2:$D$51,$C277)&gt;0,"SI","NO")</f>
        <v>NO</v>
      </c>
      <c r="F277" s="24">
        <f>IFERROR(ROUND(($G277+($H277-$G277)*'Info Strategia'!$B$6)*(1+IF($E277="SI",'Parametri Modello'!$B$7*'Info Strategia'!$B$6,0)),0),"")</f>
        <v>2</v>
      </c>
      <c r="G277" s="24">
        <f>IFERROR(ROUND(MAX(1,(IF($V277&lt;=INDEX('Parametri Modello'!$C$57:$C$60,MATCH($B277,'Parametri Modello'!$A$57:$A$60,0)),IF(INDEX('Parametri Modello'!$E$57:$E$60,MATCH($B277,'Parametri Modello'!$A$57:$A$60,0))=0,0,($O277/INDEX('Parametri Modello'!$E$57:$E$60,MATCH($B277,'Parametri Modello'!$A$57:$A$60,0)))*(INDEX('Parametri Modello'!$D$57:$D$60,MATCH($B277,'Parametri Modello'!$A$57:$A$60,0))*(INDEX('Parametri Modello'!$B$50:$B$53,MATCH($B277,'Parametri Modello'!$A$50:$A$53,0))*'Parametri Modello'!$B$44))),IF(INDEX('Parametri Modello'!$F$57:$F$60,MATCH($B277,'Parametri Modello'!$A$57:$A$60,0))=0,0,($O277/INDEX('Parametri Modello'!$F$57:$F$60,MATCH($B277,'Parametri Modello'!$A$57:$A$60,0)))*((1-INDEX('Parametri Modello'!$D$57:$D$60,MATCH($B277,'Parametri Modello'!$A$57:$A$60,0)))*(INDEX('Parametri Modello'!$B$50:$B$53,MATCH($B277,'Parametri Modello'!$A$50:$A$53,0))*'Parametri Modello'!$B$44))))*(1+IF(IF($B277="D",'Info Lega'!$B$25,IF($B277="C",'Info Lega'!$B$26,"No"))="Si",'Parametri Modello'!$B$5,0))*(1+MAX(-0.25,MIN(0.25,IF(OR($T277="",$I277="",$I277=0,INDEX('Parametri Modello'!$B$19:$B$22,MATCH($B277,'Parametri Modello'!$A$19:$A$22,0))="",INDEX('Parametri Modello'!$B$19:$B$22,MATCH($B277,'Parametri Modello'!$A$19:$A$22,0))=0),0,(($T277-INDEX('Parametri Modello'!$B$19:$B$22,MATCH($B277,'Parametri Modello'!$A$19:$A$22,0)))/INDEX('Parametri Modello'!$B$19:$B$22,MATCH($B277,'Parametri Modello'!$A$19:$A$22,0)))*'Parametri Modello'!$B$9))))*(1+IF('Parametri Modello'!$B$27="Si",MAX(-'Parametri Modello'!$B$28,MIN('Parametri Modello'!$B$28*1.5,IF(OR(INDEX('Parametri Modello'!$F$32:$F$35,MATCH($B277,'Parametri Modello'!$A$32:$A$35,0))="",INDEX('Parametri Modello'!$F$32:$F$35,MATCH($B277,'Parametri Modello'!$A$32:$A$35,0))=0),0,(1/INDEX('Parametri Modello'!$F$32:$F$35,MATCH($B277,'Parametri Modello'!$A$32:$A$35,0))-1)*'Parametri Modello'!$B$28))),0)))*(1-INDEX('Parametri Modello'!$B$12:$B$15,MATCH($B277,'Parametri Modello'!$A$12:$A$15,0)))),0),"")</f>
        <v>1</v>
      </c>
      <c r="H277" s="24">
        <f>IFERROR(ROUND((IF($V277&lt;=INDEX('Parametri Modello'!$C$57:$C$60,MATCH($B277,'Parametri Modello'!$A$57:$A$60,0)),IF(INDEX('Parametri Modello'!$E$57:$E$60,MATCH($B277,'Parametri Modello'!$A$57:$A$60,0))=0,0,($O277/INDEX('Parametri Modello'!$E$57:$E$60,MATCH($B277,'Parametri Modello'!$A$57:$A$60,0)))*(INDEX('Parametri Modello'!$D$57:$D$60,MATCH($B277,'Parametri Modello'!$A$57:$A$60,0))*(INDEX('Parametri Modello'!$B$50:$B$53,MATCH($B277,'Parametri Modello'!$A$50:$A$53,0))*'Parametri Modello'!$B$44))),IF(INDEX('Parametri Modello'!$F$57:$F$60,MATCH($B277,'Parametri Modello'!$A$57:$A$60,0))=0,0,($O277/INDEX('Parametri Modello'!$F$57:$F$60,MATCH($B277,'Parametri Modello'!$A$57:$A$60,0)))*((1-INDEX('Parametri Modello'!$D$57:$D$60,MATCH($B277,'Parametri Modello'!$A$57:$A$60,0)))*(INDEX('Parametri Modello'!$B$50:$B$53,MATCH($B277,'Parametri Modello'!$A$50:$A$53,0))*'Parametri Modello'!$B$44))))*(1+IF(IF($B277="D",'Info Lega'!$B$25,IF($B277="C",'Info Lega'!$B$26,"No"))="Si",'Parametri Modello'!$B$5,0))*(1+MAX(-0.25,MIN(0.25,IF(OR($T277="",$I277="",$I277=0,INDEX('Parametri Modello'!$B$19:$B$22,MATCH($B277,'Parametri Modello'!$A$19:$A$22,0))="",INDEX('Parametri Modello'!$B$19:$B$22,MATCH($B277,'Parametri Modello'!$A$19:$A$22,0))=0),0,(($T277-INDEX('Parametri Modello'!$B$19:$B$22,MATCH($B277,'Parametri Modello'!$A$19:$A$22,0)))/INDEX('Parametri Modello'!$B$19:$B$22,MATCH($B277,'Parametri Modello'!$A$19:$A$22,0)))*'Parametri Modello'!$B$9))))*(1+IF('Parametri Modello'!$B$27="Si",MAX(-'Parametri Modello'!$B$28,MIN('Parametri Modello'!$B$28*1.5,IF(OR(INDEX('Parametri Modello'!$F$32:$F$35,MATCH($B277,'Parametri Modello'!$A$32:$A$35,0))="",INDEX('Parametri Modello'!$F$32:$F$35,MATCH($B277,'Parametri Modello'!$A$32:$A$35,0))=0),0,(1/INDEX('Parametri Modello'!$F$32:$F$35,MATCH($B277,'Parametri Modello'!$A$32:$A$35,0))-1)*'Parametri Modello'!$B$28))),0)))*(1+INDEX('Parametri Modello'!$B$12:$B$15,MATCH($B277,'Parametri Modello'!$A$12:$A$15,0))),0),"")</f>
        <v>2</v>
      </c>
      <c r="I277" s="23" t="str">
        <f>IFERROR(INDEX('Input Statistiche 2025_26'!$F$3:$F$665,MATCH($A277,'Input Statistiche 2025_26'!$A$3:$A$665,0)),"")</f>
        <v/>
      </c>
      <c r="J277" s="23" t="str">
        <f t="shared" si="36"/>
        <v/>
      </c>
      <c r="K277" s="23" t="str">
        <f>IFERROR(INDEX('Input Statistiche 2025_26'!$I$3:$I$665,MATCH($A277,'Input Statistiche 2025_26'!$A$3:$A$665,0)),"")</f>
        <v/>
      </c>
      <c r="L277" s="23" t="str">
        <f>IFERROR(INDEX('Input Statistiche 2025_26'!$O$3:$O$665,MATCH($A277,'Input Statistiche 2025_26'!$A$3:$A$665,0)),"")</f>
        <v/>
      </c>
      <c r="M277" s="25"/>
      <c r="N277" s="24">
        <f>IFERROR(INDEX('Input Giocatori 2026_27'!$E$3:$E$493,MATCH($A277,'Input Giocatori 2026_27'!$A$3:$A$493,0)),"")</f>
        <v>4</v>
      </c>
      <c r="O277" s="24">
        <f>IFERROR(INDEX('Input Giocatori 2026_27'!$G$3:$G$493,MATCH($A277,'Input Giocatori 2026_27'!$A$3:$A$493,0)),"")</f>
        <v>12</v>
      </c>
      <c r="P277" s="23" t="str">
        <f>IFERROR(IF($O277="","",IF((1-(COUNTIFS($B$2:$B$492,$B277,$O$2:$O$492,"&gt;"&amp;$O277)+1-1)/COUNTIF($B$2:$B$492,$B277))&gt;='Parametri Modello'!$B$63,"Top",IF((1-(COUNTIFS($B$2:$B$492,$B277,$O$2:$O$492,"&gt;"&amp;$O277)+1-1)/COUNTIF($B$2:$B$492,$B277))&gt;='Parametri Modello'!$B$64,"Buono",IF((1-(COUNTIFS($B$2:$B$492,$B277,$O$2:$O$492,"&gt;"&amp;$O277)+1-1)/COUNTIF($B$2:$B$492,$B277))&gt;='Parametri Modello'!$B$65,"Nella Media","Scommessa/Riserva")))),"")</f>
        <v>Scommessa/Riserva</v>
      </c>
      <c r="Q277" s="26">
        <f>IF(AND($D277="",$N277&gt;1),SUMPRODUCT(($D$2:$D277="")*($N$2:$N277&gt;1)),"")</f>
        <v>276</v>
      </c>
      <c r="R277" s="26" t="str">
        <f>IF($D277='Info Lega'!$B$28,COUNTIFS($D$2:$D277,'Info Lega'!$B$28),"")</f>
        <v/>
      </c>
      <c r="S277" s="27" t="str">
        <f>IFERROR(INDEX('Input Statistiche 2025_26'!$G$3:$G$665,MATCH($A277,'Input Statistiche 2025_26'!$A$3:$A$665,0)),"")</f>
        <v/>
      </c>
      <c r="T277" s="27" t="str">
        <f>IFERROR(INDEX('Input Statistiche 2025_26'!$H$3:$H$665,MATCH($A277,'Input Statistiche 2025_26'!$A$3:$A$665,0)),"")</f>
        <v/>
      </c>
      <c r="U277" s="23" t="str">
        <f>IF(OR('La Mia Rosa'!$O$12="",$D277&lt;&gt;""),"",IF($F277&lt;='La Mia Rosa'!$O$12*'Parametri Modello'!$B$24,"OK",IF($F277&lt;='La Mia Rosa'!$O$12*'Parametri Modello'!$B$25,"Attenzione","Rischio Alto")))</f>
        <v>OK</v>
      </c>
      <c r="V277" s="23">
        <f t="shared" si="37"/>
        <v>105</v>
      </c>
      <c r="W277" s="18">
        <f>'Info Lega'!$B$4-SUMIFS($M$2:$M$492,$D$2:$D$492,'Info Lega'!$B$28)</f>
        <v>1000</v>
      </c>
      <c r="X277" s="18">
        <f>('Info Lega'!$B$5-COUNTIFS($D$2:$D$492,'Info Lega'!$B$28,$B$2:$B$492,"P"))+('Info Lega'!$B$6-COUNTIFS($D$2:$D$492,'Info Lega'!$B$28,$B$2:$B$492,"D"))+('Info Lega'!$B$7-COUNTIFS($D$2:$D$492,'Info Lega'!$B$28,$B$2:$B$492,"C"))+('Info Lega'!$B$8-COUNTIFS($D$2:$D$492,'Info Lega'!$B$28,$B$2:$B$492,"A"))</f>
        <v>25</v>
      </c>
      <c r="Y277" s="18">
        <f>X277*'Parametri Modello'!$B$30</f>
        <v>25</v>
      </c>
      <c r="Z277" s="18">
        <f t="shared" si="38"/>
        <v>975</v>
      </c>
      <c r="AA277" s="18">
        <f t="shared" si="39"/>
        <v>2</v>
      </c>
      <c r="AB277" s="18"/>
      <c r="AC277" s="18" t="str">
        <f>IF($AB277="","",IF($AB277&gt;$AA277,"PASS",IF($AB277&lt;=$AA277*(1-'Parametri Modello'!$B$68),"BID","ATTENZIONE")))</f>
        <v/>
      </c>
      <c r="AD277" s="28" t="str">
        <f t="shared" si="40"/>
        <v/>
      </c>
      <c r="AE277" s="5" t="str">
        <f>IFERROR(INDEX('Stato Asta'!$G$9:$G$12,MATCH($B277,'Stato Asta'!$A$9:$A$12,0)),"")</f>
        <v>🔴 Non aspettare</v>
      </c>
      <c r="AF277" t="str">
        <f>IFERROR(IF($V277&lt;=INDEX('Parametri Modello'!$C$57:$C$60,MATCH($B277,'Parametri Modello'!$A$57:$A$60,0)),"Titolare","Riserva"),"")</f>
        <v>Riserva</v>
      </c>
      <c r="AG277" t="str">
        <f>IFERROR(INDEX('Pressione Competitiva'!$F$3:$F$6,MATCH($B277,'Pressione Competitiva'!$B$3:$B$6,0)),"")</f>
        <v>🔴 Molto Alta</v>
      </c>
      <c r="AH277" t="str">
        <f t="shared" si="41"/>
        <v/>
      </c>
      <c r="AI277" t="str">
        <f>IFERROR(IF($AH277="","",IF($AH277&gt;=$AA277*'Parametri Modello'!$B$68,"🟢 Opportunita'",IF($AH277&lt;=$AA277*'Parametri Modello'!$B$69,"🔴 Sovrapprezzo","🟡 Prezzo Corretto"))),"")</f>
        <v/>
      </c>
      <c r="AJ277" t="str">
        <f t="shared" si="42"/>
        <v/>
      </c>
      <c r="AK277">
        <f t="shared" si="43"/>
        <v>1</v>
      </c>
      <c r="AL277" t="str">
        <f t="shared" si="44"/>
        <v>C|Scommessa/Riserva|1</v>
      </c>
    </row>
    <row r="278" spans="1:38" ht="14.25" customHeight="1" x14ac:dyDescent="0.25">
      <c r="A278" s="18">
        <v>4911</v>
      </c>
      <c r="B278" s="18" t="s">
        <v>17</v>
      </c>
      <c r="C278" s="18" t="s">
        <v>417</v>
      </c>
      <c r="E278" s="23" t="str">
        <f>IF(COUNTIF('Info Strategia'!$D$2:$D$51,$C278)&gt;0,"SI","NO")</f>
        <v>NO</v>
      </c>
      <c r="F278" s="24">
        <f>IFERROR(ROUND(($G278+($H278-$G278)*'Info Strategia'!$B$6)*(1+IF($E278="SI",'Parametri Modello'!$B$7*'Info Strategia'!$B$6,0)),0),"")</f>
        <v>2</v>
      </c>
      <c r="G278" s="24">
        <f>IFERROR(ROUND(MAX(1,(IF($V278&lt;=INDEX('Parametri Modello'!$C$57:$C$60,MATCH($B278,'Parametri Modello'!$A$57:$A$60,0)),IF(INDEX('Parametri Modello'!$E$57:$E$60,MATCH($B278,'Parametri Modello'!$A$57:$A$60,0))=0,0,($O278/INDEX('Parametri Modello'!$E$57:$E$60,MATCH($B278,'Parametri Modello'!$A$57:$A$60,0)))*(INDEX('Parametri Modello'!$D$57:$D$60,MATCH($B278,'Parametri Modello'!$A$57:$A$60,0))*(INDEX('Parametri Modello'!$B$50:$B$53,MATCH($B278,'Parametri Modello'!$A$50:$A$53,0))*'Parametri Modello'!$B$44))),IF(INDEX('Parametri Modello'!$F$57:$F$60,MATCH($B278,'Parametri Modello'!$A$57:$A$60,0))=0,0,($O278/INDEX('Parametri Modello'!$F$57:$F$60,MATCH($B278,'Parametri Modello'!$A$57:$A$60,0)))*((1-INDEX('Parametri Modello'!$D$57:$D$60,MATCH($B278,'Parametri Modello'!$A$57:$A$60,0)))*(INDEX('Parametri Modello'!$B$50:$B$53,MATCH($B278,'Parametri Modello'!$A$50:$A$53,0))*'Parametri Modello'!$B$44))))*(1+IF(IF($B278="D",'Info Lega'!$B$25,IF($B278="C",'Info Lega'!$B$26,"No"))="Si",'Parametri Modello'!$B$5,0))*(1+MAX(-0.25,MIN(0.25,IF(OR($T278="",$I278="",$I278=0,INDEX('Parametri Modello'!$B$19:$B$22,MATCH($B278,'Parametri Modello'!$A$19:$A$22,0))="",INDEX('Parametri Modello'!$B$19:$B$22,MATCH($B278,'Parametri Modello'!$A$19:$A$22,0))=0),0,(($T278-INDEX('Parametri Modello'!$B$19:$B$22,MATCH($B278,'Parametri Modello'!$A$19:$A$22,0)))/INDEX('Parametri Modello'!$B$19:$B$22,MATCH($B278,'Parametri Modello'!$A$19:$A$22,0)))*'Parametri Modello'!$B$9))))*(1+IF('Parametri Modello'!$B$27="Si",MAX(-'Parametri Modello'!$B$28,MIN('Parametri Modello'!$B$28*1.5,IF(OR(INDEX('Parametri Modello'!$F$32:$F$35,MATCH($B278,'Parametri Modello'!$A$32:$A$35,0))="",INDEX('Parametri Modello'!$F$32:$F$35,MATCH($B278,'Parametri Modello'!$A$32:$A$35,0))=0),0,(1/INDEX('Parametri Modello'!$F$32:$F$35,MATCH($B278,'Parametri Modello'!$A$32:$A$35,0))-1)*'Parametri Modello'!$B$28))),0)))*(1-INDEX('Parametri Modello'!$B$12:$B$15,MATCH($B278,'Parametri Modello'!$A$12:$A$15,0)))),0),"")</f>
        <v>1</v>
      </c>
      <c r="H278" s="24">
        <f>IFERROR(ROUND((IF($V278&lt;=INDEX('Parametri Modello'!$C$57:$C$60,MATCH($B278,'Parametri Modello'!$A$57:$A$60,0)),IF(INDEX('Parametri Modello'!$E$57:$E$60,MATCH($B278,'Parametri Modello'!$A$57:$A$60,0))=0,0,($O278/INDEX('Parametri Modello'!$E$57:$E$60,MATCH($B278,'Parametri Modello'!$A$57:$A$60,0)))*(INDEX('Parametri Modello'!$D$57:$D$60,MATCH($B278,'Parametri Modello'!$A$57:$A$60,0))*(INDEX('Parametri Modello'!$B$50:$B$53,MATCH($B278,'Parametri Modello'!$A$50:$A$53,0))*'Parametri Modello'!$B$44))),IF(INDEX('Parametri Modello'!$F$57:$F$60,MATCH($B278,'Parametri Modello'!$A$57:$A$60,0))=0,0,($O278/INDEX('Parametri Modello'!$F$57:$F$60,MATCH($B278,'Parametri Modello'!$A$57:$A$60,0)))*((1-INDEX('Parametri Modello'!$D$57:$D$60,MATCH($B278,'Parametri Modello'!$A$57:$A$60,0)))*(INDEX('Parametri Modello'!$B$50:$B$53,MATCH($B278,'Parametri Modello'!$A$50:$A$53,0))*'Parametri Modello'!$B$44))))*(1+IF(IF($B278="D",'Info Lega'!$B$25,IF($B278="C",'Info Lega'!$B$26,"No"))="Si",'Parametri Modello'!$B$5,0))*(1+MAX(-0.25,MIN(0.25,IF(OR($T278="",$I278="",$I278=0,INDEX('Parametri Modello'!$B$19:$B$22,MATCH($B278,'Parametri Modello'!$A$19:$A$22,0))="",INDEX('Parametri Modello'!$B$19:$B$22,MATCH($B278,'Parametri Modello'!$A$19:$A$22,0))=0),0,(($T278-INDEX('Parametri Modello'!$B$19:$B$22,MATCH($B278,'Parametri Modello'!$A$19:$A$22,0)))/INDEX('Parametri Modello'!$B$19:$B$22,MATCH($B278,'Parametri Modello'!$A$19:$A$22,0)))*'Parametri Modello'!$B$9))))*(1+IF('Parametri Modello'!$B$27="Si",MAX(-'Parametri Modello'!$B$28,MIN('Parametri Modello'!$B$28*1.5,IF(OR(INDEX('Parametri Modello'!$F$32:$F$35,MATCH($B278,'Parametri Modello'!$A$32:$A$35,0))="",INDEX('Parametri Modello'!$F$32:$F$35,MATCH($B278,'Parametri Modello'!$A$32:$A$35,0))=0),0,(1/INDEX('Parametri Modello'!$F$32:$F$35,MATCH($B278,'Parametri Modello'!$A$32:$A$35,0))-1)*'Parametri Modello'!$B$28))),0)))*(1+INDEX('Parametri Modello'!$B$12:$B$15,MATCH($B278,'Parametri Modello'!$A$12:$A$15,0))),0),"")</f>
        <v>2</v>
      </c>
      <c r="I278" s="23">
        <f>IFERROR(INDEX('Input Statistiche 2025_26'!$F$3:$F$665,MATCH($A278,'Input Statistiche 2025_26'!$A$3:$A$665,0)),"")</f>
        <v>0</v>
      </c>
      <c r="J278" s="23">
        <f t="shared" si="36"/>
        <v>38</v>
      </c>
      <c r="K278" s="23">
        <f>IFERROR(INDEX('Input Statistiche 2025_26'!$I$3:$I$665,MATCH($A278,'Input Statistiche 2025_26'!$A$3:$A$665,0)),"")</f>
        <v>0</v>
      </c>
      <c r="L278" s="23">
        <f>IFERROR(INDEX('Input Statistiche 2025_26'!$O$3:$O$665,MATCH($A278,'Input Statistiche 2025_26'!$A$3:$A$665,0)),"")</f>
        <v>0</v>
      </c>
      <c r="M278" s="25"/>
      <c r="N278" s="24">
        <f>IFERROR(INDEX('Input Giocatori 2026_27'!$E$3:$E$493,MATCH($A278,'Input Giocatori 2026_27'!$A$3:$A$493,0)),"")</f>
        <v>4</v>
      </c>
      <c r="O278" s="24">
        <f>IFERROR(INDEX('Input Giocatori 2026_27'!$G$3:$G$493,MATCH($A278,'Input Giocatori 2026_27'!$A$3:$A$493,0)),"")</f>
        <v>12</v>
      </c>
      <c r="P278" s="23" t="str">
        <f>IFERROR(IF($O278="","",IF((1-(COUNTIFS($B$2:$B$492,$B278,$O$2:$O$492,"&gt;"&amp;$O278)+1-1)/COUNTIF($B$2:$B$492,$B278))&gt;='Parametri Modello'!$B$63,"Top",IF((1-(COUNTIFS($B$2:$B$492,$B278,$O$2:$O$492,"&gt;"&amp;$O278)+1-1)/COUNTIF($B$2:$B$492,$B278))&gt;='Parametri Modello'!$B$64,"Buono",IF((1-(COUNTIFS($B$2:$B$492,$B278,$O$2:$O$492,"&gt;"&amp;$O278)+1-1)/COUNTIF($B$2:$B$492,$B278))&gt;='Parametri Modello'!$B$65,"Nella Media","Scommessa/Riserva")))),"")</f>
        <v>Scommessa/Riserva</v>
      </c>
      <c r="Q278" s="26">
        <f>IF(AND($D278="",$N278&gt;1),SUMPRODUCT(($D$2:$D278="")*($N$2:$N278&gt;1)),"")</f>
        <v>277</v>
      </c>
      <c r="R278" s="26" t="str">
        <f>IF($D278='Info Lega'!$B$28,COUNTIFS($D$2:$D278,'Info Lega'!$B$28),"")</f>
        <v/>
      </c>
      <c r="S278" s="27">
        <f>IFERROR(INDEX('Input Statistiche 2025_26'!$G$3:$G$665,MATCH($A278,'Input Statistiche 2025_26'!$A$3:$A$665,0)),"")</f>
        <v>0</v>
      </c>
      <c r="T278" s="27">
        <f>IFERROR(INDEX('Input Statistiche 2025_26'!$H$3:$H$665,MATCH($A278,'Input Statistiche 2025_26'!$A$3:$A$665,0)),"")</f>
        <v>0</v>
      </c>
      <c r="U278" s="23" t="str">
        <f>IF(OR('La Mia Rosa'!$O$12="",$D278&lt;&gt;""),"",IF($F278&lt;='La Mia Rosa'!$O$12*'Parametri Modello'!$B$24,"OK",IF($F278&lt;='La Mia Rosa'!$O$12*'Parametri Modello'!$B$25,"Attenzione","Rischio Alto")))</f>
        <v>OK</v>
      </c>
      <c r="V278" s="23">
        <f t="shared" si="37"/>
        <v>105</v>
      </c>
      <c r="W278" s="18">
        <f>'Info Lega'!$B$4-SUMIFS($M$2:$M$492,$D$2:$D$492,'Info Lega'!$B$28)</f>
        <v>1000</v>
      </c>
      <c r="X278" s="18">
        <f>('Info Lega'!$B$5-COUNTIFS($D$2:$D$492,'Info Lega'!$B$28,$B$2:$B$492,"P"))+('Info Lega'!$B$6-COUNTIFS($D$2:$D$492,'Info Lega'!$B$28,$B$2:$B$492,"D"))+('Info Lega'!$B$7-COUNTIFS($D$2:$D$492,'Info Lega'!$B$28,$B$2:$B$492,"C"))+('Info Lega'!$B$8-COUNTIFS($D$2:$D$492,'Info Lega'!$B$28,$B$2:$B$492,"A"))</f>
        <v>25</v>
      </c>
      <c r="Y278" s="18">
        <f>X278*'Parametri Modello'!$B$30</f>
        <v>25</v>
      </c>
      <c r="Z278" s="18">
        <f t="shared" si="38"/>
        <v>975</v>
      </c>
      <c r="AA278" s="18">
        <f t="shared" si="39"/>
        <v>2</v>
      </c>
      <c r="AB278" s="18"/>
      <c r="AC278" s="18" t="str">
        <f>IF($AB278="","",IF($AB278&gt;$AA278,"PASS",IF($AB278&lt;=$AA278*(1-'Parametri Modello'!$B$68),"BID","ATTENZIONE")))</f>
        <v/>
      </c>
      <c r="AD278" s="28">
        <f t="shared" si="40"/>
        <v>0</v>
      </c>
      <c r="AE278" s="5" t="str">
        <f>IFERROR(INDEX('Stato Asta'!$G$9:$G$12,MATCH($B278,'Stato Asta'!$A$9:$A$12,0)),"")</f>
        <v>🔴 Non aspettare</v>
      </c>
      <c r="AF278" t="str">
        <f>IFERROR(IF($V278&lt;=INDEX('Parametri Modello'!$C$57:$C$60,MATCH($B278,'Parametri Modello'!$A$57:$A$60,0)),"Titolare","Riserva"),"")</f>
        <v>Riserva</v>
      </c>
      <c r="AG278" t="str">
        <f>IFERROR(INDEX('Pressione Competitiva'!$F$3:$F$6,MATCH($B278,'Pressione Competitiva'!$B$3:$B$6,0)),"")</f>
        <v>🔴 Molto Alta</v>
      </c>
      <c r="AH278" t="str">
        <f t="shared" si="41"/>
        <v/>
      </c>
      <c r="AI278" t="str">
        <f>IFERROR(IF($AH278="","",IF($AH278&gt;=$AA278*'Parametri Modello'!$B$68,"🟢 Opportunita'",IF($AH278&lt;=$AA278*'Parametri Modello'!$B$69,"🔴 Sovrapprezzo","🟡 Prezzo Corretto"))),"")</f>
        <v/>
      </c>
      <c r="AJ278" t="str">
        <f t="shared" si="42"/>
        <v/>
      </c>
      <c r="AK278">
        <f t="shared" si="43"/>
        <v>1</v>
      </c>
      <c r="AL278" t="str">
        <f t="shared" si="44"/>
        <v>C|Scommessa/Riserva|1</v>
      </c>
    </row>
    <row r="279" spans="1:38" ht="14.25" customHeight="1" x14ac:dyDescent="0.25">
      <c r="A279" s="18">
        <v>333</v>
      </c>
      <c r="B279" s="18" t="s">
        <v>17</v>
      </c>
      <c r="C279" s="18" t="s">
        <v>418</v>
      </c>
      <c r="E279" s="23" t="str">
        <f>IF(COUNTIF('Info Strategia'!$D$2:$D$51,$C279)&gt;0,"SI","NO")</f>
        <v>NO</v>
      </c>
      <c r="F279" s="24">
        <f>IFERROR(ROUND(($G279+($H279-$G279)*'Info Strategia'!$B$6)*(1+IF($E279="SI",'Parametri Modello'!$B$7*'Info Strategia'!$B$6,0)),0),"")</f>
        <v>2</v>
      </c>
      <c r="G279" s="24">
        <f>IFERROR(ROUND(MAX(1,(IF($V279&lt;=INDEX('Parametri Modello'!$C$57:$C$60,MATCH($B279,'Parametri Modello'!$A$57:$A$60,0)),IF(INDEX('Parametri Modello'!$E$57:$E$60,MATCH($B279,'Parametri Modello'!$A$57:$A$60,0))=0,0,($O279/INDEX('Parametri Modello'!$E$57:$E$60,MATCH($B279,'Parametri Modello'!$A$57:$A$60,0)))*(INDEX('Parametri Modello'!$D$57:$D$60,MATCH($B279,'Parametri Modello'!$A$57:$A$60,0))*(INDEX('Parametri Modello'!$B$50:$B$53,MATCH($B279,'Parametri Modello'!$A$50:$A$53,0))*'Parametri Modello'!$B$44))),IF(INDEX('Parametri Modello'!$F$57:$F$60,MATCH($B279,'Parametri Modello'!$A$57:$A$60,0))=0,0,($O279/INDEX('Parametri Modello'!$F$57:$F$60,MATCH($B279,'Parametri Modello'!$A$57:$A$60,0)))*((1-INDEX('Parametri Modello'!$D$57:$D$60,MATCH($B279,'Parametri Modello'!$A$57:$A$60,0)))*(INDEX('Parametri Modello'!$B$50:$B$53,MATCH($B279,'Parametri Modello'!$A$50:$A$53,0))*'Parametri Modello'!$B$44))))*(1+IF(IF($B279="D",'Info Lega'!$B$25,IF($B279="C",'Info Lega'!$B$26,"No"))="Si",'Parametri Modello'!$B$5,0))*(1+MAX(-0.25,MIN(0.25,IF(OR($T279="",$I279="",$I279=0,INDEX('Parametri Modello'!$B$19:$B$22,MATCH($B279,'Parametri Modello'!$A$19:$A$22,0))="",INDEX('Parametri Modello'!$B$19:$B$22,MATCH($B279,'Parametri Modello'!$A$19:$A$22,0))=0),0,(($T279-INDEX('Parametri Modello'!$B$19:$B$22,MATCH($B279,'Parametri Modello'!$A$19:$A$22,0)))/INDEX('Parametri Modello'!$B$19:$B$22,MATCH($B279,'Parametri Modello'!$A$19:$A$22,0)))*'Parametri Modello'!$B$9))))*(1+IF('Parametri Modello'!$B$27="Si",MAX(-'Parametri Modello'!$B$28,MIN('Parametri Modello'!$B$28*1.5,IF(OR(INDEX('Parametri Modello'!$F$32:$F$35,MATCH($B279,'Parametri Modello'!$A$32:$A$35,0))="",INDEX('Parametri Modello'!$F$32:$F$35,MATCH($B279,'Parametri Modello'!$A$32:$A$35,0))=0),0,(1/INDEX('Parametri Modello'!$F$32:$F$35,MATCH($B279,'Parametri Modello'!$A$32:$A$35,0))-1)*'Parametri Modello'!$B$28))),0)))*(1-INDEX('Parametri Modello'!$B$12:$B$15,MATCH($B279,'Parametri Modello'!$A$12:$A$15,0)))),0),"")</f>
        <v>1</v>
      </c>
      <c r="H279" s="24">
        <f>IFERROR(ROUND((IF($V279&lt;=INDEX('Parametri Modello'!$C$57:$C$60,MATCH($B279,'Parametri Modello'!$A$57:$A$60,0)),IF(INDEX('Parametri Modello'!$E$57:$E$60,MATCH($B279,'Parametri Modello'!$A$57:$A$60,0))=0,0,($O279/INDEX('Parametri Modello'!$E$57:$E$60,MATCH($B279,'Parametri Modello'!$A$57:$A$60,0)))*(INDEX('Parametri Modello'!$D$57:$D$60,MATCH($B279,'Parametri Modello'!$A$57:$A$60,0))*(INDEX('Parametri Modello'!$B$50:$B$53,MATCH($B279,'Parametri Modello'!$A$50:$A$53,0))*'Parametri Modello'!$B$44))),IF(INDEX('Parametri Modello'!$F$57:$F$60,MATCH($B279,'Parametri Modello'!$A$57:$A$60,0))=0,0,($O279/INDEX('Parametri Modello'!$F$57:$F$60,MATCH($B279,'Parametri Modello'!$A$57:$A$60,0)))*((1-INDEX('Parametri Modello'!$D$57:$D$60,MATCH($B279,'Parametri Modello'!$A$57:$A$60,0)))*(INDEX('Parametri Modello'!$B$50:$B$53,MATCH($B279,'Parametri Modello'!$A$50:$A$53,0))*'Parametri Modello'!$B$44))))*(1+IF(IF($B279="D",'Info Lega'!$B$25,IF($B279="C",'Info Lega'!$B$26,"No"))="Si",'Parametri Modello'!$B$5,0))*(1+MAX(-0.25,MIN(0.25,IF(OR($T279="",$I279="",$I279=0,INDEX('Parametri Modello'!$B$19:$B$22,MATCH($B279,'Parametri Modello'!$A$19:$A$22,0))="",INDEX('Parametri Modello'!$B$19:$B$22,MATCH($B279,'Parametri Modello'!$A$19:$A$22,0))=0),0,(($T279-INDEX('Parametri Modello'!$B$19:$B$22,MATCH($B279,'Parametri Modello'!$A$19:$A$22,0)))/INDEX('Parametri Modello'!$B$19:$B$22,MATCH($B279,'Parametri Modello'!$A$19:$A$22,0)))*'Parametri Modello'!$B$9))))*(1+IF('Parametri Modello'!$B$27="Si",MAX(-'Parametri Modello'!$B$28,MIN('Parametri Modello'!$B$28*1.5,IF(OR(INDEX('Parametri Modello'!$F$32:$F$35,MATCH($B279,'Parametri Modello'!$A$32:$A$35,0))="",INDEX('Parametri Modello'!$F$32:$F$35,MATCH($B279,'Parametri Modello'!$A$32:$A$35,0))=0),0,(1/INDEX('Parametri Modello'!$F$32:$F$35,MATCH($B279,'Parametri Modello'!$A$32:$A$35,0))-1)*'Parametri Modello'!$B$28))),0)))*(1+INDEX('Parametri Modello'!$B$12:$B$15,MATCH($B279,'Parametri Modello'!$A$12:$A$15,0))),0),"")</f>
        <v>2</v>
      </c>
      <c r="I279" s="23">
        <f>IFERROR(INDEX('Input Statistiche 2025_26'!$F$3:$F$665,MATCH($A279,'Input Statistiche 2025_26'!$A$3:$A$665,0)),"")</f>
        <v>27</v>
      </c>
      <c r="J279" s="23">
        <f t="shared" si="36"/>
        <v>11</v>
      </c>
      <c r="K279" s="23">
        <f>IFERROR(INDEX('Input Statistiche 2025_26'!$I$3:$I$665,MATCH($A279,'Input Statistiche 2025_26'!$A$3:$A$665,0)),"")</f>
        <v>3</v>
      </c>
      <c r="L279" s="23">
        <f>IFERROR(INDEX('Input Statistiche 2025_26'!$O$3:$O$665,MATCH($A279,'Input Statistiche 2025_26'!$A$3:$A$665,0)),"")</f>
        <v>3</v>
      </c>
      <c r="M279" s="25"/>
      <c r="N279" s="24">
        <f>IFERROR(INDEX('Input Giocatori 2026_27'!$E$3:$E$493,MATCH($A279,'Input Giocatori 2026_27'!$A$3:$A$493,0)),"")</f>
        <v>4</v>
      </c>
      <c r="O279" s="24">
        <f>IFERROR(INDEX('Input Giocatori 2026_27'!$G$3:$G$493,MATCH($A279,'Input Giocatori 2026_27'!$A$3:$A$493,0)),"")</f>
        <v>12</v>
      </c>
      <c r="P279" s="23" t="str">
        <f>IFERROR(IF($O279="","",IF((1-(COUNTIFS($B$2:$B$492,$B279,$O$2:$O$492,"&gt;"&amp;$O279)+1-1)/COUNTIF($B$2:$B$492,$B279))&gt;='Parametri Modello'!$B$63,"Top",IF((1-(COUNTIFS($B$2:$B$492,$B279,$O$2:$O$492,"&gt;"&amp;$O279)+1-1)/COUNTIF($B$2:$B$492,$B279))&gt;='Parametri Modello'!$B$64,"Buono",IF((1-(COUNTIFS($B$2:$B$492,$B279,$O$2:$O$492,"&gt;"&amp;$O279)+1-1)/COUNTIF($B$2:$B$492,$B279))&gt;='Parametri Modello'!$B$65,"Nella Media","Scommessa/Riserva")))),"")</f>
        <v>Scommessa/Riserva</v>
      </c>
      <c r="Q279" s="26">
        <f>IF(AND($D279="",$N279&gt;1),SUMPRODUCT(($D$2:$D279="")*($N$2:$N279&gt;1)),"")</f>
        <v>278</v>
      </c>
      <c r="R279" s="26" t="str">
        <f>IF($D279='Info Lega'!$B$28,COUNTIFS($D$2:$D279,'Info Lega'!$B$28),"")</f>
        <v/>
      </c>
      <c r="S279" s="27">
        <f>IFERROR(INDEX('Input Statistiche 2025_26'!$G$3:$G$665,MATCH($A279,'Input Statistiche 2025_26'!$A$3:$A$665,0)),"")</f>
        <v>6.07</v>
      </c>
      <c r="T279" s="27">
        <f>IFERROR(INDEX('Input Statistiche 2025_26'!$H$3:$H$665,MATCH($A279,'Input Statistiche 2025_26'!$A$3:$A$665,0)),"")</f>
        <v>6.41</v>
      </c>
      <c r="U279" s="23" t="str">
        <f>IF(OR('La Mia Rosa'!$O$12="",$D279&lt;&gt;""),"",IF($F279&lt;='La Mia Rosa'!$O$12*'Parametri Modello'!$B$24,"OK",IF($F279&lt;='La Mia Rosa'!$O$12*'Parametri Modello'!$B$25,"Attenzione","Rischio Alto")))</f>
        <v>OK</v>
      </c>
      <c r="V279" s="23">
        <f t="shared" si="37"/>
        <v>105</v>
      </c>
      <c r="W279" s="18">
        <f>'Info Lega'!$B$4-SUMIFS($M$2:$M$492,$D$2:$D$492,'Info Lega'!$B$28)</f>
        <v>1000</v>
      </c>
      <c r="X279" s="18">
        <f>('Info Lega'!$B$5-COUNTIFS($D$2:$D$492,'Info Lega'!$B$28,$B$2:$B$492,"P"))+('Info Lega'!$B$6-COUNTIFS($D$2:$D$492,'Info Lega'!$B$28,$B$2:$B$492,"D"))+('Info Lega'!$B$7-COUNTIFS($D$2:$D$492,'Info Lega'!$B$28,$B$2:$B$492,"C"))+('Info Lega'!$B$8-COUNTIFS($D$2:$D$492,'Info Lega'!$B$28,$B$2:$B$492,"A"))</f>
        <v>25</v>
      </c>
      <c r="Y279" s="18">
        <f>X279*'Parametri Modello'!$B$30</f>
        <v>25</v>
      </c>
      <c r="Z279" s="18">
        <f t="shared" si="38"/>
        <v>975</v>
      </c>
      <c r="AA279" s="18">
        <f t="shared" si="39"/>
        <v>2</v>
      </c>
      <c r="AB279" s="18"/>
      <c r="AC279" s="18" t="str">
        <f>IF($AB279="","",IF($AB279&gt;$AA279,"PASS",IF($AB279&lt;=$AA279*(1-'Parametri Modello'!$B$68),"BID","ATTENZIONE")))</f>
        <v/>
      </c>
      <c r="AD279" s="28">
        <f t="shared" si="40"/>
        <v>59</v>
      </c>
      <c r="AE279" s="5" t="str">
        <f>IFERROR(INDEX('Stato Asta'!$G$9:$G$12,MATCH($B279,'Stato Asta'!$A$9:$A$12,0)),"")</f>
        <v>🔴 Non aspettare</v>
      </c>
      <c r="AF279" t="str">
        <f>IFERROR(IF($V279&lt;=INDEX('Parametri Modello'!$C$57:$C$60,MATCH($B279,'Parametri Modello'!$A$57:$A$60,0)),"Titolare","Riserva"),"")</f>
        <v>Riserva</v>
      </c>
      <c r="AG279" t="str">
        <f>IFERROR(INDEX('Pressione Competitiva'!$F$3:$F$6,MATCH($B279,'Pressione Competitiva'!$B$3:$B$6,0)),"")</f>
        <v>🔴 Molto Alta</v>
      </c>
      <c r="AH279" t="str">
        <f t="shared" si="41"/>
        <v/>
      </c>
      <c r="AI279" t="str">
        <f>IFERROR(IF($AH279="","",IF($AH279&gt;=$AA279*'Parametri Modello'!$B$68,"🟢 Opportunita'",IF($AH279&lt;=$AA279*'Parametri Modello'!$B$69,"🔴 Sovrapprezzo","🟡 Prezzo Corretto"))),"")</f>
        <v/>
      </c>
      <c r="AJ279" t="str">
        <f t="shared" si="42"/>
        <v/>
      </c>
      <c r="AK279">
        <f t="shared" si="43"/>
        <v>1</v>
      </c>
      <c r="AL279" t="str">
        <f t="shared" si="44"/>
        <v>C|Scommessa/Riserva|1</v>
      </c>
    </row>
    <row r="280" spans="1:38" ht="14.25" customHeight="1" x14ac:dyDescent="0.25">
      <c r="A280" s="18">
        <v>6827</v>
      </c>
      <c r="B280" s="18" t="s">
        <v>17</v>
      </c>
      <c r="C280" s="18" t="s">
        <v>419</v>
      </c>
      <c r="E280" s="23" t="str">
        <f>IF(COUNTIF('Info Strategia'!$D$2:$D$51,$C280)&gt;0,"SI","NO")</f>
        <v>NO</v>
      </c>
      <c r="F280" s="24">
        <f>IFERROR(ROUND(($G280+($H280-$G280)*'Info Strategia'!$B$6)*(1+IF($E280="SI",'Parametri Modello'!$B$7*'Info Strategia'!$B$6,0)),0),"")</f>
        <v>2</v>
      </c>
      <c r="G280" s="24">
        <f>IFERROR(ROUND(MAX(1,(IF($V280&lt;=INDEX('Parametri Modello'!$C$57:$C$60,MATCH($B280,'Parametri Modello'!$A$57:$A$60,0)),IF(INDEX('Parametri Modello'!$E$57:$E$60,MATCH($B280,'Parametri Modello'!$A$57:$A$60,0))=0,0,($O280/INDEX('Parametri Modello'!$E$57:$E$60,MATCH($B280,'Parametri Modello'!$A$57:$A$60,0)))*(INDEX('Parametri Modello'!$D$57:$D$60,MATCH($B280,'Parametri Modello'!$A$57:$A$60,0))*(INDEX('Parametri Modello'!$B$50:$B$53,MATCH($B280,'Parametri Modello'!$A$50:$A$53,0))*'Parametri Modello'!$B$44))),IF(INDEX('Parametri Modello'!$F$57:$F$60,MATCH($B280,'Parametri Modello'!$A$57:$A$60,0))=0,0,($O280/INDEX('Parametri Modello'!$F$57:$F$60,MATCH($B280,'Parametri Modello'!$A$57:$A$60,0)))*((1-INDEX('Parametri Modello'!$D$57:$D$60,MATCH($B280,'Parametri Modello'!$A$57:$A$60,0)))*(INDEX('Parametri Modello'!$B$50:$B$53,MATCH($B280,'Parametri Modello'!$A$50:$A$53,0))*'Parametri Modello'!$B$44))))*(1+IF(IF($B280="D",'Info Lega'!$B$25,IF($B280="C",'Info Lega'!$B$26,"No"))="Si",'Parametri Modello'!$B$5,0))*(1+MAX(-0.25,MIN(0.25,IF(OR($T280="",$I280="",$I280=0,INDEX('Parametri Modello'!$B$19:$B$22,MATCH($B280,'Parametri Modello'!$A$19:$A$22,0))="",INDEX('Parametri Modello'!$B$19:$B$22,MATCH($B280,'Parametri Modello'!$A$19:$A$22,0))=0),0,(($T280-INDEX('Parametri Modello'!$B$19:$B$22,MATCH($B280,'Parametri Modello'!$A$19:$A$22,0)))/INDEX('Parametri Modello'!$B$19:$B$22,MATCH($B280,'Parametri Modello'!$A$19:$A$22,0)))*'Parametri Modello'!$B$9))))*(1+IF('Parametri Modello'!$B$27="Si",MAX(-'Parametri Modello'!$B$28,MIN('Parametri Modello'!$B$28*1.5,IF(OR(INDEX('Parametri Modello'!$F$32:$F$35,MATCH($B280,'Parametri Modello'!$A$32:$A$35,0))="",INDEX('Parametri Modello'!$F$32:$F$35,MATCH($B280,'Parametri Modello'!$A$32:$A$35,0))=0),0,(1/INDEX('Parametri Modello'!$F$32:$F$35,MATCH($B280,'Parametri Modello'!$A$32:$A$35,0))-1)*'Parametri Modello'!$B$28))),0)))*(1-INDEX('Parametri Modello'!$B$12:$B$15,MATCH($B280,'Parametri Modello'!$A$12:$A$15,0)))),0),"")</f>
        <v>1</v>
      </c>
      <c r="H280" s="24">
        <f>IFERROR(ROUND((IF($V280&lt;=INDEX('Parametri Modello'!$C$57:$C$60,MATCH($B280,'Parametri Modello'!$A$57:$A$60,0)),IF(INDEX('Parametri Modello'!$E$57:$E$60,MATCH($B280,'Parametri Modello'!$A$57:$A$60,0))=0,0,($O280/INDEX('Parametri Modello'!$E$57:$E$60,MATCH($B280,'Parametri Modello'!$A$57:$A$60,0)))*(INDEX('Parametri Modello'!$D$57:$D$60,MATCH($B280,'Parametri Modello'!$A$57:$A$60,0))*(INDEX('Parametri Modello'!$B$50:$B$53,MATCH($B280,'Parametri Modello'!$A$50:$A$53,0))*'Parametri Modello'!$B$44))),IF(INDEX('Parametri Modello'!$F$57:$F$60,MATCH($B280,'Parametri Modello'!$A$57:$A$60,0))=0,0,($O280/INDEX('Parametri Modello'!$F$57:$F$60,MATCH($B280,'Parametri Modello'!$A$57:$A$60,0)))*((1-INDEX('Parametri Modello'!$D$57:$D$60,MATCH($B280,'Parametri Modello'!$A$57:$A$60,0)))*(INDEX('Parametri Modello'!$B$50:$B$53,MATCH($B280,'Parametri Modello'!$A$50:$A$53,0))*'Parametri Modello'!$B$44))))*(1+IF(IF($B280="D",'Info Lega'!$B$25,IF($B280="C",'Info Lega'!$B$26,"No"))="Si",'Parametri Modello'!$B$5,0))*(1+MAX(-0.25,MIN(0.25,IF(OR($T280="",$I280="",$I280=0,INDEX('Parametri Modello'!$B$19:$B$22,MATCH($B280,'Parametri Modello'!$A$19:$A$22,0))="",INDEX('Parametri Modello'!$B$19:$B$22,MATCH($B280,'Parametri Modello'!$A$19:$A$22,0))=0),0,(($T280-INDEX('Parametri Modello'!$B$19:$B$22,MATCH($B280,'Parametri Modello'!$A$19:$A$22,0)))/INDEX('Parametri Modello'!$B$19:$B$22,MATCH($B280,'Parametri Modello'!$A$19:$A$22,0)))*'Parametri Modello'!$B$9))))*(1+IF('Parametri Modello'!$B$27="Si",MAX(-'Parametri Modello'!$B$28,MIN('Parametri Modello'!$B$28*1.5,IF(OR(INDEX('Parametri Modello'!$F$32:$F$35,MATCH($B280,'Parametri Modello'!$A$32:$A$35,0))="",INDEX('Parametri Modello'!$F$32:$F$35,MATCH($B280,'Parametri Modello'!$A$32:$A$35,0))=0),0,(1/INDEX('Parametri Modello'!$F$32:$F$35,MATCH($B280,'Parametri Modello'!$A$32:$A$35,0))-1)*'Parametri Modello'!$B$28))),0)))*(1+INDEX('Parametri Modello'!$B$12:$B$15,MATCH($B280,'Parametri Modello'!$A$12:$A$15,0))),0),"")</f>
        <v>2</v>
      </c>
      <c r="I280" s="23">
        <f>IFERROR(INDEX('Input Statistiche 2025_26'!$F$3:$F$665,MATCH($A280,'Input Statistiche 2025_26'!$A$3:$A$665,0)),"")</f>
        <v>10</v>
      </c>
      <c r="J280" s="23">
        <f t="shared" si="36"/>
        <v>28</v>
      </c>
      <c r="K280" s="23">
        <f>IFERROR(INDEX('Input Statistiche 2025_26'!$I$3:$I$665,MATCH($A280,'Input Statistiche 2025_26'!$A$3:$A$665,0)),"")</f>
        <v>1</v>
      </c>
      <c r="L280" s="23">
        <f>IFERROR(INDEX('Input Statistiche 2025_26'!$O$3:$O$665,MATCH($A280,'Input Statistiche 2025_26'!$A$3:$A$665,0)),"")</f>
        <v>1</v>
      </c>
      <c r="M280" s="25"/>
      <c r="N280" s="24">
        <f>IFERROR(INDEX('Input Giocatori 2026_27'!$E$3:$E$493,MATCH($A280,'Input Giocatori 2026_27'!$A$3:$A$493,0)),"")</f>
        <v>4</v>
      </c>
      <c r="O280" s="24">
        <f>IFERROR(INDEX('Input Giocatori 2026_27'!$G$3:$G$493,MATCH($A280,'Input Giocatori 2026_27'!$A$3:$A$493,0)),"")</f>
        <v>12</v>
      </c>
      <c r="P280" s="23" t="str">
        <f>IFERROR(IF($O280="","",IF((1-(COUNTIFS($B$2:$B$492,$B280,$O$2:$O$492,"&gt;"&amp;$O280)+1-1)/COUNTIF($B$2:$B$492,$B280))&gt;='Parametri Modello'!$B$63,"Top",IF((1-(COUNTIFS($B$2:$B$492,$B280,$O$2:$O$492,"&gt;"&amp;$O280)+1-1)/COUNTIF($B$2:$B$492,$B280))&gt;='Parametri Modello'!$B$64,"Buono",IF((1-(COUNTIFS($B$2:$B$492,$B280,$O$2:$O$492,"&gt;"&amp;$O280)+1-1)/COUNTIF($B$2:$B$492,$B280))&gt;='Parametri Modello'!$B$65,"Nella Media","Scommessa/Riserva")))),"")</f>
        <v>Scommessa/Riserva</v>
      </c>
      <c r="Q280" s="26">
        <f>IF(AND($D280="",$N280&gt;1),SUMPRODUCT(($D$2:$D280="")*($N$2:$N280&gt;1)),"")</f>
        <v>279</v>
      </c>
      <c r="R280" s="26" t="str">
        <f>IF($D280='Info Lega'!$B$28,COUNTIFS($D$2:$D280,'Info Lega'!$B$28),"")</f>
        <v/>
      </c>
      <c r="S280" s="27">
        <f>IFERROR(INDEX('Input Statistiche 2025_26'!$G$3:$G$665,MATCH($A280,'Input Statistiche 2025_26'!$A$3:$A$665,0)),"")</f>
        <v>5.8</v>
      </c>
      <c r="T280" s="27">
        <f>IFERROR(INDEX('Input Statistiche 2025_26'!$H$3:$H$665,MATCH($A280,'Input Statistiche 2025_26'!$A$3:$A$665,0)),"")</f>
        <v>6.15</v>
      </c>
      <c r="U280" s="23" t="str">
        <f>IF(OR('La Mia Rosa'!$O$12="",$D280&lt;&gt;""),"",IF($F280&lt;='La Mia Rosa'!$O$12*'Parametri Modello'!$B$24,"OK",IF($F280&lt;='La Mia Rosa'!$O$12*'Parametri Modello'!$B$25,"Attenzione","Rischio Alto")))</f>
        <v>OK</v>
      </c>
      <c r="V280" s="23">
        <f t="shared" si="37"/>
        <v>105</v>
      </c>
      <c r="W280" s="18">
        <f>'Info Lega'!$B$4-SUMIFS($M$2:$M$492,$D$2:$D$492,'Info Lega'!$B$28)</f>
        <v>1000</v>
      </c>
      <c r="X280" s="18">
        <f>('Info Lega'!$B$5-COUNTIFS($D$2:$D$492,'Info Lega'!$B$28,$B$2:$B$492,"P"))+('Info Lega'!$B$6-COUNTIFS($D$2:$D$492,'Info Lega'!$B$28,$B$2:$B$492,"D"))+('Info Lega'!$B$7-COUNTIFS($D$2:$D$492,'Info Lega'!$B$28,$B$2:$B$492,"C"))+('Info Lega'!$B$8-COUNTIFS($D$2:$D$492,'Info Lega'!$B$28,$B$2:$B$492,"A"))</f>
        <v>25</v>
      </c>
      <c r="Y280" s="18">
        <f>X280*'Parametri Modello'!$B$30</f>
        <v>25</v>
      </c>
      <c r="Z280" s="18">
        <f t="shared" si="38"/>
        <v>975</v>
      </c>
      <c r="AA280" s="18">
        <f t="shared" si="39"/>
        <v>2</v>
      </c>
      <c r="AB280" s="18"/>
      <c r="AC280" s="18" t="str">
        <f>IF($AB280="","",IF($AB280&gt;$AA280,"PASS",IF($AB280&lt;=$AA280*(1-'Parametri Modello'!$B$68),"BID","ATTENZIONE")))</f>
        <v/>
      </c>
      <c r="AD280" s="28">
        <f t="shared" si="40"/>
        <v>28</v>
      </c>
      <c r="AE280" s="5" t="str">
        <f>IFERROR(INDEX('Stato Asta'!$G$9:$G$12,MATCH($B280,'Stato Asta'!$A$9:$A$12,0)),"")</f>
        <v>🔴 Non aspettare</v>
      </c>
      <c r="AF280" t="str">
        <f>IFERROR(IF($V280&lt;=INDEX('Parametri Modello'!$C$57:$C$60,MATCH($B280,'Parametri Modello'!$A$57:$A$60,0)),"Titolare","Riserva"),"")</f>
        <v>Riserva</v>
      </c>
      <c r="AG280" t="str">
        <f>IFERROR(INDEX('Pressione Competitiva'!$F$3:$F$6,MATCH($B280,'Pressione Competitiva'!$B$3:$B$6,0)),"")</f>
        <v>🔴 Molto Alta</v>
      </c>
      <c r="AH280" t="str">
        <f t="shared" si="41"/>
        <v/>
      </c>
      <c r="AI280" t="str">
        <f>IFERROR(IF($AH280="","",IF($AH280&gt;=$AA280*'Parametri Modello'!$B$68,"🟢 Opportunita'",IF($AH280&lt;=$AA280*'Parametri Modello'!$B$69,"🔴 Sovrapprezzo","🟡 Prezzo Corretto"))),"")</f>
        <v/>
      </c>
      <c r="AJ280" t="str">
        <f t="shared" si="42"/>
        <v/>
      </c>
      <c r="AK280">
        <f t="shared" si="43"/>
        <v>1</v>
      </c>
      <c r="AL280" t="str">
        <f t="shared" si="44"/>
        <v>C|Scommessa/Riserva|1</v>
      </c>
    </row>
    <row r="281" spans="1:38" ht="14.25" customHeight="1" x14ac:dyDescent="0.25">
      <c r="A281" s="18">
        <v>7209</v>
      </c>
      <c r="B281" s="18" t="s">
        <v>17</v>
      </c>
      <c r="C281" s="18" t="s">
        <v>420</v>
      </c>
      <c r="E281" s="23" t="str">
        <f>IF(COUNTIF('Info Strategia'!$D$2:$D$51,$C281)&gt;0,"SI","NO")</f>
        <v>NO</v>
      </c>
      <c r="F281" s="24">
        <f>IFERROR(ROUND(($G281+($H281-$G281)*'Info Strategia'!$B$6)*(1+IF($E281="SI",'Parametri Modello'!$B$7*'Info Strategia'!$B$6,0)),0),"")</f>
        <v>2</v>
      </c>
      <c r="G281" s="24">
        <f>IFERROR(ROUND(MAX(1,(IF($V281&lt;=INDEX('Parametri Modello'!$C$57:$C$60,MATCH($B281,'Parametri Modello'!$A$57:$A$60,0)),IF(INDEX('Parametri Modello'!$E$57:$E$60,MATCH($B281,'Parametri Modello'!$A$57:$A$60,0))=0,0,($O281/INDEX('Parametri Modello'!$E$57:$E$60,MATCH($B281,'Parametri Modello'!$A$57:$A$60,0)))*(INDEX('Parametri Modello'!$D$57:$D$60,MATCH($B281,'Parametri Modello'!$A$57:$A$60,0))*(INDEX('Parametri Modello'!$B$50:$B$53,MATCH($B281,'Parametri Modello'!$A$50:$A$53,0))*'Parametri Modello'!$B$44))),IF(INDEX('Parametri Modello'!$F$57:$F$60,MATCH($B281,'Parametri Modello'!$A$57:$A$60,0))=0,0,($O281/INDEX('Parametri Modello'!$F$57:$F$60,MATCH($B281,'Parametri Modello'!$A$57:$A$60,0)))*((1-INDEX('Parametri Modello'!$D$57:$D$60,MATCH($B281,'Parametri Modello'!$A$57:$A$60,0)))*(INDEX('Parametri Modello'!$B$50:$B$53,MATCH($B281,'Parametri Modello'!$A$50:$A$53,0))*'Parametri Modello'!$B$44))))*(1+IF(IF($B281="D",'Info Lega'!$B$25,IF($B281="C",'Info Lega'!$B$26,"No"))="Si",'Parametri Modello'!$B$5,0))*(1+MAX(-0.25,MIN(0.25,IF(OR($T281="",$I281="",$I281=0,INDEX('Parametri Modello'!$B$19:$B$22,MATCH($B281,'Parametri Modello'!$A$19:$A$22,0))="",INDEX('Parametri Modello'!$B$19:$B$22,MATCH($B281,'Parametri Modello'!$A$19:$A$22,0))=0),0,(($T281-INDEX('Parametri Modello'!$B$19:$B$22,MATCH($B281,'Parametri Modello'!$A$19:$A$22,0)))/INDEX('Parametri Modello'!$B$19:$B$22,MATCH($B281,'Parametri Modello'!$A$19:$A$22,0)))*'Parametri Modello'!$B$9))))*(1+IF('Parametri Modello'!$B$27="Si",MAX(-'Parametri Modello'!$B$28,MIN('Parametri Modello'!$B$28*1.5,IF(OR(INDEX('Parametri Modello'!$F$32:$F$35,MATCH($B281,'Parametri Modello'!$A$32:$A$35,0))="",INDEX('Parametri Modello'!$F$32:$F$35,MATCH($B281,'Parametri Modello'!$A$32:$A$35,0))=0),0,(1/INDEX('Parametri Modello'!$F$32:$F$35,MATCH($B281,'Parametri Modello'!$A$32:$A$35,0))-1)*'Parametri Modello'!$B$28))),0)))*(1-INDEX('Parametri Modello'!$B$12:$B$15,MATCH($B281,'Parametri Modello'!$A$12:$A$15,0)))),0),"")</f>
        <v>1</v>
      </c>
      <c r="H281" s="24">
        <f>IFERROR(ROUND((IF($V281&lt;=INDEX('Parametri Modello'!$C$57:$C$60,MATCH($B281,'Parametri Modello'!$A$57:$A$60,0)),IF(INDEX('Parametri Modello'!$E$57:$E$60,MATCH($B281,'Parametri Modello'!$A$57:$A$60,0))=0,0,($O281/INDEX('Parametri Modello'!$E$57:$E$60,MATCH($B281,'Parametri Modello'!$A$57:$A$60,0)))*(INDEX('Parametri Modello'!$D$57:$D$60,MATCH($B281,'Parametri Modello'!$A$57:$A$60,0))*(INDEX('Parametri Modello'!$B$50:$B$53,MATCH($B281,'Parametri Modello'!$A$50:$A$53,0))*'Parametri Modello'!$B$44))),IF(INDEX('Parametri Modello'!$F$57:$F$60,MATCH($B281,'Parametri Modello'!$A$57:$A$60,0))=0,0,($O281/INDEX('Parametri Modello'!$F$57:$F$60,MATCH($B281,'Parametri Modello'!$A$57:$A$60,0)))*((1-INDEX('Parametri Modello'!$D$57:$D$60,MATCH($B281,'Parametri Modello'!$A$57:$A$60,0)))*(INDEX('Parametri Modello'!$B$50:$B$53,MATCH($B281,'Parametri Modello'!$A$50:$A$53,0))*'Parametri Modello'!$B$44))))*(1+IF(IF($B281="D",'Info Lega'!$B$25,IF($B281="C",'Info Lega'!$B$26,"No"))="Si",'Parametri Modello'!$B$5,0))*(1+MAX(-0.25,MIN(0.25,IF(OR($T281="",$I281="",$I281=0,INDEX('Parametri Modello'!$B$19:$B$22,MATCH($B281,'Parametri Modello'!$A$19:$A$22,0))="",INDEX('Parametri Modello'!$B$19:$B$22,MATCH($B281,'Parametri Modello'!$A$19:$A$22,0))=0),0,(($T281-INDEX('Parametri Modello'!$B$19:$B$22,MATCH($B281,'Parametri Modello'!$A$19:$A$22,0)))/INDEX('Parametri Modello'!$B$19:$B$22,MATCH($B281,'Parametri Modello'!$A$19:$A$22,0)))*'Parametri Modello'!$B$9))))*(1+IF('Parametri Modello'!$B$27="Si",MAX(-'Parametri Modello'!$B$28,MIN('Parametri Modello'!$B$28*1.5,IF(OR(INDEX('Parametri Modello'!$F$32:$F$35,MATCH($B281,'Parametri Modello'!$A$32:$A$35,0))="",INDEX('Parametri Modello'!$F$32:$F$35,MATCH($B281,'Parametri Modello'!$A$32:$A$35,0))=0),0,(1/INDEX('Parametri Modello'!$F$32:$F$35,MATCH($B281,'Parametri Modello'!$A$32:$A$35,0))-1)*'Parametri Modello'!$B$28))),0)))*(1+INDEX('Parametri Modello'!$B$12:$B$15,MATCH($B281,'Parametri Modello'!$A$12:$A$15,0))),0),"")</f>
        <v>2</v>
      </c>
      <c r="I281" s="23">
        <f>IFERROR(INDEX('Input Statistiche 2025_26'!$F$3:$F$665,MATCH($A281,'Input Statistiche 2025_26'!$A$3:$A$665,0)),"")</f>
        <v>30</v>
      </c>
      <c r="J281" s="23">
        <f t="shared" si="36"/>
        <v>8</v>
      </c>
      <c r="K281" s="23">
        <f>IFERROR(INDEX('Input Statistiche 2025_26'!$I$3:$I$665,MATCH($A281,'Input Statistiche 2025_26'!$A$3:$A$665,0)),"")</f>
        <v>1</v>
      </c>
      <c r="L281" s="23">
        <f>IFERROR(INDEX('Input Statistiche 2025_26'!$O$3:$O$665,MATCH($A281,'Input Statistiche 2025_26'!$A$3:$A$665,0)),"")</f>
        <v>1</v>
      </c>
      <c r="M281" s="25"/>
      <c r="N281" s="24">
        <f>IFERROR(INDEX('Input Giocatori 2026_27'!$E$3:$E$493,MATCH($A281,'Input Giocatori 2026_27'!$A$3:$A$493,0)),"")</f>
        <v>3</v>
      </c>
      <c r="O281" s="24">
        <f>IFERROR(INDEX('Input Giocatori 2026_27'!$G$3:$G$493,MATCH($A281,'Input Giocatori 2026_27'!$A$3:$A$493,0)),"")</f>
        <v>12</v>
      </c>
      <c r="P281" s="23" t="str">
        <f>IFERROR(IF($O281="","",IF((1-(COUNTIFS($B$2:$B$492,$B281,$O$2:$O$492,"&gt;"&amp;$O281)+1-1)/COUNTIF($B$2:$B$492,$B281))&gt;='Parametri Modello'!$B$63,"Top",IF((1-(COUNTIFS($B$2:$B$492,$B281,$O$2:$O$492,"&gt;"&amp;$O281)+1-1)/COUNTIF($B$2:$B$492,$B281))&gt;='Parametri Modello'!$B$64,"Buono",IF((1-(COUNTIFS($B$2:$B$492,$B281,$O$2:$O$492,"&gt;"&amp;$O281)+1-1)/COUNTIF($B$2:$B$492,$B281))&gt;='Parametri Modello'!$B$65,"Nella Media","Scommessa/Riserva")))),"")</f>
        <v>Scommessa/Riserva</v>
      </c>
      <c r="Q281" s="26">
        <f>IF(AND($D281="",$N281&gt;1),SUMPRODUCT(($D$2:$D281="")*($N$2:$N281&gt;1)),"")</f>
        <v>280</v>
      </c>
      <c r="R281" s="26" t="str">
        <f>IF($D281='Info Lega'!$B$28,COUNTIFS($D$2:$D281,'Info Lega'!$B$28),"")</f>
        <v/>
      </c>
      <c r="S281" s="27">
        <f>IFERROR(INDEX('Input Statistiche 2025_26'!$G$3:$G$665,MATCH($A281,'Input Statistiche 2025_26'!$A$3:$A$665,0)),"")</f>
        <v>5.85</v>
      </c>
      <c r="T281" s="27">
        <f>IFERROR(INDEX('Input Statistiche 2025_26'!$H$3:$H$665,MATCH($A281,'Input Statistiche 2025_26'!$A$3:$A$665,0)),"")</f>
        <v>5.95</v>
      </c>
      <c r="U281" s="23" t="str">
        <f>IF(OR('La Mia Rosa'!$O$12="",$D281&lt;&gt;""),"",IF($F281&lt;='La Mia Rosa'!$O$12*'Parametri Modello'!$B$24,"OK",IF($F281&lt;='La Mia Rosa'!$O$12*'Parametri Modello'!$B$25,"Attenzione","Rischio Alto")))</f>
        <v>OK</v>
      </c>
      <c r="V281" s="23">
        <f t="shared" si="37"/>
        <v>105</v>
      </c>
      <c r="W281" s="18">
        <f>'Info Lega'!$B$4-SUMIFS($M$2:$M$492,$D$2:$D$492,'Info Lega'!$B$28)</f>
        <v>1000</v>
      </c>
      <c r="X281" s="18">
        <f>('Info Lega'!$B$5-COUNTIFS($D$2:$D$492,'Info Lega'!$B$28,$B$2:$B$492,"P"))+('Info Lega'!$B$6-COUNTIFS($D$2:$D$492,'Info Lega'!$B$28,$B$2:$B$492,"D"))+('Info Lega'!$B$7-COUNTIFS($D$2:$D$492,'Info Lega'!$B$28,$B$2:$B$492,"C"))+('Info Lega'!$B$8-COUNTIFS($D$2:$D$492,'Info Lega'!$B$28,$B$2:$B$492,"A"))</f>
        <v>25</v>
      </c>
      <c r="Y281" s="18">
        <f>X281*'Parametri Modello'!$B$30</f>
        <v>25</v>
      </c>
      <c r="Z281" s="18">
        <f t="shared" si="38"/>
        <v>975</v>
      </c>
      <c r="AA281" s="18">
        <f t="shared" si="39"/>
        <v>2</v>
      </c>
      <c r="AB281" s="18"/>
      <c r="AC281" s="18" t="str">
        <f>IF($AB281="","",IF($AB281&gt;$AA281,"PASS",IF($AB281&lt;=$AA281*(1-'Parametri Modello'!$B$68),"BID","ATTENZIONE")))</f>
        <v/>
      </c>
      <c r="AD281" s="28">
        <f t="shared" si="40"/>
        <v>63</v>
      </c>
      <c r="AE281" s="5" t="str">
        <f>IFERROR(INDEX('Stato Asta'!$G$9:$G$12,MATCH($B281,'Stato Asta'!$A$9:$A$12,0)),"")</f>
        <v>🔴 Non aspettare</v>
      </c>
      <c r="AF281" t="str">
        <f>IFERROR(IF($V281&lt;=INDEX('Parametri Modello'!$C$57:$C$60,MATCH($B281,'Parametri Modello'!$A$57:$A$60,0)),"Titolare","Riserva"),"")</f>
        <v>Riserva</v>
      </c>
      <c r="AG281" t="str">
        <f>IFERROR(INDEX('Pressione Competitiva'!$F$3:$F$6,MATCH($B281,'Pressione Competitiva'!$B$3:$B$6,0)),"")</f>
        <v>🔴 Molto Alta</v>
      </c>
      <c r="AH281" t="str">
        <f t="shared" si="41"/>
        <v/>
      </c>
      <c r="AI281" t="str">
        <f>IFERROR(IF($AH281="","",IF($AH281&gt;=$AA281*'Parametri Modello'!$B$68,"🟢 Opportunita'",IF($AH281&lt;=$AA281*'Parametri Modello'!$B$69,"🔴 Sovrapprezzo","🟡 Prezzo Corretto"))),"")</f>
        <v/>
      </c>
      <c r="AJ281" t="str">
        <f t="shared" si="42"/>
        <v/>
      </c>
      <c r="AK281">
        <f t="shared" si="43"/>
        <v>1</v>
      </c>
      <c r="AL281" t="str">
        <f t="shared" si="44"/>
        <v>C|Scommessa/Riserva|1</v>
      </c>
    </row>
    <row r="282" spans="1:38" ht="14.25" customHeight="1" x14ac:dyDescent="0.25">
      <c r="A282" s="18">
        <v>7536</v>
      </c>
      <c r="B282" s="18" t="s">
        <v>17</v>
      </c>
      <c r="C282" s="18" t="s">
        <v>421</v>
      </c>
      <c r="E282" s="23" t="str">
        <f>IF(COUNTIF('Info Strategia'!$D$2:$D$51,$C282)&gt;0,"SI","NO")</f>
        <v>NO</v>
      </c>
      <c r="F282" s="24">
        <f>IFERROR(ROUND(($G282+($H282-$G282)*'Info Strategia'!$B$6)*(1+IF($E282="SI",'Parametri Modello'!$B$7*'Info Strategia'!$B$6,0)),0),"")</f>
        <v>2</v>
      </c>
      <c r="G282" s="24">
        <f>IFERROR(ROUND(MAX(1,(IF($V282&lt;=INDEX('Parametri Modello'!$C$57:$C$60,MATCH($B282,'Parametri Modello'!$A$57:$A$60,0)),IF(INDEX('Parametri Modello'!$E$57:$E$60,MATCH($B282,'Parametri Modello'!$A$57:$A$60,0))=0,0,($O282/INDEX('Parametri Modello'!$E$57:$E$60,MATCH($B282,'Parametri Modello'!$A$57:$A$60,0)))*(INDEX('Parametri Modello'!$D$57:$D$60,MATCH($B282,'Parametri Modello'!$A$57:$A$60,0))*(INDEX('Parametri Modello'!$B$50:$B$53,MATCH($B282,'Parametri Modello'!$A$50:$A$53,0))*'Parametri Modello'!$B$44))),IF(INDEX('Parametri Modello'!$F$57:$F$60,MATCH($B282,'Parametri Modello'!$A$57:$A$60,0))=0,0,($O282/INDEX('Parametri Modello'!$F$57:$F$60,MATCH($B282,'Parametri Modello'!$A$57:$A$60,0)))*((1-INDEX('Parametri Modello'!$D$57:$D$60,MATCH($B282,'Parametri Modello'!$A$57:$A$60,0)))*(INDEX('Parametri Modello'!$B$50:$B$53,MATCH($B282,'Parametri Modello'!$A$50:$A$53,0))*'Parametri Modello'!$B$44))))*(1+IF(IF($B282="D",'Info Lega'!$B$25,IF($B282="C",'Info Lega'!$B$26,"No"))="Si",'Parametri Modello'!$B$5,0))*(1+MAX(-0.25,MIN(0.25,IF(OR($T282="",$I282="",$I282=0,INDEX('Parametri Modello'!$B$19:$B$22,MATCH($B282,'Parametri Modello'!$A$19:$A$22,0))="",INDEX('Parametri Modello'!$B$19:$B$22,MATCH($B282,'Parametri Modello'!$A$19:$A$22,0))=0),0,(($T282-INDEX('Parametri Modello'!$B$19:$B$22,MATCH($B282,'Parametri Modello'!$A$19:$A$22,0)))/INDEX('Parametri Modello'!$B$19:$B$22,MATCH($B282,'Parametri Modello'!$A$19:$A$22,0)))*'Parametri Modello'!$B$9))))*(1+IF('Parametri Modello'!$B$27="Si",MAX(-'Parametri Modello'!$B$28,MIN('Parametri Modello'!$B$28*1.5,IF(OR(INDEX('Parametri Modello'!$F$32:$F$35,MATCH($B282,'Parametri Modello'!$A$32:$A$35,0))="",INDEX('Parametri Modello'!$F$32:$F$35,MATCH($B282,'Parametri Modello'!$A$32:$A$35,0))=0),0,(1/INDEX('Parametri Modello'!$F$32:$F$35,MATCH($B282,'Parametri Modello'!$A$32:$A$35,0))-1)*'Parametri Modello'!$B$28))),0)))*(1-INDEX('Parametri Modello'!$B$12:$B$15,MATCH($B282,'Parametri Modello'!$A$12:$A$15,0)))),0),"")</f>
        <v>1</v>
      </c>
      <c r="H282" s="24">
        <f>IFERROR(ROUND((IF($V282&lt;=INDEX('Parametri Modello'!$C$57:$C$60,MATCH($B282,'Parametri Modello'!$A$57:$A$60,0)),IF(INDEX('Parametri Modello'!$E$57:$E$60,MATCH($B282,'Parametri Modello'!$A$57:$A$60,0))=0,0,($O282/INDEX('Parametri Modello'!$E$57:$E$60,MATCH($B282,'Parametri Modello'!$A$57:$A$60,0)))*(INDEX('Parametri Modello'!$D$57:$D$60,MATCH($B282,'Parametri Modello'!$A$57:$A$60,0))*(INDEX('Parametri Modello'!$B$50:$B$53,MATCH($B282,'Parametri Modello'!$A$50:$A$53,0))*'Parametri Modello'!$B$44))),IF(INDEX('Parametri Modello'!$F$57:$F$60,MATCH($B282,'Parametri Modello'!$A$57:$A$60,0))=0,0,($O282/INDEX('Parametri Modello'!$F$57:$F$60,MATCH($B282,'Parametri Modello'!$A$57:$A$60,0)))*((1-INDEX('Parametri Modello'!$D$57:$D$60,MATCH($B282,'Parametri Modello'!$A$57:$A$60,0)))*(INDEX('Parametri Modello'!$B$50:$B$53,MATCH($B282,'Parametri Modello'!$A$50:$A$53,0))*'Parametri Modello'!$B$44))))*(1+IF(IF($B282="D",'Info Lega'!$B$25,IF($B282="C",'Info Lega'!$B$26,"No"))="Si",'Parametri Modello'!$B$5,0))*(1+MAX(-0.25,MIN(0.25,IF(OR($T282="",$I282="",$I282=0,INDEX('Parametri Modello'!$B$19:$B$22,MATCH($B282,'Parametri Modello'!$A$19:$A$22,0))="",INDEX('Parametri Modello'!$B$19:$B$22,MATCH($B282,'Parametri Modello'!$A$19:$A$22,0))=0),0,(($T282-INDEX('Parametri Modello'!$B$19:$B$22,MATCH($B282,'Parametri Modello'!$A$19:$A$22,0)))/INDEX('Parametri Modello'!$B$19:$B$22,MATCH($B282,'Parametri Modello'!$A$19:$A$22,0)))*'Parametri Modello'!$B$9))))*(1+IF('Parametri Modello'!$B$27="Si",MAX(-'Parametri Modello'!$B$28,MIN('Parametri Modello'!$B$28*1.5,IF(OR(INDEX('Parametri Modello'!$F$32:$F$35,MATCH($B282,'Parametri Modello'!$A$32:$A$35,0))="",INDEX('Parametri Modello'!$F$32:$F$35,MATCH($B282,'Parametri Modello'!$A$32:$A$35,0))=0),0,(1/INDEX('Parametri Modello'!$F$32:$F$35,MATCH($B282,'Parametri Modello'!$A$32:$A$35,0))-1)*'Parametri Modello'!$B$28))),0)))*(1+INDEX('Parametri Modello'!$B$12:$B$15,MATCH($B282,'Parametri Modello'!$A$12:$A$15,0))),0),"")</f>
        <v>2</v>
      </c>
      <c r="I282" s="23" t="str">
        <f>IFERROR(INDEX('Input Statistiche 2025_26'!$F$3:$F$665,MATCH($A282,'Input Statistiche 2025_26'!$A$3:$A$665,0)),"")</f>
        <v/>
      </c>
      <c r="J282" s="23" t="str">
        <f t="shared" si="36"/>
        <v/>
      </c>
      <c r="K282" s="23" t="str">
        <f>IFERROR(INDEX('Input Statistiche 2025_26'!$I$3:$I$665,MATCH($A282,'Input Statistiche 2025_26'!$A$3:$A$665,0)),"")</f>
        <v/>
      </c>
      <c r="L282" s="23" t="str">
        <f>IFERROR(INDEX('Input Statistiche 2025_26'!$O$3:$O$665,MATCH($A282,'Input Statistiche 2025_26'!$A$3:$A$665,0)),"")</f>
        <v/>
      </c>
      <c r="M282" s="25"/>
      <c r="N282" s="24">
        <f>IFERROR(INDEX('Input Giocatori 2026_27'!$E$3:$E$493,MATCH($A282,'Input Giocatori 2026_27'!$A$3:$A$493,0)),"")</f>
        <v>3</v>
      </c>
      <c r="O282" s="24">
        <f>IFERROR(INDEX('Input Giocatori 2026_27'!$G$3:$G$493,MATCH($A282,'Input Giocatori 2026_27'!$A$3:$A$493,0)),"")</f>
        <v>12</v>
      </c>
      <c r="P282" s="23" t="str">
        <f>IFERROR(IF($O282="","",IF((1-(COUNTIFS($B$2:$B$492,$B282,$O$2:$O$492,"&gt;"&amp;$O282)+1-1)/COUNTIF($B$2:$B$492,$B282))&gt;='Parametri Modello'!$B$63,"Top",IF((1-(COUNTIFS($B$2:$B$492,$B282,$O$2:$O$492,"&gt;"&amp;$O282)+1-1)/COUNTIF($B$2:$B$492,$B282))&gt;='Parametri Modello'!$B$64,"Buono",IF((1-(COUNTIFS($B$2:$B$492,$B282,$O$2:$O$492,"&gt;"&amp;$O282)+1-1)/COUNTIF($B$2:$B$492,$B282))&gt;='Parametri Modello'!$B$65,"Nella Media","Scommessa/Riserva")))),"")</f>
        <v>Scommessa/Riserva</v>
      </c>
      <c r="Q282" s="26">
        <f>IF(AND($D282="",$N282&gt;1),SUMPRODUCT(($D$2:$D282="")*($N$2:$N282&gt;1)),"")</f>
        <v>281</v>
      </c>
      <c r="R282" s="26" t="str">
        <f>IF($D282='Info Lega'!$B$28,COUNTIFS($D$2:$D282,'Info Lega'!$B$28),"")</f>
        <v/>
      </c>
      <c r="S282" s="27" t="str">
        <f>IFERROR(INDEX('Input Statistiche 2025_26'!$G$3:$G$665,MATCH($A282,'Input Statistiche 2025_26'!$A$3:$A$665,0)),"")</f>
        <v/>
      </c>
      <c r="T282" s="27" t="str">
        <f>IFERROR(INDEX('Input Statistiche 2025_26'!$H$3:$H$665,MATCH($A282,'Input Statistiche 2025_26'!$A$3:$A$665,0)),"")</f>
        <v/>
      </c>
      <c r="U282" s="23" t="str">
        <f>IF(OR('La Mia Rosa'!$O$12="",$D282&lt;&gt;""),"",IF($F282&lt;='La Mia Rosa'!$O$12*'Parametri Modello'!$B$24,"OK",IF($F282&lt;='La Mia Rosa'!$O$12*'Parametri Modello'!$B$25,"Attenzione","Rischio Alto")))</f>
        <v>OK</v>
      </c>
      <c r="V282" s="23">
        <f t="shared" si="37"/>
        <v>105</v>
      </c>
      <c r="W282" s="18">
        <f>'Info Lega'!$B$4-SUMIFS($M$2:$M$492,$D$2:$D$492,'Info Lega'!$B$28)</f>
        <v>1000</v>
      </c>
      <c r="X282" s="18">
        <f>('Info Lega'!$B$5-COUNTIFS($D$2:$D$492,'Info Lega'!$B$28,$B$2:$B$492,"P"))+('Info Lega'!$B$6-COUNTIFS($D$2:$D$492,'Info Lega'!$B$28,$B$2:$B$492,"D"))+('Info Lega'!$B$7-COUNTIFS($D$2:$D$492,'Info Lega'!$B$28,$B$2:$B$492,"C"))+('Info Lega'!$B$8-COUNTIFS($D$2:$D$492,'Info Lega'!$B$28,$B$2:$B$492,"A"))</f>
        <v>25</v>
      </c>
      <c r="Y282" s="18">
        <f>X282*'Parametri Modello'!$B$30</f>
        <v>25</v>
      </c>
      <c r="Z282" s="18">
        <f t="shared" si="38"/>
        <v>975</v>
      </c>
      <c r="AA282" s="18">
        <f t="shared" si="39"/>
        <v>2</v>
      </c>
      <c r="AB282" s="18"/>
      <c r="AC282" s="18" t="str">
        <f>IF($AB282="","",IF($AB282&gt;$AA282,"PASS",IF($AB282&lt;=$AA282*(1-'Parametri Modello'!$B$68),"BID","ATTENZIONE")))</f>
        <v/>
      </c>
      <c r="AD282" s="28" t="str">
        <f t="shared" si="40"/>
        <v/>
      </c>
      <c r="AE282" s="5" t="str">
        <f>IFERROR(INDEX('Stato Asta'!$G$9:$G$12,MATCH($B282,'Stato Asta'!$A$9:$A$12,0)),"")</f>
        <v>🔴 Non aspettare</v>
      </c>
      <c r="AF282" t="str">
        <f>IFERROR(IF($V282&lt;=INDEX('Parametri Modello'!$C$57:$C$60,MATCH($B282,'Parametri Modello'!$A$57:$A$60,0)),"Titolare","Riserva"),"")</f>
        <v>Riserva</v>
      </c>
      <c r="AG282" t="str">
        <f>IFERROR(INDEX('Pressione Competitiva'!$F$3:$F$6,MATCH($B282,'Pressione Competitiva'!$B$3:$B$6,0)),"")</f>
        <v>🔴 Molto Alta</v>
      </c>
      <c r="AH282" t="str">
        <f t="shared" si="41"/>
        <v/>
      </c>
      <c r="AI282" t="str">
        <f>IFERROR(IF($AH282="","",IF($AH282&gt;=$AA282*'Parametri Modello'!$B$68,"🟢 Opportunita'",IF($AH282&lt;=$AA282*'Parametri Modello'!$B$69,"🔴 Sovrapprezzo","🟡 Prezzo Corretto"))),"")</f>
        <v/>
      </c>
      <c r="AJ282" t="str">
        <f t="shared" si="42"/>
        <v/>
      </c>
      <c r="AK282">
        <f t="shared" si="43"/>
        <v>1</v>
      </c>
      <c r="AL282" t="str">
        <f t="shared" si="44"/>
        <v>C|Scommessa/Riserva|1</v>
      </c>
    </row>
    <row r="283" spans="1:38" ht="14.25" customHeight="1" x14ac:dyDescent="0.25">
      <c r="A283" s="18">
        <v>7208</v>
      </c>
      <c r="B283" s="18" t="s">
        <v>17</v>
      </c>
      <c r="C283" s="18" t="s">
        <v>422</v>
      </c>
      <c r="E283" s="23" t="str">
        <f>IF(COUNTIF('Info Strategia'!$D$2:$D$51,$C283)&gt;0,"SI","NO")</f>
        <v>NO</v>
      </c>
      <c r="F283" s="24">
        <f>IFERROR(ROUND(($G283+($H283-$G283)*'Info Strategia'!$B$6)*(1+IF($E283="SI",'Parametri Modello'!$B$7*'Info Strategia'!$B$6,0)),0),"")</f>
        <v>2</v>
      </c>
      <c r="G283" s="24">
        <f>IFERROR(ROUND(MAX(1,(IF($V283&lt;=INDEX('Parametri Modello'!$C$57:$C$60,MATCH($B283,'Parametri Modello'!$A$57:$A$60,0)),IF(INDEX('Parametri Modello'!$E$57:$E$60,MATCH($B283,'Parametri Modello'!$A$57:$A$60,0))=0,0,($O283/INDEX('Parametri Modello'!$E$57:$E$60,MATCH($B283,'Parametri Modello'!$A$57:$A$60,0)))*(INDEX('Parametri Modello'!$D$57:$D$60,MATCH($B283,'Parametri Modello'!$A$57:$A$60,0))*(INDEX('Parametri Modello'!$B$50:$B$53,MATCH($B283,'Parametri Modello'!$A$50:$A$53,0))*'Parametri Modello'!$B$44))),IF(INDEX('Parametri Modello'!$F$57:$F$60,MATCH($B283,'Parametri Modello'!$A$57:$A$60,0))=0,0,($O283/INDEX('Parametri Modello'!$F$57:$F$60,MATCH($B283,'Parametri Modello'!$A$57:$A$60,0)))*((1-INDEX('Parametri Modello'!$D$57:$D$60,MATCH($B283,'Parametri Modello'!$A$57:$A$60,0)))*(INDEX('Parametri Modello'!$B$50:$B$53,MATCH($B283,'Parametri Modello'!$A$50:$A$53,0))*'Parametri Modello'!$B$44))))*(1+IF(IF($B283="D",'Info Lega'!$B$25,IF($B283="C",'Info Lega'!$B$26,"No"))="Si",'Parametri Modello'!$B$5,0))*(1+MAX(-0.25,MIN(0.25,IF(OR($T283="",$I283="",$I283=0,INDEX('Parametri Modello'!$B$19:$B$22,MATCH($B283,'Parametri Modello'!$A$19:$A$22,0))="",INDEX('Parametri Modello'!$B$19:$B$22,MATCH($B283,'Parametri Modello'!$A$19:$A$22,0))=0),0,(($T283-INDEX('Parametri Modello'!$B$19:$B$22,MATCH($B283,'Parametri Modello'!$A$19:$A$22,0)))/INDEX('Parametri Modello'!$B$19:$B$22,MATCH($B283,'Parametri Modello'!$A$19:$A$22,0)))*'Parametri Modello'!$B$9))))*(1+IF('Parametri Modello'!$B$27="Si",MAX(-'Parametri Modello'!$B$28,MIN('Parametri Modello'!$B$28*1.5,IF(OR(INDEX('Parametri Modello'!$F$32:$F$35,MATCH($B283,'Parametri Modello'!$A$32:$A$35,0))="",INDEX('Parametri Modello'!$F$32:$F$35,MATCH($B283,'Parametri Modello'!$A$32:$A$35,0))=0),0,(1/INDEX('Parametri Modello'!$F$32:$F$35,MATCH($B283,'Parametri Modello'!$A$32:$A$35,0))-1)*'Parametri Modello'!$B$28))),0)))*(1-INDEX('Parametri Modello'!$B$12:$B$15,MATCH($B283,'Parametri Modello'!$A$12:$A$15,0)))),0),"")</f>
        <v>1</v>
      </c>
      <c r="H283" s="24">
        <f>IFERROR(ROUND((IF($V283&lt;=INDEX('Parametri Modello'!$C$57:$C$60,MATCH($B283,'Parametri Modello'!$A$57:$A$60,0)),IF(INDEX('Parametri Modello'!$E$57:$E$60,MATCH($B283,'Parametri Modello'!$A$57:$A$60,0))=0,0,($O283/INDEX('Parametri Modello'!$E$57:$E$60,MATCH($B283,'Parametri Modello'!$A$57:$A$60,0)))*(INDEX('Parametri Modello'!$D$57:$D$60,MATCH($B283,'Parametri Modello'!$A$57:$A$60,0))*(INDEX('Parametri Modello'!$B$50:$B$53,MATCH($B283,'Parametri Modello'!$A$50:$A$53,0))*'Parametri Modello'!$B$44))),IF(INDEX('Parametri Modello'!$F$57:$F$60,MATCH($B283,'Parametri Modello'!$A$57:$A$60,0))=0,0,($O283/INDEX('Parametri Modello'!$F$57:$F$60,MATCH($B283,'Parametri Modello'!$A$57:$A$60,0)))*((1-INDEX('Parametri Modello'!$D$57:$D$60,MATCH($B283,'Parametri Modello'!$A$57:$A$60,0)))*(INDEX('Parametri Modello'!$B$50:$B$53,MATCH($B283,'Parametri Modello'!$A$50:$A$53,0))*'Parametri Modello'!$B$44))))*(1+IF(IF($B283="D",'Info Lega'!$B$25,IF($B283="C",'Info Lega'!$B$26,"No"))="Si",'Parametri Modello'!$B$5,0))*(1+MAX(-0.25,MIN(0.25,IF(OR($T283="",$I283="",$I283=0,INDEX('Parametri Modello'!$B$19:$B$22,MATCH($B283,'Parametri Modello'!$A$19:$A$22,0))="",INDEX('Parametri Modello'!$B$19:$B$22,MATCH($B283,'Parametri Modello'!$A$19:$A$22,0))=0),0,(($T283-INDEX('Parametri Modello'!$B$19:$B$22,MATCH($B283,'Parametri Modello'!$A$19:$A$22,0)))/INDEX('Parametri Modello'!$B$19:$B$22,MATCH($B283,'Parametri Modello'!$A$19:$A$22,0)))*'Parametri Modello'!$B$9))))*(1+IF('Parametri Modello'!$B$27="Si",MAX(-'Parametri Modello'!$B$28,MIN('Parametri Modello'!$B$28*1.5,IF(OR(INDEX('Parametri Modello'!$F$32:$F$35,MATCH($B283,'Parametri Modello'!$A$32:$A$35,0))="",INDEX('Parametri Modello'!$F$32:$F$35,MATCH($B283,'Parametri Modello'!$A$32:$A$35,0))=0),0,(1/INDEX('Parametri Modello'!$F$32:$F$35,MATCH($B283,'Parametri Modello'!$A$32:$A$35,0))-1)*'Parametri Modello'!$B$28))),0)))*(1+INDEX('Parametri Modello'!$B$12:$B$15,MATCH($B283,'Parametri Modello'!$A$12:$A$15,0))),0),"")</f>
        <v>2</v>
      </c>
      <c r="I283" s="23">
        <f>IFERROR(INDEX('Input Statistiche 2025_26'!$F$3:$F$665,MATCH($A283,'Input Statistiche 2025_26'!$A$3:$A$665,0)),"")</f>
        <v>19</v>
      </c>
      <c r="J283" s="23">
        <f t="shared" si="36"/>
        <v>19</v>
      </c>
      <c r="K283" s="23">
        <f>IFERROR(INDEX('Input Statistiche 2025_26'!$I$3:$I$665,MATCH($A283,'Input Statistiche 2025_26'!$A$3:$A$665,0)),"")</f>
        <v>0</v>
      </c>
      <c r="L283" s="23">
        <f>IFERROR(INDEX('Input Statistiche 2025_26'!$O$3:$O$665,MATCH($A283,'Input Statistiche 2025_26'!$A$3:$A$665,0)),"")</f>
        <v>2</v>
      </c>
      <c r="M283" s="25"/>
      <c r="N283" s="24">
        <f>IFERROR(INDEX('Input Giocatori 2026_27'!$E$3:$E$493,MATCH($A283,'Input Giocatori 2026_27'!$A$3:$A$493,0)),"")</f>
        <v>3</v>
      </c>
      <c r="O283" s="24">
        <f>IFERROR(INDEX('Input Giocatori 2026_27'!$G$3:$G$493,MATCH($A283,'Input Giocatori 2026_27'!$A$3:$A$493,0)),"")</f>
        <v>12</v>
      </c>
      <c r="P283" s="23" t="str">
        <f>IFERROR(IF($O283="","",IF((1-(COUNTIFS($B$2:$B$492,$B283,$O$2:$O$492,"&gt;"&amp;$O283)+1-1)/COUNTIF($B$2:$B$492,$B283))&gt;='Parametri Modello'!$B$63,"Top",IF((1-(COUNTIFS($B$2:$B$492,$B283,$O$2:$O$492,"&gt;"&amp;$O283)+1-1)/COUNTIF($B$2:$B$492,$B283))&gt;='Parametri Modello'!$B$64,"Buono",IF((1-(COUNTIFS($B$2:$B$492,$B283,$O$2:$O$492,"&gt;"&amp;$O283)+1-1)/COUNTIF($B$2:$B$492,$B283))&gt;='Parametri Modello'!$B$65,"Nella Media","Scommessa/Riserva")))),"")</f>
        <v>Scommessa/Riserva</v>
      </c>
      <c r="Q283" s="26">
        <f>IF(AND($D283="",$N283&gt;1),SUMPRODUCT(($D$2:$D283="")*($N$2:$N283&gt;1)),"")</f>
        <v>282</v>
      </c>
      <c r="R283" s="26" t="str">
        <f>IF($D283='Info Lega'!$B$28,COUNTIFS($D$2:$D283,'Info Lega'!$B$28),"")</f>
        <v/>
      </c>
      <c r="S283" s="27">
        <f>IFERROR(INDEX('Input Statistiche 2025_26'!$G$3:$G$665,MATCH($A283,'Input Statistiche 2025_26'!$A$3:$A$665,0)),"")</f>
        <v>5.92</v>
      </c>
      <c r="T283" s="27">
        <f>IFERROR(INDEX('Input Statistiche 2025_26'!$H$3:$H$665,MATCH($A283,'Input Statistiche 2025_26'!$A$3:$A$665,0)),"")</f>
        <v>5.95</v>
      </c>
      <c r="U283" s="23" t="str">
        <f>IF(OR('La Mia Rosa'!$O$12="",$D283&lt;&gt;""),"",IF($F283&lt;='La Mia Rosa'!$O$12*'Parametri Modello'!$B$24,"OK",IF($F283&lt;='La Mia Rosa'!$O$12*'Parametri Modello'!$B$25,"Attenzione","Rischio Alto")))</f>
        <v>OK</v>
      </c>
      <c r="V283" s="23">
        <f t="shared" si="37"/>
        <v>105</v>
      </c>
      <c r="W283" s="18">
        <f>'Info Lega'!$B$4-SUMIFS($M$2:$M$492,$D$2:$D$492,'Info Lega'!$B$28)</f>
        <v>1000</v>
      </c>
      <c r="X283" s="18">
        <f>('Info Lega'!$B$5-COUNTIFS($D$2:$D$492,'Info Lega'!$B$28,$B$2:$B$492,"P"))+('Info Lega'!$B$6-COUNTIFS($D$2:$D$492,'Info Lega'!$B$28,$B$2:$B$492,"D"))+('Info Lega'!$B$7-COUNTIFS($D$2:$D$492,'Info Lega'!$B$28,$B$2:$B$492,"C"))+('Info Lega'!$B$8-COUNTIFS($D$2:$D$492,'Info Lega'!$B$28,$B$2:$B$492,"A"))</f>
        <v>25</v>
      </c>
      <c r="Y283" s="18">
        <f>X283*'Parametri Modello'!$B$30</f>
        <v>25</v>
      </c>
      <c r="Z283" s="18">
        <f t="shared" si="38"/>
        <v>975</v>
      </c>
      <c r="AA283" s="18">
        <f t="shared" si="39"/>
        <v>2</v>
      </c>
      <c r="AB283" s="18"/>
      <c r="AC283" s="18" t="str">
        <f>IF($AB283="","",IF($AB283&gt;$AA283,"PASS",IF($AB283&lt;=$AA283*(1-'Parametri Modello'!$B$68),"BID","ATTENZIONE")))</f>
        <v/>
      </c>
      <c r="AD283" s="28">
        <f t="shared" si="40"/>
        <v>47</v>
      </c>
      <c r="AE283" s="5" t="str">
        <f>IFERROR(INDEX('Stato Asta'!$G$9:$G$12,MATCH($B283,'Stato Asta'!$A$9:$A$12,0)),"")</f>
        <v>🔴 Non aspettare</v>
      </c>
      <c r="AF283" t="str">
        <f>IFERROR(IF($V283&lt;=INDEX('Parametri Modello'!$C$57:$C$60,MATCH($B283,'Parametri Modello'!$A$57:$A$60,0)),"Titolare","Riserva"),"")</f>
        <v>Riserva</v>
      </c>
      <c r="AG283" t="str">
        <f>IFERROR(INDEX('Pressione Competitiva'!$F$3:$F$6,MATCH($B283,'Pressione Competitiva'!$B$3:$B$6,0)),"")</f>
        <v>🔴 Molto Alta</v>
      </c>
      <c r="AH283" t="str">
        <f t="shared" si="41"/>
        <v/>
      </c>
      <c r="AI283" t="str">
        <f>IFERROR(IF($AH283="","",IF($AH283&gt;=$AA283*'Parametri Modello'!$B$68,"🟢 Opportunita'",IF($AH283&lt;=$AA283*'Parametri Modello'!$B$69,"🔴 Sovrapprezzo","🟡 Prezzo Corretto"))),"")</f>
        <v/>
      </c>
      <c r="AJ283" t="str">
        <f t="shared" si="42"/>
        <v/>
      </c>
      <c r="AK283">
        <f t="shared" si="43"/>
        <v>1</v>
      </c>
      <c r="AL283" t="str">
        <f t="shared" si="44"/>
        <v>C|Scommessa/Riserva|1</v>
      </c>
    </row>
    <row r="284" spans="1:38" ht="14.25" customHeight="1" x14ac:dyDescent="0.25">
      <c r="A284" s="18">
        <v>6495</v>
      </c>
      <c r="B284" s="18" t="s">
        <v>16</v>
      </c>
      <c r="C284" s="18" t="s">
        <v>423</v>
      </c>
      <c r="E284" s="23" t="str">
        <f>IF(COUNTIF('Info Strategia'!$D$2:$D$51,$C284)&gt;0,"SI","NO")</f>
        <v>NO</v>
      </c>
      <c r="F284" s="24">
        <f>IFERROR(ROUND(($G284+($H284-$G284)*'Info Strategia'!$B$6)*(1+IF($E284="SI",'Parametri Modello'!$B$7*'Info Strategia'!$B$6,0)),0),"")</f>
        <v>2</v>
      </c>
      <c r="G284" s="24">
        <f>IFERROR(ROUND(MAX(1,(IF($V284&lt;=INDEX('Parametri Modello'!$C$57:$C$60,MATCH($B284,'Parametri Modello'!$A$57:$A$60,0)),IF(INDEX('Parametri Modello'!$E$57:$E$60,MATCH($B284,'Parametri Modello'!$A$57:$A$60,0))=0,0,($O284/INDEX('Parametri Modello'!$E$57:$E$60,MATCH($B284,'Parametri Modello'!$A$57:$A$60,0)))*(INDEX('Parametri Modello'!$D$57:$D$60,MATCH($B284,'Parametri Modello'!$A$57:$A$60,0))*(INDEX('Parametri Modello'!$B$50:$B$53,MATCH($B284,'Parametri Modello'!$A$50:$A$53,0))*'Parametri Modello'!$B$44))),IF(INDEX('Parametri Modello'!$F$57:$F$60,MATCH($B284,'Parametri Modello'!$A$57:$A$60,0))=0,0,($O284/INDEX('Parametri Modello'!$F$57:$F$60,MATCH($B284,'Parametri Modello'!$A$57:$A$60,0)))*((1-INDEX('Parametri Modello'!$D$57:$D$60,MATCH($B284,'Parametri Modello'!$A$57:$A$60,0)))*(INDEX('Parametri Modello'!$B$50:$B$53,MATCH($B284,'Parametri Modello'!$A$50:$A$53,0))*'Parametri Modello'!$B$44))))*(1+IF(IF($B284="D",'Info Lega'!$B$25,IF($B284="C",'Info Lega'!$B$26,"No"))="Si",'Parametri Modello'!$B$5,0))*(1+MAX(-0.25,MIN(0.25,IF(OR($T284="",$I284="",$I284=0,INDEX('Parametri Modello'!$B$19:$B$22,MATCH($B284,'Parametri Modello'!$A$19:$A$22,0))="",INDEX('Parametri Modello'!$B$19:$B$22,MATCH($B284,'Parametri Modello'!$A$19:$A$22,0))=0),0,(($T284-INDEX('Parametri Modello'!$B$19:$B$22,MATCH($B284,'Parametri Modello'!$A$19:$A$22,0)))/INDEX('Parametri Modello'!$B$19:$B$22,MATCH($B284,'Parametri Modello'!$A$19:$A$22,0)))*'Parametri Modello'!$B$9))))*(1+IF('Parametri Modello'!$B$27="Si",MAX(-'Parametri Modello'!$B$28,MIN('Parametri Modello'!$B$28*1.5,IF(OR(INDEX('Parametri Modello'!$F$32:$F$35,MATCH($B284,'Parametri Modello'!$A$32:$A$35,0))="",INDEX('Parametri Modello'!$F$32:$F$35,MATCH($B284,'Parametri Modello'!$A$32:$A$35,0))=0),0,(1/INDEX('Parametri Modello'!$F$32:$F$35,MATCH($B284,'Parametri Modello'!$A$32:$A$35,0))-1)*'Parametri Modello'!$B$28))),0)))*(1-INDEX('Parametri Modello'!$B$12:$B$15,MATCH($B284,'Parametri Modello'!$A$12:$A$15,0)))),0),"")</f>
        <v>1</v>
      </c>
      <c r="H284" s="24">
        <f>IFERROR(ROUND((IF($V284&lt;=INDEX('Parametri Modello'!$C$57:$C$60,MATCH($B284,'Parametri Modello'!$A$57:$A$60,0)),IF(INDEX('Parametri Modello'!$E$57:$E$60,MATCH($B284,'Parametri Modello'!$A$57:$A$60,0))=0,0,($O284/INDEX('Parametri Modello'!$E$57:$E$60,MATCH($B284,'Parametri Modello'!$A$57:$A$60,0)))*(INDEX('Parametri Modello'!$D$57:$D$60,MATCH($B284,'Parametri Modello'!$A$57:$A$60,0))*(INDEX('Parametri Modello'!$B$50:$B$53,MATCH($B284,'Parametri Modello'!$A$50:$A$53,0))*'Parametri Modello'!$B$44))),IF(INDEX('Parametri Modello'!$F$57:$F$60,MATCH($B284,'Parametri Modello'!$A$57:$A$60,0))=0,0,($O284/INDEX('Parametri Modello'!$F$57:$F$60,MATCH($B284,'Parametri Modello'!$A$57:$A$60,0)))*((1-INDEX('Parametri Modello'!$D$57:$D$60,MATCH($B284,'Parametri Modello'!$A$57:$A$60,0)))*(INDEX('Parametri Modello'!$B$50:$B$53,MATCH($B284,'Parametri Modello'!$A$50:$A$53,0))*'Parametri Modello'!$B$44))))*(1+IF(IF($B284="D",'Info Lega'!$B$25,IF($B284="C",'Info Lega'!$B$26,"No"))="Si",'Parametri Modello'!$B$5,0))*(1+MAX(-0.25,MIN(0.25,IF(OR($T284="",$I284="",$I284=0,INDEX('Parametri Modello'!$B$19:$B$22,MATCH($B284,'Parametri Modello'!$A$19:$A$22,0))="",INDEX('Parametri Modello'!$B$19:$B$22,MATCH($B284,'Parametri Modello'!$A$19:$A$22,0))=0),0,(($T284-INDEX('Parametri Modello'!$B$19:$B$22,MATCH($B284,'Parametri Modello'!$A$19:$A$22,0)))/INDEX('Parametri Modello'!$B$19:$B$22,MATCH($B284,'Parametri Modello'!$A$19:$A$22,0)))*'Parametri Modello'!$B$9))))*(1+IF('Parametri Modello'!$B$27="Si",MAX(-'Parametri Modello'!$B$28,MIN('Parametri Modello'!$B$28*1.5,IF(OR(INDEX('Parametri Modello'!$F$32:$F$35,MATCH($B284,'Parametri Modello'!$A$32:$A$35,0))="",INDEX('Parametri Modello'!$F$32:$F$35,MATCH($B284,'Parametri Modello'!$A$32:$A$35,0))=0),0,(1/INDEX('Parametri Modello'!$F$32:$F$35,MATCH($B284,'Parametri Modello'!$A$32:$A$35,0))-1)*'Parametri Modello'!$B$28))),0)))*(1+INDEX('Parametri Modello'!$B$12:$B$15,MATCH($B284,'Parametri Modello'!$A$12:$A$15,0))),0),"")</f>
        <v>2</v>
      </c>
      <c r="I284" s="23">
        <f>IFERROR(INDEX('Input Statistiche 2025_26'!$F$3:$F$665,MATCH($A284,'Input Statistiche 2025_26'!$A$3:$A$665,0)),"")</f>
        <v>24</v>
      </c>
      <c r="J284" s="23">
        <f t="shared" si="36"/>
        <v>14</v>
      </c>
      <c r="K284" s="23">
        <f>IFERROR(INDEX('Input Statistiche 2025_26'!$I$3:$I$665,MATCH($A284,'Input Statistiche 2025_26'!$A$3:$A$665,0)),"")</f>
        <v>1</v>
      </c>
      <c r="L284" s="23">
        <f>IFERROR(INDEX('Input Statistiche 2025_26'!$O$3:$O$665,MATCH($A284,'Input Statistiche 2025_26'!$A$3:$A$665,0)),"")</f>
        <v>0</v>
      </c>
      <c r="M284" s="25"/>
      <c r="N284" s="24">
        <f>IFERROR(INDEX('Input Giocatori 2026_27'!$E$3:$E$493,MATCH($A284,'Input Giocatori 2026_27'!$A$3:$A$493,0)),"")</f>
        <v>6</v>
      </c>
      <c r="O284" s="24">
        <f>IFERROR(INDEX('Input Giocatori 2026_27'!$G$3:$G$493,MATCH($A284,'Input Giocatori 2026_27'!$A$3:$A$493,0)),"")</f>
        <v>11</v>
      </c>
      <c r="P284" s="23" t="str">
        <f>IFERROR(IF($O284="","",IF((1-(COUNTIFS($B$2:$B$492,$B284,$O$2:$O$492,"&gt;"&amp;$O284)+1-1)/COUNTIF($B$2:$B$492,$B284))&gt;='Parametri Modello'!$B$63,"Top",IF((1-(COUNTIFS($B$2:$B$492,$B284,$O$2:$O$492,"&gt;"&amp;$O284)+1-1)/COUNTIF($B$2:$B$492,$B284))&gt;='Parametri Modello'!$B$64,"Buono",IF((1-(COUNTIFS($B$2:$B$492,$B284,$O$2:$O$492,"&gt;"&amp;$O284)+1-1)/COUNTIF($B$2:$B$492,$B284))&gt;='Parametri Modello'!$B$65,"Nella Media","Scommessa/Riserva")))),"")</f>
        <v>Nella Media</v>
      </c>
      <c r="Q284" s="26">
        <f>IF(AND($D284="",$N284&gt;1),SUMPRODUCT(($D$2:$D284="")*($N$2:$N284&gt;1)),"")</f>
        <v>283</v>
      </c>
      <c r="R284" s="26" t="str">
        <f>IF($D284='Info Lega'!$B$28,COUNTIFS($D$2:$D284,'Info Lega'!$B$28),"")</f>
        <v/>
      </c>
      <c r="S284" s="27">
        <f>IFERROR(INDEX('Input Statistiche 2025_26'!$G$3:$G$665,MATCH($A284,'Input Statistiche 2025_26'!$A$3:$A$665,0)),"")</f>
        <v>5.75</v>
      </c>
      <c r="T284" s="27">
        <f>IFERROR(INDEX('Input Statistiche 2025_26'!$H$3:$H$665,MATCH($A284,'Input Statistiche 2025_26'!$A$3:$A$665,0)),"")</f>
        <v>5.75</v>
      </c>
      <c r="U284" s="23" t="str">
        <f>IF(OR('La Mia Rosa'!$O$12="",$D284&lt;&gt;""),"",IF($F284&lt;='La Mia Rosa'!$O$12*'Parametri Modello'!$B$24,"OK",IF($F284&lt;='La Mia Rosa'!$O$12*'Parametri Modello'!$B$25,"Attenzione","Rischio Alto")))</f>
        <v>OK</v>
      </c>
      <c r="V284" s="23">
        <f t="shared" si="37"/>
        <v>90</v>
      </c>
      <c r="W284" s="18">
        <f>'Info Lega'!$B$4-SUMIFS($M$2:$M$492,$D$2:$D$492,'Info Lega'!$B$28)</f>
        <v>1000</v>
      </c>
      <c r="X284" s="18">
        <f>('Info Lega'!$B$5-COUNTIFS($D$2:$D$492,'Info Lega'!$B$28,$B$2:$B$492,"P"))+('Info Lega'!$B$6-COUNTIFS($D$2:$D$492,'Info Lega'!$B$28,$B$2:$B$492,"D"))+('Info Lega'!$B$7-COUNTIFS($D$2:$D$492,'Info Lega'!$B$28,$B$2:$B$492,"C"))+('Info Lega'!$B$8-COUNTIFS($D$2:$D$492,'Info Lega'!$B$28,$B$2:$B$492,"A"))</f>
        <v>25</v>
      </c>
      <c r="Y284" s="18">
        <f>X284*'Parametri Modello'!$B$30</f>
        <v>25</v>
      </c>
      <c r="Z284" s="18">
        <f t="shared" si="38"/>
        <v>975</v>
      </c>
      <c r="AA284" s="18">
        <f t="shared" si="39"/>
        <v>2</v>
      </c>
      <c r="AB284" s="18"/>
      <c r="AC284" s="18" t="str">
        <f>IF($AB284="","",IF($AB284&gt;$AA284,"PASS",IF($AB284&lt;=$AA284*(1-'Parametri Modello'!$B$68),"BID","ATTENZIONE")))</f>
        <v/>
      </c>
      <c r="AD284" s="28">
        <f t="shared" si="40"/>
        <v>55</v>
      </c>
      <c r="AE284" s="5" t="str">
        <f>IFERROR(INDEX('Stato Asta'!$G$9:$G$12,MATCH($B284,'Stato Asta'!$A$9:$A$12,0)),"")</f>
        <v>🔴 Non aspettare</v>
      </c>
      <c r="AF284" t="str">
        <f>IFERROR(IF($V284&lt;=INDEX('Parametri Modello'!$C$57:$C$60,MATCH($B284,'Parametri Modello'!$A$57:$A$60,0)),"Titolare","Riserva"),"")</f>
        <v>Riserva</v>
      </c>
      <c r="AG284" t="str">
        <f>IFERROR(INDEX('Pressione Competitiva'!$F$3:$F$6,MATCH($B284,'Pressione Competitiva'!$B$3:$B$6,0)),"")</f>
        <v>🔴 Molto Alta</v>
      </c>
      <c r="AH284" t="str">
        <f t="shared" si="41"/>
        <v/>
      </c>
      <c r="AI284" t="str">
        <f>IFERROR(IF($AH284="","",IF($AH284&gt;=$AA284*'Parametri Modello'!$B$68,"🟢 Opportunita'",IF($AH284&lt;=$AA284*'Parametri Modello'!$B$69,"🔴 Sovrapprezzo","🟡 Prezzo Corretto"))),"")</f>
        <v/>
      </c>
      <c r="AJ284" t="str">
        <f t="shared" si="42"/>
        <v/>
      </c>
      <c r="AK284">
        <f t="shared" si="43"/>
        <v>35</v>
      </c>
      <c r="AL284" t="str">
        <f t="shared" si="44"/>
        <v>D|Nella Media|35</v>
      </c>
    </row>
    <row r="285" spans="1:38" ht="14.25" customHeight="1" x14ac:dyDescent="0.25">
      <c r="A285" s="18">
        <v>7068</v>
      </c>
      <c r="B285" s="18" t="s">
        <v>16</v>
      </c>
      <c r="C285" s="18" t="s">
        <v>424</v>
      </c>
      <c r="E285" s="23" t="str">
        <f>IF(COUNTIF('Info Strategia'!$D$2:$D$51,$C285)&gt;0,"SI","NO")</f>
        <v>NO</v>
      </c>
      <c r="F285" s="24">
        <f>IFERROR(ROUND(($G285+($H285-$G285)*'Info Strategia'!$B$6)*(1+IF($E285="SI",'Parametri Modello'!$B$7*'Info Strategia'!$B$6,0)),0),"")</f>
        <v>2</v>
      </c>
      <c r="G285" s="24">
        <f>IFERROR(ROUND(MAX(1,(IF($V285&lt;=INDEX('Parametri Modello'!$C$57:$C$60,MATCH($B285,'Parametri Modello'!$A$57:$A$60,0)),IF(INDEX('Parametri Modello'!$E$57:$E$60,MATCH($B285,'Parametri Modello'!$A$57:$A$60,0))=0,0,($O285/INDEX('Parametri Modello'!$E$57:$E$60,MATCH($B285,'Parametri Modello'!$A$57:$A$60,0)))*(INDEX('Parametri Modello'!$D$57:$D$60,MATCH($B285,'Parametri Modello'!$A$57:$A$60,0))*(INDEX('Parametri Modello'!$B$50:$B$53,MATCH($B285,'Parametri Modello'!$A$50:$A$53,0))*'Parametri Modello'!$B$44))),IF(INDEX('Parametri Modello'!$F$57:$F$60,MATCH($B285,'Parametri Modello'!$A$57:$A$60,0))=0,0,($O285/INDEX('Parametri Modello'!$F$57:$F$60,MATCH($B285,'Parametri Modello'!$A$57:$A$60,0)))*((1-INDEX('Parametri Modello'!$D$57:$D$60,MATCH($B285,'Parametri Modello'!$A$57:$A$60,0)))*(INDEX('Parametri Modello'!$B$50:$B$53,MATCH($B285,'Parametri Modello'!$A$50:$A$53,0))*'Parametri Modello'!$B$44))))*(1+IF(IF($B285="D",'Info Lega'!$B$25,IF($B285="C",'Info Lega'!$B$26,"No"))="Si",'Parametri Modello'!$B$5,0))*(1+MAX(-0.25,MIN(0.25,IF(OR($T285="",$I285="",$I285=0,INDEX('Parametri Modello'!$B$19:$B$22,MATCH($B285,'Parametri Modello'!$A$19:$A$22,0))="",INDEX('Parametri Modello'!$B$19:$B$22,MATCH($B285,'Parametri Modello'!$A$19:$A$22,0))=0),0,(($T285-INDEX('Parametri Modello'!$B$19:$B$22,MATCH($B285,'Parametri Modello'!$A$19:$A$22,0)))/INDEX('Parametri Modello'!$B$19:$B$22,MATCH($B285,'Parametri Modello'!$A$19:$A$22,0)))*'Parametri Modello'!$B$9))))*(1+IF('Parametri Modello'!$B$27="Si",MAX(-'Parametri Modello'!$B$28,MIN('Parametri Modello'!$B$28*1.5,IF(OR(INDEX('Parametri Modello'!$F$32:$F$35,MATCH($B285,'Parametri Modello'!$A$32:$A$35,0))="",INDEX('Parametri Modello'!$F$32:$F$35,MATCH($B285,'Parametri Modello'!$A$32:$A$35,0))=0),0,(1/INDEX('Parametri Modello'!$F$32:$F$35,MATCH($B285,'Parametri Modello'!$A$32:$A$35,0))-1)*'Parametri Modello'!$B$28))),0)))*(1-INDEX('Parametri Modello'!$B$12:$B$15,MATCH($B285,'Parametri Modello'!$A$12:$A$15,0)))),0),"")</f>
        <v>1</v>
      </c>
      <c r="H285" s="24">
        <f>IFERROR(ROUND((IF($V285&lt;=INDEX('Parametri Modello'!$C$57:$C$60,MATCH($B285,'Parametri Modello'!$A$57:$A$60,0)),IF(INDEX('Parametri Modello'!$E$57:$E$60,MATCH($B285,'Parametri Modello'!$A$57:$A$60,0))=0,0,($O285/INDEX('Parametri Modello'!$E$57:$E$60,MATCH($B285,'Parametri Modello'!$A$57:$A$60,0)))*(INDEX('Parametri Modello'!$D$57:$D$60,MATCH($B285,'Parametri Modello'!$A$57:$A$60,0))*(INDEX('Parametri Modello'!$B$50:$B$53,MATCH($B285,'Parametri Modello'!$A$50:$A$53,0))*'Parametri Modello'!$B$44))),IF(INDEX('Parametri Modello'!$F$57:$F$60,MATCH($B285,'Parametri Modello'!$A$57:$A$60,0))=0,0,($O285/INDEX('Parametri Modello'!$F$57:$F$60,MATCH($B285,'Parametri Modello'!$A$57:$A$60,0)))*((1-INDEX('Parametri Modello'!$D$57:$D$60,MATCH($B285,'Parametri Modello'!$A$57:$A$60,0)))*(INDEX('Parametri Modello'!$B$50:$B$53,MATCH($B285,'Parametri Modello'!$A$50:$A$53,0))*'Parametri Modello'!$B$44))))*(1+IF(IF($B285="D",'Info Lega'!$B$25,IF($B285="C",'Info Lega'!$B$26,"No"))="Si",'Parametri Modello'!$B$5,0))*(1+MAX(-0.25,MIN(0.25,IF(OR($T285="",$I285="",$I285=0,INDEX('Parametri Modello'!$B$19:$B$22,MATCH($B285,'Parametri Modello'!$A$19:$A$22,0))="",INDEX('Parametri Modello'!$B$19:$B$22,MATCH($B285,'Parametri Modello'!$A$19:$A$22,0))=0),0,(($T285-INDEX('Parametri Modello'!$B$19:$B$22,MATCH($B285,'Parametri Modello'!$A$19:$A$22,0)))/INDEX('Parametri Modello'!$B$19:$B$22,MATCH($B285,'Parametri Modello'!$A$19:$A$22,0)))*'Parametri Modello'!$B$9))))*(1+IF('Parametri Modello'!$B$27="Si",MAX(-'Parametri Modello'!$B$28,MIN('Parametri Modello'!$B$28*1.5,IF(OR(INDEX('Parametri Modello'!$F$32:$F$35,MATCH($B285,'Parametri Modello'!$A$32:$A$35,0))="",INDEX('Parametri Modello'!$F$32:$F$35,MATCH($B285,'Parametri Modello'!$A$32:$A$35,0))=0),0,(1/INDEX('Parametri Modello'!$F$32:$F$35,MATCH($B285,'Parametri Modello'!$A$32:$A$35,0))-1)*'Parametri Modello'!$B$28))),0)))*(1+INDEX('Parametri Modello'!$B$12:$B$15,MATCH($B285,'Parametri Modello'!$A$12:$A$15,0))),0),"")</f>
        <v>2</v>
      </c>
      <c r="I285" s="23">
        <f>IFERROR(INDEX('Input Statistiche 2025_26'!$F$3:$F$665,MATCH($A285,'Input Statistiche 2025_26'!$A$3:$A$665,0)),"")</f>
        <v>18</v>
      </c>
      <c r="J285" s="23">
        <f t="shared" si="36"/>
        <v>20</v>
      </c>
      <c r="K285" s="23">
        <f>IFERROR(INDEX('Input Statistiche 2025_26'!$I$3:$I$665,MATCH($A285,'Input Statistiche 2025_26'!$A$3:$A$665,0)),"")</f>
        <v>0</v>
      </c>
      <c r="L285" s="23">
        <f>IFERROR(INDEX('Input Statistiche 2025_26'!$O$3:$O$665,MATCH($A285,'Input Statistiche 2025_26'!$A$3:$A$665,0)),"")</f>
        <v>0</v>
      </c>
      <c r="M285" s="25"/>
      <c r="N285" s="24">
        <f>IFERROR(INDEX('Input Giocatori 2026_27'!$E$3:$E$493,MATCH($A285,'Input Giocatori 2026_27'!$A$3:$A$493,0)),"")</f>
        <v>5</v>
      </c>
      <c r="O285" s="24">
        <f>IFERROR(INDEX('Input Giocatori 2026_27'!$G$3:$G$493,MATCH($A285,'Input Giocatori 2026_27'!$A$3:$A$493,0)),"")</f>
        <v>11</v>
      </c>
      <c r="P285" s="23" t="str">
        <f>IFERROR(IF($O285="","",IF((1-(COUNTIFS($B$2:$B$492,$B285,$O$2:$O$492,"&gt;"&amp;$O285)+1-1)/COUNTIF($B$2:$B$492,$B285))&gt;='Parametri Modello'!$B$63,"Top",IF((1-(COUNTIFS($B$2:$B$492,$B285,$O$2:$O$492,"&gt;"&amp;$O285)+1-1)/COUNTIF($B$2:$B$492,$B285))&gt;='Parametri Modello'!$B$64,"Buono",IF((1-(COUNTIFS($B$2:$B$492,$B285,$O$2:$O$492,"&gt;"&amp;$O285)+1-1)/COUNTIF($B$2:$B$492,$B285))&gt;='Parametri Modello'!$B$65,"Nella Media","Scommessa/Riserva")))),"")</f>
        <v>Nella Media</v>
      </c>
      <c r="Q285" s="26">
        <f>IF(AND($D285="",$N285&gt;1),SUMPRODUCT(($D$2:$D285="")*($N$2:$N285&gt;1)),"")</f>
        <v>284</v>
      </c>
      <c r="R285" s="26" t="str">
        <f>IF($D285='Info Lega'!$B$28,COUNTIFS($D$2:$D285,'Info Lega'!$B$28),"")</f>
        <v/>
      </c>
      <c r="S285" s="27">
        <f>IFERROR(INDEX('Input Statistiche 2025_26'!$G$3:$G$665,MATCH($A285,'Input Statistiche 2025_26'!$A$3:$A$665,0)),"")</f>
        <v>5.94</v>
      </c>
      <c r="T285" s="27">
        <f>IFERROR(INDEX('Input Statistiche 2025_26'!$H$3:$H$665,MATCH($A285,'Input Statistiche 2025_26'!$A$3:$A$665,0)),"")</f>
        <v>5.86</v>
      </c>
      <c r="U285" s="23" t="str">
        <f>IF(OR('La Mia Rosa'!$O$12="",$D285&lt;&gt;""),"",IF($F285&lt;='La Mia Rosa'!$O$12*'Parametri Modello'!$B$24,"OK",IF($F285&lt;='La Mia Rosa'!$O$12*'Parametri Modello'!$B$25,"Attenzione","Rischio Alto")))</f>
        <v>OK</v>
      </c>
      <c r="V285" s="23">
        <f t="shared" si="37"/>
        <v>90</v>
      </c>
      <c r="W285" s="18">
        <f>'Info Lega'!$B$4-SUMIFS($M$2:$M$492,$D$2:$D$492,'Info Lega'!$B$28)</f>
        <v>1000</v>
      </c>
      <c r="X285" s="18">
        <f>('Info Lega'!$B$5-COUNTIFS($D$2:$D$492,'Info Lega'!$B$28,$B$2:$B$492,"P"))+('Info Lega'!$B$6-COUNTIFS($D$2:$D$492,'Info Lega'!$B$28,$B$2:$B$492,"D"))+('Info Lega'!$B$7-COUNTIFS($D$2:$D$492,'Info Lega'!$B$28,$B$2:$B$492,"C"))+('Info Lega'!$B$8-COUNTIFS($D$2:$D$492,'Info Lega'!$B$28,$B$2:$B$492,"A"))</f>
        <v>25</v>
      </c>
      <c r="Y285" s="18">
        <f>X285*'Parametri Modello'!$B$30</f>
        <v>25</v>
      </c>
      <c r="Z285" s="18">
        <f t="shared" si="38"/>
        <v>975</v>
      </c>
      <c r="AA285" s="18">
        <f t="shared" si="39"/>
        <v>2</v>
      </c>
      <c r="AB285" s="18"/>
      <c r="AC285" s="18" t="str">
        <f>IF($AB285="","",IF($AB285&gt;$AA285,"PASS",IF($AB285&lt;=$AA285*(1-'Parametri Modello'!$B$68),"BID","ATTENZIONE")))</f>
        <v/>
      </c>
      <c r="AD285" s="28">
        <f t="shared" si="40"/>
        <v>45</v>
      </c>
      <c r="AE285" s="5" t="str">
        <f>IFERROR(INDEX('Stato Asta'!$G$9:$G$12,MATCH($B285,'Stato Asta'!$A$9:$A$12,0)),"")</f>
        <v>🔴 Non aspettare</v>
      </c>
      <c r="AF285" t="str">
        <f>IFERROR(IF($V285&lt;=INDEX('Parametri Modello'!$C$57:$C$60,MATCH($B285,'Parametri Modello'!$A$57:$A$60,0)),"Titolare","Riserva"),"")</f>
        <v>Riserva</v>
      </c>
      <c r="AG285" t="str">
        <f>IFERROR(INDEX('Pressione Competitiva'!$F$3:$F$6,MATCH($B285,'Pressione Competitiva'!$B$3:$B$6,0)),"")</f>
        <v>🔴 Molto Alta</v>
      </c>
      <c r="AH285" t="str">
        <f t="shared" si="41"/>
        <v/>
      </c>
      <c r="AI285" t="str">
        <f>IFERROR(IF($AH285="","",IF($AH285&gt;=$AA285*'Parametri Modello'!$B$68,"🟢 Opportunita'",IF($AH285&lt;=$AA285*'Parametri Modello'!$B$69,"🔴 Sovrapprezzo","🟡 Prezzo Corretto"))),"")</f>
        <v/>
      </c>
      <c r="AJ285" t="str">
        <f t="shared" si="42"/>
        <v/>
      </c>
      <c r="AK285">
        <f t="shared" si="43"/>
        <v>35</v>
      </c>
      <c r="AL285" t="str">
        <f t="shared" si="44"/>
        <v>D|Nella Media|35</v>
      </c>
    </row>
    <row r="286" spans="1:38" ht="14.25" customHeight="1" x14ac:dyDescent="0.25">
      <c r="A286" s="18">
        <v>7532</v>
      </c>
      <c r="B286" s="18" t="s">
        <v>16</v>
      </c>
      <c r="C286" s="18" t="s">
        <v>425</v>
      </c>
      <c r="E286" s="23" t="str">
        <f>IF(COUNTIF('Info Strategia'!$D$2:$D$51,$C286)&gt;0,"SI","NO")</f>
        <v>NO</v>
      </c>
      <c r="F286" s="24">
        <f>IFERROR(ROUND(($G286+($H286-$G286)*'Info Strategia'!$B$6)*(1+IF($E286="SI",'Parametri Modello'!$B$7*'Info Strategia'!$B$6,0)),0),"")</f>
        <v>2</v>
      </c>
      <c r="G286" s="24">
        <f>IFERROR(ROUND(MAX(1,(IF($V286&lt;=INDEX('Parametri Modello'!$C$57:$C$60,MATCH($B286,'Parametri Modello'!$A$57:$A$60,0)),IF(INDEX('Parametri Modello'!$E$57:$E$60,MATCH($B286,'Parametri Modello'!$A$57:$A$60,0))=0,0,($O286/INDEX('Parametri Modello'!$E$57:$E$60,MATCH($B286,'Parametri Modello'!$A$57:$A$60,0)))*(INDEX('Parametri Modello'!$D$57:$D$60,MATCH($B286,'Parametri Modello'!$A$57:$A$60,0))*(INDEX('Parametri Modello'!$B$50:$B$53,MATCH($B286,'Parametri Modello'!$A$50:$A$53,0))*'Parametri Modello'!$B$44))),IF(INDEX('Parametri Modello'!$F$57:$F$60,MATCH($B286,'Parametri Modello'!$A$57:$A$60,0))=0,0,($O286/INDEX('Parametri Modello'!$F$57:$F$60,MATCH($B286,'Parametri Modello'!$A$57:$A$60,0)))*((1-INDEX('Parametri Modello'!$D$57:$D$60,MATCH($B286,'Parametri Modello'!$A$57:$A$60,0)))*(INDEX('Parametri Modello'!$B$50:$B$53,MATCH($B286,'Parametri Modello'!$A$50:$A$53,0))*'Parametri Modello'!$B$44))))*(1+IF(IF($B286="D",'Info Lega'!$B$25,IF($B286="C",'Info Lega'!$B$26,"No"))="Si",'Parametri Modello'!$B$5,0))*(1+MAX(-0.25,MIN(0.25,IF(OR($T286="",$I286="",$I286=0,INDEX('Parametri Modello'!$B$19:$B$22,MATCH($B286,'Parametri Modello'!$A$19:$A$22,0))="",INDEX('Parametri Modello'!$B$19:$B$22,MATCH($B286,'Parametri Modello'!$A$19:$A$22,0))=0),0,(($T286-INDEX('Parametri Modello'!$B$19:$B$22,MATCH($B286,'Parametri Modello'!$A$19:$A$22,0)))/INDEX('Parametri Modello'!$B$19:$B$22,MATCH($B286,'Parametri Modello'!$A$19:$A$22,0)))*'Parametri Modello'!$B$9))))*(1+IF('Parametri Modello'!$B$27="Si",MAX(-'Parametri Modello'!$B$28,MIN('Parametri Modello'!$B$28*1.5,IF(OR(INDEX('Parametri Modello'!$F$32:$F$35,MATCH($B286,'Parametri Modello'!$A$32:$A$35,0))="",INDEX('Parametri Modello'!$F$32:$F$35,MATCH($B286,'Parametri Modello'!$A$32:$A$35,0))=0),0,(1/INDEX('Parametri Modello'!$F$32:$F$35,MATCH($B286,'Parametri Modello'!$A$32:$A$35,0))-1)*'Parametri Modello'!$B$28))),0)))*(1-INDEX('Parametri Modello'!$B$12:$B$15,MATCH($B286,'Parametri Modello'!$A$12:$A$15,0)))),0),"")</f>
        <v>1</v>
      </c>
      <c r="H286" s="24">
        <f>IFERROR(ROUND((IF($V286&lt;=INDEX('Parametri Modello'!$C$57:$C$60,MATCH($B286,'Parametri Modello'!$A$57:$A$60,0)),IF(INDEX('Parametri Modello'!$E$57:$E$60,MATCH($B286,'Parametri Modello'!$A$57:$A$60,0))=0,0,($O286/INDEX('Parametri Modello'!$E$57:$E$60,MATCH($B286,'Parametri Modello'!$A$57:$A$60,0)))*(INDEX('Parametri Modello'!$D$57:$D$60,MATCH($B286,'Parametri Modello'!$A$57:$A$60,0))*(INDEX('Parametri Modello'!$B$50:$B$53,MATCH($B286,'Parametri Modello'!$A$50:$A$53,0))*'Parametri Modello'!$B$44))),IF(INDEX('Parametri Modello'!$F$57:$F$60,MATCH($B286,'Parametri Modello'!$A$57:$A$60,0))=0,0,($O286/INDEX('Parametri Modello'!$F$57:$F$60,MATCH($B286,'Parametri Modello'!$A$57:$A$60,0)))*((1-INDEX('Parametri Modello'!$D$57:$D$60,MATCH($B286,'Parametri Modello'!$A$57:$A$60,0)))*(INDEX('Parametri Modello'!$B$50:$B$53,MATCH($B286,'Parametri Modello'!$A$50:$A$53,0))*'Parametri Modello'!$B$44))))*(1+IF(IF($B286="D",'Info Lega'!$B$25,IF($B286="C",'Info Lega'!$B$26,"No"))="Si",'Parametri Modello'!$B$5,0))*(1+MAX(-0.25,MIN(0.25,IF(OR($T286="",$I286="",$I286=0,INDEX('Parametri Modello'!$B$19:$B$22,MATCH($B286,'Parametri Modello'!$A$19:$A$22,0))="",INDEX('Parametri Modello'!$B$19:$B$22,MATCH($B286,'Parametri Modello'!$A$19:$A$22,0))=0),0,(($T286-INDEX('Parametri Modello'!$B$19:$B$22,MATCH($B286,'Parametri Modello'!$A$19:$A$22,0)))/INDEX('Parametri Modello'!$B$19:$B$22,MATCH($B286,'Parametri Modello'!$A$19:$A$22,0)))*'Parametri Modello'!$B$9))))*(1+IF('Parametri Modello'!$B$27="Si",MAX(-'Parametri Modello'!$B$28,MIN('Parametri Modello'!$B$28*1.5,IF(OR(INDEX('Parametri Modello'!$F$32:$F$35,MATCH($B286,'Parametri Modello'!$A$32:$A$35,0))="",INDEX('Parametri Modello'!$F$32:$F$35,MATCH($B286,'Parametri Modello'!$A$32:$A$35,0))=0),0,(1/INDEX('Parametri Modello'!$F$32:$F$35,MATCH($B286,'Parametri Modello'!$A$32:$A$35,0))-1)*'Parametri Modello'!$B$28))),0)))*(1+INDEX('Parametri Modello'!$B$12:$B$15,MATCH($B286,'Parametri Modello'!$A$12:$A$15,0))),0),"")</f>
        <v>2</v>
      </c>
      <c r="I286" s="23" t="str">
        <f>IFERROR(INDEX('Input Statistiche 2025_26'!$F$3:$F$665,MATCH($A286,'Input Statistiche 2025_26'!$A$3:$A$665,0)),"")</f>
        <v/>
      </c>
      <c r="J286" s="23" t="str">
        <f t="shared" si="36"/>
        <v/>
      </c>
      <c r="K286" s="23" t="str">
        <f>IFERROR(INDEX('Input Statistiche 2025_26'!$I$3:$I$665,MATCH($A286,'Input Statistiche 2025_26'!$A$3:$A$665,0)),"")</f>
        <v/>
      </c>
      <c r="L286" s="23" t="str">
        <f>IFERROR(INDEX('Input Statistiche 2025_26'!$O$3:$O$665,MATCH($A286,'Input Statistiche 2025_26'!$A$3:$A$665,0)),"")</f>
        <v/>
      </c>
      <c r="M286" s="25"/>
      <c r="N286" s="24">
        <f>IFERROR(INDEX('Input Giocatori 2026_27'!$E$3:$E$493,MATCH($A286,'Input Giocatori 2026_27'!$A$3:$A$493,0)),"")</f>
        <v>5</v>
      </c>
      <c r="O286" s="24">
        <f>IFERROR(INDEX('Input Giocatori 2026_27'!$G$3:$G$493,MATCH($A286,'Input Giocatori 2026_27'!$A$3:$A$493,0)),"")</f>
        <v>11</v>
      </c>
      <c r="P286" s="23" t="str">
        <f>IFERROR(IF($O286="","",IF((1-(COUNTIFS($B$2:$B$492,$B286,$O$2:$O$492,"&gt;"&amp;$O286)+1-1)/COUNTIF($B$2:$B$492,$B286))&gt;='Parametri Modello'!$B$63,"Top",IF((1-(COUNTIFS($B$2:$B$492,$B286,$O$2:$O$492,"&gt;"&amp;$O286)+1-1)/COUNTIF($B$2:$B$492,$B286))&gt;='Parametri Modello'!$B$64,"Buono",IF((1-(COUNTIFS($B$2:$B$492,$B286,$O$2:$O$492,"&gt;"&amp;$O286)+1-1)/COUNTIF($B$2:$B$492,$B286))&gt;='Parametri Modello'!$B$65,"Nella Media","Scommessa/Riserva")))),"")</f>
        <v>Nella Media</v>
      </c>
      <c r="Q286" s="26">
        <f>IF(AND($D286="",$N286&gt;1),SUMPRODUCT(($D$2:$D286="")*($N$2:$N286&gt;1)),"")</f>
        <v>285</v>
      </c>
      <c r="R286" s="26" t="str">
        <f>IF($D286='Info Lega'!$B$28,COUNTIFS($D$2:$D286,'Info Lega'!$B$28),"")</f>
        <v/>
      </c>
      <c r="S286" s="27" t="str">
        <f>IFERROR(INDEX('Input Statistiche 2025_26'!$G$3:$G$665,MATCH($A286,'Input Statistiche 2025_26'!$A$3:$A$665,0)),"")</f>
        <v/>
      </c>
      <c r="T286" s="27" t="str">
        <f>IFERROR(INDEX('Input Statistiche 2025_26'!$H$3:$H$665,MATCH($A286,'Input Statistiche 2025_26'!$A$3:$A$665,0)),"")</f>
        <v/>
      </c>
      <c r="U286" s="23" t="str">
        <f>IF(OR('La Mia Rosa'!$O$12="",$D286&lt;&gt;""),"",IF($F286&lt;='La Mia Rosa'!$O$12*'Parametri Modello'!$B$24,"OK",IF($F286&lt;='La Mia Rosa'!$O$12*'Parametri Modello'!$B$25,"Attenzione","Rischio Alto")))</f>
        <v>OK</v>
      </c>
      <c r="V286" s="23">
        <f t="shared" si="37"/>
        <v>90</v>
      </c>
      <c r="W286" s="18">
        <f>'Info Lega'!$B$4-SUMIFS($M$2:$M$492,$D$2:$D$492,'Info Lega'!$B$28)</f>
        <v>1000</v>
      </c>
      <c r="X286" s="18">
        <f>('Info Lega'!$B$5-COUNTIFS($D$2:$D$492,'Info Lega'!$B$28,$B$2:$B$492,"P"))+('Info Lega'!$B$6-COUNTIFS($D$2:$D$492,'Info Lega'!$B$28,$B$2:$B$492,"D"))+('Info Lega'!$B$7-COUNTIFS($D$2:$D$492,'Info Lega'!$B$28,$B$2:$B$492,"C"))+('Info Lega'!$B$8-COUNTIFS($D$2:$D$492,'Info Lega'!$B$28,$B$2:$B$492,"A"))</f>
        <v>25</v>
      </c>
      <c r="Y286" s="18">
        <f>X286*'Parametri Modello'!$B$30</f>
        <v>25</v>
      </c>
      <c r="Z286" s="18">
        <f t="shared" si="38"/>
        <v>975</v>
      </c>
      <c r="AA286" s="18">
        <f t="shared" si="39"/>
        <v>2</v>
      </c>
      <c r="AB286" s="18"/>
      <c r="AC286" s="18" t="str">
        <f>IF($AB286="","",IF($AB286&gt;$AA286,"PASS",IF($AB286&lt;=$AA286*(1-'Parametri Modello'!$B$68),"BID","ATTENZIONE")))</f>
        <v/>
      </c>
      <c r="AD286" s="28" t="str">
        <f t="shared" si="40"/>
        <v/>
      </c>
      <c r="AE286" s="5" t="str">
        <f>IFERROR(INDEX('Stato Asta'!$G$9:$G$12,MATCH($B286,'Stato Asta'!$A$9:$A$12,0)),"")</f>
        <v>🔴 Non aspettare</v>
      </c>
      <c r="AF286" t="str">
        <f>IFERROR(IF($V286&lt;=INDEX('Parametri Modello'!$C$57:$C$60,MATCH($B286,'Parametri Modello'!$A$57:$A$60,0)),"Titolare","Riserva"),"")</f>
        <v>Riserva</v>
      </c>
      <c r="AG286" t="str">
        <f>IFERROR(INDEX('Pressione Competitiva'!$F$3:$F$6,MATCH($B286,'Pressione Competitiva'!$B$3:$B$6,0)),"")</f>
        <v>🔴 Molto Alta</v>
      </c>
      <c r="AH286" t="str">
        <f t="shared" si="41"/>
        <v/>
      </c>
      <c r="AI286" t="str">
        <f>IFERROR(IF($AH286="","",IF($AH286&gt;=$AA286*'Parametri Modello'!$B$68,"🟢 Opportunita'",IF($AH286&lt;=$AA286*'Parametri Modello'!$B$69,"🔴 Sovrapprezzo","🟡 Prezzo Corretto"))),"")</f>
        <v/>
      </c>
      <c r="AJ286" t="str">
        <f t="shared" si="42"/>
        <v/>
      </c>
      <c r="AK286">
        <f t="shared" si="43"/>
        <v>35</v>
      </c>
      <c r="AL286" t="str">
        <f t="shared" si="44"/>
        <v>D|Nella Media|35</v>
      </c>
    </row>
    <row r="287" spans="1:38" ht="14.25" customHeight="1" x14ac:dyDescent="0.25">
      <c r="A287" s="18">
        <v>7274</v>
      </c>
      <c r="B287" s="18" t="s">
        <v>16</v>
      </c>
      <c r="C287" s="18" t="s">
        <v>426</v>
      </c>
      <c r="E287" s="23" t="str">
        <f>IF(COUNTIF('Info Strategia'!$D$2:$D$51,$C287)&gt;0,"SI","NO")</f>
        <v>NO</v>
      </c>
      <c r="F287" s="24">
        <f>IFERROR(ROUND(($G287+($H287-$G287)*'Info Strategia'!$B$6)*(1+IF($E287="SI",'Parametri Modello'!$B$7*'Info Strategia'!$B$6,0)),0),"")</f>
        <v>2</v>
      </c>
      <c r="G287" s="24">
        <f>IFERROR(ROUND(MAX(1,(IF($V287&lt;=INDEX('Parametri Modello'!$C$57:$C$60,MATCH($B287,'Parametri Modello'!$A$57:$A$60,0)),IF(INDEX('Parametri Modello'!$E$57:$E$60,MATCH($B287,'Parametri Modello'!$A$57:$A$60,0))=0,0,($O287/INDEX('Parametri Modello'!$E$57:$E$60,MATCH($B287,'Parametri Modello'!$A$57:$A$60,0)))*(INDEX('Parametri Modello'!$D$57:$D$60,MATCH($B287,'Parametri Modello'!$A$57:$A$60,0))*(INDEX('Parametri Modello'!$B$50:$B$53,MATCH($B287,'Parametri Modello'!$A$50:$A$53,0))*'Parametri Modello'!$B$44))),IF(INDEX('Parametri Modello'!$F$57:$F$60,MATCH($B287,'Parametri Modello'!$A$57:$A$60,0))=0,0,($O287/INDEX('Parametri Modello'!$F$57:$F$60,MATCH($B287,'Parametri Modello'!$A$57:$A$60,0)))*((1-INDEX('Parametri Modello'!$D$57:$D$60,MATCH($B287,'Parametri Modello'!$A$57:$A$60,0)))*(INDEX('Parametri Modello'!$B$50:$B$53,MATCH($B287,'Parametri Modello'!$A$50:$A$53,0))*'Parametri Modello'!$B$44))))*(1+IF(IF($B287="D",'Info Lega'!$B$25,IF($B287="C",'Info Lega'!$B$26,"No"))="Si",'Parametri Modello'!$B$5,0))*(1+MAX(-0.25,MIN(0.25,IF(OR($T287="",$I287="",$I287=0,INDEX('Parametri Modello'!$B$19:$B$22,MATCH($B287,'Parametri Modello'!$A$19:$A$22,0))="",INDEX('Parametri Modello'!$B$19:$B$22,MATCH($B287,'Parametri Modello'!$A$19:$A$22,0))=0),0,(($T287-INDEX('Parametri Modello'!$B$19:$B$22,MATCH($B287,'Parametri Modello'!$A$19:$A$22,0)))/INDEX('Parametri Modello'!$B$19:$B$22,MATCH($B287,'Parametri Modello'!$A$19:$A$22,0)))*'Parametri Modello'!$B$9))))*(1+IF('Parametri Modello'!$B$27="Si",MAX(-'Parametri Modello'!$B$28,MIN('Parametri Modello'!$B$28*1.5,IF(OR(INDEX('Parametri Modello'!$F$32:$F$35,MATCH($B287,'Parametri Modello'!$A$32:$A$35,0))="",INDEX('Parametri Modello'!$F$32:$F$35,MATCH($B287,'Parametri Modello'!$A$32:$A$35,0))=0),0,(1/INDEX('Parametri Modello'!$F$32:$F$35,MATCH($B287,'Parametri Modello'!$A$32:$A$35,0))-1)*'Parametri Modello'!$B$28))),0)))*(1-INDEX('Parametri Modello'!$B$12:$B$15,MATCH($B287,'Parametri Modello'!$A$12:$A$15,0)))),0),"")</f>
        <v>1</v>
      </c>
      <c r="H287" s="24">
        <f>IFERROR(ROUND((IF($V287&lt;=INDEX('Parametri Modello'!$C$57:$C$60,MATCH($B287,'Parametri Modello'!$A$57:$A$60,0)),IF(INDEX('Parametri Modello'!$E$57:$E$60,MATCH($B287,'Parametri Modello'!$A$57:$A$60,0))=0,0,($O287/INDEX('Parametri Modello'!$E$57:$E$60,MATCH($B287,'Parametri Modello'!$A$57:$A$60,0)))*(INDEX('Parametri Modello'!$D$57:$D$60,MATCH($B287,'Parametri Modello'!$A$57:$A$60,0))*(INDEX('Parametri Modello'!$B$50:$B$53,MATCH($B287,'Parametri Modello'!$A$50:$A$53,0))*'Parametri Modello'!$B$44))),IF(INDEX('Parametri Modello'!$F$57:$F$60,MATCH($B287,'Parametri Modello'!$A$57:$A$60,0))=0,0,($O287/INDEX('Parametri Modello'!$F$57:$F$60,MATCH($B287,'Parametri Modello'!$A$57:$A$60,0)))*((1-INDEX('Parametri Modello'!$D$57:$D$60,MATCH($B287,'Parametri Modello'!$A$57:$A$60,0)))*(INDEX('Parametri Modello'!$B$50:$B$53,MATCH($B287,'Parametri Modello'!$A$50:$A$53,0))*'Parametri Modello'!$B$44))))*(1+IF(IF($B287="D",'Info Lega'!$B$25,IF($B287="C",'Info Lega'!$B$26,"No"))="Si",'Parametri Modello'!$B$5,0))*(1+MAX(-0.25,MIN(0.25,IF(OR($T287="",$I287="",$I287=0,INDEX('Parametri Modello'!$B$19:$B$22,MATCH($B287,'Parametri Modello'!$A$19:$A$22,0))="",INDEX('Parametri Modello'!$B$19:$B$22,MATCH($B287,'Parametri Modello'!$A$19:$A$22,0))=0),0,(($T287-INDEX('Parametri Modello'!$B$19:$B$22,MATCH($B287,'Parametri Modello'!$A$19:$A$22,0)))/INDEX('Parametri Modello'!$B$19:$B$22,MATCH($B287,'Parametri Modello'!$A$19:$A$22,0)))*'Parametri Modello'!$B$9))))*(1+IF('Parametri Modello'!$B$27="Si",MAX(-'Parametri Modello'!$B$28,MIN('Parametri Modello'!$B$28*1.5,IF(OR(INDEX('Parametri Modello'!$F$32:$F$35,MATCH($B287,'Parametri Modello'!$A$32:$A$35,0))="",INDEX('Parametri Modello'!$F$32:$F$35,MATCH($B287,'Parametri Modello'!$A$32:$A$35,0))=0),0,(1/INDEX('Parametri Modello'!$F$32:$F$35,MATCH($B287,'Parametri Modello'!$A$32:$A$35,0))-1)*'Parametri Modello'!$B$28))),0)))*(1+INDEX('Parametri Modello'!$B$12:$B$15,MATCH($B287,'Parametri Modello'!$A$12:$A$15,0))),0),"")</f>
        <v>2</v>
      </c>
      <c r="I287" s="23">
        <f>IFERROR(INDEX('Input Statistiche 2025_26'!$F$3:$F$665,MATCH($A287,'Input Statistiche 2025_26'!$A$3:$A$665,0)),"")</f>
        <v>22</v>
      </c>
      <c r="J287" s="23">
        <f t="shared" si="36"/>
        <v>16</v>
      </c>
      <c r="K287" s="23">
        <f>IFERROR(INDEX('Input Statistiche 2025_26'!$I$3:$I$665,MATCH($A287,'Input Statistiche 2025_26'!$A$3:$A$665,0)),"")</f>
        <v>0</v>
      </c>
      <c r="L287" s="23">
        <f>IFERROR(INDEX('Input Statistiche 2025_26'!$O$3:$O$665,MATCH($A287,'Input Statistiche 2025_26'!$A$3:$A$665,0)),"")</f>
        <v>1</v>
      </c>
      <c r="M287" s="25"/>
      <c r="N287" s="24">
        <f>IFERROR(INDEX('Input Giocatori 2026_27'!$E$3:$E$493,MATCH($A287,'Input Giocatori 2026_27'!$A$3:$A$493,0)),"")</f>
        <v>5</v>
      </c>
      <c r="O287" s="24">
        <f>IFERROR(INDEX('Input Giocatori 2026_27'!$G$3:$G$493,MATCH($A287,'Input Giocatori 2026_27'!$A$3:$A$493,0)),"")</f>
        <v>11</v>
      </c>
      <c r="P287" s="23" t="str">
        <f>IFERROR(IF($O287="","",IF((1-(COUNTIFS($B$2:$B$492,$B287,$O$2:$O$492,"&gt;"&amp;$O287)+1-1)/COUNTIF($B$2:$B$492,$B287))&gt;='Parametri Modello'!$B$63,"Top",IF((1-(COUNTIFS($B$2:$B$492,$B287,$O$2:$O$492,"&gt;"&amp;$O287)+1-1)/COUNTIF($B$2:$B$492,$B287))&gt;='Parametri Modello'!$B$64,"Buono",IF((1-(COUNTIFS($B$2:$B$492,$B287,$O$2:$O$492,"&gt;"&amp;$O287)+1-1)/COUNTIF($B$2:$B$492,$B287))&gt;='Parametri Modello'!$B$65,"Nella Media","Scommessa/Riserva")))),"")</f>
        <v>Nella Media</v>
      </c>
      <c r="Q287" s="26">
        <f>IF(AND($D287="",$N287&gt;1),SUMPRODUCT(($D$2:$D287="")*($N$2:$N287&gt;1)),"")</f>
        <v>286</v>
      </c>
      <c r="R287" s="26" t="str">
        <f>IF($D287='Info Lega'!$B$28,COUNTIFS($D$2:$D287,'Info Lega'!$B$28),"")</f>
        <v/>
      </c>
      <c r="S287" s="27">
        <f>IFERROR(INDEX('Input Statistiche 2025_26'!$G$3:$G$665,MATCH($A287,'Input Statistiche 2025_26'!$A$3:$A$665,0)),"")</f>
        <v>5.77</v>
      </c>
      <c r="T287" s="27">
        <f>IFERROR(INDEX('Input Statistiche 2025_26'!$H$3:$H$665,MATCH($A287,'Input Statistiche 2025_26'!$A$3:$A$665,0)),"")</f>
        <v>5.68</v>
      </c>
      <c r="U287" s="23" t="str">
        <f>IF(OR('La Mia Rosa'!$O$12="",$D287&lt;&gt;""),"",IF($F287&lt;='La Mia Rosa'!$O$12*'Parametri Modello'!$B$24,"OK",IF($F287&lt;='La Mia Rosa'!$O$12*'Parametri Modello'!$B$25,"Attenzione","Rischio Alto")))</f>
        <v>OK</v>
      </c>
      <c r="V287" s="23">
        <f t="shared" si="37"/>
        <v>90</v>
      </c>
      <c r="W287" s="18">
        <f>'Info Lega'!$B$4-SUMIFS($M$2:$M$492,$D$2:$D$492,'Info Lega'!$B$28)</f>
        <v>1000</v>
      </c>
      <c r="X287" s="18">
        <f>('Info Lega'!$B$5-COUNTIFS($D$2:$D$492,'Info Lega'!$B$28,$B$2:$B$492,"P"))+('Info Lega'!$B$6-COUNTIFS($D$2:$D$492,'Info Lega'!$B$28,$B$2:$B$492,"D"))+('Info Lega'!$B$7-COUNTIFS($D$2:$D$492,'Info Lega'!$B$28,$B$2:$B$492,"C"))+('Info Lega'!$B$8-COUNTIFS($D$2:$D$492,'Info Lega'!$B$28,$B$2:$B$492,"A"))</f>
        <v>25</v>
      </c>
      <c r="Y287" s="18">
        <f>X287*'Parametri Modello'!$B$30</f>
        <v>25</v>
      </c>
      <c r="Z287" s="18">
        <f t="shared" si="38"/>
        <v>975</v>
      </c>
      <c r="AA287" s="18">
        <f t="shared" si="39"/>
        <v>2</v>
      </c>
      <c r="AB287" s="18"/>
      <c r="AC287" s="18" t="str">
        <f>IF($AB287="","",IF($AB287&gt;$AA287,"PASS",IF($AB287&lt;=$AA287*(1-'Parametri Modello'!$B$68),"BID","ATTENZIONE")))</f>
        <v/>
      </c>
      <c r="AD287" s="28">
        <f t="shared" si="40"/>
        <v>52</v>
      </c>
      <c r="AE287" s="5" t="str">
        <f>IFERROR(INDEX('Stato Asta'!$G$9:$G$12,MATCH($B287,'Stato Asta'!$A$9:$A$12,0)),"")</f>
        <v>🔴 Non aspettare</v>
      </c>
      <c r="AF287" t="str">
        <f>IFERROR(IF($V287&lt;=INDEX('Parametri Modello'!$C$57:$C$60,MATCH($B287,'Parametri Modello'!$A$57:$A$60,0)),"Titolare","Riserva"),"")</f>
        <v>Riserva</v>
      </c>
      <c r="AG287" t="str">
        <f>IFERROR(INDEX('Pressione Competitiva'!$F$3:$F$6,MATCH($B287,'Pressione Competitiva'!$B$3:$B$6,0)),"")</f>
        <v>🔴 Molto Alta</v>
      </c>
      <c r="AH287" t="str">
        <f t="shared" si="41"/>
        <v/>
      </c>
      <c r="AI287" t="str">
        <f>IFERROR(IF($AH287="","",IF($AH287&gt;=$AA287*'Parametri Modello'!$B$68,"🟢 Opportunita'",IF($AH287&lt;=$AA287*'Parametri Modello'!$B$69,"🔴 Sovrapprezzo","🟡 Prezzo Corretto"))),"")</f>
        <v/>
      </c>
      <c r="AJ287" t="str">
        <f t="shared" si="42"/>
        <v/>
      </c>
      <c r="AK287">
        <f t="shared" si="43"/>
        <v>35</v>
      </c>
      <c r="AL287" t="str">
        <f t="shared" si="44"/>
        <v>D|Nella Media|35</v>
      </c>
    </row>
    <row r="288" spans="1:38" ht="14.25" customHeight="1" x14ac:dyDescent="0.25">
      <c r="A288" s="18">
        <v>7469</v>
      </c>
      <c r="B288" s="18" t="s">
        <v>16</v>
      </c>
      <c r="C288" s="18" t="s">
        <v>427</v>
      </c>
      <c r="E288" s="23" t="str">
        <f>IF(COUNTIF('Info Strategia'!$D$2:$D$51,$C288)&gt;0,"SI","NO")</f>
        <v>NO</v>
      </c>
      <c r="F288" s="24">
        <f>IFERROR(ROUND(($G288+($H288-$G288)*'Info Strategia'!$B$6)*(1+IF($E288="SI",'Parametri Modello'!$B$7*'Info Strategia'!$B$6,0)),0),"")</f>
        <v>2</v>
      </c>
      <c r="G288" s="24">
        <f>IFERROR(ROUND(MAX(1,(IF($V288&lt;=INDEX('Parametri Modello'!$C$57:$C$60,MATCH($B288,'Parametri Modello'!$A$57:$A$60,0)),IF(INDEX('Parametri Modello'!$E$57:$E$60,MATCH($B288,'Parametri Modello'!$A$57:$A$60,0))=0,0,($O288/INDEX('Parametri Modello'!$E$57:$E$60,MATCH($B288,'Parametri Modello'!$A$57:$A$60,0)))*(INDEX('Parametri Modello'!$D$57:$D$60,MATCH($B288,'Parametri Modello'!$A$57:$A$60,0))*(INDEX('Parametri Modello'!$B$50:$B$53,MATCH($B288,'Parametri Modello'!$A$50:$A$53,0))*'Parametri Modello'!$B$44))),IF(INDEX('Parametri Modello'!$F$57:$F$60,MATCH($B288,'Parametri Modello'!$A$57:$A$60,0))=0,0,($O288/INDEX('Parametri Modello'!$F$57:$F$60,MATCH($B288,'Parametri Modello'!$A$57:$A$60,0)))*((1-INDEX('Parametri Modello'!$D$57:$D$60,MATCH($B288,'Parametri Modello'!$A$57:$A$60,0)))*(INDEX('Parametri Modello'!$B$50:$B$53,MATCH($B288,'Parametri Modello'!$A$50:$A$53,0))*'Parametri Modello'!$B$44))))*(1+IF(IF($B288="D",'Info Lega'!$B$25,IF($B288="C",'Info Lega'!$B$26,"No"))="Si",'Parametri Modello'!$B$5,0))*(1+MAX(-0.25,MIN(0.25,IF(OR($T288="",$I288="",$I288=0,INDEX('Parametri Modello'!$B$19:$B$22,MATCH($B288,'Parametri Modello'!$A$19:$A$22,0))="",INDEX('Parametri Modello'!$B$19:$B$22,MATCH($B288,'Parametri Modello'!$A$19:$A$22,0))=0),0,(($T288-INDEX('Parametri Modello'!$B$19:$B$22,MATCH($B288,'Parametri Modello'!$A$19:$A$22,0)))/INDEX('Parametri Modello'!$B$19:$B$22,MATCH($B288,'Parametri Modello'!$A$19:$A$22,0)))*'Parametri Modello'!$B$9))))*(1+IF('Parametri Modello'!$B$27="Si",MAX(-'Parametri Modello'!$B$28,MIN('Parametri Modello'!$B$28*1.5,IF(OR(INDEX('Parametri Modello'!$F$32:$F$35,MATCH($B288,'Parametri Modello'!$A$32:$A$35,0))="",INDEX('Parametri Modello'!$F$32:$F$35,MATCH($B288,'Parametri Modello'!$A$32:$A$35,0))=0),0,(1/INDEX('Parametri Modello'!$F$32:$F$35,MATCH($B288,'Parametri Modello'!$A$32:$A$35,0))-1)*'Parametri Modello'!$B$28))),0)))*(1-INDEX('Parametri Modello'!$B$12:$B$15,MATCH($B288,'Parametri Modello'!$A$12:$A$15,0)))),0),"")</f>
        <v>1</v>
      </c>
      <c r="H288" s="24">
        <f>IFERROR(ROUND((IF($V288&lt;=INDEX('Parametri Modello'!$C$57:$C$60,MATCH($B288,'Parametri Modello'!$A$57:$A$60,0)),IF(INDEX('Parametri Modello'!$E$57:$E$60,MATCH($B288,'Parametri Modello'!$A$57:$A$60,0))=0,0,($O288/INDEX('Parametri Modello'!$E$57:$E$60,MATCH($B288,'Parametri Modello'!$A$57:$A$60,0)))*(INDEX('Parametri Modello'!$D$57:$D$60,MATCH($B288,'Parametri Modello'!$A$57:$A$60,0))*(INDEX('Parametri Modello'!$B$50:$B$53,MATCH($B288,'Parametri Modello'!$A$50:$A$53,0))*'Parametri Modello'!$B$44))),IF(INDEX('Parametri Modello'!$F$57:$F$60,MATCH($B288,'Parametri Modello'!$A$57:$A$60,0))=0,0,($O288/INDEX('Parametri Modello'!$F$57:$F$60,MATCH($B288,'Parametri Modello'!$A$57:$A$60,0)))*((1-INDEX('Parametri Modello'!$D$57:$D$60,MATCH($B288,'Parametri Modello'!$A$57:$A$60,0)))*(INDEX('Parametri Modello'!$B$50:$B$53,MATCH($B288,'Parametri Modello'!$A$50:$A$53,0))*'Parametri Modello'!$B$44))))*(1+IF(IF($B288="D",'Info Lega'!$B$25,IF($B288="C",'Info Lega'!$B$26,"No"))="Si",'Parametri Modello'!$B$5,0))*(1+MAX(-0.25,MIN(0.25,IF(OR($T288="",$I288="",$I288=0,INDEX('Parametri Modello'!$B$19:$B$22,MATCH($B288,'Parametri Modello'!$A$19:$A$22,0))="",INDEX('Parametri Modello'!$B$19:$B$22,MATCH($B288,'Parametri Modello'!$A$19:$A$22,0))=0),0,(($T288-INDEX('Parametri Modello'!$B$19:$B$22,MATCH($B288,'Parametri Modello'!$A$19:$A$22,0)))/INDEX('Parametri Modello'!$B$19:$B$22,MATCH($B288,'Parametri Modello'!$A$19:$A$22,0)))*'Parametri Modello'!$B$9))))*(1+IF('Parametri Modello'!$B$27="Si",MAX(-'Parametri Modello'!$B$28,MIN('Parametri Modello'!$B$28*1.5,IF(OR(INDEX('Parametri Modello'!$F$32:$F$35,MATCH($B288,'Parametri Modello'!$A$32:$A$35,0))="",INDEX('Parametri Modello'!$F$32:$F$35,MATCH($B288,'Parametri Modello'!$A$32:$A$35,0))=0),0,(1/INDEX('Parametri Modello'!$F$32:$F$35,MATCH($B288,'Parametri Modello'!$A$32:$A$35,0))-1)*'Parametri Modello'!$B$28))),0)))*(1+INDEX('Parametri Modello'!$B$12:$B$15,MATCH($B288,'Parametri Modello'!$A$12:$A$15,0))),0),"")</f>
        <v>2</v>
      </c>
      <c r="I288" s="23" t="str">
        <f>IFERROR(INDEX('Input Statistiche 2025_26'!$F$3:$F$665,MATCH($A288,'Input Statistiche 2025_26'!$A$3:$A$665,0)),"")</f>
        <v/>
      </c>
      <c r="J288" s="23" t="str">
        <f t="shared" si="36"/>
        <v/>
      </c>
      <c r="K288" s="23" t="str">
        <f>IFERROR(INDEX('Input Statistiche 2025_26'!$I$3:$I$665,MATCH($A288,'Input Statistiche 2025_26'!$A$3:$A$665,0)),"")</f>
        <v/>
      </c>
      <c r="L288" s="23" t="str">
        <f>IFERROR(INDEX('Input Statistiche 2025_26'!$O$3:$O$665,MATCH($A288,'Input Statistiche 2025_26'!$A$3:$A$665,0)),"")</f>
        <v/>
      </c>
      <c r="M288" s="25"/>
      <c r="N288" s="24">
        <f>IFERROR(INDEX('Input Giocatori 2026_27'!$E$3:$E$493,MATCH($A288,'Input Giocatori 2026_27'!$A$3:$A$493,0)),"")</f>
        <v>5</v>
      </c>
      <c r="O288" s="24">
        <f>IFERROR(INDEX('Input Giocatori 2026_27'!$G$3:$G$493,MATCH($A288,'Input Giocatori 2026_27'!$A$3:$A$493,0)),"")</f>
        <v>11</v>
      </c>
      <c r="P288" s="23" t="str">
        <f>IFERROR(IF($O288="","",IF((1-(COUNTIFS($B$2:$B$492,$B288,$O$2:$O$492,"&gt;"&amp;$O288)+1-1)/COUNTIF($B$2:$B$492,$B288))&gt;='Parametri Modello'!$B$63,"Top",IF((1-(COUNTIFS($B$2:$B$492,$B288,$O$2:$O$492,"&gt;"&amp;$O288)+1-1)/COUNTIF($B$2:$B$492,$B288))&gt;='Parametri Modello'!$B$64,"Buono",IF((1-(COUNTIFS($B$2:$B$492,$B288,$O$2:$O$492,"&gt;"&amp;$O288)+1-1)/COUNTIF($B$2:$B$492,$B288))&gt;='Parametri Modello'!$B$65,"Nella Media","Scommessa/Riserva")))),"")</f>
        <v>Nella Media</v>
      </c>
      <c r="Q288" s="26">
        <f>IF(AND($D288="",$N288&gt;1),SUMPRODUCT(($D$2:$D288="")*($N$2:$N288&gt;1)),"")</f>
        <v>287</v>
      </c>
      <c r="R288" s="26" t="str">
        <f>IF($D288='Info Lega'!$B$28,COUNTIFS($D$2:$D288,'Info Lega'!$B$28),"")</f>
        <v/>
      </c>
      <c r="S288" s="27" t="str">
        <f>IFERROR(INDEX('Input Statistiche 2025_26'!$G$3:$G$665,MATCH($A288,'Input Statistiche 2025_26'!$A$3:$A$665,0)),"")</f>
        <v/>
      </c>
      <c r="T288" s="27" t="str">
        <f>IFERROR(INDEX('Input Statistiche 2025_26'!$H$3:$H$665,MATCH($A288,'Input Statistiche 2025_26'!$A$3:$A$665,0)),"")</f>
        <v/>
      </c>
      <c r="U288" s="23" t="str">
        <f>IF(OR('La Mia Rosa'!$O$12="",$D288&lt;&gt;""),"",IF($F288&lt;='La Mia Rosa'!$O$12*'Parametri Modello'!$B$24,"OK",IF($F288&lt;='La Mia Rosa'!$O$12*'Parametri Modello'!$B$25,"Attenzione","Rischio Alto")))</f>
        <v>OK</v>
      </c>
      <c r="V288" s="23">
        <f t="shared" si="37"/>
        <v>90</v>
      </c>
      <c r="W288" s="18">
        <f>'Info Lega'!$B$4-SUMIFS($M$2:$M$492,$D$2:$D$492,'Info Lega'!$B$28)</f>
        <v>1000</v>
      </c>
      <c r="X288" s="18">
        <f>('Info Lega'!$B$5-COUNTIFS($D$2:$D$492,'Info Lega'!$B$28,$B$2:$B$492,"P"))+('Info Lega'!$B$6-COUNTIFS($D$2:$D$492,'Info Lega'!$B$28,$B$2:$B$492,"D"))+('Info Lega'!$B$7-COUNTIFS($D$2:$D$492,'Info Lega'!$B$28,$B$2:$B$492,"C"))+('Info Lega'!$B$8-COUNTIFS($D$2:$D$492,'Info Lega'!$B$28,$B$2:$B$492,"A"))</f>
        <v>25</v>
      </c>
      <c r="Y288" s="18">
        <f>X288*'Parametri Modello'!$B$30</f>
        <v>25</v>
      </c>
      <c r="Z288" s="18">
        <f t="shared" si="38"/>
        <v>975</v>
      </c>
      <c r="AA288" s="18">
        <f t="shared" si="39"/>
        <v>2</v>
      </c>
      <c r="AB288" s="18"/>
      <c r="AC288" s="18" t="str">
        <f>IF($AB288="","",IF($AB288&gt;$AA288,"PASS",IF($AB288&lt;=$AA288*(1-'Parametri Modello'!$B$68),"BID","ATTENZIONE")))</f>
        <v/>
      </c>
      <c r="AD288" s="28" t="str">
        <f t="shared" si="40"/>
        <v/>
      </c>
      <c r="AE288" s="5" t="str">
        <f>IFERROR(INDEX('Stato Asta'!$G$9:$G$12,MATCH($B288,'Stato Asta'!$A$9:$A$12,0)),"")</f>
        <v>🔴 Non aspettare</v>
      </c>
      <c r="AF288" t="str">
        <f>IFERROR(IF($V288&lt;=INDEX('Parametri Modello'!$C$57:$C$60,MATCH($B288,'Parametri Modello'!$A$57:$A$60,0)),"Titolare","Riserva"),"")</f>
        <v>Riserva</v>
      </c>
      <c r="AG288" t="str">
        <f>IFERROR(INDEX('Pressione Competitiva'!$F$3:$F$6,MATCH($B288,'Pressione Competitiva'!$B$3:$B$6,0)),"")</f>
        <v>🔴 Molto Alta</v>
      </c>
      <c r="AH288" t="str">
        <f t="shared" si="41"/>
        <v/>
      </c>
      <c r="AI288" t="str">
        <f>IFERROR(IF($AH288="","",IF($AH288&gt;=$AA288*'Parametri Modello'!$B$68,"🟢 Opportunita'",IF($AH288&lt;=$AA288*'Parametri Modello'!$B$69,"🔴 Sovrapprezzo","🟡 Prezzo Corretto"))),"")</f>
        <v/>
      </c>
      <c r="AJ288" t="str">
        <f t="shared" si="42"/>
        <v/>
      </c>
      <c r="AK288">
        <f t="shared" si="43"/>
        <v>35</v>
      </c>
      <c r="AL288" t="str">
        <f t="shared" si="44"/>
        <v>D|Nella Media|35</v>
      </c>
    </row>
    <row r="289" spans="1:38" ht="14.25" customHeight="1" x14ac:dyDescent="0.25">
      <c r="A289" s="18">
        <v>6990</v>
      </c>
      <c r="B289" s="18" t="s">
        <v>16</v>
      </c>
      <c r="C289" s="18" t="s">
        <v>428</v>
      </c>
      <c r="E289" s="23" t="str">
        <f>IF(COUNTIF('Info Strategia'!$D$2:$D$51,$C289)&gt;0,"SI","NO")</f>
        <v>NO</v>
      </c>
      <c r="F289" s="24">
        <f>IFERROR(ROUND(($G289+($H289-$G289)*'Info Strategia'!$B$6)*(1+IF($E289="SI",'Parametri Modello'!$B$7*'Info Strategia'!$B$6,0)),0),"")</f>
        <v>2</v>
      </c>
      <c r="G289" s="24">
        <f>IFERROR(ROUND(MAX(1,(IF($V289&lt;=INDEX('Parametri Modello'!$C$57:$C$60,MATCH($B289,'Parametri Modello'!$A$57:$A$60,0)),IF(INDEX('Parametri Modello'!$E$57:$E$60,MATCH($B289,'Parametri Modello'!$A$57:$A$60,0))=0,0,($O289/INDEX('Parametri Modello'!$E$57:$E$60,MATCH($B289,'Parametri Modello'!$A$57:$A$60,0)))*(INDEX('Parametri Modello'!$D$57:$D$60,MATCH($B289,'Parametri Modello'!$A$57:$A$60,0))*(INDEX('Parametri Modello'!$B$50:$B$53,MATCH($B289,'Parametri Modello'!$A$50:$A$53,0))*'Parametri Modello'!$B$44))),IF(INDEX('Parametri Modello'!$F$57:$F$60,MATCH($B289,'Parametri Modello'!$A$57:$A$60,0))=0,0,($O289/INDEX('Parametri Modello'!$F$57:$F$60,MATCH($B289,'Parametri Modello'!$A$57:$A$60,0)))*((1-INDEX('Parametri Modello'!$D$57:$D$60,MATCH($B289,'Parametri Modello'!$A$57:$A$60,0)))*(INDEX('Parametri Modello'!$B$50:$B$53,MATCH($B289,'Parametri Modello'!$A$50:$A$53,0))*'Parametri Modello'!$B$44))))*(1+IF(IF($B289="D",'Info Lega'!$B$25,IF($B289="C",'Info Lega'!$B$26,"No"))="Si",'Parametri Modello'!$B$5,0))*(1+MAX(-0.25,MIN(0.25,IF(OR($T289="",$I289="",$I289=0,INDEX('Parametri Modello'!$B$19:$B$22,MATCH($B289,'Parametri Modello'!$A$19:$A$22,0))="",INDEX('Parametri Modello'!$B$19:$B$22,MATCH($B289,'Parametri Modello'!$A$19:$A$22,0))=0),0,(($T289-INDEX('Parametri Modello'!$B$19:$B$22,MATCH($B289,'Parametri Modello'!$A$19:$A$22,0)))/INDEX('Parametri Modello'!$B$19:$B$22,MATCH($B289,'Parametri Modello'!$A$19:$A$22,0)))*'Parametri Modello'!$B$9))))*(1+IF('Parametri Modello'!$B$27="Si",MAX(-'Parametri Modello'!$B$28,MIN('Parametri Modello'!$B$28*1.5,IF(OR(INDEX('Parametri Modello'!$F$32:$F$35,MATCH($B289,'Parametri Modello'!$A$32:$A$35,0))="",INDEX('Parametri Modello'!$F$32:$F$35,MATCH($B289,'Parametri Modello'!$A$32:$A$35,0))=0),0,(1/INDEX('Parametri Modello'!$F$32:$F$35,MATCH($B289,'Parametri Modello'!$A$32:$A$35,0))-1)*'Parametri Modello'!$B$28))),0)))*(1-INDEX('Parametri Modello'!$B$12:$B$15,MATCH($B289,'Parametri Modello'!$A$12:$A$15,0)))),0),"")</f>
        <v>1</v>
      </c>
      <c r="H289" s="24">
        <f>IFERROR(ROUND((IF($V289&lt;=INDEX('Parametri Modello'!$C$57:$C$60,MATCH($B289,'Parametri Modello'!$A$57:$A$60,0)),IF(INDEX('Parametri Modello'!$E$57:$E$60,MATCH($B289,'Parametri Modello'!$A$57:$A$60,0))=0,0,($O289/INDEX('Parametri Modello'!$E$57:$E$60,MATCH($B289,'Parametri Modello'!$A$57:$A$60,0)))*(INDEX('Parametri Modello'!$D$57:$D$60,MATCH($B289,'Parametri Modello'!$A$57:$A$60,0))*(INDEX('Parametri Modello'!$B$50:$B$53,MATCH($B289,'Parametri Modello'!$A$50:$A$53,0))*'Parametri Modello'!$B$44))),IF(INDEX('Parametri Modello'!$F$57:$F$60,MATCH($B289,'Parametri Modello'!$A$57:$A$60,0))=0,0,($O289/INDEX('Parametri Modello'!$F$57:$F$60,MATCH($B289,'Parametri Modello'!$A$57:$A$60,0)))*((1-INDEX('Parametri Modello'!$D$57:$D$60,MATCH($B289,'Parametri Modello'!$A$57:$A$60,0)))*(INDEX('Parametri Modello'!$B$50:$B$53,MATCH($B289,'Parametri Modello'!$A$50:$A$53,0))*'Parametri Modello'!$B$44))))*(1+IF(IF($B289="D",'Info Lega'!$B$25,IF($B289="C",'Info Lega'!$B$26,"No"))="Si",'Parametri Modello'!$B$5,0))*(1+MAX(-0.25,MIN(0.25,IF(OR($T289="",$I289="",$I289=0,INDEX('Parametri Modello'!$B$19:$B$22,MATCH($B289,'Parametri Modello'!$A$19:$A$22,0))="",INDEX('Parametri Modello'!$B$19:$B$22,MATCH($B289,'Parametri Modello'!$A$19:$A$22,0))=0),0,(($T289-INDEX('Parametri Modello'!$B$19:$B$22,MATCH($B289,'Parametri Modello'!$A$19:$A$22,0)))/INDEX('Parametri Modello'!$B$19:$B$22,MATCH($B289,'Parametri Modello'!$A$19:$A$22,0)))*'Parametri Modello'!$B$9))))*(1+IF('Parametri Modello'!$B$27="Si",MAX(-'Parametri Modello'!$B$28,MIN('Parametri Modello'!$B$28*1.5,IF(OR(INDEX('Parametri Modello'!$F$32:$F$35,MATCH($B289,'Parametri Modello'!$A$32:$A$35,0))="",INDEX('Parametri Modello'!$F$32:$F$35,MATCH($B289,'Parametri Modello'!$A$32:$A$35,0))=0),0,(1/INDEX('Parametri Modello'!$F$32:$F$35,MATCH($B289,'Parametri Modello'!$A$32:$A$35,0))-1)*'Parametri Modello'!$B$28))),0)))*(1+INDEX('Parametri Modello'!$B$12:$B$15,MATCH($B289,'Parametri Modello'!$A$12:$A$15,0))),0),"")</f>
        <v>2</v>
      </c>
      <c r="I289" s="23">
        <f>IFERROR(INDEX('Input Statistiche 2025_26'!$F$3:$F$665,MATCH($A289,'Input Statistiche 2025_26'!$A$3:$A$665,0)),"")</f>
        <v>36</v>
      </c>
      <c r="J289" s="23">
        <f t="shared" si="36"/>
        <v>2</v>
      </c>
      <c r="K289" s="23">
        <f>IFERROR(INDEX('Input Statistiche 2025_26'!$I$3:$I$665,MATCH($A289,'Input Statistiche 2025_26'!$A$3:$A$665,0)),"")</f>
        <v>0</v>
      </c>
      <c r="L289" s="23">
        <f>IFERROR(INDEX('Input Statistiche 2025_26'!$O$3:$O$665,MATCH($A289,'Input Statistiche 2025_26'!$A$3:$A$665,0)),"")</f>
        <v>0</v>
      </c>
      <c r="M289" s="25"/>
      <c r="N289" s="24">
        <f>IFERROR(INDEX('Input Giocatori 2026_27'!$E$3:$E$493,MATCH($A289,'Input Giocatori 2026_27'!$A$3:$A$493,0)),"")</f>
        <v>5</v>
      </c>
      <c r="O289" s="24">
        <f>IFERROR(INDEX('Input Giocatori 2026_27'!$G$3:$G$493,MATCH($A289,'Input Giocatori 2026_27'!$A$3:$A$493,0)),"")</f>
        <v>11</v>
      </c>
      <c r="P289" s="23" t="str">
        <f>IFERROR(IF($O289="","",IF((1-(COUNTIFS($B$2:$B$492,$B289,$O$2:$O$492,"&gt;"&amp;$O289)+1-1)/COUNTIF($B$2:$B$492,$B289))&gt;='Parametri Modello'!$B$63,"Top",IF((1-(COUNTIFS($B$2:$B$492,$B289,$O$2:$O$492,"&gt;"&amp;$O289)+1-1)/COUNTIF($B$2:$B$492,$B289))&gt;='Parametri Modello'!$B$64,"Buono",IF((1-(COUNTIFS($B$2:$B$492,$B289,$O$2:$O$492,"&gt;"&amp;$O289)+1-1)/COUNTIF($B$2:$B$492,$B289))&gt;='Parametri Modello'!$B$65,"Nella Media","Scommessa/Riserva")))),"")</f>
        <v>Nella Media</v>
      </c>
      <c r="Q289" s="26">
        <f>IF(AND($D289="",$N289&gt;1),SUMPRODUCT(($D$2:$D289="")*($N$2:$N289&gt;1)),"")</f>
        <v>288</v>
      </c>
      <c r="R289" s="26" t="str">
        <f>IF($D289='Info Lega'!$B$28,COUNTIFS($D$2:$D289,'Info Lega'!$B$28),"")</f>
        <v/>
      </c>
      <c r="S289" s="27">
        <f>IFERROR(INDEX('Input Statistiche 2025_26'!$G$3:$G$665,MATCH($A289,'Input Statistiche 2025_26'!$A$3:$A$665,0)),"")</f>
        <v>5.82</v>
      </c>
      <c r="T289" s="27">
        <f>IFERROR(INDEX('Input Statistiche 2025_26'!$H$3:$H$665,MATCH($A289,'Input Statistiche 2025_26'!$A$3:$A$665,0)),"")</f>
        <v>5.69</v>
      </c>
      <c r="U289" s="23" t="str">
        <f>IF(OR('La Mia Rosa'!$O$12="",$D289&lt;&gt;""),"",IF($F289&lt;='La Mia Rosa'!$O$12*'Parametri Modello'!$B$24,"OK",IF($F289&lt;='La Mia Rosa'!$O$12*'Parametri Modello'!$B$25,"Attenzione","Rischio Alto")))</f>
        <v>OK</v>
      </c>
      <c r="V289" s="23">
        <f t="shared" si="37"/>
        <v>90</v>
      </c>
      <c r="W289" s="18">
        <f>'Info Lega'!$B$4-SUMIFS($M$2:$M$492,$D$2:$D$492,'Info Lega'!$B$28)</f>
        <v>1000</v>
      </c>
      <c r="X289" s="18">
        <f>('Info Lega'!$B$5-COUNTIFS($D$2:$D$492,'Info Lega'!$B$28,$B$2:$B$492,"P"))+('Info Lega'!$B$6-COUNTIFS($D$2:$D$492,'Info Lega'!$B$28,$B$2:$B$492,"D"))+('Info Lega'!$B$7-COUNTIFS($D$2:$D$492,'Info Lega'!$B$28,$B$2:$B$492,"C"))+('Info Lega'!$B$8-COUNTIFS($D$2:$D$492,'Info Lega'!$B$28,$B$2:$B$492,"A"))</f>
        <v>25</v>
      </c>
      <c r="Y289" s="18">
        <f>X289*'Parametri Modello'!$B$30</f>
        <v>25</v>
      </c>
      <c r="Z289" s="18">
        <f t="shared" si="38"/>
        <v>975</v>
      </c>
      <c r="AA289" s="18">
        <f t="shared" si="39"/>
        <v>2</v>
      </c>
      <c r="AB289" s="18"/>
      <c r="AC289" s="18" t="str">
        <f>IF($AB289="","",IF($AB289&gt;$AA289,"PASS",IF($AB289&lt;=$AA289*(1-'Parametri Modello'!$B$68),"BID","ATTENZIONE")))</f>
        <v/>
      </c>
      <c r="AD289" s="28">
        <f t="shared" si="40"/>
        <v>70</v>
      </c>
      <c r="AE289" s="5" t="str">
        <f>IFERROR(INDEX('Stato Asta'!$G$9:$G$12,MATCH($B289,'Stato Asta'!$A$9:$A$12,0)),"")</f>
        <v>🔴 Non aspettare</v>
      </c>
      <c r="AF289" t="str">
        <f>IFERROR(IF($V289&lt;=INDEX('Parametri Modello'!$C$57:$C$60,MATCH($B289,'Parametri Modello'!$A$57:$A$60,0)),"Titolare","Riserva"),"")</f>
        <v>Riserva</v>
      </c>
      <c r="AG289" t="str">
        <f>IFERROR(INDEX('Pressione Competitiva'!$F$3:$F$6,MATCH($B289,'Pressione Competitiva'!$B$3:$B$6,0)),"")</f>
        <v>🔴 Molto Alta</v>
      </c>
      <c r="AH289" t="str">
        <f t="shared" si="41"/>
        <v/>
      </c>
      <c r="AI289" t="str">
        <f>IFERROR(IF($AH289="","",IF($AH289&gt;=$AA289*'Parametri Modello'!$B$68,"🟢 Opportunita'",IF($AH289&lt;=$AA289*'Parametri Modello'!$B$69,"🔴 Sovrapprezzo","🟡 Prezzo Corretto"))),"")</f>
        <v/>
      </c>
      <c r="AJ289" t="str">
        <f t="shared" si="42"/>
        <v/>
      </c>
      <c r="AK289">
        <f t="shared" si="43"/>
        <v>35</v>
      </c>
      <c r="AL289" t="str">
        <f t="shared" si="44"/>
        <v>D|Nella Media|35</v>
      </c>
    </row>
    <row r="290" spans="1:38" ht="14.25" customHeight="1" x14ac:dyDescent="0.25">
      <c r="A290" s="18">
        <v>6890</v>
      </c>
      <c r="B290" s="18" t="s">
        <v>16</v>
      </c>
      <c r="C290" s="18" t="s">
        <v>429</v>
      </c>
      <c r="E290" s="23" t="str">
        <f>IF(COUNTIF('Info Strategia'!$D$2:$D$51,$C290)&gt;0,"SI","NO")</f>
        <v>NO</v>
      </c>
      <c r="F290" s="24">
        <f>IFERROR(ROUND(($G290+($H290-$G290)*'Info Strategia'!$B$6)*(1+IF($E290="SI",'Parametri Modello'!$B$7*'Info Strategia'!$B$6,0)),0),"")</f>
        <v>2</v>
      </c>
      <c r="G290" s="24">
        <f>IFERROR(ROUND(MAX(1,(IF($V290&lt;=INDEX('Parametri Modello'!$C$57:$C$60,MATCH($B290,'Parametri Modello'!$A$57:$A$60,0)),IF(INDEX('Parametri Modello'!$E$57:$E$60,MATCH($B290,'Parametri Modello'!$A$57:$A$60,0))=0,0,($O290/INDEX('Parametri Modello'!$E$57:$E$60,MATCH($B290,'Parametri Modello'!$A$57:$A$60,0)))*(INDEX('Parametri Modello'!$D$57:$D$60,MATCH($B290,'Parametri Modello'!$A$57:$A$60,0))*(INDEX('Parametri Modello'!$B$50:$B$53,MATCH($B290,'Parametri Modello'!$A$50:$A$53,0))*'Parametri Modello'!$B$44))),IF(INDEX('Parametri Modello'!$F$57:$F$60,MATCH($B290,'Parametri Modello'!$A$57:$A$60,0))=0,0,($O290/INDEX('Parametri Modello'!$F$57:$F$60,MATCH($B290,'Parametri Modello'!$A$57:$A$60,0)))*((1-INDEX('Parametri Modello'!$D$57:$D$60,MATCH($B290,'Parametri Modello'!$A$57:$A$60,0)))*(INDEX('Parametri Modello'!$B$50:$B$53,MATCH($B290,'Parametri Modello'!$A$50:$A$53,0))*'Parametri Modello'!$B$44))))*(1+IF(IF($B290="D",'Info Lega'!$B$25,IF($B290="C",'Info Lega'!$B$26,"No"))="Si",'Parametri Modello'!$B$5,0))*(1+MAX(-0.25,MIN(0.25,IF(OR($T290="",$I290="",$I290=0,INDEX('Parametri Modello'!$B$19:$B$22,MATCH($B290,'Parametri Modello'!$A$19:$A$22,0))="",INDEX('Parametri Modello'!$B$19:$B$22,MATCH($B290,'Parametri Modello'!$A$19:$A$22,0))=0),0,(($T290-INDEX('Parametri Modello'!$B$19:$B$22,MATCH($B290,'Parametri Modello'!$A$19:$A$22,0)))/INDEX('Parametri Modello'!$B$19:$B$22,MATCH($B290,'Parametri Modello'!$A$19:$A$22,0)))*'Parametri Modello'!$B$9))))*(1+IF('Parametri Modello'!$B$27="Si",MAX(-'Parametri Modello'!$B$28,MIN('Parametri Modello'!$B$28*1.5,IF(OR(INDEX('Parametri Modello'!$F$32:$F$35,MATCH($B290,'Parametri Modello'!$A$32:$A$35,0))="",INDEX('Parametri Modello'!$F$32:$F$35,MATCH($B290,'Parametri Modello'!$A$32:$A$35,0))=0),0,(1/INDEX('Parametri Modello'!$F$32:$F$35,MATCH($B290,'Parametri Modello'!$A$32:$A$35,0))-1)*'Parametri Modello'!$B$28))),0)))*(1-INDEX('Parametri Modello'!$B$12:$B$15,MATCH($B290,'Parametri Modello'!$A$12:$A$15,0)))),0),"")</f>
        <v>1</v>
      </c>
      <c r="H290" s="24">
        <f>IFERROR(ROUND((IF($V290&lt;=INDEX('Parametri Modello'!$C$57:$C$60,MATCH($B290,'Parametri Modello'!$A$57:$A$60,0)),IF(INDEX('Parametri Modello'!$E$57:$E$60,MATCH($B290,'Parametri Modello'!$A$57:$A$60,0))=0,0,($O290/INDEX('Parametri Modello'!$E$57:$E$60,MATCH($B290,'Parametri Modello'!$A$57:$A$60,0)))*(INDEX('Parametri Modello'!$D$57:$D$60,MATCH($B290,'Parametri Modello'!$A$57:$A$60,0))*(INDEX('Parametri Modello'!$B$50:$B$53,MATCH($B290,'Parametri Modello'!$A$50:$A$53,0))*'Parametri Modello'!$B$44))),IF(INDEX('Parametri Modello'!$F$57:$F$60,MATCH($B290,'Parametri Modello'!$A$57:$A$60,0))=0,0,($O290/INDEX('Parametri Modello'!$F$57:$F$60,MATCH($B290,'Parametri Modello'!$A$57:$A$60,0)))*((1-INDEX('Parametri Modello'!$D$57:$D$60,MATCH($B290,'Parametri Modello'!$A$57:$A$60,0)))*(INDEX('Parametri Modello'!$B$50:$B$53,MATCH($B290,'Parametri Modello'!$A$50:$A$53,0))*'Parametri Modello'!$B$44))))*(1+IF(IF($B290="D",'Info Lega'!$B$25,IF($B290="C",'Info Lega'!$B$26,"No"))="Si",'Parametri Modello'!$B$5,0))*(1+MAX(-0.25,MIN(0.25,IF(OR($T290="",$I290="",$I290=0,INDEX('Parametri Modello'!$B$19:$B$22,MATCH($B290,'Parametri Modello'!$A$19:$A$22,0))="",INDEX('Parametri Modello'!$B$19:$B$22,MATCH($B290,'Parametri Modello'!$A$19:$A$22,0))=0),0,(($T290-INDEX('Parametri Modello'!$B$19:$B$22,MATCH($B290,'Parametri Modello'!$A$19:$A$22,0)))/INDEX('Parametri Modello'!$B$19:$B$22,MATCH($B290,'Parametri Modello'!$A$19:$A$22,0)))*'Parametri Modello'!$B$9))))*(1+IF('Parametri Modello'!$B$27="Si",MAX(-'Parametri Modello'!$B$28,MIN('Parametri Modello'!$B$28*1.5,IF(OR(INDEX('Parametri Modello'!$F$32:$F$35,MATCH($B290,'Parametri Modello'!$A$32:$A$35,0))="",INDEX('Parametri Modello'!$F$32:$F$35,MATCH($B290,'Parametri Modello'!$A$32:$A$35,0))=0),0,(1/INDEX('Parametri Modello'!$F$32:$F$35,MATCH($B290,'Parametri Modello'!$A$32:$A$35,0))-1)*'Parametri Modello'!$B$28))),0)))*(1+INDEX('Parametri Modello'!$B$12:$B$15,MATCH($B290,'Parametri Modello'!$A$12:$A$15,0))),0),"")</f>
        <v>2</v>
      </c>
      <c r="I290" s="23" t="str">
        <f>IFERROR(INDEX('Input Statistiche 2025_26'!$F$3:$F$665,MATCH($A290,'Input Statistiche 2025_26'!$A$3:$A$665,0)),"")</f>
        <v/>
      </c>
      <c r="J290" s="23" t="str">
        <f t="shared" si="36"/>
        <v/>
      </c>
      <c r="K290" s="23" t="str">
        <f>IFERROR(INDEX('Input Statistiche 2025_26'!$I$3:$I$665,MATCH($A290,'Input Statistiche 2025_26'!$A$3:$A$665,0)),"")</f>
        <v/>
      </c>
      <c r="L290" s="23" t="str">
        <f>IFERROR(INDEX('Input Statistiche 2025_26'!$O$3:$O$665,MATCH($A290,'Input Statistiche 2025_26'!$A$3:$A$665,0)),"")</f>
        <v/>
      </c>
      <c r="M290" s="25"/>
      <c r="N290" s="24">
        <f>IFERROR(INDEX('Input Giocatori 2026_27'!$E$3:$E$493,MATCH($A290,'Input Giocatori 2026_27'!$A$3:$A$493,0)),"")</f>
        <v>5</v>
      </c>
      <c r="O290" s="24">
        <f>IFERROR(INDEX('Input Giocatori 2026_27'!$G$3:$G$493,MATCH($A290,'Input Giocatori 2026_27'!$A$3:$A$493,0)),"")</f>
        <v>11</v>
      </c>
      <c r="P290" s="23" t="str">
        <f>IFERROR(IF($O290="","",IF((1-(COUNTIFS($B$2:$B$492,$B290,$O$2:$O$492,"&gt;"&amp;$O290)+1-1)/COUNTIF($B$2:$B$492,$B290))&gt;='Parametri Modello'!$B$63,"Top",IF((1-(COUNTIFS($B$2:$B$492,$B290,$O$2:$O$492,"&gt;"&amp;$O290)+1-1)/COUNTIF($B$2:$B$492,$B290))&gt;='Parametri Modello'!$B$64,"Buono",IF((1-(COUNTIFS($B$2:$B$492,$B290,$O$2:$O$492,"&gt;"&amp;$O290)+1-1)/COUNTIF($B$2:$B$492,$B290))&gt;='Parametri Modello'!$B$65,"Nella Media","Scommessa/Riserva")))),"")</f>
        <v>Nella Media</v>
      </c>
      <c r="Q290" s="26">
        <f>IF(AND($D290="",$N290&gt;1),SUMPRODUCT(($D$2:$D290="")*($N$2:$N290&gt;1)),"")</f>
        <v>289</v>
      </c>
      <c r="R290" s="26" t="str">
        <f>IF($D290='Info Lega'!$B$28,COUNTIFS($D$2:$D290,'Info Lega'!$B$28),"")</f>
        <v/>
      </c>
      <c r="S290" s="27" t="str">
        <f>IFERROR(INDEX('Input Statistiche 2025_26'!$G$3:$G$665,MATCH($A290,'Input Statistiche 2025_26'!$A$3:$A$665,0)),"")</f>
        <v/>
      </c>
      <c r="T290" s="27" t="str">
        <f>IFERROR(INDEX('Input Statistiche 2025_26'!$H$3:$H$665,MATCH($A290,'Input Statistiche 2025_26'!$A$3:$A$665,0)),"")</f>
        <v/>
      </c>
      <c r="U290" s="23" t="str">
        <f>IF(OR('La Mia Rosa'!$O$12="",$D290&lt;&gt;""),"",IF($F290&lt;='La Mia Rosa'!$O$12*'Parametri Modello'!$B$24,"OK",IF($F290&lt;='La Mia Rosa'!$O$12*'Parametri Modello'!$B$25,"Attenzione","Rischio Alto")))</f>
        <v>OK</v>
      </c>
      <c r="V290" s="23">
        <f t="shared" si="37"/>
        <v>90</v>
      </c>
      <c r="W290" s="18">
        <f>'Info Lega'!$B$4-SUMIFS($M$2:$M$492,$D$2:$D$492,'Info Lega'!$B$28)</f>
        <v>1000</v>
      </c>
      <c r="X290" s="18">
        <f>('Info Lega'!$B$5-COUNTIFS($D$2:$D$492,'Info Lega'!$B$28,$B$2:$B$492,"P"))+('Info Lega'!$B$6-COUNTIFS($D$2:$D$492,'Info Lega'!$B$28,$B$2:$B$492,"D"))+('Info Lega'!$B$7-COUNTIFS($D$2:$D$492,'Info Lega'!$B$28,$B$2:$B$492,"C"))+('Info Lega'!$B$8-COUNTIFS($D$2:$D$492,'Info Lega'!$B$28,$B$2:$B$492,"A"))</f>
        <v>25</v>
      </c>
      <c r="Y290" s="18">
        <f>X290*'Parametri Modello'!$B$30</f>
        <v>25</v>
      </c>
      <c r="Z290" s="18">
        <f t="shared" si="38"/>
        <v>975</v>
      </c>
      <c r="AA290" s="18">
        <f t="shared" si="39"/>
        <v>2</v>
      </c>
      <c r="AB290" s="18"/>
      <c r="AC290" s="18" t="str">
        <f>IF($AB290="","",IF($AB290&gt;$AA290,"PASS",IF($AB290&lt;=$AA290*(1-'Parametri Modello'!$B$68),"BID","ATTENZIONE")))</f>
        <v/>
      </c>
      <c r="AD290" s="28" t="str">
        <f t="shared" si="40"/>
        <v/>
      </c>
      <c r="AE290" s="5" t="str">
        <f>IFERROR(INDEX('Stato Asta'!$G$9:$G$12,MATCH($B290,'Stato Asta'!$A$9:$A$12,0)),"")</f>
        <v>🔴 Non aspettare</v>
      </c>
      <c r="AF290" t="str">
        <f>IFERROR(IF($V290&lt;=INDEX('Parametri Modello'!$C$57:$C$60,MATCH($B290,'Parametri Modello'!$A$57:$A$60,0)),"Titolare","Riserva"),"")</f>
        <v>Riserva</v>
      </c>
      <c r="AG290" t="str">
        <f>IFERROR(INDEX('Pressione Competitiva'!$F$3:$F$6,MATCH($B290,'Pressione Competitiva'!$B$3:$B$6,0)),"")</f>
        <v>🔴 Molto Alta</v>
      </c>
      <c r="AH290" t="str">
        <f t="shared" si="41"/>
        <v/>
      </c>
      <c r="AI290" t="str">
        <f>IFERROR(IF($AH290="","",IF($AH290&gt;=$AA290*'Parametri Modello'!$B$68,"🟢 Opportunita'",IF($AH290&lt;=$AA290*'Parametri Modello'!$B$69,"🔴 Sovrapprezzo","🟡 Prezzo Corretto"))),"")</f>
        <v/>
      </c>
      <c r="AJ290" t="str">
        <f t="shared" si="42"/>
        <v/>
      </c>
      <c r="AK290">
        <f t="shared" si="43"/>
        <v>35</v>
      </c>
      <c r="AL290" t="str">
        <f t="shared" si="44"/>
        <v>D|Nella Media|35</v>
      </c>
    </row>
    <row r="291" spans="1:38" ht="14.25" customHeight="1" x14ac:dyDescent="0.25">
      <c r="A291" s="18">
        <v>5695</v>
      </c>
      <c r="B291" s="18" t="s">
        <v>16</v>
      </c>
      <c r="C291" s="18" t="s">
        <v>430</v>
      </c>
      <c r="E291" s="23" t="str">
        <f>IF(COUNTIF('Info Strategia'!$D$2:$D$51,$C291)&gt;0,"SI","NO")</f>
        <v>NO</v>
      </c>
      <c r="F291" s="24">
        <f>IFERROR(ROUND(($G291+($H291-$G291)*'Info Strategia'!$B$6)*(1+IF($E291="SI",'Parametri Modello'!$B$7*'Info Strategia'!$B$6,0)),0),"")</f>
        <v>2</v>
      </c>
      <c r="G291" s="24">
        <f>IFERROR(ROUND(MAX(1,(IF($V291&lt;=INDEX('Parametri Modello'!$C$57:$C$60,MATCH($B291,'Parametri Modello'!$A$57:$A$60,0)),IF(INDEX('Parametri Modello'!$E$57:$E$60,MATCH($B291,'Parametri Modello'!$A$57:$A$60,0))=0,0,($O291/INDEX('Parametri Modello'!$E$57:$E$60,MATCH($B291,'Parametri Modello'!$A$57:$A$60,0)))*(INDEX('Parametri Modello'!$D$57:$D$60,MATCH($B291,'Parametri Modello'!$A$57:$A$60,0))*(INDEX('Parametri Modello'!$B$50:$B$53,MATCH($B291,'Parametri Modello'!$A$50:$A$53,0))*'Parametri Modello'!$B$44))),IF(INDEX('Parametri Modello'!$F$57:$F$60,MATCH($B291,'Parametri Modello'!$A$57:$A$60,0))=0,0,($O291/INDEX('Parametri Modello'!$F$57:$F$60,MATCH($B291,'Parametri Modello'!$A$57:$A$60,0)))*((1-INDEX('Parametri Modello'!$D$57:$D$60,MATCH($B291,'Parametri Modello'!$A$57:$A$60,0)))*(INDEX('Parametri Modello'!$B$50:$B$53,MATCH($B291,'Parametri Modello'!$A$50:$A$53,0))*'Parametri Modello'!$B$44))))*(1+IF(IF($B291="D",'Info Lega'!$B$25,IF($B291="C",'Info Lega'!$B$26,"No"))="Si",'Parametri Modello'!$B$5,0))*(1+MAX(-0.25,MIN(0.25,IF(OR($T291="",$I291="",$I291=0,INDEX('Parametri Modello'!$B$19:$B$22,MATCH($B291,'Parametri Modello'!$A$19:$A$22,0))="",INDEX('Parametri Modello'!$B$19:$B$22,MATCH($B291,'Parametri Modello'!$A$19:$A$22,0))=0),0,(($T291-INDEX('Parametri Modello'!$B$19:$B$22,MATCH($B291,'Parametri Modello'!$A$19:$A$22,0)))/INDEX('Parametri Modello'!$B$19:$B$22,MATCH($B291,'Parametri Modello'!$A$19:$A$22,0)))*'Parametri Modello'!$B$9))))*(1+IF('Parametri Modello'!$B$27="Si",MAX(-'Parametri Modello'!$B$28,MIN('Parametri Modello'!$B$28*1.5,IF(OR(INDEX('Parametri Modello'!$F$32:$F$35,MATCH($B291,'Parametri Modello'!$A$32:$A$35,0))="",INDEX('Parametri Modello'!$F$32:$F$35,MATCH($B291,'Parametri Modello'!$A$32:$A$35,0))=0),0,(1/INDEX('Parametri Modello'!$F$32:$F$35,MATCH($B291,'Parametri Modello'!$A$32:$A$35,0))-1)*'Parametri Modello'!$B$28))),0)))*(1-INDEX('Parametri Modello'!$B$12:$B$15,MATCH($B291,'Parametri Modello'!$A$12:$A$15,0)))),0),"")</f>
        <v>1</v>
      </c>
      <c r="H291" s="24">
        <f>IFERROR(ROUND((IF($V291&lt;=INDEX('Parametri Modello'!$C$57:$C$60,MATCH($B291,'Parametri Modello'!$A$57:$A$60,0)),IF(INDEX('Parametri Modello'!$E$57:$E$60,MATCH($B291,'Parametri Modello'!$A$57:$A$60,0))=0,0,($O291/INDEX('Parametri Modello'!$E$57:$E$60,MATCH($B291,'Parametri Modello'!$A$57:$A$60,0)))*(INDEX('Parametri Modello'!$D$57:$D$60,MATCH($B291,'Parametri Modello'!$A$57:$A$60,0))*(INDEX('Parametri Modello'!$B$50:$B$53,MATCH($B291,'Parametri Modello'!$A$50:$A$53,0))*'Parametri Modello'!$B$44))),IF(INDEX('Parametri Modello'!$F$57:$F$60,MATCH($B291,'Parametri Modello'!$A$57:$A$60,0))=0,0,($O291/INDEX('Parametri Modello'!$F$57:$F$60,MATCH($B291,'Parametri Modello'!$A$57:$A$60,0)))*((1-INDEX('Parametri Modello'!$D$57:$D$60,MATCH($B291,'Parametri Modello'!$A$57:$A$60,0)))*(INDEX('Parametri Modello'!$B$50:$B$53,MATCH($B291,'Parametri Modello'!$A$50:$A$53,0))*'Parametri Modello'!$B$44))))*(1+IF(IF($B291="D",'Info Lega'!$B$25,IF($B291="C",'Info Lega'!$B$26,"No"))="Si",'Parametri Modello'!$B$5,0))*(1+MAX(-0.25,MIN(0.25,IF(OR($T291="",$I291="",$I291=0,INDEX('Parametri Modello'!$B$19:$B$22,MATCH($B291,'Parametri Modello'!$A$19:$A$22,0))="",INDEX('Parametri Modello'!$B$19:$B$22,MATCH($B291,'Parametri Modello'!$A$19:$A$22,0))=0),0,(($T291-INDEX('Parametri Modello'!$B$19:$B$22,MATCH($B291,'Parametri Modello'!$A$19:$A$22,0)))/INDEX('Parametri Modello'!$B$19:$B$22,MATCH($B291,'Parametri Modello'!$A$19:$A$22,0)))*'Parametri Modello'!$B$9))))*(1+IF('Parametri Modello'!$B$27="Si",MAX(-'Parametri Modello'!$B$28,MIN('Parametri Modello'!$B$28*1.5,IF(OR(INDEX('Parametri Modello'!$F$32:$F$35,MATCH($B291,'Parametri Modello'!$A$32:$A$35,0))="",INDEX('Parametri Modello'!$F$32:$F$35,MATCH($B291,'Parametri Modello'!$A$32:$A$35,0))=0),0,(1/INDEX('Parametri Modello'!$F$32:$F$35,MATCH($B291,'Parametri Modello'!$A$32:$A$35,0))-1)*'Parametri Modello'!$B$28))),0)))*(1+INDEX('Parametri Modello'!$B$12:$B$15,MATCH($B291,'Parametri Modello'!$A$12:$A$15,0))),0),"")</f>
        <v>2</v>
      </c>
      <c r="I291" s="23" t="str">
        <f>IFERROR(INDEX('Input Statistiche 2025_26'!$F$3:$F$665,MATCH($A291,'Input Statistiche 2025_26'!$A$3:$A$665,0)),"")</f>
        <v/>
      </c>
      <c r="J291" s="23" t="str">
        <f t="shared" si="36"/>
        <v/>
      </c>
      <c r="K291" s="23" t="str">
        <f>IFERROR(INDEX('Input Statistiche 2025_26'!$I$3:$I$665,MATCH($A291,'Input Statistiche 2025_26'!$A$3:$A$665,0)),"")</f>
        <v/>
      </c>
      <c r="L291" s="23" t="str">
        <f>IFERROR(INDEX('Input Statistiche 2025_26'!$O$3:$O$665,MATCH($A291,'Input Statistiche 2025_26'!$A$3:$A$665,0)),"")</f>
        <v/>
      </c>
      <c r="M291" s="25"/>
      <c r="N291" s="24">
        <f>IFERROR(INDEX('Input Giocatori 2026_27'!$E$3:$E$493,MATCH($A291,'Input Giocatori 2026_27'!$A$3:$A$493,0)),"")</f>
        <v>5</v>
      </c>
      <c r="O291" s="24">
        <f>IFERROR(INDEX('Input Giocatori 2026_27'!$G$3:$G$493,MATCH($A291,'Input Giocatori 2026_27'!$A$3:$A$493,0)),"")</f>
        <v>11</v>
      </c>
      <c r="P291" s="23" t="str">
        <f>IFERROR(IF($O291="","",IF((1-(COUNTIFS($B$2:$B$492,$B291,$O$2:$O$492,"&gt;"&amp;$O291)+1-1)/COUNTIF($B$2:$B$492,$B291))&gt;='Parametri Modello'!$B$63,"Top",IF((1-(COUNTIFS($B$2:$B$492,$B291,$O$2:$O$492,"&gt;"&amp;$O291)+1-1)/COUNTIF($B$2:$B$492,$B291))&gt;='Parametri Modello'!$B$64,"Buono",IF((1-(COUNTIFS($B$2:$B$492,$B291,$O$2:$O$492,"&gt;"&amp;$O291)+1-1)/COUNTIF($B$2:$B$492,$B291))&gt;='Parametri Modello'!$B$65,"Nella Media","Scommessa/Riserva")))),"")</f>
        <v>Nella Media</v>
      </c>
      <c r="Q291" s="26">
        <f>IF(AND($D291="",$N291&gt;1),SUMPRODUCT(($D$2:$D291="")*($N$2:$N291&gt;1)),"")</f>
        <v>290</v>
      </c>
      <c r="R291" s="26" t="str">
        <f>IF($D291='Info Lega'!$B$28,COUNTIFS($D$2:$D291,'Info Lega'!$B$28),"")</f>
        <v/>
      </c>
      <c r="S291" s="27" t="str">
        <f>IFERROR(INDEX('Input Statistiche 2025_26'!$G$3:$G$665,MATCH($A291,'Input Statistiche 2025_26'!$A$3:$A$665,0)),"")</f>
        <v/>
      </c>
      <c r="T291" s="27" t="str">
        <f>IFERROR(INDEX('Input Statistiche 2025_26'!$H$3:$H$665,MATCH($A291,'Input Statistiche 2025_26'!$A$3:$A$665,0)),"")</f>
        <v/>
      </c>
      <c r="U291" s="23" t="str">
        <f>IF(OR('La Mia Rosa'!$O$12="",$D291&lt;&gt;""),"",IF($F291&lt;='La Mia Rosa'!$O$12*'Parametri Modello'!$B$24,"OK",IF($F291&lt;='La Mia Rosa'!$O$12*'Parametri Modello'!$B$25,"Attenzione","Rischio Alto")))</f>
        <v>OK</v>
      </c>
      <c r="V291" s="23">
        <f t="shared" si="37"/>
        <v>90</v>
      </c>
      <c r="W291" s="18">
        <f>'Info Lega'!$B$4-SUMIFS($M$2:$M$492,$D$2:$D$492,'Info Lega'!$B$28)</f>
        <v>1000</v>
      </c>
      <c r="X291" s="18">
        <f>('Info Lega'!$B$5-COUNTIFS($D$2:$D$492,'Info Lega'!$B$28,$B$2:$B$492,"P"))+('Info Lega'!$B$6-COUNTIFS($D$2:$D$492,'Info Lega'!$B$28,$B$2:$B$492,"D"))+('Info Lega'!$B$7-COUNTIFS($D$2:$D$492,'Info Lega'!$B$28,$B$2:$B$492,"C"))+('Info Lega'!$B$8-COUNTIFS($D$2:$D$492,'Info Lega'!$B$28,$B$2:$B$492,"A"))</f>
        <v>25</v>
      </c>
      <c r="Y291" s="18">
        <f>X291*'Parametri Modello'!$B$30</f>
        <v>25</v>
      </c>
      <c r="Z291" s="18">
        <f t="shared" si="38"/>
        <v>975</v>
      </c>
      <c r="AA291" s="18">
        <f t="shared" si="39"/>
        <v>2</v>
      </c>
      <c r="AB291" s="18"/>
      <c r="AC291" s="18" t="str">
        <f>IF($AB291="","",IF($AB291&gt;$AA291,"PASS",IF($AB291&lt;=$AA291*(1-'Parametri Modello'!$B$68),"BID","ATTENZIONE")))</f>
        <v/>
      </c>
      <c r="AD291" s="28" t="str">
        <f t="shared" si="40"/>
        <v/>
      </c>
      <c r="AE291" s="5" t="str">
        <f>IFERROR(INDEX('Stato Asta'!$G$9:$G$12,MATCH($B291,'Stato Asta'!$A$9:$A$12,0)),"")</f>
        <v>🔴 Non aspettare</v>
      </c>
      <c r="AF291" t="str">
        <f>IFERROR(IF($V291&lt;=INDEX('Parametri Modello'!$C$57:$C$60,MATCH($B291,'Parametri Modello'!$A$57:$A$60,0)),"Titolare","Riserva"),"")</f>
        <v>Riserva</v>
      </c>
      <c r="AG291" t="str">
        <f>IFERROR(INDEX('Pressione Competitiva'!$F$3:$F$6,MATCH($B291,'Pressione Competitiva'!$B$3:$B$6,0)),"")</f>
        <v>🔴 Molto Alta</v>
      </c>
      <c r="AH291" t="str">
        <f t="shared" si="41"/>
        <v/>
      </c>
      <c r="AI291" t="str">
        <f>IFERROR(IF($AH291="","",IF($AH291&gt;=$AA291*'Parametri Modello'!$B$68,"🟢 Opportunita'",IF($AH291&lt;=$AA291*'Parametri Modello'!$B$69,"🔴 Sovrapprezzo","🟡 Prezzo Corretto"))),"")</f>
        <v/>
      </c>
      <c r="AJ291" t="str">
        <f t="shared" si="42"/>
        <v/>
      </c>
      <c r="AK291">
        <f t="shared" si="43"/>
        <v>35</v>
      </c>
      <c r="AL291" t="str">
        <f t="shared" si="44"/>
        <v>D|Nella Media|35</v>
      </c>
    </row>
    <row r="292" spans="1:38" ht="14.25" customHeight="1" x14ac:dyDescent="0.25">
      <c r="A292" s="18">
        <v>2115</v>
      </c>
      <c r="B292" s="18" t="s">
        <v>16</v>
      </c>
      <c r="C292" s="18" t="s">
        <v>431</v>
      </c>
      <c r="E292" s="23" t="str">
        <f>IF(COUNTIF('Info Strategia'!$D$2:$D$51,$C292)&gt;0,"SI","NO")</f>
        <v>NO</v>
      </c>
      <c r="F292" s="24">
        <f>IFERROR(ROUND(($G292+($H292-$G292)*'Info Strategia'!$B$6)*(1+IF($E292="SI",'Parametri Modello'!$B$7*'Info Strategia'!$B$6,0)),0),"")</f>
        <v>2</v>
      </c>
      <c r="G292" s="24">
        <f>IFERROR(ROUND(MAX(1,(IF($V292&lt;=INDEX('Parametri Modello'!$C$57:$C$60,MATCH($B292,'Parametri Modello'!$A$57:$A$60,0)),IF(INDEX('Parametri Modello'!$E$57:$E$60,MATCH($B292,'Parametri Modello'!$A$57:$A$60,0))=0,0,($O292/INDEX('Parametri Modello'!$E$57:$E$60,MATCH($B292,'Parametri Modello'!$A$57:$A$60,0)))*(INDEX('Parametri Modello'!$D$57:$D$60,MATCH($B292,'Parametri Modello'!$A$57:$A$60,0))*(INDEX('Parametri Modello'!$B$50:$B$53,MATCH($B292,'Parametri Modello'!$A$50:$A$53,0))*'Parametri Modello'!$B$44))),IF(INDEX('Parametri Modello'!$F$57:$F$60,MATCH($B292,'Parametri Modello'!$A$57:$A$60,0))=0,0,($O292/INDEX('Parametri Modello'!$F$57:$F$60,MATCH($B292,'Parametri Modello'!$A$57:$A$60,0)))*((1-INDEX('Parametri Modello'!$D$57:$D$60,MATCH($B292,'Parametri Modello'!$A$57:$A$60,0)))*(INDEX('Parametri Modello'!$B$50:$B$53,MATCH($B292,'Parametri Modello'!$A$50:$A$53,0))*'Parametri Modello'!$B$44))))*(1+IF(IF($B292="D",'Info Lega'!$B$25,IF($B292="C",'Info Lega'!$B$26,"No"))="Si",'Parametri Modello'!$B$5,0))*(1+MAX(-0.25,MIN(0.25,IF(OR($T292="",$I292="",$I292=0,INDEX('Parametri Modello'!$B$19:$B$22,MATCH($B292,'Parametri Modello'!$A$19:$A$22,0))="",INDEX('Parametri Modello'!$B$19:$B$22,MATCH($B292,'Parametri Modello'!$A$19:$A$22,0))=0),0,(($T292-INDEX('Parametri Modello'!$B$19:$B$22,MATCH($B292,'Parametri Modello'!$A$19:$A$22,0)))/INDEX('Parametri Modello'!$B$19:$B$22,MATCH($B292,'Parametri Modello'!$A$19:$A$22,0)))*'Parametri Modello'!$B$9))))*(1+IF('Parametri Modello'!$B$27="Si",MAX(-'Parametri Modello'!$B$28,MIN('Parametri Modello'!$B$28*1.5,IF(OR(INDEX('Parametri Modello'!$F$32:$F$35,MATCH($B292,'Parametri Modello'!$A$32:$A$35,0))="",INDEX('Parametri Modello'!$F$32:$F$35,MATCH($B292,'Parametri Modello'!$A$32:$A$35,0))=0),0,(1/INDEX('Parametri Modello'!$F$32:$F$35,MATCH($B292,'Parametri Modello'!$A$32:$A$35,0))-1)*'Parametri Modello'!$B$28))),0)))*(1-INDEX('Parametri Modello'!$B$12:$B$15,MATCH($B292,'Parametri Modello'!$A$12:$A$15,0)))),0),"")</f>
        <v>1</v>
      </c>
      <c r="H292" s="24">
        <f>IFERROR(ROUND((IF($V292&lt;=INDEX('Parametri Modello'!$C$57:$C$60,MATCH($B292,'Parametri Modello'!$A$57:$A$60,0)),IF(INDEX('Parametri Modello'!$E$57:$E$60,MATCH($B292,'Parametri Modello'!$A$57:$A$60,0))=0,0,($O292/INDEX('Parametri Modello'!$E$57:$E$60,MATCH($B292,'Parametri Modello'!$A$57:$A$60,0)))*(INDEX('Parametri Modello'!$D$57:$D$60,MATCH($B292,'Parametri Modello'!$A$57:$A$60,0))*(INDEX('Parametri Modello'!$B$50:$B$53,MATCH($B292,'Parametri Modello'!$A$50:$A$53,0))*'Parametri Modello'!$B$44))),IF(INDEX('Parametri Modello'!$F$57:$F$60,MATCH($B292,'Parametri Modello'!$A$57:$A$60,0))=0,0,($O292/INDEX('Parametri Modello'!$F$57:$F$60,MATCH($B292,'Parametri Modello'!$A$57:$A$60,0)))*((1-INDEX('Parametri Modello'!$D$57:$D$60,MATCH($B292,'Parametri Modello'!$A$57:$A$60,0)))*(INDEX('Parametri Modello'!$B$50:$B$53,MATCH($B292,'Parametri Modello'!$A$50:$A$53,0))*'Parametri Modello'!$B$44))))*(1+IF(IF($B292="D",'Info Lega'!$B$25,IF($B292="C",'Info Lega'!$B$26,"No"))="Si",'Parametri Modello'!$B$5,0))*(1+MAX(-0.25,MIN(0.25,IF(OR($T292="",$I292="",$I292=0,INDEX('Parametri Modello'!$B$19:$B$22,MATCH($B292,'Parametri Modello'!$A$19:$A$22,0))="",INDEX('Parametri Modello'!$B$19:$B$22,MATCH($B292,'Parametri Modello'!$A$19:$A$22,0))=0),0,(($T292-INDEX('Parametri Modello'!$B$19:$B$22,MATCH($B292,'Parametri Modello'!$A$19:$A$22,0)))/INDEX('Parametri Modello'!$B$19:$B$22,MATCH($B292,'Parametri Modello'!$A$19:$A$22,0)))*'Parametri Modello'!$B$9))))*(1+IF('Parametri Modello'!$B$27="Si",MAX(-'Parametri Modello'!$B$28,MIN('Parametri Modello'!$B$28*1.5,IF(OR(INDEX('Parametri Modello'!$F$32:$F$35,MATCH($B292,'Parametri Modello'!$A$32:$A$35,0))="",INDEX('Parametri Modello'!$F$32:$F$35,MATCH($B292,'Parametri Modello'!$A$32:$A$35,0))=0),0,(1/INDEX('Parametri Modello'!$F$32:$F$35,MATCH($B292,'Parametri Modello'!$A$32:$A$35,0))-1)*'Parametri Modello'!$B$28))),0)))*(1+INDEX('Parametri Modello'!$B$12:$B$15,MATCH($B292,'Parametri Modello'!$A$12:$A$15,0))),0),"")</f>
        <v>2</v>
      </c>
      <c r="I292" s="23" t="str">
        <f>IFERROR(INDEX('Input Statistiche 2025_26'!$F$3:$F$665,MATCH($A292,'Input Statistiche 2025_26'!$A$3:$A$665,0)),"")</f>
        <v/>
      </c>
      <c r="J292" s="23" t="str">
        <f t="shared" si="36"/>
        <v/>
      </c>
      <c r="K292" s="23" t="str">
        <f>IFERROR(INDEX('Input Statistiche 2025_26'!$I$3:$I$665,MATCH($A292,'Input Statistiche 2025_26'!$A$3:$A$665,0)),"")</f>
        <v/>
      </c>
      <c r="L292" s="23" t="str">
        <f>IFERROR(INDEX('Input Statistiche 2025_26'!$O$3:$O$665,MATCH($A292,'Input Statistiche 2025_26'!$A$3:$A$665,0)),"")</f>
        <v/>
      </c>
      <c r="M292" s="25"/>
      <c r="N292" s="24">
        <f>IFERROR(INDEX('Input Giocatori 2026_27'!$E$3:$E$493,MATCH($A292,'Input Giocatori 2026_27'!$A$3:$A$493,0)),"")</f>
        <v>4</v>
      </c>
      <c r="O292" s="24">
        <f>IFERROR(INDEX('Input Giocatori 2026_27'!$G$3:$G$493,MATCH($A292,'Input Giocatori 2026_27'!$A$3:$A$493,0)),"")</f>
        <v>11</v>
      </c>
      <c r="P292" s="23" t="str">
        <f>IFERROR(IF($O292="","",IF((1-(COUNTIFS($B$2:$B$492,$B292,$O$2:$O$492,"&gt;"&amp;$O292)+1-1)/COUNTIF($B$2:$B$492,$B292))&gt;='Parametri Modello'!$B$63,"Top",IF((1-(COUNTIFS($B$2:$B$492,$B292,$O$2:$O$492,"&gt;"&amp;$O292)+1-1)/COUNTIF($B$2:$B$492,$B292))&gt;='Parametri Modello'!$B$64,"Buono",IF((1-(COUNTIFS($B$2:$B$492,$B292,$O$2:$O$492,"&gt;"&amp;$O292)+1-1)/COUNTIF($B$2:$B$492,$B292))&gt;='Parametri Modello'!$B$65,"Nella Media","Scommessa/Riserva")))),"")</f>
        <v>Nella Media</v>
      </c>
      <c r="Q292" s="26">
        <f>IF(AND($D292="",$N292&gt;1),SUMPRODUCT(($D$2:$D292="")*($N$2:$N292&gt;1)),"")</f>
        <v>291</v>
      </c>
      <c r="R292" s="26" t="str">
        <f>IF($D292='Info Lega'!$B$28,COUNTIFS($D$2:$D292,'Info Lega'!$B$28),"")</f>
        <v/>
      </c>
      <c r="S292" s="27" t="str">
        <f>IFERROR(INDEX('Input Statistiche 2025_26'!$G$3:$G$665,MATCH($A292,'Input Statistiche 2025_26'!$A$3:$A$665,0)),"")</f>
        <v/>
      </c>
      <c r="T292" s="27" t="str">
        <f>IFERROR(INDEX('Input Statistiche 2025_26'!$H$3:$H$665,MATCH($A292,'Input Statistiche 2025_26'!$A$3:$A$665,0)),"")</f>
        <v/>
      </c>
      <c r="U292" s="23" t="str">
        <f>IF(OR('La Mia Rosa'!$O$12="",$D292&lt;&gt;""),"",IF($F292&lt;='La Mia Rosa'!$O$12*'Parametri Modello'!$B$24,"OK",IF($F292&lt;='La Mia Rosa'!$O$12*'Parametri Modello'!$B$25,"Attenzione","Rischio Alto")))</f>
        <v>OK</v>
      </c>
      <c r="V292" s="23">
        <f t="shared" si="37"/>
        <v>90</v>
      </c>
      <c r="W292" s="18">
        <f>'Info Lega'!$B$4-SUMIFS($M$2:$M$492,$D$2:$D$492,'Info Lega'!$B$28)</f>
        <v>1000</v>
      </c>
      <c r="X292" s="18">
        <f>('Info Lega'!$B$5-COUNTIFS($D$2:$D$492,'Info Lega'!$B$28,$B$2:$B$492,"P"))+('Info Lega'!$B$6-COUNTIFS($D$2:$D$492,'Info Lega'!$B$28,$B$2:$B$492,"D"))+('Info Lega'!$B$7-COUNTIFS($D$2:$D$492,'Info Lega'!$B$28,$B$2:$B$492,"C"))+('Info Lega'!$B$8-COUNTIFS($D$2:$D$492,'Info Lega'!$B$28,$B$2:$B$492,"A"))</f>
        <v>25</v>
      </c>
      <c r="Y292" s="18">
        <f>X292*'Parametri Modello'!$B$30</f>
        <v>25</v>
      </c>
      <c r="Z292" s="18">
        <f t="shared" si="38"/>
        <v>975</v>
      </c>
      <c r="AA292" s="18">
        <f t="shared" si="39"/>
        <v>2</v>
      </c>
      <c r="AB292" s="18"/>
      <c r="AC292" s="18" t="str">
        <f>IF($AB292="","",IF($AB292&gt;$AA292,"PASS",IF($AB292&lt;=$AA292*(1-'Parametri Modello'!$B$68),"BID","ATTENZIONE")))</f>
        <v/>
      </c>
      <c r="AD292" s="28" t="str">
        <f t="shared" si="40"/>
        <v/>
      </c>
      <c r="AE292" s="5" t="str">
        <f>IFERROR(INDEX('Stato Asta'!$G$9:$G$12,MATCH($B292,'Stato Asta'!$A$9:$A$12,0)),"")</f>
        <v>🔴 Non aspettare</v>
      </c>
      <c r="AF292" t="str">
        <f>IFERROR(IF($V292&lt;=INDEX('Parametri Modello'!$C$57:$C$60,MATCH($B292,'Parametri Modello'!$A$57:$A$60,0)),"Titolare","Riserva"),"")</f>
        <v>Riserva</v>
      </c>
      <c r="AG292" t="str">
        <f>IFERROR(INDEX('Pressione Competitiva'!$F$3:$F$6,MATCH($B292,'Pressione Competitiva'!$B$3:$B$6,0)),"")</f>
        <v>🔴 Molto Alta</v>
      </c>
      <c r="AH292" t="str">
        <f t="shared" si="41"/>
        <v/>
      </c>
      <c r="AI292" t="str">
        <f>IFERROR(IF($AH292="","",IF($AH292&gt;=$AA292*'Parametri Modello'!$B$68,"🟢 Opportunita'",IF($AH292&lt;=$AA292*'Parametri Modello'!$B$69,"🔴 Sovrapprezzo","🟡 Prezzo Corretto"))),"")</f>
        <v/>
      </c>
      <c r="AJ292" t="str">
        <f t="shared" si="42"/>
        <v/>
      </c>
      <c r="AK292">
        <f t="shared" si="43"/>
        <v>35</v>
      </c>
      <c r="AL292" t="str">
        <f t="shared" si="44"/>
        <v>D|Nella Media|35</v>
      </c>
    </row>
    <row r="293" spans="1:38" ht="14.25" customHeight="1" x14ac:dyDescent="0.25">
      <c r="A293" s="18">
        <v>4856</v>
      </c>
      <c r="B293" s="18" t="s">
        <v>17</v>
      </c>
      <c r="C293" s="18" t="s">
        <v>432</v>
      </c>
      <c r="E293" s="23" t="str">
        <f>IF(COUNTIF('Info Strategia'!$D$2:$D$51,$C293)&gt;0,"SI","NO")</f>
        <v>NO</v>
      </c>
      <c r="F293" s="24">
        <f>IFERROR(ROUND(($G293+($H293-$G293)*'Info Strategia'!$B$6)*(1+IF($E293="SI",'Parametri Modello'!$B$7*'Info Strategia'!$B$6,0)),0),"")</f>
        <v>2</v>
      </c>
      <c r="G293" s="24">
        <f>IFERROR(ROUND(MAX(1,(IF($V293&lt;=INDEX('Parametri Modello'!$C$57:$C$60,MATCH($B293,'Parametri Modello'!$A$57:$A$60,0)),IF(INDEX('Parametri Modello'!$E$57:$E$60,MATCH($B293,'Parametri Modello'!$A$57:$A$60,0))=0,0,($O293/INDEX('Parametri Modello'!$E$57:$E$60,MATCH($B293,'Parametri Modello'!$A$57:$A$60,0)))*(INDEX('Parametri Modello'!$D$57:$D$60,MATCH($B293,'Parametri Modello'!$A$57:$A$60,0))*(INDEX('Parametri Modello'!$B$50:$B$53,MATCH($B293,'Parametri Modello'!$A$50:$A$53,0))*'Parametri Modello'!$B$44))),IF(INDEX('Parametri Modello'!$F$57:$F$60,MATCH($B293,'Parametri Modello'!$A$57:$A$60,0))=0,0,($O293/INDEX('Parametri Modello'!$F$57:$F$60,MATCH($B293,'Parametri Modello'!$A$57:$A$60,0)))*((1-INDEX('Parametri Modello'!$D$57:$D$60,MATCH($B293,'Parametri Modello'!$A$57:$A$60,0)))*(INDEX('Parametri Modello'!$B$50:$B$53,MATCH($B293,'Parametri Modello'!$A$50:$A$53,0))*'Parametri Modello'!$B$44))))*(1+IF(IF($B293="D",'Info Lega'!$B$25,IF($B293="C",'Info Lega'!$B$26,"No"))="Si",'Parametri Modello'!$B$5,0))*(1+MAX(-0.25,MIN(0.25,IF(OR($T293="",$I293="",$I293=0,INDEX('Parametri Modello'!$B$19:$B$22,MATCH($B293,'Parametri Modello'!$A$19:$A$22,0))="",INDEX('Parametri Modello'!$B$19:$B$22,MATCH($B293,'Parametri Modello'!$A$19:$A$22,0))=0),0,(($T293-INDEX('Parametri Modello'!$B$19:$B$22,MATCH($B293,'Parametri Modello'!$A$19:$A$22,0)))/INDEX('Parametri Modello'!$B$19:$B$22,MATCH($B293,'Parametri Modello'!$A$19:$A$22,0)))*'Parametri Modello'!$B$9))))*(1+IF('Parametri Modello'!$B$27="Si",MAX(-'Parametri Modello'!$B$28,MIN('Parametri Modello'!$B$28*1.5,IF(OR(INDEX('Parametri Modello'!$F$32:$F$35,MATCH($B293,'Parametri Modello'!$A$32:$A$35,0))="",INDEX('Parametri Modello'!$F$32:$F$35,MATCH($B293,'Parametri Modello'!$A$32:$A$35,0))=0),0,(1/INDEX('Parametri Modello'!$F$32:$F$35,MATCH($B293,'Parametri Modello'!$A$32:$A$35,0))-1)*'Parametri Modello'!$B$28))),0)))*(1-INDEX('Parametri Modello'!$B$12:$B$15,MATCH($B293,'Parametri Modello'!$A$12:$A$15,0)))),0),"")</f>
        <v>1</v>
      </c>
      <c r="H293" s="24">
        <f>IFERROR(ROUND((IF($V293&lt;=INDEX('Parametri Modello'!$C$57:$C$60,MATCH($B293,'Parametri Modello'!$A$57:$A$60,0)),IF(INDEX('Parametri Modello'!$E$57:$E$60,MATCH($B293,'Parametri Modello'!$A$57:$A$60,0))=0,0,($O293/INDEX('Parametri Modello'!$E$57:$E$60,MATCH($B293,'Parametri Modello'!$A$57:$A$60,0)))*(INDEX('Parametri Modello'!$D$57:$D$60,MATCH($B293,'Parametri Modello'!$A$57:$A$60,0))*(INDEX('Parametri Modello'!$B$50:$B$53,MATCH($B293,'Parametri Modello'!$A$50:$A$53,0))*'Parametri Modello'!$B$44))),IF(INDEX('Parametri Modello'!$F$57:$F$60,MATCH($B293,'Parametri Modello'!$A$57:$A$60,0))=0,0,($O293/INDEX('Parametri Modello'!$F$57:$F$60,MATCH($B293,'Parametri Modello'!$A$57:$A$60,0)))*((1-INDEX('Parametri Modello'!$D$57:$D$60,MATCH($B293,'Parametri Modello'!$A$57:$A$60,0)))*(INDEX('Parametri Modello'!$B$50:$B$53,MATCH($B293,'Parametri Modello'!$A$50:$A$53,0))*'Parametri Modello'!$B$44))))*(1+IF(IF($B293="D",'Info Lega'!$B$25,IF($B293="C",'Info Lega'!$B$26,"No"))="Si",'Parametri Modello'!$B$5,0))*(1+MAX(-0.25,MIN(0.25,IF(OR($T293="",$I293="",$I293=0,INDEX('Parametri Modello'!$B$19:$B$22,MATCH($B293,'Parametri Modello'!$A$19:$A$22,0))="",INDEX('Parametri Modello'!$B$19:$B$22,MATCH($B293,'Parametri Modello'!$A$19:$A$22,0))=0),0,(($T293-INDEX('Parametri Modello'!$B$19:$B$22,MATCH($B293,'Parametri Modello'!$A$19:$A$22,0)))/INDEX('Parametri Modello'!$B$19:$B$22,MATCH($B293,'Parametri Modello'!$A$19:$A$22,0)))*'Parametri Modello'!$B$9))))*(1+IF('Parametri Modello'!$B$27="Si",MAX(-'Parametri Modello'!$B$28,MIN('Parametri Modello'!$B$28*1.5,IF(OR(INDEX('Parametri Modello'!$F$32:$F$35,MATCH($B293,'Parametri Modello'!$A$32:$A$35,0))="",INDEX('Parametri Modello'!$F$32:$F$35,MATCH($B293,'Parametri Modello'!$A$32:$A$35,0))=0),0,(1/INDEX('Parametri Modello'!$F$32:$F$35,MATCH($B293,'Parametri Modello'!$A$32:$A$35,0))-1)*'Parametri Modello'!$B$28))),0)))*(1+INDEX('Parametri Modello'!$B$12:$B$15,MATCH($B293,'Parametri Modello'!$A$12:$A$15,0))),0),"")</f>
        <v>2</v>
      </c>
      <c r="I293" s="23">
        <f>IFERROR(INDEX('Input Statistiche 2025_26'!$F$3:$F$665,MATCH($A293,'Input Statistiche 2025_26'!$A$3:$A$665,0)),"")</f>
        <v>1</v>
      </c>
      <c r="J293" s="23">
        <f t="shared" si="36"/>
        <v>37</v>
      </c>
      <c r="K293" s="23">
        <f>IFERROR(INDEX('Input Statistiche 2025_26'!$I$3:$I$665,MATCH($A293,'Input Statistiche 2025_26'!$A$3:$A$665,0)),"")</f>
        <v>0</v>
      </c>
      <c r="L293" s="23">
        <f>IFERROR(INDEX('Input Statistiche 2025_26'!$O$3:$O$665,MATCH($A293,'Input Statistiche 2025_26'!$A$3:$A$665,0)),"")</f>
        <v>0</v>
      </c>
      <c r="M293" s="25"/>
      <c r="N293" s="24">
        <f>IFERROR(INDEX('Input Giocatori 2026_27'!$E$3:$E$493,MATCH($A293,'Input Giocatori 2026_27'!$A$3:$A$493,0)),"")</f>
        <v>6</v>
      </c>
      <c r="O293" s="24">
        <f>IFERROR(INDEX('Input Giocatori 2026_27'!$G$3:$G$493,MATCH($A293,'Input Giocatori 2026_27'!$A$3:$A$493,0)),"")</f>
        <v>11</v>
      </c>
      <c r="P293" s="23" t="str">
        <f>IFERROR(IF($O293="","",IF((1-(COUNTIFS($B$2:$B$492,$B293,$O$2:$O$492,"&gt;"&amp;$O293)+1-1)/COUNTIF($B$2:$B$492,$B293))&gt;='Parametri Modello'!$B$63,"Top",IF((1-(COUNTIFS($B$2:$B$492,$B293,$O$2:$O$492,"&gt;"&amp;$O293)+1-1)/COUNTIF($B$2:$B$492,$B293))&gt;='Parametri Modello'!$B$64,"Buono",IF((1-(COUNTIFS($B$2:$B$492,$B293,$O$2:$O$492,"&gt;"&amp;$O293)+1-1)/COUNTIF($B$2:$B$492,$B293))&gt;='Parametri Modello'!$B$65,"Nella Media","Scommessa/Riserva")))),"")</f>
        <v>Scommessa/Riserva</v>
      </c>
      <c r="Q293" s="26">
        <f>IF(AND($D293="",$N293&gt;1),SUMPRODUCT(($D$2:$D293="")*($N$2:$N293&gt;1)),"")</f>
        <v>292</v>
      </c>
      <c r="R293" s="26" t="str">
        <f>IF($D293='Info Lega'!$B$28,COUNTIFS($D$2:$D293,'Info Lega'!$B$28),"")</f>
        <v/>
      </c>
      <c r="S293" s="27">
        <f>IFERROR(INDEX('Input Statistiche 2025_26'!$G$3:$G$665,MATCH($A293,'Input Statistiche 2025_26'!$A$3:$A$665,0)),"")</f>
        <v>5.5</v>
      </c>
      <c r="T293" s="27">
        <f>IFERROR(INDEX('Input Statistiche 2025_26'!$H$3:$H$665,MATCH($A293,'Input Statistiche 2025_26'!$A$3:$A$665,0)),"")</f>
        <v>5.5</v>
      </c>
      <c r="U293" s="23" t="str">
        <f>IF(OR('La Mia Rosa'!$O$12="",$D293&lt;&gt;""),"",IF($F293&lt;='La Mia Rosa'!$O$12*'Parametri Modello'!$B$24,"OK",IF($F293&lt;='La Mia Rosa'!$O$12*'Parametri Modello'!$B$25,"Attenzione","Rischio Alto")))</f>
        <v>OK</v>
      </c>
      <c r="V293" s="23">
        <f t="shared" si="37"/>
        <v>115</v>
      </c>
      <c r="W293" s="18">
        <f>'Info Lega'!$B$4-SUMIFS($M$2:$M$492,$D$2:$D$492,'Info Lega'!$B$28)</f>
        <v>1000</v>
      </c>
      <c r="X293" s="18">
        <f>('Info Lega'!$B$5-COUNTIFS($D$2:$D$492,'Info Lega'!$B$28,$B$2:$B$492,"P"))+('Info Lega'!$B$6-COUNTIFS($D$2:$D$492,'Info Lega'!$B$28,$B$2:$B$492,"D"))+('Info Lega'!$B$7-COUNTIFS($D$2:$D$492,'Info Lega'!$B$28,$B$2:$B$492,"C"))+('Info Lega'!$B$8-COUNTIFS($D$2:$D$492,'Info Lega'!$B$28,$B$2:$B$492,"A"))</f>
        <v>25</v>
      </c>
      <c r="Y293" s="18">
        <f>X293*'Parametri Modello'!$B$30</f>
        <v>25</v>
      </c>
      <c r="Z293" s="18">
        <f t="shared" si="38"/>
        <v>975</v>
      </c>
      <c r="AA293" s="18">
        <f t="shared" si="39"/>
        <v>2</v>
      </c>
      <c r="AB293" s="18"/>
      <c r="AC293" s="18" t="str">
        <f>IF($AB293="","",IF($AB293&gt;$AA293,"PASS",IF($AB293&lt;=$AA293*(1-'Parametri Modello'!$B$68),"BID","ATTENZIONE")))</f>
        <v/>
      </c>
      <c r="AD293" s="28">
        <f t="shared" si="40"/>
        <v>3</v>
      </c>
      <c r="AE293" s="5" t="str">
        <f>IFERROR(INDEX('Stato Asta'!$G$9:$G$12,MATCH($B293,'Stato Asta'!$A$9:$A$12,0)),"")</f>
        <v>🔴 Non aspettare</v>
      </c>
      <c r="AF293" t="str">
        <f>IFERROR(IF($V293&lt;=INDEX('Parametri Modello'!$C$57:$C$60,MATCH($B293,'Parametri Modello'!$A$57:$A$60,0)),"Titolare","Riserva"),"")</f>
        <v>Riserva</v>
      </c>
      <c r="AG293" t="str">
        <f>IFERROR(INDEX('Pressione Competitiva'!$F$3:$F$6,MATCH($B293,'Pressione Competitiva'!$B$3:$B$6,0)),"")</f>
        <v>🔴 Molto Alta</v>
      </c>
      <c r="AH293" t="str">
        <f t="shared" si="41"/>
        <v/>
      </c>
      <c r="AI293" t="str">
        <f>IFERROR(IF($AH293="","",IF($AH293&gt;=$AA293*'Parametri Modello'!$B$68,"🟢 Opportunita'",IF($AH293&lt;=$AA293*'Parametri Modello'!$B$69,"🔴 Sovrapprezzo","🟡 Prezzo Corretto"))),"")</f>
        <v/>
      </c>
      <c r="AJ293" t="str">
        <f t="shared" si="42"/>
        <v/>
      </c>
      <c r="AK293">
        <f t="shared" si="43"/>
        <v>11</v>
      </c>
      <c r="AL293" t="str">
        <f t="shared" si="44"/>
        <v>C|Scommessa/Riserva|11</v>
      </c>
    </row>
    <row r="294" spans="1:38" ht="14.25" customHeight="1" x14ac:dyDescent="0.25">
      <c r="A294" s="18">
        <v>2857</v>
      </c>
      <c r="B294" s="18" t="s">
        <v>17</v>
      </c>
      <c r="C294" s="18" t="s">
        <v>433</v>
      </c>
      <c r="E294" s="23" t="str">
        <f>IF(COUNTIF('Info Strategia'!$D$2:$D$51,$C294)&gt;0,"SI","NO")</f>
        <v>NO</v>
      </c>
      <c r="F294" s="24">
        <f>IFERROR(ROUND(($G294+($H294-$G294)*'Info Strategia'!$B$6)*(1+IF($E294="SI",'Parametri Modello'!$B$7*'Info Strategia'!$B$6,0)),0),"")</f>
        <v>2</v>
      </c>
      <c r="G294" s="24">
        <f>IFERROR(ROUND(MAX(1,(IF($V294&lt;=INDEX('Parametri Modello'!$C$57:$C$60,MATCH($B294,'Parametri Modello'!$A$57:$A$60,0)),IF(INDEX('Parametri Modello'!$E$57:$E$60,MATCH($B294,'Parametri Modello'!$A$57:$A$60,0))=0,0,($O294/INDEX('Parametri Modello'!$E$57:$E$60,MATCH($B294,'Parametri Modello'!$A$57:$A$60,0)))*(INDEX('Parametri Modello'!$D$57:$D$60,MATCH($B294,'Parametri Modello'!$A$57:$A$60,0))*(INDEX('Parametri Modello'!$B$50:$B$53,MATCH($B294,'Parametri Modello'!$A$50:$A$53,0))*'Parametri Modello'!$B$44))),IF(INDEX('Parametri Modello'!$F$57:$F$60,MATCH($B294,'Parametri Modello'!$A$57:$A$60,0))=0,0,($O294/INDEX('Parametri Modello'!$F$57:$F$60,MATCH($B294,'Parametri Modello'!$A$57:$A$60,0)))*((1-INDEX('Parametri Modello'!$D$57:$D$60,MATCH($B294,'Parametri Modello'!$A$57:$A$60,0)))*(INDEX('Parametri Modello'!$B$50:$B$53,MATCH($B294,'Parametri Modello'!$A$50:$A$53,0))*'Parametri Modello'!$B$44))))*(1+IF(IF($B294="D",'Info Lega'!$B$25,IF($B294="C",'Info Lega'!$B$26,"No"))="Si",'Parametri Modello'!$B$5,0))*(1+MAX(-0.25,MIN(0.25,IF(OR($T294="",$I294="",$I294=0,INDEX('Parametri Modello'!$B$19:$B$22,MATCH($B294,'Parametri Modello'!$A$19:$A$22,0))="",INDEX('Parametri Modello'!$B$19:$B$22,MATCH($B294,'Parametri Modello'!$A$19:$A$22,0))=0),0,(($T294-INDEX('Parametri Modello'!$B$19:$B$22,MATCH($B294,'Parametri Modello'!$A$19:$A$22,0)))/INDEX('Parametri Modello'!$B$19:$B$22,MATCH($B294,'Parametri Modello'!$A$19:$A$22,0)))*'Parametri Modello'!$B$9))))*(1+IF('Parametri Modello'!$B$27="Si",MAX(-'Parametri Modello'!$B$28,MIN('Parametri Modello'!$B$28*1.5,IF(OR(INDEX('Parametri Modello'!$F$32:$F$35,MATCH($B294,'Parametri Modello'!$A$32:$A$35,0))="",INDEX('Parametri Modello'!$F$32:$F$35,MATCH($B294,'Parametri Modello'!$A$32:$A$35,0))=0),0,(1/INDEX('Parametri Modello'!$F$32:$F$35,MATCH($B294,'Parametri Modello'!$A$32:$A$35,0))-1)*'Parametri Modello'!$B$28))),0)))*(1-INDEX('Parametri Modello'!$B$12:$B$15,MATCH($B294,'Parametri Modello'!$A$12:$A$15,0)))),0),"")</f>
        <v>1</v>
      </c>
      <c r="H294" s="24">
        <f>IFERROR(ROUND((IF($V294&lt;=INDEX('Parametri Modello'!$C$57:$C$60,MATCH($B294,'Parametri Modello'!$A$57:$A$60,0)),IF(INDEX('Parametri Modello'!$E$57:$E$60,MATCH($B294,'Parametri Modello'!$A$57:$A$60,0))=0,0,($O294/INDEX('Parametri Modello'!$E$57:$E$60,MATCH($B294,'Parametri Modello'!$A$57:$A$60,0)))*(INDEX('Parametri Modello'!$D$57:$D$60,MATCH($B294,'Parametri Modello'!$A$57:$A$60,0))*(INDEX('Parametri Modello'!$B$50:$B$53,MATCH($B294,'Parametri Modello'!$A$50:$A$53,0))*'Parametri Modello'!$B$44))),IF(INDEX('Parametri Modello'!$F$57:$F$60,MATCH($B294,'Parametri Modello'!$A$57:$A$60,0))=0,0,($O294/INDEX('Parametri Modello'!$F$57:$F$60,MATCH($B294,'Parametri Modello'!$A$57:$A$60,0)))*((1-INDEX('Parametri Modello'!$D$57:$D$60,MATCH($B294,'Parametri Modello'!$A$57:$A$60,0)))*(INDEX('Parametri Modello'!$B$50:$B$53,MATCH($B294,'Parametri Modello'!$A$50:$A$53,0))*'Parametri Modello'!$B$44))))*(1+IF(IF($B294="D",'Info Lega'!$B$25,IF($B294="C",'Info Lega'!$B$26,"No"))="Si",'Parametri Modello'!$B$5,0))*(1+MAX(-0.25,MIN(0.25,IF(OR($T294="",$I294="",$I294=0,INDEX('Parametri Modello'!$B$19:$B$22,MATCH($B294,'Parametri Modello'!$A$19:$A$22,0))="",INDEX('Parametri Modello'!$B$19:$B$22,MATCH($B294,'Parametri Modello'!$A$19:$A$22,0))=0),0,(($T294-INDEX('Parametri Modello'!$B$19:$B$22,MATCH($B294,'Parametri Modello'!$A$19:$A$22,0)))/INDEX('Parametri Modello'!$B$19:$B$22,MATCH($B294,'Parametri Modello'!$A$19:$A$22,0)))*'Parametri Modello'!$B$9))))*(1+IF('Parametri Modello'!$B$27="Si",MAX(-'Parametri Modello'!$B$28,MIN('Parametri Modello'!$B$28*1.5,IF(OR(INDEX('Parametri Modello'!$F$32:$F$35,MATCH($B294,'Parametri Modello'!$A$32:$A$35,0))="",INDEX('Parametri Modello'!$F$32:$F$35,MATCH($B294,'Parametri Modello'!$A$32:$A$35,0))=0),0,(1/INDEX('Parametri Modello'!$F$32:$F$35,MATCH($B294,'Parametri Modello'!$A$32:$A$35,0))-1)*'Parametri Modello'!$B$28))),0)))*(1+INDEX('Parametri Modello'!$B$12:$B$15,MATCH($B294,'Parametri Modello'!$A$12:$A$15,0))),0),"")</f>
        <v>2</v>
      </c>
      <c r="I294" s="23" t="str">
        <f>IFERROR(INDEX('Input Statistiche 2025_26'!$F$3:$F$665,MATCH($A294,'Input Statistiche 2025_26'!$A$3:$A$665,0)),"")</f>
        <v/>
      </c>
      <c r="J294" s="23" t="str">
        <f t="shared" si="36"/>
        <v/>
      </c>
      <c r="K294" s="23" t="str">
        <f>IFERROR(INDEX('Input Statistiche 2025_26'!$I$3:$I$665,MATCH($A294,'Input Statistiche 2025_26'!$A$3:$A$665,0)),"")</f>
        <v/>
      </c>
      <c r="L294" s="23" t="str">
        <f>IFERROR(INDEX('Input Statistiche 2025_26'!$O$3:$O$665,MATCH($A294,'Input Statistiche 2025_26'!$A$3:$A$665,0)),"")</f>
        <v/>
      </c>
      <c r="M294" s="25"/>
      <c r="N294" s="24">
        <f>IFERROR(INDEX('Input Giocatori 2026_27'!$E$3:$E$493,MATCH($A294,'Input Giocatori 2026_27'!$A$3:$A$493,0)),"")</f>
        <v>5</v>
      </c>
      <c r="O294" s="24">
        <f>IFERROR(INDEX('Input Giocatori 2026_27'!$G$3:$G$493,MATCH($A294,'Input Giocatori 2026_27'!$A$3:$A$493,0)),"")</f>
        <v>11</v>
      </c>
      <c r="P294" s="23" t="str">
        <f>IFERROR(IF($O294="","",IF((1-(COUNTIFS($B$2:$B$492,$B294,$O$2:$O$492,"&gt;"&amp;$O294)+1-1)/COUNTIF($B$2:$B$492,$B294))&gt;='Parametri Modello'!$B$63,"Top",IF((1-(COUNTIFS($B$2:$B$492,$B294,$O$2:$O$492,"&gt;"&amp;$O294)+1-1)/COUNTIF($B$2:$B$492,$B294))&gt;='Parametri Modello'!$B$64,"Buono",IF((1-(COUNTIFS($B$2:$B$492,$B294,$O$2:$O$492,"&gt;"&amp;$O294)+1-1)/COUNTIF($B$2:$B$492,$B294))&gt;='Parametri Modello'!$B$65,"Nella Media","Scommessa/Riserva")))),"")</f>
        <v>Scommessa/Riserva</v>
      </c>
      <c r="Q294" s="26">
        <f>IF(AND($D294="",$N294&gt;1),SUMPRODUCT(($D$2:$D294="")*($N$2:$N294&gt;1)),"")</f>
        <v>293</v>
      </c>
      <c r="R294" s="26" t="str">
        <f>IF($D294='Info Lega'!$B$28,COUNTIFS($D$2:$D294,'Info Lega'!$B$28),"")</f>
        <v/>
      </c>
      <c r="S294" s="27" t="str">
        <f>IFERROR(INDEX('Input Statistiche 2025_26'!$G$3:$G$665,MATCH($A294,'Input Statistiche 2025_26'!$A$3:$A$665,0)),"")</f>
        <v/>
      </c>
      <c r="T294" s="27" t="str">
        <f>IFERROR(INDEX('Input Statistiche 2025_26'!$H$3:$H$665,MATCH($A294,'Input Statistiche 2025_26'!$A$3:$A$665,0)),"")</f>
        <v/>
      </c>
      <c r="U294" s="23" t="str">
        <f>IF(OR('La Mia Rosa'!$O$12="",$D294&lt;&gt;""),"",IF($F294&lt;='La Mia Rosa'!$O$12*'Parametri Modello'!$B$24,"OK",IF($F294&lt;='La Mia Rosa'!$O$12*'Parametri Modello'!$B$25,"Attenzione","Rischio Alto")))</f>
        <v>OK</v>
      </c>
      <c r="V294" s="23">
        <f t="shared" si="37"/>
        <v>115</v>
      </c>
      <c r="W294" s="18">
        <f>'Info Lega'!$B$4-SUMIFS($M$2:$M$492,$D$2:$D$492,'Info Lega'!$B$28)</f>
        <v>1000</v>
      </c>
      <c r="X294" s="18">
        <f>('Info Lega'!$B$5-COUNTIFS($D$2:$D$492,'Info Lega'!$B$28,$B$2:$B$492,"P"))+('Info Lega'!$B$6-COUNTIFS($D$2:$D$492,'Info Lega'!$B$28,$B$2:$B$492,"D"))+('Info Lega'!$B$7-COUNTIFS($D$2:$D$492,'Info Lega'!$B$28,$B$2:$B$492,"C"))+('Info Lega'!$B$8-COUNTIFS($D$2:$D$492,'Info Lega'!$B$28,$B$2:$B$492,"A"))</f>
        <v>25</v>
      </c>
      <c r="Y294" s="18">
        <f>X294*'Parametri Modello'!$B$30</f>
        <v>25</v>
      </c>
      <c r="Z294" s="18">
        <f t="shared" si="38"/>
        <v>975</v>
      </c>
      <c r="AA294" s="18">
        <f t="shared" si="39"/>
        <v>2</v>
      </c>
      <c r="AB294" s="18"/>
      <c r="AC294" s="18" t="str">
        <f>IF($AB294="","",IF($AB294&gt;$AA294,"PASS",IF($AB294&lt;=$AA294*(1-'Parametri Modello'!$B$68),"BID","ATTENZIONE")))</f>
        <v/>
      </c>
      <c r="AD294" s="28" t="str">
        <f t="shared" si="40"/>
        <v/>
      </c>
      <c r="AE294" s="5" t="str">
        <f>IFERROR(INDEX('Stato Asta'!$G$9:$G$12,MATCH($B294,'Stato Asta'!$A$9:$A$12,0)),"")</f>
        <v>🔴 Non aspettare</v>
      </c>
      <c r="AF294" t="str">
        <f>IFERROR(IF($V294&lt;=INDEX('Parametri Modello'!$C$57:$C$60,MATCH($B294,'Parametri Modello'!$A$57:$A$60,0)),"Titolare","Riserva"),"")</f>
        <v>Riserva</v>
      </c>
      <c r="AG294" t="str">
        <f>IFERROR(INDEX('Pressione Competitiva'!$F$3:$F$6,MATCH($B294,'Pressione Competitiva'!$B$3:$B$6,0)),"")</f>
        <v>🔴 Molto Alta</v>
      </c>
      <c r="AH294" t="str">
        <f t="shared" si="41"/>
        <v/>
      </c>
      <c r="AI294" t="str">
        <f>IFERROR(IF($AH294="","",IF($AH294&gt;=$AA294*'Parametri Modello'!$B$68,"🟢 Opportunita'",IF($AH294&lt;=$AA294*'Parametri Modello'!$B$69,"🔴 Sovrapprezzo","🟡 Prezzo Corretto"))),"")</f>
        <v/>
      </c>
      <c r="AJ294" t="str">
        <f t="shared" si="42"/>
        <v/>
      </c>
      <c r="AK294">
        <f t="shared" si="43"/>
        <v>11</v>
      </c>
      <c r="AL294" t="str">
        <f t="shared" si="44"/>
        <v>C|Scommessa/Riserva|11</v>
      </c>
    </row>
    <row r="295" spans="1:38" ht="14.25" customHeight="1" x14ac:dyDescent="0.25">
      <c r="A295" s="18">
        <v>7473</v>
      </c>
      <c r="B295" s="18" t="s">
        <v>17</v>
      </c>
      <c r="C295" s="18" t="s">
        <v>434</v>
      </c>
      <c r="E295" s="23" t="str">
        <f>IF(COUNTIF('Info Strategia'!$D$2:$D$51,$C295)&gt;0,"SI","NO")</f>
        <v>NO</v>
      </c>
      <c r="F295" s="24">
        <f>IFERROR(ROUND(($G295+($H295-$G295)*'Info Strategia'!$B$6)*(1+IF($E295="SI",'Parametri Modello'!$B$7*'Info Strategia'!$B$6,0)),0),"")</f>
        <v>2</v>
      </c>
      <c r="G295" s="24">
        <f>IFERROR(ROUND(MAX(1,(IF($V295&lt;=INDEX('Parametri Modello'!$C$57:$C$60,MATCH($B295,'Parametri Modello'!$A$57:$A$60,0)),IF(INDEX('Parametri Modello'!$E$57:$E$60,MATCH($B295,'Parametri Modello'!$A$57:$A$60,0))=0,0,($O295/INDEX('Parametri Modello'!$E$57:$E$60,MATCH($B295,'Parametri Modello'!$A$57:$A$60,0)))*(INDEX('Parametri Modello'!$D$57:$D$60,MATCH($B295,'Parametri Modello'!$A$57:$A$60,0))*(INDEX('Parametri Modello'!$B$50:$B$53,MATCH($B295,'Parametri Modello'!$A$50:$A$53,0))*'Parametri Modello'!$B$44))),IF(INDEX('Parametri Modello'!$F$57:$F$60,MATCH($B295,'Parametri Modello'!$A$57:$A$60,0))=0,0,($O295/INDEX('Parametri Modello'!$F$57:$F$60,MATCH($B295,'Parametri Modello'!$A$57:$A$60,0)))*((1-INDEX('Parametri Modello'!$D$57:$D$60,MATCH($B295,'Parametri Modello'!$A$57:$A$60,0)))*(INDEX('Parametri Modello'!$B$50:$B$53,MATCH($B295,'Parametri Modello'!$A$50:$A$53,0))*'Parametri Modello'!$B$44))))*(1+IF(IF($B295="D",'Info Lega'!$B$25,IF($B295="C",'Info Lega'!$B$26,"No"))="Si",'Parametri Modello'!$B$5,0))*(1+MAX(-0.25,MIN(0.25,IF(OR($T295="",$I295="",$I295=0,INDEX('Parametri Modello'!$B$19:$B$22,MATCH($B295,'Parametri Modello'!$A$19:$A$22,0))="",INDEX('Parametri Modello'!$B$19:$B$22,MATCH($B295,'Parametri Modello'!$A$19:$A$22,0))=0),0,(($T295-INDEX('Parametri Modello'!$B$19:$B$22,MATCH($B295,'Parametri Modello'!$A$19:$A$22,0)))/INDEX('Parametri Modello'!$B$19:$B$22,MATCH($B295,'Parametri Modello'!$A$19:$A$22,0)))*'Parametri Modello'!$B$9))))*(1+IF('Parametri Modello'!$B$27="Si",MAX(-'Parametri Modello'!$B$28,MIN('Parametri Modello'!$B$28*1.5,IF(OR(INDEX('Parametri Modello'!$F$32:$F$35,MATCH($B295,'Parametri Modello'!$A$32:$A$35,0))="",INDEX('Parametri Modello'!$F$32:$F$35,MATCH($B295,'Parametri Modello'!$A$32:$A$35,0))=0),0,(1/INDEX('Parametri Modello'!$F$32:$F$35,MATCH($B295,'Parametri Modello'!$A$32:$A$35,0))-1)*'Parametri Modello'!$B$28))),0)))*(1-INDEX('Parametri Modello'!$B$12:$B$15,MATCH($B295,'Parametri Modello'!$A$12:$A$15,0)))),0),"")</f>
        <v>1</v>
      </c>
      <c r="H295" s="24">
        <f>IFERROR(ROUND((IF($V295&lt;=INDEX('Parametri Modello'!$C$57:$C$60,MATCH($B295,'Parametri Modello'!$A$57:$A$60,0)),IF(INDEX('Parametri Modello'!$E$57:$E$60,MATCH($B295,'Parametri Modello'!$A$57:$A$60,0))=0,0,($O295/INDEX('Parametri Modello'!$E$57:$E$60,MATCH($B295,'Parametri Modello'!$A$57:$A$60,0)))*(INDEX('Parametri Modello'!$D$57:$D$60,MATCH($B295,'Parametri Modello'!$A$57:$A$60,0))*(INDEX('Parametri Modello'!$B$50:$B$53,MATCH($B295,'Parametri Modello'!$A$50:$A$53,0))*'Parametri Modello'!$B$44))),IF(INDEX('Parametri Modello'!$F$57:$F$60,MATCH($B295,'Parametri Modello'!$A$57:$A$60,0))=0,0,($O295/INDEX('Parametri Modello'!$F$57:$F$60,MATCH($B295,'Parametri Modello'!$A$57:$A$60,0)))*((1-INDEX('Parametri Modello'!$D$57:$D$60,MATCH($B295,'Parametri Modello'!$A$57:$A$60,0)))*(INDEX('Parametri Modello'!$B$50:$B$53,MATCH($B295,'Parametri Modello'!$A$50:$A$53,0))*'Parametri Modello'!$B$44))))*(1+IF(IF($B295="D",'Info Lega'!$B$25,IF($B295="C",'Info Lega'!$B$26,"No"))="Si",'Parametri Modello'!$B$5,0))*(1+MAX(-0.25,MIN(0.25,IF(OR($T295="",$I295="",$I295=0,INDEX('Parametri Modello'!$B$19:$B$22,MATCH($B295,'Parametri Modello'!$A$19:$A$22,0))="",INDEX('Parametri Modello'!$B$19:$B$22,MATCH($B295,'Parametri Modello'!$A$19:$A$22,0))=0),0,(($T295-INDEX('Parametri Modello'!$B$19:$B$22,MATCH($B295,'Parametri Modello'!$A$19:$A$22,0)))/INDEX('Parametri Modello'!$B$19:$B$22,MATCH($B295,'Parametri Modello'!$A$19:$A$22,0)))*'Parametri Modello'!$B$9))))*(1+IF('Parametri Modello'!$B$27="Si",MAX(-'Parametri Modello'!$B$28,MIN('Parametri Modello'!$B$28*1.5,IF(OR(INDEX('Parametri Modello'!$F$32:$F$35,MATCH($B295,'Parametri Modello'!$A$32:$A$35,0))="",INDEX('Parametri Modello'!$F$32:$F$35,MATCH($B295,'Parametri Modello'!$A$32:$A$35,0))=0),0,(1/INDEX('Parametri Modello'!$F$32:$F$35,MATCH($B295,'Parametri Modello'!$A$32:$A$35,0))-1)*'Parametri Modello'!$B$28))),0)))*(1+INDEX('Parametri Modello'!$B$12:$B$15,MATCH($B295,'Parametri Modello'!$A$12:$A$15,0))),0),"")</f>
        <v>2</v>
      </c>
      <c r="I295" s="23" t="str">
        <f>IFERROR(INDEX('Input Statistiche 2025_26'!$F$3:$F$665,MATCH($A295,'Input Statistiche 2025_26'!$A$3:$A$665,0)),"")</f>
        <v/>
      </c>
      <c r="J295" s="23" t="str">
        <f t="shared" si="36"/>
        <v/>
      </c>
      <c r="K295" s="23" t="str">
        <f>IFERROR(INDEX('Input Statistiche 2025_26'!$I$3:$I$665,MATCH($A295,'Input Statistiche 2025_26'!$A$3:$A$665,0)),"")</f>
        <v/>
      </c>
      <c r="L295" s="23" t="str">
        <f>IFERROR(INDEX('Input Statistiche 2025_26'!$O$3:$O$665,MATCH($A295,'Input Statistiche 2025_26'!$A$3:$A$665,0)),"")</f>
        <v/>
      </c>
      <c r="M295" s="25"/>
      <c r="N295" s="24">
        <f>IFERROR(INDEX('Input Giocatori 2026_27'!$E$3:$E$493,MATCH($A295,'Input Giocatori 2026_27'!$A$3:$A$493,0)),"")</f>
        <v>4</v>
      </c>
      <c r="O295" s="24">
        <f>IFERROR(INDEX('Input Giocatori 2026_27'!$G$3:$G$493,MATCH($A295,'Input Giocatori 2026_27'!$A$3:$A$493,0)),"")</f>
        <v>11</v>
      </c>
      <c r="P295" s="23" t="str">
        <f>IFERROR(IF($O295="","",IF((1-(COUNTIFS($B$2:$B$492,$B295,$O$2:$O$492,"&gt;"&amp;$O295)+1-1)/COUNTIF($B$2:$B$492,$B295))&gt;='Parametri Modello'!$B$63,"Top",IF((1-(COUNTIFS($B$2:$B$492,$B295,$O$2:$O$492,"&gt;"&amp;$O295)+1-1)/COUNTIF($B$2:$B$492,$B295))&gt;='Parametri Modello'!$B$64,"Buono",IF((1-(COUNTIFS($B$2:$B$492,$B295,$O$2:$O$492,"&gt;"&amp;$O295)+1-1)/COUNTIF($B$2:$B$492,$B295))&gt;='Parametri Modello'!$B$65,"Nella Media","Scommessa/Riserva")))),"")</f>
        <v>Scommessa/Riserva</v>
      </c>
      <c r="Q295" s="26">
        <f>IF(AND($D295="",$N295&gt;1),SUMPRODUCT(($D$2:$D295="")*($N$2:$N295&gt;1)),"")</f>
        <v>294</v>
      </c>
      <c r="R295" s="26" t="str">
        <f>IF($D295='Info Lega'!$B$28,COUNTIFS($D$2:$D295,'Info Lega'!$B$28),"")</f>
        <v/>
      </c>
      <c r="S295" s="27" t="str">
        <f>IFERROR(INDEX('Input Statistiche 2025_26'!$G$3:$G$665,MATCH($A295,'Input Statistiche 2025_26'!$A$3:$A$665,0)),"")</f>
        <v/>
      </c>
      <c r="T295" s="27" t="str">
        <f>IFERROR(INDEX('Input Statistiche 2025_26'!$H$3:$H$665,MATCH($A295,'Input Statistiche 2025_26'!$A$3:$A$665,0)),"")</f>
        <v/>
      </c>
      <c r="U295" s="23" t="str">
        <f>IF(OR('La Mia Rosa'!$O$12="",$D295&lt;&gt;""),"",IF($F295&lt;='La Mia Rosa'!$O$12*'Parametri Modello'!$B$24,"OK",IF($F295&lt;='La Mia Rosa'!$O$12*'Parametri Modello'!$B$25,"Attenzione","Rischio Alto")))</f>
        <v>OK</v>
      </c>
      <c r="V295" s="23">
        <f t="shared" si="37"/>
        <v>115</v>
      </c>
      <c r="W295" s="18">
        <f>'Info Lega'!$B$4-SUMIFS($M$2:$M$492,$D$2:$D$492,'Info Lega'!$B$28)</f>
        <v>1000</v>
      </c>
      <c r="X295" s="18">
        <f>('Info Lega'!$B$5-COUNTIFS($D$2:$D$492,'Info Lega'!$B$28,$B$2:$B$492,"P"))+('Info Lega'!$B$6-COUNTIFS($D$2:$D$492,'Info Lega'!$B$28,$B$2:$B$492,"D"))+('Info Lega'!$B$7-COUNTIFS($D$2:$D$492,'Info Lega'!$B$28,$B$2:$B$492,"C"))+('Info Lega'!$B$8-COUNTIFS($D$2:$D$492,'Info Lega'!$B$28,$B$2:$B$492,"A"))</f>
        <v>25</v>
      </c>
      <c r="Y295" s="18">
        <f>X295*'Parametri Modello'!$B$30</f>
        <v>25</v>
      </c>
      <c r="Z295" s="18">
        <f t="shared" si="38"/>
        <v>975</v>
      </c>
      <c r="AA295" s="18">
        <f t="shared" si="39"/>
        <v>2</v>
      </c>
      <c r="AB295" s="18"/>
      <c r="AC295" s="18" t="str">
        <f>IF($AB295="","",IF($AB295&gt;$AA295,"PASS",IF($AB295&lt;=$AA295*(1-'Parametri Modello'!$B$68),"BID","ATTENZIONE")))</f>
        <v/>
      </c>
      <c r="AD295" s="28" t="str">
        <f t="shared" si="40"/>
        <v/>
      </c>
      <c r="AE295" s="5" t="str">
        <f>IFERROR(INDEX('Stato Asta'!$G$9:$G$12,MATCH($B295,'Stato Asta'!$A$9:$A$12,0)),"")</f>
        <v>🔴 Non aspettare</v>
      </c>
      <c r="AF295" t="str">
        <f>IFERROR(IF($V295&lt;=INDEX('Parametri Modello'!$C$57:$C$60,MATCH($B295,'Parametri Modello'!$A$57:$A$60,0)),"Titolare","Riserva"),"")</f>
        <v>Riserva</v>
      </c>
      <c r="AG295" t="str">
        <f>IFERROR(INDEX('Pressione Competitiva'!$F$3:$F$6,MATCH($B295,'Pressione Competitiva'!$B$3:$B$6,0)),"")</f>
        <v>🔴 Molto Alta</v>
      </c>
      <c r="AH295" t="str">
        <f t="shared" si="41"/>
        <v/>
      </c>
      <c r="AI295" t="str">
        <f>IFERROR(IF($AH295="","",IF($AH295&gt;=$AA295*'Parametri Modello'!$B$68,"🟢 Opportunita'",IF($AH295&lt;=$AA295*'Parametri Modello'!$B$69,"🔴 Sovrapprezzo","🟡 Prezzo Corretto"))),"")</f>
        <v/>
      </c>
      <c r="AJ295" t="str">
        <f t="shared" si="42"/>
        <v/>
      </c>
      <c r="AK295">
        <f t="shared" si="43"/>
        <v>11</v>
      </c>
      <c r="AL295" t="str">
        <f t="shared" si="44"/>
        <v>C|Scommessa/Riserva|11</v>
      </c>
    </row>
    <row r="296" spans="1:38" ht="14.25" customHeight="1" x14ac:dyDescent="0.25">
      <c r="A296" s="18">
        <v>7341</v>
      </c>
      <c r="B296" s="18" t="s">
        <v>17</v>
      </c>
      <c r="C296" s="18" t="s">
        <v>435</v>
      </c>
      <c r="E296" s="23" t="str">
        <f>IF(COUNTIF('Info Strategia'!$D$2:$D$51,$C296)&gt;0,"SI","NO")</f>
        <v>NO</v>
      </c>
      <c r="F296" s="24">
        <f>IFERROR(ROUND(($G296+($H296-$G296)*'Info Strategia'!$B$6)*(1+IF($E296="SI",'Parametri Modello'!$B$7*'Info Strategia'!$B$6,0)),0),"")</f>
        <v>2</v>
      </c>
      <c r="G296" s="24">
        <f>IFERROR(ROUND(MAX(1,(IF($V296&lt;=INDEX('Parametri Modello'!$C$57:$C$60,MATCH($B296,'Parametri Modello'!$A$57:$A$60,0)),IF(INDEX('Parametri Modello'!$E$57:$E$60,MATCH($B296,'Parametri Modello'!$A$57:$A$60,0))=0,0,($O296/INDEX('Parametri Modello'!$E$57:$E$60,MATCH($B296,'Parametri Modello'!$A$57:$A$60,0)))*(INDEX('Parametri Modello'!$D$57:$D$60,MATCH($B296,'Parametri Modello'!$A$57:$A$60,0))*(INDEX('Parametri Modello'!$B$50:$B$53,MATCH($B296,'Parametri Modello'!$A$50:$A$53,0))*'Parametri Modello'!$B$44))),IF(INDEX('Parametri Modello'!$F$57:$F$60,MATCH($B296,'Parametri Modello'!$A$57:$A$60,0))=0,0,($O296/INDEX('Parametri Modello'!$F$57:$F$60,MATCH($B296,'Parametri Modello'!$A$57:$A$60,0)))*((1-INDEX('Parametri Modello'!$D$57:$D$60,MATCH($B296,'Parametri Modello'!$A$57:$A$60,0)))*(INDEX('Parametri Modello'!$B$50:$B$53,MATCH($B296,'Parametri Modello'!$A$50:$A$53,0))*'Parametri Modello'!$B$44))))*(1+IF(IF($B296="D",'Info Lega'!$B$25,IF($B296="C",'Info Lega'!$B$26,"No"))="Si",'Parametri Modello'!$B$5,0))*(1+MAX(-0.25,MIN(0.25,IF(OR($T296="",$I296="",$I296=0,INDEX('Parametri Modello'!$B$19:$B$22,MATCH($B296,'Parametri Modello'!$A$19:$A$22,0))="",INDEX('Parametri Modello'!$B$19:$B$22,MATCH($B296,'Parametri Modello'!$A$19:$A$22,0))=0),0,(($T296-INDEX('Parametri Modello'!$B$19:$B$22,MATCH($B296,'Parametri Modello'!$A$19:$A$22,0)))/INDEX('Parametri Modello'!$B$19:$B$22,MATCH($B296,'Parametri Modello'!$A$19:$A$22,0)))*'Parametri Modello'!$B$9))))*(1+IF('Parametri Modello'!$B$27="Si",MAX(-'Parametri Modello'!$B$28,MIN('Parametri Modello'!$B$28*1.5,IF(OR(INDEX('Parametri Modello'!$F$32:$F$35,MATCH($B296,'Parametri Modello'!$A$32:$A$35,0))="",INDEX('Parametri Modello'!$F$32:$F$35,MATCH($B296,'Parametri Modello'!$A$32:$A$35,0))=0),0,(1/INDEX('Parametri Modello'!$F$32:$F$35,MATCH($B296,'Parametri Modello'!$A$32:$A$35,0))-1)*'Parametri Modello'!$B$28))),0)))*(1-INDEX('Parametri Modello'!$B$12:$B$15,MATCH($B296,'Parametri Modello'!$A$12:$A$15,0)))),0),"")</f>
        <v>1</v>
      </c>
      <c r="H296" s="24">
        <f>IFERROR(ROUND((IF($V296&lt;=INDEX('Parametri Modello'!$C$57:$C$60,MATCH($B296,'Parametri Modello'!$A$57:$A$60,0)),IF(INDEX('Parametri Modello'!$E$57:$E$60,MATCH($B296,'Parametri Modello'!$A$57:$A$60,0))=0,0,($O296/INDEX('Parametri Modello'!$E$57:$E$60,MATCH($B296,'Parametri Modello'!$A$57:$A$60,0)))*(INDEX('Parametri Modello'!$D$57:$D$60,MATCH($B296,'Parametri Modello'!$A$57:$A$60,0))*(INDEX('Parametri Modello'!$B$50:$B$53,MATCH($B296,'Parametri Modello'!$A$50:$A$53,0))*'Parametri Modello'!$B$44))),IF(INDEX('Parametri Modello'!$F$57:$F$60,MATCH($B296,'Parametri Modello'!$A$57:$A$60,0))=0,0,($O296/INDEX('Parametri Modello'!$F$57:$F$60,MATCH($B296,'Parametri Modello'!$A$57:$A$60,0)))*((1-INDEX('Parametri Modello'!$D$57:$D$60,MATCH($B296,'Parametri Modello'!$A$57:$A$60,0)))*(INDEX('Parametri Modello'!$B$50:$B$53,MATCH($B296,'Parametri Modello'!$A$50:$A$53,0))*'Parametri Modello'!$B$44))))*(1+IF(IF($B296="D",'Info Lega'!$B$25,IF($B296="C",'Info Lega'!$B$26,"No"))="Si",'Parametri Modello'!$B$5,0))*(1+MAX(-0.25,MIN(0.25,IF(OR($T296="",$I296="",$I296=0,INDEX('Parametri Modello'!$B$19:$B$22,MATCH($B296,'Parametri Modello'!$A$19:$A$22,0))="",INDEX('Parametri Modello'!$B$19:$B$22,MATCH($B296,'Parametri Modello'!$A$19:$A$22,0))=0),0,(($T296-INDEX('Parametri Modello'!$B$19:$B$22,MATCH($B296,'Parametri Modello'!$A$19:$A$22,0)))/INDEX('Parametri Modello'!$B$19:$B$22,MATCH($B296,'Parametri Modello'!$A$19:$A$22,0)))*'Parametri Modello'!$B$9))))*(1+IF('Parametri Modello'!$B$27="Si",MAX(-'Parametri Modello'!$B$28,MIN('Parametri Modello'!$B$28*1.5,IF(OR(INDEX('Parametri Modello'!$F$32:$F$35,MATCH($B296,'Parametri Modello'!$A$32:$A$35,0))="",INDEX('Parametri Modello'!$F$32:$F$35,MATCH($B296,'Parametri Modello'!$A$32:$A$35,0))=0),0,(1/INDEX('Parametri Modello'!$F$32:$F$35,MATCH($B296,'Parametri Modello'!$A$32:$A$35,0))-1)*'Parametri Modello'!$B$28))),0)))*(1+INDEX('Parametri Modello'!$B$12:$B$15,MATCH($B296,'Parametri Modello'!$A$12:$A$15,0))),0),"")</f>
        <v>2</v>
      </c>
      <c r="I296" s="23">
        <f>IFERROR(INDEX('Input Statistiche 2025_26'!$F$3:$F$665,MATCH($A296,'Input Statistiche 2025_26'!$A$3:$A$665,0)),"")</f>
        <v>9</v>
      </c>
      <c r="J296" s="23">
        <f t="shared" si="36"/>
        <v>29</v>
      </c>
      <c r="K296" s="23">
        <f>IFERROR(INDEX('Input Statistiche 2025_26'!$I$3:$I$665,MATCH($A296,'Input Statistiche 2025_26'!$A$3:$A$665,0)),"")</f>
        <v>0</v>
      </c>
      <c r="L296" s="23">
        <f>IFERROR(INDEX('Input Statistiche 2025_26'!$O$3:$O$665,MATCH($A296,'Input Statistiche 2025_26'!$A$3:$A$665,0)),"")</f>
        <v>0</v>
      </c>
      <c r="M296" s="25"/>
      <c r="N296" s="24">
        <f>IFERROR(INDEX('Input Giocatori 2026_27'!$E$3:$E$493,MATCH($A296,'Input Giocatori 2026_27'!$A$3:$A$493,0)),"")</f>
        <v>4</v>
      </c>
      <c r="O296" s="24">
        <f>IFERROR(INDEX('Input Giocatori 2026_27'!$G$3:$G$493,MATCH($A296,'Input Giocatori 2026_27'!$A$3:$A$493,0)),"")</f>
        <v>11</v>
      </c>
      <c r="P296" s="23" t="str">
        <f>IFERROR(IF($O296="","",IF((1-(COUNTIFS($B$2:$B$492,$B296,$O$2:$O$492,"&gt;"&amp;$O296)+1-1)/COUNTIF($B$2:$B$492,$B296))&gt;='Parametri Modello'!$B$63,"Top",IF((1-(COUNTIFS($B$2:$B$492,$B296,$O$2:$O$492,"&gt;"&amp;$O296)+1-1)/COUNTIF($B$2:$B$492,$B296))&gt;='Parametri Modello'!$B$64,"Buono",IF((1-(COUNTIFS($B$2:$B$492,$B296,$O$2:$O$492,"&gt;"&amp;$O296)+1-1)/COUNTIF($B$2:$B$492,$B296))&gt;='Parametri Modello'!$B$65,"Nella Media","Scommessa/Riserva")))),"")</f>
        <v>Scommessa/Riserva</v>
      </c>
      <c r="Q296" s="26">
        <f>IF(AND($D296="",$N296&gt;1),SUMPRODUCT(($D$2:$D296="")*($N$2:$N296&gt;1)),"")</f>
        <v>295</v>
      </c>
      <c r="R296" s="26" t="str">
        <f>IF($D296='Info Lega'!$B$28,COUNTIFS($D$2:$D296,'Info Lega'!$B$28),"")</f>
        <v/>
      </c>
      <c r="S296" s="27">
        <f>IFERROR(INDEX('Input Statistiche 2025_26'!$G$3:$G$665,MATCH($A296,'Input Statistiche 2025_26'!$A$3:$A$665,0)),"")</f>
        <v>5.72</v>
      </c>
      <c r="T296" s="27">
        <f>IFERROR(INDEX('Input Statistiche 2025_26'!$H$3:$H$665,MATCH($A296,'Input Statistiche 2025_26'!$A$3:$A$665,0)),"")</f>
        <v>5.67</v>
      </c>
      <c r="U296" s="23" t="str">
        <f>IF(OR('La Mia Rosa'!$O$12="",$D296&lt;&gt;""),"",IF($F296&lt;='La Mia Rosa'!$O$12*'Parametri Modello'!$B$24,"OK",IF($F296&lt;='La Mia Rosa'!$O$12*'Parametri Modello'!$B$25,"Attenzione","Rischio Alto")))</f>
        <v>OK</v>
      </c>
      <c r="V296" s="23">
        <f t="shared" si="37"/>
        <v>115</v>
      </c>
      <c r="W296" s="18">
        <f>'Info Lega'!$B$4-SUMIFS($M$2:$M$492,$D$2:$D$492,'Info Lega'!$B$28)</f>
        <v>1000</v>
      </c>
      <c r="X296" s="18">
        <f>('Info Lega'!$B$5-COUNTIFS($D$2:$D$492,'Info Lega'!$B$28,$B$2:$B$492,"P"))+('Info Lega'!$B$6-COUNTIFS($D$2:$D$492,'Info Lega'!$B$28,$B$2:$B$492,"D"))+('Info Lega'!$B$7-COUNTIFS($D$2:$D$492,'Info Lega'!$B$28,$B$2:$B$492,"C"))+('Info Lega'!$B$8-COUNTIFS($D$2:$D$492,'Info Lega'!$B$28,$B$2:$B$492,"A"))</f>
        <v>25</v>
      </c>
      <c r="Y296" s="18">
        <f>X296*'Parametri Modello'!$B$30</f>
        <v>25</v>
      </c>
      <c r="Z296" s="18">
        <f t="shared" si="38"/>
        <v>975</v>
      </c>
      <c r="AA296" s="18">
        <f t="shared" si="39"/>
        <v>2</v>
      </c>
      <c r="AB296" s="18"/>
      <c r="AC296" s="18" t="str">
        <f>IF($AB296="","",IF($AB296&gt;$AA296,"PASS",IF($AB296&lt;=$AA296*(1-'Parametri Modello'!$B$68),"BID","ATTENZIONE")))</f>
        <v/>
      </c>
      <c r="AD296" s="28">
        <f t="shared" si="40"/>
        <v>26</v>
      </c>
      <c r="AE296" s="5" t="str">
        <f>IFERROR(INDEX('Stato Asta'!$G$9:$G$12,MATCH($B296,'Stato Asta'!$A$9:$A$12,0)),"")</f>
        <v>🔴 Non aspettare</v>
      </c>
      <c r="AF296" t="str">
        <f>IFERROR(IF($V296&lt;=INDEX('Parametri Modello'!$C$57:$C$60,MATCH($B296,'Parametri Modello'!$A$57:$A$60,0)),"Titolare","Riserva"),"")</f>
        <v>Riserva</v>
      </c>
      <c r="AG296" t="str">
        <f>IFERROR(INDEX('Pressione Competitiva'!$F$3:$F$6,MATCH($B296,'Pressione Competitiva'!$B$3:$B$6,0)),"")</f>
        <v>🔴 Molto Alta</v>
      </c>
      <c r="AH296" t="str">
        <f t="shared" si="41"/>
        <v/>
      </c>
      <c r="AI296" t="str">
        <f>IFERROR(IF($AH296="","",IF($AH296&gt;=$AA296*'Parametri Modello'!$B$68,"🟢 Opportunita'",IF($AH296&lt;=$AA296*'Parametri Modello'!$B$69,"🔴 Sovrapprezzo","🟡 Prezzo Corretto"))),"")</f>
        <v/>
      </c>
      <c r="AJ296" t="str">
        <f t="shared" si="42"/>
        <v/>
      </c>
      <c r="AK296">
        <f t="shared" si="43"/>
        <v>11</v>
      </c>
      <c r="AL296" t="str">
        <f t="shared" si="44"/>
        <v>C|Scommessa/Riserva|11</v>
      </c>
    </row>
    <row r="297" spans="1:38" ht="14.25" customHeight="1" x14ac:dyDescent="0.25">
      <c r="A297" s="18">
        <v>7322</v>
      </c>
      <c r="B297" s="18" t="s">
        <v>17</v>
      </c>
      <c r="C297" s="18" t="s">
        <v>436</v>
      </c>
      <c r="E297" s="23" t="str">
        <f>IF(COUNTIF('Info Strategia'!$D$2:$D$51,$C297)&gt;0,"SI","NO")</f>
        <v>NO</v>
      </c>
      <c r="F297" s="24">
        <f>IFERROR(ROUND(($G297+($H297-$G297)*'Info Strategia'!$B$6)*(1+IF($E297="SI",'Parametri Modello'!$B$7*'Info Strategia'!$B$6,0)),0),"")</f>
        <v>2</v>
      </c>
      <c r="G297" s="24">
        <f>IFERROR(ROUND(MAX(1,(IF($V297&lt;=INDEX('Parametri Modello'!$C$57:$C$60,MATCH($B297,'Parametri Modello'!$A$57:$A$60,0)),IF(INDEX('Parametri Modello'!$E$57:$E$60,MATCH($B297,'Parametri Modello'!$A$57:$A$60,0))=0,0,($O297/INDEX('Parametri Modello'!$E$57:$E$60,MATCH($B297,'Parametri Modello'!$A$57:$A$60,0)))*(INDEX('Parametri Modello'!$D$57:$D$60,MATCH($B297,'Parametri Modello'!$A$57:$A$60,0))*(INDEX('Parametri Modello'!$B$50:$B$53,MATCH($B297,'Parametri Modello'!$A$50:$A$53,0))*'Parametri Modello'!$B$44))),IF(INDEX('Parametri Modello'!$F$57:$F$60,MATCH($B297,'Parametri Modello'!$A$57:$A$60,0))=0,0,($O297/INDEX('Parametri Modello'!$F$57:$F$60,MATCH($B297,'Parametri Modello'!$A$57:$A$60,0)))*((1-INDEX('Parametri Modello'!$D$57:$D$60,MATCH($B297,'Parametri Modello'!$A$57:$A$60,0)))*(INDEX('Parametri Modello'!$B$50:$B$53,MATCH($B297,'Parametri Modello'!$A$50:$A$53,0))*'Parametri Modello'!$B$44))))*(1+IF(IF($B297="D",'Info Lega'!$B$25,IF($B297="C",'Info Lega'!$B$26,"No"))="Si",'Parametri Modello'!$B$5,0))*(1+MAX(-0.25,MIN(0.25,IF(OR($T297="",$I297="",$I297=0,INDEX('Parametri Modello'!$B$19:$B$22,MATCH($B297,'Parametri Modello'!$A$19:$A$22,0))="",INDEX('Parametri Modello'!$B$19:$B$22,MATCH($B297,'Parametri Modello'!$A$19:$A$22,0))=0),0,(($T297-INDEX('Parametri Modello'!$B$19:$B$22,MATCH($B297,'Parametri Modello'!$A$19:$A$22,0)))/INDEX('Parametri Modello'!$B$19:$B$22,MATCH($B297,'Parametri Modello'!$A$19:$A$22,0)))*'Parametri Modello'!$B$9))))*(1+IF('Parametri Modello'!$B$27="Si",MAX(-'Parametri Modello'!$B$28,MIN('Parametri Modello'!$B$28*1.5,IF(OR(INDEX('Parametri Modello'!$F$32:$F$35,MATCH($B297,'Parametri Modello'!$A$32:$A$35,0))="",INDEX('Parametri Modello'!$F$32:$F$35,MATCH($B297,'Parametri Modello'!$A$32:$A$35,0))=0),0,(1/INDEX('Parametri Modello'!$F$32:$F$35,MATCH($B297,'Parametri Modello'!$A$32:$A$35,0))-1)*'Parametri Modello'!$B$28))),0)))*(1-INDEX('Parametri Modello'!$B$12:$B$15,MATCH($B297,'Parametri Modello'!$A$12:$A$15,0)))),0),"")</f>
        <v>1</v>
      </c>
      <c r="H297" s="24">
        <f>IFERROR(ROUND((IF($V297&lt;=INDEX('Parametri Modello'!$C$57:$C$60,MATCH($B297,'Parametri Modello'!$A$57:$A$60,0)),IF(INDEX('Parametri Modello'!$E$57:$E$60,MATCH($B297,'Parametri Modello'!$A$57:$A$60,0))=0,0,($O297/INDEX('Parametri Modello'!$E$57:$E$60,MATCH($B297,'Parametri Modello'!$A$57:$A$60,0)))*(INDEX('Parametri Modello'!$D$57:$D$60,MATCH($B297,'Parametri Modello'!$A$57:$A$60,0))*(INDEX('Parametri Modello'!$B$50:$B$53,MATCH($B297,'Parametri Modello'!$A$50:$A$53,0))*'Parametri Modello'!$B$44))),IF(INDEX('Parametri Modello'!$F$57:$F$60,MATCH($B297,'Parametri Modello'!$A$57:$A$60,0))=0,0,($O297/INDEX('Parametri Modello'!$F$57:$F$60,MATCH($B297,'Parametri Modello'!$A$57:$A$60,0)))*((1-INDEX('Parametri Modello'!$D$57:$D$60,MATCH($B297,'Parametri Modello'!$A$57:$A$60,0)))*(INDEX('Parametri Modello'!$B$50:$B$53,MATCH($B297,'Parametri Modello'!$A$50:$A$53,0))*'Parametri Modello'!$B$44))))*(1+IF(IF($B297="D",'Info Lega'!$B$25,IF($B297="C",'Info Lega'!$B$26,"No"))="Si",'Parametri Modello'!$B$5,0))*(1+MAX(-0.25,MIN(0.25,IF(OR($T297="",$I297="",$I297=0,INDEX('Parametri Modello'!$B$19:$B$22,MATCH($B297,'Parametri Modello'!$A$19:$A$22,0))="",INDEX('Parametri Modello'!$B$19:$B$22,MATCH($B297,'Parametri Modello'!$A$19:$A$22,0))=0),0,(($T297-INDEX('Parametri Modello'!$B$19:$B$22,MATCH($B297,'Parametri Modello'!$A$19:$A$22,0)))/INDEX('Parametri Modello'!$B$19:$B$22,MATCH($B297,'Parametri Modello'!$A$19:$A$22,0)))*'Parametri Modello'!$B$9))))*(1+IF('Parametri Modello'!$B$27="Si",MAX(-'Parametri Modello'!$B$28,MIN('Parametri Modello'!$B$28*1.5,IF(OR(INDEX('Parametri Modello'!$F$32:$F$35,MATCH($B297,'Parametri Modello'!$A$32:$A$35,0))="",INDEX('Parametri Modello'!$F$32:$F$35,MATCH($B297,'Parametri Modello'!$A$32:$A$35,0))=0),0,(1/INDEX('Parametri Modello'!$F$32:$F$35,MATCH($B297,'Parametri Modello'!$A$32:$A$35,0))-1)*'Parametri Modello'!$B$28))),0)))*(1+INDEX('Parametri Modello'!$B$12:$B$15,MATCH($B297,'Parametri Modello'!$A$12:$A$15,0))),0),"")</f>
        <v>2</v>
      </c>
      <c r="I297" s="23">
        <f>IFERROR(INDEX('Input Statistiche 2025_26'!$F$3:$F$665,MATCH($A297,'Input Statistiche 2025_26'!$A$3:$A$665,0)),"")</f>
        <v>13</v>
      </c>
      <c r="J297" s="23">
        <f t="shared" si="36"/>
        <v>25</v>
      </c>
      <c r="K297" s="23">
        <f>IFERROR(INDEX('Input Statistiche 2025_26'!$I$3:$I$665,MATCH($A297,'Input Statistiche 2025_26'!$A$3:$A$665,0)),"")</f>
        <v>0</v>
      </c>
      <c r="L297" s="23">
        <f>IFERROR(INDEX('Input Statistiche 2025_26'!$O$3:$O$665,MATCH($A297,'Input Statistiche 2025_26'!$A$3:$A$665,0)),"")</f>
        <v>0</v>
      </c>
      <c r="M297" s="25"/>
      <c r="N297" s="24">
        <f>IFERROR(INDEX('Input Giocatori 2026_27'!$E$3:$E$493,MATCH($A297,'Input Giocatori 2026_27'!$A$3:$A$493,0)),"")</f>
        <v>4</v>
      </c>
      <c r="O297" s="24">
        <f>IFERROR(INDEX('Input Giocatori 2026_27'!$G$3:$G$493,MATCH($A297,'Input Giocatori 2026_27'!$A$3:$A$493,0)),"")</f>
        <v>11</v>
      </c>
      <c r="P297" s="23" t="str">
        <f>IFERROR(IF($O297="","",IF((1-(COUNTIFS($B$2:$B$492,$B297,$O$2:$O$492,"&gt;"&amp;$O297)+1-1)/COUNTIF($B$2:$B$492,$B297))&gt;='Parametri Modello'!$B$63,"Top",IF((1-(COUNTIFS($B$2:$B$492,$B297,$O$2:$O$492,"&gt;"&amp;$O297)+1-1)/COUNTIF($B$2:$B$492,$B297))&gt;='Parametri Modello'!$B$64,"Buono",IF((1-(COUNTIFS($B$2:$B$492,$B297,$O$2:$O$492,"&gt;"&amp;$O297)+1-1)/COUNTIF($B$2:$B$492,$B297))&gt;='Parametri Modello'!$B$65,"Nella Media","Scommessa/Riserva")))),"")</f>
        <v>Scommessa/Riserva</v>
      </c>
      <c r="Q297" s="26">
        <f>IF(AND($D297="",$N297&gt;1),SUMPRODUCT(($D$2:$D297="")*($N$2:$N297&gt;1)),"")</f>
        <v>296</v>
      </c>
      <c r="R297" s="26" t="str">
        <f>IF($D297='Info Lega'!$B$28,COUNTIFS($D$2:$D297,'Info Lega'!$B$28),"")</f>
        <v/>
      </c>
      <c r="S297" s="27">
        <f>IFERROR(INDEX('Input Statistiche 2025_26'!$G$3:$G$665,MATCH($A297,'Input Statistiche 2025_26'!$A$3:$A$665,0)),"")</f>
        <v>5.69</v>
      </c>
      <c r="T297" s="27">
        <f>IFERROR(INDEX('Input Statistiche 2025_26'!$H$3:$H$665,MATCH($A297,'Input Statistiche 2025_26'!$A$3:$A$665,0)),"")</f>
        <v>5.65</v>
      </c>
      <c r="U297" s="23" t="str">
        <f>IF(OR('La Mia Rosa'!$O$12="",$D297&lt;&gt;""),"",IF($F297&lt;='La Mia Rosa'!$O$12*'Parametri Modello'!$B$24,"OK",IF($F297&lt;='La Mia Rosa'!$O$12*'Parametri Modello'!$B$25,"Attenzione","Rischio Alto")))</f>
        <v>OK</v>
      </c>
      <c r="V297" s="23">
        <f t="shared" si="37"/>
        <v>115</v>
      </c>
      <c r="W297" s="18">
        <f>'Info Lega'!$B$4-SUMIFS($M$2:$M$492,$D$2:$D$492,'Info Lega'!$B$28)</f>
        <v>1000</v>
      </c>
      <c r="X297" s="18">
        <f>('Info Lega'!$B$5-COUNTIFS($D$2:$D$492,'Info Lega'!$B$28,$B$2:$B$492,"P"))+('Info Lega'!$B$6-COUNTIFS($D$2:$D$492,'Info Lega'!$B$28,$B$2:$B$492,"D"))+('Info Lega'!$B$7-COUNTIFS($D$2:$D$492,'Info Lega'!$B$28,$B$2:$B$492,"C"))+('Info Lega'!$B$8-COUNTIFS($D$2:$D$492,'Info Lega'!$B$28,$B$2:$B$492,"A"))</f>
        <v>25</v>
      </c>
      <c r="Y297" s="18">
        <f>X297*'Parametri Modello'!$B$30</f>
        <v>25</v>
      </c>
      <c r="Z297" s="18">
        <f t="shared" si="38"/>
        <v>975</v>
      </c>
      <c r="AA297" s="18">
        <f t="shared" si="39"/>
        <v>2</v>
      </c>
      <c r="AB297" s="18"/>
      <c r="AC297" s="18" t="str">
        <f>IF($AB297="","",IF($AB297&gt;$AA297,"PASS",IF($AB297&lt;=$AA297*(1-'Parametri Modello'!$B$68),"BID","ATTENZIONE")))</f>
        <v/>
      </c>
      <c r="AD297" s="28">
        <f t="shared" si="40"/>
        <v>35</v>
      </c>
      <c r="AE297" s="5" t="str">
        <f>IFERROR(INDEX('Stato Asta'!$G$9:$G$12,MATCH($B297,'Stato Asta'!$A$9:$A$12,0)),"")</f>
        <v>🔴 Non aspettare</v>
      </c>
      <c r="AF297" t="str">
        <f>IFERROR(IF($V297&lt;=INDEX('Parametri Modello'!$C$57:$C$60,MATCH($B297,'Parametri Modello'!$A$57:$A$60,0)),"Titolare","Riserva"),"")</f>
        <v>Riserva</v>
      </c>
      <c r="AG297" t="str">
        <f>IFERROR(INDEX('Pressione Competitiva'!$F$3:$F$6,MATCH($B297,'Pressione Competitiva'!$B$3:$B$6,0)),"")</f>
        <v>🔴 Molto Alta</v>
      </c>
      <c r="AH297" t="str">
        <f t="shared" si="41"/>
        <v/>
      </c>
      <c r="AI297" t="str">
        <f>IFERROR(IF($AH297="","",IF($AH297&gt;=$AA297*'Parametri Modello'!$B$68,"🟢 Opportunita'",IF($AH297&lt;=$AA297*'Parametri Modello'!$B$69,"🔴 Sovrapprezzo","🟡 Prezzo Corretto"))),"")</f>
        <v/>
      </c>
      <c r="AJ297" t="str">
        <f t="shared" si="42"/>
        <v/>
      </c>
      <c r="AK297">
        <f t="shared" si="43"/>
        <v>11</v>
      </c>
      <c r="AL297" t="str">
        <f t="shared" si="44"/>
        <v>C|Scommessa/Riserva|11</v>
      </c>
    </row>
    <row r="298" spans="1:38" ht="14.25" customHeight="1" x14ac:dyDescent="0.25">
      <c r="A298" s="18">
        <v>5453</v>
      </c>
      <c r="B298" s="18" t="s">
        <v>17</v>
      </c>
      <c r="C298" s="18" t="s">
        <v>437</v>
      </c>
      <c r="E298" s="23" t="str">
        <f>IF(COUNTIF('Info Strategia'!$D$2:$D$51,$C298)&gt;0,"SI","NO")</f>
        <v>NO</v>
      </c>
      <c r="F298" s="24">
        <f>IFERROR(ROUND(($G298+($H298-$G298)*'Info Strategia'!$B$6)*(1+IF($E298="SI",'Parametri Modello'!$B$7*'Info Strategia'!$B$6,0)),0),"")</f>
        <v>2</v>
      </c>
      <c r="G298" s="24">
        <f>IFERROR(ROUND(MAX(1,(IF($V298&lt;=INDEX('Parametri Modello'!$C$57:$C$60,MATCH($B298,'Parametri Modello'!$A$57:$A$60,0)),IF(INDEX('Parametri Modello'!$E$57:$E$60,MATCH($B298,'Parametri Modello'!$A$57:$A$60,0))=0,0,($O298/INDEX('Parametri Modello'!$E$57:$E$60,MATCH($B298,'Parametri Modello'!$A$57:$A$60,0)))*(INDEX('Parametri Modello'!$D$57:$D$60,MATCH($B298,'Parametri Modello'!$A$57:$A$60,0))*(INDEX('Parametri Modello'!$B$50:$B$53,MATCH($B298,'Parametri Modello'!$A$50:$A$53,0))*'Parametri Modello'!$B$44))),IF(INDEX('Parametri Modello'!$F$57:$F$60,MATCH($B298,'Parametri Modello'!$A$57:$A$60,0))=0,0,($O298/INDEX('Parametri Modello'!$F$57:$F$60,MATCH($B298,'Parametri Modello'!$A$57:$A$60,0)))*((1-INDEX('Parametri Modello'!$D$57:$D$60,MATCH($B298,'Parametri Modello'!$A$57:$A$60,0)))*(INDEX('Parametri Modello'!$B$50:$B$53,MATCH($B298,'Parametri Modello'!$A$50:$A$53,0))*'Parametri Modello'!$B$44))))*(1+IF(IF($B298="D",'Info Lega'!$B$25,IF($B298="C",'Info Lega'!$B$26,"No"))="Si",'Parametri Modello'!$B$5,0))*(1+MAX(-0.25,MIN(0.25,IF(OR($T298="",$I298="",$I298=0,INDEX('Parametri Modello'!$B$19:$B$22,MATCH($B298,'Parametri Modello'!$A$19:$A$22,0))="",INDEX('Parametri Modello'!$B$19:$B$22,MATCH($B298,'Parametri Modello'!$A$19:$A$22,0))=0),0,(($T298-INDEX('Parametri Modello'!$B$19:$B$22,MATCH($B298,'Parametri Modello'!$A$19:$A$22,0)))/INDEX('Parametri Modello'!$B$19:$B$22,MATCH($B298,'Parametri Modello'!$A$19:$A$22,0)))*'Parametri Modello'!$B$9))))*(1+IF('Parametri Modello'!$B$27="Si",MAX(-'Parametri Modello'!$B$28,MIN('Parametri Modello'!$B$28*1.5,IF(OR(INDEX('Parametri Modello'!$F$32:$F$35,MATCH($B298,'Parametri Modello'!$A$32:$A$35,0))="",INDEX('Parametri Modello'!$F$32:$F$35,MATCH($B298,'Parametri Modello'!$A$32:$A$35,0))=0),0,(1/INDEX('Parametri Modello'!$F$32:$F$35,MATCH($B298,'Parametri Modello'!$A$32:$A$35,0))-1)*'Parametri Modello'!$B$28))),0)))*(1-INDEX('Parametri Modello'!$B$12:$B$15,MATCH($B298,'Parametri Modello'!$A$12:$A$15,0)))),0),"")</f>
        <v>1</v>
      </c>
      <c r="H298" s="24">
        <f>IFERROR(ROUND((IF($V298&lt;=INDEX('Parametri Modello'!$C$57:$C$60,MATCH($B298,'Parametri Modello'!$A$57:$A$60,0)),IF(INDEX('Parametri Modello'!$E$57:$E$60,MATCH($B298,'Parametri Modello'!$A$57:$A$60,0))=0,0,($O298/INDEX('Parametri Modello'!$E$57:$E$60,MATCH($B298,'Parametri Modello'!$A$57:$A$60,0)))*(INDEX('Parametri Modello'!$D$57:$D$60,MATCH($B298,'Parametri Modello'!$A$57:$A$60,0))*(INDEX('Parametri Modello'!$B$50:$B$53,MATCH($B298,'Parametri Modello'!$A$50:$A$53,0))*'Parametri Modello'!$B$44))),IF(INDEX('Parametri Modello'!$F$57:$F$60,MATCH($B298,'Parametri Modello'!$A$57:$A$60,0))=0,0,($O298/INDEX('Parametri Modello'!$F$57:$F$60,MATCH($B298,'Parametri Modello'!$A$57:$A$60,0)))*((1-INDEX('Parametri Modello'!$D$57:$D$60,MATCH($B298,'Parametri Modello'!$A$57:$A$60,0)))*(INDEX('Parametri Modello'!$B$50:$B$53,MATCH($B298,'Parametri Modello'!$A$50:$A$53,0))*'Parametri Modello'!$B$44))))*(1+IF(IF($B298="D",'Info Lega'!$B$25,IF($B298="C",'Info Lega'!$B$26,"No"))="Si",'Parametri Modello'!$B$5,0))*(1+MAX(-0.25,MIN(0.25,IF(OR($T298="",$I298="",$I298=0,INDEX('Parametri Modello'!$B$19:$B$22,MATCH($B298,'Parametri Modello'!$A$19:$A$22,0))="",INDEX('Parametri Modello'!$B$19:$B$22,MATCH($B298,'Parametri Modello'!$A$19:$A$22,0))=0),0,(($T298-INDEX('Parametri Modello'!$B$19:$B$22,MATCH($B298,'Parametri Modello'!$A$19:$A$22,0)))/INDEX('Parametri Modello'!$B$19:$B$22,MATCH($B298,'Parametri Modello'!$A$19:$A$22,0)))*'Parametri Modello'!$B$9))))*(1+IF('Parametri Modello'!$B$27="Si",MAX(-'Parametri Modello'!$B$28,MIN('Parametri Modello'!$B$28*1.5,IF(OR(INDEX('Parametri Modello'!$F$32:$F$35,MATCH($B298,'Parametri Modello'!$A$32:$A$35,0))="",INDEX('Parametri Modello'!$F$32:$F$35,MATCH($B298,'Parametri Modello'!$A$32:$A$35,0))=0),0,(1/INDEX('Parametri Modello'!$F$32:$F$35,MATCH($B298,'Parametri Modello'!$A$32:$A$35,0))-1)*'Parametri Modello'!$B$28))),0)))*(1+INDEX('Parametri Modello'!$B$12:$B$15,MATCH($B298,'Parametri Modello'!$A$12:$A$15,0))),0),"")</f>
        <v>2</v>
      </c>
      <c r="I298" s="23">
        <f>IFERROR(INDEX('Input Statistiche 2025_26'!$F$3:$F$665,MATCH($A298,'Input Statistiche 2025_26'!$A$3:$A$665,0)),"")</f>
        <v>28</v>
      </c>
      <c r="J298" s="23">
        <f t="shared" si="36"/>
        <v>10</v>
      </c>
      <c r="K298" s="23">
        <f>IFERROR(INDEX('Input Statistiche 2025_26'!$I$3:$I$665,MATCH($A298,'Input Statistiche 2025_26'!$A$3:$A$665,0)),"")</f>
        <v>1</v>
      </c>
      <c r="L298" s="23">
        <f>IFERROR(INDEX('Input Statistiche 2025_26'!$O$3:$O$665,MATCH($A298,'Input Statistiche 2025_26'!$A$3:$A$665,0)),"")</f>
        <v>3</v>
      </c>
      <c r="M298" s="25"/>
      <c r="N298" s="24">
        <f>IFERROR(INDEX('Input Giocatori 2026_27'!$E$3:$E$493,MATCH($A298,'Input Giocatori 2026_27'!$A$3:$A$493,0)),"")</f>
        <v>4</v>
      </c>
      <c r="O298" s="24">
        <f>IFERROR(INDEX('Input Giocatori 2026_27'!$G$3:$G$493,MATCH($A298,'Input Giocatori 2026_27'!$A$3:$A$493,0)),"")</f>
        <v>11</v>
      </c>
      <c r="P298" s="23" t="str">
        <f>IFERROR(IF($O298="","",IF((1-(COUNTIFS($B$2:$B$492,$B298,$O$2:$O$492,"&gt;"&amp;$O298)+1-1)/COUNTIF($B$2:$B$492,$B298))&gt;='Parametri Modello'!$B$63,"Top",IF((1-(COUNTIFS($B$2:$B$492,$B298,$O$2:$O$492,"&gt;"&amp;$O298)+1-1)/COUNTIF($B$2:$B$492,$B298))&gt;='Parametri Modello'!$B$64,"Buono",IF((1-(COUNTIFS($B$2:$B$492,$B298,$O$2:$O$492,"&gt;"&amp;$O298)+1-1)/COUNTIF($B$2:$B$492,$B298))&gt;='Parametri Modello'!$B$65,"Nella Media","Scommessa/Riserva")))),"")</f>
        <v>Scommessa/Riserva</v>
      </c>
      <c r="Q298" s="26">
        <f>IF(AND($D298="",$N298&gt;1),SUMPRODUCT(($D$2:$D298="")*($N$2:$N298&gt;1)),"")</f>
        <v>297</v>
      </c>
      <c r="R298" s="26" t="str">
        <f>IF($D298='Info Lega'!$B$28,COUNTIFS($D$2:$D298,'Info Lega'!$B$28),"")</f>
        <v/>
      </c>
      <c r="S298" s="27">
        <f>IFERROR(INDEX('Input Statistiche 2025_26'!$G$3:$G$665,MATCH($A298,'Input Statistiche 2025_26'!$A$3:$A$665,0)),"")</f>
        <v>6</v>
      </c>
      <c r="T298" s="27">
        <f>IFERROR(INDEX('Input Statistiche 2025_26'!$H$3:$H$665,MATCH($A298,'Input Statistiche 2025_26'!$A$3:$A$665,0)),"")</f>
        <v>6.18</v>
      </c>
      <c r="U298" s="23" t="str">
        <f>IF(OR('La Mia Rosa'!$O$12="",$D298&lt;&gt;""),"",IF($F298&lt;='La Mia Rosa'!$O$12*'Parametri Modello'!$B$24,"OK",IF($F298&lt;='La Mia Rosa'!$O$12*'Parametri Modello'!$B$25,"Attenzione","Rischio Alto")))</f>
        <v>OK</v>
      </c>
      <c r="V298" s="23">
        <f t="shared" si="37"/>
        <v>115</v>
      </c>
      <c r="W298" s="18">
        <f>'Info Lega'!$B$4-SUMIFS($M$2:$M$492,$D$2:$D$492,'Info Lega'!$B$28)</f>
        <v>1000</v>
      </c>
      <c r="X298" s="18">
        <f>('Info Lega'!$B$5-COUNTIFS($D$2:$D$492,'Info Lega'!$B$28,$B$2:$B$492,"P"))+('Info Lega'!$B$6-COUNTIFS($D$2:$D$492,'Info Lega'!$B$28,$B$2:$B$492,"D"))+('Info Lega'!$B$7-COUNTIFS($D$2:$D$492,'Info Lega'!$B$28,$B$2:$B$492,"C"))+('Info Lega'!$B$8-COUNTIFS($D$2:$D$492,'Info Lega'!$B$28,$B$2:$B$492,"A"))</f>
        <v>25</v>
      </c>
      <c r="Y298" s="18">
        <f>X298*'Parametri Modello'!$B$30</f>
        <v>25</v>
      </c>
      <c r="Z298" s="18">
        <f t="shared" si="38"/>
        <v>975</v>
      </c>
      <c r="AA298" s="18">
        <f t="shared" si="39"/>
        <v>2</v>
      </c>
      <c r="AB298" s="18"/>
      <c r="AC298" s="18" t="str">
        <f>IF($AB298="","",IF($AB298&gt;$AA298,"PASS",IF($AB298&lt;=$AA298*(1-'Parametri Modello'!$B$68),"BID","ATTENZIONE")))</f>
        <v/>
      </c>
      <c r="AD298" s="28">
        <f t="shared" si="40"/>
        <v>61</v>
      </c>
      <c r="AE298" s="5" t="str">
        <f>IFERROR(INDEX('Stato Asta'!$G$9:$G$12,MATCH($B298,'Stato Asta'!$A$9:$A$12,0)),"")</f>
        <v>🔴 Non aspettare</v>
      </c>
      <c r="AF298" t="str">
        <f>IFERROR(IF($V298&lt;=INDEX('Parametri Modello'!$C$57:$C$60,MATCH($B298,'Parametri Modello'!$A$57:$A$60,0)),"Titolare","Riserva"),"")</f>
        <v>Riserva</v>
      </c>
      <c r="AG298" t="str">
        <f>IFERROR(INDEX('Pressione Competitiva'!$F$3:$F$6,MATCH($B298,'Pressione Competitiva'!$B$3:$B$6,0)),"")</f>
        <v>🔴 Molto Alta</v>
      </c>
      <c r="AH298" t="str">
        <f t="shared" si="41"/>
        <v/>
      </c>
      <c r="AI298" t="str">
        <f>IFERROR(IF($AH298="","",IF($AH298&gt;=$AA298*'Parametri Modello'!$B$68,"🟢 Opportunita'",IF($AH298&lt;=$AA298*'Parametri Modello'!$B$69,"🔴 Sovrapprezzo","🟡 Prezzo Corretto"))),"")</f>
        <v/>
      </c>
      <c r="AJ298" t="str">
        <f t="shared" si="42"/>
        <v/>
      </c>
      <c r="AK298">
        <f t="shared" si="43"/>
        <v>11</v>
      </c>
      <c r="AL298" t="str">
        <f t="shared" si="44"/>
        <v>C|Scommessa/Riserva|11</v>
      </c>
    </row>
    <row r="299" spans="1:38" ht="14.25" customHeight="1" x14ac:dyDescent="0.25">
      <c r="A299" s="18">
        <v>7203</v>
      </c>
      <c r="B299" s="18" t="s">
        <v>17</v>
      </c>
      <c r="C299" s="18" t="s">
        <v>438</v>
      </c>
      <c r="E299" s="23" t="str">
        <f>IF(COUNTIF('Info Strategia'!$D$2:$D$51,$C299)&gt;0,"SI","NO")</f>
        <v>NO</v>
      </c>
      <c r="F299" s="24">
        <f>IFERROR(ROUND(($G299+($H299-$G299)*'Info Strategia'!$B$6)*(1+IF($E299="SI",'Parametri Modello'!$B$7*'Info Strategia'!$B$6,0)),0),"")</f>
        <v>2</v>
      </c>
      <c r="G299" s="24">
        <f>IFERROR(ROUND(MAX(1,(IF($V299&lt;=INDEX('Parametri Modello'!$C$57:$C$60,MATCH($B299,'Parametri Modello'!$A$57:$A$60,0)),IF(INDEX('Parametri Modello'!$E$57:$E$60,MATCH($B299,'Parametri Modello'!$A$57:$A$60,0))=0,0,($O299/INDEX('Parametri Modello'!$E$57:$E$60,MATCH($B299,'Parametri Modello'!$A$57:$A$60,0)))*(INDEX('Parametri Modello'!$D$57:$D$60,MATCH($B299,'Parametri Modello'!$A$57:$A$60,0))*(INDEX('Parametri Modello'!$B$50:$B$53,MATCH($B299,'Parametri Modello'!$A$50:$A$53,0))*'Parametri Modello'!$B$44))),IF(INDEX('Parametri Modello'!$F$57:$F$60,MATCH($B299,'Parametri Modello'!$A$57:$A$60,0))=0,0,($O299/INDEX('Parametri Modello'!$F$57:$F$60,MATCH($B299,'Parametri Modello'!$A$57:$A$60,0)))*((1-INDEX('Parametri Modello'!$D$57:$D$60,MATCH($B299,'Parametri Modello'!$A$57:$A$60,0)))*(INDEX('Parametri Modello'!$B$50:$B$53,MATCH($B299,'Parametri Modello'!$A$50:$A$53,0))*'Parametri Modello'!$B$44))))*(1+IF(IF($B299="D",'Info Lega'!$B$25,IF($B299="C",'Info Lega'!$B$26,"No"))="Si",'Parametri Modello'!$B$5,0))*(1+MAX(-0.25,MIN(0.25,IF(OR($T299="",$I299="",$I299=0,INDEX('Parametri Modello'!$B$19:$B$22,MATCH($B299,'Parametri Modello'!$A$19:$A$22,0))="",INDEX('Parametri Modello'!$B$19:$B$22,MATCH($B299,'Parametri Modello'!$A$19:$A$22,0))=0),0,(($T299-INDEX('Parametri Modello'!$B$19:$B$22,MATCH($B299,'Parametri Modello'!$A$19:$A$22,0)))/INDEX('Parametri Modello'!$B$19:$B$22,MATCH($B299,'Parametri Modello'!$A$19:$A$22,0)))*'Parametri Modello'!$B$9))))*(1+IF('Parametri Modello'!$B$27="Si",MAX(-'Parametri Modello'!$B$28,MIN('Parametri Modello'!$B$28*1.5,IF(OR(INDEX('Parametri Modello'!$F$32:$F$35,MATCH($B299,'Parametri Modello'!$A$32:$A$35,0))="",INDEX('Parametri Modello'!$F$32:$F$35,MATCH($B299,'Parametri Modello'!$A$32:$A$35,0))=0),0,(1/INDEX('Parametri Modello'!$F$32:$F$35,MATCH($B299,'Parametri Modello'!$A$32:$A$35,0))-1)*'Parametri Modello'!$B$28))),0)))*(1-INDEX('Parametri Modello'!$B$12:$B$15,MATCH($B299,'Parametri Modello'!$A$12:$A$15,0)))),0),"")</f>
        <v>1</v>
      </c>
      <c r="H299" s="24">
        <f>IFERROR(ROUND((IF($V299&lt;=INDEX('Parametri Modello'!$C$57:$C$60,MATCH($B299,'Parametri Modello'!$A$57:$A$60,0)),IF(INDEX('Parametri Modello'!$E$57:$E$60,MATCH($B299,'Parametri Modello'!$A$57:$A$60,0))=0,0,($O299/INDEX('Parametri Modello'!$E$57:$E$60,MATCH($B299,'Parametri Modello'!$A$57:$A$60,0)))*(INDEX('Parametri Modello'!$D$57:$D$60,MATCH($B299,'Parametri Modello'!$A$57:$A$60,0))*(INDEX('Parametri Modello'!$B$50:$B$53,MATCH($B299,'Parametri Modello'!$A$50:$A$53,0))*'Parametri Modello'!$B$44))),IF(INDEX('Parametri Modello'!$F$57:$F$60,MATCH($B299,'Parametri Modello'!$A$57:$A$60,0))=0,0,($O299/INDEX('Parametri Modello'!$F$57:$F$60,MATCH($B299,'Parametri Modello'!$A$57:$A$60,0)))*((1-INDEX('Parametri Modello'!$D$57:$D$60,MATCH($B299,'Parametri Modello'!$A$57:$A$60,0)))*(INDEX('Parametri Modello'!$B$50:$B$53,MATCH($B299,'Parametri Modello'!$A$50:$A$53,0))*'Parametri Modello'!$B$44))))*(1+IF(IF($B299="D",'Info Lega'!$B$25,IF($B299="C",'Info Lega'!$B$26,"No"))="Si",'Parametri Modello'!$B$5,0))*(1+MAX(-0.25,MIN(0.25,IF(OR($T299="",$I299="",$I299=0,INDEX('Parametri Modello'!$B$19:$B$22,MATCH($B299,'Parametri Modello'!$A$19:$A$22,0))="",INDEX('Parametri Modello'!$B$19:$B$22,MATCH($B299,'Parametri Modello'!$A$19:$A$22,0))=0),0,(($T299-INDEX('Parametri Modello'!$B$19:$B$22,MATCH($B299,'Parametri Modello'!$A$19:$A$22,0)))/INDEX('Parametri Modello'!$B$19:$B$22,MATCH($B299,'Parametri Modello'!$A$19:$A$22,0)))*'Parametri Modello'!$B$9))))*(1+IF('Parametri Modello'!$B$27="Si",MAX(-'Parametri Modello'!$B$28,MIN('Parametri Modello'!$B$28*1.5,IF(OR(INDEX('Parametri Modello'!$F$32:$F$35,MATCH($B299,'Parametri Modello'!$A$32:$A$35,0))="",INDEX('Parametri Modello'!$F$32:$F$35,MATCH($B299,'Parametri Modello'!$A$32:$A$35,0))=0),0,(1/INDEX('Parametri Modello'!$F$32:$F$35,MATCH($B299,'Parametri Modello'!$A$32:$A$35,0))-1)*'Parametri Modello'!$B$28))),0)))*(1+INDEX('Parametri Modello'!$B$12:$B$15,MATCH($B299,'Parametri Modello'!$A$12:$A$15,0))),0),"")</f>
        <v>2</v>
      </c>
      <c r="I299" s="23">
        <f>IFERROR(INDEX('Input Statistiche 2025_26'!$F$3:$F$665,MATCH($A299,'Input Statistiche 2025_26'!$A$3:$A$665,0)),"")</f>
        <v>12</v>
      </c>
      <c r="J299" s="23">
        <f t="shared" si="36"/>
        <v>26</v>
      </c>
      <c r="K299" s="23">
        <f>IFERROR(INDEX('Input Statistiche 2025_26'!$I$3:$I$665,MATCH($A299,'Input Statistiche 2025_26'!$A$3:$A$665,0)),"")</f>
        <v>0</v>
      </c>
      <c r="L299" s="23">
        <f>IFERROR(INDEX('Input Statistiche 2025_26'!$O$3:$O$665,MATCH($A299,'Input Statistiche 2025_26'!$A$3:$A$665,0)),"")</f>
        <v>1</v>
      </c>
      <c r="M299" s="25"/>
      <c r="N299" s="24">
        <f>IFERROR(INDEX('Input Giocatori 2026_27'!$E$3:$E$493,MATCH($A299,'Input Giocatori 2026_27'!$A$3:$A$493,0)),"")</f>
        <v>4</v>
      </c>
      <c r="O299" s="24">
        <f>IFERROR(INDEX('Input Giocatori 2026_27'!$G$3:$G$493,MATCH($A299,'Input Giocatori 2026_27'!$A$3:$A$493,0)),"")</f>
        <v>11</v>
      </c>
      <c r="P299" s="23" t="str">
        <f>IFERROR(IF($O299="","",IF((1-(COUNTIFS($B$2:$B$492,$B299,$O$2:$O$492,"&gt;"&amp;$O299)+1-1)/COUNTIF($B$2:$B$492,$B299))&gt;='Parametri Modello'!$B$63,"Top",IF((1-(COUNTIFS($B$2:$B$492,$B299,$O$2:$O$492,"&gt;"&amp;$O299)+1-1)/COUNTIF($B$2:$B$492,$B299))&gt;='Parametri Modello'!$B$64,"Buono",IF((1-(COUNTIFS($B$2:$B$492,$B299,$O$2:$O$492,"&gt;"&amp;$O299)+1-1)/COUNTIF($B$2:$B$492,$B299))&gt;='Parametri Modello'!$B$65,"Nella Media","Scommessa/Riserva")))),"")</f>
        <v>Scommessa/Riserva</v>
      </c>
      <c r="Q299" s="26">
        <f>IF(AND($D299="",$N299&gt;1),SUMPRODUCT(($D$2:$D299="")*($N$2:$N299&gt;1)),"")</f>
        <v>298</v>
      </c>
      <c r="R299" s="26" t="str">
        <f>IF($D299='Info Lega'!$B$28,COUNTIFS($D$2:$D299,'Info Lega'!$B$28),"")</f>
        <v/>
      </c>
      <c r="S299" s="27">
        <f>IFERROR(INDEX('Input Statistiche 2025_26'!$G$3:$G$665,MATCH($A299,'Input Statistiche 2025_26'!$A$3:$A$665,0)),"")</f>
        <v>5.71</v>
      </c>
      <c r="T299" s="27">
        <f>IFERROR(INDEX('Input Statistiche 2025_26'!$H$3:$H$665,MATCH($A299,'Input Statistiche 2025_26'!$A$3:$A$665,0)),"")</f>
        <v>5.79</v>
      </c>
      <c r="U299" s="23" t="str">
        <f>IF(OR('La Mia Rosa'!$O$12="",$D299&lt;&gt;""),"",IF($F299&lt;='La Mia Rosa'!$O$12*'Parametri Modello'!$B$24,"OK",IF($F299&lt;='La Mia Rosa'!$O$12*'Parametri Modello'!$B$25,"Attenzione","Rischio Alto")))</f>
        <v>OK</v>
      </c>
      <c r="V299" s="23">
        <f t="shared" si="37"/>
        <v>115</v>
      </c>
      <c r="W299" s="18">
        <f>'Info Lega'!$B$4-SUMIFS($M$2:$M$492,$D$2:$D$492,'Info Lega'!$B$28)</f>
        <v>1000</v>
      </c>
      <c r="X299" s="18">
        <f>('Info Lega'!$B$5-COUNTIFS($D$2:$D$492,'Info Lega'!$B$28,$B$2:$B$492,"P"))+('Info Lega'!$B$6-COUNTIFS($D$2:$D$492,'Info Lega'!$B$28,$B$2:$B$492,"D"))+('Info Lega'!$B$7-COUNTIFS($D$2:$D$492,'Info Lega'!$B$28,$B$2:$B$492,"C"))+('Info Lega'!$B$8-COUNTIFS($D$2:$D$492,'Info Lega'!$B$28,$B$2:$B$492,"A"))</f>
        <v>25</v>
      </c>
      <c r="Y299" s="18">
        <f>X299*'Parametri Modello'!$B$30</f>
        <v>25</v>
      </c>
      <c r="Z299" s="18">
        <f t="shared" si="38"/>
        <v>975</v>
      </c>
      <c r="AA299" s="18">
        <f t="shared" si="39"/>
        <v>2</v>
      </c>
      <c r="AB299" s="18"/>
      <c r="AC299" s="18" t="str">
        <f>IF($AB299="","",IF($AB299&gt;$AA299,"PASS",IF($AB299&lt;=$AA299*(1-'Parametri Modello'!$B$68),"BID","ATTENZIONE")))</f>
        <v/>
      </c>
      <c r="AD299" s="28">
        <f t="shared" si="40"/>
        <v>33</v>
      </c>
      <c r="AE299" s="5" t="str">
        <f>IFERROR(INDEX('Stato Asta'!$G$9:$G$12,MATCH($B299,'Stato Asta'!$A$9:$A$12,0)),"")</f>
        <v>🔴 Non aspettare</v>
      </c>
      <c r="AF299" t="str">
        <f>IFERROR(IF($V299&lt;=INDEX('Parametri Modello'!$C$57:$C$60,MATCH($B299,'Parametri Modello'!$A$57:$A$60,0)),"Titolare","Riserva"),"")</f>
        <v>Riserva</v>
      </c>
      <c r="AG299" t="str">
        <f>IFERROR(INDEX('Pressione Competitiva'!$F$3:$F$6,MATCH($B299,'Pressione Competitiva'!$B$3:$B$6,0)),"")</f>
        <v>🔴 Molto Alta</v>
      </c>
      <c r="AH299" t="str">
        <f t="shared" si="41"/>
        <v/>
      </c>
      <c r="AI299" t="str">
        <f>IFERROR(IF($AH299="","",IF($AH299&gt;=$AA299*'Parametri Modello'!$B$68,"🟢 Opportunita'",IF($AH299&lt;=$AA299*'Parametri Modello'!$B$69,"🔴 Sovrapprezzo","🟡 Prezzo Corretto"))),"")</f>
        <v/>
      </c>
      <c r="AJ299" t="str">
        <f t="shared" si="42"/>
        <v/>
      </c>
      <c r="AK299">
        <f t="shared" si="43"/>
        <v>11</v>
      </c>
      <c r="AL299" t="str">
        <f t="shared" si="44"/>
        <v>C|Scommessa/Riserva|11</v>
      </c>
    </row>
    <row r="300" spans="1:38" ht="14.25" customHeight="1" x14ac:dyDescent="0.25">
      <c r="A300" s="18">
        <v>4199</v>
      </c>
      <c r="B300" s="18" t="s">
        <v>17</v>
      </c>
      <c r="C300" s="18" t="s">
        <v>439</v>
      </c>
      <c r="E300" s="23" t="str">
        <f>IF(COUNTIF('Info Strategia'!$D$2:$D$51,$C300)&gt;0,"SI","NO")</f>
        <v>NO</v>
      </c>
      <c r="F300" s="24">
        <f>IFERROR(ROUND(($G300+($H300-$G300)*'Info Strategia'!$B$6)*(1+IF($E300="SI",'Parametri Modello'!$B$7*'Info Strategia'!$B$6,0)),0),"")</f>
        <v>2</v>
      </c>
      <c r="G300" s="24">
        <f>IFERROR(ROUND(MAX(1,(IF($V300&lt;=INDEX('Parametri Modello'!$C$57:$C$60,MATCH($B300,'Parametri Modello'!$A$57:$A$60,0)),IF(INDEX('Parametri Modello'!$E$57:$E$60,MATCH($B300,'Parametri Modello'!$A$57:$A$60,0))=0,0,($O300/INDEX('Parametri Modello'!$E$57:$E$60,MATCH($B300,'Parametri Modello'!$A$57:$A$60,0)))*(INDEX('Parametri Modello'!$D$57:$D$60,MATCH($B300,'Parametri Modello'!$A$57:$A$60,0))*(INDEX('Parametri Modello'!$B$50:$B$53,MATCH($B300,'Parametri Modello'!$A$50:$A$53,0))*'Parametri Modello'!$B$44))),IF(INDEX('Parametri Modello'!$F$57:$F$60,MATCH($B300,'Parametri Modello'!$A$57:$A$60,0))=0,0,($O300/INDEX('Parametri Modello'!$F$57:$F$60,MATCH($B300,'Parametri Modello'!$A$57:$A$60,0)))*((1-INDEX('Parametri Modello'!$D$57:$D$60,MATCH($B300,'Parametri Modello'!$A$57:$A$60,0)))*(INDEX('Parametri Modello'!$B$50:$B$53,MATCH($B300,'Parametri Modello'!$A$50:$A$53,0))*'Parametri Modello'!$B$44))))*(1+IF(IF($B300="D",'Info Lega'!$B$25,IF($B300="C",'Info Lega'!$B$26,"No"))="Si",'Parametri Modello'!$B$5,0))*(1+MAX(-0.25,MIN(0.25,IF(OR($T300="",$I300="",$I300=0,INDEX('Parametri Modello'!$B$19:$B$22,MATCH($B300,'Parametri Modello'!$A$19:$A$22,0))="",INDEX('Parametri Modello'!$B$19:$B$22,MATCH($B300,'Parametri Modello'!$A$19:$A$22,0))=0),0,(($T300-INDEX('Parametri Modello'!$B$19:$B$22,MATCH($B300,'Parametri Modello'!$A$19:$A$22,0)))/INDEX('Parametri Modello'!$B$19:$B$22,MATCH($B300,'Parametri Modello'!$A$19:$A$22,0)))*'Parametri Modello'!$B$9))))*(1+IF('Parametri Modello'!$B$27="Si",MAX(-'Parametri Modello'!$B$28,MIN('Parametri Modello'!$B$28*1.5,IF(OR(INDEX('Parametri Modello'!$F$32:$F$35,MATCH($B300,'Parametri Modello'!$A$32:$A$35,0))="",INDEX('Parametri Modello'!$F$32:$F$35,MATCH($B300,'Parametri Modello'!$A$32:$A$35,0))=0),0,(1/INDEX('Parametri Modello'!$F$32:$F$35,MATCH($B300,'Parametri Modello'!$A$32:$A$35,0))-1)*'Parametri Modello'!$B$28))),0)))*(1-INDEX('Parametri Modello'!$B$12:$B$15,MATCH($B300,'Parametri Modello'!$A$12:$A$15,0)))),0),"")</f>
        <v>1</v>
      </c>
      <c r="H300" s="24">
        <f>IFERROR(ROUND((IF($V300&lt;=INDEX('Parametri Modello'!$C$57:$C$60,MATCH($B300,'Parametri Modello'!$A$57:$A$60,0)),IF(INDEX('Parametri Modello'!$E$57:$E$60,MATCH($B300,'Parametri Modello'!$A$57:$A$60,0))=0,0,($O300/INDEX('Parametri Modello'!$E$57:$E$60,MATCH($B300,'Parametri Modello'!$A$57:$A$60,0)))*(INDEX('Parametri Modello'!$D$57:$D$60,MATCH($B300,'Parametri Modello'!$A$57:$A$60,0))*(INDEX('Parametri Modello'!$B$50:$B$53,MATCH($B300,'Parametri Modello'!$A$50:$A$53,0))*'Parametri Modello'!$B$44))),IF(INDEX('Parametri Modello'!$F$57:$F$60,MATCH($B300,'Parametri Modello'!$A$57:$A$60,0))=0,0,($O300/INDEX('Parametri Modello'!$F$57:$F$60,MATCH($B300,'Parametri Modello'!$A$57:$A$60,0)))*((1-INDEX('Parametri Modello'!$D$57:$D$60,MATCH($B300,'Parametri Modello'!$A$57:$A$60,0)))*(INDEX('Parametri Modello'!$B$50:$B$53,MATCH($B300,'Parametri Modello'!$A$50:$A$53,0))*'Parametri Modello'!$B$44))))*(1+IF(IF($B300="D",'Info Lega'!$B$25,IF($B300="C",'Info Lega'!$B$26,"No"))="Si",'Parametri Modello'!$B$5,0))*(1+MAX(-0.25,MIN(0.25,IF(OR($T300="",$I300="",$I300=0,INDEX('Parametri Modello'!$B$19:$B$22,MATCH($B300,'Parametri Modello'!$A$19:$A$22,0))="",INDEX('Parametri Modello'!$B$19:$B$22,MATCH($B300,'Parametri Modello'!$A$19:$A$22,0))=0),0,(($T300-INDEX('Parametri Modello'!$B$19:$B$22,MATCH($B300,'Parametri Modello'!$A$19:$A$22,0)))/INDEX('Parametri Modello'!$B$19:$B$22,MATCH($B300,'Parametri Modello'!$A$19:$A$22,0)))*'Parametri Modello'!$B$9))))*(1+IF('Parametri Modello'!$B$27="Si",MAX(-'Parametri Modello'!$B$28,MIN('Parametri Modello'!$B$28*1.5,IF(OR(INDEX('Parametri Modello'!$F$32:$F$35,MATCH($B300,'Parametri Modello'!$A$32:$A$35,0))="",INDEX('Parametri Modello'!$F$32:$F$35,MATCH($B300,'Parametri Modello'!$A$32:$A$35,0))=0),0,(1/INDEX('Parametri Modello'!$F$32:$F$35,MATCH($B300,'Parametri Modello'!$A$32:$A$35,0))-1)*'Parametri Modello'!$B$28))),0)))*(1+INDEX('Parametri Modello'!$B$12:$B$15,MATCH($B300,'Parametri Modello'!$A$12:$A$15,0))),0),"")</f>
        <v>2</v>
      </c>
      <c r="I300" s="23">
        <f>IFERROR(INDEX('Input Statistiche 2025_26'!$F$3:$F$665,MATCH($A300,'Input Statistiche 2025_26'!$A$3:$A$665,0)),"")</f>
        <v>21</v>
      </c>
      <c r="J300" s="23">
        <f t="shared" si="36"/>
        <v>17</v>
      </c>
      <c r="K300" s="23">
        <f>IFERROR(INDEX('Input Statistiche 2025_26'!$I$3:$I$665,MATCH($A300,'Input Statistiche 2025_26'!$A$3:$A$665,0)),"")</f>
        <v>3</v>
      </c>
      <c r="L300" s="23">
        <f>IFERROR(INDEX('Input Statistiche 2025_26'!$O$3:$O$665,MATCH($A300,'Input Statistiche 2025_26'!$A$3:$A$665,0)),"")</f>
        <v>1</v>
      </c>
      <c r="M300" s="25"/>
      <c r="N300" s="24">
        <f>IFERROR(INDEX('Input Giocatori 2026_27'!$E$3:$E$493,MATCH($A300,'Input Giocatori 2026_27'!$A$3:$A$493,0)),"")</f>
        <v>4</v>
      </c>
      <c r="O300" s="24">
        <f>IFERROR(INDEX('Input Giocatori 2026_27'!$G$3:$G$493,MATCH($A300,'Input Giocatori 2026_27'!$A$3:$A$493,0)),"")</f>
        <v>11</v>
      </c>
      <c r="P300" s="23" t="str">
        <f>IFERROR(IF($O300="","",IF((1-(COUNTIFS($B$2:$B$492,$B300,$O$2:$O$492,"&gt;"&amp;$O300)+1-1)/COUNTIF($B$2:$B$492,$B300))&gt;='Parametri Modello'!$B$63,"Top",IF((1-(COUNTIFS($B$2:$B$492,$B300,$O$2:$O$492,"&gt;"&amp;$O300)+1-1)/COUNTIF($B$2:$B$492,$B300))&gt;='Parametri Modello'!$B$64,"Buono",IF((1-(COUNTIFS($B$2:$B$492,$B300,$O$2:$O$492,"&gt;"&amp;$O300)+1-1)/COUNTIF($B$2:$B$492,$B300))&gt;='Parametri Modello'!$B$65,"Nella Media","Scommessa/Riserva")))),"")</f>
        <v>Scommessa/Riserva</v>
      </c>
      <c r="Q300" s="26">
        <f>IF(AND($D300="",$N300&gt;1),SUMPRODUCT(($D$2:$D300="")*($N$2:$N300&gt;1)),"")</f>
        <v>299</v>
      </c>
      <c r="R300" s="26" t="str">
        <f>IF($D300='Info Lega'!$B$28,COUNTIFS($D$2:$D300,'Info Lega'!$B$28),"")</f>
        <v/>
      </c>
      <c r="S300" s="27">
        <f>IFERROR(INDEX('Input Statistiche 2025_26'!$G$3:$G$665,MATCH($A300,'Input Statistiche 2025_26'!$A$3:$A$665,0)),"")</f>
        <v>6.1</v>
      </c>
      <c r="T300" s="27">
        <f>IFERROR(INDEX('Input Statistiche 2025_26'!$H$3:$H$665,MATCH($A300,'Input Statistiche 2025_26'!$A$3:$A$665,0)),"")</f>
        <v>6.52</v>
      </c>
      <c r="U300" s="23" t="str">
        <f>IF(OR('La Mia Rosa'!$O$12="",$D300&lt;&gt;""),"",IF($F300&lt;='La Mia Rosa'!$O$12*'Parametri Modello'!$B$24,"OK",IF($F300&lt;='La Mia Rosa'!$O$12*'Parametri Modello'!$B$25,"Attenzione","Rischio Alto")))</f>
        <v>OK</v>
      </c>
      <c r="V300" s="23">
        <f t="shared" si="37"/>
        <v>115</v>
      </c>
      <c r="W300" s="18">
        <f>'Info Lega'!$B$4-SUMIFS($M$2:$M$492,$D$2:$D$492,'Info Lega'!$B$28)</f>
        <v>1000</v>
      </c>
      <c r="X300" s="18">
        <f>('Info Lega'!$B$5-COUNTIFS($D$2:$D$492,'Info Lega'!$B$28,$B$2:$B$492,"P"))+('Info Lega'!$B$6-COUNTIFS($D$2:$D$492,'Info Lega'!$B$28,$B$2:$B$492,"D"))+('Info Lega'!$B$7-COUNTIFS($D$2:$D$492,'Info Lega'!$B$28,$B$2:$B$492,"C"))+('Info Lega'!$B$8-COUNTIFS($D$2:$D$492,'Info Lega'!$B$28,$B$2:$B$492,"A"))</f>
        <v>25</v>
      </c>
      <c r="Y300" s="18">
        <f>X300*'Parametri Modello'!$B$30</f>
        <v>25</v>
      </c>
      <c r="Z300" s="18">
        <f t="shared" si="38"/>
        <v>975</v>
      </c>
      <c r="AA300" s="18">
        <f t="shared" si="39"/>
        <v>2</v>
      </c>
      <c r="AB300" s="18"/>
      <c r="AC300" s="18" t="str">
        <f>IF($AB300="","",IF($AB300&gt;$AA300,"PASS",IF($AB300&lt;=$AA300*(1-'Parametri Modello'!$B$68),"BID","ATTENZIONE")))</f>
        <v/>
      </c>
      <c r="AD300" s="28">
        <f t="shared" si="40"/>
        <v>50</v>
      </c>
      <c r="AE300" s="5" t="str">
        <f>IFERROR(INDEX('Stato Asta'!$G$9:$G$12,MATCH($B300,'Stato Asta'!$A$9:$A$12,0)),"")</f>
        <v>🔴 Non aspettare</v>
      </c>
      <c r="AF300" t="str">
        <f>IFERROR(IF($V300&lt;=INDEX('Parametri Modello'!$C$57:$C$60,MATCH($B300,'Parametri Modello'!$A$57:$A$60,0)),"Titolare","Riserva"),"")</f>
        <v>Riserva</v>
      </c>
      <c r="AG300" t="str">
        <f>IFERROR(INDEX('Pressione Competitiva'!$F$3:$F$6,MATCH($B300,'Pressione Competitiva'!$B$3:$B$6,0)),"")</f>
        <v>🔴 Molto Alta</v>
      </c>
      <c r="AH300" t="str">
        <f t="shared" si="41"/>
        <v/>
      </c>
      <c r="AI300" t="str">
        <f>IFERROR(IF($AH300="","",IF($AH300&gt;=$AA300*'Parametri Modello'!$B$68,"🟢 Opportunita'",IF($AH300&lt;=$AA300*'Parametri Modello'!$B$69,"🔴 Sovrapprezzo","🟡 Prezzo Corretto"))),"")</f>
        <v/>
      </c>
      <c r="AJ300" t="str">
        <f t="shared" si="42"/>
        <v/>
      </c>
      <c r="AK300">
        <f t="shared" si="43"/>
        <v>11</v>
      </c>
      <c r="AL300" t="str">
        <f t="shared" si="44"/>
        <v>C|Scommessa/Riserva|11</v>
      </c>
    </row>
    <row r="301" spans="1:38" ht="14.25" customHeight="1" x14ac:dyDescent="0.25">
      <c r="A301" s="18">
        <v>5813</v>
      </c>
      <c r="B301" s="18" t="s">
        <v>17</v>
      </c>
      <c r="C301" s="18" t="s">
        <v>440</v>
      </c>
      <c r="E301" s="23" t="str">
        <f>IF(COUNTIF('Info Strategia'!$D$2:$D$51,$C301)&gt;0,"SI","NO")</f>
        <v>NO</v>
      </c>
      <c r="F301" s="24">
        <f>IFERROR(ROUND(($G301+($H301-$G301)*'Info Strategia'!$B$6)*(1+IF($E301="SI",'Parametri Modello'!$B$7*'Info Strategia'!$B$6,0)),0),"")</f>
        <v>2</v>
      </c>
      <c r="G301" s="24">
        <f>IFERROR(ROUND(MAX(1,(IF($V301&lt;=INDEX('Parametri Modello'!$C$57:$C$60,MATCH($B301,'Parametri Modello'!$A$57:$A$60,0)),IF(INDEX('Parametri Modello'!$E$57:$E$60,MATCH($B301,'Parametri Modello'!$A$57:$A$60,0))=0,0,($O301/INDEX('Parametri Modello'!$E$57:$E$60,MATCH($B301,'Parametri Modello'!$A$57:$A$60,0)))*(INDEX('Parametri Modello'!$D$57:$D$60,MATCH($B301,'Parametri Modello'!$A$57:$A$60,0))*(INDEX('Parametri Modello'!$B$50:$B$53,MATCH($B301,'Parametri Modello'!$A$50:$A$53,0))*'Parametri Modello'!$B$44))),IF(INDEX('Parametri Modello'!$F$57:$F$60,MATCH($B301,'Parametri Modello'!$A$57:$A$60,0))=0,0,($O301/INDEX('Parametri Modello'!$F$57:$F$60,MATCH($B301,'Parametri Modello'!$A$57:$A$60,0)))*((1-INDEX('Parametri Modello'!$D$57:$D$60,MATCH($B301,'Parametri Modello'!$A$57:$A$60,0)))*(INDEX('Parametri Modello'!$B$50:$B$53,MATCH($B301,'Parametri Modello'!$A$50:$A$53,0))*'Parametri Modello'!$B$44))))*(1+IF(IF($B301="D",'Info Lega'!$B$25,IF($B301="C",'Info Lega'!$B$26,"No"))="Si",'Parametri Modello'!$B$5,0))*(1+MAX(-0.25,MIN(0.25,IF(OR($T301="",$I301="",$I301=0,INDEX('Parametri Modello'!$B$19:$B$22,MATCH($B301,'Parametri Modello'!$A$19:$A$22,0))="",INDEX('Parametri Modello'!$B$19:$B$22,MATCH($B301,'Parametri Modello'!$A$19:$A$22,0))=0),0,(($T301-INDEX('Parametri Modello'!$B$19:$B$22,MATCH($B301,'Parametri Modello'!$A$19:$A$22,0)))/INDEX('Parametri Modello'!$B$19:$B$22,MATCH($B301,'Parametri Modello'!$A$19:$A$22,0)))*'Parametri Modello'!$B$9))))*(1+IF('Parametri Modello'!$B$27="Si",MAX(-'Parametri Modello'!$B$28,MIN('Parametri Modello'!$B$28*1.5,IF(OR(INDEX('Parametri Modello'!$F$32:$F$35,MATCH($B301,'Parametri Modello'!$A$32:$A$35,0))="",INDEX('Parametri Modello'!$F$32:$F$35,MATCH($B301,'Parametri Modello'!$A$32:$A$35,0))=0),0,(1/INDEX('Parametri Modello'!$F$32:$F$35,MATCH($B301,'Parametri Modello'!$A$32:$A$35,0))-1)*'Parametri Modello'!$B$28))),0)))*(1-INDEX('Parametri Modello'!$B$12:$B$15,MATCH($B301,'Parametri Modello'!$A$12:$A$15,0)))),0),"")</f>
        <v>1</v>
      </c>
      <c r="H301" s="24">
        <f>IFERROR(ROUND((IF($V301&lt;=INDEX('Parametri Modello'!$C$57:$C$60,MATCH($B301,'Parametri Modello'!$A$57:$A$60,0)),IF(INDEX('Parametri Modello'!$E$57:$E$60,MATCH($B301,'Parametri Modello'!$A$57:$A$60,0))=0,0,($O301/INDEX('Parametri Modello'!$E$57:$E$60,MATCH($B301,'Parametri Modello'!$A$57:$A$60,0)))*(INDEX('Parametri Modello'!$D$57:$D$60,MATCH($B301,'Parametri Modello'!$A$57:$A$60,0))*(INDEX('Parametri Modello'!$B$50:$B$53,MATCH($B301,'Parametri Modello'!$A$50:$A$53,0))*'Parametri Modello'!$B$44))),IF(INDEX('Parametri Modello'!$F$57:$F$60,MATCH($B301,'Parametri Modello'!$A$57:$A$60,0))=0,0,($O301/INDEX('Parametri Modello'!$F$57:$F$60,MATCH($B301,'Parametri Modello'!$A$57:$A$60,0)))*((1-INDEX('Parametri Modello'!$D$57:$D$60,MATCH($B301,'Parametri Modello'!$A$57:$A$60,0)))*(INDEX('Parametri Modello'!$B$50:$B$53,MATCH($B301,'Parametri Modello'!$A$50:$A$53,0))*'Parametri Modello'!$B$44))))*(1+IF(IF($B301="D",'Info Lega'!$B$25,IF($B301="C",'Info Lega'!$B$26,"No"))="Si",'Parametri Modello'!$B$5,0))*(1+MAX(-0.25,MIN(0.25,IF(OR($T301="",$I301="",$I301=0,INDEX('Parametri Modello'!$B$19:$B$22,MATCH($B301,'Parametri Modello'!$A$19:$A$22,0))="",INDEX('Parametri Modello'!$B$19:$B$22,MATCH($B301,'Parametri Modello'!$A$19:$A$22,0))=0),0,(($T301-INDEX('Parametri Modello'!$B$19:$B$22,MATCH($B301,'Parametri Modello'!$A$19:$A$22,0)))/INDEX('Parametri Modello'!$B$19:$B$22,MATCH($B301,'Parametri Modello'!$A$19:$A$22,0)))*'Parametri Modello'!$B$9))))*(1+IF('Parametri Modello'!$B$27="Si",MAX(-'Parametri Modello'!$B$28,MIN('Parametri Modello'!$B$28*1.5,IF(OR(INDEX('Parametri Modello'!$F$32:$F$35,MATCH($B301,'Parametri Modello'!$A$32:$A$35,0))="",INDEX('Parametri Modello'!$F$32:$F$35,MATCH($B301,'Parametri Modello'!$A$32:$A$35,0))=0),0,(1/INDEX('Parametri Modello'!$F$32:$F$35,MATCH($B301,'Parametri Modello'!$A$32:$A$35,0))-1)*'Parametri Modello'!$B$28))),0)))*(1+INDEX('Parametri Modello'!$B$12:$B$15,MATCH($B301,'Parametri Modello'!$A$12:$A$15,0))),0),"")</f>
        <v>2</v>
      </c>
      <c r="I301" s="23">
        <f>IFERROR(INDEX('Input Statistiche 2025_26'!$F$3:$F$665,MATCH($A301,'Input Statistiche 2025_26'!$A$3:$A$665,0)),"")</f>
        <v>15</v>
      </c>
      <c r="J301" s="23">
        <f t="shared" si="36"/>
        <v>23</v>
      </c>
      <c r="K301" s="23">
        <f>IFERROR(INDEX('Input Statistiche 2025_26'!$I$3:$I$665,MATCH($A301,'Input Statistiche 2025_26'!$A$3:$A$665,0)),"")</f>
        <v>1</v>
      </c>
      <c r="L301" s="23">
        <f>IFERROR(INDEX('Input Statistiche 2025_26'!$O$3:$O$665,MATCH($A301,'Input Statistiche 2025_26'!$A$3:$A$665,0)),"")</f>
        <v>1</v>
      </c>
      <c r="M301" s="25"/>
      <c r="N301" s="24">
        <f>IFERROR(INDEX('Input Giocatori 2026_27'!$E$3:$E$493,MATCH($A301,'Input Giocatori 2026_27'!$A$3:$A$493,0)),"")</f>
        <v>3</v>
      </c>
      <c r="O301" s="24">
        <f>IFERROR(INDEX('Input Giocatori 2026_27'!$G$3:$G$493,MATCH($A301,'Input Giocatori 2026_27'!$A$3:$A$493,0)),"")</f>
        <v>11</v>
      </c>
      <c r="P301" s="23" t="str">
        <f>IFERROR(IF($O301="","",IF((1-(COUNTIFS($B$2:$B$492,$B301,$O$2:$O$492,"&gt;"&amp;$O301)+1-1)/COUNTIF($B$2:$B$492,$B301))&gt;='Parametri Modello'!$B$63,"Top",IF((1-(COUNTIFS($B$2:$B$492,$B301,$O$2:$O$492,"&gt;"&amp;$O301)+1-1)/COUNTIF($B$2:$B$492,$B301))&gt;='Parametri Modello'!$B$64,"Buono",IF((1-(COUNTIFS($B$2:$B$492,$B301,$O$2:$O$492,"&gt;"&amp;$O301)+1-1)/COUNTIF($B$2:$B$492,$B301))&gt;='Parametri Modello'!$B$65,"Nella Media","Scommessa/Riserva")))),"")</f>
        <v>Scommessa/Riserva</v>
      </c>
      <c r="Q301" s="26">
        <f>IF(AND($D301="",$N301&gt;1),SUMPRODUCT(($D$2:$D301="")*($N$2:$N301&gt;1)),"")</f>
        <v>300</v>
      </c>
      <c r="R301" s="26" t="str">
        <f>IF($D301='Info Lega'!$B$28,COUNTIFS($D$2:$D301,'Info Lega'!$B$28),"")</f>
        <v/>
      </c>
      <c r="S301" s="27">
        <f>IFERROR(INDEX('Input Statistiche 2025_26'!$G$3:$G$665,MATCH($A301,'Input Statistiche 2025_26'!$A$3:$A$665,0)),"")</f>
        <v>5.97</v>
      </c>
      <c r="T301" s="27">
        <f>IFERROR(INDEX('Input Statistiche 2025_26'!$H$3:$H$665,MATCH($A301,'Input Statistiche 2025_26'!$A$3:$A$665,0)),"")</f>
        <v>6.2</v>
      </c>
      <c r="U301" s="23" t="str">
        <f>IF(OR('La Mia Rosa'!$O$12="",$D301&lt;&gt;""),"",IF($F301&lt;='La Mia Rosa'!$O$12*'Parametri Modello'!$B$24,"OK",IF($F301&lt;='La Mia Rosa'!$O$12*'Parametri Modello'!$B$25,"Attenzione","Rischio Alto")))</f>
        <v>OK</v>
      </c>
      <c r="V301" s="23">
        <f t="shared" si="37"/>
        <v>115</v>
      </c>
      <c r="W301" s="18">
        <f>'Info Lega'!$B$4-SUMIFS($M$2:$M$492,$D$2:$D$492,'Info Lega'!$B$28)</f>
        <v>1000</v>
      </c>
      <c r="X301" s="18">
        <f>('Info Lega'!$B$5-COUNTIFS($D$2:$D$492,'Info Lega'!$B$28,$B$2:$B$492,"P"))+('Info Lega'!$B$6-COUNTIFS($D$2:$D$492,'Info Lega'!$B$28,$B$2:$B$492,"D"))+('Info Lega'!$B$7-COUNTIFS($D$2:$D$492,'Info Lega'!$B$28,$B$2:$B$492,"C"))+('Info Lega'!$B$8-COUNTIFS($D$2:$D$492,'Info Lega'!$B$28,$B$2:$B$492,"A"))</f>
        <v>25</v>
      </c>
      <c r="Y301" s="18">
        <f>X301*'Parametri Modello'!$B$30</f>
        <v>25</v>
      </c>
      <c r="Z301" s="18">
        <f t="shared" si="38"/>
        <v>975</v>
      </c>
      <c r="AA301" s="18">
        <f t="shared" si="39"/>
        <v>2</v>
      </c>
      <c r="AB301" s="18"/>
      <c r="AC301" s="18" t="str">
        <f>IF($AB301="","",IF($AB301&gt;$AA301,"PASS",IF($AB301&lt;=$AA301*(1-'Parametri Modello'!$B$68),"BID","ATTENZIONE")))</f>
        <v/>
      </c>
      <c r="AD301" s="28">
        <f t="shared" si="40"/>
        <v>39</v>
      </c>
      <c r="AE301" s="5" t="str">
        <f>IFERROR(INDEX('Stato Asta'!$G$9:$G$12,MATCH($B301,'Stato Asta'!$A$9:$A$12,0)),"")</f>
        <v>🔴 Non aspettare</v>
      </c>
      <c r="AF301" t="str">
        <f>IFERROR(IF($V301&lt;=INDEX('Parametri Modello'!$C$57:$C$60,MATCH($B301,'Parametri Modello'!$A$57:$A$60,0)),"Titolare","Riserva"),"")</f>
        <v>Riserva</v>
      </c>
      <c r="AG301" t="str">
        <f>IFERROR(INDEX('Pressione Competitiva'!$F$3:$F$6,MATCH($B301,'Pressione Competitiva'!$B$3:$B$6,0)),"")</f>
        <v>🔴 Molto Alta</v>
      </c>
      <c r="AH301" t="str">
        <f t="shared" si="41"/>
        <v/>
      </c>
      <c r="AI301" t="str">
        <f>IFERROR(IF($AH301="","",IF($AH301&gt;=$AA301*'Parametri Modello'!$B$68,"🟢 Opportunita'",IF($AH301&lt;=$AA301*'Parametri Modello'!$B$69,"🔴 Sovrapprezzo","🟡 Prezzo Corretto"))),"")</f>
        <v/>
      </c>
      <c r="AJ301" t="str">
        <f t="shared" si="42"/>
        <v/>
      </c>
      <c r="AK301">
        <f t="shared" si="43"/>
        <v>11</v>
      </c>
      <c r="AL301" t="str">
        <f t="shared" si="44"/>
        <v>C|Scommessa/Riserva|11</v>
      </c>
    </row>
    <row r="302" spans="1:38" ht="14.25" customHeight="1" x14ac:dyDescent="0.25">
      <c r="A302" s="18">
        <v>7342</v>
      </c>
      <c r="B302" s="18" t="s">
        <v>18</v>
      </c>
      <c r="C302" s="18" t="s">
        <v>441</v>
      </c>
      <c r="E302" s="23" t="str">
        <f>IF(COUNTIF('Info Strategia'!$D$2:$D$51,$C302)&gt;0,"SI","NO")</f>
        <v>NO</v>
      </c>
      <c r="F302" s="24">
        <f>IFERROR(ROUND(($G302+($H302-$G302)*'Info Strategia'!$B$6)*(1+IF($E302="SI",'Parametri Modello'!$B$7*'Info Strategia'!$B$6,0)),0),"")</f>
        <v>3</v>
      </c>
      <c r="G302" s="24">
        <f>IFERROR(ROUND(MAX(1,(IF($V302&lt;=INDEX('Parametri Modello'!$C$57:$C$60,MATCH($B302,'Parametri Modello'!$A$57:$A$60,0)),IF(INDEX('Parametri Modello'!$E$57:$E$60,MATCH($B302,'Parametri Modello'!$A$57:$A$60,0))=0,0,($O302/INDEX('Parametri Modello'!$E$57:$E$60,MATCH($B302,'Parametri Modello'!$A$57:$A$60,0)))*(INDEX('Parametri Modello'!$D$57:$D$60,MATCH($B302,'Parametri Modello'!$A$57:$A$60,0))*(INDEX('Parametri Modello'!$B$50:$B$53,MATCH($B302,'Parametri Modello'!$A$50:$A$53,0))*'Parametri Modello'!$B$44))),IF(INDEX('Parametri Modello'!$F$57:$F$60,MATCH($B302,'Parametri Modello'!$A$57:$A$60,0))=0,0,($O302/INDEX('Parametri Modello'!$F$57:$F$60,MATCH($B302,'Parametri Modello'!$A$57:$A$60,0)))*((1-INDEX('Parametri Modello'!$D$57:$D$60,MATCH($B302,'Parametri Modello'!$A$57:$A$60,0)))*(INDEX('Parametri Modello'!$B$50:$B$53,MATCH($B302,'Parametri Modello'!$A$50:$A$53,0))*'Parametri Modello'!$B$44))))*(1+IF(IF($B302="D",'Info Lega'!$B$25,IF($B302="C",'Info Lega'!$B$26,"No"))="Si",'Parametri Modello'!$B$5,0))*(1+MAX(-0.25,MIN(0.25,IF(OR($T302="",$I302="",$I302=0,INDEX('Parametri Modello'!$B$19:$B$22,MATCH($B302,'Parametri Modello'!$A$19:$A$22,0))="",INDEX('Parametri Modello'!$B$19:$B$22,MATCH($B302,'Parametri Modello'!$A$19:$A$22,0))=0),0,(($T302-INDEX('Parametri Modello'!$B$19:$B$22,MATCH($B302,'Parametri Modello'!$A$19:$A$22,0)))/INDEX('Parametri Modello'!$B$19:$B$22,MATCH($B302,'Parametri Modello'!$A$19:$A$22,0)))*'Parametri Modello'!$B$9))))*(1+IF('Parametri Modello'!$B$27="Si",MAX(-'Parametri Modello'!$B$28,MIN('Parametri Modello'!$B$28*1.5,IF(OR(INDEX('Parametri Modello'!$F$32:$F$35,MATCH($B302,'Parametri Modello'!$A$32:$A$35,0))="",INDEX('Parametri Modello'!$F$32:$F$35,MATCH($B302,'Parametri Modello'!$A$32:$A$35,0))=0),0,(1/INDEX('Parametri Modello'!$F$32:$F$35,MATCH($B302,'Parametri Modello'!$A$32:$A$35,0))-1)*'Parametri Modello'!$B$28))),0)))*(1-INDEX('Parametri Modello'!$B$12:$B$15,MATCH($B302,'Parametri Modello'!$A$12:$A$15,0)))),0),"")</f>
        <v>2</v>
      </c>
      <c r="H302" s="24">
        <f>IFERROR(ROUND((IF($V302&lt;=INDEX('Parametri Modello'!$C$57:$C$60,MATCH($B302,'Parametri Modello'!$A$57:$A$60,0)),IF(INDEX('Parametri Modello'!$E$57:$E$60,MATCH($B302,'Parametri Modello'!$A$57:$A$60,0))=0,0,($O302/INDEX('Parametri Modello'!$E$57:$E$60,MATCH($B302,'Parametri Modello'!$A$57:$A$60,0)))*(INDEX('Parametri Modello'!$D$57:$D$60,MATCH($B302,'Parametri Modello'!$A$57:$A$60,0))*(INDEX('Parametri Modello'!$B$50:$B$53,MATCH($B302,'Parametri Modello'!$A$50:$A$53,0))*'Parametri Modello'!$B$44))),IF(INDEX('Parametri Modello'!$F$57:$F$60,MATCH($B302,'Parametri Modello'!$A$57:$A$60,0))=0,0,($O302/INDEX('Parametri Modello'!$F$57:$F$60,MATCH($B302,'Parametri Modello'!$A$57:$A$60,0)))*((1-INDEX('Parametri Modello'!$D$57:$D$60,MATCH($B302,'Parametri Modello'!$A$57:$A$60,0)))*(INDEX('Parametri Modello'!$B$50:$B$53,MATCH($B302,'Parametri Modello'!$A$50:$A$53,0))*'Parametri Modello'!$B$44))))*(1+IF(IF($B302="D",'Info Lega'!$B$25,IF($B302="C",'Info Lega'!$B$26,"No"))="Si",'Parametri Modello'!$B$5,0))*(1+MAX(-0.25,MIN(0.25,IF(OR($T302="",$I302="",$I302=0,INDEX('Parametri Modello'!$B$19:$B$22,MATCH($B302,'Parametri Modello'!$A$19:$A$22,0))="",INDEX('Parametri Modello'!$B$19:$B$22,MATCH($B302,'Parametri Modello'!$A$19:$A$22,0))=0),0,(($T302-INDEX('Parametri Modello'!$B$19:$B$22,MATCH($B302,'Parametri Modello'!$A$19:$A$22,0)))/INDEX('Parametri Modello'!$B$19:$B$22,MATCH($B302,'Parametri Modello'!$A$19:$A$22,0)))*'Parametri Modello'!$B$9))))*(1+IF('Parametri Modello'!$B$27="Si",MAX(-'Parametri Modello'!$B$28,MIN('Parametri Modello'!$B$28*1.5,IF(OR(INDEX('Parametri Modello'!$F$32:$F$35,MATCH($B302,'Parametri Modello'!$A$32:$A$35,0))="",INDEX('Parametri Modello'!$F$32:$F$35,MATCH($B302,'Parametri Modello'!$A$32:$A$35,0))=0),0,(1/INDEX('Parametri Modello'!$F$32:$F$35,MATCH($B302,'Parametri Modello'!$A$32:$A$35,0))-1)*'Parametri Modello'!$B$28))),0)))*(1+INDEX('Parametri Modello'!$B$12:$B$15,MATCH($B302,'Parametri Modello'!$A$12:$A$15,0))),0),"")</f>
        <v>4</v>
      </c>
      <c r="I302" s="23">
        <f>IFERROR(INDEX('Input Statistiche 2025_26'!$F$3:$F$665,MATCH($A302,'Input Statistiche 2025_26'!$A$3:$A$665,0)),"")</f>
        <v>8</v>
      </c>
      <c r="J302" s="23">
        <f t="shared" si="36"/>
        <v>30</v>
      </c>
      <c r="K302" s="23">
        <f>IFERROR(INDEX('Input Statistiche 2025_26'!$I$3:$I$665,MATCH($A302,'Input Statistiche 2025_26'!$A$3:$A$665,0)),"")</f>
        <v>2</v>
      </c>
      <c r="L302" s="23">
        <f>IFERROR(INDEX('Input Statistiche 2025_26'!$O$3:$O$665,MATCH($A302,'Input Statistiche 2025_26'!$A$3:$A$665,0)),"")</f>
        <v>1</v>
      </c>
      <c r="M302" s="25"/>
      <c r="N302" s="24">
        <f>IFERROR(INDEX('Input Giocatori 2026_27'!$E$3:$E$493,MATCH($A302,'Input Giocatori 2026_27'!$A$3:$A$493,0)),"")</f>
        <v>3</v>
      </c>
      <c r="O302" s="24">
        <f>IFERROR(INDEX('Input Giocatori 2026_27'!$G$3:$G$493,MATCH($A302,'Input Giocatori 2026_27'!$A$3:$A$493,0)),"")</f>
        <v>11</v>
      </c>
      <c r="P302" s="23" t="str">
        <f>IFERROR(IF($O302="","",IF((1-(COUNTIFS($B$2:$B$492,$B302,$O$2:$O$492,"&gt;"&amp;$O302)+1-1)/COUNTIF($B$2:$B$492,$B302))&gt;='Parametri Modello'!$B$63,"Top",IF((1-(COUNTIFS($B$2:$B$492,$B302,$O$2:$O$492,"&gt;"&amp;$O302)+1-1)/COUNTIF($B$2:$B$492,$B302))&gt;='Parametri Modello'!$B$64,"Buono",IF((1-(COUNTIFS($B$2:$B$492,$B302,$O$2:$O$492,"&gt;"&amp;$O302)+1-1)/COUNTIF($B$2:$B$492,$B302))&gt;='Parametri Modello'!$B$65,"Nella Media","Scommessa/Riserva")))),"")</f>
        <v>Scommessa/Riserva</v>
      </c>
      <c r="Q302" s="26">
        <f>IF(AND($D302="",$N302&gt;1),SUMPRODUCT(($D$2:$D302="")*($N$2:$N302&gt;1)),"")</f>
        <v>301</v>
      </c>
      <c r="R302" s="26" t="str">
        <f>IF($D302='Info Lega'!$B$28,COUNTIFS($D$2:$D302,'Info Lega'!$B$28),"")</f>
        <v/>
      </c>
      <c r="S302" s="27">
        <f>IFERROR(INDEX('Input Statistiche 2025_26'!$G$3:$G$665,MATCH($A302,'Input Statistiche 2025_26'!$A$3:$A$665,0)),"")</f>
        <v>6</v>
      </c>
      <c r="T302" s="27">
        <f>IFERROR(INDEX('Input Statistiche 2025_26'!$H$3:$H$665,MATCH($A302,'Input Statistiche 2025_26'!$A$3:$A$665,0)),"")</f>
        <v>6.88</v>
      </c>
      <c r="U302" s="23" t="str">
        <f>IF(OR('La Mia Rosa'!$O$12="",$D302&lt;&gt;""),"",IF($F302&lt;='La Mia Rosa'!$O$12*'Parametri Modello'!$B$24,"OK",IF($F302&lt;='La Mia Rosa'!$O$12*'Parametri Modello'!$B$25,"Attenzione","Rischio Alto")))</f>
        <v>OK</v>
      </c>
      <c r="V302" s="23">
        <f t="shared" si="37"/>
        <v>62</v>
      </c>
      <c r="W302" s="18">
        <f>'Info Lega'!$B$4-SUMIFS($M$2:$M$492,$D$2:$D$492,'Info Lega'!$B$28)</f>
        <v>1000</v>
      </c>
      <c r="X302" s="18">
        <f>('Info Lega'!$B$5-COUNTIFS($D$2:$D$492,'Info Lega'!$B$28,$B$2:$B$492,"P"))+('Info Lega'!$B$6-COUNTIFS($D$2:$D$492,'Info Lega'!$B$28,$B$2:$B$492,"D"))+('Info Lega'!$B$7-COUNTIFS($D$2:$D$492,'Info Lega'!$B$28,$B$2:$B$492,"C"))+('Info Lega'!$B$8-COUNTIFS($D$2:$D$492,'Info Lega'!$B$28,$B$2:$B$492,"A"))</f>
        <v>25</v>
      </c>
      <c r="Y302" s="18">
        <f>X302*'Parametri Modello'!$B$30</f>
        <v>25</v>
      </c>
      <c r="Z302" s="18">
        <f t="shared" si="38"/>
        <v>975</v>
      </c>
      <c r="AA302" s="18">
        <f t="shared" si="39"/>
        <v>3</v>
      </c>
      <c r="AB302" s="18"/>
      <c r="AC302" s="18" t="str">
        <f>IF($AB302="","",IF($AB302&gt;$AA302,"PASS",IF($AB302&lt;=$AA302*(1-'Parametri Modello'!$B$68),"BID","ATTENZIONE")))</f>
        <v/>
      </c>
      <c r="AD302" s="28">
        <f t="shared" si="40"/>
        <v>23</v>
      </c>
      <c r="AE302" s="5" t="str">
        <f>IFERROR(INDEX('Stato Asta'!$G$9:$G$12,MATCH($B302,'Stato Asta'!$A$9:$A$12,0)),"")</f>
        <v>🔴 Non aspettare</v>
      </c>
      <c r="AF302" t="str">
        <f>IFERROR(IF($V302&lt;=INDEX('Parametri Modello'!$C$57:$C$60,MATCH($B302,'Parametri Modello'!$A$57:$A$60,0)),"Titolare","Riserva"),"")</f>
        <v>Riserva</v>
      </c>
      <c r="AG302" t="str">
        <f>IFERROR(INDEX('Pressione Competitiva'!$F$3:$F$6,MATCH($B302,'Pressione Competitiva'!$B$3:$B$6,0)),"")</f>
        <v>🔴 Molto Alta</v>
      </c>
      <c r="AH302" t="str">
        <f t="shared" si="41"/>
        <v/>
      </c>
      <c r="AI302" t="str">
        <f>IFERROR(IF($AH302="","",IF($AH302&gt;=$AA302*'Parametri Modello'!$B$68,"🟢 Opportunita'",IF($AH302&lt;=$AA302*'Parametri Modello'!$B$69,"🔴 Sovrapprezzo","🟡 Prezzo Corretto"))),"")</f>
        <v/>
      </c>
      <c r="AJ302" t="str">
        <f t="shared" si="42"/>
        <v/>
      </c>
      <c r="AK302">
        <f t="shared" si="43"/>
        <v>8</v>
      </c>
      <c r="AL302" t="str">
        <f t="shared" si="44"/>
        <v>A|Scommessa/Riserva|8</v>
      </c>
    </row>
    <row r="303" spans="1:38" ht="14.25" customHeight="1" x14ac:dyDescent="0.25">
      <c r="A303" s="18">
        <v>218</v>
      </c>
      <c r="B303" s="18" t="s">
        <v>15</v>
      </c>
      <c r="C303" s="18" t="s">
        <v>442</v>
      </c>
      <c r="E303" s="23" t="str">
        <f>IF(COUNTIF('Info Strategia'!$D$2:$D$51,$C303)&gt;0,"SI","NO")</f>
        <v>NO</v>
      </c>
      <c r="F303" s="24">
        <f>IFERROR(ROUND(($G303+($H303-$G303)*'Info Strategia'!$B$6)*(1+IF($E303="SI",'Parametri Modello'!$B$7*'Info Strategia'!$B$6,0)),0),"")</f>
        <v>4</v>
      </c>
      <c r="G303" s="24">
        <f>IFERROR(ROUND(MAX(1,(IF($V303&lt;=INDEX('Parametri Modello'!$C$57:$C$60,MATCH($B303,'Parametri Modello'!$A$57:$A$60,0)),IF(INDEX('Parametri Modello'!$E$57:$E$60,MATCH($B303,'Parametri Modello'!$A$57:$A$60,0))=0,0,($O303/INDEX('Parametri Modello'!$E$57:$E$60,MATCH($B303,'Parametri Modello'!$A$57:$A$60,0)))*(INDEX('Parametri Modello'!$D$57:$D$60,MATCH($B303,'Parametri Modello'!$A$57:$A$60,0))*(INDEX('Parametri Modello'!$B$50:$B$53,MATCH($B303,'Parametri Modello'!$A$50:$A$53,0))*'Parametri Modello'!$B$44))),IF(INDEX('Parametri Modello'!$F$57:$F$60,MATCH($B303,'Parametri Modello'!$A$57:$A$60,0))=0,0,($O303/INDEX('Parametri Modello'!$F$57:$F$60,MATCH($B303,'Parametri Modello'!$A$57:$A$60,0)))*((1-INDEX('Parametri Modello'!$D$57:$D$60,MATCH($B303,'Parametri Modello'!$A$57:$A$60,0)))*(INDEX('Parametri Modello'!$B$50:$B$53,MATCH($B303,'Parametri Modello'!$A$50:$A$53,0))*'Parametri Modello'!$B$44))))*(1+IF(IF($B303="D",'Info Lega'!$B$25,IF($B303="C",'Info Lega'!$B$26,"No"))="Si",'Parametri Modello'!$B$5,0))*(1+MAX(-0.25,MIN(0.25,IF(OR($T303="",$I303="",$I303=0,INDEX('Parametri Modello'!$B$19:$B$22,MATCH($B303,'Parametri Modello'!$A$19:$A$22,0))="",INDEX('Parametri Modello'!$B$19:$B$22,MATCH($B303,'Parametri Modello'!$A$19:$A$22,0))=0),0,(($T303-INDEX('Parametri Modello'!$B$19:$B$22,MATCH($B303,'Parametri Modello'!$A$19:$A$22,0)))/INDEX('Parametri Modello'!$B$19:$B$22,MATCH($B303,'Parametri Modello'!$A$19:$A$22,0)))*'Parametri Modello'!$B$9))))*(1+IF('Parametri Modello'!$B$27="Si",MAX(-'Parametri Modello'!$B$28,MIN('Parametri Modello'!$B$28*1.5,IF(OR(INDEX('Parametri Modello'!$F$32:$F$35,MATCH($B303,'Parametri Modello'!$A$32:$A$35,0))="",INDEX('Parametri Modello'!$F$32:$F$35,MATCH($B303,'Parametri Modello'!$A$32:$A$35,0))=0),0,(1/INDEX('Parametri Modello'!$F$32:$F$35,MATCH($B303,'Parametri Modello'!$A$32:$A$35,0))-1)*'Parametri Modello'!$B$28))),0)))*(1-INDEX('Parametri Modello'!$B$12:$B$15,MATCH($B303,'Parametri Modello'!$A$12:$A$15,0)))),0),"")</f>
        <v>3</v>
      </c>
      <c r="H303" s="24">
        <f>IFERROR(ROUND((IF($V303&lt;=INDEX('Parametri Modello'!$C$57:$C$60,MATCH($B303,'Parametri Modello'!$A$57:$A$60,0)),IF(INDEX('Parametri Modello'!$E$57:$E$60,MATCH($B303,'Parametri Modello'!$A$57:$A$60,0))=0,0,($O303/INDEX('Parametri Modello'!$E$57:$E$60,MATCH($B303,'Parametri Modello'!$A$57:$A$60,0)))*(INDEX('Parametri Modello'!$D$57:$D$60,MATCH($B303,'Parametri Modello'!$A$57:$A$60,0))*(INDEX('Parametri Modello'!$B$50:$B$53,MATCH($B303,'Parametri Modello'!$A$50:$A$53,0))*'Parametri Modello'!$B$44))),IF(INDEX('Parametri Modello'!$F$57:$F$60,MATCH($B303,'Parametri Modello'!$A$57:$A$60,0))=0,0,($O303/INDEX('Parametri Modello'!$F$57:$F$60,MATCH($B303,'Parametri Modello'!$A$57:$A$60,0)))*((1-INDEX('Parametri Modello'!$D$57:$D$60,MATCH($B303,'Parametri Modello'!$A$57:$A$60,0)))*(INDEX('Parametri Modello'!$B$50:$B$53,MATCH($B303,'Parametri Modello'!$A$50:$A$53,0))*'Parametri Modello'!$B$44))))*(1+IF(IF($B303="D",'Info Lega'!$B$25,IF($B303="C",'Info Lega'!$B$26,"No"))="Si",'Parametri Modello'!$B$5,0))*(1+MAX(-0.25,MIN(0.25,IF(OR($T303="",$I303="",$I303=0,INDEX('Parametri Modello'!$B$19:$B$22,MATCH($B303,'Parametri Modello'!$A$19:$A$22,0))="",INDEX('Parametri Modello'!$B$19:$B$22,MATCH($B303,'Parametri Modello'!$A$19:$A$22,0))=0),0,(($T303-INDEX('Parametri Modello'!$B$19:$B$22,MATCH($B303,'Parametri Modello'!$A$19:$A$22,0)))/INDEX('Parametri Modello'!$B$19:$B$22,MATCH($B303,'Parametri Modello'!$A$19:$A$22,0)))*'Parametri Modello'!$B$9))))*(1+IF('Parametri Modello'!$B$27="Si",MAX(-'Parametri Modello'!$B$28,MIN('Parametri Modello'!$B$28*1.5,IF(OR(INDEX('Parametri Modello'!$F$32:$F$35,MATCH($B303,'Parametri Modello'!$A$32:$A$35,0))="",INDEX('Parametri Modello'!$F$32:$F$35,MATCH($B303,'Parametri Modello'!$A$32:$A$35,0))=0),0,(1/INDEX('Parametri Modello'!$F$32:$F$35,MATCH($B303,'Parametri Modello'!$A$32:$A$35,0))-1)*'Parametri Modello'!$B$28))),0)))*(1+INDEX('Parametri Modello'!$B$12:$B$15,MATCH($B303,'Parametri Modello'!$A$12:$A$15,0))),0),"")</f>
        <v>4</v>
      </c>
      <c r="I303" s="23">
        <f>IFERROR(INDEX('Input Statistiche 2025_26'!$F$3:$F$665,MATCH($A303,'Input Statistiche 2025_26'!$A$3:$A$665,0)),"")</f>
        <v>9</v>
      </c>
      <c r="J303" s="23">
        <f t="shared" si="36"/>
        <v>29</v>
      </c>
      <c r="K303" s="23">
        <f>IFERROR(INDEX('Input Statistiche 2025_26'!$I$3:$I$665,MATCH($A303,'Input Statistiche 2025_26'!$A$3:$A$665,0)),"")</f>
        <v>0</v>
      </c>
      <c r="L303" s="23">
        <f>IFERROR(INDEX('Input Statistiche 2025_26'!$O$3:$O$665,MATCH($A303,'Input Statistiche 2025_26'!$A$3:$A$665,0)),"")</f>
        <v>0</v>
      </c>
      <c r="M303" s="25"/>
      <c r="N303" s="24">
        <f>IFERROR(INDEX('Input Giocatori 2026_27'!$E$3:$E$493,MATCH($A303,'Input Giocatori 2026_27'!$A$3:$A$493,0)),"")</f>
        <v>6</v>
      </c>
      <c r="O303" s="24">
        <f>IFERROR(INDEX('Input Giocatori 2026_27'!$G$3:$G$493,MATCH($A303,'Input Giocatori 2026_27'!$A$3:$A$493,0)),"")</f>
        <v>10</v>
      </c>
      <c r="P303" s="23" t="str">
        <f>IFERROR(IF($O303="","",IF((1-(COUNTIFS($B$2:$B$492,$B303,$O$2:$O$492,"&gt;"&amp;$O303)+1-1)/COUNTIF($B$2:$B$492,$B303))&gt;='Parametri Modello'!$B$63,"Top",IF((1-(COUNTIFS($B$2:$B$492,$B303,$O$2:$O$492,"&gt;"&amp;$O303)+1-1)/COUNTIF($B$2:$B$492,$B303))&gt;='Parametri Modello'!$B$64,"Buono",IF((1-(COUNTIFS($B$2:$B$492,$B303,$O$2:$O$492,"&gt;"&amp;$O303)+1-1)/COUNTIF($B$2:$B$492,$B303))&gt;='Parametri Modello'!$B$65,"Nella Media","Scommessa/Riserva")))),"")</f>
        <v>Nella Media</v>
      </c>
      <c r="Q303" s="26">
        <f>IF(AND($D303="",$N303&gt;1),SUMPRODUCT(($D$2:$D303="")*($N$2:$N303&gt;1)),"")</f>
        <v>302</v>
      </c>
      <c r="R303" s="26" t="str">
        <f>IF($D303='Info Lega'!$B$28,COUNTIFS($D$2:$D303,'Info Lega'!$B$28),"")</f>
        <v/>
      </c>
      <c r="S303" s="27">
        <f>IFERROR(INDEX('Input Statistiche 2025_26'!$G$3:$G$665,MATCH($A303,'Input Statistiche 2025_26'!$A$3:$A$665,0)),"")</f>
        <v>6.11</v>
      </c>
      <c r="T303" s="27">
        <f>IFERROR(INDEX('Input Statistiche 2025_26'!$H$3:$H$665,MATCH($A303,'Input Statistiche 2025_26'!$A$3:$A$665,0)),"")</f>
        <v>5.1100000000000003</v>
      </c>
      <c r="U303" s="23" t="str">
        <f>IF(OR('La Mia Rosa'!$O$12="",$D303&lt;&gt;""),"",IF($F303&lt;='La Mia Rosa'!$O$12*'Parametri Modello'!$B$24,"OK",IF($F303&lt;='La Mia Rosa'!$O$12*'Parametri Modello'!$B$25,"Attenzione","Rischio Alto")))</f>
        <v>OK</v>
      </c>
      <c r="V303" s="23">
        <f t="shared" si="37"/>
        <v>19</v>
      </c>
      <c r="W303" s="18">
        <f>'Info Lega'!$B$4-SUMIFS($M$2:$M$492,$D$2:$D$492,'Info Lega'!$B$28)</f>
        <v>1000</v>
      </c>
      <c r="X303" s="18">
        <f>('Info Lega'!$B$5-COUNTIFS($D$2:$D$492,'Info Lega'!$B$28,$B$2:$B$492,"P"))+('Info Lega'!$B$6-COUNTIFS($D$2:$D$492,'Info Lega'!$B$28,$B$2:$B$492,"D"))+('Info Lega'!$B$7-COUNTIFS($D$2:$D$492,'Info Lega'!$B$28,$B$2:$B$492,"C"))+('Info Lega'!$B$8-COUNTIFS($D$2:$D$492,'Info Lega'!$B$28,$B$2:$B$492,"A"))</f>
        <v>25</v>
      </c>
      <c r="Y303" s="18">
        <f>X303*'Parametri Modello'!$B$30</f>
        <v>25</v>
      </c>
      <c r="Z303" s="18">
        <f t="shared" si="38"/>
        <v>975</v>
      </c>
      <c r="AA303" s="18">
        <f t="shared" si="39"/>
        <v>4</v>
      </c>
      <c r="AB303" s="18"/>
      <c r="AC303" s="18" t="str">
        <f>IF($AB303="","",IF($AB303&gt;$AA303,"PASS",IF($AB303&lt;=$AA303*(1-'Parametri Modello'!$B$68),"BID","ATTENZIONE")))</f>
        <v/>
      </c>
      <c r="AD303" s="28">
        <f t="shared" si="40"/>
        <v>26</v>
      </c>
      <c r="AE303" s="5" t="str">
        <f>IFERROR(INDEX('Stato Asta'!$G$9:$G$12,MATCH($B303,'Stato Asta'!$A$9:$A$12,0)),"")</f>
        <v>🔴 Non aspettare</v>
      </c>
      <c r="AF303" t="str">
        <f>IFERROR(IF($V303&lt;=INDEX('Parametri Modello'!$C$57:$C$60,MATCH($B303,'Parametri Modello'!$A$57:$A$60,0)),"Titolare","Riserva"),"")</f>
        <v>Riserva</v>
      </c>
      <c r="AG303" t="str">
        <f>IFERROR(INDEX('Pressione Competitiva'!$F$3:$F$6,MATCH($B303,'Pressione Competitiva'!$B$3:$B$6,0)),"")</f>
        <v>🔴 Molto Alta</v>
      </c>
      <c r="AH303" t="str">
        <f t="shared" si="41"/>
        <v/>
      </c>
      <c r="AI303" t="str">
        <f>IFERROR(IF($AH303="","",IF($AH303&gt;=$AA303*'Parametri Modello'!$B$68,"🟢 Opportunita'",IF($AH303&lt;=$AA303*'Parametri Modello'!$B$69,"🔴 Sovrapprezzo","🟡 Prezzo Corretto"))),"")</f>
        <v/>
      </c>
      <c r="AJ303" t="str">
        <f t="shared" si="42"/>
        <v/>
      </c>
      <c r="AK303">
        <f t="shared" si="43"/>
        <v>1</v>
      </c>
      <c r="AL303" t="str">
        <f t="shared" si="44"/>
        <v>P|Nella Media|1</v>
      </c>
    </row>
    <row r="304" spans="1:38" ht="14.25" customHeight="1" x14ac:dyDescent="0.25">
      <c r="A304" s="18">
        <v>2170</v>
      </c>
      <c r="B304" s="18" t="s">
        <v>15</v>
      </c>
      <c r="C304" s="18" t="s">
        <v>443</v>
      </c>
      <c r="E304" s="23" t="str">
        <f>IF(COUNTIF('Info Strategia'!$D$2:$D$51,$C304)&gt;0,"SI","NO")</f>
        <v>NO</v>
      </c>
      <c r="F304" s="24">
        <f>IFERROR(ROUND(($G304+($H304-$G304)*'Info Strategia'!$B$6)*(1+IF($E304="SI",'Parametri Modello'!$B$7*'Info Strategia'!$B$6,0)),0),"")</f>
        <v>4</v>
      </c>
      <c r="G304" s="24">
        <f>IFERROR(ROUND(MAX(1,(IF($V304&lt;=INDEX('Parametri Modello'!$C$57:$C$60,MATCH($B304,'Parametri Modello'!$A$57:$A$60,0)),IF(INDEX('Parametri Modello'!$E$57:$E$60,MATCH($B304,'Parametri Modello'!$A$57:$A$60,0))=0,0,($O304/INDEX('Parametri Modello'!$E$57:$E$60,MATCH($B304,'Parametri Modello'!$A$57:$A$60,0)))*(INDEX('Parametri Modello'!$D$57:$D$60,MATCH($B304,'Parametri Modello'!$A$57:$A$60,0))*(INDEX('Parametri Modello'!$B$50:$B$53,MATCH($B304,'Parametri Modello'!$A$50:$A$53,0))*'Parametri Modello'!$B$44))),IF(INDEX('Parametri Modello'!$F$57:$F$60,MATCH($B304,'Parametri Modello'!$A$57:$A$60,0))=0,0,($O304/INDEX('Parametri Modello'!$F$57:$F$60,MATCH($B304,'Parametri Modello'!$A$57:$A$60,0)))*((1-INDEX('Parametri Modello'!$D$57:$D$60,MATCH($B304,'Parametri Modello'!$A$57:$A$60,0)))*(INDEX('Parametri Modello'!$B$50:$B$53,MATCH($B304,'Parametri Modello'!$A$50:$A$53,0))*'Parametri Modello'!$B$44))))*(1+IF(IF($B304="D",'Info Lega'!$B$25,IF($B304="C",'Info Lega'!$B$26,"No"))="Si",'Parametri Modello'!$B$5,0))*(1+MAX(-0.25,MIN(0.25,IF(OR($T304="",$I304="",$I304=0,INDEX('Parametri Modello'!$B$19:$B$22,MATCH($B304,'Parametri Modello'!$A$19:$A$22,0))="",INDEX('Parametri Modello'!$B$19:$B$22,MATCH($B304,'Parametri Modello'!$A$19:$A$22,0))=0),0,(($T304-INDEX('Parametri Modello'!$B$19:$B$22,MATCH($B304,'Parametri Modello'!$A$19:$A$22,0)))/INDEX('Parametri Modello'!$B$19:$B$22,MATCH($B304,'Parametri Modello'!$A$19:$A$22,0)))*'Parametri Modello'!$B$9))))*(1+IF('Parametri Modello'!$B$27="Si",MAX(-'Parametri Modello'!$B$28,MIN('Parametri Modello'!$B$28*1.5,IF(OR(INDEX('Parametri Modello'!$F$32:$F$35,MATCH($B304,'Parametri Modello'!$A$32:$A$35,0))="",INDEX('Parametri Modello'!$F$32:$F$35,MATCH($B304,'Parametri Modello'!$A$32:$A$35,0))=0),0,(1/INDEX('Parametri Modello'!$F$32:$F$35,MATCH($B304,'Parametri Modello'!$A$32:$A$35,0))-1)*'Parametri Modello'!$B$28))),0)))*(1-INDEX('Parametri Modello'!$B$12:$B$15,MATCH($B304,'Parametri Modello'!$A$12:$A$15,0)))),0),"")</f>
        <v>3</v>
      </c>
      <c r="H304" s="24">
        <f>IFERROR(ROUND((IF($V304&lt;=INDEX('Parametri Modello'!$C$57:$C$60,MATCH($B304,'Parametri Modello'!$A$57:$A$60,0)),IF(INDEX('Parametri Modello'!$E$57:$E$60,MATCH($B304,'Parametri Modello'!$A$57:$A$60,0))=0,0,($O304/INDEX('Parametri Modello'!$E$57:$E$60,MATCH($B304,'Parametri Modello'!$A$57:$A$60,0)))*(INDEX('Parametri Modello'!$D$57:$D$60,MATCH($B304,'Parametri Modello'!$A$57:$A$60,0))*(INDEX('Parametri Modello'!$B$50:$B$53,MATCH($B304,'Parametri Modello'!$A$50:$A$53,0))*'Parametri Modello'!$B$44))),IF(INDEX('Parametri Modello'!$F$57:$F$60,MATCH($B304,'Parametri Modello'!$A$57:$A$60,0))=0,0,($O304/INDEX('Parametri Modello'!$F$57:$F$60,MATCH($B304,'Parametri Modello'!$A$57:$A$60,0)))*((1-INDEX('Parametri Modello'!$D$57:$D$60,MATCH($B304,'Parametri Modello'!$A$57:$A$60,0)))*(INDEX('Parametri Modello'!$B$50:$B$53,MATCH($B304,'Parametri Modello'!$A$50:$A$53,0))*'Parametri Modello'!$B$44))))*(1+IF(IF($B304="D",'Info Lega'!$B$25,IF($B304="C",'Info Lega'!$B$26,"No"))="Si",'Parametri Modello'!$B$5,0))*(1+MAX(-0.25,MIN(0.25,IF(OR($T304="",$I304="",$I304=0,INDEX('Parametri Modello'!$B$19:$B$22,MATCH($B304,'Parametri Modello'!$A$19:$A$22,0))="",INDEX('Parametri Modello'!$B$19:$B$22,MATCH($B304,'Parametri Modello'!$A$19:$A$22,0))=0),0,(($T304-INDEX('Parametri Modello'!$B$19:$B$22,MATCH($B304,'Parametri Modello'!$A$19:$A$22,0)))/INDEX('Parametri Modello'!$B$19:$B$22,MATCH($B304,'Parametri Modello'!$A$19:$A$22,0)))*'Parametri Modello'!$B$9))))*(1+IF('Parametri Modello'!$B$27="Si",MAX(-'Parametri Modello'!$B$28,MIN('Parametri Modello'!$B$28*1.5,IF(OR(INDEX('Parametri Modello'!$F$32:$F$35,MATCH($B304,'Parametri Modello'!$A$32:$A$35,0))="",INDEX('Parametri Modello'!$F$32:$F$35,MATCH($B304,'Parametri Modello'!$A$32:$A$35,0))=0),0,(1/INDEX('Parametri Modello'!$F$32:$F$35,MATCH($B304,'Parametri Modello'!$A$32:$A$35,0))-1)*'Parametri Modello'!$B$28))),0)))*(1+INDEX('Parametri Modello'!$B$12:$B$15,MATCH($B304,'Parametri Modello'!$A$12:$A$15,0))),0),"")</f>
        <v>4</v>
      </c>
      <c r="I304" s="23">
        <f>IFERROR(INDEX('Input Statistiche 2025_26'!$F$3:$F$665,MATCH($A304,'Input Statistiche 2025_26'!$A$3:$A$665,0)),"")</f>
        <v>27</v>
      </c>
      <c r="J304" s="23">
        <f t="shared" si="36"/>
        <v>11</v>
      </c>
      <c r="K304" s="23">
        <f>IFERROR(INDEX('Input Statistiche 2025_26'!$I$3:$I$665,MATCH($A304,'Input Statistiche 2025_26'!$A$3:$A$665,0)),"")</f>
        <v>0</v>
      </c>
      <c r="L304" s="23">
        <f>IFERROR(INDEX('Input Statistiche 2025_26'!$O$3:$O$665,MATCH($A304,'Input Statistiche 2025_26'!$A$3:$A$665,0)),"")</f>
        <v>0</v>
      </c>
      <c r="M304" s="25"/>
      <c r="N304" s="24">
        <f>IFERROR(INDEX('Input Giocatori 2026_27'!$E$3:$E$493,MATCH($A304,'Input Giocatori 2026_27'!$A$3:$A$493,0)),"")</f>
        <v>5</v>
      </c>
      <c r="O304" s="24">
        <f>IFERROR(INDEX('Input Giocatori 2026_27'!$G$3:$G$493,MATCH($A304,'Input Giocatori 2026_27'!$A$3:$A$493,0)),"")</f>
        <v>10</v>
      </c>
      <c r="P304" s="23" t="str">
        <f>IFERROR(IF($O304="","",IF((1-(COUNTIFS($B$2:$B$492,$B304,$O$2:$O$492,"&gt;"&amp;$O304)+1-1)/COUNTIF($B$2:$B$492,$B304))&gt;='Parametri Modello'!$B$63,"Top",IF((1-(COUNTIFS($B$2:$B$492,$B304,$O$2:$O$492,"&gt;"&amp;$O304)+1-1)/COUNTIF($B$2:$B$492,$B304))&gt;='Parametri Modello'!$B$64,"Buono",IF((1-(COUNTIFS($B$2:$B$492,$B304,$O$2:$O$492,"&gt;"&amp;$O304)+1-1)/COUNTIF($B$2:$B$492,$B304))&gt;='Parametri Modello'!$B$65,"Nella Media","Scommessa/Riserva")))),"")</f>
        <v>Nella Media</v>
      </c>
      <c r="Q304" s="26">
        <f>IF(AND($D304="",$N304&gt;1),SUMPRODUCT(($D$2:$D304="")*($N$2:$N304&gt;1)),"")</f>
        <v>303</v>
      </c>
      <c r="R304" s="26" t="str">
        <f>IF($D304='Info Lega'!$B$28,COUNTIFS($D$2:$D304,'Info Lega'!$B$28),"")</f>
        <v/>
      </c>
      <c r="S304" s="27">
        <f>IFERROR(INDEX('Input Statistiche 2025_26'!$G$3:$G$665,MATCH($A304,'Input Statistiche 2025_26'!$A$3:$A$665,0)),"")</f>
        <v>6.2</v>
      </c>
      <c r="T304" s="27">
        <f>IFERROR(INDEX('Input Statistiche 2025_26'!$H$3:$H$665,MATCH($A304,'Input Statistiche 2025_26'!$A$3:$A$665,0)),"")</f>
        <v>5.65</v>
      </c>
      <c r="U304" s="23" t="str">
        <f>IF(OR('La Mia Rosa'!$O$12="",$D304&lt;&gt;""),"",IF($F304&lt;='La Mia Rosa'!$O$12*'Parametri Modello'!$B$24,"OK",IF($F304&lt;='La Mia Rosa'!$O$12*'Parametri Modello'!$B$25,"Attenzione","Rischio Alto")))</f>
        <v>OK</v>
      </c>
      <c r="V304" s="23">
        <f t="shared" si="37"/>
        <v>19</v>
      </c>
      <c r="W304" s="18">
        <f>'Info Lega'!$B$4-SUMIFS($M$2:$M$492,$D$2:$D$492,'Info Lega'!$B$28)</f>
        <v>1000</v>
      </c>
      <c r="X304" s="18">
        <f>('Info Lega'!$B$5-COUNTIFS($D$2:$D$492,'Info Lega'!$B$28,$B$2:$B$492,"P"))+('Info Lega'!$B$6-COUNTIFS($D$2:$D$492,'Info Lega'!$B$28,$B$2:$B$492,"D"))+('Info Lega'!$B$7-COUNTIFS($D$2:$D$492,'Info Lega'!$B$28,$B$2:$B$492,"C"))+('Info Lega'!$B$8-COUNTIFS($D$2:$D$492,'Info Lega'!$B$28,$B$2:$B$492,"A"))</f>
        <v>25</v>
      </c>
      <c r="Y304" s="18">
        <f>X304*'Parametri Modello'!$B$30</f>
        <v>25</v>
      </c>
      <c r="Z304" s="18">
        <f t="shared" si="38"/>
        <v>975</v>
      </c>
      <c r="AA304" s="18">
        <f t="shared" si="39"/>
        <v>4</v>
      </c>
      <c r="AB304" s="18"/>
      <c r="AC304" s="18" t="str">
        <f>IF($AB304="","",IF($AB304&gt;$AA304,"PASS",IF($AB304&lt;=$AA304*(1-'Parametri Modello'!$B$68),"BID","ATTENZIONE")))</f>
        <v/>
      </c>
      <c r="AD304" s="28">
        <f t="shared" si="40"/>
        <v>59</v>
      </c>
      <c r="AE304" s="5" t="str">
        <f>IFERROR(INDEX('Stato Asta'!$G$9:$G$12,MATCH($B304,'Stato Asta'!$A$9:$A$12,0)),"")</f>
        <v>🔴 Non aspettare</v>
      </c>
      <c r="AF304" t="str">
        <f>IFERROR(IF($V304&lt;=INDEX('Parametri Modello'!$C$57:$C$60,MATCH($B304,'Parametri Modello'!$A$57:$A$60,0)),"Titolare","Riserva"),"")</f>
        <v>Riserva</v>
      </c>
      <c r="AG304" t="str">
        <f>IFERROR(INDEX('Pressione Competitiva'!$F$3:$F$6,MATCH($B304,'Pressione Competitiva'!$B$3:$B$6,0)),"")</f>
        <v>🔴 Molto Alta</v>
      </c>
      <c r="AH304" t="str">
        <f t="shared" si="41"/>
        <v/>
      </c>
      <c r="AI304" t="str">
        <f>IFERROR(IF($AH304="","",IF($AH304&gt;=$AA304*'Parametri Modello'!$B$68,"🟢 Opportunita'",IF($AH304&lt;=$AA304*'Parametri Modello'!$B$69,"🔴 Sovrapprezzo","🟡 Prezzo Corretto"))),"")</f>
        <v/>
      </c>
      <c r="AJ304" t="str">
        <f t="shared" si="42"/>
        <v/>
      </c>
      <c r="AK304">
        <f t="shared" si="43"/>
        <v>1</v>
      </c>
      <c r="AL304" t="str">
        <f t="shared" si="44"/>
        <v>P|Nella Media|1</v>
      </c>
    </row>
    <row r="305" spans="1:38" ht="14.25" customHeight="1" x14ac:dyDescent="0.25">
      <c r="A305" s="18">
        <v>7014</v>
      </c>
      <c r="B305" s="18" t="s">
        <v>16</v>
      </c>
      <c r="C305" s="18" t="s">
        <v>444</v>
      </c>
      <c r="E305" s="23" t="str">
        <f>IF(COUNTIF('Info Strategia'!$D$2:$D$51,$C305)&gt;0,"SI","NO")</f>
        <v>NO</v>
      </c>
      <c r="F305" s="24">
        <f>IFERROR(ROUND(($G305+($H305-$G305)*'Info Strategia'!$B$6)*(1+IF($E305="SI",'Parametri Modello'!$B$7*'Info Strategia'!$B$6,0)),0),"")</f>
        <v>2</v>
      </c>
      <c r="G305" s="24">
        <f>IFERROR(ROUND(MAX(1,(IF($V305&lt;=INDEX('Parametri Modello'!$C$57:$C$60,MATCH($B305,'Parametri Modello'!$A$57:$A$60,0)),IF(INDEX('Parametri Modello'!$E$57:$E$60,MATCH($B305,'Parametri Modello'!$A$57:$A$60,0))=0,0,($O305/INDEX('Parametri Modello'!$E$57:$E$60,MATCH($B305,'Parametri Modello'!$A$57:$A$60,0)))*(INDEX('Parametri Modello'!$D$57:$D$60,MATCH($B305,'Parametri Modello'!$A$57:$A$60,0))*(INDEX('Parametri Modello'!$B$50:$B$53,MATCH($B305,'Parametri Modello'!$A$50:$A$53,0))*'Parametri Modello'!$B$44))),IF(INDEX('Parametri Modello'!$F$57:$F$60,MATCH($B305,'Parametri Modello'!$A$57:$A$60,0))=0,0,($O305/INDEX('Parametri Modello'!$F$57:$F$60,MATCH($B305,'Parametri Modello'!$A$57:$A$60,0)))*((1-INDEX('Parametri Modello'!$D$57:$D$60,MATCH($B305,'Parametri Modello'!$A$57:$A$60,0)))*(INDEX('Parametri Modello'!$B$50:$B$53,MATCH($B305,'Parametri Modello'!$A$50:$A$53,0))*'Parametri Modello'!$B$44))))*(1+IF(IF($B305="D",'Info Lega'!$B$25,IF($B305="C",'Info Lega'!$B$26,"No"))="Si",'Parametri Modello'!$B$5,0))*(1+MAX(-0.25,MIN(0.25,IF(OR($T305="",$I305="",$I305=0,INDEX('Parametri Modello'!$B$19:$B$22,MATCH($B305,'Parametri Modello'!$A$19:$A$22,0))="",INDEX('Parametri Modello'!$B$19:$B$22,MATCH($B305,'Parametri Modello'!$A$19:$A$22,0))=0),0,(($T305-INDEX('Parametri Modello'!$B$19:$B$22,MATCH($B305,'Parametri Modello'!$A$19:$A$22,0)))/INDEX('Parametri Modello'!$B$19:$B$22,MATCH($B305,'Parametri Modello'!$A$19:$A$22,0)))*'Parametri Modello'!$B$9))))*(1+IF('Parametri Modello'!$B$27="Si",MAX(-'Parametri Modello'!$B$28,MIN('Parametri Modello'!$B$28*1.5,IF(OR(INDEX('Parametri Modello'!$F$32:$F$35,MATCH($B305,'Parametri Modello'!$A$32:$A$35,0))="",INDEX('Parametri Modello'!$F$32:$F$35,MATCH($B305,'Parametri Modello'!$A$32:$A$35,0))=0),0,(1/INDEX('Parametri Modello'!$F$32:$F$35,MATCH($B305,'Parametri Modello'!$A$32:$A$35,0))-1)*'Parametri Modello'!$B$28))),0)))*(1-INDEX('Parametri Modello'!$B$12:$B$15,MATCH($B305,'Parametri Modello'!$A$12:$A$15,0)))),0),"")</f>
        <v>1</v>
      </c>
      <c r="H305" s="24">
        <f>IFERROR(ROUND((IF($V305&lt;=INDEX('Parametri Modello'!$C$57:$C$60,MATCH($B305,'Parametri Modello'!$A$57:$A$60,0)),IF(INDEX('Parametri Modello'!$E$57:$E$60,MATCH($B305,'Parametri Modello'!$A$57:$A$60,0))=0,0,($O305/INDEX('Parametri Modello'!$E$57:$E$60,MATCH($B305,'Parametri Modello'!$A$57:$A$60,0)))*(INDEX('Parametri Modello'!$D$57:$D$60,MATCH($B305,'Parametri Modello'!$A$57:$A$60,0))*(INDEX('Parametri Modello'!$B$50:$B$53,MATCH($B305,'Parametri Modello'!$A$50:$A$53,0))*'Parametri Modello'!$B$44))),IF(INDEX('Parametri Modello'!$F$57:$F$60,MATCH($B305,'Parametri Modello'!$A$57:$A$60,0))=0,0,($O305/INDEX('Parametri Modello'!$F$57:$F$60,MATCH($B305,'Parametri Modello'!$A$57:$A$60,0)))*((1-INDEX('Parametri Modello'!$D$57:$D$60,MATCH($B305,'Parametri Modello'!$A$57:$A$60,0)))*(INDEX('Parametri Modello'!$B$50:$B$53,MATCH($B305,'Parametri Modello'!$A$50:$A$53,0))*'Parametri Modello'!$B$44))))*(1+IF(IF($B305="D",'Info Lega'!$B$25,IF($B305="C",'Info Lega'!$B$26,"No"))="Si",'Parametri Modello'!$B$5,0))*(1+MAX(-0.25,MIN(0.25,IF(OR($T305="",$I305="",$I305=0,INDEX('Parametri Modello'!$B$19:$B$22,MATCH($B305,'Parametri Modello'!$A$19:$A$22,0))="",INDEX('Parametri Modello'!$B$19:$B$22,MATCH($B305,'Parametri Modello'!$A$19:$A$22,0))=0),0,(($T305-INDEX('Parametri Modello'!$B$19:$B$22,MATCH($B305,'Parametri Modello'!$A$19:$A$22,0)))/INDEX('Parametri Modello'!$B$19:$B$22,MATCH($B305,'Parametri Modello'!$A$19:$A$22,0)))*'Parametri Modello'!$B$9))))*(1+IF('Parametri Modello'!$B$27="Si",MAX(-'Parametri Modello'!$B$28,MIN('Parametri Modello'!$B$28*1.5,IF(OR(INDEX('Parametri Modello'!$F$32:$F$35,MATCH($B305,'Parametri Modello'!$A$32:$A$35,0))="",INDEX('Parametri Modello'!$F$32:$F$35,MATCH($B305,'Parametri Modello'!$A$32:$A$35,0))=0),0,(1/INDEX('Parametri Modello'!$F$32:$F$35,MATCH($B305,'Parametri Modello'!$A$32:$A$35,0))-1)*'Parametri Modello'!$B$28))),0)))*(1+INDEX('Parametri Modello'!$B$12:$B$15,MATCH($B305,'Parametri Modello'!$A$12:$A$15,0))),0),"")</f>
        <v>2</v>
      </c>
      <c r="I305" s="23">
        <f>IFERROR(INDEX('Input Statistiche 2025_26'!$F$3:$F$665,MATCH($A305,'Input Statistiche 2025_26'!$A$3:$A$665,0)),"")</f>
        <v>25</v>
      </c>
      <c r="J305" s="23">
        <f t="shared" si="36"/>
        <v>13</v>
      </c>
      <c r="K305" s="23">
        <f>IFERROR(INDEX('Input Statistiche 2025_26'!$I$3:$I$665,MATCH($A305,'Input Statistiche 2025_26'!$A$3:$A$665,0)),"")</f>
        <v>0</v>
      </c>
      <c r="L305" s="23">
        <f>IFERROR(INDEX('Input Statistiche 2025_26'!$O$3:$O$665,MATCH($A305,'Input Statistiche 2025_26'!$A$3:$A$665,0)),"")</f>
        <v>1</v>
      </c>
      <c r="M305" s="25"/>
      <c r="N305" s="24">
        <f>IFERROR(INDEX('Input Giocatori 2026_27'!$E$3:$E$493,MATCH($A305,'Input Giocatori 2026_27'!$A$3:$A$493,0)),"")</f>
        <v>4</v>
      </c>
      <c r="O305" s="24">
        <f>IFERROR(INDEX('Input Giocatori 2026_27'!$G$3:$G$493,MATCH($A305,'Input Giocatori 2026_27'!$A$3:$A$493,0)),"")</f>
        <v>10</v>
      </c>
      <c r="P305" s="23" t="str">
        <f>IFERROR(IF($O305="","",IF((1-(COUNTIFS($B$2:$B$492,$B305,$O$2:$O$492,"&gt;"&amp;$O305)+1-1)/COUNTIF($B$2:$B$492,$B305))&gt;='Parametri Modello'!$B$63,"Top",IF((1-(COUNTIFS($B$2:$B$492,$B305,$O$2:$O$492,"&gt;"&amp;$O305)+1-1)/COUNTIF($B$2:$B$492,$B305))&gt;='Parametri Modello'!$B$64,"Buono",IF((1-(COUNTIFS($B$2:$B$492,$B305,$O$2:$O$492,"&gt;"&amp;$O305)+1-1)/COUNTIF($B$2:$B$492,$B305))&gt;='Parametri Modello'!$B$65,"Nella Media","Scommessa/Riserva")))),"")</f>
        <v>Nella Media</v>
      </c>
      <c r="Q305" s="26">
        <f>IF(AND($D305="",$N305&gt;1),SUMPRODUCT(($D$2:$D305="")*($N$2:$N305&gt;1)),"")</f>
        <v>304</v>
      </c>
      <c r="R305" s="26" t="str">
        <f>IF($D305='Info Lega'!$B$28,COUNTIFS($D$2:$D305,'Info Lega'!$B$28),"")</f>
        <v/>
      </c>
      <c r="S305" s="27">
        <f>IFERROR(INDEX('Input Statistiche 2025_26'!$G$3:$G$665,MATCH($A305,'Input Statistiche 2025_26'!$A$3:$A$665,0)),"")</f>
        <v>5.96</v>
      </c>
      <c r="T305" s="27">
        <f>IFERROR(INDEX('Input Statistiche 2025_26'!$H$3:$H$665,MATCH($A305,'Input Statistiche 2025_26'!$A$3:$A$665,0)),"")</f>
        <v>5.84</v>
      </c>
      <c r="U305" s="23" t="str">
        <f>IF(OR('La Mia Rosa'!$O$12="",$D305&lt;&gt;""),"",IF($F305&lt;='La Mia Rosa'!$O$12*'Parametri Modello'!$B$24,"OK",IF($F305&lt;='La Mia Rosa'!$O$12*'Parametri Modello'!$B$25,"Attenzione","Rischio Alto")))</f>
        <v>OK</v>
      </c>
      <c r="V305" s="23">
        <f t="shared" si="37"/>
        <v>99</v>
      </c>
      <c r="W305" s="18">
        <f>'Info Lega'!$B$4-SUMIFS($M$2:$M$492,$D$2:$D$492,'Info Lega'!$B$28)</f>
        <v>1000</v>
      </c>
      <c r="X305" s="18">
        <f>('Info Lega'!$B$5-COUNTIFS($D$2:$D$492,'Info Lega'!$B$28,$B$2:$B$492,"P"))+('Info Lega'!$B$6-COUNTIFS($D$2:$D$492,'Info Lega'!$B$28,$B$2:$B$492,"D"))+('Info Lega'!$B$7-COUNTIFS($D$2:$D$492,'Info Lega'!$B$28,$B$2:$B$492,"C"))+('Info Lega'!$B$8-COUNTIFS($D$2:$D$492,'Info Lega'!$B$28,$B$2:$B$492,"A"))</f>
        <v>25</v>
      </c>
      <c r="Y305" s="18">
        <f>X305*'Parametri Modello'!$B$30</f>
        <v>25</v>
      </c>
      <c r="Z305" s="18">
        <f t="shared" si="38"/>
        <v>975</v>
      </c>
      <c r="AA305" s="18">
        <f t="shared" si="39"/>
        <v>2</v>
      </c>
      <c r="AB305" s="18"/>
      <c r="AC305" s="18" t="str">
        <f>IF($AB305="","",IF($AB305&gt;$AA305,"PASS",IF($AB305&lt;=$AA305*(1-'Parametri Modello'!$B$68),"BID","ATTENZIONE")))</f>
        <v/>
      </c>
      <c r="AD305" s="28">
        <f t="shared" si="40"/>
        <v>57</v>
      </c>
      <c r="AE305" s="5" t="str">
        <f>IFERROR(INDEX('Stato Asta'!$G$9:$G$12,MATCH($B305,'Stato Asta'!$A$9:$A$12,0)),"")</f>
        <v>🔴 Non aspettare</v>
      </c>
      <c r="AF305" t="str">
        <f>IFERROR(IF($V305&lt;=INDEX('Parametri Modello'!$C$57:$C$60,MATCH($B305,'Parametri Modello'!$A$57:$A$60,0)),"Titolare","Riserva"),"")</f>
        <v>Riserva</v>
      </c>
      <c r="AG305" t="str">
        <f>IFERROR(INDEX('Pressione Competitiva'!$F$3:$F$6,MATCH($B305,'Pressione Competitiva'!$B$3:$B$6,0)),"")</f>
        <v>🔴 Molto Alta</v>
      </c>
      <c r="AH305" t="str">
        <f t="shared" si="41"/>
        <v/>
      </c>
      <c r="AI305" t="str">
        <f>IFERROR(IF($AH305="","",IF($AH305&gt;=$AA305*'Parametri Modello'!$B$68,"🟢 Opportunita'",IF($AH305&lt;=$AA305*'Parametri Modello'!$B$69,"🔴 Sovrapprezzo","🟡 Prezzo Corretto"))),"")</f>
        <v/>
      </c>
      <c r="AJ305" t="str">
        <f t="shared" si="42"/>
        <v/>
      </c>
      <c r="AK305">
        <f t="shared" si="43"/>
        <v>44</v>
      </c>
      <c r="AL305" t="str">
        <f t="shared" si="44"/>
        <v>D|Nella Media|44</v>
      </c>
    </row>
    <row r="306" spans="1:38" ht="14.25" customHeight="1" x14ac:dyDescent="0.25">
      <c r="A306" s="18">
        <v>7467</v>
      </c>
      <c r="B306" s="18" t="s">
        <v>16</v>
      </c>
      <c r="C306" s="18" t="s">
        <v>445</v>
      </c>
      <c r="E306" s="23" t="str">
        <f>IF(COUNTIF('Info Strategia'!$D$2:$D$51,$C306)&gt;0,"SI","NO")</f>
        <v>NO</v>
      </c>
      <c r="F306" s="24">
        <f>IFERROR(ROUND(($G306+($H306-$G306)*'Info Strategia'!$B$6)*(1+IF($E306="SI",'Parametri Modello'!$B$7*'Info Strategia'!$B$6,0)),0),"")</f>
        <v>2</v>
      </c>
      <c r="G306" s="24">
        <f>IFERROR(ROUND(MAX(1,(IF($V306&lt;=INDEX('Parametri Modello'!$C$57:$C$60,MATCH($B306,'Parametri Modello'!$A$57:$A$60,0)),IF(INDEX('Parametri Modello'!$E$57:$E$60,MATCH($B306,'Parametri Modello'!$A$57:$A$60,0))=0,0,($O306/INDEX('Parametri Modello'!$E$57:$E$60,MATCH($B306,'Parametri Modello'!$A$57:$A$60,0)))*(INDEX('Parametri Modello'!$D$57:$D$60,MATCH($B306,'Parametri Modello'!$A$57:$A$60,0))*(INDEX('Parametri Modello'!$B$50:$B$53,MATCH($B306,'Parametri Modello'!$A$50:$A$53,0))*'Parametri Modello'!$B$44))),IF(INDEX('Parametri Modello'!$F$57:$F$60,MATCH($B306,'Parametri Modello'!$A$57:$A$60,0))=0,0,($O306/INDEX('Parametri Modello'!$F$57:$F$60,MATCH($B306,'Parametri Modello'!$A$57:$A$60,0)))*((1-INDEX('Parametri Modello'!$D$57:$D$60,MATCH($B306,'Parametri Modello'!$A$57:$A$60,0)))*(INDEX('Parametri Modello'!$B$50:$B$53,MATCH($B306,'Parametri Modello'!$A$50:$A$53,0))*'Parametri Modello'!$B$44))))*(1+IF(IF($B306="D",'Info Lega'!$B$25,IF($B306="C",'Info Lega'!$B$26,"No"))="Si",'Parametri Modello'!$B$5,0))*(1+MAX(-0.25,MIN(0.25,IF(OR($T306="",$I306="",$I306=0,INDEX('Parametri Modello'!$B$19:$B$22,MATCH($B306,'Parametri Modello'!$A$19:$A$22,0))="",INDEX('Parametri Modello'!$B$19:$B$22,MATCH($B306,'Parametri Modello'!$A$19:$A$22,0))=0),0,(($T306-INDEX('Parametri Modello'!$B$19:$B$22,MATCH($B306,'Parametri Modello'!$A$19:$A$22,0)))/INDEX('Parametri Modello'!$B$19:$B$22,MATCH($B306,'Parametri Modello'!$A$19:$A$22,0)))*'Parametri Modello'!$B$9))))*(1+IF('Parametri Modello'!$B$27="Si",MAX(-'Parametri Modello'!$B$28,MIN('Parametri Modello'!$B$28*1.5,IF(OR(INDEX('Parametri Modello'!$F$32:$F$35,MATCH($B306,'Parametri Modello'!$A$32:$A$35,0))="",INDEX('Parametri Modello'!$F$32:$F$35,MATCH($B306,'Parametri Modello'!$A$32:$A$35,0))=0),0,(1/INDEX('Parametri Modello'!$F$32:$F$35,MATCH($B306,'Parametri Modello'!$A$32:$A$35,0))-1)*'Parametri Modello'!$B$28))),0)))*(1-INDEX('Parametri Modello'!$B$12:$B$15,MATCH($B306,'Parametri Modello'!$A$12:$A$15,0)))),0),"")</f>
        <v>1</v>
      </c>
      <c r="H306" s="24">
        <f>IFERROR(ROUND((IF($V306&lt;=INDEX('Parametri Modello'!$C$57:$C$60,MATCH($B306,'Parametri Modello'!$A$57:$A$60,0)),IF(INDEX('Parametri Modello'!$E$57:$E$60,MATCH($B306,'Parametri Modello'!$A$57:$A$60,0))=0,0,($O306/INDEX('Parametri Modello'!$E$57:$E$60,MATCH($B306,'Parametri Modello'!$A$57:$A$60,0)))*(INDEX('Parametri Modello'!$D$57:$D$60,MATCH($B306,'Parametri Modello'!$A$57:$A$60,0))*(INDEX('Parametri Modello'!$B$50:$B$53,MATCH($B306,'Parametri Modello'!$A$50:$A$53,0))*'Parametri Modello'!$B$44))),IF(INDEX('Parametri Modello'!$F$57:$F$60,MATCH($B306,'Parametri Modello'!$A$57:$A$60,0))=0,0,($O306/INDEX('Parametri Modello'!$F$57:$F$60,MATCH($B306,'Parametri Modello'!$A$57:$A$60,0)))*((1-INDEX('Parametri Modello'!$D$57:$D$60,MATCH($B306,'Parametri Modello'!$A$57:$A$60,0)))*(INDEX('Parametri Modello'!$B$50:$B$53,MATCH($B306,'Parametri Modello'!$A$50:$A$53,0))*'Parametri Modello'!$B$44))))*(1+IF(IF($B306="D",'Info Lega'!$B$25,IF($B306="C",'Info Lega'!$B$26,"No"))="Si",'Parametri Modello'!$B$5,0))*(1+MAX(-0.25,MIN(0.25,IF(OR($T306="",$I306="",$I306=0,INDEX('Parametri Modello'!$B$19:$B$22,MATCH($B306,'Parametri Modello'!$A$19:$A$22,0))="",INDEX('Parametri Modello'!$B$19:$B$22,MATCH($B306,'Parametri Modello'!$A$19:$A$22,0))=0),0,(($T306-INDEX('Parametri Modello'!$B$19:$B$22,MATCH($B306,'Parametri Modello'!$A$19:$A$22,0)))/INDEX('Parametri Modello'!$B$19:$B$22,MATCH($B306,'Parametri Modello'!$A$19:$A$22,0)))*'Parametri Modello'!$B$9))))*(1+IF('Parametri Modello'!$B$27="Si",MAX(-'Parametri Modello'!$B$28,MIN('Parametri Modello'!$B$28*1.5,IF(OR(INDEX('Parametri Modello'!$F$32:$F$35,MATCH($B306,'Parametri Modello'!$A$32:$A$35,0))="",INDEX('Parametri Modello'!$F$32:$F$35,MATCH($B306,'Parametri Modello'!$A$32:$A$35,0))=0),0,(1/INDEX('Parametri Modello'!$F$32:$F$35,MATCH($B306,'Parametri Modello'!$A$32:$A$35,0))-1)*'Parametri Modello'!$B$28))),0)))*(1+INDEX('Parametri Modello'!$B$12:$B$15,MATCH($B306,'Parametri Modello'!$A$12:$A$15,0))),0),"")</f>
        <v>2</v>
      </c>
      <c r="I306" s="23" t="str">
        <f>IFERROR(INDEX('Input Statistiche 2025_26'!$F$3:$F$665,MATCH($A306,'Input Statistiche 2025_26'!$A$3:$A$665,0)),"")</f>
        <v/>
      </c>
      <c r="J306" s="23" t="str">
        <f t="shared" si="36"/>
        <v/>
      </c>
      <c r="K306" s="23" t="str">
        <f>IFERROR(INDEX('Input Statistiche 2025_26'!$I$3:$I$665,MATCH($A306,'Input Statistiche 2025_26'!$A$3:$A$665,0)),"")</f>
        <v/>
      </c>
      <c r="L306" s="23" t="str">
        <f>IFERROR(INDEX('Input Statistiche 2025_26'!$O$3:$O$665,MATCH($A306,'Input Statistiche 2025_26'!$A$3:$A$665,0)),"")</f>
        <v/>
      </c>
      <c r="M306" s="25"/>
      <c r="N306" s="24">
        <f>IFERROR(INDEX('Input Giocatori 2026_27'!$E$3:$E$493,MATCH($A306,'Input Giocatori 2026_27'!$A$3:$A$493,0)),"")</f>
        <v>4</v>
      </c>
      <c r="O306" s="24">
        <f>IFERROR(INDEX('Input Giocatori 2026_27'!$G$3:$G$493,MATCH($A306,'Input Giocatori 2026_27'!$A$3:$A$493,0)),"")</f>
        <v>10</v>
      </c>
      <c r="P306" s="23" t="str">
        <f>IFERROR(IF($O306="","",IF((1-(COUNTIFS($B$2:$B$492,$B306,$O$2:$O$492,"&gt;"&amp;$O306)+1-1)/COUNTIF($B$2:$B$492,$B306))&gt;='Parametri Modello'!$B$63,"Top",IF((1-(COUNTIFS($B$2:$B$492,$B306,$O$2:$O$492,"&gt;"&amp;$O306)+1-1)/COUNTIF($B$2:$B$492,$B306))&gt;='Parametri Modello'!$B$64,"Buono",IF((1-(COUNTIFS($B$2:$B$492,$B306,$O$2:$O$492,"&gt;"&amp;$O306)+1-1)/COUNTIF($B$2:$B$492,$B306))&gt;='Parametri Modello'!$B$65,"Nella Media","Scommessa/Riserva")))),"")</f>
        <v>Nella Media</v>
      </c>
      <c r="Q306" s="26">
        <f>IF(AND($D306="",$N306&gt;1),SUMPRODUCT(($D$2:$D306="")*($N$2:$N306&gt;1)),"")</f>
        <v>305</v>
      </c>
      <c r="R306" s="26" t="str">
        <f>IF($D306='Info Lega'!$B$28,COUNTIFS($D$2:$D306,'Info Lega'!$B$28),"")</f>
        <v/>
      </c>
      <c r="S306" s="27" t="str">
        <f>IFERROR(INDEX('Input Statistiche 2025_26'!$G$3:$G$665,MATCH($A306,'Input Statistiche 2025_26'!$A$3:$A$665,0)),"")</f>
        <v/>
      </c>
      <c r="T306" s="27" t="str">
        <f>IFERROR(INDEX('Input Statistiche 2025_26'!$H$3:$H$665,MATCH($A306,'Input Statistiche 2025_26'!$A$3:$A$665,0)),"")</f>
        <v/>
      </c>
      <c r="U306" s="23" t="str">
        <f>IF(OR('La Mia Rosa'!$O$12="",$D306&lt;&gt;""),"",IF($F306&lt;='La Mia Rosa'!$O$12*'Parametri Modello'!$B$24,"OK",IF($F306&lt;='La Mia Rosa'!$O$12*'Parametri Modello'!$B$25,"Attenzione","Rischio Alto")))</f>
        <v>OK</v>
      </c>
      <c r="V306" s="23">
        <f t="shared" si="37"/>
        <v>99</v>
      </c>
      <c r="W306" s="18">
        <f>'Info Lega'!$B$4-SUMIFS($M$2:$M$492,$D$2:$D$492,'Info Lega'!$B$28)</f>
        <v>1000</v>
      </c>
      <c r="X306" s="18">
        <f>('Info Lega'!$B$5-COUNTIFS($D$2:$D$492,'Info Lega'!$B$28,$B$2:$B$492,"P"))+('Info Lega'!$B$6-COUNTIFS($D$2:$D$492,'Info Lega'!$B$28,$B$2:$B$492,"D"))+('Info Lega'!$B$7-COUNTIFS($D$2:$D$492,'Info Lega'!$B$28,$B$2:$B$492,"C"))+('Info Lega'!$B$8-COUNTIFS($D$2:$D$492,'Info Lega'!$B$28,$B$2:$B$492,"A"))</f>
        <v>25</v>
      </c>
      <c r="Y306" s="18">
        <f>X306*'Parametri Modello'!$B$30</f>
        <v>25</v>
      </c>
      <c r="Z306" s="18">
        <f t="shared" si="38"/>
        <v>975</v>
      </c>
      <c r="AA306" s="18">
        <f t="shared" si="39"/>
        <v>2</v>
      </c>
      <c r="AB306" s="18"/>
      <c r="AC306" s="18" t="str">
        <f>IF($AB306="","",IF($AB306&gt;$AA306,"PASS",IF($AB306&lt;=$AA306*(1-'Parametri Modello'!$B$68),"BID","ATTENZIONE")))</f>
        <v/>
      </c>
      <c r="AD306" s="28" t="str">
        <f t="shared" si="40"/>
        <v/>
      </c>
      <c r="AE306" s="5" t="str">
        <f>IFERROR(INDEX('Stato Asta'!$G$9:$G$12,MATCH($B306,'Stato Asta'!$A$9:$A$12,0)),"")</f>
        <v>🔴 Non aspettare</v>
      </c>
      <c r="AF306" t="str">
        <f>IFERROR(IF($V306&lt;=INDEX('Parametri Modello'!$C$57:$C$60,MATCH($B306,'Parametri Modello'!$A$57:$A$60,0)),"Titolare","Riserva"),"")</f>
        <v>Riserva</v>
      </c>
      <c r="AG306" t="str">
        <f>IFERROR(INDEX('Pressione Competitiva'!$F$3:$F$6,MATCH($B306,'Pressione Competitiva'!$B$3:$B$6,0)),"")</f>
        <v>🔴 Molto Alta</v>
      </c>
      <c r="AH306" t="str">
        <f t="shared" si="41"/>
        <v/>
      </c>
      <c r="AI306" t="str">
        <f>IFERROR(IF($AH306="","",IF($AH306&gt;=$AA306*'Parametri Modello'!$B$68,"🟢 Opportunita'",IF($AH306&lt;=$AA306*'Parametri Modello'!$B$69,"🔴 Sovrapprezzo","🟡 Prezzo Corretto"))),"")</f>
        <v/>
      </c>
      <c r="AJ306" t="str">
        <f t="shared" si="42"/>
        <v/>
      </c>
      <c r="AK306">
        <f t="shared" si="43"/>
        <v>44</v>
      </c>
      <c r="AL306" t="str">
        <f t="shared" si="44"/>
        <v>D|Nella Media|44</v>
      </c>
    </row>
    <row r="307" spans="1:38" ht="14.25" customHeight="1" x14ac:dyDescent="0.25">
      <c r="A307" s="18">
        <v>5831</v>
      </c>
      <c r="B307" s="18" t="s">
        <v>16</v>
      </c>
      <c r="C307" s="18" t="s">
        <v>446</v>
      </c>
      <c r="E307" s="23" t="str">
        <f>IF(COUNTIF('Info Strategia'!$D$2:$D$51,$C307)&gt;0,"SI","NO")</f>
        <v>NO</v>
      </c>
      <c r="F307" s="24">
        <f>IFERROR(ROUND(($G307+($H307-$G307)*'Info Strategia'!$B$6)*(1+IF($E307="SI",'Parametri Modello'!$B$7*'Info Strategia'!$B$6,0)),0),"")</f>
        <v>2</v>
      </c>
      <c r="G307" s="24">
        <f>IFERROR(ROUND(MAX(1,(IF($V307&lt;=INDEX('Parametri Modello'!$C$57:$C$60,MATCH($B307,'Parametri Modello'!$A$57:$A$60,0)),IF(INDEX('Parametri Modello'!$E$57:$E$60,MATCH($B307,'Parametri Modello'!$A$57:$A$60,0))=0,0,($O307/INDEX('Parametri Modello'!$E$57:$E$60,MATCH($B307,'Parametri Modello'!$A$57:$A$60,0)))*(INDEX('Parametri Modello'!$D$57:$D$60,MATCH($B307,'Parametri Modello'!$A$57:$A$60,0))*(INDEX('Parametri Modello'!$B$50:$B$53,MATCH($B307,'Parametri Modello'!$A$50:$A$53,0))*'Parametri Modello'!$B$44))),IF(INDEX('Parametri Modello'!$F$57:$F$60,MATCH($B307,'Parametri Modello'!$A$57:$A$60,0))=0,0,($O307/INDEX('Parametri Modello'!$F$57:$F$60,MATCH($B307,'Parametri Modello'!$A$57:$A$60,0)))*((1-INDEX('Parametri Modello'!$D$57:$D$60,MATCH($B307,'Parametri Modello'!$A$57:$A$60,0)))*(INDEX('Parametri Modello'!$B$50:$B$53,MATCH($B307,'Parametri Modello'!$A$50:$A$53,0))*'Parametri Modello'!$B$44))))*(1+IF(IF($B307="D",'Info Lega'!$B$25,IF($B307="C",'Info Lega'!$B$26,"No"))="Si",'Parametri Modello'!$B$5,0))*(1+MAX(-0.25,MIN(0.25,IF(OR($T307="",$I307="",$I307=0,INDEX('Parametri Modello'!$B$19:$B$22,MATCH($B307,'Parametri Modello'!$A$19:$A$22,0))="",INDEX('Parametri Modello'!$B$19:$B$22,MATCH($B307,'Parametri Modello'!$A$19:$A$22,0))=0),0,(($T307-INDEX('Parametri Modello'!$B$19:$B$22,MATCH($B307,'Parametri Modello'!$A$19:$A$22,0)))/INDEX('Parametri Modello'!$B$19:$B$22,MATCH($B307,'Parametri Modello'!$A$19:$A$22,0)))*'Parametri Modello'!$B$9))))*(1+IF('Parametri Modello'!$B$27="Si",MAX(-'Parametri Modello'!$B$28,MIN('Parametri Modello'!$B$28*1.5,IF(OR(INDEX('Parametri Modello'!$F$32:$F$35,MATCH($B307,'Parametri Modello'!$A$32:$A$35,0))="",INDEX('Parametri Modello'!$F$32:$F$35,MATCH($B307,'Parametri Modello'!$A$32:$A$35,0))=0),0,(1/INDEX('Parametri Modello'!$F$32:$F$35,MATCH($B307,'Parametri Modello'!$A$32:$A$35,0))-1)*'Parametri Modello'!$B$28))),0)))*(1-INDEX('Parametri Modello'!$B$12:$B$15,MATCH($B307,'Parametri Modello'!$A$12:$A$15,0)))),0),"")</f>
        <v>1</v>
      </c>
      <c r="H307" s="24">
        <f>IFERROR(ROUND((IF($V307&lt;=INDEX('Parametri Modello'!$C$57:$C$60,MATCH($B307,'Parametri Modello'!$A$57:$A$60,0)),IF(INDEX('Parametri Modello'!$E$57:$E$60,MATCH($B307,'Parametri Modello'!$A$57:$A$60,0))=0,0,($O307/INDEX('Parametri Modello'!$E$57:$E$60,MATCH($B307,'Parametri Modello'!$A$57:$A$60,0)))*(INDEX('Parametri Modello'!$D$57:$D$60,MATCH($B307,'Parametri Modello'!$A$57:$A$60,0))*(INDEX('Parametri Modello'!$B$50:$B$53,MATCH($B307,'Parametri Modello'!$A$50:$A$53,0))*'Parametri Modello'!$B$44))),IF(INDEX('Parametri Modello'!$F$57:$F$60,MATCH($B307,'Parametri Modello'!$A$57:$A$60,0))=0,0,($O307/INDEX('Parametri Modello'!$F$57:$F$60,MATCH($B307,'Parametri Modello'!$A$57:$A$60,0)))*((1-INDEX('Parametri Modello'!$D$57:$D$60,MATCH($B307,'Parametri Modello'!$A$57:$A$60,0)))*(INDEX('Parametri Modello'!$B$50:$B$53,MATCH($B307,'Parametri Modello'!$A$50:$A$53,0))*'Parametri Modello'!$B$44))))*(1+IF(IF($B307="D",'Info Lega'!$B$25,IF($B307="C",'Info Lega'!$B$26,"No"))="Si",'Parametri Modello'!$B$5,0))*(1+MAX(-0.25,MIN(0.25,IF(OR($T307="",$I307="",$I307=0,INDEX('Parametri Modello'!$B$19:$B$22,MATCH($B307,'Parametri Modello'!$A$19:$A$22,0))="",INDEX('Parametri Modello'!$B$19:$B$22,MATCH($B307,'Parametri Modello'!$A$19:$A$22,0))=0),0,(($T307-INDEX('Parametri Modello'!$B$19:$B$22,MATCH($B307,'Parametri Modello'!$A$19:$A$22,0)))/INDEX('Parametri Modello'!$B$19:$B$22,MATCH($B307,'Parametri Modello'!$A$19:$A$22,0)))*'Parametri Modello'!$B$9))))*(1+IF('Parametri Modello'!$B$27="Si",MAX(-'Parametri Modello'!$B$28,MIN('Parametri Modello'!$B$28*1.5,IF(OR(INDEX('Parametri Modello'!$F$32:$F$35,MATCH($B307,'Parametri Modello'!$A$32:$A$35,0))="",INDEX('Parametri Modello'!$F$32:$F$35,MATCH($B307,'Parametri Modello'!$A$32:$A$35,0))=0),0,(1/INDEX('Parametri Modello'!$F$32:$F$35,MATCH($B307,'Parametri Modello'!$A$32:$A$35,0))-1)*'Parametri Modello'!$B$28))),0)))*(1+INDEX('Parametri Modello'!$B$12:$B$15,MATCH($B307,'Parametri Modello'!$A$12:$A$15,0))),0),"")</f>
        <v>2</v>
      </c>
      <c r="I307" s="23">
        <f>IFERROR(INDEX('Input Statistiche 2025_26'!$F$3:$F$665,MATCH($A307,'Input Statistiche 2025_26'!$A$3:$A$665,0)),"")</f>
        <v>16</v>
      </c>
      <c r="J307" s="23">
        <f t="shared" si="36"/>
        <v>22</v>
      </c>
      <c r="K307" s="23">
        <f>IFERROR(INDEX('Input Statistiche 2025_26'!$I$3:$I$665,MATCH($A307,'Input Statistiche 2025_26'!$A$3:$A$665,0)),"")</f>
        <v>2</v>
      </c>
      <c r="L307" s="23">
        <f>IFERROR(INDEX('Input Statistiche 2025_26'!$O$3:$O$665,MATCH($A307,'Input Statistiche 2025_26'!$A$3:$A$665,0)),"")</f>
        <v>0</v>
      </c>
      <c r="M307" s="25"/>
      <c r="N307" s="24">
        <f>IFERROR(INDEX('Input Giocatori 2026_27'!$E$3:$E$493,MATCH($A307,'Input Giocatori 2026_27'!$A$3:$A$493,0)),"")</f>
        <v>4</v>
      </c>
      <c r="O307" s="24">
        <f>IFERROR(INDEX('Input Giocatori 2026_27'!$G$3:$G$493,MATCH($A307,'Input Giocatori 2026_27'!$A$3:$A$493,0)),"")</f>
        <v>10</v>
      </c>
      <c r="P307" s="23" t="str">
        <f>IFERROR(IF($O307="","",IF((1-(COUNTIFS($B$2:$B$492,$B307,$O$2:$O$492,"&gt;"&amp;$O307)+1-1)/COUNTIF($B$2:$B$492,$B307))&gt;='Parametri Modello'!$B$63,"Top",IF((1-(COUNTIFS($B$2:$B$492,$B307,$O$2:$O$492,"&gt;"&amp;$O307)+1-1)/COUNTIF($B$2:$B$492,$B307))&gt;='Parametri Modello'!$B$64,"Buono",IF((1-(COUNTIFS($B$2:$B$492,$B307,$O$2:$O$492,"&gt;"&amp;$O307)+1-1)/COUNTIF($B$2:$B$492,$B307))&gt;='Parametri Modello'!$B$65,"Nella Media","Scommessa/Riserva")))),"")</f>
        <v>Nella Media</v>
      </c>
      <c r="Q307" s="26">
        <f>IF(AND($D307="",$N307&gt;1),SUMPRODUCT(($D$2:$D307="")*($N$2:$N307&gt;1)),"")</f>
        <v>306</v>
      </c>
      <c r="R307" s="26" t="str">
        <f>IF($D307='Info Lega'!$B$28,COUNTIFS($D$2:$D307,'Info Lega'!$B$28),"")</f>
        <v/>
      </c>
      <c r="S307" s="27">
        <f>IFERROR(INDEX('Input Statistiche 2025_26'!$G$3:$G$665,MATCH($A307,'Input Statistiche 2025_26'!$A$3:$A$665,0)),"")</f>
        <v>5.94</v>
      </c>
      <c r="T307" s="27">
        <f>IFERROR(INDEX('Input Statistiche 2025_26'!$H$3:$H$665,MATCH($A307,'Input Statistiche 2025_26'!$A$3:$A$665,0)),"")</f>
        <v>6.22</v>
      </c>
      <c r="U307" s="23" t="str">
        <f>IF(OR('La Mia Rosa'!$O$12="",$D307&lt;&gt;""),"",IF($F307&lt;='La Mia Rosa'!$O$12*'Parametri Modello'!$B$24,"OK",IF($F307&lt;='La Mia Rosa'!$O$12*'Parametri Modello'!$B$25,"Attenzione","Rischio Alto")))</f>
        <v>OK</v>
      </c>
      <c r="V307" s="23">
        <f t="shared" si="37"/>
        <v>99</v>
      </c>
      <c r="W307" s="18">
        <f>'Info Lega'!$B$4-SUMIFS($M$2:$M$492,$D$2:$D$492,'Info Lega'!$B$28)</f>
        <v>1000</v>
      </c>
      <c r="X307" s="18">
        <f>('Info Lega'!$B$5-COUNTIFS($D$2:$D$492,'Info Lega'!$B$28,$B$2:$B$492,"P"))+('Info Lega'!$B$6-COUNTIFS($D$2:$D$492,'Info Lega'!$B$28,$B$2:$B$492,"D"))+('Info Lega'!$B$7-COUNTIFS($D$2:$D$492,'Info Lega'!$B$28,$B$2:$B$492,"C"))+('Info Lega'!$B$8-COUNTIFS($D$2:$D$492,'Info Lega'!$B$28,$B$2:$B$492,"A"))</f>
        <v>25</v>
      </c>
      <c r="Y307" s="18">
        <f>X307*'Parametri Modello'!$B$30</f>
        <v>25</v>
      </c>
      <c r="Z307" s="18">
        <f t="shared" si="38"/>
        <v>975</v>
      </c>
      <c r="AA307" s="18">
        <f t="shared" si="39"/>
        <v>2</v>
      </c>
      <c r="AB307" s="18"/>
      <c r="AC307" s="18" t="str">
        <f>IF($AB307="","",IF($AB307&gt;$AA307,"PASS",IF($AB307&lt;=$AA307*(1-'Parametri Modello'!$B$68),"BID","ATTENZIONE")))</f>
        <v/>
      </c>
      <c r="AD307" s="28">
        <f t="shared" si="40"/>
        <v>41</v>
      </c>
      <c r="AE307" s="5" t="str">
        <f>IFERROR(INDEX('Stato Asta'!$G$9:$G$12,MATCH($B307,'Stato Asta'!$A$9:$A$12,0)),"")</f>
        <v>🔴 Non aspettare</v>
      </c>
      <c r="AF307" t="str">
        <f>IFERROR(IF($V307&lt;=INDEX('Parametri Modello'!$C$57:$C$60,MATCH($B307,'Parametri Modello'!$A$57:$A$60,0)),"Titolare","Riserva"),"")</f>
        <v>Riserva</v>
      </c>
      <c r="AG307" t="str">
        <f>IFERROR(INDEX('Pressione Competitiva'!$F$3:$F$6,MATCH($B307,'Pressione Competitiva'!$B$3:$B$6,0)),"")</f>
        <v>🔴 Molto Alta</v>
      </c>
      <c r="AH307" t="str">
        <f t="shared" si="41"/>
        <v/>
      </c>
      <c r="AI307" t="str">
        <f>IFERROR(IF($AH307="","",IF($AH307&gt;=$AA307*'Parametri Modello'!$B$68,"🟢 Opportunita'",IF($AH307&lt;=$AA307*'Parametri Modello'!$B$69,"🔴 Sovrapprezzo","🟡 Prezzo Corretto"))),"")</f>
        <v/>
      </c>
      <c r="AJ307" t="str">
        <f t="shared" si="42"/>
        <v/>
      </c>
      <c r="AK307">
        <f t="shared" si="43"/>
        <v>44</v>
      </c>
      <c r="AL307" t="str">
        <f t="shared" si="44"/>
        <v>D|Nella Media|44</v>
      </c>
    </row>
    <row r="308" spans="1:38" ht="14.25" customHeight="1" x14ac:dyDescent="0.25">
      <c r="A308" s="18">
        <v>5307</v>
      </c>
      <c r="B308" s="18" t="s">
        <v>16</v>
      </c>
      <c r="C308" s="18" t="s">
        <v>447</v>
      </c>
      <c r="E308" s="23" t="str">
        <f>IF(COUNTIF('Info Strategia'!$D$2:$D$51,$C308)&gt;0,"SI","NO")</f>
        <v>NO</v>
      </c>
      <c r="F308" s="24">
        <f>IFERROR(ROUND(($G308+($H308-$G308)*'Info Strategia'!$B$6)*(1+IF($E308="SI",'Parametri Modello'!$B$7*'Info Strategia'!$B$6,0)),0),"")</f>
        <v>2</v>
      </c>
      <c r="G308" s="24">
        <f>IFERROR(ROUND(MAX(1,(IF($V308&lt;=INDEX('Parametri Modello'!$C$57:$C$60,MATCH($B308,'Parametri Modello'!$A$57:$A$60,0)),IF(INDEX('Parametri Modello'!$E$57:$E$60,MATCH($B308,'Parametri Modello'!$A$57:$A$60,0))=0,0,($O308/INDEX('Parametri Modello'!$E$57:$E$60,MATCH($B308,'Parametri Modello'!$A$57:$A$60,0)))*(INDEX('Parametri Modello'!$D$57:$D$60,MATCH($B308,'Parametri Modello'!$A$57:$A$60,0))*(INDEX('Parametri Modello'!$B$50:$B$53,MATCH($B308,'Parametri Modello'!$A$50:$A$53,0))*'Parametri Modello'!$B$44))),IF(INDEX('Parametri Modello'!$F$57:$F$60,MATCH($B308,'Parametri Modello'!$A$57:$A$60,0))=0,0,($O308/INDEX('Parametri Modello'!$F$57:$F$60,MATCH($B308,'Parametri Modello'!$A$57:$A$60,0)))*((1-INDEX('Parametri Modello'!$D$57:$D$60,MATCH($B308,'Parametri Modello'!$A$57:$A$60,0)))*(INDEX('Parametri Modello'!$B$50:$B$53,MATCH($B308,'Parametri Modello'!$A$50:$A$53,0))*'Parametri Modello'!$B$44))))*(1+IF(IF($B308="D",'Info Lega'!$B$25,IF($B308="C",'Info Lega'!$B$26,"No"))="Si",'Parametri Modello'!$B$5,0))*(1+MAX(-0.25,MIN(0.25,IF(OR($T308="",$I308="",$I308=0,INDEX('Parametri Modello'!$B$19:$B$22,MATCH($B308,'Parametri Modello'!$A$19:$A$22,0))="",INDEX('Parametri Modello'!$B$19:$B$22,MATCH($B308,'Parametri Modello'!$A$19:$A$22,0))=0),0,(($T308-INDEX('Parametri Modello'!$B$19:$B$22,MATCH($B308,'Parametri Modello'!$A$19:$A$22,0)))/INDEX('Parametri Modello'!$B$19:$B$22,MATCH($B308,'Parametri Modello'!$A$19:$A$22,0)))*'Parametri Modello'!$B$9))))*(1+IF('Parametri Modello'!$B$27="Si",MAX(-'Parametri Modello'!$B$28,MIN('Parametri Modello'!$B$28*1.5,IF(OR(INDEX('Parametri Modello'!$F$32:$F$35,MATCH($B308,'Parametri Modello'!$A$32:$A$35,0))="",INDEX('Parametri Modello'!$F$32:$F$35,MATCH($B308,'Parametri Modello'!$A$32:$A$35,0))=0),0,(1/INDEX('Parametri Modello'!$F$32:$F$35,MATCH($B308,'Parametri Modello'!$A$32:$A$35,0))-1)*'Parametri Modello'!$B$28))),0)))*(1-INDEX('Parametri Modello'!$B$12:$B$15,MATCH($B308,'Parametri Modello'!$A$12:$A$15,0)))),0),"")</f>
        <v>1</v>
      </c>
      <c r="H308" s="24">
        <f>IFERROR(ROUND((IF($V308&lt;=INDEX('Parametri Modello'!$C$57:$C$60,MATCH($B308,'Parametri Modello'!$A$57:$A$60,0)),IF(INDEX('Parametri Modello'!$E$57:$E$60,MATCH($B308,'Parametri Modello'!$A$57:$A$60,0))=0,0,($O308/INDEX('Parametri Modello'!$E$57:$E$60,MATCH($B308,'Parametri Modello'!$A$57:$A$60,0)))*(INDEX('Parametri Modello'!$D$57:$D$60,MATCH($B308,'Parametri Modello'!$A$57:$A$60,0))*(INDEX('Parametri Modello'!$B$50:$B$53,MATCH($B308,'Parametri Modello'!$A$50:$A$53,0))*'Parametri Modello'!$B$44))),IF(INDEX('Parametri Modello'!$F$57:$F$60,MATCH($B308,'Parametri Modello'!$A$57:$A$60,0))=0,0,($O308/INDEX('Parametri Modello'!$F$57:$F$60,MATCH($B308,'Parametri Modello'!$A$57:$A$60,0)))*((1-INDEX('Parametri Modello'!$D$57:$D$60,MATCH($B308,'Parametri Modello'!$A$57:$A$60,0)))*(INDEX('Parametri Modello'!$B$50:$B$53,MATCH($B308,'Parametri Modello'!$A$50:$A$53,0))*'Parametri Modello'!$B$44))))*(1+IF(IF($B308="D",'Info Lega'!$B$25,IF($B308="C",'Info Lega'!$B$26,"No"))="Si",'Parametri Modello'!$B$5,0))*(1+MAX(-0.25,MIN(0.25,IF(OR($T308="",$I308="",$I308=0,INDEX('Parametri Modello'!$B$19:$B$22,MATCH($B308,'Parametri Modello'!$A$19:$A$22,0))="",INDEX('Parametri Modello'!$B$19:$B$22,MATCH($B308,'Parametri Modello'!$A$19:$A$22,0))=0),0,(($T308-INDEX('Parametri Modello'!$B$19:$B$22,MATCH($B308,'Parametri Modello'!$A$19:$A$22,0)))/INDEX('Parametri Modello'!$B$19:$B$22,MATCH($B308,'Parametri Modello'!$A$19:$A$22,0)))*'Parametri Modello'!$B$9))))*(1+IF('Parametri Modello'!$B$27="Si",MAX(-'Parametri Modello'!$B$28,MIN('Parametri Modello'!$B$28*1.5,IF(OR(INDEX('Parametri Modello'!$F$32:$F$35,MATCH($B308,'Parametri Modello'!$A$32:$A$35,0))="",INDEX('Parametri Modello'!$F$32:$F$35,MATCH($B308,'Parametri Modello'!$A$32:$A$35,0))=0),0,(1/INDEX('Parametri Modello'!$F$32:$F$35,MATCH($B308,'Parametri Modello'!$A$32:$A$35,0))-1)*'Parametri Modello'!$B$28))),0)))*(1+INDEX('Parametri Modello'!$B$12:$B$15,MATCH($B308,'Parametri Modello'!$A$12:$A$15,0))),0),"")</f>
        <v>2</v>
      </c>
      <c r="I308" s="23">
        <f>IFERROR(INDEX('Input Statistiche 2025_26'!$F$3:$F$665,MATCH($A308,'Input Statistiche 2025_26'!$A$3:$A$665,0)),"")</f>
        <v>27</v>
      </c>
      <c r="J308" s="23">
        <f t="shared" si="36"/>
        <v>11</v>
      </c>
      <c r="K308" s="23">
        <f>IFERROR(INDEX('Input Statistiche 2025_26'!$I$3:$I$665,MATCH($A308,'Input Statistiche 2025_26'!$A$3:$A$665,0)),"")</f>
        <v>0</v>
      </c>
      <c r="L308" s="23">
        <f>IFERROR(INDEX('Input Statistiche 2025_26'!$O$3:$O$665,MATCH($A308,'Input Statistiche 2025_26'!$A$3:$A$665,0)),"")</f>
        <v>0</v>
      </c>
      <c r="M308" s="25"/>
      <c r="N308" s="24">
        <f>IFERROR(INDEX('Input Giocatori 2026_27'!$E$3:$E$493,MATCH($A308,'Input Giocatori 2026_27'!$A$3:$A$493,0)),"")</f>
        <v>4</v>
      </c>
      <c r="O308" s="24">
        <f>IFERROR(INDEX('Input Giocatori 2026_27'!$G$3:$G$493,MATCH($A308,'Input Giocatori 2026_27'!$A$3:$A$493,0)),"")</f>
        <v>10</v>
      </c>
      <c r="P308" s="23" t="str">
        <f>IFERROR(IF($O308="","",IF((1-(COUNTIFS($B$2:$B$492,$B308,$O$2:$O$492,"&gt;"&amp;$O308)+1-1)/COUNTIF($B$2:$B$492,$B308))&gt;='Parametri Modello'!$B$63,"Top",IF((1-(COUNTIFS($B$2:$B$492,$B308,$O$2:$O$492,"&gt;"&amp;$O308)+1-1)/COUNTIF($B$2:$B$492,$B308))&gt;='Parametri Modello'!$B$64,"Buono",IF((1-(COUNTIFS($B$2:$B$492,$B308,$O$2:$O$492,"&gt;"&amp;$O308)+1-1)/COUNTIF($B$2:$B$492,$B308))&gt;='Parametri Modello'!$B$65,"Nella Media","Scommessa/Riserva")))),"")</f>
        <v>Nella Media</v>
      </c>
      <c r="Q308" s="26">
        <f>IF(AND($D308="",$N308&gt;1),SUMPRODUCT(($D$2:$D308="")*($N$2:$N308&gt;1)),"")</f>
        <v>307</v>
      </c>
      <c r="R308" s="26" t="str">
        <f>IF($D308='Info Lega'!$B$28,COUNTIFS($D$2:$D308,'Info Lega'!$B$28),"")</f>
        <v/>
      </c>
      <c r="S308" s="27">
        <f>IFERROR(INDEX('Input Statistiche 2025_26'!$G$3:$G$665,MATCH($A308,'Input Statistiche 2025_26'!$A$3:$A$665,0)),"")</f>
        <v>5.96</v>
      </c>
      <c r="T308" s="27">
        <f>IFERROR(INDEX('Input Statistiche 2025_26'!$H$3:$H$665,MATCH($A308,'Input Statistiche 2025_26'!$A$3:$A$665,0)),"")</f>
        <v>5.83</v>
      </c>
      <c r="U308" s="23" t="str">
        <f>IF(OR('La Mia Rosa'!$O$12="",$D308&lt;&gt;""),"",IF($F308&lt;='La Mia Rosa'!$O$12*'Parametri Modello'!$B$24,"OK",IF($F308&lt;='La Mia Rosa'!$O$12*'Parametri Modello'!$B$25,"Attenzione","Rischio Alto")))</f>
        <v>OK</v>
      </c>
      <c r="V308" s="23">
        <f t="shared" si="37"/>
        <v>99</v>
      </c>
      <c r="W308" s="18">
        <f>'Info Lega'!$B$4-SUMIFS($M$2:$M$492,$D$2:$D$492,'Info Lega'!$B$28)</f>
        <v>1000</v>
      </c>
      <c r="X308" s="18">
        <f>('Info Lega'!$B$5-COUNTIFS($D$2:$D$492,'Info Lega'!$B$28,$B$2:$B$492,"P"))+('Info Lega'!$B$6-COUNTIFS($D$2:$D$492,'Info Lega'!$B$28,$B$2:$B$492,"D"))+('Info Lega'!$B$7-COUNTIFS($D$2:$D$492,'Info Lega'!$B$28,$B$2:$B$492,"C"))+('Info Lega'!$B$8-COUNTIFS($D$2:$D$492,'Info Lega'!$B$28,$B$2:$B$492,"A"))</f>
        <v>25</v>
      </c>
      <c r="Y308" s="18">
        <f>X308*'Parametri Modello'!$B$30</f>
        <v>25</v>
      </c>
      <c r="Z308" s="18">
        <f t="shared" si="38"/>
        <v>975</v>
      </c>
      <c r="AA308" s="18">
        <f t="shared" si="39"/>
        <v>2</v>
      </c>
      <c r="AB308" s="18"/>
      <c r="AC308" s="18" t="str">
        <f>IF($AB308="","",IF($AB308&gt;$AA308,"PASS",IF($AB308&lt;=$AA308*(1-'Parametri Modello'!$B$68),"BID","ATTENZIONE")))</f>
        <v/>
      </c>
      <c r="AD308" s="28">
        <f t="shared" si="40"/>
        <v>59</v>
      </c>
      <c r="AE308" s="5" t="str">
        <f>IFERROR(INDEX('Stato Asta'!$G$9:$G$12,MATCH($B308,'Stato Asta'!$A$9:$A$12,0)),"")</f>
        <v>🔴 Non aspettare</v>
      </c>
      <c r="AF308" t="str">
        <f>IFERROR(IF($V308&lt;=INDEX('Parametri Modello'!$C$57:$C$60,MATCH($B308,'Parametri Modello'!$A$57:$A$60,0)),"Titolare","Riserva"),"")</f>
        <v>Riserva</v>
      </c>
      <c r="AG308" t="str">
        <f>IFERROR(INDEX('Pressione Competitiva'!$F$3:$F$6,MATCH($B308,'Pressione Competitiva'!$B$3:$B$6,0)),"")</f>
        <v>🔴 Molto Alta</v>
      </c>
      <c r="AH308" t="str">
        <f t="shared" si="41"/>
        <v/>
      </c>
      <c r="AI308" t="str">
        <f>IFERROR(IF($AH308="","",IF($AH308&gt;=$AA308*'Parametri Modello'!$B$68,"🟢 Opportunita'",IF($AH308&lt;=$AA308*'Parametri Modello'!$B$69,"🔴 Sovrapprezzo","🟡 Prezzo Corretto"))),"")</f>
        <v/>
      </c>
      <c r="AJ308" t="str">
        <f t="shared" si="42"/>
        <v/>
      </c>
      <c r="AK308">
        <f t="shared" si="43"/>
        <v>44</v>
      </c>
      <c r="AL308" t="str">
        <f t="shared" si="44"/>
        <v>D|Nella Media|44</v>
      </c>
    </row>
    <row r="309" spans="1:38" ht="14.25" customHeight="1" x14ac:dyDescent="0.25">
      <c r="A309" s="18">
        <v>6631</v>
      </c>
      <c r="B309" s="18" t="s">
        <v>16</v>
      </c>
      <c r="C309" s="18" t="s">
        <v>448</v>
      </c>
      <c r="E309" s="23" t="str">
        <f>IF(COUNTIF('Info Strategia'!$D$2:$D$51,$C309)&gt;0,"SI","NO")</f>
        <v>NO</v>
      </c>
      <c r="F309" s="24">
        <f>IFERROR(ROUND(($G309+($H309-$G309)*'Info Strategia'!$B$6)*(1+IF($E309="SI",'Parametri Modello'!$B$7*'Info Strategia'!$B$6,0)),0),"")</f>
        <v>2</v>
      </c>
      <c r="G309" s="24">
        <f>IFERROR(ROUND(MAX(1,(IF($V309&lt;=INDEX('Parametri Modello'!$C$57:$C$60,MATCH($B309,'Parametri Modello'!$A$57:$A$60,0)),IF(INDEX('Parametri Modello'!$E$57:$E$60,MATCH($B309,'Parametri Modello'!$A$57:$A$60,0))=0,0,($O309/INDEX('Parametri Modello'!$E$57:$E$60,MATCH($B309,'Parametri Modello'!$A$57:$A$60,0)))*(INDEX('Parametri Modello'!$D$57:$D$60,MATCH($B309,'Parametri Modello'!$A$57:$A$60,0))*(INDEX('Parametri Modello'!$B$50:$B$53,MATCH($B309,'Parametri Modello'!$A$50:$A$53,0))*'Parametri Modello'!$B$44))),IF(INDEX('Parametri Modello'!$F$57:$F$60,MATCH($B309,'Parametri Modello'!$A$57:$A$60,0))=0,0,($O309/INDEX('Parametri Modello'!$F$57:$F$60,MATCH($B309,'Parametri Modello'!$A$57:$A$60,0)))*((1-INDEX('Parametri Modello'!$D$57:$D$60,MATCH($B309,'Parametri Modello'!$A$57:$A$60,0)))*(INDEX('Parametri Modello'!$B$50:$B$53,MATCH($B309,'Parametri Modello'!$A$50:$A$53,0))*'Parametri Modello'!$B$44))))*(1+IF(IF($B309="D",'Info Lega'!$B$25,IF($B309="C",'Info Lega'!$B$26,"No"))="Si",'Parametri Modello'!$B$5,0))*(1+MAX(-0.25,MIN(0.25,IF(OR($T309="",$I309="",$I309=0,INDEX('Parametri Modello'!$B$19:$B$22,MATCH($B309,'Parametri Modello'!$A$19:$A$22,0))="",INDEX('Parametri Modello'!$B$19:$B$22,MATCH($B309,'Parametri Modello'!$A$19:$A$22,0))=0),0,(($T309-INDEX('Parametri Modello'!$B$19:$B$22,MATCH($B309,'Parametri Modello'!$A$19:$A$22,0)))/INDEX('Parametri Modello'!$B$19:$B$22,MATCH($B309,'Parametri Modello'!$A$19:$A$22,0)))*'Parametri Modello'!$B$9))))*(1+IF('Parametri Modello'!$B$27="Si",MAX(-'Parametri Modello'!$B$28,MIN('Parametri Modello'!$B$28*1.5,IF(OR(INDEX('Parametri Modello'!$F$32:$F$35,MATCH($B309,'Parametri Modello'!$A$32:$A$35,0))="",INDEX('Parametri Modello'!$F$32:$F$35,MATCH($B309,'Parametri Modello'!$A$32:$A$35,0))=0),0,(1/INDEX('Parametri Modello'!$F$32:$F$35,MATCH($B309,'Parametri Modello'!$A$32:$A$35,0))-1)*'Parametri Modello'!$B$28))),0)))*(1-INDEX('Parametri Modello'!$B$12:$B$15,MATCH($B309,'Parametri Modello'!$A$12:$A$15,0)))),0),"")</f>
        <v>1</v>
      </c>
      <c r="H309" s="24">
        <f>IFERROR(ROUND((IF($V309&lt;=INDEX('Parametri Modello'!$C$57:$C$60,MATCH($B309,'Parametri Modello'!$A$57:$A$60,0)),IF(INDEX('Parametri Modello'!$E$57:$E$60,MATCH($B309,'Parametri Modello'!$A$57:$A$60,0))=0,0,($O309/INDEX('Parametri Modello'!$E$57:$E$60,MATCH($B309,'Parametri Modello'!$A$57:$A$60,0)))*(INDEX('Parametri Modello'!$D$57:$D$60,MATCH($B309,'Parametri Modello'!$A$57:$A$60,0))*(INDEX('Parametri Modello'!$B$50:$B$53,MATCH($B309,'Parametri Modello'!$A$50:$A$53,0))*'Parametri Modello'!$B$44))),IF(INDEX('Parametri Modello'!$F$57:$F$60,MATCH($B309,'Parametri Modello'!$A$57:$A$60,0))=0,0,($O309/INDEX('Parametri Modello'!$F$57:$F$60,MATCH($B309,'Parametri Modello'!$A$57:$A$60,0)))*((1-INDEX('Parametri Modello'!$D$57:$D$60,MATCH($B309,'Parametri Modello'!$A$57:$A$60,0)))*(INDEX('Parametri Modello'!$B$50:$B$53,MATCH($B309,'Parametri Modello'!$A$50:$A$53,0))*'Parametri Modello'!$B$44))))*(1+IF(IF($B309="D",'Info Lega'!$B$25,IF($B309="C",'Info Lega'!$B$26,"No"))="Si",'Parametri Modello'!$B$5,0))*(1+MAX(-0.25,MIN(0.25,IF(OR($T309="",$I309="",$I309=0,INDEX('Parametri Modello'!$B$19:$B$22,MATCH($B309,'Parametri Modello'!$A$19:$A$22,0))="",INDEX('Parametri Modello'!$B$19:$B$22,MATCH($B309,'Parametri Modello'!$A$19:$A$22,0))=0),0,(($T309-INDEX('Parametri Modello'!$B$19:$B$22,MATCH($B309,'Parametri Modello'!$A$19:$A$22,0)))/INDEX('Parametri Modello'!$B$19:$B$22,MATCH($B309,'Parametri Modello'!$A$19:$A$22,0)))*'Parametri Modello'!$B$9))))*(1+IF('Parametri Modello'!$B$27="Si",MAX(-'Parametri Modello'!$B$28,MIN('Parametri Modello'!$B$28*1.5,IF(OR(INDEX('Parametri Modello'!$F$32:$F$35,MATCH($B309,'Parametri Modello'!$A$32:$A$35,0))="",INDEX('Parametri Modello'!$F$32:$F$35,MATCH($B309,'Parametri Modello'!$A$32:$A$35,0))=0),0,(1/INDEX('Parametri Modello'!$F$32:$F$35,MATCH($B309,'Parametri Modello'!$A$32:$A$35,0))-1)*'Parametri Modello'!$B$28))),0)))*(1+INDEX('Parametri Modello'!$B$12:$B$15,MATCH($B309,'Parametri Modello'!$A$12:$A$15,0))),0),"")</f>
        <v>2</v>
      </c>
      <c r="I309" s="23">
        <f>IFERROR(INDEX('Input Statistiche 2025_26'!$F$3:$F$665,MATCH($A309,'Input Statistiche 2025_26'!$A$3:$A$665,0)),"")</f>
        <v>21</v>
      </c>
      <c r="J309" s="23">
        <f t="shared" si="36"/>
        <v>17</v>
      </c>
      <c r="K309" s="23">
        <f>IFERROR(INDEX('Input Statistiche 2025_26'!$I$3:$I$665,MATCH($A309,'Input Statistiche 2025_26'!$A$3:$A$665,0)),"")</f>
        <v>0</v>
      </c>
      <c r="L309" s="23">
        <f>IFERROR(INDEX('Input Statistiche 2025_26'!$O$3:$O$665,MATCH($A309,'Input Statistiche 2025_26'!$A$3:$A$665,0)),"")</f>
        <v>0</v>
      </c>
      <c r="M309" s="25"/>
      <c r="N309" s="24">
        <f>IFERROR(INDEX('Input Giocatori 2026_27'!$E$3:$E$493,MATCH($A309,'Input Giocatori 2026_27'!$A$3:$A$493,0)),"")</f>
        <v>4</v>
      </c>
      <c r="O309" s="24">
        <f>IFERROR(INDEX('Input Giocatori 2026_27'!$G$3:$G$493,MATCH($A309,'Input Giocatori 2026_27'!$A$3:$A$493,0)),"")</f>
        <v>10</v>
      </c>
      <c r="P309" s="23" t="str">
        <f>IFERROR(IF($O309="","",IF((1-(COUNTIFS($B$2:$B$492,$B309,$O$2:$O$492,"&gt;"&amp;$O309)+1-1)/COUNTIF($B$2:$B$492,$B309))&gt;='Parametri Modello'!$B$63,"Top",IF((1-(COUNTIFS($B$2:$B$492,$B309,$O$2:$O$492,"&gt;"&amp;$O309)+1-1)/COUNTIF($B$2:$B$492,$B309))&gt;='Parametri Modello'!$B$64,"Buono",IF((1-(COUNTIFS($B$2:$B$492,$B309,$O$2:$O$492,"&gt;"&amp;$O309)+1-1)/COUNTIF($B$2:$B$492,$B309))&gt;='Parametri Modello'!$B$65,"Nella Media","Scommessa/Riserva")))),"")</f>
        <v>Nella Media</v>
      </c>
      <c r="Q309" s="26">
        <f>IF(AND($D309="",$N309&gt;1),SUMPRODUCT(($D$2:$D309="")*($N$2:$N309&gt;1)),"")</f>
        <v>308</v>
      </c>
      <c r="R309" s="26" t="str">
        <f>IF($D309='Info Lega'!$B$28,COUNTIFS($D$2:$D309,'Info Lega'!$B$28),"")</f>
        <v/>
      </c>
      <c r="S309" s="27">
        <f>IFERROR(INDEX('Input Statistiche 2025_26'!$G$3:$G$665,MATCH($A309,'Input Statistiche 2025_26'!$A$3:$A$665,0)),"")</f>
        <v>5.98</v>
      </c>
      <c r="T309" s="27">
        <f>IFERROR(INDEX('Input Statistiche 2025_26'!$H$3:$H$665,MATCH($A309,'Input Statistiche 2025_26'!$A$3:$A$665,0)),"")</f>
        <v>5.95</v>
      </c>
      <c r="U309" s="23" t="str">
        <f>IF(OR('La Mia Rosa'!$O$12="",$D309&lt;&gt;""),"",IF($F309&lt;='La Mia Rosa'!$O$12*'Parametri Modello'!$B$24,"OK",IF($F309&lt;='La Mia Rosa'!$O$12*'Parametri Modello'!$B$25,"Attenzione","Rischio Alto")))</f>
        <v>OK</v>
      </c>
      <c r="V309" s="23">
        <f t="shared" si="37"/>
        <v>99</v>
      </c>
      <c r="W309" s="18">
        <f>'Info Lega'!$B$4-SUMIFS($M$2:$M$492,$D$2:$D$492,'Info Lega'!$B$28)</f>
        <v>1000</v>
      </c>
      <c r="X309" s="18">
        <f>('Info Lega'!$B$5-COUNTIFS($D$2:$D$492,'Info Lega'!$B$28,$B$2:$B$492,"P"))+('Info Lega'!$B$6-COUNTIFS($D$2:$D$492,'Info Lega'!$B$28,$B$2:$B$492,"D"))+('Info Lega'!$B$7-COUNTIFS($D$2:$D$492,'Info Lega'!$B$28,$B$2:$B$492,"C"))+('Info Lega'!$B$8-COUNTIFS($D$2:$D$492,'Info Lega'!$B$28,$B$2:$B$492,"A"))</f>
        <v>25</v>
      </c>
      <c r="Y309" s="18">
        <f>X309*'Parametri Modello'!$B$30</f>
        <v>25</v>
      </c>
      <c r="Z309" s="18">
        <f t="shared" si="38"/>
        <v>975</v>
      </c>
      <c r="AA309" s="18">
        <f t="shared" si="39"/>
        <v>2</v>
      </c>
      <c r="AB309" s="18"/>
      <c r="AC309" s="18" t="str">
        <f>IF($AB309="","",IF($AB309&gt;$AA309,"PASS",IF($AB309&lt;=$AA309*(1-'Parametri Modello'!$B$68),"BID","ATTENZIONE")))</f>
        <v/>
      </c>
      <c r="AD309" s="28">
        <f t="shared" si="40"/>
        <v>50</v>
      </c>
      <c r="AE309" s="5" t="str">
        <f>IFERROR(INDEX('Stato Asta'!$G$9:$G$12,MATCH($B309,'Stato Asta'!$A$9:$A$12,0)),"")</f>
        <v>🔴 Non aspettare</v>
      </c>
      <c r="AF309" t="str">
        <f>IFERROR(IF($V309&lt;=INDEX('Parametri Modello'!$C$57:$C$60,MATCH($B309,'Parametri Modello'!$A$57:$A$60,0)),"Titolare","Riserva"),"")</f>
        <v>Riserva</v>
      </c>
      <c r="AG309" t="str">
        <f>IFERROR(INDEX('Pressione Competitiva'!$F$3:$F$6,MATCH($B309,'Pressione Competitiva'!$B$3:$B$6,0)),"")</f>
        <v>🔴 Molto Alta</v>
      </c>
      <c r="AH309" t="str">
        <f t="shared" si="41"/>
        <v/>
      </c>
      <c r="AI309" t="str">
        <f>IFERROR(IF($AH309="","",IF($AH309&gt;=$AA309*'Parametri Modello'!$B$68,"🟢 Opportunita'",IF($AH309&lt;=$AA309*'Parametri Modello'!$B$69,"🔴 Sovrapprezzo","🟡 Prezzo Corretto"))),"")</f>
        <v/>
      </c>
      <c r="AJ309" t="str">
        <f t="shared" si="42"/>
        <v/>
      </c>
      <c r="AK309">
        <f t="shared" si="43"/>
        <v>44</v>
      </c>
      <c r="AL309" t="str">
        <f t="shared" si="44"/>
        <v>D|Nella Media|44</v>
      </c>
    </row>
    <row r="310" spans="1:38" ht="14.25" customHeight="1" x14ac:dyDescent="0.25">
      <c r="A310" s="18">
        <v>4374</v>
      </c>
      <c r="B310" s="18" t="s">
        <v>16</v>
      </c>
      <c r="C310" s="18" t="s">
        <v>449</v>
      </c>
      <c r="E310" s="23" t="str">
        <f>IF(COUNTIF('Info Strategia'!$D$2:$D$51,$C310)&gt;0,"SI","NO")</f>
        <v>NO</v>
      </c>
      <c r="F310" s="24">
        <f>IFERROR(ROUND(($G310+($H310-$G310)*'Info Strategia'!$B$6)*(1+IF($E310="SI",'Parametri Modello'!$B$7*'Info Strategia'!$B$6,0)),0),"")</f>
        <v>2</v>
      </c>
      <c r="G310" s="24">
        <f>IFERROR(ROUND(MAX(1,(IF($V310&lt;=INDEX('Parametri Modello'!$C$57:$C$60,MATCH($B310,'Parametri Modello'!$A$57:$A$60,0)),IF(INDEX('Parametri Modello'!$E$57:$E$60,MATCH($B310,'Parametri Modello'!$A$57:$A$60,0))=0,0,($O310/INDEX('Parametri Modello'!$E$57:$E$60,MATCH($B310,'Parametri Modello'!$A$57:$A$60,0)))*(INDEX('Parametri Modello'!$D$57:$D$60,MATCH($B310,'Parametri Modello'!$A$57:$A$60,0))*(INDEX('Parametri Modello'!$B$50:$B$53,MATCH($B310,'Parametri Modello'!$A$50:$A$53,0))*'Parametri Modello'!$B$44))),IF(INDEX('Parametri Modello'!$F$57:$F$60,MATCH($B310,'Parametri Modello'!$A$57:$A$60,0))=0,0,($O310/INDEX('Parametri Modello'!$F$57:$F$60,MATCH($B310,'Parametri Modello'!$A$57:$A$60,0)))*((1-INDEX('Parametri Modello'!$D$57:$D$60,MATCH($B310,'Parametri Modello'!$A$57:$A$60,0)))*(INDEX('Parametri Modello'!$B$50:$B$53,MATCH($B310,'Parametri Modello'!$A$50:$A$53,0))*'Parametri Modello'!$B$44))))*(1+IF(IF($B310="D",'Info Lega'!$B$25,IF($B310="C",'Info Lega'!$B$26,"No"))="Si",'Parametri Modello'!$B$5,0))*(1+MAX(-0.25,MIN(0.25,IF(OR($T310="",$I310="",$I310=0,INDEX('Parametri Modello'!$B$19:$B$22,MATCH($B310,'Parametri Modello'!$A$19:$A$22,0))="",INDEX('Parametri Modello'!$B$19:$B$22,MATCH($B310,'Parametri Modello'!$A$19:$A$22,0))=0),0,(($T310-INDEX('Parametri Modello'!$B$19:$B$22,MATCH($B310,'Parametri Modello'!$A$19:$A$22,0)))/INDEX('Parametri Modello'!$B$19:$B$22,MATCH($B310,'Parametri Modello'!$A$19:$A$22,0)))*'Parametri Modello'!$B$9))))*(1+IF('Parametri Modello'!$B$27="Si",MAX(-'Parametri Modello'!$B$28,MIN('Parametri Modello'!$B$28*1.5,IF(OR(INDEX('Parametri Modello'!$F$32:$F$35,MATCH($B310,'Parametri Modello'!$A$32:$A$35,0))="",INDEX('Parametri Modello'!$F$32:$F$35,MATCH($B310,'Parametri Modello'!$A$32:$A$35,0))=0),0,(1/INDEX('Parametri Modello'!$F$32:$F$35,MATCH($B310,'Parametri Modello'!$A$32:$A$35,0))-1)*'Parametri Modello'!$B$28))),0)))*(1-INDEX('Parametri Modello'!$B$12:$B$15,MATCH($B310,'Parametri Modello'!$A$12:$A$15,0)))),0),"")</f>
        <v>1</v>
      </c>
      <c r="H310" s="24">
        <f>IFERROR(ROUND((IF($V310&lt;=INDEX('Parametri Modello'!$C$57:$C$60,MATCH($B310,'Parametri Modello'!$A$57:$A$60,0)),IF(INDEX('Parametri Modello'!$E$57:$E$60,MATCH($B310,'Parametri Modello'!$A$57:$A$60,0))=0,0,($O310/INDEX('Parametri Modello'!$E$57:$E$60,MATCH($B310,'Parametri Modello'!$A$57:$A$60,0)))*(INDEX('Parametri Modello'!$D$57:$D$60,MATCH($B310,'Parametri Modello'!$A$57:$A$60,0))*(INDEX('Parametri Modello'!$B$50:$B$53,MATCH($B310,'Parametri Modello'!$A$50:$A$53,0))*'Parametri Modello'!$B$44))),IF(INDEX('Parametri Modello'!$F$57:$F$60,MATCH($B310,'Parametri Modello'!$A$57:$A$60,0))=0,0,($O310/INDEX('Parametri Modello'!$F$57:$F$60,MATCH($B310,'Parametri Modello'!$A$57:$A$60,0)))*((1-INDEX('Parametri Modello'!$D$57:$D$60,MATCH($B310,'Parametri Modello'!$A$57:$A$60,0)))*(INDEX('Parametri Modello'!$B$50:$B$53,MATCH($B310,'Parametri Modello'!$A$50:$A$53,0))*'Parametri Modello'!$B$44))))*(1+IF(IF($B310="D",'Info Lega'!$B$25,IF($B310="C",'Info Lega'!$B$26,"No"))="Si",'Parametri Modello'!$B$5,0))*(1+MAX(-0.25,MIN(0.25,IF(OR($T310="",$I310="",$I310=0,INDEX('Parametri Modello'!$B$19:$B$22,MATCH($B310,'Parametri Modello'!$A$19:$A$22,0))="",INDEX('Parametri Modello'!$B$19:$B$22,MATCH($B310,'Parametri Modello'!$A$19:$A$22,0))=0),0,(($T310-INDEX('Parametri Modello'!$B$19:$B$22,MATCH($B310,'Parametri Modello'!$A$19:$A$22,0)))/INDEX('Parametri Modello'!$B$19:$B$22,MATCH($B310,'Parametri Modello'!$A$19:$A$22,0)))*'Parametri Modello'!$B$9))))*(1+IF('Parametri Modello'!$B$27="Si",MAX(-'Parametri Modello'!$B$28,MIN('Parametri Modello'!$B$28*1.5,IF(OR(INDEX('Parametri Modello'!$F$32:$F$35,MATCH($B310,'Parametri Modello'!$A$32:$A$35,0))="",INDEX('Parametri Modello'!$F$32:$F$35,MATCH($B310,'Parametri Modello'!$A$32:$A$35,0))=0),0,(1/INDEX('Parametri Modello'!$F$32:$F$35,MATCH($B310,'Parametri Modello'!$A$32:$A$35,0))-1)*'Parametri Modello'!$B$28))),0)))*(1+INDEX('Parametri Modello'!$B$12:$B$15,MATCH($B310,'Parametri Modello'!$A$12:$A$15,0))),0),"")</f>
        <v>2</v>
      </c>
      <c r="I310" s="23">
        <f>IFERROR(INDEX('Input Statistiche 2025_26'!$F$3:$F$665,MATCH($A310,'Input Statistiche 2025_26'!$A$3:$A$665,0)),"")</f>
        <v>34</v>
      </c>
      <c r="J310" s="23">
        <f t="shared" si="36"/>
        <v>4</v>
      </c>
      <c r="K310" s="23">
        <f>IFERROR(INDEX('Input Statistiche 2025_26'!$I$3:$I$665,MATCH($A310,'Input Statistiche 2025_26'!$A$3:$A$665,0)),"")</f>
        <v>0</v>
      </c>
      <c r="L310" s="23">
        <f>IFERROR(INDEX('Input Statistiche 2025_26'!$O$3:$O$665,MATCH($A310,'Input Statistiche 2025_26'!$A$3:$A$665,0)),"")</f>
        <v>1</v>
      </c>
      <c r="M310" s="25"/>
      <c r="N310" s="24">
        <f>IFERROR(INDEX('Input Giocatori 2026_27'!$E$3:$E$493,MATCH($A310,'Input Giocatori 2026_27'!$A$3:$A$493,0)),"")</f>
        <v>4</v>
      </c>
      <c r="O310" s="24">
        <f>IFERROR(INDEX('Input Giocatori 2026_27'!$G$3:$G$493,MATCH($A310,'Input Giocatori 2026_27'!$A$3:$A$493,0)),"")</f>
        <v>10</v>
      </c>
      <c r="P310" s="23" t="str">
        <f>IFERROR(IF($O310="","",IF((1-(COUNTIFS($B$2:$B$492,$B310,$O$2:$O$492,"&gt;"&amp;$O310)+1-1)/COUNTIF($B$2:$B$492,$B310))&gt;='Parametri Modello'!$B$63,"Top",IF((1-(COUNTIFS($B$2:$B$492,$B310,$O$2:$O$492,"&gt;"&amp;$O310)+1-1)/COUNTIF($B$2:$B$492,$B310))&gt;='Parametri Modello'!$B$64,"Buono",IF((1-(COUNTIFS($B$2:$B$492,$B310,$O$2:$O$492,"&gt;"&amp;$O310)+1-1)/COUNTIF($B$2:$B$492,$B310))&gt;='Parametri Modello'!$B$65,"Nella Media","Scommessa/Riserva")))),"")</f>
        <v>Nella Media</v>
      </c>
      <c r="Q310" s="26">
        <f>IF(AND($D310="",$N310&gt;1),SUMPRODUCT(($D$2:$D310="")*($N$2:$N310&gt;1)),"")</f>
        <v>309</v>
      </c>
      <c r="R310" s="26" t="str">
        <f>IF($D310='Info Lega'!$B$28,COUNTIFS($D$2:$D310,'Info Lega'!$B$28),"")</f>
        <v/>
      </c>
      <c r="S310" s="27">
        <f>IFERROR(INDEX('Input Statistiche 2025_26'!$G$3:$G$665,MATCH($A310,'Input Statistiche 2025_26'!$A$3:$A$665,0)),"")</f>
        <v>5.81</v>
      </c>
      <c r="T310" s="27">
        <f>IFERROR(INDEX('Input Statistiche 2025_26'!$H$3:$H$665,MATCH($A310,'Input Statistiche 2025_26'!$A$3:$A$665,0)),"")</f>
        <v>5.74</v>
      </c>
      <c r="U310" s="23" t="str">
        <f>IF(OR('La Mia Rosa'!$O$12="",$D310&lt;&gt;""),"",IF($F310&lt;='La Mia Rosa'!$O$12*'Parametri Modello'!$B$24,"OK",IF($F310&lt;='La Mia Rosa'!$O$12*'Parametri Modello'!$B$25,"Attenzione","Rischio Alto")))</f>
        <v>OK</v>
      </c>
      <c r="V310" s="23">
        <f t="shared" si="37"/>
        <v>99</v>
      </c>
      <c r="W310" s="18">
        <f>'Info Lega'!$B$4-SUMIFS($M$2:$M$492,$D$2:$D$492,'Info Lega'!$B$28)</f>
        <v>1000</v>
      </c>
      <c r="X310" s="18">
        <f>('Info Lega'!$B$5-COUNTIFS($D$2:$D$492,'Info Lega'!$B$28,$B$2:$B$492,"P"))+('Info Lega'!$B$6-COUNTIFS($D$2:$D$492,'Info Lega'!$B$28,$B$2:$B$492,"D"))+('Info Lega'!$B$7-COUNTIFS($D$2:$D$492,'Info Lega'!$B$28,$B$2:$B$492,"C"))+('Info Lega'!$B$8-COUNTIFS($D$2:$D$492,'Info Lega'!$B$28,$B$2:$B$492,"A"))</f>
        <v>25</v>
      </c>
      <c r="Y310" s="18">
        <f>X310*'Parametri Modello'!$B$30</f>
        <v>25</v>
      </c>
      <c r="Z310" s="18">
        <f t="shared" si="38"/>
        <v>975</v>
      </c>
      <c r="AA310" s="18">
        <f t="shared" si="39"/>
        <v>2</v>
      </c>
      <c r="AB310" s="18"/>
      <c r="AC310" s="18" t="str">
        <f>IF($AB310="","",IF($AB310&gt;$AA310,"PASS",IF($AB310&lt;=$AA310*(1-'Parametri Modello'!$B$68),"BID","ATTENZIONE")))</f>
        <v/>
      </c>
      <c r="AD310" s="28">
        <f t="shared" si="40"/>
        <v>68</v>
      </c>
      <c r="AE310" s="5" t="str">
        <f>IFERROR(INDEX('Stato Asta'!$G$9:$G$12,MATCH($B310,'Stato Asta'!$A$9:$A$12,0)),"")</f>
        <v>🔴 Non aspettare</v>
      </c>
      <c r="AF310" t="str">
        <f>IFERROR(IF($V310&lt;=INDEX('Parametri Modello'!$C$57:$C$60,MATCH($B310,'Parametri Modello'!$A$57:$A$60,0)),"Titolare","Riserva"),"")</f>
        <v>Riserva</v>
      </c>
      <c r="AG310" t="str">
        <f>IFERROR(INDEX('Pressione Competitiva'!$F$3:$F$6,MATCH($B310,'Pressione Competitiva'!$B$3:$B$6,0)),"")</f>
        <v>🔴 Molto Alta</v>
      </c>
      <c r="AH310" t="str">
        <f t="shared" si="41"/>
        <v/>
      </c>
      <c r="AI310" t="str">
        <f>IFERROR(IF($AH310="","",IF($AH310&gt;=$AA310*'Parametri Modello'!$B$68,"🟢 Opportunita'",IF($AH310&lt;=$AA310*'Parametri Modello'!$B$69,"🔴 Sovrapprezzo","🟡 Prezzo Corretto"))),"")</f>
        <v/>
      </c>
      <c r="AJ310" t="str">
        <f t="shared" si="42"/>
        <v/>
      </c>
      <c r="AK310">
        <f t="shared" si="43"/>
        <v>44</v>
      </c>
      <c r="AL310" t="str">
        <f t="shared" si="44"/>
        <v>D|Nella Media|44</v>
      </c>
    </row>
    <row r="311" spans="1:38" ht="14.25" customHeight="1" x14ac:dyDescent="0.25">
      <c r="A311" s="18">
        <v>7526</v>
      </c>
      <c r="B311" s="18" t="s">
        <v>16</v>
      </c>
      <c r="C311" s="18" t="s">
        <v>450</v>
      </c>
      <c r="E311" s="23" t="str">
        <f>IF(COUNTIF('Info Strategia'!$D$2:$D$51,$C311)&gt;0,"SI","NO")</f>
        <v>NO</v>
      </c>
      <c r="F311" s="24">
        <f>IFERROR(ROUND(($G311+($H311-$G311)*'Info Strategia'!$B$6)*(1+IF($E311="SI",'Parametri Modello'!$B$7*'Info Strategia'!$B$6,0)),0),"")</f>
        <v>2</v>
      </c>
      <c r="G311" s="24">
        <f>IFERROR(ROUND(MAX(1,(IF($V311&lt;=INDEX('Parametri Modello'!$C$57:$C$60,MATCH($B311,'Parametri Modello'!$A$57:$A$60,0)),IF(INDEX('Parametri Modello'!$E$57:$E$60,MATCH($B311,'Parametri Modello'!$A$57:$A$60,0))=0,0,($O311/INDEX('Parametri Modello'!$E$57:$E$60,MATCH($B311,'Parametri Modello'!$A$57:$A$60,0)))*(INDEX('Parametri Modello'!$D$57:$D$60,MATCH($B311,'Parametri Modello'!$A$57:$A$60,0))*(INDEX('Parametri Modello'!$B$50:$B$53,MATCH($B311,'Parametri Modello'!$A$50:$A$53,0))*'Parametri Modello'!$B$44))),IF(INDEX('Parametri Modello'!$F$57:$F$60,MATCH($B311,'Parametri Modello'!$A$57:$A$60,0))=0,0,($O311/INDEX('Parametri Modello'!$F$57:$F$60,MATCH($B311,'Parametri Modello'!$A$57:$A$60,0)))*((1-INDEX('Parametri Modello'!$D$57:$D$60,MATCH($B311,'Parametri Modello'!$A$57:$A$60,0)))*(INDEX('Parametri Modello'!$B$50:$B$53,MATCH($B311,'Parametri Modello'!$A$50:$A$53,0))*'Parametri Modello'!$B$44))))*(1+IF(IF($B311="D",'Info Lega'!$B$25,IF($B311="C",'Info Lega'!$B$26,"No"))="Si",'Parametri Modello'!$B$5,0))*(1+MAX(-0.25,MIN(0.25,IF(OR($T311="",$I311="",$I311=0,INDEX('Parametri Modello'!$B$19:$B$22,MATCH($B311,'Parametri Modello'!$A$19:$A$22,0))="",INDEX('Parametri Modello'!$B$19:$B$22,MATCH($B311,'Parametri Modello'!$A$19:$A$22,0))=0),0,(($T311-INDEX('Parametri Modello'!$B$19:$B$22,MATCH($B311,'Parametri Modello'!$A$19:$A$22,0)))/INDEX('Parametri Modello'!$B$19:$B$22,MATCH($B311,'Parametri Modello'!$A$19:$A$22,0)))*'Parametri Modello'!$B$9))))*(1+IF('Parametri Modello'!$B$27="Si",MAX(-'Parametri Modello'!$B$28,MIN('Parametri Modello'!$B$28*1.5,IF(OR(INDEX('Parametri Modello'!$F$32:$F$35,MATCH($B311,'Parametri Modello'!$A$32:$A$35,0))="",INDEX('Parametri Modello'!$F$32:$F$35,MATCH($B311,'Parametri Modello'!$A$32:$A$35,0))=0),0,(1/INDEX('Parametri Modello'!$F$32:$F$35,MATCH($B311,'Parametri Modello'!$A$32:$A$35,0))-1)*'Parametri Modello'!$B$28))),0)))*(1-INDEX('Parametri Modello'!$B$12:$B$15,MATCH($B311,'Parametri Modello'!$A$12:$A$15,0)))),0),"")</f>
        <v>1</v>
      </c>
      <c r="H311" s="24">
        <f>IFERROR(ROUND((IF($V311&lt;=INDEX('Parametri Modello'!$C$57:$C$60,MATCH($B311,'Parametri Modello'!$A$57:$A$60,0)),IF(INDEX('Parametri Modello'!$E$57:$E$60,MATCH($B311,'Parametri Modello'!$A$57:$A$60,0))=0,0,($O311/INDEX('Parametri Modello'!$E$57:$E$60,MATCH($B311,'Parametri Modello'!$A$57:$A$60,0)))*(INDEX('Parametri Modello'!$D$57:$D$60,MATCH($B311,'Parametri Modello'!$A$57:$A$60,0))*(INDEX('Parametri Modello'!$B$50:$B$53,MATCH($B311,'Parametri Modello'!$A$50:$A$53,0))*'Parametri Modello'!$B$44))),IF(INDEX('Parametri Modello'!$F$57:$F$60,MATCH($B311,'Parametri Modello'!$A$57:$A$60,0))=0,0,($O311/INDEX('Parametri Modello'!$F$57:$F$60,MATCH($B311,'Parametri Modello'!$A$57:$A$60,0)))*((1-INDEX('Parametri Modello'!$D$57:$D$60,MATCH($B311,'Parametri Modello'!$A$57:$A$60,0)))*(INDEX('Parametri Modello'!$B$50:$B$53,MATCH($B311,'Parametri Modello'!$A$50:$A$53,0))*'Parametri Modello'!$B$44))))*(1+IF(IF($B311="D",'Info Lega'!$B$25,IF($B311="C",'Info Lega'!$B$26,"No"))="Si",'Parametri Modello'!$B$5,0))*(1+MAX(-0.25,MIN(0.25,IF(OR($T311="",$I311="",$I311=0,INDEX('Parametri Modello'!$B$19:$B$22,MATCH($B311,'Parametri Modello'!$A$19:$A$22,0))="",INDEX('Parametri Modello'!$B$19:$B$22,MATCH($B311,'Parametri Modello'!$A$19:$A$22,0))=0),0,(($T311-INDEX('Parametri Modello'!$B$19:$B$22,MATCH($B311,'Parametri Modello'!$A$19:$A$22,0)))/INDEX('Parametri Modello'!$B$19:$B$22,MATCH($B311,'Parametri Modello'!$A$19:$A$22,0)))*'Parametri Modello'!$B$9))))*(1+IF('Parametri Modello'!$B$27="Si",MAX(-'Parametri Modello'!$B$28,MIN('Parametri Modello'!$B$28*1.5,IF(OR(INDEX('Parametri Modello'!$F$32:$F$35,MATCH($B311,'Parametri Modello'!$A$32:$A$35,0))="",INDEX('Parametri Modello'!$F$32:$F$35,MATCH($B311,'Parametri Modello'!$A$32:$A$35,0))=0),0,(1/INDEX('Parametri Modello'!$F$32:$F$35,MATCH($B311,'Parametri Modello'!$A$32:$A$35,0))-1)*'Parametri Modello'!$B$28))),0)))*(1+INDEX('Parametri Modello'!$B$12:$B$15,MATCH($B311,'Parametri Modello'!$A$12:$A$15,0))),0),"")</f>
        <v>2</v>
      </c>
      <c r="I311" s="23" t="str">
        <f>IFERROR(INDEX('Input Statistiche 2025_26'!$F$3:$F$665,MATCH($A311,'Input Statistiche 2025_26'!$A$3:$A$665,0)),"")</f>
        <v/>
      </c>
      <c r="J311" s="23" t="str">
        <f t="shared" si="36"/>
        <v/>
      </c>
      <c r="K311" s="23" t="str">
        <f>IFERROR(INDEX('Input Statistiche 2025_26'!$I$3:$I$665,MATCH($A311,'Input Statistiche 2025_26'!$A$3:$A$665,0)),"")</f>
        <v/>
      </c>
      <c r="L311" s="23" t="str">
        <f>IFERROR(INDEX('Input Statistiche 2025_26'!$O$3:$O$665,MATCH($A311,'Input Statistiche 2025_26'!$A$3:$A$665,0)),"")</f>
        <v/>
      </c>
      <c r="M311" s="25"/>
      <c r="N311" s="24">
        <f>IFERROR(INDEX('Input Giocatori 2026_27'!$E$3:$E$493,MATCH($A311,'Input Giocatori 2026_27'!$A$3:$A$493,0)),"")</f>
        <v>4</v>
      </c>
      <c r="O311" s="24">
        <f>IFERROR(INDEX('Input Giocatori 2026_27'!$G$3:$G$493,MATCH($A311,'Input Giocatori 2026_27'!$A$3:$A$493,0)),"")</f>
        <v>10</v>
      </c>
      <c r="P311" s="23" t="str">
        <f>IFERROR(IF($O311="","",IF((1-(COUNTIFS($B$2:$B$492,$B311,$O$2:$O$492,"&gt;"&amp;$O311)+1-1)/COUNTIF($B$2:$B$492,$B311))&gt;='Parametri Modello'!$B$63,"Top",IF((1-(COUNTIFS($B$2:$B$492,$B311,$O$2:$O$492,"&gt;"&amp;$O311)+1-1)/COUNTIF($B$2:$B$492,$B311))&gt;='Parametri Modello'!$B$64,"Buono",IF((1-(COUNTIFS($B$2:$B$492,$B311,$O$2:$O$492,"&gt;"&amp;$O311)+1-1)/COUNTIF($B$2:$B$492,$B311))&gt;='Parametri Modello'!$B$65,"Nella Media","Scommessa/Riserva")))),"")</f>
        <v>Nella Media</v>
      </c>
      <c r="Q311" s="26">
        <f>IF(AND($D311="",$N311&gt;1),SUMPRODUCT(($D$2:$D311="")*($N$2:$N311&gt;1)),"")</f>
        <v>310</v>
      </c>
      <c r="R311" s="26" t="str">
        <f>IF($D311='Info Lega'!$B$28,COUNTIFS($D$2:$D311,'Info Lega'!$B$28),"")</f>
        <v/>
      </c>
      <c r="S311" s="27" t="str">
        <f>IFERROR(INDEX('Input Statistiche 2025_26'!$G$3:$G$665,MATCH($A311,'Input Statistiche 2025_26'!$A$3:$A$665,0)),"")</f>
        <v/>
      </c>
      <c r="T311" s="27" t="str">
        <f>IFERROR(INDEX('Input Statistiche 2025_26'!$H$3:$H$665,MATCH($A311,'Input Statistiche 2025_26'!$A$3:$A$665,0)),"")</f>
        <v/>
      </c>
      <c r="U311" s="23" t="str">
        <f>IF(OR('La Mia Rosa'!$O$12="",$D311&lt;&gt;""),"",IF($F311&lt;='La Mia Rosa'!$O$12*'Parametri Modello'!$B$24,"OK",IF($F311&lt;='La Mia Rosa'!$O$12*'Parametri Modello'!$B$25,"Attenzione","Rischio Alto")))</f>
        <v>OK</v>
      </c>
      <c r="V311" s="23">
        <f t="shared" si="37"/>
        <v>99</v>
      </c>
      <c r="W311" s="18">
        <f>'Info Lega'!$B$4-SUMIFS($M$2:$M$492,$D$2:$D$492,'Info Lega'!$B$28)</f>
        <v>1000</v>
      </c>
      <c r="X311" s="18">
        <f>('Info Lega'!$B$5-COUNTIFS($D$2:$D$492,'Info Lega'!$B$28,$B$2:$B$492,"P"))+('Info Lega'!$B$6-COUNTIFS($D$2:$D$492,'Info Lega'!$B$28,$B$2:$B$492,"D"))+('Info Lega'!$B$7-COUNTIFS($D$2:$D$492,'Info Lega'!$B$28,$B$2:$B$492,"C"))+('Info Lega'!$B$8-COUNTIFS($D$2:$D$492,'Info Lega'!$B$28,$B$2:$B$492,"A"))</f>
        <v>25</v>
      </c>
      <c r="Y311" s="18">
        <f>X311*'Parametri Modello'!$B$30</f>
        <v>25</v>
      </c>
      <c r="Z311" s="18">
        <f t="shared" si="38"/>
        <v>975</v>
      </c>
      <c r="AA311" s="18">
        <f t="shared" si="39"/>
        <v>2</v>
      </c>
      <c r="AB311" s="18"/>
      <c r="AC311" s="18" t="str">
        <f>IF($AB311="","",IF($AB311&gt;$AA311,"PASS",IF($AB311&lt;=$AA311*(1-'Parametri Modello'!$B$68),"BID","ATTENZIONE")))</f>
        <v/>
      </c>
      <c r="AD311" s="28" t="str">
        <f t="shared" si="40"/>
        <v/>
      </c>
      <c r="AE311" s="5" t="str">
        <f>IFERROR(INDEX('Stato Asta'!$G$9:$G$12,MATCH($B311,'Stato Asta'!$A$9:$A$12,0)),"")</f>
        <v>🔴 Non aspettare</v>
      </c>
      <c r="AF311" t="str">
        <f>IFERROR(IF($V311&lt;=INDEX('Parametri Modello'!$C$57:$C$60,MATCH($B311,'Parametri Modello'!$A$57:$A$60,0)),"Titolare","Riserva"),"")</f>
        <v>Riserva</v>
      </c>
      <c r="AG311" t="str">
        <f>IFERROR(INDEX('Pressione Competitiva'!$F$3:$F$6,MATCH($B311,'Pressione Competitiva'!$B$3:$B$6,0)),"")</f>
        <v>🔴 Molto Alta</v>
      </c>
      <c r="AH311" t="str">
        <f t="shared" si="41"/>
        <v/>
      </c>
      <c r="AI311" t="str">
        <f>IFERROR(IF($AH311="","",IF($AH311&gt;=$AA311*'Parametri Modello'!$B$68,"🟢 Opportunita'",IF($AH311&lt;=$AA311*'Parametri Modello'!$B$69,"🔴 Sovrapprezzo","🟡 Prezzo Corretto"))),"")</f>
        <v/>
      </c>
      <c r="AJ311" t="str">
        <f t="shared" si="42"/>
        <v/>
      </c>
      <c r="AK311">
        <f t="shared" si="43"/>
        <v>44</v>
      </c>
      <c r="AL311" t="str">
        <f t="shared" si="44"/>
        <v>D|Nella Media|44</v>
      </c>
    </row>
    <row r="312" spans="1:38" ht="14.25" customHeight="1" x14ac:dyDescent="0.25">
      <c r="A312" s="18">
        <v>5820</v>
      </c>
      <c r="B312" s="18" t="s">
        <v>16</v>
      </c>
      <c r="C312" s="18" t="s">
        <v>451</v>
      </c>
      <c r="E312" s="23" t="str">
        <f>IF(COUNTIF('Info Strategia'!$D$2:$D$51,$C312)&gt;0,"SI","NO")</f>
        <v>NO</v>
      </c>
      <c r="F312" s="24">
        <f>IFERROR(ROUND(($G312+($H312-$G312)*'Info Strategia'!$B$6)*(1+IF($E312="SI",'Parametri Modello'!$B$7*'Info Strategia'!$B$6,0)),0),"")</f>
        <v>2</v>
      </c>
      <c r="G312" s="24">
        <f>IFERROR(ROUND(MAX(1,(IF($V312&lt;=INDEX('Parametri Modello'!$C$57:$C$60,MATCH($B312,'Parametri Modello'!$A$57:$A$60,0)),IF(INDEX('Parametri Modello'!$E$57:$E$60,MATCH($B312,'Parametri Modello'!$A$57:$A$60,0))=0,0,($O312/INDEX('Parametri Modello'!$E$57:$E$60,MATCH($B312,'Parametri Modello'!$A$57:$A$60,0)))*(INDEX('Parametri Modello'!$D$57:$D$60,MATCH($B312,'Parametri Modello'!$A$57:$A$60,0))*(INDEX('Parametri Modello'!$B$50:$B$53,MATCH($B312,'Parametri Modello'!$A$50:$A$53,0))*'Parametri Modello'!$B$44))),IF(INDEX('Parametri Modello'!$F$57:$F$60,MATCH($B312,'Parametri Modello'!$A$57:$A$60,0))=0,0,($O312/INDEX('Parametri Modello'!$F$57:$F$60,MATCH($B312,'Parametri Modello'!$A$57:$A$60,0)))*((1-INDEX('Parametri Modello'!$D$57:$D$60,MATCH($B312,'Parametri Modello'!$A$57:$A$60,0)))*(INDEX('Parametri Modello'!$B$50:$B$53,MATCH($B312,'Parametri Modello'!$A$50:$A$53,0))*'Parametri Modello'!$B$44))))*(1+IF(IF($B312="D",'Info Lega'!$B$25,IF($B312="C",'Info Lega'!$B$26,"No"))="Si",'Parametri Modello'!$B$5,0))*(1+MAX(-0.25,MIN(0.25,IF(OR($T312="",$I312="",$I312=0,INDEX('Parametri Modello'!$B$19:$B$22,MATCH($B312,'Parametri Modello'!$A$19:$A$22,0))="",INDEX('Parametri Modello'!$B$19:$B$22,MATCH($B312,'Parametri Modello'!$A$19:$A$22,0))=0),0,(($T312-INDEX('Parametri Modello'!$B$19:$B$22,MATCH($B312,'Parametri Modello'!$A$19:$A$22,0)))/INDEX('Parametri Modello'!$B$19:$B$22,MATCH($B312,'Parametri Modello'!$A$19:$A$22,0)))*'Parametri Modello'!$B$9))))*(1+IF('Parametri Modello'!$B$27="Si",MAX(-'Parametri Modello'!$B$28,MIN('Parametri Modello'!$B$28*1.5,IF(OR(INDEX('Parametri Modello'!$F$32:$F$35,MATCH($B312,'Parametri Modello'!$A$32:$A$35,0))="",INDEX('Parametri Modello'!$F$32:$F$35,MATCH($B312,'Parametri Modello'!$A$32:$A$35,0))=0),0,(1/INDEX('Parametri Modello'!$F$32:$F$35,MATCH($B312,'Parametri Modello'!$A$32:$A$35,0))-1)*'Parametri Modello'!$B$28))),0)))*(1-INDEX('Parametri Modello'!$B$12:$B$15,MATCH($B312,'Parametri Modello'!$A$12:$A$15,0)))),0),"")</f>
        <v>1</v>
      </c>
      <c r="H312" s="24">
        <f>IFERROR(ROUND((IF($V312&lt;=INDEX('Parametri Modello'!$C$57:$C$60,MATCH($B312,'Parametri Modello'!$A$57:$A$60,0)),IF(INDEX('Parametri Modello'!$E$57:$E$60,MATCH($B312,'Parametri Modello'!$A$57:$A$60,0))=0,0,($O312/INDEX('Parametri Modello'!$E$57:$E$60,MATCH($B312,'Parametri Modello'!$A$57:$A$60,0)))*(INDEX('Parametri Modello'!$D$57:$D$60,MATCH($B312,'Parametri Modello'!$A$57:$A$60,0))*(INDEX('Parametri Modello'!$B$50:$B$53,MATCH($B312,'Parametri Modello'!$A$50:$A$53,0))*'Parametri Modello'!$B$44))),IF(INDEX('Parametri Modello'!$F$57:$F$60,MATCH($B312,'Parametri Modello'!$A$57:$A$60,0))=0,0,($O312/INDEX('Parametri Modello'!$F$57:$F$60,MATCH($B312,'Parametri Modello'!$A$57:$A$60,0)))*((1-INDEX('Parametri Modello'!$D$57:$D$60,MATCH($B312,'Parametri Modello'!$A$57:$A$60,0)))*(INDEX('Parametri Modello'!$B$50:$B$53,MATCH($B312,'Parametri Modello'!$A$50:$A$53,0))*'Parametri Modello'!$B$44))))*(1+IF(IF($B312="D",'Info Lega'!$B$25,IF($B312="C",'Info Lega'!$B$26,"No"))="Si",'Parametri Modello'!$B$5,0))*(1+MAX(-0.25,MIN(0.25,IF(OR($T312="",$I312="",$I312=0,INDEX('Parametri Modello'!$B$19:$B$22,MATCH($B312,'Parametri Modello'!$A$19:$A$22,0))="",INDEX('Parametri Modello'!$B$19:$B$22,MATCH($B312,'Parametri Modello'!$A$19:$A$22,0))=0),0,(($T312-INDEX('Parametri Modello'!$B$19:$B$22,MATCH($B312,'Parametri Modello'!$A$19:$A$22,0)))/INDEX('Parametri Modello'!$B$19:$B$22,MATCH($B312,'Parametri Modello'!$A$19:$A$22,0)))*'Parametri Modello'!$B$9))))*(1+IF('Parametri Modello'!$B$27="Si",MAX(-'Parametri Modello'!$B$28,MIN('Parametri Modello'!$B$28*1.5,IF(OR(INDEX('Parametri Modello'!$F$32:$F$35,MATCH($B312,'Parametri Modello'!$A$32:$A$35,0))="",INDEX('Parametri Modello'!$F$32:$F$35,MATCH($B312,'Parametri Modello'!$A$32:$A$35,0))=0),0,(1/INDEX('Parametri Modello'!$F$32:$F$35,MATCH($B312,'Parametri Modello'!$A$32:$A$35,0))-1)*'Parametri Modello'!$B$28))),0)))*(1+INDEX('Parametri Modello'!$B$12:$B$15,MATCH($B312,'Parametri Modello'!$A$12:$A$15,0))),0),"")</f>
        <v>2</v>
      </c>
      <c r="I312" s="23">
        <f>IFERROR(INDEX('Input Statistiche 2025_26'!$F$3:$F$665,MATCH($A312,'Input Statistiche 2025_26'!$A$3:$A$665,0)),"")</f>
        <v>25</v>
      </c>
      <c r="J312" s="23">
        <f t="shared" si="36"/>
        <v>13</v>
      </c>
      <c r="K312" s="23">
        <f>IFERROR(INDEX('Input Statistiche 2025_26'!$I$3:$I$665,MATCH($A312,'Input Statistiche 2025_26'!$A$3:$A$665,0)),"")</f>
        <v>0</v>
      </c>
      <c r="L312" s="23">
        <f>IFERROR(INDEX('Input Statistiche 2025_26'!$O$3:$O$665,MATCH($A312,'Input Statistiche 2025_26'!$A$3:$A$665,0)),"")</f>
        <v>1</v>
      </c>
      <c r="M312" s="25"/>
      <c r="N312" s="24">
        <f>IFERROR(INDEX('Input Giocatori 2026_27'!$E$3:$E$493,MATCH($A312,'Input Giocatori 2026_27'!$A$3:$A$493,0)),"")</f>
        <v>4</v>
      </c>
      <c r="O312" s="24">
        <f>IFERROR(INDEX('Input Giocatori 2026_27'!$G$3:$G$493,MATCH($A312,'Input Giocatori 2026_27'!$A$3:$A$493,0)),"")</f>
        <v>10</v>
      </c>
      <c r="P312" s="23" t="str">
        <f>IFERROR(IF($O312="","",IF((1-(COUNTIFS($B$2:$B$492,$B312,$O$2:$O$492,"&gt;"&amp;$O312)+1-1)/COUNTIF($B$2:$B$492,$B312))&gt;='Parametri Modello'!$B$63,"Top",IF((1-(COUNTIFS($B$2:$B$492,$B312,$O$2:$O$492,"&gt;"&amp;$O312)+1-1)/COUNTIF($B$2:$B$492,$B312))&gt;='Parametri Modello'!$B$64,"Buono",IF((1-(COUNTIFS($B$2:$B$492,$B312,$O$2:$O$492,"&gt;"&amp;$O312)+1-1)/COUNTIF($B$2:$B$492,$B312))&gt;='Parametri Modello'!$B$65,"Nella Media","Scommessa/Riserva")))),"")</f>
        <v>Nella Media</v>
      </c>
      <c r="Q312" s="26">
        <f>IF(AND($D312="",$N312&gt;1),SUMPRODUCT(($D$2:$D312="")*($N$2:$N312&gt;1)),"")</f>
        <v>311</v>
      </c>
      <c r="R312" s="26" t="str">
        <f>IF($D312='Info Lega'!$B$28,COUNTIFS($D$2:$D312,'Info Lega'!$B$28),"")</f>
        <v/>
      </c>
      <c r="S312" s="27">
        <f>IFERROR(INDEX('Input Statistiche 2025_26'!$G$3:$G$665,MATCH($A312,'Input Statistiche 2025_26'!$A$3:$A$665,0)),"")</f>
        <v>5.86</v>
      </c>
      <c r="T312" s="27">
        <f>IFERROR(INDEX('Input Statistiche 2025_26'!$H$3:$H$665,MATCH($A312,'Input Statistiche 2025_26'!$A$3:$A$665,0)),"")</f>
        <v>5.84</v>
      </c>
      <c r="U312" s="23" t="str">
        <f>IF(OR('La Mia Rosa'!$O$12="",$D312&lt;&gt;""),"",IF($F312&lt;='La Mia Rosa'!$O$12*'Parametri Modello'!$B$24,"OK",IF($F312&lt;='La Mia Rosa'!$O$12*'Parametri Modello'!$B$25,"Attenzione","Rischio Alto")))</f>
        <v>OK</v>
      </c>
      <c r="V312" s="23">
        <f t="shared" si="37"/>
        <v>99</v>
      </c>
      <c r="W312" s="18">
        <f>'Info Lega'!$B$4-SUMIFS($M$2:$M$492,$D$2:$D$492,'Info Lega'!$B$28)</f>
        <v>1000</v>
      </c>
      <c r="X312" s="18">
        <f>('Info Lega'!$B$5-COUNTIFS($D$2:$D$492,'Info Lega'!$B$28,$B$2:$B$492,"P"))+('Info Lega'!$B$6-COUNTIFS($D$2:$D$492,'Info Lega'!$B$28,$B$2:$B$492,"D"))+('Info Lega'!$B$7-COUNTIFS($D$2:$D$492,'Info Lega'!$B$28,$B$2:$B$492,"C"))+('Info Lega'!$B$8-COUNTIFS($D$2:$D$492,'Info Lega'!$B$28,$B$2:$B$492,"A"))</f>
        <v>25</v>
      </c>
      <c r="Y312" s="18">
        <f>X312*'Parametri Modello'!$B$30</f>
        <v>25</v>
      </c>
      <c r="Z312" s="18">
        <f t="shared" si="38"/>
        <v>975</v>
      </c>
      <c r="AA312" s="18">
        <f t="shared" si="39"/>
        <v>2</v>
      </c>
      <c r="AB312" s="18"/>
      <c r="AC312" s="18" t="str">
        <f>IF($AB312="","",IF($AB312&gt;$AA312,"PASS",IF($AB312&lt;=$AA312*(1-'Parametri Modello'!$B$68),"BID","ATTENZIONE")))</f>
        <v/>
      </c>
      <c r="AD312" s="28">
        <f t="shared" si="40"/>
        <v>57</v>
      </c>
      <c r="AE312" s="5" t="str">
        <f>IFERROR(INDEX('Stato Asta'!$G$9:$G$12,MATCH($B312,'Stato Asta'!$A$9:$A$12,0)),"")</f>
        <v>🔴 Non aspettare</v>
      </c>
      <c r="AF312" t="str">
        <f>IFERROR(IF($V312&lt;=INDEX('Parametri Modello'!$C$57:$C$60,MATCH($B312,'Parametri Modello'!$A$57:$A$60,0)),"Titolare","Riserva"),"")</f>
        <v>Riserva</v>
      </c>
      <c r="AG312" t="str">
        <f>IFERROR(INDEX('Pressione Competitiva'!$F$3:$F$6,MATCH($B312,'Pressione Competitiva'!$B$3:$B$6,0)),"")</f>
        <v>🔴 Molto Alta</v>
      </c>
      <c r="AH312" t="str">
        <f t="shared" si="41"/>
        <v/>
      </c>
      <c r="AI312" t="str">
        <f>IFERROR(IF($AH312="","",IF($AH312&gt;=$AA312*'Parametri Modello'!$B$68,"🟢 Opportunita'",IF($AH312&lt;=$AA312*'Parametri Modello'!$B$69,"🔴 Sovrapprezzo","🟡 Prezzo Corretto"))),"")</f>
        <v/>
      </c>
      <c r="AJ312" t="str">
        <f t="shared" si="42"/>
        <v/>
      </c>
      <c r="AK312">
        <f t="shared" si="43"/>
        <v>44</v>
      </c>
      <c r="AL312" t="str">
        <f t="shared" si="44"/>
        <v>D|Nella Media|44</v>
      </c>
    </row>
    <row r="313" spans="1:38" ht="14.25" customHeight="1" x14ac:dyDescent="0.25">
      <c r="A313" s="18">
        <v>5527</v>
      </c>
      <c r="B313" s="18" t="s">
        <v>16</v>
      </c>
      <c r="C313" s="18" t="s">
        <v>452</v>
      </c>
      <c r="E313" s="23" t="str">
        <f>IF(COUNTIF('Info Strategia'!$D$2:$D$51,$C313)&gt;0,"SI","NO")</f>
        <v>NO</v>
      </c>
      <c r="F313" s="24">
        <f>IFERROR(ROUND(($G313+($H313-$G313)*'Info Strategia'!$B$6)*(1+IF($E313="SI",'Parametri Modello'!$B$7*'Info Strategia'!$B$6,0)),0),"")</f>
        <v>2</v>
      </c>
      <c r="G313" s="24">
        <f>IFERROR(ROUND(MAX(1,(IF($V313&lt;=INDEX('Parametri Modello'!$C$57:$C$60,MATCH($B313,'Parametri Modello'!$A$57:$A$60,0)),IF(INDEX('Parametri Modello'!$E$57:$E$60,MATCH($B313,'Parametri Modello'!$A$57:$A$60,0))=0,0,($O313/INDEX('Parametri Modello'!$E$57:$E$60,MATCH($B313,'Parametri Modello'!$A$57:$A$60,0)))*(INDEX('Parametri Modello'!$D$57:$D$60,MATCH($B313,'Parametri Modello'!$A$57:$A$60,0))*(INDEX('Parametri Modello'!$B$50:$B$53,MATCH($B313,'Parametri Modello'!$A$50:$A$53,0))*'Parametri Modello'!$B$44))),IF(INDEX('Parametri Modello'!$F$57:$F$60,MATCH($B313,'Parametri Modello'!$A$57:$A$60,0))=0,0,($O313/INDEX('Parametri Modello'!$F$57:$F$60,MATCH($B313,'Parametri Modello'!$A$57:$A$60,0)))*((1-INDEX('Parametri Modello'!$D$57:$D$60,MATCH($B313,'Parametri Modello'!$A$57:$A$60,0)))*(INDEX('Parametri Modello'!$B$50:$B$53,MATCH($B313,'Parametri Modello'!$A$50:$A$53,0))*'Parametri Modello'!$B$44))))*(1+IF(IF($B313="D",'Info Lega'!$B$25,IF($B313="C",'Info Lega'!$B$26,"No"))="Si",'Parametri Modello'!$B$5,0))*(1+MAX(-0.25,MIN(0.25,IF(OR($T313="",$I313="",$I313=0,INDEX('Parametri Modello'!$B$19:$B$22,MATCH($B313,'Parametri Modello'!$A$19:$A$22,0))="",INDEX('Parametri Modello'!$B$19:$B$22,MATCH($B313,'Parametri Modello'!$A$19:$A$22,0))=0),0,(($T313-INDEX('Parametri Modello'!$B$19:$B$22,MATCH($B313,'Parametri Modello'!$A$19:$A$22,0)))/INDEX('Parametri Modello'!$B$19:$B$22,MATCH($B313,'Parametri Modello'!$A$19:$A$22,0)))*'Parametri Modello'!$B$9))))*(1+IF('Parametri Modello'!$B$27="Si",MAX(-'Parametri Modello'!$B$28,MIN('Parametri Modello'!$B$28*1.5,IF(OR(INDEX('Parametri Modello'!$F$32:$F$35,MATCH($B313,'Parametri Modello'!$A$32:$A$35,0))="",INDEX('Parametri Modello'!$F$32:$F$35,MATCH($B313,'Parametri Modello'!$A$32:$A$35,0))=0),0,(1/INDEX('Parametri Modello'!$F$32:$F$35,MATCH($B313,'Parametri Modello'!$A$32:$A$35,0))-1)*'Parametri Modello'!$B$28))),0)))*(1-INDEX('Parametri Modello'!$B$12:$B$15,MATCH($B313,'Parametri Modello'!$A$12:$A$15,0)))),0),"")</f>
        <v>1</v>
      </c>
      <c r="H313" s="24">
        <f>IFERROR(ROUND((IF($V313&lt;=INDEX('Parametri Modello'!$C$57:$C$60,MATCH($B313,'Parametri Modello'!$A$57:$A$60,0)),IF(INDEX('Parametri Modello'!$E$57:$E$60,MATCH($B313,'Parametri Modello'!$A$57:$A$60,0))=0,0,($O313/INDEX('Parametri Modello'!$E$57:$E$60,MATCH($B313,'Parametri Modello'!$A$57:$A$60,0)))*(INDEX('Parametri Modello'!$D$57:$D$60,MATCH($B313,'Parametri Modello'!$A$57:$A$60,0))*(INDEX('Parametri Modello'!$B$50:$B$53,MATCH($B313,'Parametri Modello'!$A$50:$A$53,0))*'Parametri Modello'!$B$44))),IF(INDEX('Parametri Modello'!$F$57:$F$60,MATCH($B313,'Parametri Modello'!$A$57:$A$60,0))=0,0,($O313/INDEX('Parametri Modello'!$F$57:$F$60,MATCH($B313,'Parametri Modello'!$A$57:$A$60,0)))*((1-INDEX('Parametri Modello'!$D$57:$D$60,MATCH($B313,'Parametri Modello'!$A$57:$A$60,0)))*(INDEX('Parametri Modello'!$B$50:$B$53,MATCH($B313,'Parametri Modello'!$A$50:$A$53,0))*'Parametri Modello'!$B$44))))*(1+IF(IF($B313="D",'Info Lega'!$B$25,IF($B313="C",'Info Lega'!$B$26,"No"))="Si",'Parametri Modello'!$B$5,0))*(1+MAX(-0.25,MIN(0.25,IF(OR($T313="",$I313="",$I313=0,INDEX('Parametri Modello'!$B$19:$B$22,MATCH($B313,'Parametri Modello'!$A$19:$A$22,0))="",INDEX('Parametri Modello'!$B$19:$B$22,MATCH($B313,'Parametri Modello'!$A$19:$A$22,0))=0),0,(($T313-INDEX('Parametri Modello'!$B$19:$B$22,MATCH($B313,'Parametri Modello'!$A$19:$A$22,0)))/INDEX('Parametri Modello'!$B$19:$B$22,MATCH($B313,'Parametri Modello'!$A$19:$A$22,0)))*'Parametri Modello'!$B$9))))*(1+IF('Parametri Modello'!$B$27="Si",MAX(-'Parametri Modello'!$B$28,MIN('Parametri Modello'!$B$28*1.5,IF(OR(INDEX('Parametri Modello'!$F$32:$F$35,MATCH($B313,'Parametri Modello'!$A$32:$A$35,0))="",INDEX('Parametri Modello'!$F$32:$F$35,MATCH($B313,'Parametri Modello'!$A$32:$A$35,0))=0),0,(1/INDEX('Parametri Modello'!$F$32:$F$35,MATCH($B313,'Parametri Modello'!$A$32:$A$35,0))-1)*'Parametri Modello'!$B$28))),0)))*(1+INDEX('Parametri Modello'!$B$12:$B$15,MATCH($B313,'Parametri Modello'!$A$12:$A$15,0))),0),"")</f>
        <v>2</v>
      </c>
      <c r="I313" s="23">
        <f>IFERROR(INDEX('Input Statistiche 2025_26'!$F$3:$F$665,MATCH($A313,'Input Statistiche 2025_26'!$A$3:$A$665,0)),"")</f>
        <v>19</v>
      </c>
      <c r="J313" s="23">
        <f t="shared" si="36"/>
        <v>19</v>
      </c>
      <c r="K313" s="23">
        <f>IFERROR(INDEX('Input Statistiche 2025_26'!$I$3:$I$665,MATCH($A313,'Input Statistiche 2025_26'!$A$3:$A$665,0)),"")</f>
        <v>1</v>
      </c>
      <c r="L313" s="23">
        <f>IFERROR(INDEX('Input Statistiche 2025_26'!$O$3:$O$665,MATCH($A313,'Input Statistiche 2025_26'!$A$3:$A$665,0)),"")</f>
        <v>2</v>
      </c>
      <c r="M313" s="25"/>
      <c r="N313" s="24">
        <f>IFERROR(INDEX('Input Giocatori 2026_27'!$E$3:$E$493,MATCH($A313,'Input Giocatori 2026_27'!$A$3:$A$493,0)),"")</f>
        <v>4</v>
      </c>
      <c r="O313" s="24">
        <f>IFERROR(INDEX('Input Giocatori 2026_27'!$G$3:$G$493,MATCH($A313,'Input Giocatori 2026_27'!$A$3:$A$493,0)),"")</f>
        <v>10</v>
      </c>
      <c r="P313" s="23" t="str">
        <f>IFERROR(IF($O313="","",IF((1-(COUNTIFS($B$2:$B$492,$B313,$O$2:$O$492,"&gt;"&amp;$O313)+1-1)/COUNTIF($B$2:$B$492,$B313))&gt;='Parametri Modello'!$B$63,"Top",IF((1-(COUNTIFS($B$2:$B$492,$B313,$O$2:$O$492,"&gt;"&amp;$O313)+1-1)/COUNTIF($B$2:$B$492,$B313))&gt;='Parametri Modello'!$B$64,"Buono",IF((1-(COUNTIFS($B$2:$B$492,$B313,$O$2:$O$492,"&gt;"&amp;$O313)+1-1)/COUNTIF($B$2:$B$492,$B313))&gt;='Parametri Modello'!$B$65,"Nella Media","Scommessa/Riserva")))),"")</f>
        <v>Nella Media</v>
      </c>
      <c r="Q313" s="26">
        <f>IF(AND($D313="",$N313&gt;1),SUMPRODUCT(($D$2:$D313="")*($N$2:$N313&gt;1)),"")</f>
        <v>312</v>
      </c>
      <c r="R313" s="26" t="str">
        <f>IF($D313='Info Lega'!$B$28,COUNTIFS($D$2:$D313,'Info Lega'!$B$28),"")</f>
        <v/>
      </c>
      <c r="S313" s="27">
        <f>IFERROR(INDEX('Input Statistiche 2025_26'!$G$3:$G$665,MATCH($A313,'Input Statistiche 2025_26'!$A$3:$A$665,0)),"")</f>
        <v>6.05</v>
      </c>
      <c r="T313" s="27">
        <f>IFERROR(INDEX('Input Statistiche 2025_26'!$H$3:$H$665,MATCH($A313,'Input Statistiche 2025_26'!$A$3:$A$665,0)),"")</f>
        <v>6.29</v>
      </c>
      <c r="U313" s="23" t="str">
        <f>IF(OR('La Mia Rosa'!$O$12="",$D313&lt;&gt;""),"",IF($F313&lt;='La Mia Rosa'!$O$12*'Parametri Modello'!$B$24,"OK",IF($F313&lt;='La Mia Rosa'!$O$12*'Parametri Modello'!$B$25,"Attenzione","Rischio Alto")))</f>
        <v>OK</v>
      </c>
      <c r="V313" s="23">
        <f t="shared" si="37"/>
        <v>99</v>
      </c>
      <c r="W313" s="18">
        <f>'Info Lega'!$B$4-SUMIFS($M$2:$M$492,$D$2:$D$492,'Info Lega'!$B$28)</f>
        <v>1000</v>
      </c>
      <c r="X313" s="18">
        <f>('Info Lega'!$B$5-COUNTIFS($D$2:$D$492,'Info Lega'!$B$28,$B$2:$B$492,"P"))+('Info Lega'!$B$6-COUNTIFS($D$2:$D$492,'Info Lega'!$B$28,$B$2:$B$492,"D"))+('Info Lega'!$B$7-COUNTIFS($D$2:$D$492,'Info Lega'!$B$28,$B$2:$B$492,"C"))+('Info Lega'!$B$8-COUNTIFS($D$2:$D$492,'Info Lega'!$B$28,$B$2:$B$492,"A"))</f>
        <v>25</v>
      </c>
      <c r="Y313" s="18">
        <f>X313*'Parametri Modello'!$B$30</f>
        <v>25</v>
      </c>
      <c r="Z313" s="18">
        <f t="shared" si="38"/>
        <v>975</v>
      </c>
      <c r="AA313" s="18">
        <f t="shared" si="39"/>
        <v>2</v>
      </c>
      <c r="AB313" s="18"/>
      <c r="AC313" s="18" t="str">
        <f>IF($AB313="","",IF($AB313&gt;$AA313,"PASS",IF($AB313&lt;=$AA313*(1-'Parametri Modello'!$B$68),"BID","ATTENZIONE")))</f>
        <v/>
      </c>
      <c r="AD313" s="28">
        <f t="shared" si="40"/>
        <v>47</v>
      </c>
      <c r="AE313" s="5" t="str">
        <f>IFERROR(INDEX('Stato Asta'!$G$9:$G$12,MATCH($B313,'Stato Asta'!$A$9:$A$12,0)),"")</f>
        <v>🔴 Non aspettare</v>
      </c>
      <c r="AF313" t="str">
        <f>IFERROR(IF($V313&lt;=INDEX('Parametri Modello'!$C$57:$C$60,MATCH($B313,'Parametri Modello'!$A$57:$A$60,0)),"Titolare","Riserva"),"")</f>
        <v>Riserva</v>
      </c>
      <c r="AG313" t="str">
        <f>IFERROR(INDEX('Pressione Competitiva'!$F$3:$F$6,MATCH($B313,'Pressione Competitiva'!$B$3:$B$6,0)),"")</f>
        <v>🔴 Molto Alta</v>
      </c>
      <c r="AH313" t="str">
        <f t="shared" si="41"/>
        <v/>
      </c>
      <c r="AI313" t="str">
        <f>IFERROR(IF($AH313="","",IF($AH313&gt;=$AA313*'Parametri Modello'!$B$68,"🟢 Opportunita'",IF($AH313&lt;=$AA313*'Parametri Modello'!$B$69,"🔴 Sovrapprezzo","🟡 Prezzo Corretto"))),"")</f>
        <v/>
      </c>
      <c r="AJ313" t="str">
        <f t="shared" si="42"/>
        <v/>
      </c>
      <c r="AK313">
        <f t="shared" si="43"/>
        <v>44</v>
      </c>
      <c r="AL313" t="str">
        <f t="shared" si="44"/>
        <v>D|Nella Media|44</v>
      </c>
    </row>
    <row r="314" spans="1:38" ht="14.25" customHeight="1" x14ac:dyDescent="0.25">
      <c r="A314" s="18">
        <v>7538</v>
      </c>
      <c r="B314" s="18" t="s">
        <v>16</v>
      </c>
      <c r="C314" s="18" t="s">
        <v>453</v>
      </c>
      <c r="E314" s="23" t="str">
        <f>IF(COUNTIF('Info Strategia'!$D$2:$D$51,$C314)&gt;0,"SI","NO")</f>
        <v>NO</v>
      </c>
      <c r="F314" s="24">
        <f>IFERROR(ROUND(($G314+($H314-$G314)*'Info Strategia'!$B$6)*(1+IF($E314="SI",'Parametri Modello'!$B$7*'Info Strategia'!$B$6,0)),0),"")</f>
        <v>2</v>
      </c>
      <c r="G314" s="24">
        <f>IFERROR(ROUND(MAX(1,(IF($V314&lt;=INDEX('Parametri Modello'!$C$57:$C$60,MATCH($B314,'Parametri Modello'!$A$57:$A$60,0)),IF(INDEX('Parametri Modello'!$E$57:$E$60,MATCH($B314,'Parametri Modello'!$A$57:$A$60,0))=0,0,($O314/INDEX('Parametri Modello'!$E$57:$E$60,MATCH($B314,'Parametri Modello'!$A$57:$A$60,0)))*(INDEX('Parametri Modello'!$D$57:$D$60,MATCH($B314,'Parametri Modello'!$A$57:$A$60,0))*(INDEX('Parametri Modello'!$B$50:$B$53,MATCH($B314,'Parametri Modello'!$A$50:$A$53,0))*'Parametri Modello'!$B$44))),IF(INDEX('Parametri Modello'!$F$57:$F$60,MATCH($B314,'Parametri Modello'!$A$57:$A$60,0))=0,0,($O314/INDEX('Parametri Modello'!$F$57:$F$60,MATCH($B314,'Parametri Modello'!$A$57:$A$60,0)))*((1-INDEX('Parametri Modello'!$D$57:$D$60,MATCH($B314,'Parametri Modello'!$A$57:$A$60,0)))*(INDEX('Parametri Modello'!$B$50:$B$53,MATCH($B314,'Parametri Modello'!$A$50:$A$53,0))*'Parametri Modello'!$B$44))))*(1+IF(IF($B314="D",'Info Lega'!$B$25,IF($B314="C",'Info Lega'!$B$26,"No"))="Si",'Parametri Modello'!$B$5,0))*(1+MAX(-0.25,MIN(0.25,IF(OR($T314="",$I314="",$I314=0,INDEX('Parametri Modello'!$B$19:$B$22,MATCH($B314,'Parametri Modello'!$A$19:$A$22,0))="",INDEX('Parametri Modello'!$B$19:$B$22,MATCH($B314,'Parametri Modello'!$A$19:$A$22,0))=0),0,(($T314-INDEX('Parametri Modello'!$B$19:$B$22,MATCH($B314,'Parametri Modello'!$A$19:$A$22,0)))/INDEX('Parametri Modello'!$B$19:$B$22,MATCH($B314,'Parametri Modello'!$A$19:$A$22,0)))*'Parametri Modello'!$B$9))))*(1+IF('Parametri Modello'!$B$27="Si",MAX(-'Parametri Modello'!$B$28,MIN('Parametri Modello'!$B$28*1.5,IF(OR(INDEX('Parametri Modello'!$F$32:$F$35,MATCH($B314,'Parametri Modello'!$A$32:$A$35,0))="",INDEX('Parametri Modello'!$F$32:$F$35,MATCH($B314,'Parametri Modello'!$A$32:$A$35,0))=0),0,(1/INDEX('Parametri Modello'!$F$32:$F$35,MATCH($B314,'Parametri Modello'!$A$32:$A$35,0))-1)*'Parametri Modello'!$B$28))),0)))*(1-INDEX('Parametri Modello'!$B$12:$B$15,MATCH($B314,'Parametri Modello'!$A$12:$A$15,0)))),0),"")</f>
        <v>1</v>
      </c>
      <c r="H314" s="24">
        <f>IFERROR(ROUND((IF($V314&lt;=INDEX('Parametri Modello'!$C$57:$C$60,MATCH($B314,'Parametri Modello'!$A$57:$A$60,0)),IF(INDEX('Parametri Modello'!$E$57:$E$60,MATCH($B314,'Parametri Modello'!$A$57:$A$60,0))=0,0,($O314/INDEX('Parametri Modello'!$E$57:$E$60,MATCH($B314,'Parametri Modello'!$A$57:$A$60,0)))*(INDEX('Parametri Modello'!$D$57:$D$60,MATCH($B314,'Parametri Modello'!$A$57:$A$60,0))*(INDEX('Parametri Modello'!$B$50:$B$53,MATCH($B314,'Parametri Modello'!$A$50:$A$53,0))*'Parametri Modello'!$B$44))),IF(INDEX('Parametri Modello'!$F$57:$F$60,MATCH($B314,'Parametri Modello'!$A$57:$A$60,0))=0,0,($O314/INDEX('Parametri Modello'!$F$57:$F$60,MATCH($B314,'Parametri Modello'!$A$57:$A$60,0)))*((1-INDEX('Parametri Modello'!$D$57:$D$60,MATCH($B314,'Parametri Modello'!$A$57:$A$60,0)))*(INDEX('Parametri Modello'!$B$50:$B$53,MATCH($B314,'Parametri Modello'!$A$50:$A$53,0))*'Parametri Modello'!$B$44))))*(1+IF(IF($B314="D",'Info Lega'!$B$25,IF($B314="C",'Info Lega'!$B$26,"No"))="Si",'Parametri Modello'!$B$5,0))*(1+MAX(-0.25,MIN(0.25,IF(OR($T314="",$I314="",$I314=0,INDEX('Parametri Modello'!$B$19:$B$22,MATCH($B314,'Parametri Modello'!$A$19:$A$22,0))="",INDEX('Parametri Modello'!$B$19:$B$22,MATCH($B314,'Parametri Modello'!$A$19:$A$22,0))=0),0,(($T314-INDEX('Parametri Modello'!$B$19:$B$22,MATCH($B314,'Parametri Modello'!$A$19:$A$22,0)))/INDEX('Parametri Modello'!$B$19:$B$22,MATCH($B314,'Parametri Modello'!$A$19:$A$22,0)))*'Parametri Modello'!$B$9))))*(1+IF('Parametri Modello'!$B$27="Si",MAX(-'Parametri Modello'!$B$28,MIN('Parametri Modello'!$B$28*1.5,IF(OR(INDEX('Parametri Modello'!$F$32:$F$35,MATCH($B314,'Parametri Modello'!$A$32:$A$35,0))="",INDEX('Parametri Modello'!$F$32:$F$35,MATCH($B314,'Parametri Modello'!$A$32:$A$35,0))=0),0,(1/INDEX('Parametri Modello'!$F$32:$F$35,MATCH($B314,'Parametri Modello'!$A$32:$A$35,0))-1)*'Parametri Modello'!$B$28))),0)))*(1+INDEX('Parametri Modello'!$B$12:$B$15,MATCH($B314,'Parametri Modello'!$A$12:$A$15,0))),0),"")</f>
        <v>2</v>
      </c>
      <c r="I314" s="23" t="str">
        <f>IFERROR(INDEX('Input Statistiche 2025_26'!$F$3:$F$665,MATCH($A314,'Input Statistiche 2025_26'!$A$3:$A$665,0)),"")</f>
        <v/>
      </c>
      <c r="J314" s="23" t="str">
        <f t="shared" si="36"/>
        <v/>
      </c>
      <c r="K314" s="23" t="str">
        <f>IFERROR(INDEX('Input Statistiche 2025_26'!$I$3:$I$665,MATCH($A314,'Input Statistiche 2025_26'!$A$3:$A$665,0)),"")</f>
        <v/>
      </c>
      <c r="L314" s="23" t="str">
        <f>IFERROR(INDEX('Input Statistiche 2025_26'!$O$3:$O$665,MATCH($A314,'Input Statistiche 2025_26'!$A$3:$A$665,0)),"")</f>
        <v/>
      </c>
      <c r="M314" s="25"/>
      <c r="N314" s="24">
        <f>IFERROR(INDEX('Input Giocatori 2026_27'!$E$3:$E$493,MATCH($A314,'Input Giocatori 2026_27'!$A$3:$A$493,0)),"")</f>
        <v>4</v>
      </c>
      <c r="O314" s="24">
        <f>IFERROR(INDEX('Input Giocatori 2026_27'!$G$3:$G$493,MATCH($A314,'Input Giocatori 2026_27'!$A$3:$A$493,0)),"")</f>
        <v>10</v>
      </c>
      <c r="P314" s="23" t="str">
        <f>IFERROR(IF($O314="","",IF((1-(COUNTIFS($B$2:$B$492,$B314,$O$2:$O$492,"&gt;"&amp;$O314)+1-1)/COUNTIF($B$2:$B$492,$B314))&gt;='Parametri Modello'!$B$63,"Top",IF((1-(COUNTIFS($B$2:$B$492,$B314,$O$2:$O$492,"&gt;"&amp;$O314)+1-1)/COUNTIF($B$2:$B$492,$B314))&gt;='Parametri Modello'!$B$64,"Buono",IF((1-(COUNTIFS($B$2:$B$492,$B314,$O$2:$O$492,"&gt;"&amp;$O314)+1-1)/COUNTIF($B$2:$B$492,$B314))&gt;='Parametri Modello'!$B$65,"Nella Media","Scommessa/Riserva")))),"")</f>
        <v>Nella Media</v>
      </c>
      <c r="Q314" s="26">
        <f>IF(AND($D314="",$N314&gt;1),SUMPRODUCT(($D$2:$D314="")*($N$2:$N314&gt;1)),"")</f>
        <v>313</v>
      </c>
      <c r="R314" s="26" t="str">
        <f>IF($D314='Info Lega'!$B$28,COUNTIFS($D$2:$D314,'Info Lega'!$B$28),"")</f>
        <v/>
      </c>
      <c r="S314" s="27" t="str">
        <f>IFERROR(INDEX('Input Statistiche 2025_26'!$G$3:$G$665,MATCH($A314,'Input Statistiche 2025_26'!$A$3:$A$665,0)),"")</f>
        <v/>
      </c>
      <c r="T314" s="27" t="str">
        <f>IFERROR(INDEX('Input Statistiche 2025_26'!$H$3:$H$665,MATCH($A314,'Input Statistiche 2025_26'!$A$3:$A$665,0)),"")</f>
        <v/>
      </c>
      <c r="U314" s="23" t="str">
        <f>IF(OR('La Mia Rosa'!$O$12="",$D314&lt;&gt;""),"",IF($F314&lt;='La Mia Rosa'!$O$12*'Parametri Modello'!$B$24,"OK",IF($F314&lt;='La Mia Rosa'!$O$12*'Parametri Modello'!$B$25,"Attenzione","Rischio Alto")))</f>
        <v>OK</v>
      </c>
      <c r="V314" s="23">
        <f t="shared" si="37"/>
        <v>99</v>
      </c>
      <c r="W314" s="18">
        <f>'Info Lega'!$B$4-SUMIFS($M$2:$M$492,$D$2:$D$492,'Info Lega'!$B$28)</f>
        <v>1000</v>
      </c>
      <c r="X314" s="18">
        <f>('Info Lega'!$B$5-COUNTIFS($D$2:$D$492,'Info Lega'!$B$28,$B$2:$B$492,"P"))+('Info Lega'!$B$6-COUNTIFS($D$2:$D$492,'Info Lega'!$B$28,$B$2:$B$492,"D"))+('Info Lega'!$B$7-COUNTIFS($D$2:$D$492,'Info Lega'!$B$28,$B$2:$B$492,"C"))+('Info Lega'!$B$8-COUNTIFS($D$2:$D$492,'Info Lega'!$B$28,$B$2:$B$492,"A"))</f>
        <v>25</v>
      </c>
      <c r="Y314" s="18">
        <f>X314*'Parametri Modello'!$B$30</f>
        <v>25</v>
      </c>
      <c r="Z314" s="18">
        <f t="shared" si="38"/>
        <v>975</v>
      </c>
      <c r="AA314" s="18">
        <f t="shared" si="39"/>
        <v>2</v>
      </c>
      <c r="AB314" s="18"/>
      <c r="AC314" s="18" t="str">
        <f>IF($AB314="","",IF($AB314&gt;$AA314,"PASS",IF($AB314&lt;=$AA314*(1-'Parametri Modello'!$B$68),"BID","ATTENZIONE")))</f>
        <v/>
      </c>
      <c r="AD314" s="28" t="str">
        <f t="shared" si="40"/>
        <v/>
      </c>
      <c r="AE314" s="5" t="str">
        <f>IFERROR(INDEX('Stato Asta'!$G$9:$G$12,MATCH($B314,'Stato Asta'!$A$9:$A$12,0)),"")</f>
        <v>🔴 Non aspettare</v>
      </c>
      <c r="AF314" t="str">
        <f>IFERROR(IF($V314&lt;=INDEX('Parametri Modello'!$C$57:$C$60,MATCH($B314,'Parametri Modello'!$A$57:$A$60,0)),"Titolare","Riserva"),"")</f>
        <v>Riserva</v>
      </c>
      <c r="AG314" t="str">
        <f>IFERROR(INDEX('Pressione Competitiva'!$F$3:$F$6,MATCH($B314,'Pressione Competitiva'!$B$3:$B$6,0)),"")</f>
        <v>🔴 Molto Alta</v>
      </c>
      <c r="AH314" t="str">
        <f t="shared" si="41"/>
        <v/>
      </c>
      <c r="AI314" t="str">
        <f>IFERROR(IF($AH314="","",IF($AH314&gt;=$AA314*'Parametri Modello'!$B$68,"🟢 Opportunita'",IF($AH314&lt;=$AA314*'Parametri Modello'!$B$69,"🔴 Sovrapprezzo","🟡 Prezzo Corretto"))),"")</f>
        <v/>
      </c>
      <c r="AJ314" t="str">
        <f t="shared" si="42"/>
        <v/>
      </c>
      <c r="AK314">
        <f t="shared" si="43"/>
        <v>44</v>
      </c>
      <c r="AL314" t="str">
        <f t="shared" si="44"/>
        <v>D|Nella Media|44</v>
      </c>
    </row>
    <row r="315" spans="1:38" ht="14.25" customHeight="1" x14ac:dyDescent="0.25">
      <c r="A315" s="18">
        <v>7268</v>
      </c>
      <c r="B315" s="18" t="s">
        <v>16</v>
      </c>
      <c r="C315" s="18" t="s">
        <v>454</v>
      </c>
      <c r="E315" s="23" t="str">
        <f>IF(COUNTIF('Info Strategia'!$D$2:$D$51,$C315)&gt;0,"SI","NO")</f>
        <v>NO</v>
      </c>
      <c r="F315" s="24">
        <f>IFERROR(ROUND(($G315+($H315-$G315)*'Info Strategia'!$B$6)*(1+IF($E315="SI",'Parametri Modello'!$B$7*'Info Strategia'!$B$6,0)),0),"")</f>
        <v>2</v>
      </c>
      <c r="G315" s="24">
        <f>IFERROR(ROUND(MAX(1,(IF($V315&lt;=INDEX('Parametri Modello'!$C$57:$C$60,MATCH($B315,'Parametri Modello'!$A$57:$A$60,0)),IF(INDEX('Parametri Modello'!$E$57:$E$60,MATCH($B315,'Parametri Modello'!$A$57:$A$60,0))=0,0,($O315/INDEX('Parametri Modello'!$E$57:$E$60,MATCH($B315,'Parametri Modello'!$A$57:$A$60,0)))*(INDEX('Parametri Modello'!$D$57:$D$60,MATCH($B315,'Parametri Modello'!$A$57:$A$60,0))*(INDEX('Parametri Modello'!$B$50:$B$53,MATCH($B315,'Parametri Modello'!$A$50:$A$53,0))*'Parametri Modello'!$B$44))),IF(INDEX('Parametri Modello'!$F$57:$F$60,MATCH($B315,'Parametri Modello'!$A$57:$A$60,0))=0,0,($O315/INDEX('Parametri Modello'!$F$57:$F$60,MATCH($B315,'Parametri Modello'!$A$57:$A$60,0)))*((1-INDEX('Parametri Modello'!$D$57:$D$60,MATCH($B315,'Parametri Modello'!$A$57:$A$60,0)))*(INDEX('Parametri Modello'!$B$50:$B$53,MATCH($B315,'Parametri Modello'!$A$50:$A$53,0))*'Parametri Modello'!$B$44))))*(1+IF(IF($B315="D",'Info Lega'!$B$25,IF($B315="C",'Info Lega'!$B$26,"No"))="Si",'Parametri Modello'!$B$5,0))*(1+MAX(-0.25,MIN(0.25,IF(OR($T315="",$I315="",$I315=0,INDEX('Parametri Modello'!$B$19:$B$22,MATCH($B315,'Parametri Modello'!$A$19:$A$22,0))="",INDEX('Parametri Modello'!$B$19:$B$22,MATCH($B315,'Parametri Modello'!$A$19:$A$22,0))=0),0,(($T315-INDEX('Parametri Modello'!$B$19:$B$22,MATCH($B315,'Parametri Modello'!$A$19:$A$22,0)))/INDEX('Parametri Modello'!$B$19:$B$22,MATCH($B315,'Parametri Modello'!$A$19:$A$22,0)))*'Parametri Modello'!$B$9))))*(1+IF('Parametri Modello'!$B$27="Si",MAX(-'Parametri Modello'!$B$28,MIN('Parametri Modello'!$B$28*1.5,IF(OR(INDEX('Parametri Modello'!$F$32:$F$35,MATCH($B315,'Parametri Modello'!$A$32:$A$35,0))="",INDEX('Parametri Modello'!$F$32:$F$35,MATCH($B315,'Parametri Modello'!$A$32:$A$35,0))=0),0,(1/INDEX('Parametri Modello'!$F$32:$F$35,MATCH($B315,'Parametri Modello'!$A$32:$A$35,0))-1)*'Parametri Modello'!$B$28))),0)))*(1-INDEX('Parametri Modello'!$B$12:$B$15,MATCH($B315,'Parametri Modello'!$A$12:$A$15,0)))),0),"")</f>
        <v>1</v>
      </c>
      <c r="H315" s="24">
        <f>IFERROR(ROUND((IF($V315&lt;=INDEX('Parametri Modello'!$C$57:$C$60,MATCH($B315,'Parametri Modello'!$A$57:$A$60,0)),IF(INDEX('Parametri Modello'!$E$57:$E$60,MATCH($B315,'Parametri Modello'!$A$57:$A$60,0))=0,0,($O315/INDEX('Parametri Modello'!$E$57:$E$60,MATCH($B315,'Parametri Modello'!$A$57:$A$60,0)))*(INDEX('Parametri Modello'!$D$57:$D$60,MATCH($B315,'Parametri Modello'!$A$57:$A$60,0))*(INDEX('Parametri Modello'!$B$50:$B$53,MATCH($B315,'Parametri Modello'!$A$50:$A$53,0))*'Parametri Modello'!$B$44))),IF(INDEX('Parametri Modello'!$F$57:$F$60,MATCH($B315,'Parametri Modello'!$A$57:$A$60,0))=0,0,($O315/INDEX('Parametri Modello'!$F$57:$F$60,MATCH($B315,'Parametri Modello'!$A$57:$A$60,0)))*((1-INDEX('Parametri Modello'!$D$57:$D$60,MATCH($B315,'Parametri Modello'!$A$57:$A$60,0)))*(INDEX('Parametri Modello'!$B$50:$B$53,MATCH($B315,'Parametri Modello'!$A$50:$A$53,0))*'Parametri Modello'!$B$44))))*(1+IF(IF($B315="D",'Info Lega'!$B$25,IF($B315="C",'Info Lega'!$B$26,"No"))="Si",'Parametri Modello'!$B$5,0))*(1+MAX(-0.25,MIN(0.25,IF(OR($T315="",$I315="",$I315=0,INDEX('Parametri Modello'!$B$19:$B$22,MATCH($B315,'Parametri Modello'!$A$19:$A$22,0))="",INDEX('Parametri Modello'!$B$19:$B$22,MATCH($B315,'Parametri Modello'!$A$19:$A$22,0))=0),0,(($T315-INDEX('Parametri Modello'!$B$19:$B$22,MATCH($B315,'Parametri Modello'!$A$19:$A$22,0)))/INDEX('Parametri Modello'!$B$19:$B$22,MATCH($B315,'Parametri Modello'!$A$19:$A$22,0)))*'Parametri Modello'!$B$9))))*(1+IF('Parametri Modello'!$B$27="Si",MAX(-'Parametri Modello'!$B$28,MIN('Parametri Modello'!$B$28*1.5,IF(OR(INDEX('Parametri Modello'!$F$32:$F$35,MATCH($B315,'Parametri Modello'!$A$32:$A$35,0))="",INDEX('Parametri Modello'!$F$32:$F$35,MATCH($B315,'Parametri Modello'!$A$32:$A$35,0))=0),0,(1/INDEX('Parametri Modello'!$F$32:$F$35,MATCH($B315,'Parametri Modello'!$A$32:$A$35,0))-1)*'Parametri Modello'!$B$28))),0)))*(1+INDEX('Parametri Modello'!$B$12:$B$15,MATCH($B315,'Parametri Modello'!$A$12:$A$15,0))),0),"")</f>
        <v>2</v>
      </c>
      <c r="I315" s="23">
        <f>IFERROR(INDEX('Input Statistiche 2025_26'!$F$3:$F$665,MATCH($A315,'Input Statistiche 2025_26'!$A$3:$A$665,0)),"")</f>
        <v>16</v>
      </c>
      <c r="J315" s="23">
        <f t="shared" si="36"/>
        <v>22</v>
      </c>
      <c r="K315" s="23">
        <f>IFERROR(INDEX('Input Statistiche 2025_26'!$I$3:$I$665,MATCH($A315,'Input Statistiche 2025_26'!$A$3:$A$665,0)),"")</f>
        <v>1</v>
      </c>
      <c r="L315" s="23">
        <f>IFERROR(INDEX('Input Statistiche 2025_26'!$O$3:$O$665,MATCH($A315,'Input Statistiche 2025_26'!$A$3:$A$665,0)),"")</f>
        <v>0</v>
      </c>
      <c r="M315" s="25"/>
      <c r="N315" s="24">
        <f>IFERROR(INDEX('Input Giocatori 2026_27'!$E$3:$E$493,MATCH($A315,'Input Giocatori 2026_27'!$A$3:$A$493,0)),"")</f>
        <v>3</v>
      </c>
      <c r="O315" s="24">
        <f>IFERROR(INDEX('Input Giocatori 2026_27'!$G$3:$G$493,MATCH($A315,'Input Giocatori 2026_27'!$A$3:$A$493,0)),"")</f>
        <v>10</v>
      </c>
      <c r="P315" s="23" t="str">
        <f>IFERROR(IF($O315="","",IF((1-(COUNTIFS($B$2:$B$492,$B315,$O$2:$O$492,"&gt;"&amp;$O315)+1-1)/COUNTIF($B$2:$B$492,$B315))&gt;='Parametri Modello'!$B$63,"Top",IF((1-(COUNTIFS($B$2:$B$492,$B315,$O$2:$O$492,"&gt;"&amp;$O315)+1-1)/COUNTIF($B$2:$B$492,$B315))&gt;='Parametri Modello'!$B$64,"Buono",IF((1-(COUNTIFS($B$2:$B$492,$B315,$O$2:$O$492,"&gt;"&amp;$O315)+1-1)/COUNTIF($B$2:$B$492,$B315))&gt;='Parametri Modello'!$B$65,"Nella Media","Scommessa/Riserva")))),"")</f>
        <v>Nella Media</v>
      </c>
      <c r="Q315" s="26">
        <f>IF(AND($D315="",$N315&gt;1),SUMPRODUCT(($D$2:$D315="")*($N$2:$N315&gt;1)),"")</f>
        <v>314</v>
      </c>
      <c r="R315" s="26" t="str">
        <f>IF($D315='Info Lega'!$B$28,COUNTIFS($D$2:$D315,'Info Lega'!$B$28),"")</f>
        <v/>
      </c>
      <c r="S315" s="27">
        <f>IFERROR(INDEX('Input Statistiche 2025_26'!$G$3:$G$665,MATCH($A315,'Input Statistiche 2025_26'!$A$3:$A$665,0)),"")</f>
        <v>5.62</v>
      </c>
      <c r="T315" s="27">
        <f>IFERROR(INDEX('Input Statistiche 2025_26'!$H$3:$H$665,MATCH($A315,'Input Statistiche 2025_26'!$A$3:$A$665,0)),"")</f>
        <v>5.72</v>
      </c>
      <c r="U315" s="23" t="str">
        <f>IF(OR('La Mia Rosa'!$O$12="",$D315&lt;&gt;""),"",IF($F315&lt;='La Mia Rosa'!$O$12*'Parametri Modello'!$B$24,"OK",IF($F315&lt;='La Mia Rosa'!$O$12*'Parametri Modello'!$B$25,"Attenzione","Rischio Alto")))</f>
        <v>OK</v>
      </c>
      <c r="V315" s="23">
        <f t="shared" si="37"/>
        <v>99</v>
      </c>
      <c r="W315" s="18">
        <f>'Info Lega'!$B$4-SUMIFS($M$2:$M$492,$D$2:$D$492,'Info Lega'!$B$28)</f>
        <v>1000</v>
      </c>
      <c r="X315" s="18">
        <f>('Info Lega'!$B$5-COUNTIFS($D$2:$D$492,'Info Lega'!$B$28,$B$2:$B$492,"P"))+('Info Lega'!$B$6-COUNTIFS($D$2:$D$492,'Info Lega'!$B$28,$B$2:$B$492,"D"))+('Info Lega'!$B$7-COUNTIFS($D$2:$D$492,'Info Lega'!$B$28,$B$2:$B$492,"C"))+('Info Lega'!$B$8-COUNTIFS($D$2:$D$492,'Info Lega'!$B$28,$B$2:$B$492,"A"))</f>
        <v>25</v>
      </c>
      <c r="Y315" s="18">
        <f>X315*'Parametri Modello'!$B$30</f>
        <v>25</v>
      </c>
      <c r="Z315" s="18">
        <f t="shared" si="38"/>
        <v>975</v>
      </c>
      <c r="AA315" s="18">
        <f t="shared" si="39"/>
        <v>2</v>
      </c>
      <c r="AB315" s="18"/>
      <c r="AC315" s="18" t="str">
        <f>IF($AB315="","",IF($AB315&gt;$AA315,"PASS",IF($AB315&lt;=$AA315*(1-'Parametri Modello'!$B$68),"BID","ATTENZIONE")))</f>
        <v/>
      </c>
      <c r="AD315" s="28">
        <f t="shared" si="40"/>
        <v>41</v>
      </c>
      <c r="AE315" s="5" t="str">
        <f>IFERROR(INDEX('Stato Asta'!$G$9:$G$12,MATCH($B315,'Stato Asta'!$A$9:$A$12,0)),"")</f>
        <v>🔴 Non aspettare</v>
      </c>
      <c r="AF315" t="str">
        <f>IFERROR(IF($V315&lt;=INDEX('Parametri Modello'!$C$57:$C$60,MATCH($B315,'Parametri Modello'!$A$57:$A$60,0)),"Titolare","Riserva"),"")</f>
        <v>Riserva</v>
      </c>
      <c r="AG315" t="str">
        <f>IFERROR(INDEX('Pressione Competitiva'!$F$3:$F$6,MATCH($B315,'Pressione Competitiva'!$B$3:$B$6,0)),"")</f>
        <v>🔴 Molto Alta</v>
      </c>
      <c r="AH315" t="str">
        <f t="shared" si="41"/>
        <v/>
      </c>
      <c r="AI315" t="str">
        <f>IFERROR(IF($AH315="","",IF($AH315&gt;=$AA315*'Parametri Modello'!$B$68,"🟢 Opportunita'",IF($AH315&lt;=$AA315*'Parametri Modello'!$B$69,"🔴 Sovrapprezzo","🟡 Prezzo Corretto"))),"")</f>
        <v/>
      </c>
      <c r="AJ315" t="str">
        <f t="shared" si="42"/>
        <v/>
      </c>
      <c r="AK315">
        <f t="shared" si="43"/>
        <v>44</v>
      </c>
      <c r="AL315" t="str">
        <f t="shared" si="44"/>
        <v>D|Nella Media|44</v>
      </c>
    </row>
    <row r="316" spans="1:38" ht="14.25" customHeight="1" x14ac:dyDescent="0.25">
      <c r="A316" s="18">
        <v>7012</v>
      </c>
      <c r="B316" s="18" t="s">
        <v>16</v>
      </c>
      <c r="C316" s="18" t="s">
        <v>455</v>
      </c>
      <c r="E316" s="23" t="str">
        <f>IF(COUNTIF('Info Strategia'!$D$2:$D$51,$C316)&gt;0,"SI","NO")</f>
        <v>NO</v>
      </c>
      <c r="F316" s="24">
        <f>IFERROR(ROUND(($G316+($H316-$G316)*'Info Strategia'!$B$6)*(1+IF($E316="SI",'Parametri Modello'!$B$7*'Info Strategia'!$B$6,0)),0),"")</f>
        <v>2</v>
      </c>
      <c r="G316" s="24">
        <f>IFERROR(ROUND(MAX(1,(IF($V316&lt;=INDEX('Parametri Modello'!$C$57:$C$60,MATCH($B316,'Parametri Modello'!$A$57:$A$60,0)),IF(INDEX('Parametri Modello'!$E$57:$E$60,MATCH($B316,'Parametri Modello'!$A$57:$A$60,0))=0,0,($O316/INDEX('Parametri Modello'!$E$57:$E$60,MATCH($B316,'Parametri Modello'!$A$57:$A$60,0)))*(INDEX('Parametri Modello'!$D$57:$D$60,MATCH($B316,'Parametri Modello'!$A$57:$A$60,0))*(INDEX('Parametri Modello'!$B$50:$B$53,MATCH($B316,'Parametri Modello'!$A$50:$A$53,0))*'Parametri Modello'!$B$44))),IF(INDEX('Parametri Modello'!$F$57:$F$60,MATCH($B316,'Parametri Modello'!$A$57:$A$60,0))=0,0,($O316/INDEX('Parametri Modello'!$F$57:$F$60,MATCH($B316,'Parametri Modello'!$A$57:$A$60,0)))*((1-INDEX('Parametri Modello'!$D$57:$D$60,MATCH($B316,'Parametri Modello'!$A$57:$A$60,0)))*(INDEX('Parametri Modello'!$B$50:$B$53,MATCH($B316,'Parametri Modello'!$A$50:$A$53,0))*'Parametri Modello'!$B$44))))*(1+IF(IF($B316="D",'Info Lega'!$B$25,IF($B316="C",'Info Lega'!$B$26,"No"))="Si",'Parametri Modello'!$B$5,0))*(1+MAX(-0.25,MIN(0.25,IF(OR($T316="",$I316="",$I316=0,INDEX('Parametri Modello'!$B$19:$B$22,MATCH($B316,'Parametri Modello'!$A$19:$A$22,0))="",INDEX('Parametri Modello'!$B$19:$B$22,MATCH($B316,'Parametri Modello'!$A$19:$A$22,0))=0),0,(($T316-INDEX('Parametri Modello'!$B$19:$B$22,MATCH($B316,'Parametri Modello'!$A$19:$A$22,0)))/INDEX('Parametri Modello'!$B$19:$B$22,MATCH($B316,'Parametri Modello'!$A$19:$A$22,0)))*'Parametri Modello'!$B$9))))*(1+IF('Parametri Modello'!$B$27="Si",MAX(-'Parametri Modello'!$B$28,MIN('Parametri Modello'!$B$28*1.5,IF(OR(INDEX('Parametri Modello'!$F$32:$F$35,MATCH($B316,'Parametri Modello'!$A$32:$A$35,0))="",INDEX('Parametri Modello'!$F$32:$F$35,MATCH($B316,'Parametri Modello'!$A$32:$A$35,0))=0),0,(1/INDEX('Parametri Modello'!$F$32:$F$35,MATCH($B316,'Parametri Modello'!$A$32:$A$35,0))-1)*'Parametri Modello'!$B$28))),0)))*(1-INDEX('Parametri Modello'!$B$12:$B$15,MATCH($B316,'Parametri Modello'!$A$12:$A$15,0)))),0),"")</f>
        <v>1</v>
      </c>
      <c r="H316" s="24">
        <f>IFERROR(ROUND((IF($V316&lt;=INDEX('Parametri Modello'!$C$57:$C$60,MATCH($B316,'Parametri Modello'!$A$57:$A$60,0)),IF(INDEX('Parametri Modello'!$E$57:$E$60,MATCH($B316,'Parametri Modello'!$A$57:$A$60,0))=0,0,($O316/INDEX('Parametri Modello'!$E$57:$E$60,MATCH($B316,'Parametri Modello'!$A$57:$A$60,0)))*(INDEX('Parametri Modello'!$D$57:$D$60,MATCH($B316,'Parametri Modello'!$A$57:$A$60,0))*(INDEX('Parametri Modello'!$B$50:$B$53,MATCH($B316,'Parametri Modello'!$A$50:$A$53,0))*'Parametri Modello'!$B$44))),IF(INDEX('Parametri Modello'!$F$57:$F$60,MATCH($B316,'Parametri Modello'!$A$57:$A$60,0))=0,0,($O316/INDEX('Parametri Modello'!$F$57:$F$60,MATCH($B316,'Parametri Modello'!$A$57:$A$60,0)))*((1-INDEX('Parametri Modello'!$D$57:$D$60,MATCH($B316,'Parametri Modello'!$A$57:$A$60,0)))*(INDEX('Parametri Modello'!$B$50:$B$53,MATCH($B316,'Parametri Modello'!$A$50:$A$53,0))*'Parametri Modello'!$B$44))))*(1+IF(IF($B316="D",'Info Lega'!$B$25,IF($B316="C",'Info Lega'!$B$26,"No"))="Si",'Parametri Modello'!$B$5,0))*(1+MAX(-0.25,MIN(0.25,IF(OR($T316="",$I316="",$I316=0,INDEX('Parametri Modello'!$B$19:$B$22,MATCH($B316,'Parametri Modello'!$A$19:$A$22,0))="",INDEX('Parametri Modello'!$B$19:$B$22,MATCH($B316,'Parametri Modello'!$A$19:$A$22,0))=0),0,(($T316-INDEX('Parametri Modello'!$B$19:$B$22,MATCH($B316,'Parametri Modello'!$A$19:$A$22,0)))/INDEX('Parametri Modello'!$B$19:$B$22,MATCH($B316,'Parametri Modello'!$A$19:$A$22,0)))*'Parametri Modello'!$B$9))))*(1+IF('Parametri Modello'!$B$27="Si",MAX(-'Parametri Modello'!$B$28,MIN('Parametri Modello'!$B$28*1.5,IF(OR(INDEX('Parametri Modello'!$F$32:$F$35,MATCH($B316,'Parametri Modello'!$A$32:$A$35,0))="",INDEX('Parametri Modello'!$F$32:$F$35,MATCH($B316,'Parametri Modello'!$A$32:$A$35,0))=0),0,(1/INDEX('Parametri Modello'!$F$32:$F$35,MATCH($B316,'Parametri Modello'!$A$32:$A$35,0))-1)*'Parametri Modello'!$B$28))),0)))*(1+INDEX('Parametri Modello'!$B$12:$B$15,MATCH($B316,'Parametri Modello'!$A$12:$A$15,0))),0),"")</f>
        <v>2</v>
      </c>
      <c r="I316" s="23">
        <f>IFERROR(INDEX('Input Statistiche 2025_26'!$F$3:$F$665,MATCH($A316,'Input Statistiche 2025_26'!$A$3:$A$665,0)),"")</f>
        <v>23</v>
      </c>
      <c r="J316" s="23">
        <f t="shared" si="36"/>
        <v>15</v>
      </c>
      <c r="K316" s="23">
        <f>IFERROR(INDEX('Input Statistiche 2025_26'!$I$3:$I$665,MATCH($A316,'Input Statistiche 2025_26'!$A$3:$A$665,0)),"")</f>
        <v>0</v>
      </c>
      <c r="L316" s="23">
        <f>IFERROR(INDEX('Input Statistiche 2025_26'!$O$3:$O$665,MATCH($A316,'Input Statistiche 2025_26'!$A$3:$A$665,0)),"")</f>
        <v>0</v>
      </c>
      <c r="M316" s="25"/>
      <c r="N316" s="24">
        <f>IFERROR(INDEX('Input Giocatori 2026_27'!$E$3:$E$493,MATCH($A316,'Input Giocatori 2026_27'!$A$3:$A$493,0)),"")</f>
        <v>3</v>
      </c>
      <c r="O316" s="24">
        <f>IFERROR(INDEX('Input Giocatori 2026_27'!$G$3:$G$493,MATCH($A316,'Input Giocatori 2026_27'!$A$3:$A$493,0)),"")</f>
        <v>10</v>
      </c>
      <c r="P316" s="23" t="str">
        <f>IFERROR(IF($O316="","",IF((1-(COUNTIFS($B$2:$B$492,$B316,$O$2:$O$492,"&gt;"&amp;$O316)+1-1)/COUNTIF($B$2:$B$492,$B316))&gt;='Parametri Modello'!$B$63,"Top",IF((1-(COUNTIFS($B$2:$B$492,$B316,$O$2:$O$492,"&gt;"&amp;$O316)+1-1)/COUNTIF($B$2:$B$492,$B316))&gt;='Parametri Modello'!$B$64,"Buono",IF((1-(COUNTIFS($B$2:$B$492,$B316,$O$2:$O$492,"&gt;"&amp;$O316)+1-1)/COUNTIF($B$2:$B$492,$B316))&gt;='Parametri Modello'!$B$65,"Nella Media","Scommessa/Riserva")))),"")</f>
        <v>Nella Media</v>
      </c>
      <c r="Q316" s="26">
        <f>IF(AND($D316="",$N316&gt;1),SUMPRODUCT(($D$2:$D316="")*($N$2:$N316&gt;1)),"")</f>
        <v>315</v>
      </c>
      <c r="R316" s="26" t="str">
        <f>IF($D316='Info Lega'!$B$28,COUNTIFS($D$2:$D316,'Info Lega'!$B$28),"")</f>
        <v/>
      </c>
      <c r="S316" s="27">
        <f>IFERROR(INDEX('Input Statistiche 2025_26'!$G$3:$G$665,MATCH($A316,'Input Statistiche 2025_26'!$A$3:$A$665,0)),"")</f>
        <v>5.91</v>
      </c>
      <c r="T316" s="27">
        <f>IFERROR(INDEX('Input Statistiche 2025_26'!$H$3:$H$665,MATCH($A316,'Input Statistiche 2025_26'!$A$3:$A$665,0)),"")</f>
        <v>5.85</v>
      </c>
      <c r="U316" s="23" t="str">
        <f>IF(OR('La Mia Rosa'!$O$12="",$D316&lt;&gt;""),"",IF($F316&lt;='La Mia Rosa'!$O$12*'Parametri Modello'!$B$24,"OK",IF($F316&lt;='La Mia Rosa'!$O$12*'Parametri Modello'!$B$25,"Attenzione","Rischio Alto")))</f>
        <v>OK</v>
      </c>
      <c r="V316" s="23">
        <f t="shared" si="37"/>
        <v>99</v>
      </c>
      <c r="W316" s="18">
        <f>'Info Lega'!$B$4-SUMIFS($M$2:$M$492,$D$2:$D$492,'Info Lega'!$B$28)</f>
        <v>1000</v>
      </c>
      <c r="X316" s="18">
        <f>('Info Lega'!$B$5-COUNTIFS($D$2:$D$492,'Info Lega'!$B$28,$B$2:$B$492,"P"))+('Info Lega'!$B$6-COUNTIFS($D$2:$D$492,'Info Lega'!$B$28,$B$2:$B$492,"D"))+('Info Lega'!$B$7-COUNTIFS($D$2:$D$492,'Info Lega'!$B$28,$B$2:$B$492,"C"))+('Info Lega'!$B$8-COUNTIFS($D$2:$D$492,'Info Lega'!$B$28,$B$2:$B$492,"A"))</f>
        <v>25</v>
      </c>
      <c r="Y316" s="18">
        <f>X316*'Parametri Modello'!$B$30</f>
        <v>25</v>
      </c>
      <c r="Z316" s="18">
        <f t="shared" si="38"/>
        <v>975</v>
      </c>
      <c r="AA316" s="18">
        <f t="shared" si="39"/>
        <v>2</v>
      </c>
      <c r="AB316" s="18"/>
      <c r="AC316" s="18" t="str">
        <f>IF($AB316="","",IF($AB316&gt;$AA316,"PASS",IF($AB316&lt;=$AA316*(1-'Parametri Modello'!$B$68),"BID","ATTENZIONE")))</f>
        <v/>
      </c>
      <c r="AD316" s="28">
        <f t="shared" si="40"/>
        <v>54</v>
      </c>
      <c r="AE316" s="5" t="str">
        <f>IFERROR(INDEX('Stato Asta'!$G$9:$G$12,MATCH($B316,'Stato Asta'!$A$9:$A$12,0)),"")</f>
        <v>🔴 Non aspettare</v>
      </c>
      <c r="AF316" t="str">
        <f>IFERROR(IF($V316&lt;=INDEX('Parametri Modello'!$C$57:$C$60,MATCH($B316,'Parametri Modello'!$A$57:$A$60,0)),"Titolare","Riserva"),"")</f>
        <v>Riserva</v>
      </c>
      <c r="AG316" t="str">
        <f>IFERROR(INDEX('Pressione Competitiva'!$F$3:$F$6,MATCH($B316,'Pressione Competitiva'!$B$3:$B$6,0)),"")</f>
        <v>🔴 Molto Alta</v>
      </c>
      <c r="AH316" t="str">
        <f t="shared" si="41"/>
        <v/>
      </c>
      <c r="AI316" t="str">
        <f>IFERROR(IF($AH316="","",IF($AH316&gt;=$AA316*'Parametri Modello'!$B$68,"🟢 Opportunita'",IF($AH316&lt;=$AA316*'Parametri Modello'!$B$69,"🔴 Sovrapprezzo","🟡 Prezzo Corretto"))),"")</f>
        <v/>
      </c>
      <c r="AJ316" t="str">
        <f t="shared" si="42"/>
        <v/>
      </c>
      <c r="AK316">
        <f t="shared" si="43"/>
        <v>44</v>
      </c>
      <c r="AL316" t="str">
        <f t="shared" si="44"/>
        <v>D|Nella Media|44</v>
      </c>
    </row>
    <row r="317" spans="1:38" ht="14.25" customHeight="1" x14ac:dyDescent="0.25">
      <c r="A317" s="18">
        <v>7255</v>
      </c>
      <c r="B317" s="18" t="s">
        <v>16</v>
      </c>
      <c r="C317" s="18" t="s">
        <v>456</v>
      </c>
      <c r="E317" s="23" t="str">
        <f>IF(COUNTIF('Info Strategia'!$D$2:$D$51,$C317)&gt;0,"SI","NO")</f>
        <v>NO</v>
      </c>
      <c r="F317" s="24">
        <f>IFERROR(ROUND(($G317+($H317-$G317)*'Info Strategia'!$B$6)*(1+IF($E317="SI",'Parametri Modello'!$B$7*'Info Strategia'!$B$6,0)),0),"")</f>
        <v>2</v>
      </c>
      <c r="G317" s="24">
        <f>IFERROR(ROUND(MAX(1,(IF($V317&lt;=INDEX('Parametri Modello'!$C$57:$C$60,MATCH($B317,'Parametri Modello'!$A$57:$A$60,0)),IF(INDEX('Parametri Modello'!$E$57:$E$60,MATCH($B317,'Parametri Modello'!$A$57:$A$60,0))=0,0,($O317/INDEX('Parametri Modello'!$E$57:$E$60,MATCH($B317,'Parametri Modello'!$A$57:$A$60,0)))*(INDEX('Parametri Modello'!$D$57:$D$60,MATCH($B317,'Parametri Modello'!$A$57:$A$60,0))*(INDEX('Parametri Modello'!$B$50:$B$53,MATCH($B317,'Parametri Modello'!$A$50:$A$53,0))*'Parametri Modello'!$B$44))),IF(INDEX('Parametri Modello'!$F$57:$F$60,MATCH($B317,'Parametri Modello'!$A$57:$A$60,0))=0,0,($O317/INDEX('Parametri Modello'!$F$57:$F$60,MATCH($B317,'Parametri Modello'!$A$57:$A$60,0)))*((1-INDEX('Parametri Modello'!$D$57:$D$60,MATCH($B317,'Parametri Modello'!$A$57:$A$60,0)))*(INDEX('Parametri Modello'!$B$50:$B$53,MATCH($B317,'Parametri Modello'!$A$50:$A$53,0))*'Parametri Modello'!$B$44))))*(1+IF(IF($B317="D",'Info Lega'!$B$25,IF($B317="C",'Info Lega'!$B$26,"No"))="Si",'Parametri Modello'!$B$5,0))*(1+MAX(-0.25,MIN(0.25,IF(OR($T317="",$I317="",$I317=0,INDEX('Parametri Modello'!$B$19:$B$22,MATCH($B317,'Parametri Modello'!$A$19:$A$22,0))="",INDEX('Parametri Modello'!$B$19:$B$22,MATCH($B317,'Parametri Modello'!$A$19:$A$22,0))=0),0,(($T317-INDEX('Parametri Modello'!$B$19:$B$22,MATCH($B317,'Parametri Modello'!$A$19:$A$22,0)))/INDEX('Parametri Modello'!$B$19:$B$22,MATCH($B317,'Parametri Modello'!$A$19:$A$22,0)))*'Parametri Modello'!$B$9))))*(1+IF('Parametri Modello'!$B$27="Si",MAX(-'Parametri Modello'!$B$28,MIN('Parametri Modello'!$B$28*1.5,IF(OR(INDEX('Parametri Modello'!$F$32:$F$35,MATCH($B317,'Parametri Modello'!$A$32:$A$35,0))="",INDEX('Parametri Modello'!$F$32:$F$35,MATCH($B317,'Parametri Modello'!$A$32:$A$35,0))=0),0,(1/INDEX('Parametri Modello'!$F$32:$F$35,MATCH($B317,'Parametri Modello'!$A$32:$A$35,0))-1)*'Parametri Modello'!$B$28))),0)))*(1-INDEX('Parametri Modello'!$B$12:$B$15,MATCH($B317,'Parametri Modello'!$A$12:$A$15,0)))),0),"")</f>
        <v>1</v>
      </c>
      <c r="H317" s="24">
        <f>IFERROR(ROUND((IF($V317&lt;=INDEX('Parametri Modello'!$C$57:$C$60,MATCH($B317,'Parametri Modello'!$A$57:$A$60,0)),IF(INDEX('Parametri Modello'!$E$57:$E$60,MATCH($B317,'Parametri Modello'!$A$57:$A$60,0))=0,0,($O317/INDEX('Parametri Modello'!$E$57:$E$60,MATCH($B317,'Parametri Modello'!$A$57:$A$60,0)))*(INDEX('Parametri Modello'!$D$57:$D$60,MATCH($B317,'Parametri Modello'!$A$57:$A$60,0))*(INDEX('Parametri Modello'!$B$50:$B$53,MATCH($B317,'Parametri Modello'!$A$50:$A$53,0))*'Parametri Modello'!$B$44))),IF(INDEX('Parametri Modello'!$F$57:$F$60,MATCH($B317,'Parametri Modello'!$A$57:$A$60,0))=0,0,($O317/INDEX('Parametri Modello'!$F$57:$F$60,MATCH($B317,'Parametri Modello'!$A$57:$A$60,0)))*((1-INDEX('Parametri Modello'!$D$57:$D$60,MATCH($B317,'Parametri Modello'!$A$57:$A$60,0)))*(INDEX('Parametri Modello'!$B$50:$B$53,MATCH($B317,'Parametri Modello'!$A$50:$A$53,0))*'Parametri Modello'!$B$44))))*(1+IF(IF($B317="D",'Info Lega'!$B$25,IF($B317="C",'Info Lega'!$B$26,"No"))="Si",'Parametri Modello'!$B$5,0))*(1+MAX(-0.25,MIN(0.25,IF(OR($T317="",$I317="",$I317=0,INDEX('Parametri Modello'!$B$19:$B$22,MATCH($B317,'Parametri Modello'!$A$19:$A$22,0))="",INDEX('Parametri Modello'!$B$19:$B$22,MATCH($B317,'Parametri Modello'!$A$19:$A$22,0))=0),0,(($T317-INDEX('Parametri Modello'!$B$19:$B$22,MATCH($B317,'Parametri Modello'!$A$19:$A$22,0)))/INDEX('Parametri Modello'!$B$19:$B$22,MATCH($B317,'Parametri Modello'!$A$19:$A$22,0)))*'Parametri Modello'!$B$9))))*(1+IF('Parametri Modello'!$B$27="Si",MAX(-'Parametri Modello'!$B$28,MIN('Parametri Modello'!$B$28*1.5,IF(OR(INDEX('Parametri Modello'!$F$32:$F$35,MATCH($B317,'Parametri Modello'!$A$32:$A$35,0))="",INDEX('Parametri Modello'!$F$32:$F$35,MATCH($B317,'Parametri Modello'!$A$32:$A$35,0))=0),0,(1/INDEX('Parametri Modello'!$F$32:$F$35,MATCH($B317,'Parametri Modello'!$A$32:$A$35,0))-1)*'Parametri Modello'!$B$28))),0)))*(1+INDEX('Parametri Modello'!$B$12:$B$15,MATCH($B317,'Parametri Modello'!$A$12:$A$15,0))),0),"")</f>
        <v>2</v>
      </c>
      <c r="I317" s="23">
        <f>IFERROR(INDEX('Input Statistiche 2025_26'!$F$3:$F$665,MATCH($A317,'Input Statistiche 2025_26'!$A$3:$A$665,0)),"")</f>
        <v>28</v>
      </c>
      <c r="J317" s="23">
        <f t="shared" si="36"/>
        <v>10</v>
      </c>
      <c r="K317" s="23">
        <f>IFERROR(INDEX('Input Statistiche 2025_26'!$I$3:$I$665,MATCH($A317,'Input Statistiche 2025_26'!$A$3:$A$665,0)),"")</f>
        <v>0</v>
      </c>
      <c r="L317" s="23">
        <f>IFERROR(INDEX('Input Statistiche 2025_26'!$O$3:$O$665,MATCH($A317,'Input Statistiche 2025_26'!$A$3:$A$665,0)),"")</f>
        <v>2</v>
      </c>
      <c r="M317" s="25"/>
      <c r="N317" s="24">
        <f>IFERROR(INDEX('Input Giocatori 2026_27'!$E$3:$E$493,MATCH($A317,'Input Giocatori 2026_27'!$A$3:$A$493,0)),"")</f>
        <v>3</v>
      </c>
      <c r="O317" s="24">
        <f>IFERROR(INDEX('Input Giocatori 2026_27'!$G$3:$G$493,MATCH($A317,'Input Giocatori 2026_27'!$A$3:$A$493,0)),"")</f>
        <v>10</v>
      </c>
      <c r="P317" s="23" t="str">
        <f>IFERROR(IF($O317="","",IF((1-(COUNTIFS($B$2:$B$492,$B317,$O$2:$O$492,"&gt;"&amp;$O317)+1-1)/COUNTIF($B$2:$B$492,$B317))&gt;='Parametri Modello'!$B$63,"Top",IF((1-(COUNTIFS($B$2:$B$492,$B317,$O$2:$O$492,"&gt;"&amp;$O317)+1-1)/COUNTIF($B$2:$B$492,$B317))&gt;='Parametri Modello'!$B$64,"Buono",IF((1-(COUNTIFS($B$2:$B$492,$B317,$O$2:$O$492,"&gt;"&amp;$O317)+1-1)/COUNTIF($B$2:$B$492,$B317))&gt;='Parametri Modello'!$B$65,"Nella Media","Scommessa/Riserva")))),"")</f>
        <v>Nella Media</v>
      </c>
      <c r="Q317" s="26">
        <f>IF(AND($D317="",$N317&gt;1),SUMPRODUCT(($D$2:$D317="")*($N$2:$N317&gt;1)),"")</f>
        <v>316</v>
      </c>
      <c r="R317" s="26" t="str">
        <f>IF($D317='Info Lega'!$B$28,COUNTIFS($D$2:$D317,'Info Lega'!$B$28),"")</f>
        <v/>
      </c>
      <c r="S317" s="27">
        <f>IFERROR(INDEX('Input Statistiche 2025_26'!$G$3:$G$665,MATCH($A317,'Input Statistiche 2025_26'!$A$3:$A$665,0)),"")</f>
        <v>5.75</v>
      </c>
      <c r="T317" s="27">
        <f>IFERROR(INDEX('Input Statistiche 2025_26'!$H$3:$H$665,MATCH($A317,'Input Statistiche 2025_26'!$A$3:$A$665,0)),"")</f>
        <v>5.7</v>
      </c>
      <c r="U317" s="23" t="str">
        <f>IF(OR('La Mia Rosa'!$O$12="",$D317&lt;&gt;""),"",IF($F317&lt;='La Mia Rosa'!$O$12*'Parametri Modello'!$B$24,"OK",IF($F317&lt;='La Mia Rosa'!$O$12*'Parametri Modello'!$B$25,"Attenzione","Rischio Alto")))</f>
        <v>OK</v>
      </c>
      <c r="V317" s="23">
        <f t="shared" si="37"/>
        <v>99</v>
      </c>
      <c r="W317" s="18">
        <f>'Info Lega'!$B$4-SUMIFS($M$2:$M$492,$D$2:$D$492,'Info Lega'!$B$28)</f>
        <v>1000</v>
      </c>
      <c r="X317" s="18">
        <f>('Info Lega'!$B$5-COUNTIFS($D$2:$D$492,'Info Lega'!$B$28,$B$2:$B$492,"P"))+('Info Lega'!$B$6-COUNTIFS($D$2:$D$492,'Info Lega'!$B$28,$B$2:$B$492,"D"))+('Info Lega'!$B$7-COUNTIFS($D$2:$D$492,'Info Lega'!$B$28,$B$2:$B$492,"C"))+('Info Lega'!$B$8-COUNTIFS($D$2:$D$492,'Info Lega'!$B$28,$B$2:$B$492,"A"))</f>
        <v>25</v>
      </c>
      <c r="Y317" s="18">
        <f>X317*'Parametri Modello'!$B$30</f>
        <v>25</v>
      </c>
      <c r="Z317" s="18">
        <f t="shared" si="38"/>
        <v>975</v>
      </c>
      <c r="AA317" s="18">
        <f t="shared" si="39"/>
        <v>2</v>
      </c>
      <c r="AB317" s="18"/>
      <c r="AC317" s="18" t="str">
        <f>IF($AB317="","",IF($AB317&gt;$AA317,"PASS",IF($AB317&lt;=$AA317*(1-'Parametri Modello'!$B$68),"BID","ATTENZIONE")))</f>
        <v/>
      </c>
      <c r="AD317" s="28">
        <f t="shared" si="40"/>
        <v>61</v>
      </c>
      <c r="AE317" s="5" t="str">
        <f>IFERROR(INDEX('Stato Asta'!$G$9:$G$12,MATCH($B317,'Stato Asta'!$A$9:$A$12,0)),"")</f>
        <v>🔴 Non aspettare</v>
      </c>
      <c r="AF317" t="str">
        <f>IFERROR(IF($V317&lt;=INDEX('Parametri Modello'!$C$57:$C$60,MATCH($B317,'Parametri Modello'!$A$57:$A$60,0)),"Titolare","Riserva"),"")</f>
        <v>Riserva</v>
      </c>
      <c r="AG317" t="str">
        <f>IFERROR(INDEX('Pressione Competitiva'!$F$3:$F$6,MATCH($B317,'Pressione Competitiva'!$B$3:$B$6,0)),"")</f>
        <v>🔴 Molto Alta</v>
      </c>
      <c r="AH317" t="str">
        <f t="shared" si="41"/>
        <v/>
      </c>
      <c r="AI317" t="str">
        <f>IFERROR(IF($AH317="","",IF($AH317&gt;=$AA317*'Parametri Modello'!$B$68,"🟢 Opportunita'",IF($AH317&lt;=$AA317*'Parametri Modello'!$B$69,"🔴 Sovrapprezzo","🟡 Prezzo Corretto"))),"")</f>
        <v/>
      </c>
      <c r="AJ317" t="str">
        <f t="shared" si="42"/>
        <v/>
      </c>
      <c r="AK317">
        <f t="shared" si="43"/>
        <v>44</v>
      </c>
      <c r="AL317" t="str">
        <f t="shared" si="44"/>
        <v>D|Nella Media|44</v>
      </c>
    </row>
    <row r="318" spans="1:38" ht="14.25" customHeight="1" x14ac:dyDescent="0.25">
      <c r="A318" s="18">
        <v>6640</v>
      </c>
      <c r="B318" s="18" t="s">
        <v>17</v>
      </c>
      <c r="C318" s="18" t="s">
        <v>457</v>
      </c>
      <c r="E318" s="23" t="str">
        <f>IF(COUNTIF('Info Strategia'!$D$2:$D$51,$C318)&gt;0,"SI","NO")</f>
        <v>NO</v>
      </c>
      <c r="F318" s="24">
        <f>IFERROR(ROUND(($G318+($H318-$G318)*'Info Strategia'!$B$6)*(1+IF($E318="SI",'Parametri Modello'!$B$7*'Info Strategia'!$B$6,0)),0),"")</f>
        <v>1</v>
      </c>
      <c r="G318" s="24">
        <f>IFERROR(ROUND(MAX(1,(IF($V318&lt;=INDEX('Parametri Modello'!$C$57:$C$60,MATCH($B318,'Parametri Modello'!$A$57:$A$60,0)),IF(INDEX('Parametri Modello'!$E$57:$E$60,MATCH($B318,'Parametri Modello'!$A$57:$A$60,0))=0,0,($O318/INDEX('Parametri Modello'!$E$57:$E$60,MATCH($B318,'Parametri Modello'!$A$57:$A$60,0)))*(INDEX('Parametri Modello'!$D$57:$D$60,MATCH($B318,'Parametri Modello'!$A$57:$A$60,0))*(INDEX('Parametri Modello'!$B$50:$B$53,MATCH($B318,'Parametri Modello'!$A$50:$A$53,0))*'Parametri Modello'!$B$44))),IF(INDEX('Parametri Modello'!$F$57:$F$60,MATCH($B318,'Parametri Modello'!$A$57:$A$60,0))=0,0,($O318/INDEX('Parametri Modello'!$F$57:$F$60,MATCH($B318,'Parametri Modello'!$A$57:$A$60,0)))*((1-INDEX('Parametri Modello'!$D$57:$D$60,MATCH($B318,'Parametri Modello'!$A$57:$A$60,0)))*(INDEX('Parametri Modello'!$B$50:$B$53,MATCH($B318,'Parametri Modello'!$A$50:$A$53,0))*'Parametri Modello'!$B$44))))*(1+IF(IF($B318="D",'Info Lega'!$B$25,IF($B318="C",'Info Lega'!$B$26,"No"))="Si",'Parametri Modello'!$B$5,0))*(1+MAX(-0.25,MIN(0.25,IF(OR($T318="",$I318="",$I318=0,INDEX('Parametri Modello'!$B$19:$B$22,MATCH($B318,'Parametri Modello'!$A$19:$A$22,0))="",INDEX('Parametri Modello'!$B$19:$B$22,MATCH($B318,'Parametri Modello'!$A$19:$A$22,0))=0),0,(($T318-INDEX('Parametri Modello'!$B$19:$B$22,MATCH($B318,'Parametri Modello'!$A$19:$A$22,0)))/INDEX('Parametri Modello'!$B$19:$B$22,MATCH($B318,'Parametri Modello'!$A$19:$A$22,0)))*'Parametri Modello'!$B$9))))*(1+IF('Parametri Modello'!$B$27="Si",MAX(-'Parametri Modello'!$B$28,MIN('Parametri Modello'!$B$28*1.5,IF(OR(INDEX('Parametri Modello'!$F$32:$F$35,MATCH($B318,'Parametri Modello'!$A$32:$A$35,0))="",INDEX('Parametri Modello'!$F$32:$F$35,MATCH($B318,'Parametri Modello'!$A$32:$A$35,0))=0),0,(1/INDEX('Parametri Modello'!$F$32:$F$35,MATCH($B318,'Parametri Modello'!$A$32:$A$35,0))-1)*'Parametri Modello'!$B$28))),0)))*(1-INDEX('Parametri Modello'!$B$12:$B$15,MATCH($B318,'Parametri Modello'!$A$12:$A$15,0)))),0),"")</f>
        <v>1</v>
      </c>
      <c r="H318" s="24">
        <f>IFERROR(ROUND((IF($V318&lt;=INDEX('Parametri Modello'!$C$57:$C$60,MATCH($B318,'Parametri Modello'!$A$57:$A$60,0)),IF(INDEX('Parametri Modello'!$E$57:$E$60,MATCH($B318,'Parametri Modello'!$A$57:$A$60,0))=0,0,($O318/INDEX('Parametri Modello'!$E$57:$E$60,MATCH($B318,'Parametri Modello'!$A$57:$A$60,0)))*(INDEX('Parametri Modello'!$D$57:$D$60,MATCH($B318,'Parametri Modello'!$A$57:$A$60,0))*(INDEX('Parametri Modello'!$B$50:$B$53,MATCH($B318,'Parametri Modello'!$A$50:$A$53,0))*'Parametri Modello'!$B$44))),IF(INDEX('Parametri Modello'!$F$57:$F$60,MATCH($B318,'Parametri Modello'!$A$57:$A$60,0))=0,0,($O318/INDEX('Parametri Modello'!$F$57:$F$60,MATCH($B318,'Parametri Modello'!$A$57:$A$60,0)))*((1-INDEX('Parametri Modello'!$D$57:$D$60,MATCH($B318,'Parametri Modello'!$A$57:$A$60,0)))*(INDEX('Parametri Modello'!$B$50:$B$53,MATCH($B318,'Parametri Modello'!$A$50:$A$53,0))*'Parametri Modello'!$B$44))))*(1+IF(IF($B318="D",'Info Lega'!$B$25,IF($B318="C",'Info Lega'!$B$26,"No"))="Si",'Parametri Modello'!$B$5,0))*(1+MAX(-0.25,MIN(0.25,IF(OR($T318="",$I318="",$I318=0,INDEX('Parametri Modello'!$B$19:$B$22,MATCH($B318,'Parametri Modello'!$A$19:$A$22,0))="",INDEX('Parametri Modello'!$B$19:$B$22,MATCH($B318,'Parametri Modello'!$A$19:$A$22,0))=0),0,(($T318-INDEX('Parametri Modello'!$B$19:$B$22,MATCH($B318,'Parametri Modello'!$A$19:$A$22,0)))/INDEX('Parametri Modello'!$B$19:$B$22,MATCH($B318,'Parametri Modello'!$A$19:$A$22,0)))*'Parametri Modello'!$B$9))))*(1+IF('Parametri Modello'!$B$27="Si",MAX(-'Parametri Modello'!$B$28,MIN('Parametri Modello'!$B$28*1.5,IF(OR(INDEX('Parametri Modello'!$F$32:$F$35,MATCH($B318,'Parametri Modello'!$A$32:$A$35,0))="",INDEX('Parametri Modello'!$F$32:$F$35,MATCH($B318,'Parametri Modello'!$A$32:$A$35,0))=0),0,(1/INDEX('Parametri Modello'!$F$32:$F$35,MATCH($B318,'Parametri Modello'!$A$32:$A$35,0))-1)*'Parametri Modello'!$B$28))),0)))*(1+INDEX('Parametri Modello'!$B$12:$B$15,MATCH($B318,'Parametri Modello'!$A$12:$A$15,0))),0),"")</f>
        <v>1</v>
      </c>
      <c r="I318" s="23">
        <f>IFERROR(INDEX('Input Statistiche 2025_26'!$F$3:$F$665,MATCH($A318,'Input Statistiche 2025_26'!$A$3:$A$665,0)),"")</f>
        <v>11</v>
      </c>
      <c r="J318" s="23">
        <f t="shared" si="36"/>
        <v>27</v>
      </c>
      <c r="K318" s="23">
        <f>IFERROR(INDEX('Input Statistiche 2025_26'!$I$3:$I$665,MATCH($A318,'Input Statistiche 2025_26'!$A$3:$A$665,0)),"")</f>
        <v>2</v>
      </c>
      <c r="L318" s="23">
        <f>IFERROR(INDEX('Input Statistiche 2025_26'!$O$3:$O$665,MATCH($A318,'Input Statistiche 2025_26'!$A$3:$A$665,0)),"")</f>
        <v>1</v>
      </c>
      <c r="M318" s="25"/>
      <c r="N318" s="24">
        <f>IFERROR(INDEX('Input Giocatori 2026_27'!$E$3:$E$493,MATCH($A318,'Input Giocatori 2026_27'!$A$3:$A$493,0)),"")</f>
        <v>5</v>
      </c>
      <c r="O318" s="24">
        <f>IFERROR(INDEX('Input Giocatori 2026_27'!$G$3:$G$493,MATCH($A318,'Input Giocatori 2026_27'!$A$3:$A$493,0)),"")</f>
        <v>10</v>
      </c>
      <c r="P318" s="23" t="str">
        <f>IFERROR(IF($O318="","",IF((1-(COUNTIFS($B$2:$B$492,$B318,$O$2:$O$492,"&gt;"&amp;$O318)+1-1)/COUNTIF($B$2:$B$492,$B318))&gt;='Parametri Modello'!$B$63,"Top",IF((1-(COUNTIFS($B$2:$B$492,$B318,$O$2:$O$492,"&gt;"&amp;$O318)+1-1)/COUNTIF($B$2:$B$492,$B318))&gt;='Parametri Modello'!$B$64,"Buono",IF((1-(COUNTIFS($B$2:$B$492,$B318,$O$2:$O$492,"&gt;"&amp;$O318)+1-1)/COUNTIF($B$2:$B$492,$B318))&gt;='Parametri Modello'!$B$65,"Nella Media","Scommessa/Riserva")))),"")</f>
        <v>Scommessa/Riserva</v>
      </c>
      <c r="Q318" s="26">
        <f>IF(AND($D318="",$N318&gt;1),SUMPRODUCT(($D$2:$D318="")*($N$2:$N318&gt;1)),"")</f>
        <v>317</v>
      </c>
      <c r="R318" s="26" t="str">
        <f>IF($D318='Info Lega'!$B$28,COUNTIFS($D$2:$D318,'Info Lega'!$B$28),"")</f>
        <v/>
      </c>
      <c r="S318" s="27">
        <f>IFERROR(INDEX('Input Statistiche 2025_26'!$G$3:$G$665,MATCH($A318,'Input Statistiche 2025_26'!$A$3:$A$665,0)),"")</f>
        <v>6.05</v>
      </c>
      <c r="T318" s="27">
        <f>IFERROR(INDEX('Input Statistiche 2025_26'!$H$3:$H$665,MATCH($A318,'Input Statistiche 2025_26'!$A$3:$A$665,0)),"")</f>
        <v>6.55</v>
      </c>
      <c r="U318" s="23" t="str">
        <f>IF(OR('La Mia Rosa'!$O$12="",$D318&lt;&gt;""),"",IF($F318&lt;='La Mia Rosa'!$O$12*'Parametri Modello'!$B$24,"OK",IF($F318&lt;='La Mia Rosa'!$O$12*'Parametri Modello'!$B$25,"Attenzione","Rischio Alto")))</f>
        <v>OK</v>
      </c>
      <c r="V318" s="23">
        <f t="shared" si="37"/>
        <v>124</v>
      </c>
      <c r="W318" s="18">
        <f>'Info Lega'!$B$4-SUMIFS($M$2:$M$492,$D$2:$D$492,'Info Lega'!$B$28)</f>
        <v>1000</v>
      </c>
      <c r="X318" s="18">
        <f>('Info Lega'!$B$5-COUNTIFS($D$2:$D$492,'Info Lega'!$B$28,$B$2:$B$492,"P"))+('Info Lega'!$B$6-COUNTIFS($D$2:$D$492,'Info Lega'!$B$28,$B$2:$B$492,"D"))+('Info Lega'!$B$7-COUNTIFS($D$2:$D$492,'Info Lega'!$B$28,$B$2:$B$492,"C"))+('Info Lega'!$B$8-COUNTIFS($D$2:$D$492,'Info Lega'!$B$28,$B$2:$B$492,"A"))</f>
        <v>25</v>
      </c>
      <c r="Y318" s="18">
        <f>X318*'Parametri Modello'!$B$30</f>
        <v>25</v>
      </c>
      <c r="Z318" s="18">
        <f t="shared" si="38"/>
        <v>975</v>
      </c>
      <c r="AA318" s="18">
        <f t="shared" si="39"/>
        <v>1</v>
      </c>
      <c r="AB318" s="18"/>
      <c r="AC318" s="18" t="str">
        <f>IF($AB318="","",IF($AB318&gt;$AA318,"PASS",IF($AB318&lt;=$AA318*(1-'Parametri Modello'!$B$68),"BID","ATTENZIONE")))</f>
        <v/>
      </c>
      <c r="AD318" s="28">
        <f t="shared" si="40"/>
        <v>31</v>
      </c>
      <c r="AE318" s="5" t="str">
        <f>IFERROR(INDEX('Stato Asta'!$G$9:$G$12,MATCH($B318,'Stato Asta'!$A$9:$A$12,0)),"")</f>
        <v>🔴 Non aspettare</v>
      </c>
      <c r="AF318" t="str">
        <f>IFERROR(IF($V318&lt;=INDEX('Parametri Modello'!$C$57:$C$60,MATCH($B318,'Parametri Modello'!$A$57:$A$60,0)),"Titolare","Riserva"),"")</f>
        <v>Riserva</v>
      </c>
      <c r="AG318" t="str">
        <f>IFERROR(INDEX('Pressione Competitiva'!$F$3:$F$6,MATCH($B318,'Pressione Competitiva'!$B$3:$B$6,0)),"")</f>
        <v>🔴 Molto Alta</v>
      </c>
      <c r="AH318" t="str">
        <f t="shared" si="41"/>
        <v/>
      </c>
      <c r="AI318" t="str">
        <f>IFERROR(IF($AH318="","",IF($AH318&gt;=$AA318*'Parametri Modello'!$B$68,"🟢 Opportunita'",IF($AH318&lt;=$AA318*'Parametri Modello'!$B$69,"🔴 Sovrapprezzo","🟡 Prezzo Corretto"))),"")</f>
        <v/>
      </c>
      <c r="AJ318" t="str">
        <f t="shared" si="42"/>
        <v/>
      </c>
      <c r="AK318">
        <f t="shared" si="43"/>
        <v>20</v>
      </c>
      <c r="AL318" t="str">
        <f t="shared" si="44"/>
        <v>C|Scommessa/Riserva|20</v>
      </c>
    </row>
    <row r="319" spans="1:38" ht="14.25" customHeight="1" x14ac:dyDescent="0.25">
      <c r="A319" s="18">
        <v>7127</v>
      </c>
      <c r="B319" s="18" t="s">
        <v>17</v>
      </c>
      <c r="C319" s="18" t="s">
        <v>458</v>
      </c>
      <c r="E319" s="23" t="str">
        <f>IF(COUNTIF('Info Strategia'!$D$2:$D$51,$C319)&gt;0,"SI","NO")</f>
        <v>NO</v>
      </c>
      <c r="F319" s="24">
        <f>IFERROR(ROUND(($G319+($H319-$G319)*'Info Strategia'!$B$6)*(1+IF($E319="SI",'Parametri Modello'!$B$7*'Info Strategia'!$B$6,0)),0),"")</f>
        <v>1</v>
      </c>
      <c r="G319" s="24">
        <f>IFERROR(ROUND(MAX(1,(IF($V319&lt;=INDEX('Parametri Modello'!$C$57:$C$60,MATCH($B319,'Parametri Modello'!$A$57:$A$60,0)),IF(INDEX('Parametri Modello'!$E$57:$E$60,MATCH($B319,'Parametri Modello'!$A$57:$A$60,0))=0,0,($O319/INDEX('Parametri Modello'!$E$57:$E$60,MATCH($B319,'Parametri Modello'!$A$57:$A$60,0)))*(INDEX('Parametri Modello'!$D$57:$D$60,MATCH($B319,'Parametri Modello'!$A$57:$A$60,0))*(INDEX('Parametri Modello'!$B$50:$B$53,MATCH($B319,'Parametri Modello'!$A$50:$A$53,0))*'Parametri Modello'!$B$44))),IF(INDEX('Parametri Modello'!$F$57:$F$60,MATCH($B319,'Parametri Modello'!$A$57:$A$60,0))=0,0,($O319/INDEX('Parametri Modello'!$F$57:$F$60,MATCH($B319,'Parametri Modello'!$A$57:$A$60,0)))*((1-INDEX('Parametri Modello'!$D$57:$D$60,MATCH($B319,'Parametri Modello'!$A$57:$A$60,0)))*(INDEX('Parametri Modello'!$B$50:$B$53,MATCH($B319,'Parametri Modello'!$A$50:$A$53,0))*'Parametri Modello'!$B$44))))*(1+IF(IF($B319="D",'Info Lega'!$B$25,IF($B319="C",'Info Lega'!$B$26,"No"))="Si",'Parametri Modello'!$B$5,0))*(1+MAX(-0.25,MIN(0.25,IF(OR($T319="",$I319="",$I319=0,INDEX('Parametri Modello'!$B$19:$B$22,MATCH($B319,'Parametri Modello'!$A$19:$A$22,0))="",INDEX('Parametri Modello'!$B$19:$B$22,MATCH($B319,'Parametri Modello'!$A$19:$A$22,0))=0),0,(($T319-INDEX('Parametri Modello'!$B$19:$B$22,MATCH($B319,'Parametri Modello'!$A$19:$A$22,0)))/INDEX('Parametri Modello'!$B$19:$B$22,MATCH($B319,'Parametri Modello'!$A$19:$A$22,0)))*'Parametri Modello'!$B$9))))*(1+IF('Parametri Modello'!$B$27="Si",MAX(-'Parametri Modello'!$B$28,MIN('Parametri Modello'!$B$28*1.5,IF(OR(INDEX('Parametri Modello'!$F$32:$F$35,MATCH($B319,'Parametri Modello'!$A$32:$A$35,0))="",INDEX('Parametri Modello'!$F$32:$F$35,MATCH($B319,'Parametri Modello'!$A$32:$A$35,0))=0),0,(1/INDEX('Parametri Modello'!$F$32:$F$35,MATCH($B319,'Parametri Modello'!$A$32:$A$35,0))-1)*'Parametri Modello'!$B$28))),0)))*(1-INDEX('Parametri Modello'!$B$12:$B$15,MATCH($B319,'Parametri Modello'!$A$12:$A$15,0)))),0),"")</f>
        <v>1</v>
      </c>
      <c r="H319" s="24">
        <f>IFERROR(ROUND((IF($V319&lt;=INDEX('Parametri Modello'!$C$57:$C$60,MATCH($B319,'Parametri Modello'!$A$57:$A$60,0)),IF(INDEX('Parametri Modello'!$E$57:$E$60,MATCH($B319,'Parametri Modello'!$A$57:$A$60,0))=0,0,($O319/INDEX('Parametri Modello'!$E$57:$E$60,MATCH($B319,'Parametri Modello'!$A$57:$A$60,0)))*(INDEX('Parametri Modello'!$D$57:$D$60,MATCH($B319,'Parametri Modello'!$A$57:$A$60,0))*(INDEX('Parametri Modello'!$B$50:$B$53,MATCH($B319,'Parametri Modello'!$A$50:$A$53,0))*'Parametri Modello'!$B$44))),IF(INDEX('Parametri Modello'!$F$57:$F$60,MATCH($B319,'Parametri Modello'!$A$57:$A$60,0))=0,0,($O319/INDEX('Parametri Modello'!$F$57:$F$60,MATCH($B319,'Parametri Modello'!$A$57:$A$60,0)))*((1-INDEX('Parametri Modello'!$D$57:$D$60,MATCH($B319,'Parametri Modello'!$A$57:$A$60,0)))*(INDEX('Parametri Modello'!$B$50:$B$53,MATCH($B319,'Parametri Modello'!$A$50:$A$53,0))*'Parametri Modello'!$B$44))))*(1+IF(IF($B319="D",'Info Lega'!$B$25,IF($B319="C",'Info Lega'!$B$26,"No"))="Si",'Parametri Modello'!$B$5,0))*(1+MAX(-0.25,MIN(0.25,IF(OR($T319="",$I319="",$I319=0,INDEX('Parametri Modello'!$B$19:$B$22,MATCH($B319,'Parametri Modello'!$A$19:$A$22,0))="",INDEX('Parametri Modello'!$B$19:$B$22,MATCH($B319,'Parametri Modello'!$A$19:$A$22,0))=0),0,(($T319-INDEX('Parametri Modello'!$B$19:$B$22,MATCH($B319,'Parametri Modello'!$A$19:$A$22,0)))/INDEX('Parametri Modello'!$B$19:$B$22,MATCH($B319,'Parametri Modello'!$A$19:$A$22,0)))*'Parametri Modello'!$B$9))))*(1+IF('Parametri Modello'!$B$27="Si",MAX(-'Parametri Modello'!$B$28,MIN('Parametri Modello'!$B$28*1.5,IF(OR(INDEX('Parametri Modello'!$F$32:$F$35,MATCH($B319,'Parametri Modello'!$A$32:$A$35,0))="",INDEX('Parametri Modello'!$F$32:$F$35,MATCH($B319,'Parametri Modello'!$A$32:$A$35,0))=0),0,(1/INDEX('Parametri Modello'!$F$32:$F$35,MATCH($B319,'Parametri Modello'!$A$32:$A$35,0))-1)*'Parametri Modello'!$B$28))),0)))*(1+INDEX('Parametri Modello'!$B$12:$B$15,MATCH($B319,'Parametri Modello'!$A$12:$A$15,0))),0),"")</f>
        <v>1</v>
      </c>
      <c r="I319" s="23">
        <f>IFERROR(INDEX('Input Statistiche 2025_26'!$F$3:$F$665,MATCH($A319,'Input Statistiche 2025_26'!$A$3:$A$665,0)),"")</f>
        <v>12</v>
      </c>
      <c r="J319" s="23">
        <f t="shared" si="36"/>
        <v>26</v>
      </c>
      <c r="K319" s="23">
        <f>IFERROR(INDEX('Input Statistiche 2025_26'!$I$3:$I$665,MATCH($A319,'Input Statistiche 2025_26'!$A$3:$A$665,0)),"")</f>
        <v>3</v>
      </c>
      <c r="L319" s="23">
        <f>IFERROR(INDEX('Input Statistiche 2025_26'!$O$3:$O$665,MATCH($A319,'Input Statistiche 2025_26'!$A$3:$A$665,0)),"")</f>
        <v>0</v>
      </c>
      <c r="M319" s="25"/>
      <c r="N319" s="24">
        <f>IFERROR(INDEX('Input Giocatori 2026_27'!$E$3:$E$493,MATCH($A319,'Input Giocatori 2026_27'!$A$3:$A$493,0)),"")</f>
        <v>5</v>
      </c>
      <c r="O319" s="24">
        <f>IFERROR(INDEX('Input Giocatori 2026_27'!$G$3:$G$493,MATCH($A319,'Input Giocatori 2026_27'!$A$3:$A$493,0)),"")</f>
        <v>10</v>
      </c>
      <c r="P319" s="23" t="str">
        <f>IFERROR(IF($O319="","",IF((1-(COUNTIFS($B$2:$B$492,$B319,$O$2:$O$492,"&gt;"&amp;$O319)+1-1)/COUNTIF($B$2:$B$492,$B319))&gt;='Parametri Modello'!$B$63,"Top",IF((1-(COUNTIFS($B$2:$B$492,$B319,$O$2:$O$492,"&gt;"&amp;$O319)+1-1)/COUNTIF($B$2:$B$492,$B319))&gt;='Parametri Modello'!$B$64,"Buono",IF((1-(COUNTIFS($B$2:$B$492,$B319,$O$2:$O$492,"&gt;"&amp;$O319)+1-1)/COUNTIF($B$2:$B$492,$B319))&gt;='Parametri Modello'!$B$65,"Nella Media","Scommessa/Riserva")))),"")</f>
        <v>Scommessa/Riserva</v>
      </c>
      <c r="Q319" s="26">
        <f>IF(AND($D319="",$N319&gt;1),SUMPRODUCT(($D$2:$D319="")*($N$2:$N319&gt;1)),"")</f>
        <v>318</v>
      </c>
      <c r="R319" s="26" t="str">
        <f>IF($D319='Info Lega'!$B$28,COUNTIFS($D$2:$D319,'Info Lega'!$B$28),"")</f>
        <v/>
      </c>
      <c r="S319" s="27">
        <f>IFERROR(INDEX('Input Statistiche 2025_26'!$G$3:$G$665,MATCH($A319,'Input Statistiche 2025_26'!$A$3:$A$665,0)),"")</f>
        <v>5.96</v>
      </c>
      <c r="T319" s="27">
        <f>IFERROR(INDEX('Input Statistiche 2025_26'!$H$3:$H$665,MATCH($A319,'Input Statistiche 2025_26'!$A$3:$A$665,0)),"")</f>
        <v>6.54</v>
      </c>
      <c r="U319" s="23" t="str">
        <f>IF(OR('La Mia Rosa'!$O$12="",$D319&lt;&gt;""),"",IF($F319&lt;='La Mia Rosa'!$O$12*'Parametri Modello'!$B$24,"OK",IF($F319&lt;='La Mia Rosa'!$O$12*'Parametri Modello'!$B$25,"Attenzione","Rischio Alto")))</f>
        <v>OK</v>
      </c>
      <c r="V319" s="23">
        <f t="shared" si="37"/>
        <v>124</v>
      </c>
      <c r="W319" s="18">
        <f>'Info Lega'!$B$4-SUMIFS($M$2:$M$492,$D$2:$D$492,'Info Lega'!$B$28)</f>
        <v>1000</v>
      </c>
      <c r="X319" s="18">
        <f>('Info Lega'!$B$5-COUNTIFS($D$2:$D$492,'Info Lega'!$B$28,$B$2:$B$492,"P"))+('Info Lega'!$B$6-COUNTIFS($D$2:$D$492,'Info Lega'!$B$28,$B$2:$B$492,"D"))+('Info Lega'!$B$7-COUNTIFS($D$2:$D$492,'Info Lega'!$B$28,$B$2:$B$492,"C"))+('Info Lega'!$B$8-COUNTIFS($D$2:$D$492,'Info Lega'!$B$28,$B$2:$B$492,"A"))</f>
        <v>25</v>
      </c>
      <c r="Y319" s="18">
        <f>X319*'Parametri Modello'!$B$30</f>
        <v>25</v>
      </c>
      <c r="Z319" s="18">
        <f t="shared" si="38"/>
        <v>975</v>
      </c>
      <c r="AA319" s="18">
        <f t="shared" si="39"/>
        <v>1</v>
      </c>
      <c r="AB319" s="18"/>
      <c r="AC319" s="18" t="str">
        <f>IF($AB319="","",IF($AB319&gt;$AA319,"PASS",IF($AB319&lt;=$AA319*(1-'Parametri Modello'!$B$68),"BID","ATTENZIONE")))</f>
        <v/>
      </c>
      <c r="AD319" s="28">
        <f t="shared" si="40"/>
        <v>33</v>
      </c>
      <c r="AE319" s="5" t="str">
        <f>IFERROR(INDEX('Stato Asta'!$G$9:$G$12,MATCH($B319,'Stato Asta'!$A$9:$A$12,0)),"")</f>
        <v>🔴 Non aspettare</v>
      </c>
      <c r="AF319" t="str">
        <f>IFERROR(IF($V319&lt;=INDEX('Parametri Modello'!$C$57:$C$60,MATCH($B319,'Parametri Modello'!$A$57:$A$60,0)),"Titolare","Riserva"),"")</f>
        <v>Riserva</v>
      </c>
      <c r="AG319" t="str">
        <f>IFERROR(INDEX('Pressione Competitiva'!$F$3:$F$6,MATCH($B319,'Pressione Competitiva'!$B$3:$B$6,0)),"")</f>
        <v>🔴 Molto Alta</v>
      </c>
      <c r="AH319" t="str">
        <f t="shared" si="41"/>
        <v/>
      </c>
      <c r="AI319" t="str">
        <f>IFERROR(IF($AH319="","",IF($AH319&gt;=$AA319*'Parametri Modello'!$B$68,"🟢 Opportunita'",IF($AH319&lt;=$AA319*'Parametri Modello'!$B$69,"🔴 Sovrapprezzo","🟡 Prezzo Corretto"))),"")</f>
        <v/>
      </c>
      <c r="AJ319" t="str">
        <f t="shared" si="42"/>
        <v/>
      </c>
      <c r="AK319">
        <f t="shared" si="43"/>
        <v>20</v>
      </c>
      <c r="AL319" t="str">
        <f t="shared" si="44"/>
        <v>C|Scommessa/Riserva|20</v>
      </c>
    </row>
    <row r="320" spans="1:38" ht="14.25" customHeight="1" x14ac:dyDescent="0.25">
      <c r="A320" s="18">
        <v>6054</v>
      </c>
      <c r="B320" s="18" t="s">
        <v>17</v>
      </c>
      <c r="C320" s="18" t="s">
        <v>459</v>
      </c>
      <c r="E320" s="23" t="str">
        <f>IF(COUNTIF('Info Strategia'!$D$2:$D$51,$C320)&gt;0,"SI","NO")</f>
        <v>NO</v>
      </c>
      <c r="F320" s="24">
        <f>IFERROR(ROUND(($G320+($H320-$G320)*'Info Strategia'!$B$6)*(1+IF($E320="SI",'Parametri Modello'!$B$7*'Info Strategia'!$B$6,0)),0),"")</f>
        <v>1</v>
      </c>
      <c r="G320" s="24">
        <f>IFERROR(ROUND(MAX(1,(IF($V320&lt;=INDEX('Parametri Modello'!$C$57:$C$60,MATCH($B320,'Parametri Modello'!$A$57:$A$60,0)),IF(INDEX('Parametri Modello'!$E$57:$E$60,MATCH($B320,'Parametri Modello'!$A$57:$A$60,0))=0,0,($O320/INDEX('Parametri Modello'!$E$57:$E$60,MATCH($B320,'Parametri Modello'!$A$57:$A$60,0)))*(INDEX('Parametri Modello'!$D$57:$D$60,MATCH($B320,'Parametri Modello'!$A$57:$A$60,0))*(INDEX('Parametri Modello'!$B$50:$B$53,MATCH($B320,'Parametri Modello'!$A$50:$A$53,0))*'Parametri Modello'!$B$44))),IF(INDEX('Parametri Modello'!$F$57:$F$60,MATCH($B320,'Parametri Modello'!$A$57:$A$60,0))=0,0,($O320/INDEX('Parametri Modello'!$F$57:$F$60,MATCH($B320,'Parametri Modello'!$A$57:$A$60,0)))*((1-INDEX('Parametri Modello'!$D$57:$D$60,MATCH($B320,'Parametri Modello'!$A$57:$A$60,0)))*(INDEX('Parametri Modello'!$B$50:$B$53,MATCH($B320,'Parametri Modello'!$A$50:$A$53,0))*'Parametri Modello'!$B$44))))*(1+IF(IF($B320="D",'Info Lega'!$B$25,IF($B320="C",'Info Lega'!$B$26,"No"))="Si",'Parametri Modello'!$B$5,0))*(1+MAX(-0.25,MIN(0.25,IF(OR($T320="",$I320="",$I320=0,INDEX('Parametri Modello'!$B$19:$B$22,MATCH($B320,'Parametri Modello'!$A$19:$A$22,0))="",INDEX('Parametri Modello'!$B$19:$B$22,MATCH($B320,'Parametri Modello'!$A$19:$A$22,0))=0),0,(($T320-INDEX('Parametri Modello'!$B$19:$B$22,MATCH($B320,'Parametri Modello'!$A$19:$A$22,0)))/INDEX('Parametri Modello'!$B$19:$B$22,MATCH($B320,'Parametri Modello'!$A$19:$A$22,0)))*'Parametri Modello'!$B$9))))*(1+IF('Parametri Modello'!$B$27="Si",MAX(-'Parametri Modello'!$B$28,MIN('Parametri Modello'!$B$28*1.5,IF(OR(INDEX('Parametri Modello'!$F$32:$F$35,MATCH($B320,'Parametri Modello'!$A$32:$A$35,0))="",INDEX('Parametri Modello'!$F$32:$F$35,MATCH($B320,'Parametri Modello'!$A$32:$A$35,0))=0),0,(1/INDEX('Parametri Modello'!$F$32:$F$35,MATCH($B320,'Parametri Modello'!$A$32:$A$35,0))-1)*'Parametri Modello'!$B$28))),0)))*(1-INDEX('Parametri Modello'!$B$12:$B$15,MATCH($B320,'Parametri Modello'!$A$12:$A$15,0)))),0),"")</f>
        <v>1</v>
      </c>
      <c r="H320" s="24">
        <f>IFERROR(ROUND((IF($V320&lt;=INDEX('Parametri Modello'!$C$57:$C$60,MATCH($B320,'Parametri Modello'!$A$57:$A$60,0)),IF(INDEX('Parametri Modello'!$E$57:$E$60,MATCH($B320,'Parametri Modello'!$A$57:$A$60,0))=0,0,($O320/INDEX('Parametri Modello'!$E$57:$E$60,MATCH($B320,'Parametri Modello'!$A$57:$A$60,0)))*(INDEX('Parametri Modello'!$D$57:$D$60,MATCH($B320,'Parametri Modello'!$A$57:$A$60,0))*(INDEX('Parametri Modello'!$B$50:$B$53,MATCH($B320,'Parametri Modello'!$A$50:$A$53,0))*'Parametri Modello'!$B$44))),IF(INDEX('Parametri Modello'!$F$57:$F$60,MATCH($B320,'Parametri Modello'!$A$57:$A$60,0))=0,0,($O320/INDEX('Parametri Modello'!$F$57:$F$60,MATCH($B320,'Parametri Modello'!$A$57:$A$60,0)))*((1-INDEX('Parametri Modello'!$D$57:$D$60,MATCH($B320,'Parametri Modello'!$A$57:$A$60,0)))*(INDEX('Parametri Modello'!$B$50:$B$53,MATCH($B320,'Parametri Modello'!$A$50:$A$53,0))*'Parametri Modello'!$B$44))))*(1+IF(IF($B320="D",'Info Lega'!$B$25,IF($B320="C",'Info Lega'!$B$26,"No"))="Si",'Parametri Modello'!$B$5,0))*(1+MAX(-0.25,MIN(0.25,IF(OR($T320="",$I320="",$I320=0,INDEX('Parametri Modello'!$B$19:$B$22,MATCH($B320,'Parametri Modello'!$A$19:$A$22,0))="",INDEX('Parametri Modello'!$B$19:$B$22,MATCH($B320,'Parametri Modello'!$A$19:$A$22,0))=0),0,(($T320-INDEX('Parametri Modello'!$B$19:$B$22,MATCH($B320,'Parametri Modello'!$A$19:$A$22,0)))/INDEX('Parametri Modello'!$B$19:$B$22,MATCH($B320,'Parametri Modello'!$A$19:$A$22,0)))*'Parametri Modello'!$B$9))))*(1+IF('Parametri Modello'!$B$27="Si",MAX(-'Parametri Modello'!$B$28,MIN('Parametri Modello'!$B$28*1.5,IF(OR(INDEX('Parametri Modello'!$F$32:$F$35,MATCH($B320,'Parametri Modello'!$A$32:$A$35,0))="",INDEX('Parametri Modello'!$F$32:$F$35,MATCH($B320,'Parametri Modello'!$A$32:$A$35,0))=0),0,(1/INDEX('Parametri Modello'!$F$32:$F$35,MATCH($B320,'Parametri Modello'!$A$32:$A$35,0))-1)*'Parametri Modello'!$B$28))),0)))*(1+INDEX('Parametri Modello'!$B$12:$B$15,MATCH($B320,'Parametri Modello'!$A$12:$A$15,0))),0),"")</f>
        <v>1</v>
      </c>
      <c r="I320" s="23">
        <f>IFERROR(INDEX('Input Statistiche 2025_26'!$F$3:$F$665,MATCH($A320,'Input Statistiche 2025_26'!$A$3:$A$665,0)),"")</f>
        <v>28</v>
      </c>
      <c r="J320" s="23">
        <f t="shared" si="36"/>
        <v>10</v>
      </c>
      <c r="K320" s="23">
        <f>IFERROR(INDEX('Input Statistiche 2025_26'!$I$3:$I$665,MATCH($A320,'Input Statistiche 2025_26'!$A$3:$A$665,0)),"")</f>
        <v>2</v>
      </c>
      <c r="L320" s="23">
        <f>IFERROR(INDEX('Input Statistiche 2025_26'!$O$3:$O$665,MATCH($A320,'Input Statistiche 2025_26'!$A$3:$A$665,0)),"")</f>
        <v>0</v>
      </c>
      <c r="M320" s="25"/>
      <c r="N320" s="24">
        <f>IFERROR(INDEX('Input Giocatori 2026_27'!$E$3:$E$493,MATCH($A320,'Input Giocatori 2026_27'!$A$3:$A$493,0)),"")</f>
        <v>4</v>
      </c>
      <c r="O320" s="24">
        <f>IFERROR(INDEX('Input Giocatori 2026_27'!$G$3:$G$493,MATCH($A320,'Input Giocatori 2026_27'!$A$3:$A$493,0)),"")</f>
        <v>10</v>
      </c>
      <c r="P320" s="23" t="str">
        <f>IFERROR(IF($O320="","",IF((1-(COUNTIFS($B$2:$B$492,$B320,$O$2:$O$492,"&gt;"&amp;$O320)+1-1)/COUNTIF($B$2:$B$492,$B320))&gt;='Parametri Modello'!$B$63,"Top",IF((1-(COUNTIFS($B$2:$B$492,$B320,$O$2:$O$492,"&gt;"&amp;$O320)+1-1)/COUNTIF($B$2:$B$492,$B320))&gt;='Parametri Modello'!$B$64,"Buono",IF((1-(COUNTIFS($B$2:$B$492,$B320,$O$2:$O$492,"&gt;"&amp;$O320)+1-1)/COUNTIF($B$2:$B$492,$B320))&gt;='Parametri Modello'!$B$65,"Nella Media","Scommessa/Riserva")))),"")</f>
        <v>Scommessa/Riserva</v>
      </c>
      <c r="Q320" s="26">
        <f>IF(AND($D320="",$N320&gt;1),SUMPRODUCT(($D$2:$D320="")*($N$2:$N320&gt;1)),"")</f>
        <v>319</v>
      </c>
      <c r="R320" s="26" t="str">
        <f>IF($D320='Info Lega'!$B$28,COUNTIFS($D$2:$D320,'Info Lega'!$B$28),"")</f>
        <v/>
      </c>
      <c r="S320" s="27">
        <f>IFERROR(INDEX('Input Statistiche 2025_26'!$G$3:$G$665,MATCH($A320,'Input Statistiche 2025_26'!$A$3:$A$665,0)),"")</f>
        <v>5.93</v>
      </c>
      <c r="T320" s="27">
        <f>IFERROR(INDEX('Input Statistiche 2025_26'!$H$3:$H$665,MATCH($A320,'Input Statistiche 2025_26'!$A$3:$A$665,0)),"")</f>
        <v>6.12</v>
      </c>
      <c r="U320" s="23" t="str">
        <f>IF(OR('La Mia Rosa'!$O$12="",$D320&lt;&gt;""),"",IF($F320&lt;='La Mia Rosa'!$O$12*'Parametri Modello'!$B$24,"OK",IF($F320&lt;='La Mia Rosa'!$O$12*'Parametri Modello'!$B$25,"Attenzione","Rischio Alto")))</f>
        <v>OK</v>
      </c>
      <c r="V320" s="23">
        <f t="shared" si="37"/>
        <v>124</v>
      </c>
      <c r="W320" s="18">
        <f>'Info Lega'!$B$4-SUMIFS($M$2:$M$492,$D$2:$D$492,'Info Lega'!$B$28)</f>
        <v>1000</v>
      </c>
      <c r="X320" s="18">
        <f>('Info Lega'!$B$5-COUNTIFS($D$2:$D$492,'Info Lega'!$B$28,$B$2:$B$492,"P"))+('Info Lega'!$B$6-COUNTIFS($D$2:$D$492,'Info Lega'!$B$28,$B$2:$B$492,"D"))+('Info Lega'!$B$7-COUNTIFS($D$2:$D$492,'Info Lega'!$B$28,$B$2:$B$492,"C"))+('Info Lega'!$B$8-COUNTIFS($D$2:$D$492,'Info Lega'!$B$28,$B$2:$B$492,"A"))</f>
        <v>25</v>
      </c>
      <c r="Y320" s="18">
        <f>X320*'Parametri Modello'!$B$30</f>
        <v>25</v>
      </c>
      <c r="Z320" s="18">
        <f t="shared" si="38"/>
        <v>975</v>
      </c>
      <c r="AA320" s="18">
        <f t="shared" si="39"/>
        <v>1</v>
      </c>
      <c r="AB320" s="18"/>
      <c r="AC320" s="18" t="str">
        <f>IF($AB320="","",IF($AB320&gt;$AA320,"PASS",IF($AB320&lt;=$AA320*(1-'Parametri Modello'!$B$68),"BID","ATTENZIONE")))</f>
        <v/>
      </c>
      <c r="AD320" s="28">
        <f t="shared" si="40"/>
        <v>61</v>
      </c>
      <c r="AE320" s="5" t="str">
        <f>IFERROR(INDEX('Stato Asta'!$G$9:$G$12,MATCH($B320,'Stato Asta'!$A$9:$A$12,0)),"")</f>
        <v>🔴 Non aspettare</v>
      </c>
      <c r="AF320" t="str">
        <f>IFERROR(IF($V320&lt;=INDEX('Parametri Modello'!$C$57:$C$60,MATCH($B320,'Parametri Modello'!$A$57:$A$60,0)),"Titolare","Riserva"),"")</f>
        <v>Riserva</v>
      </c>
      <c r="AG320" t="str">
        <f>IFERROR(INDEX('Pressione Competitiva'!$F$3:$F$6,MATCH($B320,'Pressione Competitiva'!$B$3:$B$6,0)),"")</f>
        <v>🔴 Molto Alta</v>
      </c>
      <c r="AH320" t="str">
        <f t="shared" si="41"/>
        <v/>
      </c>
      <c r="AI320" t="str">
        <f>IFERROR(IF($AH320="","",IF($AH320&gt;=$AA320*'Parametri Modello'!$B$68,"🟢 Opportunita'",IF($AH320&lt;=$AA320*'Parametri Modello'!$B$69,"🔴 Sovrapprezzo","🟡 Prezzo Corretto"))),"")</f>
        <v/>
      </c>
      <c r="AJ320" t="str">
        <f t="shared" si="42"/>
        <v/>
      </c>
      <c r="AK320">
        <f t="shared" si="43"/>
        <v>20</v>
      </c>
      <c r="AL320" t="str">
        <f t="shared" si="44"/>
        <v>C|Scommessa/Riserva|20</v>
      </c>
    </row>
    <row r="321" spans="1:38" ht="14.25" customHeight="1" x14ac:dyDescent="0.25">
      <c r="A321" s="18">
        <v>6252</v>
      </c>
      <c r="B321" s="18" t="s">
        <v>17</v>
      </c>
      <c r="C321" s="18" t="s">
        <v>460</v>
      </c>
      <c r="E321" s="23" t="str">
        <f>IF(COUNTIF('Info Strategia'!$D$2:$D$51,$C321)&gt;0,"SI","NO")</f>
        <v>NO</v>
      </c>
      <c r="F321" s="24">
        <f>IFERROR(ROUND(($G321+($H321-$G321)*'Info Strategia'!$B$6)*(1+IF($E321="SI",'Parametri Modello'!$B$7*'Info Strategia'!$B$6,0)),0),"")</f>
        <v>1</v>
      </c>
      <c r="G321" s="24">
        <f>IFERROR(ROUND(MAX(1,(IF($V321&lt;=INDEX('Parametri Modello'!$C$57:$C$60,MATCH($B321,'Parametri Modello'!$A$57:$A$60,0)),IF(INDEX('Parametri Modello'!$E$57:$E$60,MATCH($B321,'Parametri Modello'!$A$57:$A$60,0))=0,0,($O321/INDEX('Parametri Modello'!$E$57:$E$60,MATCH($B321,'Parametri Modello'!$A$57:$A$60,0)))*(INDEX('Parametri Modello'!$D$57:$D$60,MATCH($B321,'Parametri Modello'!$A$57:$A$60,0))*(INDEX('Parametri Modello'!$B$50:$B$53,MATCH($B321,'Parametri Modello'!$A$50:$A$53,0))*'Parametri Modello'!$B$44))),IF(INDEX('Parametri Modello'!$F$57:$F$60,MATCH($B321,'Parametri Modello'!$A$57:$A$60,0))=0,0,($O321/INDEX('Parametri Modello'!$F$57:$F$60,MATCH($B321,'Parametri Modello'!$A$57:$A$60,0)))*((1-INDEX('Parametri Modello'!$D$57:$D$60,MATCH($B321,'Parametri Modello'!$A$57:$A$60,0)))*(INDEX('Parametri Modello'!$B$50:$B$53,MATCH($B321,'Parametri Modello'!$A$50:$A$53,0))*'Parametri Modello'!$B$44))))*(1+IF(IF($B321="D",'Info Lega'!$B$25,IF($B321="C",'Info Lega'!$B$26,"No"))="Si",'Parametri Modello'!$B$5,0))*(1+MAX(-0.25,MIN(0.25,IF(OR($T321="",$I321="",$I321=0,INDEX('Parametri Modello'!$B$19:$B$22,MATCH($B321,'Parametri Modello'!$A$19:$A$22,0))="",INDEX('Parametri Modello'!$B$19:$B$22,MATCH($B321,'Parametri Modello'!$A$19:$A$22,0))=0),0,(($T321-INDEX('Parametri Modello'!$B$19:$B$22,MATCH($B321,'Parametri Modello'!$A$19:$A$22,0)))/INDEX('Parametri Modello'!$B$19:$B$22,MATCH($B321,'Parametri Modello'!$A$19:$A$22,0)))*'Parametri Modello'!$B$9))))*(1+IF('Parametri Modello'!$B$27="Si",MAX(-'Parametri Modello'!$B$28,MIN('Parametri Modello'!$B$28*1.5,IF(OR(INDEX('Parametri Modello'!$F$32:$F$35,MATCH($B321,'Parametri Modello'!$A$32:$A$35,0))="",INDEX('Parametri Modello'!$F$32:$F$35,MATCH($B321,'Parametri Modello'!$A$32:$A$35,0))=0),0,(1/INDEX('Parametri Modello'!$F$32:$F$35,MATCH($B321,'Parametri Modello'!$A$32:$A$35,0))-1)*'Parametri Modello'!$B$28))),0)))*(1-INDEX('Parametri Modello'!$B$12:$B$15,MATCH($B321,'Parametri Modello'!$A$12:$A$15,0)))),0),"")</f>
        <v>1</v>
      </c>
      <c r="H321" s="24">
        <f>IFERROR(ROUND((IF($V321&lt;=INDEX('Parametri Modello'!$C$57:$C$60,MATCH($B321,'Parametri Modello'!$A$57:$A$60,0)),IF(INDEX('Parametri Modello'!$E$57:$E$60,MATCH($B321,'Parametri Modello'!$A$57:$A$60,0))=0,0,($O321/INDEX('Parametri Modello'!$E$57:$E$60,MATCH($B321,'Parametri Modello'!$A$57:$A$60,0)))*(INDEX('Parametri Modello'!$D$57:$D$60,MATCH($B321,'Parametri Modello'!$A$57:$A$60,0))*(INDEX('Parametri Modello'!$B$50:$B$53,MATCH($B321,'Parametri Modello'!$A$50:$A$53,0))*'Parametri Modello'!$B$44))),IF(INDEX('Parametri Modello'!$F$57:$F$60,MATCH($B321,'Parametri Modello'!$A$57:$A$60,0))=0,0,($O321/INDEX('Parametri Modello'!$F$57:$F$60,MATCH($B321,'Parametri Modello'!$A$57:$A$60,0)))*((1-INDEX('Parametri Modello'!$D$57:$D$60,MATCH($B321,'Parametri Modello'!$A$57:$A$60,0)))*(INDEX('Parametri Modello'!$B$50:$B$53,MATCH($B321,'Parametri Modello'!$A$50:$A$53,0))*'Parametri Modello'!$B$44))))*(1+IF(IF($B321="D",'Info Lega'!$B$25,IF($B321="C",'Info Lega'!$B$26,"No"))="Si",'Parametri Modello'!$B$5,0))*(1+MAX(-0.25,MIN(0.25,IF(OR($T321="",$I321="",$I321=0,INDEX('Parametri Modello'!$B$19:$B$22,MATCH($B321,'Parametri Modello'!$A$19:$A$22,0))="",INDEX('Parametri Modello'!$B$19:$B$22,MATCH($B321,'Parametri Modello'!$A$19:$A$22,0))=0),0,(($T321-INDEX('Parametri Modello'!$B$19:$B$22,MATCH($B321,'Parametri Modello'!$A$19:$A$22,0)))/INDEX('Parametri Modello'!$B$19:$B$22,MATCH($B321,'Parametri Modello'!$A$19:$A$22,0)))*'Parametri Modello'!$B$9))))*(1+IF('Parametri Modello'!$B$27="Si",MAX(-'Parametri Modello'!$B$28,MIN('Parametri Modello'!$B$28*1.5,IF(OR(INDEX('Parametri Modello'!$F$32:$F$35,MATCH($B321,'Parametri Modello'!$A$32:$A$35,0))="",INDEX('Parametri Modello'!$F$32:$F$35,MATCH($B321,'Parametri Modello'!$A$32:$A$35,0))=0),0,(1/INDEX('Parametri Modello'!$F$32:$F$35,MATCH($B321,'Parametri Modello'!$A$32:$A$35,0))-1)*'Parametri Modello'!$B$28))),0)))*(1+INDEX('Parametri Modello'!$B$12:$B$15,MATCH($B321,'Parametri Modello'!$A$12:$A$15,0))),0),"")</f>
        <v>1</v>
      </c>
      <c r="I321" s="23">
        <f>IFERROR(INDEX('Input Statistiche 2025_26'!$F$3:$F$665,MATCH($A321,'Input Statistiche 2025_26'!$A$3:$A$665,0)),"")</f>
        <v>26</v>
      </c>
      <c r="J321" s="23">
        <f t="shared" si="36"/>
        <v>12</v>
      </c>
      <c r="K321" s="23">
        <f>IFERROR(INDEX('Input Statistiche 2025_26'!$I$3:$I$665,MATCH($A321,'Input Statistiche 2025_26'!$A$3:$A$665,0)),"")</f>
        <v>2</v>
      </c>
      <c r="L321" s="23">
        <f>IFERROR(INDEX('Input Statistiche 2025_26'!$O$3:$O$665,MATCH($A321,'Input Statistiche 2025_26'!$A$3:$A$665,0)),"")</f>
        <v>0</v>
      </c>
      <c r="M321" s="25"/>
      <c r="N321" s="24">
        <f>IFERROR(INDEX('Input Giocatori 2026_27'!$E$3:$E$493,MATCH($A321,'Input Giocatori 2026_27'!$A$3:$A$493,0)),"")</f>
        <v>4</v>
      </c>
      <c r="O321" s="24">
        <f>IFERROR(INDEX('Input Giocatori 2026_27'!$G$3:$G$493,MATCH($A321,'Input Giocatori 2026_27'!$A$3:$A$493,0)),"")</f>
        <v>10</v>
      </c>
      <c r="P321" s="23" t="str">
        <f>IFERROR(IF($O321="","",IF((1-(COUNTIFS($B$2:$B$492,$B321,$O$2:$O$492,"&gt;"&amp;$O321)+1-1)/COUNTIF($B$2:$B$492,$B321))&gt;='Parametri Modello'!$B$63,"Top",IF((1-(COUNTIFS($B$2:$B$492,$B321,$O$2:$O$492,"&gt;"&amp;$O321)+1-1)/COUNTIF($B$2:$B$492,$B321))&gt;='Parametri Modello'!$B$64,"Buono",IF((1-(COUNTIFS($B$2:$B$492,$B321,$O$2:$O$492,"&gt;"&amp;$O321)+1-1)/COUNTIF($B$2:$B$492,$B321))&gt;='Parametri Modello'!$B$65,"Nella Media","Scommessa/Riserva")))),"")</f>
        <v>Scommessa/Riserva</v>
      </c>
      <c r="Q321" s="26">
        <f>IF(AND($D321="",$N321&gt;1),SUMPRODUCT(($D$2:$D321="")*($N$2:$N321&gt;1)),"")</f>
        <v>320</v>
      </c>
      <c r="R321" s="26" t="str">
        <f>IF($D321='Info Lega'!$B$28,COUNTIFS($D$2:$D321,'Info Lega'!$B$28),"")</f>
        <v/>
      </c>
      <c r="S321" s="27">
        <f>IFERROR(INDEX('Input Statistiche 2025_26'!$G$3:$G$665,MATCH($A321,'Input Statistiche 2025_26'!$A$3:$A$665,0)),"")</f>
        <v>6.04</v>
      </c>
      <c r="T321" s="27">
        <f>IFERROR(INDEX('Input Statistiche 2025_26'!$H$3:$H$665,MATCH($A321,'Input Statistiche 2025_26'!$A$3:$A$665,0)),"")</f>
        <v>6.21</v>
      </c>
      <c r="U321" s="23" t="str">
        <f>IF(OR('La Mia Rosa'!$O$12="",$D321&lt;&gt;""),"",IF($F321&lt;='La Mia Rosa'!$O$12*'Parametri Modello'!$B$24,"OK",IF($F321&lt;='La Mia Rosa'!$O$12*'Parametri Modello'!$B$25,"Attenzione","Rischio Alto")))</f>
        <v>OK</v>
      </c>
      <c r="V321" s="23">
        <f t="shared" si="37"/>
        <v>124</v>
      </c>
      <c r="W321" s="18">
        <f>'Info Lega'!$B$4-SUMIFS($M$2:$M$492,$D$2:$D$492,'Info Lega'!$B$28)</f>
        <v>1000</v>
      </c>
      <c r="X321" s="18">
        <f>('Info Lega'!$B$5-COUNTIFS($D$2:$D$492,'Info Lega'!$B$28,$B$2:$B$492,"P"))+('Info Lega'!$B$6-COUNTIFS($D$2:$D$492,'Info Lega'!$B$28,$B$2:$B$492,"D"))+('Info Lega'!$B$7-COUNTIFS($D$2:$D$492,'Info Lega'!$B$28,$B$2:$B$492,"C"))+('Info Lega'!$B$8-COUNTIFS($D$2:$D$492,'Info Lega'!$B$28,$B$2:$B$492,"A"))</f>
        <v>25</v>
      </c>
      <c r="Y321" s="18">
        <f>X321*'Parametri Modello'!$B$30</f>
        <v>25</v>
      </c>
      <c r="Z321" s="18">
        <f t="shared" si="38"/>
        <v>975</v>
      </c>
      <c r="AA321" s="18">
        <f t="shared" si="39"/>
        <v>1</v>
      </c>
      <c r="AB321" s="18"/>
      <c r="AC321" s="18" t="str">
        <f>IF($AB321="","",IF($AB321&gt;$AA321,"PASS",IF($AB321&lt;=$AA321*(1-'Parametri Modello'!$B$68),"BID","ATTENZIONE")))</f>
        <v/>
      </c>
      <c r="AD321" s="28">
        <f t="shared" si="40"/>
        <v>58</v>
      </c>
      <c r="AE321" s="5" t="str">
        <f>IFERROR(INDEX('Stato Asta'!$G$9:$G$12,MATCH($B321,'Stato Asta'!$A$9:$A$12,0)),"")</f>
        <v>🔴 Non aspettare</v>
      </c>
      <c r="AF321" t="str">
        <f>IFERROR(IF($V321&lt;=INDEX('Parametri Modello'!$C$57:$C$60,MATCH($B321,'Parametri Modello'!$A$57:$A$60,0)),"Titolare","Riserva"),"")</f>
        <v>Riserva</v>
      </c>
      <c r="AG321" t="str">
        <f>IFERROR(INDEX('Pressione Competitiva'!$F$3:$F$6,MATCH($B321,'Pressione Competitiva'!$B$3:$B$6,0)),"")</f>
        <v>🔴 Molto Alta</v>
      </c>
      <c r="AH321" t="str">
        <f t="shared" si="41"/>
        <v/>
      </c>
      <c r="AI321" t="str">
        <f>IFERROR(IF($AH321="","",IF($AH321&gt;=$AA321*'Parametri Modello'!$B$68,"🟢 Opportunita'",IF($AH321&lt;=$AA321*'Parametri Modello'!$B$69,"🔴 Sovrapprezzo","🟡 Prezzo Corretto"))),"")</f>
        <v/>
      </c>
      <c r="AJ321" t="str">
        <f t="shared" si="42"/>
        <v/>
      </c>
      <c r="AK321">
        <f t="shared" si="43"/>
        <v>20</v>
      </c>
      <c r="AL321" t="str">
        <f t="shared" si="44"/>
        <v>C|Scommessa/Riserva|20</v>
      </c>
    </row>
    <row r="322" spans="1:38" ht="14.25" customHeight="1" x14ac:dyDescent="0.25">
      <c r="A322" s="18">
        <v>6005</v>
      </c>
      <c r="B322" s="18" t="s">
        <v>17</v>
      </c>
      <c r="C322" s="18" t="s">
        <v>461</v>
      </c>
      <c r="E322" s="23" t="str">
        <f>IF(COUNTIF('Info Strategia'!$D$2:$D$51,$C322)&gt;0,"SI","NO")</f>
        <v>NO</v>
      </c>
      <c r="F322" s="24">
        <f>IFERROR(ROUND(($G322+($H322-$G322)*'Info Strategia'!$B$6)*(1+IF($E322="SI",'Parametri Modello'!$B$7*'Info Strategia'!$B$6,0)),0),"")</f>
        <v>1</v>
      </c>
      <c r="G322" s="24">
        <f>IFERROR(ROUND(MAX(1,(IF($V322&lt;=INDEX('Parametri Modello'!$C$57:$C$60,MATCH($B322,'Parametri Modello'!$A$57:$A$60,0)),IF(INDEX('Parametri Modello'!$E$57:$E$60,MATCH($B322,'Parametri Modello'!$A$57:$A$60,0))=0,0,($O322/INDEX('Parametri Modello'!$E$57:$E$60,MATCH($B322,'Parametri Modello'!$A$57:$A$60,0)))*(INDEX('Parametri Modello'!$D$57:$D$60,MATCH($B322,'Parametri Modello'!$A$57:$A$60,0))*(INDEX('Parametri Modello'!$B$50:$B$53,MATCH($B322,'Parametri Modello'!$A$50:$A$53,0))*'Parametri Modello'!$B$44))),IF(INDEX('Parametri Modello'!$F$57:$F$60,MATCH($B322,'Parametri Modello'!$A$57:$A$60,0))=0,0,($O322/INDEX('Parametri Modello'!$F$57:$F$60,MATCH($B322,'Parametri Modello'!$A$57:$A$60,0)))*((1-INDEX('Parametri Modello'!$D$57:$D$60,MATCH($B322,'Parametri Modello'!$A$57:$A$60,0)))*(INDEX('Parametri Modello'!$B$50:$B$53,MATCH($B322,'Parametri Modello'!$A$50:$A$53,0))*'Parametri Modello'!$B$44))))*(1+IF(IF($B322="D",'Info Lega'!$B$25,IF($B322="C",'Info Lega'!$B$26,"No"))="Si",'Parametri Modello'!$B$5,0))*(1+MAX(-0.25,MIN(0.25,IF(OR($T322="",$I322="",$I322=0,INDEX('Parametri Modello'!$B$19:$B$22,MATCH($B322,'Parametri Modello'!$A$19:$A$22,0))="",INDEX('Parametri Modello'!$B$19:$B$22,MATCH($B322,'Parametri Modello'!$A$19:$A$22,0))=0),0,(($T322-INDEX('Parametri Modello'!$B$19:$B$22,MATCH($B322,'Parametri Modello'!$A$19:$A$22,0)))/INDEX('Parametri Modello'!$B$19:$B$22,MATCH($B322,'Parametri Modello'!$A$19:$A$22,0)))*'Parametri Modello'!$B$9))))*(1+IF('Parametri Modello'!$B$27="Si",MAX(-'Parametri Modello'!$B$28,MIN('Parametri Modello'!$B$28*1.5,IF(OR(INDEX('Parametri Modello'!$F$32:$F$35,MATCH($B322,'Parametri Modello'!$A$32:$A$35,0))="",INDEX('Parametri Modello'!$F$32:$F$35,MATCH($B322,'Parametri Modello'!$A$32:$A$35,0))=0),0,(1/INDEX('Parametri Modello'!$F$32:$F$35,MATCH($B322,'Parametri Modello'!$A$32:$A$35,0))-1)*'Parametri Modello'!$B$28))),0)))*(1-INDEX('Parametri Modello'!$B$12:$B$15,MATCH($B322,'Parametri Modello'!$A$12:$A$15,0)))),0),"")</f>
        <v>1</v>
      </c>
      <c r="H322" s="24">
        <f>IFERROR(ROUND((IF($V322&lt;=INDEX('Parametri Modello'!$C$57:$C$60,MATCH($B322,'Parametri Modello'!$A$57:$A$60,0)),IF(INDEX('Parametri Modello'!$E$57:$E$60,MATCH($B322,'Parametri Modello'!$A$57:$A$60,0))=0,0,($O322/INDEX('Parametri Modello'!$E$57:$E$60,MATCH($B322,'Parametri Modello'!$A$57:$A$60,0)))*(INDEX('Parametri Modello'!$D$57:$D$60,MATCH($B322,'Parametri Modello'!$A$57:$A$60,0))*(INDEX('Parametri Modello'!$B$50:$B$53,MATCH($B322,'Parametri Modello'!$A$50:$A$53,0))*'Parametri Modello'!$B$44))),IF(INDEX('Parametri Modello'!$F$57:$F$60,MATCH($B322,'Parametri Modello'!$A$57:$A$60,0))=0,0,($O322/INDEX('Parametri Modello'!$F$57:$F$60,MATCH($B322,'Parametri Modello'!$A$57:$A$60,0)))*((1-INDEX('Parametri Modello'!$D$57:$D$60,MATCH($B322,'Parametri Modello'!$A$57:$A$60,0)))*(INDEX('Parametri Modello'!$B$50:$B$53,MATCH($B322,'Parametri Modello'!$A$50:$A$53,0))*'Parametri Modello'!$B$44))))*(1+IF(IF($B322="D",'Info Lega'!$B$25,IF($B322="C",'Info Lega'!$B$26,"No"))="Si",'Parametri Modello'!$B$5,0))*(1+MAX(-0.25,MIN(0.25,IF(OR($T322="",$I322="",$I322=0,INDEX('Parametri Modello'!$B$19:$B$22,MATCH($B322,'Parametri Modello'!$A$19:$A$22,0))="",INDEX('Parametri Modello'!$B$19:$B$22,MATCH($B322,'Parametri Modello'!$A$19:$A$22,0))=0),0,(($T322-INDEX('Parametri Modello'!$B$19:$B$22,MATCH($B322,'Parametri Modello'!$A$19:$A$22,0)))/INDEX('Parametri Modello'!$B$19:$B$22,MATCH($B322,'Parametri Modello'!$A$19:$A$22,0)))*'Parametri Modello'!$B$9))))*(1+IF('Parametri Modello'!$B$27="Si",MAX(-'Parametri Modello'!$B$28,MIN('Parametri Modello'!$B$28*1.5,IF(OR(INDEX('Parametri Modello'!$F$32:$F$35,MATCH($B322,'Parametri Modello'!$A$32:$A$35,0))="",INDEX('Parametri Modello'!$F$32:$F$35,MATCH($B322,'Parametri Modello'!$A$32:$A$35,0))=0),0,(1/INDEX('Parametri Modello'!$F$32:$F$35,MATCH($B322,'Parametri Modello'!$A$32:$A$35,0))-1)*'Parametri Modello'!$B$28))),0)))*(1+INDEX('Parametri Modello'!$B$12:$B$15,MATCH($B322,'Parametri Modello'!$A$12:$A$15,0))),0),"")</f>
        <v>1</v>
      </c>
      <c r="I322" s="23">
        <f>IFERROR(INDEX('Input Statistiche 2025_26'!$F$3:$F$665,MATCH($A322,'Input Statistiche 2025_26'!$A$3:$A$665,0)),"")</f>
        <v>17</v>
      </c>
      <c r="J322" s="23">
        <f t="shared" ref="J322:J385" si="45">IFERROR(IF($I322="","",MAX(0,38-$I322)),"")</f>
        <v>21</v>
      </c>
      <c r="K322" s="23">
        <f>IFERROR(INDEX('Input Statistiche 2025_26'!$I$3:$I$665,MATCH($A322,'Input Statistiche 2025_26'!$A$3:$A$665,0)),"")</f>
        <v>1</v>
      </c>
      <c r="L322" s="23">
        <f>IFERROR(INDEX('Input Statistiche 2025_26'!$O$3:$O$665,MATCH($A322,'Input Statistiche 2025_26'!$A$3:$A$665,0)),"")</f>
        <v>2</v>
      </c>
      <c r="M322" s="25"/>
      <c r="N322" s="24">
        <f>IFERROR(INDEX('Input Giocatori 2026_27'!$E$3:$E$493,MATCH($A322,'Input Giocatori 2026_27'!$A$3:$A$493,0)),"")</f>
        <v>4</v>
      </c>
      <c r="O322" s="24">
        <f>IFERROR(INDEX('Input Giocatori 2026_27'!$G$3:$G$493,MATCH($A322,'Input Giocatori 2026_27'!$A$3:$A$493,0)),"")</f>
        <v>10</v>
      </c>
      <c r="P322" s="23" t="str">
        <f>IFERROR(IF($O322="","",IF((1-(COUNTIFS($B$2:$B$492,$B322,$O$2:$O$492,"&gt;"&amp;$O322)+1-1)/COUNTIF($B$2:$B$492,$B322))&gt;='Parametri Modello'!$B$63,"Top",IF((1-(COUNTIFS($B$2:$B$492,$B322,$O$2:$O$492,"&gt;"&amp;$O322)+1-1)/COUNTIF($B$2:$B$492,$B322))&gt;='Parametri Modello'!$B$64,"Buono",IF((1-(COUNTIFS($B$2:$B$492,$B322,$O$2:$O$492,"&gt;"&amp;$O322)+1-1)/COUNTIF($B$2:$B$492,$B322))&gt;='Parametri Modello'!$B$65,"Nella Media","Scommessa/Riserva")))),"")</f>
        <v>Scommessa/Riserva</v>
      </c>
      <c r="Q322" s="26">
        <f>IF(AND($D322="",$N322&gt;1),SUMPRODUCT(($D$2:$D322="")*($N$2:$N322&gt;1)),"")</f>
        <v>321</v>
      </c>
      <c r="R322" s="26" t="str">
        <f>IF($D322='Info Lega'!$B$28,COUNTIFS($D$2:$D322,'Info Lega'!$B$28),"")</f>
        <v/>
      </c>
      <c r="S322" s="27">
        <f>IFERROR(INDEX('Input Statistiche 2025_26'!$G$3:$G$665,MATCH($A322,'Input Statistiche 2025_26'!$A$3:$A$665,0)),"")</f>
        <v>5.82</v>
      </c>
      <c r="T322" s="27">
        <f>IFERROR(INDEX('Input Statistiche 2025_26'!$H$3:$H$665,MATCH($A322,'Input Statistiche 2025_26'!$A$3:$A$665,0)),"")</f>
        <v>6</v>
      </c>
      <c r="U322" s="23" t="str">
        <f>IF(OR('La Mia Rosa'!$O$12="",$D322&lt;&gt;""),"",IF($F322&lt;='La Mia Rosa'!$O$12*'Parametri Modello'!$B$24,"OK",IF($F322&lt;='La Mia Rosa'!$O$12*'Parametri Modello'!$B$25,"Attenzione","Rischio Alto")))</f>
        <v>OK</v>
      </c>
      <c r="V322" s="23">
        <f t="shared" ref="V322:V385" si="46">IFERROR(COUNTIFS($B$2:$B$492,$B322,$O$2:$O$492,"&gt;"&amp;$O322)+1,"")</f>
        <v>124</v>
      </c>
      <c r="W322" s="18">
        <f>'Info Lega'!$B$4-SUMIFS($M$2:$M$492,$D$2:$D$492,'Info Lega'!$B$28)</f>
        <v>1000</v>
      </c>
      <c r="X322" s="18">
        <f>('Info Lega'!$B$5-COUNTIFS($D$2:$D$492,'Info Lega'!$B$28,$B$2:$B$492,"P"))+('Info Lega'!$B$6-COUNTIFS($D$2:$D$492,'Info Lega'!$B$28,$B$2:$B$492,"D"))+('Info Lega'!$B$7-COUNTIFS($D$2:$D$492,'Info Lega'!$B$28,$B$2:$B$492,"C"))+('Info Lega'!$B$8-COUNTIFS($D$2:$D$492,'Info Lega'!$B$28,$B$2:$B$492,"A"))</f>
        <v>25</v>
      </c>
      <c r="Y322" s="18">
        <f>X322*'Parametri Modello'!$B$30</f>
        <v>25</v>
      </c>
      <c r="Z322" s="18">
        <f t="shared" ref="Z322:Z385" si="47">MAX(0,W322-Y322)</f>
        <v>975</v>
      </c>
      <c r="AA322" s="18">
        <f t="shared" ref="AA322:AA385" si="48">MIN(F322,Z322)</f>
        <v>1</v>
      </c>
      <c r="AB322" s="18"/>
      <c r="AC322" s="18" t="str">
        <f>IF($AB322="","",IF($AB322&gt;$AA322,"PASS",IF($AB322&lt;=$AA322*(1-'Parametri Modello'!$B$68),"BID","ATTENZIONE")))</f>
        <v/>
      </c>
      <c r="AD322" s="28">
        <f t="shared" ref="AD322:AD385" si="49">IF(I322="","",ROUND(100*(1-EXP(-I322/30)),0))</f>
        <v>43</v>
      </c>
      <c r="AE322" s="5" t="str">
        <f>IFERROR(INDEX('Stato Asta'!$G$9:$G$12,MATCH($B322,'Stato Asta'!$A$9:$A$12,0)),"")</f>
        <v>🔴 Non aspettare</v>
      </c>
      <c r="AF322" t="str">
        <f>IFERROR(IF($V322&lt;=INDEX('Parametri Modello'!$C$57:$C$60,MATCH($B322,'Parametri Modello'!$A$57:$A$60,0)),"Titolare","Riserva"),"")</f>
        <v>Riserva</v>
      </c>
      <c r="AG322" t="str">
        <f>IFERROR(INDEX('Pressione Competitiva'!$F$3:$F$6,MATCH($B322,'Pressione Competitiva'!$B$3:$B$6,0)),"")</f>
        <v>🔴 Molto Alta</v>
      </c>
      <c r="AH322" t="str">
        <f t="shared" ref="AH322:AH385" si="50">IF($AB322="","",$AA322-$AB322)</f>
        <v/>
      </c>
      <c r="AI322" t="str">
        <f>IFERROR(IF($AH322="","",IF($AH322&gt;=$AA322*'Parametri Modello'!$B$68,"🟢 Opportunita'",IF($AH322&lt;=$AA322*'Parametri Modello'!$B$69,"🔴 Sovrapprezzo","🟡 Prezzo Corretto"))),"")</f>
        <v/>
      </c>
      <c r="AJ322" t="str">
        <f t="shared" ref="AJ322:AJ385" si="51">IF($AB322="","",IF($AC322="PASS","Prezzo sopra la tua Offerta Max Dinamica ("&amp;$AA322&amp;" cr).",IF($AC322="BID","Margine ampio sul tuo tetto (+"&amp;($AA322-$AB322)&amp;" cr).","Margine ridotto: sei vicino al tuo tetto ("&amp;($AA322-$AB322)&amp;" cr residui).")))</f>
        <v/>
      </c>
      <c r="AK322">
        <f t="shared" ref="AK322:AK385" si="52">IF(AND($D322="",$N322&gt;1),COUNTIFS($B$2:$B$492,$B322,$P$2:$P$492,$P322,$D$2:$D$492,"",$N$2:$N$492,"&gt;1",$O$2:$O$492,"&gt;"&amp;$O322)+1,"")</f>
        <v>20</v>
      </c>
      <c r="AL322" t="str">
        <f t="shared" ref="AL322:AL385" si="53">IF($AK322="","",$B322&amp;"|"&amp;$P322&amp;"|"&amp;$AK322)</f>
        <v>C|Scommessa/Riserva|20</v>
      </c>
    </row>
    <row r="323" spans="1:38" ht="14.25" customHeight="1" x14ac:dyDescent="0.25">
      <c r="A323" s="18">
        <v>6503</v>
      </c>
      <c r="B323" s="18" t="s">
        <v>17</v>
      </c>
      <c r="C323" s="18" t="s">
        <v>462</v>
      </c>
      <c r="E323" s="23" t="str">
        <f>IF(COUNTIF('Info Strategia'!$D$2:$D$51,$C323)&gt;0,"SI","NO")</f>
        <v>NO</v>
      </c>
      <c r="F323" s="24">
        <f>IFERROR(ROUND(($G323+($H323-$G323)*'Info Strategia'!$B$6)*(1+IF($E323="SI",'Parametri Modello'!$B$7*'Info Strategia'!$B$6,0)),0),"")</f>
        <v>1</v>
      </c>
      <c r="G323" s="24">
        <f>IFERROR(ROUND(MAX(1,(IF($V323&lt;=INDEX('Parametri Modello'!$C$57:$C$60,MATCH($B323,'Parametri Modello'!$A$57:$A$60,0)),IF(INDEX('Parametri Modello'!$E$57:$E$60,MATCH($B323,'Parametri Modello'!$A$57:$A$60,0))=0,0,($O323/INDEX('Parametri Modello'!$E$57:$E$60,MATCH($B323,'Parametri Modello'!$A$57:$A$60,0)))*(INDEX('Parametri Modello'!$D$57:$D$60,MATCH($B323,'Parametri Modello'!$A$57:$A$60,0))*(INDEX('Parametri Modello'!$B$50:$B$53,MATCH($B323,'Parametri Modello'!$A$50:$A$53,0))*'Parametri Modello'!$B$44))),IF(INDEX('Parametri Modello'!$F$57:$F$60,MATCH($B323,'Parametri Modello'!$A$57:$A$60,0))=0,0,($O323/INDEX('Parametri Modello'!$F$57:$F$60,MATCH($B323,'Parametri Modello'!$A$57:$A$60,0)))*((1-INDEX('Parametri Modello'!$D$57:$D$60,MATCH($B323,'Parametri Modello'!$A$57:$A$60,0)))*(INDEX('Parametri Modello'!$B$50:$B$53,MATCH($B323,'Parametri Modello'!$A$50:$A$53,0))*'Parametri Modello'!$B$44))))*(1+IF(IF($B323="D",'Info Lega'!$B$25,IF($B323="C",'Info Lega'!$B$26,"No"))="Si",'Parametri Modello'!$B$5,0))*(1+MAX(-0.25,MIN(0.25,IF(OR($T323="",$I323="",$I323=0,INDEX('Parametri Modello'!$B$19:$B$22,MATCH($B323,'Parametri Modello'!$A$19:$A$22,0))="",INDEX('Parametri Modello'!$B$19:$B$22,MATCH($B323,'Parametri Modello'!$A$19:$A$22,0))=0),0,(($T323-INDEX('Parametri Modello'!$B$19:$B$22,MATCH($B323,'Parametri Modello'!$A$19:$A$22,0)))/INDEX('Parametri Modello'!$B$19:$B$22,MATCH($B323,'Parametri Modello'!$A$19:$A$22,0)))*'Parametri Modello'!$B$9))))*(1+IF('Parametri Modello'!$B$27="Si",MAX(-'Parametri Modello'!$B$28,MIN('Parametri Modello'!$B$28*1.5,IF(OR(INDEX('Parametri Modello'!$F$32:$F$35,MATCH($B323,'Parametri Modello'!$A$32:$A$35,0))="",INDEX('Parametri Modello'!$F$32:$F$35,MATCH($B323,'Parametri Modello'!$A$32:$A$35,0))=0),0,(1/INDEX('Parametri Modello'!$F$32:$F$35,MATCH($B323,'Parametri Modello'!$A$32:$A$35,0))-1)*'Parametri Modello'!$B$28))),0)))*(1-INDEX('Parametri Modello'!$B$12:$B$15,MATCH($B323,'Parametri Modello'!$A$12:$A$15,0)))),0),"")</f>
        <v>1</v>
      </c>
      <c r="H323" s="24">
        <f>IFERROR(ROUND((IF($V323&lt;=INDEX('Parametri Modello'!$C$57:$C$60,MATCH($B323,'Parametri Modello'!$A$57:$A$60,0)),IF(INDEX('Parametri Modello'!$E$57:$E$60,MATCH($B323,'Parametri Modello'!$A$57:$A$60,0))=0,0,($O323/INDEX('Parametri Modello'!$E$57:$E$60,MATCH($B323,'Parametri Modello'!$A$57:$A$60,0)))*(INDEX('Parametri Modello'!$D$57:$D$60,MATCH($B323,'Parametri Modello'!$A$57:$A$60,0))*(INDEX('Parametri Modello'!$B$50:$B$53,MATCH($B323,'Parametri Modello'!$A$50:$A$53,0))*'Parametri Modello'!$B$44))),IF(INDEX('Parametri Modello'!$F$57:$F$60,MATCH($B323,'Parametri Modello'!$A$57:$A$60,0))=0,0,($O323/INDEX('Parametri Modello'!$F$57:$F$60,MATCH($B323,'Parametri Modello'!$A$57:$A$60,0)))*((1-INDEX('Parametri Modello'!$D$57:$D$60,MATCH($B323,'Parametri Modello'!$A$57:$A$60,0)))*(INDEX('Parametri Modello'!$B$50:$B$53,MATCH($B323,'Parametri Modello'!$A$50:$A$53,0))*'Parametri Modello'!$B$44))))*(1+IF(IF($B323="D",'Info Lega'!$B$25,IF($B323="C",'Info Lega'!$B$26,"No"))="Si",'Parametri Modello'!$B$5,0))*(1+MAX(-0.25,MIN(0.25,IF(OR($T323="",$I323="",$I323=0,INDEX('Parametri Modello'!$B$19:$B$22,MATCH($B323,'Parametri Modello'!$A$19:$A$22,0))="",INDEX('Parametri Modello'!$B$19:$B$22,MATCH($B323,'Parametri Modello'!$A$19:$A$22,0))=0),0,(($T323-INDEX('Parametri Modello'!$B$19:$B$22,MATCH($B323,'Parametri Modello'!$A$19:$A$22,0)))/INDEX('Parametri Modello'!$B$19:$B$22,MATCH($B323,'Parametri Modello'!$A$19:$A$22,0)))*'Parametri Modello'!$B$9))))*(1+IF('Parametri Modello'!$B$27="Si",MAX(-'Parametri Modello'!$B$28,MIN('Parametri Modello'!$B$28*1.5,IF(OR(INDEX('Parametri Modello'!$F$32:$F$35,MATCH($B323,'Parametri Modello'!$A$32:$A$35,0))="",INDEX('Parametri Modello'!$F$32:$F$35,MATCH($B323,'Parametri Modello'!$A$32:$A$35,0))=0),0,(1/INDEX('Parametri Modello'!$F$32:$F$35,MATCH($B323,'Parametri Modello'!$A$32:$A$35,0))-1)*'Parametri Modello'!$B$28))),0)))*(1+INDEX('Parametri Modello'!$B$12:$B$15,MATCH($B323,'Parametri Modello'!$A$12:$A$15,0))),0),"")</f>
        <v>1</v>
      </c>
      <c r="I323" s="23" t="str">
        <f>IFERROR(INDEX('Input Statistiche 2025_26'!$F$3:$F$665,MATCH($A323,'Input Statistiche 2025_26'!$A$3:$A$665,0)),"")</f>
        <v/>
      </c>
      <c r="J323" s="23" t="str">
        <f t="shared" si="45"/>
        <v/>
      </c>
      <c r="K323" s="23" t="str">
        <f>IFERROR(INDEX('Input Statistiche 2025_26'!$I$3:$I$665,MATCH($A323,'Input Statistiche 2025_26'!$A$3:$A$665,0)),"")</f>
        <v/>
      </c>
      <c r="L323" s="23" t="str">
        <f>IFERROR(INDEX('Input Statistiche 2025_26'!$O$3:$O$665,MATCH($A323,'Input Statistiche 2025_26'!$A$3:$A$665,0)),"")</f>
        <v/>
      </c>
      <c r="M323" s="25"/>
      <c r="N323" s="24">
        <f>IFERROR(INDEX('Input Giocatori 2026_27'!$E$3:$E$493,MATCH($A323,'Input Giocatori 2026_27'!$A$3:$A$493,0)),"")</f>
        <v>3</v>
      </c>
      <c r="O323" s="24">
        <f>IFERROR(INDEX('Input Giocatori 2026_27'!$G$3:$G$493,MATCH($A323,'Input Giocatori 2026_27'!$A$3:$A$493,0)),"")</f>
        <v>10</v>
      </c>
      <c r="P323" s="23" t="str">
        <f>IFERROR(IF($O323="","",IF((1-(COUNTIFS($B$2:$B$492,$B323,$O$2:$O$492,"&gt;"&amp;$O323)+1-1)/COUNTIF($B$2:$B$492,$B323))&gt;='Parametri Modello'!$B$63,"Top",IF((1-(COUNTIFS($B$2:$B$492,$B323,$O$2:$O$492,"&gt;"&amp;$O323)+1-1)/COUNTIF($B$2:$B$492,$B323))&gt;='Parametri Modello'!$B$64,"Buono",IF((1-(COUNTIFS($B$2:$B$492,$B323,$O$2:$O$492,"&gt;"&amp;$O323)+1-1)/COUNTIF($B$2:$B$492,$B323))&gt;='Parametri Modello'!$B$65,"Nella Media","Scommessa/Riserva")))),"")</f>
        <v>Scommessa/Riserva</v>
      </c>
      <c r="Q323" s="26">
        <f>IF(AND($D323="",$N323&gt;1),SUMPRODUCT(($D$2:$D323="")*($N$2:$N323&gt;1)),"")</f>
        <v>322</v>
      </c>
      <c r="R323" s="26" t="str">
        <f>IF($D323='Info Lega'!$B$28,COUNTIFS($D$2:$D323,'Info Lega'!$B$28),"")</f>
        <v/>
      </c>
      <c r="S323" s="27" t="str">
        <f>IFERROR(INDEX('Input Statistiche 2025_26'!$G$3:$G$665,MATCH($A323,'Input Statistiche 2025_26'!$A$3:$A$665,0)),"")</f>
        <v/>
      </c>
      <c r="T323" s="27" t="str">
        <f>IFERROR(INDEX('Input Statistiche 2025_26'!$H$3:$H$665,MATCH($A323,'Input Statistiche 2025_26'!$A$3:$A$665,0)),"")</f>
        <v/>
      </c>
      <c r="U323" s="23" t="str">
        <f>IF(OR('La Mia Rosa'!$O$12="",$D323&lt;&gt;""),"",IF($F323&lt;='La Mia Rosa'!$O$12*'Parametri Modello'!$B$24,"OK",IF($F323&lt;='La Mia Rosa'!$O$12*'Parametri Modello'!$B$25,"Attenzione","Rischio Alto")))</f>
        <v>OK</v>
      </c>
      <c r="V323" s="23">
        <f t="shared" si="46"/>
        <v>124</v>
      </c>
      <c r="W323" s="18">
        <f>'Info Lega'!$B$4-SUMIFS($M$2:$M$492,$D$2:$D$492,'Info Lega'!$B$28)</f>
        <v>1000</v>
      </c>
      <c r="X323" s="18">
        <f>('Info Lega'!$B$5-COUNTIFS($D$2:$D$492,'Info Lega'!$B$28,$B$2:$B$492,"P"))+('Info Lega'!$B$6-COUNTIFS($D$2:$D$492,'Info Lega'!$B$28,$B$2:$B$492,"D"))+('Info Lega'!$B$7-COUNTIFS($D$2:$D$492,'Info Lega'!$B$28,$B$2:$B$492,"C"))+('Info Lega'!$B$8-COUNTIFS($D$2:$D$492,'Info Lega'!$B$28,$B$2:$B$492,"A"))</f>
        <v>25</v>
      </c>
      <c r="Y323" s="18">
        <f>X323*'Parametri Modello'!$B$30</f>
        <v>25</v>
      </c>
      <c r="Z323" s="18">
        <f t="shared" si="47"/>
        <v>975</v>
      </c>
      <c r="AA323" s="18">
        <f t="shared" si="48"/>
        <v>1</v>
      </c>
      <c r="AB323" s="18"/>
      <c r="AC323" s="18" t="str">
        <f>IF($AB323="","",IF($AB323&gt;$AA323,"PASS",IF($AB323&lt;=$AA323*(1-'Parametri Modello'!$B$68),"BID","ATTENZIONE")))</f>
        <v/>
      </c>
      <c r="AD323" s="28" t="str">
        <f t="shared" si="49"/>
        <v/>
      </c>
      <c r="AE323" s="5" t="str">
        <f>IFERROR(INDEX('Stato Asta'!$G$9:$G$12,MATCH($B323,'Stato Asta'!$A$9:$A$12,0)),"")</f>
        <v>🔴 Non aspettare</v>
      </c>
      <c r="AF323" t="str">
        <f>IFERROR(IF($V323&lt;=INDEX('Parametri Modello'!$C$57:$C$60,MATCH($B323,'Parametri Modello'!$A$57:$A$60,0)),"Titolare","Riserva"),"")</f>
        <v>Riserva</v>
      </c>
      <c r="AG323" t="str">
        <f>IFERROR(INDEX('Pressione Competitiva'!$F$3:$F$6,MATCH($B323,'Pressione Competitiva'!$B$3:$B$6,0)),"")</f>
        <v>🔴 Molto Alta</v>
      </c>
      <c r="AH323" t="str">
        <f t="shared" si="50"/>
        <v/>
      </c>
      <c r="AI323" t="str">
        <f>IFERROR(IF($AH323="","",IF($AH323&gt;=$AA323*'Parametri Modello'!$B$68,"🟢 Opportunita'",IF($AH323&lt;=$AA323*'Parametri Modello'!$B$69,"🔴 Sovrapprezzo","🟡 Prezzo Corretto"))),"")</f>
        <v/>
      </c>
      <c r="AJ323" t="str">
        <f t="shared" si="51"/>
        <v/>
      </c>
      <c r="AK323">
        <f t="shared" si="52"/>
        <v>20</v>
      </c>
      <c r="AL323" t="str">
        <f t="shared" si="53"/>
        <v>C|Scommessa/Riserva|20</v>
      </c>
    </row>
    <row r="324" spans="1:38" ht="14.25" customHeight="1" x14ac:dyDescent="0.25">
      <c r="A324" s="18">
        <v>313</v>
      </c>
      <c r="B324" s="18" t="s">
        <v>18</v>
      </c>
      <c r="C324" s="18" t="s">
        <v>463</v>
      </c>
      <c r="E324" s="23" t="str">
        <f>IF(COUNTIF('Info Strategia'!$D$2:$D$51,$C324)&gt;0,"SI","NO")</f>
        <v>NO</v>
      </c>
      <c r="F324" s="24">
        <f>IFERROR(ROUND(($G324+($H324-$G324)*'Info Strategia'!$B$6)*(1+IF($E324="SI",'Parametri Modello'!$B$7*'Info Strategia'!$B$6,0)),0),"")</f>
        <v>3</v>
      </c>
      <c r="G324" s="24">
        <f>IFERROR(ROUND(MAX(1,(IF($V324&lt;=INDEX('Parametri Modello'!$C$57:$C$60,MATCH($B324,'Parametri Modello'!$A$57:$A$60,0)),IF(INDEX('Parametri Modello'!$E$57:$E$60,MATCH($B324,'Parametri Modello'!$A$57:$A$60,0))=0,0,($O324/INDEX('Parametri Modello'!$E$57:$E$60,MATCH($B324,'Parametri Modello'!$A$57:$A$60,0)))*(INDEX('Parametri Modello'!$D$57:$D$60,MATCH($B324,'Parametri Modello'!$A$57:$A$60,0))*(INDEX('Parametri Modello'!$B$50:$B$53,MATCH($B324,'Parametri Modello'!$A$50:$A$53,0))*'Parametri Modello'!$B$44))),IF(INDEX('Parametri Modello'!$F$57:$F$60,MATCH($B324,'Parametri Modello'!$A$57:$A$60,0))=0,0,($O324/INDEX('Parametri Modello'!$F$57:$F$60,MATCH($B324,'Parametri Modello'!$A$57:$A$60,0)))*((1-INDEX('Parametri Modello'!$D$57:$D$60,MATCH($B324,'Parametri Modello'!$A$57:$A$60,0)))*(INDEX('Parametri Modello'!$B$50:$B$53,MATCH($B324,'Parametri Modello'!$A$50:$A$53,0))*'Parametri Modello'!$B$44))))*(1+IF(IF($B324="D",'Info Lega'!$B$25,IF($B324="C",'Info Lega'!$B$26,"No"))="Si",'Parametri Modello'!$B$5,0))*(1+MAX(-0.25,MIN(0.25,IF(OR($T324="",$I324="",$I324=0,INDEX('Parametri Modello'!$B$19:$B$22,MATCH($B324,'Parametri Modello'!$A$19:$A$22,0))="",INDEX('Parametri Modello'!$B$19:$B$22,MATCH($B324,'Parametri Modello'!$A$19:$A$22,0))=0),0,(($T324-INDEX('Parametri Modello'!$B$19:$B$22,MATCH($B324,'Parametri Modello'!$A$19:$A$22,0)))/INDEX('Parametri Modello'!$B$19:$B$22,MATCH($B324,'Parametri Modello'!$A$19:$A$22,0)))*'Parametri Modello'!$B$9))))*(1+IF('Parametri Modello'!$B$27="Si",MAX(-'Parametri Modello'!$B$28,MIN('Parametri Modello'!$B$28*1.5,IF(OR(INDEX('Parametri Modello'!$F$32:$F$35,MATCH($B324,'Parametri Modello'!$A$32:$A$35,0))="",INDEX('Parametri Modello'!$F$32:$F$35,MATCH($B324,'Parametri Modello'!$A$32:$A$35,0))=0),0,(1/INDEX('Parametri Modello'!$F$32:$F$35,MATCH($B324,'Parametri Modello'!$A$32:$A$35,0))-1)*'Parametri Modello'!$B$28))),0)))*(1-INDEX('Parametri Modello'!$B$12:$B$15,MATCH($B324,'Parametri Modello'!$A$12:$A$15,0)))),0),"")</f>
        <v>2</v>
      </c>
      <c r="H324" s="24">
        <f>IFERROR(ROUND((IF($V324&lt;=INDEX('Parametri Modello'!$C$57:$C$60,MATCH($B324,'Parametri Modello'!$A$57:$A$60,0)),IF(INDEX('Parametri Modello'!$E$57:$E$60,MATCH($B324,'Parametri Modello'!$A$57:$A$60,0))=0,0,($O324/INDEX('Parametri Modello'!$E$57:$E$60,MATCH($B324,'Parametri Modello'!$A$57:$A$60,0)))*(INDEX('Parametri Modello'!$D$57:$D$60,MATCH($B324,'Parametri Modello'!$A$57:$A$60,0))*(INDEX('Parametri Modello'!$B$50:$B$53,MATCH($B324,'Parametri Modello'!$A$50:$A$53,0))*'Parametri Modello'!$B$44))),IF(INDEX('Parametri Modello'!$F$57:$F$60,MATCH($B324,'Parametri Modello'!$A$57:$A$60,0))=0,0,($O324/INDEX('Parametri Modello'!$F$57:$F$60,MATCH($B324,'Parametri Modello'!$A$57:$A$60,0)))*((1-INDEX('Parametri Modello'!$D$57:$D$60,MATCH($B324,'Parametri Modello'!$A$57:$A$60,0)))*(INDEX('Parametri Modello'!$B$50:$B$53,MATCH($B324,'Parametri Modello'!$A$50:$A$53,0))*'Parametri Modello'!$B$44))))*(1+IF(IF($B324="D",'Info Lega'!$B$25,IF($B324="C",'Info Lega'!$B$26,"No"))="Si",'Parametri Modello'!$B$5,0))*(1+MAX(-0.25,MIN(0.25,IF(OR($T324="",$I324="",$I324=0,INDEX('Parametri Modello'!$B$19:$B$22,MATCH($B324,'Parametri Modello'!$A$19:$A$22,0))="",INDEX('Parametri Modello'!$B$19:$B$22,MATCH($B324,'Parametri Modello'!$A$19:$A$22,0))=0),0,(($T324-INDEX('Parametri Modello'!$B$19:$B$22,MATCH($B324,'Parametri Modello'!$A$19:$A$22,0)))/INDEX('Parametri Modello'!$B$19:$B$22,MATCH($B324,'Parametri Modello'!$A$19:$A$22,0)))*'Parametri Modello'!$B$9))))*(1+IF('Parametri Modello'!$B$27="Si",MAX(-'Parametri Modello'!$B$28,MIN('Parametri Modello'!$B$28*1.5,IF(OR(INDEX('Parametri Modello'!$F$32:$F$35,MATCH($B324,'Parametri Modello'!$A$32:$A$35,0))="",INDEX('Parametri Modello'!$F$32:$F$35,MATCH($B324,'Parametri Modello'!$A$32:$A$35,0))=0),0,(1/INDEX('Parametri Modello'!$F$32:$F$35,MATCH($B324,'Parametri Modello'!$A$32:$A$35,0))-1)*'Parametri Modello'!$B$28))),0)))*(1+INDEX('Parametri Modello'!$B$12:$B$15,MATCH($B324,'Parametri Modello'!$A$12:$A$15,0))),0),"")</f>
        <v>4</v>
      </c>
      <c r="I324" s="23">
        <f>IFERROR(INDEX('Input Statistiche 2025_26'!$F$3:$F$665,MATCH($A324,'Input Statistiche 2025_26'!$A$3:$A$665,0)),"")</f>
        <v>17</v>
      </c>
      <c r="J324" s="23">
        <f t="shared" si="45"/>
        <v>21</v>
      </c>
      <c r="K324" s="23">
        <f>IFERROR(INDEX('Input Statistiche 2025_26'!$I$3:$I$665,MATCH($A324,'Input Statistiche 2025_26'!$A$3:$A$665,0)),"")</f>
        <v>0</v>
      </c>
      <c r="L324" s="23">
        <f>IFERROR(INDEX('Input Statistiche 2025_26'!$O$3:$O$665,MATCH($A324,'Input Statistiche 2025_26'!$A$3:$A$665,0)),"")</f>
        <v>0</v>
      </c>
      <c r="M324" s="25"/>
      <c r="N324" s="24">
        <f>IFERROR(INDEX('Input Giocatori 2026_27'!$E$3:$E$493,MATCH($A324,'Input Giocatori 2026_27'!$A$3:$A$493,0)),"")</f>
        <v>4</v>
      </c>
      <c r="O324" s="24">
        <f>IFERROR(INDEX('Input Giocatori 2026_27'!$G$3:$G$493,MATCH($A324,'Input Giocatori 2026_27'!$A$3:$A$493,0)),"")</f>
        <v>10</v>
      </c>
      <c r="P324" s="23" t="str">
        <f>IFERROR(IF($O324="","",IF((1-(COUNTIFS($B$2:$B$492,$B324,$O$2:$O$492,"&gt;"&amp;$O324)+1-1)/COUNTIF($B$2:$B$492,$B324))&gt;='Parametri Modello'!$B$63,"Top",IF((1-(COUNTIFS($B$2:$B$492,$B324,$O$2:$O$492,"&gt;"&amp;$O324)+1-1)/COUNTIF($B$2:$B$492,$B324))&gt;='Parametri Modello'!$B$64,"Buono",IF((1-(COUNTIFS($B$2:$B$492,$B324,$O$2:$O$492,"&gt;"&amp;$O324)+1-1)/COUNTIF($B$2:$B$492,$B324))&gt;='Parametri Modello'!$B$65,"Nella Media","Scommessa/Riserva")))),"")</f>
        <v>Scommessa/Riserva</v>
      </c>
      <c r="Q324" s="26">
        <f>IF(AND($D324="",$N324&gt;1),SUMPRODUCT(($D$2:$D324="")*($N$2:$N324&gt;1)),"")</f>
        <v>323</v>
      </c>
      <c r="R324" s="26" t="str">
        <f>IF($D324='Info Lega'!$B$28,COUNTIFS($D$2:$D324,'Info Lega'!$B$28),"")</f>
        <v/>
      </c>
      <c r="S324" s="27">
        <f>IFERROR(INDEX('Input Statistiche 2025_26'!$G$3:$G$665,MATCH($A324,'Input Statistiche 2025_26'!$A$3:$A$665,0)),"")</f>
        <v>5.5</v>
      </c>
      <c r="T324" s="27">
        <f>IFERROR(INDEX('Input Statistiche 2025_26'!$H$3:$H$665,MATCH($A324,'Input Statistiche 2025_26'!$A$3:$A$665,0)),"")</f>
        <v>5.21</v>
      </c>
      <c r="U324" s="23" t="str">
        <f>IF(OR('La Mia Rosa'!$O$12="",$D324&lt;&gt;""),"",IF($F324&lt;='La Mia Rosa'!$O$12*'Parametri Modello'!$B$24,"OK",IF($F324&lt;='La Mia Rosa'!$O$12*'Parametri Modello'!$B$25,"Attenzione","Rischio Alto")))</f>
        <v>OK</v>
      </c>
      <c r="V324" s="23">
        <f t="shared" si="46"/>
        <v>63</v>
      </c>
      <c r="W324" s="18">
        <f>'Info Lega'!$B$4-SUMIFS($M$2:$M$492,$D$2:$D$492,'Info Lega'!$B$28)</f>
        <v>1000</v>
      </c>
      <c r="X324" s="18">
        <f>('Info Lega'!$B$5-COUNTIFS($D$2:$D$492,'Info Lega'!$B$28,$B$2:$B$492,"P"))+('Info Lega'!$B$6-COUNTIFS($D$2:$D$492,'Info Lega'!$B$28,$B$2:$B$492,"D"))+('Info Lega'!$B$7-COUNTIFS($D$2:$D$492,'Info Lega'!$B$28,$B$2:$B$492,"C"))+('Info Lega'!$B$8-COUNTIFS($D$2:$D$492,'Info Lega'!$B$28,$B$2:$B$492,"A"))</f>
        <v>25</v>
      </c>
      <c r="Y324" s="18">
        <f>X324*'Parametri Modello'!$B$30</f>
        <v>25</v>
      </c>
      <c r="Z324" s="18">
        <f t="shared" si="47"/>
        <v>975</v>
      </c>
      <c r="AA324" s="18">
        <f t="shared" si="48"/>
        <v>3</v>
      </c>
      <c r="AB324" s="18"/>
      <c r="AC324" s="18" t="str">
        <f>IF($AB324="","",IF($AB324&gt;$AA324,"PASS",IF($AB324&lt;=$AA324*(1-'Parametri Modello'!$B$68),"BID","ATTENZIONE")))</f>
        <v/>
      </c>
      <c r="AD324" s="28">
        <f t="shared" si="49"/>
        <v>43</v>
      </c>
      <c r="AE324" s="5" t="str">
        <f>IFERROR(INDEX('Stato Asta'!$G$9:$G$12,MATCH($B324,'Stato Asta'!$A$9:$A$12,0)),"")</f>
        <v>🔴 Non aspettare</v>
      </c>
      <c r="AF324" t="str">
        <f>IFERROR(IF($V324&lt;=INDEX('Parametri Modello'!$C$57:$C$60,MATCH($B324,'Parametri Modello'!$A$57:$A$60,0)),"Titolare","Riserva"),"")</f>
        <v>Riserva</v>
      </c>
      <c r="AG324" t="str">
        <f>IFERROR(INDEX('Pressione Competitiva'!$F$3:$F$6,MATCH($B324,'Pressione Competitiva'!$B$3:$B$6,0)),"")</f>
        <v>🔴 Molto Alta</v>
      </c>
      <c r="AH324" t="str">
        <f t="shared" si="50"/>
        <v/>
      </c>
      <c r="AI324" t="str">
        <f>IFERROR(IF($AH324="","",IF($AH324&gt;=$AA324*'Parametri Modello'!$B$68,"🟢 Opportunita'",IF($AH324&lt;=$AA324*'Parametri Modello'!$B$69,"🔴 Sovrapprezzo","🟡 Prezzo Corretto"))),"")</f>
        <v/>
      </c>
      <c r="AJ324" t="str">
        <f t="shared" si="51"/>
        <v/>
      </c>
      <c r="AK324">
        <f t="shared" si="52"/>
        <v>9</v>
      </c>
      <c r="AL324" t="str">
        <f t="shared" si="53"/>
        <v>A|Scommessa/Riserva|9</v>
      </c>
    </row>
    <row r="325" spans="1:38" ht="14.25" customHeight="1" x14ac:dyDescent="0.25">
      <c r="A325" s="18">
        <v>7162</v>
      </c>
      <c r="B325" s="18" t="s">
        <v>18</v>
      </c>
      <c r="C325" s="18" t="s">
        <v>464</v>
      </c>
      <c r="E325" s="23" t="str">
        <f>IF(COUNTIF('Info Strategia'!$D$2:$D$51,$C325)&gt;0,"SI","NO")</f>
        <v>NO</v>
      </c>
      <c r="F325" s="24">
        <f>IFERROR(ROUND(($G325+($H325-$G325)*'Info Strategia'!$B$6)*(1+IF($E325="SI",'Parametri Modello'!$B$7*'Info Strategia'!$B$6,0)),0),"")</f>
        <v>3</v>
      </c>
      <c r="G325" s="24">
        <f>IFERROR(ROUND(MAX(1,(IF($V325&lt;=INDEX('Parametri Modello'!$C$57:$C$60,MATCH($B325,'Parametri Modello'!$A$57:$A$60,0)),IF(INDEX('Parametri Modello'!$E$57:$E$60,MATCH($B325,'Parametri Modello'!$A$57:$A$60,0))=0,0,($O325/INDEX('Parametri Modello'!$E$57:$E$60,MATCH($B325,'Parametri Modello'!$A$57:$A$60,0)))*(INDEX('Parametri Modello'!$D$57:$D$60,MATCH($B325,'Parametri Modello'!$A$57:$A$60,0))*(INDEX('Parametri Modello'!$B$50:$B$53,MATCH($B325,'Parametri Modello'!$A$50:$A$53,0))*'Parametri Modello'!$B$44))),IF(INDEX('Parametri Modello'!$F$57:$F$60,MATCH($B325,'Parametri Modello'!$A$57:$A$60,0))=0,0,($O325/INDEX('Parametri Modello'!$F$57:$F$60,MATCH($B325,'Parametri Modello'!$A$57:$A$60,0)))*((1-INDEX('Parametri Modello'!$D$57:$D$60,MATCH($B325,'Parametri Modello'!$A$57:$A$60,0)))*(INDEX('Parametri Modello'!$B$50:$B$53,MATCH($B325,'Parametri Modello'!$A$50:$A$53,0))*'Parametri Modello'!$B$44))))*(1+IF(IF($B325="D",'Info Lega'!$B$25,IF($B325="C",'Info Lega'!$B$26,"No"))="Si",'Parametri Modello'!$B$5,0))*(1+MAX(-0.25,MIN(0.25,IF(OR($T325="",$I325="",$I325=0,INDEX('Parametri Modello'!$B$19:$B$22,MATCH($B325,'Parametri Modello'!$A$19:$A$22,0))="",INDEX('Parametri Modello'!$B$19:$B$22,MATCH($B325,'Parametri Modello'!$A$19:$A$22,0))=0),0,(($T325-INDEX('Parametri Modello'!$B$19:$B$22,MATCH($B325,'Parametri Modello'!$A$19:$A$22,0)))/INDEX('Parametri Modello'!$B$19:$B$22,MATCH($B325,'Parametri Modello'!$A$19:$A$22,0)))*'Parametri Modello'!$B$9))))*(1+IF('Parametri Modello'!$B$27="Si",MAX(-'Parametri Modello'!$B$28,MIN('Parametri Modello'!$B$28*1.5,IF(OR(INDEX('Parametri Modello'!$F$32:$F$35,MATCH($B325,'Parametri Modello'!$A$32:$A$35,0))="",INDEX('Parametri Modello'!$F$32:$F$35,MATCH($B325,'Parametri Modello'!$A$32:$A$35,0))=0),0,(1/INDEX('Parametri Modello'!$F$32:$F$35,MATCH($B325,'Parametri Modello'!$A$32:$A$35,0))-1)*'Parametri Modello'!$B$28))),0)))*(1-INDEX('Parametri Modello'!$B$12:$B$15,MATCH($B325,'Parametri Modello'!$A$12:$A$15,0)))),0),"")</f>
        <v>2</v>
      </c>
      <c r="H325" s="24">
        <f>IFERROR(ROUND((IF($V325&lt;=INDEX('Parametri Modello'!$C$57:$C$60,MATCH($B325,'Parametri Modello'!$A$57:$A$60,0)),IF(INDEX('Parametri Modello'!$E$57:$E$60,MATCH($B325,'Parametri Modello'!$A$57:$A$60,0))=0,0,($O325/INDEX('Parametri Modello'!$E$57:$E$60,MATCH($B325,'Parametri Modello'!$A$57:$A$60,0)))*(INDEX('Parametri Modello'!$D$57:$D$60,MATCH($B325,'Parametri Modello'!$A$57:$A$60,0))*(INDEX('Parametri Modello'!$B$50:$B$53,MATCH($B325,'Parametri Modello'!$A$50:$A$53,0))*'Parametri Modello'!$B$44))),IF(INDEX('Parametri Modello'!$F$57:$F$60,MATCH($B325,'Parametri Modello'!$A$57:$A$60,0))=0,0,($O325/INDEX('Parametri Modello'!$F$57:$F$60,MATCH($B325,'Parametri Modello'!$A$57:$A$60,0)))*((1-INDEX('Parametri Modello'!$D$57:$D$60,MATCH($B325,'Parametri Modello'!$A$57:$A$60,0)))*(INDEX('Parametri Modello'!$B$50:$B$53,MATCH($B325,'Parametri Modello'!$A$50:$A$53,0))*'Parametri Modello'!$B$44))))*(1+IF(IF($B325="D",'Info Lega'!$B$25,IF($B325="C",'Info Lega'!$B$26,"No"))="Si",'Parametri Modello'!$B$5,0))*(1+MAX(-0.25,MIN(0.25,IF(OR($T325="",$I325="",$I325=0,INDEX('Parametri Modello'!$B$19:$B$22,MATCH($B325,'Parametri Modello'!$A$19:$A$22,0))="",INDEX('Parametri Modello'!$B$19:$B$22,MATCH($B325,'Parametri Modello'!$A$19:$A$22,0))=0),0,(($T325-INDEX('Parametri Modello'!$B$19:$B$22,MATCH($B325,'Parametri Modello'!$A$19:$A$22,0)))/INDEX('Parametri Modello'!$B$19:$B$22,MATCH($B325,'Parametri Modello'!$A$19:$A$22,0)))*'Parametri Modello'!$B$9))))*(1+IF('Parametri Modello'!$B$27="Si",MAX(-'Parametri Modello'!$B$28,MIN('Parametri Modello'!$B$28*1.5,IF(OR(INDEX('Parametri Modello'!$F$32:$F$35,MATCH($B325,'Parametri Modello'!$A$32:$A$35,0))="",INDEX('Parametri Modello'!$F$32:$F$35,MATCH($B325,'Parametri Modello'!$A$32:$A$35,0))=0),0,(1/INDEX('Parametri Modello'!$F$32:$F$35,MATCH($B325,'Parametri Modello'!$A$32:$A$35,0))-1)*'Parametri Modello'!$B$28))),0)))*(1+INDEX('Parametri Modello'!$B$12:$B$15,MATCH($B325,'Parametri Modello'!$A$12:$A$15,0))),0),"")</f>
        <v>4</v>
      </c>
      <c r="I325" s="23">
        <f>IFERROR(INDEX('Input Statistiche 2025_26'!$F$3:$F$665,MATCH($A325,'Input Statistiche 2025_26'!$A$3:$A$665,0)),"")</f>
        <v>31</v>
      </c>
      <c r="J325" s="23">
        <f t="shared" si="45"/>
        <v>7</v>
      </c>
      <c r="K325" s="23">
        <f>IFERROR(INDEX('Input Statistiche 2025_26'!$I$3:$I$665,MATCH($A325,'Input Statistiche 2025_26'!$A$3:$A$665,0)),"")</f>
        <v>3</v>
      </c>
      <c r="L325" s="23">
        <f>IFERROR(INDEX('Input Statistiche 2025_26'!$O$3:$O$665,MATCH($A325,'Input Statistiche 2025_26'!$A$3:$A$665,0)),"")</f>
        <v>6</v>
      </c>
      <c r="M325" s="25"/>
      <c r="N325" s="24">
        <f>IFERROR(INDEX('Input Giocatori 2026_27'!$E$3:$E$493,MATCH($A325,'Input Giocatori 2026_27'!$A$3:$A$493,0)),"")</f>
        <v>4</v>
      </c>
      <c r="O325" s="24">
        <f>IFERROR(INDEX('Input Giocatori 2026_27'!$G$3:$G$493,MATCH($A325,'Input Giocatori 2026_27'!$A$3:$A$493,0)),"")</f>
        <v>10</v>
      </c>
      <c r="P325" s="23" t="str">
        <f>IFERROR(IF($O325="","",IF((1-(COUNTIFS($B$2:$B$492,$B325,$O$2:$O$492,"&gt;"&amp;$O325)+1-1)/COUNTIF($B$2:$B$492,$B325))&gt;='Parametri Modello'!$B$63,"Top",IF((1-(COUNTIFS($B$2:$B$492,$B325,$O$2:$O$492,"&gt;"&amp;$O325)+1-1)/COUNTIF($B$2:$B$492,$B325))&gt;='Parametri Modello'!$B$64,"Buono",IF((1-(COUNTIFS($B$2:$B$492,$B325,$O$2:$O$492,"&gt;"&amp;$O325)+1-1)/COUNTIF($B$2:$B$492,$B325))&gt;='Parametri Modello'!$B$65,"Nella Media","Scommessa/Riserva")))),"")</f>
        <v>Scommessa/Riserva</v>
      </c>
      <c r="Q325" s="26">
        <f>IF(AND($D325="",$N325&gt;1),SUMPRODUCT(($D$2:$D325="")*($N$2:$N325&gt;1)),"")</f>
        <v>324</v>
      </c>
      <c r="R325" s="26" t="str">
        <f>IF($D325='Info Lega'!$B$28,COUNTIFS($D$2:$D325,'Info Lega'!$B$28),"")</f>
        <v/>
      </c>
      <c r="S325" s="27">
        <f>IFERROR(INDEX('Input Statistiche 2025_26'!$G$3:$G$665,MATCH($A325,'Input Statistiche 2025_26'!$A$3:$A$665,0)),"")</f>
        <v>6</v>
      </c>
      <c r="T325" s="27">
        <f>IFERROR(INDEX('Input Statistiche 2025_26'!$H$3:$H$665,MATCH($A325,'Input Statistiche 2025_26'!$A$3:$A$665,0)),"")</f>
        <v>6.45</v>
      </c>
      <c r="U325" s="23" t="str">
        <f>IF(OR('La Mia Rosa'!$O$12="",$D325&lt;&gt;""),"",IF($F325&lt;='La Mia Rosa'!$O$12*'Parametri Modello'!$B$24,"OK",IF($F325&lt;='La Mia Rosa'!$O$12*'Parametri Modello'!$B$25,"Attenzione","Rischio Alto")))</f>
        <v>OK</v>
      </c>
      <c r="V325" s="23">
        <f t="shared" si="46"/>
        <v>63</v>
      </c>
      <c r="W325" s="18">
        <f>'Info Lega'!$B$4-SUMIFS($M$2:$M$492,$D$2:$D$492,'Info Lega'!$B$28)</f>
        <v>1000</v>
      </c>
      <c r="X325" s="18">
        <f>('Info Lega'!$B$5-COUNTIFS($D$2:$D$492,'Info Lega'!$B$28,$B$2:$B$492,"P"))+('Info Lega'!$B$6-COUNTIFS($D$2:$D$492,'Info Lega'!$B$28,$B$2:$B$492,"D"))+('Info Lega'!$B$7-COUNTIFS($D$2:$D$492,'Info Lega'!$B$28,$B$2:$B$492,"C"))+('Info Lega'!$B$8-COUNTIFS($D$2:$D$492,'Info Lega'!$B$28,$B$2:$B$492,"A"))</f>
        <v>25</v>
      </c>
      <c r="Y325" s="18">
        <f>X325*'Parametri Modello'!$B$30</f>
        <v>25</v>
      </c>
      <c r="Z325" s="18">
        <f t="shared" si="47"/>
        <v>975</v>
      </c>
      <c r="AA325" s="18">
        <f t="shared" si="48"/>
        <v>3</v>
      </c>
      <c r="AB325" s="18"/>
      <c r="AC325" s="18" t="str">
        <f>IF($AB325="","",IF($AB325&gt;$AA325,"PASS",IF($AB325&lt;=$AA325*(1-'Parametri Modello'!$B$68),"BID","ATTENZIONE")))</f>
        <v/>
      </c>
      <c r="AD325" s="28">
        <f t="shared" si="49"/>
        <v>64</v>
      </c>
      <c r="AE325" s="5" t="str">
        <f>IFERROR(INDEX('Stato Asta'!$G$9:$G$12,MATCH($B325,'Stato Asta'!$A$9:$A$12,0)),"")</f>
        <v>🔴 Non aspettare</v>
      </c>
      <c r="AF325" t="str">
        <f>IFERROR(IF($V325&lt;=INDEX('Parametri Modello'!$C$57:$C$60,MATCH($B325,'Parametri Modello'!$A$57:$A$60,0)),"Titolare","Riserva"),"")</f>
        <v>Riserva</v>
      </c>
      <c r="AG325" t="str">
        <f>IFERROR(INDEX('Pressione Competitiva'!$F$3:$F$6,MATCH($B325,'Pressione Competitiva'!$B$3:$B$6,0)),"")</f>
        <v>🔴 Molto Alta</v>
      </c>
      <c r="AH325" t="str">
        <f t="shared" si="50"/>
        <v/>
      </c>
      <c r="AI325" t="str">
        <f>IFERROR(IF($AH325="","",IF($AH325&gt;=$AA325*'Parametri Modello'!$B$68,"🟢 Opportunita'",IF($AH325&lt;=$AA325*'Parametri Modello'!$B$69,"🔴 Sovrapprezzo","🟡 Prezzo Corretto"))),"")</f>
        <v/>
      </c>
      <c r="AJ325" t="str">
        <f t="shared" si="51"/>
        <v/>
      </c>
      <c r="AK325">
        <f t="shared" si="52"/>
        <v>9</v>
      </c>
      <c r="AL325" t="str">
        <f t="shared" si="53"/>
        <v>A|Scommessa/Riserva|9</v>
      </c>
    </row>
    <row r="326" spans="1:38" ht="14.25" customHeight="1" x14ac:dyDescent="0.25">
      <c r="A326" s="18">
        <v>6822</v>
      </c>
      <c r="B326" s="18" t="s">
        <v>18</v>
      </c>
      <c r="C326" s="18" t="s">
        <v>465</v>
      </c>
      <c r="E326" s="23" t="str">
        <f>IF(COUNTIF('Info Strategia'!$D$2:$D$51,$C326)&gt;0,"SI","NO")</f>
        <v>NO</v>
      </c>
      <c r="F326" s="24">
        <f>IFERROR(ROUND(($G326+($H326-$G326)*'Info Strategia'!$B$6)*(1+IF($E326="SI",'Parametri Modello'!$B$7*'Info Strategia'!$B$6,0)),0),"")</f>
        <v>3</v>
      </c>
      <c r="G326" s="24">
        <f>IFERROR(ROUND(MAX(1,(IF($V326&lt;=INDEX('Parametri Modello'!$C$57:$C$60,MATCH($B326,'Parametri Modello'!$A$57:$A$60,0)),IF(INDEX('Parametri Modello'!$E$57:$E$60,MATCH($B326,'Parametri Modello'!$A$57:$A$60,0))=0,0,($O326/INDEX('Parametri Modello'!$E$57:$E$60,MATCH($B326,'Parametri Modello'!$A$57:$A$60,0)))*(INDEX('Parametri Modello'!$D$57:$D$60,MATCH($B326,'Parametri Modello'!$A$57:$A$60,0))*(INDEX('Parametri Modello'!$B$50:$B$53,MATCH($B326,'Parametri Modello'!$A$50:$A$53,0))*'Parametri Modello'!$B$44))),IF(INDEX('Parametri Modello'!$F$57:$F$60,MATCH($B326,'Parametri Modello'!$A$57:$A$60,0))=0,0,($O326/INDEX('Parametri Modello'!$F$57:$F$60,MATCH($B326,'Parametri Modello'!$A$57:$A$60,0)))*((1-INDEX('Parametri Modello'!$D$57:$D$60,MATCH($B326,'Parametri Modello'!$A$57:$A$60,0)))*(INDEX('Parametri Modello'!$B$50:$B$53,MATCH($B326,'Parametri Modello'!$A$50:$A$53,0))*'Parametri Modello'!$B$44))))*(1+IF(IF($B326="D",'Info Lega'!$B$25,IF($B326="C",'Info Lega'!$B$26,"No"))="Si",'Parametri Modello'!$B$5,0))*(1+MAX(-0.25,MIN(0.25,IF(OR($T326="",$I326="",$I326=0,INDEX('Parametri Modello'!$B$19:$B$22,MATCH($B326,'Parametri Modello'!$A$19:$A$22,0))="",INDEX('Parametri Modello'!$B$19:$B$22,MATCH($B326,'Parametri Modello'!$A$19:$A$22,0))=0),0,(($T326-INDEX('Parametri Modello'!$B$19:$B$22,MATCH($B326,'Parametri Modello'!$A$19:$A$22,0)))/INDEX('Parametri Modello'!$B$19:$B$22,MATCH($B326,'Parametri Modello'!$A$19:$A$22,0)))*'Parametri Modello'!$B$9))))*(1+IF('Parametri Modello'!$B$27="Si",MAX(-'Parametri Modello'!$B$28,MIN('Parametri Modello'!$B$28*1.5,IF(OR(INDEX('Parametri Modello'!$F$32:$F$35,MATCH($B326,'Parametri Modello'!$A$32:$A$35,0))="",INDEX('Parametri Modello'!$F$32:$F$35,MATCH($B326,'Parametri Modello'!$A$32:$A$35,0))=0),0,(1/INDEX('Parametri Modello'!$F$32:$F$35,MATCH($B326,'Parametri Modello'!$A$32:$A$35,0))-1)*'Parametri Modello'!$B$28))),0)))*(1-INDEX('Parametri Modello'!$B$12:$B$15,MATCH($B326,'Parametri Modello'!$A$12:$A$15,0)))),0),"")</f>
        <v>2</v>
      </c>
      <c r="H326" s="24">
        <f>IFERROR(ROUND((IF($V326&lt;=INDEX('Parametri Modello'!$C$57:$C$60,MATCH($B326,'Parametri Modello'!$A$57:$A$60,0)),IF(INDEX('Parametri Modello'!$E$57:$E$60,MATCH($B326,'Parametri Modello'!$A$57:$A$60,0))=0,0,($O326/INDEX('Parametri Modello'!$E$57:$E$60,MATCH($B326,'Parametri Modello'!$A$57:$A$60,0)))*(INDEX('Parametri Modello'!$D$57:$D$60,MATCH($B326,'Parametri Modello'!$A$57:$A$60,0))*(INDEX('Parametri Modello'!$B$50:$B$53,MATCH($B326,'Parametri Modello'!$A$50:$A$53,0))*'Parametri Modello'!$B$44))),IF(INDEX('Parametri Modello'!$F$57:$F$60,MATCH($B326,'Parametri Modello'!$A$57:$A$60,0))=0,0,($O326/INDEX('Parametri Modello'!$F$57:$F$60,MATCH($B326,'Parametri Modello'!$A$57:$A$60,0)))*((1-INDEX('Parametri Modello'!$D$57:$D$60,MATCH($B326,'Parametri Modello'!$A$57:$A$60,0)))*(INDEX('Parametri Modello'!$B$50:$B$53,MATCH($B326,'Parametri Modello'!$A$50:$A$53,0))*'Parametri Modello'!$B$44))))*(1+IF(IF($B326="D",'Info Lega'!$B$25,IF($B326="C",'Info Lega'!$B$26,"No"))="Si",'Parametri Modello'!$B$5,0))*(1+MAX(-0.25,MIN(0.25,IF(OR($T326="",$I326="",$I326=0,INDEX('Parametri Modello'!$B$19:$B$22,MATCH($B326,'Parametri Modello'!$A$19:$A$22,0))="",INDEX('Parametri Modello'!$B$19:$B$22,MATCH($B326,'Parametri Modello'!$A$19:$A$22,0))=0),0,(($T326-INDEX('Parametri Modello'!$B$19:$B$22,MATCH($B326,'Parametri Modello'!$A$19:$A$22,0)))/INDEX('Parametri Modello'!$B$19:$B$22,MATCH($B326,'Parametri Modello'!$A$19:$A$22,0)))*'Parametri Modello'!$B$9))))*(1+IF('Parametri Modello'!$B$27="Si",MAX(-'Parametri Modello'!$B$28,MIN('Parametri Modello'!$B$28*1.5,IF(OR(INDEX('Parametri Modello'!$F$32:$F$35,MATCH($B326,'Parametri Modello'!$A$32:$A$35,0))="",INDEX('Parametri Modello'!$F$32:$F$35,MATCH($B326,'Parametri Modello'!$A$32:$A$35,0))=0),0,(1/INDEX('Parametri Modello'!$F$32:$F$35,MATCH($B326,'Parametri Modello'!$A$32:$A$35,0))-1)*'Parametri Modello'!$B$28))),0)))*(1+INDEX('Parametri Modello'!$B$12:$B$15,MATCH($B326,'Parametri Modello'!$A$12:$A$15,0))),0),"")</f>
        <v>4</v>
      </c>
      <c r="I326" s="23">
        <f>IFERROR(INDEX('Input Statistiche 2025_26'!$F$3:$F$665,MATCH($A326,'Input Statistiche 2025_26'!$A$3:$A$665,0)),"")</f>
        <v>25</v>
      </c>
      <c r="J326" s="23">
        <f t="shared" si="45"/>
        <v>13</v>
      </c>
      <c r="K326" s="23">
        <f>IFERROR(INDEX('Input Statistiche 2025_26'!$I$3:$I$665,MATCH($A326,'Input Statistiche 2025_26'!$A$3:$A$665,0)),"")</f>
        <v>3</v>
      </c>
      <c r="L326" s="23">
        <f>IFERROR(INDEX('Input Statistiche 2025_26'!$O$3:$O$665,MATCH($A326,'Input Statistiche 2025_26'!$A$3:$A$665,0)),"")</f>
        <v>0</v>
      </c>
      <c r="M326" s="25"/>
      <c r="N326" s="24">
        <f>IFERROR(INDEX('Input Giocatori 2026_27'!$E$3:$E$493,MATCH($A326,'Input Giocatori 2026_27'!$A$3:$A$493,0)),"")</f>
        <v>3</v>
      </c>
      <c r="O326" s="24">
        <f>IFERROR(INDEX('Input Giocatori 2026_27'!$G$3:$G$493,MATCH($A326,'Input Giocatori 2026_27'!$A$3:$A$493,0)),"")</f>
        <v>10</v>
      </c>
      <c r="P326" s="23" t="str">
        <f>IFERROR(IF($O326="","",IF((1-(COUNTIFS($B$2:$B$492,$B326,$O$2:$O$492,"&gt;"&amp;$O326)+1-1)/COUNTIF($B$2:$B$492,$B326))&gt;='Parametri Modello'!$B$63,"Top",IF((1-(COUNTIFS($B$2:$B$492,$B326,$O$2:$O$492,"&gt;"&amp;$O326)+1-1)/COUNTIF($B$2:$B$492,$B326))&gt;='Parametri Modello'!$B$64,"Buono",IF((1-(COUNTIFS($B$2:$B$492,$B326,$O$2:$O$492,"&gt;"&amp;$O326)+1-1)/COUNTIF($B$2:$B$492,$B326))&gt;='Parametri Modello'!$B$65,"Nella Media","Scommessa/Riserva")))),"")</f>
        <v>Scommessa/Riserva</v>
      </c>
      <c r="Q326" s="26">
        <f>IF(AND($D326="",$N326&gt;1),SUMPRODUCT(($D$2:$D326="")*($N$2:$N326&gt;1)),"")</f>
        <v>325</v>
      </c>
      <c r="R326" s="26" t="str">
        <f>IF($D326='Info Lega'!$B$28,COUNTIFS($D$2:$D326,'Info Lega'!$B$28),"")</f>
        <v/>
      </c>
      <c r="S326" s="27">
        <f>IFERROR(INDEX('Input Statistiche 2025_26'!$G$3:$G$665,MATCH($A326,'Input Statistiche 2025_26'!$A$3:$A$665,0)),"")</f>
        <v>5.96</v>
      </c>
      <c r="T326" s="27">
        <f>IFERROR(INDEX('Input Statistiche 2025_26'!$H$3:$H$665,MATCH($A326,'Input Statistiche 2025_26'!$A$3:$A$665,0)),"")</f>
        <v>6.28</v>
      </c>
      <c r="U326" s="23" t="str">
        <f>IF(OR('La Mia Rosa'!$O$12="",$D326&lt;&gt;""),"",IF($F326&lt;='La Mia Rosa'!$O$12*'Parametri Modello'!$B$24,"OK",IF($F326&lt;='La Mia Rosa'!$O$12*'Parametri Modello'!$B$25,"Attenzione","Rischio Alto")))</f>
        <v>OK</v>
      </c>
      <c r="V326" s="23">
        <f t="shared" si="46"/>
        <v>63</v>
      </c>
      <c r="W326" s="18">
        <f>'Info Lega'!$B$4-SUMIFS($M$2:$M$492,$D$2:$D$492,'Info Lega'!$B$28)</f>
        <v>1000</v>
      </c>
      <c r="X326" s="18">
        <f>('Info Lega'!$B$5-COUNTIFS($D$2:$D$492,'Info Lega'!$B$28,$B$2:$B$492,"P"))+('Info Lega'!$B$6-COUNTIFS($D$2:$D$492,'Info Lega'!$B$28,$B$2:$B$492,"D"))+('Info Lega'!$B$7-COUNTIFS($D$2:$D$492,'Info Lega'!$B$28,$B$2:$B$492,"C"))+('Info Lega'!$B$8-COUNTIFS($D$2:$D$492,'Info Lega'!$B$28,$B$2:$B$492,"A"))</f>
        <v>25</v>
      </c>
      <c r="Y326" s="18">
        <f>X326*'Parametri Modello'!$B$30</f>
        <v>25</v>
      </c>
      <c r="Z326" s="18">
        <f t="shared" si="47"/>
        <v>975</v>
      </c>
      <c r="AA326" s="18">
        <f t="shared" si="48"/>
        <v>3</v>
      </c>
      <c r="AB326" s="18"/>
      <c r="AC326" s="18" t="str">
        <f>IF($AB326="","",IF($AB326&gt;$AA326,"PASS",IF($AB326&lt;=$AA326*(1-'Parametri Modello'!$B$68),"BID","ATTENZIONE")))</f>
        <v/>
      </c>
      <c r="AD326" s="28">
        <f t="shared" si="49"/>
        <v>57</v>
      </c>
      <c r="AE326" s="5" t="str">
        <f>IFERROR(INDEX('Stato Asta'!$G$9:$G$12,MATCH($B326,'Stato Asta'!$A$9:$A$12,0)),"")</f>
        <v>🔴 Non aspettare</v>
      </c>
      <c r="AF326" t="str">
        <f>IFERROR(IF($V326&lt;=INDEX('Parametri Modello'!$C$57:$C$60,MATCH($B326,'Parametri Modello'!$A$57:$A$60,0)),"Titolare","Riserva"),"")</f>
        <v>Riserva</v>
      </c>
      <c r="AG326" t="str">
        <f>IFERROR(INDEX('Pressione Competitiva'!$F$3:$F$6,MATCH($B326,'Pressione Competitiva'!$B$3:$B$6,0)),"")</f>
        <v>🔴 Molto Alta</v>
      </c>
      <c r="AH326" t="str">
        <f t="shared" si="50"/>
        <v/>
      </c>
      <c r="AI326" t="str">
        <f>IFERROR(IF($AH326="","",IF($AH326&gt;=$AA326*'Parametri Modello'!$B$68,"🟢 Opportunita'",IF($AH326&lt;=$AA326*'Parametri Modello'!$B$69,"🔴 Sovrapprezzo","🟡 Prezzo Corretto"))),"")</f>
        <v/>
      </c>
      <c r="AJ326" t="str">
        <f t="shared" si="51"/>
        <v/>
      </c>
      <c r="AK326">
        <f t="shared" si="52"/>
        <v>9</v>
      </c>
      <c r="AL326" t="str">
        <f t="shared" si="53"/>
        <v>A|Scommessa/Riserva|9</v>
      </c>
    </row>
    <row r="327" spans="1:38" ht="14.25" customHeight="1" x14ac:dyDescent="0.25">
      <c r="A327" s="18">
        <v>7120</v>
      </c>
      <c r="B327" s="18" t="s">
        <v>18</v>
      </c>
      <c r="C327" s="18" t="s">
        <v>466</v>
      </c>
      <c r="E327" s="23" t="str">
        <f>IF(COUNTIF('Info Strategia'!$D$2:$D$51,$C327)&gt;0,"SI","NO")</f>
        <v>NO</v>
      </c>
      <c r="F327" s="24">
        <f>IFERROR(ROUND(($G327+($H327-$G327)*'Info Strategia'!$B$6)*(1+IF($E327="SI",'Parametri Modello'!$B$7*'Info Strategia'!$B$6,0)),0),"")</f>
        <v>3</v>
      </c>
      <c r="G327" s="24">
        <f>IFERROR(ROUND(MAX(1,(IF($V327&lt;=INDEX('Parametri Modello'!$C$57:$C$60,MATCH($B327,'Parametri Modello'!$A$57:$A$60,0)),IF(INDEX('Parametri Modello'!$E$57:$E$60,MATCH($B327,'Parametri Modello'!$A$57:$A$60,0))=0,0,($O327/INDEX('Parametri Modello'!$E$57:$E$60,MATCH($B327,'Parametri Modello'!$A$57:$A$60,0)))*(INDEX('Parametri Modello'!$D$57:$D$60,MATCH($B327,'Parametri Modello'!$A$57:$A$60,0))*(INDEX('Parametri Modello'!$B$50:$B$53,MATCH($B327,'Parametri Modello'!$A$50:$A$53,0))*'Parametri Modello'!$B$44))),IF(INDEX('Parametri Modello'!$F$57:$F$60,MATCH($B327,'Parametri Modello'!$A$57:$A$60,0))=0,0,($O327/INDEX('Parametri Modello'!$F$57:$F$60,MATCH($B327,'Parametri Modello'!$A$57:$A$60,0)))*((1-INDEX('Parametri Modello'!$D$57:$D$60,MATCH($B327,'Parametri Modello'!$A$57:$A$60,0)))*(INDEX('Parametri Modello'!$B$50:$B$53,MATCH($B327,'Parametri Modello'!$A$50:$A$53,0))*'Parametri Modello'!$B$44))))*(1+IF(IF($B327="D",'Info Lega'!$B$25,IF($B327="C",'Info Lega'!$B$26,"No"))="Si",'Parametri Modello'!$B$5,0))*(1+MAX(-0.25,MIN(0.25,IF(OR($T327="",$I327="",$I327=0,INDEX('Parametri Modello'!$B$19:$B$22,MATCH($B327,'Parametri Modello'!$A$19:$A$22,0))="",INDEX('Parametri Modello'!$B$19:$B$22,MATCH($B327,'Parametri Modello'!$A$19:$A$22,0))=0),0,(($T327-INDEX('Parametri Modello'!$B$19:$B$22,MATCH($B327,'Parametri Modello'!$A$19:$A$22,0)))/INDEX('Parametri Modello'!$B$19:$B$22,MATCH($B327,'Parametri Modello'!$A$19:$A$22,0)))*'Parametri Modello'!$B$9))))*(1+IF('Parametri Modello'!$B$27="Si",MAX(-'Parametri Modello'!$B$28,MIN('Parametri Modello'!$B$28*1.5,IF(OR(INDEX('Parametri Modello'!$F$32:$F$35,MATCH($B327,'Parametri Modello'!$A$32:$A$35,0))="",INDEX('Parametri Modello'!$F$32:$F$35,MATCH($B327,'Parametri Modello'!$A$32:$A$35,0))=0),0,(1/INDEX('Parametri Modello'!$F$32:$F$35,MATCH($B327,'Parametri Modello'!$A$32:$A$35,0))-1)*'Parametri Modello'!$B$28))),0)))*(1-INDEX('Parametri Modello'!$B$12:$B$15,MATCH($B327,'Parametri Modello'!$A$12:$A$15,0)))),0),"")</f>
        <v>2</v>
      </c>
      <c r="H327" s="24">
        <f>IFERROR(ROUND((IF($V327&lt;=INDEX('Parametri Modello'!$C$57:$C$60,MATCH($B327,'Parametri Modello'!$A$57:$A$60,0)),IF(INDEX('Parametri Modello'!$E$57:$E$60,MATCH($B327,'Parametri Modello'!$A$57:$A$60,0))=0,0,($O327/INDEX('Parametri Modello'!$E$57:$E$60,MATCH($B327,'Parametri Modello'!$A$57:$A$60,0)))*(INDEX('Parametri Modello'!$D$57:$D$60,MATCH($B327,'Parametri Modello'!$A$57:$A$60,0))*(INDEX('Parametri Modello'!$B$50:$B$53,MATCH($B327,'Parametri Modello'!$A$50:$A$53,0))*'Parametri Modello'!$B$44))),IF(INDEX('Parametri Modello'!$F$57:$F$60,MATCH($B327,'Parametri Modello'!$A$57:$A$60,0))=0,0,($O327/INDEX('Parametri Modello'!$F$57:$F$60,MATCH($B327,'Parametri Modello'!$A$57:$A$60,0)))*((1-INDEX('Parametri Modello'!$D$57:$D$60,MATCH($B327,'Parametri Modello'!$A$57:$A$60,0)))*(INDEX('Parametri Modello'!$B$50:$B$53,MATCH($B327,'Parametri Modello'!$A$50:$A$53,0))*'Parametri Modello'!$B$44))))*(1+IF(IF($B327="D",'Info Lega'!$B$25,IF($B327="C",'Info Lega'!$B$26,"No"))="Si",'Parametri Modello'!$B$5,0))*(1+MAX(-0.25,MIN(0.25,IF(OR($T327="",$I327="",$I327=0,INDEX('Parametri Modello'!$B$19:$B$22,MATCH($B327,'Parametri Modello'!$A$19:$A$22,0))="",INDEX('Parametri Modello'!$B$19:$B$22,MATCH($B327,'Parametri Modello'!$A$19:$A$22,0))=0),0,(($T327-INDEX('Parametri Modello'!$B$19:$B$22,MATCH($B327,'Parametri Modello'!$A$19:$A$22,0)))/INDEX('Parametri Modello'!$B$19:$B$22,MATCH($B327,'Parametri Modello'!$A$19:$A$22,0)))*'Parametri Modello'!$B$9))))*(1+IF('Parametri Modello'!$B$27="Si",MAX(-'Parametri Modello'!$B$28,MIN('Parametri Modello'!$B$28*1.5,IF(OR(INDEX('Parametri Modello'!$F$32:$F$35,MATCH($B327,'Parametri Modello'!$A$32:$A$35,0))="",INDEX('Parametri Modello'!$F$32:$F$35,MATCH($B327,'Parametri Modello'!$A$32:$A$35,0))=0),0,(1/INDEX('Parametri Modello'!$F$32:$F$35,MATCH($B327,'Parametri Modello'!$A$32:$A$35,0))-1)*'Parametri Modello'!$B$28))),0)))*(1+INDEX('Parametri Modello'!$B$12:$B$15,MATCH($B327,'Parametri Modello'!$A$12:$A$15,0))),0),"")</f>
        <v>4</v>
      </c>
      <c r="I327" s="23">
        <f>IFERROR(INDEX('Input Statistiche 2025_26'!$F$3:$F$665,MATCH($A327,'Input Statistiche 2025_26'!$A$3:$A$665,0)),"")</f>
        <v>14</v>
      </c>
      <c r="J327" s="23">
        <f t="shared" si="45"/>
        <v>24</v>
      </c>
      <c r="K327" s="23">
        <f>IFERROR(INDEX('Input Statistiche 2025_26'!$I$3:$I$665,MATCH($A327,'Input Statistiche 2025_26'!$A$3:$A$665,0)),"")</f>
        <v>1</v>
      </c>
      <c r="L327" s="23">
        <f>IFERROR(INDEX('Input Statistiche 2025_26'!$O$3:$O$665,MATCH($A327,'Input Statistiche 2025_26'!$A$3:$A$665,0)),"")</f>
        <v>2</v>
      </c>
      <c r="M327" s="25"/>
      <c r="N327" s="24">
        <f>IFERROR(INDEX('Input Giocatori 2026_27'!$E$3:$E$493,MATCH($A327,'Input Giocatori 2026_27'!$A$3:$A$493,0)),"")</f>
        <v>3</v>
      </c>
      <c r="O327" s="24">
        <f>IFERROR(INDEX('Input Giocatori 2026_27'!$G$3:$G$493,MATCH($A327,'Input Giocatori 2026_27'!$A$3:$A$493,0)),"")</f>
        <v>10</v>
      </c>
      <c r="P327" s="23" t="str">
        <f>IFERROR(IF($O327="","",IF((1-(COUNTIFS($B$2:$B$492,$B327,$O$2:$O$492,"&gt;"&amp;$O327)+1-1)/COUNTIF($B$2:$B$492,$B327))&gt;='Parametri Modello'!$B$63,"Top",IF((1-(COUNTIFS($B$2:$B$492,$B327,$O$2:$O$492,"&gt;"&amp;$O327)+1-1)/COUNTIF($B$2:$B$492,$B327))&gt;='Parametri Modello'!$B$64,"Buono",IF((1-(COUNTIFS($B$2:$B$492,$B327,$O$2:$O$492,"&gt;"&amp;$O327)+1-1)/COUNTIF($B$2:$B$492,$B327))&gt;='Parametri Modello'!$B$65,"Nella Media","Scommessa/Riserva")))),"")</f>
        <v>Scommessa/Riserva</v>
      </c>
      <c r="Q327" s="26">
        <f>IF(AND($D327="",$N327&gt;1),SUMPRODUCT(($D$2:$D327="")*($N$2:$N327&gt;1)),"")</f>
        <v>326</v>
      </c>
      <c r="R327" s="26" t="str">
        <f>IF($D327='Info Lega'!$B$28,COUNTIFS($D$2:$D327,'Info Lega'!$B$28),"")</f>
        <v/>
      </c>
      <c r="S327" s="27">
        <f>IFERROR(INDEX('Input Statistiche 2025_26'!$G$3:$G$665,MATCH($A327,'Input Statistiche 2025_26'!$A$3:$A$665,0)),"")</f>
        <v>6.04</v>
      </c>
      <c r="T327" s="27">
        <f>IFERROR(INDEX('Input Statistiche 2025_26'!$H$3:$H$665,MATCH($A327,'Input Statistiche 2025_26'!$A$3:$A$665,0)),"")</f>
        <v>6.32</v>
      </c>
      <c r="U327" s="23" t="str">
        <f>IF(OR('La Mia Rosa'!$O$12="",$D327&lt;&gt;""),"",IF($F327&lt;='La Mia Rosa'!$O$12*'Parametri Modello'!$B$24,"OK",IF($F327&lt;='La Mia Rosa'!$O$12*'Parametri Modello'!$B$25,"Attenzione","Rischio Alto")))</f>
        <v>OK</v>
      </c>
      <c r="V327" s="23">
        <f t="shared" si="46"/>
        <v>63</v>
      </c>
      <c r="W327" s="18">
        <f>'Info Lega'!$B$4-SUMIFS($M$2:$M$492,$D$2:$D$492,'Info Lega'!$B$28)</f>
        <v>1000</v>
      </c>
      <c r="X327" s="18">
        <f>('Info Lega'!$B$5-COUNTIFS($D$2:$D$492,'Info Lega'!$B$28,$B$2:$B$492,"P"))+('Info Lega'!$B$6-COUNTIFS($D$2:$D$492,'Info Lega'!$B$28,$B$2:$B$492,"D"))+('Info Lega'!$B$7-COUNTIFS($D$2:$D$492,'Info Lega'!$B$28,$B$2:$B$492,"C"))+('Info Lega'!$B$8-COUNTIFS($D$2:$D$492,'Info Lega'!$B$28,$B$2:$B$492,"A"))</f>
        <v>25</v>
      </c>
      <c r="Y327" s="18">
        <f>X327*'Parametri Modello'!$B$30</f>
        <v>25</v>
      </c>
      <c r="Z327" s="18">
        <f t="shared" si="47"/>
        <v>975</v>
      </c>
      <c r="AA327" s="18">
        <f t="shared" si="48"/>
        <v>3</v>
      </c>
      <c r="AB327" s="18"/>
      <c r="AC327" s="18" t="str">
        <f>IF($AB327="","",IF($AB327&gt;$AA327,"PASS",IF($AB327&lt;=$AA327*(1-'Parametri Modello'!$B$68),"BID","ATTENZIONE")))</f>
        <v/>
      </c>
      <c r="AD327" s="28">
        <f t="shared" si="49"/>
        <v>37</v>
      </c>
      <c r="AE327" s="5" t="str">
        <f>IFERROR(INDEX('Stato Asta'!$G$9:$G$12,MATCH($B327,'Stato Asta'!$A$9:$A$12,0)),"")</f>
        <v>🔴 Non aspettare</v>
      </c>
      <c r="AF327" t="str">
        <f>IFERROR(IF($V327&lt;=INDEX('Parametri Modello'!$C$57:$C$60,MATCH($B327,'Parametri Modello'!$A$57:$A$60,0)),"Titolare","Riserva"),"")</f>
        <v>Riserva</v>
      </c>
      <c r="AG327" t="str">
        <f>IFERROR(INDEX('Pressione Competitiva'!$F$3:$F$6,MATCH($B327,'Pressione Competitiva'!$B$3:$B$6,0)),"")</f>
        <v>🔴 Molto Alta</v>
      </c>
      <c r="AH327" t="str">
        <f t="shared" si="50"/>
        <v/>
      </c>
      <c r="AI327" t="str">
        <f>IFERROR(IF($AH327="","",IF($AH327&gt;=$AA327*'Parametri Modello'!$B$68,"🟢 Opportunita'",IF($AH327&lt;=$AA327*'Parametri Modello'!$B$69,"🔴 Sovrapprezzo","🟡 Prezzo Corretto"))),"")</f>
        <v/>
      </c>
      <c r="AJ327" t="str">
        <f t="shared" si="51"/>
        <v/>
      </c>
      <c r="AK327">
        <f t="shared" si="52"/>
        <v>9</v>
      </c>
      <c r="AL327" t="str">
        <f t="shared" si="53"/>
        <v>A|Scommessa/Riserva|9</v>
      </c>
    </row>
    <row r="328" spans="1:38" ht="14.25" customHeight="1" x14ac:dyDescent="0.25">
      <c r="A328" s="18">
        <v>6215</v>
      </c>
      <c r="B328" s="18" t="s">
        <v>18</v>
      </c>
      <c r="C328" s="18" t="s">
        <v>467</v>
      </c>
      <c r="E328" s="23" t="str">
        <f>IF(COUNTIF('Info Strategia'!$D$2:$D$51,$C328)&gt;0,"SI","NO")</f>
        <v>NO</v>
      </c>
      <c r="F328" s="24">
        <f>IFERROR(ROUND(($G328+($H328-$G328)*'Info Strategia'!$B$6)*(1+IF($E328="SI",'Parametri Modello'!$B$7*'Info Strategia'!$B$6,0)),0),"")</f>
        <v>3</v>
      </c>
      <c r="G328" s="24">
        <f>IFERROR(ROUND(MAX(1,(IF($V328&lt;=INDEX('Parametri Modello'!$C$57:$C$60,MATCH($B328,'Parametri Modello'!$A$57:$A$60,0)),IF(INDEX('Parametri Modello'!$E$57:$E$60,MATCH($B328,'Parametri Modello'!$A$57:$A$60,0))=0,0,($O328/INDEX('Parametri Modello'!$E$57:$E$60,MATCH($B328,'Parametri Modello'!$A$57:$A$60,0)))*(INDEX('Parametri Modello'!$D$57:$D$60,MATCH($B328,'Parametri Modello'!$A$57:$A$60,0))*(INDEX('Parametri Modello'!$B$50:$B$53,MATCH($B328,'Parametri Modello'!$A$50:$A$53,0))*'Parametri Modello'!$B$44))),IF(INDEX('Parametri Modello'!$F$57:$F$60,MATCH($B328,'Parametri Modello'!$A$57:$A$60,0))=0,0,($O328/INDEX('Parametri Modello'!$F$57:$F$60,MATCH($B328,'Parametri Modello'!$A$57:$A$60,0)))*((1-INDEX('Parametri Modello'!$D$57:$D$60,MATCH($B328,'Parametri Modello'!$A$57:$A$60,0)))*(INDEX('Parametri Modello'!$B$50:$B$53,MATCH($B328,'Parametri Modello'!$A$50:$A$53,0))*'Parametri Modello'!$B$44))))*(1+IF(IF($B328="D",'Info Lega'!$B$25,IF($B328="C",'Info Lega'!$B$26,"No"))="Si",'Parametri Modello'!$B$5,0))*(1+MAX(-0.25,MIN(0.25,IF(OR($T328="",$I328="",$I328=0,INDEX('Parametri Modello'!$B$19:$B$22,MATCH($B328,'Parametri Modello'!$A$19:$A$22,0))="",INDEX('Parametri Modello'!$B$19:$B$22,MATCH($B328,'Parametri Modello'!$A$19:$A$22,0))=0),0,(($T328-INDEX('Parametri Modello'!$B$19:$B$22,MATCH($B328,'Parametri Modello'!$A$19:$A$22,0)))/INDEX('Parametri Modello'!$B$19:$B$22,MATCH($B328,'Parametri Modello'!$A$19:$A$22,0)))*'Parametri Modello'!$B$9))))*(1+IF('Parametri Modello'!$B$27="Si",MAX(-'Parametri Modello'!$B$28,MIN('Parametri Modello'!$B$28*1.5,IF(OR(INDEX('Parametri Modello'!$F$32:$F$35,MATCH($B328,'Parametri Modello'!$A$32:$A$35,0))="",INDEX('Parametri Modello'!$F$32:$F$35,MATCH($B328,'Parametri Modello'!$A$32:$A$35,0))=0),0,(1/INDEX('Parametri Modello'!$F$32:$F$35,MATCH($B328,'Parametri Modello'!$A$32:$A$35,0))-1)*'Parametri Modello'!$B$28))),0)))*(1-INDEX('Parametri Modello'!$B$12:$B$15,MATCH($B328,'Parametri Modello'!$A$12:$A$15,0)))),0),"")</f>
        <v>2</v>
      </c>
      <c r="H328" s="24">
        <f>IFERROR(ROUND((IF($V328&lt;=INDEX('Parametri Modello'!$C$57:$C$60,MATCH($B328,'Parametri Modello'!$A$57:$A$60,0)),IF(INDEX('Parametri Modello'!$E$57:$E$60,MATCH($B328,'Parametri Modello'!$A$57:$A$60,0))=0,0,($O328/INDEX('Parametri Modello'!$E$57:$E$60,MATCH($B328,'Parametri Modello'!$A$57:$A$60,0)))*(INDEX('Parametri Modello'!$D$57:$D$60,MATCH($B328,'Parametri Modello'!$A$57:$A$60,0))*(INDEX('Parametri Modello'!$B$50:$B$53,MATCH($B328,'Parametri Modello'!$A$50:$A$53,0))*'Parametri Modello'!$B$44))),IF(INDEX('Parametri Modello'!$F$57:$F$60,MATCH($B328,'Parametri Modello'!$A$57:$A$60,0))=0,0,($O328/INDEX('Parametri Modello'!$F$57:$F$60,MATCH($B328,'Parametri Modello'!$A$57:$A$60,0)))*((1-INDEX('Parametri Modello'!$D$57:$D$60,MATCH($B328,'Parametri Modello'!$A$57:$A$60,0)))*(INDEX('Parametri Modello'!$B$50:$B$53,MATCH($B328,'Parametri Modello'!$A$50:$A$53,0))*'Parametri Modello'!$B$44))))*(1+IF(IF($B328="D",'Info Lega'!$B$25,IF($B328="C",'Info Lega'!$B$26,"No"))="Si",'Parametri Modello'!$B$5,0))*(1+MAX(-0.25,MIN(0.25,IF(OR($T328="",$I328="",$I328=0,INDEX('Parametri Modello'!$B$19:$B$22,MATCH($B328,'Parametri Modello'!$A$19:$A$22,0))="",INDEX('Parametri Modello'!$B$19:$B$22,MATCH($B328,'Parametri Modello'!$A$19:$A$22,0))=0),0,(($T328-INDEX('Parametri Modello'!$B$19:$B$22,MATCH($B328,'Parametri Modello'!$A$19:$A$22,0)))/INDEX('Parametri Modello'!$B$19:$B$22,MATCH($B328,'Parametri Modello'!$A$19:$A$22,0)))*'Parametri Modello'!$B$9))))*(1+IF('Parametri Modello'!$B$27="Si",MAX(-'Parametri Modello'!$B$28,MIN('Parametri Modello'!$B$28*1.5,IF(OR(INDEX('Parametri Modello'!$F$32:$F$35,MATCH($B328,'Parametri Modello'!$A$32:$A$35,0))="",INDEX('Parametri Modello'!$F$32:$F$35,MATCH($B328,'Parametri Modello'!$A$32:$A$35,0))=0),0,(1/INDEX('Parametri Modello'!$F$32:$F$35,MATCH($B328,'Parametri Modello'!$A$32:$A$35,0))-1)*'Parametri Modello'!$B$28))),0)))*(1+INDEX('Parametri Modello'!$B$12:$B$15,MATCH($B328,'Parametri Modello'!$A$12:$A$15,0))),0),"")</f>
        <v>4</v>
      </c>
      <c r="I328" s="23">
        <f>IFERROR(INDEX('Input Statistiche 2025_26'!$F$3:$F$665,MATCH($A328,'Input Statistiche 2025_26'!$A$3:$A$665,0)),"")</f>
        <v>9</v>
      </c>
      <c r="J328" s="23">
        <f t="shared" si="45"/>
        <v>29</v>
      </c>
      <c r="K328" s="23">
        <f>IFERROR(INDEX('Input Statistiche 2025_26'!$I$3:$I$665,MATCH($A328,'Input Statistiche 2025_26'!$A$3:$A$665,0)),"")</f>
        <v>1</v>
      </c>
      <c r="L328" s="23">
        <f>IFERROR(INDEX('Input Statistiche 2025_26'!$O$3:$O$665,MATCH($A328,'Input Statistiche 2025_26'!$A$3:$A$665,0)),"")</f>
        <v>0</v>
      </c>
      <c r="M328" s="25"/>
      <c r="N328" s="24">
        <f>IFERROR(INDEX('Input Giocatori 2026_27'!$E$3:$E$493,MATCH($A328,'Input Giocatori 2026_27'!$A$3:$A$493,0)),"")</f>
        <v>3</v>
      </c>
      <c r="O328" s="24">
        <f>IFERROR(INDEX('Input Giocatori 2026_27'!$G$3:$G$493,MATCH($A328,'Input Giocatori 2026_27'!$A$3:$A$493,0)),"")</f>
        <v>10</v>
      </c>
      <c r="P328" s="23" t="str">
        <f>IFERROR(IF($O328="","",IF((1-(COUNTIFS($B$2:$B$492,$B328,$O$2:$O$492,"&gt;"&amp;$O328)+1-1)/COUNTIF($B$2:$B$492,$B328))&gt;='Parametri Modello'!$B$63,"Top",IF((1-(COUNTIFS($B$2:$B$492,$B328,$O$2:$O$492,"&gt;"&amp;$O328)+1-1)/COUNTIF($B$2:$B$492,$B328))&gt;='Parametri Modello'!$B$64,"Buono",IF((1-(COUNTIFS($B$2:$B$492,$B328,$O$2:$O$492,"&gt;"&amp;$O328)+1-1)/COUNTIF($B$2:$B$492,$B328))&gt;='Parametri Modello'!$B$65,"Nella Media","Scommessa/Riserva")))),"")</f>
        <v>Scommessa/Riserva</v>
      </c>
      <c r="Q328" s="26">
        <f>IF(AND($D328="",$N328&gt;1),SUMPRODUCT(($D$2:$D328="")*($N$2:$N328&gt;1)),"")</f>
        <v>327</v>
      </c>
      <c r="R328" s="26" t="str">
        <f>IF($D328='Info Lega'!$B$28,COUNTIFS($D$2:$D328,'Info Lega'!$B$28),"")</f>
        <v/>
      </c>
      <c r="S328" s="27">
        <f>IFERROR(INDEX('Input Statistiche 2025_26'!$G$3:$G$665,MATCH($A328,'Input Statistiche 2025_26'!$A$3:$A$665,0)),"")</f>
        <v>5.72</v>
      </c>
      <c r="T328" s="27">
        <f>IFERROR(INDEX('Input Statistiche 2025_26'!$H$3:$H$665,MATCH($A328,'Input Statistiche 2025_26'!$A$3:$A$665,0)),"")</f>
        <v>6</v>
      </c>
      <c r="U328" s="23" t="str">
        <f>IF(OR('La Mia Rosa'!$O$12="",$D328&lt;&gt;""),"",IF($F328&lt;='La Mia Rosa'!$O$12*'Parametri Modello'!$B$24,"OK",IF($F328&lt;='La Mia Rosa'!$O$12*'Parametri Modello'!$B$25,"Attenzione","Rischio Alto")))</f>
        <v>OK</v>
      </c>
      <c r="V328" s="23">
        <f t="shared" si="46"/>
        <v>63</v>
      </c>
      <c r="W328" s="18">
        <f>'Info Lega'!$B$4-SUMIFS($M$2:$M$492,$D$2:$D$492,'Info Lega'!$B$28)</f>
        <v>1000</v>
      </c>
      <c r="X328" s="18">
        <f>('Info Lega'!$B$5-COUNTIFS($D$2:$D$492,'Info Lega'!$B$28,$B$2:$B$492,"P"))+('Info Lega'!$B$6-COUNTIFS($D$2:$D$492,'Info Lega'!$B$28,$B$2:$B$492,"D"))+('Info Lega'!$B$7-COUNTIFS($D$2:$D$492,'Info Lega'!$B$28,$B$2:$B$492,"C"))+('Info Lega'!$B$8-COUNTIFS($D$2:$D$492,'Info Lega'!$B$28,$B$2:$B$492,"A"))</f>
        <v>25</v>
      </c>
      <c r="Y328" s="18">
        <f>X328*'Parametri Modello'!$B$30</f>
        <v>25</v>
      </c>
      <c r="Z328" s="18">
        <f t="shared" si="47"/>
        <v>975</v>
      </c>
      <c r="AA328" s="18">
        <f t="shared" si="48"/>
        <v>3</v>
      </c>
      <c r="AB328" s="18"/>
      <c r="AC328" s="18" t="str">
        <f>IF($AB328="","",IF($AB328&gt;$AA328,"PASS",IF($AB328&lt;=$AA328*(1-'Parametri Modello'!$B$68),"BID","ATTENZIONE")))</f>
        <v/>
      </c>
      <c r="AD328" s="28">
        <f t="shared" si="49"/>
        <v>26</v>
      </c>
      <c r="AE328" s="5" t="str">
        <f>IFERROR(INDEX('Stato Asta'!$G$9:$G$12,MATCH($B328,'Stato Asta'!$A$9:$A$12,0)),"")</f>
        <v>🔴 Non aspettare</v>
      </c>
      <c r="AF328" t="str">
        <f>IFERROR(IF($V328&lt;=INDEX('Parametri Modello'!$C$57:$C$60,MATCH($B328,'Parametri Modello'!$A$57:$A$60,0)),"Titolare","Riserva"),"")</f>
        <v>Riserva</v>
      </c>
      <c r="AG328" t="str">
        <f>IFERROR(INDEX('Pressione Competitiva'!$F$3:$F$6,MATCH($B328,'Pressione Competitiva'!$B$3:$B$6,0)),"")</f>
        <v>🔴 Molto Alta</v>
      </c>
      <c r="AH328" t="str">
        <f t="shared" si="50"/>
        <v/>
      </c>
      <c r="AI328" t="str">
        <f>IFERROR(IF($AH328="","",IF($AH328&gt;=$AA328*'Parametri Modello'!$B$68,"🟢 Opportunita'",IF($AH328&lt;=$AA328*'Parametri Modello'!$B$69,"🔴 Sovrapprezzo","🟡 Prezzo Corretto"))),"")</f>
        <v/>
      </c>
      <c r="AJ328" t="str">
        <f t="shared" si="51"/>
        <v/>
      </c>
      <c r="AK328">
        <f t="shared" si="52"/>
        <v>9</v>
      </c>
      <c r="AL328" t="str">
        <f t="shared" si="53"/>
        <v>A|Scommessa/Riserva|9</v>
      </c>
    </row>
    <row r="329" spans="1:38" ht="14.25" customHeight="1" x14ac:dyDescent="0.25">
      <c r="A329" s="18">
        <v>4461</v>
      </c>
      <c r="B329" s="18" t="s">
        <v>16</v>
      </c>
      <c r="C329" s="18" t="s">
        <v>468</v>
      </c>
      <c r="E329" s="23" t="str">
        <f>IF(COUNTIF('Info Strategia'!$D$2:$D$51,$C329)&gt;0,"SI","NO")</f>
        <v>NO</v>
      </c>
      <c r="F329" s="24">
        <f>IFERROR(ROUND(($G329+($H329-$G329)*'Info Strategia'!$B$6)*(1+IF($E329="SI",'Parametri Modello'!$B$7*'Info Strategia'!$B$6,0)),0),"")</f>
        <v>2</v>
      </c>
      <c r="G329" s="24">
        <f>IFERROR(ROUND(MAX(1,(IF($V329&lt;=INDEX('Parametri Modello'!$C$57:$C$60,MATCH($B329,'Parametri Modello'!$A$57:$A$60,0)),IF(INDEX('Parametri Modello'!$E$57:$E$60,MATCH($B329,'Parametri Modello'!$A$57:$A$60,0))=0,0,($O329/INDEX('Parametri Modello'!$E$57:$E$60,MATCH($B329,'Parametri Modello'!$A$57:$A$60,0)))*(INDEX('Parametri Modello'!$D$57:$D$60,MATCH($B329,'Parametri Modello'!$A$57:$A$60,0))*(INDEX('Parametri Modello'!$B$50:$B$53,MATCH($B329,'Parametri Modello'!$A$50:$A$53,0))*'Parametri Modello'!$B$44))),IF(INDEX('Parametri Modello'!$F$57:$F$60,MATCH($B329,'Parametri Modello'!$A$57:$A$60,0))=0,0,($O329/INDEX('Parametri Modello'!$F$57:$F$60,MATCH($B329,'Parametri Modello'!$A$57:$A$60,0)))*((1-INDEX('Parametri Modello'!$D$57:$D$60,MATCH($B329,'Parametri Modello'!$A$57:$A$60,0)))*(INDEX('Parametri Modello'!$B$50:$B$53,MATCH($B329,'Parametri Modello'!$A$50:$A$53,0))*'Parametri Modello'!$B$44))))*(1+IF(IF($B329="D",'Info Lega'!$B$25,IF($B329="C",'Info Lega'!$B$26,"No"))="Si",'Parametri Modello'!$B$5,0))*(1+MAX(-0.25,MIN(0.25,IF(OR($T329="",$I329="",$I329=0,INDEX('Parametri Modello'!$B$19:$B$22,MATCH($B329,'Parametri Modello'!$A$19:$A$22,0))="",INDEX('Parametri Modello'!$B$19:$B$22,MATCH($B329,'Parametri Modello'!$A$19:$A$22,0))=0),0,(($T329-INDEX('Parametri Modello'!$B$19:$B$22,MATCH($B329,'Parametri Modello'!$A$19:$A$22,0)))/INDEX('Parametri Modello'!$B$19:$B$22,MATCH($B329,'Parametri Modello'!$A$19:$A$22,0)))*'Parametri Modello'!$B$9))))*(1+IF('Parametri Modello'!$B$27="Si",MAX(-'Parametri Modello'!$B$28,MIN('Parametri Modello'!$B$28*1.5,IF(OR(INDEX('Parametri Modello'!$F$32:$F$35,MATCH($B329,'Parametri Modello'!$A$32:$A$35,0))="",INDEX('Parametri Modello'!$F$32:$F$35,MATCH($B329,'Parametri Modello'!$A$32:$A$35,0))=0),0,(1/INDEX('Parametri Modello'!$F$32:$F$35,MATCH($B329,'Parametri Modello'!$A$32:$A$35,0))-1)*'Parametri Modello'!$B$28))),0)))*(1-INDEX('Parametri Modello'!$B$12:$B$15,MATCH($B329,'Parametri Modello'!$A$12:$A$15,0)))),0),"")</f>
        <v>1</v>
      </c>
      <c r="H329" s="24">
        <f>IFERROR(ROUND((IF($V329&lt;=INDEX('Parametri Modello'!$C$57:$C$60,MATCH($B329,'Parametri Modello'!$A$57:$A$60,0)),IF(INDEX('Parametri Modello'!$E$57:$E$60,MATCH($B329,'Parametri Modello'!$A$57:$A$60,0))=0,0,($O329/INDEX('Parametri Modello'!$E$57:$E$60,MATCH($B329,'Parametri Modello'!$A$57:$A$60,0)))*(INDEX('Parametri Modello'!$D$57:$D$60,MATCH($B329,'Parametri Modello'!$A$57:$A$60,0))*(INDEX('Parametri Modello'!$B$50:$B$53,MATCH($B329,'Parametri Modello'!$A$50:$A$53,0))*'Parametri Modello'!$B$44))),IF(INDEX('Parametri Modello'!$F$57:$F$60,MATCH($B329,'Parametri Modello'!$A$57:$A$60,0))=0,0,($O329/INDEX('Parametri Modello'!$F$57:$F$60,MATCH($B329,'Parametri Modello'!$A$57:$A$60,0)))*((1-INDEX('Parametri Modello'!$D$57:$D$60,MATCH($B329,'Parametri Modello'!$A$57:$A$60,0)))*(INDEX('Parametri Modello'!$B$50:$B$53,MATCH($B329,'Parametri Modello'!$A$50:$A$53,0))*'Parametri Modello'!$B$44))))*(1+IF(IF($B329="D",'Info Lega'!$B$25,IF($B329="C",'Info Lega'!$B$26,"No"))="Si",'Parametri Modello'!$B$5,0))*(1+MAX(-0.25,MIN(0.25,IF(OR($T329="",$I329="",$I329=0,INDEX('Parametri Modello'!$B$19:$B$22,MATCH($B329,'Parametri Modello'!$A$19:$A$22,0))="",INDEX('Parametri Modello'!$B$19:$B$22,MATCH($B329,'Parametri Modello'!$A$19:$A$22,0))=0),0,(($T329-INDEX('Parametri Modello'!$B$19:$B$22,MATCH($B329,'Parametri Modello'!$A$19:$A$22,0)))/INDEX('Parametri Modello'!$B$19:$B$22,MATCH($B329,'Parametri Modello'!$A$19:$A$22,0)))*'Parametri Modello'!$B$9))))*(1+IF('Parametri Modello'!$B$27="Si",MAX(-'Parametri Modello'!$B$28,MIN('Parametri Modello'!$B$28*1.5,IF(OR(INDEX('Parametri Modello'!$F$32:$F$35,MATCH($B329,'Parametri Modello'!$A$32:$A$35,0))="",INDEX('Parametri Modello'!$F$32:$F$35,MATCH($B329,'Parametri Modello'!$A$32:$A$35,0))=0),0,(1/INDEX('Parametri Modello'!$F$32:$F$35,MATCH($B329,'Parametri Modello'!$A$32:$A$35,0))-1)*'Parametri Modello'!$B$28))),0)))*(1+INDEX('Parametri Modello'!$B$12:$B$15,MATCH($B329,'Parametri Modello'!$A$12:$A$15,0))),0),"")</f>
        <v>2</v>
      </c>
      <c r="I329" s="23">
        <f>IFERROR(INDEX('Input Statistiche 2025_26'!$F$3:$F$665,MATCH($A329,'Input Statistiche 2025_26'!$A$3:$A$665,0)),"")</f>
        <v>25</v>
      </c>
      <c r="J329" s="23">
        <f t="shared" si="45"/>
        <v>13</v>
      </c>
      <c r="K329" s="23">
        <f>IFERROR(INDEX('Input Statistiche 2025_26'!$I$3:$I$665,MATCH($A329,'Input Statistiche 2025_26'!$A$3:$A$665,0)),"")</f>
        <v>0</v>
      </c>
      <c r="L329" s="23">
        <f>IFERROR(INDEX('Input Statistiche 2025_26'!$O$3:$O$665,MATCH($A329,'Input Statistiche 2025_26'!$A$3:$A$665,0)),"")</f>
        <v>3</v>
      </c>
      <c r="M329" s="25"/>
      <c r="N329" s="24">
        <f>IFERROR(INDEX('Input Giocatori 2026_27'!$E$3:$E$493,MATCH($A329,'Input Giocatori 2026_27'!$A$3:$A$493,0)),"")</f>
        <v>4</v>
      </c>
      <c r="O329" s="24">
        <f>IFERROR(INDEX('Input Giocatori 2026_27'!$G$3:$G$493,MATCH($A329,'Input Giocatori 2026_27'!$A$3:$A$493,0)),"")</f>
        <v>9</v>
      </c>
      <c r="P329" s="23" t="str">
        <f>IFERROR(IF($O329="","",IF((1-(COUNTIFS($B$2:$B$492,$B329,$O$2:$O$492,"&gt;"&amp;$O329)+1-1)/COUNTIF($B$2:$B$492,$B329))&gt;='Parametri Modello'!$B$63,"Top",IF((1-(COUNTIFS($B$2:$B$492,$B329,$O$2:$O$492,"&gt;"&amp;$O329)+1-1)/COUNTIF($B$2:$B$492,$B329))&gt;='Parametri Modello'!$B$64,"Buono",IF((1-(COUNTIFS($B$2:$B$492,$B329,$O$2:$O$492,"&gt;"&amp;$O329)+1-1)/COUNTIF($B$2:$B$492,$B329))&gt;='Parametri Modello'!$B$65,"Nella Media","Scommessa/Riserva")))),"")</f>
        <v>Scommessa/Riserva</v>
      </c>
      <c r="Q329" s="26">
        <f>IF(AND($D329="",$N329&gt;1),SUMPRODUCT(($D$2:$D329="")*($N$2:$N329&gt;1)),"")</f>
        <v>328</v>
      </c>
      <c r="R329" s="26" t="str">
        <f>IF($D329='Info Lega'!$B$28,COUNTIFS($D$2:$D329,'Info Lega'!$B$28),"")</f>
        <v/>
      </c>
      <c r="S329" s="27">
        <f>IFERROR(INDEX('Input Statistiche 2025_26'!$G$3:$G$665,MATCH($A329,'Input Statistiche 2025_26'!$A$3:$A$665,0)),"")</f>
        <v>5.9</v>
      </c>
      <c r="T329" s="27">
        <f>IFERROR(INDEX('Input Statistiche 2025_26'!$H$3:$H$665,MATCH($A329,'Input Statistiche 2025_26'!$A$3:$A$665,0)),"")</f>
        <v>5.98</v>
      </c>
      <c r="U329" s="23" t="str">
        <f>IF(OR('La Mia Rosa'!$O$12="",$D329&lt;&gt;""),"",IF($F329&lt;='La Mia Rosa'!$O$12*'Parametri Modello'!$B$24,"OK",IF($F329&lt;='La Mia Rosa'!$O$12*'Parametri Modello'!$B$25,"Attenzione","Rischio Alto")))</f>
        <v>OK</v>
      </c>
      <c r="V329" s="23">
        <f t="shared" si="46"/>
        <v>112</v>
      </c>
      <c r="W329" s="18">
        <f>'Info Lega'!$B$4-SUMIFS($M$2:$M$492,$D$2:$D$492,'Info Lega'!$B$28)</f>
        <v>1000</v>
      </c>
      <c r="X329" s="18">
        <f>('Info Lega'!$B$5-COUNTIFS($D$2:$D$492,'Info Lega'!$B$28,$B$2:$B$492,"P"))+('Info Lega'!$B$6-COUNTIFS($D$2:$D$492,'Info Lega'!$B$28,$B$2:$B$492,"D"))+('Info Lega'!$B$7-COUNTIFS($D$2:$D$492,'Info Lega'!$B$28,$B$2:$B$492,"C"))+('Info Lega'!$B$8-COUNTIFS($D$2:$D$492,'Info Lega'!$B$28,$B$2:$B$492,"A"))</f>
        <v>25</v>
      </c>
      <c r="Y329" s="18">
        <f>X329*'Parametri Modello'!$B$30</f>
        <v>25</v>
      </c>
      <c r="Z329" s="18">
        <f t="shared" si="47"/>
        <v>975</v>
      </c>
      <c r="AA329" s="18">
        <f t="shared" si="48"/>
        <v>2</v>
      </c>
      <c r="AB329" s="18"/>
      <c r="AC329" s="18" t="str">
        <f>IF($AB329="","",IF($AB329&gt;$AA329,"PASS",IF($AB329&lt;=$AA329*(1-'Parametri Modello'!$B$68),"BID","ATTENZIONE")))</f>
        <v/>
      </c>
      <c r="AD329" s="28">
        <f t="shared" si="49"/>
        <v>57</v>
      </c>
      <c r="AE329" s="5" t="str">
        <f>IFERROR(INDEX('Stato Asta'!$G$9:$G$12,MATCH($B329,'Stato Asta'!$A$9:$A$12,0)),"")</f>
        <v>🔴 Non aspettare</v>
      </c>
      <c r="AF329" t="str">
        <f>IFERROR(IF($V329&lt;=INDEX('Parametri Modello'!$C$57:$C$60,MATCH($B329,'Parametri Modello'!$A$57:$A$60,0)),"Titolare","Riserva"),"")</f>
        <v>Riserva</v>
      </c>
      <c r="AG329" t="str">
        <f>IFERROR(INDEX('Pressione Competitiva'!$F$3:$F$6,MATCH($B329,'Pressione Competitiva'!$B$3:$B$6,0)),"")</f>
        <v>🔴 Molto Alta</v>
      </c>
      <c r="AH329" t="str">
        <f t="shared" si="50"/>
        <v/>
      </c>
      <c r="AI329" t="str">
        <f>IFERROR(IF($AH329="","",IF($AH329&gt;=$AA329*'Parametri Modello'!$B$68,"🟢 Opportunita'",IF($AH329&lt;=$AA329*'Parametri Modello'!$B$69,"🔴 Sovrapprezzo","🟡 Prezzo Corretto"))),"")</f>
        <v/>
      </c>
      <c r="AJ329" t="str">
        <f t="shared" si="51"/>
        <v/>
      </c>
      <c r="AK329">
        <f t="shared" si="52"/>
        <v>1</v>
      </c>
      <c r="AL329" t="str">
        <f t="shared" si="53"/>
        <v>D|Scommessa/Riserva|1</v>
      </c>
    </row>
    <row r="330" spans="1:38" ht="14.25" customHeight="1" x14ac:dyDescent="0.25">
      <c r="A330" s="18">
        <v>7537</v>
      </c>
      <c r="B330" s="18" t="s">
        <v>16</v>
      </c>
      <c r="C330" s="18" t="s">
        <v>469</v>
      </c>
      <c r="E330" s="23" t="str">
        <f>IF(COUNTIF('Info Strategia'!$D$2:$D$51,$C330)&gt;0,"SI","NO")</f>
        <v>NO</v>
      </c>
      <c r="F330" s="24">
        <f>IFERROR(ROUND(($G330+($H330-$G330)*'Info Strategia'!$B$6)*(1+IF($E330="SI",'Parametri Modello'!$B$7*'Info Strategia'!$B$6,0)),0),"")</f>
        <v>2</v>
      </c>
      <c r="G330" s="24">
        <f>IFERROR(ROUND(MAX(1,(IF($V330&lt;=INDEX('Parametri Modello'!$C$57:$C$60,MATCH($B330,'Parametri Modello'!$A$57:$A$60,0)),IF(INDEX('Parametri Modello'!$E$57:$E$60,MATCH($B330,'Parametri Modello'!$A$57:$A$60,0))=0,0,($O330/INDEX('Parametri Modello'!$E$57:$E$60,MATCH($B330,'Parametri Modello'!$A$57:$A$60,0)))*(INDEX('Parametri Modello'!$D$57:$D$60,MATCH($B330,'Parametri Modello'!$A$57:$A$60,0))*(INDEX('Parametri Modello'!$B$50:$B$53,MATCH($B330,'Parametri Modello'!$A$50:$A$53,0))*'Parametri Modello'!$B$44))),IF(INDEX('Parametri Modello'!$F$57:$F$60,MATCH($B330,'Parametri Modello'!$A$57:$A$60,0))=0,0,($O330/INDEX('Parametri Modello'!$F$57:$F$60,MATCH($B330,'Parametri Modello'!$A$57:$A$60,0)))*((1-INDEX('Parametri Modello'!$D$57:$D$60,MATCH($B330,'Parametri Modello'!$A$57:$A$60,0)))*(INDEX('Parametri Modello'!$B$50:$B$53,MATCH($B330,'Parametri Modello'!$A$50:$A$53,0))*'Parametri Modello'!$B$44))))*(1+IF(IF($B330="D",'Info Lega'!$B$25,IF($B330="C",'Info Lega'!$B$26,"No"))="Si",'Parametri Modello'!$B$5,0))*(1+MAX(-0.25,MIN(0.25,IF(OR($T330="",$I330="",$I330=0,INDEX('Parametri Modello'!$B$19:$B$22,MATCH($B330,'Parametri Modello'!$A$19:$A$22,0))="",INDEX('Parametri Modello'!$B$19:$B$22,MATCH($B330,'Parametri Modello'!$A$19:$A$22,0))=0),0,(($T330-INDEX('Parametri Modello'!$B$19:$B$22,MATCH($B330,'Parametri Modello'!$A$19:$A$22,0)))/INDEX('Parametri Modello'!$B$19:$B$22,MATCH($B330,'Parametri Modello'!$A$19:$A$22,0)))*'Parametri Modello'!$B$9))))*(1+IF('Parametri Modello'!$B$27="Si",MAX(-'Parametri Modello'!$B$28,MIN('Parametri Modello'!$B$28*1.5,IF(OR(INDEX('Parametri Modello'!$F$32:$F$35,MATCH($B330,'Parametri Modello'!$A$32:$A$35,0))="",INDEX('Parametri Modello'!$F$32:$F$35,MATCH($B330,'Parametri Modello'!$A$32:$A$35,0))=0),0,(1/INDEX('Parametri Modello'!$F$32:$F$35,MATCH($B330,'Parametri Modello'!$A$32:$A$35,0))-1)*'Parametri Modello'!$B$28))),0)))*(1-INDEX('Parametri Modello'!$B$12:$B$15,MATCH($B330,'Parametri Modello'!$A$12:$A$15,0)))),0),"")</f>
        <v>1</v>
      </c>
      <c r="H330" s="24">
        <f>IFERROR(ROUND((IF($V330&lt;=INDEX('Parametri Modello'!$C$57:$C$60,MATCH($B330,'Parametri Modello'!$A$57:$A$60,0)),IF(INDEX('Parametri Modello'!$E$57:$E$60,MATCH($B330,'Parametri Modello'!$A$57:$A$60,0))=0,0,($O330/INDEX('Parametri Modello'!$E$57:$E$60,MATCH($B330,'Parametri Modello'!$A$57:$A$60,0)))*(INDEX('Parametri Modello'!$D$57:$D$60,MATCH($B330,'Parametri Modello'!$A$57:$A$60,0))*(INDEX('Parametri Modello'!$B$50:$B$53,MATCH($B330,'Parametri Modello'!$A$50:$A$53,0))*'Parametri Modello'!$B$44))),IF(INDEX('Parametri Modello'!$F$57:$F$60,MATCH($B330,'Parametri Modello'!$A$57:$A$60,0))=0,0,($O330/INDEX('Parametri Modello'!$F$57:$F$60,MATCH($B330,'Parametri Modello'!$A$57:$A$60,0)))*((1-INDEX('Parametri Modello'!$D$57:$D$60,MATCH($B330,'Parametri Modello'!$A$57:$A$60,0)))*(INDEX('Parametri Modello'!$B$50:$B$53,MATCH($B330,'Parametri Modello'!$A$50:$A$53,0))*'Parametri Modello'!$B$44))))*(1+IF(IF($B330="D",'Info Lega'!$B$25,IF($B330="C",'Info Lega'!$B$26,"No"))="Si",'Parametri Modello'!$B$5,0))*(1+MAX(-0.25,MIN(0.25,IF(OR($T330="",$I330="",$I330=0,INDEX('Parametri Modello'!$B$19:$B$22,MATCH($B330,'Parametri Modello'!$A$19:$A$22,0))="",INDEX('Parametri Modello'!$B$19:$B$22,MATCH($B330,'Parametri Modello'!$A$19:$A$22,0))=0),0,(($T330-INDEX('Parametri Modello'!$B$19:$B$22,MATCH($B330,'Parametri Modello'!$A$19:$A$22,0)))/INDEX('Parametri Modello'!$B$19:$B$22,MATCH($B330,'Parametri Modello'!$A$19:$A$22,0)))*'Parametri Modello'!$B$9))))*(1+IF('Parametri Modello'!$B$27="Si",MAX(-'Parametri Modello'!$B$28,MIN('Parametri Modello'!$B$28*1.5,IF(OR(INDEX('Parametri Modello'!$F$32:$F$35,MATCH($B330,'Parametri Modello'!$A$32:$A$35,0))="",INDEX('Parametri Modello'!$F$32:$F$35,MATCH($B330,'Parametri Modello'!$A$32:$A$35,0))=0),0,(1/INDEX('Parametri Modello'!$F$32:$F$35,MATCH($B330,'Parametri Modello'!$A$32:$A$35,0))-1)*'Parametri Modello'!$B$28))),0)))*(1+INDEX('Parametri Modello'!$B$12:$B$15,MATCH($B330,'Parametri Modello'!$A$12:$A$15,0))),0),"")</f>
        <v>2</v>
      </c>
      <c r="I330" s="23" t="str">
        <f>IFERROR(INDEX('Input Statistiche 2025_26'!$F$3:$F$665,MATCH($A330,'Input Statistiche 2025_26'!$A$3:$A$665,0)),"")</f>
        <v/>
      </c>
      <c r="J330" s="23" t="str">
        <f t="shared" si="45"/>
        <v/>
      </c>
      <c r="K330" s="23" t="str">
        <f>IFERROR(INDEX('Input Statistiche 2025_26'!$I$3:$I$665,MATCH($A330,'Input Statistiche 2025_26'!$A$3:$A$665,0)),"")</f>
        <v/>
      </c>
      <c r="L330" s="23" t="str">
        <f>IFERROR(INDEX('Input Statistiche 2025_26'!$O$3:$O$665,MATCH($A330,'Input Statistiche 2025_26'!$A$3:$A$665,0)),"")</f>
        <v/>
      </c>
      <c r="M330" s="25"/>
      <c r="N330" s="24">
        <f>IFERROR(INDEX('Input Giocatori 2026_27'!$E$3:$E$493,MATCH($A330,'Input Giocatori 2026_27'!$A$3:$A$493,0)),"")</f>
        <v>4</v>
      </c>
      <c r="O330" s="24">
        <f>IFERROR(INDEX('Input Giocatori 2026_27'!$G$3:$G$493,MATCH($A330,'Input Giocatori 2026_27'!$A$3:$A$493,0)),"")</f>
        <v>9</v>
      </c>
      <c r="P330" s="23" t="str">
        <f>IFERROR(IF($O330="","",IF((1-(COUNTIFS($B$2:$B$492,$B330,$O$2:$O$492,"&gt;"&amp;$O330)+1-1)/COUNTIF($B$2:$B$492,$B330))&gt;='Parametri Modello'!$B$63,"Top",IF((1-(COUNTIFS($B$2:$B$492,$B330,$O$2:$O$492,"&gt;"&amp;$O330)+1-1)/COUNTIF($B$2:$B$492,$B330))&gt;='Parametri Modello'!$B$64,"Buono",IF((1-(COUNTIFS($B$2:$B$492,$B330,$O$2:$O$492,"&gt;"&amp;$O330)+1-1)/COUNTIF($B$2:$B$492,$B330))&gt;='Parametri Modello'!$B$65,"Nella Media","Scommessa/Riserva")))),"")</f>
        <v>Scommessa/Riserva</v>
      </c>
      <c r="Q330" s="26">
        <f>IF(AND($D330="",$N330&gt;1),SUMPRODUCT(($D$2:$D330="")*($N$2:$N330&gt;1)),"")</f>
        <v>329</v>
      </c>
      <c r="R330" s="26" t="str">
        <f>IF($D330='Info Lega'!$B$28,COUNTIFS($D$2:$D330,'Info Lega'!$B$28),"")</f>
        <v/>
      </c>
      <c r="S330" s="27" t="str">
        <f>IFERROR(INDEX('Input Statistiche 2025_26'!$G$3:$G$665,MATCH($A330,'Input Statistiche 2025_26'!$A$3:$A$665,0)),"")</f>
        <v/>
      </c>
      <c r="T330" s="27" t="str">
        <f>IFERROR(INDEX('Input Statistiche 2025_26'!$H$3:$H$665,MATCH($A330,'Input Statistiche 2025_26'!$A$3:$A$665,0)),"")</f>
        <v/>
      </c>
      <c r="U330" s="23" t="str">
        <f>IF(OR('La Mia Rosa'!$O$12="",$D330&lt;&gt;""),"",IF($F330&lt;='La Mia Rosa'!$O$12*'Parametri Modello'!$B$24,"OK",IF($F330&lt;='La Mia Rosa'!$O$12*'Parametri Modello'!$B$25,"Attenzione","Rischio Alto")))</f>
        <v>OK</v>
      </c>
      <c r="V330" s="23">
        <f t="shared" si="46"/>
        <v>112</v>
      </c>
      <c r="W330" s="18">
        <f>'Info Lega'!$B$4-SUMIFS($M$2:$M$492,$D$2:$D$492,'Info Lega'!$B$28)</f>
        <v>1000</v>
      </c>
      <c r="X330" s="18">
        <f>('Info Lega'!$B$5-COUNTIFS($D$2:$D$492,'Info Lega'!$B$28,$B$2:$B$492,"P"))+('Info Lega'!$B$6-COUNTIFS($D$2:$D$492,'Info Lega'!$B$28,$B$2:$B$492,"D"))+('Info Lega'!$B$7-COUNTIFS($D$2:$D$492,'Info Lega'!$B$28,$B$2:$B$492,"C"))+('Info Lega'!$B$8-COUNTIFS($D$2:$D$492,'Info Lega'!$B$28,$B$2:$B$492,"A"))</f>
        <v>25</v>
      </c>
      <c r="Y330" s="18">
        <f>X330*'Parametri Modello'!$B$30</f>
        <v>25</v>
      </c>
      <c r="Z330" s="18">
        <f t="shared" si="47"/>
        <v>975</v>
      </c>
      <c r="AA330" s="18">
        <f t="shared" si="48"/>
        <v>2</v>
      </c>
      <c r="AB330" s="18"/>
      <c r="AC330" s="18" t="str">
        <f>IF($AB330="","",IF($AB330&gt;$AA330,"PASS",IF($AB330&lt;=$AA330*(1-'Parametri Modello'!$B$68),"BID","ATTENZIONE")))</f>
        <v/>
      </c>
      <c r="AD330" s="28" t="str">
        <f t="shared" si="49"/>
        <v/>
      </c>
      <c r="AE330" s="5" t="str">
        <f>IFERROR(INDEX('Stato Asta'!$G$9:$G$12,MATCH($B330,'Stato Asta'!$A$9:$A$12,0)),"")</f>
        <v>🔴 Non aspettare</v>
      </c>
      <c r="AF330" t="str">
        <f>IFERROR(IF($V330&lt;=INDEX('Parametri Modello'!$C$57:$C$60,MATCH($B330,'Parametri Modello'!$A$57:$A$60,0)),"Titolare","Riserva"),"")</f>
        <v>Riserva</v>
      </c>
      <c r="AG330" t="str">
        <f>IFERROR(INDEX('Pressione Competitiva'!$F$3:$F$6,MATCH($B330,'Pressione Competitiva'!$B$3:$B$6,0)),"")</f>
        <v>🔴 Molto Alta</v>
      </c>
      <c r="AH330" t="str">
        <f t="shared" si="50"/>
        <v/>
      </c>
      <c r="AI330" t="str">
        <f>IFERROR(IF($AH330="","",IF($AH330&gt;=$AA330*'Parametri Modello'!$B$68,"🟢 Opportunita'",IF($AH330&lt;=$AA330*'Parametri Modello'!$B$69,"🔴 Sovrapprezzo","🟡 Prezzo Corretto"))),"")</f>
        <v/>
      </c>
      <c r="AJ330" t="str">
        <f t="shared" si="51"/>
        <v/>
      </c>
      <c r="AK330">
        <f t="shared" si="52"/>
        <v>1</v>
      </c>
      <c r="AL330" t="str">
        <f t="shared" si="53"/>
        <v>D|Scommessa/Riserva|1</v>
      </c>
    </row>
    <row r="331" spans="1:38" ht="14.25" customHeight="1" x14ac:dyDescent="0.25">
      <c r="A331" s="18">
        <v>4263</v>
      </c>
      <c r="B331" s="18" t="s">
        <v>16</v>
      </c>
      <c r="C331" s="18" t="s">
        <v>470</v>
      </c>
      <c r="E331" s="23" t="str">
        <f>IF(COUNTIF('Info Strategia'!$D$2:$D$51,$C331)&gt;0,"SI","NO")</f>
        <v>NO</v>
      </c>
      <c r="F331" s="24">
        <f>IFERROR(ROUND(($G331+($H331-$G331)*'Info Strategia'!$B$6)*(1+IF($E331="SI",'Parametri Modello'!$B$7*'Info Strategia'!$B$6,0)),0),"")</f>
        <v>2</v>
      </c>
      <c r="G331" s="24">
        <f>IFERROR(ROUND(MAX(1,(IF($V331&lt;=INDEX('Parametri Modello'!$C$57:$C$60,MATCH($B331,'Parametri Modello'!$A$57:$A$60,0)),IF(INDEX('Parametri Modello'!$E$57:$E$60,MATCH($B331,'Parametri Modello'!$A$57:$A$60,0))=0,0,($O331/INDEX('Parametri Modello'!$E$57:$E$60,MATCH($B331,'Parametri Modello'!$A$57:$A$60,0)))*(INDEX('Parametri Modello'!$D$57:$D$60,MATCH($B331,'Parametri Modello'!$A$57:$A$60,0))*(INDEX('Parametri Modello'!$B$50:$B$53,MATCH($B331,'Parametri Modello'!$A$50:$A$53,0))*'Parametri Modello'!$B$44))),IF(INDEX('Parametri Modello'!$F$57:$F$60,MATCH($B331,'Parametri Modello'!$A$57:$A$60,0))=0,0,($O331/INDEX('Parametri Modello'!$F$57:$F$60,MATCH($B331,'Parametri Modello'!$A$57:$A$60,0)))*((1-INDEX('Parametri Modello'!$D$57:$D$60,MATCH($B331,'Parametri Modello'!$A$57:$A$60,0)))*(INDEX('Parametri Modello'!$B$50:$B$53,MATCH($B331,'Parametri Modello'!$A$50:$A$53,0))*'Parametri Modello'!$B$44))))*(1+IF(IF($B331="D",'Info Lega'!$B$25,IF($B331="C",'Info Lega'!$B$26,"No"))="Si",'Parametri Modello'!$B$5,0))*(1+MAX(-0.25,MIN(0.25,IF(OR($T331="",$I331="",$I331=0,INDEX('Parametri Modello'!$B$19:$B$22,MATCH($B331,'Parametri Modello'!$A$19:$A$22,0))="",INDEX('Parametri Modello'!$B$19:$B$22,MATCH($B331,'Parametri Modello'!$A$19:$A$22,0))=0),0,(($T331-INDEX('Parametri Modello'!$B$19:$B$22,MATCH($B331,'Parametri Modello'!$A$19:$A$22,0)))/INDEX('Parametri Modello'!$B$19:$B$22,MATCH($B331,'Parametri Modello'!$A$19:$A$22,0)))*'Parametri Modello'!$B$9))))*(1+IF('Parametri Modello'!$B$27="Si",MAX(-'Parametri Modello'!$B$28,MIN('Parametri Modello'!$B$28*1.5,IF(OR(INDEX('Parametri Modello'!$F$32:$F$35,MATCH($B331,'Parametri Modello'!$A$32:$A$35,0))="",INDEX('Parametri Modello'!$F$32:$F$35,MATCH($B331,'Parametri Modello'!$A$32:$A$35,0))=0),0,(1/INDEX('Parametri Modello'!$F$32:$F$35,MATCH($B331,'Parametri Modello'!$A$32:$A$35,0))-1)*'Parametri Modello'!$B$28))),0)))*(1-INDEX('Parametri Modello'!$B$12:$B$15,MATCH($B331,'Parametri Modello'!$A$12:$A$15,0)))),0),"")</f>
        <v>1</v>
      </c>
      <c r="H331" s="24">
        <f>IFERROR(ROUND((IF($V331&lt;=INDEX('Parametri Modello'!$C$57:$C$60,MATCH($B331,'Parametri Modello'!$A$57:$A$60,0)),IF(INDEX('Parametri Modello'!$E$57:$E$60,MATCH($B331,'Parametri Modello'!$A$57:$A$60,0))=0,0,($O331/INDEX('Parametri Modello'!$E$57:$E$60,MATCH($B331,'Parametri Modello'!$A$57:$A$60,0)))*(INDEX('Parametri Modello'!$D$57:$D$60,MATCH($B331,'Parametri Modello'!$A$57:$A$60,0))*(INDEX('Parametri Modello'!$B$50:$B$53,MATCH($B331,'Parametri Modello'!$A$50:$A$53,0))*'Parametri Modello'!$B$44))),IF(INDEX('Parametri Modello'!$F$57:$F$60,MATCH($B331,'Parametri Modello'!$A$57:$A$60,0))=0,0,($O331/INDEX('Parametri Modello'!$F$57:$F$60,MATCH($B331,'Parametri Modello'!$A$57:$A$60,0)))*((1-INDEX('Parametri Modello'!$D$57:$D$60,MATCH($B331,'Parametri Modello'!$A$57:$A$60,0)))*(INDEX('Parametri Modello'!$B$50:$B$53,MATCH($B331,'Parametri Modello'!$A$50:$A$53,0))*'Parametri Modello'!$B$44))))*(1+IF(IF($B331="D",'Info Lega'!$B$25,IF($B331="C",'Info Lega'!$B$26,"No"))="Si",'Parametri Modello'!$B$5,0))*(1+MAX(-0.25,MIN(0.25,IF(OR($T331="",$I331="",$I331=0,INDEX('Parametri Modello'!$B$19:$B$22,MATCH($B331,'Parametri Modello'!$A$19:$A$22,0))="",INDEX('Parametri Modello'!$B$19:$B$22,MATCH($B331,'Parametri Modello'!$A$19:$A$22,0))=0),0,(($T331-INDEX('Parametri Modello'!$B$19:$B$22,MATCH($B331,'Parametri Modello'!$A$19:$A$22,0)))/INDEX('Parametri Modello'!$B$19:$B$22,MATCH($B331,'Parametri Modello'!$A$19:$A$22,0)))*'Parametri Modello'!$B$9))))*(1+IF('Parametri Modello'!$B$27="Si",MAX(-'Parametri Modello'!$B$28,MIN('Parametri Modello'!$B$28*1.5,IF(OR(INDEX('Parametri Modello'!$F$32:$F$35,MATCH($B331,'Parametri Modello'!$A$32:$A$35,0))="",INDEX('Parametri Modello'!$F$32:$F$35,MATCH($B331,'Parametri Modello'!$A$32:$A$35,0))=0),0,(1/INDEX('Parametri Modello'!$F$32:$F$35,MATCH($B331,'Parametri Modello'!$A$32:$A$35,0))-1)*'Parametri Modello'!$B$28))),0)))*(1+INDEX('Parametri Modello'!$B$12:$B$15,MATCH($B331,'Parametri Modello'!$A$12:$A$15,0))),0),"")</f>
        <v>2</v>
      </c>
      <c r="I331" s="23">
        <f>IFERROR(INDEX('Input Statistiche 2025_26'!$F$3:$F$665,MATCH($A331,'Input Statistiche 2025_26'!$A$3:$A$665,0)),"")</f>
        <v>28</v>
      </c>
      <c r="J331" s="23">
        <f t="shared" si="45"/>
        <v>10</v>
      </c>
      <c r="K331" s="23">
        <f>IFERROR(INDEX('Input Statistiche 2025_26'!$I$3:$I$665,MATCH($A331,'Input Statistiche 2025_26'!$A$3:$A$665,0)),"")</f>
        <v>3</v>
      </c>
      <c r="L331" s="23">
        <f>IFERROR(INDEX('Input Statistiche 2025_26'!$O$3:$O$665,MATCH($A331,'Input Statistiche 2025_26'!$A$3:$A$665,0)),"")</f>
        <v>0</v>
      </c>
      <c r="M331" s="25"/>
      <c r="N331" s="24">
        <f>IFERROR(INDEX('Input Giocatori 2026_27'!$E$3:$E$493,MATCH($A331,'Input Giocatori 2026_27'!$A$3:$A$493,0)),"")</f>
        <v>4</v>
      </c>
      <c r="O331" s="24">
        <f>IFERROR(INDEX('Input Giocatori 2026_27'!$G$3:$G$493,MATCH($A331,'Input Giocatori 2026_27'!$A$3:$A$493,0)),"")</f>
        <v>9</v>
      </c>
      <c r="P331" s="23" t="str">
        <f>IFERROR(IF($O331="","",IF((1-(COUNTIFS($B$2:$B$492,$B331,$O$2:$O$492,"&gt;"&amp;$O331)+1-1)/COUNTIF($B$2:$B$492,$B331))&gt;='Parametri Modello'!$B$63,"Top",IF((1-(COUNTIFS($B$2:$B$492,$B331,$O$2:$O$492,"&gt;"&amp;$O331)+1-1)/COUNTIF($B$2:$B$492,$B331))&gt;='Parametri Modello'!$B$64,"Buono",IF((1-(COUNTIFS($B$2:$B$492,$B331,$O$2:$O$492,"&gt;"&amp;$O331)+1-1)/COUNTIF($B$2:$B$492,$B331))&gt;='Parametri Modello'!$B$65,"Nella Media","Scommessa/Riserva")))),"")</f>
        <v>Scommessa/Riserva</v>
      </c>
      <c r="Q331" s="26">
        <f>IF(AND($D331="",$N331&gt;1),SUMPRODUCT(($D$2:$D331="")*($N$2:$N331&gt;1)),"")</f>
        <v>330</v>
      </c>
      <c r="R331" s="26" t="str">
        <f>IF($D331='Info Lega'!$B$28,COUNTIFS($D$2:$D331,'Info Lega'!$B$28),"")</f>
        <v/>
      </c>
      <c r="S331" s="27">
        <f>IFERROR(INDEX('Input Statistiche 2025_26'!$G$3:$G$665,MATCH($A331,'Input Statistiche 2025_26'!$A$3:$A$665,0)),"")</f>
        <v>5.98</v>
      </c>
      <c r="T331" s="27">
        <f>IFERROR(INDEX('Input Statistiche 2025_26'!$H$3:$H$665,MATCH($A331,'Input Statistiche 2025_26'!$A$3:$A$665,0)),"")</f>
        <v>6.18</v>
      </c>
      <c r="U331" s="23" t="str">
        <f>IF(OR('La Mia Rosa'!$O$12="",$D331&lt;&gt;""),"",IF($F331&lt;='La Mia Rosa'!$O$12*'Parametri Modello'!$B$24,"OK",IF($F331&lt;='La Mia Rosa'!$O$12*'Parametri Modello'!$B$25,"Attenzione","Rischio Alto")))</f>
        <v>OK</v>
      </c>
      <c r="V331" s="23">
        <f t="shared" si="46"/>
        <v>112</v>
      </c>
      <c r="W331" s="18">
        <f>'Info Lega'!$B$4-SUMIFS($M$2:$M$492,$D$2:$D$492,'Info Lega'!$B$28)</f>
        <v>1000</v>
      </c>
      <c r="X331" s="18">
        <f>('Info Lega'!$B$5-COUNTIFS($D$2:$D$492,'Info Lega'!$B$28,$B$2:$B$492,"P"))+('Info Lega'!$B$6-COUNTIFS($D$2:$D$492,'Info Lega'!$B$28,$B$2:$B$492,"D"))+('Info Lega'!$B$7-COUNTIFS($D$2:$D$492,'Info Lega'!$B$28,$B$2:$B$492,"C"))+('Info Lega'!$B$8-COUNTIFS($D$2:$D$492,'Info Lega'!$B$28,$B$2:$B$492,"A"))</f>
        <v>25</v>
      </c>
      <c r="Y331" s="18">
        <f>X331*'Parametri Modello'!$B$30</f>
        <v>25</v>
      </c>
      <c r="Z331" s="18">
        <f t="shared" si="47"/>
        <v>975</v>
      </c>
      <c r="AA331" s="18">
        <f t="shared" si="48"/>
        <v>2</v>
      </c>
      <c r="AB331" s="18"/>
      <c r="AC331" s="18" t="str">
        <f>IF($AB331="","",IF($AB331&gt;$AA331,"PASS",IF($AB331&lt;=$AA331*(1-'Parametri Modello'!$B$68),"BID","ATTENZIONE")))</f>
        <v/>
      </c>
      <c r="AD331" s="28">
        <f t="shared" si="49"/>
        <v>61</v>
      </c>
      <c r="AE331" s="5" t="str">
        <f>IFERROR(INDEX('Stato Asta'!$G$9:$G$12,MATCH($B331,'Stato Asta'!$A$9:$A$12,0)),"")</f>
        <v>🔴 Non aspettare</v>
      </c>
      <c r="AF331" t="str">
        <f>IFERROR(IF($V331&lt;=INDEX('Parametri Modello'!$C$57:$C$60,MATCH($B331,'Parametri Modello'!$A$57:$A$60,0)),"Titolare","Riserva"),"")</f>
        <v>Riserva</v>
      </c>
      <c r="AG331" t="str">
        <f>IFERROR(INDEX('Pressione Competitiva'!$F$3:$F$6,MATCH($B331,'Pressione Competitiva'!$B$3:$B$6,0)),"")</f>
        <v>🔴 Molto Alta</v>
      </c>
      <c r="AH331" t="str">
        <f t="shared" si="50"/>
        <v/>
      </c>
      <c r="AI331" t="str">
        <f>IFERROR(IF($AH331="","",IF($AH331&gt;=$AA331*'Parametri Modello'!$B$68,"🟢 Opportunita'",IF($AH331&lt;=$AA331*'Parametri Modello'!$B$69,"🔴 Sovrapprezzo","🟡 Prezzo Corretto"))),"")</f>
        <v/>
      </c>
      <c r="AJ331" t="str">
        <f t="shared" si="51"/>
        <v/>
      </c>
      <c r="AK331">
        <f t="shared" si="52"/>
        <v>1</v>
      </c>
      <c r="AL331" t="str">
        <f t="shared" si="53"/>
        <v>D|Scommessa/Riserva|1</v>
      </c>
    </row>
    <row r="332" spans="1:38" ht="14.25" customHeight="1" x14ac:dyDescent="0.25">
      <c r="A332" s="18">
        <v>5273</v>
      </c>
      <c r="B332" s="18" t="s">
        <v>16</v>
      </c>
      <c r="C332" s="18" t="s">
        <v>471</v>
      </c>
      <c r="E332" s="23" t="str">
        <f>IF(COUNTIF('Info Strategia'!$D$2:$D$51,$C332)&gt;0,"SI","NO")</f>
        <v>NO</v>
      </c>
      <c r="F332" s="24">
        <f>IFERROR(ROUND(($G332+($H332-$G332)*'Info Strategia'!$B$6)*(1+IF($E332="SI",'Parametri Modello'!$B$7*'Info Strategia'!$B$6,0)),0),"")</f>
        <v>2</v>
      </c>
      <c r="G332" s="24">
        <f>IFERROR(ROUND(MAX(1,(IF($V332&lt;=INDEX('Parametri Modello'!$C$57:$C$60,MATCH($B332,'Parametri Modello'!$A$57:$A$60,0)),IF(INDEX('Parametri Modello'!$E$57:$E$60,MATCH($B332,'Parametri Modello'!$A$57:$A$60,0))=0,0,($O332/INDEX('Parametri Modello'!$E$57:$E$60,MATCH($B332,'Parametri Modello'!$A$57:$A$60,0)))*(INDEX('Parametri Modello'!$D$57:$D$60,MATCH($B332,'Parametri Modello'!$A$57:$A$60,0))*(INDEX('Parametri Modello'!$B$50:$B$53,MATCH($B332,'Parametri Modello'!$A$50:$A$53,0))*'Parametri Modello'!$B$44))),IF(INDEX('Parametri Modello'!$F$57:$F$60,MATCH($B332,'Parametri Modello'!$A$57:$A$60,0))=0,0,($O332/INDEX('Parametri Modello'!$F$57:$F$60,MATCH($B332,'Parametri Modello'!$A$57:$A$60,0)))*((1-INDEX('Parametri Modello'!$D$57:$D$60,MATCH($B332,'Parametri Modello'!$A$57:$A$60,0)))*(INDEX('Parametri Modello'!$B$50:$B$53,MATCH($B332,'Parametri Modello'!$A$50:$A$53,0))*'Parametri Modello'!$B$44))))*(1+IF(IF($B332="D",'Info Lega'!$B$25,IF($B332="C",'Info Lega'!$B$26,"No"))="Si",'Parametri Modello'!$B$5,0))*(1+MAX(-0.25,MIN(0.25,IF(OR($T332="",$I332="",$I332=0,INDEX('Parametri Modello'!$B$19:$B$22,MATCH($B332,'Parametri Modello'!$A$19:$A$22,0))="",INDEX('Parametri Modello'!$B$19:$B$22,MATCH($B332,'Parametri Modello'!$A$19:$A$22,0))=0),0,(($T332-INDEX('Parametri Modello'!$B$19:$B$22,MATCH($B332,'Parametri Modello'!$A$19:$A$22,0)))/INDEX('Parametri Modello'!$B$19:$B$22,MATCH($B332,'Parametri Modello'!$A$19:$A$22,0)))*'Parametri Modello'!$B$9))))*(1+IF('Parametri Modello'!$B$27="Si",MAX(-'Parametri Modello'!$B$28,MIN('Parametri Modello'!$B$28*1.5,IF(OR(INDEX('Parametri Modello'!$F$32:$F$35,MATCH($B332,'Parametri Modello'!$A$32:$A$35,0))="",INDEX('Parametri Modello'!$F$32:$F$35,MATCH($B332,'Parametri Modello'!$A$32:$A$35,0))=0),0,(1/INDEX('Parametri Modello'!$F$32:$F$35,MATCH($B332,'Parametri Modello'!$A$32:$A$35,0))-1)*'Parametri Modello'!$B$28))),0)))*(1-INDEX('Parametri Modello'!$B$12:$B$15,MATCH($B332,'Parametri Modello'!$A$12:$A$15,0)))),0),"")</f>
        <v>1</v>
      </c>
      <c r="H332" s="24">
        <f>IFERROR(ROUND((IF($V332&lt;=INDEX('Parametri Modello'!$C$57:$C$60,MATCH($B332,'Parametri Modello'!$A$57:$A$60,0)),IF(INDEX('Parametri Modello'!$E$57:$E$60,MATCH($B332,'Parametri Modello'!$A$57:$A$60,0))=0,0,($O332/INDEX('Parametri Modello'!$E$57:$E$60,MATCH($B332,'Parametri Modello'!$A$57:$A$60,0)))*(INDEX('Parametri Modello'!$D$57:$D$60,MATCH($B332,'Parametri Modello'!$A$57:$A$60,0))*(INDEX('Parametri Modello'!$B$50:$B$53,MATCH($B332,'Parametri Modello'!$A$50:$A$53,0))*'Parametri Modello'!$B$44))),IF(INDEX('Parametri Modello'!$F$57:$F$60,MATCH($B332,'Parametri Modello'!$A$57:$A$60,0))=0,0,($O332/INDEX('Parametri Modello'!$F$57:$F$60,MATCH($B332,'Parametri Modello'!$A$57:$A$60,0)))*((1-INDEX('Parametri Modello'!$D$57:$D$60,MATCH($B332,'Parametri Modello'!$A$57:$A$60,0)))*(INDEX('Parametri Modello'!$B$50:$B$53,MATCH($B332,'Parametri Modello'!$A$50:$A$53,0))*'Parametri Modello'!$B$44))))*(1+IF(IF($B332="D",'Info Lega'!$B$25,IF($B332="C",'Info Lega'!$B$26,"No"))="Si",'Parametri Modello'!$B$5,0))*(1+MAX(-0.25,MIN(0.25,IF(OR($T332="",$I332="",$I332=0,INDEX('Parametri Modello'!$B$19:$B$22,MATCH($B332,'Parametri Modello'!$A$19:$A$22,0))="",INDEX('Parametri Modello'!$B$19:$B$22,MATCH($B332,'Parametri Modello'!$A$19:$A$22,0))=0),0,(($T332-INDEX('Parametri Modello'!$B$19:$B$22,MATCH($B332,'Parametri Modello'!$A$19:$A$22,0)))/INDEX('Parametri Modello'!$B$19:$B$22,MATCH($B332,'Parametri Modello'!$A$19:$A$22,0)))*'Parametri Modello'!$B$9))))*(1+IF('Parametri Modello'!$B$27="Si",MAX(-'Parametri Modello'!$B$28,MIN('Parametri Modello'!$B$28*1.5,IF(OR(INDEX('Parametri Modello'!$F$32:$F$35,MATCH($B332,'Parametri Modello'!$A$32:$A$35,0))="",INDEX('Parametri Modello'!$F$32:$F$35,MATCH($B332,'Parametri Modello'!$A$32:$A$35,0))=0),0,(1/INDEX('Parametri Modello'!$F$32:$F$35,MATCH($B332,'Parametri Modello'!$A$32:$A$35,0))-1)*'Parametri Modello'!$B$28))),0)))*(1+INDEX('Parametri Modello'!$B$12:$B$15,MATCH($B332,'Parametri Modello'!$A$12:$A$15,0))),0),"")</f>
        <v>2</v>
      </c>
      <c r="I332" s="23">
        <f>IFERROR(INDEX('Input Statistiche 2025_26'!$F$3:$F$665,MATCH($A332,'Input Statistiche 2025_26'!$A$3:$A$665,0)),"")</f>
        <v>14</v>
      </c>
      <c r="J332" s="23">
        <f t="shared" si="45"/>
        <v>24</v>
      </c>
      <c r="K332" s="23">
        <f>IFERROR(INDEX('Input Statistiche 2025_26'!$I$3:$I$665,MATCH($A332,'Input Statistiche 2025_26'!$A$3:$A$665,0)),"")</f>
        <v>1</v>
      </c>
      <c r="L332" s="23">
        <f>IFERROR(INDEX('Input Statistiche 2025_26'!$O$3:$O$665,MATCH($A332,'Input Statistiche 2025_26'!$A$3:$A$665,0)),"")</f>
        <v>1</v>
      </c>
      <c r="M332" s="25"/>
      <c r="N332" s="24">
        <f>IFERROR(INDEX('Input Giocatori 2026_27'!$E$3:$E$493,MATCH($A332,'Input Giocatori 2026_27'!$A$3:$A$493,0)),"")</f>
        <v>3</v>
      </c>
      <c r="O332" s="24">
        <f>IFERROR(INDEX('Input Giocatori 2026_27'!$G$3:$G$493,MATCH($A332,'Input Giocatori 2026_27'!$A$3:$A$493,0)),"")</f>
        <v>9</v>
      </c>
      <c r="P332" s="23" t="str">
        <f>IFERROR(IF($O332="","",IF((1-(COUNTIFS($B$2:$B$492,$B332,$O$2:$O$492,"&gt;"&amp;$O332)+1-1)/COUNTIF($B$2:$B$492,$B332))&gt;='Parametri Modello'!$B$63,"Top",IF((1-(COUNTIFS($B$2:$B$492,$B332,$O$2:$O$492,"&gt;"&amp;$O332)+1-1)/COUNTIF($B$2:$B$492,$B332))&gt;='Parametri Modello'!$B$64,"Buono",IF((1-(COUNTIFS($B$2:$B$492,$B332,$O$2:$O$492,"&gt;"&amp;$O332)+1-1)/COUNTIF($B$2:$B$492,$B332))&gt;='Parametri Modello'!$B$65,"Nella Media","Scommessa/Riserva")))),"")</f>
        <v>Scommessa/Riserva</v>
      </c>
      <c r="Q332" s="26">
        <f>IF(AND($D332="",$N332&gt;1),SUMPRODUCT(($D$2:$D332="")*($N$2:$N332&gt;1)),"")</f>
        <v>331</v>
      </c>
      <c r="R332" s="26" t="str">
        <f>IF($D332='Info Lega'!$B$28,COUNTIFS($D$2:$D332,'Info Lega'!$B$28),"")</f>
        <v/>
      </c>
      <c r="S332" s="27">
        <f>IFERROR(INDEX('Input Statistiche 2025_26'!$G$3:$G$665,MATCH($A332,'Input Statistiche 2025_26'!$A$3:$A$665,0)),"")</f>
        <v>5.64</v>
      </c>
      <c r="T332" s="27">
        <f>IFERROR(INDEX('Input Statistiche 2025_26'!$H$3:$H$665,MATCH($A332,'Input Statistiche 2025_26'!$A$3:$A$665,0)),"")</f>
        <v>5.71</v>
      </c>
      <c r="U332" s="23" t="str">
        <f>IF(OR('La Mia Rosa'!$O$12="",$D332&lt;&gt;""),"",IF($F332&lt;='La Mia Rosa'!$O$12*'Parametri Modello'!$B$24,"OK",IF($F332&lt;='La Mia Rosa'!$O$12*'Parametri Modello'!$B$25,"Attenzione","Rischio Alto")))</f>
        <v>OK</v>
      </c>
      <c r="V332" s="23">
        <f t="shared" si="46"/>
        <v>112</v>
      </c>
      <c r="W332" s="18">
        <f>'Info Lega'!$B$4-SUMIFS($M$2:$M$492,$D$2:$D$492,'Info Lega'!$B$28)</f>
        <v>1000</v>
      </c>
      <c r="X332" s="18">
        <f>('Info Lega'!$B$5-COUNTIFS($D$2:$D$492,'Info Lega'!$B$28,$B$2:$B$492,"P"))+('Info Lega'!$B$6-COUNTIFS($D$2:$D$492,'Info Lega'!$B$28,$B$2:$B$492,"D"))+('Info Lega'!$B$7-COUNTIFS($D$2:$D$492,'Info Lega'!$B$28,$B$2:$B$492,"C"))+('Info Lega'!$B$8-COUNTIFS($D$2:$D$492,'Info Lega'!$B$28,$B$2:$B$492,"A"))</f>
        <v>25</v>
      </c>
      <c r="Y332" s="18">
        <f>X332*'Parametri Modello'!$B$30</f>
        <v>25</v>
      </c>
      <c r="Z332" s="18">
        <f t="shared" si="47"/>
        <v>975</v>
      </c>
      <c r="AA332" s="18">
        <f t="shared" si="48"/>
        <v>2</v>
      </c>
      <c r="AB332" s="18"/>
      <c r="AC332" s="18" t="str">
        <f>IF($AB332="","",IF($AB332&gt;$AA332,"PASS",IF($AB332&lt;=$AA332*(1-'Parametri Modello'!$B$68),"BID","ATTENZIONE")))</f>
        <v/>
      </c>
      <c r="AD332" s="28">
        <f t="shared" si="49"/>
        <v>37</v>
      </c>
      <c r="AE332" s="5" t="str">
        <f>IFERROR(INDEX('Stato Asta'!$G$9:$G$12,MATCH($B332,'Stato Asta'!$A$9:$A$12,0)),"")</f>
        <v>🔴 Non aspettare</v>
      </c>
      <c r="AF332" t="str">
        <f>IFERROR(IF($V332&lt;=INDEX('Parametri Modello'!$C$57:$C$60,MATCH($B332,'Parametri Modello'!$A$57:$A$60,0)),"Titolare","Riserva"),"")</f>
        <v>Riserva</v>
      </c>
      <c r="AG332" t="str">
        <f>IFERROR(INDEX('Pressione Competitiva'!$F$3:$F$6,MATCH($B332,'Pressione Competitiva'!$B$3:$B$6,0)),"")</f>
        <v>🔴 Molto Alta</v>
      </c>
      <c r="AH332" t="str">
        <f t="shared" si="50"/>
        <v/>
      </c>
      <c r="AI332" t="str">
        <f>IFERROR(IF($AH332="","",IF($AH332&gt;=$AA332*'Parametri Modello'!$B$68,"🟢 Opportunita'",IF($AH332&lt;=$AA332*'Parametri Modello'!$B$69,"🔴 Sovrapprezzo","🟡 Prezzo Corretto"))),"")</f>
        <v/>
      </c>
      <c r="AJ332" t="str">
        <f t="shared" si="51"/>
        <v/>
      </c>
      <c r="AK332">
        <f t="shared" si="52"/>
        <v>1</v>
      </c>
      <c r="AL332" t="str">
        <f t="shared" si="53"/>
        <v>D|Scommessa/Riserva|1</v>
      </c>
    </row>
    <row r="333" spans="1:38" ht="14.25" customHeight="1" x14ac:dyDescent="0.25">
      <c r="A333" s="18">
        <v>7238</v>
      </c>
      <c r="B333" s="18" t="s">
        <v>16</v>
      </c>
      <c r="C333" s="18" t="s">
        <v>472</v>
      </c>
      <c r="E333" s="23" t="str">
        <f>IF(COUNTIF('Info Strategia'!$D$2:$D$51,$C333)&gt;0,"SI","NO")</f>
        <v>NO</v>
      </c>
      <c r="F333" s="24">
        <f>IFERROR(ROUND(($G333+($H333-$G333)*'Info Strategia'!$B$6)*(1+IF($E333="SI",'Parametri Modello'!$B$7*'Info Strategia'!$B$6,0)),0),"")</f>
        <v>2</v>
      </c>
      <c r="G333" s="24">
        <f>IFERROR(ROUND(MAX(1,(IF($V333&lt;=INDEX('Parametri Modello'!$C$57:$C$60,MATCH($B333,'Parametri Modello'!$A$57:$A$60,0)),IF(INDEX('Parametri Modello'!$E$57:$E$60,MATCH($B333,'Parametri Modello'!$A$57:$A$60,0))=0,0,($O333/INDEX('Parametri Modello'!$E$57:$E$60,MATCH($B333,'Parametri Modello'!$A$57:$A$60,0)))*(INDEX('Parametri Modello'!$D$57:$D$60,MATCH($B333,'Parametri Modello'!$A$57:$A$60,0))*(INDEX('Parametri Modello'!$B$50:$B$53,MATCH($B333,'Parametri Modello'!$A$50:$A$53,0))*'Parametri Modello'!$B$44))),IF(INDEX('Parametri Modello'!$F$57:$F$60,MATCH($B333,'Parametri Modello'!$A$57:$A$60,0))=0,0,($O333/INDEX('Parametri Modello'!$F$57:$F$60,MATCH($B333,'Parametri Modello'!$A$57:$A$60,0)))*((1-INDEX('Parametri Modello'!$D$57:$D$60,MATCH($B333,'Parametri Modello'!$A$57:$A$60,0)))*(INDEX('Parametri Modello'!$B$50:$B$53,MATCH($B333,'Parametri Modello'!$A$50:$A$53,0))*'Parametri Modello'!$B$44))))*(1+IF(IF($B333="D",'Info Lega'!$B$25,IF($B333="C",'Info Lega'!$B$26,"No"))="Si",'Parametri Modello'!$B$5,0))*(1+MAX(-0.25,MIN(0.25,IF(OR($T333="",$I333="",$I333=0,INDEX('Parametri Modello'!$B$19:$B$22,MATCH($B333,'Parametri Modello'!$A$19:$A$22,0))="",INDEX('Parametri Modello'!$B$19:$B$22,MATCH($B333,'Parametri Modello'!$A$19:$A$22,0))=0),0,(($T333-INDEX('Parametri Modello'!$B$19:$B$22,MATCH($B333,'Parametri Modello'!$A$19:$A$22,0)))/INDEX('Parametri Modello'!$B$19:$B$22,MATCH($B333,'Parametri Modello'!$A$19:$A$22,0)))*'Parametri Modello'!$B$9))))*(1+IF('Parametri Modello'!$B$27="Si",MAX(-'Parametri Modello'!$B$28,MIN('Parametri Modello'!$B$28*1.5,IF(OR(INDEX('Parametri Modello'!$F$32:$F$35,MATCH($B333,'Parametri Modello'!$A$32:$A$35,0))="",INDEX('Parametri Modello'!$F$32:$F$35,MATCH($B333,'Parametri Modello'!$A$32:$A$35,0))=0),0,(1/INDEX('Parametri Modello'!$F$32:$F$35,MATCH($B333,'Parametri Modello'!$A$32:$A$35,0))-1)*'Parametri Modello'!$B$28))),0)))*(1-INDEX('Parametri Modello'!$B$12:$B$15,MATCH($B333,'Parametri Modello'!$A$12:$A$15,0)))),0),"")</f>
        <v>1</v>
      </c>
      <c r="H333" s="24">
        <f>IFERROR(ROUND((IF($V333&lt;=INDEX('Parametri Modello'!$C$57:$C$60,MATCH($B333,'Parametri Modello'!$A$57:$A$60,0)),IF(INDEX('Parametri Modello'!$E$57:$E$60,MATCH($B333,'Parametri Modello'!$A$57:$A$60,0))=0,0,($O333/INDEX('Parametri Modello'!$E$57:$E$60,MATCH($B333,'Parametri Modello'!$A$57:$A$60,0)))*(INDEX('Parametri Modello'!$D$57:$D$60,MATCH($B333,'Parametri Modello'!$A$57:$A$60,0))*(INDEX('Parametri Modello'!$B$50:$B$53,MATCH($B333,'Parametri Modello'!$A$50:$A$53,0))*'Parametri Modello'!$B$44))),IF(INDEX('Parametri Modello'!$F$57:$F$60,MATCH($B333,'Parametri Modello'!$A$57:$A$60,0))=0,0,($O333/INDEX('Parametri Modello'!$F$57:$F$60,MATCH($B333,'Parametri Modello'!$A$57:$A$60,0)))*((1-INDEX('Parametri Modello'!$D$57:$D$60,MATCH($B333,'Parametri Modello'!$A$57:$A$60,0)))*(INDEX('Parametri Modello'!$B$50:$B$53,MATCH($B333,'Parametri Modello'!$A$50:$A$53,0))*'Parametri Modello'!$B$44))))*(1+IF(IF($B333="D",'Info Lega'!$B$25,IF($B333="C",'Info Lega'!$B$26,"No"))="Si",'Parametri Modello'!$B$5,0))*(1+MAX(-0.25,MIN(0.25,IF(OR($T333="",$I333="",$I333=0,INDEX('Parametri Modello'!$B$19:$B$22,MATCH($B333,'Parametri Modello'!$A$19:$A$22,0))="",INDEX('Parametri Modello'!$B$19:$B$22,MATCH($B333,'Parametri Modello'!$A$19:$A$22,0))=0),0,(($T333-INDEX('Parametri Modello'!$B$19:$B$22,MATCH($B333,'Parametri Modello'!$A$19:$A$22,0)))/INDEX('Parametri Modello'!$B$19:$B$22,MATCH($B333,'Parametri Modello'!$A$19:$A$22,0)))*'Parametri Modello'!$B$9))))*(1+IF('Parametri Modello'!$B$27="Si",MAX(-'Parametri Modello'!$B$28,MIN('Parametri Modello'!$B$28*1.5,IF(OR(INDEX('Parametri Modello'!$F$32:$F$35,MATCH($B333,'Parametri Modello'!$A$32:$A$35,0))="",INDEX('Parametri Modello'!$F$32:$F$35,MATCH($B333,'Parametri Modello'!$A$32:$A$35,0))=0),0,(1/INDEX('Parametri Modello'!$F$32:$F$35,MATCH($B333,'Parametri Modello'!$A$32:$A$35,0))-1)*'Parametri Modello'!$B$28))),0)))*(1+INDEX('Parametri Modello'!$B$12:$B$15,MATCH($B333,'Parametri Modello'!$A$12:$A$15,0))),0),"")</f>
        <v>2</v>
      </c>
      <c r="I333" s="23">
        <f>IFERROR(INDEX('Input Statistiche 2025_26'!$F$3:$F$665,MATCH($A333,'Input Statistiche 2025_26'!$A$3:$A$665,0)),"")</f>
        <v>1</v>
      </c>
      <c r="J333" s="23">
        <f t="shared" si="45"/>
        <v>37</v>
      </c>
      <c r="K333" s="23">
        <f>IFERROR(INDEX('Input Statistiche 2025_26'!$I$3:$I$665,MATCH($A333,'Input Statistiche 2025_26'!$A$3:$A$665,0)),"")</f>
        <v>0</v>
      </c>
      <c r="L333" s="23">
        <f>IFERROR(INDEX('Input Statistiche 2025_26'!$O$3:$O$665,MATCH($A333,'Input Statistiche 2025_26'!$A$3:$A$665,0)),"")</f>
        <v>0</v>
      </c>
      <c r="M333" s="25"/>
      <c r="N333" s="24">
        <f>IFERROR(INDEX('Input Giocatori 2026_27'!$E$3:$E$493,MATCH($A333,'Input Giocatori 2026_27'!$A$3:$A$493,0)),"")</f>
        <v>3</v>
      </c>
      <c r="O333" s="24">
        <f>IFERROR(INDEX('Input Giocatori 2026_27'!$G$3:$G$493,MATCH($A333,'Input Giocatori 2026_27'!$A$3:$A$493,0)),"")</f>
        <v>9</v>
      </c>
      <c r="P333" s="23" t="str">
        <f>IFERROR(IF($O333="","",IF((1-(COUNTIFS($B$2:$B$492,$B333,$O$2:$O$492,"&gt;"&amp;$O333)+1-1)/COUNTIF($B$2:$B$492,$B333))&gt;='Parametri Modello'!$B$63,"Top",IF((1-(COUNTIFS($B$2:$B$492,$B333,$O$2:$O$492,"&gt;"&amp;$O333)+1-1)/COUNTIF($B$2:$B$492,$B333))&gt;='Parametri Modello'!$B$64,"Buono",IF((1-(COUNTIFS($B$2:$B$492,$B333,$O$2:$O$492,"&gt;"&amp;$O333)+1-1)/COUNTIF($B$2:$B$492,$B333))&gt;='Parametri Modello'!$B$65,"Nella Media","Scommessa/Riserva")))),"")</f>
        <v>Scommessa/Riserva</v>
      </c>
      <c r="Q333" s="26">
        <f>IF(AND($D333="",$N333&gt;1),SUMPRODUCT(($D$2:$D333="")*($N$2:$N333&gt;1)),"")</f>
        <v>332</v>
      </c>
      <c r="R333" s="26" t="str">
        <f>IF($D333='Info Lega'!$B$28,COUNTIFS($D$2:$D333,'Info Lega'!$B$28),"")</f>
        <v/>
      </c>
      <c r="S333" s="27">
        <f>IFERROR(INDEX('Input Statistiche 2025_26'!$G$3:$G$665,MATCH($A333,'Input Statistiche 2025_26'!$A$3:$A$665,0)),"")</f>
        <v>6</v>
      </c>
      <c r="T333" s="27">
        <f>IFERROR(INDEX('Input Statistiche 2025_26'!$H$3:$H$665,MATCH($A333,'Input Statistiche 2025_26'!$A$3:$A$665,0)),"")</f>
        <v>6</v>
      </c>
      <c r="U333" s="23" t="str">
        <f>IF(OR('La Mia Rosa'!$O$12="",$D333&lt;&gt;""),"",IF($F333&lt;='La Mia Rosa'!$O$12*'Parametri Modello'!$B$24,"OK",IF($F333&lt;='La Mia Rosa'!$O$12*'Parametri Modello'!$B$25,"Attenzione","Rischio Alto")))</f>
        <v>OK</v>
      </c>
      <c r="V333" s="23">
        <f t="shared" si="46"/>
        <v>112</v>
      </c>
      <c r="W333" s="18">
        <f>'Info Lega'!$B$4-SUMIFS($M$2:$M$492,$D$2:$D$492,'Info Lega'!$B$28)</f>
        <v>1000</v>
      </c>
      <c r="X333" s="18">
        <f>('Info Lega'!$B$5-COUNTIFS($D$2:$D$492,'Info Lega'!$B$28,$B$2:$B$492,"P"))+('Info Lega'!$B$6-COUNTIFS($D$2:$D$492,'Info Lega'!$B$28,$B$2:$B$492,"D"))+('Info Lega'!$B$7-COUNTIFS($D$2:$D$492,'Info Lega'!$B$28,$B$2:$B$492,"C"))+('Info Lega'!$B$8-COUNTIFS($D$2:$D$492,'Info Lega'!$B$28,$B$2:$B$492,"A"))</f>
        <v>25</v>
      </c>
      <c r="Y333" s="18">
        <f>X333*'Parametri Modello'!$B$30</f>
        <v>25</v>
      </c>
      <c r="Z333" s="18">
        <f t="shared" si="47"/>
        <v>975</v>
      </c>
      <c r="AA333" s="18">
        <f t="shared" si="48"/>
        <v>2</v>
      </c>
      <c r="AB333" s="18"/>
      <c r="AC333" s="18" t="str">
        <f>IF($AB333="","",IF($AB333&gt;$AA333,"PASS",IF($AB333&lt;=$AA333*(1-'Parametri Modello'!$B$68),"BID","ATTENZIONE")))</f>
        <v/>
      </c>
      <c r="AD333" s="28">
        <f t="shared" si="49"/>
        <v>3</v>
      </c>
      <c r="AE333" s="5" t="str">
        <f>IFERROR(INDEX('Stato Asta'!$G$9:$G$12,MATCH($B333,'Stato Asta'!$A$9:$A$12,0)),"")</f>
        <v>🔴 Non aspettare</v>
      </c>
      <c r="AF333" t="str">
        <f>IFERROR(IF($V333&lt;=INDEX('Parametri Modello'!$C$57:$C$60,MATCH($B333,'Parametri Modello'!$A$57:$A$60,0)),"Titolare","Riserva"),"")</f>
        <v>Riserva</v>
      </c>
      <c r="AG333" t="str">
        <f>IFERROR(INDEX('Pressione Competitiva'!$F$3:$F$6,MATCH($B333,'Pressione Competitiva'!$B$3:$B$6,0)),"")</f>
        <v>🔴 Molto Alta</v>
      </c>
      <c r="AH333" t="str">
        <f t="shared" si="50"/>
        <v/>
      </c>
      <c r="AI333" t="str">
        <f>IFERROR(IF($AH333="","",IF($AH333&gt;=$AA333*'Parametri Modello'!$B$68,"🟢 Opportunita'",IF($AH333&lt;=$AA333*'Parametri Modello'!$B$69,"🔴 Sovrapprezzo","🟡 Prezzo Corretto"))),"")</f>
        <v/>
      </c>
      <c r="AJ333" t="str">
        <f t="shared" si="51"/>
        <v/>
      </c>
      <c r="AK333">
        <f t="shared" si="52"/>
        <v>1</v>
      </c>
      <c r="AL333" t="str">
        <f t="shared" si="53"/>
        <v>D|Scommessa/Riserva|1</v>
      </c>
    </row>
    <row r="334" spans="1:38" ht="14.25" customHeight="1" x14ac:dyDescent="0.25">
      <c r="A334" s="18">
        <v>4925</v>
      </c>
      <c r="B334" s="18" t="s">
        <v>16</v>
      </c>
      <c r="C334" s="18" t="s">
        <v>473</v>
      </c>
      <c r="E334" s="23" t="str">
        <f>IF(COUNTIF('Info Strategia'!$D$2:$D$51,$C334)&gt;0,"SI","NO")</f>
        <v>NO</v>
      </c>
      <c r="F334" s="24">
        <f>IFERROR(ROUND(($G334+($H334-$G334)*'Info Strategia'!$B$6)*(1+IF($E334="SI",'Parametri Modello'!$B$7*'Info Strategia'!$B$6,0)),0),"")</f>
        <v>2</v>
      </c>
      <c r="G334" s="24">
        <f>IFERROR(ROUND(MAX(1,(IF($V334&lt;=INDEX('Parametri Modello'!$C$57:$C$60,MATCH($B334,'Parametri Modello'!$A$57:$A$60,0)),IF(INDEX('Parametri Modello'!$E$57:$E$60,MATCH($B334,'Parametri Modello'!$A$57:$A$60,0))=0,0,($O334/INDEX('Parametri Modello'!$E$57:$E$60,MATCH($B334,'Parametri Modello'!$A$57:$A$60,0)))*(INDEX('Parametri Modello'!$D$57:$D$60,MATCH($B334,'Parametri Modello'!$A$57:$A$60,0))*(INDEX('Parametri Modello'!$B$50:$B$53,MATCH($B334,'Parametri Modello'!$A$50:$A$53,0))*'Parametri Modello'!$B$44))),IF(INDEX('Parametri Modello'!$F$57:$F$60,MATCH($B334,'Parametri Modello'!$A$57:$A$60,0))=0,0,($O334/INDEX('Parametri Modello'!$F$57:$F$60,MATCH($B334,'Parametri Modello'!$A$57:$A$60,0)))*((1-INDEX('Parametri Modello'!$D$57:$D$60,MATCH($B334,'Parametri Modello'!$A$57:$A$60,0)))*(INDEX('Parametri Modello'!$B$50:$B$53,MATCH($B334,'Parametri Modello'!$A$50:$A$53,0))*'Parametri Modello'!$B$44))))*(1+IF(IF($B334="D",'Info Lega'!$B$25,IF($B334="C",'Info Lega'!$B$26,"No"))="Si",'Parametri Modello'!$B$5,0))*(1+MAX(-0.25,MIN(0.25,IF(OR($T334="",$I334="",$I334=0,INDEX('Parametri Modello'!$B$19:$B$22,MATCH($B334,'Parametri Modello'!$A$19:$A$22,0))="",INDEX('Parametri Modello'!$B$19:$B$22,MATCH($B334,'Parametri Modello'!$A$19:$A$22,0))=0),0,(($T334-INDEX('Parametri Modello'!$B$19:$B$22,MATCH($B334,'Parametri Modello'!$A$19:$A$22,0)))/INDEX('Parametri Modello'!$B$19:$B$22,MATCH($B334,'Parametri Modello'!$A$19:$A$22,0)))*'Parametri Modello'!$B$9))))*(1+IF('Parametri Modello'!$B$27="Si",MAX(-'Parametri Modello'!$B$28,MIN('Parametri Modello'!$B$28*1.5,IF(OR(INDEX('Parametri Modello'!$F$32:$F$35,MATCH($B334,'Parametri Modello'!$A$32:$A$35,0))="",INDEX('Parametri Modello'!$F$32:$F$35,MATCH($B334,'Parametri Modello'!$A$32:$A$35,0))=0),0,(1/INDEX('Parametri Modello'!$F$32:$F$35,MATCH($B334,'Parametri Modello'!$A$32:$A$35,0))-1)*'Parametri Modello'!$B$28))),0)))*(1-INDEX('Parametri Modello'!$B$12:$B$15,MATCH($B334,'Parametri Modello'!$A$12:$A$15,0)))),0),"")</f>
        <v>1</v>
      </c>
      <c r="H334" s="24">
        <f>IFERROR(ROUND((IF($V334&lt;=INDEX('Parametri Modello'!$C$57:$C$60,MATCH($B334,'Parametri Modello'!$A$57:$A$60,0)),IF(INDEX('Parametri Modello'!$E$57:$E$60,MATCH($B334,'Parametri Modello'!$A$57:$A$60,0))=0,0,($O334/INDEX('Parametri Modello'!$E$57:$E$60,MATCH($B334,'Parametri Modello'!$A$57:$A$60,0)))*(INDEX('Parametri Modello'!$D$57:$D$60,MATCH($B334,'Parametri Modello'!$A$57:$A$60,0))*(INDEX('Parametri Modello'!$B$50:$B$53,MATCH($B334,'Parametri Modello'!$A$50:$A$53,0))*'Parametri Modello'!$B$44))),IF(INDEX('Parametri Modello'!$F$57:$F$60,MATCH($B334,'Parametri Modello'!$A$57:$A$60,0))=0,0,($O334/INDEX('Parametri Modello'!$F$57:$F$60,MATCH($B334,'Parametri Modello'!$A$57:$A$60,0)))*((1-INDEX('Parametri Modello'!$D$57:$D$60,MATCH($B334,'Parametri Modello'!$A$57:$A$60,0)))*(INDEX('Parametri Modello'!$B$50:$B$53,MATCH($B334,'Parametri Modello'!$A$50:$A$53,0))*'Parametri Modello'!$B$44))))*(1+IF(IF($B334="D",'Info Lega'!$B$25,IF($B334="C",'Info Lega'!$B$26,"No"))="Si",'Parametri Modello'!$B$5,0))*(1+MAX(-0.25,MIN(0.25,IF(OR($T334="",$I334="",$I334=0,INDEX('Parametri Modello'!$B$19:$B$22,MATCH($B334,'Parametri Modello'!$A$19:$A$22,0))="",INDEX('Parametri Modello'!$B$19:$B$22,MATCH($B334,'Parametri Modello'!$A$19:$A$22,0))=0),0,(($T334-INDEX('Parametri Modello'!$B$19:$B$22,MATCH($B334,'Parametri Modello'!$A$19:$A$22,0)))/INDEX('Parametri Modello'!$B$19:$B$22,MATCH($B334,'Parametri Modello'!$A$19:$A$22,0)))*'Parametri Modello'!$B$9))))*(1+IF('Parametri Modello'!$B$27="Si",MAX(-'Parametri Modello'!$B$28,MIN('Parametri Modello'!$B$28*1.5,IF(OR(INDEX('Parametri Modello'!$F$32:$F$35,MATCH($B334,'Parametri Modello'!$A$32:$A$35,0))="",INDEX('Parametri Modello'!$F$32:$F$35,MATCH($B334,'Parametri Modello'!$A$32:$A$35,0))=0),0,(1/INDEX('Parametri Modello'!$F$32:$F$35,MATCH($B334,'Parametri Modello'!$A$32:$A$35,0))-1)*'Parametri Modello'!$B$28))),0)))*(1+INDEX('Parametri Modello'!$B$12:$B$15,MATCH($B334,'Parametri Modello'!$A$12:$A$15,0))),0),"")</f>
        <v>2</v>
      </c>
      <c r="I334" s="23" t="str">
        <f>IFERROR(INDEX('Input Statistiche 2025_26'!$F$3:$F$665,MATCH($A334,'Input Statistiche 2025_26'!$A$3:$A$665,0)),"")</f>
        <v/>
      </c>
      <c r="J334" s="23" t="str">
        <f t="shared" si="45"/>
        <v/>
      </c>
      <c r="K334" s="23" t="str">
        <f>IFERROR(INDEX('Input Statistiche 2025_26'!$I$3:$I$665,MATCH($A334,'Input Statistiche 2025_26'!$A$3:$A$665,0)),"")</f>
        <v/>
      </c>
      <c r="L334" s="23" t="str">
        <f>IFERROR(INDEX('Input Statistiche 2025_26'!$O$3:$O$665,MATCH($A334,'Input Statistiche 2025_26'!$A$3:$A$665,0)),"")</f>
        <v/>
      </c>
      <c r="M334" s="25"/>
      <c r="N334" s="24">
        <f>IFERROR(INDEX('Input Giocatori 2026_27'!$E$3:$E$493,MATCH($A334,'Input Giocatori 2026_27'!$A$3:$A$493,0)),"")</f>
        <v>3</v>
      </c>
      <c r="O334" s="24">
        <f>IFERROR(INDEX('Input Giocatori 2026_27'!$G$3:$G$493,MATCH($A334,'Input Giocatori 2026_27'!$A$3:$A$493,0)),"")</f>
        <v>9</v>
      </c>
      <c r="P334" s="23" t="str">
        <f>IFERROR(IF($O334="","",IF((1-(COUNTIFS($B$2:$B$492,$B334,$O$2:$O$492,"&gt;"&amp;$O334)+1-1)/COUNTIF($B$2:$B$492,$B334))&gt;='Parametri Modello'!$B$63,"Top",IF((1-(COUNTIFS($B$2:$B$492,$B334,$O$2:$O$492,"&gt;"&amp;$O334)+1-1)/COUNTIF($B$2:$B$492,$B334))&gt;='Parametri Modello'!$B$64,"Buono",IF((1-(COUNTIFS($B$2:$B$492,$B334,$O$2:$O$492,"&gt;"&amp;$O334)+1-1)/COUNTIF($B$2:$B$492,$B334))&gt;='Parametri Modello'!$B$65,"Nella Media","Scommessa/Riserva")))),"")</f>
        <v>Scommessa/Riserva</v>
      </c>
      <c r="Q334" s="26">
        <f>IF(AND($D334="",$N334&gt;1),SUMPRODUCT(($D$2:$D334="")*($N$2:$N334&gt;1)),"")</f>
        <v>333</v>
      </c>
      <c r="R334" s="26" t="str">
        <f>IF($D334='Info Lega'!$B$28,COUNTIFS($D$2:$D334,'Info Lega'!$B$28),"")</f>
        <v/>
      </c>
      <c r="S334" s="27" t="str">
        <f>IFERROR(INDEX('Input Statistiche 2025_26'!$G$3:$G$665,MATCH($A334,'Input Statistiche 2025_26'!$A$3:$A$665,0)),"")</f>
        <v/>
      </c>
      <c r="T334" s="27" t="str">
        <f>IFERROR(INDEX('Input Statistiche 2025_26'!$H$3:$H$665,MATCH($A334,'Input Statistiche 2025_26'!$A$3:$A$665,0)),"")</f>
        <v/>
      </c>
      <c r="U334" s="23" t="str">
        <f>IF(OR('La Mia Rosa'!$O$12="",$D334&lt;&gt;""),"",IF($F334&lt;='La Mia Rosa'!$O$12*'Parametri Modello'!$B$24,"OK",IF($F334&lt;='La Mia Rosa'!$O$12*'Parametri Modello'!$B$25,"Attenzione","Rischio Alto")))</f>
        <v>OK</v>
      </c>
      <c r="V334" s="23">
        <f t="shared" si="46"/>
        <v>112</v>
      </c>
      <c r="W334" s="18">
        <f>'Info Lega'!$B$4-SUMIFS($M$2:$M$492,$D$2:$D$492,'Info Lega'!$B$28)</f>
        <v>1000</v>
      </c>
      <c r="X334" s="18">
        <f>('Info Lega'!$B$5-COUNTIFS($D$2:$D$492,'Info Lega'!$B$28,$B$2:$B$492,"P"))+('Info Lega'!$B$6-COUNTIFS($D$2:$D$492,'Info Lega'!$B$28,$B$2:$B$492,"D"))+('Info Lega'!$B$7-COUNTIFS($D$2:$D$492,'Info Lega'!$B$28,$B$2:$B$492,"C"))+('Info Lega'!$B$8-COUNTIFS($D$2:$D$492,'Info Lega'!$B$28,$B$2:$B$492,"A"))</f>
        <v>25</v>
      </c>
      <c r="Y334" s="18">
        <f>X334*'Parametri Modello'!$B$30</f>
        <v>25</v>
      </c>
      <c r="Z334" s="18">
        <f t="shared" si="47"/>
        <v>975</v>
      </c>
      <c r="AA334" s="18">
        <f t="shared" si="48"/>
        <v>2</v>
      </c>
      <c r="AB334" s="18"/>
      <c r="AC334" s="18" t="str">
        <f>IF($AB334="","",IF($AB334&gt;$AA334,"PASS",IF($AB334&lt;=$AA334*(1-'Parametri Modello'!$B$68),"BID","ATTENZIONE")))</f>
        <v/>
      </c>
      <c r="AD334" s="28" t="str">
        <f t="shared" si="49"/>
        <v/>
      </c>
      <c r="AE334" s="5" t="str">
        <f>IFERROR(INDEX('Stato Asta'!$G$9:$G$12,MATCH($B334,'Stato Asta'!$A$9:$A$12,0)),"")</f>
        <v>🔴 Non aspettare</v>
      </c>
      <c r="AF334" t="str">
        <f>IFERROR(IF($V334&lt;=INDEX('Parametri Modello'!$C$57:$C$60,MATCH($B334,'Parametri Modello'!$A$57:$A$60,0)),"Titolare","Riserva"),"")</f>
        <v>Riserva</v>
      </c>
      <c r="AG334" t="str">
        <f>IFERROR(INDEX('Pressione Competitiva'!$F$3:$F$6,MATCH($B334,'Pressione Competitiva'!$B$3:$B$6,0)),"")</f>
        <v>🔴 Molto Alta</v>
      </c>
      <c r="AH334" t="str">
        <f t="shared" si="50"/>
        <v/>
      </c>
      <c r="AI334" t="str">
        <f>IFERROR(IF($AH334="","",IF($AH334&gt;=$AA334*'Parametri Modello'!$B$68,"🟢 Opportunita'",IF($AH334&lt;=$AA334*'Parametri Modello'!$B$69,"🔴 Sovrapprezzo","🟡 Prezzo Corretto"))),"")</f>
        <v/>
      </c>
      <c r="AJ334" t="str">
        <f t="shared" si="51"/>
        <v/>
      </c>
      <c r="AK334">
        <f t="shared" si="52"/>
        <v>1</v>
      </c>
      <c r="AL334" t="str">
        <f t="shared" si="53"/>
        <v>D|Scommessa/Riserva|1</v>
      </c>
    </row>
    <row r="335" spans="1:38" ht="14.25" customHeight="1" x14ac:dyDescent="0.25">
      <c r="A335" s="18">
        <v>6506</v>
      </c>
      <c r="B335" s="18" t="s">
        <v>17</v>
      </c>
      <c r="C335" s="18" t="s">
        <v>474</v>
      </c>
      <c r="E335" s="23" t="str">
        <f>IF(COUNTIF('Info Strategia'!$D$2:$D$51,$C335)&gt;0,"SI","NO")</f>
        <v>NO</v>
      </c>
      <c r="F335" s="24">
        <f>IFERROR(ROUND(($G335+($H335-$G335)*'Info Strategia'!$B$6)*(1+IF($E335="SI",'Parametri Modello'!$B$7*'Info Strategia'!$B$6,0)),0),"")</f>
        <v>1</v>
      </c>
      <c r="G335" s="24">
        <f>IFERROR(ROUND(MAX(1,(IF($V335&lt;=INDEX('Parametri Modello'!$C$57:$C$60,MATCH($B335,'Parametri Modello'!$A$57:$A$60,0)),IF(INDEX('Parametri Modello'!$E$57:$E$60,MATCH($B335,'Parametri Modello'!$A$57:$A$60,0))=0,0,($O335/INDEX('Parametri Modello'!$E$57:$E$60,MATCH($B335,'Parametri Modello'!$A$57:$A$60,0)))*(INDEX('Parametri Modello'!$D$57:$D$60,MATCH($B335,'Parametri Modello'!$A$57:$A$60,0))*(INDEX('Parametri Modello'!$B$50:$B$53,MATCH($B335,'Parametri Modello'!$A$50:$A$53,0))*'Parametri Modello'!$B$44))),IF(INDEX('Parametri Modello'!$F$57:$F$60,MATCH($B335,'Parametri Modello'!$A$57:$A$60,0))=0,0,($O335/INDEX('Parametri Modello'!$F$57:$F$60,MATCH($B335,'Parametri Modello'!$A$57:$A$60,0)))*((1-INDEX('Parametri Modello'!$D$57:$D$60,MATCH($B335,'Parametri Modello'!$A$57:$A$60,0)))*(INDEX('Parametri Modello'!$B$50:$B$53,MATCH($B335,'Parametri Modello'!$A$50:$A$53,0))*'Parametri Modello'!$B$44))))*(1+IF(IF($B335="D",'Info Lega'!$B$25,IF($B335="C",'Info Lega'!$B$26,"No"))="Si",'Parametri Modello'!$B$5,0))*(1+MAX(-0.25,MIN(0.25,IF(OR($T335="",$I335="",$I335=0,INDEX('Parametri Modello'!$B$19:$B$22,MATCH($B335,'Parametri Modello'!$A$19:$A$22,0))="",INDEX('Parametri Modello'!$B$19:$B$22,MATCH($B335,'Parametri Modello'!$A$19:$A$22,0))=0),0,(($T335-INDEX('Parametri Modello'!$B$19:$B$22,MATCH($B335,'Parametri Modello'!$A$19:$A$22,0)))/INDEX('Parametri Modello'!$B$19:$B$22,MATCH($B335,'Parametri Modello'!$A$19:$A$22,0)))*'Parametri Modello'!$B$9))))*(1+IF('Parametri Modello'!$B$27="Si",MAX(-'Parametri Modello'!$B$28,MIN('Parametri Modello'!$B$28*1.5,IF(OR(INDEX('Parametri Modello'!$F$32:$F$35,MATCH($B335,'Parametri Modello'!$A$32:$A$35,0))="",INDEX('Parametri Modello'!$F$32:$F$35,MATCH($B335,'Parametri Modello'!$A$32:$A$35,0))=0),0,(1/INDEX('Parametri Modello'!$F$32:$F$35,MATCH($B335,'Parametri Modello'!$A$32:$A$35,0))-1)*'Parametri Modello'!$B$28))),0)))*(1-INDEX('Parametri Modello'!$B$12:$B$15,MATCH($B335,'Parametri Modello'!$A$12:$A$15,0)))),0),"")</f>
        <v>1</v>
      </c>
      <c r="H335" s="24">
        <f>IFERROR(ROUND((IF($V335&lt;=INDEX('Parametri Modello'!$C$57:$C$60,MATCH($B335,'Parametri Modello'!$A$57:$A$60,0)),IF(INDEX('Parametri Modello'!$E$57:$E$60,MATCH($B335,'Parametri Modello'!$A$57:$A$60,0))=0,0,($O335/INDEX('Parametri Modello'!$E$57:$E$60,MATCH($B335,'Parametri Modello'!$A$57:$A$60,0)))*(INDEX('Parametri Modello'!$D$57:$D$60,MATCH($B335,'Parametri Modello'!$A$57:$A$60,0))*(INDEX('Parametri Modello'!$B$50:$B$53,MATCH($B335,'Parametri Modello'!$A$50:$A$53,0))*'Parametri Modello'!$B$44))),IF(INDEX('Parametri Modello'!$F$57:$F$60,MATCH($B335,'Parametri Modello'!$A$57:$A$60,0))=0,0,($O335/INDEX('Parametri Modello'!$F$57:$F$60,MATCH($B335,'Parametri Modello'!$A$57:$A$60,0)))*((1-INDEX('Parametri Modello'!$D$57:$D$60,MATCH($B335,'Parametri Modello'!$A$57:$A$60,0)))*(INDEX('Parametri Modello'!$B$50:$B$53,MATCH($B335,'Parametri Modello'!$A$50:$A$53,0))*'Parametri Modello'!$B$44))))*(1+IF(IF($B335="D",'Info Lega'!$B$25,IF($B335="C",'Info Lega'!$B$26,"No"))="Si",'Parametri Modello'!$B$5,0))*(1+MAX(-0.25,MIN(0.25,IF(OR($T335="",$I335="",$I335=0,INDEX('Parametri Modello'!$B$19:$B$22,MATCH($B335,'Parametri Modello'!$A$19:$A$22,0))="",INDEX('Parametri Modello'!$B$19:$B$22,MATCH($B335,'Parametri Modello'!$A$19:$A$22,0))=0),0,(($T335-INDEX('Parametri Modello'!$B$19:$B$22,MATCH($B335,'Parametri Modello'!$A$19:$A$22,0)))/INDEX('Parametri Modello'!$B$19:$B$22,MATCH($B335,'Parametri Modello'!$A$19:$A$22,0)))*'Parametri Modello'!$B$9))))*(1+IF('Parametri Modello'!$B$27="Si",MAX(-'Parametri Modello'!$B$28,MIN('Parametri Modello'!$B$28*1.5,IF(OR(INDEX('Parametri Modello'!$F$32:$F$35,MATCH($B335,'Parametri Modello'!$A$32:$A$35,0))="",INDEX('Parametri Modello'!$F$32:$F$35,MATCH($B335,'Parametri Modello'!$A$32:$A$35,0))=0),0,(1/INDEX('Parametri Modello'!$F$32:$F$35,MATCH($B335,'Parametri Modello'!$A$32:$A$35,0))-1)*'Parametri Modello'!$B$28))),0)))*(1+INDEX('Parametri Modello'!$B$12:$B$15,MATCH($B335,'Parametri Modello'!$A$12:$A$15,0))),0),"")</f>
        <v>1</v>
      </c>
      <c r="I335" s="23">
        <f>IFERROR(INDEX('Input Statistiche 2025_26'!$F$3:$F$665,MATCH($A335,'Input Statistiche 2025_26'!$A$3:$A$665,0)),"")</f>
        <v>1</v>
      </c>
      <c r="J335" s="23">
        <f t="shared" si="45"/>
        <v>37</v>
      </c>
      <c r="K335" s="23">
        <f>IFERROR(INDEX('Input Statistiche 2025_26'!$I$3:$I$665,MATCH($A335,'Input Statistiche 2025_26'!$A$3:$A$665,0)),"")</f>
        <v>0</v>
      </c>
      <c r="L335" s="23">
        <f>IFERROR(INDEX('Input Statistiche 2025_26'!$O$3:$O$665,MATCH($A335,'Input Statistiche 2025_26'!$A$3:$A$665,0)),"")</f>
        <v>0</v>
      </c>
      <c r="M335" s="25"/>
      <c r="N335" s="24">
        <f>IFERROR(INDEX('Input Giocatori 2026_27'!$E$3:$E$493,MATCH($A335,'Input Giocatori 2026_27'!$A$3:$A$493,0)),"")</f>
        <v>3</v>
      </c>
      <c r="O335" s="24">
        <f>IFERROR(INDEX('Input Giocatori 2026_27'!$G$3:$G$493,MATCH($A335,'Input Giocatori 2026_27'!$A$3:$A$493,0)),"")</f>
        <v>9</v>
      </c>
      <c r="P335" s="23" t="str">
        <f>IFERROR(IF($O335="","",IF((1-(COUNTIFS($B$2:$B$492,$B335,$O$2:$O$492,"&gt;"&amp;$O335)+1-1)/COUNTIF($B$2:$B$492,$B335))&gt;='Parametri Modello'!$B$63,"Top",IF((1-(COUNTIFS($B$2:$B$492,$B335,$O$2:$O$492,"&gt;"&amp;$O335)+1-1)/COUNTIF($B$2:$B$492,$B335))&gt;='Parametri Modello'!$B$64,"Buono",IF((1-(COUNTIFS($B$2:$B$492,$B335,$O$2:$O$492,"&gt;"&amp;$O335)+1-1)/COUNTIF($B$2:$B$492,$B335))&gt;='Parametri Modello'!$B$65,"Nella Media","Scommessa/Riserva")))),"")</f>
        <v>Scommessa/Riserva</v>
      </c>
      <c r="Q335" s="26">
        <f>IF(AND($D335="",$N335&gt;1),SUMPRODUCT(($D$2:$D335="")*($N$2:$N335&gt;1)),"")</f>
        <v>334</v>
      </c>
      <c r="R335" s="26" t="str">
        <f>IF($D335='Info Lega'!$B$28,COUNTIFS($D$2:$D335,'Info Lega'!$B$28),"")</f>
        <v/>
      </c>
      <c r="S335" s="27">
        <f>IFERROR(INDEX('Input Statistiche 2025_26'!$G$3:$G$665,MATCH($A335,'Input Statistiche 2025_26'!$A$3:$A$665,0)),"")</f>
        <v>5.5</v>
      </c>
      <c r="T335" s="27">
        <f>IFERROR(INDEX('Input Statistiche 2025_26'!$H$3:$H$665,MATCH($A335,'Input Statistiche 2025_26'!$A$3:$A$665,0)),"")</f>
        <v>5.5</v>
      </c>
      <c r="U335" s="23" t="str">
        <f>IF(OR('La Mia Rosa'!$O$12="",$D335&lt;&gt;""),"",IF($F335&lt;='La Mia Rosa'!$O$12*'Parametri Modello'!$B$24,"OK",IF($F335&lt;='La Mia Rosa'!$O$12*'Parametri Modello'!$B$25,"Attenzione","Rischio Alto")))</f>
        <v>OK</v>
      </c>
      <c r="V335" s="23">
        <f t="shared" si="46"/>
        <v>130</v>
      </c>
      <c r="W335" s="18">
        <f>'Info Lega'!$B$4-SUMIFS($M$2:$M$492,$D$2:$D$492,'Info Lega'!$B$28)</f>
        <v>1000</v>
      </c>
      <c r="X335" s="18">
        <f>('Info Lega'!$B$5-COUNTIFS($D$2:$D$492,'Info Lega'!$B$28,$B$2:$B$492,"P"))+('Info Lega'!$B$6-COUNTIFS($D$2:$D$492,'Info Lega'!$B$28,$B$2:$B$492,"D"))+('Info Lega'!$B$7-COUNTIFS($D$2:$D$492,'Info Lega'!$B$28,$B$2:$B$492,"C"))+('Info Lega'!$B$8-COUNTIFS($D$2:$D$492,'Info Lega'!$B$28,$B$2:$B$492,"A"))</f>
        <v>25</v>
      </c>
      <c r="Y335" s="18">
        <f>X335*'Parametri Modello'!$B$30</f>
        <v>25</v>
      </c>
      <c r="Z335" s="18">
        <f t="shared" si="47"/>
        <v>975</v>
      </c>
      <c r="AA335" s="18">
        <f t="shared" si="48"/>
        <v>1</v>
      </c>
      <c r="AB335" s="18"/>
      <c r="AC335" s="18" t="str">
        <f>IF($AB335="","",IF($AB335&gt;$AA335,"PASS",IF($AB335&lt;=$AA335*(1-'Parametri Modello'!$B$68),"BID","ATTENZIONE")))</f>
        <v/>
      </c>
      <c r="AD335" s="28">
        <f t="shared" si="49"/>
        <v>3</v>
      </c>
      <c r="AE335" s="5" t="str">
        <f>IFERROR(INDEX('Stato Asta'!$G$9:$G$12,MATCH($B335,'Stato Asta'!$A$9:$A$12,0)),"")</f>
        <v>🔴 Non aspettare</v>
      </c>
      <c r="AF335" t="str">
        <f>IFERROR(IF($V335&lt;=INDEX('Parametri Modello'!$C$57:$C$60,MATCH($B335,'Parametri Modello'!$A$57:$A$60,0)),"Titolare","Riserva"),"")</f>
        <v>Riserva</v>
      </c>
      <c r="AG335" t="str">
        <f>IFERROR(INDEX('Pressione Competitiva'!$F$3:$F$6,MATCH($B335,'Pressione Competitiva'!$B$3:$B$6,0)),"")</f>
        <v>🔴 Molto Alta</v>
      </c>
      <c r="AH335" t="str">
        <f t="shared" si="50"/>
        <v/>
      </c>
      <c r="AI335" t="str">
        <f>IFERROR(IF($AH335="","",IF($AH335&gt;=$AA335*'Parametri Modello'!$B$68,"🟢 Opportunita'",IF($AH335&lt;=$AA335*'Parametri Modello'!$B$69,"🔴 Sovrapprezzo","🟡 Prezzo Corretto"))),"")</f>
        <v/>
      </c>
      <c r="AJ335" t="str">
        <f t="shared" si="51"/>
        <v/>
      </c>
      <c r="AK335">
        <f t="shared" si="52"/>
        <v>26</v>
      </c>
      <c r="AL335" t="str">
        <f t="shared" si="53"/>
        <v>C|Scommessa/Riserva|26</v>
      </c>
    </row>
    <row r="336" spans="1:38" ht="14.25" customHeight="1" x14ac:dyDescent="0.25">
      <c r="A336" s="18">
        <v>5131</v>
      </c>
      <c r="B336" s="18" t="s">
        <v>17</v>
      </c>
      <c r="C336" s="18" t="s">
        <v>475</v>
      </c>
      <c r="E336" s="23" t="str">
        <f>IF(COUNTIF('Info Strategia'!$D$2:$D$51,$C336)&gt;0,"SI","NO")</f>
        <v>NO</v>
      </c>
      <c r="F336" s="24">
        <f>IFERROR(ROUND(($G336+($H336-$G336)*'Info Strategia'!$B$6)*(1+IF($E336="SI",'Parametri Modello'!$B$7*'Info Strategia'!$B$6,0)),0),"")</f>
        <v>1</v>
      </c>
      <c r="G336" s="24">
        <f>IFERROR(ROUND(MAX(1,(IF($V336&lt;=INDEX('Parametri Modello'!$C$57:$C$60,MATCH($B336,'Parametri Modello'!$A$57:$A$60,0)),IF(INDEX('Parametri Modello'!$E$57:$E$60,MATCH($B336,'Parametri Modello'!$A$57:$A$60,0))=0,0,($O336/INDEX('Parametri Modello'!$E$57:$E$60,MATCH($B336,'Parametri Modello'!$A$57:$A$60,0)))*(INDEX('Parametri Modello'!$D$57:$D$60,MATCH($B336,'Parametri Modello'!$A$57:$A$60,0))*(INDEX('Parametri Modello'!$B$50:$B$53,MATCH($B336,'Parametri Modello'!$A$50:$A$53,0))*'Parametri Modello'!$B$44))),IF(INDEX('Parametri Modello'!$F$57:$F$60,MATCH($B336,'Parametri Modello'!$A$57:$A$60,0))=0,0,($O336/INDEX('Parametri Modello'!$F$57:$F$60,MATCH($B336,'Parametri Modello'!$A$57:$A$60,0)))*((1-INDEX('Parametri Modello'!$D$57:$D$60,MATCH($B336,'Parametri Modello'!$A$57:$A$60,0)))*(INDEX('Parametri Modello'!$B$50:$B$53,MATCH($B336,'Parametri Modello'!$A$50:$A$53,0))*'Parametri Modello'!$B$44))))*(1+IF(IF($B336="D",'Info Lega'!$B$25,IF($B336="C",'Info Lega'!$B$26,"No"))="Si",'Parametri Modello'!$B$5,0))*(1+MAX(-0.25,MIN(0.25,IF(OR($T336="",$I336="",$I336=0,INDEX('Parametri Modello'!$B$19:$B$22,MATCH($B336,'Parametri Modello'!$A$19:$A$22,0))="",INDEX('Parametri Modello'!$B$19:$B$22,MATCH($B336,'Parametri Modello'!$A$19:$A$22,0))=0),0,(($T336-INDEX('Parametri Modello'!$B$19:$B$22,MATCH($B336,'Parametri Modello'!$A$19:$A$22,0)))/INDEX('Parametri Modello'!$B$19:$B$22,MATCH($B336,'Parametri Modello'!$A$19:$A$22,0)))*'Parametri Modello'!$B$9))))*(1+IF('Parametri Modello'!$B$27="Si",MAX(-'Parametri Modello'!$B$28,MIN('Parametri Modello'!$B$28*1.5,IF(OR(INDEX('Parametri Modello'!$F$32:$F$35,MATCH($B336,'Parametri Modello'!$A$32:$A$35,0))="",INDEX('Parametri Modello'!$F$32:$F$35,MATCH($B336,'Parametri Modello'!$A$32:$A$35,0))=0),0,(1/INDEX('Parametri Modello'!$F$32:$F$35,MATCH($B336,'Parametri Modello'!$A$32:$A$35,0))-1)*'Parametri Modello'!$B$28))),0)))*(1-INDEX('Parametri Modello'!$B$12:$B$15,MATCH($B336,'Parametri Modello'!$A$12:$A$15,0)))),0),"")</f>
        <v>1</v>
      </c>
      <c r="H336" s="24">
        <f>IFERROR(ROUND((IF($V336&lt;=INDEX('Parametri Modello'!$C$57:$C$60,MATCH($B336,'Parametri Modello'!$A$57:$A$60,0)),IF(INDEX('Parametri Modello'!$E$57:$E$60,MATCH($B336,'Parametri Modello'!$A$57:$A$60,0))=0,0,($O336/INDEX('Parametri Modello'!$E$57:$E$60,MATCH($B336,'Parametri Modello'!$A$57:$A$60,0)))*(INDEX('Parametri Modello'!$D$57:$D$60,MATCH($B336,'Parametri Modello'!$A$57:$A$60,0))*(INDEX('Parametri Modello'!$B$50:$B$53,MATCH($B336,'Parametri Modello'!$A$50:$A$53,0))*'Parametri Modello'!$B$44))),IF(INDEX('Parametri Modello'!$F$57:$F$60,MATCH($B336,'Parametri Modello'!$A$57:$A$60,0))=0,0,($O336/INDEX('Parametri Modello'!$F$57:$F$60,MATCH($B336,'Parametri Modello'!$A$57:$A$60,0)))*((1-INDEX('Parametri Modello'!$D$57:$D$60,MATCH($B336,'Parametri Modello'!$A$57:$A$60,0)))*(INDEX('Parametri Modello'!$B$50:$B$53,MATCH($B336,'Parametri Modello'!$A$50:$A$53,0))*'Parametri Modello'!$B$44))))*(1+IF(IF($B336="D",'Info Lega'!$B$25,IF($B336="C",'Info Lega'!$B$26,"No"))="Si",'Parametri Modello'!$B$5,0))*(1+MAX(-0.25,MIN(0.25,IF(OR($T336="",$I336="",$I336=0,INDEX('Parametri Modello'!$B$19:$B$22,MATCH($B336,'Parametri Modello'!$A$19:$A$22,0))="",INDEX('Parametri Modello'!$B$19:$B$22,MATCH($B336,'Parametri Modello'!$A$19:$A$22,0))=0),0,(($T336-INDEX('Parametri Modello'!$B$19:$B$22,MATCH($B336,'Parametri Modello'!$A$19:$A$22,0)))/INDEX('Parametri Modello'!$B$19:$B$22,MATCH($B336,'Parametri Modello'!$A$19:$A$22,0)))*'Parametri Modello'!$B$9))))*(1+IF('Parametri Modello'!$B$27="Si",MAX(-'Parametri Modello'!$B$28,MIN('Parametri Modello'!$B$28*1.5,IF(OR(INDEX('Parametri Modello'!$F$32:$F$35,MATCH($B336,'Parametri Modello'!$A$32:$A$35,0))="",INDEX('Parametri Modello'!$F$32:$F$35,MATCH($B336,'Parametri Modello'!$A$32:$A$35,0))=0),0,(1/INDEX('Parametri Modello'!$F$32:$F$35,MATCH($B336,'Parametri Modello'!$A$32:$A$35,0))-1)*'Parametri Modello'!$B$28))),0)))*(1+INDEX('Parametri Modello'!$B$12:$B$15,MATCH($B336,'Parametri Modello'!$A$12:$A$15,0))),0),"")</f>
        <v>1</v>
      </c>
      <c r="I336" s="23">
        <f>IFERROR(INDEX('Input Statistiche 2025_26'!$F$3:$F$665,MATCH($A336,'Input Statistiche 2025_26'!$A$3:$A$665,0)),"")</f>
        <v>13</v>
      </c>
      <c r="J336" s="23">
        <f t="shared" si="45"/>
        <v>25</v>
      </c>
      <c r="K336" s="23">
        <f>IFERROR(INDEX('Input Statistiche 2025_26'!$I$3:$I$665,MATCH($A336,'Input Statistiche 2025_26'!$A$3:$A$665,0)),"")</f>
        <v>1</v>
      </c>
      <c r="L336" s="23">
        <f>IFERROR(INDEX('Input Statistiche 2025_26'!$O$3:$O$665,MATCH($A336,'Input Statistiche 2025_26'!$A$3:$A$665,0)),"")</f>
        <v>0</v>
      </c>
      <c r="M336" s="25"/>
      <c r="N336" s="24">
        <f>IFERROR(INDEX('Input Giocatori 2026_27'!$E$3:$E$493,MATCH($A336,'Input Giocatori 2026_27'!$A$3:$A$493,0)),"")</f>
        <v>3</v>
      </c>
      <c r="O336" s="24">
        <f>IFERROR(INDEX('Input Giocatori 2026_27'!$G$3:$G$493,MATCH($A336,'Input Giocatori 2026_27'!$A$3:$A$493,0)),"")</f>
        <v>9</v>
      </c>
      <c r="P336" s="23" t="str">
        <f>IFERROR(IF($O336="","",IF((1-(COUNTIFS($B$2:$B$492,$B336,$O$2:$O$492,"&gt;"&amp;$O336)+1-1)/COUNTIF($B$2:$B$492,$B336))&gt;='Parametri Modello'!$B$63,"Top",IF((1-(COUNTIFS($B$2:$B$492,$B336,$O$2:$O$492,"&gt;"&amp;$O336)+1-1)/COUNTIF($B$2:$B$492,$B336))&gt;='Parametri Modello'!$B$64,"Buono",IF((1-(COUNTIFS($B$2:$B$492,$B336,$O$2:$O$492,"&gt;"&amp;$O336)+1-1)/COUNTIF($B$2:$B$492,$B336))&gt;='Parametri Modello'!$B$65,"Nella Media","Scommessa/Riserva")))),"")</f>
        <v>Scommessa/Riserva</v>
      </c>
      <c r="Q336" s="26">
        <f>IF(AND($D336="",$N336&gt;1),SUMPRODUCT(($D$2:$D336="")*($N$2:$N336&gt;1)),"")</f>
        <v>335</v>
      </c>
      <c r="R336" s="26" t="str">
        <f>IF($D336='Info Lega'!$B$28,COUNTIFS($D$2:$D336,'Info Lega'!$B$28),"")</f>
        <v/>
      </c>
      <c r="S336" s="27">
        <f>IFERROR(INDEX('Input Statistiche 2025_26'!$G$3:$G$665,MATCH($A336,'Input Statistiche 2025_26'!$A$3:$A$665,0)),"")</f>
        <v>6.08</v>
      </c>
      <c r="T336" s="27">
        <f>IFERROR(INDEX('Input Statistiche 2025_26'!$H$3:$H$665,MATCH($A336,'Input Statistiche 2025_26'!$A$3:$A$665,0)),"")</f>
        <v>6.27</v>
      </c>
      <c r="U336" s="23" t="str">
        <f>IF(OR('La Mia Rosa'!$O$12="",$D336&lt;&gt;""),"",IF($F336&lt;='La Mia Rosa'!$O$12*'Parametri Modello'!$B$24,"OK",IF($F336&lt;='La Mia Rosa'!$O$12*'Parametri Modello'!$B$25,"Attenzione","Rischio Alto")))</f>
        <v>OK</v>
      </c>
      <c r="V336" s="23">
        <f t="shared" si="46"/>
        <v>130</v>
      </c>
      <c r="W336" s="18">
        <f>'Info Lega'!$B$4-SUMIFS($M$2:$M$492,$D$2:$D$492,'Info Lega'!$B$28)</f>
        <v>1000</v>
      </c>
      <c r="X336" s="18">
        <f>('Info Lega'!$B$5-COUNTIFS($D$2:$D$492,'Info Lega'!$B$28,$B$2:$B$492,"P"))+('Info Lega'!$B$6-COUNTIFS($D$2:$D$492,'Info Lega'!$B$28,$B$2:$B$492,"D"))+('Info Lega'!$B$7-COUNTIFS($D$2:$D$492,'Info Lega'!$B$28,$B$2:$B$492,"C"))+('Info Lega'!$B$8-COUNTIFS($D$2:$D$492,'Info Lega'!$B$28,$B$2:$B$492,"A"))</f>
        <v>25</v>
      </c>
      <c r="Y336" s="18">
        <f>X336*'Parametri Modello'!$B$30</f>
        <v>25</v>
      </c>
      <c r="Z336" s="18">
        <f t="shared" si="47"/>
        <v>975</v>
      </c>
      <c r="AA336" s="18">
        <f t="shared" si="48"/>
        <v>1</v>
      </c>
      <c r="AB336" s="18"/>
      <c r="AC336" s="18" t="str">
        <f>IF($AB336="","",IF($AB336&gt;$AA336,"PASS",IF($AB336&lt;=$AA336*(1-'Parametri Modello'!$B$68),"BID","ATTENZIONE")))</f>
        <v/>
      </c>
      <c r="AD336" s="28">
        <f t="shared" si="49"/>
        <v>35</v>
      </c>
      <c r="AE336" s="5" t="str">
        <f>IFERROR(INDEX('Stato Asta'!$G$9:$G$12,MATCH($B336,'Stato Asta'!$A$9:$A$12,0)),"")</f>
        <v>🔴 Non aspettare</v>
      </c>
      <c r="AF336" t="str">
        <f>IFERROR(IF($V336&lt;=INDEX('Parametri Modello'!$C$57:$C$60,MATCH($B336,'Parametri Modello'!$A$57:$A$60,0)),"Titolare","Riserva"),"")</f>
        <v>Riserva</v>
      </c>
      <c r="AG336" t="str">
        <f>IFERROR(INDEX('Pressione Competitiva'!$F$3:$F$6,MATCH($B336,'Pressione Competitiva'!$B$3:$B$6,0)),"")</f>
        <v>🔴 Molto Alta</v>
      </c>
      <c r="AH336" t="str">
        <f t="shared" si="50"/>
        <v/>
      </c>
      <c r="AI336" t="str">
        <f>IFERROR(IF($AH336="","",IF($AH336&gt;=$AA336*'Parametri Modello'!$B$68,"🟢 Opportunita'",IF($AH336&lt;=$AA336*'Parametri Modello'!$B$69,"🔴 Sovrapprezzo","🟡 Prezzo Corretto"))),"")</f>
        <v/>
      </c>
      <c r="AJ336" t="str">
        <f t="shared" si="51"/>
        <v/>
      </c>
      <c r="AK336">
        <f t="shared" si="52"/>
        <v>26</v>
      </c>
      <c r="AL336" t="str">
        <f t="shared" si="53"/>
        <v>C|Scommessa/Riserva|26</v>
      </c>
    </row>
    <row r="337" spans="1:38" ht="14.25" customHeight="1" x14ac:dyDescent="0.25">
      <c r="A337" s="18">
        <v>6243</v>
      </c>
      <c r="B337" s="18" t="s">
        <v>18</v>
      </c>
      <c r="C337" s="18" t="s">
        <v>476</v>
      </c>
      <c r="E337" s="23" t="str">
        <f>IF(COUNTIF('Info Strategia'!$D$2:$D$51,$C337)&gt;0,"SI","NO")</f>
        <v>NO</v>
      </c>
      <c r="F337" s="24">
        <f>IFERROR(ROUND(($G337+($H337-$G337)*'Info Strategia'!$B$6)*(1+IF($E337="SI",'Parametri Modello'!$B$7*'Info Strategia'!$B$6,0)),0),"")</f>
        <v>3</v>
      </c>
      <c r="G337" s="24">
        <f>IFERROR(ROUND(MAX(1,(IF($V337&lt;=INDEX('Parametri Modello'!$C$57:$C$60,MATCH($B337,'Parametri Modello'!$A$57:$A$60,0)),IF(INDEX('Parametri Modello'!$E$57:$E$60,MATCH($B337,'Parametri Modello'!$A$57:$A$60,0))=0,0,($O337/INDEX('Parametri Modello'!$E$57:$E$60,MATCH($B337,'Parametri Modello'!$A$57:$A$60,0)))*(INDEX('Parametri Modello'!$D$57:$D$60,MATCH($B337,'Parametri Modello'!$A$57:$A$60,0))*(INDEX('Parametri Modello'!$B$50:$B$53,MATCH($B337,'Parametri Modello'!$A$50:$A$53,0))*'Parametri Modello'!$B$44))),IF(INDEX('Parametri Modello'!$F$57:$F$60,MATCH($B337,'Parametri Modello'!$A$57:$A$60,0))=0,0,($O337/INDEX('Parametri Modello'!$F$57:$F$60,MATCH($B337,'Parametri Modello'!$A$57:$A$60,0)))*((1-INDEX('Parametri Modello'!$D$57:$D$60,MATCH($B337,'Parametri Modello'!$A$57:$A$60,0)))*(INDEX('Parametri Modello'!$B$50:$B$53,MATCH($B337,'Parametri Modello'!$A$50:$A$53,0))*'Parametri Modello'!$B$44))))*(1+IF(IF($B337="D",'Info Lega'!$B$25,IF($B337="C",'Info Lega'!$B$26,"No"))="Si",'Parametri Modello'!$B$5,0))*(1+MAX(-0.25,MIN(0.25,IF(OR($T337="",$I337="",$I337=0,INDEX('Parametri Modello'!$B$19:$B$22,MATCH($B337,'Parametri Modello'!$A$19:$A$22,0))="",INDEX('Parametri Modello'!$B$19:$B$22,MATCH($B337,'Parametri Modello'!$A$19:$A$22,0))=0),0,(($T337-INDEX('Parametri Modello'!$B$19:$B$22,MATCH($B337,'Parametri Modello'!$A$19:$A$22,0)))/INDEX('Parametri Modello'!$B$19:$B$22,MATCH($B337,'Parametri Modello'!$A$19:$A$22,0)))*'Parametri Modello'!$B$9))))*(1+IF('Parametri Modello'!$B$27="Si",MAX(-'Parametri Modello'!$B$28,MIN('Parametri Modello'!$B$28*1.5,IF(OR(INDEX('Parametri Modello'!$F$32:$F$35,MATCH($B337,'Parametri Modello'!$A$32:$A$35,0))="",INDEX('Parametri Modello'!$F$32:$F$35,MATCH($B337,'Parametri Modello'!$A$32:$A$35,0))=0),0,(1/INDEX('Parametri Modello'!$F$32:$F$35,MATCH($B337,'Parametri Modello'!$A$32:$A$35,0))-1)*'Parametri Modello'!$B$28))),0)))*(1-INDEX('Parametri Modello'!$B$12:$B$15,MATCH($B337,'Parametri Modello'!$A$12:$A$15,0)))),0),"")</f>
        <v>2</v>
      </c>
      <c r="H337" s="24">
        <f>IFERROR(ROUND((IF($V337&lt;=INDEX('Parametri Modello'!$C$57:$C$60,MATCH($B337,'Parametri Modello'!$A$57:$A$60,0)),IF(INDEX('Parametri Modello'!$E$57:$E$60,MATCH($B337,'Parametri Modello'!$A$57:$A$60,0))=0,0,($O337/INDEX('Parametri Modello'!$E$57:$E$60,MATCH($B337,'Parametri Modello'!$A$57:$A$60,0)))*(INDEX('Parametri Modello'!$D$57:$D$60,MATCH($B337,'Parametri Modello'!$A$57:$A$60,0))*(INDEX('Parametri Modello'!$B$50:$B$53,MATCH($B337,'Parametri Modello'!$A$50:$A$53,0))*'Parametri Modello'!$B$44))),IF(INDEX('Parametri Modello'!$F$57:$F$60,MATCH($B337,'Parametri Modello'!$A$57:$A$60,0))=0,0,($O337/INDEX('Parametri Modello'!$F$57:$F$60,MATCH($B337,'Parametri Modello'!$A$57:$A$60,0)))*((1-INDEX('Parametri Modello'!$D$57:$D$60,MATCH($B337,'Parametri Modello'!$A$57:$A$60,0)))*(INDEX('Parametri Modello'!$B$50:$B$53,MATCH($B337,'Parametri Modello'!$A$50:$A$53,0))*'Parametri Modello'!$B$44))))*(1+IF(IF($B337="D",'Info Lega'!$B$25,IF($B337="C",'Info Lega'!$B$26,"No"))="Si",'Parametri Modello'!$B$5,0))*(1+MAX(-0.25,MIN(0.25,IF(OR($T337="",$I337="",$I337=0,INDEX('Parametri Modello'!$B$19:$B$22,MATCH($B337,'Parametri Modello'!$A$19:$A$22,0))="",INDEX('Parametri Modello'!$B$19:$B$22,MATCH($B337,'Parametri Modello'!$A$19:$A$22,0))=0),0,(($T337-INDEX('Parametri Modello'!$B$19:$B$22,MATCH($B337,'Parametri Modello'!$A$19:$A$22,0)))/INDEX('Parametri Modello'!$B$19:$B$22,MATCH($B337,'Parametri Modello'!$A$19:$A$22,0)))*'Parametri Modello'!$B$9))))*(1+IF('Parametri Modello'!$B$27="Si",MAX(-'Parametri Modello'!$B$28,MIN('Parametri Modello'!$B$28*1.5,IF(OR(INDEX('Parametri Modello'!$F$32:$F$35,MATCH($B337,'Parametri Modello'!$A$32:$A$35,0))="",INDEX('Parametri Modello'!$F$32:$F$35,MATCH($B337,'Parametri Modello'!$A$32:$A$35,0))=0),0,(1/INDEX('Parametri Modello'!$F$32:$F$35,MATCH($B337,'Parametri Modello'!$A$32:$A$35,0))-1)*'Parametri Modello'!$B$28))),0)))*(1+INDEX('Parametri Modello'!$B$12:$B$15,MATCH($B337,'Parametri Modello'!$A$12:$A$15,0))),0),"")</f>
        <v>3</v>
      </c>
      <c r="I337" s="23">
        <f>IFERROR(INDEX('Input Statistiche 2025_26'!$F$3:$F$665,MATCH($A337,'Input Statistiche 2025_26'!$A$3:$A$665,0)),"")</f>
        <v>26</v>
      </c>
      <c r="J337" s="23">
        <f t="shared" si="45"/>
        <v>12</v>
      </c>
      <c r="K337" s="23">
        <f>IFERROR(INDEX('Input Statistiche 2025_26'!$I$3:$I$665,MATCH($A337,'Input Statistiche 2025_26'!$A$3:$A$665,0)),"")</f>
        <v>5</v>
      </c>
      <c r="L337" s="23">
        <f>IFERROR(INDEX('Input Statistiche 2025_26'!$O$3:$O$665,MATCH($A337,'Input Statistiche 2025_26'!$A$3:$A$665,0)),"")</f>
        <v>1</v>
      </c>
      <c r="M337" s="25"/>
      <c r="N337" s="24">
        <f>IFERROR(INDEX('Input Giocatori 2026_27'!$E$3:$E$493,MATCH($A337,'Input Giocatori 2026_27'!$A$3:$A$493,0)),"")</f>
        <v>4</v>
      </c>
      <c r="O337" s="24">
        <f>IFERROR(INDEX('Input Giocatori 2026_27'!$G$3:$G$493,MATCH($A337,'Input Giocatori 2026_27'!$A$3:$A$493,0)),"")</f>
        <v>9</v>
      </c>
      <c r="P337" s="23" t="str">
        <f>IFERROR(IF($O337="","",IF((1-(COUNTIFS($B$2:$B$492,$B337,$O$2:$O$492,"&gt;"&amp;$O337)+1-1)/COUNTIF($B$2:$B$492,$B337))&gt;='Parametri Modello'!$B$63,"Top",IF((1-(COUNTIFS($B$2:$B$492,$B337,$O$2:$O$492,"&gt;"&amp;$O337)+1-1)/COUNTIF($B$2:$B$492,$B337))&gt;='Parametri Modello'!$B$64,"Buono",IF((1-(COUNTIFS($B$2:$B$492,$B337,$O$2:$O$492,"&gt;"&amp;$O337)+1-1)/COUNTIF($B$2:$B$492,$B337))&gt;='Parametri Modello'!$B$65,"Nella Media","Scommessa/Riserva")))),"")</f>
        <v>Scommessa/Riserva</v>
      </c>
      <c r="Q337" s="26">
        <f>IF(AND($D337="",$N337&gt;1),SUMPRODUCT(($D$2:$D337="")*($N$2:$N337&gt;1)),"")</f>
        <v>336</v>
      </c>
      <c r="R337" s="26" t="str">
        <f>IF($D337='Info Lega'!$B$28,COUNTIFS($D$2:$D337,'Info Lega'!$B$28),"")</f>
        <v/>
      </c>
      <c r="S337" s="27">
        <f>IFERROR(INDEX('Input Statistiche 2025_26'!$G$3:$G$665,MATCH($A337,'Input Statistiche 2025_26'!$A$3:$A$665,0)),"")</f>
        <v>5.92</v>
      </c>
      <c r="T337" s="27">
        <f>IFERROR(INDEX('Input Statistiche 2025_26'!$H$3:$H$665,MATCH($A337,'Input Statistiche 2025_26'!$A$3:$A$665,0)),"")</f>
        <v>6.46</v>
      </c>
      <c r="U337" s="23" t="str">
        <f>IF(OR('La Mia Rosa'!$O$12="",$D337&lt;&gt;""),"",IF($F337&lt;='La Mia Rosa'!$O$12*'Parametri Modello'!$B$24,"OK",IF($F337&lt;='La Mia Rosa'!$O$12*'Parametri Modello'!$B$25,"Attenzione","Rischio Alto")))</f>
        <v>OK</v>
      </c>
      <c r="V337" s="23">
        <f t="shared" si="46"/>
        <v>68</v>
      </c>
      <c r="W337" s="18">
        <f>'Info Lega'!$B$4-SUMIFS($M$2:$M$492,$D$2:$D$492,'Info Lega'!$B$28)</f>
        <v>1000</v>
      </c>
      <c r="X337" s="18">
        <f>('Info Lega'!$B$5-COUNTIFS($D$2:$D$492,'Info Lega'!$B$28,$B$2:$B$492,"P"))+('Info Lega'!$B$6-COUNTIFS($D$2:$D$492,'Info Lega'!$B$28,$B$2:$B$492,"D"))+('Info Lega'!$B$7-COUNTIFS($D$2:$D$492,'Info Lega'!$B$28,$B$2:$B$492,"C"))+('Info Lega'!$B$8-COUNTIFS($D$2:$D$492,'Info Lega'!$B$28,$B$2:$B$492,"A"))</f>
        <v>25</v>
      </c>
      <c r="Y337" s="18">
        <f>X337*'Parametri Modello'!$B$30</f>
        <v>25</v>
      </c>
      <c r="Z337" s="18">
        <f t="shared" si="47"/>
        <v>975</v>
      </c>
      <c r="AA337" s="18">
        <f t="shared" si="48"/>
        <v>3</v>
      </c>
      <c r="AB337" s="18"/>
      <c r="AC337" s="18" t="str">
        <f>IF($AB337="","",IF($AB337&gt;$AA337,"PASS",IF($AB337&lt;=$AA337*(1-'Parametri Modello'!$B$68),"BID","ATTENZIONE")))</f>
        <v/>
      </c>
      <c r="AD337" s="28">
        <f t="shared" si="49"/>
        <v>58</v>
      </c>
      <c r="AE337" s="5" t="str">
        <f>IFERROR(INDEX('Stato Asta'!$G$9:$G$12,MATCH($B337,'Stato Asta'!$A$9:$A$12,0)),"")</f>
        <v>🔴 Non aspettare</v>
      </c>
      <c r="AF337" t="str">
        <f>IFERROR(IF($V337&lt;=INDEX('Parametri Modello'!$C$57:$C$60,MATCH($B337,'Parametri Modello'!$A$57:$A$60,0)),"Titolare","Riserva"),"")</f>
        <v>Riserva</v>
      </c>
      <c r="AG337" t="str">
        <f>IFERROR(INDEX('Pressione Competitiva'!$F$3:$F$6,MATCH($B337,'Pressione Competitiva'!$B$3:$B$6,0)),"")</f>
        <v>🔴 Molto Alta</v>
      </c>
      <c r="AH337" t="str">
        <f t="shared" si="50"/>
        <v/>
      </c>
      <c r="AI337" t="str">
        <f>IFERROR(IF($AH337="","",IF($AH337&gt;=$AA337*'Parametri Modello'!$B$68,"🟢 Opportunita'",IF($AH337&lt;=$AA337*'Parametri Modello'!$B$69,"🔴 Sovrapprezzo","🟡 Prezzo Corretto"))),"")</f>
        <v/>
      </c>
      <c r="AJ337" t="str">
        <f t="shared" si="51"/>
        <v/>
      </c>
      <c r="AK337">
        <f t="shared" si="52"/>
        <v>14</v>
      </c>
      <c r="AL337" t="str">
        <f t="shared" si="53"/>
        <v>A|Scommessa/Riserva|14</v>
      </c>
    </row>
    <row r="338" spans="1:38" ht="14.25" customHeight="1" x14ac:dyDescent="0.25">
      <c r="A338" s="18">
        <v>7374</v>
      </c>
      <c r="B338" s="18" t="s">
        <v>18</v>
      </c>
      <c r="C338" s="18" t="s">
        <v>477</v>
      </c>
      <c r="E338" s="23" t="str">
        <f>IF(COUNTIF('Info Strategia'!$D$2:$D$51,$C338)&gt;0,"SI","NO")</f>
        <v>NO</v>
      </c>
      <c r="F338" s="24">
        <f>IFERROR(ROUND(($G338+($H338-$G338)*'Info Strategia'!$B$6)*(1+IF($E338="SI",'Parametri Modello'!$B$7*'Info Strategia'!$B$6,0)),0),"")</f>
        <v>3</v>
      </c>
      <c r="G338" s="24">
        <f>IFERROR(ROUND(MAX(1,(IF($V338&lt;=INDEX('Parametri Modello'!$C$57:$C$60,MATCH($B338,'Parametri Modello'!$A$57:$A$60,0)),IF(INDEX('Parametri Modello'!$E$57:$E$60,MATCH($B338,'Parametri Modello'!$A$57:$A$60,0))=0,0,($O338/INDEX('Parametri Modello'!$E$57:$E$60,MATCH($B338,'Parametri Modello'!$A$57:$A$60,0)))*(INDEX('Parametri Modello'!$D$57:$D$60,MATCH($B338,'Parametri Modello'!$A$57:$A$60,0))*(INDEX('Parametri Modello'!$B$50:$B$53,MATCH($B338,'Parametri Modello'!$A$50:$A$53,0))*'Parametri Modello'!$B$44))),IF(INDEX('Parametri Modello'!$F$57:$F$60,MATCH($B338,'Parametri Modello'!$A$57:$A$60,0))=0,0,($O338/INDEX('Parametri Modello'!$F$57:$F$60,MATCH($B338,'Parametri Modello'!$A$57:$A$60,0)))*((1-INDEX('Parametri Modello'!$D$57:$D$60,MATCH($B338,'Parametri Modello'!$A$57:$A$60,0)))*(INDEX('Parametri Modello'!$B$50:$B$53,MATCH($B338,'Parametri Modello'!$A$50:$A$53,0))*'Parametri Modello'!$B$44))))*(1+IF(IF($B338="D",'Info Lega'!$B$25,IF($B338="C",'Info Lega'!$B$26,"No"))="Si",'Parametri Modello'!$B$5,0))*(1+MAX(-0.25,MIN(0.25,IF(OR($T338="",$I338="",$I338=0,INDEX('Parametri Modello'!$B$19:$B$22,MATCH($B338,'Parametri Modello'!$A$19:$A$22,0))="",INDEX('Parametri Modello'!$B$19:$B$22,MATCH($B338,'Parametri Modello'!$A$19:$A$22,0))=0),0,(($T338-INDEX('Parametri Modello'!$B$19:$B$22,MATCH($B338,'Parametri Modello'!$A$19:$A$22,0)))/INDEX('Parametri Modello'!$B$19:$B$22,MATCH($B338,'Parametri Modello'!$A$19:$A$22,0)))*'Parametri Modello'!$B$9))))*(1+IF('Parametri Modello'!$B$27="Si",MAX(-'Parametri Modello'!$B$28,MIN('Parametri Modello'!$B$28*1.5,IF(OR(INDEX('Parametri Modello'!$F$32:$F$35,MATCH($B338,'Parametri Modello'!$A$32:$A$35,0))="",INDEX('Parametri Modello'!$F$32:$F$35,MATCH($B338,'Parametri Modello'!$A$32:$A$35,0))=0),0,(1/INDEX('Parametri Modello'!$F$32:$F$35,MATCH($B338,'Parametri Modello'!$A$32:$A$35,0))-1)*'Parametri Modello'!$B$28))),0)))*(1-INDEX('Parametri Modello'!$B$12:$B$15,MATCH($B338,'Parametri Modello'!$A$12:$A$15,0)))),0),"")</f>
        <v>2</v>
      </c>
      <c r="H338" s="24">
        <f>IFERROR(ROUND((IF($V338&lt;=INDEX('Parametri Modello'!$C$57:$C$60,MATCH($B338,'Parametri Modello'!$A$57:$A$60,0)),IF(INDEX('Parametri Modello'!$E$57:$E$60,MATCH($B338,'Parametri Modello'!$A$57:$A$60,0))=0,0,($O338/INDEX('Parametri Modello'!$E$57:$E$60,MATCH($B338,'Parametri Modello'!$A$57:$A$60,0)))*(INDEX('Parametri Modello'!$D$57:$D$60,MATCH($B338,'Parametri Modello'!$A$57:$A$60,0))*(INDEX('Parametri Modello'!$B$50:$B$53,MATCH($B338,'Parametri Modello'!$A$50:$A$53,0))*'Parametri Modello'!$B$44))),IF(INDEX('Parametri Modello'!$F$57:$F$60,MATCH($B338,'Parametri Modello'!$A$57:$A$60,0))=0,0,($O338/INDEX('Parametri Modello'!$F$57:$F$60,MATCH($B338,'Parametri Modello'!$A$57:$A$60,0)))*((1-INDEX('Parametri Modello'!$D$57:$D$60,MATCH($B338,'Parametri Modello'!$A$57:$A$60,0)))*(INDEX('Parametri Modello'!$B$50:$B$53,MATCH($B338,'Parametri Modello'!$A$50:$A$53,0))*'Parametri Modello'!$B$44))))*(1+IF(IF($B338="D",'Info Lega'!$B$25,IF($B338="C",'Info Lega'!$B$26,"No"))="Si",'Parametri Modello'!$B$5,0))*(1+MAX(-0.25,MIN(0.25,IF(OR($T338="",$I338="",$I338=0,INDEX('Parametri Modello'!$B$19:$B$22,MATCH($B338,'Parametri Modello'!$A$19:$A$22,0))="",INDEX('Parametri Modello'!$B$19:$B$22,MATCH($B338,'Parametri Modello'!$A$19:$A$22,0))=0),0,(($T338-INDEX('Parametri Modello'!$B$19:$B$22,MATCH($B338,'Parametri Modello'!$A$19:$A$22,0)))/INDEX('Parametri Modello'!$B$19:$B$22,MATCH($B338,'Parametri Modello'!$A$19:$A$22,0)))*'Parametri Modello'!$B$9))))*(1+IF('Parametri Modello'!$B$27="Si",MAX(-'Parametri Modello'!$B$28,MIN('Parametri Modello'!$B$28*1.5,IF(OR(INDEX('Parametri Modello'!$F$32:$F$35,MATCH($B338,'Parametri Modello'!$A$32:$A$35,0))="",INDEX('Parametri Modello'!$F$32:$F$35,MATCH($B338,'Parametri Modello'!$A$32:$A$35,0))=0),0,(1/INDEX('Parametri Modello'!$F$32:$F$35,MATCH($B338,'Parametri Modello'!$A$32:$A$35,0))-1)*'Parametri Modello'!$B$28))),0)))*(1+INDEX('Parametri Modello'!$B$12:$B$15,MATCH($B338,'Parametri Modello'!$A$12:$A$15,0))),0),"")</f>
        <v>3</v>
      </c>
      <c r="I338" s="23">
        <f>IFERROR(INDEX('Input Statistiche 2025_26'!$F$3:$F$665,MATCH($A338,'Input Statistiche 2025_26'!$A$3:$A$665,0)),"")</f>
        <v>8</v>
      </c>
      <c r="J338" s="23">
        <f t="shared" si="45"/>
        <v>30</v>
      </c>
      <c r="K338" s="23">
        <f>IFERROR(INDEX('Input Statistiche 2025_26'!$I$3:$I$665,MATCH($A338,'Input Statistiche 2025_26'!$A$3:$A$665,0)),"")</f>
        <v>2</v>
      </c>
      <c r="L338" s="23">
        <f>IFERROR(INDEX('Input Statistiche 2025_26'!$O$3:$O$665,MATCH($A338,'Input Statistiche 2025_26'!$A$3:$A$665,0)),"")</f>
        <v>0</v>
      </c>
      <c r="M338" s="25"/>
      <c r="N338" s="24">
        <f>IFERROR(INDEX('Input Giocatori 2026_27'!$E$3:$E$493,MATCH($A338,'Input Giocatori 2026_27'!$A$3:$A$493,0)),"")</f>
        <v>4</v>
      </c>
      <c r="O338" s="24">
        <f>IFERROR(INDEX('Input Giocatori 2026_27'!$G$3:$G$493,MATCH($A338,'Input Giocatori 2026_27'!$A$3:$A$493,0)),"")</f>
        <v>9</v>
      </c>
      <c r="P338" s="23" t="str">
        <f>IFERROR(IF($O338="","",IF((1-(COUNTIFS($B$2:$B$492,$B338,$O$2:$O$492,"&gt;"&amp;$O338)+1-1)/COUNTIF($B$2:$B$492,$B338))&gt;='Parametri Modello'!$B$63,"Top",IF((1-(COUNTIFS($B$2:$B$492,$B338,$O$2:$O$492,"&gt;"&amp;$O338)+1-1)/COUNTIF($B$2:$B$492,$B338))&gt;='Parametri Modello'!$B$64,"Buono",IF((1-(COUNTIFS($B$2:$B$492,$B338,$O$2:$O$492,"&gt;"&amp;$O338)+1-1)/COUNTIF($B$2:$B$492,$B338))&gt;='Parametri Modello'!$B$65,"Nella Media","Scommessa/Riserva")))),"")</f>
        <v>Scommessa/Riserva</v>
      </c>
      <c r="Q338" s="26">
        <f>IF(AND($D338="",$N338&gt;1),SUMPRODUCT(($D$2:$D338="")*($N$2:$N338&gt;1)),"")</f>
        <v>337</v>
      </c>
      <c r="R338" s="26" t="str">
        <f>IF($D338='Info Lega'!$B$28,COUNTIFS($D$2:$D338,'Info Lega'!$B$28),"")</f>
        <v/>
      </c>
      <c r="S338" s="27">
        <f>IFERROR(INDEX('Input Statistiche 2025_26'!$G$3:$G$665,MATCH($A338,'Input Statistiche 2025_26'!$A$3:$A$665,0)),"")</f>
        <v>5.94</v>
      </c>
      <c r="T338" s="27">
        <f>IFERROR(INDEX('Input Statistiche 2025_26'!$H$3:$H$665,MATCH($A338,'Input Statistiche 2025_26'!$A$3:$A$665,0)),"")</f>
        <v>6.62</v>
      </c>
      <c r="U338" s="23" t="str">
        <f>IF(OR('La Mia Rosa'!$O$12="",$D338&lt;&gt;""),"",IF($F338&lt;='La Mia Rosa'!$O$12*'Parametri Modello'!$B$24,"OK",IF($F338&lt;='La Mia Rosa'!$O$12*'Parametri Modello'!$B$25,"Attenzione","Rischio Alto")))</f>
        <v>OK</v>
      </c>
      <c r="V338" s="23">
        <f t="shared" si="46"/>
        <v>68</v>
      </c>
      <c r="W338" s="18">
        <f>'Info Lega'!$B$4-SUMIFS($M$2:$M$492,$D$2:$D$492,'Info Lega'!$B$28)</f>
        <v>1000</v>
      </c>
      <c r="X338" s="18">
        <f>('Info Lega'!$B$5-COUNTIFS($D$2:$D$492,'Info Lega'!$B$28,$B$2:$B$492,"P"))+('Info Lega'!$B$6-COUNTIFS($D$2:$D$492,'Info Lega'!$B$28,$B$2:$B$492,"D"))+('Info Lega'!$B$7-COUNTIFS($D$2:$D$492,'Info Lega'!$B$28,$B$2:$B$492,"C"))+('Info Lega'!$B$8-COUNTIFS($D$2:$D$492,'Info Lega'!$B$28,$B$2:$B$492,"A"))</f>
        <v>25</v>
      </c>
      <c r="Y338" s="18">
        <f>X338*'Parametri Modello'!$B$30</f>
        <v>25</v>
      </c>
      <c r="Z338" s="18">
        <f t="shared" si="47"/>
        <v>975</v>
      </c>
      <c r="AA338" s="18">
        <f t="shared" si="48"/>
        <v>3</v>
      </c>
      <c r="AB338" s="18"/>
      <c r="AC338" s="18" t="str">
        <f>IF($AB338="","",IF($AB338&gt;$AA338,"PASS",IF($AB338&lt;=$AA338*(1-'Parametri Modello'!$B$68),"BID","ATTENZIONE")))</f>
        <v/>
      </c>
      <c r="AD338" s="28">
        <f t="shared" si="49"/>
        <v>23</v>
      </c>
      <c r="AE338" s="5" t="str">
        <f>IFERROR(INDEX('Stato Asta'!$G$9:$G$12,MATCH($B338,'Stato Asta'!$A$9:$A$12,0)),"")</f>
        <v>🔴 Non aspettare</v>
      </c>
      <c r="AF338" t="str">
        <f>IFERROR(IF($V338&lt;=INDEX('Parametri Modello'!$C$57:$C$60,MATCH($B338,'Parametri Modello'!$A$57:$A$60,0)),"Titolare","Riserva"),"")</f>
        <v>Riserva</v>
      </c>
      <c r="AG338" t="str">
        <f>IFERROR(INDEX('Pressione Competitiva'!$F$3:$F$6,MATCH($B338,'Pressione Competitiva'!$B$3:$B$6,0)),"")</f>
        <v>🔴 Molto Alta</v>
      </c>
      <c r="AH338" t="str">
        <f t="shared" si="50"/>
        <v/>
      </c>
      <c r="AI338" t="str">
        <f>IFERROR(IF($AH338="","",IF($AH338&gt;=$AA338*'Parametri Modello'!$B$68,"🟢 Opportunita'",IF($AH338&lt;=$AA338*'Parametri Modello'!$B$69,"🔴 Sovrapprezzo","🟡 Prezzo Corretto"))),"")</f>
        <v/>
      </c>
      <c r="AJ338" t="str">
        <f t="shared" si="51"/>
        <v/>
      </c>
      <c r="AK338">
        <f t="shared" si="52"/>
        <v>14</v>
      </c>
      <c r="AL338" t="str">
        <f t="shared" si="53"/>
        <v>A|Scommessa/Riserva|14</v>
      </c>
    </row>
    <row r="339" spans="1:38" ht="14.25" customHeight="1" x14ac:dyDescent="0.25">
      <c r="A339" s="18">
        <v>7453</v>
      </c>
      <c r="B339" s="18" t="s">
        <v>18</v>
      </c>
      <c r="C339" s="18" t="s">
        <v>478</v>
      </c>
      <c r="E339" s="23" t="str">
        <f>IF(COUNTIF('Info Strategia'!$D$2:$D$51,$C339)&gt;0,"SI","NO")</f>
        <v>NO</v>
      </c>
      <c r="F339" s="24">
        <f>IFERROR(ROUND(($G339+($H339-$G339)*'Info Strategia'!$B$6)*(1+IF($E339="SI",'Parametri Modello'!$B$7*'Info Strategia'!$B$6,0)),0),"")</f>
        <v>3</v>
      </c>
      <c r="G339" s="24">
        <f>IFERROR(ROUND(MAX(1,(IF($V339&lt;=INDEX('Parametri Modello'!$C$57:$C$60,MATCH($B339,'Parametri Modello'!$A$57:$A$60,0)),IF(INDEX('Parametri Modello'!$E$57:$E$60,MATCH($B339,'Parametri Modello'!$A$57:$A$60,0))=0,0,($O339/INDEX('Parametri Modello'!$E$57:$E$60,MATCH($B339,'Parametri Modello'!$A$57:$A$60,0)))*(INDEX('Parametri Modello'!$D$57:$D$60,MATCH($B339,'Parametri Modello'!$A$57:$A$60,0))*(INDEX('Parametri Modello'!$B$50:$B$53,MATCH($B339,'Parametri Modello'!$A$50:$A$53,0))*'Parametri Modello'!$B$44))),IF(INDEX('Parametri Modello'!$F$57:$F$60,MATCH($B339,'Parametri Modello'!$A$57:$A$60,0))=0,0,($O339/INDEX('Parametri Modello'!$F$57:$F$60,MATCH($B339,'Parametri Modello'!$A$57:$A$60,0)))*((1-INDEX('Parametri Modello'!$D$57:$D$60,MATCH($B339,'Parametri Modello'!$A$57:$A$60,0)))*(INDEX('Parametri Modello'!$B$50:$B$53,MATCH($B339,'Parametri Modello'!$A$50:$A$53,0))*'Parametri Modello'!$B$44))))*(1+IF(IF($B339="D",'Info Lega'!$B$25,IF($B339="C",'Info Lega'!$B$26,"No"))="Si",'Parametri Modello'!$B$5,0))*(1+MAX(-0.25,MIN(0.25,IF(OR($T339="",$I339="",$I339=0,INDEX('Parametri Modello'!$B$19:$B$22,MATCH($B339,'Parametri Modello'!$A$19:$A$22,0))="",INDEX('Parametri Modello'!$B$19:$B$22,MATCH($B339,'Parametri Modello'!$A$19:$A$22,0))=0),0,(($T339-INDEX('Parametri Modello'!$B$19:$B$22,MATCH($B339,'Parametri Modello'!$A$19:$A$22,0)))/INDEX('Parametri Modello'!$B$19:$B$22,MATCH($B339,'Parametri Modello'!$A$19:$A$22,0)))*'Parametri Modello'!$B$9))))*(1+IF('Parametri Modello'!$B$27="Si",MAX(-'Parametri Modello'!$B$28,MIN('Parametri Modello'!$B$28*1.5,IF(OR(INDEX('Parametri Modello'!$F$32:$F$35,MATCH($B339,'Parametri Modello'!$A$32:$A$35,0))="",INDEX('Parametri Modello'!$F$32:$F$35,MATCH($B339,'Parametri Modello'!$A$32:$A$35,0))=0),0,(1/INDEX('Parametri Modello'!$F$32:$F$35,MATCH($B339,'Parametri Modello'!$A$32:$A$35,0))-1)*'Parametri Modello'!$B$28))),0)))*(1-INDEX('Parametri Modello'!$B$12:$B$15,MATCH($B339,'Parametri Modello'!$A$12:$A$15,0)))),0),"")</f>
        <v>2</v>
      </c>
      <c r="H339" s="24">
        <f>IFERROR(ROUND((IF($V339&lt;=INDEX('Parametri Modello'!$C$57:$C$60,MATCH($B339,'Parametri Modello'!$A$57:$A$60,0)),IF(INDEX('Parametri Modello'!$E$57:$E$60,MATCH($B339,'Parametri Modello'!$A$57:$A$60,0))=0,0,($O339/INDEX('Parametri Modello'!$E$57:$E$60,MATCH($B339,'Parametri Modello'!$A$57:$A$60,0)))*(INDEX('Parametri Modello'!$D$57:$D$60,MATCH($B339,'Parametri Modello'!$A$57:$A$60,0))*(INDEX('Parametri Modello'!$B$50:$B$53,MATCH($B339,'Parametri Modello'!$A$50:$A$53,0))*'Parametri Modello'!$B$44))),IF(INDEX('Parametri Modello'!$F$57:$F$60,MATCH($B339,'Parametri Modello'!$A$57:$A$60,0))=0,0,($O339/INDEX('Parametri Modello'!$F$57:$F$60,MATCH($B339,'Parametri Modello'!$A$57:$A$60,0)))*((1-INDEX('Parametri Modello'!$D$57:$D$60,MATCH($B339,'Parametri Modello'!$A$57:$A$60,0)))*(INDEX('Parametri Modello'!$B$50:$B$53,MATCH($B339,'Parametri Modello'!$A$50:$A$53,0))*'Parametri Modello'!$B$44))))*(1+IF(IF($B339="D",'Info Lega'!$B$25,IF($B339="C",'Info Lega'!$B$26,"No"))="Si",'Parametri Modello'!$B$5,0))*(1+MAX(-0.25,MIN(0.25,IF(OR($T339="",$I339="",$I339=0,INDEX('Parametri Modello'!$B$19:$B$22,MATCH($B339,'Parametri Modello'!$A$19:$A$22,0))="",INDEX('Parametri Modello'!$B$19:$B$22,MATCH($B339,'Parametri Modello'!$A$19:$A$22,0))=0),0,(($T339-INDEX('Parametri Modello'!$B$19:$B$22,MATCH($B339,'Parametri Modello'!$A$19:$A$22,0)))/INDEX('Parametri Modello'!$B$19:$B$22,MATCH($B339,'Parametri Modello'!$A$19:$A$22,0)))*'Parametri Modello'!$B$9))))*(1+IF('Parametri Modello'!$B$27="Si",MAX(-'Parametri Modello'!$B$28,MIN('Parametri Modello'!$B$28*1.5,IF(OR(INDEX('Parametri Modello'!$F$32:$F$35,MATCH($B339,'Parametri Modello'!$A$32:$A$35,0))="",INDEX('Parametri Modello'!$F$32:$F$35,MATCH($B339,'Parametri Modello'!$A$32:$A$35,0))=0),0,(1/INDEX('Parametri Modello'!$F$32:$F$35,MATCH($B339,'Parametri Modello'!$A$32:$A$35,0))-1)*'Parametri Modello'!$B$28))),0)))*(1+INDEX('Parametri Modello'!$B$12:$B$15,MATCH($B339,'Parametri Modello'!$A$12:$A$15,0))),0),"")</f>
        <v>3</v>
      </c>
      <c r="I339" s="23" t="str">
        <f>IFERROR(INDEX('Input Statistiche 2025_26'!$F$3:$F$665,MATCH($A339,'Input Statistiche 2025_26'!$A$3:$A$665,0)),"")</f>
        <v/>
      </c>
      <c r="J339" s="23" t="str">
        <f t="shared" si="45"/>
        <v/>
      </c>
      <c r="K339" s="23" t="str">
        <f>IFERROR(INDEX('Input Statistiche 2025_26'!$I$3:$I$665,MATCH($A339,'Input Statistiche 2025_26'!$A$3:$A$665,0)),"")</f>
        <v/>
      </c>
      <c r="L339" s="23" t="str">
        <f>IFERROR(INDEX('Input Statistiche 2025_26'!$O$3:$O$665,MATCH($A339,'Input Statistiche 2025_26'!$A$3:$A$665,0)),"")</f>
        <v/>
      </c>
      <c r="M339" s="25"/>
      <c r="N339" s="24">
        <f>IFERROR(INDEX('Input Giocatori 2026_27'!$E$3:$E$493,MATCH($A339,'Input Giocatori 2026_27'!$A$3:$A$493,0)),"")</f>
        <v>4</v>
      </c>
      <c r="O339" s="24">
        <f>IFERROR(INDEX('Input Giocatori 2026_27'!$G$3:$G$493,MATCH($A339,'Input Giocatori 2026_27'!$A$3:$A$493,0)),"")</f>
        <v>9</v>
      </c>
      <c r="P339" s="23" t="str">
        <f>IFERROR(IF($O339="","",IF((1-(COUNTIFS($B$2:$B$492,$B339,$O$2:$O$492,"&gt;"&amp;$O339)+1-1)/COUNTIF($B$2:$B$492,$B339))&gt;='Parametri Modello'!$B$63,"Top",IF((1-(COUNTIFS($B$2:$B$492,$B339,$O$2:$O$492,"&gt;"&amp;$O339)+1-1)/COUNTIF($B$2:$B$492,$B339))&gt;='Parametri Modello'!$B$64,"Buono",IF((1-(COUNTIFS($B$2:$B$492,$B339,$O$2:$O$492,"&gt;"&amp;$O339)+1-1)/COUNTIF($B$2:$B$492,$B339))&gt;='Parametri Modello'!$B$65,"Nella Media","Scommessa/Riserva")))),"")</f>
        <v>Scommessa/Riserva</v>
      </c>
      <c r="Q339" s="26">
        <f>IF(AND($D339="",$N339&gt;1),SUMPRODUCT(($D$2:$D339="")*($N$2:$N339&gt;1)),"")</f>
        <v>338</v>
      </c>
      <c r="R339" s="26" t="str">
        <f>IF($D339='Info Lega'!$B$28,COUNTIFS($D$2:$D339,'Info Lega'!$B$28),"")</f>
        <v/>
      </c>
      <c r="S339" s="27" t="str">
        <f>IFERROR(INDEX('Input Statistiche 2025_26'!$G$3:$G$665,MATCH($A339,'Input Statistiche 2025_26'!$A$3:$A$665,0)),"")</f>
        <v/>
      </c>
      <c r="T339" s="27" t="str">
        <f>IFERROR(INDEX('Input Statistiche 2025_26'!$H$3:$H$665,MATCH($A339,'Input Statistiche 2025_26'!$A$3:$A$665,0)),"")</f>
        <v/>
      </c>
      <c r="U339" s="23" t="str">
        <f>IF(OR('La Mia Rosa'!$O$12="",$D339&lt;&gt;""),"",IF($F339&lt;='La Mia Rosa'!$O$12*'Parametri Modello'!$B$24,"OK",IF($F339&lt;='La Mia Rosa'!$O$12*'Parametri Modello'!$B$25,"Attenzione","Rischio Alto")))</f>
        <v>OK</v>
      </c>
      <c r="V339" s="23">
        <f t="shared" si="46"/>
        <v>68</v>
      </c>
      <c r="W339" s="18">
        <f>'Info Lega'!$B$4-SUMIFS($M$2:$M$492,$D$2:$D$492,'Info Lega'!$B$28)</f>
        <v>1000</v>
      </c>
      <c r="X339" s="18">
        <f>('Info Lega'!$B$5-COUNTIFS($D$2:$D$492,'Info Lega'!$B$28,$B$2:$B$492,"P"))+('Info Lega'!$B$6-COUNTIFS($D$2:$D$492,'Info Lega'!$B$28,$B$2:$B$492,"D"))+('Info Lega'!$B$7-COUNTIFS($D$2:$D$492,'Info Lega'!$B$28,$B$2:$B$492,"C"))+('Info Lega'!$B$8-COUNTIFS($D$2:$D$492,'Info Lega'!$B$28,$B$2:$B$492,"A"))</f>
        <v>25</v>
      </c>
      <c r="Y339" s="18">
        <f>X339*'Parametri Modello'!$B$30</f>
        <v>25</v>
      </c>
      <c r="Z339" s="18">
        <f t="shared" si="47"/>
        <v>975</v>
      </c>
      <c r="AA339" s="18">
        <f t="shared" si="48"/>
        <v>3</v>
      </c>
      <c r="AB339" s="18"/>
      <c r="AC339" s="18" t="str">
        <f>IF($AB339="","",IF($AB339&gt;$AA339,"PASS",IF($AB339&lt;=$AA339*(1-'Parametri Modello'!$B$68),"BID","ATTENZIONE")))</f>
        <v/>
      </c>
      <c r="AD339" s="28" t="str">
        <f t="shared" si="49"/>
        <v/>
      </c>
      <c r="AE339" s="5" t="str">
        <f>IFERROR(INDEX('Stato Asta'!$G$9:$G$12,MATCH($B339,'Stato Asta'!$A$9:$A$12,0)),"")</f>
        <v>🔴 Non aspettare</v>
      </c>
      <c r="AF339" t="str">
        <f>IFERROR(IF($V339&lt;=INDEX('Parametri Modello'!$C$57:$C$60,MATCH($B339,'Parametri Modello'!$A$57:$A$60,0)),"Titolare","Riserva"),"")</f>
        <v>Riserva</v>
      </c>
      <c r="AG339" t="str">
        <f>IFERROR(INDEX('Pressione Competitiva'!$F$3:$F$6,MATCH($B339,'Pressione Competitiva'!$B$3:$B$6,0)),"")</f>
        <v>🔴 Molto Alta</v>
      </c>
      <c r="AH339" t="str">
        <f t="shared" si="50"/>
        <v/>
      </c>
      <c r="AI339" t="str">
        <f>IFERROR(IF($AH339="","",IF($AH339&gt;=$AA339*'Parametri Modello'!$B$68,"🟢 Opportunita'",IF($AH339&lt;=$AA339*'Parametri Modello'!$B$69,"🔴 Sovrapprezzo","🟡 Prezzo Corretto"))),"")</f>
        <v/>
      </c>
      <c r="AJ339" t="str">
        <f t="shared" si="51"/>
        <v/>
      </c>
      <c r="AK339">
        <f t="shared" si="52"/>
        <v>14</v>
      </c>
      <c r="AL339" t="str">
        <f t="shared" si="53"/>
        <v>A|Scommessa/Riserva|14</v>
      </c>
    </row>
    <row r="340" spans="1:38" ht="14.25" customHeight="1" x14ac:dyDescent="0.25">
      <c r="A340" s="18">
        <v>7349</v>
      </c>
      <c r="B340" s="18" t="s">
        <v>18</v>
      </c>
      <c r="C340" s="18" t="s">
        <v>479</v>
      </c>
      <c r="E340" s="23" t="str">
        <f>IF(COUNTIF('Info Strategia'!$D$2:$D$51,$C340)&gt;0,"SI","NO")</f>
        <v>NO</v>
      </c>
      <c r="F340" s="24">
        <f>IFERROR(ROUND(($G340+($H340-$G340)*'Info Strategia'!$B$6)*(1+IF($E340="SI",'Parametri Modello'!$B$7*'Info Strategia'!$B$6,0)),0),"")</f>
        <v>3</v>
      </c>
      <c r="G340" s="24">
        <f>IFERROR(ROUND(MAX(1,(IF($V340&lt;=INDEX('Parametri Modello'!$C$57:$C$60,MATCH($B340,'Parametri Modello'!$A$57:$A$60,0)),IF(INDEX('Parametri Modello'!$E$57:$E$60,MATCH($B340,'Parametri Modello'!$A$57:$A$60,0))=0,0,($O340/INDEX('Parametri Modello'!$E$57:$E$60,MATCH($B340,'Parametri Modello'!$A$57:$A$60,0)))*(INDEX('Parametri Modello'!$D$57:$D$60,MATCH($B340,'Parametri Modello'!$A$57:$A$60,0))*(INDEX('Parametri Modello'!$B$50:$B$53,MATCH($B340,'Parametri Modello'!$A$50:$A$53,0))*'Parametri Modello'!$B$44))),IF(INDEX('Parametri Modello'!$F$57:$F$60,MATCH($B340,'Parametri Modello'!$A$57:$A$60,0))=0,0,($O340/INDEX('Parametri Modello'!$F$57:$F$60,MATCH($B340,'Parametri Modello'!$A$57:$A$60,0)))*((1-INDEX('Parametri Modello'!$D$57:$D$60,MATCH($B340,'Parametri Modello'!$A$57:$A$60,0)))*(INDEX('Parametri Modello'!$B$50:$B$53,MATCH($B340,'Parametri Modello'!$A$50:$A$53,0))*'Parametri Modello'!$B$44))))*(1+IF(IF($B340="D",'Info Lega'!$B$25,IF($B340="C",'Info Lega'!$B$26,"No"))="Si",'Parametri Modello'!$B$5,0))*(1+MAX(-0.25,MIN(0.25,IF(OR($T340="",$I340="",$I340=0,INDEX('Parametri Modello'!$B$19:$B$22,MATCH($B340,'Parametri Modello'!$A$19:$A$22,0))="",INDEX('Parametri Modello'!$B$19:$B$22,MATCH($B340,'Parametri Modello'!$A$19:$A$22,0))=0),0,(($T340-INDEX('Parametri Modello'!$B$19:$B$22,MATCH($B340,'Parametri Modello'!$A$19:$A$22,0)))/INDEX('Parametri Modello'!$B$19:$B$22,MATCH($B340,'Parametri Modello'!$A$19:$A$22,0)))*'Parametri Modello'!$B$9))))*(1+IF('Parametri Modello'!$B$27="Si",MAX(-'Parametri Modello'!$B$28,MIN('Parametri Modello'!$B$28*1.5,IF(OR(INDEX('Parametri Modello'!$F$32:$F$35,MATCH($B340,'Parametri Modello'!$A$32:$A$35,0))="",INDEX('Parametri Modello'!$F$32:$F$35,MATCH($B340,'Parametri Modello'!$A$32:$A$35,0))=0),0,(1/INDEX('Parametri Modello'!$F$32:$F$35,MATCH($B340,'Parametri Modello'!$A$32:$A$35,0))-1)*'Parametri Modello'!$B$28))),0)))*(1-INDEX('Parametri Modello'!$B$12:$B$15,MATCH($B340,'Parametri Modello'!$A$12:$A$15,0)))),0),"")</f>
        <v>2</v>
      </c>
      <c r="H340" s="24">
        <f>IFERROR(ROUND((IF($V340&lt;=INDEX('Parametri Modello'!$C$57:$C$60,MATCH($B340,'Parametri Modello'!$A$57:$A$60,0)),IF(INDEX('Parametri Modello'!$E$57:$E$60,MATCH($B340,'Parametri Modello'!$A$57:$A$60,0))=0,0,($O340/INDEX('Parametri Modello'!$E$57:$E$60,MATCH($B340,'Parametri Modello'!$A$57:$A$60,0)))*(INDEX('Parametri Modello'!$D$57:$D$60,MATCH($B340,'Parametri Modello'!$A$57:$A$60,0))*(INDEX('Parametri Modello'!$B$50:$B$53,MATCH($B340,'Parametri Modello'!$A$50:$A$53,0))*'Parametri Modello'!$B$44))),IF(INDEX('Parametri Modello'!$F$57:$F$60,MATCH($B340,'Parametri Modello'!$A$57:$A$60,0))=0,0,($O340/INDEX('Parametri Modello'!$F$57:$F$60,MATCH($B340,'Parametri Modello'!$A$57:$A$60,0)))*((1-INDEX('Parametri Modello'!$D$57:$D$60,MATCH($B340,'Parametri Modello'!$A$57:$A$60,0)))*(INDEX('Parametri Modello'!$B$50:$B$53,MATCH($B340,'Parametri Modello'!$A$50:$A$53,0))*'Parametri Modello'!$B$44))))*(1+IF(IF($B340="D",'Info Lega'!$B$25,IF($B340="C",'Info Lega'!$B$26,"No"))="Si",'Parametri Modello'!$B$5,0))*(1+MAX(-0.25,MIN(0.25,IF(OR($T340="",$I340="",$I340=0,INDEX('Parametri Modello'!$B$19:$B$22,MATCH($B340,'Parametri Modello'!$A$19:$A$22,0))="",INDEX('Parametri Modello'!$B$19:$B$22,MATCH($B340,'Parametri Modello'!$A$19:$A$22,0))=0),0,(($T340-INDEX('Parametri Modello'!$B$19:$B$22,MATCH($B340,'Parametri Modello'!$A$19:$A$22,0)))/INDEX('Parametri Modello'!$B$19:$B$22,MATCH($B340,'Parametri Modello'!$A$19:$A$22,0)))*'Parametri Modello'!$B$9))))*(1+IF('Parametri Modello'!$B$27="Si",MAX(-'Parametri Modello'!$B$28,MIN('Parametri Modello'!$B$28*1.5,IF(OR(INDEX('Parametri Modello'!$F$32:$F$35,MATCH($B340,'Parametri Modello'!$A$32:$A$35,0))="",INDEX('Parametri Modello'!$F$32:$F$35,MATCH($B340,'Parametri Modello'!$A$32:$A$35,0))=0),0,(1/INDEX('Parametri Modello'!$F$32:$F$35,MATCH($B340,'Parametri Modello'!$A$32:$A$35,0))-1)*'Parametri Modello'!$B$28))),0)))*(1+INDEX('Parametri Modello'!$B$12:$B$15,MATCH($B340,'Parametri Modello'!$A$12:$A$15,0))),0),"")</f>
        <v>3</v>
      </c>
      <c r="I340" s="23">
        <f>IFERROR(INDEX('Input Statistiche 2025_26'!$F$3:$F$665,MATCH($A340,'Input Statistiche 2025_26'!$A$3:$A$665,0)),"")</f>
        <v>7</v>
      </c>
      <c r="J340" s="23">
        <f t="shared" si="45"/>
        <v>31</v>
      </c>
      <c r="K340" s="23">
        <f>IFERROR(INDEX('Input Statistiche 2025_26'!$I$3:$I$665,MATCH($A340,'Input Statistiche 2025_26'!$A$3:$A$665,0)),"")</f>
        <v>0</v>
      </c>
      <c r="L340" s="23">
        <f>IFERROR(INDEX('Input Statistiche 2025_26'!$O$3:$O$665,MATCH($A340,'Input Statistiche 2025_26'!$A$3:$A$665,0)),"")</f>
        <v>1</v>
      </c>
      <c r="M340" s="25"/>
      <c r="N340" s="24">
        <f>IFERROR(INDEX('Input Giocatori 2026_27'!$E$3:$E$493,MATCH($A340,'Input Giocatori 2026_27'!$A$3:$A$493,0)),"")</f>
        <v>4</v>
      </c>
      <c r="O340" s="24">
        <f>IFERROR(INDEX('Input Giocatori 2026_27'!$G$3:$G$493,MATCH($A340,'Input Giocatori 2026_27'!$A$3:$A$493,0)),"")</f>
        <v>9</v>
      </c>
      <c r="P340" s="23" t="str">
        <f>IFERROR(IF($O340="","",IF((1-(COUNTIFS($B$2:$B$492,$B340,$O$2:$O$492,"&gt;"&amp;$O340)+1-1)/COUNTIF($B$2:$B$492,$B340))&gt;='Parametri Modello'!$B$63,"Top",IF((1-(COUNTIFS($B$2:$B$492,$B340,$O$2:$O$492,"&gt;"&amp;$O340)+1-1)/COUNTIF($B$2:$B$492,$B340))&gt;='Parametri Modello'!$B$64,"Buono",IF((1-(COUNTIFS($B$2:$B$492,$B340,$O$2:$O$492,"&gt;"&amp;$O340)+1-1)/COUNTIF($B$2:$B$492,$B340))&gt;='Parametri Modello'!$B$65,"Nella Media","Scommessa/Riserva")))),"")</f>
        <v>Scommessa/Riserva</v>
      </c>
      <c r="Q340" s="26">
        <f>IF(AND($D340="",$N340&gt;1),SUMPRODUCT(($D$2:$D340="")*($N$2:$N340&gt;1)),"")</f>
        <v>339</v>
      </c>
      <c r="R340" s="26" t="str">
        <f>IF($D340='Info Lega'!$B$28,COUNTIFS($D$2:$D340,'Info Lega'!$B$28),"")</f>
        <v/>
      </c>
      <c r="S340" s="27">
        <f>IFERROR(INDEX('Input Statistiche 2025_26'!$G$3:$G$665,MATCH($A340,'Input Statistiche 2025_26'!$A$3:$A$665,0)),"")</f>
        <v>5.71</v>
      </c>
      <c r="T340" s="27">
        <f>IFERROR(INDEX('Input Statistiche 2025_26'!$H$3:$H$665,MATCH($A340,'Input Statistiche 2025_26'!$A$3:$A$665,0)),"")</f>
        <v>5.79</v>
      </c>
      <c r="U340" s="23" t="str">
        <f>IF(OR('La Mia Rosa'!$O$12="",$D340&lt;&gt;""),"",IF($F340&lt;='La Mia Rosa'!$O$12*'Parametri Modello'!$B$24,"OK",IF($F340&lt;='La Mia Rosa'!$O$12*'Parametri Modello'!$B$25,"Attenzione","Rischio Alto")))</f>
        <v>OK</v>
      </c>
      <c r="V340" s="23">
        <f t="shared" si="46"/>
        <v>68</v>
      </c>
      <c r="W340" s="18">
        <f>'Info Lega'!$B$4-SUMIFS($M$2:$M$492,$D$2:$D$492,'Info Lega'!$B$28)</f>
        <v>1000</v>
      </c>
      <c r="X340" s="18">
        <f>('Info Lega'!$B$5-COUNTIFS($D$2:$D$492,'Info Lega'!$B$28,$B$2:$B$492,"P"))+('Info Lega'!$B$6-COUNTIFS($D$2:$D$492,'Info Lega'!$B$28,$B$2:$B$492,"D"))+('Info Lega'!$B$7-COUNTIFS($D$2:$D$492,'Info Lega'!$B$28,$B$2:$B$492,"C"))+('Info Lega'!$B$8-COUNTIFS($D$2:$D$492,'Info Lega'!$B$28,$B$2:$B$492,"A"))</f>
        <v>25</v>
      </c>
      <c r="Y340" s="18">
        <f>X340*'Parametri Modello'!$B$30</f>
        <v>25</v>
      </c>
      <c r="Z340" s="18">
        <f t="shared" si="47"/>
        <v>975</v>
      </c>
      <c r="AA340" s="18">
        <f t="shared" si="48"/>
        <v>3</v>
      </c>
      <c r="AB340" s="18"/>
      <c r="AC340" s="18" t="str">
        <f>IF($AB340="","",IF($AB340&gt;$AA340,"PASS",IF($AB340&lt;=$AA340*(1-'Parametri Modello'!$B$68),"BID","ATTENZIONE")))</f>
        <v/>
      </c>
      <c r="AD340" s="28">
        <f t="shared" si="49"/>
        <v>21</v>
      </c>
      <c r="AE340" s="5" t="str">
        <f>IFERROR(INDEX('Stato Asta'!$G$9:$G$12,MATCH($B340,'Stato Asta'!$A$9:$A$12,0)),"")</f>
        <v>🔴 Non aspettare</v>
      </c>
      <c r="AF340" t="str">
        <f>IFERROR(IF($V340&lt;=INDEX('Parametri Modello'!$C$57:$C$60,MATCH($B340,'Parametri Modello'!$A$57:$A$60,0)),"Titolare","Riserva"),"")</f>
        <v>Riserva</v>
      </c>
      <c r="AG340" t="str">
        <f>IFERROR(INDEX('Pressione Competitiva'!$F$3:$F$6,MATCH($B340,'Pressione Competitiva'!$B$3:$B$6,0)),"")</f>
        <v>🔴 Molto Alta</v>
      </c>
      <c r="AH340" t="str">
        <f t="shared" si="50"/>
        <v/>
      </c>
      <c r="AI340" t="str">
        <f>IFERROR(IF($AH340="","",IF($AH340&gt;=$AA340*'Parametri Modello'!$B$68,"🟢 Opportunita'",IF($AH340&lt;=$AA340*'Parametri Modello'!$B$69,"🔴 Sovrapprezzo","🟡 Prezzo Corretto"))),"")</f>
        <v/>
      </c>
      <c r="AJ340" t="str">
        <f t="shared" si="51"/>
        <v/>
      </c>
      <c r="AK340">
        <f t="shared" si="52"/>
        <v>14</v>
      </c>
      <c r="AL340" t="str">
        <f t="shared" si="53"/>
        <v>A|Scommessa/Riserva|14</v>
      </c>
    </row>
    <row r="341" spans="1:38" ht="14.25" customHeight="1" x14ac:dyDescent="0.25">
      <c r="A341" s="18">
        <v>7001</v>
      </c>
      <c r="B341" s="18" t="s">
        <v>18</v>
      </c>
      <c r="C341" s="18" t="s">
        <v>480</v>
      </c>
      <c r="E341" s="23" t="str">
        <f>IF(COUNTIF('Info Strategia'!$D$2:$D$51,$C341)&gt;0,"SI","NO")</f>
        <v>NO</v>
      </c>
      <c r="F341" s="24">
        <f>IFERROR(ROUND(($G341+($H341-$G341)*'Info Strategia'!$B$6)*(1+IF($E341="SI",'Parametri Modello'!$B$7*'Info Strategia'!$B$6,0)),0),"")</f>
        <v>3</v>
      </c>
      <c r="G341" s="24">
        <f>IFERROR(ROUND(MAX(1,(IF($V341&lt;=INDEX('Parametri Modello'!$C$57:$C$60,MATCH($B341,'Parametri Modello'!$A$57:$A$60,0)),IF(INDEX('Parametri Modello'!$E$57:$E$60,MATCH($B341,'Parametri Modello'!$A$57:$A$60,0))=0,0,($O341/INDEX('Parametri Modello'!$E$57:$E$60,MATCH($B341,'Parametri Modello'!$A$57:$A$60,0)))*(INDEX('Parametri Modello'!$D$57:$D$60,MATCH($B341,'Parametri Modello'!$A$57:$A$60,0))*(INDEX('Parametri Modello'!$B$50:$B$53,MATCH($B341,'Parametri Modello'!$A$50:$A$53,0))*'Parametri Modello'!$B$44))),IF(INDEX('Parametri Modello'!$F$57:$F$60,MATCH($B341,'Parametri Modello'!$A$57:$A$60,0))=0,0,($O341/INDEX('Parametri Modello'!$F$57:$F$60,MATCH($B341,'Parametri Modello'!$A$57:$A$60,0)))*((1-INDEX('Parametri Modello'!$D$57:$D$60,MATCH($B341,'Parametri Modello'!$A$57:$A$60,0)))*(INDEX('Parametri Modello'!$B$50:$B$53,MATCH($B341,'Parametri Modello'!$A$50:$A$53,0))*'Parametri Modello'!$B$44))))*(1+IF(IF($B341="D",'Info Lega'!$B$25,IF($B341="C",'Info Lega'!$B$26,"No"))="Si",'Parametri Modello'!$B$5,0))*(1+MAX(-0.25,MIN(0.25,IF(OR($T341="",$I341="",$I341=0,INDEX('Parametri Modello'!$B$19:$B$22,MATCH($B341,'Parametri Modello'!$A$19:$A$22,0))="",INDEX('Parametri Modello'!$B$19:$B$22,MATCH($B341,'Parametri Modello'!$A$19:$A$22,0))=0),0,(($T341-INDEX('Parametri Modello'!$B$19:$B$22,MATCH($B341,'Parametri Modello'!$A$19:$A$22,0)))/INDEX('Parametri Modello'!$B$19:$B$22,MATCH($B341,'Parametri Modello'!$A$19:$A$22,0)))*'Parametri Modello'!$B$9))))*(1+IF('Parametri Modello'!$B$27="Si",MAX(-'Parametri Modello'!$B$28,MIN('Parametri Modello'!$B$28*1.5,IF(OR(INDEX('Parametri Modello'!$F$32:$F$35,MATCH($B341,'Parametri Modello'!$A$32:$A$35,0))="",INDEX('Parametri Modello'!$F$32:$F$35,MATCH($B341,'Parametri Modello'!$A$32:$A$35,0))=0),0,(1/INDEX('Parametri Modello'!$F$32:$F$35,MATCH($B341,'Parametri Modello'!$A$32:$A$35,0))-1)*'Parametri Modello'!$B$28))),0)))*(1-INDEX('Parametri Modello'!$B$12:$B$15,MATCH($B341,'Parametri Modello'!$A$12:$A$15,0)))),0),"")</f>
        <v>2</v>
      </c>
      <c r="H341" s="24">
        <f>IFERROR(ROUND((IF($V341&lt;=INDEX('Parametri Modello'!$C$57:$C$60,MATCH($B341,'Parametri Modello'!$A$57:$A$60,0)),IF(INDEX('Parametri Modello'!$E$57:$E$60,MATCH($B341,'Parametri Modello'!$A$57:$A$60,0))=0,0,($O341/INDEX('Parametri Modello'!$E$57:$E$60,MATCH($B341,'Parametri Modello'!$A$57:$A$60,0)))*(INDEX('Parametri Modello'!$D$57:$D$60,MATCH($B341,'Parametri Modello'!$A$57:$A$60,0))*(INDEX('Parametri Modello'!$B$50:$B$53,MATCH($B341,'Parametri Modello'!$A$50:$A$53,0))*'Parametri Modello'!$B$44))),IF(INDEX('Parametri Modello'!$F$57:$F$60,MATCH($B341,'Parametri Modello'!$A$57:$A$60,0))=0,0,($O341/INDEX('Parametri Modello'!$F$57:$F$60,MATCH($B341,'Parametri Modello'!$A$57:$A$60,0)))*((1-INDEX('Parametri Modello'!$D$57:$D$60,MATCH($B341,'Parametri Modello'!$A$57:$A$60,0)))*(INDEX('Parametri Modello'!$B$50:$B$53,MATCH($B341,'Parametri Modello'!$A$50:$A$53,0))*'Parametri Modello'!$B$44))))*(1+IF(IF($B341="D",'Info Lega'!$B$25,IF($B341="C",'Info Lega'!$B$26,"No"))="Si",'Parametri Modello'!$B$5,0))*(1+MAX(-0.25,MIN(0.25,IF(OR($T341="",$I341="",$I341=0,INDEX('Parametri Modello'!$B$19:$B$22,MATCH($B341,'Parametri Modello'!$A$19:$A$22,0))="",INDEX('Parametri Modello'!$B$19:$B$22,MATCH($B341,'Parametri Modello'!$A$19:$A$22,0))=0),0,(($T341-INDEX('Parametri Modello'!$B$19:$B$22,MATCH($B341,'Parametri Modello'!$A$19:$A$22,0)))/INDEX('Parametri Modello'!$B$19:$B$22,MATCH($B341,'Parametri Modello'!$A$19:$A$22,0)))*'Parametri Modello'!$B$9))))*(1+IF('Parametri Modello'!$B$27="Si",MAX(-'Parametri Modello'!$B$28,MIN('Parametri Modello'!$B$28*1.5,IF(OR(INDEX('Parametri Modello'!$F$32:$F$35,MATCH($B341,'Parametri Modello'!$A$32:$A$35,0))="",INDEX('Parametri Modello'!$F$32:$F$35,MATCH($B341,'Parametri Modello'!$A$32:$A$35,0))=0),0,(1/INDEX('Parametri Modello'!$F$32:$F$35,MATCH($B341,'Parametri Modello'!$A$32:$A$35,0))-1)*'Parametri Modello'!$B$28))),0)))*(1+INDEX('Parametri Modello'!$B$12:$B$15,MATCH($B341,'Parametri Modello'!$A$12:$A$15,0))),0),"")</f>
        <v>3</v>
      </c>
      <c r="I341" s="23">
        <f>IFERROR(INDEX('Input Statistiche 2025_26'!$F$3:$F$665,MATCH($A341,'Input Statistiche 2025_26'!$A$3:$A$665,0)),"")</f>
        <v>17</v>
      </c>
      <c r="J341" s="23">
        <f t="shared" si="45"/>
        <v>21</v>
      </c>
      <c r="K341" s="23">
        <f>IFERROR(INDEX('Input Statistiche 2025_26'!$I$3:$I$665,MATCH($A341,'Input Statistiche 2025_26'!$A$3:$A$665,0)),"")</f>
        <v>2</v>
      </c>
      <c r="L341" s="23">
        <f>IFERROR(INDEX('Input Statistiche 2025_26'!$O$3:$O$665,MATCH($A341,'Input Statistiche 2025_26'!$A$3:$A$665,0)),"")</f>
        <v>0</v>
      </c>
      <c r="M341" s="25"/>
      <c r="N341" s="24">
        <f>IFERROR(INDEX('Input Giocatori 2026_27'!$E$3:$E$493,MATCH($A341,'Input Giocatori 2026_27'!$A$3:$A$493,0)),"")</f>
        <v>3</v>
      </c>
      <c r="O341" s="24">
        <f>IFERROR(INDEX('Input Giocatori 2026_27'!$G$3:$G$493,MATCH($A341,'Input Giocatori 2026_27'!$A$3:$A$493,0)),"")</f>
        <v>9</v>
      </c>
      <c r="P341" s="23" t="str">
        <f>IFERROR(IF($O341="","",IF((1-(COUNTIFS($B$2:$B$492,$B341,$O$2:$O$492,"&gt;"&amp;$O341)+1-1)/COUNTIF($B$2:$B$492,$B341))&gt;='Parametri Modello'!$B$63,"Top",IF((1-(COUNTIFS($B$2:$B$492,$B341,$O$2:$O$492,"&gt;"&amp;$O341)+1-1)/COUNTIF($B$2:$B$492,$B341))&gt;='Parametri Modello'!$B$64,"Buono",IF((1-(COUNTIFS($B$2:$B$492,$B341,$O$2:$O$492,"&gt;"&amp;$O341)+1-1)/COUNTIF($B$2:$B$492,$B341))&gt;='Parametri Modello'!$B$65,"Nella Media","Scommessa/Riserva")))),"")</f>
        <v>Scommessa/Riserva</v>
      </c>
      <c r="Q341" s="26">
        <f>IF(AND($D341="",$N341&gt;1),SUMPRODUCT(($D$2:$D341="")*($N$2:$N341&gt;1)),"")</f>
        <v>340</v>
      </c>
      <c r="R341" s="26" t="str">
        <f>IF($D341='Info Lega'!$B$28,COUNTIFS($D$2:$D341,'Info Lega'!$B$28),"")</f>
        <v/>
      </c>
      <c r="S341" s="27">
        <f>IFERROR(INDEX('Input Statistiche 2025_26'!$G$3:$G$665,MATCH($A341,'Input Statistiche 2025_26'!$A$3:$A$665,0)),"")</f>
        <v>5.82</v>
      </c>
      <c r="T341" s="27">
        <f>IFERROR(INDEX('Input Statistiche 2025_26'!$H$3:$H$665,MATCH($A341,'Input Statistiche 2025_26'!$A$3:$A$665,0)),"")</f>
        <v>6.09</v>
      </c>
      <c r="U341" s="23" t="str">
        <f>IF(OR('La Mia Rosa'!$O$12="",$D341&lt;&gt;""),"",IF($F341&lt;='La Mia Rosa'!$O$12*'Parametri Modello'!$B$24,"OK",IF($F341&lt;='La Mia Rosa'!$O$12*'Parametri Modello'!$B$25,"Attenzione","Rischio Alto")))</f>
        <v>OK</v>
      </c>
      <c r="V341" s="23">
        <f t="shared" si="46"/>
        <v>68</v>
      </c>
      <c r="W341" s="18">
        <f>'Info Lega'!$B$4-SUMIFS($M$2:$M$492,$D$2:$D$492,'Info Lega'!$B$28)</f>
        <v>1000</v>
      </c>
      <c r="X341" s="18">
        <f>('Info Lega'!$B$5-COUNTIFS($D$2:$D$492,'Info Lega'!$B$28,$B$2:$B$492,"P"))+('Info Lega'!$B$6-COUNTIFS($D$2:$D$492,'Info Lega'!$B$28,$B$2:$B$492,"D"))+('Info Lega'!$B$7-COUNTIFS($D$2:$D$492,'Info Lega'!$B$28,$B$2:$B$492,"C"))+('Info Lega'!$B$8-COUNTIFS($D$2:$D$492,'Info Lega'!$B$28,$B$2:$B$492,"A"))</f>
        <v>25</v>
      </c>
      <c r="Y341" s="18">
        <f>X341*'Parametri Modello'!$B$30</f>
        <v>25</v>
      </c>
      <c r="Z341" s="18">
        <f t="shared" si="47"/>
        <v>975</v>
      </c>
      <c r="AA341" s="18">
        <f t="shared" si="48"/>
        <v>3</v>
      </c>
      <c r="AB341" s="18"/>
      <c r="AC341" s="18" t="str">
        <f>IF($AB341="","",IF($AB341&gt;$AA341,"PASS",IF($AB341&lt;=$AA341*(1-'Parametri Modello'!$B$68),"BID","ATTENZIONE")))</f>
        <v/>
      </c>
      <c r="AD341" s="28">
        <f t="shared" si="49"/>
        <v>43</v>
      </c>
      <c r="AE341" s="5" t="str">
        <f>IFERROR(INDEX('Stato Asta'!$G$9:$G$12,MATCH($B341,'Stato Asta'!$A$9:$A$12,0)),"")</f>
        <v>🔴 Non aspettare</v>
      </c>
      <c r="AF341" t="str">
        <f>IFERROR(IF($V341&lt;=INDEX('Parametri Modello'!$C$57:$C$60,MATCH($B341,'Parametri Modello'!$A$57:$A$60,0)),"Titolare","Riserva"),"")</f>
        <v>Riserva</v>
      </c>
      <c r="AG341" t="str">
        <f>IFERROR(INDEX('Pressione Competitiva'!$F$3:$F$6,MATCH($B341,'Pressione Competitiva'!$B$3:$B$6,0)),"")</f>
        <v>🔴 Molto Alta</v>
      </c>
      <c r="AH341" t="str">
        <f t="shared" si="50"/>
        <v/>
      </c>
      <c r="AI341" t="str">
        <f>IFERROR(IF($AH341="","",IF($AH341&gt;=$AA341*'Parametri Modello'!$B$68,"🟢 Opportunita'",IF($AH341&lt;=$AA341*'Parametri Modello'!$B$69,"🔴 Sovrapprezzo","🟡 Prezzo Corretto"))),"")</f>
        <v/>
      </c>
      <c r="AJ341" t="str">
        <f t="shared" si="51"/>
        <v/>
      </c>
      <c r="AK341">
        <f t="shared" si="52"/>
        <v>14</v>
      </c>
      <c r="AL341" t="str">
        <f t="shared" si="53"/>
        <v>A|Scommessa/Riserva|14</v>
      </c>
    </row>
    <row r="342" spans="1:38" ht="14.25" customHeight="1" x14ac:dyDescent="0.25">
      <c r="A342" s="18">
        <v>6415</v>
      </c>
      <c r="B342" s="18" t="s">
        <v>15</v>
      </c>
      <c r="C342" s="18" t="s">
        <v>481</v>
      </c>
      <c r="E342" s="23" t="str">
        <f>IF(COUNTIF('Info Strategia'!$D$2:$D$51,$C342)&gt;0,"SI","NO")</f>
        <v>NO</v>
      </c>
      <c r="F342" s="24">
        <f>IFERROR(ROUND(($G342+($H342-$G342)*'Info Strategia'!$B$6)*(1+IF($E342="SI",'Parametri Modello'!$B$7*'Info Strategia'!$B$6,0)),0),"")</f>
        <v>3</v>
      </c>
      <c r="G342" s="24">
        <f>IFERROR(ROUND(MAX(1,(IF($V342&lt;=INDEX('Parametri Modello'!$C$57:$C$60,MATCH($B342,'Parametri Modello'!$A$57:$A$60,0)),IF(INDEX('Parametri Modello'!$E$57:$E$60,MATCH($B342,'Parametri Modello'!$A$57:$A$60,0))=0,0,($O342/INDEX('Parametri Modello'!$E$57:$E$60,MATCH($B342,'Parametri Modello'!$A$57:$A$60,0)))*(INDEX('Parametri Modello'!$D$57:$D$60,MATCH($B342,'Parametri Modello'!$A$57:$A$60,0))*(INDEX('Parametri Modello'!$B$50:$B$53,MATCH($B342,'Parametri Modello'!$A$50:$A$53,0))*'Parametri Modello'!$B$44))),IF(INDEX('Parametri Modello'!$F$57:$F$60,MATCH($B342,'Parametri Modello'!$A$57:$A$60,0))=0,0,($O342/INDEX('Parametri Modello'!$F$57:$F$60,MATCH($B342,'Parametri Modello'!$A$57:$A$60,0)))*((1-INDEX('Parametri Modello'!$D$57:$D$60,MATCH($B342,'Parametri Modello'!$A$57:$A$60,0)))*(INDEX('Parametri Modello'!$B$50:$B$53,MATCH($B342,'Parametri Modello'!$A$50:$A$53,0))*'Parametri Modello'!$B$44))))*(1+IF(IF($B342="D",'Info Lega'!$B$25,IF($B342="C",'Info Lega'!$B$26,"No"))="Si",'Parametri Modello'!$B$5,0))*(1+MAX(-0.25,MIN(0.25,IF(OR($T342="",$I342="",$I342=0,INDEX('Parametri Modello'!$B$19:$B$22,MATCH($B342,'Parametri Modello'!$A$19:$A$22,0))="",INDEX('Parametri Modello'!$B$19:$B$22,MATCH($B342,'Parametri Modello'!$A$19:$A$22,0))=0),0,(($T342-INDEX('Parametri Modello'!$B$19:$B$22,MATCH($B342,'Parametri Modello'!$A$19:$A$22,0)))/INDEX('Parametri Modello'!$B$19:$B$22,MATCH($B342,'Parametri Modello'!$A$19:$A$22,0)))*'Parametri Modello'!$B$9))))*(1+IF('Parametri Modello'!$B$27="Si",MAX(-'Parametri Modello'!$B$28,MIN('Parametri Modello'!$B$28*1.5,IF(OR(INDEX('Parametri Modello'!$F$32:$F$35,MATCH($B342,'Parametri Modello'!$A$32:$A$35,0))="",INDEX('Parametri Modello'!$F$32:$F$35,MATCH($B342,'Parametri Modello'!$A$32:$A$35,0))=0),0,(1/INDEX('Parametri Modello'!$F$32:$F$35,MATCH($B342,'Parametri Modello'!$A$32:$A$35,0))-1)*'Parametri Modello'!$B$28))),0)))*(1-INDEX('Parametri Modello'!$B$12:$B$15,MATCH($B342,'Parametri Modello'!$A$12:$A$15,0)))),0),"")</f>
        <v>2</v>
      </c>
      <c r="H342" s="24">
        <f>IFERROR(ROUND((IF($V342&lt;=INDEX('Parametri Modello'!$C$57:$C$60,MATCH($B342,'Parametri Modello'!$A$57:$A$60,0)),IF(INDEX('Parametri Modello'!$E$57:$E$60,MATCH($B342,'Parametri Modello'!$A$57:$A$60,0))=0,0,($O342/INDEX('Parametri Modello'!$E$57:$E$60,MATCH($B342,'Parametri Modello'!$A$57:$A$60,0)))*(INDEX('Parametri Modello'!$D$57:$D$60,MATCH($B342,'Parametri Modello'!$A$57:$A$60,0))*(INDEX('Parametri Modello'!$B$50:$B$53,MATCH($B342,'Parametri Modello'!$A$50:$A$53,0))*'Parametri Modello'!$B$44))),IF(INDEX('Parametri Modello'!$F$57:$F$60,MATCH($B342,'Parametri Modello'!$A$57:$A$60,0))=0,0,($O342/INDEX('Parametri Modello'!$F$57:$F$60,MATCH($B342,'Parametri Modello'!$A$57:$A$60,0)))*((1-INDEX('Parametri Modello'!$D$57:$D$60,MATCH($B342,'Parametri Modello'!$A$57:$A$60,0)))*(INDEX('Parametri Modello'!$B$50:$B$53,MATCH($B342,'Parametri Modello'!$A$50:$A$53,0))*'Parametri Modello'!$B$44))))*(1+IF(IF($B342="D",'Info Lega'!$B$25,IF($B342="C",'Info Lega'!$B$26,"No"))="Si",'Parametri Modello'!$B$5,0))*(1+MAX(-0.25,MIN(0.25,IF(OR($T342="",$I342="",$I342=0,INDEX('Parametri Modello'!$B$19:$B$22,MATCH($B342,'Parametri Modello'!$A$19:$A$22,0))="",INDEX('Parametri Modello'!$B$19:$B$22,MATCH($B342,'Parametri Modello'!$A$19:$A$22,0))=0),0,(($T342-INDEX('Parametri Modello'!$B$19:$B$22,MATCH($B342,'Parametri Modello'!$A$19:$A$22,0)))/INDEX('Parametri Modello'!$B$19:$B$22,MATCH($B342,'Parametri Modello'!$A$19:$A$22,0)))*'Parametri Modello'!$B$9))))*(1+IF('Parametri Modello'!$B$27="Si",MAX(-'Parametri Modello'!$B$28,MIN('Parametri Modello'!$B$28*1.5,IF(OR(INDEX('Parametri Modello'!$F$32:$F$35,MATCH($B342,'Parametri Modello'!$A$32:$A$35,0))="",INDEX('Parametri Modello'!$F$32:$F$35,MATCH($B342,'Parametri Modello'!$A$32:$A$35,0))=0),0,(1/INDEX('Parametri Modello'!$F$32:$F$35,MATCH($B342,'Parametri Modello'!$A$32:$A$35,0))-1)*'Parametri Modello'!$B$28))),0)))*(1+INDEX('Parametri Modello'!$B$12:$B$15,MATCH($B342,'Parametri Modello'!$A$12:$A$15,0))),0),"")</f>
        <v>3</v>
      </c>
      <c r="I342" s="23" t="str">
        <f>IFERROR(INDEX('Input Statistiche 2025_26'!$F$3:$F$665,MATCH($A342,'Input Statistiche 2025_26'!$A$3:$A$665,0)),"")</f>
        <v/>
      </c>
      <c r="J342" s="23" t="str">
        <f t="shared" si="45"/>
        <v/>
      </c>
      <c r="K342" s="23" t="str">
        <f>IFERROR(INDEX('Input Statistiche 2025_26'!$I$3:$I$665,MATCH($A342,'Input Statistiche 2025_26'!$A$3:$A$665,0)),"")</f>
        <v/>
      </c>
      <c r="L342" s="23" t="str">
        <f>IFERROR(INDEX('Input Statistiche 2025_26'!$O$3:$O$665,MATCH($A342,'Input Statistiche 2025_26'!$A$3:$A$665,0)),"")</f>
        <v/>
      </c>
      <c r="M342" s="25"/>
      <c r="N342" s="24">
        <f>IFERROR(INDEX('Input Giocatori 2026_27'!$E$3:$E$493,MATCH($A342,'Input Giocatori 2026_27'!$A$3:$A$493,0)),"")</f>
        <v>4</v>
      </c>
      <c r="O342" s="24">
        <f>IFERROR(INDEX('Input Giocatori 2026_27'!$G$3:$G$493,MATCH($A342,'Input Giocatori 2026_27'!$A$3:$A$493,0)),"")</f>
        <v>8</v>
      </c>
      <c r="P342" s="23" t="str">
        <f>IFERROR(IF($O342="","",IF((1-(COUNTIFS($B$2:$B$492,$B342,$O$2:$O$492,"&gt;"&amp;$O342)+1-1)/COUNTIF($B$2:$B$492,$B342))&gt;='Parametri Modello'!$B$63,"Top",IF((1-(COUNTIFS($B$2:$B$492,$B342,$O$2:$O$492,"&gt;"&amp;$O342)+1-1)/COUNTIF($B$2:$B$492,$B342))&gt;='Parametri Modello'!$B$64,"Buono",IF((1-(COUNTIFS($B$2:$B$492,$B342,$O$2:$O$492,"&gt;"&amp;$O342)+1-1)/COUNTIF($B$2:$B$492,$B342))&gt;='Parametri Modello'!$B$65,"Nella Media","Scommessa/Riserva")))),"")</f>
        <v>Nella Media</v>
      </c>
      <c r="Q342" s="26">
        <f>IF(AND($D342="",$N342&gt;1),SUMPRODUCT(($D$2:$D342="")*($N$2:$N342&gt;1)),"")</f>
        <v>341</v>
      </c>
      <c r="R342" s="26" t="str">
        <f>IF($D342='Info Lega'!$B$28,COUNTIFS($D$2:$D342,'Info Lega'!$B$28),"")</f>
        <v/>
      </c>
      <c r="S342" s="27" t="str">
        <f>IFERROR(INDEX('Input Statistiche 2025_26'!$G$3:$G$665,MATCH($A342,'Input Statistiche 2025_26'!$A$3:$A$665,0)),"")</f>
        <v/>
      </c>
      <c r="T342" s="27" t="str">
        <f>IFERROR(INDEX('Input Statistiche 2025_26'!$H$3:$H$665,MATCH($A342,'Input Statistiche 2025_26'!$A$3:$A$665,0)),"")</f>
        <v/>
      </c>
      <c r="U342" s="23" t="str">
        <f>IF(OR('La Mia Rosa'!$O$12="",$D342&lt;&gt;""),"",IF($F342&lt;='La Mia Rosa'!$O$12*'Parametri Modello'!$B$24,"OK",IF($F342&lt;='La Mia Rosa'!$O$12*'Parametri Modello'!$B$25,"Attenzione","Rischio Alto")))</f>
        <v>OK</v>
      </c>
      <c r="V342" s="23">
        <f t="shared" si="46"/>
        <v>21</v>
      </c>
      <c r="W342" s="18">
        <f>'Info Lega'!$B$4-SUMIFS($M$2:$M$492,$D$2:$D$492,'Info Lega'!$B$28)</f>
        <v>1000</v>
      </c>
      <c r="X342" s="18">
        <f>('Info Lega'!$B$5-COUNTIFS($D$2:$D$492,'Info Lega'!$B$28,$B$2:$B$492,"P"))+('Info Lega'!$B$6-COUNTIFS($D$2:$D$492,'Info Lega'!$B$28,$B$2:$B$492,"D"))+('Info Lega'!$B$7-COUNTIFS($D$2:$D$492,'Info Lega'!$B$28,$B$2:$B$492,"C"))+('Info Lega'!$B$8-COUNTIFS($D$2:$D$492,'Info Lega'!$B$28,$B$2:$B$492,"A"))</f>
        <v>25</v>
      </c>
      <c r="Y342" s="18">
        <f>X342*'Parametri Modello'!$B$30</f>
        <v>25</v>
      </c>
      <c r="Z342" s="18">
        <f t="shared" si="47"/>
        <v>975</v>
      </c>
      <c r="AA342" s="18">
        <f t="shared" si="48"/>
        <v>3</v>
      </c>
      <c r="AB342" s="18"/>
      <c r="AC342" s="18" t="str">
        <f>IF($AB342="","",IF($AB342&gt;$AA342,"PASS",IF($AB342&lt;=$AA342*(1-'Parametri Modello'!$B$68),"BID","ATTENZIONE")))</f>
        <v/>
      </c>
      <c r="AD342" s="28" t="str">
        <f t="shared" si="49"/>
        <v/>
      </c>
      <c r="AE342" s="5" t="str">
        <f>IFERROR(INDEX('Stato Asta'!$G$9:$G$12,MATCH($B342,'Stato Asta'!$A$9:$A$12,0)),"")</f>
        <v>🔴 Non aspettare</v>
      </c>
      <c r="AF342" t="str">
        <f>IFERROR(IF($V342&lt;=INDEX('Parametri Modello'!$C$57:$C$60,MATCH($B342,'Parametri Modello'!$A$57:$A$60,0)),"Titolare","Riserva"),"")</f>
        <v>Riserva</v>
      </c>
      <c r="AG342" t="str">
        <f>IFERROR(INDEX('Pressione Competitiva'!$F$3:$F$6,MATCH($B342,'Pressione Competitiva'!$B$3:$B$6,0)),"")</f>
        <v>🔴 Molto Alta</v>
      </c>
      <c r="AH342" t="str">
        <f t="shared" si="50"/>
        <v/>
      </c>
      <c r="AI342" t="str">
        <f>IFERROR(IF($AH342="","",IF($AH342&gt;=$AA342*'Parametri Modello'!$B$68,"🟢 Opportunita'",IF($AH342&lt;=$AA342*'Parametri Modello'!$B$69,"🔴 Sovrapprezzo","🟡 Prezzo Corretto"))),"")</f>
        <v/>
      </c>
      <c r="AJ342" t="str">
        <f t="shared" si="51"/>
        <v/>
      </c>
      <c r="AK342">
        <f t="shared" si="52"/>
        <v>3</v>
      </c>
      <c r="AL342" t="str">
        <f t="shared" si="53"/>
        <v>P|Nella Media|3</v>
      </c>
    </row>
    <row r="343" spans="1:38" ht="14.25" customHeight="1" x14ac:dyDescent="0.25">
      <c r="A343" s="18">
        <v>7463</v>
      </c>
      <c r="B343" s="18" t="s">
        <v>15</v>
      </c>
      <c r="C343" s="18" t="s">
        <v>482</v>
      </c>
      <c r="E343" s="23" t="str">
        <f>IF(COUNTIF('Info Strategia'!$D$2:$D$51,$C343)&gt;0,"SI","NO")</f>
        <v>NO</v>
      </c>
      <c r="F343" s="24">
        <f>IFERROR(ROUND(($G343+($H343-$G343)*'Info Strategia'!$B$6)*(1+IF($E343="SI",'Parametri Modello'!$B$7*'Info Strategia'!$B$6,0)),0),"")</f>
        <v>3</v>
      </c>
      <c r="G343" s="24">
        <f>IFERROR(ROUND(MAX(1,(IF($V343&lt;=INDEX('Parametri Modello'!$C$57:$C$60,MATCH($B343,'Parametri Modello'!$A$57:$A$60,0)),IF(INDEX('Parametri Modello'!$E$57:$E$60,MATCH($B343,'Parametri Modello'!$A$57:$A$60,0))=0,0,($O343/INDEX('Parametri Modello'!$E$57:$E$60,MATCH($B343,'Parametri Modello'!$A$57:$A$60,0)))*(INDEX('Parametri Modello'!$D$57:$D$60,MATCH($B343,'Parametri Modello'!$A$57:$A$60,0))*(INDEX('Parametri Modello'!$B$50:$B$53,MATCH($B343,'Parametri Modello'!$A$50:$A$53,0))*'Parametri Modello'!$B$44))),IF(INDEX('Parametri Modello'!$F$57:$F$60,MATCH($B343,'Parametri Modello'!$A$57:$A$60,0))=0,0,($O343/INDEX('Parametri Modello'!$F$57:$F$60,MATCH($B343,'Parametri Modello'!$A$57:$A$60,0)))*((1-INDEX('Parametri Modello'!$D$57:$D$60,MATCH($B343,'Parametri Modello'!$A$57:$A$60,0)))*(INDEX('Parametri Modello'!$B$50:$B$53,MATCH($B343,'Parametri Modello'!$A$50:$A$53,0))*'Parametri Modello'!$B$44))))*(1+IF(IF($B343="D",'Info Lega'!$B$25,IF($B343="C",'Info Lega'!$B$26,"No"))="Si",'Parametri Modello'!$B$5,0))*(1+MAX(-0.25,MIN(0.25,IF(OR($T343="",$I343="",$I343=0,INDEX('Parametri Modello'!$B$19:$B$22,MATCH($B343,'Parametri Modello'!$A$19:$A$22,0))="",INDEX('Parametri Modello'!$B$19:$B$22,MATCH($B343,'Parametri Modello'!$A$19:$A$22,0))=0),0,(($T343-INDEX('Parametri Modello'!$B$19:$B$22,MATCH($B343,'Parametri Modello'!$A$19:$A$22,0)))/INDEX('Parametri Modello'!$B$19:$B$22,MATCH($B343,'Parametri Modello'!$A$19:$A$22,0)))*'Parametri Modello'!$B$9))))*(1+IF('Parametri Modello'!$B$27="Si",MAX(-'Parametri Modello'!$B$28,MIN('Parametri Modello'!$B$28*1.5,IF(OR(INDEX('Parametri Modello'!$F$32:$F$35,MATCH($B343,'Parametri Modello'!$A$32:$A$35,0))="",INDEX('Parametri Modello'!$F$32:$F$35,MATCH($B343,'Parametri Modello'!$A$32:$A$35,0))=0),0,(1/INDEX('Parametri Modello'!$F$32:$F$35,MATCH($B343,'Parametri Modello'!$A$32:$A$35,0))-1)*'Parametri Modello'!$B$28))),0)))*(1-INDEX('Parametri Modello'!$B$12:$B$15,MATCH($B343,'Parametri Modello'!$A$12:$A$15,0)))),0),"")</f>
        <v>2</v>
      </c>
      <c r="H343" s="24">
        <f>IFERROR(ROUND((IF($V343&lt;=INDEX('Parametri Modello'!$C$57:$C$60,MATCH($B343,'Parametri Modello'!$A$57:$A$60,0)),IF(INDEX('Parametri Modello'!$E$57:$E$60,MATCH($B343,'Parametri Modello'!$A$57:$A$60,0))=0,0,($O343/INDEX('Parametri Modello'!$E$57:$E$60,MATCH($B343,'Parametri Modello'!$A$57:$A$60,0)))*(INDEX('Parametri Modello'!$D$57:$D$60,MATCH($B343,'Parametri Modello'!$A$57:$A$60,0))*(INDEX('Parametri Modello'!$B$50:$B$53,MATCH($B343,'Parametri Modello'!$A$50:$A$53,0))*'Parametri Modello'!$B$44))),IF(INDEX('Parametri Modello'!$F$57:$F$60,MATCH($B343,'Parametri Modello'!$A$57:$A$60,0))=0,0,($O343/INDEX('Parametri Modello'!$F$57:$F$60,MATCH($B343,'Parametri Modello'!$A$57:$A$60,0)))*((1-INDEX('Parametri Modello'!$D$57:$D$60,MATCH($B343,'Parametri Modello'!$A$57:$A$60,0)))*(INDEX('Parametri Modello'!$B$50:$B$53,MATCH($B343,'Parametri Modello'!$A$50:$A$53,0))*'Parametri Modello'!$B$44))))*(1+IF(IF($B343="D",'Info Lega'!$B$25,IF($B343="C",'Info Lega'!$B$26,"No"))="Si",'Parametri Modello'!$B$5,0))*(1+MAX(-0.25,MIN(0.25,IF(OR($T343="",$I343="",$I343=0,INDEX('Parametri Modello'!$B$19:$B$22,MATCH($B343,'Parametri Modello'!$A$19:$A$22,0))="",INDEX('Parametri Modello'!$B$19:$B$22,MATCH($B343,'Parametri Modello'!$A$19:$A$22,0))=0),0,(($T343-INDEX('Parametri Modello'!$B$19:$B$22,MATCH($B343,'Parametri Modello'!$A$19:$A$22,0)))/INDEX('Parametri Modello'!$B$19:$B$22,MATCH($B343,'Parametri Modello'!$A$19:$A$22,0)))*'Parametri Modello'!$B$9))))*(1+IF('Parametri Modello'!$B$27="Si",MAX(-'Parametri Modello'!$B$28,MIN('Parametri Modello'!$B$28*1.5,IF(OR(INDEX('Parametri Modello'!$F$32:$F$35,MATCH($B343,'Parametri Modello'!$A$32:$A$35,0))="",INDEX('Parametri Modello'!$F$32:$F$35,MATCH($B343,'Parametri Modello'!$A$32:$A$35,0))=0),0,(1/INDEX('Parametri Modello'!$F$32:$F$35,MATCH($B343,'Parametri Modello'!$A$32:$A$35,0))-1)*'Parametri Modello'!$B$28))),0)))*(1+INDEX('Parametri Modello'!$B$12:$B$15,MATCH($B343,'Parametri Modello'!$A$12:$A$15,0))),0),"")</f>
        <v>3</v>
      </c>
      <c r="I343" s="23" t="str">
        <f>IFERROR(INDEX('Input Statistiche 2025_26'!$F$3:$F$665,MATCH($A343,'Input Statistiche 2025_26'!$A$3:$A$665,0)),"")</f>
        <v/>
      </c>
      <c r="J343" s="23" t="str">
        <f t="shared" si="45"/>
        <v/>
      </c>
      <c r="K343" s="23" t="str">
        <f>IFERROR(INDEX('Input Statistiche 2025_26'!$I$3:$I$665,MATCH($A343,'Input Statistiche 2025_26'!$A$3:$A$665,0)),"")</f>
        <v/>
      </c>
      <c r="L343" s="23" t="str">
        <f>IFERROR(INDEX('Input Statistiche 2025_26'!$O$3:$O$665,MATCH($A343,'Input Statistiche 2025_26'!$A$3:$A$665,0)),"")</f>
        <v/>
      </c>
      <c r="M343" s="25"/>
      <c r="N343" s="24">
        <f>IFERROR(INDEX('Input Giocatori 2026_27'!$E$3:$E$493,MATCH($A343,'Input Giocatori 2026_27'!$A$3:$A$493,0)),"")</f>
        <v>2</v>
      </c>
      <c r="O343" s="24">
        <f>IFERROR(INDEX('Input Giocatori 2026_27'!$G$3:$G$493,MATCH($A343,'Input Giocatori 2026_27'!$A$3:$A$493,0)),"")</f>
        <v>8</v>
      </c>
      <c r="P343" s="23" t="str">
        <f>IFERROR(IF($O343="","",IF((1-(COUNTIFS($B$2:$B$492,$B343,$O$2:$O$492,"&gt;"&amp;$O343)+1-1)/COUNTIF($B$2:$B$492,$B343))&gt;='Parametri Modello'!$B$63,"Top",IF((1-(COUNTIFS($B$2:$B$492,$B343,$O$2:$O$492,"&gt;"&amp;$O343)+1-1)/COUNTIF($B$2:$B$492,$B343))&gt;='Parametri Modello'!$B$64,"Buono",IF((1-(COUNTIFS($B$2:$B$492,$B343,$O$2:$O$492,"&gt;"&amp;$O343)+1-1)/COUNTIF($B$2:$B$492,$B343))&gt;='Parametri Modello'!$B$65,"Nella Media","Scommessa/Riserva")))),"")</f>
        <v>Nella Media</v>
      </c>
      <c r="Q343" s="26">
        <f>IF(AND($D343="",$N343&gt;1),SUMPRODUCT(($D$2:$D343="")*($N$2:$N343&gt;1)),"")</f>
        <v>342</v>
      </c>
      <c r="R343" s="26" t="str">
        <f>IF($D343='Info Lega'!$B$28,COUNTIFS($D$2:$D343,'Info Lega'!$B$28),"")</f>
        <v/>
      </c>
      <c r="S343" s="27" t="str">
        <f>IFERROR(INDEX('Input Statistiche 2025_26'!$G$3:$G$665,MATCH($A343,'Input Statistiche 2025_26'!$A$3:$A$665,0)),"")</f>
        <v/>
      </c>
      <c r="T343" s="27" t="str">
        <f>IFERROR(INDEX('Input Statistiche 2025_26'!$H$3:$H$665,MATCH($A343,'Input Statistiche 2025_26'!$A$3:$A$665,0)),"")</f>
        <v/>
      </c>
      <c r="U343" s="23" t="str">
        <f>IF(OR('La Mia Rosa'!$O$12="",$D343&lt;&gt;""),"",IF($F343&lt;='La Mia Rosa'!$O$12*'Parametri Modello'!$B$24,"OK",IF($F343&lt;='La Mia Rosa'!$O$12*'Parametri Modello'!$B$25,"Attenzione","Rischio Alto")))</f>
        <v>OK</v>
      </c>
      <c r="V343" s="23">
        <f t="shared" si="46"/>
        <v>21</v>
      </c>
      <c r="W343" s="18">
        <f>'Info Lega'!$B$4-SUMIFS($M$2:$M$492,$D$2:$D$492,'Info Lega'!$B$28)</f>
        <v>1000</v>
      </c>
      <c r="X343" s="18">
        <f>('Info Lega'!$B$5-COUNTIFS($D$2:$D$492,'Info Lega'!$B$28,$B$2:$B$492,"P"))+('Info Lega'!$B$6-COUNTIFS($D$2:$D$492,'Info Lega'!$B$28,$B$2:$B$492,"D"))+('Info Lega'!$B$7-COUNTIFS($D$2:$D$492,'Info Lega'!$B$28,$B$2:$B$492,"C"))+('Info Lega'!$B$8-COUNTIFS($D$2:$D$492,'Info Lega'!$B$28,$B$2:$B$492,"A"))</f>
        <v>25</v>
      </c>
      <c r="Y343" s="18">
        <f>X343*'Parametri Modello'!$B$30</f>
        <v>25</v>
      </c>
      <c r="Z343" s="18">
        <f t="shared" si="47"/>
        <v>975</v>
      </c>
      <c r="AA343" s="18">
        <f t="shared" si="48"/>
        <v>3</v>
      </c>
      <c r="AB343" s="18"/>
      <c r="AC343" s="18" t="str">
        <f>IF($AB343="","",IF($AB343&gt;$AA343,"PASS",IF($AB343&lt;=$AA343*(1-'Parametri Modello'!$B$68),"BID","ATTENZIONE")))</f>
        <v/>
      </c>
      <c r="AD343" s="28" t="str">
        <f t="shared" si="49"/>
        <v/>
      </c>
      <c r="AE343" s="5" t="str">
        <f>IFERROR(INDEX('Stato Asta'!$G$9:$G$12,MATCH($B343,'Stato Asta'!$A$9:$A$12,0)),"")</f>
        <v>🔴 Non aspettare</v>
      </c>
      <c r="AF343" t="str">
        <f>IFERROR(IF($V343&lt;=INDEX('Parametri Modello'!$C$57:$C$60,MATCH($B343,'Parametri Modello'!$A$57:$A$60,0)),"Titolare","Riserva"),"")</f>
        <v>Riserva</v>
      </c>
      <c r="AG343" t="str">
        <f>IFERROR(INDEX('Pressione Competitiva'!$F$3:$F$6,MATCH($B343,'Pressione Competitiva'!$B$3:$B$6,0)),"")</f>
        <v>🔴 Molto Alta</v>
      </c>
      <c r="AH343" t="str">
        <f t="shared" si="50"/>
        <v/>
      </c>
      <c r="AI343" t="str">
        <f>IFERROR(IF($AH343="","",IF($AH343&gt;=$AA343*'Parametri Modello'!$B$68,"🟢 Opportunita'",IF($AH343&lt;=$AA343*'Parametri Modello'!$B$69,"🔴 Sovrapprezzo","🟡 Prezzo Corretto"))),"")</f>
        <v/>
      </c>
      <c r="AJ343" t="str">
        <f t="shared" si="51"/>
        <v/>
      </c>
      <c r="AK343">
        <f t="shared" si="52"/>
        <v>3</v>
      </c>
      <c r="AL343" t="str">
        <f t="shared" si="53"/>
        <v>P|Nella Media|3</v>
      </c>
    </row>
    <row r="344" spans="1:38" ht="14.25" customHeight="1" x14ac:dyDescent="0.25">
      <c r="A344" s="18">
        <v>5603</v>
      </c>
      <c r="B344" s="18" t="s">
        <v>16</v>
      </c>
      <c r="C344" s="18" t="s">
        <v>483</v>
      </c>
      <c r="E344" s="23" t="str">
        <f>IF(COUNTIF('Info Strategia'!$D$2:$D$51,$C344)&gt;0,"SI","NO")</f>
        <v>NO</v>
      </c>
      <c r="F344" s="24">
        <f>IFERROR(ROUND(($G344+($H344-$G344)*'Info Strategia'!$B$6)*(1+IF($E344="SI",'Parametri Modello'!$B$7*'Info Strategia'!$B$6,0)),0),"")</f>
        <v>2</v>
      </c>
      <c r="G344" s="24">
        <f>IFERROR(ROUND(MAX(1,(IF($V344&lt;=INDEX('Parametri Modello'!$C$57:$C$60,MATCH($B344,'Parametri Modello'!$A$57:$A$60,0)),IF(INDEX('Parametri Modello'!$E$57:$E$60,MATCH($B344,'Parametri Modello'!$A$57:$A$60,0))=0,0,($O344/INDEX('Parametri Modello'!$E$57:$E$60,MATCH($B344,'Parametri Modello'!$A$57:$A$60,0)))*(INDEX('Parametri Modello'!$D$57:$D$60,MATCH($B344,'Parametri Modello'!$A$57:$A$60,0))*(INDEX('Parametri Modello'!$B$50:$B$53,MATCH($B344,'Parametri Modello'!$A$50:$A$53,0))*'Parametri Modello'!$B$44))),IF(INDEX('Parametri Modello'!$F$57:$F$60,MATCH($B344,'Parametri Modello'!$A$57:$A$60,0))=0,0,($O344/INDEX('Parametri Modello'!$F$57:$F$60,MATCH($B344,'Parametri Modello'!$A$57:$A$60,0)))*((1-INDEX('Parametri Modello'!$D$57:$D$60,MATCH($B344,'Parametri Modello'!$A$57:$A$60,0)))*(INDEX('Parametri Modello'!$B$50:$B$53,MATCH($B344,'Parametri Modello'!$A$50:$A$53,0))*'Parametri Modello'!$B$44))))*(1+IF(IF($B344="D",'Info Lega'!$B$25,IF($B344="C",'Info Lega'!$B$26,"No"))="Si",'Parametri Modello'!$B$5,0))*(1+MAX(-0.25,MIN(0.25,IF(OR($T344="",$I344="",$I344=0,INDEX('Parametri Modello'!$B$19:$B$22,MATCH($B344,'Parametri Modello'!$A$19:$A$22,0))="",INDEX('Parametri Modello'!$B$19:$B$22,MATCH($B344,'Parametri Modello'!$A$19:$A$22,0))=0),0,(($T344-INDEX('Parametri Modello'!$B$19:$B$22,MATCH($B344,'Parametri Modello'!$A$19:$A$22,0)))/INDEX('Parametri Modello'!$B$19:$B$22,MATCH($B344,'Parametri Modello'!$A$19:$A$22,0)))*'Parametri Modello'!$B$9))))*(1+IF('Parametri Modello'!$B$27="Si",MAX(-'Parametri Modello'!$B$28,MIN('Parametri Modello'!$B$28*1.5,IF(OR(INDEX('Parametri Modello'!$F$32:$F$35,MATCH($B344,'Parametri Modello'!$A$32:$A$35,0))="",INDEX('Parametri Modello'!$F$32:$F$35,MATCH($B344,'Parametri Modello'!$A$32:$A$35,0))=0),0,(1/INDEX('Parametri Modello'!$F$32:$F$35,MATCH($B344,'Parametri Modello'!$A$32:$A$35,0))-1)*'Parametri Modello'!$B$28))),0)))*(1-INDEX('Parametri Modello'!$B$12:$B$15,MATCH($B344,'Parametri Modello'!$A$12:$A$15,0)))),0),"")</f>
        <v>1</v>
      </c>
      <c r="H344" s="24">
        <f>IFERROR(ROUND((IF($V344&lt;=INDEX('Parametri Modello'!$C$57:$C$60,MATCH($B344,'Parametri Modello'!$A$57:$A$60,0)),IF(INDEX('Parametri Modello'!$E$57:$E$60,MATCH($B344,'Parametri Modello'!$A$57:$A$60,0))=0,0,($O344/INDEX('Parametri Modello'!$E$57:$E$60,MATCH($B344,'Parametri Modello'!$A$57:$A$60,0)))*(INDEX('Parametri Modello'!$D$57:$D$60,MATCH($B344,'Parametri Modello'!$A$57:$A$60,0))*(INDEX('Parametri Modello'!$B$50:$B$53,MATCH($B344,'Parametri Modello'!$A$50:$A$53,0))*'Parametri Modello'!$B$44))),IF(INDEX('Parametri Modello'!$F$57:$F$60,MATCH($B344,'Parametri Modello'!$A$57:$A$60,0))=0,0,($O344/INDEX('Parametri Modello'!$F$57:$F$60,MATCH($B344,'Parametri Modello'!$A$57:$A$60,0)))*((1-INDEX('Parametri Modello'!$D$57:$D$60,MATCH($B344,'Parametri Modello'!$A$57:$A$60,0)))*(INDEX('Parametri Modello'!$B$50:$B$53,MATCH($B344,'Parametri Modello'!$A$50:$A$53,0))*'Parametri Modello'!$B$44))))*(1+IF(IF($B344="D",'Info Lega'!$B$25,IF($B344="C",'Info Lega'!$B$26,"No"))="Si",'Parametri Modello'!$B$5,0))*(1+MAX(-0.25,MIN(0.25,IF(OR($T344="",$I344="",$I344=0,INDEX('Parametri Modello'!$B$19:$B$22,MATCH($B344,'Parametri Modello'!$A$19:$A$22,0))="",INDEX('Parametri Modello'!$B$19:$B$22,MATCH($B344,'Parametri Modello'!$A$19:$A$22,0))=0),0,(($T344-INDEX('Parametri Modello'!$B$19:$B$22,MATCH($B344,'Parametri Modello'!$A$19:$A$22,0)))/INDEX('Parametri Modello'!$B$19:$B$22,MATCH($B344,'Parametri Modello'!$A$19:$A$22,0)))*'Parametri Modello'!$B$9))))*(1+IF('Parametri Modello'!$B$27="Si",MAX(-'Parametri Modello'!$B$28,MIN('Parametri Modello'!$B$28*1.5,IF(OR(INDEX('Parametri Modello'!$F$32:$F$35,MATCH($B344,'Parametri Modello'!$A$32:$A$35,0))="",INDEX('Parametri Modello'!$F$32:$F$35,MATCH($B344,'Parametri Modello'!$A$32:$A$35,0))=0),0,(1/INDEX('Parametri Modello'!$F$32:$F$35,MATCH($B344,'Parametri Modello'!$A$32:$A$35,0))-1)*'Parametri Modello'!$B$28))),0)))*(1+INDEX('Parametri Modello'!$B$12:$B$15,MATCH($B344,'Parametri Modello'!$A$12:$A$15,0))),0),"")</f>
        <v>2</v>
      </c>
      <c r="I344" s="23">
        <f>IFERROR(INDEX('Input Statistiche 2025_26'!$F$3:$F$665,MATCH($A344,'Input Statistiche 2025_26'!$A$3:$A$665,0)),"")</f>
        <v>35</v>
      </c>
      <c r="J344" s="23">
        <f t="shared" si="45"/>
        <v>3</v>
      </c>
      <c r="K344" s="23">
        <f>IFERROR(INDEX('Input Statistiche 2025_26'!$I$3:$I$665,MATCH($A344,'Input Statistiche 2025_26'!$A$3:$A$665,0)),"")</f>
        <v>0</v>
      </c>
      <c r="L344" s="23">
        <f>IFERROR(INDEX('Input Statistiche 2025_26'!$O$3:$O$665,MATCH($A344,'Input Statistiche 2025_26'!$A$3:$A$665,0)),"")</f>
        <v>0</v>
      </c>
      <c r="M344" s="25"/>
      <c r="N344" s="24">
        <f>IFERROR(INDEX('Input Giocatori 2026_27'!$E$3:$E$493,MATCH($A344,'Input Giocatori 2026_27'!$A$3:$A$493,0)),"")</f>
        <v>4</v>
      </c>
      <c r="O344" s="24">
        <f>IFERROR(INDEX('Input Giocatori 2026_27'!$G$3:$G$493,MATCH($A344,'Input Giocatori 2026_27'!$A$3:$A$493,0)),"")</f>
        <v>8</v>
      </c>
      <c r="P344" s="23" t="str">
        <f>IFERROR(IF($O344="","",IF((1-(COUNTIFS($B$2:$B$492,$B344,$O$2:$O$492,"&gt;"&amp;$O344)+1-1)/COUNTIF($B$2:$B$492,$B344))&gt;='Parametri Modello'!$B$63,"Top",IF((1-(COUNTIFS($B$2:$B$492,$B344,$O$2:$O$492,"&gt;"&amp;$O344)+1-1)/COUNTIF($B$2:$B$492,$B344))&gt;='Parametri Modello'!$B$64,"Buono",IF((1-(COUNTIFS($B$2:$B$492,$B344,$O$2:$O$492,"&gt;"&amp;$O344)+1-1)/COUNTIF($B$2:$B$492,$B344))&gt;='Parametri Modello'!$B$65,"Nella Media","Scommessa/Riserva")))),"")</f>
        <v>Scommessa/Riserva</v>
      </c>
      <c r="Q344" s="26">
        <f>IF(AND($D344="",$N344&gt;1),SUMPRODUCT(($D$2:$D344="")*($N$2:$N344&gt;1)),"")</f>
        <v>343</v>
      </c>
      <c r="R344" s="26" t="str">
        <f>IF($D344='Info Lega'!$B$28,COUNTIFS($D$2:$D344,'Info Lega'!$B$28),"")</f>
        <v/>
      </c>
      <c r="S344" s="27">
        <f>IFERROR(INDEX('Input Statistiche 2025_26'!$G$3:$G$665,MATCH($A344,'Input Statistiche 2025_26'!$A$3:$A$665,0)),"")</f>
        <v>5.84</v>
      </c>
      <c r="T344" s="27">
        <f>IFERROR(INDEX('Input Statistiche 2025_26'!$H$3:$H$665,MATCH($A344,'Input Statistiche 2025_26'!$A$3:$A$665,0)),"")</f>
        <v>5.67</v>
      </c>
      <c r="U344" s="23" t="str">
        <f>IF(OR('La Mia Rosa'!$O$12="",$D344&lt;&gt;""),"",IF($F344&lt;='La Mia Rosa'!$O$12*'Parametri Modello'!$B$24,"OK",IF($F344&lt;='La Mia Rosa'!$O$12*'Parametri Modello'!$B$25,"Attenzione","Rischio Alto")))</f>
        <v>OK</v>
      </c>
      <c r="V344" s="23">
        <f t="shared" si="46"/>
        <v>118</v>
      </c>
      <c r="W344" s="18">
        <f>'Info Lega'!$B$4-SUMIFS($M$2:$M$492,$D$2:$D$492,'Info Lega'!$B$28)</f>
        <v>1000</v>
      </c>
      <c r="X344" s="18">
        <f>('Info Lega'!$B$5-COUNTIFS($D$2:$D$492,'Info Lega'!$B$28,$B$2:$B$492,"P"))+('Info Lega'!$B$6-COUNTIFS($D$2:$D$492,'Info Lega'!$B$28,$B$2:$B$492,"D"))+('Info Lega'!$B$7-COUNTIFS($D$2:$D$492,'Info Lega'!$B$28,$B$2:$B$492,"C"))+('Info Lega'!$B$8-COUNTIFS($D$2:$D$492,'Info Lega'!$B$28,$B$2:$B$492,"A"))</f>
        <v>25</v>
      </c>
      <c r="Y344" s="18">
        <f>X344*'Parametri Modello'!$B$30</f>
        <v>25</v>
      </c>
      <c r="Z344" s="18">
        <f t="shared" si="47"/>
        <v>975</v>
      </c>
      <c r="AA344" s="18">
        <f t="shared" si="48"/>
        <v>2</v>
      </c>
      <c r="AB344" s="18"/>
      <c r="AC344" s="18" t="str">
        <f>IF($AB344="","",IF($AB344&gt;$AA344,"PASS",IF($AB344&lt;=$AA344*(1-'Parametri Modello'!$B$68),"BID","ATTENZIONE")))</f>
        <v/>
      </c>
      <c r="AD344" s="28">
        <f t="shared" si="49"/>
        <v>69</v>
      </c>
      <c r="AE344" s="5" t="str">
        <f>IFERROR(INDEX('Stato Asta'!$G$9:$G$12,MATCH($B344,'Stato Asta'!$A$9:$A$12,0)),"")</f>
        <v>🔴 Non aspettare</v>
      </c>
      <c r="AF344" t="str">
        <f>IFERROR(IF($V344&lt;=INDEX('Parametri Modello'!$C$57:$C$60,MATCH($B344,'Parametri Modello'!$A$57:$A$60,0)),"Titolare","Riserva"),"")</f>
        <v>Riserva</v>
      </c>
      <c r="AG344" t="str">
        <f>IFERROR(INDEX('Pressione Competitiva'!$F$3:$F$6,MATCH($B344,'Pressione Competitiva'!$B$3:$B$6,0)),"")</f>
        <v>🔴 Molto Alta</v>
      </c>
      <c r="AH344" t="str">
        <f t="shared" si="50"/>
        <v/>
      </c>
      <c r="AI344" t="str">
        <f>IFERROR(IF($AH344="","",IF($AH344&gt;=$AA344*'Parametri Modello'!$B$68,"🟢 Opportunita'",IF($AH344&lt;=$AA344*'Parametri Modello'!$B$69,"🔴 Sovrapprezzo","🟡 Prezzo Corretto"))),"")</f>
        <v/>
      </c>
      <c r="AJ344" t="str">
        <f t="shared" si="51"/>
        <v/>
      </c>
      <c r="AK344">
        <f t="shared" si="52"/>
        <v>7</v>
      </c>
      <c r="AL344" t="str">
        <f t="shared" si="53"/>
        <v>D|Scommessa/Riserva|7</v>
      </c>
    </row>
    <row r="345" spans="1:38" ht="14.25" customHeight="1" x14ac:dyDescent="0.25">
      <c r="A345" s="18">
        <v>7312</v>
      </c>
      <c r="B345" s="18" t="s">
        <v>16</v>
      </c>
      <c r="C345" s="18" t="s">
        <v>484</v>
      </c>
      <c r="E345" s="23" t="str">
        <f>IF(COUNTIF('Info Strategia'!$D$2:$D$51,$C345)&gt;0,"SI","NO")</f>
        <v>NO</v>
      </c>
      <c r="F345" s="24">
        <f>IFERROR(ROUND(($G345+($H345-$G345)*'Info Strategia'!$B$6)*(1+IF($E345="SI",'Parametri Modello'!$B$7*'Info Strategia'!$B$6,0)),0),"")</f>
        <v>2</v>
      </c>
      <c r="G345" s="24">
        <f>IFERROR(ROUND(MAX(1,(IF($V345&lt;=INDEX('Parametri Modello'!$C$57:$C$60,MATCH($B345,'Parametri Modello'!$A$57:$A$60,0)),IF(INDEX('Parametri Modello'!$E$57:$E$60,MATCH($B345,'Parametri Modello'!$A$57:$A$60,0))=0,0,($O345/INDEX('Parametri Modello'!$E$57:$E$60,MATCH($B345,'Parametri Modello'!$A$57:$A$60,0)))*(INDEX('Parametri Modello'!$D$57:$D$60,MATCH($B345,'Parametri Modello'!$A$57:$A$60,0))*(INDEX('Parametri Modello'!$B$50:$B$53,MATCH($B345,'Parametri Modello'!$A$50:$A$53,0))*'Parametri Modello'!$B$44))),IF(INDEX('Parametri Modello'!$F$57:$F$60,MATCH($B345,'Parametri Modello'!$A$57:$A$60,0))=0,0,($O345/INDEX('Parametri Modello'!$F$57:$F$60,MATCH($B345,'Parametri Modello'!$A$57:$A$60,0)))*((1-INDEX('Parametri Modello'!$D$57:$D$60,MATCH($B345,'Parametri Modello'!$A$57:$A$60,0)))*(INDEX('Parametri Modello'!$B$50:$B$53,MATCH($B345,'Parametri Modello'!$A$50:$A$53,0))*'Parametri Modello'!$B$44))))*(1+IF(IF($B345="D",'Info Lega'!$B$25,IF($B345="C",'Info Lega'!$B$26,"No"))="Si",'Parametri Modello'!$B$5,0))*(1+MAX(-0.25,MIN(0.25,IF(OR($T345="",$I345="",$I345=0,INDEX('Parametri Modello'!$B$19:$B$22,MATCH($B345,'Parametri Modello'!$A$19:$A$22,0))="",INDEX('Parametri Modello'!$B$19:$B$22,MATCH($B345,'Parametri Modello'!$A$19:$A$22,0))=0),0,(($T345-INDEX('Parametri Modello'!$B$19:$B$22,MATCH($B345,'Parametri Modello'!$A$19:$A$22,0)))/INDEX('Parametri Modello'!$B$19:$B$22,MATCH($B345,'Parametri Modello'!$A$19:$A$22,0)))*'Parametri Modello'!$B$9))))*(1+IF('Parametri Modello'!$B$27="Si",MAX(-'Parametri Modello'!$B$28,MIN('Parametri Modello'!$B$28*1.5,IF(OR(INDEX('Parametri Modello'!$F$32:$F$35,MATCH($B345,'Parametri Modello'!$A$32:$A$35,0))="",INDEX('Parametri Modello'!$F$32:$F$35,MATCH($B345,'Parametri Modello'!$A$32:$A$35,0))=0),0,(1/INDEX('Parametri Modello'!$F$32:$F$35,MATCH($B345,'Parametri Modello'!$A$32:$A$35,0))-1)*'Parametri Modello'!$B$28))),0)))*(1-INDEX('Parametri Modello'!$B$12:$B$15,MATCH($B345,'Parametri Modello'!$A$12:$A$15,0)))),0),"")</f>
        <v>1</v>
      </c>
      <c r="H345" s="24">
        <f>IFERROR(ROUND((IF($V345&lt;=INDEX('Parametri Modello'!$C$57:$C$60,MATCH($B345,'Parametri Modello'!$A$57:$A$60,0)),IF(INDEX('Parametri Modello'!$E$57:$E$60,MATCH($B345,'Parametri Modello'!$A$57:$A$60,0))=0,0,($O345/INDEX('Parametri Modello'!$E$57:$E$60,MATCH($B345,'Parametri Modello'!$A$57:$A$60,0)))*(INDEX('Parametri Modello'!$D$57:$D$60,MATCH($B345,'Parametri Modello'!$A$57:$A$60,0))*(INDEX('Parametri Modello'!$B$50:$B$53,MATCH($B345,'Parametri Modello'!$A$50:$A$53,0))*'Parametri Modello'!$B$44))),IF(INDEX('Parametri Modello'!$F$57:$F$60,MATCH($B345,'Parametri Modello'!$A$57:$A$60,0))=0,0,($O345/INDEX('Parametri Modello'!$F$57:$F$60,MATCH($B345,'Parametri Modello'!$A$57:$A$60,0)))*((1-INDEX('Parametri Modello'!$D$57:$D$60,MATCH($B345,'Parametri Modello'!$A$57:$A$60,0)))*(INDEX('Parametri Modello'!$B$50:$B$53,MATCH($B345,'Parametri Modello'!$A$50:$A$53,0))*'Parametri Modello'!$B$44))))*(1+IF(IF($B345="D",'Info Lega'!$B$25,IF($B345="C",'Info Lega'!$B$26,"No"))="Si",'Parametri Modello'!$B$5,0))*(1+MAX(-0.25,MIN(0.25,IF(OR($T345="",$I345="",$I345=0,INDEX('Parametri Modello'!$B$19:$B$22,MATCH($B345,'Parametri Modello'!$A$19:$A$22,0))="",INDEX('Parametri Modello'!$B$19:$B$22,MATCH($B345,'Parametri Modello'!$A$19:$A$22,0))=0),0,(($T345-INDEX('Parametri Modello'!$B$19:$B$22,MATCH($B345,'Parametri Modello'!$A$19:$A$22,0)))/INDEX('Parametri Modello'!$B$19:$B$22,MATCH($B345,'Parametri Modello'!$A$19:$A$22,0)))*'Parametri Modello'!$B$9))))*(1+IF('Parametri Modello'!$B$27="Si",MAX(-'Parametri Modello'!$B$28,MIN('Parametri Modello'!$B$28*1.5,IF(OR(INDEX('Parametri Modello'!$F$32:$F$35,MATCH($B345,'Parametri Modello'!$A$32:$A$35,0))="",INDEX('Parametri Modello'!$F$32:$F$35,MATCH($B345,'Parametri Modello'!$A$32:$A$35,0))=0),0,(1/INDEX('Parametri Modello'!$F$32:$F$35,MATCH($B345,'Parametri Modello'!$A$32:$A$35,0))-1)*'Parametri Modello'!$B$28))),0)))*(1+INDEX('Parametri Modello'!$B$12:$B$15,MATCH($B345,'Parametri Modello'!$A$12:$A$15,0))),0),"")</f>
        <v>2</v>
      </c>
      <c r="I345" s="23">
        <f>IFERROR(INDEX('Input Statistiche 2025_26'!$F$3:$F$665,MATCH($A345,'Input Statistiche 2025_26'!$A$3:$A$665,0)),"")</f>
        <v>5</v>
      </c>
      <c r="J345" s="23">
        <f t="shared" si="45"/>
        <v>33</v>
      </c>
      <c r="K345" s="23">
        <f>IFERROR(INDEX('Input Statistiche 2025_26'!$I$3:$I$665,MATCH($A345,'Input Statistiche 2025_26'!$A$3:$A$665,0)),"")</f>
        <v>0</v>
      </c>
      <c r="L345" s="23">
        <f>IFERROR(INDEX('Input Statistiche 2025_26'!$O$3:$O$665,MATCH($A345,'Input Statistiche 2025_26'!$A$3:$A$665,0)),"")</f>
        <v>0</v>
      </c>
      <c r="M345" s="25"/>
      <c r="N345" s="24">
        <f>IFERROR(INDEX('Input Giocatori 2026_27'!$E$3:$E$493,MATCH($A345,'Input Giocatori 2026_27'!$A$3:$A$493,0)),"")</f>
        <v>4</v>
      </c>
      <c r="O345" s="24">
        <f>IFERROR(INDEX('Input Giocatori 2026_27'!$G$3:$G$493,MATCH($A345,'Input Giocatori 2026_27'!$A$3:$A$493,0)),"")</f>
        <v>8</v>
      </c>
      <c r="P345" s="23" t="str">
        <f>IFERROR(IF($O345="","",IF((1-(COUNTIFS($B$2:$B$492,$B345,$O$2:$O$492,"&gt;"&amp;$O345)+1-1)/COUNTIF($B$2:$B$492,$B345))&gt;='Parametri Modello'!$B$63,"Top",IF((1-(COUNTIFS($B$2:$B$492,$B345,$O$2:$O$492,"&gt;"&amp;$O345)+1-1)/COUNTIF($B$2:$B$492,$B345))&gt;='Parametri Modello'!$B$64,"Buono",IF((1-(COUNTIFS($B$2:$B$492,$B345,$O$2:$O$492,"&gt;"&amp;$O345)+1-1)/COUNTIF($B$2:$B$492,$B345))&gt;='Parametri Modello'!$B$65,"Nella Media","Scommessa/Riserva")))),"")</f>
        <v>Scommessa/Riserva</v>
      </c>
      <c r="Q345" s="26">
        <f>IF(AND($D345="",$N345&gt;1),SUMPRODUCT(($D$2:$D345="")*($N$2:$N345&gt;1)),"")</f>
        <v>344</v>
      </c>
      <c r="R345" s="26" t="str">
        <f>IF($D345='Info Lega'!$B$28,COUNTIFS($D$2:$D345,'Info Lega'!$B$28),"")</f>
        <v/>
      </c>
      <c r="S345" s="27">
        <f>IFERROR(INDEX('Input Statistiche 2025_26'!$G$3:$G$665,MATCH($A345,'Input Statistiche 2025_26'!$A$3:$A$665,0)),"")</f>
        <v>5.8</v>
      </c>
      <c r="T345" s="27">
        <f>IFERROR(INDEX('Input Statistiche 2025_26'!$H$3:$H$665,MATCH($A345,'Input Statistiche 2025_26'!$A$3:$A$665,0)),"")</f>
        <v>5.8</v>
      </c>
      <c r="U345" s="23" t="str">
        <f>IF(OR('La Mia Rosa'!$O$12="",$D345&lt;&gt;""),"",IF($F345&lt;='La Mia Rosa'!$O$12*'Parametri Modello'!$B$24,"OK",IF($F345&lt;='La Mia Rosa'!$O$12*'Parametri Modello'!$B$25,"Attenzione","Rischio Alto")))</f>
        <v>OK</v>
      </c>
      <c r="V345" s="23">
        <f t="shared" si="46"/>
        <v>118</v>
      </c>
      <c r="W345" s="18">
        <f>'Info Lega'!$B$4-SUMIFS($M$2:$M$492,$D$2:$D$492,'Info Lega'!$B$28)</f>
        <v>1000</v>
      </c>
      <c r="X345" s="18">
        <f>('Info Lega'!$B$5-COUNTIFS($D$2:$D$492,'Info Lega'!$B$28,$B$2:$B$492,"P"))+('Info Lega'!$B$6-COUNTIFS($D$2:$D$492,'Info Lega'!$B$28,$B$2:$B$492,"D"))+('Info Lega'!$B$7-COUNTIFS($D$2:$D$492,'Info Lega'!$B$28,$B$2:$B$492,"C"))+('Info Lega'!$B$8-COUNTIFS($D$2:$D$492,'Info Lega'!$B$28,$B$2:$B$492,"A"))</f>
        <v>25</v>
      </c>
      <c r="Y345" s="18">
        <f>X345*'Parametri Modello'!$B$30</f>
        <v>25</v>
      </c>
      <c r="Z345" s="18">
        <f t="shared" si="47"/>
        <v>975</v>
      </c>
      <c r="AA345" s="18">
        <f t="shared" si="48"/>
        <v>2</v>
      </c>
      <c r="AB345" s="18"/>
      <c r="AC345" s="18" t="str">
        <f>IF($AB345="","",IF($AB345&gt;$AA345,"PASS",IF($AB345&lt;=$AA345*(1-'Parametri Modello'!$B$68),"BID","ATTENZIONE")))</f>
        <v/>
      </c>
      <c r="AD345" s="28">
        <f t="shared" si="49"/>
        <v>15</v>
      </c>
      <c r="AE345" s="5" t="str">
        <f>IFERROR(INDEX('Stato Asta'!$G$9:$G$12,MATCH($B345,'Stato Asta'!$A$9:$A$12,0)),"")</f>
        <v>🔴 Non aspettare</v>
      </c>
      <c r="AF345" t="str">
        <f>IFERROR(IF($V345&lt;=INDEX('Parametri Modello'!$C$57:$C$60,MATCH($B345,'Parametri Modello'!$A$57:$A$60,0)),"Titolare","Riserva"),"")</f>
        <v>Riserva</v>
      </c>
      <c r="AG345" t="str">
        <f>IFERROR(INDEX('Pressione Competitiva'!$F$3:$F$6,MATCH($B345,'Pressione Competitiva'!$B$3:$B$6,0)),"")</f>
        <v>🔴 Molto Alta</v>
      </c>
      <c r="AH345" t="str">
        <f t="shared" si="50"/>
        <v/>
      </c>
      <c r="AI345" t="str">
        <f>IFERROR(IF($AH345="","",IF($AH345&gt;=$AA345*'Parametri Modello'!$B$68,"🟢 Opportunita'",IF($AH345&lt;=$AA345*'Parametri Modello'!$B$69,"🔴 Sovrapprezzo","🟡 Prezzo Corretto"))),"")</f>
        <v/>
      </c>
      <c r="AJ345" t="str">
        <f t="shared" si="51"/>
        <v/>
      </c>
      <c r="AK345">
        <f t="shared" si="52"/>
        <v>7</v>
      </c>
      <c r="AL345" t="str">
        <f t="shared" si="53"/>
        <v>D|Scommessa/Riserva|7</v>
      </c>
    </row>
    <row r="346" spans="1:38" ht="14.25" customHeight="1" x14ac:dyDescent="0.25">
      <c r="A346" s="18">
        <v>5757</v>
      </c>
      <c r="B346" s="18" t="s">
        <v>16</v>
      </c>
      <c r="C346" s="18" t="s">
        <v>485</v>
      </c>
      <c r="E346" s="23" t="str">
        <f>IF(COUNTIF('Info Strategia'!$D$2:$D$51,$C346)&gt;0,"SI","NO")</f>
        <v>NO</v>
      </c>
      <c r="F346" s="24">
        <f>IFERROR(ROUND(($G346+($H346-$G346)*'Info Strategia'!$B$6)*(1+IF($E346="SI",'Parametri Modello'!$B$7*'Info Strategia'!$B$6,0)),0),"")</f>
        <v>2</v>
      </c>
      <c r="G346" s="24">
        <f>IFERROR(ROUND(MAX(1,(IF($V346&lt;=INDEX('Parametri Modello'!$C$57:$C$60,MATCH($B346,'Parametri Modello'!$A$57:$A$60,0)),IF(INDEX('Parametri Modello'!$E$57:$E$60,MATCH($B346,'Parametri Modello'!$A$57:$A$60,0))=0,0,($O346/INDEX('Parametri Modello'!$E$57:$E$60,MATCH($B346,'Parametri Modello'!$A$57:$A$60,0)))*(INDEX('Parametri Modello'!$D$57:$D$60,MATCH($B346,'Parametri Modello'!$A$57:$A$60,0))*(INDEX('Parametri Modello'!$B$50:$B$53,MATCH($B346,'Parametri Modello'!$A$50:$A$53,0))*'Parametri Modello'!$B$44))),IF(INDEX('Parametri Modello'!$F$57:$F$60,MATCH($B346,'Parametri Modello'!$A$57:$A$60,0))=0,0,($O346/INDEX('Parametri Modello'!$F$57:$F$60,MATCH($B346,'Parametri Modello'!$A$57:$A$60,0)))*((1-INDEX('Parametri Modello'!$D$57:$D$60,MATCH($B346,'Parametri Modello'!$A$57:$A$60,0)))*(INDEX('Parametri Modello'!$B$50:$B$53,MATCH($B346,'Parametri Modello'!$A$50:$A$53,0))*'Parametri Modello'!$B$44))))*(1+IF(IF($B346="D",'Info Lega'!$B$25,IF($B346="C",'Info Lega'!$B$26,"No"))="Si",'Parametri Modello'!$B$5,0))*(1+MAX(-0.25,MIN(0.25,IF(OR($T346="",$I346="",$I346=0,INDEX('Parametri Modello'!$B$19:$B$22,MATCH($B346,'Parametri Modello'!$A$19:$A$22,0))="",INDEX('Parametri Modello'!$B$19:$B$22,MATCH($B346,'Parametri Modello'!$A$19:$A$22,0))=0),0,(($T346-INDEX('Parametri Modello'!$B$19:$B$22,MATCH($B346,'Parametri Modello'!$A$19:$A$22,0)))/INDEX('Parametri Modello'!$B$19:$B$22,MATCH($B346,'Parametri Modello'!$A$19:$A$22,0)))*'Parametri Modello'!$B$9))))*(1+IF('Parametri Modello'!$B$27="Si",MAX(-'Parametri Modello'!$B$28,MIN('Parametri Modello'!$B$28*1.5,IF(OR(INDEX('Parametri Modello'!$F$32:$F$35,MATCH($B346,'Parametri Modello'!$A$32:$A$35,0))="",INDEX('Parametri Modello'!$F$32:$F$35,MATCH($B346,'Parametri Modello'!$A$32:$A$35,0))=0),0,(1/INDEX('Parametri Modello'!$F$32:$F$35,MATCH($B346,'Parametri Modello'!$A$32:$A$35,0))-1)*'Parametri Modello'!$B$28))),0)))*(1-INDEX('Parametri Modello'!$B$12:$B$15,MATCH($B346,'Parametri Modello'!$A$12:$A$15,0)))),0),"")</f>
        <v>1</v>
      </c>
      <c r="H346" s="24">
        <f>IFERROR(ROUND((IF($V346&lt;=INDEX('Parametri Modello'!$C$57:$C$60,MATCH($B346,'Parametri Modello'!$A$57:$A$60,0)),IF(INDEX('Parametri Modello'!$E$57:$E$60,MATCH($B346,'Parametri Modello'!$A$57:$A$60,0))=0,0,($O346/INDEX('Parametri Modello'!$E$57:$E$60,MATCH($B346,'Parametri Modello'!$A$57:$A$60,0)))*(INDEX('Parametri Modello'!$D$57:$D$60,MATCH($B346,'Parametri Modello'!$A$57:$A$60,0))*(INDEX('Parametri Modello'!$B$50:$B$53,MATCH($B346,'Parametri Modello'!$A$50:$A$53,0))*'Parametri Modello'!$B$44))),IF(INDEX('Parametri Modello'!$F$57:$F$60,MATCH($B346,'Parametri Modello'!$A$57:$A$60,0))=0,0,($O346/INDEX('Parametri Modello'!$F$57:$F$60,MATCH($B346,'Parametri Modello'!$A$57:$A$60,0)))*((1-INDEX('Parametri Modello'!$D$57:$D$60,MATCH($B346,'Parametri Modello'!$A$57:$A$60,0)))*(INDEX('Parametri Modello'!$B$50:$B$53,MATCH($B346,'Parametri Modello'!$A$50:$A$53,0))*'Parametri Modello'!$B$44))))*(1+IF(IF($B346="D",'Info Lega'!$B$25,IF($B346="C",'Info Lega'!$B$26,"No"))="Si",'Parametri Modello'!$B$5,0))*(1+MAX(-0.25,MIN(0.25,IF(OR($T346="",$I346="",$I346=0,INDEX('Parametri Modello'!$B$19:$B$22,MATCH($B346,'Parametri Modello'!$A$19:$A$22,0))="",INDEX('Parametri Modello'!$B$19:$B$22,MATCH($B346,'Parametri Modello'!$A$19:$A$22,0))=0),0,(($T346-INDEX('Parametri Modello'!$B$19:$B$22,MATCH($B346,'Parametri Modello'!$A$19:$A$22,0)))/INDEX('Parametri Modello'!$B$19:$B$22,MATCH($B346,'Parametri Modello'!$A$19:$A$22,0)))*'Parametri Modello'!$B$9))))*(1+IF('Parametri Modello'!$B$27="Si",MAX(-'Parametri Modello'!$B$28,MIN('Parametri Modello'!$B$28*1.5,IF(OR(INDEX('Parametri Modello'!$F$32:$F$35,MATCH($B346,'Parametri Modello'!$A$32:$A$35,0))="",INDEX('Parametri Modello'!$F$32:$F$35,MATCH($B346,'Parametri Modello'!$A$32:$A$35,0))=0),0,(1/INDEX('Parametri Modello'!$F$32:$F$35,MATCH($B346,'Parametri Modello'!$A$32:$A$35,0))-1)*'Parametri Modello'!$B$28))),0)))*(1+INDEX('Parametri Modello'!$B$12:$B$15,MATCH($B346,'Parametri Modello'!$A$12:$A$15,0))),0),"")</f>
        <v>2</v>
      </c>
      <c r="I346" s="23" t="str">
        <f>IFERROR(INDEX('Input Statistiche 2025_26'!$F$3:$F$665,MATCH($A346,'Input Statistiche 2025_26'!$A$3:$A$665,0)),"")</f>
        <v/>
      </c>
      <c r="J346" s="23" t="str">
        <f t="shared" si="45"/>
        <v/>
      </c>
      <c r="K346" s="23" t="str">
        <f>IFERROR(INDEX('Input Statistiche 2025_26'!$I$3:$I$665,MATCH($A346,'Input Statistiche 2025_26'!$A$3:$A$665,0)),"")</f>
        <v/>
      </c>
      <c r="L346" s="23" t="str">
        <f>IFERROR(INDEX('Input Statistiche 2025_26'!$O$3:$O$665,MATCH($A346,'Input Statistiche 2025_26'!$A$3:$A$665,0)),"")</f>
        <v/>
      </c>
      <c r="M346" s="25"/>
      <c r="N346" s="24">
        <f>IFERROR(INDEX('Input Giocatori 2026_27'!$E$3:$E$493,MATCH($A346,'Input Giocatori 2026_27'!$A$3:$A$493,0)),"")</f>
        <v>3</v>
      </c>
      <c r="O346" s="24">
        <f>IFERROR(INDEX('Input Giocatori 2026_27'!$G$3:$G$493,MATCH($A346,'Input Giocatori 2026_27'!$A$3:$A$493,0)),"")</f>
        <v>8</v>
      </c>
      <c r="P346" s="23" t="str">
        <f>IFERROR(IF($O346="","",IF((1-(COUNTIFS($B$2:$B$492,$B346,$O$2:$O$492,"&gt;"&amp;$O346)+1-1)/COUNTIF($B$2:$B$492,$B346))&gt;='Parametri Modello'!$B$63,"Top",IF((1-(COUNTIFS($B$2:$B$492,$B346,$O$2:$O$492,"&gt;"&amp;$O346)+1-1)/COUNTIF($B$2:$B$492,$B346))&gt;='Parametri Modello'!$B$64,"Buono",IF((1-(COUNTIFS($B$2:$B$492,$B346,$O$2:$O$492,"&gt;"&amp;$O346)+1-1)/COUNTIF($B$2:$B$492,$B346))&gt;='Parametri Modello'!$B$65,"Nella Media","Scommessa/Riserva")))),"")</f>
        <v>Scommessa/Riserva</v>
      </c>
      <c r="Q346" s="26">
        <f>IF(AND($D346="",$N346&gt;1),SUMPRODUCT(($D$2:$D346="")*($N$2:$N346&gt;1)),"")</f>
        <v>345</v>
      </c>
      <c r="R346" s="26" t="str">
        <f>IF($D346='Info Lega'!$B$28,COUNTIFS($D$2:$D346,'Info Lega'!$B$28),"")</f>
        <v/>
      </c>
      <c r="S346" s="27" t="str">
        <f>IFERROR(INDEX('Input Statistiche 2025_26'!$G$3:$G$665,MATCH($A346,'Input Statistiche 2025_26'!$A$3:$A$665,0)),"")</f>
        <v/>
      </c>
      <c r="T346" s="27" t="str">
        <f>IFERROR(INDEX('Input Statistiche 2025_26'!$H$3:$H$665,MATCH($A346,'Input Statistiche 2025_26'!$A$3:$A$665,0)),"")</f>
        <v/>
      </c>
      <c r="U346" s="23" t="str">
        <f>IF(OR('La Mia Rosa'!$O$12="",$D346&lt;&gt;""),"",IF($F346&lt;='La Mia Rosa'!$O$12*'Parametri Modello'!$B$24,"OK",IF($F346&lt;='La Mia Rosa'!$O$12*'Parametri Modello'!$B$25,"Attenzione","Rischio Alto")))</f>
        <v>OK</v>
      </c>
      <c r="V346" s="23">
        <f t="shared" si="46"/>
        <v>118</v>
      </c>
      <c r="W346" s="18">
        <f>'Info Lega'!$B$4-SUMIFS($M$2:$M$492,$D$2:$D$492,'Info Lega'!$B$28)</f>
        <v>1000</v>
      </c>
      <c r="X346" s="18">
        <f>('Info Lega'!$B$5-COUNTIFS($D$2:$D$492,'Info Lega'!$B$28,$B$2:$B$492,"P"))+('Info Lega'!$B$6-COUNTIFS($D$2:$D$492,'Info Lega'!$B$28,$B$2:$B$492,"D"))+('Info Lega'!$B$7-COUNTIFS($D$2:$D$492,'Info Lega'!$B$28,$B$2:$B$492,"C"))+('Info Lega'!$B$8-COUNTIFS($D$2:$D$492,'Info Lega'!$B$28,$B$2:$B$492,"A"))</f>
        <v>25</v>
      </c>
      <c r="Y346" s="18">
        <f>X346*'Parametri Modello'!$B$30</f>
        <v>25</v>
      </c>
      <c r="Z346" s="18">
        <f t="shared" si="47"/>
        <v>975</v>
      </c>
      <c r="AA346" s="18">
        <f t="shared" si="48"/>
        <v>2</v>
      </c>
      <c r="AB346" s="18"/>
      <c r="AC346" s="18" t="str">
        <f>IF($AB346="","",IF($AB346&gt;$AA346,"PASS",IF($AB346&lt;=$AA346*(1-'Parametri Modello'!$B$68),"BID","ATTENZIONE")))</f>
        <v/>
      </c>
      <c r="AD346" s="28" t="str">
        <f t="shared" si="49"/>
        <v/>
      </c>
      <c r="AE346" s="5" t="str">
        <f>IFERROR(INDEX('Stato Asta'!$G$9:$G$12,MATCH($B346,'Stato Asta'!$A$9:$A$12,0)),"")</f>
        <v>🔴 Non aspettare</v>
      </c>
      <c r="AF346" t="str">
        <f>IFERROR(IF($V346&lt;=INDEX('Parametri Modello'!$C$57:$C$60,MATCH($B346,'Parametri Modello'!$A$57:$A$60,0)),"Titolare","Riserva"),"")</f>
        <v>Riserva</v>
      </c>
      <c r="AG346" t="str">
        <f>IFERROR(INDEX('Pressione Competitiva'!$F$3:$F$6,MATCH($B346,'Pressione Competitiva'!$B$3:$B$6,0)),"")</f>
        <v>🔴 Molto Alta</v>
      </c>
      <c r="AH346" t="str">
        <f t="shared" si="50"/>
        <v/>
      </c>
      <c r="AI346" t="str">
        <f>IFERROR(IF($AH346="","",IF($AH346&gt;=$AA346*'Parametri Modello'!$B$68,"🟢 Opportunita'",IF($AH346&lt;=$AA346*'Parametri Modello'!$B$69,"🔴 Sovrapprezzo","🟡 Prezzo Corretto"))),"")</f>
        <v/>
      </c>
      <c r="AJ346" t="str">
        <f t="shared" si="51"/>
        <v/>
      </c>
      <c r="AK346">
        <f t="shared" si="52"/>
        <v>7</v>
      </c>
      <c r="AL346" t="str">
        <f t="shared" si="53"/>
        <v>D|Scommessa/Riserva|7</v>
      </c>
    </row>
    <row r="347" spans="1:38" ht="14.25" customHeight="1" x14ac:dyDescent="0.25">
      <c r="A347" s="18">
        <v>7211</v>
      </c>
      <c r="B347" s="18" t="s">
        <v>16</v>
      </c>
      <c r="C347" s="18" t="s">
        <v>486</v>
      </c>
      <c r="E347" s="23" t="str">
        <f>IF(COUNTIF('Info Strategia'!$D$2:$D$51,$C347)&gt;0,"SI","NO")</f>
        <v>NO</v>
      </c>
      <c r="F347" s="24">
        <f>IFERROR(ROUND(($G347+($H347-$G347)*'Info Strategia'!$B$6)*(1+IF($E347="SI",'Parametri Modello'!$B$7*'Info Strategia'!$B$6,0)),0),"")</f>
        <v>2</v>
      </c>
      <c r="G347" s="24">
        <f>IFERROR(ROUND(MAX(1,(IF($V347&lt;=INDEX('Parametri Modello'!$C$57:$C$60,MATCH($B347,'Parametri Modello'!$A$57:$A$60,0)),IF(INDEX('Parametri Modello'!$E$57:$E$60,MATCH($B347,'Parametri Modello'!$A$57:$A$60,0))=0,0,($O347/INDEX('Parametri Modello'!$E$57:$E$60,MATCH($B347,'Parametri Modello'!$A$57:$A$60,0)))*(INDEX('Parametri Modello'!$D$57:$D$60,MATCH($B347,'Parametri Modello'!$A$57:$A$60,0))*(INDEX('Parametri Modello'!$B$50:$B$53,MATCH($B347,'Parametri Modello'!$A$50:$A$53,0))*'Parametri Modello'!$B$44))),IF(INDEX('Parametri Modello'!$F$57:$F$60,MATCH($B347,'Parametri Modello'!$A$57:$A$60,0))=0,0,($O347/INDEX('Parametri Modello'!$F$57:$F$60,MATCH($B347,'Parametri Modello'!$A$57:$A$60,0)))*((1-INDEX('Parametri Modello'!$D$57:$D$60,MATCH($B347,'Parametri Modello'!$A$57:$A$60,0)))*(INDEX('Parametri Modello'!$B$50:$B$53,MATCH($B347,'Parametri Modello'!$A$50:$A$53,0))*'Parametri Modello'!$B$44))))*(1+IF(IF($B347="D",'Info Lega'!$B$25,IF($B347="C",'Info Lega'!$B$26,"No"))="Si",'Parametri Modello'!$B$5,0))*(1+MAX(-0.25,MIN(0.25,IF(OR($T347="",$I347="",$I347=0,INDEX('Parametri Modello'!$B$19:$B$22,MATCH($B347,'Parametri Modello'!$A$19:$A$22,0))="",INDEX('Parametri Modello'!$B$19:$B$22,MATCH($B347,'Parametri Modello'!$A$19:$A$22,0))=0),0,(($T347-INDEX('Parametri Modello'!$B$19:$B$22,MATCH($B347,'Parametri Modello'!$A$19:$A$22,0)))/INDEX('Parametri Modello'!$B$19:$B$22,MATCH($B347,'Parametri Modello'!$A$19:$A$22,0)))*'Parametri Modello'!$B$9))))*(1+IF('Parametri Modello'!$B$27="Si",MAX(-'Parametri Modello'!$B$28,MIN('Parametri Modello'!$B$28*1.5,IF(OR(INDEX('Parametri Modello'!$F$32:$F$35,MATCH($B347,'Parametri Modello'!$A$32:$A$35,0))="",INDEX('Parametri Modello'!$F$32:$F$35,MATCH($B347,'Parametri Modello'!$A$32:$A$35,0))=0),0,(1/INDEX('Parametri Modello'!$F$32:$F$35,MATCH($B347,'Parametri Modello'!$A$32:$A$35,0))-1)*'Parametri Modello'!$B$28))),0)))*(1-INDEX('Parametri Modello'!$B$12:$B$15,MATCH($B347,'Parametri Modello'!$A$12:$A$15,0)))),0),"")</f>
        <v>1</v>
      </c>
      <c r="H347" s="24">
        <f>IFERROR(ROUND((IF($V347&lt;=INDEX('Parametri Modello'!$C$57:$C$60,MATCH($B347,'Parametri Modello'!$A$57:$A$60,0)),IF(INDEX('Parametri Modello'!$E$57:$E$60,MATCH($B347,'Parametri Modello'!$A$57:$A$60,0))=0,0,($O347/INDEX('Parametri Modello'!$E$57:$E$60,MATCH($B347,'Parametri Modello'!$A$57:$A$60,0)))*(INDEX('Parametri Modello'!$D$57:$D$60,MATCH($B347,'Parametri Modello'!$A$57:$A$60,0))*(INDEX('Parametri Modello'!$B$50:$B$53,MATCH($B347,'Parametri Modello'!$A$50:$A$53,0))*'Parametri Modello'!$B$44))),IF(INDEX('Parametri Modello'!$F$57:$F$60,MATCH($B347,'Parametri Modello'!$A$57:$A$60,0))=0,0,($O347/INDEX('Parametri Modello'!$F$57:$F$60,MATCH($B347,'Parametri Modello'!$A$57:$A$60,0)))*((1-INDEX('Parametri Modello'!$D$57:$D$60,MATCH($B347,'Parametri Modello'!$A$57:$A$60,0)))*(INDEX('Parametri Modello'!$B$50:$B$53,MATCH($B347,'Parametri Modello'!$A$50:$A$53,0))*'Parametri Modello'!$B$44))))*(1+IF(IF($B347="D",'Info Lega'!$B$25,IF($B347="C",'Info Lega'!$B$26,"No"))="Si",'Parametri Modello'!$B$5,0))*(1+MAX(-0.25,MIN(0.25,IF(OR($T347="",$I347="",$I347=0,INDEX('Parametri Modello'!$B$19:$B$22,MATCH($B347,'Parametri Modello'!$A$19:$A$22,0))="",INDEX('Parametri Modello'!$B$19:$B$22,MATCH($B347,'Parametri Modello'!$A$19:$A$22,0))=0),0,(($T347-INDEX('Parametri Modello'!$B$19:$B$22,MATCH($B347,'Parametri Modello'!$A$19:$A$22,0)))/INDEX('Parametri Modello'!$B$19:$B$22,MATCH($B347,'Parametri Modello'!$A$19:$A$22,0)))*'Parametri Modello'!$B$9))))*(1+IF('Parametri Modello'!$B$27="Si",MAX(-'Parametri Modello'!$B$28,MIN('Parametri Modello'!$B$28*1.5,IF(OR(INDEX('Parametri Modello'!$F$32:$F$35,MATCH($B347,'Parametri Modello'!$A$32:$A$35,0))="",INDEX('Parametri Modello'!$F$32:$F$35,MATCH($B347,'Parametri Modello'!$A$32:$A$35,0))=0),0,(1/INDEX('Parametri Modello'!$F$32:$F$35,MATCH($B347,'Parametri Modello'!$A$32:$A$35,0))-1)*'Parametri Modello'!$B$28))),0)))*(1+INDEX('Parametri Modello'!$B$12:$B$15,MATCH($B347,'Parametri Modello'!$A$12:$A$15,0))),0),"")</f>
        <v>2</v>
      </c>
      <c r="I347" s="23">
        <f>IFERROR(INDEX('Input Statistiche 2025_26'!$F$3:$F$665,MATCH($A347,'Input Statistiche 2025_26'!$A$3:$A$665,0)),"")</f>
        <v>17</v>
      </c>
      <c r="J347" s="23">
        <f t="shared" si="45"/>
        <v>21</v>
      </c>
      <c r="K347" s="23">
        <f>IFERROR(INDEX('Input Statistiche 2025_26'!$I$3:$I$665,MATCH($A347,'Input Statistiche 2025_26'!$A$3:$A$665,0)),"")</f>
        <v>2</v>
      </c>
      <c r="L347" s="23">
        <f>IFERROR(INDEX('Input Statistiche 2025_26'!$O$3:$O$665,MATCH($A347,'Input Statistiche 2025_26'!$A$3:$A$665,0)),"")</f>
        <v>2</v>
      </c>
      <c r="M347" s="25"/>
      <c r="N347" s="24">
        <f>IFERROR(INDEX('Input Giocatori 2026_27'!$E$3:$E$493,MATCH($A347,'Input Giocatori 2026_27'!$A$3:$A$493,0)),"")</f>
        <v>3</v>
      </c>
      <c r="O347" s="24">
        <f>IFERROR(INDEX('Input Giocatori 2026_27'!$G$3:$G$493,MATCH($A347,'Input Giocatori 2026_27'!$A$3:$A$493,0)),"")</f>
        <v>8</v>
      </c>
      <c r="P347" s="23" t="str">
        <f>IFERROR(IF($O347="","",IF((1-(COUNTIFS($B$2:$B$492,$B347,$O$2:$O$492,"&gt;"&amp;$O347)+1-1)/COUNTIF($B$2:$B$492,$B347))&gt;='Parametri Modello'!$B$63,"Top",IF((1-(COUNTIFS($B$2:$B$492,$B347,$O$2:$O$492,"&gt;"&amp;$O347)+1-1)/COUNTIF($B$2:$B$492,$B347))&gt;='Parametri Modello'!$B$64,"Buono",IF((1-(COUNTIFS($B$2:$B$492,$B347,$O$2:$O$492,"&gt;"&amp;$O347)+1-1)/COUNTIF($B$2:$B$492,$B347))&gt;='Parametri Modello'!$B$65,"Nella Media","Scommessa/Riserva")))),"")</f>
        <v>Scommessa/Riserva</v>
      </c>
      <c r="Q347" s="26">
        <f>IF(AND($D347="",$N347&gt;1),SUMPRODUCT(($D$2:$D347="")*($N$2:$N347&gt;1)),"")</f>
        <v>346</v>
      </c>
      <c r="R347" s="26" t="str">
        <f>IF($D347='Info Lega'!$B$28,COUNTIFS($D$2:$D347,'Info Lega'!$B$28),"")</f>
        <v/>
      </c>
      <c r="S347" s="27">
        <f>IFERROR(INDEX('Input Statistiche 2025_26'!$G$3:$G$665,MATCH($A347,'Input Statistiche 2025_26'!$A$3:$A$665,0)),"")</f>
        <v>5.94</v>
      </c>
      <c r="T347" s="27">
        <f>IFERROR(INDEX('Input Statistiche 2025_26'!$H$3:$H$665,MATCH($A347,'Input Statistiche 2025_26'!$A$3:$A$665,0)),"")</f>
        <v>6.32</v>
      </c>
      <c r="U347" s="23" t="str">
        <f>IF(OR('La Mia Rosa'!$O$12="",$D347&lt;&gt;""),"",IF($F347&lt;='La Mia Rosa'!$O$12*'Parametri Modello'!$B$24,"OK",IF($F347&lt;='La Mia Rosa'!$O$12*'Parametri Modello'!$B$25,"Attenzione","Rischio Alto")))</f>
        <v>OK</v>
      </c>
      <c r="V347" s="23">
        <f t="shared" si="46"/>
        <v>118</v>
      </c>
      <c r="W347" s="18">
        <f>'Info Lega'!$B$4-SUMIFS($M$2:$M$492,$D$2:$D$492,'Info Lega'!$B$28)</f>
        <v>1000</v>
      </c>
      <c r="X347" s="18">
        <f>('Info Lega'!$B$5-COUNTIFS($D$2:$D$492,'Info Lega'!$B$28,$B$2:$B$492,"P"))+('Info Lega'!$B$6-COUNTIFS($D$2:$D$492,'Info Lega'!$B$28,$B$2:$B$492,"D"))+('Info Lega'!$B$7-COUNTIFS($D$2:$D$492,'Info Lega'!$B$28,$B$2:$B$492,"C"))+('Info Lega'!$B$8-COUNTIFS($D$2:$D$492,'Info Lega'!$B$28,$B$2:$B$492,"A"))</f>
        <v>25</v>
      </c>
      <c r="Y347" s="18">
        <f>X347*'Parametri Modello'!$B$30</f>
        <v>25</v>
      </c>
      <c r="Z347" s="18">
        <f t="shared" si="47"/>
        <v>975</v>
      </c>
      <c r="AA347" s="18">
        <f t="shared" si="48"/>
        <v>2</v>
      </c>
      <c r="AB347" s="18"/>
      <c r="AC347" s="18" t="str">
        <f>IF($AB347="","",IF($AB347&gt;$AA347,"PASS",IF($AB347&lt;=$AA347*(1-'Parametri Modello'!$B$68),"BID","ATTENZIONE")))</f>
        <v/>
      </c>
      <c r="AD347" s="28">
        <f t="shared" si="49"/>
        <v>43</v>
      </c>
      <c r="AE347" s="5" t="str">
        <f>IFERROR(INDEX('Stato Asta'!$G$9:$G$12,MATCH($B347,'Stato Asta'!$A$9:$A$12,0)),"")</f>
        <v>🔴 Non aspettare</v>
      </c>
      <c r="AF347" t="str">
        <f>IFERROR(IF($V347&lt;=INDEX('Parametri Modello'!$C$57:$C$60,MATCH($B347,'Parametri Modello'!$A$57:$A$60,0)),"Titolare","Riserva"),"")</f>
        <v>Riserva</v>
      </c>
      <c r="AG347" t="str">
        <f>IFERROR(INDEX('Pressione Competitiva'!$F$3:$F$6,MATCH($B347,'Pressione Competitiva'!$B$3:$B$6,0)),"")</f>
        <v>🔴 Molto Alta</v>
      </c>
      <c r="AH347" t="str">
        <f t="shared" si="50"/>
        <v/>
      </c>
      <c r="AI347" t="str">
        <f>IFERROR(IF($AH347="","",IF($AH347&gt;=$AA347*'Parametri Modello'!$B$68,"🟢 Opportunita'",IF($AH347&lt;=$AA347*'Parametri Modello'!$B$69,"🔴 Sovrapprezzo","🟡 Prezzo Corretto"))),"")</f>
        <v/>
      </c>
      <c r="AJ347" t="str">
        <f t="shared" si="51"/>
        <v/>
      </c>
      <c r="AK347">
        <f t="shared" si="52"/>
        <v>7</v>
      </c>
      <c r="AL347" t="str">
        <f t="shared" si="53"/>
        <v>D|Scommessa/Riserva|7</v>
      </c>
    </row>
    <row r="348" spans="1:38" ht="14.25" customHeight="1" x14ac:dyDescent="0.25">
      <c r="A348" s="18">
        <v>7235</v>
      </c>
      <c r="B348" s="18" t="s">
        <v>16</v>
      </c>
      <c r="C348" s="18" t="s">
        <v>487</v>
      </c>
      <c r="E348" s="23" t="str">
        <f>IF(COUNTIF('Info Strategia'!$D$2:$D$51,$C348)&gt;0,"SI","NO")</f>
        <v>NO</v>
      </c>
      <c r="F348" s="24">
        <f>IFERROR(ROUND(($G348+($H348-$G348)*'Info Strategia'!$B$6)*(1+IF($E348="SI",'Parametri Modello'!$B$7*'Info Strategia'!$B$6,0)),0),"")</f>
        <v>2</v>
      </c>
      <c r="G348" s="24">
        <f>IFERROR(ROUND(MAX(1,(IF($V348&lt;=INDEX('Parametri Modello'!$C$57:$C$60,MATCH($B348,'Parametri Modello'!$A$57:$A$60,0)),IF(INDEX('Parametri Modello'!$E$57:$E$60,MATCH($B348,'Parametri Modello'!$A$57:$A$60,0))=0,0,($O348/INDEX('Parametri Modello'!$E$57:$E$60,MATCH($B348,'Parametri Modello'!$A$57:$A$60,0)))*(INDEX('Parametri Modello'!$D$57:$D$60,MATCH($B348,'Parametri Modello'!$A$57:$A$60,0))*(INDEX('Parametri Modello'!$B$50:$B$53,MATCH($B348,'Parametri Modello'!$A$50:$A$53,0))*'Parametri Modello'!$B$44))),IF(INDEX('Parametri Modello'!$F$57:$F$60,MATCH($B348,'Parametri Modello'!$A$57:$A$60,0))=0,0,($O348/INDEX('Parametri Modello'!$F$57:$F$60,MATCH($B348,'Parametri Modello'!$A$57:$A$60,0)))*((1-INDEX('Parametri Modello'!$D$57:$D$60,MATCH($B348,'Parametri Modello'!$A$57:$A$60,0)))*(INDEX('Parametri Modello'!$B$50:$B$53,MATCH($B348,'Parametri Modello'!$A$50:$A$53,0))*'Parametri Modello'!$B$44))))*(1+IF(IF($B348="D",'Info Lega'!$B$25,IF($B348="C",'Info Lega'!$B$26,"No"))="Si",'Parametri Modello'!$B$5,0))*(1+MAX(-0.25,MIN(0.25,IF(OR($T348="",$I348="",$I348=0,INDEX('Parametri Modello'!$B$19:$B$22,MATCH($B348,'Parametri Modello'!$A$19:$A$22,0))="",INDEX('Parametri Modello'!$B$19:$B$22,MATCH($B348,'Parametri Modello'!$A$19:$A$22,0))=0),0,(($T348-INDEX('Parametri Modello'!$B$19:$B$22,MATCH($B348,'Parametri Modello'!$A$19:$A$22,0)))/INDEX('Parametri Modello'!$B$19:$B$22,MATCH($B348,'Parametri Modello'!$A$19:$A$22,0)))*'Parametri Modello'!$B$9))))*(1+IF('Parametri Modello'!$B$27="Si",MAX(-'Parametri Modello'!$B$28,MIN('Parametri Modello'!$B$28*1.5,IF(OR(INDEX('Parametri Modello'!$F$32:$F$35,MATCH($B348,'Parametri Modello'!$A$32:$A$35,0))="",INDEX('Parametri Modello'!$F$32:$F$35,MATCH($B348,'Parametri Modello'!$A$32:$A$35,0))=0),0,(1/INDEX('Parametri Modello'!$F$32:$F$35,MATCH($B348,'Parametri Modello'!$A$32:$A$35,0))-1)*'Parametri Modello'!$B$28))),0)))*(1-INDEX('Parametri Modello'!$B$12:$B$15,MATCH($B348,'Parametri Modello'!$A$12:$A$15,0)))),0),"")</f>
        <v>1</v>
      </c>
      <c r="H348" s="24">
        <f>IFERROR(ROUND((IF($V348&lt;=INDEX('Parametri Modello'!$C$57:$C$60,MATCH($B348,'Parametri Modello'!$A$57:$A$60,0)),IF(INDEX('Parametri Modello'!$E$57:$E$60,MATCH($B348,'Parametri Modello'!$A$57:$A$60,0))=0,0,($O348/INDEX('Parametri Modello'!$E$57:$E$60,MATCH($B348,'Parametri Modello'!$A$57:$A$60,0)))*(INDEX('Parametri Modello'!$D$57:$D$60,MATCH($B348,'Parametri Modello'!$A$57:$A$60,0))*(INDEX('Parametri Modello'!$B$50:$B$53,MATCH($B348,'Parametri Modello'!$A$50:$A$53,0))*'Parametri Modello'!$B$44))),IF(INDEX('Parametri Modello'!$F$57:$F$60,MATCH($B348,'Parametri Modello'!$A$57:$A$60,0))=0,0,($O348/INDEX('Parametri Modello'!$F$57:$F$60,MATCH($B348,'Parametri Modello'!$A$57:$A$60,0)))*((1-INDEX('Parametri Modello'!$D$57:$D$60,MATCH($B348,'Parametri Modello'!$A$57:$A$60,0)))*(INDEX('Parametri Modello'!$B$50:$B$53,MATCH($B348,'Parametri Modello'!$A$50:$A$53,0))*'Parametri Modello'!$B$44))))*(1+IF(IF($B348="D",'Info Lega'!$B$25,IF($B348="C",'Info Lega'!$B$26,"No"))="Si",'Parametri Modello'!$B$5,0))*(1+MAX(-0.25,MIN(0.25,IF(OR($T348="",$I348="",$I348=0,INDEX('Parametri Modello'!$B$19:$B$22,MATCH($B348,'Parametri Modello'!$A$19:$A$22,0))="",INDEX('Parametri Modello'!$B$19:$B$22,MATCH($B348,'Parametri Modello'!$A$19:$A$22,0))=0),0,(($T348-INDEX('Parametri Modello'!$B$19:$B$22,MATCH($B348,'Parametri Modello'!$A$19:$A$22,0)))/INDEX('Parametri Modello'!$B$19:$B$22,MATCH($B348,'Parametri Modello'!$A$19:$A$22,0)))*'Parametri Modello'!$B$9))))*(1+IF('Parametri Modello'!$B$27="Si",MAX(-'Parametri Modello'!$B$28,MIN('Parametri Modello'!$B$28*1.5,IF(OR(INDEX('Parametri Modello'!$F$32:$F$35,MATCH($B348,'Parametri Modello'!$A$32:$A$35,0))="",INDEX('Parametri Modello'!$F$32:$F$35,MATCH($B348,'Parametri Modello'!$A$32:$A$35,0))=0),0,(1/INDEX('Parametri Modello'!$F$32:$F$35,MATCH($B348,'Parametri Modello'!$A$32:$A$35,0))-1)*'Parametri Modello'!$B$28))),0)))*(1+INDEX('Parametri Modello'!$B$12:$B$15,MATCH($B348,'Parametri Modello'!$A$12:$A$15,0))),0),"")</f>
        <v>2</v>
      </c>
      <c r="I348" s="23">
        <f>IFERROR(INDEX('Input Statistiche 2025_26'!$F$3:$F$665,MATCH($A348,'Input Statistiche 2025_26'!$A$3:$A$665,0)),"")</f>
        <v>21</v>
      </c>
      <c r="J348" s="23">
        <f t="shared" si="45"/>
        <v>17</v>
      </c>
      <c r="K348" s="23">
        <f>IFERROR(INDEX('Input Statistiche 2025_26'!$I$3:$I$665,MATCH($A348,'Input Statistiche 2025_26'!$A$3:$A$665,0)),"")</f>
        <v>1</v>
      </c>
      <c r="L348" s="23">
        <f>IFERROR(INDEX('Input Statistiche 2025_26'!$O$3:$O$665,MATCH($A348,'Input Statistiche 2025_26'!$A$3:$A$665,0)),"")</f>
        <v>0</v>
      </c>
      <c r="M348" s="25"/>
      <c r="N348" s="24">
        <f>IFERROR(INDEX('Input Giocatori 2026_27'!$E$3:$E$493,MATCH($A348,'Input Giocatori 2026_27'!$A$3:$A$493,0)),"")</f>
        <v>3</v>
      </c>
      <c r="O348" s="24">
        <f>IFERROR(INDEX('Input Giocatori 2026_27'!$G$3:$G$493,MATCH($A348,'Input Giocatori 2026_27'!$A$3:$A$493,0)),"")</f>
        <v>8</v>
      </c>
      <c r="P348" s="23" t="str">
        <f>IFERROR(IF($O348="","",IF((1-(COUNTIFS($B$2:$B$492,$B348,$O$2:$O$492,"&gt;"&amp;$O348)+1-1)/COUNTIF($B$2:$B$492,$B348))&gt;='Parametri Modello'!$B$63,"Top",IF((1-(COUNTIFS($B$2:$B$492,$B348,$O$2:$O$492,"&gt;"&amp;$O348)+1-1)/COUNTIF($B$2:$B$492,$B348))&gt;='Parametri Modello'!$B$64,"Buono",IF((1-(COUNTIFS($B$2:$B$492,$B348,$O$2:$O$492,"&gt;"&amp;$O348)+1-1)/COUNTIF($B$2:$B$492,$B348))&gt;='Parametri Modello'!$B$65,"Nella Media","Scommessa/Riserva")))),"")</f>
        <v>Scommessa/Riserva</v>
      </c>
      <c r="Q348" s="26">
        <f>IF(AND($D348="",$N348&gt;1),SUMPRODUCT(($D$2:$D348="")*($N$2:$N348&gt;1)),"")</f>
        <v>347</v>
      </c>
      <c r="R348" s="26" t="str">
        <f>IF($D348='Info Lega'!$B$28,COUNTIFS($D$2:$D348,'Info Lega'!$B$28),"")</f>
        <v/>
      </c>
      <c r="S348" s="27">
        <f>IFERROR(INDEX('Input Statistiche 2025_26'!$G$3:$G$665,MATCH($A348,'Input Statistiche 2025_26'!$A$3:$A$665,0)),"")</f>
        <v>5.79</v>
      </c>
      <c r="T348" s="27">
        <f>IFERROR(INDEX('Input Statistiche 2025_26'!$H$3:$H$665,MATCH($A348,'Input Statistiche 2025_26'!$A$3:$A$665,0)),"")</f>
        <v>5.71</v>
      </c>
      <c r="U348" s="23" t="str">
        <f>IF(OR('La Mia Rosa'!$O$12="",$D348&lt;&gt;""),"",IF($F348&lt;='La Mia Rosa'!$O$12*'Parametri Modello'!$B$24,"OK",IF($F348&lt;='La Mia Rosa'!$O$12*'Parametri Modello'!$B$25,"Attenzione","Rischio Alto")))</f>
        <v>OK</v>
      </c>
      <c r="V348" s="23">
        <f t="shared" si="46"/>
        <v>118</v>
      </c>
      <c r="W348" s="18">
        <f>'Info Lega'!$B$4-SUMIFS($M$2:$M$492,$D$2:$D$492,'Info Lega'!$B$28)</f>
        <v>1000</v>
      </c>
      <c r="X348" s="18">
        <f>('Info Lega'!$B$5-COUNTIFS($D$2:$D$492,'Info Lega'!$B$28,$B$2:$B$492,"P"))+('Info Lega'!$B$6-COUNTIFS($D$2:$D$492,'Info Lega'!$B$28,$B$2:$B$492,"D"))+('Info Lega'!$B$7-COUNTIFS($D$2:$D$492,'Info Lega'!$B$28,$B$2:$B$492,"C"))+('Info Lega'!$B$8-COUNTIFS($D$2:$D$492,'Info Lega'!$B$28,$B$2:$B$492,"A"))</f>
        <v>25</v>
      </c>
      <c r="Y348" s="18">
        <f>X348*'Parametri Modello'!$B$30</f>
        <v>25</v>
      </c>
      <c r="Z348" s="18">
        <f t="shared" si="47"/>
        <v>975</v>
      </c>
      <c r="AA348" s="18">
        <f t="shared" si="48"/>
        <v>2</v>
      </c>
      <c r="AB348" s="18"/>
      <c r="AC348" s="18" t="str">
        <f>IF($AB348="","",IF($AB348&gt;$AA348,"PASS",IF($AB348&lt;=$AA348*(1-'Parametri Modello'!$B$68),"BID","ATTENZIONE")))</f>
        <v/>
      </c>
      <c r="AD348" s="28">
        <f t="shared" si="49"/>
        <v>50</v>
      </c>
      <c r="AE348" s="5" t="str">
        <f>IFERROR(INDEX('Stato Asta'!$G$9:$G$12,MATCH($B348,'Stato Asta'!$A$9:$A$12,0)),"")</f>
        <v>🔴 Non aspettare</v>
      </c>
      <c r="AF348" t="str">
        <f>IFERROR(IF($V348&lt;=INDEX('Parametri Modello'!$C$57:$C$60,MATCH($B348,'Parametri Modello'!$A$57:$A$60,0)),"Titolare","Riserva"),"")</f>
        <v>Riserva</v>
      </c>
      <c r="AG348" t="str">
        <f>IFERROR(INDEX('Pressione Competitiva'!$F$3:$F$6,MATCH($B348,'Pressione Competitiva'!$B$3:$B$6,0)),"")</f>
        <v>🔴 Molto Alta</v>
      </c>
      <c r="AH348" t="str">
        <f t="shared" si="50"/>
        <v/>
      </c>
      <c r="AI348" t="str">
        <f>IFERROR(IF($AH348="","",IF($AH348&gt;=$AA348*'Parametri Modello'!$B$68,"🟢 Opportunita'",IF($AH348&lt;=$AA348*'Parametri Modello'!$B$69,"🔴 Sovrapprezzo","🟡 Prezzo Corretto"))),"")</f>
        <v/>
      </c>
      <c r="AJ348" t="str">
        <f t="shared" si="51"/>
        <v/>
      </c>
      <c r="AK348">
        <f t="shared" si="52"/>
        <v>7</v>
      </c>
      <c r="AL348" t="str">
        <f t="shared" si="53"/>
        <v>D|Scommessa/Riserva|7</v>
      </c>
    </row>
    <row r="349" spans="1:38" ht="14.25" customHeight="1" x14ac:dyDescent="0.25">
      <c r="A349" s="18">
        <v>2263</v>
      </c>
      <c r="B349" s="18" t="s">
        <v>16</v>
      </c>
      <c r="C349" s="18" t="s">
        <v>488</v>
      </c>
      <c r="E349" s="23" t="str">
        <f>IF(COUNTIF('Info Strategia'!$D$2:$D$51,$C349)&gt;0,"SI","NO")</f>
        <v>NO</v>
      </c>
      <c r="F349" s="24">
        <f>IFERROR(ROUND(($G349+($H349-$G349)*'Info Strategia'!$B$6)*(1+IF($E349="SI",'Parametri Modello'!$B$7*'Info Strategia'!$B$6,0)),0),"")</f>
        <v>2</v>
      </c>
      <c r="G349" s="24">
        <f>IFERROR(ROUND(MAX(1,(IF($V349&lt;=INDEX('Parametri Modello'!$C$57:$C$60,MATCH($B349,'Parametri Modello'!$A$57:$A$60,0)),IF(INDEX('Parametri Modello'!$E$57:$E$60,MATCH($B349,'Parametri Modello'!$A$57:$A$60,0))=0,0,($O349/INDEX('Parametri Modello'!$E$57:$E$60,MATCH($B349,'Parametri Modello'!$A$57:$A$60,0)))*(INDEX('Parametri Modello'!$D$57:$D$60,MATCH($B349,'Parametri Modello'!$A$57:$A$60,0))*(INDEX('Parametri Modello'!$B$50:$B$53,MATCH($B349,'Parametri Modello'!$A$50:$A$53,0))*'Parametri Modello'!$B$44))),IF(INDEX('Parametri Modello'!$F$57:$F$60,MATCH($B349,'Parametri Modello'!$A$57:$A$60,0))=0,0,($O349/INDEX('Parametri Modello'!$F$57:$F$60,MATCH($B349,'Parametri Modello'!$A$57:$A$60,0)))*((1-INDEX('Parametri Modello'!$D$57:$D$60,MATCH($B349,'Parametri Modello'!$A$57:$A$60,0)))*(INDEX('Parametri Modello'!$B$50:$B$53,MATCH($B349,'Parametri Modello'!$A$50:$A$53,0))*'Parametri Modello'!$B$44))))*(1+IF(IF($B349="D",'Info Lega'!$B$25,IF($B349="C",'Info Lega'!$B$26,"No"))="Si",'Parametri Modello'!$B$5,0))*(1+MAX(-0.25,MIN(0.25,IF(OR($T349="",$I349="",$I349=0,INDEX('Parametri Modello'!$B$19:$B$22,MATCH($B349,'Parametri Modello'!$A$19:$A$22,0))="",INDEX('Parametri Modello'!$B$19:$B$22,MATCH($B349,'Parametri Modello'!$A$19:$A$22,0))=0),0,(($T349-INDEX('Parametri Modello'!$B$19:$B$22,MATCH($B349,'Parametri Modello'!$A$19:$A$22,0)))/INDEX('Parametri Modello'!$B$19:$B$22,MATCH($B349,'Parametri Modello'!$A$19:$A$22,0)))*'Parametri Modello'!$B$9))))*(1+IF('Parametri Modello'!$B$27="Si",MAX(-'Parametri Modello'!$B$28,MIN('Parametri Modello'!$B$28*1.5,IF(OR(INDEX('Parametri Modello'!$F$32:$F$35,MATCH($B349,'Parametri Modello'!$A$32:$A$35,0))="",INDEX('Parametri Modello'!$F$32:$F$35,MATCH($B349,'Parametri Modello'!$A$32:$A$35,0))=0),0,(1/INDEX('Parametri Modello'!$F$32:$F$35,MATCH($B349,'Parametri Modello'!$A$32:$A$35,0))-1)*'Parametri Modello'!$B$28))),0)))*(1-INDEX('Parametri Modello'!$B$12:$B$15,MATCH($B349,'Parametri Modello'!$A$12:$A$15,0)))),0),"")</f>
        <v>1</v>
      </c>
      <c r="H349" s="24">
        <f>IFERROR(ROUND((IF($V349&lt;=INDEX('Parametri Modello'!$C$57:$C$60,MATCH($B349,'Parametri Modello'!$A$57:$A$60,0)),IF(INDEX('Parametri Modello'!$E$57:$E$60,MATCH($B349,'Parametri Modello'!$A$57:$A$60,0))=0,0,($O349/INDEX('Parametri Modello'!$E$57:$E$60,MATCH($B349,'Parametri Modello'!$A$57:$A$60,0)))*(INDEX('Parametri Modello'!$D$57:$D$60,MATCH($B349,'Parametri Modello'!$A$57:$A$60,0))*(INDEX('Parametri Modello'!$B$50:$B$53,MATCH($B349,'Parametri Modello'!$A$50:$A$53,0))*'Parametri Modello'!$B$44))),IF(INDEX('Parametri Modello'!$F$57:$F$60,MATCH($B349,'Parametri Modello'!$A$57:$A$60,0))=0,0,($O349/INDEX('Parametri Modello'!$F$57:$F$60,MATCH($B349,'Parametri Modello'!$A$57:$A$60,0)))*((1-INDEX('Parametri Modello'!$D$57:$D$60,MATCH($B349,'Parametri Modello'!$A$57:$A$60,0)))*(INDEX('Parametri Modello'!$B$50:$B$53,MATCH($B349,'Parametri Modello'!$A$50:$A$53,0))*'Parametri Modello'!$B$44))))*(1+IF(IF($B349="D",'Info Lega'!$B$25,IF($B349="C",'Info Lega'!$B$26,"No"))="Si",'Parametri Modello'!$B$5,0))*(1+MAX(-0.25,MIN(0.25,IF(OR($T349="",$I349="",$I349=0,INDEX('Parametri Modello'!$B$19:$B$22,MATCH($B349,'Parametri Modello'!$A$19:$A$22,0))="",INDEX('Parametri Modello'!$B$19:$B$22,MATCH($B349,'Parametri Modello'!$A$19:$A$22,0))=0),0,(($T349-INDEX('Parametri Modello'!$B$19:$B$22,MATCH($B349,'Parametri Modello'!$A$19:$A$22,0)))/INDEX('Parametri Modello'!$B$19:$B$22,MATCH($B349,'Parametri Modello'!$A$19:$A$22,0)))*'Parametri Modello'!$B$9))))*(1+IF('Parametri Modello'!$B$27="Si",MAX(-'Parametri Modello'!$B$28,MIN('Parametri Modello'!$B$28*1.5,IF(OR(INDEX('Parametri Modello'!$F$32:$F$35,MATCH($B349,'Parametri Modello'!$A$32:$A$35,0))="",INDEX('Parametri Modello'!$F$32:$F$35,MATCH($B349,'Parametri Modello'!$A$32:$A$35,0))=0),0,(1/INDEX('Parametri Modello'!$F$32:$F$35,MATCH($B349,'Parametri Modello'!$A$32:$A$35,0))-1)*'Parametri Modello'!$B$28))),0)))*(1+INDEX('Parametri Modello'!$B$12:$B$15,MATCH($B349,'Parametri Modello'!$A$12:$A$15,0))),0),"")</f>
        <v>2</v>
      </c>
      <c r="I349" s="23">
        <f>IFERROR(INDEX('Input Statistiche 2025_26'!$F$3:$F$665,MATCH($A349,'Input Statistiche 2025_26'!$A$3:$A$665,0)),"")</f>
        <v>17</v>
      </c>
      <c r="J349" s="23">
        <f t="shared" si="45"/>
        <v>21</v>
      </c>
      <c r="K349" s="23">
        <f>IFERROR(INDEX('Input Statistiche 2025_26'!$I$3:$I$665,MATCH($A349,'Input Statistiche 2025_26'!$A$3:$A$665,0)),"")</f>
        <v>0</v>
      </c>
      <c r="L349" s="23">
        <f>IFERROR(INDEX('Input Statistiche 2025_26'!$O$3:$O$665,MATCH($A349,'Input Statistiche 2025_26'!$A$3:$A$665,0)),"")</f>
        <v>0</v>
      </c>
      <c r="M349" s="25"/>
      <c r="N349" s="24">
        <f>IFERROR(INDEX('Input Giocatori 2026_27'!$E$3:$E$493,MATCH($A349,'Input Giocatori 2026_27'!$A$3:$A$493,0)),"")</f>
        <v>2</v>
      </c>
      <c r="O349" s="24">
        <f>IFERROR(INDEX('Input Giocatori 2026_27'!$G$3:$G$493,MATCH($A349,'Input Giocatori 2026_27'!$A$3:$A$493,0)),"")</f>
        <v>8</v>
      </c>
      <c r="P349" s="23" t="str">
        <f>IFERROR(IF($O349="","",IF((1-(COUNTIFS($B$2:$B$492,$B349,$O$2:$O$492,"&gt;"&amp;$O349)+1-1)/COUNTIF($B$2:$B$492,$B349))&gt;='Parametri Modello'!$B$63,"Top",IF((1-(COUNTIFS($B$2:$B$492,$B349,$O$2:$O$492,"&gt;"&amp;$O349)+1-1)/COUNTIF($B$2:$B$492,$B349))&gt;='Parametri Modello'!$B$64,"Buono",IF((1-(COUNTIFS($B$2:$B$492,$B349,$O$2:$O$492,"&gt;"&amp;$O349)+1-1)/COUNTIF($B$2:$B$492,$B349))&gt;='Parametri Modello'!$B$65,"Nella Media","Scommessa/Riserva")))),"")</f>
        <v>Scommessa/Riserva</v>
      </c>
      <c r="Q349" s="26">
        <f>IF(AND($D349="",$N349&gt;1),SUMPRODUCT(($D$2:$D349="")*($N$2:$N349&gt;1)),"")</f>
        <v>348</v>
      </c>
      <c r="R349" s="26" t="str">
        <f>IF($D349='Info Lega'!$B$28,COUNTIFS($D$2:$D349,'Info Lega'!$B$28),"")</f>
        <v/>
      </c>
      <c r="S349" s="27">
        <f>IFERROR(INDEX('Input Statistiche 2025_26'!$G$3:$G$665,MATCH($A349,'Input Statistiche 2025_26'!$A$3:$A$665,0)),"")</f>
        <v>5.79</v>
      </c>
      <c r="T349" s="27">
        <f>IFERROR(INDEX('Input Statistiche 2025_26'!$H$3:$H$665,MATCH($A349,'Input Statistiche 2025_26'!$A$3:$A$665,0)),"")</f>
        <v>5.74</v>
      </c>
      <c r="U349" s="23" t="str">
        <f>IF(OR('La Mia Rosa'!$O$12="",$D349&lt;&gt;""),"",IF($F349&lt;='La Mia Rosa'!$O$12*'Parametri Modello'!$B$24,"OK",IF($F349&lt;='La Mia Rosa'!$O$12*'Parametri Modello'!$B$25,"Attenzione","Rischio Alto")))</f>
        <v>OK</v>
      </c>
      <c r="V349" s="23">
        <f t="shared" si="46"/>
        <v>118</v>
      </c>
      <c r="W349" s="18">
        <f>'Info Lega'!$B$4-SUMIFS($M$2:$M$492,$D$2:$D$492,'Info Lega'!$B$28)</f>
        <v>1000</v>
      </c>
      <c r="X349" s="18">
        <f>('Info Lega'!$B$5-COUNTIFS($D$2:$D$492,'Info Lega'!$B$28,$B$2:$B$492,"P"))+('Info Lega'!$B$6-COUNTIFS($D$2:$D$492,'Info Lega'!$B$28,$B$2:$B$492,"D"))+('Info Lega'!$B$7-COUNTIFS($D$2:$D$492,'Info Lega'!$B$28,$B$2:$B$492,"C"))+('Info Lega'!$B$8-COUNTIFS($D$2:$D$492,'Info Lega'!$B$28,$B$2:$B$492,"A"))</f>
        <v>25</v>
      </c>
      <c r="Y349" s="18">
        <f>X349*'Parametri Modello'!$B$30</f>
        <v>25</v>
      </c>
      <c r="Z349" s="18">
        <f t="shared" si="47"/>
        <v>975</v>
      </c>
      <c r="AA349" s="18">
        <f t="shared" si="48"/>
        <v>2</v>
      </c>
      <c r="AB349" s="18"/>
      <c r="AC349" s="18" t="str">
        <f>IF($AB349="","",IF($AB349&gt;$AA349,"PASS",IF($AB349&lt;=$AA349*(1-'Parametri Modello'!$B$68),"BID","ATTENZIONE")))</f>
        <v/>
      </c>
      <c r="AD349" s="28">
        <f t="shared" si="49"/>
        <v>43</v>
      </c>
      <c r="AE349" s="5" t="str">
        <f>IFERROR(INDEX('Stato Asta'!$G$9:$G$12,MATCH($B349,'Stato Asta'!$A$9:$A$12,0)),"")</f>
        <v>🔴 Non aspettare</v>
      </c>
      <c r="AF349" t="str">
        <f>IFERROR(IF($V349&lt;=INDEX('Parametri Modello'!$C$57:$C$60,MATCH($B349,'Parametri Modello'!$A$57:$A$60,0)),"Titolare","Riserva"),"")</f>
        <v>Riserva</v>
      </c>
      <c r="AG349" t="str">
        <f>IFERROR(INDEX('Pressione Competitiva'!$F$3:$F$6,MATCH($B349,'Pressione Competitiva'!$B$3:$B$6,0)),"")</f>
        <v>🔴 Molto Alta</v>
      </c>
      <c r="AH349" t="str">
        <f t="shared" si="50"/>
        <v/>
      </c>
      <c r="AI349" t="str">
        <f>IFERROR(IF($AH349="","",IF($AH349&gt;=$AA349*'Parametri Modello'!$B$68,"🟢 Opportunita'",IF($AH349&lt;=$AA349*'Parametri Modello'!$B$69,"🔴 Sovrapprezzo","🟡 Prezzo Corretto"))),"")</f>
        <v/>
      </c>
      <c r="AJ349" t="str">
        <f t="shared" si="51"/>
        <v/>
      </c>
      <c r="AK349">
        <f t="shared" si="52"/>
        <v>7</v>
      </c>
      <c r="AL349" t="str">
        <f t="shared" si="53"/>
        <v>D|Scommessa/Riserva|7</v>
      </c>
    </row>
    <row r="350" spans="1:38" ht="14.25" customHeight="1" x14ac:dyDescent="0.25">
      <c r="A350" s="18">
        <v>7407</v>
      </c>
      <c r="B350" s="18" t="s">
        <v>16</v>
      </c>
      <c r="C350" s="18" t="s">
        <v>489</v>
      </c>
      <c r="E350" s="23" t="str">
        <f>IF(COUNTIF('Info Strategia'!$D$2:$D$51,$C350)&gt;0,"SI","NO")</f>
        <v>NO</v>
      </c>
      <c r="F350" s="24">
        <f>IFERROR(ROUND(($G350+($H350-$G350)*'Info Strategia'!$B$6)*(1+IF($E350="SI",'Parametri Modello'!$B$7*'Info Strategia'!$B$6,0)),0),"")</f>
        <v>2</v>
      </c>
      <c r="G350" s="24">
        <f>IFERROR(ROUND(MAX(1,(IF($V350&lt;=INDEX('Parametri Modello'!$C$57:$C$60,MATCH($B350,'Parametri Modello'!$A$57:$A$60,0)),IF(INDEX('Parametri Modello'!$E$57:$E$60,MATCH($B350,'Parametri Modello'!$A$57:$A$60,0))=0,0,($O350/INDEX('Parametri Modello'!$E$57:$E$60,MATCH($B350,'Parametri Modello'!$A$57:$A$60,0)))*(INDEX('Parametri Modello'!$D$57:$D$60,MATCH($B350,'Parametri Modello'!$A$57:$A$60,0))*(INDEX('Parametri Modello'!$B$50:$B$53,MATCH($B350,'Parametri Modello'!$A$50:$A$53,0))*'Parametri Modello'!$B$44))),IF(INDEX('Parametri Modello'!$F$57:$F$60,MATCH($B350,'Parametri Modello'!$A$57:$A$60,0))=0,0,($O350/INDEX('Parametri Modello'!$F$57:$F$60,MATCH($B350,'Parametri Modello'!$A$57:$A$60,0)))*((1-INDEX('Parametri Modello'!$D$57:$D$60,MATCH($B350,'Parametri Modello'!$A$57:$A$60,0)))*(INDEX('Parametri Modello'!$B$50:$B$53,MATCH($B350,'Parametri Modello'!$A$50:$A$53,0))*'Parametri Modello'!$B$44))))*(1+IF(IF($B350="D",'Info Lega'!$B$25,IF($B350="C",'Info Lega'!$B$26,"No"))="Si",'Parametri Modello'!$B$5,0))*(1+MAX(-0.25,MIN(0.25,IF(OR($T350="",$I350="",$I350=0,INDEX('Parametri Modello'!$B$19:$B$22,MATCH($B350,'Parametri Modello'!$A$19:$A$22,0))="",INDEX('Parametri Modello'!$B$19:$B$22,MATCH($B350,'Parametri Modello'!$A$19:$A$22,0))=0),0,(($T350-INDEX('Parametri Modello'!$B$19:$B$22,MATCH($B350,'Parametri Modello'!$A$19:$A$22,0)))/INDEX('Parametri Modello'!$B$19:$B$22,MATCH($B350,'Parametri Modello'!$A$19:$A$22,0)))*'Parametri Modello'!$B$9))))*(1+IF('Parametri Modello'!$B$27="Si",MAX(-'Parametri Modello'!$B$28,MIN('Parametri Modello'!$B$28*1.5,IF(OR(INDEX('Parametri Modello'!$F$32:$F$35,MATCH($B350,'Parametri Modello'!$A$32:$A$35,0))="",INDEX('Parametri Modello'!$F$32:$F$35,MATCH($B350,'Parametri Modello'!$A$32:$A$35,0))=0),0,(1/INDEX('Parametri Modello'!$F$32:$F$35,MATCH($B350,'Parametri Modello'!$A$32:$A$35,0))-1)*'Parametri Modello'!$B$28))),0)))*(1-INDEX('Parametri Modello'!$B$12:$B$15,MATCH($B350,'Parametri Modello'!$A$12:$A$15,0)))),0),"")</f>
        <v>1</v>
      </c>
      <c r="H350" s="24">
        <f>IFERROR(ROUND((IF($V350&lt;=INDEX('Parametri Modello'!$C$57:$C$60,MATCH($B350,'Parametri Modello'!$A$57:$A$60,0)),IF(INDEX('Parametri Modello'!$E$57:$E$60,MATCH($B350,'Parametri Modello'!$A$57:$A$60,0))=0,0,($O350/INDEX('Parametri Modello'!$E$57:$E$60,MATCH($B350,'Parametri Modello'!$A$57:$A$60,0)))*(INDEX('Parametri Modello'!$D$57:$D$60,MATCH($B350,'Parametri Modello'!$A$57:$A$60,0))*(INDEX('Parametri Modello'!$B$50:$B$53,MATCH($B350,'Parametri Modello'!$A$50:$A$53,0))*'Parametri Modello'!$B$44))),IF(INDEX('Parametri Modello'!$F$57:$F$60,MATCH($B350,'Parametri Modello'!$A$57:$A$60,0))=0,0,($O350/INDEX('Parametri Modello'!$F$57:$F$60,MATCH($B350,'Parametri Modello'!$A$57:$A$60,0)))*((1-INDEX('Parametri Modello'!$D$57:$D$60,MATCH($B350,'Parametri Modello'!$A$57:$A$60,0)))*(INDEX('Parametri Modello'!$B$50:$B$53,MATCH($B350,'Parametri Modello'!$A$50:$A$53,0))*'Parametri Modello'!$B$44))))*(1+IF(IF($B350="D",'Info Lega'!$B$25,IF($B350="C",'Info Lega'!$B$26,"No"))="Si",'Parametri Modello'!$B$5,0))*(1+MAX(-0.25,MIN(0.25,IF(OR($T350="",$I350="",$I350=0,INDEX('Parametri Modello'!$B$19:$B$22,MATCH($B350,'Parametri Modello'!$A$19:$A$22,0))="",INDEX('Parametri Modello'!$B$19:$B$22,MATCH($B350,'Parametri Modello'!$A$19:$A$22,0))=0),0,(($T350-INDEX('Parametri Modello'!$B$19:$B$22,MATCH($B350,'Parametri Modello'!$A$19:$A$22,0)))/INDEX('Parametri Modello'!$B$19:$B$22,MATCH($B350,'Parametri Modello'!$A$19:$A$22,0)))*'Parametri Modello'!$B$9))))*(1+IF('Parametri Modello'!$B$27="Si",MAX(-'Parametri Modello'!$B$28,MIN('Parametri Modello'!$B$28*1.5,IF(OR(INDEX('Parametri Modello'!$F$32:$F$35,MATCH($B350,'Parametri Modello'!$A$32:$A$35,0))="",INDEX('Parametri Modello'!$F$32:$F$35,MATCH($B350,'Parametri Modello'!$A$32:$A$35,0))=0),0,(1/INDEX('Parametri Modello'!$F$32:$F$35,MATCH($B350,'Parametri Modello'!$A$32:$A$35,0))-1)*'Parametri Modello'!$B$28))),0)))*(1+INDEX('Parametri Modello'!$B$12:$B$15,MATCH($B350,'Parametri Modello'!$A$12:$A$15,0))),0),"")</f>
        <v>2</v>
      </c>
      <c r="I350" s="23" t="str">
        <f>IFERROR(INDEX('Input Statistiche 2025_26'!$F$3:$F$665,MATCH($A350,'Input Statistiche 2025_26'!$A$3:$A$665,0)),"")</f>
        <v/>
      </c>
      <c r="J350" s="23" t="str">
        <f t="shared" si="45"/>
        <v/>
      </c>
      <c r="K350" s="23" t="str">
        <f>IFERROR(INDEX('Input Statistiche 2025_26'!$I$3:$I$665,MATCH($A350,'Input Statistiche 2025_26'!$A$3:$A$665,0)),"")</f>
        <v/>
      </c>
      <c r="L350" s="23" t="str">
        <f>IFERROR(INDEX('Input Statistiche 2025_26'!$O$3:$O$665,MATCH($A350,'Input Statistiche 2025_26'!$A$3:$A$665,0)),"")</f>
        <v/>
      </c>
      <c r="M350" s="25"/>
      <c r="N350" s="24">
        <f>IFERROR(INDEX('Input Giocatori 2026_27'!$E$3:$E$493,MATCH($A350,'Input Giocatori 2026_27'!$A$3:$A$493,0)),"")</f>
        <v>1</v>
      </c>
      <c r="O350" s="24">
        <f>IFERROR(INDEX('Input Giocatori 2026_27'!$G$3:$G$493,MATCH($A350,'Input Giocatori 2026_27'!$A$3:$A$493,0)),"")</f>
        <v>8</v>
      </c>
      <c r="P350" s="23" t="str">
        <f>IFERROR(IF($O350="","",IF((1-(COUNTIFS($B$2:$B$492,$B350,$O$2:$O$492,"&gt;"&amp;$O350)+1-1)/COUNTIF($B$2:$B$492,$B350))&gt;='Parametri Modello'!$B$63,"Top",IF((1-(COUNTIFS($B$2:$B$492,$B350,$O$2:$O$492,"&gt;"&amp;$O350)+1-1)/COUNTIF($B$2:$B$492,$B350))&gt;='Parametri Modello'!$B$64,"Buono",IF((1-(COUNTIFS($B$2:$B$492,$B350,$O$2:$O$492,"&gt;"&amp;$O350)+1-1)/COUNTIF($B$2:$B$492,$B350))&gt;='Parametri Modello'!$B$65,"Nella Media","Scommessa/Riserva")))),"")</f>
        <v>Scommessa/Riserva</v>
      </c>
      <c r="Q350" s="26" t="str">
        <f>IF(AND($D350="",$N350&gt;1),SUMPRODUCT(($D$2:$D350="")*($N$2:$N350&gt;1)),"")</f>
        <v/>
      </c>
      <c r="R350" s="26" t="str">
        <f>IF($D350='Info Lega'!$B$28,COUNTIFS($D$2:$D350,'Info Lega'!$B$28),"")</f>
        <v/>
      </c>
      <c r="S350" s="27" t="str">
        <f>IFERROR(INDEX('Input Statistiche 2025_26'!$G$3:$G$665,MATCH($A350,'Input Statistiche 2025_26'!$A$3:$A$665,0)),"")</f>
        <v/>
      </c>
      <c r="T350" s="27" t="str">
        <f>IFERROR(INDEX('Input Statistiche 2025_26'!$H$3:$H$665,MATCH($A350,'Input Statistiche 2025_26'!$A$3:$A$665,0)),"")</f>
        <v/>
      </c>
      <c r="U350" s="23" t="str">
        <f>IF(OR('La Mia Rosa'!$O$12="",$D350&lt;&gt;""),"",IF($F350&lt;='La Mia Rosa'!$O$12*'Parametri Modello'!$B$24,"OK",IF($F350&lt;='La Mia Rosa'!$O$12*'Parametri Modello'!$B$25,"Attenzione","Rischio Alto")))</f>
        <v>OK</v>
      </c>
      <c r="V350" s="23">
        <f t="shared" si="46"/>
        <v>118</v>
      </c>
      <c r="W350" s="18">
        <f>'Info Lega'!$B$4-SUMIFS($M$2:$M$492,$D$2:$D$492,'Info Lega'!$B$28)</f>
        <v>1000</v>
      </c>
      <c r="X350" s="18">
        <f>('Info Lega'!$B$5-COUNTIFS($D$2:$D$492,'Info Lega'!$B$28,$B$2:$B$492,"P"))+('Info Lega'!$B$6-COUNTIFS($D$2:$D$492,'Info Lega'!$B$28,$B$2:$B$492,"D"))+('Info Lega'!$B$7-COUNTIFS($D$2:$D$492,'Info Lega'!$B$28,$B$2:$B$492,"C"))+('Info Lega'!$B$8-COUNTIFS($D$2:$D$492,'Info Lega'!$B$28,$B$2:$B$492,"A"))</f>
        <v>25</v>
      </c>
      <c r="Y350" s="18">
        <f>X350*'Parametri Modello'!$B$30</f>
        <v>25</v>
      </c>
      <c r="Z350" s="18">
        <f t="shared" si="47"/>
        <v>975</v>
      </c>
      <c r="AA350" s="18">
        <f t="shared" si="48"/>
        <v>2</v>
      </c>
      <c r="AB350" s="18"/>
      <c r="AC350" s="18" t="str">
        <f>IF($AB350="","",IF($AB350&gt;$AA350,"PASS",IF($AB350&lt;=$AA350*(1-'Parametri Modello'!$B$68),"BID","ATTENZIONE")))</f>
        <v/>
      </c>
      <c r="AD350" s="28" t="str">
        <f t="shared" si="49"/>
        <v/>
      </c>
      <c r="AE350" s="5" t="str">
        <f>IFERROR(INDEX('Stato Asta'!$G$9:$G$12,MATCH($B350,'Stato Asta'!$A$9:$A$12,0)),"")</f>
        <v>🔴 Non aspettare</v>
      </c>
      <c r="AF350" t="str">
        <f>IFERROR(IF($V350&lt;=INDEX('Parametri Modello'!$C$57:$C$60,MATCH($B350,'Parametri Modello'!$A$57:$A$60,0)),"Titolare","Riserva"),"")</f>
        <v>Riserva</v>
      </c>
      <c r="AG350" t="str">
        <f>IFERROR(INDEX('Pressione Competitiva'!$F$3:$F$6,MATCH($B350,'Pressione Competitiva'!$B$3:$B$6,0)),"")</f>
        <v>🔴 Molto Alta</v>
      </c>
      <c r="AH350" t="str">
        <f t="shared" si="50"/>
        <v/>
      </c>
      <c r="AI350" t="str">
        <f>IFERROR(IF($AH350="","",IF($AH350&gt;=$AA350*'Parametri Modello'!$B$68,"🟢 Opportunita'",IF($AH350&lt;=$AA350*'Parametri Modello'!$B$69,"🔴 Sovrapprezzo","🟡 Prezzo Corretto"))),"")</f>
        <v/>
      </c>
      <c r="AJ350" t="str">
        <f t="shared" si="51"/>
        <v/>
      </c>
      <c r="AK350" t="str">
        <f t="shared" si="52"/>
        <v/>
      </c>
      <c r="AL350" t="str">
        <f t="shared" si="53"/>
        <v/>
      </c>
    </row>
    <row r="351" spans="1:38" ht="14.25" customHeight="1" x14ac:dyDescent="0.25">
      <c r="A351" s="18">
        <v>6206</v>
      </c>
      <c r="B351" s="18" t="s">
        <v>17</v>
      </c>
      <c r="C351" s="18" t="s">
        <v>490</v>
      </c>
      <c r="E351" s="23" t="str">
        <f>IF(COUNTIF('Info Strategia'!$D$2:$D$51,$C351)&gt;0,"SI","NO")</f>
        <v>NO</v>
      </c>
      <c r="F351" s="24">
        <f>IFERROR(ROUND(($G351+($H351-$G351)*'Info Strategia'!$B$6)*(1+IF($E351="SI",'Parametri Modello'!$B$7*'Info Strategia'!$B$6,0)),0),"")</f>
        <v>1</v>
      </c>
      <c r="G351" s="24">
        <f>IFERROR(ROUND(MAX(1,(IF($V351&lt;=INDEX('Parametri Modello'!$C$57:$C$60,MATCH($B351,'Parametri Modello'!$A$57:$A$60,0)),IF(INDEX('Parametri Modello'!$E$57:$E$60,MATCH($B351,'Parametri Modello'!$A$57:$A$60,0))=0,0,($O351/INDEX('Parametri Modello'!$E$57:$E$60,MATCH($B351,'Parametri Modello'!$A$57:$A$60,0)))*(INDEX('Parametri Modello'!$D$57:$D$60,MATCH($B351,'Parametri Modello'!$A$57:$A$60,0))*(INDEX('Parametri Modello'!$B$50:$B$53,MATCH($B351,'Parametri Modello'!$A$50:$A$53,0))*'Parametri Modello'!$B$44))),IF(INDEX('Parametri Modello'!$F$57:$F$60,MATCH($B351,'Parametri Modello'!$A$57:$A$60,0))=0,0,($O351/INDEX('Parametri Modello'!$F$57:$F$60,MATCH($B351,'Parametri Modello'!$A$57:$A$60,0)))*((1-INDEX('Parametri Modello'!$D$57:$D$60,MATCH($B351,'Parametri Modello'!$A$57:$A$60,0)))*(INDEX('Parametri Modello'!$B$50:$B$53,MATCH($B351,'Parametri Modello'!$A$50:$A$53,0))*'Parametri Modello'!$B$44))))*(1+IF(IF($B351="D",'Info Lega'!$B$25,IF($B351="C",'Info Lega'!$B$26,"No"))="Si",'Parametri Modello'!$B$5,0))*(1+MAX(-0.25,MIN(0.25,IF(OR($T351="",$I351="",$I351=0,INDEX('Parametri Modello'!$B$19:$B$22,MATCH($B351,'Parametri Modello'!$A$19:$A$22,0))="",INDEX('Parametri Modello'!$B$19:$B$22,MATCH($B351,'Parametri Modello'!$A$19:$A$22,0))=0),0,(($T351-INDEX('Parametri Modello'!$B$19:$B$22,MATCH($B351,'Parametri Modello'!$A$19:$A$22,0)))/INDEX('Parametri Modello'!$B$19:$B$22,MATCH($B351,'Parametri Modello'!$A$19:$A$22,0)))*'Parametri Modello'!$B$9))))*(1+IF('Parametri Modello'!$B$27="Si",MAX(-'Parametri Modello'!$B$28,MIN('Parametri Modello'!$B$28*1.5,IF(OR(INDEX('Parametri Modello'!$F$32:$F$35,MATCH($B351,'Parametri Modello'!$A$32:$A$35,0))="",INDEX('Parametri Modello'!$F$32:$F$35,MATCH($B351,'Parametri Modello'!$A$32:$A$35,0))=0),0,(1/INDEX('Parametri Modello'!$F$32:$F$35,MATCH($B351,'Parametri Modello'!$A$32:$A$35,0))-1)*'Parametri Modello'!$B$28))),0)))*(1-INDEX('Parametri Modello'!$B$12:$B$15,MATCH($B351,'Parametri Modello'!$A$12:$A$15,0)))),0),"")</f>
        <v>1</v>
      </c>
      <c r="H351" s="24">
        <f>IFERROR(ROUND((IF($V351&lt;=INDEX('Parametri Modello'!$C$57:$C$60,MATCH($B351,'Parametri Modello'!$A$57:$A$60,0)),IF(INDEX('Parametri Modello'!$E$57:$E$60,MATCH($B351,'Parametri Modello'!$A$57:$A$60,0))=0,0,($O351/INDEX('Parametri Modello'!$E$57:$E$60,MATCH($B351,'Parametri Modello'!$A$57:$A$60,0)))*(INDEX('Parametri Modello'!$D$57:$D$60,MATCH($B351,'Parametri Modello'!$A$57:$A$60,0))*(INDEX('Parametri Modello'!$B$50:$B$53,MATCH($B351,'Parametri Modello'!$A$50:$A$53,0))*'Parametri Modello'!$B$44))),IF(INDEX('Parametri Modello'!$F$57:$F$60,MATCH($B351,'Parametri Modello'!$A$57:$A$60,0))=0,0,($O351/INDEX('Parametri Modello'!$F$57:$F$60,MATCH($B351,'Parametri Modello'!$A$57:$A$60,0)))*((1-INDEX('Parametri Modello'!$D$57:$D$60,MATCH($B351,'Parametri Modello'!$A$57:$A$60,0)))*(INDEX('Parametri Modello'!$B$50:$B$53,MATCH($B351,'Parametri Modello'!$A$50:$A$53,0))*'Parametri Modello'!$B$44))))*(1+IF(IF($B351="D",'Info Lega'!$B$25,IF($B351="C",'Info Lega'!$B$26,"No"))="Si",'Parametri Modello'!$B$5,0))*(1+MAX(-0.25,MIN(0.25,IF(OR($T351="",$I351="",$I351=0,INDEX('Parametri Modello'!$B$19:$B$22,MATCH($B351,'Parametri Modello'!$A$19:$A$22,0))="",INDEX('Parametri Modello'!$B$19:$B$22,MATCH($B351,'Parametri Modello'!$A$19:$A$22,0))=0),0,(($T351-INDEX('Parametri Modello'!$B$19:$B$22,MATCH($B351,'Parametri Modello'!$A$19:$A$22,0)))/INDEX('Parametri Modello'!$B$19:$B$22,MATCH($B351,'Parametri Modello'!$A$19:$A$22,0)))*'Parametri Modello'!$B$9))))*(1+IF('Parametri Modello'!$B$27="Si",MAX(-'Parametri Modello'!$B$28,MIN('Parametri Modello'!$B$28*1.5,IF(OR(INDEX('Parametri Modello'!$F$32:$F$35,MATCH($B351,'Parametri Modello'!$A$32:$A$35,0))="",INDEX('Parametri Modello'!$F$32:$F$35,MATCH($B351,'Parametri Modello'!$A$32:$A$35,0))=0),0,(1/INDEX('Parametri Modello'!$F$32:$F$35,MATCH($B351,'Parametri Modello'!$A$32:$A$35,0))-1)*'Parametri Modello'!$B$28))),0)))*(1+INDEX('Parametri Modello'!$B$12:$B$15,MATCH($B351,'Parametri Modello'!$A$12:$A$15,0))),0),"")</f>
        <v>1</v>
      </c>
      <c r="I351" s="23">
        <f>IFERROR(INDEX('Input Statistiche 2025_26'!$F$3:$F$665,MATCH($A351,'Input Statistiche 2025_26'!$A$3:$A$665,0)),"")</f>
        <v>22</v>
      </c>
      <c r="J351" s="23">
        <f t="shared" si="45"/>
        <v>16</v>
      </c>
      <c r="K351" s="23">
        <f>IFERROR(INDEX('Input Statistiche 2025_26'!$I$3:$I$665,MATCH($A351,'Input Statistiche 2025_26'!$A$3:$A$665,0)),"")</f>
        <v>2</v>
      </c>
      <c r="L351" s="23">
        <f>IFERROR(INDEX('Input Statistiche 2025_26'!$O$3:$O$665,MATCH($A351,'Input Statistiche 2025_26'!$A$3:$A$665,0)),"")</f>
        <v>0</v>
      </c>
      <c r="M351" s="25"/>
      <c r="N351" s="24">
        <f>IFERROR(INDEX('Input Giocatori 2026_27'!$E$3:$E$493,MATCH($A351,'Input Giocatori 2026_27'!$A$3:$A$493,0)),"")</f>
        <v>4</v>
      </c>
      <c r="O351" s="24">
        <f>IFERROR(INDEX('Input Giocatori 2026_27'!$G$3:$G$493,MATCH($A351,'Input Giocatori 2026_27'!$A$3:$A$493,0)),"")</f>
        <v>8</v>
      </c>
      <c r="P351" s="23" t="str">
        <f>IFERROR(IF($O351="","",IF((1-(COUNTIFS($B$2:$B$492,$B351,$O$2:$O$492,"&gt;"&amp;$O351)+1-1)/COUNTIF($B$2:$B$492,$B351))&gt;='Parametri Modello'!$B$63,"Top",IF((1-(COUNTIFS($B$2:$B$492,$B351,$O$2:$O$492,"&gt;"&amp;$O351)+1-1)/COUNTIF($B$2:$B$492,$B351))&gt;='Parametri Modello'!$B$64,"Buono",IF((1-(COUNTIFS($B$2:$B$492,$B351,$O$2:$O$492,"&gt;"&amp;$O351)+1-1)/COUNTIF($B$2:$B$492,$B351))&gt;='Parametri Modello'!$B$65,"Nella Media","Scommessa/Riserva")))),"")</f>
        <v>Scommessa/Riserva</v>
      </c>
      <c r="Q351" s="26">
        <f>IF(AND($D351="",$N351&gt;1),SUMPRODUCT(($D$2:$D351="")*($N$2:$N351&gt;1)),"")</f>
        <v>349</v>
      </c>
      <c r="R351" s="26" t="str">
        <f>IF($D351='Info Lega'!$B$28,COUNTIFS($D$2:$D351,'Info Lega'!$B$28),"")</f>
        <v/>
      </c>
      <c r="S351" s="27">
        <f>IFERROR(INDEX('Input Statistiche 2025_26'!$G$3:$G$665,MATCH($A351,'Input Statistiche 2025_26'!$A$3:$A$665,0)),"")</f>
        <v>5.8</v>
      </c>
      <c r="T351" s="27">
        <f>IFERROR(INDEX('Input Statistiche 2025_26'!$H$3:$H$665,MATCH($A351,'Input Statistiche 2025_26'!$A$3:$A$665,0)),"")</f>
        <v>6.05</v>
      </c>
      <c r="U351" s="23" t="str">
        <f>IF(OR('La Mia Rosa'!$O$12="",$D351&lt;&gt;""),"",IF($F351&lt;='La Mia Rosa'!$O$12*'Parametri Modello'!$B$24,"OK",IF($F351&lt;='La Mia Rosa'!$O$12*'Parametri Modello'!$B$25,"Attenzione","Rischio Alto")))</f>
        <v>OK</v>
      </c>
      <c r="V351" s="23">
        <f t="shared" si="46"/>
        <v>132</v>
      </c>
      <c r="W351" s="18">
        <f>'Info Lega'!$B$4-SUMIFS($M$2:$M$492,$D$2:$D$492,'Info Lega'!$B$28)</f>
        <v>1000</v>
      </c>
      <c r="X351" s="18">
        <f>('Info Lega'!$B$5-COUNTIFS($D$2:$D$492,'Info Lega'!$B$28,$B$2:$B$492,"P"))+('Info Lega'!$B$6-COUNTIFS($D$2:$D$492,'Info Lega'!$B$28,$B$2:$B$492,"D"))+('Info Lega'!$B$7-COUNTIFS($D$2:$D$492,'Info Lega'!$B$28,$B$2:$B$492,"C"))+('Info Lega'!$B$8-COUNTIFS($D$2:$D$492,'Info Lega'!$B$28,$B$2:$B$492,"A"))</f>
        <v>25</v>
      </c>
      <c r="Y351" s="18">
        <f>X351*'Parametri Modello'!$B$30</f>
        <v>25</v>
      </c>
      <c r="Z351" s="18">
        <f t="shared" si="47"/>
        <v>975</v>
      </c>
      <c r="AA351" s="18">
        <f t="shared" si="48"/>
        <v>1</v>
      </c>
      <c r="AB351" s="18"/>
      <c r="AC351" s="18" t="str">
        <f>IF($AB351="","",IF($AB351&gt;$AA351,"PASS",IF($AB351&lt;=$AA351*(1-'Parametri Modello'!$B$68),"BID","ATTENZIONE")))</f>
        <v/>
      </c>
      <c r="AD351" s="28">
        <f t="shared" si="49"/>
        <v>52</v>
      </c>
      <c r="AE351" s="5" t="str">
        <f>IFERROR(INDEX('Stato Asta'!$G$9:$G$12,MATCH($B351,'Stato Asta'!$A$9:$A$12,0)),"")</f>
        <v>🔴 Non aspettare</v>
      </c>
      <c r="AF351" t="str">
        <f>IFERROR(IF($V351&lt;=INDEX('Parametri Modello'!$C$57:$C$60,MATCH($B351,'Parametri Modello'!$A$57:$A$60,0)),"Titolare","Riserva"),"")</f>
        <v>Riserva</v>
      </c>
      <c r="AG351" t="str">
        <f>IFERROR(INDEX('Pressione Competitiva'!$F$3:$F$6,MATCH($B351,'Pressione Competitiva'!$B$3:$B$6,0)),"")</f>
        <v>🔴 Molto Alta</v>
      </c>
      <c r="AH351" t="str">
        <f t="shared" si="50"/>
        <v/>
      </c>
      <c r="AI351" t="str">
        <f>IFERROR(IF($AH351="","",IF($AH351&gt;=$AA351*'Parametri Modello'!$B$68,"🟢 Opportunita'",IF($AH351&lt;=$AA351*'Parametri Modello'!$B$69,"🔴 Sovrapprezzo","🟡 Prezzo Corretto"))),"")</f>
        <v/>
      </c>
      <c r="AJ351" t="str">
        <f t="shared" si="51"/>
        <v/>
      </c>
      <c r="AK351">
        <f t="shared" si="52"/>
        <v>28</v>
      </c>
      <c r="AL351" t="str">
        <f t="shared" si="53"/>
        <v>C|Scommessa/Riserva|28</v>
      </c>
    </row>
    <row r="352" spans="1:38" ht="14.25" customHeight="1" x14ac:dyDescent="0.25">
      <c r="A352" s="18">
        <v>6895</v>
      </c>
      <c r="B352" s="18" t="s">
        <v>17</v>
      </c>
      <c r="C352" s="18" t="s">
        <v>491</v>
      </c>
      <c r="E352" s="23" t="str">
        <f>IF(COUNTIF('Info Strategia'!$D$2:$D$51,$C352)&gt;0,"SI","NO")</f>
        <v>NO</v>
      </c>
      <c r="F352" s="24">
        <f>IFERROR(ROUND(($G352+($H352-$G352)*'Info Strategia'!$B$6)*(1+IF($E352="SI",'Parametri Modello'!$B$7*'Info Strategia'!$B$6,0)),0),"")</f>
        <v>1</v>
      </c>
      <c r="G352" s="24">
        <f>IFERROR(ROUND(MAX(1,(IF($V352&lt;=INDEX('Parametri Modello'!$C$57:$C$60,MATCH($B352,'Parametri Modello'!$A$57:$A$60,0)),IF(INDEX('Parametri Modello'!$E$57:$E$60,MATCH($B352,'Parametri Modello'!$A$57:$A$60,0))=0,0,($O352/INDEX('Parametri Modello'!$E$57:$E$60,MATCH($B352,'Parametri Modello'!$A$57:$A$60,0)))*(INDEX('Parametri Modello'!$D$57:$D$60,MATCH($B352,'Parametri Modello'!$A$57:$A$60,0))*(INDEX('Parametri Modello'!$B$50:$B$53,MATCH($B352,'Parametri Modello'!$A$50:$A$53,0))*'Parametri Modello'!$B$44))),IF(INDEX('Parametri Modello'!$F$57:$F$60,MATCH($B352,'Parametri Modello'!$A$57:$A$60,0))=0,0,($O352/INDEX('Parametri Modello'!$F$57:$F$60,MATCH($B352,'Parametri Modello'!$A$57:$A$60,0)))*((1-INDEX('Parametri Modello'!$D$57:$D$60,MATCH($B352,'Parametri Modello'!$A$57:$A$60,0)))*(INDEX('Parametri Modello'!$B$50:$B$53,MATCH($B352,'Parametri Modello'!$A$50:$A$53,0))*'Parametri Modello'!$B$44))))*(1+IF(IF($B352="D",'Info Lega'!$B$25,IF($B352="C",'Info Lega'!$B$26,"No"))="Si",'Parametri Modello'!$B$5,0))*(1+MAX(-0.25,MIN(0.25,IF(OR($T352="",$I352="",$I352=0,INDEX('Parametri Modello'!$B$19:$B$22,MATCH($B352,'Parametri Modello'!$A$19:$A$22,0))="",INDEX('Parametri Modello'!$B$19:$B$22,MATCH($B352,'Parametri Modello'!$A$19:$A$22,0))=0),0,(($T352-INDEX('Parametri Modello'!$B$19:$B$22,MATCH($B352,'Parametri Modello'!$A$19:$A$22,0)))/INDEX('Parametri Modello'!$B$19:$B$22,MATCH($B352,'Parametri Modello'!$A$19:$A$22,0)))*'Parametri Modello'!$B$9))))*(1+IF('Parametri Modello'!$B$27="Si",MAX(-'Parametri Modello'!$B$28,MIN('Parametri Modello'!$B$28*1.5,IF(OR(INDEX('Parametri Modello'!$F$32:$F$35,MATCH($B352,'Parametri Modello'!$A$32:$A$35,0))="",INDEX('Parametri Modello'!$F$32:$F$35,MATCH($B352,'Parametri Modello'!$A$32:$A$35,0))=0),0,(1/INDEX('Parametri Modello'!$F$32:$F$35,MATCH($B352,'Parametri Modello'!$A$32:$A$35,0))-1)*'Parametri Modello'!$B$28))),0)))*(1-INDEX('Parametri Modello'!$B$12:$B$15,MATCH($B352,'Parametri Modello'!$A$12:$A$15,0)))),0),"")</f>
        <v>1</v>
      </c>
      <c r="H352" s="24">
        <f>IFERROR(ROUND((IF($V352&lt;=INDEX('Parametri Modello'!$C$57:$C$60,MATCH($B352,'Parametri Modello'!$A$57:$A$60,0)),IF(INDEX('Parametri Modello'!$E$57:$E$60,MATCH($B352,'Parametri Modello'!$A$57:$A$60,0))=0,0,($O352/INDEX('Parametri Modello'!$E$57:$E$60,MATCH($B352,'Parametri Modello'!$A$57:$A$60,0)))*(INDEX('Parametri Modello'!$D$57:$D$60,MATCH($B352,'Parametri Modello'!$A$57:$A$60,0))*(INDEX('Parametri Modello'!$B$50:$B$53,MATCH($B352,'Parametri Modello'!$A$50:$A$53,0))*'Parametri Modello'!$B$44))),IF(INDEX('Parametri Modello'!$F$57:$F$60,MATCH($B352,'Parametri Modello'!$A$57:$A$60,0))=0,0,($O352/INDEX('Parametri Modello'!$F$57:$F$60,MATCH($B352,'Parametri Modello'!$A$57:$A$60,0)))*((1-INDEX('Parametri Modello'!$D$57:$D$60,MATCH($B352,'Parametri Modello'!$A$57:$A$60,0)))*(INDEX('Parametri Modello'!$B$50:$B$53,MATCH($B352,'Parametri Modello'!$A$50:$A$53,0))*'Parametri Modello'!$B$44))))*(1+IF(IF($B352="D",'Info Lega'!$B$25,IF($B352="C",'Info Lega'!$B$26,"No"))="Si",'Parametri Modello'!$B$5,0))*(1+MAX(-0.25,MIN(0.25,IF(OR($T352="",$I352="",$I352=0,INDEX('Parametri Modello'!$B$19:$B$22,MATCH($B352,'Parametri Modello'!$A$19:$A$22,0))="",INDEX('Parametri Modello'!$B$19:$B$22,MATCH($B352,'Parametri Modello'!$A$19:$A$22,0))=0),0,(($T352-INDEX('Parametri Modello'!$B$19:$B$22,MATCH($B352,'Parametri Modello'!$A$19:$A$22,0)))/INDEX('Parametri Modello'!$B$19:$B$22,MATCH($B352,'Parametri Modello'!$A$19:$A$22,0)))*'Parametri Modello'!$B$9))))*(1+IF('Parametri Modello'!$B$27="Si",MAX(-'Parametri Modello'!$B$28,MIN('Parametri Modello'!$B$28*1.5,IF(OR(INDEX('Parametri Modello'!$F$32:$F$35,MATCH($B352,'Parametri Modello'!$A$32:$A$35,0))="",INDEX('Parametri Modello'!$F$32:$F$35,MATCH($B352,'Parametri Modello'!$A$32:$A$35,0))=0),0,(1/INDEX('Parametri Modello'!$F$32:$F$35,MATCH($B352,'Parametri Modello'!$A$32:$A$35,0))-1)*'Parametri Modello'!$B$28))),0)))*(1+INDEX('Parametri Modello'!$B$12:$B$15,MATCH($B352,'Parametri Modello'!$A$12:$A$15,0))),0),"")</f>
        <v>1</v>
      </c>
      <c r="I352" s="23">
        <f>IFERROR(INDEX('Input Statistiche 2025_26'!$F$3:$F$665,MATCH($A352,'Input Statistiche 2025_26'!$A$3:$A$665,0)),"")</f>
        <v>12</v>
      </c>
      <c r="J352" s="23">
        <f t="shared" si="45"/>
        <v>26</v>
      </c>
      <c r="K352" s="23">
        <f>IFERROR(INDEX('Input Statistiche 2025_26'!$I$3:$I$665,MATCH($A352,'Input Statistiche 2025_26'!$A$3:$A$665,0)),"")</f>
        <v>0</v>
      </c>
      <c r="L352" s="23">
        <f>IFERROR(INDEX('Input Statistiche 2025_26'!$O$3:$O$665,MATCH($A352,'Input Statistiche 2025_26'!$A$3:$A$665,0)),"")</f>
        <v>3</v>
      </c>
      <c r="M352" s="25"/>
      <c r="N352" s="24">
        <f>IFERROR(INDEX('Input Giocatori 2026_27'!$E$3:$E$493,MATCH($A352,'Input Giocatori 2026_27'!$A$3:$A$493,0)),"")</f>
        <v>3</v>
      </c>
      <c r="O352" s="24">
        <f>IFERROR(INDEX('Input Giocatori 2026_27'!$G$3:$G$493,MATCH($A352,'Input Giocatori 2026_27'!$A$3:$A$493,0)),"")</f>
        <v>8</v>
      </c>
      <c r="P352" s="23" t="str">
        <f>IFERROR(IF($O352="","",IF((1-(COUNTIFS($B$2:$B$492,$B352,$O$2:$O$492,"&gt;"&amp;$O352)+1-1)/COUNTIF($B$2:$B$492,$B352))&gt;='Parametri Modello'!$B$63,"Top",IF((1-(COUNTIFS($B$2:$B$492,$B352,$O$2:$O$492,"&gt;"&amp;$O352)+1-1)/COUNTIF($B$2:$B$492,$B352))&gt;='Parametri Modello'!$B$64,"Buono",IF((1-(COUNTIFS($B$2:$B$492,$B352,$O$2:$O$492,"&gt;"&amp;$O352)+1-1)/COUNTIF($B$2:$B$492,$B352))&gt;='Parametri Modello'!$B$65,"Nella Media","Scommessa/Riserva")))),"")</f>
        <v>Scommessa/Riserva</v>
      </c>
      <c r="Q352" s="26">
        <f>IF(AND($D352="",$N352&gt;1),SUMPRODUCT(($D$2:$D352="")*($N$2:$N352&gt;1)),"")</f>
        <v>350</v>
      </c>
      <c r="R352" s="26" t="str">
        <f>IF($D352='Info Lega'!$B$28,COUNTIFS($D$2:$D352,'Info Lega'!$B$28),"")</f>
        <v/>
      </c>
      <c r="S352" s="27">
        <f>IFERROR(INDEX('Input Statistiche 2025_26'!$G$3:$G$665,MATCH($A352,'Input Statistiche 2025_26'!$A$3:$A$665,0)),"")</f>
        <v>5.83</v>
      </c>
      <c r="T352" s="27">
        <f>IFERROR(INDEX('Input Statistiche 2025_26'!$H$3:$H$665,MATCH($A352,'Input Statistiche 2025_26'!$A$3:$A$665,0)),"")</f>
        <v>6.04</v>
      </c>
      <c r="U352" s="23" t="str">
        <f>IF(OR('La Mia Rosa'!$O$12="",$D352&lt;&gt;""),"",IF($F352&lt;='La Mia Rosa'!$O$12*'Parametri Modello'!$B$24,"OK",IF($F352&lt;='La Mia Rosa'!$O$12*'Parametri Modello'!$B$25,"Attenzione","Rischio Alto")))</f>
        <v>OK</v>
      </c>
      <c r="V352" s="23">
        <f t="shared" si="46"/>
        <v>132</v>
      </c>
      <c r="W352" s="18">
        <f>'Info Lega'!$B$4-SUMIFS($M$2:$M$492,$D$2:$D$492,'Info Lega'!$B$28)</f>
        <v>1000</v>
      </c>
      <c r="X352" s="18">
        <f>('Info Lega'!$B$5-COUNTIFS($D$2:$D$492,'Info Lega'!$B$28,$B$2:$B$492,"P"))+('Info Lega'!$B$6-COUNTIFS($D$2:$D$492,'Info Lega'!$B$28,$B$2:$B$492,"D"))+('Info Lega'!$B$7-COUNTIFS($D$2:$D$492,'Info Lega'!$B$28,$B$2:$B$492,"C"))+('Info Lega'!$B$8-COUNTIFS($D$2:$D$492,'Info Lega'!$B$28,$B$2:$B$492,"A"))</f>
        <v>25</v>
      </c>
      <c r="Y352" s="18">
        <f>X352*'Parametri Modello'!$B$30</f>
        <v>25</v>
      </c>
      <c r="Z352" s="18">
        <f t="shared" si="47"/>
        <v>975</v>
      </c>
      <c r="AA352" s="18">
        <f t="shared" si="48"/>
        <v>1</v>
      </c>
      <c r="AB352" s="18"/>
      <c r="AC352" s="18" t="str">
        <f>IF($AB352="","",IF($AB352&gt;$AA352,"PASS",IF($AB352&lt;=$AA352*(1-'Parametri Modello'!$B$68),"BID","ATTENZIONE")))</f>
        <v/>
      </c>
      <c r="AD352" s="28">
        <f t="shared" si="49"/>
        <v>33</v>
      </c>
      <c r="AE352" s="5" t="str">
        <f>IFERROR(INDEX('Stato Asta'!$G$9:$G$12,MATCH($B352,'Stato Asta'!$A$9:$A$12,0)),"")</f>
        <v>🔴 Non aspettare</v>
      </c>
      <c r="AF352" t="str">
        <f>IFERROR(IF($V352&lt;=INDEX('Parametri Modello'!$C$57:$C$60,MATCH($B352,'Parametri Modello'!$A$57:$A$60,0)),"Titolare","Riserva"),"")</f>
        <v>Riserva</v>
      </c>
      <c r="AG352" t="str">
        <f>IFERROR(INDEX('Pressione Competitiva'!$F$3:$F$6,MATCH($B352,'Pressione Competitiva'!$B$3:$B$6,0)),"")</f>
        <v>🔴 Molto Alta</v>
      </c>
      <c r="AH352" t="str">
        <f t="shared" si="50"/>
        <v/>
      </c>
      <c r="AI352" t="str">
        <f>IFERROR(IF($AH352="","",IF($AH352&gt;=$AA352*'Parametri Modello'!$B$68,"🟢 Opportunita'",IF($AH352&lt;=$AA352*'Parametri Modello'!$B$69,"🔴 Sovrapprezzo","🟡 Prezzo Corretto"))),"")</f>
        <v/>
      </c>
      <c r="AJ352" t="str">
        <f t="shared" si="51"/>
        <v/>
      </c>
      <c r="AK352">
        <f t="shared" si="52"/>
        <v>28</v>
      </c>
      <c r="AL352" t="str">
        <f t="shared" si="53"/>
        <v>C|Scommessa/Riserva|28</v>
      </c>
    </row>
    <row r="353" spans="1:38" ht="14.25" customHeight="1" x14ac:dyDescent="0.25">
      <c r="A353" s="18">
        <v>1871</v>
      </c>
      <c r="B353" s="18" t="s">
        <v>17</v>
      </c>
      <c r="C353" s="18" t="s">
        <v>492</v>
      </c>
      <c r="E353" s="23" t="str">
        <f>IF(COUNTIF('Info Strategia'!$D$2:$D$51,$C353)&gt;0,"SI","NO")</f>
        <v>NO</v>
      </c>
      <c r="F353" s="24">
        <f>IFERROR(ROUND(($G353+($H353-$G353)*'Info Strategia'!$B$6)*(1+IF($E353="SI",'Parametri Modello'!$B$7*'Info Strategia'!$B$6,0)),0),"")</f>
        <v>1</v>
      </c>
      <c r="G353" s="24">
        <f>IFERROR(ROUND(MAX(1,(IF($V353&lt;=INDEX('Parametri Modello'!$C$57:$C$60,MATCH($B353,'Parametri Modello'!$A$57:$A$60,0)),IF(INDEX('Parametri Modello'!$E$57:$E$60,MATCH($B353,'Parametri Modello'!$A$57:$A$60,0))=0,0,($O353/INDEX('Parametri Modello'!$E$57:$E$60,MATCH($B353,'Parametri Modello'!$A$57:$A$60,0)))*(INDEX('Parametri Modello'!$D$57:$D$60,MATCH($B353,'Parametri Modello'!$A$57:$A$60,0))*(INDEX('Parametri Modello'!$B$50:$B$53,MATCH($B353,'Parametri Modello'!$A$50:$A$53,0))*'Parametri Modello'!$B$44))),IF(INDEX('Parametri Modello'!$F$57:$F$60,MATCH($B353,'Parametri Modello'!$A$57:$A$60,0))=0,0,($O353/INDEX('Parametri Modello'!$F$57:$F$60,MATCH($B353,'Parametri Modello'!$A$57:$A$60,0)))*((1-INDEX('Parametri Modello'!$D$57:$D$60,MATCH($B353,'Parametri Modello'!$A$57:$A$60,0)))*(INDEX('Parametri Modello'!$B$50:$B$53,MATCH($B353,'Parametri Modello'!$A$50:$A$53,0))*'Parametri Modello'!$B$44))))*(1+IF(IF($B353="D",'Info Lega'!$B$25,IF($B353="C",'Info Lega'!$B$26,"No"))="Si",'Parametri Modello'!$B$5,0))*(1+MAX(-0.25,MIN(0.25,IF(OR($T353="",$I353="",$I353=0,INDEX('Parametri Modello'!$B$19:$B$22,MATCH($B353,'Parametri Modello'!$A$19:$A$22,0))="",INDEX('Parametri Modello'!$B$19:$B$22,MATCH($B353,'Parametri Modello'!$A$19:$A$22,0))=0),0,(($T353-INDEX('Parametri Modello'!$B$19:$B$22,MATCH($B353,'Parametri Modello'!$A$19:$A$22,0)))/INDEX('Parametri Modello'!$B$19:$B$22,MATCH($B353,'Parametri Modello'!$A$19:$A$22,0)))*'Parametri Modello'!$B$9))))*(1+IF('Parametri Modello'!$B$27="Si",MAX(-'Parametri Modello'!$B$28,MIN('Parametri Modello'!$B$28*1.5,IF(OR(INDEX('Parametri Modello'!$F$32:$F$35,MATCH($B353,'Parametri Modello'!$A$32:$A$35,0))="",INDEX('Parametri Modello'!$F$32:$F$35,MATCH($B353,'Parametri Modello'!$A$32:$A$35,0))=0),0,(1/INDEX('Parametri Modello'!$F$32:$F$35,MATCH($B353,'Parametri Modello'!$A$32:$A$35,0))-1)*'Parametri Modello'!$B$28))),0)))*(1-INDEX('Parametri Modello'!$B$12:$B$15,MATCH($B353,'Parametri Modello'!$A$12:$A$15,0)))),0),"")</f>
        <v>1</v>
      </c>
      <c r="H353" s="24">
        <f>IFERROR(ROUND((IF($V353&lt;=INDEX('Parametri Modello'!$C$57:$C$60,MATCH($B353,'Parametri Modello'!$A$57:$A$60,0)),IF(INDEX('Parametri Modello'!$E$57:$E$60,MATCH($B353,'Parametri Modello'!$A$57:$A$60,0))=0,0,($O353/INDEX('Parametri Modello'!$E$57:$E$60,MATCH($B353,'Parametri Modello'!$A$57:$A$60,0)))*(INDEX('Parametri Modello'!$D$57:$D$60,MATCH($B353,'Parametri Modello'!$A$57:$A$60,0))*(INDEX('Parametri Modello'!$B$50:$B$53,MATCH($B353,'Parametri Modello'!$A$50:$A$53,0))*'Parametri Modello'!$B$44))),IF(INDEX('Parametri Modello'!$F$57:$F$60,MATCH($B353,'Parametri Modello'!$A$57:$A$60,0))=0,0,($O353/INDEX('Parametri Modello'!$F$57:$F$60,MATCH($B353,'Parametri Modello'!$A$57:$A$60,0)))*((1-INDEX('Parametri Modello'!$D$57:$D$60,MATCH($B353,'Parametri Modello'!$A$57:$A$60,0)))*(INDEX('Parametri Modello'!$B$50:$B$53,MATCH($B353,'Parametri Modello'!$A$50:$A$53,0))*'Parametri Modello'!$B$44))))*(1+IF(IF($B353="D",'Info Lega'!$B$25,IF($B353="C",'Info Lega'!$B$26,"No"))="Si",'Parametri Modello'!$B$5,0))*(1+MAX(-0.25,MIN(0.25,IF(OR($T353="",$I353="",$I353=0,INDEX('Parametri Modello'!$B$19:$B$22,MATCH($B353,'Parametri Modello'!$A$19:$A$22,0))="",INDEX('Parametri Modello'!$B$19:$B$22,MATCH($B353,'Parametri Modello'!$A$19:$A$22,0))=0),0,(($T353-INDEX('Parametri Modello'!$B$19:$B$22,MATCH($B353,'Parametri Modello'!$A$19:$A$22,0)))/INDEX('Parametri Modello'!$B$19:$B$22,MATCH($B353,'Parametri Modello'!$A$19:$A$22,0)))*'Parametri Modello'!$B$9))))*(1+IF('Parametri Modello'!$B$27="Si",MAX(-'Parametri Modello'!$B$28,MIN('Parametri Modello'!$B$28*1.5,IF(OR(INDEX('Parametri Modello'!$F$32:$F$35,MATCH($B353,'Parametri Modello'!$A$32:$A$35,0))="",INDEX('Parametri Modello'!$F$32:$F$35,MATCH($B353,'Parametri Modello'!$A$32:$A$35,0))=0),0,(1/INDEX('Parametri Modello'!$F$32:$F$35,MATCH($B353,'Parametri Modello'!$A$32:$A$35,0))-1)*'Parametri Modello'!$B$28))),0)))*(1+INDEX('Parametri Modello'!$B$12:$B$15,MATCH($B353,'Parametri Modello'!$A$12:$A$15,0))),0),"")</f>
        <v>1</v>
      </c>
      <c r="I353" s="23">
        <f>IFERROR(INDEX('Input Statistiche 2025_26'!$F$3:$F$665,MATCH($A353,'Input Statistiche 2025_26'!$A$3:$A$665,0)),"")</f>
        <v>20</v>
      </c>
      <c r="J353" s="23">
        <f t="shared" si="45"/>
        <v>18</v>
      </c>
      <c r="K353" s="23">
        <f>IFERROR(INDEX('Input Statistiche 2025_26'!$I$3:$I$665,MATCH($A353,'Input Statistiche 2025_26'!$A$3:$A$665,0)),"")</f>
        <v>0</v>
      </c>
      <c r="L353" s="23">
        <f>IFERROR(INDEX('Input Statistiche 2025_26'!$O$3:$O$665,MATCH($A353,'Input Statistiche 2025_26'!$A$3:$A$665,0)),"")</f>
        <v>1</v>
      </c>
      <c r="M353" s="25"/>
      <c r="N353" s="24">
        <f>IFERROR(INDEX('Input Giocatori 2026_27'!$E$3:$E$493,MATCH($A353,'Input Giocatori 2026_27'!$A$3:$A$493,0)),"")</f>
        <v>3</v>
      </c>
      <c r="O353" s="24">
        <f>IFERROR(INDEX('Input Giocatori 2026_27'!$G$3:$G$493,MATCH($A353,'Input Giocatori 2026_27'!$A$3:$A$493,0)),"")</f>
        <v>8</v>
      </c>
      <c r="P353" s="23" t="str">
        <f>IFERROR(IF($O353="","",IF((1-(COUNTIFS($B$2:$B$492,$B353,$O$2:$O$492,"&gt;"&amp;$O353)+1-1)/COUNTIF($B$2:$B$492,$B353))&gt;='Parametri Modello'!$B$63,"Top",IF((1-(COUNTIFS($B$2:$B$492,$B353,$O$2:$O$492,"&gt;"&amp;$O353)+1-1)/COUNTIF($B$2:$B$492,$B353))&gt;='Parametri Modello'!$B$64,"Buono",IF((1-(COUNTIFS($B$2:$B$492,$B353,$O$2:$O$492,"&gt;"&amp;$O353)+1-1)/COUNTIF($B$2:$B$492,$B353))&gt;='Parametri Modello'!$B$65,"Nella Media","Scommessa/Riserva")))),"")</f>
        <v>Scommessa/Riserva</v>
      </c>
      <c r="Q353" s="26">
        <f>IF(AND($D353="",$N353&gt;1),SUMPRODUCT(($D$2:$D353="")*($N$2:$N353&gt;1)),"")</f>
        <v>351</v>
      </c>
      <c r="R353" s="26" t="str">
        <f>IF($D353='Info Lega'!$B$28,COUNTIFS($D$2:$D353,'Info Lega'!$B$28),"")</f>
        <v/>
      </c>
      <c r="S353" s="27">
        <f>IFERROR(INDEX('Input Statistiche 2025_26'!$G$3:$G$665,MATCH($A353,'Input Statistiche 2025_26'!$A$3:$A$665,0)),"")</f>
        <v>5.98</v>
      </c>
      <c r="T353" s="27">
        <f>IFERROR(INDEX('Input Statistiche 2025_26'!$H$3:$H$665,MATCH($A353,'Input Statistiche 2025_26'!$A$3:$A$665,0)),"")</f>
        <v>5.95</v>
      </c>
      <c r="U353" s="23" t="str">
        <f>IF(OR('La Mia Rosa'!$O$12="",$D353&lt;&gt;""),"",IF($F353&lt;='La Mia Rosa'!$O$12*'Parametri Modello'!$B$24,"OK",IF($F353&lt;='La Mia Rosa'!$O$12*'Parametri Modello'!$B$25,"Attenzione","Rischio Alto")))</f>
        <v>OK</v>
      </c>
      <c r="V353" s="23">
        <f t="shared" si="46"/>
        <v>132</v>
      </c>
      <c r="W353" s="18">
        <f>'Info Lega'!$B$4-SUMIFS($M$2:$M$492,$D$2:$D$492,'Info Lega'!$B$28)</f>
        <v>1000</v>
      </c>
      <c r="X353" s="18">
        <f>('Info Lega'!$B$5-COUNTIFS($D$2:$D$492,'Info Lega'!$B$28,$B$2:$B$492,"P"))+('Info Lega'!$B$6-COUNTIFS($D$2:$D$492,'Info Lega'!$B$28,$B$2:$B$492,"D"))+('Info Lega'!$B$7-COUNTIFS($D$2:$D$492,'Info Lega'!$B$28,$B$2:$B$492,"C"))+('Info Lega'!$B$8-COUNTIFS($D$2:$D$492,'Info Lega'!$B$28,$B$2:$B$492,"A"))</f>
        <v>25</v>
      </c>
      <c r="Y353" s="18">
        <f>X353*'Parametri Modello'!$B$30</f>
        <v>25</v>
      </c>
      <c r="Z353" s="18">
        <f t="shared" si="47"/>
        <v>975</v>
      </c>
      <c r="AA353" s="18">
        <f t="shared" si="48"/>
        <v>1</v>
      </c>
      <c r="AB353" s="18"/>
      <c r="AC353" s="18" t="str">
        <f>IF($AB353="","",IF($AB353&gt;$AA353,"PASS",IF($AB353&lt;=$AA353*(1-'Parametri Modello'!$B$68),"BID","ATTENZIONE")))</f>
        <v/>
      </c>
      <c r="AD353" s="28">
        <f t="shared" si="49"/>
        <v>49</v>
      </c>
      <c r="AE353" s="5" t="str">
        <f>IFERROR(INDEX('Stato Asta'!$G$9:$G$12,MATCH($B353,'Stato Asta'!$A$9:$A$12,0)),"")</f>
        <v>🔴 Non aspettare</v>
      </c>
      <c r="AF353" t="str">
        <f>IFERROR(IF($V353&lt;=INDEX('Parametri Modello'!$C$57:$C$60,MATCH($B353,'Parametri Modello'!$A$57:$A$60,0)),"Titolare","Riserva"),"")</f>
        <v>Riserva</v>
      </c>
      <c r="AG353" t="str">
        <f>IFERROR(INDEX('Pressione Competitiva'!$F$3:$F$6,MATCH($B353,'Pressione Competitiva'!$B$3:$B$6,0)),"")</f>
        <v>🔴 Molto Alta</v>
      </c>
      <c r="AH353" t="str">
        <f t="shared" si="50"/>
        <v/>
      </c>
      <c r="AI353" t="str">
        <f>IFERROR(IF($AH353="","",IF($AH353&gt;=$AA353*'Parametri Modello'!$B$68,"🟢 Opportunita'",IF($AH353&lt;=$AA353*'Parametri Modello'!$B$69,"🔴 Sovrapprezzo","🟡 Prezzo Corretto"))),"")</f>
        <v/>
      </c>
      <c r="AJ353" t="str">
        <f t="shared" si="51"/>
        <v/>
      </c>
      <c r="AK353">
        <f t="shared" si="52"/>
        <v>28</v>
      </c>
      <c r="AL353" t="str">
        <f t="shared" si="53"/>
        <v>C|Scommessa/Riserva|28</v>
      </c>
    </row>
    <row r="354" spans="1:38" ht="14.25" customHeight="1" x14ac:dyDescent="0.25">
      <c r="A354" s="18">
        <v>6241</v>
      </c>
      <c r="B354" s="18" t="s">
        <v>17</v>
      </c>
      <c r="C354" s="18" t="s">
        <v>493</v>
      </c>
      <c r="E354" s="23" t="str">
        <f>IF(COUNTIF('Info Strategia'!$D$2:$D$51,$C354)&gt;0,"SI","NO")</f>
        <v>NO</v>
      </c>
      <c r="F354" s="24">
        <f>IFERROR(ROUND(($G354+($H354-$G354)*'Info Strategia'!$B$6)*(1+IF($E354="SI",'Parametri Modello'!$B$7*'Info Strategia'!$B$6,0)),0),"")</f>
        <v>1</v>
      </c>
      <c r="G354" s="24">
        <f>IFERROR(ROUND(MAX(1,(IF($V354&lt;=INDEX('Parametri Modello'!$C$57:$C$60,MATCH($B354,'Parametri Modello'!$A$57:$A$60,0)),IF(INDEX('Parametri Modello'!$E$57:$E$60,MATCH($B354,'Parametri Modello'!$A$57:$A$60,0))=0,0,($O354/INDEX('Parametri Modello'!$E$57:$E$60,MATCH($B354,'Parametri Modello'!$A$57:$A$60,0)))*(INDEX('Parametri Modello'!$D$57:$D$60,MATCH($B354,'Parametri Modello'!$A$57:$A$60,0))*(INDEX('Parametri Modello'!$B$50:$B$53,MATCH($B354,'Parametri Modello'!$A$50:$A$53,0))*'Parametri Modello'!$B$44))),IF(INDEX('Parametri Modello'!$F$57:$F$60,MATCH($B354,'Parametri Modello'!$A$57:$A$60,0))=0,0,($O354/INDEX('Parametri Modello'!$F$57:$F$60,MATCH($B354,'Parametri Modello'!$A$57:$A$60,0)))*((1-INDEX('Parametri Modello'!$D$57:$D$60,MATCH($B354,'Parametri Modello'!$A$57:$A$60,0)))*(INDEX('Parametri Modello'!$B$50:$B$53,MATCH($B354,'Parametri Modello'!$A$50:$A$53,0))*'Parametri Modello'!$B$44))))*(1+IF(IF($B354="D",'Info Lega'!$B$25,IF($B354="C",'Info Lega'!$B$26,"No"))="Si",'Parametri Modello'!$B$5,0))*(1+MAX(-0.25,MIN(0.25,IF(OR($T354="",$I354="",$I354=0,INDEX('Parametri Modello'!$B$19:$B$22,MATCH($B354,'Parametri Modello'!$A$19:$A$22,0))="",INDEX('Parametri Modello'!$B$19:$B$22,MATCH($B354,'Parametri Modello'!$A$19:$A$22,0))=0),0,(($T354-INDEX('Parametri Modello'!$B$19:$B$22,MATCH($B354,'Parametri Modello'!$A$19:$A$22,0)))/INDEX('Parametri Modello'!$B$19:$B$22,MATCH($B354,'Parametri Modello'!$A$19:$A$22,0)))*'Parametri Modello'!$B$9))))*(1+IF('Parametri Modello'!$B$27="Si",MAX(-'Parametri Modello'!$B$28,MIN('Parametri Modello'!$B$28*1.5,IF(OR(INDEX('Parametri Modello'!$F$32:$F$35,MATCH($B354,'Parametri Modello'!$A$32:$A$35,0))="",INDEX('Parametri Modello'!$F$32:$F$35,MATCH($B354,'Parametri Modello'!$A$32:$A$35,0))=0),0,(1/INDEX('Parametri Modello'!$F$32:$F$35,MATCH($B354,'Parametri Modello'!$A$32:$A$35,0))-1)*'Parametri Modello'!$B$28))),0)))*(1-INDEX('Parametri Modello'!$B$12:$B$15,MATCH($B354,'Parametri Modello'!$A$12:$A$15,0)))),0),"")</f>
        <v>1</v>
      </c>
      <c r="H354" s="24">
        <f>IFERROR(ROUND((IF($V354&lt;=INDEX('Parametri Modello'!$C$57:$C$60,MATCH($B354,'Parametri Modello'!$A$57:$A$60,0)),IF(INDEX('Parametri Modello'!$E$57:$E$60,MATCH($B354,'Parametri Modello'!$A$57:$A$60,0))=0,0,($O354/INDEX('Parametri Modello'!$E$57:$E$60,MATCH($B354,'Parametri Modello'!$A$57:$A$60,0)))*(INDEX('Parametri Modello'!$D$57:$D$60,MATCH($B354,'Parametri Modello'!$A$57:$A$60,0))*(INDEX('Parametri Modello'!$B$50:$B$53,MATCH($B354,'Parametri Modello'!$A$50:$A$53,0))*'Parametri Modello'!$B$44))),IF(INDEX('Parametri Modello'!$F$57:$F$60,MATCH($B354,'Parametri Modello'!$A$57:$A$60,0))=0,0,($O354/INDEX('Parametri Modello'!$F$57:$F$60,MATCH($B354,'Parametri Modello'!$A$57:$A$60,0)))*((1-INDEX('Parametri Modello'!$D$57:$D$60,MATCH($B354,'Parametri Modello'!$A$57:$A$60,0)))*(INDEX('Parametri Modello'!$B$50:$B$53,MATCH($B354,'Parametri Modello'!$A$50:$A$53,0))*'Parametri Modello'!$B$44))))*(1+IF(IF($B354="D",'Info Lega'!$B$25,IF($B354="C",'Info Lega'!$B$26,"No"))="Si",'Parametri Modello'!$B$5,0))*(1+MAX(-0.25,MIN(0.25,IF(OR($T354="",$I354="",$I354=0,INDEX('Parametri Modello'!$B$19:$B$22,MATCH($B354,'Parametri Modello'!$A$19:$A$22,0))="",INDEX('Parametri Modello'!$B$19:$B$22,MATCH($B354,'Parametri Modello'!$A$19:$A$22,0))=0),0,(($T354-INDEX('Parametri Modello'!$B$19:$B$22,MATCH($B354,'Parametri Modello'!$A$19:$A$22,0)))/INDEX('Parametri Modello'!$B$19:$B$22,MATCH($B354,'Parametri Modello'!$A$19:$A$22,0)))*'Parametri Modello'!$B$9))))*(1+IF('Parametri Modello'!$B$27="Si",MAX(-'Parametri Modello'!$B$28,MIN('Parametri Modello'!$B$28*1.5,IF(OR(INDEX('Parametri Modello'!$F$32:$F$35,MATCH($B354,'Parametri Modello'!$A$32:$A$35,0))="",INDEX('Parametri Modello'!$F$32:$F$35,MATCH($B354,'Parametri Modello'!$A$32:$A$35,0))=0),0,(1/INDEX('Parametri Modello'!$F$32:$F$35,MATCH($B354,'Parametri Modello'!$A$32:$A$35,0))-1)*'Parametri Modello'!$B$28))),0)))*(1+INDEX('Parametri Modello'!$B$12:$B$15,MATCH($B354,'Parametri Modello'!$A$12:$A$15,0))),0),"")</f>
        <v>1</v>
      </c>
      <c r="I354" s="23" t="str">
        <f>IFERROR(INDEX('Input Statistiche 2025_26'!$F$3:$F$665,MATCH($A354,'Input Statistiche 2025_26'!$A$3:$A$665,0)),"")</f>
        <v/>
      </c>
      <c r="J354" s="23" t="str">
        <f t="shared" si="45"/>
        <v/>
      </c>
      <c r="K354" s="23" t="str">
        <f>IFERROR(INDEX('Input Statistiche 2025_26'!$I$3:$I$665,MATCH($A354,'Input Statistiche 2025_26'!$A$3:$A$665,0)),"")</f>
        <v/>
      </c>
      <c r="L354" s="23" t="str">
        <f>IFERROR(INDEX('Input Statistiche 2025_26'!$O$3:$O$665,MATCH($A354,'Input Statistiche 2025_26'!$A$3:$A$665,0)),"")</f>
        <v/>
      </c>
      <c r="M354" s="25"/>
      <c r="N354" s="24">
        <f>IFERROR(INDEX('Input Giocatori 2026_27'!$E$3:$E$493,MATCH($A354,'Input Giocatori 2026_27'!$A$3:$A$493,0)),"")</f>
        <v>3</v>
      </c>
      <c r="O354" s="24">
        <f>IFERROR(INDEX('Input Giocatori 2026_27'!$G$3:$G$493,MATCH($A354,'Input Giocatori 2026_27'!$A$3:$A$493,0)),"")</f>
        <v>8</v>
      </c>
      <c r="P354" s="23" t="str">
        <f>IFERROR(IF($O354="","",IF((1-(COUNTIFS($B$2:$B$492,$B354,$O$2:$O$492,"&gt;"&amp;$O354)+1-1)/COUNTIF($B$2:$B$492,$B354))&gt;='Parametri Modello'!$B$63,"Top",IF((1-(COUNTIFS($B$2:$B$492,$B354,$O$2:$O$492,"&gt;"&amp;$O354)+1-1)/COUNTIF($B$2:$B$492,$B354))&gt;='Parametri Modello'!$B$64,"Buono",IF((1-(COUNTIFS($B$2:$B$492,$B354,$O$2:$O$492,"&gt;"&amp;$O354)+1-1)/COUNTIF($B$2:$B$492,$B354))&gt;='Parametri Modello'!$B$65,"Nella Media","Scommessa/Riserva")))),"")</f>
        <v>Scommessa/Riserva</v>
      </c>
      <c r="Q354" s="26">
        <f>IF(AND($D354="",$N354&gt;1),SUMPRODUCT(($D$2:$D354="")*($N$2:$N354&gt;1)),"")</f>
        <v>352</v>
      </c>
      <c r="R354" s="26" t="str">
        <f>IF($D354='Info Lega'!$B$28,COUNTIFS($D$2:$D354,'Info Lega'!$B$28),"")</f>
        <v/>
      </c>
      <c r="S354" s="27" t="str">
        <f>IFERROR(INDEX('Input Statistiche 2025_26'!$G$3:$G$665,MATCH($A354,'Input Statistiche 2025_26'!$A$3:$A$665,0)),"")</f>
        <v/>
      </c>
      <c r="T354" s="27" t="str">
        <f>IFERROR(INDEX('Input Statistiche 2025_26'!$H$3:$H$665,MATCH($A354,'Input Statistiche 2025_26'!$A$3:$A$665,0)),"")</f>
        <v/>
      </c>
      <c r="U354" s="23" t="str">
        <f>IF(OR('La Mia Rosa'!$O$12="",$D354&lt;&gt;""),"",IF($F354&lt;='La Mia Rosa'!$O$12*'Parametri Modello'!$B$24,"OK",IF($F354&lt;='La Mia Rosa'!$O$12*'Parametri Modello'!$B$25,"Attenzione","Rischio Alto")))</f>
        <v>OK</v>
      </c>
      <c r="V354" s="23">
        <f t="shared" si="46"/>
        <v>132</v>
      </c>
      <c r="W354" s="18">
        <f>'Info Lega'!$B$4-SUMIFS($M$2:$M$492,$D$2:$D$492,'Info Lega'!$B$28)</f>
        <v>1000</v>
      </c>
      <c r="X354" s="18">
        <f>('Info Lega'!$B$5-COUNTIFS($D$2:$D$492,'Info Lega'!$B$28,$B$2:$B$492,"P"))+('Info Lega'!$B$6-COUNTIFS($D$2:$D$492,'Info Lega'!$B$28,$B$2:$B$492,"D"))+('Info Lega'!$B$7-COUNTIFS($D$2:$D$492,'Info Lega'!$B$28,$B$2:$B$492,"C"))+('Info Lega'!$B$8-COUNTIFS($D$2:$D$492,'Info Lega'!$B$28,$B$2:$B$492,"A"))</f>
        <v>25</v>
      </c>
      <c r="Y354" s="18">
        <f>X354*'Parametri Modello'!$B$30</f>
        <v>25</v>
      </c>
      <c r="Z354" s="18">
        <f t="shared" si="47"/>
        <v>975</v>
      </c>
      <c r="AA354" s="18">
        <f t="shared" si="48"/>
        <v>1</v>
      </c>
      <c r="AB354" s="18"/>
      <c r="AC354" s="18" t="str">
        <f>IF($AB354="","",IF($AB354&gt;$AA354,"PASS",IF($AB354&lt;=$AA354*(1-'Parametri Modello'!$B$68),"BID","ATTENZIONE")))</f>
        <v/>
      </c>
      <c r="AD354" s="28" t="str">
        <f t="shared" si="49"/>
        <v/>
      </c>
      <c r="AE354" s="5" t="str">
        <f>IFERROR(INDEX('Stato Asta'!$G$9:$G$12,MATCH($B354,'Stato Asta'!$A$9:$A$12,0)),"")</f>
        <v>🔴 Non aspettare</v>
      </c>
      <c r="AF354" t="str">
        <f>IFERROR(IF($V354&lt;=INDEX('Parametri Modello'!$C$57:$C$60,MATCH($B354,'Parametri Modello'!$A$57:$A$60,0)),"Titolare","Riserva"),"")</f>
        <v>Riserva</v>
      </c>
      <c r="AG354" t="str">
        <f>IFERROR(INDEX('Pressione Competitiva'!$F$3:$F$6,MATCH($B354,'Pressione Competitiva'!$B$3:$B$6,0)),"")</f>
        <v>🔴 Molto Alta</v>
      </c>
      <c r="AH354" t="str">
        <f t="shared" si="50"/>
        <v/>
      </c>
      <c r="AI354" t="str">
        <f>IFERROR(IF($AH354="","",IF($AH354&gt;=$AA354*'Parametri Modello'!$B$68,"🟢 Opportunita'",IF($AH354&lt;=$AA354*'Parametri Modello'!$B$69,"🔴 Sovrapprezzo","🟡 Prezzo Corretto"))),"")</f>
        <v/>
      </c>
      <c r="AJ354" t="str">
        <f t="shared" si="51"/>
        <v/>
      </c>
      <c r="AK354">
        <f t="shared" si="52"/>
        <v>28</v>
      </c>
      <c r="AL354" t="str">
        <f t="shared" si="53"/>
        <v>C|Scommessa/Riserva|28</v>
      </c>
    </row>
    <row r="355" spans="1:38" ht="14.25" customHeight="1" x14ac:dyDescent="0.25">
      <c r="A355" s="18">
        <v>4970</v>
      </c>
      <c r="B355" s="18" t="s">
        <v>17</v>
      </c>
      <c r="C355" s="18" t="s">
        <v>494</v>
      </c>
      <c r="E355" s="23" t="str">
        <f>IF(COUNTIF('Info Strategia'!$D$2:$D$51,$C355)&gt;0,"SI","NO")</f>
        <v>NO</v>
      </c>
      <c r="F355" s="24">
        <f>IFERROR(ROUND(($G355+($H355-$G355)*'Info Strategia'!$B$6)*(1+IF($E355="SI",'Parametri Modello'!$B$7*'Info Strategia'!$B$6,0)),0),"")</f>
        <v>1</v>
      </c>
      <c r="G355" s="24">
        <f>IFERROR(ROUND(MAX(1,(IF($V355&lt;=INDEX('Parametri Modello'!$C$57:$C$60,MATCH($B355,'Parametri Modello'!$A$57:$A$60,0)),IF(INDEX('Parametri Modello'!$E$57:$E$60,MATCH($B355,'Parametri Modello'!$A$57:$A$60,0))=0,0,($O355/INDEX('Parametri Modello'!$E$57:$E$60,MATCH($B355,'Parametri Modello'!$A$57:$A$60,0)))*(INDEX('Parametri Modello'!$D$57:$D$60,MATCH($B355,'Parametri Modello'!$A$57:$A$60,0))*(INDEX('Parametri Modello'!$B$50:$B$53,MATCH($B355,'Parametri Modello'!$A$50:$A$53,0))*'Parametri Modello'!$B$44))),IF(INDEX('Parametri Modello'!$F$57:$F$60,MATCH($B355,'Parametri Modello'!$A$57:$A$60,0))=0,0,($O355/INDEX('Parametri Modello'!$F$57:$F$60,MATCH($B355,'Parametri Modello'!$A$57:$A$60,0)))*((1-INDEX('Parametri Modello'!$D$57:$D$60,MATCH($B355,'Parametri Modello'!$A$57:$A$60,0)))*(INDEX('Parametri Modello'!$B$50:$B$53,MATCH($B355,'Parametri Modello'!$A$50:$A$53,0))*'Parametri Modello'!$B$44))))*(1+IF(IF($B355="D",'Info Lega'!$B$25,IF($B355="C",'Info Lega'!$B$26,"No"))="Si",'Parametri Modello'!$B$5,0))*(1+MAX(-0.25,MIN(0.25,IF(OR($T355="",$I355="",$I355=0,INDEX('Parametri Modello'!$B$19:$B$22,MATCH($B355,'Parametri Modello'!$A$19:$A$22,0))="",INDEX('Parametri Modello'!$B$19:$B$22,MATCH($B355,'Parametri Modello'!$A$19:$A$22,0))=0),0,(($T355-INDEX('Parametri Modello'!$B$19:$B$22,MATCH($B355,'Parametri Modello'!$A$19:$A$22,0)))/INDEX('Parametri Modello'!$B$19:$B$22,MATCH($B355,'Parametri Modello'!$A$19:$A$22,0)))*'Parametri Modello'!$B$9))))*(1+IF('Parametri Modello'!$B$27="Si",MAX(-'Parametri Modello'!$B$28,MIN('Parametri Modello'!$B$28*1.5,IF(OR(INDEX('Parametri Modello'!$F$32:$F$35,MATCH($B355,'Parametri Modello'!$A$32:$A$35,0))="",INDEX('Parametri Modello'!$F$32:$F$35,MATCH($B355,'Parametri Modello'!$A$32:$A$35,0))=0),0,(1/INDEX('Parametri Modello'!$F$32:$F$35,MATCH($B355,'Parametri Modello'!$A$32:$A$35,0))-1)*'Parametri Modello'!$B$28))),0)))*(1-INDEX('Parametri Modello'!$B$12:$B$15,MATCH($B355,'Parametri Modello'!$A$12:$A$15,0)))),0),"")</f>
        <v>1</v>
      </c>
      <c r="H355" s="24">
        <f>IFERROR(ROUND((IF($V355&lt;=INDEX('Parametri Modello'!$C$57:$C$60,MATCH($B355,'Parametri Modello'!$A$57:$A$60,0)),IF(INDEX('Parametri Modello'!$E$57:$E$60,MATCH($B355,'Parametri Modello'!$A$57:$A$60,0))=0,0,($O355/INDEX('Parametri Modello'!$E$57:$E$60,MATCH($B355,'Parametri Modello'!$A$57:$A$60,0)))*(INDEX('Parametri Modello'!$D$57:$D$60,MATCH($B355,'Parametri Modello'!$A$57:$A$60,0))*(INDEX('Parametri Modello'!$B$50:$B$53,MATCH($B355,'Parametri Modello'!$A$50:$A$53,0))*'Parametri Modello'!$B$44))),IF(INDEX('Parametri Modello'!$F$57:$F$60,MATCH($B355,'Parametri Modello'!$A$57:$A$60,0))=0,0,($O355/INDEX('Parametri Modello'!$F$57:$F$60,MATCH($B355,'Parametri Modello'!$A$57:$A$60,0)))*((1-INDEX('Parametri Modello'!$D$57:$D$60,MATCH($B355,'Parametri Modello'!$A$57:$A$60,0)))*(INDEX('Parametri Modello'!$B$50:$B$53,MATCH($B355,'Parametri Modello'!$A$50:$A$53,0))*'Parametri Modello'!$B$44))))*(1+IF(IF($B355="D",'Info Lega'!$B$25,IF($B355="C",'Info Lega'!$B$26,"No"))="Si",'Parametri Modello'!$B$5,0))*(1+MAX(-0.25,MIN(0.25,IF(OR($T355="",$I355="",$I355=0,INDEX('Parametri Modello'!$B$19:$B$22,MATCH($B355,'Parametri Modello'!$A$19:$A$22,0))="",INDEX('Parametri Modello'!$B$19:$B$22,MATCH($B355,'Parametri Modello'!$A$19:$A$22,0))=0),0,(($T355-INDEX('Parametri Modello'!$B$19:$B$22,MATCH($B355,'Parametri Modello'!$A$19:$A$22,0)))/INDEX('Parametri Modello'!$B$19:$B$22,MATCH($B355,'Parametri Modello'!$A$19:$A$22,0)))*'Parametri Modello'!$B$9))))*(1+IF('Parametri Modello'!$B$27="Si",MAX(-'Parametri Modello'!$B$28,MIN('Parametri Modello'!$B$28*1.5,IF(OR(INDEX('Parametri Modello'!$F$32:$F$35,MATCH($B355,'Parametri Modello'!$A$32:$A$35,0))="",INDEX('Parametri Modello'!$F$32:$F$35,MATCH($B355,'Parametri Modello'!$A$32:$A$35,0))=0),0,(1/INDEX('Parametri Modello'!$F$32:$F$35,MATCH($B355,'Parametri Modello'!$A$32:$A$35,0))-1)*'Parametri Modello'!$B$28))),0)))*(1+INDEX('Parametri Modello'!$B$12:$B$15,MATCH($B355,'Parametri Modello'!$A$12:$A$15,0))),0),"")</f>
        <v>1</v>
      </c>
      <c r="I355" s="23">
        <f>IFERROR(INDEX('Input Statistiche 2025_26'!$F$3:$F$665,MATCH($A355,'Input Statistiche 2025_26'!$A$3:$A$665,0)),"")</f>
        <v>19</v>
      </c>
      <c r="J355" s="23">
        <f t="shared" si="45"/>
        <v>19</v>
      </c>
      <c r="K355" s="23">
        <f>IFERROR(INDEX('Input Statistiche 2025_26'!$I$3:$I$665,MATCH($A355,'Input Statistiche 2025_26'!$A$3:$A$665,0)),"")</f>
        <v>3</v>
      </c>
      <c r="L355" s="23">
        <f>IFERROR(INDEX('Input Statistiche 2025_26'!$O$3:$O$665,MATCH($A355,'Input Statistiche 2025_26'!$A$3:$A$665,0)),"")</f>
        <v>1</v>
      </c>
      <c r="M355" s="25"/>
      <c r="N355" s="24">
        <f>IFERROR(INDEX('Input Giocatori 2026_27'!$E$3:$E$493,MATCH($A355,'Input Giocatori 2026_27'!$A$3:$A$493,0)),"")</f>
        <v>3</v>
      </c>
      <c r="O355" s="24">
        <f>IFERROR(INDEX('Input Giocatori 2026_27'!$G$3:$G$493,MATCH($A355,'Input Giocatori 2026_27'!$A$3:$A$493,0)),"")</f>
        <v>8</v>
      </c>
      <c r="P355" s="23" t="str">
        <f>IFERROR(IF($O355="","",IF((1-(COUNTIFS($B$2:$B$492,$B355,$O$2:$O$492,"&gt;"&amp;$O355)+1-1)/COUNTIF($B$2:$B$492,$B355))&gt;='Parametri Modello'!$B$63,"Top",IF((1-(COUNTIFS($B$2:$B$492,$B355,$O$2:$O$492,"&gt;"&amp;$O355)+1-1)/COUNTIF($B$2:$B$492,$B355))&gt;='Parametri Modello'!$B$64,"Buono",IF((1-(COUNTIFS($B$2:$B$492,$B355,$O$2:$O$492,"&gt;"&amp;$O355)+1-1)/COUNTIF($B$2:$B$492,$B355))&gt;='Parametri Modello'!$B$65,"Nella Media","Scommessa/Riserva")))),"")</f>
        <v>Scommessa/Riserva</v>
      </c>
      <c r="Q355" s="26">
        <f>IF(AND($D355="",$N355&gt;1),SUMPRODUCT(($D$2:$D355="")*($N$2:$N355&gt;1)),"")</f>
        <v>353</v>
      </c>
      <c r="R355" s="26" t="str">
        <f>IF($D355='Info Lega'!$B$28,COUNTIFS($D$2:$D355,'Info Lega'!$B$28),"")</f>
        <v/>
      </c>
      <c r="S355" s="27">
        <f>IFERROR(INDEX('Input Statistiche 2025_26'!$G$3:$G$665,MATCH($A355,'Input Statistiche 2025_26'!$A$3:$A$665,0)),"")</f>
        <v>6.18</v>
      </c>
      <c r="T355" s="27">
        <f>IFERROR(INDEX('Input Statistiche 2025_26'!$H$3:$H$665,MATCH($A355,'Input Statistiche 2025_26'!$A$3:$A$665,0)),"")</f>
        <v>6.68</v>
      </c>
      <c r="U355" s="23" t="str">
        <f>IF(OR('La Mia Rosa'!$O$12="",$D355&lt;&gt;""),"",IF($F355&lt;='La Mia Rosa'!$O$12*'Parametri Modello'!$B$24,"OK",IF($F355&lt;='La Mia Rosa'!$O$12*'Parametri Modello'!$B$25,"Attenzione","Rischio Alto")))</f>
        <v>OK</v>
      </c>
      <c r="V355" s="23">
        <f t="shared" si="46"/>
        <v>132</v>
      </c>
      <c r="W355" s="18">
        <f>'Info Lega'!$B$4-SUMIFS($M$2:$M$492,$D$2:$D$492,'Info Lega'!$B$28)</f>
        <v>1000</v>
      </c>
      <c r="X355" s="18">
        <f>('Info Lega'!$B$5-COUNTIFS($D$2:$D$492,'Info Lega'!$B$28,$B$2:$B$492,"P"))+('Info Lega'!$B$6-COUNTIFS($D$2:$D$492,'Info Lega'!$B$28,$B$2:$B$492,"D"))+('Info Lega'!$B$7-COUNTIFS($D$2:$D$492,'Info Lega'!$B$28,$B$2:$B$492,"C"))+('Info Lega'!$B$8-COUNTIFS($D$2:$D$492,'Info Lega'!$B$28,$B$2:$B$492,"A"))</f>
        <v>25</v>
      </c>
      <c r="Y355" s="18">
        <f>X355*'Parametri Modello'!$B$30</f>
        <v>25</v>
      </c>
      <c r="Z355" s="18">
        <f t="shared" si="47"/>
        <v>975</v>
      </c>
      <c r="AA355" s="18">
        <f t="shared" si="48"/>
        <v>1</v>
      </c>
      <c r="AB355" s="18"/>
      <c r="AC355" s="18" t="str">
        <f>IF($AB355="","",IF($AB355&gt;$AA355,"PASS",IF($AB355&lt;=$AA355*(1-'Parametri Modello'!$B$68),"BID","ATTENZIONE")))</f>
        <v/>
      </c>
      <c r="AD355" s="28">
        <f t="shared" si="49"/>
        <v>47</v>
      </c>
      <c r="AE355" s="5" t="str">
        <f>IFERROR(INDEX('Stato Asta'!$G$9:$G$12,MATCH($B355,'Stato Asta'!$A$9:$A$12,0)),"")</f>
        <v>🔴 Non aspettare</v>
      </c>
      <c r="AF355" t="str">
        <f>IFERROR(IF($V355&lt;=INDEX('Parametri Modello'!$C$57:$C$60,MATCH($B355,'Parametri Modello'!$A$57:$A$60,0)),"Titolare","Riserva"),"")</f>
        <v>Riserva</v>
      </c>
      <c r="AG355" t="str">
        <f>IFERROR(INDEX('Pressione Competitiva'!$F$3:$F$6,MATCH($B355,'Pressione Competitiva'!$B$3:$B$6,0)),"")</f>
        <v>🔴 Molto Alta</v>
      </c>
      <c r="AH355" t="str">
        <f t="shared" si="50"/>
        <v/>
      </c>
      <c r="AI355" t="str">
        <f>IFERROR(IF($AH355="","",IF($AH355&gt;=$AA355*'Parametri Modello'!$B$68,"🟢 Opportunita'",IF($AH355&lt;=$AA355*'Parametri Modello'!$B$69,"🔴 Sovrapprezzo","🟡 Prezzo Corretto"))),"")</f>
        <v/>
      </c>
      <c r="AJ355" t="str">
        <f t="shared" si="51"/>
        <v/>
      </c>
      <c r="AK355">
        <f t="shared" si="52"/>
        <v>28</v>
      </c>
      <c r="AL355" t="str">
        <f t="shared" si="53"/>
        <v>C|Scommessa/Riserva|28</v>
      </c>
    </row>
    <row r="356" spans="1:38" ht="14.25" customHeight="1" x14ac:dyDescent="0.25">
      <c r="A356" s="18">
        <v>5578</v>
      </c>
      <c r="B356" s="18" t="s">
        <v>16</v>
      </c>
      <c r="C356" s="18" t="s">
        <v>495</v>
      </c>
      <c r="E356" s="23" t="str">
        <f>IF(COUNTIF('Info Strategia'!$D$2:$D$51,$C356)&gt;0,"SI","NO")</f>
        <v>NO</v>
      </c>
      <c r="F356" s="24">
        <f>IFERROR(ROUND(($G356+($H356-$G356)*'Info Strategia'!$B$6)*(1+IF($E356="SI",'Parametri Modello'!$B$7*'Info Strategia'!$B$6,0)),0),"")</f>
        <v>1</v>
      </c>
      <c r="G356" s="24">
        <f>IFERROR(ROUND(MAX(1,(IF($V356&lt;=INDEX('Parametri Modello'!$C$57:$C$60,MATCH($B356,'Parametri Modello'!$A$57:$A$60,0)),IF(INDEX('Parametri Modello'!$E$57:$E$60,MATCH($B356,'Parametri Modello'!$A$57:$A$60,0))=0,0,($O356/INDEX('Parametri Modello'!$E$57:$E$60,MATCH($B356,'Parametri Modello'!$A$57:$A$60,0)))*(INDEX('Parametri Modello'!$D$57:$D$60,MATCH($B356,'Parametri Modello'!$A$57:$A$60,0))*(INDEX('Parametri Modello'!$B$50:$B$53,MATCH($B356,'Parametri Modello'!$A$50:$A$53,0))*'Parametri Modello'!$B$44))),IF(INDEX('Parametri Modello'!$F$57:$F$60,MATCH($B356,'Parametri Modello'!$A$57:$A$60,0))=0,0,($O356/INDEX('Parametri Modello'!$F$57:$F$60,MATCH($B356,'Parametri Modello'!$A$57:$A$60,0)))*((1-INDEX('Parametri Modello'!$D$57:$D$60,MATCH($B356,'Parametri Modello'!$A$57:$A$60,0)))*(INDEX('Parametri Modello'!$B$50:$B$53,MATCH($B356,'Parametri Modello'!$A$50:$A$53,0))*'Parametri Modello'!$B$44))))*(1+IF(IF($B356="D",'Info Lega'!$B$25,IF($B356="C",'Info Lega'!$B$26,"No"))="Si",'Parametri Modello'!$B$5,0))*(1+MAX(-0.25,MIN(0.25,IF(OR($T356="",$I356="",$I356=0,INDEX('Parametri Modello'!$B$19:$B$22,MATCH($B356,'Parametri Modello'!$A$19:$A$22,0))="",INDEX('Parametri Modello'!$B$19:$B$22,MATCH($B356,'Parametri Modello'!$A$19:$A$22,0))=0),0,(($T356-INDEX('Parametri Modello'!$B$19:$B$22,MATCH($B356,'Parametri Modello'!$A$19:$A$22,0)))/INDEX('Parametri Modello'!$B$19:$B$22,MATCH($B356,'Parametri Modello'!$A$19:$A$22,0)))*'Parametri Modello'!$B$9))))*(1+IF('Parametri Modello'!$B$27="Si",MAX(-'Parametri Modello'!$B$28,MIN('Parametri Modello'!$B$28*1.5,IF(OR(INDEX('Parametri Modello'!$F$32:$F$35,MATCH($B356,'Parametri Modello'!$A$32:$A$35,0))="",INDEX('Parametri Modello'!$F$32:$F$35,MATCH($B356,'Parametri Modello'!$A$32:$A$35,0))=0),0,(1/INDEX('Parametri Modello'!$F$32:$F$35,MATCH($B356,'Parametri Modello'!$A$32:$A$35,0))-1)*'Parametri Modello'!$B$28))),0)))*(1-INDEX('Parametri Modello'!$B$12:$B$15,MATCH($B356,'Parametri Modello'!$A$12:$A$15,0)))),0),"")</f>
        <v>1</v>
      </c>
      <c r="H356" s="24">
        <f>IFERROR(ROUND((IF($V356&lt;=INDEX('Parametri Modello'!$C$57:$C$60,MATCH($B356,'Parametri Modello'!$A$57:$A$60,0)),IF(INDEX('Parametri Modello'!$E$57:$E$60,MATCH($B356,'Parametri Modello'!$A$57:$A$60,0))=0,0,($O356/INDEX('Parametri Modello'!$E$57:$E$60,MATCH($B356,'Parametri Modello'!$A$57:$A$60,0)))*(INDEX('Parametri Modello'!$D$57:$D$60,MATCH($B356,'Parametri Modello'!$A$57:$A$60,0))*(INDEX('Parametri Modello'!$B$50:$B$53,MATCH($B356,'Parametri Modello'!$A$50:$A$53,0))*'Parametri Modello'!$B$44))),IF(INDEX('Parametri Modello'!$F$57:$F$60,MATCH($B356,'Parametri Modello'!$A$57:$A$60,0))=0,0,($O356/INDEX('Parametri Modello'!$F$57:$F$60,MATCH($B356,'Parametri Modello'!$A$57:$A$60,0)))*((1-INDEX('Parametri Modello'!$D$57:$D$60,MATCH($B356,'Parametri Modello'!$A$57:$A$60,0)))*(INDEX('Parametri Modello'!$B$50:$B$53,MATCH($B356,'Parametri Modello'!$A$50:$A$53,0))*'Parametri Modello'!$B$44))))*(1+IF(IF($B356="D",'Info Lega'!$B$25,IF($B356="C",'Info Lega'!$B$26,"No"))="Si",'Parametri Modello'!$B$5,0))*(1+MAX(-0.25,MIN(0.25,IF(OR($T356="",$I356="",$I356=0,INDEX('Parametri Modello'!$B$19:$B$22,MATCH($B356,'Parametri Modello'!$A$19:$A$22,0))="",INDEX('Parametri Modello'!$B$19:$B$22,MATCH($B356,'Parametri Modello'!$A$19:$A$22,0))=0),0,(($T356-INDEX('Parametri Modello'!$B$19:$B$22,MATCH($B356,'Parametri Modello'!$A$19:$A$22,0)))/INDEX('Parametri Modello'!$B$19:$B$22,MATCH($B356,'Parametri Modello'!$A$19:$A$22,0)))*'Parametri Modello'!$B$9))))*(1+IF('Parametri Modello'!$B$27="Si",MAX(-'Parametri Modello'!$B$28,MIN('Parametri Modello'!$B$28*1.5,IF(OR(INDEX('Parametri Modello'!$F$32:$F$35,MATCH($B356,'Parametri Modello'!$A$32:$A$35,0))="",INDEX('Parametri Modello'!$F$32:$F$35,MATCH($B356,'Parametri Modello'!$A$32:$A$35,0))=0),0,(1/INDEX('Parametri Modello'!$F$32:$F$35,MATCH($B356,'Parametri Modello'!$A$32:$A$35,0))-1)*'Parametri Modello'!$B$28))),0)))*(1+INDEX('Parametri Modello'!$B$12:$B$15,MATCH($B356,'Parametri Modello'!$A$12:$A$15,0))),0),"")</f>
        <v>1</v>
      </c>
      <c r="I356" s="23">
        <f>IFERROR(INDEX('Input Statistiche 2025_26'!$F$3:$F$665,MATCH($A356,'Input Statistiche 2025_26'!$A$3:$A$665,0)),"")</f>
        <v>16</v>
      </c>
      <c r="J356" s="23">
        <f t="shared" si="45"/>
        <v>22</v>
      </c>
      <c r="K356" s="23">
        <f>IFERROR(INDEX('Input Statistiche 2025_26'!$I$3:$I$665,MATCH($A356,'Input Statistiche 2025_26'!$A$3:$A$665,0)),"")</f>
        <v>1</v>
      </c>
      <c r="L356" s="23">
        <f>IFERROR(INDEX('Input Statistiche 2025_26'!$O$3:$O$665,MATCH($A356,'Input Statistiche 2025_26'!$A$3:$A$665,0)),"")</f>
        <v>0</v>
      </c>
      <c r="M356" s="25"/>
      <c r="N356" s="24">
        <f>IFERROR(INDEX('Input Giocatori 2026_27'!$E$3:$E$493,MATCH($A356,'Input Giocatori 2026_27'!$A$3:$A$493,0)),"")</f>
        <v>3</v>
      </c>
      <c r="O356" s="24">
        <f>IFERROR(INDEX('Input Giocatori 2026_27'!$G$3:$G$493,MATCH($A356,'Input Giocatori 2026_27'!$A$3:$A$493,0)),"")</f>
        <v>7</v>
      </c>
      <c r="P356" s="23" t="str">
        <f>IFERROR(IF($O356="","",IF((1-(COUNTIFS($B$2:$B$492,$B356,$O$2:$O$492,"&gt;"&amp;$O356)+1-1)/COUNTIF($B$2:$B$492,$B356))&gt;='Parametri Modello'!$B$63,"Top",IF((1-(COUNTIFS($B$2:$B$492,$B356,$O$2:$O$492,"&gt;"&amp;$O356)+1-1)/COUNTIF($B$2:$B$492,$B356))&gt;='Parametri Modello'!$B$64,"Buono",IF((1-(COUNTIFS($B$2:$B$492,$B356,$O$2:$O$492,"&gt;"&amp;$O356)+1-1)/COUNTIF($B$2:$B$492,$B356))&gt;='Parametri Modello'!$B$65,"Nella Media","Scommessa/Riserva")))),"")</f>
        <v>Scommessa/Riserva</v>
      </c>
      <c r="Q356" s="26">
        <f>IF(AND($D356="",$N356&gt;1),SUMPRODUCT(($D$2:$D356="")*($N$2:$N356&gt;1)),"")</f>
        <v>354</v>
      </c>
      <c r="R356" s="26" t="str">
        <f>IF($D356='Info Lega'!$B$28,COUNTIFS($D$2:$D356,'Info Lega'!$B$28),"")</f>
        <v/>
      </c>
      <c r="S356" s="27">
        <f>IFERROR(INDEX('Input Statistiche 2025_26'!$G$3:$G$665,MATCH($A356,'Input Statistiche 2025_26'!$A$3:$A$665,0)),"")</f>
        <v>5.94</v>
      </c>
      <c r="T356" s="27">
        <f>IFERROR(INDEX('Input Statistiche 2025_26'!$H$3:$H$665,MATCH($A356,'Input Statistiche 2025_26'!$A$3:$A$665,0)),"")</f>
        <v>6.09</v>
      </c>
      <c r="U356" s="23" t="str">
        <f>IF(OR('La Mia Rosa'!$O$12="",$D356&lt;&gt;""),"",IF($F356&lt;='La Mia Rosa'!$O$12*'Parametri Modello'!$B$24,"OK",IF($F356&lt;='La Mia Rosa'!$O$12*'Parametri Modello'!$B$25,"Attenzione","Rischio Alto")))</f>
        <v>OK</v>
      </c>
      <c r="V356" s="23">
        <f t="shared" si="46"/>
        <v>125</v>
      </c>
      <c r="W356" s="18">
        <f>'Info Lega'!$B$4-SUMIFS($M$2:$M$492,$D$2:$D$492,'Info Lega'!$B$28)</f>
        <v>1000</v>
      </c>
      <c r="X356" s="18">
        <f>('Info Lega'!$B$5-COUNTIFS($D$2:$D$492,'Info Lega'!$B$28,$B$2:$B$492,"P"))+('Info Lega'!$B$6-COUNTIFS($D$2:$D$492,'Info Lega'!$B$28,$B$2:$B$492,"D"))+('Info Lega'!$B$7-COUNTIFS($D$2:$D$492,'Info Lega'!$B$28,$B$2:$B$492,"C"))+('Info Lega'!$B$8-COUNTIFS($D$2:$D$492,'Info Lega'!$B$28,$B$2:$B$492,"A"))</f>
        <v>25</v>
      </c>
      <c r="Y356" s="18">
        <f>X356*'Parametri Modello'!$B$30</f>
        <v>25</v>
      </c>
      <c r="Z356" s="18">
        <f t="shared" si="47"/>
        <v>975</v>
      </c>
      <c r="AA356" s="18">
        <f t="shared" si="48"/>
        <v>1</v>
      </c>
      <c r="AB356" s="18"/>
      <c r="AC356" s="18" t="str">
        <f>IF($AB356="","",IF($AB356&gt;$AA356,"PASS",IF($AB356&lt;=$AA356*(1-'Parametri Modello'!$B$68),"BID","ATTENZIONE")))</f>
        <v/>
      </c>
      <c r="AD356" s="28">
        <f t="shared" si="49"/>
        <v>41</v>
      </c>
      <c r="AE356" s="5" t="str">
        <f>IFERROR(INDEX('Stato Asta'!$G$9:$G$12,MATCH($B356,'Stato Asta'!$A$9:$A$12,0)),"")</f>
        <v>🔴 Non aspettare</v>
      </c>
      <c r="AF356" t="str">
        <f>IFERROR(IF($V356&lt;=INDEX('Parametri Modello'!$C$57:$C$60,MATCH($B356,'Parametri Modello'!$A$57:$A$60,0)),"Titolare","Riserva"),"")</f>
        <v>Riserva</v>
      </c>
      <c r="AG356" t="str">
        <f>IFERROR(INDEX('Pressione Competitiva'!$F$3:$F$6,MATCH($B356,'Pressione Competitiva'!$B$3:$B$6,0)),"")</f>
        <v>🔴 Molto Alta</v>
      </c>
      <c r="AH356" t="str">
        <f t="shared" si="50"/>
        <v/>
      </c>
      <c r="AI356" t="str">
        <f>IFERROR(IF($AH356="","",IF($AH356&gt;=$AA356*'Parametri Modello'!$B$68,"🟢 Opportunita'",IF($AH356&lt;=$AA356*'Parametri Modello'!$B$69,"🔴 Sovrapprezzo","🟡 Prezzo Corretto"))),"")</f>
        <v/>
      </c>
      <c r="AJ356" t="str">
        <f t="shared" si="51"/>
        <v/>
      </c>
      <c r="AK356">
        <f t="shared" si="52"/>
        <v>13</v>
      </c>
      <c r="AL356" t="str">
        <f t="shared" si="53"/>
        <v>D|Scommessa/Riserva|13</v>
      </c>
    </row>
    <row r="357" spans="1:38" ht="14.25" customHeight="1" x14ac:dyDescent="0.25">
      <c r="A357" s="18">
        <v>7125</v>
      </c>
      <c r="B357" s="18" t="s">
        <v>16</v>
      </c>
      <c r="C357" s="18" t="s">
        <v>496</v>
      </c>
      <c r="E357" s="23" t="str">
        <f>IF(COUNTIF('Info Strategia'!$D$2:$D$51,$C357)&gt;0,"SI","NO")</f>
        <v>NO</v>
      </c>
      <c r="F357" s="24">
        <f>IFERROR(ROUND(($G357+($H357-$G357)*'Info Strategia'!$B$6)*(1+IF($E357="SI",'Parametri Modello'!$B$7*'Info Strategia'!$B$6,0)),0),"")</f>
        <v>1</v>
      </c>
      <c r="G357" s="24">
        <f>IFERROR(ROUND(MAX(1,(IF($V357&lt;=INDEX('Parametri Modello'!$C$57:$C$60,MATCH($B357,'Parametri Modello'!$A$57:$A$60,0)),IF(INDEX('Parametri Modello'!$E$57:$E$60,MATCH($B357,'Parametri Modello'!$A$57:$A$60,0))=0,0,($O357/INDEX('Parametri Modello'!$E$57:$E$60,MATCH($B357,'Parametri Modello'!$A$57:$A$60,0)))*(INDEX('Parametri Modello'!$D$57:$D$60,MATCH($B357,'Parametri Modello'!$A$57:$A$60,0))*(INDEX('Parametri Modello'!$B$50:$B$53,MATCH($B357,'Parametri Modello'!$A$50:$A$53,0))*'Parametri Modello'!$B$44))),IF(INDEX('Parametri Modello'!$F$57:$F$60,MATCH($B357,'Parametri Modello'!$A$57:$A$60,0))=0,0,($O357/INDEX('Parametri Modello'!$F$57:$F$60,MATCH($B357,'Parametri Modello'!$A$57:$A$60,0)))*((1-INDEX('Parametri Modello'!$D$57:$D$60,MATCH($B357,'Parametri Modello'!$A$57:$A$60,0)))*(INDEX('Parametri Modello'!$B$50:$B$53,MATCH($B357,'Parametri Modello'!$A$50:$A$53,0))*'Parametri Modello'!$B$44))))*(1+IF(IF($B357="D",'Info Lega'!$B$25,IF($B357="C",'Info Lega'!$B$26,"No"))="Si",'Parametri Modello'!$B$5,0))*(1+MAX(-0.25,MIN(0.25,IF(OR($T357="",$I357="",$I357=0,INDEX('Parametri Modello'!$B$19:$B$22,MATCH($B357,'Parametri Modello'!$A$19:$A$22,0))="",INDEX('Parametri Modello'!$B$19:$B$22,MATCH($B357,'Parametri Modello'!$A$19:$A$22,0))=0),0,(($T357-INDEX('Parametri Modello'!$B$19:$B$22,MATCH($B357,'Parametri Modello'!$A$19:$A$22,0)))/INDEX('Parametri Modello'!$B$19:$B$22,MATCH($B357,'Parametri Modello'!$A$19:$A$22,0)))*'Parametri Modello'!$B$9))))*(1+IF('Parametri Modello'!$B$27="Si",MAX(-'Parametri Modello'!$B$28,MIN('Parametri Modello'!$B$28*1.5,IF(OR(INDEX('Parametri Modello'!$F$32:$F$35,MATCH($B357,'Parametri Modello'!$A$32:$A$35,0))="",INDEX('Parametri Modello'!$F$32:$F$35,MATCH($B357,'Parametri Modello'!$A$32:$A$35,0))=0),0,(1/INDEX('Parametri Modello'!$F$32:$F$35,MATCH($B357,'Parametri Modello'!$A$32:$A$35,0))-1)*'Parametri Modello'!$B$28))),0)))*(1-INDEX('Parametri Modello'!$B$12:$B$15,MATCH($B357,'Parametri Modello'!$A$12:$A$15,0)))),0),"")</f>
        <v>1</v>
      </c>
      <c r="H357" s="24">
        <f>IFERROR(ROUND((IF($V357&lt;=INDEX('Parametri Modello'!$C$57:$C$60,MATCH($B357,'Parametri Modello'!$A$57:$A$60,0)),IF(INDEX('Parametri Modello'!$E$57:$E$60,MATCH($B357,'Parametri Modello'!$A$57:$A$60,0))=0,0,($O357/INDEX('Parametri Modello'!$E$57:$E$60,MATCH($B357,'Parametri Modello'!$A$57:$A$60,0)))*(INDEX('Parametri Modello'!$D$57:$D$60,MATCH($B357,'Parametri Modello'!$A$57:$A$60,0))*(INDEX('Parametri Modello'!$B$50:$B$53,MATCH($B357,'Parametri Modello'!$A$50:$A$53,0))*'Parametri Modello'!$B$44))),IF(INDEX('Parametri Modello'!$F$57:$F$60,MATCH($B357,'Parametri Modello'!$A$57:$A$60,0))=0,0,($O357/INDEX('Parametri Modello'!$F$57:$F$60,MATCH($B357,'Parametri Modello'!$A$57:$A$60,0)))*((1-INDEX('Parametri Modello'!$D$57:$D$60,MATCH($B357,'Parametri Modello'!$A$57:$A$60,0)))*(INDEX('Parametri Modello'!$B$50:$B$53,MATCH($B357,'Parametri Modello'!$A$50:$A$53,0))*'Parametri Modello'!$B$44))))*(1+IF(IF($B357="D",'Info Lega'!$B$25,IF($B357="C",'Info Lega'!$B$26,"No"))="Si",'Parametri Modello'!$B$5,0))*(1+MAX(-0.25,MIN(0.25,IF(OR($T357="",$I357="",$I357=0,INDEX('Parametri Modello'!$B$19:$B$22,MATCH($B357,'Parametri Modello'!$A$19:$A$22,0))="",INDEX('Parametri Modello'!$B$19:$B$22,MATCH($B357,'Parametri Modello'!$A$19:$A$22,0))=0),0,(($T357-INDEX('Parametri Modello'!$B$19:$B$22,MATCH($B357,'Parametri Modello'!$A$19:$A$22,0)))/INDEX('Parametri Modello'!$B$19:$B$22,MATCH($B357,'Parametri Modello'!$A$19:$A$22,0)))*'Parametri Modello'!$B$9))))*(1+IF('Parametri Modello'!$B$27="Si",MAX(-'Parametri Modello'!$B$28,MIN('Parametri Modello'!$B$28*1.5,IF(OR(INDEX('Parametri Modello'!$F$32:$F$35,MATCH($B357,'Parametri Modello'!$A$32:$A$35,0))="",INDEX('Parametri Modello'!$F$32:$F$35,MATCH($B357,'Parametri Modello'!$A$32:$A$35,0))=0),0,(1/INDEX('Parametri Modello'!$F$32:$F$35,MATCH($B357,'Parametri Modello'!$A$32:$A$35,0))-1)*'Parametri Modello'!$B$28))),0)))*(1+INDEX('Parametri Modello'!$B$12:$B$15,MATCH($B357,'Parametri Modello'!$A$12:$A$15,0))),0),"")</f>
        <v>1</v>
      </c>
      <c r="I357" s="23">
        <f>IFERROR(INDEX('Input Statistiche 2025_26'!$F$3:$F$665,MATCH($A357,'Input Statistiche 2025_26'!$A$3:$A$665,0)),"")</f>
        <v>17</v>
      </c>
      <c r="J357" s="23">
        <f t="shared" si="45"/>
        <v>21</v>
      </c>
      <c r="K357" s="23">
        <f>IFERROR(INDEX('Input Statistiche 2025_26'!$I$3:$I$665,MATCH($A357,'Input Statistiche 2025_26'!$A$3:$A$665,0)),"")</f>
        <v>2</v>
      </c>
      <c r="L357" s="23">
        <f>IFERROR(INDEX('Input Statistiche 2025_26'!$O$3:$O$665,MATCH($A357,'Input Statistiche 2025_26'!$A$3:$A$665,0)),"")</f>
        <v>0</v>
      </c>
      <c r="M357" s="25"/>
      <c r="N357" s="24">
        <f>IFERROR(INDEX('Input Giocatori 2026_27'!$E$3:$E$493,MATCH($A357,'Input Giocatori 2026_27'!$A$3:$A$493,0)),"")</f>
        <v>3</v>
      </c>
      <c r="O357" s="24">
        <f>IFERROR(INDEX('Input Giocatori 2026_27'!$G$3:$G$493,MATCH($A357,'Input Giocatori 2026_27'!$A$3:$A$493,0)),"")</f>
        <v>7</v>
      </c>
      <c r="P357" s="23" t="str">
        <f>IFERROR(IF($O357="","",IF((1-(COUNTIFS($B$2:$B$492,$B357,$O$2:$O$492,"&gt;"&amp;$O357)+1-1)/COUNTIF($B$2:$B$492,$B357))&gt;='Parametri Modello'!$B$63,"Top",IF((1-(COUNTIFS($B$2:$B$492,$B357,$O$2:$O$492,"&gt;"&amp;$O357)+1-1)/COUNTIF($B$2:$B$492,$B357))&gt;='Parametri Modello'!$B$64,"Buono",IF((1-(COUNTIFS($B$2:$B$492,$B357,$O$2:$O$492,"&gt;"&amp;$O357)+1-1)/COUNTIF($B$2:$B$492,$B357))&gt;='Parametri Modello'!$B$65,"Nella Media","Scommessa/Riserva")))),"")</f>
        <v>Scommessa/Riserva</v>
      </c>
      <c r="Q357" s="26">
        <f>IF(AND($D357="",$N357&gt;1),SUMPRODUCT(($D$2:$D357="")*($N$2:$N357&gt;1)),"")</f>
        <v>355</v>
      </c>
      <c r="R357" s="26" t="str">
        <f>IF($D357='Info Lega'!$B$28,COUNTIFS($D$2:$D357,'Info Lega'!$B$28),"")</f>
        <v/>
      </c>
      <c r="S357" s="27">
        <f>IFERROR(INDEX('Input Statistiche 2025_26'!$G$3:$G$665,MATCH($A357,'Input Statistiche 2025_26'!$A$3:$A$665,0)),"")</f>
        <v>5.82</v>
      </c>
      <c r="T357" s="27">
        <f>IFERROR(INDEX('Input Statistiche 2025_26'!$H$3:$H$665,MATCH($A357,'Input Statistiche 2025_26'!$A$3:$A$665,0)),"")</f>
        <v>6.09</v>
      </c>
      <c r="U357" s="23" t="str">
        <f>IF(OR('La Mia Rosa'!$O$12="",$D357&lt;&gt;""),"",IF($F357&lt;='La Mia Rosa'!$O$12*'Parametri Modello'!$B$24,"OK",IF($F357&lt;='La Mia Rosa'!$O$12*'Parametri Modello'!$B$25,"Attenzione","Rischio Alto")))</f>
        <v>OK</v>
      </c>
      <c r="V357" s="23">
        <f t="shared" si="46"/>
        <v>125</v>
      </c>
      <c r="W357" s="18">
        <f>'Info Lega'!$B$4-SUMIFS($M$2:$M$492,$D$2:$D$492,'Info Lega'!$B$28)</f>
        <v>1000</v>
      </c>
      <c r="X357" s="18">
        <f>('Info Lega'!$B$5-COUNTIFS($D$2:$D$492,'Info Lega'!$B$28,$B$2:$B$492,"P"))+('Info Lega'!$B$6-COUNTIFS($D$2:$D$492,'Info Lega'!$B$28,$B$2:$B$492,"D"))+('Info Lega'!$B$7-COUNTIFS($D$2:$D$492,'Info Lega'!$B$28,$B$2:$B$492,"C"))+('Info Lega'!$B$8-COUNTIFS($D$2:$D$492,'Info Lega'!$B$28,$B$2:$B$492,"A"))</f>
        <v>25</v>
      </c>
      <c r="Y357" s="18">
        <f>X357*'Parametri Modello'!$B$30</f>
        <v>25</v>
      </c>
      <c r="Z357" s="18">
        <f t="shared" si="47"/>
        <v>975</v>
      </c>
      <c r="AA357" s="18">
        <f t="shared" si="48"/>
        <v>1</v>
      </c>
      <c r="AB357" s="18"/>
      <c r="AC357" s="18" t="str">
        <f>IF($AB357="","",IF($AB357&gt;$AA357,"PASS",IF($AB357&lt;=$AA357*(1-'Parametri Modello'!$B$68),"BID","ATTENZIONE")))</f>
        <v/>
      </c>
      <c r="AD357" s="28">
        <f t="shared" si="49"/>
        <v>43</v>
      </c>
      <c r="AE357" s="5" t="str">
        <f>IFERROR(INDEX('Stato Asta'!$G$9:$G$12,MATCH($B357,'Stato Asta'!$A$9:$A$12,0)),"")</f>
        <v>🔴 Non aspettare</v>
      </c>
      <c r="AF357" t="str">
        <f>IFERROR(IF($V357&lt;=INDEX('Parametri Modello'!$C$57:$C$60,MATCH($B357,'Parametri Modello'!$A$57:$A$60,0)),"Titolare","Riserva"),"")</f>
        <v>Riserva</v>
      </c>
      <c r="AG357" t="str">
        <f>IFERROR(INDEX('Pressione Competitiva'!$F$3:$F$6,MATCH($B357,'Pressione Competitiva'!$B$3:$B$6,0)),"")</f>
        <v>🔴 Molto Alta</v>
      </c>
      <c r="AH357" t="str">
        <f t="shared" si="50"/>
        <v/>
      </c>
      <c r="AI357" t="str">
        <f>IFERROR(IF($AH357="","",IF($AH357&gt;=$AA357*'Parametri Modello'!$B$68,"🟢 Opportunita'",IF($AH357&lt;=$AA357*'Parametri Modello'!$B$69,"🔴 Sovrapprezzo","🟡 Prezzo Corretto"))),"")</f>
        <v/>
      </c>
      <c r="AJ357" t="str">
        <f t="shared" si="51"/>
        <v/>
      </c>
      <c r="AK357">
        <f t="shared" si="52"/>
        <v>13</v>
      </c>
      <c r="AL357" t="str">
        <f t="shared" si="53"/>
        <v>D|Scommessa/Riserva|13</v>
      </c>
    </row>
    <row r="358" spans="1:38" ht="14.25" customHeight="1" x14ac:dyDescent="0.25">
      <c r="A358" s="18">
        <v>4378</v>
      </c>
      <c r="B358" s="18" t="s">
        <v>16</v>
      </c>
      <c r="C358" s="18" t="s">
        <v>497</v>
      </c>
      <c r="E358" s="23" t="str">
        <f>IF(COUNTIF('Info Strategia'!$D$2:$D$51,$C358)&gt;0,"SI","NO")</f>
        <v>NO</v>
      </c>
      <c r="F358" s="24">
        <f>IFERROR(ROUND(($G358+($H358-$G358)*'Info Strategia'!$B$6)*(1+IF($E358="SI",'Parametri Modello'!$B$7*'Info Strategia'!$B$6,0)),0),"")</f>
        <v>1</v>
      </c>
      <c r="G358" s="24">
        <f>IFERROR(ROUND(MAX(1,(IF($V358&lt;=INDEX('Parametri Modello'!$C$57:$C$60,MATCH($B358,'Parametri Modello'!$A$57:$A$60,0)),IF(INDEX('Parametri Modello'!$E$57:$E$60,MATCH($B358,'Parametri Modello'!$A$57:$A$60,0))=0,0,($O358/INDEX('Parametri Modello'!$E$57:$E$60,MATCH($B358,'Parametri Modello'!$A$57:$A$60,0)))*(INDEX('Parametri Modello'!$D$57:$D$60,MATCH($B358,'Parametri Modello'!$A$57:$A$60,0))*(INDEX('Parametri Modello'!$B$50:$B$53,MATCH($B358,'Parametri Modello'!$A$50:$A$53,0))*'Parametri Modello'!$B$44))),IF(INDEX('Parametri Modello'!$F$57:$F$60,MATCH($B358,'Parametri Modello'!$A$57:$A$60,0))=0,0,($O358/INDEX('Parametri Modello'!$F$57:$F$60,MATCH($B358,'Parametri Modello'!$A$57:$A$60,0)))*((1-INDEX('Parametri Modello'!$D$57:$D$60,MATCH($B358,'Parametri Modello'!$A$57:$A$60,0)))*(INDEX('Parametri Modello'!$B$50:$B$53,MATCH($B358,'Parametri Modello'!$A$50:$A$53,0))*'Parametri Modello'!$B$44))))*(1+IF(IF($B358="D",'Info Lega'!$B$25,IF($B358="C",'Info Lega'!$B$26,"No"))="Si",'Parametri Modello'!$B$5,0))*(1+MAX(-0.25,MIN(0.25,IF(OR($T358="",$I358="",$I358=0,INDEX('Parametri Modello'!$B$19:$B$22,MATCH($B358,'Parametri Modello'!$A$19:$A$22,0))="",INDEX('Parametri Modello'!$B$19:$B$22,MATCH($B358,'Parametri Modello'!$A$19:$A$22,0))=0),0,(($T358-INDEX('Parametri Modello'!$B$19:$B$22,MATCH($B358,'Parametri Modello'!$A$19:$A$22,0)))/INDEX('Parametri Modello'!$B$19:$B$22,MATCH($B358,'Parametri Modello'!$A$19:$A$22,0)))*'Parametri Modello'!$B$9))))*(1+IF('Parametri Modello'!$B$27="Si",MAX(-'Parametri Modello'!$B$28,MIN('Parametri Modello'!$B$28*1.5,IF(OR(INDEX('Parametri Modello'!$F$32:$F$35,MATCH($B358,'Parametri Modello'!$A$32:$A$35,0))="",INDEX('Parametri Modello'!$F$32:$F$35,MATCH($B358,'Parametri Modello'!$A$32:$A$35,0))=0),0,(1/INDEX('Parametri Modello'!$F$32:$F$35,MATCH($B358,'Parametri Modello'!$A$32:$A$35,0))-1)*'Parametri Modello'!$B$28))),0)))*(1-INDEX('Parametri Modello'!$B$12:$B$15,MATCH($B358,'Parametri Modello'!$A$12:$A$15,0)))),0),"")</f>
        <v>1</v>
      </c>
      <c r="H358" s="24">
        <f>IFERROR(ROUND((IF($V358&lt;=INDEX('Parametri Modello'!$C$57:$C$60,MATCH($B358,'Parametri Modello'!$A$57:$A$60,0)),IF(INDEX('Parametri Modello'!$E$57:$E$60,MATCH($B358,'Parametri Modello'!$A$57:$A$60,0))=0,0,($O358/INDEX('Parametri Modello'!$E$57:$E$60,MATCH($B358,'Parametri Modello'!$A$57:$A$60,0)))*(INDEX('Parametri Modello'!$D$57:$D$60,MATCH($B358,'Parametri Modello'!$A$57:$A$60,0))*(INDEX('Parametri Modello'!$B$50:$B$53,MATCH($B358,'Parametri Modello'!$A$50:$A$53,0))*'Parametri Modello'!$B$44))),IF(INDEX('Parametri Modello'!$F$57:$F$60,MATCH($B358,'Parametri Modello'!$A$57:$A$60,0))=0,0,($O358/INDEX('Parametri Modello'!$F$57:$F$60,MATCH($B358,'Parametri Modello'!$A$57:$A$60,0)))*((1-INDEX('Parametri Modello'!$D$57:$D$60,MATCH($B358,'Parametri Modello'!$A$57:$A$60,0)))*(INDEX('Parametri Modello'!$B$50:$B$53,MATCH($B358,'Parametri Modello'!$A$50:$A$53,0))*'Parametri Modello'!$B$44))))*(1+IF(IF($B358="D",'Info Lega'!$B$25,IF($B358="C",'Info Lega'!$B$26,"No"))="Si",'Parametri Modello'!$B$5,0))*(1+MAX(-0.25,MIN(0.25,IF(OR($T358="",$I358="",$I358=0,INDEX('Parametri Modello'!$B$19:$B$22,MATCH($B358,'Parametri Modello'!$A$19:$A$22,0))="",INDEX('Parametri Modello'!$B$19:$B$22,MATCH($B358,'Parametri Modello'!$A$19:$A$22,0))=0),0,(($T358-INDEX('Parametri Modello'!$B$19:$B$22,MATCH($B358,'Parametri Modello'!$A$19:$A$22,0)))/INDEX('Parametri Modello'!$B$19:$B$22,MATCH($B358,'Parametri Modello'!$A$19:$A$22,0)))*'Parametri Modello'!$B$9))))*(1+IF('Parametri Modello'!$B$27="Si",MAX(-'Parametri Modello'!$B$28,MIN('Parametri Modello'!$B$28*1.5,IF(OR(INDEX('Parametri Modello'!$F$32:$F$35,MATCH($B358,'Parametri Modello'!$A$32:$A$35,0))="",INDEX('Parametri Modello'!$F$32:$F$35,MATCH($B358,'Parametri Modello'!$A$32:$A$35,0))=0),0,(1/INDEX('Parametri Modello'!$F$32:$F$35,MATCH($B358,'Parametri Modello'!$A$32:$A$35,0))-1)*'Parametri Modello'!$B$28))),0)))*(1+INDEX('Parametri Modello'!$B$12:$B$15,MATCH($B358,'Parametri Modello'!$A$12:$A$15,0))),0),"")</f>
        <v>1</v>
      </c>
      <c r="I358" s="23">
        <f>IFERROR(INDEX('Input Statistiche 2025_26'!$F$3:$F$665,MATCH($A358,'Input Statistiche 2025_26'!$A$3:$A$665,0)),"")</f>
        <v>31</v>
      </c>
      <c r="J358" s="23">
        <f t="shared" si="45"/>
        <v>7</v>
      </c>
      <c r="K358" s="23">
        <f>IFERROR(INDEX('Input Statistiche 2025_26'!$I$3:$I$665,MATCH($A358,'Input Statistiche 2025_26'!$A$3:$A$665,0)),"")</f>
        <v>1</v>
      </c>
      <c r="L358" s="23">
        <f>IFERROR(INDEX('Input Statistiche 2025_26'!$O$3:$O$665,MATCH($A358,'Input Statistiche 2025_26'!$A$3:$A$665,0)),"")</f>
        <v>0</v>
      </c>
      <c r="M358" s="25"/>
      <c r="N358" s="24">
        <f>IFERROR(INDEX('Input Giocatori 2026_27'!$E$3:$E$493,MATCH($A358,'Input Giocatori 2026_27'!$A$3:$A$493,0)),"")</f>
        <v>3</v>
      </c>
      <c r="O358" s="24">
        <f>IFERROR(INDEX('Input Giocatori 2026_27'!$G$3:$G$493,MATCH($A358,'Input Giocatori 2026_27'!$A$3:$A$493,0)),"")</f>
        <v>7</v>
      </c>
      <c r="P358" s="23" t="str">
        <f>IFERROR(IF($O358="","",IF((1-(COUNTIFS($B$2:$B$492,$B358,$O$2:$O$492,"&gt;"&amp;$O358)+1-1)/COUNTIF($B$2:$B$492,$B358))&gt;='Parametri Modello'!$B$63,"Top",IF((1-(COUNTIFS($B$2:$B$492,$B358,$O$2:$O$492,"&gt;"&amp;$O358)+1-1)/COUNTIF($B$2:$B$492,$B358))&gt;='Parametri Modello'!$B$64,"Buono",IF((1-(COUNTIFS($B$2:$B$492,$B358,$O$2:$O$492,"&gt;"&amp;$O358)+1-1)/COUNTIF($B$2:$B$492,$B358))&gt;='Parametri Modello'!$B$65,"Nella Media","Scommessa/Riserva")))),"")</f>
        <v>Scommessa/Riserva</v>
      </c>
      <c r="Q358" s="26">
        <f>IF(AND($D358="",$N358&gt;1),SUMPRODUCT(($D$2:$D358="")*($N$2:$N358&gt;1)),"")</f>
        <v>356</v>
      </c>
      <c r="R358" s="26" t="str">
        <f>IF($D358='Info Lega'!$B$28,COUNTIFS($D$2:$D358,'Info Lega'!$B$28),"")</f>
        <v/>
      </c>
      <c r="S358" s="27">
        <f>IFERROR(INDEX('Input Statistiche 2025_26'!$G$3:$G$665,MATCH($A358,'Input Statistiche 2025_26'!$A$3:$A$665,0)),"")</f>
        <v>5.85</v>
      </c>
      <c r="T358" s="27">
        <f>IFERROR(INDEX('Input Statistiche 2025_26'!$H$3:$H$665,MATCH($A358,'Input Statistiche 2025_26'!$A$3:$A$665,0)),"")</f>
        <v>5.79</v>
      </c>
      <c r="U358" s="23" t="str">
        <f>IF(OR('La Mia Rosa'!$O$12="",$D358&lt;&gt;""),"",IF($F358&lt;='La Mia Rosa'!$O$12*'Parametri Modello'!$B$24,"OK",IF($F358&lt;='La Mia Rosa'!$O$12*'Parametri Modello'!$B$25,"Attenzione","Rischio Alto")))</f>
        <v>OK</v>
      </c>
      <c r="V358" s="23">
        <f t="shared" si="46"/>
        <v>125</v>
      </c>
      <c r="W358" s="18">
        <f>'Info Lega'!$B$4-SUMIFS($M$2:$M$492,$D$2:$D$492,'Info Lega'!$B$28)</f>
        <v>1000</v>
      </c>
      <c r="X358" s="18">
        <f>('Info Lega'!$B$5-COUNTIFS($D$2:$D$492,'Info Lega'!$B$28,$B$2:$B$492,"P"))+('Info Lega'!$B$6-COUNTIFS($D$2:$D$492,'Info Lega'!$B$28,$B$2:$B$492,"D"))+('Info Lega'!$B$7-COUNTIFS($D$2:$D$492,'Info Lega'!$B$28,$B$2:$B$492,"C"))+('Info Lega'!$B$8-COUNTIFS($D$2:$D$492,'Info Lega'!$B$28,$B$2:$B$492,"A"))</f>
        <v>25</v>
      </c>
      <c r="Y358" s="18">
        <f>X358*'Parametri Modello'!$B$30</f>
        <v>25</v>
      </c>
      <c r="Z358" s="18">
        <f t="shared" si="47"/>
        <v>975</v>
      </c>
      <c r="AA358" s="18">
        <f t="shared" si="48"/>
        <v>1</v>
      </c>
      <c r="AB358" s="18"/>
      <c r="AC358" s="18" t="str">
        <f>IF($AB358="","",IF($AB358&gt;$AA358,"PASS",IF($AB358&lt;=$AA358*(1-'Parametri Modello'!$B$68),"BID","ATTENZIONE")))</f>
        <v/>
      </c>
      <c r="AD358" s="28">
        <f t="shared" si="49"/>
        <v>64</v>
      </c>
      <c r="AE358" s="5" t="str">
        <f>IFERROR(INDEX('Stato Asta'!$G$9:$G$12,MATCH($B358,'Stato Asta'!$A$9:$A$12,0)),"")</f>
        <v>🔴 Non aspettare</v>
      </c>
      <c r="AF358" t="str">
        <f>IFERROR(IF($V358&lt;=INDEX('Parametri Modello'!$C$57:$C$60,MATCH($B358,'Parametri Modello'!$A$57:$A$60,0)),"Titolare","Riserva"),"")</f>
        <v>Riserva</v>
      </c>
      <c r="AG358" t="str">
        <f>IFERROR(INDEX('Pressione Competitiva'!$F$3:$F$6,MATCH($B358,'Pressione Competitiva'!$B$3:$B$6,0)),"")</f>
        <v>🔴 Molto Alta</v>
      </c>
      <c r="AH358" t="str">
        <f t="shared" si="50"/>
        <v/>
      </c>
      <c r="AI358" t="str">
        <f>IFERROR(IF($AH358="","",IF($AH358&gt;=$AA358*'Parametri Modello'!$B$68,"🟢 Opportunita'",IF($AH358&lt;=$AA358*'Parametri Modello'!$B$69,"🔴 Sovrapprezzo","🟡 Prezzo Corretto"))),"")</f>
        <v/>
      </c>
      <c r="AJ358" t="str">
        <f t="shared" si="51"/>
        <v/>
      </c>
      <c r="AK358">
        <f t="shared" si="52"/>
        <v>13</v>
      </c>
      <c r="AL358" t="str">
        <f t="shared" si="53"/>
        <v>D|Scommessa/Riserva|13</v>
      </c>
    </row>
    <row r="359" spans="1:38" ht="14.25" customHeight="1" x14ac:dyDescent="0.25">
      <c r="A359" s="18">
        <v>7175</v>
      </c>
      <c r="B359" s="18" t="s">
        <v>16</v>
      </c>
      <c r="C359" s="18" t="s">
        <v>498</v>
      </c>
      <c r="E359" s="23" t="str">
        <f>IF(COUNTIF('Info Strategia'!$D$2:$D$51,$C359)&gt;0,"SI","NO")</f>
        <v>NO</v>
      </c>
      <c r="F359" s="24">
        <f>IFERROR(ROUND(($G359+($H359-$G359)*'Info Strategia'!$B$6)*(1+IF($E359="SI",'Parametri Modello'!$B$7*'Info Strategia'!$B$6,0)),0),"")</f>
        <v>1</v>
      </c>
      <c r="G359" s="24">
        <f>IFERROR(ROUND(MAX(1,(IF($V359&lt;=INDEX('Parametri Modello'!$C$57:$C$60,MATCH($B359,'Parametri Modello'!$A$57:$A$60,0)),IF(INDEX('Parametri Modello'!$E$57:$E$60,MATCH($B359,'Parametri Modello'!$A$57:$A$60,0))=0,0,($O359/INDEX('Parametri Modello'!$E$57:$E$60,MATCH($B359,'Parametri Modello'!$A$57:$A$60,0)))*(INDEX('Parametri Modello'!$D$57:$D$60,MATCH($B359,'Parametri Modello'!$A$57:$A$60,0))*(INDEX('Parametri Modello'!$B$50:$B$53,MATCH($B359,'Parametri Modello'!$A$50:$A$53,0))*'Parametri Modello'!$B$44))),IF(INDEX('Parametri Modello'!$F$57:$F$60,MATCH($B359,'Parametri Modello'!$A$57:$A$60,0))=0,0,($O359/INDEX('Parametri Modello'!$F$57:$F$60,MATCH($B359,'Parametri Modello'!$A$57:$A$60,0)))*((1-INDEX('Parametri Modello'!$D$57:$D$60,MATCH($B359,'Parametri Modello'!$A$57:$A$60,0)))*(INDEX('Parametri Modello'!$B$50:$B$53,MATCH($B359,'Parametri Modello'!$A$50:$A$53,0))*'Parametri Modello'!$B$44))))*(1+IF(IF($B359="D",'Info Lega'!$B$25,IF($B359="C",'Info Lega'!$B$26,"No"))="Si",'Parametri Modello'!$B$5,0))*(1+MAX(-0.25,MIN(0.25,IF(OR($T359="",$I359="",$I359=0,INDEX('Parametri Modello'!$B$19:$B$22,MATCH($B359,'Parametri Modello'!$A$19:$A$22,0))="",INDEX('Parametri Modello'!$B$19:$B$22,MATCH($B359,'Parametri Modello'!$A$19:$A$22,0))=0),0,(($T359-INDEX('Parametri Modello'!$B$19:$B$22,MATCH($B359,'Parametri Modello'!$A$19:$A$22,0)))/INDEX('Parametri Modello'!$B$19:$B$22,MATCH($B359,'Parametri Modello'!$A$19:$A$22,0)))*'Parametri Modello'!$B$9))))*(1+IF('Parametri Modello'!$B$27="Si",MAX(-'Parametri Modello'!$B$28,MIN('Parametri Modello'!$B$28*1.5,IF(OR(INDEX('Parametri Modello'!$F$32:$F$35,MATCH($B359,'Parametri Modello'!$A$32:$A$35,0))="",INDEX('Parametri Modello'!$F$32:$F$35,MATCH($B359,'Parametri Modello'!$A$32:$A$35,0))=0),0,(1/INDEX('Parametri Modello'!$F$32:$F$35,MATCH($B359,'Parametri Modello'!$A$32:$A$35,0))-1)*'Parametri Modello'!$B$28))),0)))*(1-INDEX('Parametri Modello'!$B$12:$B$15,MATCH($B359,'Parametri Modello'!$A$12:$A$15,0)))),0),"")</f>
        <v>1</v>
      </c>
      <c r="H359" s="24">
        <f>IFERROR(ROUND((IF($V359&lt;=INDEX('Parametri Modello'!$C$57:$C$60,MATCH($B359,'Parametri Modello'!$A$57:$A$60,0)),IF(INDEX('Parametri Modello'!$E$57:$E$60,MATCH($B359,'Parametri Modello'!$A$57:$A$60,0))=0,0,($O359/INDEX('Parametri Modello'!$E$57:$E$60,MATCH($B359,'Parametri Modello'!$A$57:$A$60,0)))*(INDEX('Parametri Modello'!$D$57:$D$60,MATCH($B359,'Parametri Modello'!$A$57:$A$60,0))*(INDEX('Parametri Modello'!$B$50:$B$53,MATCH($B359,'Parametri Modello'!$A$50:$A$53,0))*'Parametri Modello'!$B$44))),IF(INDEX('Parametri Modello'!$F$57:$F$60,MATCH($B359,'Parametri Modello'!$A$57:$A$60,0))=0,0,($O359/INDEX('Parametri Modello'!$F$57:$F$60,MATCH($B359,'Parametri Modello'!$A$57:$A$60,0)))*((1-INDEX('Parametri Modello'!$D$57:$D$60,MATCH($B359,'Parametri Modello'!$A$57:$A$60,0)))*(INDEX('Parametri Modello'!$B$50:$B$53,MATCH($B359,'Parametri Modello'!$A$50:$A$53,0))*'Parametri Modello'!$B$44))))*(1+IF(IF($B359="D",'Info Lega'!$B$25,IF($B359="C",'Info Lega'!$B$26,"No"))="Si",'Parametri Modello'!$B$5,0))*(1+MAX(-0.25,MIN(0.25,IF(OR($T359="",$I359="",$I359=0,INDEX('Parametri Modello'!$B$19:$B$22,MATCH($B359,'Parametri Modello'!$A$19:$A$22,0))="",INDEX('Parametri Modello'!$B$19:$B$22,MATCH($B359,'Parametri Modello'!$A$19:$A$22,0))=0),0,(($T359-INDEX('Parametri Modello'!$B$19:$B$22,MATCH($B359,'Parametri Modello'!$A$19:$A$22,0)))/INDEX('Parametri Modello'!$B$19:$B$22,MATCH($B359,'Parametri Modello'!$A$19:$A$22,0)))*'Parametri Modello'!$B$9))))*(1+IF('Parametri Modello'!$B$27="Si",MAX(-'Parametri Modello'!$B$28,MIN('Parametri Modello'!$B$28*1.5,IF(OR(INDEX('Parametri Modello'!$F$32:$F$35,MATCH($B359,'Parametri Modello'!$A$32:$A$35,0))="",INDEX('Parametri Modello'!$F$32:$F$35,MATCH($B359,'Parametri Modello'!$A$32:$A$35,0))=0),0,(1/INDEX('Parametri Modello'!$F$32:$F$35,MATCH($B359,'Parametri Modello'!$A$32:$A$35,0))-1)*'Parametri Modello'!$B$28))),0)))*(1+INDEX('Parametri Modello'!$B$12:$B$15,MATCH($B359,'Parametri Modello'!$A$12:$A$15,0))),0),"")</f>
        <v>1</v>
      </c>
      <c r="I359" s="23">
        <f>IFERROR(INDEX('Input Statistiche 2025_26'!$F$3:$F$665,MATCH($A359,'Input Statistiche 2025_26'!$A$3:$A$665,0)),"")</f>
        <v>14</v>
      </c>
      <c r="J359" s="23">
        <f t="shared" si="45"/>
        <v>24</v>
      </c>
      <c r="K359" s="23">
        <f>IFERROR(INDEX('Input Statistiche 2025_26'!$I$3:$I$665,MATCH($A359,'Input Statistiche 2025_26'!$A$3:$A$665,0)),"")</f>
        <v>1</v>
      </c>
      <c r="L359" s="23">
        <f>IFERROR(INDEX('Input Statistiche 2025_26'!$O$3:$O$665,MATCH($A359,'Input Statistiche 2025_26'!$A$3:$A$665,0)),"")</f>
        <v>1</v>
      </c>
      <c r="M359" s="25"/>
      <c r="N359" s="24">
        <f>IFERROR(INDEX('Input Giocatori 2026_27'!$E$3:$E$493,MATCH($A359,'Input Giocatori 2026_27'!$A$3:$A$493,0)),"")</f>
        <v>3</v>
      </c>
      <c r="O359" s="24">
        <f>IFERROR(INDEX('Input Giocatori 2026_27'!$G$3:$G$493,MATCH($A359,'Input Giocatori 2026_27'!$A$3:$A$493,0)),"")</f>
        <v>7</v>
      </c>
      <c r="P359" s="23" t="str">
        <f>IFERROR(IF($O359="","",IF((1-(COUNTIFS($B$2:$B$492,$B359,$O$2:$O$492,"&gt;"&amp;$O359)+1-1)/COUNTIF($B$2:$B$492,$B359))&gt;='Parametri Modello'!$B$63,"Top",IF((1-(COUNTIFS($B$2:$B$492,$B359,$O$2:$O$492,"&gt;"&amp;$O359)+1-1)/COUNTIF($B$2:$B$492,$B359))&gt;='Parametri Modello'!$B$64,"Buono",IF((1-(COUNTIFS($B$2:$B$492,$B359,$O$2:$O$492,"&gt;"&amp;$O359)+1-1)/COUNTIF($B$2:$B$492,$B359))&gt;='Parametri Modello'!$B$65,"Nella Media","Scommessa/Riserva")))),"")</f>
        <v>Scommessa/Riserva</v>
      </c>
      <c r="Q359" s="26">
        <f>IF(AND($D359="",$N359&gt;1),SUMPRODUCT(($D$2:$D359="")*($N$2:$N359&gt;1)),"")</f>
        <v>357</v>
      </c>
      <c r="R359" s="26" t="str">
        <f>IF($D359='Info Lega'!$B$28,COUNTIFS($D$2:$D359,'Info Lega'!$B$28),"")</f>
        <v/>
      </c>
      <c r="S359" s="27">
        <f>IFERROR(INDEX('Input Statistiche 2025_26'!$G$3:$G$665,MATCH($A359,'Input Statistiche 2025_26'!$A$3:$A$665,0)),"")</f>
        <v>5.79</v>
      </c>
      <c r="T359" s="27">
        <f>IFERROR(INDEX('Input Statistiche 2025_26'!$H$3:$H$665,MATCH($A359,'Input Statistiche 2025_26'!$A$3:$A$665,0)),"")</f>
        <v>6</v>
      </c>
      <c r="U359" s="23" t="str">
        <f>IF(OR('La Mia Rosa'!$O$12="",$D359&lt;&gt;""),"",IF($F359&lt;='La Mia Rosa'!$O$12*'Parametri Modello'!$B$24,"OK",IF($F359&lt;='La Mia Rosa'!$O$12*'Parametri Modello'!$B$25,"Attenzione","Rischio Alto")))</f>
        <v>OK</v>
      </c>
      <c r="V359" s="23">
        <f t="shared" si="46"/>
        <v>125</v>
      </c>
      <c r="W359" s="18">
        <f>'Info Lega'!$B$4-SUMIFS($M$2:$M$492,$D$2:$D$492,'Info Lega'!$B$28)</f>
        <v>1000</v>
      </c>
      <c r="X359" s="18">
        <f>('Info Lega'!$B$5-COUNTIFS($D$2:$D$492,'Info Lega'!$B$28,$B$2:$B$492,"P"))+('Info Lega'!$B$6-COUNTIFS($D$2:$D$492,'Info Lega'!$B$28,$B$2:$B$492,"D"))+('Info Lega'!$B$7-COUNTIFS($D$2:$D$492,'Info Lega'!$B$28,$B$2:$B$492,"C"))+('Info Lega'!$B$8-COUNTIFS($D$2:$D$492,'Info Lega'!$B$28,$B$2:$B$492,"A"))</f>
        <v>25</v>
      </c>
      <c r="Y359" s="18">
        <f>X359*'Parametri Modello'!$B$30</f>
        <v>25</v>
      </c>
      <c r="Z359" s="18">
        <f t="shared" si="47"/>
        <v>975</v>
      </c>
      <c r="AA359" s="18">
        <f t="shared" si="48"/>
        <v>1</v>
      </c>
      <c r="AB359" s="18"/>
      <c r="AC359" s="18" t="str">
        <f>IF($AB359="","",IF($AB359&gt;$AA359,"PASS",IF($AB359&lt;=$AA359*(1-'Parametri Modello'!$B$68),"BID","ATTENZIONE")))</f>
        <v/>
      </c>
      <c r="AD359" s="28">
        <f t="shared" si="49"/>
        <v>37</v>
      </c>
      <c r="AE359" s="5" t="str">
        <f>IFERROR(INDEX('Stato Asta'!$G$9:$G$12,MATCH($B359,'Stato Asta'!$A$9:$A$12,0)),"")</f>
        <v>🔴 Non aspettare</v>
      </c>
      <c r="AF359" t="str">
        <f>IFERROR(IF($V359&lt;=INDEX('Parametri Modello'!$C$57:$C$60,MATCH($B359,'Parametri Modello'!$A$57:$A$60,0)),"Titolare","Riserva"),"")</f>
        <v>Riserva</v>
      </c>
      <c r="AG359" t="str">
        <f>IFERROR(INDEX('Pressione Competitiva'!$F$3:$F$6,MATCH($B359,'Pressione Competitiva'!$B$3:$B$6,0)),"")</f>
        <v>🔴 Molto Alta</v>
      </c>
      <c r="AH359" t="str">
        <f t="shared" si="50"/>
        <v/>
      </c>
      <c r="AI359" t="str">
        <f>IFERROR(IF($AH359="","",IF($AH359&gt;=$AA359*'Parametri Modello'!$B$68,"🟢 Opportunita'",IF($AH359&lt;=$AA359*'Parametri Modello'!$B$69,"🔴 Sovrapprezzo","🟡 Prezzo Corretto"))),"")</f>
        <v/>
      </c>
      <c r="AJ359" t="str">
        <f t="shared" si="51"/>
        <v/>
      </c>
      <c r="AK359">
        <f t="shared" si="52"/>
        <v>13</v>
      </c>
      <c r="AL359" t="str">
        <f t="shared" si="53"/>
        <v>D|Scommessa/Riserva|13</v>
      </c>
    </row>
    <row r="360" spans="1:38" ht="14.25" customHeight="1" x14ac:dyDescent="0.25">
      <c r="A360" s="18">
        <v>7540</v>
      </c>
      <c r="B360" s="18" t="s">
        <v>16</v>
      </c>
      <c r="C360" s="18" t="s">
        <v>499</v>
      </c>
      <c r="E360" s="23" t="str">
        <f>IF(COUNTIF('Info Strategia'!$D$2:$D$51,$C360)&gt;0,"SI","NO")</f>
        <v>NO</v>
      </c>
      <c r="F360" s="24">
        <f>IFERROR(ROUND(($G360+($H360-$G360)*'Info Strategia'!$B$6)*(1+IF($E360="SI",'Parametri Modello'!$B$7*'Info Strategia'!$B$6,0)),0),"")</f>
        <v>1</v>
      </c>
      <c r="G360" s="24">
        <f>IFERROR(ROUND(MAX(1,(IF($V360&lt;=INDEX('Parametri Modello'!$C$57:$C$60,MATCH($B360,'Parametri Modello'!$A$57:$A$60,0)),IF(INDEX('Parametri Modello'!$E$57:$E$60,MATCH($B360,'Parametri Modello'!$A$57:$A$60,0))=0,0,($O360/INDEX('Parametri Modello'!$E$57:$E$60,MATCH($B360,'Parametri Modello'!$A$57:$A$60,0)))*(INDEX('Parametri Modello'!$D$57:$D$60,MATCH($B360,'Parametri Modello'!$A$57:$A$60,0))*(INDEX('Parametri Modello'!$B$50:$B$53,MATCH($B360,'Parametri Modello'!$A$50:$A$53,0))*'Parametri Modello'!$B$44))),IF(INDEX('Parametri Modello'!$F$57:$F$60,MATCH($B360,'Parametri Modello'!$A$57:$A$60,0))=0,0,($O360/INDEX('Parametri Modello'!$F$57:$F$60,MATCH($B360,'Parametri Modello'!$A$57:$A$60,0)))*((1-INDEX('Parametri Modello'!$D$57:$D$60,MATCH($B360,'Parametri Modello'!$A$57:$A$60,0)))*(INDEX('Parametri Modello'!$B$50:$B$53,MATCH($B360,'Parametri Modello'!$A$50:$A$53,0))*'Parametri Modello'!$B$44))))*(1+IF(IF($B360="D",'Info Lega'!$B$25,IF($B360="C",'Info Lega'!$B$26,"No"))="Si",'Parametri Modello'!$B$5,0))*(1+MAX(-0.25,MIN(0.25,IF(OR($T360="",$I360="",$I360=0,INDEX('Parametri Modello'!$B$19:$B$22,MATCH($B360,'Parametri Modello'!$A$19:$A$22,0))="",INDEX('Parametri Modello'!$B$19:$B$22,MATCH($B360,'Parametri Modello'!$A$19:$A$22,0))=0),0,(($T360-INDEX('Parametri Modello'!$B$19:$B$22,MATCH($B360,'Parametri Modello'!$A$19:$A$22,0)))/INDEX('Parametri Modello'!$B$19:$B$22,MATCH($B360,'Parametri Modello'!$A$19:$A$22,0)))*'Parametri Modello'!$B$9))))*(1+IF('Parametri Modello'!$B$27="Si",MAX(-'Parametri Modello'!$B$28,MIN('Parametri Modello'!$B$28*1.5,IF(OR(INDEX('Parametri Modello'!$F$32:$F$35,MATCH($B360,'Parametri Modello'!$A$32:$A$35,0))="",INDEX('Parametri Modello'!$F$32:$F$35,MATCH($B360,'Parametri Modello'!$A$32:$A$35,0))=0),0,(1/INDEX('Parametri Modello'!$F$32:$F$35,MATCH($B360,'Parametri Modello'!$A$32:$A$35,0))-1)*'Parametri Modello'!$B$28))),0)))*(1-INDEX('Parametri Modello'!$B$12:$B$15,MATCH($B360,'Parametri Modello'!$A$12:$A$15,0)))),0),"")</f>
        <v>1</v>
      </c>
      <c r="H360" s="24">
        <f>IFERROR(ROUND((IF($V360&lt;=INDEX('Parametri Modello'!$C$57:$C$60,MATCH($B360,'Parametri Modello'!$A$57:$A$60,0)),IF(INDEX('Parametri Modello'!$E$57:$E$60,MATCH($B360,'Parametri Modello'!$A$57:$A$60,0))=0,0,($O360/INDEX('Parametri Modello'!$E$57:$E$60,MATCH($B360,'Parametri Modello'!$A$57:$A$60,0)))*(INDEX('Parametri Modello'!$D$57:$D$60,MATCH($B360,'Parametri Modello'!$A$57:$A$60,0))*(INDEX('Parametri Modello'!$B$50:$B$53,MATCH($B360,'Parametri Modello'!$A$50:$A$53,0))*'Parametri Modello'!$B$44))),IF(INDEX('Parametri Modello'!$F$57:$F$60,MATCH($B360,'Parametri Modello'!$A$57:$A$60,0))=0,0,($O360/INDEX('Parametri Modello'!$F$57:$F$60,MATCH($B360,'Parametri Modello'!$A$57:$A$60,0)))*((1-INDEX('Parametri Modello'!$D$57:$D$60,MATCH($B360,'Parametri Modello'!$A$57:$A$60,0)))*(INDEX('Parametri Modello'!$B$50:$B$53,MATCH($B360,'Parametri Modello'!$A$50:$A$53,0))*'Parametri Modello'!$B$44))))*(1+IF(IF($B360="D",'Info Lega'!$B$25,IF($B360="C",'Info Lega'!$B$26,"No"))="Si",'Parametri Modello'!$B$5,0))*(1+MAX(-0.25,MIN(0.25,IF(OR($T360="",$I360="",$I360=0,INDEX('Parametri Modello'!$B$19:$B$22,MATCH($B360,'Parametri Modello'!$A$19:$A$22,0))="",INDEX('Parametri Modello'!$B$19:$B$22,MATCH($B360,'Parametri Modello'!$A$19:$A$22,0))=0),0,(($T360-INDEX('Parametri Modello'!$B$19:$B$22,MATCH($B360,'Parametri Modello'!$A$19:$A$22,0)))/INDEX('Parametri Modello'!$B$19:$B$22,MATCH($B360,'Parametri Modello'!$A$19:$A$22,0)))*'Parametri Modello'!$B$9))))*(1+IF('Parametri Modello'!$B$27="Si",MAX(-'Parametri Modello'!$B$28,MIN('Parametri Modello'!$B$28*1.5,IF(OR(INDEX('Parametri Modello'!$F$32:$F$35,MATCH($B360,'Parametri Modello'!$A$32:$A$35,0))="",INDEX('Parametri Modello'!$F$32:$F$35,MATCH($B360,'Parametri Modello'!$A$32:$A$35,0))=0),0,(1/INDEX('Parametri Modello'!$F$32:$F$35,MATCH($B360,'Parametri Modello'!$A$32:$A$35,0))-1)*'Parametri Modello'!$B$28))),0)))*(1+INDEX('Parametri Modello'!$B$12:$B$15,MATCH($B360,'Parametri Modello'!$A$12:$A$15,0))),0),"")</f>
        <v>1</v>
      </c>
      <c r="I360" s="23" t="str">
        <f>IFERROR(INDEX('Input Statistiche 2025_26'!$F$3:$F$665,MATCH($A360,'Input Statistiche 2025_26'!$A$3:$A$665,0)),"")</f>
        <v/>
      </c>
      <c r="J360" s="23" t="str">
        <f t="shared" si="45"/>
        <v/>
      </c>
      <c r="K360" s="23" t="str">
        <f>IFERROR(INDEX('Input Statistiche 2025_26'!$I$3:$I$665,MATCH($A360,'Input Statistiche 2025_26'!$A$3:$A$665,0)),"")</f>
        <v/>
      </c>
      <c r="L360" s="23" t="str">
        <f>IFERROR(INDEX('Input Statistiche 2025_26'!$O$3:$O$665,MATCH($A360,'Input Statistiche 2025_26'!$A$3:$A$665,0)),"")</f>
        <v/>
      </c>
      <c r="M360" s="25"/>
      <c r="N360" s="24">
        <f>IFERROR(INDEX('Input Giocatori 2026_27'!$E$3:$E$493,MATCH($A360,'Input Giocatori 2026_27'!$A$3:$A$493,0)),"")</f>
        <v>3</v>
      </c>
      <c r="O360" s="24">
        <f>IFERROR(INDEX('Input Giocatori 2026_27'!$G$3:$G$493,MATCH($A360,'Input Giocatori 2026_27'!$A$3:$A$493,0)),"")</f>
        <v>7</v>
      </c>
      <c r="P360" s="23" t="str">
        <f>IFERROR(IF($O360="","",IF((1-(COUNTIFS($B$2:$B$492,$B360,$O$2:$O$492,"&gt;"&amp;$O360)+1-1)/COUNTIF($B$2:$B$492,$B360))&gt;='Parametri Modello'!$B$63,"Top",IF((1-(COUNTIFS($B$2:$B$492,$B360,$O$2:$O$492,"&gt;"&amp;$O360)+1-1)/COUNTIF($B$2:$B$492,$B360))&gt;='Parametri Modello'!$B$64,"Buono",IF((1-(COUNTIFS($B$2:$B$492,$B360,$O$2:$O$492,"&gt;"&amp;$O360)+1-1)/COUNTIF($B$2:$B$492,$B360))&gt;='Parametri Modello'!$B$65,"Nella Media","Scommessa/Riserva")))),"")</f>
        <v>Scommessa/Riserva</v>
      </c>
      <c r="Q360" s="26">
        <f>IF(AND($D360="",$N360&gt;1),SUMPRODUCT(($D$2:$D360="")*($N$2:$N360&gt;1)),"")</f>
        <v>358</v>
      </c>
      <c r="R360" s="26" t="str">
        <f>IF($D360='Info Lega'!$B$28,COUNTIFS($D$2:$D360,'Info Lega'!$B$28),"")</f>
        <v/>
      </c>
      <c r="S360" s="27" t="str">
        <f>IFERROR(INDEX('Input Statistiche 2025_26'!$G$3:$G$665,MATCH($A360,'Input Statistiche 2025_26'!$A$3:$A$665,0)),"")</f>
        <v/>
      </c>
      <c r="T360" s="27" t="str">
        <f>IFERROR(INDEX('Input Statistiche 2025_26'!$H$3:$H$665,MATCH($A360,'Input Statistiche 2025_26'!$A$3:$A$665,0)),"")</f>
        <v/>
      </c>
      <c r="U360" s="23" t="str">
        <f>IF(OR('La Mia Rosa'!$O$12="",$D360&lt;&gt;""),"",IF($F360&lt;='La Mia Rosa'!$O$12*'Parametri Modello'!$B$24,"OK",IF($F360&lt;='La Mia Rosa'!$O$12*'Parametri Modello'!$B$25,"Attenzione","Rischio Alto")))</f>
        <v>OK</v>
      </c>
      <c r="V360" s="23">
        <f t="shared" si="46"/>
        <v>125</v>
      </c>
      <c r="W360" s="18">
        <f>'Info Lega'!$B$4-SUMIFS($M$2:$M$492,$D$2:$D$492,'Info Lega'!$B$28)</f>
        <v>1000</v>
      </c>
      <c r="X360" s="18">
        <f>('Info Lega'!$B$5-COUNTIFS($D$2:$D$492,'Info Lega'!$B$28,$B$2:$B$492,"P"))+('Info Lega'!$B$6-COUNTIFS($D$2:$D$492,'Info Lega'!$B$28,$B$2:$B$492,"D"))+('Info Lega'!$B$7-COUNTIFS($D$2:$D$492,'Info Lega'!$B$28,$B$2:$B$492,"C"))+('Info Lega'!$B$8-COUNTIFS($D$2:$D$492,'Info Lega'!$B$28,$B$2:$B$492,"A"))</f>
        <v>25</v>
      </c>
      <c r="Y360" s="18">
        <f>X360*'Parametri Modello'!$B$30</f>
        <v>25</v>
      </c>
      <c r="Z360" s="18">
        <f t="shared" si="47"/>
        <v>975</v>
      </c>
      <c r="AA360" s="18">
        <f t="shared" si="48"/>
        <v>1</v>
      </c>
      <c r="AB360" s="18"/>
      <c r="AC360" s="18" t="str">
        <f>IF($AB360="","",IF($AB360&gt;$AA360,"PASS",IF($AB360&lt;=$AA360*(1-'Parametri Modello'!$B$68),"BID","ATTENZIONE")))</f>
        <v/>
      </c>
      <c r="AD360" s="28" t="str">
        <f t="shared" si="49"/>
        <v/>
      </c>
      <c r="AE360" s="5" t="str">
        <f>IFERROR(INDEX('Stato Asta'!$G$9:$G$12,MATCH($B360,'Stato Asta'!$A$9:$A$12,0)),"")</f>
        <v>🔴 Non aspettare</v>
      </c>
      <c r="AF360" t="str">
        <f>IFERROR(IF($V360&lt;=INDEX('Parametri Modello'!$C$57:$C$60,MATCH($B360,'Parametri Modello'!$A$57:$A$60,0)),"Titolare","Riserva"),"")</f>
        <v>Riserva</v>
      </c>
      <c r="AG360" t="str">
        <f>IFERROR(INDEX('Pressione Competitiva'!$F$3:$F$6,MATCH($B360,'Pressione Competitiva'!$B$3:$B$6,0)),"")</f>
        <v>🔴 Molto Alta</v>
      </c>
      <c r="AH360" t="str">
        <f t="shared" si="50"/>
        <v/>
      </c>
      <c r="AI360" t="str">
        <f>IFERROR(IF($AH360="","",IF($AH360&gt;=$AA360*'Parametri Modello'!$B$68,"🟢 Opportunita'",IF($AH360&lt;=$AA360*'Parametri Modello'!$B$69,"🔴 Sovrapprezzo","🟡 Prezzo Corretto"))),"")</f>
        <v/>
      </c>
      <c r="AJ360" t="str">
        <f t="shared" si="51"/>
        <v/>
      </c>
      <c r="AK360">
        <f t="shared" si="52"/>
        <v>13</v>
      </c>
      <c r="AL360" t="str">
        <f t="shared" si="53"/>
        <v>D|Scommessa/Riserva|13</v>
      </c>
    </row>
    <row r="361" spans="1:38" ht="14.25" customHeight="1" x14ac:dyDescent="0.25">
      <c r="A361" s="18">
        <v>6892</v>
      </c>
      <c r="B361" s="18" t="s">
        <v>16</v>
      </c>
      <c r="C361" s="18" t="s">
        <v>500</v>
      </c>
      <c r="E361" s="23" t="str">
        <f>IF(COUNTIF('Info Strategia'!$D$2:$D$51,$C361)&gt;0,"SI","NO")</f>
        <v>NO</v>
      </c>
      <c r="F361" s="24">
        <f>IFERROR(ROUND(($G361+($H361-$G361)*'Info Strategia'!$B$6)*(1+IF($E361="SI",'Parametri Modello'!$B$7*'Info Strategia'!$B$6,0)),0),"")</f>
        <v>1</v>
      </c>
      <c r="G361" s="24">
        <f>IFERROR(ROUND(MAX(1,(IF($V361&lt;=INDEX('Parametri Modello'!$C$57:$C$60,MATCH($B361,'Parametri Modello'!$A$57:$A$60,0)),IF(INDEX('Parametri Modello'!$E$57:$E$60,MATCH($B361,'Parametri Modello'!$A$57:$A$60,0))=0,0,($O361/INDEX('Parametri Modello'!$E$57:$E$60,MATCH($B361,'Parametri Modello'!$A$57:$A$60,0)))*(INDEX('Parametri Modello'!$D$57:$D$60,MATCH($B361,'Parametri Modello'!$A$57:$A$60,0))*(INDEX('Parametri Modello'!$B$50:$B$53,MATCH($B361,'Parametri Modello'!$A$50:$A$53,0))*'Parametri Modello'!$B$44))),IF(INDEX('Parametri Modello'!$F$57:$F$60,MATCH($B361,'Parametri Modello'!$A$57:$A$60,0))=0,0,($O361/INDEX('Parametri Modello'!$F$57:$F$60,MATCH($B361,'Parametri Modello'!$A$57:$A$60,0)))*((1-INDEX('Parametri Modello'!$D$57:$D$60,MATCH($B361,'Parametri Modello'!$A$57:$A$60,0)))*(INDEX('Parametri Modello'!$B$50:$B$53,MATCH($B361,'Parametri Modello'!$A$50:$A$53,0))*'Parametri Modello'!$B$44))))*(1+IF(IF($B361="D",'Info Lega'!$B$25,IF($B361="C",'Info Lega'!$B$26,"No"))="Si",'Parametri Modello'!$B$5,0))*(1+MAX(-0.25,MIN(0.25,IF(OR($T361="",$I361="",$I361=0,INDEX('Parametri Modello'!$B$19:$B$22,MATCH($B361,'Parametri Modello'!$A$19:$A$22,0))="",INDEX('Parametri Modello'!$B$19:$B$22,MATCH($B361,'Parametri Modello'!$A$19:$A$22,0))=0),0,(($T361-INDEX('Parametri Modello'!$B$19:$B$22,MATCH($B361,'Parametri Modello'!$A$19:$A$22,0)))/INDEX('Parametri Modello'!$B$19:$B$22,MATCH($B361,'Parametri Modello'!$A$19:$A$22,0)))*'Parametri Modello'!$B$9))))*(1+IF('Parametri Modello'!$B$27="Si",MAX(-'Parametri Modello'!$B$28,MIN('Parametri Modello'!$B$28*1.5,IF(OR(INDEX('Parametri Modello'!$F$32:$F$35,MATCH($B361,'Parametri Modello'!$A$32:$A$35,0))="",INDEX('Parametri Modello'!$F$32:$F$35,MATCH($B361,'Parametri Modello'!$A$32:$A$35,0))=0),0,(1/INDEX('Parametri Modello'!$F$32:$F$35,MATCH($B361,'Parametri Modello'!$A$32:$A$35,0))-1)*'Parametri Modello'!$B$28))),0)))*(1-INDEX('Parametri Modello'!$B$12:$B$15,MATCH($B361,'Parametri Modello'!$A$12:$A$15,0)))),0),"")</f>
        <v>1</v>
      </c>
      <c r="H361" s="24">
        <f>IFERROR(ROUND((IF($V361&lt;=INDEX('Parametri Modello'!$C$57:$C$60,MATCH($B361,'Parametri Modello'!$A$57:$A$60,0)),IF(INDEX('Parametri Modello'!$E$57:$E$60,MATCH($B361,'Parametri Modello'!$A$57:$A$60,0))=0,0,($O361/INDEX('Parametri Modello'!$E$57:$E$60,MATCH($B361,'Parametri Modello'!$A$57:$A$60,0)))*(INDEX('Parametri Modello'!$D$57:$D$60,MATCH($B361,'Parametri Modello'!$A$57:$A$60,0))*(INDEX('Parametri Modello'!$B$50:$B$53,MATCH($B361,'Parametri Modello'!$A$50:$A$53,0))*'Parametri Modello'!$B$44))),IF(INDEX('Parametri Modello'!$F$57:$F$60,MATCH($B361,'Parametri Modello'!$A$57:$A$60,0))=0,0,($O361/INDEX('Parametri Modello'!$F$57:$F$60,MATCH($B361,'Parametri Modello'!$A$57:$A$60,0)))*((1-INDEX('Parametri Modello'!$D$57:$D$60,MATCH($B361,'Parametri Modello'!$A$57:$A$60,0)))*(INDEX('Parametri Modello'!$B$50:$B$53,MATCH($B361,'Parametri Modello'!$A$50:$A$53,0))*'Parametri Modello'!$B$44))))*(1+IF(IF($B361="D",'Info Lega'!$B$25,IF($B361="C",'Info Lega'!$B$26,"No"))="Si",'Parametri Modello'!$B$5,0))*(1+MAX(-0.25,MIN(0.25,IF(OR($T361="",$I361="",$I361=0,INDEX('Parametri Modello'!$B$19:$B$22,MATCH($B361,'Parametri Modello'!$A$19:$A$22,0))="",INDEX('Parametri Modello'!$B$19:$B$22,MATCH($B361,'Parametri Modello'!$A$19:$A$22,0))=0),0,(($T361-INDEX('Parametri Modello'!$B$19:$B$22,MATCH($B361,'Parametri Modello'!$A$19:$A$22,0)))/INDEX('Parametri Modello'!$B$19:$B$22,MATCH($B361,'Parametri Modello'!$A$19:$A$22,0)))*'Parametri Modello'!$B$9))))*(1+IF('Parametri Modello'!$B$27="Si",MAX(-'Parametri Modello'!$B$28,MIN('Parametri Modello'!$B$28*1.5,IF(OR(INDEX('Parametri Modello'!$F$32:$F$35,MATCH($B361,'Parametri Modello'!$A$32:$A$35,0))="",INDEX('Parametri Modello'!$F$32:$F$35,MATCH($B361,'Parametri Modello'!$A$32:$A$35,0))=0),0,(1/INDEX('Parametri Modello'!$F$32:$F$35,MATCH($B361,'Parametri Modello'!$A$32:$A$35,0))-1)*'Parametri Modello'!$B$28))),0)))*(1+INDEX('Parametri Modello'!$B$12:$B$15,MATCH($B361,'Parametri Modello'!$A$12:$A$15,0))),0),"")</f>
        <v>1</v>
      </c>
      <c r="I361" s="23" t="str">
        <f>IFERROR(INDEX('Input Statistiche 2025_26'!$F$3:$F$665,MATCH($A361,'Input Statistiche 2025_26'!$A$3:$A$665,0)),"")</f>
        <v/>
      </c>
      <c r="J361" s="23" t="str">
        <f t="shared" si="45"/>
        <v/>
      </c>
      <c r="K361" s="23" t="str">
        <f>IFERROR(INDEX('Input Statistiche 2025_26'!$I$3:$I$665,MATCH($A361,'Input Statistiche 2025_26'!$A$3:$A$665,0)),"")</f>
        <v/>
      </c>
      <c r="L361" s="23" t="str">
        <f>IFERROR(INDEX('Input Statistiche 2025_26'!$O$3:$O$665,MATCH($A361,'Input Statistiche 2025_26'!$A$3:$A$665,0)),"")</f>
        <v/>
      </c>
      <c r="M361" s="25"/>
      <c r="N361" s="24">
        <f>IFERROR(INDEX('Input Giocatori 2026_27'!$E$3:$E$493,MATCH($A361,'Input Giocatori 2026_27'!$A$3:$A$493,0)),"")</f>
        <v>3</v>
      </c>
      <c r="O361" s="24">
        <f>IFERROR(INDEX('Input Giocatori 2026_27'!$G$3:$G$493,MATCH($A361,'Input Giocatori 2026_27'!$A$3:$A$493,0)),"")</f>
        <v>7</v>
      </c>
      <c r="P361" s="23" t="str">
        <f>IFERROR(IF($O361="","",IF((1-(COUNTIFS($B$2:$B$492,$B361,$O$2:$O$492,"&gt;"&amp;$O361)+1-1)/COUNTIF($B$2:$B$492,$B361))&gt;='Parametri Modello'!$B$63,"Top",IF((1-(COUNTIFS($B$2:$B$492,$B361,$O$2:$O$492,"&gt;"&amp;$O361)+1-1)/COUNTIF($B$2:$B$492,$B361))&gt;='Parametri Modello'!$B$64,"Buono",IF((1-(COUNTIFS($B$2:$B$492,$B361,$O$2:$O$492,"&gt;"&amp;$O361)+1-1)/COUNTIF($B$2:$B$492,$B361))&gt;='Parametri Modello'!$B$65,"Nella Media","Scommessa/Riserva")))),"")</f>
        <v>Scommessa/Riserva</v>
      </c>
      <c r="Q361" s="26">
        <f>IF(AND($D361="",$N361&gt;1),SUMPRODUCT(($D$2:$D361="")*($N$2:$N361&gt;1)),"")</f>
        <v>359</v>
      </c>
      <c r="R361" s="26" t="str">
        <f>IF($D361='Info Lega'!$B$28,COUNTIFS($D$2:$D361,'Info Lega'!$B$28),"")</f>
        <v/>
      </c>
      <c r="S361" s="27" t="str">
        <f>IFERROR(INDEX('Input Statistiche 2025_26'!$G$3:$G$665,MATCH($A361,'Input Statistiche 2025_26'!$A$3:$A$665,0)),"")</f>
        <v/>
      </c>
      <c r="T361" s="27" t="str">
        <f>IFERROR(INDEX('Input Statistiche 2025_26'!$H$3:$H$665,MATCH($A361,'Input Statistiche 2025_26'!$A$3:$A$665,0)),"")</f>
        <v/>
      </c>
      <c r="U361" s="23" t="str">
        <f>IF(OR('La Mia Rosa'!$O$12="",$D361&lt;&gt;""),"",IF($F361&lt;='La Mia Rosa'!$O$12*'Parametri Modello'!$B$24,"OK",IF($F361&lt;='La Mia Rosa'!$O$12*'Parametri Modello'!$B$25,"Attenzione","Rischio Alto")))</f>
        <v>OK</v>
      </c>
      <c r="V361" s="23">
        <f t="shared" si="46"/>
        <v>125</v>
      </c>
      <c r="W361" s="18">
        <f>'Info Lega'!$B$4-SUMIFS($M$2:$M$492,$D$2:$D$492,'Info Lega'!$B$28)</f>
        <v>1000</v>
      </c>
      <c r="X361" s="18">
        <f>('Info Lega'!$B$5-COUNTIFS($D$2:$D$492,'Info Lega'!$B$28,$B$2:$B$492,"P"))+('Info Lega'!$B$6-COUNTIFS($D$2:$D$492,'Info Lega'!$B$28,$B$2:$B$492,"D"))+('Info Lega'!$B$7-COUNTIFS($D$2:$D$492,'Info Lega'!$B$28,$B$2:$B$492,"C"))+('Info Lega'!$B$8-COUNTIFS($D$2:$D$492,'Info Lega'!$B$28,$B$2:$B$492,"A"))</f>
        <v>25</v>
      </c>
      <c r="Y361" s="18">
        <f>X361*'Parametri Modello'!$B$30</f>
        <v>25</v>
      </c>
      <c r="Z361" s="18">
        <f t="shared" si="47"/>
        <v>975</v>
      </c>
      <c r="AA361" s="18">
        <f t="shared" si="48"/>
        <v>1</v>
      </c>
      <c r="AB361" s="18"/>
      <c r="AC361" s="18" t="str">
        <f>IF($AB361="","",IF($AB361&gt;$AA361,"PASS",IF($AB361&lt;=$AA361*(1-'Parametri Modello'!$B$68),"BID","ATTENZIONE")))</f>
        <v/>
      </c>
      <c r="AD361" s="28" t="str">
        <f t="shared" si="49"/>
        <v/>
      </c>
      <c r="AE361" s="5" t="str">
        <f>IFERROR(INDEX('Stato Asta'!$G$9:$G$12,MATCH($B361,'Stato Asta'!$A$9:$A$12,0)),"")</f>
        <v>🔴 Non aspettare</v>
      </c>
      <c r="AF361" t="str">
        <f>IFERROR(IF($V361&lt;=INDEX('Parametri Modello'!$C$57:$C$60,MATCH($B361,'Parametri Modello'!$A$57:$A$60,0)),"Titolare","Riserva"),"")</f>
        <v>Riserva</v>
      </c>
      <c r="AG361" t="str">
        <f>IFERROR(INDEX('Pressione Competitiva'!$F$3:$F$6,MATCH($B361,'Pressione Competitiva'!$B$3:$B$6,0)),"")</f>
        <v>🔴 Molto Alta</v>
      </c>
      <c r="AH361" t="str">
        <f t="shared" si="50"/>
        <v/>
      </c>
      <c r="AI361" t="str">
        <f>IFERROR(IF($AH361="","",IF($AH361&gt;=$AA361*'Parametri Modello'!$B$68,"🟢 Opportunita'",IF($AH361&lt;=$AA361*'Parametri Modello'!$B$69,"🔴 Sovrapprezzo","🟡 Prezzo Corretto"))),"")</f>
        <v/>
      </c>
      <c r="AJ361" t="str">
        <f t="shared" si="51"/>
        <v/>
      </c>
      <c r="AK361">
        <f t="shared" si="52"/>
        <v>13</v>
      </c>
      <c r="AL361" t="str">
        <f t="shared" si="53"/>
        <v>D|Scommessa/Riserva|13</v>
      </c>
    </row>
    <row r="362" spans="1:38" ht="14.25" customHeight="1" x14ac:dyDescent="0.25">
      <c r="A362" s="18">
        <v>6673</v>
      </c>
      <c r="B362" s="18" t="s">
        <v>16</v>
      </c>
      <c r="C362" s="18" t="s">
        <v>501</v>
      </c>
      <c r="E362" s="23" t="str">
        <f>IF(COUNTIF('Info Strategia'!$D$2:$D$51,$C362)&gt;0,"SI","NO")</f>
        <v>NO</v>
      </c>
      <c r="F362" s="24">
        <f>IFERROR(ROUND(($G362+($H362-$G362)*'Info Strategia'!$B$6)*(1+IF($E362="SI",'Parametri Modello'!$B$7*'Info Strategia'!$B$6,0)),0),"")</f>
        <v>1</v>
      </c>
      <c r="G362" s="24">
        <f>IFERROR(ROUND(MAX(1,(IF($V362&lt;=INDEX('Parametri Modello'!$C$57:$C$60,MATCH($B362,'Parametri Modello'!$A$57:$A$60,0)),IF(INDEX('Parametri Modello'!$E$57:$E$60,MATCH($B362,'Parametri Modello'!$A$57:$A$60,0))=0,0,($O362/INDEX('Parametri Modello'!$E$57:$E$60,MATCH($B362,'Parametri Modello'!$A$57:$A$60,0)))*(INDEX('Parametri Modello'!$D$57:$D$60,MATCH($B362,'Parametri Modello'!$A$57:$A$60,0))*(INDEX('Parametri Modello'!$B$50:$B$53,MATCH($B362,'Parametri Modello'!$A$50:$A$53,0))*'Parametri Modello'!$B$44))),IF(INDEX('Parametri Modello'!$F$57:$F$60,MATCH($B362,'Parametri Modello'!$A$57:$A$60,0))=0,0,($O362/INDEX('Parametri Modello'!$F$57:$F$60,MATCH($B362,'Parametri Modello'!$A$57:$A$60,0)))*((1-INDEX('Parametri Modello'!$D$57:$D$60,MATCH($B362,'Parametri Modello'!$A$57:$A$60,0)))*(INDEX('Parametri Modello'!$B$50:$B$53,MATCH($B362,'Parametri Modello'!$A$50:$A$53,0))*'Parametri Modello'!$B$44))))*(1+IF(IF($B362="D",'Info Lega'!$B$25,IF($B362="C",'Info Lega'!$B$26,"No"))="Si",'Parametri Modello'!$B$5,0))*(1+MAX(-0.25,MIN(0.25,IF(OR($T362="",$I362="",$I362=0,INDEX('Parametri Modello'!$B$19:$B$22,MATCH($B362,'Parametri Modello'!$A$19:$A$22,0))="",INDEX('Parametri Modello'!$B$19:$B$22,MATCH($B362,'Parametri Modello'!$A$19:$A$22,0))=0),0,(($T362-INDEX('Parametri Modello'!$B$19:$B$22,MATCH($B362,'Parametri Modello'!$A$19:$A$22,0)))/INDEX('Parametri Modello'!$B$19:$B$22,MATCH($B362,'Parametri Modello'!$A$19:$A$22,0)))*'Parametri Modello'!$B$9))))*(1+IF('Parametri Modello'!$B$27="Si",MAX(-'Parametri Modello'!$B$28,MIN('Parametri Modello'!$B$28*1.5,IF(OR(INDEX('Parametri Modello'!$F$32:$F$35,MATCH($B362,'Parametri Modello'!$A$32:$A$35,0))="",INDEX('Parametri Modello'!$F$32:$F$35,MATCH($B362,'Parametri Modello'!$A$32:$A$35,0))=0),0,(1/INDEX('Parametri Modello'!$F$32:$F$35,MATCH($B362,'Parametri Modello'!$A$32:$A$35,0))-1)*'Parametri Modello'!$B$28))),0)))*(1-INDEX('Parametri Modello'!$B$12:$B$15,MATCH($B362,'Parametri Modello'!$A$12:$A$15,0)))),0),"")</f>
        <v>1</v>
      </c>
      <c r="H362" s="24">
        <f>IFERROR(ROUND((IF($V362&lt;=INDEX('Parametri Modello'!$C$57:$C$60,MATCH($B362,'Parametri Modello'!$A$57:$A$60,0)),IF(INDEX('Parametri Modello'!$E$57:$E$60,MATCH($B362,'Parametri Modello'!$A$57:$A$60,0))=0,0,($O362/INDEX('Parametri Modello'!$E$57:$E$60,MATCH($B362,'Parametri Modello'!$A$57:$A$60,0)))*(INDEX('Parametri Modello'!$D$57:$D$60,MATCH($B362,'Parametri Modello'!$A$57:$A$60,0))*(INDEX('Parametri Modello'!$B$50:$B$53,MATCH($B362,'Parametri Modello'!$A$50:$A$53,0))*'Parametri Modello'!$B$44))),IF(INDEX('Parametri Modello'!$F$57:$F$60,MATCH($B362,'Parametri Modello'!$A$57:$A$60,0))=0,0,($O362/INDEX('Parametri Modello'!$F$57:$F$60,MATCH($B362,'Parametri Modello'!$A$57:$A$60,0)))*((1-INDEX('Parametri Modello'!$D$57:$D$60,MATCH($B362,'Parametri Modello'!$A$57:$A$60,0)))*(INDEX('Parametri Modello'!$B$50:$B$53,MATCH($B362,'Parametri Modello'!$A$50:$A$53,0))*'Parametri Modello'!$B$44))))*(1+IF(IF($B362="D",'Info Lega'!$B$25,IF($B362="C",'Info Lega'!$B$26,"No"))="Si",'Parametri Modello'!$B$5,0))*(1+MAX(-0.25,MIN(0.25,IF(OR($T362="",$I362="",$I362=0,INDEX('Parametri Modello'!$B$19:$B$22,MATCH($B362,'Parametri Modello'!$A$19:$A$22,0))="",INDEX('Parametri Modello'!$B$19:$B$22,MATCH($B362,'Parametri Modello'!$A$19:$A$22,0))=0),0,(($T362-INDEX('Parametri Modello'!$B$19:$B$22,MATCH($B362,'Parametri Modello'!$A$19:$A$22,0)))/INDEX('Parametri Modello'!$B$19:$B$22,MATCH($B362,'Parametri Modello'!$A$19:$A$22,0)))*'Parametri Modello'!$B$9))))*(1+IF('Parametri Modello'!$B$27="Si",MAX(-'Parametri Modello'!$B$28,MIN('Parametri Modello'!$B$28*1.5,IF(OR(INDEX('Parametri Modello'!$F$32:$F$35,MATCH($B362,'Parametri Modello'!$A$32:$A$35,0))="",INDEX('Parametri Modello'!$F$32:$F$35,MATCH($B362,'Parametri Modello'!$A$32:$A$35,0))=0),0,(1/INDEX('Parametri Modello'!$F$32:$F$35,MATCH($B362,'Parametri Modello'!$A$32:$A$35,0))-1)*'Parametri Modello'!$B$28))),0)))*(1+INDEX('Parametri Modello'!$B$12:$B$15,MATCH($B362,'Parametri Modello'!$A$12:$A$15,0))),0),"")</f>
        <v>1</v>
      </c>
      <c r="I362" s="23" t="str">
        <f>IFERROR(INDEX('Input Statistiche 2025_26'!$F$3:$F$665,MATCH($A362,'Input Statistiche 2025_26'!$A$3:$A$665,0)),"")</f>
        <v/>
      </c>
      <c r="J362" s="23" t="str">
        <f t="shared" si="45"/>
        <v/>
      </c>
      <c r="K362" s="23" t="str">
        <f>IFERROR(INDEX('Input Statistiche 2025_26'!$I$3:$I$665,MATCH($A362,'Input Statistiche 2025_26'!$A$3:$A$665,0)),"")</f>
        <v/>
      </c>
      <c r="L362" s="23" t="str">
        <f>IFERROR(INDEX('Input Statistiche 2025_26'!$O$3:$O$665,MATCH($A362,'Input Statistiche 2025_26'!$A$3:$A$665,0)),"")</f>
        <v/>
      </c>
      <c r="M362" s="25"/>
      <c r="N362" s="24">
        <f>IFERROR(INDEX('Input Giocatori 2026_27'!$E$3:$E$493,MATCH($A362,'Input Giocatori 2026_27'!$A$3:$A$493,0)),"")</f>
        <v>3</v>
      </c>
      <c r="O362" s="24">
        <f>IFERROR(INDEX('Input Giocatori 2026_27'!$G$3:$G$493,MATCH($A362,'Input Giocatori 2026_27'!$A$3:$A$493,0)),"")</f>
        <v>7</v>
      </c>
      <c r="P362" s="23" t="str">
        <f>IFERROR(IF($O362="","",IF((1-(COUNTIFS($B$2:$B$492,$B362,$O$2:$O$492,"&gt;"&amp;$O362)+1-1)/COUNTIF($B$2:$B$492,$B362))&gt;='Parametri Modello'!$B$63,"Top",IF((1-(COUNTIFS($B$2:$B$492,$B362,$O$2:$O$492,"&gt;"&amp;$O362)+1-1)/COUNTIF($B$2:$B$492,$B362))&gt;='Parametri Modello'!$B$64,"Buono",IF((1-(COUNTIFS($B$2:$B$492,$B362,$O$2:$O$492,"&gt;"&amp;$O362)+1-1)/COUNTIF($B$2:$B$492,$B362))&gt;='Parametri Modello'!$B$65,"Nella Media","Scommessa/Riserva")))),"")</f>
        <v>Scommessa/Riserva</v>
      </c>
      <c r="Q362" s="26">
        <f>IF(AND($D362="",$N362&gt;1),SUMPRODUCT(($D$2:$D362="")*($N$2:$N362&gt;1)),"")</f>
        <v>360</v>
      </c>
      <c r="R362" s="26" t="str">
        <f>IF($D362='Info Lega'!$B$28,COUNTIFS($D$2:$D362,'Info Lega'!$B$28),"")</f>
        <v/>
      </c>
      <c r="S362" s="27" t="str">
        <f>IFERROR(INDEX('Input Statistiche 2025_26'!$G$3:$G$665,MATCH($A362,'Input Statistiche 2025_26'!$A$3:$A$665,0)),"")</f>
        <v/>
      </c>
      <c r="T362" s="27" t="str">
        <f>IFERROR(INDEX('Input Statistiche 2025_26'!$H$3:$H$665,MATCH($A362,'Input Statistiche 2025_26'!$A$3:$A$665,0)),"")</f>
        <v/>
      </c>
      <c r="U362" s="23" t="str">
        <f>IF(OR('La Mia Rosa'!$O$12="",$D362&lt;&gt;""),"",IF($F362&lt;='La Mia Rosa'!$O$12*'Parametri Modello'!$B$24,"OK",IF($F362&lt;='La Mia Rosa'!$O$12*'Parametri Modello'!$B$25,"Attenzione","Rischio Alto")))</f>
        <v>OK</v>
      </c>
      <c r="V362" s="23">
        <f t="shared" si="46"/>
        <v>125</v>
      </c>
      <c r="W362" s="18">
        <f>'Info Lega'!$B$4-SUMIFS($M$2:$M$492,$D$2:$D$492,'Info Lega'!$B$28)</f>
        <v>1000</v>
      </c>
      <c r="X362" s="18">
        <f>('Info Lega'!$B$5-COUNTIFS($D$2:$D$492,'Info Lega'!$B$28,$B$2:$B$492,"P"))+('Info Lega'!$B$6-COUNTIFS($D$2:$D$492,'Info Lega'!$B$28,$B$2:$B$492,"D"))+('Info Lega'!$B$7-COUNTIFS($D$2:$D$492,'Info Lega'!$B$28,$B$2:$B$492,"C"))+('Info Lega'!$B$8-COUNTIFS($D$2:$D$492,'Info Lega'!$B$28,$B$2:$B$492,"A"))</f>
        <v>25</v>
      </c>
      <c r="Y362" s="18">
        <f>X362*'Parametri Modello'!$B$30</f>
        <v>25</v>
      </c>
      <c r="Z362" s="18">
        <f t="shared" si="47"/>
        <v>975</v>
      </c>
      <c r="AA362" s="18">
        <f t="shared" si="48"/>
        <v>1</v>
      </c>
      <c r="AB362" s="18"/>
      <c r="AC362" s="18" t="str">
        <f>IF($AB362="","",IF($AB362&gt;$AA362,"PASS",IF($AB362&lt;=$AA362*(1-'Parametri Modello'!$B$68),"BID","ATTENZIONE")))</f>
        <v/>
      </c>
      <c r="AD362" s="28" t="str">
        <f t="shared" si="49"/>
        <v/>
      </c>
      <c r="AE362" s="5" t="str">
        <f>IFERROR(INDEX('Stato Asta'!$G$9:$G$12,MATCH($B362,'Stato Asta'!$A$9:$A$12,0)),"")</f>
        <v>🔴 Non aspettare</v>
      </c>
      <c r="AF362" t="str">
        <f>IFERROR(IF($V362&lt;=INDEX('Parametri Modello'!$C$57:$C$60,MATCH($B362,'Parametri Modello'!$A$57:$A$60,0)),"Titolare","Riserva"),"")</f>
        <v>Riserva</v>
      </c>
      <c r="AG362" t="str">
        <f>IFERROR(INDEX('Pressione Competitiva'!$F$3:$F$6,MATCH($B362,'Pressione Competitiva'!$B$3:$B$6,0)),"")</f>
        <v>🔴 Molto Alta</v>
      </c>
      <c r="AH362" t="str">
        <f t="shared" si="50"/>
        <v/>
      </c>
      <c r="AI362" t="str">
        <f>IFERROR(IF($AH362="","",IF($AH362&gt;=$AA362*'Parametri Modello'!$B$68,"🟢 Opportunita'",IF($AH362&lt;=$AA362*'Parametri Modello'!$B$69,"🔴 Sovrapprezzo","🟡 Prezzo Corretto"))),"")</f>
        <v/>
      </c>
      <c r="AJ362" t="str">
        <f t="shared" si="51"/>
        <v/>
      </c>
      <c r="AK362">
        <f t="shared" si="52"/>
        <v>13</v>
      </c>
      <c r="AL362" t="str">
        <f t="shared" si="53"/>
        <v>D|Scommessa/Riserva|13</v>
      </c>
    </row>
    <row r="363" spans="1:38" ht="14.25" customHeight="1" x14ac:dyDescent="0.25">
      <c r="A363" s="18">
        <v>6821</v>
      </c>
      <c r="B363" s="18" t="s">
        <v>16</v>
      </c>
      <c r="C363" s="18" t="s">
        <v>502</v>
      </c>
      <c r="E363" s="23" t="str">
        <f>IF(COUNTIF('Info Strategia'!$D$2:$D$51,$C363)&gt;0,"SI","NO")</f>
        <v>NO</v>
      </c>
      <c r="F363" s="24">
        <f>IFERROR(ROUND(($G363+($H363-$G363)*'Info Strategia'!$B$6)*(1+IF($E363="SI",'Parametri Modello'!$B$7*'Info Strategia'!$B$6,0)),0),"")</f>
        <v>1</v>
      </c>
      <c r="G363" s="24">
        <f>IFERROR(ROUND(MAX(1,(IF($V363&lt;=INDEX('Parametri Modello'!$C$57:$C$60,MATCH($B363,'Parametri Modello'!$A$57:$A$60,0)),IF(INDEX('Parametri Modello'!$E$57:$E$60,MATCH($B363,'Parametri Modello'!$A$57:$A$60,0))=0,0,($O363/INDEX('Parametri Modello'!$E$57:$E$60,MATCH($B363,'Parametri Modello'!$A$57:$A$60,0)))*(INDEX('Parametri Modello'!$D$57:$D$60,MATCH($B363,'Parametri Modello'!$A$57:$A$60,0))*(INDEX('Parametri Modello'!$B$50:$B$53,MATCH($B363,'Parametri Modello'!$A$50:$A$53,0))*'Parametri Modello'!$B$44))),IF(INDEX('Parametri Modello'!$F$57:$F$60,MATCH($B363,'Parametri Modello'!$A$57:$A$60,0))=0,0,($O363/INDEX('Parametri Modello'!$F$57:$F$60,MATCH($B363,'Parametri Modello'!$A$57:$A$60,0)))*((1-INDEX('Parametri Modello'!$D$57:$D$60,MATCH($B363,'Parametri Modello'!$A$57:$A$60,0)))*(INDEX('Parametri Modello'!$B$50:$B$53,MATCH($B363,'Parametri Modello'!$A$50:$A$53,0))*'Parametri Modello'!$B$44))))*(1+IF(IF($B363="D",'Info Lega'!$B$25,IF($B363="C",'Info Lega'!$B$26,"No"))="Si",'Parametri Modello'!$B$5,0))*(1+MAX(-0.25,MIN(0.25,IF(OR($T363="",$I363="",$I363=0,INDEX('Parametri Modello'!$B$19:$B$22,MATCH($B363,'Parametri Modello'!$A$19:$A$22,0))="",INDEX('Parametri Modello'!$B$19:$B$22,MATCH($B363,'Parametri Modello'!$A$19:$A$22,0))=0),0,(($T363-INDEX('Parametri Modello'!$B$19:$B$22,MATCH($B363,'Parametri Modello'!$A$19:$A$22,0)))/INDEX('Parametri Modello'!$B$19:$B$22,MATCH($B363,'Parametri Modello'!$A$19:$A$22,0)))*'Parametri Modello'!$B$9))))*(1+IF('Parametri Modello'!$B$27="Si",MAX(-'Parametri Modello'!$B$28,MIN('Parametri Modello'!$B$28*1.5,IF(OR(INDEX('Parametri Modello'!$F$32:$F$35,MATCH($B363,'Parametri Modello'!$A$32:$A$35,0))="",INDEX('Parametri Modello'!$F$32:$F$35,MATCH($B363,'Parametri Modello'!$A$32:$A$35,0))=0),0,(1/INDEX('Parametri Modello'!$F$32:$F$35,MATCH($B363,'Parametri Modello'!$A$32:$A$35,0))-1)*'Parametri Modello'!$B$28))),0)))*(1-INDEX('Parametri Modello'!$B$12:$B$15,MATCH($B363,'Parametri Modello'!$A$12:$A$15,0)))),0),"")</f>
        <v>1</v>
      </c>
      <c r="H363" s="24">
        <f>IFERROR(ROUND((IF($V363&lt;=INDEX('Parametri Modello'!$C$57:$C$60,MATCH($B363,'Parametri Modello'!$A$57:$A$60,0)),IF(INDEX('Parametri Modello'!$E$57:$E$60,MATCH($B363,'Parametri Modello'!$A$57:$A$60,0))=0,0,($O363/INDEX('Parametri Modello'!$E$57:$E$60,MATCH($B363,'Parametri Modello'!$A$57:$A$60,0)))*(INDEX('Parametri Modello'!$D$57:$D$60,MATCH($B363,'Parametri Modello'!$A$57:$A$60,0))*(INDEX('Parametri Modello'!$B$50:$B$53,MATCH($B363,'Parametri Modello'!$A$50:$A$53,0))*'Parametri Modello'!$B$44))),IF(INDEX('Parametri Modello'!$F$57:$F$60,MATCH($B363,'Parametri Modello'!$A$57:$A$60,0))=0,0,($O363/INDEX('Parametri Modello'!$F$57:$F$60,MATCH($B363,'Parametri Modello'!$A$57:$A$60,0)))*((1-INDEX('Parametri Modello'!$D$57:$D$60,MATCH($B363,'Parametri Modello'!$A$57:$A$60,0)))*(INDEX('Parametri Modello'!$B$50:$B$53,MATCH($B363,'Parametri Modello'!$A$50:$A$53,0))*'Parametri Modello'!$B$44))))*(1+IF(IF($B363="D",'Info Lega'!$B$25,IF($B363="C",'Info Lega'!$B$26,"No"))="Si",'Parametri Modello'!$B$5,0))*(1+MAX(-0.25,MIN(0.25,IF(OR($T363="",$I363="",$I363=0,INDEX('Parametri Modello'!$B$19:$B$22,MATCH($B363,'Parametri Modello'!$A$19:$A$22,0))="",INDEX('Parametri Modello'!$B$19:$B$22,MATCH($B363,'Parametri Modello'!$A$19:$A$22,0))=0),0,(($T363-INDEX('Parametri Modello'!$B$19:$B$22,MATCH($B363,'Parametri Modello'!$A$19:$A$22,0)))/INDEX('Parametri Modello'!$B$19:$B$22,MATCH($B363,'Parametri Modello'!$A$19:$A$22,0)))*'Parametri Modello'!$B$9))))*(1+IF('Parametri Modello'!$B$27="Si",MAX(-'Parametri Modello'!$B$28,MIN('Parametri Modello'!$B$28*1.5,IF(OR(INDEX('Parametri Modello'!$F$32:$F$35,MATCH($B363,'Parametri Modello'!$A$32:$A$35,0))="",INDEX('Parametri Modello'!$F$32:$F$35,MATCH($B363,'Parametri Modello'!$A$32:$A$35,0))=0),0,(1/INDEX('Parametri Modello'!$F$32:$F$35,MATCH($B363,'Parametri Modello'!$A$32:$A$35,0))-1)*'Parametri Modello'!$B$28))),0)))*(1+INDEX('Parametri Modello'!$B$12:$B$15,MATCH($B363,'Parametri Modello'!$A$12:$A$15,0))),0),"")</f>
        <v>1</v>
      </c>
      <c r="I363" s="23">
        <f>IFERROR(INDEX('Input Statistiche 2025_26'!$F$3:$F$665,MATCH($A363,'Input Statistiche 2025_26'!$A$3:$A$665,0)),"")</f>
        <v>0</v>
      </c>
      <c r="J363" s="23">
        <f t="shared" si="45"/>
        <v>38</v>
      </c>
      <c r="K363" s="23">
        <f>IFERROR(INDEX('Input Statistiche 2025_26'!$I$3:$I$665,MATCH($A363,'Input Statistiche 2025_26'!$A$3:$A$665,0)),"")</f>
        <v>0</v>
      </c>
      <c r="L363" s="23">
        <f>IFERROR(INDEX('Input Statistiche 2025_26'!$O$3:$O$665,MATCH($A363,'Input Statistiche 2025_26'!$A$3:$A$665,0)),"")</f>
        <v>0</v>
      </c>
      <c r="M363" s="25"/>
      <c r="N363" s="24">
        <f>IFERROR(INDEX('Input Giocatori 2026_27'!$E$3:$E$493,MATCH($A363,'Input Giocatori 2026_27'!$A$3:$A$493,0)),"")</f>
        <v>3</v>
      </c>
      <c r="O363" s="24">
        <f>IFERROR(INDEX('Input Giocatori 2026_27'!$G$3:$G$493,MATCH($A363,'Input Giocatori 2026_27'!$A$3:$A$493,0)),"")</f>
        <v>7</v>
      </c>
      <c r="P363" s="23" t="str">
        <f>IFERROR(IF($O363="","",IF((1-(COUNTIFS($B$2:$B$492,$B363,$O$2:$O$492,"&gt;"&amp;$O363)+1-1)/COUNTIF($B$2:$B$492,$B363))&gt;='Parametri Modello'!$B$63,"Top",IF((1-(COUNTIFS($B$2:$B$492,$B363,$O$2:$O$492,"&gt;"&amp;$O363)+1-1)/COUNTIF($B$2:$B$492,$B363))&gt;='Parametri Modello'!$B$64,"Buono",IF((1-(COUNTIFS($B$2:$B$492,$B363,$O$2:$O$492,"&gt;"&amp;$O363)+1-1)/COUNTIF($B$2:$B$492,$B363))&gt;='Parametri Modello'!$B$65,"Nella Media","Scommessa/Riserva")))),"")</f>
        <v>Scommessa/Riserva</v>
      </c>
      <c r="Q363" s="26">
        <f>IF(AND($D363="",$N363&gt;1),SUMPRODUCT(($D$2:$D363="")*($N$2:$N363&gt;1)),"")</f>
        <v>361</v>
      </c>
      <c r="R363" s="26" t="str">
        <f>IF($D363='Info Lega'!$B$28,COUNTIFS($D$2:$D363,'Info Lega'!$B$28),"")</f>
        <v/>
      </c>
      <c r="S363" s="27">
        <f>IFERROR(INDEX('Input Statistiche 2025_26'!$G$3:$G$665,MATCH($A363,'Input Statistiche 2025_26'!$A$3:$A$665,0)),"")</f>
        <v>0</v>
      </c>
      <c r="T363" s="27">
        <f>IFERROR(INDEX('Input Statistiche 2025_26'!$H$3:$H$665,MATCH($A363,'Input Statistiche 2025_26'!$A$3:$A$665,0)),"")</f>
        <v>0</v>
      </c>
      <c r="U363" s="23" t="str">
        <f>IF(OR('La Mia Rosa'!$O$12="",$D363&lt;&gt;""),"",IF($F363&lt;='La Mia Rosa'!$O$12*'Parametri Modello'!$B$24,"OK",IF($F363&lt;='La Mia Rosa'!$O$12*'Parametri Modello'!$B$25,"Attenzione","Rischio Alto")))</f>
        <v>OK</v>
      </c>
      <c r="V363" s="23">
        <f t="shared" si="46"/>
        <v>125</v>
      </c>
      <c r="W363" s="18">
        <f>'Info Lega'!$B$4-SUMIFS($M$2:$M$492,$D$2:$D$492,'Info Lega'!$B$28)</f>
        <v>1000</v>
      </c>
      <c r="X363" s="18">
        <f>('Info Lega'!$B$5-COUNTIFS($D$2:$D$492,'Info Lega'!$B$28,$B$2:$B$492,"P"))+('Info Lega'!$B$6-COUNTIFS($D$2:$D$492,'Info Lega'!$B$28,$B$2:$B$492,"D"))+('Info Lega'!$B$7-COUNTIFS($D$2:$D$492,'Info Lega'!$B$28,$B$2:$B$492,"C"))+('Info Lega'!$B$8-COUNTIFS($D$2:$D$492,'Info Lega'!$B$28,$B$2:$B$492,"A"))</f>
        <v>25</v>
      </c>
      <c r="Y363" s="18">
        <f>X363*'Parametri Modello'!$B$30</f>
        <v>25</v>
      </c>
      <c r="Z363" s="18">
        <f t="shared" si="47"/>
        <v>975</v>
      </c>
      <c r="AA363" s="18">
        <f t="shared" si="48"/>
        <v>1</v>
      </c>
      <c r="AB363" s="18"/>
      <c r="AC363" s="18" t="str">
        <f>IF($AB363="","",IF($AB363&gt;$AA363,"PASS",IF($AB363&lt;=$AA363*(1-'Parametri Modello'!$B$68),"BID","ATTENZIONE")))</f>
        <v/>
      </c>
      <c r="AD363" s="28">
        <f t="shared" si="49"/>
        <v>0</v>
      </c>
      <c r="AE363" s="5" t="str">
        <f>IFERROR(INDEX('Stato Asta'!$G$9:$G$12,MATCH($B363,'Stato Asta'!$A$9:$A$12,0)),"")</f>
        <v>🔴 Non aspettare</v>
      </c>
      <c r="AF363" t="str">
        <f>IFERROR(IF($V363&lt;=INDEX('Parametri Modello'!$C$57:$C$60,MATCH($B363,'Parametri Modello'!$A$57:$A$60,0)),"Titolare","Riserva"),"")</f>
        <v>Riserva</v>
      </c>
      <c r="AG363" t="str">
        <f>IFERROR(INDEX('Pressione Competitiva'!$F$3:$F$6,MATCH($B363,'Pressione Competitiva'!$B$3:$B$6,0)),"")</f>
        <v>🔴 Molto Alta</v>
      </c>
      <c r="AH363" t="str">
        <f t="shared" si="50"/>
        <v/>
      </c>
      <c r="AI363" t="str">
        <f>IFERROR(IF($AH363="","",IF($AH363&gt;=$AA363*'Parametri Modello'!$B$68,"🟢 Opportunita'",IF($AH363&lt;=$AA363*'Parametri Modello'!$B$69,"🔴 Sovrapprezzo","🟡 Prezzo Corretto"))),"")</f>
        <v/>
      </c>
      <c r="AJ363" t="str">
        <f t="shared" si="51"/>
        <v/>
      </c>
      <c r="AK363">
        <f t="shared" si="52"/>
        <v>13</v>
      </c>
      <c r="AL363" t="str">
        <f t="shared" si="53"/>
        <v>D|Scommessa/Riserva|13</v>
      </c>
    </row>
    <row r="364" spans="1:38" ht="14.25" customHeight="1" x14ac:dyDescent="0.25">
      <c r="A364" s="18">
        <v>7413</v>
      </c>
      <c r="B364" s="18" t="s">
        <v>16</v>
      </c>
      <c r="C364" s="18" t="s">
        <v>503</v>
      </c>
      <c r="E364" s="23" t="str">
        <f>IF(COUNTIF('Info Strategia'!$D$2:$D$51,$C364)&gt;0,"SI","NO")</f>
        <v>NO</v>
      </c>
      <c r="F364" s="24">
        <f>IFERROR(ROUND(($G364+($H364-$G364)*'Info Strategia'!$B$6)*(1+IF($E364="SI",'Parametri Modello'!$B$7*'Info Strategia'!$B$6,0)),0),"")</f>
        <v>1</v>
      </c>
      <c r="G364" s="24">
        <f>IFERROR(ROUND(MAX(1,(IF($V364&lt;=INDEX('Parametri Modello'!$C$57:$C$60,MATCH($B364,'Parametri Modello'!$A$57:$A$60,0)),IF(INDEX('Parametri Modello'!$E$57:$E$60,MATCH($B364,'Parametri Modello'!$A$57:$A$60,0))=0,0,($O364/INDEX('Parametri Modello'!$E$57:$E$60,MATCH($B364,'Parametri Modello'!$A$57:$A$60,0)))*(INDEX('Parametri Modello'!$D$57:$D$60,MATCH($B364,'Parametri Modello'!$A$57:$A$60,0))*(INDEX('Parametri Modello'!$B$50:$B$53,MATCH($B364,'Parametri Modello'!$A$50:$A$53,0))*'Parametri Modello'!$B$44))),IF(INDEX('Parametri Modello'!$F$57:$F$60,MATCH($B364,'Parametri Modello'!$A$57:$A$60,0))=0,0,($O364/INDEX('Parametri Modello'!$F$57:$F$60,MATCH($B364,'Parametri Modello'!$A$57:$A$60,0)))*((1-INDEX('Parametri Modello'!$D$57:$D$60,MATCH($B364,'Parametri Modello'!$A$57:$A$60,0)))*(INDEX('Parametri Modello'!$B$50:$B$53,MATCH($B364,'Parametri Modello'!$A$50:$A$53,0))*'Parametri Modello'!$B$44))))*(1+IF(IF($B364="D",'Info Lega'!$B$25,IF($B364="C",'Info Lega'!$B$26,"No"))="Si",'Parametri Modello'!$B$5,0))*(1+MAX(-0.25,MIN(0.25,IF(OR($T364="",$I364="",$I364=0,INDEX('Parametri Modello'!$B$19:$B$22,MATCH($B364,'Parametri Modello'!$A$19:$A$22,0))="",INDEX('Parametri Modello'!$B$19:$B$22,MATCH($B364,'Parametri Modello'!$A$19:$A$22,0))=0),0,(($T364-INDEX('Parametri Modello'!$B$19:$B$22,MATCH($B364,'Parametri Modello'!$A$19:$A$22,0)))/INDEX('Parametri Modello'!$B$19:$B$22,MATCH($B364,'Parametri Modello'!$A$19:$A$22,0)))*'Parametri Modello'!$B$9))))*(1+IF('Parametri Modello'!$B$27="Si",MAX(-'Parametri Modello'!$B$28,MIN('Parametri Modello'!$B$28*1.5,IF(OR(INDEX('Parametri Modello'!$F$32:$F$35,MATCH($B364,'Parametri Modello'!$A$32:$A$35,0))="",INDEX('Parametri Modello'!$F$32:$F$35,MATCH($B364,'Parametri Modello'!$A$32:$A$35,0))=0),0,(1/INDEX('Parametri Modello'!$F$32:$F$35,MATCH($B364,'Parametri Modello'!$A$32:$A$35,0))-1)*'Parametri Modello'!$B$28))),0)))*(1-INDEX('Parametri Modello'!$B$12:$B$15,MATCH($B364,'Parametri Modello'!$A$12:$A$15,0)))),0),"")</f>
        <v>1</v>
      </c>
      <c r="H364" s="24">
        <f>IFERROR(ROUND((IF($V364&lt;=INDEX('Parametri Modello'!$C$57:$C$60,MATCH($B364,'Parametri Modello'!$A$57:$A$60,0)),IF(INDEX('Parametri Modello'!$E$57:$E$60,MATCH($B364,'Parametri Modello'!$A$57:$A$60,0))=0,0,($O364/INDEX('Parametri Modello'!$E$57:$E$60,MATCH($B364,'Parametri Modello'!$A$57:$A$60,0)))*(INDEX('Parametri Modello'!$D$57:$D$60,MATCH($B364,'Parametri Modello'!$A$57:$A$60,0))*(INDEX('Parametri Modello'!$B$50:$B$53,MATCH($B364,'Parametri Modello'!$A$50:$A$53,0))*'Parametri Modello'!$B$44))),IF(INDEX('Parametri Modello'!$F$57:$F$60,MATCH($B364,'Parametri Modello'!$A$57:$A$60,0))=0,0,($O364/INDEX('Parametri Modello'!$F$57:$F$60,MATCH($B364,'Parametri Modello'!$A$57:$A$60,0)))*((1-INDEX('Parametri Modello'!$D$57:$D$60,MATCH($B364,'Parametri Modello'!$A$57:$A$60,0)))*(INDEX('Parametri Modello'!$B$50:$B$53,MATCH($B364,'Parametri Modello'!$A$50:$A$53,0))*'Parametri Modello'!$B$44))))*(1+IF(IF($B364="D",'Info Lega'!$B$25,IF($B364="C",'Info Lega'!$B$26,"No"))="Si",'Parametri Modello'!$B$5,0))*(1+MAX(-0.25,MIN(0.25,IF(OR($T364="",$I364="",$I364=0,INDEX('Parametri Modello'!$B$19:$B$22,MATCH($B364,'Parametri Modello'!$A$19:$A$22,0))="",INDEX('Parametri Modello'!$B$19:$B$22,MATCH($B364,'Parametri Modello'!$A$19:$A$22,0))=0),0,(($T364-INDEX('Parametri Modello'!$B$19:$B$22,MATCH($B364,'Parametri Modello'!$A$19:$A$22,0)))/INDEX('Parametri Modello'!$B$19:$B$22,MATCH($B364,'Parametri Modello'!$A$19:$A$22,0)))*'Parametri Modello'!$B$9))))*(1+IF('Parametri Modello'!$B$27="Si",MAX(-'Parametri Modello'!$B$28,MIN('Parametri Modello'!$B$28*1.5,IF(OR(INDEX('Parametri Modello'!$F$32:$F$35,MATCH($B364,'Parametri Modello'!$A$32:$A$35,0))="",INDEX('Parametri Modello'!$F$32:$F$35,MATCH($B364,'Parametri Modello'!$A$32:$A$35,0))=0),0,(1/INDEX('Parametri Modello'!$F$32:$F$35,MATCH($B364,'Parametri Modello'!$A$32:$A$35,0))-1)*'Parametri Modello'!$B$28))),0)))*(1+INDEX('Parametri Modello'!$B$12:$B$15,MATCH($B364,'Parametri Modello'!$A$12:$A$15,0))),0),"")</f>
        <v>1</v>
      </c>
      <c r="I364" s="23" t="str">
        <f>IFERROR(INDEX('Input Statistiche 2025_26'!$F$3:$F$665,MATCH($A364,'Input Statistiche 2025_26'!$A$3:$A$665,0)),"")</f>
        <v/>
      </c>
      <c r="J364" s="23" t="str">
        <f t="shared" si="45"/>
        <v/>
      </c>
      <c r="K364" s="23" t="str">
        <f>IFERROR(INDEX('Input Statistiche 2025_26'!$I$3:$I$665,MATCH($A364,'Input Statistiche 2025_26'!$A$3:$A$665,0)),"")</f>
        <v/>
      </c>
      <c r="L364" s="23" t="str">
        <f>IFERROR(INDEX('Input Statistiche 2025_26'!$O$3:$O$665,MATCH($A364,'Input Statistiche 2025_26'!$A$3:$A$665,0)),"")</f>
        <v/>
      </c>
      <c r="M364" s="25"/>
      <c r="N364" s="24">
        <f>IFERROR(INDEX('Input Giocatori 2026_27'!$E$3:$E$493,MATCH($A364,'Input Giocatori 2026_27'!$A$3:$A$493,0)),"")</f>
        <v>2</v>
      </c>
      <c r="O364" s="24">
        <f>IFERROR(INDEX('Input Giocatori 2026_27'!$G$3:$G$493,MATCH($A364,'Input Giocatori 2026_27'!$A$3:$A$493,0)),"")</f>
        <v>7</v>
      </c>
      <c r="P364" s="23" t="str">
        <f>IFERROR(IF($O364="","",IF((1-(COUNTIFS($B$2:$B$492,$B364,$O$2:$O$492,"&gt;"&amp;$O364)+1-1)/COUNTIF($B$2:$B$492,$B364))&gt;='Parametri Modello'!$B$63,"Top",IF((1-(COUNTIFS($B$2:$B$492,$B364,$O$2:$O$492,"&gt;"&amp;$O364)+1-1)/COUNTIF($B$2:$B$492,$B364))&gt;='Parametri Modello'!$B$64,"Buono",IF((1-(COUNTIFS($B$2:$B$492,$B364,$O$2:$O$492,"&gt;"&amp;$O364)+1-1)/COUNTIF($B$2:$B$492,$B364))&gt;='Parametri Modello'!$B$65,"Nella Media","Scommessa/Riserva")))),"")</f>
        <v>Scommessa/Riserva</v>
      </c>
      <c r="Q364" s="26">
        <f>IF(AND($D364="",$N364&gt;1),SUMPRODUCT(($D$2:$D364="")*($N$2:$N364&gt;1)),"")</f>
        <v>362</v>
      </c>
      <c r="R364" s="26" t="str">
        <f>IF($D364='Info Lega'!$B$28,COUNTIFS($D$2:$D364,'Info Lega'!$B$28),"")</f>
        <v/>
      </c>
      <c r="S364" s="27" t="str">
        <f>IFERROR(INDEX('Input Statistiche 2025_26'!$G$3:$G$665,MATCH($A364,'Input Statistiche 2025_26'!$A$3:$A$665,0)),"")</f>
        <v/>
      </c>
      <c r="T364" s="27" t="str">
        <f>IFERROR(INDEX('Input Statistiche 2025_26'!$H$3:$H$665,MATCH($A364,'Input Statistiche 2025_26'!$A$3:$A$665,0)),"")</f>
        <v/>
      </c>
      <c r="U364" s="23" t="str">
        <f>IF(OR('La Mia Rosa'!$O$12="",$D364&lt;&gt;""),"",IF($F364&lt;='La Mia Rosa'!$O$12*'Parametri Modello'!$B$24,"OK",IF($F364&lt;='La Mia Rosa'!$O$12*'Parametri Modello'!$B$25,"Attenzione","Rischio Alto")))</f>
        <v>OK</v>
      </c>
      <c r="V364" s="23">
        <f t="shared" si="46"/>
        <v>125</v>
      </c>
      <c r="W364" s="18">
        <f>'Info Lega'!$B$4-SUMIFS($M$2:$M$492,$D$2:$D$492,'Info Lega'!$B$28)</f>
        <v>1000</v>
      </c>
      <c r="X364" s="18">
        <f>('Info Lega'!$B$5-COUNTIFS($D$2:$D$492,'Info Lega'!$B$28,$B$2:$B$492,"P"))+('Info Lega'!$B$6-COUNTIFS($D$2:$D$492,'Info Lega'!$B$28,$B$2:$B$492,"D"))+('Info Lega'!$B$7-COUNTIFS($D$2:$D$492,'Info Lega'!$B$28,$B$2:$B$492,"C"))+('Info Lega'!$B$8-COUNTIFS($D$2:$D$492,'Info Lega'!$B$28,$B$2:$B$492,"A"))</f>
        <v>25</v>
      </c>
      <c r="Y364" s="18">
        <f>X364*'Parametri Modello'!$B$30</f>
        <v>25</v>
      </c>
      <c r="Z364" s="18">
        <f t="shared" si="47"/>
        <v>975</v>
      </c>
      <c r="AA364" s="18">
        <f t="shared" si="48"/>
        <v>1</v>
      </c>
      <c r="AB364" s="18"/>
      <c r="AC364" s="18" t="str">
        <f>IF($AB364="","",IF($AB364&gt;$AA364,"PASS",IF($AB364&lt;=$AA364*(1-'Parametri Modello'!$B$68),"BID","ATTENZIONE")))</f>
        <v/>
      </c>
      <c r="AD364" s="28" t="str">
        <f t="shared" si="49"/>
        <v/>
      </c>
      <c r="AE364" s="5" t="str">
        <f>IFERROR(INDEX('Stato Asta'!$G$9:$G$12,MATCH($B364,'Stato Asta'!$A$9:$A$12,0)),"")</f>
        <v>🔴 Non aspettare</v>
      </c>
      <c r="AF364" t="str">
        <f>IFERROR(IF($V364&lt;=INDEX('Parametri Modello'!$C$57:$C$60,MATCH($B364,'Parametri Modello'!$A$57:$A$60,0)),"Titolare","Riserva"),"")</f>
        <v>Riserva</v>
      </c>
      <c r="AG364" t="str">
        <f>IFERROR(INDEX('Pressione Competitiva'!$F$3:$F$6,MATCH($B364,'Pressione Competitiva'!$B$3:$B$6,0)),"")</f>
        <v>🔴 Molto Alta</v>
      </c>
      <c r="AH364" t="str">
        <f t="shared" si="50"/>
        <v/>
      </c>
      <c r="AI364" t="str">
        <f>IFERROR(IF($AH364="","",IF($AH364&gt;=$AA364*'Parametri Modello'!$B$68,"🟢 Opportunita'",IF($AH364&lt;=$AA364*'Parametri Modello'!$B$69,"🔴 Sovrapprezzo","🟡 Prezzo Corretto"))),"")</f>
        <v/>
      </c>
      <c r="AJ364" t="str">
        <f t="shared" si="51"/>
        <v/>
      </c>
      <c r="AK364">
        <f t="shared" si="52"/>
        <v>13</v>
      </c>
      <c r="AL364" t="str">
        <f t="shared" si="53"/>
        <v>D|Scommessa/Riserva|13</v>
      </c>
    </row>
    <row r="365" spans="1:38" ht="14.25" customHeight="1" x14ac:dyDescent="0.25">
      <c r="A365" s="18">
        <v>6424</v>
      </c>
      <c r="B365" s="18" t="s">
        <v>17</v>
      </c>
      <c r="C365" s="18" t="s">
        <v>504</v>
      </c>
      <c r="E365" s="23" t="str">
        <f>IF(COUNTIF('Info Strategia'!$D$2:$D$51,$C365)&gt;0,"SI","NO")</f>
        <v>NO</v>
      </c>
      <c r="F365" s="24">
        <f>IFERROR(ROUND(($G365+($H365-$G365)*'Info Strategia'!$B$6)*(1+IF($E365="SI",'Parametri Modello'!$B$7*'Info Strategia'!$B$6,0)),0),"")</f>
        <v>1</v>
      </c>
      <c r="G365" s="24">
        <f>IFERROR(ROUND(MAX(1,(IF($V365&lt;=INDEX('Parametri Modello'!$C$57:$C$60,MATCH($B365,'Parametri Modello'!$A$57:$A$60,0)),IF(INDEX('Parametri Modello'!$E$57:$E$60,MATCH($B365,'Parametri Modello'!$A$57:$A$60,0))=0,0,($O365/INDEX('Parametri Modello'!$E$57:$E$60,MATCH($B365,'Parametri Modello'!$A$57:$A$60,0)))*(INDEX('Parametri Modello'!$D$57:$D$60,MATCH($B365,'Parametri Modello'!$A$57:$A$60,0))*(INDEX('Parametri Modello'!$B$50:$B$53,MATCH($B365,'Parametri Modello'!$A$50:$A$53,0))*'Parametri Modello'!$B$44))),IF(INDEX('Parametri Modello'!$F$57:$F$60,MATCH($B365,'Parametri Modello'!$A$57:$A$60,0))=0,0,($O365/INDEX('Parametri Modello'!$F$57:$F$60,MATCH($B365,'Parametri Modello'!$A$57:$A$60,0)))*((1-INDEX('Parametri Modello'!$D$57:$D$60,MATCH($B365,'Parametri Modello'!$A$57:$A$60,0)))*(INDEX('Parametri Modello'!$B$50:$B$53,MATCH($B365,'Parametri Modello'!$A$50:$A$53,0))*'Parametri Modello'!$B$44))))*(1+IF(IF($B365="D",'Info Lega'!$B$25,IF($B365="C",'Info Lega'!$B$26,"No"))="Si",'Parametri Modello'!$B$5,0))*(1+MAX(-0.25,MIN(0.25,IF(OR($T365="",$I365="",$I365=0,INDEX('Parametri Modello'!$B$19:$B$22,MATCH($B365,'Parametri Modello'!$A$19:$A$22,0))="",INDEX('Parametri Modello'!$B$19:$B$22,MATCH($B365,'Parametri Modello'!$A$19:$A$22,0))=0),0,(($T365-INDEX('Parametri Modello'!$B$19:$B$22,MATCH($B365,'Parametri Modello'!$A$19:$A$22,0)))/INDEX('Parametri Modello'!$B$19:$B$22,MATCH($B365,'Parametri Modello'!$A$19:$A$22,0)))*'Parametri Modello'!$B$9))))*(1+IF('Parametri Modello'!$B$27="Si",MAX(-'Parametri Modello'!$B$28,MIN('Parametri Modello'!$B$28*1.5,IF(OR(INDEX('Parametri Modello'!$F$32:$F$35,MATCH($B365,'Parametri Modello'!$A$32:$A$35,0))="",INDEX('Parametri Modello'!$F$32:$F$35,MATCH($B365,'Parametri Modello'!$A$32:$A$35,0))=0),0,(1/INDEX('Parametri Modello'!$F$32:$F$35,MATCH($B365,'Parametri Modello'!$A$32:$A$35,0))-1)*'Parametri Modello'!$B$28))),0)))*(1-INDEX('Parametri Modello'!$B$12:$B$15,MATCH($B365,'Parametri Modello'!$A$12:$A$15,0)))),0),"")</f>
        <v>1</v>
      </c>
      <c r="H365" s="24">
        <f>IFERROR(ROUND((IF($V365&lt;=INDEX('Parametri Modello'!$C$57:$C$60,MATCH($B365,'Parametri Modello'!$A$57:$A$60,0)),IF(INDEX('Parametri Modello'!$E$57:$E$60,MATCH($B365,'Parametri Modello'!$A$57:$A$60,0))=0,0,($O365/INDEX('Parametri Modello'!$E$57:$E$60,MATCH($B365,'Parametri Modello'!$A$57:$A$60,0)))*(INDEX('Parametri Modello'!$D$57:$D$60,MATCH($B365,'Parametri Modello'!$A$57:$A$60,0))*(INDEX('Parametri Modello'!$B$50:$B$53,MATCH($B365,'Parametri Modello'!$A$50:$A$53,0))*'Parametri Modello'!$B$44))),IF(INDEX('Parametri Modello'!$F$57:$F$60,MATCH($B365,'Parametri Modello'!$A$57:$A$60,0))=0,0,($O365/INDEX('Parametri Modello'!$F$57:$F$60,MATCH($B365,'Parametri Modello'!$A$57:$A$60,0)))*((1-INDEX('Parametri Modello'!$D$57:$D$60,MATCH($B365,'Parametri Modello'!$A$57:$A$60,0)))*(INDEX('Parametri Modello'!$B$50:$B$53,MATCH($B365,'Parametri Modello'!$A$50:$A$53,0))*'Parametri Modello'!$B$44))))*(1+IF(IF($B365="D",'Info Lega'!$B$25,IF($B365="C",'Info Lega'!$B$26,"No"))="Si",'Parametri Modello'!$B$5,0))*(1+MAX(-0.25,MIN(0.25,IF(OR($T365="",$I365="",$I365=0,INDEX('Parametri Modello'!$B$19:$B$22,MATCH($B365,'Parametri Modello'!$A$19:$A$22,0))="",INDEX('Parametri Modello'!$B$19:$B$22,MATCH($B365,'Parametri Modello'!$A$19:$A$22,0))=0),0,(($T365-INDEX('Parametri Modello'!$B$19:$B$22,MATCH($B365,'Parametri Modello'!$A$19:$A$22,0)))/INDEX('Parametri Modello'!$B$19:$B$22,MATCH($B365,'Parametri Modello'!$A$19:$A$22,0)))*'Parametri Modello'!$B$9))))*(1+IF('Parametri Modello'!$B$27="Si",MAX(-'Parametri Modello'!$B$28,MIN('Parametri Modello'!$B$28*1.5,IF(OR(INDEX('Parametri Modello'!$F$32:$F$35,MATCH($B365,'Parametri Modello'!$A$32:$A$35,0))="",INDEX('Parametri Modello'!$F$32:$F$35,MATCH($B365,'Parametri Modello'!$A$32:$A$35,0))=0),0,(1/INDEX('Parametri Modello'!$F$32:$F$35,MATCH($B365,'Parametri Modello'!$A$32:$A$35,0))-1)*'Parametri Modello'!$B$28))),0)))*(1+INDEX('Parametri Modello'!$B$12:$B$15,MATCH($B365,'Parametri Modello'!$A$12:$A$15,0))),0),"")</f>
        <v>1</v>
      </c>
      <c r="I365" s="23">
        <f>IFERROR(INDEX('Input Statistiche 2025_26'!$F$3:$F$665,MATCH($A365,'Input Statistiche 2025_26'!$A$3:$A$665,0)),"")</f>
        <v>32</v>
      </c>
      <c r="J365" s="23">
        <f t="shared" si="45"/>
        <v>6</v>
      </c>
      <c r="K365" s="23">
        <f>IFERROR(INDEX('Input Statistiche 2025_26'!$I$3:$I$665,MATCH($A365,'Input Statistiche 2025_26'!$A$3:$A$665,0)),"")</f>
        <v>1</v>
      </c>
      <c r="L365" s="23">
        <f>IFERROR(INDEX('Input Statistiche 2025_26'!$O$3:$O$665,MATCH($A365,'Input Statistiche 2025_26'!$A$3:$A$665,0)),"")</f>
        <v>0</v>
      </c>
      <c r="M365" s="25"/>
      <c r="N365" s="24">
        <f>IFERROR(INDEX('Input Giocatori 2026_27'!$E$3:$E$493,MATCH($A365,'Input Giocatori 2026_27'!$A$3:$A$493,0)),"")</f>
        <v>4</v>
      </c>
      <c r="O365" s="24">
        <f>IFERROR(INDEX('Input Giocatori 2026_27'!$G$3:$G$493,MATCH($A365,'Input Giocatori 2026_27'!$A$3:$A$493,0)),"")</f>
        <v>7</v>
      </c>
      <c r="P365" s="23" t="str">
        <f>IFERROR(IF($O365="","",IF((1-(COUNTIFS($B$2:$B$492,$B365,$O$2:$O$492,"&gt;"&amp;$O365)+1-1)/COUNTIF($B$2:$B$492,$B365))&gt;='Parametri Modello'!$B$63,"Top",IF((1-(COUNTIFS($B$2:$B$492,$B365,$O$2:$O$492,"&gt;"&amp;$O365)+1-1)/COUNTIF($B$2:$B$492,$B365))&gt;='Parametri Modello'!$B$64,"Buono",IF((1-(COUNTIFS($B$2:$B$492,$B365,$O$2:$O$492,"&gt;"&amp;$O365)+1-1)/COUNTIF($B$2:$B$492,$B365))&gt;='Parametri Modello'!$B$65,"Nella Media","Scommessa/Riserva")))),"")</f>
        <v>Scommessa/Riserva</v>
      </c>
      <c r="Q365" s="26">
        <f>IF(AND($D365="",$N365&gt;1),SUMPRODUCT(($D$2:$D365="")*($N$2:$N365&gt;1)),"")</f>
        <v>363</v>
      </c>
      <c r="R365" s="26" t="str">
        <f>IF($D365='Info Lega'!$B$28,COUNTIFS($D$2:$D365,'Info Lega'!$B$28),"")</f>
        <v/>
      </c>
      <c r="S365" s="27">
        <f>IFERROR(INDEX('Input Statistiche 2025_26'!$G$3:$G$665,MATCH($A365,'Input Statistiche 2025_26'!$A$3:$A$665,0)),"")</f>
        <v>5.88</v>
      </c>
      <c r="T365" s="27">
        <f>IFERROR(INDEX('Input Statistiche 2025_26'!$H$3:$H$665,MATCH($A365,'Input Statistiche 2025_26'!$A$3:$A$665,0)),"")</f>
        <v>5.88</v>
      </c>
      <c r="U365" s="23" t="str">
        <f>IF(OR('La Mia Rosa'!$O$12="",$D365&lt;&gt;""),"",IF($F365&lt;='La Mia Rosa'!$O$12*'Parametri Modello'!$B$24,"OK",IF($F365&lt;='La Mia Rosa'!$O$12*'Parametri Modello'!$B$25,"Attenzione","Rischio Alto")))</f>
        <v>OK</v>
      </c>
      <c r="V365" s="23">
        <f t="shared" si="46"/>
        <v>137</v>
      </c>
      <c r="W365" s="18">
        <f>'Info Lega'!$B$4-SUMIFS($M$2:$M$492,$D$2:$D$492,'Info Lega'!$B$28)</f>
        <v>1000</v>
      </c>
      <c r="X365" s="18">
        <f>('Info Lega'!$B$5-COUNTIFS($D$2:$D$492,'Info Lega'!$B$28,$B$2:$B$492,"P"))+('Info Lega'!$B$6-COUNTIFS($D$2:$D$492,'Info Lega'!$B$28,$B$2:$B$492,"D"))+('Info Lega'!$B$7-COUNTIFS($D$2:$D$492,'Info Lega'!$B$28,$B$2:$B$492,"C"))+('Info Lega'!$B$8-COUNTIFS($D$2:$D$492,'Info Lega'!$B$28,$B$2:$B$492,"A"))</f>
        <v>25</v>
      </c>
      <c r="Y365" s="18">
        <f>X365*'Parametri Modello'!$B$30</f>
        <v>25</v>
      </c>
      <c r="Z365" s="18">
        <f t="shared" si="47"/>
        <v>975</v>
      </c>
      <c r="AA365" s="18">
        <f t="shared" si="48"/>
        <v>1</v>
      </c>
      <c r="AB365" s="18"/>
      <c r="AC365" s="18" t="str">
        <f>IF($AB365="","",IF($AB365&gt;$AA365,"PASS",IF($AB365&lt;=$AA365*(1-'Parametri Modello'!$B$68),"BID","ATTENZIONE")))</f>
        <v/>
      </c>
      <c r="AD365" s="28">
        <f t="shared" si="49"/>
        <v>66</v>
      </c>
      <c r="AE365" s="5" t="str">
        <f>IFERROR(INDEX('Stato Asta'!$G$9:$G$12,MATCH($B365,'Stato Asta'!$A$9:$A$12,0)),"")</f>
        <v>🔴 Non aspettare</v>
      </c>
      <c r="AF365" t="str">
        <f>IFERROR(IF($V365&lt;=INDEX('Parametri Modello'!$C$57:$C$60,MATCH($B365,'Parametri Modello'!$A$57:$A$60,0)),"Titolare","Riserva"),"")</f>
        <v>Riserva</v>
      </c>
      <c r="AG365" t="str">
        <f>IFERROR(INDEX('Pressione Competitiva'!$F$3:$F$6,MATCH($B365,'Pressione Competitiva'!$B$3:$B$6,0)),"")</f>
        <v>🔴 Molto Alta</v>
      </c>
      <c r="AH365" t="str">
        <f t="shared" si="50"/>
        <v/>
      </c>
      <c r="AI365" t="str">
        <f>IFERROR(IF($AH365="","",IF($AH365&gt;=$AA365*'Parametri Modello'!$B$68,"🟢 Opportunita'",IF($AH365&lt;=$AA365*'Parametri Modello'!$B$69,"🔴 Sovrapprezzo","🟡 Prezzo Corretto"))),"")</f>
        <v/>
      </c>
      <c r="AJ365" t="str">
        <f t="shared" si="51"/>
        <v/>
      </c>
      <c r="AK365">
        <f t="shared" si="52"/>
        <v>33</v>
      </c>
      <c r="AL365" t="str">
        <f t="shared" si="53"/>
        <v>C|Scommessa/Riserva|33</v>
      </c>
    </row>
    <row r="366" spans="1:38" ht="14.25" customHeight="1" x14ac:dyDescent="0.25">
      <c r="A366" s="18">
        <v>6024</v>
      </c>
      <c r="B366" s="18" t="s">
        <v>17</v>
      </c>
      <c r="C366" s="18" t="s">
        <v>505</v>
      </c>
      <c r="E366" s="23" t="str">
        <f>IF(COUNTIF('Info Strategia'!$D$2:$D$51,$C366)&gt;0,"SI","NO")</f>
        <v>NO</v>
      </c>
      <c r="F366" s="24">
        <f>IFERROR(ROUND(($G366+($H366-$G366)*'Info Strategia'!$B$6)*(1+IF($E366="SI",'Parametri Modello'!$B$7*'Info Strategia'!$B$6,0)),0),"")</f>
        <v>1</v>
      </c>
      <c r="G366" s="24">
        <f>IFERROR(ROUND(MAX(1,(IF($V366&lt;=INDEX('Parametri Modello'!$C$57:$C$60,MATCH($B366,'Parametri Modello'!$A$57:$A$60,0)),IF(INDEX('Parametri Modello'!$E$57:$E$60,MATCH($B366,'Parametri Modello'!$A$57:$A$60,0))=0,0,($O366/INDEX('Parametri Modello'!$E$57:$E$60,MATCH($B366,'Parametri Modello'!$A$57:$A$60,0)))*(INDEX('Parametri Modello'!$D$57:$D$60,MATCH($B366,'Parametri Modello'!$A$57:$A$60,0))*(INDEX('Parametri Modello'!$B$50:$B$53,MATCH($B366,'Parametri Modello'!$A$50:$A$53,0))*'Parametri Modello'!$B$44))),IF(INDEX('Parametri Modello'!$F$57:$F$60,MATCH($B366,'Parametri Modello'!$A$57:$A$60,0))=0,0,($O366/INDEX('Parametri Modello'!$F$57:$F$60,MATCH($B366,'Parametri Modello'!$A$57:$A$60,0)))*((1-INDEX('Parametri Modello'!$D$57:$D$60,MATCH($B366,'Parametri Modello'!$A$57:$A$60,0)))*(INDEX('Parametri Modello'!$B$50:$B$53,MATCH($B366,'Parametri Modello'!$A$50:$A$53,0))*'Parametri Modello'!$B$44))))*(1+IF(IF($B366="D",'Info Lega'!$B$25,IF($B366="C",'Info Lega'!$B$26,"No"))="Si",'Parametri Modello'!$B$5,0))*(1+MAX(-0.25,MIN(0.25,IF(OR($T366="",$I366="",$I366=0,INDEX('Parametri Modello'!$B$19:$B$22,MATCH($B366,'Parametri Modello'!$A$19:$A$22,0))="",INDEX('Parametri Modello'!$B$19:$B$22,MATCH($B366,'Parametri Modello'!$A$19:$A$22,0))=0),0,(($T366-INDEX('Parametri Modello'!$B$19:$B$22,MATCH($B366,'Parametri Modello'!$A$19:$A$22,0)))/INDEX('Parametri Modello'!$B$19:$B$22,MATCH($B366,'Parametri Modello'!$A$19:$A$22,0)))*'Parametri Modello'!$B$9))))*(1+IF('Parametri Modello'!$B$27="Si",MAX(-'Parametri Modello'!$B$28,MIN('Parametri Modello'!$B$28*1.5,IF(OR(INDEX('Parametri Modello'!$F$32:$F$35,MATCH($B366,'Parametri Modello'!$A$32:$A$35,0))="",INDEX('Parametri Modello'!$F$32:$F$35,MATCH($B366,'Parametri Modello'!$A$32:$A$35,0))=0),0,(1/INDEX('Parametri Modello'!$F$32:$F$35,MATCH($B366,'Parametri Modello'!$A$32:$A$35,0))-1)*'Parametri Modello'!$B$28))),0)))*(1-INDEX('Parametri Modello'!$B$12:$B$15,MATCH($B366,'Parametri Modello'!$A$12:$A$15,0)))),0),"")</f>
        <v>1</v>
      </c>
      <c r="H366" s="24">
        <f>IFERROR(ROUND((IF($V366&lt;=INDEX('Parametri Modello'!$C$57:$C$60,MATCH($B366,'Parametri Modello'!$A$57:$A$60,0)),IF(INDEX('Parametri Modello'!$E$57:$E$60,MATCH($B366,'Parametri Modello'!$A$57:$A$60,0))=0,0,($O366/INDEX('Parametri Modello'!$E$57:$E$60,MATCH($B366,'Parametri Modello'!$A$57:$A$60,0)))*(INDEX('Parametri Modello'!$D$57:$D$60,MATCH($B366,'Parametri Modello'!$A$57:$A$60,0))*(INDEX('Parametri Modello'!$B$50:$B$53,MATCH($B366,'Parametri Modello'!$A$50:$A$53,0))*'Parametri Modello'!$B$44))),IF(INDEX('Parametri Modello'!$F$57:$F$60,MATCH($B366,'Parametri Modello'!$A$57:$A$60,0))=0,0,($O366/INDEX('Parametri Modello'!$F$57:$F$60,MATCH($B366,'Parametri Modello'!$A$57:$A$60,0)))*((1-INDEX('Parametri Modello'!$D$57:$D$60,MATCH($B366,'Parametri Modello'!$A$57:$A$60,0)))*(INDEX('Parametri Modello'!$B$50:$B$53,MATCH($B366,'Parametri Modello'!$A$50:$A$53,0))*'Parametri Modello'!$B$44))))*(1+IF(IF($B366="D",'Info Lega'!$B$25,IF($B366="C",'Info Lega'!$B$26,"No"))="Si",'Parametri Modello'!$B$5,0))*(1+MAX(-0.25,MIN(0.25,IF(OR($T366="",$I366="",$I366=0,INDEX('Parametri Modello'!$B$19:$B$22,MATCH($B366,'Parametri Modello'!$A$19:$A$22,0))="",INDEX('Parametri Modello'!$B$19:$B$22,MATCH($B366,'Parametri Modello'!$A$19:$A$22,0))=0),0,(($T366-INDEX('Parametri Modello'!$B$19:$B$22,MATCH($B366,'Parametri Modello'!$A$19:$A$22,0)))/INDEX('Parametri Modello'!$B$19:$B$22,MATCH($B366,'Parametri Modello'!$A$19:$A$22,0)))*'Parametri Modello'!$B$9))))*(1+IF('Parametri Modello'!$B$27="Si",MAX(-'Parametri Modello'!$B$28,MIN('Parametri Modello'!$B$28*1.5,IF(OR(INDEX('Parametri Modello'!$F$32:$F$35,MATCH($B366,'Parametri Modello'!$A$32:$A$35,0))="",INDEX('Parametri Modello'!$F$32:$F$35,MATCH($B366,'Parametri Modello'!$A$32:$A$35,0))=0),0,(1/INDEX('Parametri Modello'!$F$32:$F$35,MATCH($B366,'Parametri Modello'!$A$32:$A$35,0))-1)*'Parametri Modello'!$B$28))),0)))*(1+INDEX('Parametri Modello'!$B$12:$B$15,MATCH($B366,'Parametri Modello'!$A$12:$A$15,0))),0),"")</f>
        <v>1</v>
      </c>
      <c r="I366" s="23">
        <f>IFERROR(INDEX('Input Statistiche 2025_26'!$F$3:$F$665,MATCH($A366,'Input Statistiche 2025_26'!$A$3:$A$665,0)),"")</f>
        <v>18</v>
      </c>
      <c r="J366" s="23">
        <f t="shared" si="45"/>
        <v>20</v>
      </c>
      <c r="K366" s="23">
        <f>IFERROR(INDEX('Input Statistiche 2025_26'!$I$3:$I$665,MATCH($A366,'Input Statistiche 2025_26'!$A$3:$A$665,0)),"")</f>
        <v>1</v>
      </c>
      <c r="L366" s="23">
        <f>IFERROR(INDEX('Input Statistiche 2025_26'!$O$3:$O$665,MATCH($A366,'Input Statistiche 2025_26'!$A$3:$A$665,0)),"")</f>
        <v>0</v>
      </c>
      <c r="M366" s="25"/>
      <c r="N366" s="24">
        <f>IFERROR(INDEX('Input Giocatori 2026_27'!$E$3:$E$493,MATCH($A366,'Input Giocatori 2026_27'!$A$3:$A$493,0)),"")</f>
        <v>3</v>
      </c>
      <c r="O366" s="24">
        <f>IFERROR(INDEX('Input Giocatori 2026_27'!$G$3:$G$493,MATCH($A366,'Input Giocatori 2026_27'!$A$3:$A$493,0)),"")</f>
        <v>7</v>
      </c>
      <c r="P366" s="23" t="str">
        <f>IFERROR(IF($O366="","",IF((1-(COUNTIFS($B$2:$B$492,$B366,$O$2:$O$492,"&gt;"&amp;$O366)+1-1)/COUNTIF($B$2:$B$492,$B366))&gt;='Parametri Modello'!$B$63,"Top",IF((1-(COUNTIFS($B$2:$B$492,$B366,$O$2:$O$492,"&gt;"&amp;$O366)+1-1)/COUNTIF($B$2:$B$492,$B366))&gt;='Parametri Modello'!$B$64,"Buono",IF((1-(COUNTIFS($B$2:$B$492,$B366,$O$2:$O$492,"&gt;"&amp;$O366)+1-1)/COUNTIF($B$2:$B$492,$B366))&gt;='Parametri Modello'!$B$65,"Nella Media","Scommessa/Riserva")))),"")</f>
        <v>Scommessa/Riserva</v>
      </c>
      <c r="Q366" s="26">
        <f>IF(AND($D366="",$N366&gt;1),SUMPRODUCT(($D$2:$D366="")*($N$2:$N366&gt;1)),"")</f>
        <v>364</v>
      </c>
      <c r="R366" s="26" t="str">
        <f>IF($D366='Info Lega'!$B$28,COUNTIFS($D$2:$D366,'Info Lega'!$B$28),"")</f>
        <v/>
      </c>
      <c r="S366" s="27">
        <f>IFERROR(INDEX('Input Statistiche 2025_26'!$G$3:$G$665,MATCH($A366,'Input Statistiche 2025_26'!$A$3:$A$665,0)),"")</f>
        <v>5.69</v>
      </c>
      <c r="T366" s="27">
        <f>IFERROR(INDEX('Input Statistiche 2025_26'!$H$3:$H$665,MATCH($A366,'Input Statistiche 2025_26'!$A$3:$A$665,0)),"")</f>
        <v>5.78</v>
      </c>
      <c r="U366" s="23" t="str">
        <f>IF(OR('La Mia Rosa'!$O$12="",$D366&lt;&gt;""),"",IF($F366&lt;='La Mia Rosa'!$O$12*'Parametri Modello'!$B$24,"OK",IF($F366&lt;='La Mia Rosa'!$O$12*'Parametri Modello'!$B$25,"Attenzione","Rischio Alto")))</f>
        <v>OK</v>
      </c>
      <c r="V366" s="23">
        <f t="shared" si="46"/>
        <v>137</v>
      </c>
      <c r="W366" s="18">
        <f>'Info Lega'!$B$4-SUMIFS($M$2:$M$492,$D$2:$D$492,'Info Lega'!$B$28)</f>
        <v>1000</v>
      </c>
      <c r="X366" s="18">
        <f>('Info Lega'!$B$5-COUNTIFS($D$2:$D$492,'Info Lega'!$B$28,$B$2:$B$492,"P"))+('Info Lega'!$B$6-COUNTIFS($D$2:$D$492,'Info Lega'!$B$28,$B$2:$B$492,"D"))+('Info Lega'!$B$7-COUNTIFS($D$2:$D$492,'Info Lega'!$B$28,$B$2:$B$492,"C"))+('Info Lega'!$B$8-COUNTIFS($D$2:$D$492,'Info Lega'!$B$28,$B$2:$B$492,"A"))</f>
        <v>25</v>
      </c>
      <c r="Y366" s="18">
        <f>X366*'Parametri Modello'!$B$30</f>
        <v>25</v>
      </c>
      <c r="Z366" s="18">
        <f t="shared" si="47"/>
        <v>975</v>
      </c>
      <c r="AA366" s="18">
        <f t="shared" si="48"/>
        <v>1</v>
      </c>
      <c r="AB366" s="18"/>
      <c r="AC366" s="18" t="str">
        <f>IF($AB366="","",IF($AB366&gt;$AA366,"PASS",IF($AB366&lt;=$AA366*(1-'Parametri Modello'!$B$68),"BID","ATTENZIONE")))</f>
        <v/>
      </c>
      <c r="AD366" s="28">
        <f t="shared" si="49"/>
        <v>45</v>
      </c>
      <c r="AE366" s="5" t="str">
        <f>IFERROR(INDEX('Stato Asta'!$G$9:$G$12,MATCH($B366,'Stato Asta'!$A$9:$A$12,0)),"")</f>
        <v>🔴 Non aspettare</v>
      </c>
      <c r="AF366" t="str">
        <f>IFERROR(IF($V366&lt;=INDEX('Parametri Modello'!$C$57:$C$60,MATCH($B366,'Parametri Modello'!$A$57:$A$60,0)),"Titolare","Riserva"),"")</f>
        <v>Riserva</v>
      </c>
      <c r="AG366" t="str">
        <f>IFERROR(INDEX('Pressione Competitiva'!$F$3:$F$6,MATCH($B366,'Pressione Competitiva'!$B$3:$B$6,0)),"")</f>
        <v>🔴 Molto Alta</v>
      </c>
      <c r="AH366" t="str">
        <f t="shared" si="50"/>
        <v/>
      </c>
      <c r="AI366" t="str">
        <f>IFERROR(IF($AH366="","",IF($AH366&gt;=$AA366*'Parametri Modello'!$B$68,"🟢 Opportunita'",IF($AH366&lt;=$AA366*'Parametri Modello'!$B$69,"🔴 Sovrapprezzo","🟡 Prezzo Corretto"))),"")</f>
        <v/>
      </c>
      <c r="AJ366" t="str">
        <f t="shared" si="51"/>
        <v/>
      </c>
      <c r="AK366">
        <f t="shared" si="52"/>
        <v>33</v>
      </c>
      <c r="AL366" t="str">
        <f t="shared" si="53"/>
        <v>C|Scommessa/Riserva|33</v>
      </c>
    </row>
    <row r="367" spans="1:38" ht="14.25" customHeight="1" x14ac:dyDescent="0.25">
      <c r="A367" s="18">
        <v>4947</v>
      </c>
      <c r="B367" s="18" t="s">
        <v>17</v>
      </c>
      <c r="C367" s="18" t="s">
        <v>506</v>
      </c>
      <c r="E367" s="23" t="str">
        <f>IF(COUNTIF('Info Strategia'!$D$2:$D$51,$C367)&gt;0,"SI","NO")</f>
        <v>NO</v>
      </c>
      <c r="F367" s="24">
        <f>IFERROR(ROUND(($G367+($H367-$G367)*'Info Strategia'!$B$6)*(1+IF($E367="SI",'Parametri Modello'!$B$7*'Info Strategia'!$B$6,0)),0),"")</f>
        <v>1</v>
      </c>
      <c r="G367" s="24">
        <f>IFERROR(ROUND(MAX(1,(IF($V367&lt;=INDEX('Parametri Modello'!$C$57:$C$60,MATCH($B367,'Parametri Modello'!$A$57:$A$60,0)),IF(INDEX('Parametri Modello'!$E$57:$E$60,MATCH($B367,'Parametri Modello'!$A$57:$A$60,0))=0,0,($O367/INDEX('Parametri Modello'!$E$57:$E$60,MATCH($B367,'Parametri Modello'!$A$57:$A$60,0)))*(INDEX('Parametri Modello'!$D$57:$D$60,MATCH($B367,'Parametri Modello'!$A$57:$A$60,0))*(INDEX('Parametri Modello'!$B$50:$B$53,MATCH($B367,'Parametri Modello'!$A$50:$A$53,0))*'Parametri Modello'!$B$44))),IF(INDEX('Parametri Modello'!$F$57:$F$60,MATCH($B367,'Parametri Modello'!$A$57:$A$60,0))=0,0,($O367/INDEX('Parametri Modello'!$F$57:$F$60,MATCH($B367,'Parametri Modello'!$A$57:$A$60,0)))*((1-INDEX('Parametri Modello'!$D$57:$D$60,MATCH($B367,'Parametri Modello'!$A$57:$A$60,0)))*(INDEX('Parametri Modello'!$B$50:$B$53,MATCH($B367,'Parametri Modello'!$A$50:$A$53,0))*'Parametri Modello'!$B$44))))*(1+IF(IF($B367="D",'Info Lega'!$B$25,IF($B367="C",'Info Lega'!$B$26,"No"))="Si",'Parametri Modello'!$B$5,0))*(1+MAX(-0.25,MIN(0.25,IF(OR($T367="",$I367="",$I367=0,INDEX('Parametri Modello'!$B$19:$B$22,MATCH($B367,'Parametri Modello'!$A$19:$A$22,0))="",INDEX('Parametri Modello'!$B$19:$B$22,MATCH($B367,'Parametri Modello'!$A$19:$A$22,0))=0),0,(($T367-INDEX('Parametri Modello'!$B$19:$B$22,MATCH($B367,'Parametri Modello'!$A$19:$A$22,0)))/INDEX('Parametri Modello'!$B$19:$B$22,MATCH($B367,'Parametri Modello'!$A$19:$A$22,0)))*'Parametri Modello'!$B$9))))*(1+IF('Parametri Modello'!$B$27="Si",MAX(-'Parametri Modello'!$B$28,MIN('Parametri Modello'!$B$28*1.5,IF(OR(INDEX('Parametri Modello'!$F$32:$F$35,MATCH($B367,'Parametri Modello'!$A$32:$A$35,0))="",INDEX('Parametri Modello'!$F$32:$F$35,MATCH($B367,'Parametri Modello'!$A$32:$A$35,0))=0),0,(1/INDEX('Parametri Modello'!$F$32:$F$35,MATCH($B367,'Parametri Modello'!$A$32:$A$35,0))-1)*'Parametri Modello'!$B$28))),0)))*(1-INDEX('Parametri Modello'!$B$12:$B$15,MATCH($B367,'Parametri Modello'!$A$12:$A$15,0)))),0),"")</f>
        <v>1</v>
      </c>
      <c r="H367" s="24">
        <f>IFERROR(ROUND((IF($V367&lt;=INDEX('Parametri Modello'!$C$57:$C$60,MATCH($B367,'Parametri Modello'!$A$57:$A$60,0)),IF(INDEX('Parametri Modello'!$E$57:$E$60,MATCH($B367,'Parametri Modello'!$A$57:$A$60,0))=0,0,($O367/INDEX('Parametri Modello'!$E$57:$E$60,MATCH($B367,'Parametri Modello'!$A$57:$A$60,0)))*(INDEX('Parametri Modello'!$D$57:$D$60,MATCH($B367,'Parametri Modello'!$A$57:$A$60,0))*(INDEX('Parametri Modello'!$B$50:$B$53,MATCH($B367,'Parametri Modello'!$A$50:$A$53,0))*'Parametri Modello'!$B$44))),IF(INDEX('Parametri Modello'!$F$57:$F$60,MATCH($B367,'Parametri Modello'!$A$57:$A$60,0))=0,0,($O367/INDEX('Parametri Modello'!$F$57:$F$60,MATCH($B367,'Parametri Modello'!$A$57:$A$60,0)))*((1-INDEX('Parametri Modello'!$D$57:$D$60,MATCH($B367,'Parametri Modello'!$A$57:$A$60,0)))*(INDEX('Parametri Modello'!$B$50:$B$53,MATCH($B367,'Parametri Modello'!$A$50:$A$53,0))*'Parametri Modello'!$B$44))))*(1+IF(IF($B367="D",'Info Lega'!$B$25,IF($B367="C",'Info Lega'!$B$26,"No"))="Si",'Parametri Modello'!$B$5,0))*(1+MAX(-0.25,MIN(0.25,IF(OR($T367="",$I367="",$I367=0,INDEX('Parametri Modello'!$B$19:$B$22,MATCH($B367,'Parametri Modello'!$A$19:$A$22,0))="",INDEX('Parametri Modello'!$B$19:$B$22,MATCH($B367,'Parametri Modello'!$A$19:$A$22,0))=0),0,(($T367-INDEX('Parametri Modello'!$B$19:$B$22,MATCH($B367,'Parametri Modello'!$A$19:$A$22,0)))/INDEX('Parametri Modello'!$B$19:$B$22,MATCH($B367,'Parametri Modello'!$A$19:$A$22,0)))*'Parametri Modello'!$B$9))))*(1+IF('Parametri Modello'!$B$27="Si",MAX(-'Parametri Modello'!$B$28,MIN('Parametri Modello'!$B$28*1.5,IF(OR(INDEX('Parametri Modello'!$F$32:$F$35,MATCH($B367,'Parametri Modello'!$A$32:$A$35,0))="",INDEX('Parametri Modello'!$F$32:$F$35,MATCH($B367,'Parametri Modello'!$A$32:$A$35,0))=0),0,(1/INDEX('Parametri Modello'!$F$32:$F$35,MATCH($B367,'Parametri Modello'!$A$32:$A$35,0))-1)*'Parametri Modello'!$B$28))),0)))*(1+INDEX('Parametri Modello'!$B$12:$B$15,MATCH($B367,'Parametri Modello'!$A$12:$A$15,0))),0),"")</f>
        <v>1</v>
      </c>
      <c r="I367" s="23">
        <f>IFERROR(INDEX('Input Statistiche 2025_26'!$F$3:$F$665,MATCH($A367,'Input Statistiche 2025_26'!$A$3:$A$665,0)),"")</f>
        <v>18</v>
      </c>
      <c r="J367" s="23">
        <f t="shared" si="45"/>
        <v>20</v>
      </c>
      <c r="K367" s="23">
        <f>IFERROR(INDEX('Input Statistiche 2025_26'!$I$3:$I$665,MATCH($A367,'Input Statistiche 2025_26'!$A$3:$A$665,0)),"")</f>
        <v>2</v>
      </c>
      <c r="L367" s="23">
        <f>IFERROR(INDEX('Input Statistiche 2025_26'!$O$3:$O$665,MATCH($A367,'Input Statistiche 2025_26'!$A$3:$A$665,0)),"")</f>
        <v>1</v>
      </c>
      <c r="M367" s="25"/>
      <c r="N367" s="24">
        <f>IFERROR(INDEX('Input Giocatori 2026_27'!$E$3:$E$493,MATCH($A367,'Input Giocatori 2026_27'!$A$3:$A$493,0)),"")</f>
        <v>3</v>
      </c>
      <c r="O367" s="24">
        <f>IFERROR(INDEX('Input Giocatori 2026_27'!$G$3:$G$493,MATCH($A367,'Input Giocatori 2026_27'!$A$3:$A$493,0)),"")</f>
        <v>7</v>
      </c>
      <c r="P367" s="23" t="str">
        <f>IFERROR(IF($O367="","",IF((1-(COUNTIFS($B$2:$B$492,$B367,$O$2:$O$492,"&gt;"&amp;$O367)+1-1)/COUNTIF($B$2:$B$492,$B367))&gt;='Parametri Modello'!$B$63,"Top",IF((1-(COUNTIFS($B$2:$B$492,$B367,$O$2:$O$492,"&gt;"&amp;$O367)+1-1)/COUNTIF($B$2:$B$492,$B367))&gt;='Parametri Modello'!$B$64,"Buono",IF((1-(COUNTIFS($B$2:$B$492,$B367,$O$2:$O$492,"&gt;"&amp;$O367)+1-1)/COUNTIF($B$2:$B$492,$B367))&gt;='Parametri Modello'!$B$65,"Nella Media","Scommessa/Riserva")))),"")</f>
        <v>Scommessa/Riserva</v>
      </c>
      <c r="Q367" s="26">
        <f>IF(AND($D367="",$N367&gt;1),SUMPRODUCT(($D$2:$D367="")*($N$2:$N367&gt;1)),"")</f>
        <v>365</v>
      </c>
      <c r="R367" s="26" t="str">
        <f>IF($D367='Info Lega'!$B$28,COUNTIFS($D$2:$D367,'Info Lega'!$B$28),"")</f>
        <v/>
      </c>
      <c r="S367" s="27">
        <f>IFERROR(INDEX('Input Statistiche 2025_26'!$G$3:$G$665,MATCH($A367,'Input Statistiche 2025_26'!$A$3:$A$665,0)),"")</f>
        <v>5.97</v>
      </c>
      <c r="T367" s="27">
        <f>IFERROR(INDEX('Input Statistiche 2025_26'!$H$3:$H$665,MATCH($A367,'Input Statistiche 2025_26'!$A$3:$A$665,0)),"")</f>
        <v>6.31</v>
      </c>
      <c r="U367" s="23" t="str">
        <f>IF(OR('La Mia Rosa'!$O$12="",$D367&lt;&gt;""),"",IF($F367&lt;='La Mia Rosa'!$O$12*'Parametri Modello'!$B$24,"OK",IF($F367&lt;='La Mia Rosa'!$O$12*'Parametri Modello'!$B$25,"Attenzione","Rischio Alto")))</f>
        <v>OK</v>
      </c>
      <c r="V367" s="23">
        <f t="shared" si="46"/>
        <v>137</v>
      </c>
      <c r="W367" s="18">
        <f>'Info Lega'!$B$4-SUMIFS($M$2:$M$492,$D$2:$D$492,'Info Lega'!$B$28)</f>
        <v>1000</v>
      </c>
      <c r="X367" s="18">
        <f>('Info Lega'!$B$5-COUNTIFS($D$2:$D$492,'Info Lega'!$B$28,$B$2:$B$492,"P"))+('Info Lega'!$B$6-COUNTIFS($D$2:$D$492,'Info Lega'!$B$28,$B$2:$B$492,"D"))+('Info Lega'!$B$7-COUNTIFS($D$2:$D$492,'Info Lega'!$B$28,$B$2:$B$492,"C"))+('Info Lega'!$B$8-COUNTIFS($D$2:$D$492,'Info Lega'!$B$28,$B$2:$B$492,"A"))</f>
        <v>25</v>
      </c>
      <c r="Y367" s="18">
        <f>X367*'Parametri Modello'!$B$30</f>
        <v>25</v>
      </c>
      <c r="Z367" s="18">
        <f t="shared" si="47"/>
        <v>975</v>
      </c>
      <c r="AA367" s="18">
        <f t="shared" si="48"/>
        <v>1</v>
      </c>
      <c r="AB367" s="18"/>
      <c r="AC367" s="18" t="str">
        <f>IF($AB367="","",IF($AB367&gt;$AA367,"PASS",IF($AB367&lt;=$AA367*(1-'Parametri Modello'!$B$68),"BID","ATTENZIONE")))</f>
        <v/>
      </c>
      <c r="AD367" s="28">
        <f t="shared" si="49"/>
        <v>45</v>
      </c>
      <c r="AE367" s="5" t="str">
        <f>IFERROR(INDEX('Stato Asta'!$G$9:$G$12,MATCH($B367,'Stato Asta'!$A$9:$A$12,0)),"")</f>
        <v>🔴 Non aspettare</v>
      </c>
      <c r="AF367" t="str">
        <f>IFERROR(IF($V367&lt;=INDEX('Parametri Modello'!$C$57:$C$60,MATCH($B367,'Parametri Modello'!$A$57:$A$60,0)),"Titolare","Riserva"),"")</f>
        <v>Riserva</v>
      </c>
      <c r="AG367" t="str">
        <f>IFERROR(INDEX('Pressione Competitiva'!$F$3:$F$6,MATCH($B367,'Pressione Competitiva'!$B$3:$B$6,0)),"")</f>
        <v>🔴 Molto Alta</v>
      </c>
      <c r="AH367" t="str">
        <f t="shared" si="50"/>
        <v/>
      </c>
      <c r="AI367" t="str">
        <f>IFERROR(IF($AH367="","",IF($AH367&gt;=$AA367*'Parametri Modello'!$B$68,"🟢 Opportunita'",IF($AH367&lt;=$AA367*'Parametri Modello'!$B$69,"🔴 Sovrapprezzo","🟡 Prezzo Corretto"))),"")</f>
        <v/>
      </c>
      <c r="AJ367" t="str">
        <f t="shared" si="51"/>
        <v/>
      </c>
      <c r="AK367">
        <f t="shared" si="52"/>
        <v>33</v>
      </c>
      <c r="AL367" t="str">
        <f t="shared" si="53"/>
        <v>C|Scommessa/Riserva|33</v>
      </c>
    </row>
    <row r="368" spans="1:38" ht="14.25" customHeight="1" x14ac:dyDescent="0.25">
      <c r="A368" s="18">
        <v>7477</v>
      </c>
      <c r="B368" s="18" t="s">
        <v>17</v>
      </c>
      <c r="C368" s="18" t="s">
        <v>507</v>
      </c>
      <c r="E368" s="23" t="str">
        <f>IF(COUNTIF('Info Strategia'!$D$2:$D$51,$C368)&gt;0,"SI","NO")</f>
        <v>NO</v>
      </c>
      <c r="F368" s="24">
        <f>IFERROR(ROUND(($G368+($H368-$G368)*'Info Strategia'!$B$6)*(1+IF($E368="SI",'Parametri Modello'!$B$7*'Info Strategia'!$B$6,0)),0),"")</f>
        <v>1</v>
      </c>
      <c r="G368" s="24">
        <f>IFERROR(ROUND(MAX(1,(IF($V368&lt;=INDEX('Parametri Modello'!$C$57:$C$60,MATCH($B368,'Parametri Modello'!$A$57:$A$60,0)),IF(INDEX('Parametri Modello'!$E$57:$E$60,MATCH($B368,'Parametri Modello'!$A$57:$A$60,0))=0,0,($O368/INDEX('Parametri Modello'!$E$57:$E$60,MATCH($B368,'Parametri Modello'!$A$57:$A$60,0)))*(INDEX('Parametri Modello'!$D$57:$D$60,MATCH($B368,'Parametri Modello'!$A$57:$A$60,0))*(INDEX('Parametri Modello'!$B$50:$B$53,MATCH($B368,'Parametri Modello'!$A$50:$A$53,0))*'Parametri Modello'!$B$44))),IF(INDEX('Parametri Modello'!$F$57:$F$60,MATCH($B368,'Parametri Modello'!$A$57:$A$60,0))=0,0,($O368/INDEX('Parametri Modello'!$F$57:$F$60,MATCH($B368,'Parametri Modello'!$A$57:$A$60,0)))*((1-INDEX('Parametri Modello'!$D$57:$D$60,MATCH($B368,'Parametri Modello'!$A$57:$A$60,0)))*(INDEX('Parametri Modello'!$B$50:$B$53,MATCH($B368,'Parametri Modello'!$A$50:$A$53,0))*'Parametri Modello'!$B$44))))*(1+IF(IF($B368="D",'Info Lega'!$B$25,IF($B368="C",'Info Lega'!$B$26,"No"))="Si",'Parametri Modello'!$B$5,0))*(1+MAX(-0.25,MIN(0.25,IF(OR($T368="",$I368="",$I368=0,INDEX('Parametri Modello'!$B$19:$B$22,MATCH($B368,'Parametri Modello'!$A$19:$A$22,0))="",INDEX('Parametri Modello'!$B$19:$B$22,MATCH($B368,'Parametri Modello'!$A$19:$A$22,0))=0),0,(($T368-INDEX('Parametri Modello'!$B$19:$B$22,MATCH($B368,'Parametri Modello'!$A$19:$A$22,0)))/INDEX('Parametri Modello'!$B$19:$B$22,MATCH($B368,'Parametri Modello'!$A$19:$A$22,0)))*'Parametri Modello'!$B$9))))*(1+IF('Parametri Modello'!$B$27="Si",MAX(-'Parametri Modello'!$B$28,MIN('Parametri Modello'!$B$28*1.5,IF(OR(INDEX('Parametri Modello'!$F$32:$F$35,MATCH($B368,'Parametri Modello'!$A$32:$A$35,0))="",INDEX('Parametri Modello'!$F$32:$F$35,MATCH($B368,'Parametri Modello'!$A$32:$A$35,0))=0),0,(1/INDEX('Parametri Modello'!$F$32:$F$35,MATCH($B368,'Parametri Modello'!$A$32:$A$35,0))-1)*'Parametri Modello'!$B$28))),0)))*(1-INDEX('Parametri Modello'!$B$12:$B$15,MATCH($B368,'Parametri Modello'!$A$12:$A$15,0)))),0),"")</f>
        <v>1</v>
      </c>
      <c r="H368" s="24">
        <f>IFERROR(ROUND((IF($V368&lt;=INDEX('Parametri Modello'!$C$57:$C$60,MATCH($B368,'Parametri Modello'!$A$57:$A$60,0)),IF(INDEX('Parametri Modello'!$E$57:$E$60,MATCH($B368,'Parametri Modello'!$A$57:$A$60,0))=0,0,($O368/INDEX('Parametri Modello'!$E$57:$E$60,MATCH($B368,'Parametri Modello'!$A$57:$A$60,0)))*(INDEX('Parametri Modello'!$D$57:$D$60,MATCH($B368,'Parametri Modello'!$A$57:$A$60,0))*(INDEX('Parametri Modello'!$B$50:$B$53,MATCH($B368,'Parametri Modello'!$A$50:$A$53,0))*'Parametri Modello'!$B$44))),IF(INDEX('Parametri Modello'!$F$57:$F$60,MATCH($B368,'Parametri Modello'!$A$57:$A$60,0))=0,0,($O368/INDEX('Parametri Modello'!$F$57:$F$60,MATCH($B368,'Parametri Modello'!$A$57:$A$60,0)))*((1-INDEX('Parametri Modello'!$D$57:$D$60,MATCH($B368,'Parametri Modello'!$A$57:$A$60,0)))*(INDEX('Parametri Modello'!$B$50:$B$53,MATCH($B368,'Parametri Modello'!$A$50:$A$53,0))*'Parametri Modello'!$B$44))))*(1+IF(IF($B368="D",'Info Lega'!$B$25,IF($B368="C",'Info Lega'!$B$26,"No"))="Si",'Parametri Modello'!$B$5,0))*(1+MAX(-0.25,MIN(0.25,IF(OR($T368="",$I368="",$I368=0,INDEX('Parametri Modello'!$B$19:$B$22,MATCH($B368,'Parametri Modello'!$A$19:$A$22,0))="",INDEX('Parametri Modello'!$B$19:$B$22,MATCH($B368,'Parametri Modello'!$A$19:$A$22,0))=0),0,(($T368-INDEX('Parametri Modello'!$B$19:$B$22,MATCH($B368,'Parametri Modello'!$A$19:$A$22,0)))/INDEX('Parametri Modello'!$B$19:$B$22,MATCH($B368,'Parametri Modello'!$A$19:$A$22,0)))*'Parametri Modello'!$B$9))))*(1+IF('Parametri Modello'!$B$27="Si",MAX(-'Parametri Modello'!$B$28,MIN('Parametri Modello'!$B$28*1.5,IF(OR(INDEX('Parametri Modello'!$F$32:$F$35,MATCH($B368,'Parametri Modello'!$A$32:$A$35,0))="",INDEX('Parametri Modello'!$F$32:$F$35,MATCH($B368,'Parametri Modello'!$A$32:$A$35,0))=0),0,(1/INDEX('Parametri Modello'!$F$32:$F$35,MATCH($B368,'Parametri Modello'!$A$32:$A$35,0))-1)*'Parametri Modello'!$B$28))),0)))*(1+INDEX('Parametri Modello'!$B$12:$B$15,MATCH($B368,'Parametri Modello'!$A$12:$A$15,0))),0),"")</f>
        <v>1</v>
      </c>
      <c r="I368" s="23" t="str">
        <f>IFERROR(INDEX('Input Statistiche 2025_26'!$F$3:$F$665,MATCH($A368,'Input Statistiche 2025_26'!$A$3:$A$665,0)),"")</f>
        <v/>
      </c>
      <c r="J368" s="23" t="str">
        <f t="shared" si="45"/>
        <v/>
      </c>
      <c r="K368" s="23" t="str">
        <f>IFERROR(INDEX('Input Statistiche 2025_26'!$I$3:$I$665,MATCH($A368,'Input Statistiche 2025_26'!$A$3:$A$665,0)),"")</f>
        <v/>
      </c>
      <c r="L368" s="23" t="str">
        <f>IFERROR(INDEX('Input Statistiche 2025_26'!$O$3:$O$665,MATCH($A368,'Input Statistiche 2025_26'!$A$3:$A$665,0)),"")</f>
        <v/>
      </c>
      <c r="M368" s="25"/>
      <c r="N368" s="24">
        <f>IFERROR(INDEX('Input Giocatori 2026_27'!$E$3:$E$493,MATCH($A368,'Input Giocatori 2026_27'!$A$3:$A$493,0)),"")</f>
        <v>3</v>
      </c>
      <c r="O368" s="24">
        <f>IFERROR(INDEX('Input Giocatori 2026_27'!$G$3:$G$493,MATCH($A368,'Input Giocatori 2026_27'!$A$3:$A$493,0)),"")</f>
        <v>7</v>
      </c>
      <c r="P368" s="23" t="str">
        <f>IFERROR(IF($O368="","",IF((1-(COUNTIFS($B$2:$B$492,$B368,$O$2:$O$492,"&gt;"&amp;$O368)+1-1)/COUNTIF($B$2:$B$492,$B368))&gt;='Parametri Modello'!$B$63,"Top",IF((1-(COUNTIFS($B$2:$B$492,$B368,$O$2:$O$492,"&gt;"&amp;$O368)+1-1)/COUNTIF($B$2:$B$492,$B368))&gt;='Parametri Modello'!$B$64,"Buono",IF((1-(COUNTIFS($B$2:$B$492,$B368,$O$2:$O$492,"&gt;"&amp;$O368)+1-1)/COUNTIF($B$2:$B$492,$B368))&gt;='Parametri Modello'!$B$65,"Nella Media","Scommessa/Riserva")))),"")</f>
        <v>Scommessa/Riserva</v>
      </c>
      <c r="Q368" s="26">
        <f>IF(AND($D368="",$N368&gt;1),SUMPRODUCT(($D$2:$D368="")*($N$2:$N368&gt;1)),"")</f>
        <v>366</v>
      </c>
      <c r="R368" s="26" t="str">
        <f>IF($D368='Info Lega'!$B$28,COUNTIFS($D$2:$D368,'Info Lega'!$B$28),"")</f>
        <v/>
      </c>
      <c r="S368" s="27" t="str">
        <f>IFERROR(INDEX('Input Statistiche 2025_26'!$G$3:$G$665,MATCH($A368,'Input Statistiche 2025_26'!$A$3:$A$665,0)),"")</f>
        <v/>
      </c>
      <c r="T368" s="27" t="str">
        <f>IFERROR(INDEX('Input Statistiche 2025_26'!$H$3:$H$665,MATCH($A368,'Input Statistiche 2025_26'!$A$3:$A$665,0)),"")</f>
        <v/>
      </c>
      <c r="U368" s="23" t="str">
        <f>IF(OR('La Mia Rosa'!$O$12="",$D368&lt;&gt;""),"",IF($F368&lt;='La Mia Rosa'!$O$12*'Parametri Modello'!$B$24,"OK",IF($F368&lt;='La Mia Rosa'!$O$12*'Parametri Modello'!$B$25,"Attenzione","Rischio Alto")))</f>
        <v>OK</v>
      </c>
      <c r="V368" s="23">
        <f t="shared" si="46"/>
        <v>137</v>
      </c>
      <c r="W368" s="18">
        <f>'Info Lega'!$B$4-SUMIFS($M$2:$M$492,$D$2:$D$492,'Info Lega'!$B$28)</f>
        <v>1000</v>
      </c>
      <c r="X368" s="18">
        <f>('Info Lega'!$B$5-COUNTIFS($D$2:$D$492,'Info Lega'!$B$28,$B$2:$B$492,"P"))+('Info Lega'!$B$6-COUNTIFS($D$2:$D$492,'Info Lega'!$B$28,$B$2:$B$492,"D"))+('Info Lega'!$B$7-COUNTIFS($D$2:$D$492,'Info Lega'!$B$28,$B$2:$B$492,"C"))+('Info Lega'!$B$8-COUNTIFS($D$2:$D$492,'Info Lega'!$B$28,$B$2:$B$492,"A"))</f>
        <v>25</v>
      </c>
      <c r="Y368" s="18">
        <f>X368*'Parametri Modello'!$B$30</f>
        <v>25</v>
      </c>
      <c r="Z368" s="18">
        <f t="shared" si="47"/>
        <v>975</v>
      </c>
      <c r="AA368" s="18">
        <f t="shared" si="48"/>
        <v>1</v>
      </c>
      <c r="AB368" s="18"/>
      <c r="AC368" s="18" t="str">
        <f>IF($AB368="","",IF($AB368&gt;$AA368,"PASS",IF($AB368&lt;=$AA368*(1-'Parametri Modello'!$B$68),"BID","ATTENZIONE")))</f>
        <v/>
      </c>
      <c r="AD368" s="28" t="str">
        <f t="shared" si="49"/>
        <v/>
      </c>
      <c r="AE368" s="5" t="str">
        <f>IFERROR(INDEX('Stato Asta'!$G$9:$G$12,MATCH($B368,'Stato Asta'!$A$9:$A$12,0)),"")</f>
        <v>🔴 Non aspettare</v>
      </c>
      <c r="AF368" t="str">
        <f>IFERROR(IF($V368&lt;=INDEX('Parametri Modello'!$C$57:$C$60,MATCH($B368,'Parametri Modello'!$A$57:$A$60,0)),"Titolare","Riserva"),"")</f>
        <v>Riserva</v>
      </c>
      <c r="AG368" t="str">
        <f>IFERROR(INDEX('Pressione Competitiva'!$F$3:$F$6,MATCH($B368,'Pressione Competitiva'!$B$3:$B$6,0)),"")</f>
        <v>🔴 Molto Alta</v>
      </c>
      <c r="AH368" t="str">
        <f t="shared" si="50"/>
        <v/>
      </c>
      <c r="AI368" t="str">
        <f>IFERROR(IF($AH368="","",IF($AH368&gt;=$AA368*'Parametri Modello'!$B$68,"🟢 Opportunita'",IF($AH368&lt;=$AA368*'Parametri Modello'!$B$69,"🔴 Sovrapprezzo","🟡 Prezzo Corretto"))),"")</f>
        <v/>
      </c>
      <c r="AJ368" t="str">
        <f t="shared" si="51"/>
        <v/>
      </c>
      <c r="AK368">
        <f t="shared" si="52"/>
        <v>33</v>
      </c>
      <c r="AL368" t="str">
        <f t="shared" si="53"/>
        <v>C|Scommessa/Riserva|33</v>
      </c>
    </row>
    <row r="369" spans="1:38" ht="14.25" customHeight="1" x14ac:dyDescent="0.25">
      <c r="A369" s="18">
        <v>5872</v>
      </c>
      <c r="B369" s="18" t="s">
        <v>17</v>
      </c>
      <c r="C369" s="18" t="s">
        <v>508</v>
      </c>
      <c r="E369" s="23" t="str">
        <f>IF(COUNTIF('Info Strategia'!$D$2:$D$51,$C369)&gt;0,"SI","NO")</f>
        <v>NO</v>
      </c>
      <c r="F369" s="24">
        <f>IFERROR(ROUND(($G369+($H369-$G369)*'Info Strategia'!$B$6)*(1+IF($E369="SI",'Parametri Modello'!$B$7*'Info Strategia'!$B$6,0)),0),"")</f>
        <v>1</v>
      </c>
      <c r="G369" s="24">
        <f>IFERROR(ROUND(MAX(1,(IF($V369&lt;=INDEX('Parametri Modello'!$C$57:$C$60,MATCH($B369,'Parametri Modello'!$A$57:$A$60,0)),IF(INDEX('Parametri Modello'!$E$57:$E$60,MATCH($B369,'Parametri Modello'!$A$57:$A$60,0))=0,0,($O369/INDEX('Parametri Modello'!$E$57:$E$60,MATCH($B369,'Parametri Modello'!$A$57:$A$60,0)))*(INDEX('Parametri Modello'!$D$57:$D$60,MATCH($B369,'Parametri Modello'!$A$57:$A$60,0))*(INDEX('Parametri Modello'!$B$50:$B$53,MATCH($B369,'Parametri Modello'!$A$50:$A$53,0))*'Parametri Modello'!$B$44))),IF(INDEX('Parametri Modello'!$F$57:$F$60,MATCH($B369,'Parametri Modello'!$A$57:$A$60,0))=0,0,($O369/INDEX('Parametri Modello'!$F$57:$F$60,MATCH($B369,'Parametri Modello'!$A$57:$A$60,0)))*((1-INDEX('Parametri Modello'!$D$57:$D$60,MATCH($B369,'Parametri Modello'!$A$57:$A$60,0)))*(INDEX('Parametri Modello'!$B$50:$B$53,MATCH($B369,'Parametri Modello'!$A$50:$A$53,0))*'Parametri Modello'!$B$44))))*(1+IF(IF($B369="D",'Info Lega'!$B$25,IF($B369="C",'Info Lega'!$B$26,"No"))="Si",'Parametri Modello'!$B$5,0))*(1+MAX(-0.25,MIN(0.25,IF(OR($T369="",$I369="",$I369=0,INDEX('Parametri Modello'!$B$19:$B$22,MATCH($B369,'Parametri Modello'!$A$19:$A$22,0))="",INDEX('Parametri Modello'!$B$19:$B$22,MATCH($B369,'Parametri Modello'!$A$19:$A$22,0))=0),0,(($T369-INDEX('Parametri Modello'!$B$19:$B$22,MATCH($B369,'Parametri Modello'!$A$19:$A$22,0)))/INDEX('Parametri Modello'!$B$19:$B$22,MATCH($B369,'Parametri Modello'!$A$19:$A$22,0)))*'Parametri Modello'!$B$9))))*(1+IF('Parametri Modello'!$B$27="Si",MAX(-'Parametri Modello'!$B$28,MIN('Parametri Modello'!$B$28*1.5,IF(OR(INDEX('Parametri Modello'!$F$32:$F$35,MATCH($B369,'Parametri Modello'!$A$32:$A$35,0))="",INDEX('Parametri Modello'!$F$32:$F$35,MATCH($B369,'Parametri Modello'!$A$32:$A$35,0))=0),0,(1/INDEX('Parametri Modello'!$F$32:$F$35,MATCH($B369,'Parametri Modello'!$A$32:$A$35,0))-1)*'Parametri Modello'!$B$28))),0)))*(1-INDEX('Parametri Modello'!$B$12:$B$15,MATCH($B369,'Parametri Modello'!$A$12:$A$15,0)))),0),"")</f>
        <v>1</v>
      </c>
      <c r="H369" s="24">
        <f>IFERROR(ROUND((IF($V369&lt;=INDEX('Parametri Modello'!$C$57:$C$60,MATCH($B369,'Parametri Modello'!$A$57:$A$60,0)),IF(INDEX('Parametri Modello'!$E$57:$E$60,MATCH($B369,'Parametri Modello'!$A$57:$A$60,0))=0,0,($O369/INDEX('Parametri Modello'!$E$57:$E$60,MATCH($B369,'Parametri Modello'!$A$57:$A$60,0)))*(INDEX('Parametri Modello'!$D$57:$D$60,MATCH($B369,'Parametri Modello'!$A$57:$A$60,0))*(INDEX('Parametri Modello'!$B$50:$B$53,MATCH($B369,'Parametri Modello'!$A$50:$A$53,0))*'Parametri Modello'!$B$44))),IF(INDEX('Parametri Modello'!$F$57:$F$60,MATCH($B369,'Parametri Modello'!$A$57:$A$60,0))=0,0,($O369/INDEX('Parametri Modello'!$F$57:$F$60,MATCH($B369,'Parametri Modello'!$A$57:$A$60,0)))*((1-INDEX('Parametri Modello'!$D$57:$D$60,MATCH($B369,'Parametri Modello'!$A$57:$A$60,0)))*(INDEX('Parametri Modello'!$B$50:$B$53,MATCH($B369,'Parametri Modello'!$A$50:$A$53,0))*'Parametri Modello'!$B$44))))*(1+IF(IF($B369="D",'Info Lega'!$B$25,IF($B369="C",'Info Lega'!$B$26,"No"))="Si",'Parametri Modello'!$B$5,0))*(1+MAX(-0.25,MIN(0.25,IF(OR($T369="",$I369="",$I369=0,INDEX('Parametri Modello'!$B$19:$B$22,MATCH($B369,'Parametri Modello'!$A$19:$A$22,0))="",INDEX('Parametri Modello'!$B$19:$B$22,MATCH($B369,'Parametri Modello'!$A$19:$A$22,0))=0),0,(($T369-INDEX('Parametri Modello'!$B$19:$B$22,MATCH($B369,'Parametri Modello'!$A$19:$A$22,0)))/INDEX('Parametri Modello'!$B$19:$B$22,MATCH($B369,'Parametri Modello'!$A$19:$A$22,0)))*'Parametri Modello'!$B$9))))*(1+IF('Parametri Modello'!$B$27="Si",MAX(-'Parametri Modello'!$B$28,MIN('Parametri Modello'!$B$28*1.5,IF(OR(INDEX('Parametri Modello'!$F$32:$F$35,MATCH($B369,'Parametri Modello'!$A$32:$A$35,0))="",INDEX('Parametri Modello'!$F$32:$F$35,MATCH($B369,'Parametri Modello'!$A$32:$A$35,0))=0),0,(1/INDEX('Parametri Modello'!$F$32:$F$35,MATCH($B369,'Parametri Modello'!$A$32:$A$35,0))-1)*'Parametri Modello'!$B$28))),0)))*(1+INDEX('Parametri Modello'!$B$12:$B$15,MATCH($B369,'Parametri Modello'!$A$12:$A$15,0))),0),"")</f>
        <v>1</v>
      </c>
      <c r="I369" s="23">
        <f>IFERROR(INDEX('Input Statistiche 2025_26'!$F$3:$F$665,MATCH($A369,'Input Statistiche 2025_26'!$A$3:$A$665,0)),"")</f>
        <v>4</v>
      </c>
      <c r="J369" s="23">
        <f t="shared" si="45"/>
        <v>34</v>
      </c>
      <c r="K369" s="23">
        <f>IFERROR(INDEX('Input Statistiche 2025_26'!$I$3:$I$665,MATCH($A369,'Input Statistiche 2025_26'!$A$3:$A$665,0)),"")</f>
        <v>0</v>
      </c>
      <c r="L369" s="23">
        <f>IFERROR(INDEX('Input Statistiche 2025_26'!$O$3:$O$665,MATCH($A369,'Input Statistiche 2025_26'!$A$3:$A$665,0)),"")</f>
        <v>0</v>
      </c>
      <c r="M369" s="25"/>
      <c r="N369" s="24">
        <f>IFERROR(INDEX('Input Giocatori 2026_27'!$E$3:$E$493,MATCH($A369,'Input Giocatori 2026_27'!$A$3:$A$493,0)),"")</f>
        <v>3</v>
      </c>
      <c r="O369" s="24">
        <f>IFERROR(INDEX('Input Giocatori 2026_27'!$G$3:$G$493,MATCH($A369,'Input Giocatori 2026_27'!$A$3:$A$493,0)),"")</f>
        <v>7</v>
      </c>
      <c r="P369" s="23" t="str">
        <f>IFERROR(IF($O369="","",IF((1-(COUNTIFS($B$2:$B$492,$B369,$O$2:$O$492,"&gt;"&amp;$O369)+1-1)/COUNTIF($B$2:$B$492,$B369))&gt;='Parametri Modello'!$B$63,"Top",IF((1-(COUNTIFS($B$2:$B$492,$B369,$O$2:$O$492,"&gt;"&amp;$O369)+1-1)/COUNTIF($B$2:$B$492,$B369))&gt;='Parametri Modello'!$B$64,"Buono",IF((1-(COUNTIFS($B$2:$B$492,$B369,$O$2:$O$492,"&gt;"&amp;$O369)+1-1)/COUNTIF($B$2:$B$492,$B369))&gt;='Parametri Modello'!$B$65,"Nella Media","Scommessa/Riserva")))),"")</f>
        <v>Scommessa/Riserva</v>
      </c>
      <c r="Q369" s="26">
        <f>IF(AND($D369="",$N369&gt;1),SUMPRODUCT(($D$2:$D369="")*($N$2:$N369&gt;1)),"")</f>
        <v>367</v>
      </c>
      <c r="R369" s="26" t="str">
        <f>IF($D369='Info Lega'!$B$28,COUNTIFS($D$2:$D369,'Info Lega'!$B$28),"")</f>
        <v/>
      </c>
      <c r="S369" s="27">
        <f>IFERROR(INDEX('Input Statistiche 2025_26'!$G$3:$G$665,MATCH($A369,'Input Statistiche 2025_26'!$A$3:$A$665,0)),"")</f>
        <v>5.62</v>
      </c>
      <c r="T369" s="27">
        <f>IFERROR(INDEX('Input Statistiche 2025_26'!$H$3:$H$665,MATCH($A369,'Input Statistiche 2025_26'!$A$3:$A$665,0)),"")</f>
        <v>5.62</v>
      </c>
      <c r="U369" s="23" t="str">
        <f>IF(OR('La Mia Rosa'!$O$12="",$D369&lt;&gt;""),"",IF($F369&lt;='La Mia Rosa'!$O$12*'Parametri Modello'!$B$24,"OK",IF($F369&lt;='La Mia Rosa'!$O$12*'Parametri Modello'!$B$25,"Attenzione","Rischio Alto")))</f>
        <v>OK</v>
      </c>
      <c r="V369" s="23">
        <f t="shared" si="46"/>
        <v>137</v>
      </c>
      <c r="W369" s="18">
        <f>'Info Lega'!$B$4-SUMIFS($M$2:$M$492,$D$2:$D$492,'Info Lega'!$B$28)</f>
        <v>1000</v>
      </c>
      <c r="X369" s="18">
        <f>('Info Lega'!$B$5-COUNTIFS($D$2:$D$492,'Info Lega'!$B$28,$B$2:$B$492,"P"))+('Info Lega'!$B$6-COUNTIFS($D$2:$D$492,'Info Lega'!$B$28,$B$2:$B$492,"D"))+('Info Lega'!$B$7-COUNTIFS($D$2:$D$492,'Info Lega'!$B$28,$B$2:$B$492,"C"))+('Info Lega'!$B$8-COUNTIFS($D$2:$D$492,'Info Lega'!$B$28,$B$2:$B$492,"A"))</f>
        <v>25</v>
      </c>
      <c r="Y369" s="18">
        <f>X369*'Parametri Modello'!$B$30</f>
        <v>25</v>
      </c>
      <c r="Z369" s="18">
        <f t="shared" si="47"/>
        <v>975</v>
      </c>
      <c r="AA369" s="18">
        <f t="shared" si="48"/>
        <v>1</v>
      </c>
      <c r="AB369" s="18"/>
      <c r="AC369" s="18" t="str">
        <f>IF($AB369="","",IF($AB369&gt;$AA369,"PASS",IF($AB369&lt;=$AA369*(1-'Parametri Modello'!$B$68),"BID","ATTENZIONE")))</f>
        <v/>
      </c>
      <c r="AD369" s="28">
        <f t="shared" si="49"/>
        <v>12</v>
      </c>
      <c r="AE369" s="5" t="str">
        <f>IFERROR(INDEX('Stato Asta'!$G$9:$G$12,MATCH($B369,'Stato Asta'!$A$9:$A$12,0)),"")</f>
        <v>🔴 Non aspettare</v>
      </c>
      <c r="AF369" t="str">
        <f>IFERROR(IF($V369&lt;=INDEX('Parametri Modello'!$C$57:$C$60,MATCH($B369,'Parametri Modello'!$A$57:$A$60,0)),"Titolare","Riserva"),"")</f>
        <v>Riserva</v>
      </c>
      <c r="AG369" t="str">
        <f>IFERROR(INDEX('Pressione Competitiva'!$F$3:$F$6,MATCH($B369,'Pressione Competitiva'!$B$3:$B$6,0)),"")</f>
        <v>🔴 Molto Alta</v>
      </c>
      <c r="AH369" t="str">
        <f t="shared" si="50"/>
        <v/>
      </c>
      <c r="AI369" t="str">
        <f>IFERROR(IF($AH369="","",IF($AH369&gt;=$AA369*'Parametri Modello'!$B$68,"🟢 Opportunita'",IF($AH369&lt;=$AA369*'Parametri Modello'!$B$69,"🔴 Sovrapprezzo","🟡 Prezzo Corretto"))),"")</f>
        <v/>
      </c>
      <c r="AJ369" t="str">
        <f t="shared" si="51"/>
        <v/>
      </c>
      <c r="AK369">
        <f t="shared" si="52"/>
        <v>33</v>
      </c>
      <c r="AL369" t="str">
        <f t="shared" si="53"/>
        <v>C|Scommessa/Riserva|33</v>
      </c>
    </row>
    <row r="370" spans="1:38" ht="14.25" customHeight="1" x14ac:dyDescent="0.25">
      <c r="A370" s="18">
        <v>7272</v>
      </c>
      <c r="B370" s="18" t="s">
        <v>18</v>
      </c>
      <c r="C370" s="18" t="s">
        <v>509</v>
      </c>
      <c r="E370" s="23" t="str">
        <f>IF(COUNTIF('Info Strategia'!$D$2:$D$51,$C370)&gt;0,"SI","NO")</f>
        <v>NO</v>
      </c>
      <c r="F370" s="24">
        <f>IFERROR(ROUND(($G370+($H370-$G370)*'Info Strategia'!$B$6)*(1+IF($E370="SI",'Parametri Modello'!$B$7*'Info Strategia'!$B$6,0)),0),"")</f>
        <v>2</v>
      </c>
      <c r="G370" s="24">
        <f>IFERROR(ROUND(MAX(1,(IF($V370&lt;=INDEX('Parametri Modello'!$C$57:$C$60,MATCH($B370,'Parametri Modello'!$A$57:$A$60,0)),IF(INDEX('Parametri Modello'!$E$57:$E$60,MATCH($B370,'Parametri Modello'!$A$57:$A$60,0))=0,0,($O370/INDEX('Parametri Modello'!$E$57:$E$60,MATCH($B370,'Parametri Modello'!$A$57:$A$60,0)))*(INDEX('Parametri Modello'!$D$57:$D$60,MATCH($B370,'Parametri Modello'!$A$57:$A$60,0))*(INDEX('Parametri Modello'!$B$50:$B$53,MATCH($B370,'Parametri Modello'!$A$50:$A$53,0))*'Parametri Modello'!$B$44))),IF(INDEX('Parametri Modello'!$F$57:$F$60,MATCH($B370,'Parametri Modello'!$A$57:$A$60,0))=0,0,($O370/INDEX('Parametri Modello'!$F$57:$F$60,MATCH($B370,'Parametri Modello'!$A$57:$A$60,0)))*((1-INDEX('Parametri Modello'!$D$57:$D$60,MATCH($B370,'Parametri Modello'!$A$57:$A$60,0)))*(INDEX('Parametri Modello'!$B$50:$B$53,MATCH($B370,'Parametri Modello'!$A$50:$A$53,0))*'Parametri Modello'!$B$44))))*(1+IF(IF($B370="D",'Info Lega'!$B$25,IF($B370="C",'Info Lega'!$B$26,"No"))="Si",'Parametri Modello'!$B$5,0))*(1+MAX(-0.25,MIN(0.25,IF(OR($T370="",$I370="",$I370=0,INDEX('Parametri Modello'!$B$19:$B$22,MATCH($B370,'Parametri Modello'!$A$19:$A$22,0))="",INDEX('Parametri Modello'!$B$19:$B$22,MATCH($B370,'Parametri Modello'!$A$19:$A$22,0))=0),0,(($T370-INDEX('Parametri Modello'!$B$19:$B$22,MATCH($B370,'Parametri Modello'!$A$19:$A$22,0)))/INDEX('Parametri Modello'!$B$19:$B$22,MATCH($B370,'Parametri Modello'!$A$19:$A$22,0)))*'Parametri Modello'!$B$9))))*(1+IF('Parametri Modello'!$B$27="Si",MAX(-'Parametri Modello'!$B$28,MIN('Parametri Modello'!$B$28*1.5,IF(OR(INDEX('Parametri Modello'!$F$32:$F$35,MATCH($B370,'Parametri Modello'!$A$32:$A$35,0))="",INDEX('Parametri Modello'!$F$32:$F$35,MATCH($B370,'Parametri Modello'!$A$32:$A$35,0))=0),0,(1/INDEX('Parametri Modello'!$F$32:$F$35,MATCH($B370,'Parametri Modello'!$A$32:$A$35,0))-1)*'Parametri Modello'!$B$28))),0)))*(1-INDEX('Parametri Modello'!$B$12:$B$15,MATCH($B370,'Parametri Modello'!$A$12:$A$15,0)))),0),"")</f>
        <v>1</v>
      </c>
      <c r="H370" s="24">
        <f>IFERROR(ROUND((IF($V370&lt;=INDEX('Parametri Modello'!$C$57:$C$60,MATCH($B370,'Parametri Modello'!$A$57:$A$60,0)),IF(INDEX('Parametri Modello'!$E$57:$E$60,MATCH($B370,'Parametri Modello'!$A$57:$A$60,0))=0,0,($O370/INDEX('Parametri Modello'!$E$57:$E$60,MATCH($B370,'Parametri Modello'!$A$57:$A$60,0)))*(INDEX('Parametri Modello'!$D$57:$D$60,MATCH($B370,'Parametri Modello'!$A$57:$A$60,0))*(INDEX('Parametri Modello'!$B$50:$B$53,MATCH($B370,'Parametri Modello'!$A$50:$A$53,0))*'Parametri Modello'!$B$44))),IF(INDEX('Parametri Modello'!$F$57:$F$60,MATCH($B370,'Parametri Modello'!$A$57:$A$60,0))=0,0,($O370/INDEX('Parametri Modello'!$F$57:$F$60,MATCH($B370,'Parametri Modello'!$A$57:$A$60,0)))*((1-INDEX('Parametri Modello'!$D$57:$D$60,MATCH($B370,'Parametri Modello'!$A$57:$A$60,0)))*(INDEX('Parametri Modello'!$B$50:$B$53,MATCH($B370,'Parametri Modello'!$A$50:$A$53,0))*'Parametri Modello'!$B$44))))*(1+IF(IF($B370="D",'Info Lega'!$B$25,IF($B370="C",'Info Lega'!$B$26,"No"))="Si",'Parametri Modello'!$B$5,0))*(1+MAX(-0.25,MIN(0.25,IF(OR($T370="",$I370="",$I370=0,INDEX('Parametri Modello'!$B$19:$B$22,MATCH($B370,'Parametri Modello'!$A$19:$A$22,0))="",INDEX('Parametri Modello'!$B$19:$B$22,MATCH($B370,'Parametri Modello'!$A$19:$A$22,0))=0),0,(($T370-INDEX('Parametri Modello'!$B$19:$B$22,MATCH($B370,'Parametri Modello'!$A$19:$A$22,0)))/INDEX('Parametri Modello'!$B$19:$B$22,MATCH($B370,'Parametri Modello'!$A$19:$A$22,0)))*'Parametri Modello'!$B$9))))*(1+IF('Parametri Modello'!$B$27="Si",MAX(-'Parametri Modello'!$B$28,MIN('Parametri Modello'!$B$28*1.5,IF(OR(INDEX('Parametri Modello'!$F$32:$F$35,MATCH($B370,'Parametri Modello'!$A$32:$A$35,0))="",INDEX('Parametri Modello'!$F$32:$F$35,MATCH($B370,'Parametri Modello'!$A$32:$A$35,0))=0),0,(1/INDEX('Parametri Modello'!$F$32:$F$35,MATCH($B370,'Parametri Modello'!$A$32:$A$35,0))-1)*'Parametri Modello'!$B$28))),0)))*(1+INDEX('Parametri Modello'!$B$12:$B$15,MATCH($B370,'Parametri Modello'!$A$12:$A$15,0))),0),"")</f>
        <v>3</v>
      </c>
      <c r="I370" s="23">
        <f>IFERROR(INDEX('Input Statistiche 2025_26'!$F$3:$F$665,MATCH($A370,'Input Statistiche 2025_26'!$A$3:$A$665,0)),"")</f>
        <v>13</v>
      </c>
      <c r="J370" s="23">
        <f t="shared" si="45"/>
        <v>25</v>
      </c>
      <c r="K370" s="23">
        <f>IFERROR(INDEX('Input Statistiche 2025_26'!$I$3:$I$665,MATCH($A370,'Input Statistiche 2025_26'!$A$3:$A$665,0)),"")</f>
        <v>1</v>
      </c>
      <c r="L370" s="23">
        <f>IFERROR(INDEX('Input Statistiche 2025_26'!$O$3:$O$665,MATCH($A370,'Input Statistiche 2025_26'!$A$3:$A$665,0)),"")</f>
        <v>0</v>
      </c>
      <c r="M370" s="25"/>
      <c r="N370" s="24">
        <f>IFERROR(INDEX('Input Giocatori 2026_27'!$E$3:$E$493,MATCH($A370,'Input Giocatori 2026_27'!$A$3:$A$493,0)),"")</f>
        <v>4</v>
      </c>
      <c r="O370" s="24">
        <f>IFERROR(INDEX('Input Giocatori 2026_27'!$G$3:$G$493,MATCH($A370,'Input Giocatori 2026_27'!$A$3:$A$493,0)),"")</f>
        <v>7</v>
      </c>
      <c r="P370" s="23" t="str">
        <f>IFERROR(IF($O370="","",IF((1-(COUNTIFS($B$2:$B$492,$B370,$O$2:$O$492,"&gt;"&amp;$O370)+1-1)/COUNTIF($B$2:$B$492,$B370))&gt;='Parametri Modello'!$B$63,"Top",IF((1-(COUNTIFS($B$2:$B$492,$B370,$O$2:$O$492,"&gt;"&amp;$O370)+1-1)/COUNTIF($B$2:$B$492,$B370))&gt;='Parametri Modello'!$B$64,"Buono",IF((1-(COUNTIFS($B$2:$B$492,$B370,$O$2:$O$492,"&gt;"&amp;$O370)+1-1)/COUNTIF($B$2:$B$492,$B370))&gt;='Parametri Modello'!$B$65,"Nella Media","Scommessa/Riserva")))),"")</f>
        <v>Scommessa/Riserva</v>
      </c>
      <c r="Q370" s="26">
        <f>IF(AND($D370="",$N370&gt;1),SUMPRODUCT(($D$2:$D370="")*($N$2:$N370&gt;1)),"")</f>
        <v>368</v>
      </c>
      <c r="R370" s="26" t="str">
        <f>IF($D370='Info Lega'!$B$28,COUNTIFS($D$2:$D370,'Info Lega'!$B$28),"")</f>
        <v/>
      </c>
      <c r="S370" s="27">
        <f>IFERROR(INDEX('Input Statistiche 2025_26'!$G$3:$G$665,MATCH($A370,'Input Statistiche 2025_26'!$A$3:$A$665,0)),"")</f>
        <v>5.77</v>
      </c>
      <c r="T370" s="27">
        <f>IFERROR(INDEX('Input Statistiche 2025_26'!$H$3:$H$665,MATCH($A370,'Input Statistiche 2025_26'!$A$3:$A$665,0)),"")</f>
        <v>5.92</v>
      </c>
      <c r="U370" s="23" t="str">
        <f>IF(OR('La Mia Rosa'!$O$12="",$D370&lt;&gt;""),"",IF($F370&lt;='La Mia Rosa'!$O$12*'Parametri Modello'!$B$24,"OK",IF($F370&lt;='La Mia Rosa'!$O$12*'Parametri Modello'!$B$25,"Attenzione","Rischio Alto")))</f>
        <v>OK</v>
      </c>
      <c r="V370" s="23">
        <f t="shared" si="46"/>
        <v>73</v>
      </c>
      <c r="W370" s="18">
        <f>'Info Lega'!$B$4-SUMIFS($M$2:$M$492,$D$2:$D$492,'Info Lega'!$B$28)</f>
        <v>1000</v>
      </c>
      <c r="X370" s="18">
        <f>('Info Lega'!$B$5-COUNTIFS($D$2:$D$492,'Info Lega'!$B$28,$B$2:$B$492,"P"))+('Info Lega'!$B$6-COUNTIFS($D$2:$D$492,'Info Lega'!$B$28,$B$2:$B$492,"D"))+('Info Lega'!$B$7-COUNTIFS($D$2:$D$492,'Info Lega'!$B$28,$B$2:$B$492,"C"))+('Info Lega'!$B$8-COUNTIFS($D$2:$D$492,'Info Lega'!$B$28,$B$2:$B$492,"A"))</f>
        <v>25</v>
      </c>
      <c r="Y370" s="18">
        <f>X370*'Parametri Modello'!$B$30</f>
        <v>25</v>
      </c>
      <c r="Z370" s="18">
        <f t="shared" si="47"/>
        <v>975</v>
      </c>
      <c r="AA370" s="18">
        <f t="shared" si="48"/>
        <v>2</v>
      </c>
      <c r="AB370" s="18"/>
      <c r="AC370" s="18" t="str">
        <f>IF($AB370="","",IF($AB370&gt;$AA370,"PASS",IF($AB370&lt;=$AA370*(1-'Parametri Modello'!$B$68),"BID","ATTENZIONE")))</f>
        <v/>
      </c>
      <c r="AD370" s="28">
        <f t="shared" si="49"/>
        <v>35</v>
      </c>
      <c r="AE370" s="5" t="str">
        <f>IFERROR(INDEX('Stato Asta'!$G$9:$G$12,MATCH($B370,'Stato Asta'!$A$9:$A$12,0)),"")</f>
        <v>🔴 Non aspettare</v>
      </c>
      <c r="AF370" t="str">
        <f>IFERROR(IF($V370&lt;=INDEX('Parametri Modello'!$C$57:$C$60,MATCH($B370,'Parametri Modello'!$A$57:$A$60,0)),"Titolare","Riserva"),"")</f>
        <v>Riserva</v>
      </c>
      <c r="AG370" t="str">
        <f>IFERROR(INDEX('Pressione Competitiva'!$F$3:$F$6,MATCH($B370,'Pressione Competitiva'!$B$3:$B$6,0)),"")</f>
        <v>🔴 Molto Alta</v>
      </c>
      <c r="AH370" t="str">
        <f t="shared" si="50"/>
        <v/>
      </c>
      <c r="AI370" t="str">
        <f>IFERROR(IF($AH370="","",IF($AH370&gt;=$AA370*'Parametri Modello'!$B$68,"🟢 Opportunita'",IF($AH370&lt;=$AA370*'Parametri Modello'!$B$69,"🔴 Sovrapprezzo","🟡 Prezzo Corretto"))),"")</f>
        <v/>
      </c>
      <c r="AJ370" t="str">
        <f t="shared" si="51"/>
        <v/>
      </c>
      <c r="AK370">
        <f t="shared" si="52"/>
        <v>19</v>
      </c>
      <c r="AL370" t="str">
        <f t="shared" si="53"/>
        <v>A|Scommessa/Riserva|19</v>
      </c>
    </row>
    <row r="371" spans="1:38" ht="14.25" customHeight="1" x14ac:dyDescent="0.25">
      <c r="A371" s="18">
        <v>7523</v>
      </c>
      <c r="B371" s="18" t="s">
        <v>18</v>
      </c>
      <c r="C371" s="18" t="s">
        <v>510</v>
      </c>
      <c r="E371" s="23" t="str">
        <f>IF(COUNTIF('Info Strategia'!$D$2:$D$51,$C371)&gt;0,"SI","NO")</f>
        <v>NO</v>
      </c>
      <c r="F371" s="24">
        <f>IFERROR(ROUND(($G371+($H371-$G371)*'Info Strategia'!$B$6)*(1+IF($E371="SI",'Parametri Modello'!$B$7*'Info Strategia'!$B$6,0)),0),"")</f>
        <v>2</v>
      </c>
      <c r="G371" s="24">
        <f>IFERROR(ROUND(MAX(1,(IF($V371&lt;=INDEX('Parametri Modello'!$C$57:$C$60,MATCH($B371,'Parametri Modello'!$A$57:$A$60,0)),IF(INDEX('Parametri Modello'!$E$57:$E$60,MATCH($B371,'Parametri Modello'!$A$57:$A$60,0))=0,0,($O371/INDEX('Parametri Modello'!$E$57:$E$60,MATCH($B371,'Parametri Modello'!$A$57:$A$60,0)))*(INDEX('Parametri Modello'!$D$57:$D$60,MATCH($B371,'Parametri Modello'!$A$57:$A$60,0))*(INDEX('Parametri Modello'!$B$50:$B$53,MATCH($B371,'Parametri Modello'!$A$50:$A$53,0))*'Parametri Modello'!$B$44))),IF(INDEX('Parametri Modello'!$F$57:$F$60,MATCH($B371,'Parametri Modello'!$A$57:$A$60,0))=0,0,($O371/INDEX('Parametri Modello'!$F$57:$F$60,MATCH($B371,'Parametri Modello'!$A$57:$A$60,0)))*((1-INDEX('Parametri Modello'!$D$57:$D$60,MATCH($B371,'Parametri Modello'!$A$57:$A$60,0)))*(INDEX('Parametri Modello'!$B$50:$B$53,MATCH($B371,'Parametri Modello'!$A$50:$A$53,0))*'Parametri Modello'!$B$44))))*(1+IF(IF($B371="D",'Info Lega'!$B$25,IF($B371="C",'Info Lega'!$B$26,"No"))="Si",'Parametri Modello'!$B$5,0))*(1+MAX(-0.25,MIN(0.25,IF(OR($T371="",$I371="",$I371=0,INDEX('Parametri Modello'!$B$19:$B$22,MATCH($B371,'Parametri Modello'!$A$19:$A$22,0))="",INDEX('Parametri Modello'!$B$19:$B$22,MATCH($B371,'Parametri Modello'!$A$19:$A$22,0))=0),0,(($T371-INDEX('Parametri Modello'!$B$19:$B$22,MATCH($B371,'Parametri Modello'!$A$19:$A$22,0)))/INDEX('Parametri Modello'!$B$19:$B$22,MATCH($B371,'Parametri Modello'!$A$19:$A$22,0)))*'Parametri Modello'!$B$9))))*(1+IF('Parametri Modello'!$B$27="Si",MAX(-'Parametri Modello'!$B$28,MIN('Parametri Modello'!$B$28*1.5,IF(OR(INDEX('Parametri Modello'!$F$32:$F$35,MATCH($B371,'Parametri Modello'!$A$32:$A$35,0))="",INDEX('Parametri Modello'!$F$32:$F$35,MATCH($B371,'Parametri Modello'!$A$32:$A$35,0))=0),0,(1/INDEX('Parametri Modello'!$F$32:$F$35,MATCH($B371,'Parametri Modello'!$A$32:$A$35,0))-1)*'Parametri Modello'!$B$28))),0)))*(1-INDEX('Parametri Modello'!$B$12:$B$15,MATCH($B371,'Parametri Modello'!$A$12:$A$15,0)))),0),"")</f>
        <v>1</v>
      </c>
      <c r="H371" s="24">
        <f>IFERROR(ROUND((IF($V371&lt;=INDEX('Parametri Modello'!$C$57:$C$60,MATCH($B371,'Parametri Modello'!$A$57:$A$60,0)),IF(INDEX('Parametri Modello'!$E$57:$E$60,MATCH($B371,'Parametri Modello'!$A$57:$A$60,0))=0,0,($O371/INDEX('Parametri Modello'!$E$57:$E$60,MATCH($B371,'Parametri Modello'!$A$57:$A$60,0)))*(INDEX('Parametri Modello'!$D$57:$D$60,MATCH($B371,'Parametri Modello'!$A$57:$A$60,0))*(INDEX('Parametri Modello'!$B$50:$B$53,MATCH($B371,'Parametri Modello'!$A$50:$A$53,0))*'Parametri Modello'!$B$44))),IF(INDEX('Parametri Modello'!$F$57:$F$60,MATCH($B371,'Parametri Modello'!$A$57:$A$60,0))=0,0,($O371/INDEX('Parametri Modello'!$F$57:$F$60,MATCH($B371,'Parametri Modello'!$A$57:$A$60,0)))*((1-INDEX('Parametri Modello'!$D$57:$D$60,MATCH($B371,'Parametri Modello'!$A$57:$A$60,0)))*(INDEX('Parametri Modello'!$B$50:$B$53,MATCH($B371,'Parametri Modello'!$A$50:$A$53,0))*'Parametri Modello'!$B$44))))*(1+IF(IF($B371="D",'Info Lega'!$B$25,IF($B371="C",'Info Lega'!$B$26,"No"))="Si",'Parametri Modello'!$B$5,0))*(1+MAX(-0.25,MIN(0.25,IF(OR($T371="",$I371="",$I371=0,INDEX('Parametri Modello'!$B$19:$B$22,MATCH($B371,'Parametri Modello'!$A$19:$A$22,0))="",INDEX('Parametri Modello'!$B$19:$B$22,MATCH($B371,'Parametri Modello'!$A$19:$A$22,0))=0),0,(($T371-INDEX('Parametri Modello'!$B$19:$B$22,MATCH($B371,'Parametri Modello'!$A$19:$A$22,0)))/INDEX('Parametri Modello'!$B$19:$B$22,MATCH($B371,'Parametri Modello'!$A$19:$A$22,0)))*'Parametri Modello'!$B$9))))*(1+IF('Parametri Modello'!$B$27="Si",MAX(-'Parametri Modello'!$B$28,MIN('Parametri Modello'!$B$28*1.5,IF(OR(INDEX('Parametri Modello'!$F$32:$F$35,MATCH($B371,'Parametri Modello'!$A$32:$A$35,0))="",INDEX('Parametri Modello'!$F$32:$F$35,MATCH($B371,'Parametri Modello'!$A$32:$A$35,0))=0),0,(1/INDEX('Parametri Modello'!$F$32:$F$35,MATCH($B371,'Parametri Modello'!$A$32:$A$35,0))-1)*'Parametri Modello'!$B$28))),0)))*(1+INDEX('Parametri Modello'!$B$12:$B$15,MATCH($B371,'Parametri Modello'!$A$12:$A$15,0))),0),"")</f>
        <v>3</v>
      </c>
      <c r="I371" s="23" t="str">
        <f>IFERROR(INDEX('Input Statistiche 2025_26'!$F$3:$F$665,MATCH($A371,'Input Statistiche 2025_26'!$A$3:$A$665,0)),"")</f>
        <v/>
      </c>
      <c r="J371" s="23" t="str">
        <f t="shared" si="45"/>
        <v/>
      </c>
      <c r="K371" s="23" t="str">
        <f>IFERROR(INDEX('Input Statistiche 2025_26'!$I$3:$I$665,MATCH($A371,'Input Statistiche 2025_26'!$A$3:$A$665,0)),"")</f>
        <v/>
      </c>
      <c r="L371" s="23" t="str">
        <f>IFERROR(INDEX('Input Statistiche 2025_26'!$O$3:$O$665,MATCH($A371,'Input Statistiche 2025_26'!$A$3:$A$665,0)),"")</f>
        <v/>
      </c>
      <c r="M371" s="25"/>
      <c r="N371" s="24">
        <f>IFERROR(INDEX('Input Giocatori 2026_27'!$E$3:$E$493,MATCH($A371,'Input Giocatori 2026_27'!$A$3:$A$493,0)),"")</f>
        <v>3</v>
      </c>
      <c r="O371" s="24">
        <f>IFERROR(INDEX('Input Giocatori 2026_27'!$G$3:$G$493,MATCH($A371,'Input Giocatori 2026_27'!$A$3:$A$493,0)),"")</f>
        <v>7</v>
      </c>
      <c r="P371" s="23" t="str">
        <f>IFERROR(IF($O371="","",IF((1-(COUNTIFS($B$2:$B$492,$B371,$O$2:$O$492,"&gt;"&amp;$O371)+1-1)/COUNTIF($B$2:$B$492,$B371))&gt;='Parametri Modello'!$B$63,"Top",IF((1-(COUNTIFS($B$2:$B$492,$B371,$O$2:$O$492,"&gt;"&amp;$O371)+1-1)/COUNTIF($B$2:$B$492,$B371))&gt;='Parametri Modello'!$B$64,"Buono",IF((1-(COUNTIFS($B$2:$B$492,$B371,$O$2:$O$492,"&gt;"&amp;$O371)+1-1)/COUNTIF($B$2:$B$492,$B371))&gt;='Parametri Modello'!$B$65,"Nella Media","Scommessa/Riserva")))),"")</f>
        <v>Scommessa/Riserva</v>
      </c>
      <c r="Q371" s="26">
        <f>IF(AND($D371="",$N371&gt;1),SUMPRODUCT(($D$2:$D371="")*($N$2:$N371&gt;1)),"")</f>
        <v>369</v>
      </c>
      <c r="R371" s="26" t="str">
        <f>IF($D371='Info Lega'!$B$28,COUNTIFS($D$2:$D371,'Info Lega'!$B$28),"")</f>
        <v/>
      </c>
      <c r="S371" s="27" t="str">
        <f>IFERROR(INDEX('Input Statistiche 2025_26'!$G$3:$G$665,MATCH($A371,'Input Statistiche 2025_26'!$A$3:$A$665,0)),"")</f>
        <v/>
      </c>
      <c r="T371" s="27" t="str">
        <f>IFERROR(INDEX('Input Statistiche 2025_26'!$H$3:$H$665,MATCH($A371,'Input Statistiche 2025_26'!$A$3:$A$665,0)),"")</f>
        <v/>
      </c>
      <c r="U371" s="23" t="str">
        <f>IF(OR('La Mia Rosa'!$O$12="",$D371&lt;&gt;""),"",IF($F371&lt;='La Mia Rosa'!$O$12*'Parametri Modello'!$B$24,"OK",IF($F371&lt;='La Mia Rosa'!$O$12*'Parametri Modello'!$B$25,"Attenzione","Rischio Alto")))</f>
        <v>OK</v>
      </c>
      <c r="V371" s="23">
        <f t="shared" si="46"/>
        <v>73</v>
      </c>
      <c r="W371" s="18">
        <f>'Info Lega'!$B$4-SUMIFS($M$2:$M$492,$D$2:$D$492,'Info Lega'!$B$28)</f>
        <v>1000</v>
      </c>
      <c r="X371" s="18">
        <f>('Info Lega'!$B$5-COUNTIFS($D$2:$D$492,'Info Lega'!$B$28,$B$2:$B$492,"P"))+('Info Lega'!$B$6-COUNTIFS($D$2:$D$492,'Info Lega'!$B$28,$B$2:$B$492,"D"))+('Info Lega'!$B$7-COUNTIFS($D$2:$D$492,'Info Lega'!$B$28,$B$2:$B$492,"C"))+('Info Lega'!$B$8-COUNTIFS($D$2:$D$492,'Info Lega'!$B$28,$B$2:$B$492,"A"))</f>
        <v>25</v>
      </c>
      <c r="Y371" s="18">
        <f>X371*'Parametri Modello'!$B$30</f>
        <v>25</v>
      </c>
      <c r="Z371" s="18">
        <f t="shared" si="47"/>
        <v>975</v>
      </c>
      <c r="AA371" s="18">
        <f t="shared" si="48"/>
        <v>2</v>
      </c>
      <c r="AB371" s="18"/>
      <c r="AC371" s="18" t="str">
        <f>IF($AB371="","",IF($AB371&gt;$AA371,"PASS",IF($AB371&lt;=$AA371*(1-'Parametri Modello'!$B$68),"BID","ATTENZIONE")))</f>
        <v/>
      </c>
      <c r="AD371" s="28" t="str">
        <f t="shared" si="49"/>
        <v/>
      </c>
      <c r="AE371" s="5" t="str">
        <f>IFERROR(INDEX('Stato Asta'!$G$9:$G$12,MATCH($B371,'Stato Asta'!$A$9:$A$12,0)),"")</f>
        <v>🔴 Non aspettare</v>
      </c>
      <c r="AF371" t="str">
        <f>IFERROR(IF($V371&lt;=INDEX('Parametri Modello'!$C$57:$C$60,MATCH($B371,'Parametri Modello'!$A$57:$A$60,0)),"Titolare","Riserva"),"")</f>
        <v>Riserva</v>
      </c>
      <c r="AG371" t="str">
        <f>IFERROR(INDEX('Pressione Competitiva'!$F$3:$F$6,MATCH($B371,'Pressione Competitiva'!$B$3:$B$6,0)),"")</f>
        <v>🔴 Molto Alta</v>
      </c>
      <c r="AH371" t="str">
        <f t="shared" si="50"/>
        <v/>
      </c>
      <c r="AI371" t="str">
        <f>IFERROR(IF($AH371="","",IF($AH371&gt;=$AA371*'Parametri Modello'!$B$68,"🟢 Opportunita'",IF($AH371&lt;=$AA371*'Parametri Modello'!$B$69,"🔴 Sovrapprezzo","🟡 Prezzo Corretto"))),"")</f>
        <v/>
      </c>
      <c r="AJ371" t="str">
        <f t="shared" si="51"/>
        <v/>
      </c>
      <c r="AK371">
        <f t="shared" si="52"/>
        <v>19</v>
      </c>
      <c r="AL371" t="str">
        <f t="shared" si="53"/>
        <v>A|Scommessa/Riserva|19</v>
      </c>
    </row>
    <row r="372" spans="1:38" ht="14.25" customHeight="1" x14ac:dyDescent="0.25">
      <c r="A372" s="18">
        <v>5498</v>
      </c>
      <c r="B372" s="18" t="s">
        <v>16</v>
      </c>
      <c r="C372" s="18" t="s">
        <v>511</v>
      </c>
      <c r="E372" s="23" t="str">
        <f>IF(COUNTIF('Info Strategia'!$D$2:$D$51,$C372)&gt;0,"SI","NO")</f>
        <v>NO</v>
      </c>
      <c r="F372" s="24">
        <f>IFERROR(ROUND(($G372+($H372-$G372)*'Info Strategia'!$B$6)*(1+IF($E372="SI",'Parametri Modello'!$B$7*'Info Strategia'!$B$6,0)),0),"")</f>
        <v>1</v>
      </c>
      <c r="G372" s="24">
        <f>IFERROR(ROUND(MAX(1,(IF($V372&lt;=INDEX('Parametri Modello'!$C$57:$C$60,MATCH($B372,'Parametri Modello'!$A$57:$A$60,0)),IF(INDEX('Parametri Modello'!$E$57:$E$60,MATCH($B372,'Parametri Modello'!$A$57:$A$60,0))=0,0,($O372/INDEX('Parametri Modello'!$E$57:$E$60,MATCH($B372,'Parametri Modello'!$A$57:$A$60,0)))*(INDEX('Parametri Modello'!$D$57:$D$60,MATCH($B372,'Parametri Modello'!$A$57:$A$60,0))*(INDEX('Parametri Modello'!$B$50:$B$53,MATCH($B372,'Parametri Modello'!$A$50:$A$53,0))*'Parametri Modello'!$B$44))),IF(INDEX('Parametri Modello'!$F$57:$F$60,MATCH($B372,'Parametri Modello'!$A$57:$A$60,0))=0,0,($O372/INDEX('Parametri Modello'!$F$57:$F$60,MATCH($B372,'Parametri Modello'!$A$57:$A$60,0)))*((1-INDEX('Parametri Modello'!$D$57:$D$60,MATCH($B372,'Parametri Modello'!$A$57:$A$60,0)))*(INDEX('Parametri Modello'!$B$50:$B$53,MATCH($B372,'Parametri Modello'!$A$50:$A$53,0))*'Parametri Modello'!$B$44))))*(1+IF(IF($B372="D",'Info Lega'!$B$25,IF($B372="C",'Info Lega'!$B$26,"No"))="Si",'Parametri Modello'!$B$5,0))*(1+MAX(-0.25,MIN(0.25,IF(OR($T372="",$I372="",$I372=0,INDEX('Parametri Modello'!$B$19:$B$22,MATCH($B372,'Parametri Modello'!$A$19:$A$22,0))="",INDEX('Parametri Modello'!$B$19:$B$22,MATCH($B372,'Parametri Modello'!$A$19:$A$22,0))=0),0,(($T372-INDEX('Parametri Modello'!$B$19:$B$22,MATCH($B372,'Parametri Modello'!$A$19:$A$22,0)))/INDEX('Parametri Modello'!$B$19:$B$22,MATCH($B372,'Parametri Modello'!$A$19:$A$22,0)))*'Parametri Modello'!$B$9))))*(1+IF('Parametri Modello'!$B$27="Si",MAX(-'Parametri Modello'!$B$28,MIN('Parametri Modello'!$B$28*1.5,IF(OR(INDEX('Parametri Modello'!$F$32:$F$35,MATCH($B372,'Parametri Modello'!$A$32:$A$35,0))="",INDEX('Parametri Modello'!$F$32:$F$35,MATCH($B372,'Parametri Modello'!$A$32:$A$35,0))=0),0,(1/INDEX('Parametri Modello'!$F$32:$F$35,MATCH($B372,'Parametri Modello'!$A$32:$A$35,0))-1)*'Parametri Modello'!$B$28))),0)))*(1-INDEX('Parametri Modello'!$B$12:$B$15,MATCH($B372,'Parametri Modello'!$A$12:$A$15,0)))),0),"")</f>
        <v>1</v>
      </c>
      <c r="H372" s="24">
        <f>IFERROR(ROUND((IF($V372&lt;=INDEX('Parametri Modello'!$C$57:$C$60,MATCH($B372,'Parametri Modello'!$A$57:$A$60,0)),IF(INDEX('Parametri Modello'!$E$57:$E$60,MATCH($B372,'Parametri Modello'!$A$57:$A$60,0))=0,0,($O372/INDEX('Parametri Modello'!$E$57:$E$60,MATCH($B372,'Parametri Modello'!$A$57:$A$60,0)))*(INDEX('Parametri Modello'!$D$57:$D$60,MATCH($B372,'Parametri Modello'!$A$57:$A$60,0))*(INDEX('Parametri Modello'!$B$50:$B$53,MATCH($B372,'Parametri Modello'!$A$50:$A$53,0))*'Parametri Modello'!$B$44))),IF(INDEX('Parametri Modello'!$F$57:$F$60,MATCH($B372,'Parametri Modello'!$A$57:$A$60,0))=0,0,($O372/INDEX('Parametri Modello'!$F$57:$F$60,MATCH($B372,'Parametri Modello'!$A$57:$A$60,0)))*((1-INDEX('Parametri Modello'!$D$57:$D$60,MATCH($B372,'Parametri Modello'!$A$57:$A$60,0)))*(INDEX('Parametri Modello'!$B$50:$B$53,MATCH($B372,'Parametri Modello'!$A$50:$A$53,0))*'Parametri Modello'!$B$44))))*(1+IF(IF($B372="D",'Info Lega'!$B$25,IF($B372="C",'Info Lega'!$B$26,"No"))="Si",'Parametri Modello'!$B$5,0))*(1+MAX(-0.25,MIN(0.25,IF(OR($T372="",$I372="",$I372=0,INDEX('Parametri Modello'!$B$19:$B$22,MATCH($B372,'Parametri Modello'!$A$19:$A$22,0))="",INDEX('Parametri Modello'!$B$19:$B$22,MATCH($B372,'Parametri Modello'!$A$19:$A$22,0))=0),0,(($T372-INDEX('Parametri Modello'!$B$19:$B$22,MATCH($B372,'Parametri Modello'!$A$19:$A$22,0)))/INDEX('Parametri Modello'!$B$19:$B$22,MATCH($B372,'Parametri Modello'!$A$19:$A$22,0)))*'Parametri Modello'!$B$9))))*(1+IF('Parametri Modello'!$B$27="Si",MAX(-'Parametri Modello'!$B$28,MIN('Parametri Modello'!$B$28*1.5,IF(OR(INDEX('Parametri Modello'!$F$32:$F$35,MATCH($B372,'Parametri Modello'!$A$32:$A$35,0))="",INDEX('Parametri Modello'!$F$32:$F$35,MATCH($B372,'Parametri Modello'!$A$32:$A$35,0))=0),0,(1/INDEX('Parametri Modello'!$F$32:$F$35,MATCH($B372,'Parametri Modello'!$A$32:$A$35,0))-1)*'Parametri Modello'!$B$28))),0)))*(1+INDEX('Parametri Modello'!$B$12:$B$15,MATCH($B372,'Parametri Modello'!$A$12:$A$15,0))),0),"")</f>
        <v>1</v>
      </c>
      <c r="I372" s="23">
        <f>IFERROR(INDEX('Input Statistiche 2025_26'!$F$3:$F$665,MATCH($A372,'Input Statistiche 2025_26'!$A$3:$A$665,0)),"")</f>
        <v>10</v>
      </c>
      <c r="J372" s="23">
        <f t="shared" si="45"/>
        <v>28</v>
      </c>
      <c r="K372" s="23">
        <f>IFERROR(INDEX('Input Statistiche 2025_26'!$I$3:$I$665,MATCH($A372,'Input Statistiche 2025_26'!$A$3:$A$665,0)),"")</f>
        <v>0</v>
      </c>
      <c r="L372" s="23">
        <f>IFERROR(INDEX('Input Statistiche 2025_26'!$O$3:$O$665,MATCH($A372,'Input Statistiche 2025_26'!$A$3:$A$665,0)),"")</f>
        <v>0</v>
      </c>
      <c r="M372" s="25"/>
      <c r="N372" s="24">
        <f>IFERROR(INDEX('Input Giocatori 2026_27'!$E$3:$E$493,MATCH($A372,'Input Giocatori 2026_27'!$A$3:$A$493,0)),"")</f>
        <v>3</v>
      </c>
      <c r="O372" s="24">
        <f>IFERROR(INDEX('Input Giocatori 2026_27'!$G$3:$G$493,MATCH($A372,'Input Giocatori 2026_27'!$A$3:$A$493,0)),"")</f>
        <v>6</v>
      </c>
      <c r="P372" s="23" t="str">
        <f>IFERROR(IF($O372="","",IF((1-(COUNTIFS($B$2:$B$492,$B372,$O$2:$O$492,"&gt;"&amp;$O372)+1-1)/COUNTIF($B$2:$B$492,$B372))&gt;='Parametri Modello'!$B$63,"Top",IF((1-(COUNTIFS($B$2:$B$492,$B372,$O$2:$O$492,"&gt;"&amp;$O372)+1-1)/COUNTIF($B$2:$B$492,$B372))&gt;='Parametri Modello'!$B$64,"Buono",IF((1-(COUNTIFS($B$2:$B$492,$B372,$O$2:$O$492,"&gt;"&amp;$O372)+1-1)/COUNTIF($B$2:$B$492,$B372))&gt;='Parametri Modello'!$B$65,"Nella Media","Scommessa/Riserva")))),"")</f>
        <v>Scommessa/Riserva</v>
      </c>
      <c r="Q372" s="26">
        <f>IF(AND($D372="",$N372&gt;1),SUMPRODUCT(($D$2:$D372="")*($N$2:$N372&gt;1)),"")</f>
        <v>370</v>
      </c>
      <c r="R372" s="26" t="str">
        <f>IF($D372='Info Lega'!$B$28,COUNTIFS($D$2:$D372,'Info Lega'!$B$28),"")</f>
        <v/>
      </c>
      <c r="S372" s="27">
        <f>IFERROR(INDEX('Input Statistiche 2025_26'!$G$3:$G$665,MATCH($A372,'Input Statistiche 2025_26'!$A$3:$A$665,0)),"")</f>
        <v>5.65</v>
      </c>
      <c r="T372" s="27">
        <f>IFERROR(INDEX('Input Statistiche 2025_26'!$H$3:$H$665,MATCH($A372,'Input Statistiche 2025_26'!$A$3:$A$665,0)),"")</f>
        <v>5.65</v>
      </c>
      <c r="U372" s="23" t="str">
        <f>IF(OR('La Mia Rosa'!$O$12="",$D372&lt;&gt;""),"",IF($F372&lt;='La Mia Rosa'!$O$12*'Parametri Modello'!$B$24,"OK",IF($F372&lt;='La Mia Rosa'!$O$12*'Parametri Modello'!$B$25,"Attenzione","Rischio Alto")))</f>
        <v>OK</v>
      </c>
      <c r="V372" s="23">
        <f t="shared" si="46"/>
        <v>134</v>
      </c>
      <c r="W372" s="18">
        <f>'Info Lega'!$B$4-SUMIFS($M$2:$M$492,$D$2:$D$492,'Info Lega'!$B$28)</f>
        <v>1000</v>
      </c>
      <c r="X372" s="18">
        <f>('Info Lega'!$B$5-COUNTIFS($D$2:$D$492,'Info Lega'!$B$28,$B$2:$B$492,"P"))+('Info Lega'!$B$6-COUNTIFS($D$2:$D$492,'Info Lega'!$B$28,$B$2:$B$492,"D"))+('Info Lega'!$B$7-COUNTIFS($D$2:$D$492,'Info Lega'!$B$28,$B$2:$B$492,"C"))+('Info Lega'!$B$8-COUNTIFS($D$2:$D$492,'Info Lega'!$B$28,$B$2:$B$492,"A"))</f>
        <v>25</v>
      </c>
      <c r="Y372" s="18">
        <f>X372*'Parametri Modello'!$B$30</f>
        <v>25</v>
      </c>
      <c r="Z372" s="18">
        <f t="shared" si="47"/>
        <v>975</v>
      </c>
      <c r="AA372" s="18">
        <f t="shared" si="48"/>
        <v>1</v>
      </c>
      <c r="AB372" s="18"/>
      <c r="AC372" s="18" t="str">
        <f>IF($AB372="","",IF($AB372&gt;$AA372,"PASS",IF($AB372&lt;=$AA372*(1-'Parametri Modello'!$B$68),"BID","ATTENZIONE")))</f>
        <v/>
      </c>
      <c r="AD372" s="28">
        <f t="shared" si="49"/>
        <v>28</v>
      </c>
      <c r="AE372" s="5" t="str">
        <f>IFERROR(INDEX('Stato Asta'!$G$9:$G$12,MATCH($B372,'Stato Asta'!$A$9:$A$12,0)),"")</f>
        <v>🔴 Non aspettare</v>
      </c>
      <c r="AF372" t="str">
        <f>IFERROR(IF($V372&lt;=INDEX('Parametri Modello'!$C$57:$C$60,MATCH($B372,'Parametri Modello'!$A$57:$A$60,0)),"Titolare","Riserva"),"")</f>
        <v>Riserva</v>
      </c>
      <c r="AG372" t="str">
        <f>IFERROR(INDEX('Pressione Competitiva'!$F$3:$F$6,MATCH($B372,'Pressione Competitiva'!$B$3:$B$6,0)),"")</f>
        <v>🔴 Molto Alta</v>
      </c>
      <c r="AH372" t="str">
        <f t="shared" si="50"/>
        <v/>
      </c>
      <c r="AI372" t="str">
        <f>IFERROR(IF($AH372="","",IF($AH372&gt;=$AA372*'Parametri Modello'!$B$68,"🟢 Opportunita'",IF($AH372&lt;=$AA372*'Parametri Modello'!$B$69,"🔴 Sovrapprezzo","🟡 Prezzo Corretto"))),"")</f>
        <v/>
      </c>
      <c r="AJ372" t="str">
        <f t="shared" si="51"/>
        <v/>
      </c>
      <c r="AK372">
        <f t="shared" si="52"/>
        <v>22</v>
      </c>
      <c r="AL372" t="str">
        <f t="shared" si="53"/>
        <v>D|Scommessa/Riserva|22</v>
      </c>
    </row>
    <row r="373" spans="1:38" ht="14.25" customHeight="1" x14ac:dyDescent="0.25">
      <c r="A373" s="18">
        <v>7483</v>
      </c>
      <c r="B373" s="18" t="s">
        <v>16</v>
      </c>
      <c r="C373" s="18" t="s">
        <v>512</v>
      </c>
      <c r="E373" s="23" t="str">
        <f>IF(COUNTIF('Info Strategia'!$D$2:$D$51,$C373)&gt;0,"SI","NO")</f>
        <v>NO</v>
      </c>
      <c r="F373" s="24">
        <f>IFERROR(ROUND(($G373+($H373-$G373)*'Info Strategia'!$B$6)*(1+IF($E373="SI",'Parametri Modello'!$B$7*'Info Strategia'!$B$6,0)),0),"")</f>
        <v>1</v>
      </c>
      <c r="G373" s="24">
        <f>IFERROR(ROUND(MAX(1,(IF($V373&lt;=INDEX('Parametri Modello'!$C$57:$C$60,MATCH($B373,'Parametri Modello'!$A$57:$A$60,0)),IF(INDEX('Parametri Modello'!$E$57:$E$60,MATCH($B373,'Parametri Modello'!$A$57:$A$60,0))=0,0,($O373/INDEX('Parametri Modello'!$E$57:$E$60,MATCH($B373,'Parametri Modello'!$A$57:$A$60,0)))*(INDEX('Parametri Modello'!$D$57:$D$60,MATCH($B373,'Parametri Modello'!$A$57:$A$60,0))*(INDEX('Parametri Modello'!$B$50:$B$53,MATCH($B373,'Parametri Modello'!$A$50:$A$53,0))*'Parametri Modello'!$B$44))),IF(INDEX('Parametri Modello'!$F$57:$F$60,MATCH($B373,'Parametri Modello'!$A$57:$A$60,0))=0,0,($O373/INDEX('Parametri Modello'!$F$57:$F$60,MATCH($B373,'Parametri Modello'!$A$57:$A$60,0)))*((1-INDEX('Parametri Modello'!$D$57:$D$60,MATCH($B373,'Parametri Modello'!$A$57:$A$60,0)))*(INDEX('Parametri Modello'!$B$50:$B$53,MATCH($B373,'Parametri Modello'!$A$50:$A$53,0))*'Parametri Modello'!$B$44))))*(1+IF(IF($B373="D",'Info Lega'!$B$25,IF($B373="C",'Info Lega'!$B$26,"No"))="Si",'Parametri Modello'!$B$5,0))*(1+MAX(-0.25,MIN(0.25,IF(OR($T373="",$I373="",$I373=0,INDEX('Parametri Modello'!$B$19:$B$22,MATCH($B373,'Parametri Modello'!$A$19:$A$22,0))="",INDEX('Parametri Modello'!$B$19:$B$22,MATCH($B373,'Parametri Modello'!$A$19:$A$22,0))=0),0,(($T373-INDEX('Parametri Modello'!$B$19:$B$22,MATCH($B373,'Parametri Modello'!$A$19:$A$22,0)))/INDEX('Parametri Modello'!$B$19:$B$22,MATCH($B373,'Parametri Modello'!$A$19:$A$22,0)))*'Parametri Modello'!$B$9))))*(1+IF('Parametri Modello'!$B$27="Si",MAX(-'Parametri Modello'!$B$28,MIN('Parametri Modello'!$B$28*1.5,IF(OR(INDEX('Parametri Modello'!$F$32:$F$35,MATCH($B373,'Parametri Modello'!$A$32:$A$35,0))="",INDEX('Parametri Modello'!$F$32:$F$35,MATCH($B373,'Parametri Modello'!$A$32:$A$35,0))=0),0,(1/INDEX('Parametri Modello'!$F$32:$F$35,MATCH($B373,'Parametri Modello'!$A$32:$A$35,0))-1)*'Parametri Modello'!$B$28))),0)))*(1-INDEX('Parametri Modello'!$B$12:$B$15,MATCH($B373,'Parametri Modello'!$A$12:$A$15,0)))),0),"")</f>
        <v>1</v>
      </c>
      <c r="H373" s="24">
        <f>IFERROR(ROUND((IF($V373&lt;=INDEX('Parametri Modello'!$C$57:$C$60,MATCH($B373,'Parametri Modello'!$A$57:$A$60,0)),IF(INDEX('Parametri Modello'!$E$57:$E$60,MATCH($B373,'Parametri Modello'!$A$57:$A$60,0))=0,0,($O373/INDEX('Parametri Modello'!$E$57:$E$60,MATCH($B373,'Parametri Modello'!$A$57:$A$60,0)))*(INDEX('Parametri Modello'!$D$57:$D$60,MATCH($B373,'Parametri Modello'!$A$57:$A$60,0))*(INDEX('Parametri Modello'!$B$50:$B$53,MATCH($B373,'Parametri Modello'!$A$50:$A$53,0))*'Parametri Modello'!$B$44))),IF(INDEX('Parametri Modello'!$F$57:$F$60,MATCH($B373,'Parametri Modello'!$A$57:$A$60,0))=0,0,($O373/INDEX('Parametri Modello'!$F$57:$F$60,MATCH($B373,'Parametri Modello'!$A$57:$A$60,0)))*((1-INDEX('Parametri Modello'!$D$57:$D$60,MATCH($B373,'Parametri Modello'!$A$57:$A$60,0)))*(INDEX('Parametri Modello'!$B$50:$B$53,MATCH($B373,'Parametri Modello'!$A$50:$A$53,0))*'Parametri Modello'!$B$44))))*(1+IF(IF($B373="D",'Info Lega'!$B$25,IF($B373="C",'Info Lega'!$B$26,"No"))="Si",'Parametri Modello'!$B$5,0))*(1+MAX(-0.25,MIN(0.25,IF(OR($T373="",$I373="",$I373=0,INDEX('Parametri Modello'!$B$19:$B$22,MATCH($B373,'Parametri Modello'!$A$19:$A$22,0))="",INDEX('Parametri Modello'!$B$19:$B$22,MATCH($B373,'Parametri Modello'!$A$19:$A$22,0))=0),0,(($T373-INDEX('Parametri Modello'!$B$19:$B$22,MATCH($B373,'Parametri Modello'!$A$19:$A$22,0)))/INDEX('Parametri Modello'!$B$19:$B$22,MATCH($B373,'Parametri Modello'!$A$19:$A$22,0)))*'Parametri Modello'!$B$9))))*(1+IF('Parametri Modello'!$B$27="Si",MAX(-'Parametri Modello'!$B$28,MIN('Parametri Modello'!$B$28*1.5,IF(OR(INDEX('Parametri Modello'!$F$32:$F$35,MATCH($B373,'Parametri Modello'!$A$32:$A$35,0))="",INDEX('Parametri Modello'!$F$32:$F$35,MATCH($B373,'Parametri Modello'!$A$32:$A$35,0))=0),0,(1/INDEX('Parametri Modello'!$F$32:$F$35,MATCH($B373,'Parametri Modello'!$A$32:$A$35,0))-1)*'Parametri Modello'!$B$28))),0)))*(1+INDEX('Parametri Modello'!$B$12:$B$15,MATCH($B373,'Parametri Modello'!$A$12:$A$15,0))),0),"")</f>
        <v>1</v>
      </c>
      <c r="I373" s="23" t="str">
        <f>IFERROR(INDEX('Input Statistiche 2025_26'!$F$3:$F$665,MATCH($A373,'Input Statistiche 2025_26'!$A$3:$A$665,0)),"")</f>
        <v/>
      </c>
      <c r="J373" s="23" t="str">
        <f t="shared" si="45"/>
        <v/>
      </c>
      <c r="K373" s="23" t="str">
        <f>IFERROR(INDEX('Input Statistiche 2025_26'!$I$3:$I$665,MATCH($A373,'Input Statistiche 2025_26'!$A$3:$A$665,0)),"")</f>
        <v/>
      </c>
      <c r="L373" s="23" t="str">
        <f>IFERROR(INDEX('Input Statistiche 2025_26'!$O$3:$O$665,MATCH($A373,'Input Statistiche 2025_26'!$A$3:$A$665,0)),"")</f>
        <v/>
      </c>
      <c r="M373" s="25"/>
      <c r="N373" s="24">
        <f>IFERROR(INDEX('Input Giocatori 2026_27'!$E$3:$E$493,MATCH($A373,'Input Giocatori 2026_27'!$A$3:$A$493,0)),"")</f>
        <v>2</v>
      </c>
      <c r="O373" s="24">
        <f>IFERROR(INDEX('Input Giocatori 2026_27'!$G$3:$G$493,MATCH($A373,'Input Giocatori 2026_27'!$A$3:$A$493,0)),"")</f>
        <v>6</v>
      </c>
      <c r="P373" s="23" t="str">
        <f>IFERROR(IF($O373="","",IF((1-(COUNTIFS($B$2:$B$492,$B373,$O$2:$O$492,"&gt;"&amp;$O373)+1-1)/COUNTIF($B$2:$B$492,$B373))&gt;='Parametri Modello'!$B$63,"Top",IF((1-(COUNTIFS($B$2:$B$492,$B373,$O$2:$O$492,"&gt;"&amp;$O373)+1-1)/COUNTIF($B$2:$B$492,$B373))&gt;='Parametri Modello'!$B$64,"Buono",IF((1-(COUNTIFS($B$2:$B$492,$B373,$O$2:$O$492,"&gt;"&amp;$O373)+1-1)/COUNTIF($B$2:$B$492,$B373))&gt;='Parametri Modello'!$B$65,"Nella Media","Scommessa/Riserva")))),"")</f>
        <v>Scommessa/Riserva</v>
      </c>
      <c r="Q373" s="26">
        <f>IF(AND($D373="",$N373&gt;1),SUMPRODUCT(($D$2:$D373="")*($N$2:$N373&gt;1)),"")</f>
        <v>371</v>
      </c>
      <c r="R373" s="26" t="str">
        <f>IF($D373='Info Lega'!$B$28,COUNTIFS($D$2:$D373,'Info Lega'!$B$28),"")</f>
        <v/>
      </c>
      <c r="S373" s="27" t="str">
        <f>IFERROR(INDEX('Input Statistiche 2025_26'!$G$3:$G$665,MATCH($A373,'Input Statistiche 2025_26'!$A$3:$A$665,0)),"")</f>
        <v/>
      </c>
      <c r="T373" s="27" t="str">
        <f>IFERROR(INDEX('Input Statistiche 2025_26'!$H$3:$H$665,MATCH($A373,'Input Statistiche 2025_26'!$A$3:$A$665,0)),"")</f>
        <v/>
      </c>
      <c r="U373" s="23" t="str">
        <f>IF(OR('La Mia Rosa'!$O$12="",$D373&lt;&gt;""),"",IF($F373&lt;='La Mia Rosa'!$O$12*'Parametri Modello'!$B$24,"OK",IF($F373&lt;='La Mia Rosa'!$O$12*'Parametri Modello'!$B$25,"Attenzione","Rischio Alto")))</f>
        <v>OK</v>
      </c>
      <c r="V373" s="23">
        <f t="shared" si="46"/>
        <v>134</v>
      </c>
      <c r="W373" s="18">
        <f>'Info Lega'!$B$4-SUMIFS($M$2:$M$492,$D$2:$D$492,'Info Lega'!$B$28)</f>
        <v>1000</v>
      </c>
      <c r="X373" s="18">
        <f>('Info Lega'!$B$5-COUNTIFS($D$2:$D$492,'Info Lega'!$B$28,$B$2:$B$492,"P"))+('Info Lega'!$B$6-COUNTIFS($D$2:$D$492,'Info Lega'!$B$28,$B$2:$B$492,"D"))+('Info Lega'!$B$7-COUNTIFS($D$2:$D$492,'Info Lega'!$B$28,$B$2:$B$492,"C"))+('Info Lega'!$B$8-COUNTIFS($D$2:$D$492,'Info Lega'!$B$28,$B$2:$B$492,"A"))</f>
        <v>25</v>
      </c>
      <c r="Y373" s="18">
        <f>X373*'Parametri Modello'!$B$30</f>
        <v>25</v>
      </c>
      <c r="Z373" s="18">
        <f t="shared" si="47"/>
        <v>975</v>
      </c>
      <c r="AA373" s="18">
        <f t="shared" si="48"/>
        <v>1</v>
      </c>
      <c r="AB373" s="18"/>
      <c r="AC373" s="18" t="str">
        <f>IF($AB373="","",IF($AB373&gt;$AA373,"PASS",IF($AB373&lt;=$AA373*(1-'Parametri Modello'!$B$68),"BID","ATTENZIONE")))</f>
        <v/>
      </c>
      <c r="AD373" s="28" t="str">
        <f t="shared" si="49"/>
        <v/>
      </c>
      <c r="AE373" s="5" t="str">
        <f>IFERROR(INDEX('Stato Asta'!$G$9:$G$12,MATCH($B373,'Stato Asta'!$A$9:$A$12,0)),"")</f>
        <v>🔴 Non aspettare</v>
      </c>
      <c r="AF373" t="str">
        <f>IFERROR(IF($V373&lt;=INDEX('Parametri Modello'!$C$57:$C$60,MATCH($B373,'Parametri Modello'!$A$57:$A$60,0)),"Titolare","Riserva"),"")</f>
        <v>Riserva</v>
      </c>
      <c r="AG373" t="str">
        <f>IFERROR(INDEX('Pressione Competitiva'!$F$3:$F$6,MATCH($B373,'Pressione Competitiva'!$B$3:$B$6,0)),"")</f>
        <v>🔴 Molto Alta</v>
      </c>
      <c r="AH373" t="str">
        <f t="shared" si="50"/>
        <v/>
      </c>
      <c r="AI373" t="str">
        <f>IFERROR(IF($AH373="","",IF($AH373&gt;=$AA373*'Parametri Modello'!$B$68,"🟢 Opportunita'",IF($AH373&lt;=$AA373*'Parametri Modello'!$B$69,"🔴 Sovrapprezzo","🟡 Prezzo Corretto"))),"")</f>
        <v/>
      </c>
      <c r="AJ373" t="str">
        <f t="shared" si="51"/>
        <v/>
      </c>
      <c r="AK373">
        <f t="shared" si="52"/>
        <v>22</v>
      </c>
      <c r="AL373" t="str">
        <f t="shared" si="53"/>
        <v>D|Scommessa/Riserva|22</v>
      </c>
    </row>
    <row r="374" spans="1:38" ht="14.25" customHeight="1" x14ac:dyDescent="0.25">
      <c r="A374" s="18">
        <v>6638</v>
      </c>
      <c r="B374" s="18" t="s">
        <v>16</v>
      </c>
      <c r="C374" s="18" t="s">
        <v>513</v>
      </c>
      <c r="E374" s="23" t="str">
        <f>IF(COUNTIF('Info Strategia'!$D$2:$D$51,$C374)&gt;0,"SI","NO")</f>
        <v>NO</v>
      </c>
      <c r="F374" s="24">
        <f>IFERROR(ROUND(($G374+($H374-$G374)*'Info Strategia'!$B$6)*(1+IF($E374="SI",'Parametri Modello'!$B$7*'Info Strategia'!$B$6,0)),0),"")</f>
        <v>1</v>
      </c>
      <c r="G374" s="24">
        <f>IFERROR(ROUND(MAX(1,(IF($V374&lt;=INDEX('Parametri Modello'!$C$57:$C$60,MATCH($B374,'Parametri Modello'!$A$57:$A$60,0)),IF(INDEX('Parametri Modello'!$E$57:$E$60,MATCH($B374,'Parametri Modello'!$A$57:$A$60,0))=0,0,($O374/INDEX('Parametri Modello'!$E$57:$E$60,MATCH($B374,'Parametri Modello'!$A$57:$A$60,0)))*(INDEX('Parametri Modello'!$D$57:$D$60,MATCH($B374,'Parametri Modello'!$A$57:$A$60,0))*(INDEX('Parametri Modello'!$B$50:$B$53,MATCH($B374,'Parametri Modello'!$A$50:$A$53,0))*'Parametri Modello'!$B$44))),IF(INDEX('Parametri Modello'!$F$57:$F$60,MATCH($B374,'Parametri Modello'!$A$57:$A$60,0))=0,0,($O374/INDEX('Parametri Modello'!$F$57:$F$60,MATCH($B374,'Parametri Modello'!$A$57:$A$60,0)))*((1-INDEX('Parametri Modello'!$D$57:$D$60,MATCH($B374,'Parametri Modello'!$A$57:$A$60,0)))*(INDEX('Parametri Modello'!$B$50:$B$53,MATCH($B374,'Parametri Modello'!$A$50:$A$53,0))*'Parametri Modello'!$B$44))))*(1+IF(IF($B374="D",'Info Lega'!$B$25,IF($B374="C",'Info Lega'!$B$26,"No"))="Si",'Parametri Modello'!$B$5,0))*(1+MAX(-0.25,MIN(0.25,IF(OR($T374="",$I374="",$I374=0,INDEX('Parametri Modello'!$B$19:$B$22,MATCH($B374,'Parametri Modello'!$A$19:$A$22,0))="",INDEX('Parametri Modello'!$B$19:$B$22,MATCH($B374,'Parametri Modello'!$A$19:$A$22,0))=0),0,(($T374-INDEX('Parametri Modello'!$B$19:$B$22,MATCH($B374,'Parametri Modello'!$A$19:$A$22,0)))/INDEX('Parametri Modello'!$B$19:$B$22,MATCH($B374,'Parametri Modello'!$A$19:$A$22,0)))*'Parametri Modello'!$B$9))))*(1+IF('Parametri Modello'!$B$27="Si",MAX(-'Parametri Modello'!$B$28,MIN('Parametri Modello'!$B$28*1.5,IF(OR(INDEX('Parametri Modello'!$F$32:$F$35,MATCH($B374,'Parametri Modello'!$A$32:$A$35,0))="",INDEX('Parametri Modello'!$F$32:$F$35,MATCH($B374,'Parametri Modello'!$A$32:$A$35,0))=0),0,(1/INDEX('Parametri Modello'!$F$32:$F$35,MATCH($B374,'Parametri Modello'!$A$32:$A$35,0))-1)*'Parametri Modello'!$B$28))),0)))*(1-INDEX('Parametri Modello'!$B$12:$B$15,MATCH($B374,'Parametri Modello'!$A$12:$A$15,0)))),0),"")</f>
        <v>1</v>
      </c>
      <c r="H374" s="24">
        <f>IFERROR(ROUND((IF($V374&lt;=INDEX('Parametri Modello'!$C$57:$C$60,MATCH($B374,'Parametri Modello'!$A$57:$A$60,0)),IF(INDEX('Parametri Modello'!$E$57:$E$60,MATCH($B374,'Parametri Modello'!$A$57:$A$60,0))=0,0,($O374/INDEX('Parametri Modello'!$E$57:$E$60,MATCH($B374,'Parametri Modello'!$A$57:$A$60,0)))*(INDEX('Parametri Modello'!$D$57:$D$60,MATCH($B374,'Parametri Modello'!$A$57:$A$60,0))*(INDEX('Parametri Modello'!$B$50:$B$53,MATCH($B374,'Parametri Modello'!$A$50:$A$53,0))*'Parametri Modello'!$B$44))),IF(INDEX('Parametri Modello'!$F$57:$F$60,MATCH($B374,'Parametri Modello'!$A$57:$A$60,0))=0,0,($O374/INDEX('Parametri Modello'!$F$57:$F$60,MATCH($B374,'Parametri Modello'!$A$57:$A$60,0)))*((1-INDEX('Parametri Modello'!$D$57:$D$60,MATCH($B374,'Parametri Modello'!$A$57:$A$60,0)))*(INDEX('Parametri Modello'!$B$50:$B$53,MATCH($B374,'Parametri Modello'!$A$50:$A$53,0))*'Parametri Modello'!$B$44))))*(1+IF(IF($B374="D",'Info Lega'!$B$25,IF($B374="C",'Info Lega'!$B$26,"No"))="Si",'Parametri Modello'!$B$5,0))*(1+MAX(-0.25,MIN(0.25,IF(OR($T374="",$I374="",$I374=0,INDEX('Parametri Modello'!$B$19:$B$22,MATCH($B374,'Parametri Modello'!$A$19:$A$22,0))="",INDEX('Parametri Modello'!$B$19:$B$22,MATCH($B374,'Parametri Modello'!$A$19:$A$22,0))=0),0,(($T374-INDEX('Parametri Modello'!$B$19:$B$22,MATCH($B374,'Parametri Modello'!$A$19:$A$22,0)))/INDEX('Parametri Modello'!$B$19:$B$22,MATCH($B374,'Parametri Modello'!$A$19:$A$22,0)))*'Parametri Modello'!$B$9))))*(1+IF('Parametri Modello'!$B$27="Si",MAX(-'Parametri Modello'!$B$28,MIN('Parametri Modello'!$B$28*1.5,IF(OR(INDEX('Parametri Modello'!$F$32:$F$35,MATCH($B374,'Parametri Modello'!$A$32:$A$35,0))="",INDEX('Parametri Modello'!$F$32:$F$35,MATCH($B374,'Parametri Modello'!$A$32:$A$35,0))=0),0,(1/INDEX('Parametri Modello'!$F$32:$F$35,MATCH($B374,'Parametri Modello'!$A$32:$A$35,0))-1)*'Parametri Modello'!$B$28))),0)))*(1+INDEX('Parametri Modello'!$B$12:$B$15,MATCH($B374,'Parametri Modello'!$A$12:$A$15,0))),0),"")</f>
        <v>1</v>
      </c>
      <c r="I374" s="23" t="str">
        <f>IFERROR(INDEX('Input Statistiche 2025_26'!$F$3:$F$665,MATCH($A374,'Input Statistiche 2025_26'!$A$3:$A$665,0)),"")</f>
        <v/>
      </c>
      <c r="J374" s="23" t="str">
        <f t="shared" si="45"/>
        <v/>
      </c>
      <c r="K374" s="23" t="str">
        <f>IFERROR(INDEX('Input Statistiche 2025_26'!$I$3:$I$665,MATCH($A374,'Input Statistiche 2025_26'!$A$3:$A$665,0)),"")</f>
        <v/>
      </c>
      <c r="L374" s="23" t="str">
        <f>IFERROR(INDEX('Input Statistiche 2025_26'!$O$3:$O$665,MATCH($A374,'Input Statistiche 2025_26'!$A$3:$A$665,0)),"")</f>
        <v/>
      </c>
      <c r="M374" s="25"/>
      <c r="N374" s="24">
        <f>IFERROR(INDEX('Input Giocatori 2026_27'!$E$3:$E$493,MATCH($A374,'Input Giocatori 2026_27'!$A$3:$A$493,0)),"")</f>
        <v>2</v>
      </c>
      <c r="O374" s="24">
        <f>IFERROR(INDEX('Input Giocatori 2026_27'!$G$3:$G$493,MATCH($A374,'Input Giocatori 2026_27'!$A$3:$A$493,0)),"")</f>
        <v>6</v>
      </c>
      <c r="P374" s="23" t="str">
        <f>IFERROR(IF($O374="","",IF((1-(COUNTIFS($B$2:$B$492,$B374,$O$2:$O$492,"&gt;"&amp;$O374)+1-1)/COUNTIF($B$2:$B$492,$B374))&gt;='Parametri Modello'!$B$63,"Top",IF((1-(COUNTIFS($B$2:$B$492,$B374,$O$2:$O$492,"&gt;"&amp;$O374)+1-1)/COUNTIF($B$2:$B$492,$B374))&gt;='Parametri Modello'!$B$64,"Buono",IF((1-(COUNTIFS($B$2:$B$492,$B374,$O$2:$O$492,"&gt;"&amp;$O374)+1-1)/COUNTIF($B$2:$B$492,$B374))&gt;='Parametri Modello'!$B$65,"Nella Media","Scommessa/Riserva")))),"")</f>
        <v>Scommessa/Riserva</v>
      </c>
      <c r="Q374" s="26">
        <f>IF(AND($D374="",$N374&gt;1),SUMPRODUCT(($D$2:$D374="")*($N$2:$N374&gt;1)),"")</f>
        <v>372</v>
      </c>
      <c r="R374" s="26" t="str">
        <f>IF($D374='Info Lega'!$B$28,COUNTIFS($D$2:$D374,'Info Lega'!$B$28),"")</f>
        <v/>
      </c>
      <c r="S374" s="27" t="str">
        <f>IFERROR(INDEX('Input Statistiche 2025_26'!$G$3:$G$665,MATCH($A374,'Input Statistiche 2025_26'!$A$3:$A$665,0)),"")</f>
        <v/>
      </c>
      <c r="T374" s="27" t="str">
        <f>IFERROR(INDEX('Input Statistiche 2025_26'!$H$3:$H$665,MATCH($A374,'Input Statistiche 2025_26'!$A$3:$A$665,0)),"")</f>
        <v/>
      </c>
      <c r="U374" s="23" t="str">
        <f>IF(OR('La Mia Rosa'!$O$12="",$D374&lt;&gt;""),"",IF($F374&lt;='La Mia Rosa'!$O$12*'Parametri Modello'!$B$24,"OK",IF($F374&lt;='La Mia Rosa'!$O$12*'Parametri Modello'!$B$25,"Attenzione","Rischio Alto")))</f>
        <v>OK</v>
      </c>
      <c r="V374" s="23">
        <f t="shared" si="46"/>
        <v>134</v>
      </c>
      <c r="W374" s="18">
        <f>'Info Lega'!$B$4-SUMIFS($M$2:$M$492,$D$2:$D$492,'Info Lega'!$B$28)</f>
        <v>1000</v>
      </c>
      <c r="X374" s="18">
        <f>('Info Lega'!$B$5-COUNTIFS($D$2:$D$492,'Info Lega'!$B$28,$B$2:$B$492,"P"))+('Info Lega'!$B$6-COUNTIFS($D$2:$D$492,'Info Lega'!$B$28,$B$2:$B$492,"D"))+('Info Lega'!$B$7-COUNTIFS($D$2:$D$492,'Info Lega'!$B$28,$B$2:$B$492,"C"))+('Info Lega'!$B$8-COUNTIFS($D$2:$D$492,'Info Lega'!$B$28,$B$2:$B$492,"A"))</f>
        <v>25</v>
      </c>
      <c r="Y374" s="18">
        <f>X374*'Parametri Modello'!$B$30</f>
        <v>25</v>
      </c>
      <c r="Z374" s="18">
        <f t="shared" si="47"/>
        <v>975</v>
      </c>
      <c r="AA374" s="18">
        <f t="shared" si="48"/>
        <v>1</v>
      </c>
      <c r="AB374" s="18"/>
      <c r="AC374" s="18" t="str">
        <f>IF($AB374="","",IF($AB374&gt;$AA374,"PASS",IF($AB374&lt;=$AA374*(1-'Parametri Modello'!$B$68),"BID","ATTENZIONE")))</f>
        <v/>
      </c>
      <c r="AD374" s="28" t="str">
        <f t="shared" si="49"/>
        <v/>
      </c>
      <c r="AE374" s="5" t="str">
        <f>IFERROR(INDEX('Stato Asta'!$G$9:$G$12,MATCH($B374,'Stato Asta'!$A$9:$A$12,0)),"")</f>
        <v>🔴 Non aspettare</v>
      </c>
      <c r="AF374" t="str">
        <f>IFERROR(IF($V374&lt;=INDEX('Parametri Modello'!$C$57:$C$60,MATCH($B374,'Parametri Modello'!$A$57:$A$60,0)),"Titolare","Riserva"),"")</f>
        <v>Riserva</v>
      </c>
      <c r="AG374" t="str">
        <f>IFERROR(INDEX('Pressione Competitiva'!$F$3:$F$6,MATCH($B374,'Pressione Competitiva'!$B$3:$B$6,0)),"")</f>
        <v>🔴 Molto Alta</v>
      </c>
      <c r="AH374" t="str">
        <f t="shared" si="50"/>
        <v/>
      </c>
      <c r="AI374" t="str">
        <f>IFERROR(IF($AH374="","",IF($AH374&gt;=$AA374*'Parametri Modello'!$B$68,"🟢 Opportunita'",IF($AH374&lt;=$AA374*'Parametri Modello'!$B$69,"🔴 Sovrapprezzo","🟡 Prezzo Corretto"))),"")</f>
        <v/>
      </c>
      <c r="AJ374" t="str">
        <f t="shared" si="51"/>
        <v/>
      </c>
      <c r="AK374">
        <f t="shared" si="52"/>
        <v>22</v>
      </c>
      <c r="AL374" t="str">
        <f t="shared" si="53"/>
        <v>D|Scommessa/Riserva|22</v>
      </c>
    </row>
    <row r="375" spans="1:38" ht="14.25" customHeight="1" x14ac:dyDescent="0.25">
      <c r="A375" s="18">
        <v>6980</v>
      </c>
      <c r="B375" s="18" t="s">
        <v>17</v>
      </c>
      <c r="C375" s="18" t="s">
        <v>514</v>
      </c>
      <c r="E375" s="23" t="str">
        <f>IF(COUNTIF('Info Strategia'!$D$2:$D$51,$C375)&gt;0,"SI","NO")</f>
        <v>NO</v>
      </c>
      <c r="F375" s="24">
        <f>IFERROR(ROUND(($G375+($H375-$G375)*'Info Strategia'!$B$6)*(1+IF($E375="SI",'Parametri Modello'!$B$7*'Info Strategia'!$B$6,0)),0),"")</f>
        <v>1</v>
      </c>
      <c r="G375" s="24">
        <f>IFERROR(ROUND(MAX(1,(IF($V375&lt;=INDEX('Parametri Modello'!$C$57:$C$60,MATCH($B375,'Parametri Modello'!$A$57:$A$60,0)),IF(INDEX('Parametri Modello'!$E$57:$E$60,MATCH($B375,'Parametri Modello'!$A$57:$A$60,0))=0,0,($O375/INDEX('Parametri Modello'!$E$57:$E$60,MATCH($B375,'Parametri Modello'!$A$57:$A$60,0)))*(INDEX('Parametri Modello'!$D$57:$D$60,MATCH($B375,'Parametri Modello'!$A$57:$A$60,0))*(INDEX('Parametri Modello'!$B$50:$B$53,MATCH($B375,'Parametri Modello'!$A$50:$A$53,0))*'Parametri Modello'!$B$44))),IF(INDEX('Parametri Modello'!$F$57:$F$60,MATCH($B375,'Parametri Modello'!$A$57:$A$60,0))=0,0,($O375/INDEX('Parametri Modello'!$F$57:$F$60,MATCH($B375,'Parametri Modello'!$A$57:$A$60,0)))*((1-INDEX('Parametri Modello'!$D$57:$D$60,MATCH($B375,'Parametri Modello'!$A$57:$A$60,0)))*(INDEX('Parametri Modello'!$B$50:$B$53,MATCH($B375,'Parametri Modello'!$A$50:$A$53,0))*'Parametri Modello'!$B$44))))*(1+IF(IF($B375="D",'Info Lega'!$B$25,IF($B375="C",'Info Lega'!$B$26,"No"))="Si",'Parametri Modello'!$B$5,0))*(1+MAX(-0.25,MIN(0.25,IF(OR($T375="",$I375="",$I375=0,INDEX('Parametri Modello'!$B$19:$B$22,MATCH($B375,'Parametri Modello'!$A$19:$A$22,0))="",INDEX('Parametri Modello'!$B$19:$B$22,MATCH($B375,'Parametri Modello'!$A$19:$A$22,0))=0),0,(($T375-INDEX('Parametri Modello'!$B$19:$B$22,MATCH($B375,'Parametri Modello'!$A$19:$A$22,0)))/INDEX('Parametri Modello'!$B$19:$B$22,MATCH($B375,'Parametri Modello'!$A$19:$A$22,0)))*'Parametri Modello'!$B$9))))*(1+IF('Parametri Modello'!$B$27="Si",MAX(-'Parametri Modello'!$B$28,MIN('Parametri Modello'!$B$28*1.5,IF(OR(INDEX('Parametri Modello'!$F$32:$F$35,MATCH($B375,'Parametri Modello'!$A$32:$A$35,0))="",INDEX('Parametri Modello'!$F$32:$F$35,MATCH($B375,'Parametri Modello'!$A$32:$A$35,0))=0),0,(1/INDEX('Parametri Modello'!$F$32:$F$35,MATCH($B375,'Parametri Modello'!$A$32:$A$35,0))-1)*'Parametri Modello'!$B$28))),0)))*(1-INDEX('Parametri Modello'!$B$12:$B$15,MATCH($B375,'Parametri Modello'!$A$12:$A$15,0)))),0),"")</f>
        <v>1</v>
      </c>
      <c r="H375" s="24">
        <f>IFERROR(ROUND((IF($V375&lt;=INDEX('Parametri Modello'!$C$57:$C$60,MATCH($B375,'Parametri Modello'!$A$57:$A$60,0)),IF(INDEX('Parametri Modello'!$E$57:$E$60,MATCH($B375,'Parametri Modello'!$A$57:$A$60,0))=0,0,($O375/INDEX('Parametri Modello'!$E$57:$E$60,MATCH($B375,'Parametri Modello'!$A$57:$A$60,0)))*(INDEX('Parametri Modello'!$D$57:$D$60,MATCH($B375,'Parametri Modello'!$A$57:$A$60,0))*(INDEX('Parametri Modello'!$B$50:$B$53,MATCH($B375,'Parametri Modello'!$A$50:$A$53,0))*'Parametri Modello'!$B$44))),IF(INDEX('Parametri Modello'!$F$57:$F$60,MATCH($B375,'Parametri Modello'!$A$57:$A$60,0))=0,0,($O375/INDEX('Parametri Modello'!$F$57:$F$60,MATCH($B375,'Parametri Modello'!$A$57:$A$60,0)))*((1-INDEX('Parametri Modello'!$D$57:$D$60,MATCH($B375,'Parametri Modello'!$A$57:$A$60,0)))*(INDEX('Parametri Modello'!$B$50:$B$53,MATCH($B375,'Parametri Modello'!$A$50:$A$53,0))*'Parametri Modello'!$B$44))))*(1+IF(IF($B375="D",'Info Lega'!$B$25,IF($B375="C",'Info Lega'!$B$26,"No"))="Si",'Parametri Modello'!$B$5,0))*(1+MAX(-0.25,MIN(0.25,IF(OR($T375="",$I375="",$I375=0,INDEX('Parametri Modello'!$B$19:$B$22,MATCH($B375,'Parametri Modello'!$A$19:$A$22,0))="",INDEX('Parametri Modello'!$B$19:$B$22,MATCH($B375,'Parametri Modello'!$A$19:$A$22,0))=0),0,(($T375-INDEX('Parametri Modello'!$B$19:$B$22,MATCH($B375,'Parametri Modello'!$A$19:$A$22,0)))/INDEX('Parametri Modello'!$B$19:$B$22,MATCH($B375,'Parametri Modello'!$A$19:$A$22,0)))*'Parametri Modello'!$B$9))))*(1+IF('Parametri Modello'!$B$27="Si",MAX(-'Parametri Modello'!$B$28,MIN('Parametri Modello'!$B$28*1.5,IF(OR(INDEX('Parametri Modello'!$F$32:$F$35,MATCH($B375,'Parametri Modello'!$A$32:$A$35,0))="",INDEX('Parametri Modello'!$F$32:$F$35,MATCH($B375,'Parametri Modello'!$A$32:$A$35,0))=0),0,(1/INDEX('Parametri Modello'!$F$32:$F$35,MATCH($B375,'Parametri Modello'!$A$32:$A$35,0))-1)*'Parametri Modello'!$B$28))),0)))*(1+INDEX('Parametri Modello'!$B$12:$B$15,MATCH($B375,'Parametri Modello'!$A$12:$A$15,0))),0),"")</f>
        <v>1</v>
      </c>
      <c r="I375" s="23">
        <f>IFERROR(INDEX('Input Statistiche 2025_26'!$F$3:$F$665,MATCH($A375,'Input Statistiche 2025_26'!$A$3:$A$665,0)),"")</f>
        <v>7</v>
      </c>
      <c r="J375" s="23">
        <f t="shared" si="45"/>
        <v>31</v>
      </c>
      <c r="K375" s="23">
        <f>IFERROR(INDEX('Input Statistiche 2025_26'!$I$3:$I$665,MATCH($A375,'Input Statistiche 2025_26'!$A$3:$A$665,0)),"")</f>
        <v>0</v>
      </c>
      <c r="L375" s="23">
        <f>IFERROR(INDEX('Input Statistiche 2025_26'!$O$3:$O$665,MATCH($A375,'Input Statistiche 2025_26'!$A$3:$A$665,0)),"")</f>
        <v>0</v>
      </c>
      <c r="M375" s="25"/>
      <c r="N375" s="24">
        <f>IFERROR(INDEX('Input Giocatori 2026_27'!$E$3:$E$493,MATCH($A375,'Input Giocatori 2026_27'!$A$3:$A$493,0)),"")</f>
        <v>2</v>
      </c>
      <c r="O375" s="24">
        <f>IFERROR(INDEX('Input Giocatori 2026_27'!$G$3:$G$493,MATCH($A375,'Input Giocatori 2026_27'!$A$3:$A$493,0)),"")</f>
        <v>6</v>
      </c>
      <c r="P375" s="23" t="str">
        <f>IFERROR(IF($O375="","",IF((1-(COUNTIFS($B$2:$B$492,$B375,$O$2:$O$492,"&gt;"&amp;$O375)+1-1)/COUNTIF($B$2:$B$492,$B375))&gt;='Parametri Modello'!$B$63,"Top",IF((1-(COUNTIFS($B$2:$B$492,$B375,$O$2:$O$492,"&gt;"&amp;$O375)+1-1)/COUNTIF($B$2:$B$492,$B375))&gt;='Parametri Modello'!$B$64,"Buono",IF((1-(COUNTIFS($B$2:$B$492,$B375,$O$2:$O$492,"&gt;"&amp;$O375)+1-1)/COUNTIF($B$2:$B$492,$B375))&gt;='Parametri Modello'!$B$65,"Nella Media","Scommessa/Riserva")))),"")</f>
        <v>Scommessa/Riserva</v>
      </c>
      <c r="Q375" s="26">
        <f>IF(AND($D375="",$N375&gt;1),SUMPRODUCT(($D$2:$D375="")*($N$2:$N375&gt;1)),"")</f>
        <v>373</v>
      </c>
      <c r="R375" s="26" t="str">
        <f>IF($D375='Info Lega'!$B$28,COUNTIFS($D$2:$D375,'Info Lega'!$B$28),"")</f>
        <v/>
      </c>
      <c r="S375" s="27">
        <f>IFERROR(INDEX('Input Statistiche 2025_26'!$G$3:$G$665,MATCH($A375,'Input Statistiche 2025_26'!$A$3:$A$665,0)),"")</f>
        <v>5.86</v>
      </c>
      <c r="T375" s="27">
        <f>IFERROR(INDEX('Input Statistiche 2025_26'!$H$3:$H$665,MATCH($A375,'Input Statistiche 2025_26'!$A$3:$A$665,0)),"")</f>
        <v>5.86</v>
      </c>
      <c r="U375" s="23" t="str">
        <f>IF(OR('La Mia Rosa'!$O$12="",$D375&lt;&gt;""),"",IF($F375&lt;='La Mia Rosa'!$O$12*'Parametri Modello'!$B$24,"OK",IF($F375&lt;='La Mia Rosa'!$O$12*'Parametri Modello'!$B$25,"Attenzione","Rischio Alto")))</f>
        <v>OK</v>
      </c>
      <c r="V375" s="23">
        <f t="shared" si="46"/>
        <v>142</v>
      </c>
      <c r="W375" s="18">
        <f>'Info Lega'!$B$4-SUMIFS($M$2:$M$492,$D$2:$D$492,'Info Lega'!$B$28)</f>
        <v>1000</v>
      </c>
      <c r="X375" s="18">
        <f>('Info Lega'!$B$5-COUNTIFS($D$2:$D$492,'Info Lega'!$B$28,$B$2:$B$492,"P"))+('Info Lega'!$B$6-COUNTIFS($D$2:$D$492,'Info Lega'!$B$28,$B$2:$B$492,"D"))+('Info Lega'!$B$7-COUNTIFS($D$2:$D$492,'Info Lega'!$B$28,$B$2:$B$492,"C"))+('Info Lega'!$B$8-COUNTIFS($D$2:$D$492,'Info Lega'!$B$28,$B$2:$B$492,"A"))</f>
        <v>25</v>
      </c>
      <c r="Y375" s="18">
        <f>X375*'Parametri Modello'!$B$30</f>
        <v>25</v>
      </c>
      <c r="Z375" s="18">
        <f t="shared" si="47"/>
        <v>975</v>
      </c>
      <c r="AA375" s="18">
        <f t="shared" si="48"/>
        <v>1</v>
      </c>
      <c r="AB375" s="18"/>
      <c r="AC375" s="18" t="str">
        <f>IF($AB375="","",IF($AB375&gt;$AA375,"PASS",IF($AB375&lt;=$AA375*(1-'Parametri Modello'!$B$68),"BID","ATTENZIONE")))</f>
        <v/>
      </c>
      <c r="AD375" s="28">
        <f t="shared" si="49"/>
        <v>21</v>
      </c>
      <c r="AE375" s="5" t="str">
        <f>IFERROR(INDEX('Stato Asta'!$G$9:$G$12,MATCH($B375,'Stato Asta'!$A$9:$A$12,0)),"")</f>
        <v>🔴 Non aspettare</v>
      </c>
      <c r="AF375" t="str">
        <f>IFERROR(IF($V375&lt;=INDEX('Parametri Modello'!$C$57:$C$60,MATCH($B375,'Parametri Modello'!$A$57:$A$60,0)),"Titolare","Riserva"),"")</f>
        <v>Riserva</v>
      </c>
      <c r="AG375" t="str">
        <f>IFERROR(INDEX('Pressione Competitiva'!$F$3:$F$6,MATCH($B375,'Pressione Competitiva'!$B$3:$B$6,0)),"")</f>
        <v>🔴 Molto Alta</v>
      </c>
      <c r="AH375" t="str">
        <f t="shared" si="50"/>
        <v/>
      </c>
      <c r="AI375" t="str">
        <f>IFERROR(IF($AH375="","",IF($AH375&gt;=$AA375*'Parametri Modello'!$B$68,"🟢 Opportunita'",IF($AH375&lt;=$AA375*'Parametri Modello'!$B$69,"🔴 Sovrapprezzo","🟡 Prezzo Corretto"))),"")</f>
        <v/>
      </c>
      <c r="AJ375" t="str">
        <f t="shared" si="51"/>
        <v/>
      </c>
      <c r="AK375">
        <f t="shared" si="52"/>
        <v>38</v>
      </c>
      <c r="AL375" t="str">
        <f t="shared" si="53"/>
        <v>C|Scommessa/Riserva|38</v>
      </c>
    </row>
    <row r="376" spans="1:38" ht="14.25" customHeight="1" x14ac:dyDescent="0.25">
      <c r="A376" s="18">
        <v>5295</v>
      </c>
      <c r="B376" s="18" t="s">
        <v>17</v>
      </c>
      <c r="C376" s="18" t="s">
        <v>515</v>
      </c>
      <c r="E376" s="23" t="str">
        <f>IF(COUNTIF('Info Strategia'!$D$2:$D$51,$C376)&gt;0,"SI","NO")</f>
        <v>NO</v>
      </c>
      <c r="F376" s="24">
        <f>IFERROR(ROUND(($G376+($H376-$G376)*'Info Strategia'!$B$6)*(1+IF($E376="SI",'Parametri Modello'!$B$7*'Info Strategia'!$B$6,0)),0),"")</f>
        <v>1</v>
      </c>
      <c r="G376" s="24">
        <f>IFERROR(ROUND(MAX(1,(IF($V376&lt;=INDEX('Parametri Modello'!$C$57:$C$60,MATCH($B376,'Parametri Modello'!$A$57:$A$60,0)),IF(INDEX('Parametri Modello'!$E$57:$E$60,MATCH($B376,'Parametri Modello'!$A$57:$A$60,0))=0,0,($O376/INDEX('Parametri Modello'!$E$57:$E$60,MATCH($B376,'Parametri Modello'!$A$57:$A$60,0)))*(INDEX('Parametri Modello'!$D$57:$D$60,MATCH($B376,'Parametri Modello'!$A$57:$A$60,0))*(INDEX('Parametri Modello'!$B$50:$B$53,MATCH($B376,'Parametri Modello'!$A$50:$A$53,0))*'Parametri Modello'!$B$44))),IF(INDEX('Parametri Modello'!$F$57:$F$60,MATCH($B376,'Parametri Modello'!$A$57:$A$60,0))=0,0,($O376/INDEX('Parametri Modello'!$F$57:$F$60,MATCH($B376,'Parametri Modello'!$A$57:$A$60,0)))*((1-INDEX('Parametri Modello'!$D$57:$D$60,MATCH($B376,'Parametri Modello'!$A$57:$A$60,0)))*(INDEX('Parametri Modello'!$B$50:$B$53,MATCH($B376,'Parametri Modello'!$A$50:$A$53,0))*'Parametri Modello'!$B$44))))*(1+IF(IF($B376="D",'Info Lega'!$B$25,IF($B376="C",'Info Lega'!$B$26,"No"))="Si",'Parametri Modello'!$B$5,0))*(1+MAX(-0.25,MIN(0.25,IF(OR($T376="",$I376="",$I376=0,INDEX('Parametri Modello'!$B$19:$B$22,MATCH($B376,'Parametri Modello'!$A$19:$A$22,0))="",INDEX('Parametri Modello'!$B$19:$B$22,MATCH($B376,'Parametri Modello'!$A$19:$A$22,0))=0),0,(($T376-INDEX('Parametri Modello'!$B$19:$B$22,MATCH($B376,'Parametri Modello'!$A$19:$A$22,0)))/INDEX('Parametri Modello'!$B$19:$B$22,MATCH($B376,'Parametri Modello'!$A$19:$A$22,0)))*'Parametri Modello'!$B$9))))*(1+IF('Parametri Modello'!$B$27="Si",MAX(-'Parametri Modello'!$B$28,MIN('Parametri Modello'!$B$28*1.5,IF(OR(INDEX('Parametri Modello'!$F$32:$F$35,MATCH($B376,'Parametri Modello'!$A$32:$A$35,0))="",INDEX('Parametri Modello'!$F$32:$F$35,MATCH($B376,'Parametri Modello'!$A$32:$A$35,0))=0),0,(1/INDEX('Parametri Modello'!$F$32:$F$35,MATCH($B376,'Parametri Modello'!$A$32:$A$35,0))-1)*'Parametri Modello'!$B$28))),0)))*(1-INDEX('Parametri Modello'!$B$12:$B$15,MATCH($B376,'Parametri Modello'!$A$12:$A$15,0)))),0),"")</f>
        <v>1</v>
      </c>
      <c r="H376" s="24">
        <f>IFERROR(ROUND((IF($V376&lt;=INDEX('Parametri Modello'!$C$57:$C$60,MATCH($B376,'Parametri Modello'!$A$57:$A$60,0)),IF(INDEX('Parametri Modello'!$E$57:$E$60,MATCH($B376,'Parametri Modello'!$A$57:$A$60,0))=0,0,($O376/INDEX('Parametri Modello'!$E$57:$E$60,MATCH($B376,'Parametri Modello'!$A$57:$A$60,0)))*(INDEX('Parametri Modello'!$D$57:$D$60,MATCH($B376,'Parametri Modello'!$A$57:$A$60,0))*(INDEX('Parametri Modello'!$B$50:$B$53,MATCH($B376,'Parametri Modello'!$A$50:$A$53,0))*'Parametri Modello'!$B$44))),IF(INDEX('Parametri Modello'!$F$57:$F$60,MATCH($B376,'Parametri Modello'!$A$57:$A$60,0))=0,0,($O376/INDEX('Parametri Modello'!$F$57:$F$60,MATCH($B376,'Parametri Modello'!$A$57:$A$60,0)))*((1-INDEX('Parametri Modello'!$D$57:$D$60,MATCH($B376,'Parametri Modello'!$A$57:$A$60,0)))*(INDEX('Parametri Modello'!$B$50:$B$53,MATCH($B376,'Parametri Modello'!$A$50:$A$53,0))*'Parametri Modello'!$B$44))))*(1+IF(IF($B376="D",'Info Lega'!$B$25,IF($B376="C",'Info Lega'!$B$26,"No"))="Si",'Parametri Modello'!$B$5,0))*(1+MAX(-0.25,MIN(0.25,IF(OR($T376="",$I376="",$I376=0,INDEX('Parametri Modello'!$B$19:$B$22,MATCH($B376,'Parametri Modello'!$A$19:$A$22,0))="",INDEX('Parametri Modello'!$B$19:$B$22,MATCH($B376,'Parametri Modello'!$A$19:$A$22,0))=0),0,(($T376-INDEX('Parametri Modello'!$B$19:$B$22,MATCH($B376,'Parametri Modello'!$A$19:$A$22,0)))/INDEX('Parametri Modello'!$B$19:$B$22,MATCH($B376,'Parametri Modello'!$A$19:$A$22,0)))*'Parametri Modello'!$B$9))))*(1+IF('Parametri Modello'!$B$27="Si",MAX(-'Parametri Modello'!$B$28,MIN('Parametri Modello'!$B$28*1.5,IF(OR(INDEX('Parametri Modello'!$F$32:$F$35,MATCH($B376,'Parametri Modello'!$A$32:$A$35,0))="",INDEX('Parametri Modello'!$F$32:$F$35,MATCH($B376,'Parametri Modello'!$A$32:$A$35,0))=0),0,(1/INDEX('Parametri Modello'!$F$32:$F$35,MATCH($B376,'Parametri Modello'!$A$32:$A$35,0))-1)*'Parametri Modello'!$B$28))),0)))*(1+INDEX('Parametri Modello'!$B$12:$B$15,MATCH($B376,'Parametri Modello'!$A$12:$A$15,0))),0),"")</f>
        <v>1</v>
      </c>
      <c r="I376" s="23">
        <f>IFERROR(INDEX('Input Statistiche 2025_26'!$F$3:$F$665,MATCH($A376,'Input Statistiche 2025_26'!$A$3:$A$665,0)),"")</f>
        <v>16</v>
      </c>
      <c r="J376" s="23">
        <f t="shared" si="45"/>
        <v>22</v>
      </c>
      <c r="K376" s="23">
        <f>IFERROR(INDEX('Input Statistiche 2025_26'!$I$3:$I$665,MATCH($A376,'Input Statistiche 2025_26'!$A$3:$A$665,0)),"")</f>
        <v>1</v>
      </c>
      <c r="L376" s="23">
        <f>IFERROR(INDEX('Input Statistiche 2025_26'!$O$3:$O$665,MATCH($A376,'Input Statistiche 2025_26'!$A$3:$A$665,0)),"")</f>
        <v>0</v>
      </c>
      <c r="M376" s="25"/>
      <c r="N376" s="24">
        <f>IFERROR(INDEX('Input Giocatori 2026_27'!$E$3:$E$493,MATCH($A376,'Input Giocatori 2026_27'!$A$3:$A$493,0)),"")</f>
        <v>2</v>
      </c>
      <c r="O376" s="24">
        <f>IFERROR(INDEX('Input Giocatori 2026_27'!$G$3:$G$493,MATCH($A376,'Input Giocatori 2026_27'!$A$3:$A$493,0)),"")</f>
        <v>6</v>
      </c>
      <c r="P376" s="23" t="str">
        <f>IFERROR(IF($O376="","",IF((1-(COUNTIFS($B$2:$B$492,$B376,$O$2:$O$492,"&gt;"&amp;$O376)+1-1)/COUNTIF($B$2:$B$492,$B376))&gt;='Parametri Modello'!$B$63,"Top",IF((1-(COUNTIFS($B$2:$B$492,$B376,$O$2:$O$492,"&gt;"&amp;$O376)+1-1)/COUNTIF($B$2:$B$492,$B376))&gt;='Parametri Modello'!$B$64,"Buono",IF((1-(COUNTIFS($B$2:$B$492,$B376,$O$2:$O$492,"&gt;"&amp;$O376)+1-1)/COUNTIF($B$2:$B$492,$B376))&gt;='Parametri Modello'!$B$65,"Nella Media","Scommessa/Riserva")))),"")</f>
        <v>Scommessa/Riserva</v>
      </c>
      <c r="Q376" s="26">
        <f>IF(AND($D376="",$N376&gt;1),SUMPRODUCT(($D$2:$D376="")*($N$2:$N376&gt;1)),"")</f>
        <v>374</v>
      </c>
      <c r="R376" s="26" t="str">
        <f>IF($D376='Info Lega'!$B$28,COUNTIFS($D$2:$D376,'Info Lega'!$B$28),"")</f>
        <v/>
      </c>
      <c r="S376" s="27">
        <f>IFERROR(INDEX('Input Statistiche 2025_26'!$G$3:$G$665,MATCH($A376,'Input Statistiche 2025_26'!$A$3:$A$665,0)),"")</f>
        <v>5.94</v>
      </c>
      <c r="T376" s="27">
        <f>IFERROR(INDEX('Input Statistiche 2025_26'!$H$3:$H$665,MATCH($A376,'Input Statistiche 2025_26'!$A$3:$A$665,0)),"")</f>
        <v>6.09</v>
      </c>
      <c r="U376" s="23" t="str">
        <f>IF(OR('La Mia Rosa'!$O$12="",$D376&lt;&gt;""),"",IF($F376&lt;='La Mia Rosa'!$O$12*'Parametri Modello'!$B$24,"OK",IF($F376&lt;='La Mia Rosa'!$O$12*'Parametri Modello'!$B$25,"Attenzione","Rischio Alto")))</f>
        <v>OK</v>
      </c>
      <c r="V376" s="23">
        <f t="shared" si="46"/>
        <v>142</v>
      </c>
      <c r="W376" s="18">
        <f>'Info Lega'!$B$4-SUMIFS($M$2:$M$492,$D$2:$D$492,'Info Lega'!$B$28)</f>
        <v>1000</v>
      </c>
      <c r="X376" s="18">
        <f>('Info Lega'!$B$5-COUNTIFS($D$2:$D$492,'Info Lega'!$B$28,$B$2:$B$492,"P"))+('Info Lega'!$B$6-COUNTIFS($D$2:$D$492,'Info Lega'!$B$28,$B$2:$B$492,"D"))+('Info Lega'!$B$7-COUNTIFS($D$2:$D$492,'Info Lega'!$B$28,$B$2:$B$492,"C"))+('Info Lega'!$B$8-COUNTIFS($D$2:$D$492,'Info Lega'!$B$28,$B$2:$B$492,"A"))</f>
        <v>25</v>
      </c>
      <c r="Y376" s="18">
        <f>X376*'Parametri Modello'!$B$30</f>
        <v>25</v>
      </c>
      <c r="Z376" s="18">
        <f t="shared" si="47"/>
        <v>975</v>
      </c>
      <c r="AA376" s="18">
        <f t="shared" si="48"/>
        <v>1</v>
      </c>
      <c r="AB376" s="18"/>
      <c r="AC376" s="18" t="str">
        <f>IF($AB376="","",IF($AB376&gt;$AA376,"PASS",IF($AB376&lt;=$AA376*(1-'Parametri Modello'!$B$68),"BID","ATTENZIONE")))</f>
        <v/>
      </c>
      <c r="AD376" s="28">
        <f t="shared" si="49"/>
        <v>41</v>
      </c>
      <c r="AE376" s="5" t="str">
        <f>IFERROR(INDEX('Stato Asta'!$G$9:$G$12,MATCH($B376,'Stato Asta'!$A$9:$A$12,0)),"")</f>
        <v>🔴 Non aspettare</v>
      </c>
      <c r="AF376" t="str">
        <f>IFERROR(IF($V376&lt;=INDEX('Parametri Modello'!$C$57:$C$60,MATCH($B376,'Parametri Modello'!$A$57:$A$60,0)),"Titolare","Riserva"),"")</f>
        <v>Riserva</v>
      </c>
      <c r="AG376" t="str">
        <f>IFERROR(INDEX('Pressione Competitiva'!$F$3:$F$6,MATCH($B376,'Pressione Competitiva'!$B$3:$B$6,0)),"")</f>
        <v>🔴 Molto Alta</v>
      </c>
      <c r="AH376" t="str">
        <f t="shared" si="50"/>
        <v/>
      </c>
      <c r="AI376" t="str">
        <f>IFERROR(IF($AH376="","",IF($AH376&gt;=$AA376*'Parametri Modello'!$B$68,"🟢 Opportunita'",IF($AH376&lt;=$AA376*'Parametri Modello'!$B$69,"🔴 Sovrapprezzo","🟡 Prezzo Corretto"))),"")</f>
        <v/>
      </c>
      <c r="AJ376" t="str">
        <f t="shared" si="51"/>
        <v/>
      </c>
      <c r="AK376">
        <f t="shared" si="52"/>
        <v>38</v>
      </c>
      <c r="AL376" t="str">
        <f t="shared" si="53"/>
        <v>C|Scommessa/Riserva|38</v>
      </c>
    </row>
    <row r="377" spans="1:38" ht="14.25" customHeight="1" x14ac:dyDescent="0.25">
      <c r="A377" s="18">
        <v>5880</v>
      </c>
      <c r="B377" s="18" t="s">
        <v>17</v>
      </c>
      <c r="C377" s="18" t="s">
        <v>516</v>
      </c>
      <c r="E377" s="23" t="str">
        <f>IF(COUNTIF('Info Strategia'!$D$2:$D$51,$C377)&gt;0,"SI","NO")</f>
        <v>NO</v>
      </c>
      <c r="F377" s="24">
        <f>IFERROR(ROUND(($G377+($H377-$G377)*'Info Strategia'!$B$6)*(1+IF($E377="SI",'Parametri Modello'!$B$7*'Info Strategia'!$B$6,0)),0),"")</f>
        <v>1</v>
      </c>
      <c r="G377" s="24">
        <f>IFERROR(ROUND(MAX(1,(IF($V377&lt;=INDEX('Parametri Modello'!$C$57:$C$60,MATCH($B377,'Parametri Modello'!$A$57:$A$60,0)),IF(INDEX('Parametri Modello'!$E$57:$E$60,MATCH($B377,'Parametri Modello'!$A$57:$A$60,0))=0,0,($O377/INDEX('Parametri Modello'!$E$57:$E$60,MATCH($B377,'Parametri Modello'!$A$57:$A$60,0)))*(INDEX('Parametri Modello'!$D$57:$D$60,MATCH($B377,'Parametri Modello'!$A$57:$A$60,0))*(INDEX('Parametri Modello'!$B$50:$B$53,MATCH($B377,'Parametri Modello'!$A$50:$A$53,0))*'Parametri Modello'!$B$44))),IF(INDEX('Parametri Modello'!$F$57:$F$60,MATCH($B377,'Parametri Modello'!$A$57:$A$60,0))=0,0,($O377/INDEX('Parametri Modello'!$F$57:$F$60,MATCH($B377,'Parametri Modello'!$A$57:$A$60,0)))*((1-INDEX('Parametri Modello'!$D$57:$D$60,MATCH($B377,'Parametri Modello'!$A$57:$A$60,0)))*(INDEX('Parametri Modello'!$B$50:$B$53,MATCH($B377,'Parametri Modello'!$A$50:$A$53,0))*'Parametri Modello'!$B$44))))*(1+IF(IF($B377="D",'Info Lega'!$B$25,IF($B377="C",'Info Lega'!$B$26,"No"))="Si",'Parametri Modello'!$B$5,0))*(1+MAX(-0.25,MIN(0.25,IF(OR($T377="",$I377="",$I377=0,INDEX('Parametri Modello'!$B$19:$B$22,MATCH($B377,'Parametri Modello'!$A$19:$A$22,0))="",INDEX('Parametri Modello'!$B$19:$B$22,MATCH($B377,'Parametri Modello'!$A$19:$A$22,0))=0),0,(($T377-INDEX('Parametri Modello'!$B$19:$B$22,MATCH($B377,'Parametri Modello'!$A$19:$A$22,0)))/INDEX('Parametri Modello'!$B$19:$B$22,MATCH($B377,'Parametri Modello'!$A$19:$A$22,0)))*'Parametri Modello'!$B$9))))*(1+IF('Parametri Modello'!$B$27="Si",MAX(-'Parametri Modello'!$B$28,MIN('Parametri Modello'!$B$28*1.5,IF(OR(INDEX('Parametri Modello'!$F$32:$F$35,MATCH($B377,'Parametri Modello'!$A$32:$A$35,0))="",INDEX('Parametri Modello'!$F$32:$F$35,MATCH($B377,'Parametri Modello'!$A$32:$A$35,0))=0),0,(1/INDEX('Parametri Modello'!$F$32:$F$35,MATCH($B377,'Parametri Modello'!$A$32:$A$35,0))-1)*'Parametri Modello'!$B$28))),0)))*(1-INDEX('Parametri Modello'!$B$12:$B$15,MATCH($B377,'Parametri Modello'!$A$12:$A$15,0)))),0),"")</f>
        <v>1</v>
      </c>
      <c r="H377" s="24">
        <f>IFERROR(ROUND((IF($V377&lt;=INDEX('Parametri Modello'!$C$57:$C$60,MATCH($B377,'Parametri Modello'!$A$57:$A$60,0)),IF(INDEX('Parametri Modello'!$E$57:$E$60,MATCH($B377,'Parametri Modello'!$A$57:$A$60,0))=0,0,($O377/INDEX('Parametri Modello'!$E$57:$E$60,MATCH($B377,'Parametri Modello'!$A$57:$A$60,0)))*(INDEX('Parametri Modello'!$D$57:$D$60,MATCH($B377,'Parametri Modello'!$A$57:$A$60,0))*(INDEX('Parametri Modello'!$B$50:$B$53,MATCH($B377,'Parametri Modello'!$A$50:$A$53,0))*'Parametri Modello'!$B$44))),IF(INDEX('Parametri Modello'!$F$57:$F$60,MATCH($B377,'Parametri Modello'!$A$57:$A$60,0))=0,0,($O377/INDEX('Parametri Modello'!$F$57:$F$60,MATCH($B377,'Parametri Modello'!$A$57:$A$60,0)))*((1-INDEX('Parametri Modello'!$D$57:$D$60,MATCH($B377,'Parametri Modello'!$A$57:$A$60,0)))*(INDEX('Parametri Modello'!$B$50:$B$53,MATCH($B377,'Parametri Modello'!$A$50:$A$53,0))*'Parametri Modello'!$B$44))))*(1+IF(IF($B377="D",'Info Lega'!$B$25,IF($B377="C",'Info Lega'!$B$26,"No"))="Si",'Parametri Modello'!$B$5,0))*(1+MAX(-0.25,MIN(0.25,IF(OR($T377="",$I377="",$I377=0,INDEX('Parametri Modello'!$B$19:$B$22,MATCH($B377,'Parametri Modello'!$A$19:$A$22,0))="",INDEX('Parametri Modello'!$B$19:$B$22,MATCH($B377,'Parametri Modello'!$A$19:$A$22,0))=0),0,(($T377-INDEX('Parametri Modello'!$B$19:$B$22,MATCH($B377,'Parametri Modello'!$A$19:$A$22,0)))/INDEX('Parametri Modello'!$B$19:$B$22,MATCH($B377,'Parametri Modello'!$A$19:$A$22,0)))*'Parametri Modello'!$B$9))))*(1+IF('Parametri Modello'!$B$27="Si",MAX(-'Parametri Modello'!$B$28,MIN('Parametri Modello'!$B$28*1.5,IF(OR(INDEX('Parametri Modello'!$F$32:$F$35,MATCH($B377,'Parametri Modello'!$A$32:$A$35,0))="",INDEX('Parametri Modello'!$F$32:$F$35,MATCH($B377,'Parametri Modello'!$A$32:$A$35,0))=0),0,(1/INDEX('Parametri Modello'!$F$32:$F$35,MATCH($B377,'Parametri Modello'!$A$32:$A$35,0))-1)*'Parametri Modello'!$B$28))),0)))*(1+INDEX('Parametri Modello'!$B$12:$B$15,MATCH($B377,'Parametri Modello'!$A$12:$A$15,0))),0),"")</f>
        <v>1</v>
      </c>
      <c r="I377" s="23" t="str">
        <f>IFERROR(INDEX('Input Statistiche 2025_26'!$F$3:$F$665,MATCH($A377,'Input Statistiche 2025_26'!$A$3:$A$665,0)),"")</f>
        <v/>
      </c>
      <c r="J377" s="23" t="str">
        <f t="shared" si="45"/>
        <v/>
      </c>
      <c r="K377" s="23" t="str">
        <f>IFERROR(INDEX('Input Statistiche 2025_26'!$I$3:$I$665,MATCH($A377,'Input Statistiche 2025_26'!$A$3:$A$665,0)),"")</f>
        <v/>
      </c>
      <c r="L377" s="23" t="str">
        <f>IFERROR(INDEX('Input Statistiche 2025_26'!$O$3:$O$665,MATCH($A377,'Input Statistiche 2025_26'!$A$3:$A$665,0)),"")</f>
        <v/>
      </c>
      <c r="M377" s="25"/>
      <c r="N377" s="24">
        <f>IFERROR(INDEX('Input Giocatori 2026_27'!$E$3:$E$493,MATCH($A377,'Input Giocatori 2026_27'!$A$3:$A$493,0)),"")</f>
        <v>2</v>
      </c>
      <c r="O377" s="24">
        <f>IFERROR(INDEX('Input Giocatori 2026_27'!$G$3:$G$493,MATCH($A377,'Input Giocatori 2026_27'!$A$3:$A$493,0)),"")</f>
        <v>6</v>
      </c>
      <c r="P377" s="23" t="str">
        <f>IFERROR(IF($O377="","",IF((1-(COUNTIFS($B$2:$B$492,$B377,$O$2:$O$492,"&gt;"&amp;$O377)+1-1)/COUNTIF($B$2:$B$492,$B377))&gt;='Parametri Modello'!$B$63,"Top",IF((1-(COUNTIFS($B$2:$B$492,$B377,$O$2:$O$492,"&gt;"&amp;$O377)+1-1)/COUNTIF($B$2:$B$492,$B377))&gt;='Parametri Modello'!$B$64,"Buono",IF((1-(COUNTIFS($B$2:$B$492,$B377,$O$2:$O$492,"&gt;"&amp;$O377)+1-1)/COUNTIF($B$2:$B$492,$B377))&gt;='Parametri Modello'!$B$65,"Nella Media","Scommessa/Riserva")))),"")</f>
        <v>Scommessa/Riserva</v>
      </c>
      <c r="Q377" s="26">
        <f>IF(AND($D377="",$N377&gt;1),SUMPRODUCT(($D$2:$D377="")*($N$2:$N377&gt;1)),"")</f>
        <v>375</v>
      </c>
      <c r="R377" s="26" t="str">
        <f>IF($D377='Info Lega'!$B$28,COUNTIFS($D$2:$D377,'Info Lega'!$B$28),"")</f>
        <v/>
      </c>
      <c r="S377" s="27" t="str">
        <f>IFERROR(INDEX('Input Statistiche 2025_26'!$G$3:$G$665,MATCH($A377,'Input Statistiche 2025_26'!$A$3:$A$665,0)),"")</f>
        <v/>
      </c>
      <c r="T377" s="27" t="str">
        <f>IFERROR(INDEX('Input Statistiche 2025_26'!$H$3:$H$665,MATCH($A377,'Input Statistiche 2025_26'!$A$3:$A$665,0)),"")</f>
        <v/>
      </c>
      <c r="U377" s="23" t="str">
        <f>IF(OR('La Mia Rosa'!$O$12="",$D377&lt;&gt;""),"",IF($F377&lt;='La Mia Rosa'!$O$12*'Parametri Modello'!$B$24,"OK",IF($F377&lt;='La Mia Rosa'!$O$12*'Parametri Modello'!$B$25,"Attenzione","Rischio Alto")))</f>
        <v>OK</v>
      </c>
      <c r="V377" s="23">
        <f t="shared" si="46"/>
        <v>142</v>
      </c>
      <c r="W377" s="18">
        <f>'Info Lega'!$B$4-SUMIFS($M$2:$M$492,$D$2:$D$492,'Info Lega'!$B$28)</f>
        <v>1000</v>
      </c>
      <c r="X377" s="18">
        <f>('Info Lega'!$B$5-COUNTIFS($D$2:$D$492,'Info Lega'!$B$28,$B$2:$B$492,"P"))+('Info Lega'!$B$6-COUNTIFS($D$2:$D$492,'Info Lega'!$B$28,$B$2:$B$492,"D"))+('Info Lega'!$B$7-COUNTIFS($D$2:$D$492,'Info Lega'!$B$28,$B$2:$B$492,"C"))+('Info Lega'!$B$8-COUNTIFS($D$2:$D$492,'Info Lega'!$B$28,$B$2:$B$492,"A"))</f>
        <v>25</v>
      </c>
      <c r="Y377" s="18">
        <f>X377*'Parametri Modello'!$B$30</f>
        <v>25</v>
      </c>
      <c r="Z377" s="18">
        <f t="shared" si="47"/>
        <v>975</v>
      </c>
      <c r="AA377" s="18">
        <f t="shared" si="48"/>
        <v>1</v>
      </c>
      <c r="AB377" s="18"/>
      <c r="AC377" s="18" t="str">
        <f>IF($AB377="","",IF($AB377&gt;$AA377,"PASS",IF($AB377&lt;=$AA377*(1-'Parametri Modello'!$B$68),"BID","ATTENZIONE")))</f>
        <v/>
      </c>
      <c r="AD377" s="28" t="str">
        <f t="shared" si="49"/>
        <v/>
      </c>
      <c r="AE377" s="5" t="str">
        <f>IFERROR(INDEX('Stato Asta'!$G$9:$G$12,MATCH($B377,'Stato Asta'!$A$9:$A$12,0)),"")</f>
        <v>🔴 Non aspettare</v>
      </c>
      <c r="AF377" t="str">
        <f>IFERROR(IF($V377&lt;=INDEX('Parametri Modello'!$C$57:$C$60,MATCH($B377,'Parametri Modello'!$A$57:$A$60,0)),"Titolare","Riserva"),"")</f>
        <v>Riserva</v>
      </c>
      <c r="AG377" t="str">
        <f>IFERROR(INDEX('Pressione Competitiva'!$F$3:$F$6,MATCH($B377,'Pressione Competitiva'!$B$3:$B$6,0)),"")</f>
        <v>🔴 Molto Alta</v>
      </c>
      <c r="AH377" t="str">
        <f t="shared" si="50"/>
        <v/>
      </c>
      <c r="AI377" t="str">
        <f>IFERROR(IF($AH377="","",IF($AH377&gt;=$AA377*'Parametri Modello'!$B$68,"🟢 Opportunita'",IF($AH377&lt;=$AA377*'Parametri Modello'!$B$69,"🔴 Sovrapprezzo","🟡 Prezzo Corretto"))),"")</f>
        <v/>
      </c>
      <c r="AJ377" t="str">
        <f t="shared" si="51"/>
        <v/>
      </c>
      <c r="AK377">
        <f t="shared" si="52"/>
        <v>38</v>
      </c>
      <c r="AL377" t="str">
        <f t="shared" si="53"/>
        <v>C|Scommessa/Riserva|38</v>
      </c>
    </row>
    <row r="378" spans="1:38" ht="14.25" customHeight="1" x14ac:dyDescent="0.25">
      <c r="A378" s="18">
        <v>7418</v>
      </c>
      <c r="B378" s="18" t="s">
        <v>17</v>
      </c>
      <c r="C378" s="18" t="s">
        <v>517</v>
      </c>
      <c r="E378" s="23" t="str">
        <f>IF(COUNTIF('Info Strategia'!$D$2:$D$51,$C378)&gt;0,"SI","NO")</f>
        <v>NO</v>
      </c>
      <c r="F378" s="24">
        <f>IFERROR(ROUND(($G378+($H378-$G378)*'Info Strategia'!$B$6)*(1+IF($E378="SI",'Parametri Modello'!$B$7*'Info Strategia'!$B$6,0)),0),"")</f>
        <v>1</v>
      </c>
      <c r="G378" s="24">
        <f>IFERROR(ROUND(MAX(1,(IF($V378&lt;=INDEX('Parametri Modello'!$C$57:$C$60,MATCH($B378,'Parametri Modello'!$A$57:$A$60,0)),IF(INDEX('Parametri Modello'!$E$57:$E$60,MATCH($B378,'Parametri Modello'!$A$57:$A$60,0))=0,0,($O378/INDEX('Parametri Modello'!$E$57:$E$60,MATCH($B378,'Parametri Modello'!$A$57:$A$60,0)))*(INDEX('Parametri Modello'!$D$57:$D$60,MATCH($B378,'Parametri Modello'!$A$57:$A$60,0))*(INDEX('Parametri Modello'!$B$50:$B$53,MATCH($B378,'Parametri Modello'!$A$50:$A$53,0))*'Parametri Modello'!$B$44))),IF(INDEX('Parametri Modello'!$F$57:$F$60,MATCH($B378,'Parametri Modello'!$A$57:$A$60,0))=0,0,($O378/INDEX('Parametri Modello'!$F$57:$F$60,MATCH($B378,'Parametri Modello'!$A$57:$A$60,0)))*((1-INDEX('Parametri Modello'!$D$57:$D$60,MATCH($B378,'Parametri Modello'!$A$57:$A$60,0)))*(INDEX('Parametri Modello'!$B$50:$B$53,MATCH($B378,'Parametri Modello'!$A$50:$A$53,0))*'Parametri Modello'!$B$44))))*(1+IF(IF($B378="D",'Info Lega'!$B$25,IF($B378="C",'Info Lega'!$B$26,"No"))="Si",'Parametri Modello'!$B$5,0))*(1+MAX(-0.25,MIN(0.25,IF(OR($T378="",$I378="",$I378=0,INDEX('Parametri Modello'!$B$19:$B$22,MATCH($B378,'Parametri Modello'!$A$19:$A$22,0))="",INDEX('Parametri Modello'!$B$19:$B$22,MATCH($B378,'Parametri Modello'!$A$19:$A$22,0))=0),0,(($T378-INDEX('Parametri Modello'!$B$19:$B$22,MATCH($B378,'Parametri Modello'!$A$19:$A$22,0)))/INDEX('Parametri Modello'!$B$19:$B$22,MATCH($B378,'Parametri Modello'!$A$19:$A$22,0)))*'Parametri Modello'!$B$9))))*(1+IF('Parametri Modello'!$B$27="Si",MAX(-'Parametri Modello'!$B$28,MIN('Parametri Modello'!$B$28*1.5,IF(OR(INDEX('Parametri Modello'!$F$32:$F$35,MATCH($B378,'Parametri Modello'!$A$32:$A$35,0))="",INDEX('Parametri Modello'!$F$32:$F$35,MATCH($B378,'Parametri Modello'!$A$32:$A$35,0))=0),0,(1/INDEX('Parametri Modello'!$F$32:$F$35,MATCH($B378,'Parametri Modello'!$A$32:$A$35,0))-1)*'Parametri Modello'!$B$28))),0)))*(1-INDEX('Parametri Modello'!$B$12:$B$15,MATCH($B378,'Parametri Modello'!$A$12:$A$15,0)))),0),"")</f>
        <v>1</v>
      </c>
      <c r="H378" s="24">
        <f>IFERROR(ROUND((IF($V378&lt;=INDEX('Parametri Modello'!$C$57:$C$60,MATCH($B378,'Parametri Modello'!$A$57:$A$60,0)),IF(INDEX('Parametri Modello'!$E$57:$E$60,MATCH($B378,'Parametri Modello'!$A$57:$A$60,0))=0,0,($O378/INDEX('Parametri Modello'!$E$57:$E$60,MATCH($B378,'Parametri Modello'!$A$57:$A$60,0)))*(INDEX('Parametri Modello'!$D$57:$D$60,MATCH($B378,'Parametri Modello'!$A$57:$A$60,0))*(INDEX('Parametri Modello'!$B$50:$B$53,MATCH($B378,'Parametri Modello'!$A$50:$A$53,0))*'Parametri Modello'!$B$44))),IF(INDEX('Parametri Modello'!$F$57:$F$60,MATCH($B378,'Parametri Modello'!$A$57:$A$60,0))=0,0,($O378/INDEX('Parametri Modello'!$F$57:$F$60,MATCH($B378,'Parametri Modello'!$A$57:$A$60,0)))*((1-INDEX('Parametri Modello'!$D$57:$D$60,MATCH($B378,'Parametri Modello'!$A$57:$A$60,0)))*(INDEX('Parametri Modello'!$B$50:$B$53,MATCH($B378,'Parametri Modello'!$A$50:$A$53,0))*'Parametri Modello'!$B$44))))*(1+IF(IF($B378="D",'Info Lega'!$B$25,IF($B378="C",'Info Lega'!$B$26,"No"))="Si",'Parametri Modello'!$B$5,0))*(1+MAX(-0.25,MIN(0.25,IF(OR($T378="",$I378="",$I378=0,INDEX('Parametri Modello'!$B$19:$B$22,MATCH($B378,'Parametri Modello'!$A$19:$A$22,0))="",INDEX('Parametri Modello'!$B$19:$B$22,MATCH($B378,'Parametri Modello'!$A$19:$A$22,0))=0),0,(($T378-INDEX('Parametri Modello'!$B$19:$B$22,MATCH($B378,'Parametri Modello'!$A$19:$A$22,0)))/INDEX('Parametri Modello'!$B$19:$B$22,MATCH($B378,'Parametri Modello'!$A$19:$A$22,0)))*'Parametri Modello'!$B$9))))*(1+IF('Parametri Modello'!$B$27="Si",MAX(-'Parametri Modello'!$B$28,MIN('Parametri Modello'!$B$28*1.5,IF(OR(INDEX('Parametri Modello'!$F$32:$F$35,MATCH($B378,'Parametri Modello'!$A$32:$A$35,0))="",INDEX('Parametri Modello'!$F$32:$F$35,MATCH($B378,'Parametri Modello'!$A$32:$A$35,0))=0),0,(1/INDEX('Parametri Modello'!$F$32:$F$35,MATCH($B378,'Parametri Modello'!$A$32:$A$35,0))-1)*'Parametri Modello'!$B$28))),0)))*(1+INDEX('Parametri Modello'!$B$12:$B$15,MATCH($B378,'Parametri Modello'!$A$12:$A$15,0))),0),"")</f>
        <v>1</v>
      </c>
      <c r="I378" s="23" t="str">
        <f>IFERROR(INDEX('Input Statistiche 2025_26'!$F$3:$F$665,MATCH($A378,'Input Statistiche 2025_26'!$A$3:$A$665,0)),"")</f>
        <v/>
      </c>
      <c r="J378" s="23" t="str">
        <f t="shared" si="45"/>
        <v/>
      </c>
      <c r="K378" s="23" t="str">
        <f>IFERROR(INDEX('Input Statistiche 2025_26'!$I$3:$I$665,MATCH($A378,'Input Statistiche 2025_26'!$A$3:$A$665,0)),"")</f>
        <v/>
      </c>
      <c r="L378" s="23" t="str">
        <f>IFERROR(INDEX('Input Statistiche 2025_26'!$O$3:$O$665,MATCH($A378,'Input Statistiche 2025_26'!$A$3:$A$665,0)),"")</f>
        <v/>
      </c>
      <c r="M378" s="25"/>
      <c r="N378" s="24">
        <f>IFERROR(INDEX('Input Giocatori 2026_27'!$E$3:$E$493,MATCH($A378,'Input Giocatori 2026_27'!$A$3:$A$493,0)),"")</f>
        <v>2</v>
      </c>
      <c r="O378" s="24">
        <f>IFERROR(INDEX('Input Giocatori 2026_27'!$G$3:$G$493,MATCH($A378,'Input Giocatori 2026_27'!$A$3:$A$493,0)),"")</f>
        <v>6</v>
      </c>
      <c r="P378" s="23" t="str">
        <f>IFERROR(IF($O378="","",IF((1-(COUNTIFS($B$2:$B$492,$B378,$O$2:$O$492,"&gt;"&amp;$O378)+1-1)/COUNTIF($B$2:$B$492,$B378))&gt;='Parametri Modello'!$B$63,"Top",IF((1-(COUNTIFS($B$2:$B$492,$B378,$O$2:$O$492,"&gt;"&amp;$O378)+1-1)/COUNTIF($B$2:$B$492,$B378))&gt;='Parametri Modello'!$B$64,"Buono",IF((1-(COUNTIFS($B$2:$B$492,$B378,$O$2:$O$492,"&gt;"&amp;$O378)+1-1)/COUNTIF($B$2:$B$492,$B378))&gt;='Parametri Modello'!$B$65,"Nella Media","Scommessa/Riserva")))),"")</f>
        <v>Scommessa/Riserva</v>
      </c>
      <c r="Q378" s="26">
        <f>IF(AND($D378="",$N378&gt;1),SUMPRODUCT(($D$2:$D378="")*($N$2:$N378&gt;1)),"")</f>
        <v>376</v>
      </c>
      <c r="R378" s="26" t="str">
        <f>IF($D378='Info Lega'!$B$28,COUNTIFS($D$2:$D378,'Info Lega'!$B$28),"")</f>
        <v/>
      </c>
      <c r="S378" s="27" t="str">
        <f>IFERROR(INDEX('Input Statistiche 2025_26'!$G$3:$G$665,MATCH($A378,'Input Statistiche 2025_26'!$A$3:$A$665,0)),"")</f>
        <v/>
      </c>
      <c r="T378" s="27" t="str">
        <f>IFERROR(INDEX('Input Statistiche 2025_26'!$H$3:$H$665,MATCH($A378,'Input Statistiche 2025_26'!$A$3:$A$665,0)),"")</f>
        <v/>
      </c>
      <c r="U378" s="23" t="str">
        <f>IF(OR('La Mia Rosa'!$O$12="",$D378&lt;&gt;""),"",IF($F378&lt;='La Mia Rosa'!$O$12*'Parametri Modello'!$B$24,"OK",IF($F378&lt;='La Mia Rosa'!$O$12*'Parametri Modello'!$B$25,"Attenzione","Rischio Alto")))</f>
        <v>OK</v>
      </c>
      <c r="V378" s="23">
        <f t="shared" si="46"/>
        <v>142</v>
      </c>
      <c r="W378" s="18">
        <f>'Info Lega'!$B$4-SUMIFS($M$2:$M$492,$D$2:$D$492,'Info Lega'!$B$28)</f>
        <v>1000</v>
      </c>
      <c r="X378" s="18">
        <f>('Info Lega'!$B$5-COUNTIFS($D$2:$D$492,'Info Lega'!$B$28,$B$2:$B$492,"P"))+('Info Lega'!$B$6-COUNTIFS($D$2:$D$492,'Info Lega'!$B$28,$B$2:$B$492,"D"))+('Info Lega'!$B$7-COUNTIFS($D$2:$D$492,'Info Lega'!$B$28,$B$2:$B$492,"C"))+('Info Lega'!$B$8-COUNTIFS($D$2:$D$492,'Info Lega'!$B$28,$B$2:$B$492,"A"))</f>
        <v>25</v>
      </c>
      <c r="Y378" s="18">
        <f>X378*'Parametri Modello'!$B$30</f>
        <v>25</v>
      </c>
      <c r="Z378" s="18">
        <f t="shared" si="47"/>
        <v>975</v>
      </c>
      <c r="AA378" s="18">
        <f t="shared" si="48"/>
        <v>1</v>
      </c>
      <c r="AB378" s="18"/>
      <c r="AC378" s="18" t="str">
        <f>IF($AB378="","",IF($AB378&gt;$AA378,"PASS",IF($AB378&lt;=$AA378*(1-'Parametri Modello'!$B$68),"BID","ATTENZIONE")))</f>
        <v/>
      </c>
      <c r="AD378" s="28" t="str">
        <f t="shared" si="49"/>
        <v/>
      </c>
      <c r="AE378" s="5" t="str">
        <f>IFERROR(INDEX('Stato Asta'!$G$9:$G$12,MATCH($B378,'Stato Asta'!$A$9:$A$12,0)),"")</f>
        <v>🔴 Non aspettare</v>
      </c>
      <c r="AF378" t="str">
        <f>IFERROR(IF($V378&lt;=INDEX('Parametri Modello'!$C$57:$C$60,MATCH($B378,'Parametri Modello'!$A$57:$A$60,0)),"Titolare","Riserva"),"")</f>
        <v>Riserva</v>
      </c>
      <c r="AG378" t="str">
        <f>IFERROR(INDEX('Pressione Competitiva'!$F$3:$F$6,MATCH($B378,'Pressione Competitiva'!$B$3:$B$6,0)),"")</f>
        <v>🔴 Molto Alta</v>
      </c>
      <c r="AH378" t="str">
        <f t="shared" si="50"/>
        <v/>
      </c>
      <c r="AI378" t="str">
        <f>IFERROR(IF($AH378="","",IF($AH378&gt;=$AA378*'Parametri Modello'!$B$68,"🟢 Opportunita'",IF($AH378&lt;=$AA378*'Parametri Modello'!$B$69,"🔴 Sovrapprezzo","🟡 Prezzo Corretto"))),"")</f>
        <v/>
      </c>
      <c r="AJ378" t="str">
        <f t="shared" si="51"/>
        <v/>
      </c>
      <c r="AK378">
        <f t="shared" si="52"/>
        <v>38</v>
      </c>
      <c r="AL378" t="str">
        <f t="shared" si="53"/>
        <v>C|Scommessa/Riserva|38</v>
      </c>
    </row>
    <row r="379" spans="1:38" ht="14.25" customHeight="1" x14ac:dyDescent="0.25">
      <c r="A379" s="18">
        <v>7411</v>
      </c>
      <c r="B379" s="18" t="s">
        <v>15</v>
      </c>
      <c r="C379" s="18" t="s">
        <v>518</v>
      </c>
      <c r="E379" s="23" t="str">
        <f>IF(COUNTIF('Info Strategia'!$D$2:$D$51,$C379)&gt;0,"SI","NO")</f>
        <v>NO</v>
      </c>
      <c r="F379" s="24">
        <f>IFERROR(ROUND(($G379+($H379-$G379)*'Info Strategia'!$B$6)*(1+IF($E379="SI",'Parametri Modello'!$B$7*'Info Strategia'!$B$6,0)),0),"")</f>
        <v>2</v>
      </c>
      <c r="G379" s="24">
        <f>IFERROR(ROUND(MAX(1,(IF($V379&lt;=INDEX('Parametri Modello'!$C$57:$C$60,MATCH($B379,'Parametri Modello'!$A$57:$A$60,0)),IF(INDEX('Parametri Modello'!$E$57:$E$60,MATCH($B379,'Parametri Modello'!$A$57:$A$60,0))=0,0,($O379/INDEX('Parametri Modello'!$E$57:$E$60,MATCH($B379,'Parametri Modello'!$A$57:$A$60,0)))*(INDEX('Parametri Modello'!$D$57:$D$60,MATCH($B379,'Parametri Modello'!$A$57:$A$60,0))*(INDEX('Parametri Modello'!$B$50:$B$53,MATCH($B379,'Parametri Modello'!$A$50:$A$53,0))*'Parametri Modello'!$B$44))),IF(INDEX('Parametri Modello'!$F$57:$F$60,MATCH($B379,'Parametri Modello'!$A$57:$A$60,0))=0,0,($O379/INDEX('Parametri Modello'!$F$57:$F$60,MATCH($B379,'Parametri Modello'!$A$57:$A$60,0)))*((1-INDEX('Parametri Modello'!$D$57:$D$60,MATCH($B379,'Parametri Modello'!$A$57:$A$60,0)))*(INDEX('Parametri Modello'!$B$50:$B$53,MATCH($B379,'Parametri Modello'!$A$50:$A$53,0))*'Parametri Modello'!$B$44))))*(1+IF(IF($B379="D",'Info Lega'!$B$25,IF($B379="C",'Info Lega'!$B$26,"No"))="Si",'Parametri Modello'!$B$5,0))*(1+MAX(-0.25,MIN(0.25,IF(OR($T379="",$I379="",$I379=0,INDEX('Parametri Modello'!$B$19:$B$22,MATCH($B379,'Parametri Modello'!$A$19:$A$22,0))="",INDEX('Parametri Modello'!$B$19:$B$22,MATCH($B379,'Parametri Modello'!$A$19:$A$22,0))=0),0,(($T379-INDEX('Parametri Modello'!$B$19:$B$22,MATCH($B379,'Parametri Modello'!$A$19:$A$22,0)))/INDEX('Parametri Modello'!$B$19:$B$22,MATCH($B379,'Parametri Modello'!$A$19:$A$22,0)))*'Parametri Modello'!$B$9))))*(1+IF('Parametri Modello'!$B$27="Si",MAX(-'Parametri Modello'!$B$28,MIN('Parametri Modello'!$B$28*1.5,IF(OR(INDEX('Parametri Modello'!$F$32:$F$35,MATCH($B379,'Parametri Modello'!$A$32:$A$35,0))="",INDEX('Parametri Modello'!$F$32:$F$35,MATCH($B379,'Parametri Modello'!$A$32:$A$35,0))=0),0,(1/INDEX('Parametri Modello'!$F$32:$F$35,MATCH($B379,'Parametri Modello'!$A$32:$A$35,0))-1)*'Parametri Modello'!$B$28))),0)))*(1-INDEX('Parametri Modello'!$B$12:$B$15,MATCH($B379,'Parametri Modello'!$A$12:$A$15,0)))),0),"")</f>
        <v>1</v>
      </c>
      <c r="H379" s="24">
        <f>IFERROR(ROUND((IF($V379&lt;=INDEX('Parametri Modello'!$C$57:$C$60,MATCH($B379,'Parametri Modello'!$A$57:$A$60,0)),IF(INDEX('Parametri Modello'!$E$57:$E$60,MATCH($B379,'Parametri Modello'!$A$57:$A$60,0))=0,0,($O379/INDEX('Parametri Modello'!$E$57:$E$60,MATCH($B379,'Parametri Modello'!$A$57:$A$60,0)))*(INDEX('Parametri Modello'!$D$57:$D$60,MATCH($B379,'Parametri Modello'!$A$57:$A$60,0))*(INDEX('Parametri Modello'!$B$50:$B$53,MATCH($B379,'Parametri Modello'!$A$50:$A$53,0))*'Parametri Modello'!$B$44))),IF(INDEX('Parametri Modello'!$F$57:$F$60,MATCH($B379,'Parametri Modello'!$A$57:$A$60,0))=0,0,($O379/INDEX('Parametri Modello'!$F$57:$F$60,MATCH($B379,'Parametri Modello'!$A$57:$A$60,0)))*((1-INDEX('Parametri Modello'!$D$57:$D$60,MATCH($B379,'Parametri Modello'!$A$57:$A$60,0)))*(INDEX('Parametri Modello'!$B$50:$B$53,MATCH($B379,'Parametri Modello'!$A$50:$A$53,0))*'Parametri Modello'!$B$44))))*(1+IF(IF($B379="D",'Info Lega'!$B$25,IF($B379="C",'Info Lega'!$B$26,"No"))="Si",'Parametri Modello'!$B$5,0))*(1+MAX(-0.25,MIN(0.25,IF(OR($T379="",$I379="",$I379=0,INDEX('Parametri Modello'!$B$19:$B$22,MATCH($B379,'Parametri Modello'!$A$19:$A$22,0))="",INDEX('Parametri Modello'!$B$19:$B$22,MATCH($B379,'Parametri Modello'!$A$19:$A$22,0))=0),0,(($T379-INDEX('Parametri Modello'!$B$19:$B$22,MATCH($B379,'Parametri Modello'!$A$19:$A$22,0)))/INDEX('Parametri Modello'!$B$19:$B$22,MATCH($B379,'Parametri Modello'!$A$19:$A$22,0)))*'Parametri Modello'!$B$9))))*(1+IF('Parametri Modello'!$B$27="Si",MAX(-'Parametri Modello'!$B$28,MIN('Parametri Modello'!$B$28*1.5,IF(OR(INDEX('Parametri Modello'!$F$32:$F$35,MATCH($B379,'Parametri Modello'!$A$32:$A$35,0))="",INDEX('Parametri Modello'!$F$32:$F$35,MATCH($B379,'Parametri Modello'!$A$32:$A$35,0))=0),0,(1/INDEX('Parametri Modello'!$F$32:$F$35,MATCH($B379,'Parametri Modello'!$A$32:$A$35,0))-1)*'Parametri Modello'!$B$28))),0)))*(1+INDEX('Parametri Modello'!$B$12:$B$15,MATCH($B379,'Parametri Modello'!$A$12:$A$15,0))),0),"")</f>
        <v>2</v>
      </c>
      <c r="I379" s="23" t="str">
        <f>IFERROR(INDEX('Input Statistiche 2025_26'!$F$3:$F$665,MATCH($A379,'Input Statistiche 2025_26'!$A$3:$A$665,0)),"")</f>
        <v/>
      </c>
      <c r="J379" s="23" t="str">
        <f t="shared" si="45"/>
        <v/>
      </c>
      <c r="K379" s="23" t="str">
        <f>IFERROR(INDEX('Input Statistiche 2025_26'!$I$3:$I$665,MATCH($A379,'Input Statistiche 2025_26'!$A$3:$A$665,0)),"")</f>
        <v/>
      </c>
      <c r="L379" s="23" t="str">
        <f>IFERROR(INDEX('Input Statistiche 2025_26'!$O$3:$O$665,MATCH($A379,'Input Statistiche 2025_26'!$A$3:$A$665,0)),"")</f>
        <v/>
      </c>
      <c r="M379" s="25"/>
      <c r="N379" s="24">
        <f>IFERROR(INDEX('Input Giocatori 2026_27'!$E$3:$E$493,MATCH($A379,'Input Giocatori 2026_27'!$A$3:$A$493,0)),"")</f>
        <v>7</v>
      </c>
      <c r="O379" s="24">
        <f>IFERROR(INDEX('Input Giocatori 2026_27'!$G$3:$G$493,MATCH($A379,'Input Giocatori 2026_27'!$A$3:$A$493,0)),"")</f>
        <v>5</v>
      </c>
      <c r="P379" s="23" t="str">
        <f>IFERROR(IF($O379="","",IF((1-(COUNTIFS($B$2:$B$492,$B379,$O$2:$O$492,"&gt;"&amp;$O379)+1-1)/COUNTIF($B$2:$B$492,$B379))&gt;='Parametri Modello'!$B$63,"Top",IF((1-(COUNTIFS($B$2:$B$492,$B379,$O$2:$O$492,"&gt;"&amp;$O379)+1-1)/COUNTIF($B$2:$B$492,$B379))&gt;='Parametri Modello'!$B$64,"Buono",IF((1-(COUNTIFS($B$2:$B$492,$B379,$O$2:$O$492,"&gt;"&amp;$O379)+1-1)/COUNTIF($B$2:$B$492,$B379))&gt;='Parametri Modello'!$B$65,"Nella Media","Scommessa/Riserva")))),"")</f>
        <v>Nella Media</v>
      </c>
      <c r="Q379" s="26">
        <f>IF(AND($D379="",$N379&gt;1),SUMPRODUCT(($D$2:$D379="")*($N$2:$N379&gt;1)),"")</f>
        <v>377</v>
      </c>
      <c r="R379" s="26" t="str">
        <f>IF($D379='Info Lega'!$B$28,COUNTIFS($D$2:$D379,'Info Lega'!$B$28),"")</f>
        <v/>
      </c>
      <c r="S379" s="27" t="str">
        <f>IFERROR(INDEX('Input Statistiche 2025_26'!$G$3:$G$665,MATCH($A379,'Input Statistiche 2025_26'!$A$3:$A$665,0)),"")</f>
        <v/>
      </c>
      <c r="T379" s="27" t="str">
        <f>IFERROR(INDEX('Input Statistiche 2025_26'!$H$3:$H$665,MATCH($A379,'Input Statistiche 2025_26'!$A$3:$A$665,0)),"")</f>
        <v/>
      </c>
      <c r="U379" s="23" t="str">
        <f>IF(OR('La Mia Rosa'!$O$12="",$D379&lt;&gt;""),"",IF($F379&lt;='La Mia Rosa'!$O$12*'Parametri Modello'!$B$24,"OK",IF($F379&lt;='La Mia Rosa'!$O$12*'Parametri Modello'!$B$25,"Attenzione","Rischio Alto")))</f>
        <v>OK</v>
      </c>
      <c r="V379" s="23">
        <f t="shared" si="46"/>
        <v>23</v>
      </c>
      <c r="W379" s="18">
        <f>'Info Lega'!$B$4-SUMIFS($M$2:$M$492,$D$2:$D$492,'Info Lega'!$B$28)</f>
        <v>1000</v>
      </c>
      <c r="X379" s="18">
        <f>('Info Lega'!$B$5-COUNTIFS($D$2:$D$492,'Info Lega'!$B$28,$B$2:$B$492,"P"))+('Info Lega'!$B$6-COUNTIFS($D$2:$D$492,'Info Lega'!$B$28,$B$2:$B$492,"D"))+('Info Lega'!$B$7-COUNTIFS($D$2:$D$492,'Info Lega'!$B$28,$B$2:$B$492,"C"))+('Info Lega'!$B$8-COUNTIFS($D$2:$D$492,'Info Lega'!$B$28,$B$2:$B$492,"A"))</f>
        <v>25</v>
      </c>
      <c r="Y379" s="18">
        <f>X379*'Parametri Modello'!$B$30</f>
        <v>25</v>
      </c>
      <c r="Z379" s="18">
        <f t="shared" si="47"/>
        <v>975</v>
      </c>
      <c r="AA379" s="18">
        <f t="shared" si="48"/>
        <v>2</v>
      </c>
      <c r="AB379" s="18"/>
      <c r="AC379" s="18" t="str">
        <f>IF($AB379="","",IF($AB379&gt;$AA379,"PASS",IF($AB379&lt;=$AA379*(1-'Parametri Modello'!$B$68),"BID","ATTENZIONE")))</f>
        <v/>
      </c>
      <c r="AD379" s="28" t="str">
        <f t="shared" si="49"/>
        <v/>
      </c>
      <c r="AE379" s="5" t="str">
        <f>IFERROR(INDEX('Stato Asta'!$G$9:$G$12,MATCH($B379,'Stato Asta'!$A$9:$A$12,0)),"")</f>
        <v>🔴 Non aspettare</v>
      </c>
      <c r="AF379" t="str">
        <f>IFERROR(IF($V379&lt;=INDEX('Parametri Modello'!$C$57:$C$60,MATCH($B379,'Parametri Modello'!$A$57:$A$60,0)),"Titolare","Riserva"),"")</f>
        <v>Riserva</v>
      </c>
      <c r="AG379" t="str">
        <f>IFERROR(INDEX('Pressione Competitiva'!$F$3:$F$6,MATCH($B379,'Pressione Competitiva'!$B$3:$B$6,0)),"")</f>
        <v>🔴 Molto Alta</v>
      </c>
      <c r="AH379" t="str">
        <f t="shared" si="50"/>
        <v/>
      </c>
      <c r="AI379" t="str">
        <f>IFERROR(IF($AH379="","",IF($AH379&gt;=$AA379*'Parametri Modello'!$B$68,"🟢 Opportunita'",IF($AH379&lt;=$AA379*'Parametri Modello'!$B$69,"🔴 Sovrapprezzo","🟡 Prezzo Corretto"))),"")</f>
        <v/>
      </c>
      <c r="AJ379" t="str">
        <f t="shared" si="51"/>
        <v/>
      </c>
      <c r="AK379">
        <f t="shared" si="52"/>
        <v>5</v>
      </c>
      <c r="AL379" t="str">
        <f t="shared" si="53"/>
        <v>P|Nella Media|5</v>
      </c>
    </row>
    <row r="380" spans="1:38" ht="14.25" customHeight="1" x14ac:dyDescent="0.25">
      <c r="A380" s="18">
        <v>2814</v>
      </c>
      <c r="B380" s="18" t="s">
        <v>15</v>
      </c>
      <c r="C380" s="18" t="s">
        <v>519</v>
      </c>
      <c r="E380" s="23" t="str">
        <f>IF(COUNTIF('Info Strategia'!$D$2:$D$51,$C380)&gt;0,"SI","NO")</f>
        <v>NO</v>
      </c>
      <c r="F380" s="24">
        <f>IFERROR(ROUND(($G380+($H380-$G380)*'Info Strategia'!$B$6)*(1+IF($E380="SI",'Parametri Modello'!$B$7*'Info Strategia'!$B$6,0)),0),"")</f>
        <v>2</v>
      </c>
      <c r="G380" s="24">
        <f>IFERROR(ROUND(MAX(1,(IF($V380&lt;=INDEX('Parametri Modello'!$C$57:$C$60,MATCH($B380,'Parametri Modello'!$A$57:$A$60,0)),IF(INDEX('Parametri Modello'!$E$57:$E$60,MATCH($B380,'Parametri Modello'!$A$57:$A$60,0))=0,0,($O380/INDEX('Parametri Modello'!$E$57:$E$60,MATCH($B380,'Parametri Modello'!$A$57:$A$60,0)))*(INDEX('Parametri Modello'!$D$57:$D$60,MATCH($B380,'Parametri Modello'!$A$57:$A$60,0))*(INDEX('Parametri Modello'!$B$50:$B$53,MATCH($B380,'Parametri Modello'!$A$50:$A$53,0))*'Parametri Modello'!$B$44))),IF(INDEX('Parametri Modello'!$F$57:$F$60,MATCH($B380,'Parametri Modello'!$A$57:$A$60,0))=0,0,($O380/INDEX('Parametri Modello'!$F$57:$F$60,MATCH($B380,'Parametri Modello'!$A$57:$A$60,0)))*((1-INDEX('Parametri Modello'!$D$57:$D$60,MATCH($B380,'Parametri Modello'!$A$57:$A$60,0)))*(INDEX('Parametri Modello'!$B$50:$B$53,MATCH($B380,'Parametri Modello'!$A$50:$A$53,0))*'Parametri Modello'!$B$44))))*(1+IF(IF($B380="D",'Info Lega'!$B$25,IF($B380="C",'Info Lega'!$B$26,"No"))="Si",'Parametri Modello'!$B$5,0))*(1+MAX(-0.25,MIN(0.25,IF(OR($T380="",$I380="",$I380=0,INDEX('Parametri Modello'!$B$19:$B$22,MATCH($B380,'Parametri Modello'!$A$19:$A$22,0))="",INDEX('Parametri Modello'!$B$19:$B$22,MATCH($B380,'Parametri Modello'!$A$19:$A$22,0))=0),0,(($T380-INDEX('Parametri Modello'!$B$19:$B$22,MATCH($B380,'Parametri Modello'!$A$19:$A$22,0)))/INDEX('Parametri Modello'!$B$19:$B$22,MATCH($B380,'Parametri Modello'!$A$19:$A$22,0)))*'Parametri Modello'!$B$9))))*(1+IF('Parametri Modello'!$B$27="Si",MAX(-'Parametri Modello'!$B$28,MIN('Parametri Modello'!$B$28*1.5,IF(OR(INDEX('Parametri Modello'!$F$32:$F$35,MATCH($B380,'Parametri Modello'!$A$32:$A$35,0))="",INDEX('Parametri Modello'!$F$32:$F$35,MATCH($B380,'Parametri Modello'!$A$32:$A$35,0))=0),0,(1/INDEX('Parametri Modello'!$F$32:$F$35,MATCH($B380,'Parametri Modello'!$A$32:$A$35,0))-1)*'Parametri Modello'!$B$28))),0)))*(1-INDEX('Parametri Modello'!$B$12:$B$15,MATCH($B380,'Parametri Modello'!$A$12:$A$15,0)))),0),"")</f>
        <v>1</v>
      </c>
      <c r="H380" s="24">
        <f>IFERROR(ROUND((IF($V380&lt;=INDEX('Parametri Modello'!$C$57:$C$60,MATCH($B380,'Parametri Modello'!$A$57:$A$60,0)),IF(INDEX('Parametri Modello'!$E$57:$E$60,MATCH($B380,'Parametri Modello'!$A$57:$A$60,0))=0,0,($O380/INDEX('Parametri Modello'!$E$57:$E$60,MATCH($B380,'Parametri Modello'!$A$57:$A$60,0)))*(INDEX('Parametri Modello'!$D$57:$D$60,MATCH($B380,'Parametri Modello'!$A$57:$A$60,0))*(INDEX('Parametri Modello'!$B$50:$B$53,MATCH($B380,'Parametri Modello'!$A$50:$A$53,0))*'Parametri Modello'!$B$44))),IF(INDEX('Parametri Modello'!$F$57:$F$60,MATCH($B380,'Parametri Modello'!$A$57:$A$60,0))=0,0,($O380/INDEX('Parametri Modello'!$F$57:$F$60,MATCH($B380,'Parametri Modello'!$A$57:$A$60,0)))*((1-INDEX('Parametri Modello'!$D$57:$D$60,MATCH($B380,'Parametri Modello'!$A$57:$A$60,0)))*(INDEX('Parametri Modello'!$B$50:$B$53,MATCH($B380,'Parametri Modello'!$A$50:$A$53,0))*'Parametri Modello'!$B$44))))*(1+IF(IF($B380="D",'Info Lega'!$B$25,IF($B380="C",'Info Lega'!$B$26,"No"))="Si",'Parametri Modello'!$B$5,0))*(1+MAX(-0.25,MIN(0.25,IF(OR($T380="",$I380="",$I380=0,INDEX('Parametri Modello'!$B$19:$B$22,MATCH($B380,'Parametri Modello'!$A$19:$A$22,0))="",INDEX('Parametri Modello'!$B$19:$B$22,MATCH($B380,'Parametri Modello'!$A$19:$A$22,0))=0),0,(($T380-INDEX('Parametri Modello'!$B$19:$B$22,MATCH($B380,'Parametri Modello'!$A$19:$A$22,0)))/INDEX('Parametri Modello'!$B$19:$B$22,MATCH($B380,'Parametri Modello'!$A$19:$A$22,0)))*'Parametri Modello'!$B$9))))*(1+IF('Parametri Modello'!$B$27="Si",MAX(-'Parametri Modello'!$B$28,MIN('Parametri Modello'!$B$28*1.5,IF(OR(INDEX('Parametri Modello'!$F$32:$F$35,MATCH($B380,'Parametri Modello'!$A$32:$A$35,0))="",INDEX('Parametri Modello'!$F$32:$F$35,MATCH($B380,'Parametri Modello'!$A$32:$A$35,0))=0),0,(1/INDEX('Parametri Modello'!$F$32:$F$35,MATCH($B380,'Parametri Modello'!$A$32:$A$35,0))-1)*'Parametri Modello'!$B$28))),0)))*(1+INDEX('Parametri Modello'!$B$12:$B$15,MATCH($B380,'Parametri Modello'!$A$12:$A$15,0))),0),"")</f>
        <v>2</v>
      </c>
      <c r="I380" s="23">
        <f>IFERROR(INDEX('Input Statistiche 2025_26'!$F$3:$F$665,MATCH($A380,'Input Statistiche 2025_26'!$A$3:$A$665,0)),"")</f>
        <v>27</v>
      </c>
      <c r="J380" s="23">
        <f t="shared" si="45"/>
        <v>11</v>
      </c>
      <c r="K380" s="23">
        <f>IFERROR(INDEX('Input Statistiche 2025_26'!$I$3:$I$665,MATCH($A380,'Input Statistiche 2025_26'!$A$3:$A$665,0)),"")</f>
        <v>0</v>
      </c>
      <c r="L380" s="23">
        <f>IFERROR(INDEX('Input Statistiche 2025_26'!$O$3:$O$665,MATCH($A380,'Input Statistiche 2025_26'!$A$3:$A$665,0)),"")</f>
        <v>0</v>
      </c>
      <c r="M380" s="25"/>
      <c r="N380" s="24">
        <f>IFERROR(INDEX('Input Giocatori 2026_27'!$E$3:$E$493,MATCH($A380,'Input Giocatori 2026_27'!$A$3:$A$493,0)),"")</f>
        <v>2</v>
      </c>
      <c r="O380" s="24">
        <f>IFERROR(INDEX('Input Giocatori 2026_27'!$G$3:$G$493,MATCH($A380,'Input Giocatori 2026_27'!$A$3:$A$493,0)),"")</f>
        <v>5</v>
      </c>
      <c r="P380" s="23" t="str">
        <f>IFERROR(IF($O380="","",IF((1-(COUNTIFS($B$2:$B$492,$B380,$O$2:$O$492,"&gt;"&amp;$O380)+1-1)/COUNTIF($B$2:$B$492,$B380))&gt;='Parametri Modello'!$B$63,"Top",IF((1-(COUNTIFS($B$2:$B$492,$B380,$O$2:$O$492,"&gt;"&amp;$O380)+1-1)/COUNTIF($B$2:$B$492,$B380))&gt;='Parametri Modello'!$B$64,"Buono",IF((1-(COUNTIFS($B$2:$B$492,$B380,$O$2:$O$492,"&gt;"&amp;$O380)+1-1)/COUNTIF($B$2:$B$492,$B380))&gt;='Parametri Modello'!$B$65,"Nella Media","Scommessa/Riserva")))),"")</f>
        <v>Nella Media</v>
      </c>
      <c r="Q380" s="26">
        <f>IF(AND($D380="",$N380&gt;1),SUMPRODUCT(($D$2:$D380="")*($N$2:$N380&gt;1)),"")</f>
        <v>378</v>
      </c>
      <c r="R380" s="26" t="str">
        <f>IF($D380='Info Lega'!$B$28,COUNTIFS($D$2:$D380,'Info Lega'!$B$28),"")</f>
        <v/>
      </c>
      <c r="S380" s="27">
        <f>IFERROR(INDEX('Input Statistiche 2025_26'!$G$3:$G$665,MATCH($A380,'Input Statistiche 2025_26'!$A$3:$A$665,0)),"")</f>
        <v>6.26</v>
      </c>
      <c r="T380" s="27">
        <f>IFERROR(INDEX('Input Statistiche 2025_26'!$H$3:$H$665,MATCH($A380,'Input Statistiche 2025_26'!$A$3:$A$665,0)),"")</f>
        <v>5.35</v>
      </c>
      <c r="U380" s="23" t="str">
        <f>IF(OR('La Mia Rosa'!$O$12="",$D380&lt;&gt;""),"",IF($F380&lt;='La Mia Rosa'!$O$12*'Parametri Modello'!$B$24,"OK",IF($F380&lt;='La Mia Rosa'!$O$12*'Parametri Modello'!$B$25,"Attenzione","Rischio Alto")))</f>
        <v>OK</v>
      </c>
      <c r="V380" s="23">
        <f t="shared" si="46"/>
        <v>23</v>
      </c>
      <c r="W380" s="18">
        <f>'Info Lega'!$B$4-SUMIFS($M$2:$M$492,$D$2:$D$492,'Info Lega'!$B$28)</f>
        <v>1000</v>
      </c>
      <c r="X380" s="18">
        <f>('Info Lega'!$B$5-COUNTIFS($D$2:$D$492,'Info Lega'!$B$28,$B$2:$B$492,"P"))+('Info Lega'!$B$6-COUNTIFS($D$2:$D$492,'Info Lega'!$B$28,$B$2:$B$492,"D"))+('Info Lega'!$B$7-COUNTIFS($D$2:$D$492,'Info Lega'!$B$28,$B$2:$B$492,"C"))+('Info Lega'!$B$8-COUNTIFS($D$2:$D$492,'Info Lega'!$B$28,$B$2:$B$492,"A"))</f>
        <v>25</v>
      </c>
      <c r="Y380" s="18">
        <f>X380*'Parametri Modello'!$B$30</f>
        <v>25</v>
      </c>
      <c r="Z380" s="18">
        <f t="shared" si="47"/>
        <v>975</v>
      </c>
      <c r="AA380" s="18">
        <f t="shared" si="48"/>
        <v>2</v>
      </c>
      <c r="AB380" s="18"/>
      <c r="AC380" s="18" t="str">
        <f>IF($AB380="","",IF($AB380&gt;$AA380,"PASS",IF($AB380&lt;=$AA380*(1-'Parametri Modello'!$B$68),"BID","ATTENZIONE")))</f>
        <v/>
      </c>
      <c r="AD380" s="28">
        <f t="shared" si="49"/>
        <v>59</v>
      </c>
      <c r="AE380" s="5" t="str">
        <f>IFERROR(INDEX('Stato Asta'!$G$9:$G$12,MATCH($B380,'Stato Asta'!$A$9:$A$12,0)),"")</f>
        <v>🔴 Non aspettare</v>
      </c>
      <c r="AF380" t="str">
        <f>IFERROR(IF($V380&lt;=INDEX('Parametri Modello'!$C$57:$C$60,MATCH($B380,'Parametri Modello'!$A$57:$A$60,0)),"Titolare","Riserva"),"")</f>
        <v>Riserva</v>
      </c>
      <c r="AG380" t="str">
        <f>IFERROR(INDEX('Pressione Competitiva'!$F$3:$F$6,MATCH($B380,'Pressione Competitiva'!$B$3:$B$6,0)),"")</f>
        <v>🔴 Molto Alta</v>
      </c>
      <c r="AH380" t="str">
        <f t="shared" si="50"/>
        <v/>
      </c>
      <c r="AI380" t="str">
        <f>IFERROR(IF($AH380="","",IF($AH380&gt;=$AA380*'Parametri Modello'!$B$68,"🟢 Opportunita'",IF($AH380&lt;=$AA380*'Parametri Modello'!$B$69,"🔴 Sovrapprezzo","🟡 Prezzo Corretto"))),"")</f>
        <v/>
      </c>
      <c r="AJ380" t="str">
        <f t="shared" si="51"/>
        <v/>
      </c>
      <c r="AK380">
        <f t="shared" si="52"/>
        <v>5</v>
      </c>
      <c r="AL380" t="str">
        <f t="shared" si="53"/>
        <v>P|Nella Media|5</v>
      </c>
    </row>
    <row r="381" spans="1:38" ht="14.25" customHeight="1" x14ac:dyDescent="0.25">
      <c r="A381" s="18">
        <v>7326</v>
      </c>
      <c r="B381" s="18" t="s">
        <v>16</v>
      </c>
      <c r="C381" s="18" t="s">
        <v>520</v>
      </c>
      <c r="E381" s="23" t="str">
        <f>IF(COUNTIF('Info Strategia'!$D$2:$D$51,$C381)&gt;0,"SI","NO")</f>
        <v>NO</v>
      </c>
      <c r="F381" s="24">
        <f>IFERROR(ROUND(($G381+($H381-$G381)*'Info Strategia'!$B$6)*(1+IF($E381="SI",'Parametri Modello'!$B$7*'Info Strategia'!$B$6,0)),0),"")</f>
        <v>1</v>
      </c>
      <c r="G381" s="24">
        <f>IFERROR(ROUND(MAX(1,(IF($V381&lt;=INDEX('Parametri Modello'!$C$57:$C$60,MATCH($B381,'Parametri Modello'!$A$57:$A$60,0)),IF(INDEX('Parametri Modello'!$E$57:$E$60,MATCH($B381,'Parametri Modello'!$A$57:$A$60,0))=0,0,($O381/INDEX('Parametri Modello'!$E$57:$E$60,MATCH($B381,'Parametri Modello'!$A$57:$A$60,0)))*(INDEX('Parametri Modello'!$D$57:$D$60,MATCH($B381,'Parametri Modello'!$A$57:$A$60,0))*(INDEX('Parametri Modello'!$B$50:$B$53,MATCH($B381,'Parametri Modello'!$A$50:$A$53,0))*'Parametri Modello'!$B$44))),IF(INDEX('Parametri Modello'!$F$57:$F$60,MATCH($B381,'Parametri Modello'!$A$57:$A$60,0))=0,0,($O381/INDEX('Parametri Modello'!$F$57:$F$60,MATCH($B381,'Parametri Modello'!$A$57:$A$60,0)))*((1-INDEX('Parametri Modello'!$D$57:$D$60,MATCH($B381,'Parametri Modello'!$A$57:$A$60,0)))*(INDEX('Parametri Modello'!$B$50:$B$53,MATCH($B381,'Parametri Modello'!$A$50:$A$53,0))*'Parametri Modello'!$B$44))))*(1+IF(IF($B381="D",'Info Lega'!$B$25,IF($B381="C",'Info Lega'!$B$26,"No"))="Si",'Parametri Modello'!$B$5,0))*(1+MAX(-0.25,MIN(0.25,IF(OR($T381="",$I381="",$I381=0,INDEX('Parametri Modello'!$B$19:$B$22,MATCH($B381,'Parametri Modello'!$A$19:$A$22,0))="",INDEX('Parametri Modello'!$B$19:$B$22,MATCH($B381,'Parametri Modello'!$A$19:$A$22,0))=0),0,(($T381-INDEX('Parametri Modello'!$B$19:$B$22,MATCH($B381,'Parametri Modello'!$A$19:$A$22,0)))/INDEX('Parametri Modello'!$B$19:$B$22,MATCH($B381,'Parametri Modello'!$A$19:$A$22,0)))*'Parametri Modello'!$B$9))))*(1+IF('Parametri Modello'!$B$27="Si",MAX(-'Parametri Modello'!$B$28,MIN('Parametri Modello'!$B$28*1.5,IF(OR(INDEX('Parametri Modello'!$F$32:$F$35,MATCH($B381,'Parametri Modello'!$A$32:$A$35,0))="",INDEX('Parametri Modello'!$F$32:$F$35,MATCH($B381,'Parametri Modello'!$A$32:$A$35,0))=0),0,(1/INDEX('Parametri Modello'!$F$32:$F$35,MATCH($B381,'Parametri Modello'!$A$32:$A$35,0))-1)*'Parametri Modello'!$B$28))),0)))*(1-INDEX('Parametri Modello'!$B$12:$B$15,MATCH($B381,'Parametri Modello'!$A$12:$A$15,0)))),0),"")</f>
        <v>1</v>
      </c>
      <c r="H381" s="24">
        <f>IFERROR(ROUND((IF($V381&lt;=INDEX('Parametri Modello'!$C$57:$C$60,MATCH($B381,'Parametri Modello'!$A$57:$A$60,0)),IF(INDEX('Parametri Modello'!$E$57:$E$60,MATCH($B381,'Parametri Modello'!$A$57:$A$60,0))=0,0,($O381/INDEX('Parametri Modello'!$E$57:$E$60,MATCH($B381,'Parametri Modello'!$A$57:$A$60,0)))*(INDEX('Parametri Modello'!$D$57:$D$60,MATCH($B381,'Parametri Modello'!$A$57:$A$60,0))*(INDEX('Parametri Modello'!$B$50:$B$53,MATCH($B381,'Parametri Modello'!$A$50:$A$53,0))*'Parametri Modello'!$B$44))),IF(INDEX('Parametri Modello'!$F$57:$F$60,MATCH($B381,'Parametri Modello'!$A$57:$A$60,0))=0,0,($O381/INDEX('Parametri Modello'!$F$57:$F$60,MATCH($B381,'Parametri Modello'!$A$57:$A$60,0)))*((1-INDEX('Parametri Modello'!$D$57:$D$60,MATCH($B381,'Parametri Modello'!$A$57:$A$60,0)))*(INDEX('Parametri Modello'!$B$50:$B$53,MATCH($B381,'Parametri Modello'!$A$50:$A$53,0))*'Parametri Modello'!$B$44))))*(1+IF(IF($B381="D",'Info Lega'!$B$25,IF($B381="C",'Info Lega'!$B$26,"No"))="Si",'Parametri Modello'!$B$5,0))*(1+MAX(-0.25,MIN(0.25,IF(OR($T381="",$I381="",$I381=0,INDEX('Parametri Modello'!$B$19:$B$22,MATCH($B381,'Parametri Modello'!$A$19:$A$22,0))="",INDEX('Parametri Modello'!$B$19:$B$22,MATCH($B381,'Parametri Modello'!$A$19:$A$22,0))=0),0,(($T381-INDEX('Parametri Modello'!$B$19:$B$22,MATCH($B381,'Parametri Modello'!$A$19:$A$22,0)))/INDEX('Parametri Modello'!$B$19:$B$22,MATCH($B381,'Parametri Modello'!$A$19:$A$22,0)))*'Parametri Modello'!$B$9))))*(1+IF('Parametri Modello'!$B$27="Si",MAX(-'Parametri Modello'!$B$28,MIN('Parametri Modello'!$B$28*1.5,IF(OR(INDEX('Parametri Modello'!$F$32:$F$35,MATCH($B381,'Parametri Modello'!$A$32:$A$35,0))="",INDEX('Parametri Modello'!$F$32:$F$35,MATCH($B381,'Parametri Modello'!$A$32:$A$35,0))=0),0,(1/INDEX('Parametri Modello'!$F$32:$F$35,MATCH($B381,'Parametri Modello'!$A$32:$A$35,0))-1)*'Parametri Modello'!$B$28))),0)))*(1+INDEX('Parametri Modello'!$B$12:$B$15,MATCH($B381,'Parametri Modello'!$A$12:$A$15,0))),0),"")</f>
        <v>1</v>
      </c>
      <c r="I381" s="23">
        <f>IFERROR(INDEX('Input Statistiche 2025_26'!$F$3:$F$665,MATCH($A381,'Input Statistiche 2025_26'!$A$3:$A$665,0)),"")</f>
        <v>6</v>
      </c>
      <c r="J381" s="23">
        <f t="shared" si="45"/>
        <v>32</v>
      </c>
      <c r="K381" s="23">
        <f>IFERROR(INDEX('Input Statistiche 2025_26'!$I$3:$I$665,MATCH($A381,'Input Statistiche 2025_26'!$A$3:$A$665,0)),"")</f>
        <v>0</v>
      </c>
      <c r="L381" s="23">
        <f>IFERROR(INDEX('Input Statistiche 2025_26'!$O$3:$O$665,MATCH($A381,'Input Statistiche 2025_26'!$A$3:$A$665,0)),"")</f>
        <v>0</v>
      </c>
      <c r="M381" s="25"/>
      <c r="N381" s="24">
        <f>IFERROR(INDEX('Input Giocatori 2026_27'!$E$3:$E$493,MATCH($A381,'Input Giocatori 2026_27'!$A$3:$A$493,0)),"")</f>
        <v>2</v>
      </c>
      <c r="O381" s="24">
        <f>IFERROR(INDEX('Input Giocatori 2026_27'!$G$3:$G$493,MATCH($A381,'Input Giocatori 2026_27'!$A$3:$A$493,0)),"")</f>
        <v>5</v>
      </c>
      <c r="P381" s="23" t="str">
        <f>IFERROR(IF($O381="","",IF((1-(COUNTIFS($B$2:$B$492,$B381,$O$2:$O$492,"&gt;"&amp;$O381)+1-1)/COUNTIF($B$2:$B$492,$B381))&gt;='Parametri Modello'!$B$63,"Top",IF((1-(COUNTIFS($B$2:$B$492,$B381,$O$2:$O$492,"&gt;"&amp;$O381)+1-1)/COUNTIF($B$2:$B$492,$B381))&gt;='Parametri Modello'!$B$64,"Buono",IF((1-(COUNTIFS($B$2:$B$492,$B381,$O$2:$O$492,"&gt;"&amp;$O381)+1-1)/COUNTIF($B$2:$B$492,$B381))&gt;='Parametri Modello'!$B$65,"Nella Media","Scommessa/Riserva")))),"")</f>
        <v>Scommessa/Riserva</v>
      </c>
      <c r="Q381" s="26">
        <f>IF(AND($D381="",$N381&gt;1),SUMPRODUCT(($D$2:$D381="")*($N$2:$N381&gt;1)),"")</f>
        <v>379</v>
      </c>
      <c r="R381" s="26" t="str">
        <f>IF($D381='Info Lega'!$B$28,COUNTIFS($D$2:$D381,'Info Lega'!$B$28),"")</f>
        <v/>
      </c>
      <c r="S381" s="27">
        <f>IFERROR(INDEX('Input Statistiche 2025_26'!$G$3:$G$665,MATCH($A381,'Input Statistiche 2025_26'!$A$3:$A$665,0)),"")</f>
        <v>5.5</v>
      </c>
      <c r="T381" s="27">
        <f>IFERROR(INDEX('Input Statistiche 2025_26'!$H$3:$H$665,MATCH($A381,'Input Statistiche 2025_26'!$A$3:$A$665,0)),"")</f>
        <v>5.33</v>
      </c>
      <c r="U381" s="23" t="str">
        <f>IF(OR('La Mia Rosa'!$O$12="",$D381&lt;&gt;""),"",IF($F381&lt;='La Mia Rosa'!$O$12*'Parametri Modello'!$B$24,"OK",IF($F381&lt;='La Mia Rosa'!$O$12*'Parametri Modello'!$B$25,"Attenzione","Rischio Alto")))</f>
        <v>OK</v>
      </c>
      <c r="V381" s="23">
        <f t="shared" si="46"/>
        <v>137</v>
      </c>
      <c r="W381" s="18">
        <f>'Info Lega'!$B$4-SUMIFS($M$2:$M$492,$D$2:$D$492,'Info Lega'!$B$28)</f>
        <v>1000</v>
      </c>
      <c r="X381" s="18">
        <f>('Info Lega'!$B$5-COUNTIFS($D$2:$D$492,'Info Lega'!$B$28,$B$2:$B$492,"P"))+('Info Lega'!$B$6-COUNTIFS($D$2:$D$492,'Info Lega'!$B$28,$B$2:$B$492,"D"))+('Info Lega'!$B$7-COUNTIFS($D$2:$D$492,'Info Lega'!$B$28,$B$2:$B$492,"C"))+('Info Lega'!$B$8-COUNTIFS($D$2:$D$492,'Info Lega'!$B$28,$B$2:$B$492,"A"))</f>
        <v>25</v>
      </c>
      <c r="Y381" s="18">
        <f>X381*'Parametri Modello'!$B$30</f>
        <v>25</v>
      </c>
      <c r="Z381" s="18">
        <f t="shared" si="47"/>
        <v>975</v>
      </c>
      <c r="AA381" s="18">
        <f t="shared" si="48"/>
        <v>1</v>
      </c>
      <c r="AB381" s="18"/>
      <c r="AC381" s="18" t="str">
        <f>IF($AB381="","",IF($AB381&gt;$AA381,"PASS",IF($AB381&lt;=$AA381*(1-'Parametri Modello'!$B$68),"BID","ATTENZIONE")))</f>
        <v/>
      </c>
      <c r="AD381" s="28">
        <f t="shared" si="49"/>
        <v>18</v>
      </c>
      <c r="AE381" s="5" t="str">
        <f>IFERROR(INDEX('Stato Asta'!$G$9:$G$12,MATCH($B381,'Stato Asta'!$A$9:$A$12,0)),"")</f>
        <v>🔴 Non aspettare</v>
      </c>
      <c r="AF381" t="str">
        <f>IFERROR(IF($V381&lt;=INDEX('Parametri Modello'!$C$57:$C$60,MATCH($B381,'Parametri Modello'!$A$57:$A$60,0)),"Titolare","Riserva"),"")</f>
        <v>Riserva</v>
      </c>
      <c r="AG381" t="str">
        <f>IFERROR(INDEX('Pressione Competitiva'!$F$3:$F$6,MATCH($B381,'Pressione Competitiva'!$B$3:$B$6,0)),"")</f>
        <v>🔴 Molto Alta</v>
      </c>
      <c r="AH381" t="str">
        <f t="shared" si="50"/>
        <v/>
      </c>
      <c r="AI381" t="str">
        <f>IFERROR(IF($AH381="","",IF($AH381&gt;=$AA381*'Parametri Modello'!$B$68,"🟢 Opportunita'",IF($AH381&lt;=$AA381*'Parametri Modello'!$B$69,"🔴 Sovrapprezzo","🟡 Prezzo Corretto"))),"")</f>
        <v/>
      </c>
      <c r="AJ381" t="str">
        <f t="shared" si="51"/>
        <v/>
      </c>
      <c r="AK381">
        <f t="shared" si="52"/>
        <v>25</v>
      </c>
      <c r="AL381" t="str">
        <f t="shared" si="53"/>
        <v>D|Scommessa/Riserva|25</v>
      </c>
    </row>
    <row r="382" spans="1:38" ht="14.25" customHeight="1" x14ac:dyDescent="0.25">
      <c r="A382" s="18">
        <v>6896</v>
      </c>
      <c r="B382" s="18" t="s">
        <v>16</v>
      </c>
      <c r="C382" s="18" t="s">
        <v>521</v>
      </c>
      <c r="E382" s="23" t="str">
        <f>IF(COUNTIF('Info Strategia'!$D$2:$D$51,$C382)&gt;0,"SI","NO")</f>
        <v>NO</v>
      </c>
      <c r="F382" s="24">
        <f>IFERROR(ROUND(($G382+($H382-$G382)*'Info Strategia'!$B$6)*(1+IF($E382="SI",'Parametri Modello'!$B$7*'Info Strategia'!$B$6,0)),0),"")</f>
        <v>1</v>
      </c>
      <c r="G382" s="24">
        <f>IFERROR(ROUND(MAX(1,(IF($V382&lt;=INDEX('Parametri Modello'!$C$57:$C$60,MATCH($B382,'Parametri Modello'!$A$57:$A$60,0)),IF(INDEX('Parametri Modello'!$E$57:$E$60,MATCH($B382,'Parametri Modello'!$A$57:$A$60,0))=0,0,($O382/INDEX('Parametri Modello'!$E$57:$E$60,MATCH($B382,'Parametri Modello'!$A$57:$A$60,0)))*(INDEX('Parametri Modello'!$D$57:$D$60,MATCH($B382,'Parametri Modello'!$A$57:$A$60,0))*(INDEX('Parametri Modello'!$B$50:$B$53,MATCH($B382,'Parametri Modello'!$A$50:$A$53,0))*'Parametri Modello'!$B$44))),IF(INDEX('Parametri Modello'!$F$57:$F$60,MATCH($B382,'Parametri Modello'!$A$57:$A$60,0))=0,0,($O382/INDEX('Parametri Modello'!$F$57:$F$60,MATCH($B382,'Parametri Modello'!$A$57:$A$60,0)))*((1-INDEX('Parametri Modello'!$D$57:$D$60,MATCH($B382,'Parametri Modello'!$A$57:$A$60,0)))*(INDEX('Parametri Modello'!$B$50:$B$53,MATCH($B382,'Parametri Modello'!$A$50:$A$53,0))*'Parametri Modello'!$B$44))))*(1+IF(IF($B382="D",'Info Lega'!$B$25,IF($B382="C",'Info Lega'!$B$26,"No"))="Si",'Parametri Modello'!$B$5,0))*(1+MAX(-0.25,MIN(0.25,IF(OR($T382="",$I382="",$I382=0,INDEX('Parametri Modello'!$B$19:$B$22,MATCH($B382,'Parametri Modello'!$A$19:$A$22,0))="",INDEX('Parametri Modello'!$B$19:$B$22,MATCH($B382,'Parametri Modello'!$A$19:$A$22,0))=0),0,(($T382-INDEX('Parametri Modello'!$B$19:$B$22,MATCH($B382,'Parametri Modello'!$A$19:$A$22,0)))/INDEX('Parametri Modello'!$B$19:$B$22,MATCH($B382,'Parametri Modello'!$A$19:$A$22,0)))*'Parametri Modello'!$B$9))))*(1+IF('Parametri Modello'!$B$27="Si",MAX(-'Parametri Modello'!$B$28,MIN('Parametri Modello'!$B$28*1.5,IF(OR(INDEX('Parametri Modello'!$F$32:$F$35,MATCH($B382,'Parametri Modello'!$A$32:$A$35,0))="",INDEX('Parametri Modello'!$F$32:$F$35,MATCH($B382,'Parametri Modello'!$A$32:$A$35,0))=0),0,(1/INDEX('Parametri Modello'!$F$32:$F$35,MATCH($B382,'Parametri Modello'!$A$32:$A$35,0))-1)*'Parametri Modello'!$B$28))),0)))*(1-INDEX('Parametri Modello'!$B$12:$B$15,MATCH($B382,'Parametri Modello'!$A$12:$A$15,0)))),0),"")</f>
        <v>1</v>
      </c>
      <c r="H382" s="24">
        <f>IFERROR(ROUND((IF($V382&lt;=INDEX('Parametri Modello'!$C$57:$C$60,MATCH($B382,'Parametri Modello'!$A$57:$A$60,0)),IF(INDEX('Parametri Modello'!$E$57:$E$60,MATCH($B382,'Parametri Modello'!$A$57:$A$60,0))=0,0,($O382/INDEX('Parametri Modello'!$E$57:$E$60,MATCH($B382,'Parametri Modello'!$A$57:$A$60,0)))*(INDEX('Parametri Modello'!$D$57:$D$60,MATCH($B382,'Parametri Modello'!$A$57:$A$60,0))*(INDEX('Parametri Modello'!$B$50:$B$53,MATCH($B382,'Parametri Modello'!$A$50:$A$53,0))*'Parametri Modello'!$B$44))),IF(INDEX('Parametri Modello'!$F$57:$F$60,MATCH($B382,'Parametri Modello'!$A$57:$A$60,0))=0,0,($O382/INDEX('Parametri Modello'!$F$57:$F$60,MATCH($B382,'Parametri Modello'!$A$57:$A$60,0)))*((1-INDEX('Parametri Modello'!$D$57:$D$60,MATCH($B382,'Parametri Modello'!$A$57:$A$60,0)))*(INDEX('Parametri Modello'!$B$50:$B$53,MATCH($B382,'Parametri Modello'!$A$50:$A$53,0))*'Parametri Modello'!$B$44))))*(1+IF(IF($B382="D",'Info Lega'!$B$25,IF($B382="C",'Info Lega'!$B$26,"No"))="Si",'Parametri Modello'!$B$5,0))*(1+MAX(-0.25,MIN(0.25,IF(OR($T382="",$I382="",$I382=0,INDEX('Parametri Modello'!$B$19:$B$22,MATCH($B382,'Parametri Modello'!$A$19:$A$22,0))="",INDEX('Parametri Modello'!$B$19:$B$22,MATCH($B382,'Parametri Modello'!$A$19:$A$22,0))=0),0,(($T382-INDEX('Parametri Modello'!$B$19:$B$22,MATCH($B382,'Parametri Modello'!$A$19:$A$22,0)))/INDEX('Parametri Modello'!$B$19:$B$22,MATCH($B382,'Parametri Modello'!$A$19:$A$22,0)))*'Parametri Modello'!$B$9))))*(1+IF('Parametri Modello'!$B$27="Si",MAX(-'Parametri Modello'!$B$28,MIN('Parametri Modello'!$B$28*1.5,IF(OR(INDEX('Parametri Modello'!$F$32:$F$35,MATCH($B382,'Parametri Modello'!$A$32:$A$35,0))="",INDEX('Parametri Modello'!$F$32:$F$35,MATCH($B382,'Parametri Modello'!$A$32:$A$35,0))=0),0,(1/INDEX('Parametri Modello'!$F$32:$F$35,MATCH($B382,'Parametri Modello'!$A$32:$A$35,0))-1)*'Parametri Modello'!$B$28))),0)))*(1+INDEX('Parametri Modello'!$B$12:$B$15,MATCH($B382,'Parametri Modello'!$A$12:$A$15,0))),0),"")</f>
        <v>1</v>
      </c>
      <c r="I382" s="23">
        <f>IFERROR(INDEX('Input Statistiche 2025_26'!$F$3:$F$665,MATCH($A382,'Input Statistiche 2025_26'!$A$3:$A$665,0)),"")</f>
        <v>14</v>
      </c>
      <c r="J382" s="23">
        <f t="shared" si="45"/>
        <v>24</v>
      </c>
      <c r="K382" s="23">
        <f>IFERROR(INDEX('Input Statistiche 2025_26'!$I$3:$I$665,MATCH($A382,'Input Statistiche 2025_26'!$A$3:$A$665,0)),"")</f>
        <v>0</v>
      </c>
      <c r="L382" s="23">
        <f>IFERROR(INDEX('Input Statistiche 2025_26'!$O$3:$O$665,MATCH($A382,'Input Statistiche 2025_26'!$A$3:$A$665,0)),"")</f>
        <v>1</v>
      </c>
      <c r="M382" s="25"/>
      <c r="N382" s="24">
        <f>IFERROR(INDEX('Input Giocatori 2026_27'!$E$3:$E$493,MATCH($A382,'Input Giocatori 2026_27'!$A$3:$A$493,0)),"")</f>
        <v>2</v>
      </c>
      <c r="O382" s="24">
        <f>IFERROR(INDEX('Input Giocatori 2026_27'!$G$3:$G$493,MATCH($A382,'Input Giocatori 2026_27'!$A$3:$A$493,0)),"")</f>
        <v>5</v>
      </c>
      <c r="P382" s="23" t="str">
        <f>IFERROR(IF($O382="","",IF((1-(COUNTIFS($B$2:$B$492,$B382,$O$2:$O$492,"&gt;"&amp;$O382)+1-1)/COUNTIF($B$2:$B$492,$B382))&gt;='Parametri Modello'!$B$63,"Top",IF((1-(COUNTIFS($B$2:$B$492,$B382,$O$2:$O$492,"&gt;"&amp;$O382)+1-1)/COUNTIF($B$2:$B$492,$B382))&gt;='Parametri Modello'!$B$64,"Buono",IF((1-(COUNTIFS($B$2:$B$492,$B382,$O$2:$O$492,"&gt;"&amp;$O382)+1-1)/COUNTIF($B$2:$B$492,$B382))&gt;='Parametri Modello'!$B$65,"Nella Media","Scommessa/Riserva")))),"")</f>
        <v>Scommessa/Riserva</v>
      </c>
      <c r="Q382" s="26">
        <f>IF(AND($D382="",$N382&gt;1),SUMPRODUCT(($D$2:$D382="")*($N$2:$N382&gt;1)),"")</f>
        <v>380</v>
      </c>
      <c r="R382" s="26" t="str">
        <f>IF($D382='Info Lega'!$B$28,COUNTIFS($D$2:$D382,'Info Lega'!$B$28),"")</f>
        <v/>
      </c>
      <c r="S382" s="27">
        <f>IFERROR(INDEX('Input Statistiche 2025_26'!$G$3:$G$665,MATCH($A382,'Input Statistiche 2025_26'!$A$3:$A$665,0)),"")</f>
        <v>5.96</v>
      </c>
      <c r="T382" s="27">
        <f>IFERROR(INDEX('Input Statistiche 2025_26'!$H$3:$H$665,MATCH($A382,'Input Statistiche 2025_26'!$A$3:$A$665,0)),"")</f>
        <v>5.96</v>
      </c>
      <c r="U382" s="23" t="str">
        <f>IF(OR('La Mia Rosa'!$O$12="",$D382&lt;&gt;""),"",IF($F382&lt;='La Mia Rosa'!$O$12*'Parametri Modello'!$B$24,"OK",IF($F382&lt;='La Mia Rosa'!$O$12*'Parametri Modello'!$B$25,"Attenzione","Rischio Alto")))</f>
        <v>OK</v>
      </c>
      <c r="V382" s="23">
        <f t="shared" si="46"/>
        <v>137</v>
      </c>
      <c r="W382" s="18">
        <f>'Info Lega'!$B$4-SUMIFS($M$2:$M$492,$D$2:$D$492,'Info Lega'!$B$28)</f>
        <v>1000</v>
      </c>
      <c r="X382" s="18">
        <f>('Info Lega'!$B$5-COUNTIFS($D$2:$D$492,'Info Lega'!$B$28,$B$2:$B$492,"P"))+('Info Lega'!$B$6-COUNTIFS($D$2:$D$492,'Info Lega'!$B$28,$B$2:$B$492,"D"))+('Info Lega'!$B$7-COUNTIFS($D$2:$D$492,'Info Lega'!$B$28,$B$2:$B$492,"C"))+('Info Lega'!$B$8-COUNTIFS($D$2:$D$492,'Info Lega'!$B$28,$B$2:$B$492,"A"))</f>
        <v>25</v>
      </c>
      <c r="Y382" s="18">
        <f>X382*'Parametri Modello'!$B$30</f>
        <v>25</v>
      </c>
      <c r="Z382" s="18">
        <f t="shared" si="47"/>
        <v>975</v>
      </c>
      <c r="AA382" s="18">
        <f t="shared" si="48"/>
        <v>1</v>
      </c>
      <c r="AB382" s="18"/>
      <c r="AC382" s="18" t="str">
        <f>IF($AB382="","",IF($AB382&gt;$AA382,"PASS",IF($AB382&lt;=$AA382*(1-'Parametri Modello'!$B$68),"BID","ATTENZIONE")))</f>
        <v/>
      </c>
      <c r="AD382" s="28">
        <f t="shared" si="49"/>
        <v>37</v>
      </c>
      <c r="AE382" s="5" t="str">
        <f>IFERROR(INDEX('Stato Asta'!$G$9:$G$12,MATCH($B382,'Stato Asta'!$A$9:$A$12,0)),"")</f>
        <v>🔴 Non aspettare</v>
      </c>
      <c r="AF382" t="str">
        <f>IFERROR(IF($V382&lt;=INDEX('Parametri Modello'!$C$57:$C$60,MATCH($B382,'Parametri Modello'!$A$57:$A$60,0)),"Titolare","Riserva"),"")</f>
        <v>Riserva</v>
      </c>
      <c r="AG382" t="str">
        <f>IFERROR(INDEX('Pressione Competitiva'!$F$3:$F$6,MATCH($B382,'Pressione Competitiva'!$B$3:$B$6,0)),"")</f>
        <v>🔴 Molto Alta</v>
      </c>
      <c r="AH382" t="str">
        <f t="shared" si="50"/>
        <v/>
      </c>
      <c r="AI382" t="str">
        <f>IFERROR(IF($AH382="","",IF($AH382&gt;=$AA382*'Parametri Modello'!$B$68,"🟢 Opportunita'",IF($AH382&lt;=$AA382*'Parametri Modello'!$B$69,"🔴 Sovrapprezzo","🟡 Prezzo Corretto"))),"")</f>
        <v/>
      </c>
      <c r="AJ382" t="str">
        <f t="shared" si="51"/>
        <v/>
      </c>
      <c r="AK382">
        <f t="shared" si="52"/>
        <v>25</v>
      </c>
      <c r="AL382" t="str">
        <f t="shared" si="53"/>
        <v>D|Scommessa/Riserva|25</v>
      </c>
    </row>
    <row r="383" spans="1:38" ht="14.25" customHeight="1" x14ac:dyDescent="0.25">
      <c r="A383" s="18">
        <v>6977</v>
      </c>
      <c r="B383" s="18" t="s">
        <v>16</v>
      </c>
      <c r="C383" s="18" t="s">
        <v>522</v>
      </c>
      <c r="E383" s="23" t="str">
        <f>IF(COUNTIF('Info Strategia'!$D$2:$D$51,$C383)&gt;0,"SI","NO")</f>
        <v>NO</v>
      </c>
      <c r="F383" s="24">
        <f>IFERROR(ROUND(($G383+($H383-$G383)*'Info Strategia'!$B$6)*(1+IF($E383="SI",'Parametri Modello'!$B$7*'Info Strategia'!$B$6,0)),0),"")</f>
        <v>1</v>
      </c>
      <c r="G383" s="24">
        <f>IFERROR(ROUND(MAX(1,(IF($V383&lt;=INDEX('Parametri Modello'!$C$57:$C$60,MATCH($B383,'Parametri Modello'!$A$57:$A$60,0)),IF(INDEX('Parametri Modello'!$E$57:$E$60,MATCH($B383,'Parametri Modello'!$A$57:$A$60,0))=0,0,($O383/INDEX('Parametri Modello'!$E$57:$E$60,MATCH($B383,'Parametri Modello'!$A$57:$A$60,0)))*(INDEX('Parametri Modello'!$D$57:$D$60,MATCH($B383,'Parametri Modello'!$A$57:$A$60,0))*(INDEX('Parametri Modello'!$B$50:$B$53,MATCH($B383,'Parametri Modello'!$A$50:$A$53,0))*'Parametri Modello'!$B$44))),IF(INDEX('Parametri Modello'!$F$57:$F$60,MATCH($B383,'Parametri Modello'!$A$57:$A$60,0))=0,0,($O383/INDEX('Parametri Modello'!$F$57:$F$60,MATCH($B383,'Parametri Modello'!$A$57:$A$60,0)))*((1-INDEX('Parametri Modello'!$D$57:$D$60,MATCH($B383,'Parametri Modello'!$A$57:$A$60,0)))*(INDEX('Parametri Modello'!$B$50:$B$53,MATCH($B383,'Parametri Modello'!$A$50:$A$53,0))*'Parametri Modello'!$B$44))))*(1+IF(IF($B383="D",'Info Lega'!$B$25,IF($B383="C",'Info Lega'!$B$26,"No"))="Si",'Parametri Modello'!$B$5,0))*(1+MAX(-0.25,MIN(0.25,IF(OR($T383="",$I383="",$I383=0,INDEX('Parametri Modello'!$B$19:$B$22,MATCH($B383,'Parametri Modello'!$A$19:$A$22,0))="",INDEX('Parametri Modello'!$B$19:$B$22,MATCH($B383,'Parametri Modello'!$A$19:$A$22,0))=0),0,(($T383-INDEX('Parametri Modello'!$B$19:$B$22,MATCH($B383,'Parametri Modello'!$A$19:$A$22,0)))/INDEX('Parametri Modello'!$B$19:$B$22,MATCH($B383,'Parametri Modello'!$A$19:$A$22,0)))*'Parametri Modello'!$B$9))))*(1+IF('Parametri Modello'!$B$27="Si",MAX(-'Parametri Modello'!$B$28,MIN('Parametri Modello'!$B$28*1.5,IF(OR(INDEX('Parametri Modello'!$F$32:$F$35,MATCH($B383,'Parametri Modello'!$A$32:$A$35,0))="",INDEX('Parametri Modello'!$F$32:$F$35,MATCH($B383,'Parametri Modello'!$A$32:$A$35,0))=0),0,(1/INDEX('Parametri Modello'!$F$32:$F$35,MATCH($B383,'Parametri Modello'!$A$32:$A$35,0))-1)*'Parametri Modello'!$B$28))),0)))*(1-INDEX('Parametri Modello'!$B$12:$B$15,MATCH($B383,'Parametri Modello'!$A$12:$A$15,0)))),0),"")</f>
        <v>1</v>
      </c>
      <c r="H383" s="24">
        <f>IFERROR(ROUND((IF($V383&lt;=INDEX('Parametri Modello'!$C$57:$C$60,MATCH($B383,'Parametri Modello'!$A$57:$A$60,0)),IF(INDEX('Parametri Modello'!$E$57:$E$60,MATCH($B383,'Parametri Modello'!$A$57:$A$60,0))=0,0,($O383/INDEX('Parametri Modello'!$E$57:$E$60,MATCH($B383,'Parametri Modello'!$A$57:$A$60,0)))*(INDEX('Parametri Modello'!$D$57:$D$60,MATCH($B383,'Parametri Modello'!$A$57:$A$60,0))*(INDEX('Parametri Modello'!$B$50:$B$53,MATCH($B383,'Parametri Modello'!$A$50:$A$53,0))*'Parametri Modello'!$B$44))),IF(INDEX('Parametri Modello'!$F$57:$F$60,MATCH($B383,'Parametri Modello'!$A$57:$A$60,0))=0,0,($O383/INDEX('Parametri Modello'!$F$57:$F$60,MATCH($B383,'Parametri Modello'!$A$57:$A$60,0)))*((1-INDEX('Parametri Modello'!$D$57:$D$60,MATCH($B383,'Parametri Modello'!$A$57:$A$60,0)))*(INDEX('Parametri Modello'!$B$50:$B$53,MATCH($B383,'Parametri Modello'!$A$50:$A$53,0))*'Parametri Modello'!$B$44))))*(1+IF(IF($B383="D",'Info Lega'!$B$25,IF($B383="C",'Info Lega'!$B$26,"No"))="Si",'Parametri Modello'!$B$5,0))*(1+MAX(-0.25,MIN(0.25,IF(OR($T383="",$I383="",$I383=0,INDEX('Parametri Modello'!$B$19:$B$22,MATCH($B383,'Parametri Modello'!$A$19:$A$22,0))="",INDEX('Parametri Modello'!$B$19:$B$22,MATCH($B383,'Parametri Modello'!$A$19:$A$22,0))=0),0,(($T383-INDEX('Parametri Modello'!$B$19:$B$22,MATCH($B383,'Parametri Modello'!$A$19:$A$22,0)))/INDEX('Parametri Modello'!$B$19:$B$22,MATCH($B383,'Parametri Modello'!$A$19:$A$22,0)))*'Parametri Modello'!$B$9))))*(1+IF('Parametri Modello'!$B$27="Si",MAX(-'Parametri Modello'!$B$28,MIN('Parametri Modello'!$B$28*1.5,IF(OR(INDEX('Parametri Modello'!$F$32:$F$35,MATCH($B383,'Parametri Modello'!$A$32:$A$35,0))="",INDEX('Parametri Modello'!$F$32:$F$35,MATCH($B383,'Parametri Modello'!$A$32:$A$35,0))=0),0,(1/INDEX('Parametri Modello'!$F$32:$F$35,MATCH($B383,'Parametri Modello'!$A$32:$A$35,0))-1)*'Parametri Modello'!$B$28))),0)))*(1+INDEX('Parametri Modello'!$B$12:$B$15,MATCH($B383,'Parametri Modello'!$A$12:$A$15,0))),0),"")</f>
        <v>1</v>
      </c>
      <c r="I383" s="23">
        <f>IFERROR(INDEX('Input Statistiche 2025_26'!$F$3:$F$665,MATCH($A383,'Input Statistiche 2025_26'!$A$3:$A$665,0)),"")</f>
        <v>10</v>
      </c>
      <c r="J383" s="23">
        <f t="shared" si="45"/>
        <v>28</v>
      </c>
      <c r="K383" s="23">
        <f>IFERROR(INDEX('Input Statistiche 2025_26'!$I$3:$I$665,MATCH($A383,'Input Statistiche 2025_26'!$A$3:$A$665,0)),"")</f>
        <v>0</v>
      </c>
      <c r="L383" s="23">
        <f>IFERROR(INDEX('Input Statistiche 2025_26'!$O$3:$O$665,MATCH($A383,'Input Statistiche 2025_26'!$A$3:$A$665,0)),"")</f>
        <v>0</v>
      </c>
      <c r="M383" s="25"/>
      <c r="N383" s="24">
        <f>IFERROR(INDEX('Input Giocatori 2026_27'!$E$3:$E$493,MATCH($A383,'Input Giocatori 2026_27'!$A$3:$A$493,0)),"")</f>
        <v>2</v>
      </c>
      <c r="O383" s="24">
        <f>IFERROR(INDEX('Input Giocatori 2026_27'!$G$3:$G$493,MATCH($A383,'Input Giocatori 2026_27'!$A$3:$A$493,0)),"")</f>
        <v>5</v>
      </c>
      <c r="P383" s="23" t="str">
        <f>IFERROR(IF($O383="","",IF((1-(COUNTIFS($B$2:$B$492,$B383,$O$2:$O$492,"&gt;"&amp;$O383)+1-1)/COUNTIF($B$2:$B$492,$B383))&gt;='Parametri Modello'!$B$63,"Top",IF((1-(COUNTIFS($B$2:$B$492,$B383,$O$2:$O$492,"&gt;"&amp;$O383)+1-1)/COUNTIF($B$2:$B$492,$B383))&gt;='Parametri Modello'!$B$64,"Buono",IF((1-(COUNTIFS($B$2:$B$492,$B383,$O$2:$O$492,"&gt;"&amp;$O383)+1-1)/COUNTIF($B$2:$B$492,$B383))&gt;='Parametri Modello'!$B$65,"Nella Media","Scommessa/Riserva")))),"")</f>
        <v>Scommessa/Riserva</v>
      </c>
      <c r="Q383" s="26">
        <f>IF(AND($D383="",$N383&gt;1),SUMPRODUCT(($D$2:$D383="")*($N$2:$N383&gt;1)),"")</f>
        <v>381</v>
      </c>
      <c r="R383" s="26" t="str">
        <f>IF($D383='Info Lega'!$B$28,COUNTIFS($D$2:$D383,'Info Lega'!$B$28),"")</f>
        <v/>
      </c>
      <c r="S383" s="27">
        <f>IFERROR(INDEX('Input Statistiche 2025_26'!$G$3:$G$665,MATCH($A383,'Input Statistiche 2025_26'!$A$3:$A$665,0)),"")</f>
        <v>5.6</v>
      </c>
      <c r="T383" s="27">
        <f>IFERROR(INDEX('Input Statistiche 2025_26'!$H$3:$H$665,MATCH($A383,'Input Statistiche 2025_26'!$A$3:$A$665,0)),"")</f>
        <v>5.35</v>
      </c>
      <c r="U383" s="23" t="str">
        <f>IF(OR('La Mia Rosa'!$O$12="",$D383&lt;&gt;""),"",IF($F383&lt;='La Mia Rosa'!$O$12*'Parametri Modello'!$B$24,"OK",IF($F383&lt;='La Mia Rosa'!$O$12*'Parametri Modello'!$B$25,"Attenzione","Rischio Alto")))</f>
        <v>OK</v>
      </c>
      <c r="V383" s="23">
        <f t="shared" si="46"/>
        <v>137</v>
      </c>
      <c r="W383" s="18">
        <f>'Info Lega'!$B$4-SUMIFS($M$2:$M$492,$D$2:$D$492,'Info Lega'!$B$28)</f>
        <v>1000</v>
      </c>
      <c r="X383" s="18">
        <f>('Info Lega'!$B$5-COUNTIFS($D$2:$D$492,'Info Lega'!$B$28,$B$2:$B$492,"P"))+('Info Lega'!$B$6-COUNTIFS($D$2:$D$492,'Info Lega'!$B$28,$B$2:$B$492,"D"))+('Info Lega'!$B$7-COUNTIFS($D$2:$D$492,'Info Lega'!$B$28,$B$2:$B$492,"C"))+('Info Lega'!$B$8-COUNTIFS($D$2:$D$492,'Info Lega'!$B$28,$B$2:$B$492,"A"))</f>
        <v>25</v>
      </c>
      <c r="Y383" s="18">
        <f>X383*'Parametri Modello'!$B$30</f>
        <v>25</v>
      </c>
      <c r="Z383" s="18">
        <f t="shared" si="47"/>
        <v>975</v>
      </c>
      <c r="AA383" s="18">
        <f t="shared" si="48"/>
        <v>1</v>
      </c>
      <c r="AB383" s="18"/>
      <c r="AC383" s="18" t="str">
        <f>IF($AB383="","",IF($AB383&gt;$AA383,"PASS",IF($AB383&lt;=$AA383*(1-'Parametri Modello'!$B$68),"BID","ATTENZIONE")))</f>
        <v/>
      </c>
      <c r="AD383" s="28">
        <f t="shared" si="49"/>
        <v>28</v>
      </c>
      <c r="AE383" s="5" t="str">
        <f>IFERROR(INDEX('Stato Asta'!$G$9:$G$12,MATCH($B383,'Stato Asta'!$A$9:$A$12,0)),"")</f>
        <v>🔴 Non aspettare</v>
      </c>
      <c r="AF383" t="str">
        <f>IFERROR(IF($V383&lt;=INDEX('Parametri Modello'!$C$57:$C$60,MATCH($B383,'Parametri Modello'!$A$57:$A$60,0)),"Titolare","Riserva"),"")</f>
        <v>Riserva</v>
      </c>
      <c r="AG383" t="str">
        <f>IFERROR(INDEX('Pressione Competitiva'!$F$3:$F$6,MATCH($B383,'Pressione Competitiva'!$B$3:$B$6,0)),"")</f>
        <v>🔴 Molto Alta</v>
      </c>
      <c r="AH383" t="str">
        <f t="shared" si="50"/>
        <v/>
      </c>
      <c r="AI383" t="str">
        <f>IFERROR(IF($AH383="","",IF($AH383&gt;=$AA383*'Parametri Modello'!$B$68,"🟢 Opportunita'",IF($AH383&lt;=$AA383*'Parametri Modello'!$B$69,"🔴 Sovrapprezzo","🟡 Prezzo Corretto"))),"")</f>
        <v/>
      </c>
      <c r="AJ383" t="str">
        <f t="shared" si="51"/>
        <v/>
      </c>
      <c r="AK383">
        <f t="shared" si="52"/>
        <v>25</v>
      </c>
      <c r="AL383" t="str">
        <f t="shared" si="53"/>
        <v>D|Scommessa/Riserva|25</v>
      </c>
    </row>
    <row r="384" spans="1:38" ht="14.25" customHeight="1" x14ac:dyDescent="0.25">
      <c r="A384" s="18">
        <v>791</v>
      </c>
      <c r="B384" s="18" t="s">
        <v>16</v>
      </c>
      <c r="C384" s="18" t="s">
        <v>523</v>
      </c>
      <c r="E384" s="23" t="str">
        <f>IF(COUNTIF('Info Strategia'!$D$2:$D$51,$C384)&gt;0,"SI","NO")</f>
        <v>NO</v>
      </c>
      <c r="F384" s="24">
        <f>IFERROR(ROUND(($G384+($H384-$G384)*'Info Strategia'!$B$6)*(1+IF($E384="SI",'Parametri Modello'!$B$7*'Info Strategia'!$B$6,0)),0),"")</f>
        <v>1</v>
      </c>
      <c r="G384" s="24">
        <f>IFERROR(ROUND(MAX(1,(IF($V384&lt;=INDEX('Parametri Modello'!$C$57:$C$60,MATCH($B384,'Parametri Modello'!$A$57:$A$60,0)),IF(INDEX('Parametri Modello'!$E$57:$E$60,MATCH($B384,'Parametri Modello'!$A$57:$A$60,0))=0,0,($O384/INDEX('Parametri Modello'!$E$57:$E$60,MATCH($B384,'Parametri Modello'!$A$57:$A$60,0)))*(INDEX('Parametri Modello'!$D$57:$D$60,MATCH($B384,'Parametri Modello'!$A$57:$A$60,0))*(INDEX('Parametri Modello'!$B$50:$B$53,MATCH($B384,'Parametri Modello'!$A$50:$A$53,0))*'Parametri Modello'!$B$44))),IF(INDEX('Parametri Modello'!$F$57:$F$60,MATCH($B384,'Parametri Modello'!$A$57:$A$60,0))=0,0,($O384/INDEX('Parametri Modello'!$F$57:$F$60,MATCH($B384,'Parametri Modello'!$A$57:$A$60,0)))*((1-INDEX('Parametri Modello'!$D$57:$D$60,MATCH($B384,'Parametri Modello'!$A$57:$A$60,0)))*(INDEX('Parametri Modello'!$B$50:$B$53,MATCH($B384,'Parametri Modello'!$A$50:$A$53,0))*'Parametri Modello'!$B$44))))*(1+IF(IF($B384="D",'Info Lega'!$B$25,IF($B384="C",'Info Lega'!$B$26,"No"))="Si",'Parametri Modello'!$B$5,0))*(1+MAX(-0.25,MIN(0.25,IF(OR($T384="",$I384="",$I384=0,INDEX('Parametri Modello'!$B$19:$B$22,MATCH($B384,'Parametri Modello'!$A$19:$A$22,0))="",INDEX('Parametri Modello'!$B$19:$B$22,MATCH($B384,'Parametri Modello'!$A$19:$A$22,0))=0),0,(($T384-INDEX('Parametri Modello'!$B$19:$B$22,MATCH($B384,'Parametri Modello'!$A$19:$A$22,0)))/INDEX('Parametri Modello'!$B$19:$B$22,MATCH($B384,'Parametri Modello'!$A$19:$A$22,0)))*'Parametri Modello'!$B$9))))*(1+IF('Parametri Modello'!$B$27="Si",MAX(-'Parametri Modello'!$B$28,MIN('Parametri Modello'!$B$28*1.5,IF(OR(INDEX('Parametri Modello'!$F$32:$F$35,MATCH($B384,'Parametri Modello'!$A$32:$A$35,0))="",INDEX('Parametri Modello'!$F$32:$F$35,MATCH($B384,'Parametri Modello'!$A$32:$A$35,0))=0),0,(1/INDEX('Parametri Modello'!$F$32:$F$35,MATCH($B384,'Parametri Modello'!$A$32:$A$35,0))-1)*'Parametri Modello'!$B$28))),0)))*(1-INDEX('Parametri Modello'!$B$12:$B$15,MATCH($B384,'Parametri Modello'!$A$12:$A$15,0)))),0),"")</f>
        <v>1</v>
      </c>
      <c r="H384" s="24">
        <f>IFERROR(ROUND((IF($V384&lt;=INDEX('Parametri Modello'!$C$57:$C$60,MATCH($B384,'Parametri Modello'!$A$57:$A$60,0)),IF(INDEX('Parametri Modello'!$E$57:$E$60,MATCH($B384,'Parametri Modello'!$A$57:$A$60,0))=0,0,($O384/INDEX('Parametri Modello'!$E$57:$E$60,MATCH($B384,'Parametri Modello'!$A$57:$A$60,0)))*(INDEX('Parametri Modello'!$D$57:$D$60,MATCH($B384,'Parametri Modello'!$A$57:$A$60,0))*(INDEX('Parametri Modello'!$B$50:$B$53,MATCH($B384,'Parametri Modello'!$A$50:$A$53,0))*'Parametri Modello'!$B$44))),IF(INDEX('Parametri Modello'!$F$57:$F$60,MATCH($B384,'Parametri Modello'!$A$57:$A$60,0))=0,0,($O384/INDEX('Parametri Modello'!$F$57:$F$60,MATCH($B384,'Parametri Modello'!$A$57:$A$60,0)))*((1-INDEX('Parametri Modello'!$D$57:$D$60,MATCH($B384,'Parametri Modello'!$A$57:$A$60,0)))*(INDEX('Parametri Modello'!$B$50:$B$53,MATCH($B384,'Parametri Modello'!$A$50:$A$53,0))*'Parametri Modello'!$B$44))))*(1+IF(IF($B384="D",'Info Lega'!$B$25,IF($B384="C",'Info Lega'!$B$26,"No"))="Si",'Parametri Modello'!$B$5,0))*(1+MAX(-0.25,MIN(0.25,IF(OR($T384="",$I384="",$I384=0,INDEX('Parametri Modello'!$B$19:$B$22,MATCH($B384,'Parametri Modello'!$A$19:$A$22,0))="",INDEX('Parametri Modello'!$B$19:$B$22,MATCH($B384,'Parametri Modello'!$A$19:$A$22,0))=0),0,(($T384-INDEX('Parametri Modello'!$B$19:$B$22,MATCH($B384,'Parametri Modello'!$A$19:$A$22,0)))/INDEX('Parametri Modello'!$B$19:$B$22,MATCH($B384,'Parametri Modello'!$A$19:$A$22,0)))*'Parametri Modello'!$B$9))))*(1+IF('Parametri Modello'!$B$27="Si",MAX(-'Parametri Modello'!$B$28,MIN('Parametri Modello'!$B$28*1.5,IF(OR(INDEX('Parametri Modello'!$F$32:$F$35,MATCH($B384,'Parametri Modello'!$A$32:$A$35,0))="",INDEX('Parametri Modello'!$F$32:$F$35,MATCH($B384,'Parametri Modello'!$A$32:$A$35,0))=0),0,(1/INDEX('Parametri Modello'!$F$32:$F$35,MATCH($B384,'Parametri Modello'!$A$32:$A$35,0))-1)*'Parametri Modello'!$B$28))),0)))*(1+INDEX('Parametri Modello'!$B$12:$B$15,MATCH($B384,'Parametri Modello'!$A$12:$A$15,0))),0),"")</f>
        <v>1</v>
      </c>
      <c r="I384" s="23">
        <f>IFERROR(INDEX('Input Statistiche 2025_26'!$F$3:$F$665,MATCH($A384,'Input Statistiche 2025_26'!$A$3:$A$665,0)),"")</f>
        <v>13</v>
      </c>
      <c r="J384" s="23">
        <f t="shared" si="45"/>
        <v>25</v>
      </c>
      <c r="K384" s="23">
        <f>IFERROR(INDEX('Input Statistiche 2025_26'!$I$3:$I$665,MATCH($A384,'Input Statistiche 2025_26'!$A$3:$A$665,0)),"")</f>
        <v>0</v>
      </c>
      <c r="L384" s="23">
        <f>IFERROR(INDEX('Input Statistiche 2025_26'!$O$3:$O$665,MATCH($A384,'Input Statistiche 2025_26'!$A$3:$A$665,0)),"")</f>
        <v>0</v>
      </c>
      <c r="M384" s="25"/>
      <c r="N384" s="24">
        <f>IFERROR(INDEX('Input Giocatori 2026_27'!$E$3:$E$493,MATCH($A384,'Input Giocatori 2026_27'!$A$3:$A$493,0)),"")</f>
        <v>2</v>
      </c>
      <c r="O384" s="24">
        <f>IFERROR(INDEX('Input Giocatori 2026_27'!$G$3:$G$493,MATCH($A384,'Input Giocatori 2026_27'!$A$3:$A$493,0)),"")</f>
        <v>5</v>
      </c>
      <c r="P384" s="23" t="str">
        <f>IFERROR(IF($O384="","",IF((1-(COUNTIFS($B$2:$B$492,$B384,$O$2:$O$492,"&gt;"&amp;$O384)+1-1)/COUNTIF($B$2:$B$492,$B384))&gt;='Parametri Modello'!$B$63,"Top",IF((1-(COUNTIFS($B$2:$B$492,$B384,$O$2:$O$492,"&gt;"&amp;$O384)+1-1)/COUNTIF($B$2:$B$492,$B384))&gt;='Parametri Modello'!$B$64,"Buono",IF((1-(COUNTIFS($B$2:$B$492,$B384,$O$2:$O$492,"&gt;"&amp;$O384)+1-1)/COUNTIF($B$2:$B$492,$B384))&gt;='Parametri Modello'!$B$65,"Nella Media","Scommessa/Riserva")))),"")</f>
        <v>Scommessa/Riserva</v>
      </c>
      <c r="Q384" s="26">
        <f>IF(AND($D384="",$N384&gt;1),SUMPRODUCT(($D$2:$D384="")*($N$2:$N384&gt;1)),"")</f>
        <v>382</v>
      </c>
      <c r="R384" s="26" t="str">
        <f>IF($D384='Info Lega'!$B$28,COUNTIFS($D$2:$D384,'Info Lega'!$B$28),"")</f>
        <v/>
      </c>
      <c r="S384" s="27">
        <f>IFERROR(INDEX('Input Statistiche 2025_26'!$G$3:$G$665,MATCH($A384,'Input Statistiche 2025_26'!$A$3:$A$665,0)),"")</f>
        <v>5.81</v>
      </c>
      <c r="T384" s="27">
        <f>IFERROR(INDEX('Input Statistiche 2025_26'!$H$3:$H$665,MATCH($A384,'Input Statistiche 2025_26'!$A$3:$A$665,0)),"")</f>
        <v>5.65</v>
      </c>
      <c r="U384" s="23" t="str">
        <f>IF(OR('La Mia Rosa'!$O$12="",$D384&lt;&gt;""),"",IF($F384&lt;='La Mia Rosa'!$O$12*'Parametri Modello'!$B$24,"OK",IF($F384&lt;='La Mia Rosa'!$O$12*'Parametri Modello'!$B$25,"Attenzione","Rischio Alto")))</f>
        <v>OK</v>
      </c>
      <c r="V384" s="23">
        <f t="shared" si="46"/>
        <v>137</v>
      </c>
      <c r="W384" s="18">
        <f>'Info Lega'!$B$4-SUMIFS($M$2:$M$492,$D$2:$D$492,'Info Lega'!$B$28)</f>
        <v>1000</v>
      </c>
      <c r="X384" s="18">
        <f>('Info Lega'!$B$5-COUNTIFS($D$2:$D$492,'Info Lega'!$B$28,$B$2:$B$492,"P"))+('Info Lega'!$B$6-COUNTIFS($D$2:$D$492,'Info Lega'!$B$28,$B$2:$B$492,"D"))+('Info Lega'!$B$7-COUNTIFS($D$2:$D$492,'Info Lega'!$B$28,$B$2:$B$492,"C"))+('Info Lega'!$B$8-COUNTIFS($D$2:$D$492,'Info Lega'!$B$28,$B$2:$B$492,"A"))</f>
        <v>25</v>
      </c>
      <c r="Y384" s="18">
        <f>X384*'Parametri Modello'!$B$30</f>
        <v>25</v>
      </c>
      <c r="Z384" s="18">
        <f t="shared" si="47"/>
        <v>975</v>
      </c>
      <c r="AA384" s="18">
        <f t="shared" si="48"/>
        <v>1</v>
      </c>
      <c r="AB384" s="18"/>
      <c r="AC384" s="18" t="str">
        <f>IF($AB384="","",IF($AB384&gt;$AA384,"PASS",IF($AB384&lt;=$AA384*(1-'Parametri Modello'!$B$68),"BID","ATTENZIONE")))</f>
        <v/>
      </c>
      <c r="AD384" s="28">
        <f t="shared" si="49"/>
        <v>35</v>
      </c>
      <c r="AE384" s="5" t="str">
        <f>IFERROR(INDEX('Stato Asta'!$G$9:$G$12,MATCH($B384,'Stato Asta'!$A$9:$A$12,0)),"")</f>
        <v>🔴 Non aspettare</v>
      </c>
      <c r="AF384" t="str">
        <f>IFERROR(IF($V384&lt;=INDEX('Parametri Modello'!$C$57:$C$60,MATCH($B384,'Parametri Modello'!$A$57:$A$60,0)),"Titolare","Riserva"),"")</f>
        <v>Riserva</v>
      </c>
      <c r="AG384" t="str">
        <f>IFERROR(INDEX('Pressione Competitiva'!$F$3:$F$6,MATCH($B384,'Pressione Competitiva'!$B$3:$B$6,0)),"")</f>
        <v>🔴 Molto Alta</v>
      </c>
      <c r="AH384" t="str">
        <f t="shared" si="50"/>
        <v/>
      </c>
      <c r="AI384" t="str">
        <f>IFERROR(IF($AH384="","",IF($AH384&gt;=$AA384*'Parametri Modello'!$B$68,"🟢 Opportunita'",IF($AH384&lt;=$AA384*'Parametri Modello'!$B$69,"🔴 Sovrapprezzo","🟡 Prezzo Corretto"))),"")</f>
        <v/>
      </c>
      <c r="AJ384" t="str">
        <f t="shared" si="51"/>
        <v/>
      </c>
      <c r="AK384">
        <f t="shared" si="52"/>
        <v>25</v>
      </c>
      <c r="AL384" t="str">
        <f t="shared" si="53"/>
        <v>D|Scommessa/Riserva|25</v>
      </c>
    </row>
    <row r="385" spans="1:38" ht="14.25" customHeight="1" x14ac:dyDescent="0.25">
      <c r="A385" s="18">
        <v>2728</v>
      </c>
      <c r="B385" s="18" t="s">
        <v>16</v>
      </c>
      <c r="C385" s="18" t="s">
        <v>524</v>
      </c>
      <c r="E385" s="23" t="str">
        <f>IF(COUNTIF('Info Strategia'!$D$2:$D$51,$C385)&gt;0,"SI","NO")</f>
        <v>NO</v>
      </c>
      <c r="F385" s="24">
        <f>IFERROR(ROUND(($G385+($H385-$G385)*'Info Strategia'!$B$6)*(1+IF($E385="SI",'Parametri Modello'!$B$7*'Info Strategia'!$B$6,0)),0),"")</f>
        <v>1</v>
      </c>
      <c r="G385" s="24">
        <f>IFERROR(ROUND(MAX(1,(IF($V385&lt;=INDEX('Parametri Modello'!$C$57:$C$60,MATCH($B385,'Parametri Modello'!$A$57:$A$60,0)),IF(INDEX('Parametri Modello'!$E$57:$E$60,MATCH($B385,'Parametri Modello'!$A$57:$A$60,0))=0,0,($O385/INDEX('Parametri Modello'!$E$57:$E$60,MATCH($B385,'Parametri Modello'!$A$57:$A$60,0)))*(INDEX('Parametri Modello'!$D$57:$D$60,MATCH($B385,'Parametri Modello'!$A$57:$A$60,0))*(INDEX('Parametri Modello'!$B$50:$B$53,MATCH($B385,'Parametri Modello'!$A$50:$A$53,0))*'Parametri Modello'!$B$44))),IF(INDEX('Parametri Modello'!$F$57:$F$60,MATCH($B385,'Parametri Modello'!$A$57:$A$60,0))=0,0,($O385/INDEX('Parametri Modello'!$F$57:$F$60,MATCH($B385,'Parametri Modello'!$A$57:$A$60,0)))*((1-INDEX('Parametri Modello'!$D$57:$D$60,MATCH($B385,'Parametri Modello'!$A$57:$A$60,0)))*(INDEX('Parametri Modello'!$B$50:$B$53,MATCH($B385,'Parametri Modello'!$A$50:$A$53,0))*'Parametri Modello'!$B$44))))*(1+IF(IF($B385="D",'Info Lega'!$B$25,IF($B385="C",'Info Lega'!$B$26,"No"))="Si",'Parametri Modello'!$B$5,0))*(1+MAX(-0.25,MIN(0.25,IF(OR($T385="",$I385="",$I385=0,INDEX('Parametri Modello'!$B$19:$B$22,MATCH($B385,'Parametri Modello'!$A$19:$A$22,0))="",INDEX('Parametri Modello'!$B$19:$B$22,MATCH($B385,'Parametri Modello'!$A$19:$A$22,0))=0),0,(($T385-INDEX('Parametri Modello'!$B$19:$B$22,MATCH($B385,'Parametri Modello'!$A$19:$A$22,0)))/INDEX('Parametri Modello'!$B$19:$B$22,MATCH($B385,'Parametri Modello'!$A$19:$A$22,0)))*'Parametri Modello'!$B$9))))*(1+IF('Parametri Modello'!$B$27="Si",MAX(-'Parametri Modello'!$B$28,MIN('Parametri Modello'!$B$28*1.5,IF(OR(INDEX('Parametri Modello'!$F$32:$F$35,MATCH($B385,'Parametri Modello'!$A$32:$A$35,0))="",INDEX('Parametri Modello'!$F$32:$F$35,MATCH($B385,'Parametri Modello'!$A$32:$A$35,0))=0),0,(1/INDEX('Parametri Modello'!$F$32:$F$35,MATCH($B385,'Parametri Modello'!$A$32:$A$35,0))-1)*'Parametri Modello'!$B$28))),0)))*(1-INDEX('Parametri Modello'!$B$12:$B$15,MATCH($B385,'Parametri Modello'!$A$12:$A$15,0)))),0),"")</f>
        <v>1</v>
      </c>
      <c r="H385" s="24">
        <f>IFERROR(ROUND((IF($V385&lt;=INDEX('Parametri Modello'!$C$57:$C$60,MATCH($B385,'Parametri Modello'!$A$57:$A$60,0)),IF(INDEX('Parametri Modello'!$E$57:$E$60,MATCH($B385,'Parametri Modello'!$A$57:$A$60,0))=0,0,($O385/INDEX('Parametri Modello'!$E$57:$E$60,MATCH($B385,'Parametri Modello'!$A$57:$A$60,0)))*(INDEX('Parametri Modello'!$D$57:$D$60,MATCH($B385,'Parametri Modello'!$A$57:$A$60,0))*(INDEX('Parametri Modello'!$B$50:$B$53,MATCH($B385,'Parametri Modello'!$A$50:$A$53,0))*'Parametri Modello'!$B$44))),IF(INDEX('Parametri Modello'!$F$57:$F$60,MATCH($B385,'Parametri Modello'!$A$57:$A$60,0))=0,0,($O385/INDEX('Parametri Modello'!$F$57:$F$60,MATCH($B385,'Parametri Modello'!$A$57:$A$60,0)))*((1-INDEX('Parametri Modello'!$D$57:$D$60,MATCH($B385,'Parametri Modello'!$A$57:$A$60,0)))*(INDEX('Parametri Modello'!$B$50:$B$53,MATCH($B385,'Parametri Modello'!$A$50:$A$53,0))*'Parametri Modello'!$B$44))))*(1+IF(IF($B385="D",'Info Lega'!$B$25,IF($B385="C",'Info Lega'!$B$26,"No"))="Si",'Parametri Modello'!$B$5,0))*(1+MAX(-0.25,MIN(0.25,IF(OR($T385="",$I385="",$I385=0,INDEX('Parametri Modello'!$B$19:$B$22,MATCH($B385,'Parametri Modello'!$A$19:$A$22,0))="",INDEX('Parametri Modello'!$B$19:$B$22,MATCH($B385,'Parametri Modello'!$A$19:$A$22,0))=0),0,(($T385-INDEX('Parametri Modello'!$B$19:$B$22,MATCH($B385,'Parametri Modello'!$A$19:$A$22,0)))/INDEX('Parametri Modello'!$B$19:$B$22,MATCH($B385,'Parametri Modello'!$A$19:$A$22,0)))*'Parametri Modello'!$B$9))))*(1+IF('Parametri Modello'!$B$27="Si",MAX(-'Parametri Modello'!$B$28,MIN('Parametri Modello'!$B$28*1.5,IF(OR(INDEX('Parametri Modello'!$F$32:$F$35,MATCH($B385,'Parametri Modello'!$A$32:$A$35,0))="",INDEX('Parametri Modello'!$F$32:$F$35,MATCH($B385,'Parametri Modello'!$A$32:$A$35,0))=0),0,(1/INDEX('Parametri Modello'!$F$32:$F$35,MATCH($B385,'Parametri Modello'!$A$32:$A$35,0))-1)*'Parametri Modello'!$B$28))),0)))*(1+INDEX('Parametri Modello'!$B$12:$B$15,MATCH($B385,'Parametri Modello'!$A$12:$A$15,0))),0),"")</f>
        <v>1</v>
      </c>
      <c r="I385" s="23">
        <f>IFERROR(INDEX('Input Statistiche 2025_26'!$F$3:$F$665,MATCH($A385,'Input Statistiche 2025_26'!$A$3:$A$665,0)),"")</f>
        <v>24</v>
      </c>
      <c r="J385" s="23">
        <f t="shared" si="45"/>
        <v>14</v>
      </c>
      <c r="K385" s="23">
        <f>IFERROR(INDEX('Input Statistiche 2025_26'!$I$3:$I$665,MATCH($A385,'Input Statistiche 2025_26'!$A$3:$A$665,0)),"")</f>
        <v>1</v>
      </c>
      <c r="L385" s="23">
        <f>IFERROR(INDEX('Input Statistiche 2025_26'!$O$3:$O$665,MATCH($A385,'Input Statistiche 2025_26'!$A$3:$A$665,0)),"")</f>
        <v>0</v>
      </c>
      <c r="M385" s="25"/>
      <c r="N385" s="24">
        <f>IFERROR(INDEX('Input Giocatori 2026_27'!$E$3:$E$493,MATCH($A385,'Input Giocatori 2026_27'!$A$3:$A$493,0)),"")</f>
        <v>2</v>
      </c>
      <c r="O385" s="24">
        <f>IFERROR(INDEX('Input Giocatori 2026_27'!$G$3:$G$493,MATCH($A385,'Input Giocatori 2026_27'!$A$3:$A$493,0)),"")</f>
        <v>5</v>
      </c>
      <c r="P385" s="23" t="str">
        <f>IFERROR(IF($O385="","",IF((1-(COUNTIFS($B$2:$B$492,$B385,$O$2:$O$492,"&gt;"&amp;$O385)+1-1)/COUNTIF($B$2:$B$492,$B385))&gt;='Parametri Modello'!$B$63,"Top",IF((1-(COUNTIFS($B$2:$B$492,$B385,$O$2:$O$492,"&gt;"&amp;$O385)+1-1)/COUNTIF($B$2:$B$492,$B385))&gt;='Parametri Modello'!$B$64,"Buono",IF((1-(COUNTIFS($B$2:$B$492,$B385,$O$2:$O$492,"&gt;"&amp;$O385)+1-1)/COUNTIF($B$2:$B$492,$B385))&gt;='Parametri Modello'!$B$65,"Nella Media","Scommessa/Riserva")))),"")</f>
        <v>Scommessa/Riserva</v>
      </c>
      <c r="Q385" s="26">
        <f>IF(AND($D385="",$N385&gt;1),SUMPRODUCT(($D$2:$D385="")*($N$2:$N385&gt;1)),"")</f>
        <v>383</v>
      </c>
      <c r="R385" s="26" t="str">
        <f>IF($D385='Info Lega'!$B$28,COUNTIFS($D$2:$D385,'Info Lega'!$B$28),"")</f>
        <v/>
      </c>
      <c r="S385" s="27">
        <f>IFERROR(INDEX('Input Statistiche 2025_26'!$G$3:$G$665,MATCH($A385,'Input Statistiche 2025_26'!$A$3:$A$665,0)),"")</f>
        <v>5.85</v>
      </c>
      <c r="T385" s="27">
        <f>IFERROR(INDEX('Input Statistiche 2025_26'!$H$3:$H$665,MATCH($A385,'Input Statistiche 2025_26'!$A$3:$A$665,0)),"")</f>
        <v>5.81</v>
      </c>
      <c r="U385" s="23" t="str">
        <f>IF(OR('La Mia Rosa'!$O$12="",$D385&lt;&gt;""),"",IF($F385&lt;='La Mia Rosa'!$O$12*'Parametri Modello'!$B$24,"OK",IF($F385&lt;='La Mia Rosa'!$O$12*'Parametri Modello'!$B$25,"Attenzione","Rischio Alto")))</f>
        <v>OK</v>
      </c>
      <c r="V385" s="23">
        <f t="shared" si="46"/>
        <v>137</v>
      </c>
      <c r="W385" s="18">
        <f>'Info Lega'!$B$4-SUMIFS($M$2:$M$492,$D$2:$D$492,'Info Lega'!$B$28)</f>
        <v>1000</v>
      </c>
      <c r="X385" s="18">
        <f>('Info Lega'!$B$5-COUNTIFS($D$2:$D$492,'Info Lega'!$B$28,$B$2:$B$492,"P"))+('Info Lega'!$B$6-COUNTIFS($D$2:$D$492,'Info Lega'!$B$28,$B$2:$B$492,"D"))+('Info Lega'!$B$7-COUNTIFS($D$2:$D$492,'Info Lega'!$B$28,$B$2:$B$492,"C"))+('Info Lega'!$B$8-COUNTIFS($D$2:$D$492,'Info Lega'!$B$28,$B$2:$B$492,"A"))</f>
        <v>25</v>
      </c>
      <c r="Y385" s="18">
        <f>X385*'Parametri Modello'!$B$30</f>
        <v>25</v>
      </c>
      <c r="Z385" s="18">
        <f t="shared" si="47"/>
        <v>975</v>
      </c>
      <c r="AA385" s="18">
        <f t="shared" si="48"/>
        <v>1</v>
      </c>
      <c r="AB385" s="18"/>
      <c r="AC385" s="18" t="str">
        <f>IF($AB385="","",IF($AB385&gt;$AA385,"PASS",IF($AB385&lt;=$AA385*(1-'Parametri Modello'!$B$68),"BID","ATTENZIONE")))</f>
        <v/>
      </c>
      <c r="AD385" s="28">
        <f t="shared" si="49"/>
        <v>55</v>
      </c>
      <c r="AE385" s="5" t="str">
        <f>IFERROR(INDEX('Stato Asta'!$G$9:$G$12,MATCH($B385,'Stato Asta'!$A$9:$A$12,0)),"")</f>
        <v>🔴 Non aspettare</v>
      </c>
      <c r="AF385" t="str">
        <f>IFERROR(IF($V385&lt;=INDEX('Parametri Modello'!$C$57:$C$60,MATCH($B385,'Parametri Modello'!$A$57:$A$60,0)),"Titolare","Riserva"),"")</f>
        <v>Riserva</v>
      </c>
      <c r="AG385" t="str">
        <f>IFERROR(INDEX('Pressione Competitiva'!$F$3:$F$6,MATCH($B385,'Pressione Competitiva'!$B$3:$B$6,0)),"")</f>
        <v>🔴 Molto Alta</v>
      </c>
      <c r="AH385" t="str">
        <f t="shared" si="50"/>
        <v/>
      </c>
      <c r="AI385" t="str">
        <f>IFERROR(IF($AH385="","",IF($AH385&gt;=$AA385*'Parametri Modello'!$B$68,"🟢 Opportunita'",IF($AH385&lt;=$AA385*'Parametri Modello'!$B$69,"🔴 Sovrapprezzo","🟡 Prezzo Corretto"))),"")</f>
        <v/>
      </c>
      <c r="AJ385" t="str">
        <f t="shared" si="51"/>
        <v/>
      </c>
      <c r="AK385">
        <f t="shared" si="52"/>
        <v>25</v>
      </c>
      <c r="AL385" t="str">
        <f t="shared" si="53"/>
        <v>D|Scommessa/Riserva|25</v>
      </c>
    </row>
    <row r="386" spans="1:38" ht="14.25" customHeight="1" x14ac:dyDescent="0.25">
      <c r="A386" s="18">
        <v>252</v>
      </c>
      <c r="B386" s="18" t="s">
        <v>16</v>
      </c>
      <c r="C386" s="18" t="s">
        <v>525</v>
      </c>
      <c r="E386" s="23" t="str">
        <f>IF(COUNTIF('Info Strategia'!$D$2:$D$51,$C386)&gt;0,"SI","NO")</f>
        <v>NO</v>
      </c>
      <c r="F386" s="24">
        <f>IFERROR(ROUND(($G386+($H386-$G386)*'Info Strategia'!$B$6)*(1+IF($E386="SI",'Parametri Modello'!$B$7*'Info Strategia'!$B$6,0)),0),"")</f>
        <v>1</v>
      </c>
      <c r="G386" s="24">
        <f>IFERROR(ROUND(MAX(1,(IF($V386&lt;=INDEX('Parametri Modello'!$C$57:$C$60,MATCH($B386,'Parametri Modello'!$A$57:$A$60,0)),IF(INDEX('Parametri Modello'!$E$57:$E$60,MATCH($B386,'Parametri Modello'!$A$57:$A$60,0))=0,0,($O386/INDEX('Parametri Modello'!$E$57:$E$60,MATCH($B386,'Parametri Modello'!$A$57:$A$60,0)))*(INDEX('Parametri Modello'!$D$57:$D$60,MATCH($B386,'Parametri Modello'!$A$57:$A$60,0))*(INDEX('Parametri Modello'!$B$50:$B$53,MATCH($B386,'Parametri Modello'!$A$50:$A$53,0))*'Parametri Modello'!$B$44))),IF(INDEX('Parametri Modello'!$F$57:$F$60,MATCH($B386,'Parametri Modello'!$A$57:$A$60,0))=0,0,($O386/INDEX('Parametri Modello'!$F$57:$F$60,MATCH($B386,'Parametri Modello'!$A$57:$A$60,0)))*((1-INDEX('Parametri Modello'!$D$57:$D$60,MATCH($B386,'Parametri Modello'!$A$57:$A$60,0)))*(INDEX('Parametri Modello'!$B$50:$B$53,MATCH($B386,'Parametri Modello'!$A$50:$A$53,0))*'Parametri Modello'!$B$44))))*(1+IF(IF($B386="D",'Info Lega'!$B$25,IF($B386="C",'Info Lega'!$B$26,"No"))="Si",'Parametri Modello'!$B$5,0))*(1+MAX(-0.25,MIN(0.25,IF(OR($T386="",$I386="",$I386=0,INDEX('Parametri Modello'!$B$19:$B$22,MATCH($B386,'Parametri Modello'!$A$19:$A$22,0))="",INDEX('Parametri Modello'!$B$19:$B$22,MATCH($B386,'Parametri Modello'!$A$19:$A$22,0))=0),0,(($T386-INDEX('Parametri Modello'!$B$19:$B$22,MATCH($B386,'Parametri Modello'!$A$19:$A$22,0)))/INDEX('Parametri Modello'!$B$19:$B$22,MATCH($B386,'Parametri Modello'!$A$19:$A$22,0)))*'Parametri Modello'!$B$9))))*(1+IF('Parametri Modello'!$B$27="Si",MAX(-'Parametri Modello'!$B$28,MIN('Parametri Modello'!$B$28*1.5,IF(OR(INDEX('Parametri Modello'!$F$32:$F$35,MATCH($B386,'Parametri Modello'!$A$32:$A$35,0))="",INDEX('Parametri Modello'!$F$32:$F$35,MATCH($B386,'Parametri Modello'!$A$32:$A$35,0))=0),0,(1/INDEX('Parametri Modello'!$F$32:$F$35,MATCH($B386,'Parametri Modello'!$A$32:$A$35,0))-1)*'Parametri Modello'!$B$28))),0)))*(1-INDEX('Parametri Modello'!$B$12:$B$15,MATCH($B386,'Parametri Modello'!$A$12:$A$15,0)))),0),"")</f>
        <v>1</v>
      </c>
      <c r="H386" s="24">
        <f>IFERROR(ROUND((IF($V386&lt;=INDEX('Parametri Modello'!$C$57:$C$60,MATCH($B386,'Parametri Modello'!$A$57:$A$60,0)),IF(INDEX('Parametri Modello'!$E$57:$E$60,MATCH($B386,'Parametri Modello'!$A$57:$A$60,0))=0,0,($O386/INDEX('Parametri Modello'!$E$57:$E$60,MATCH($B386,'Parametri Modello'!$A$57:$A$60,0)))*(INDEX('Parametri Modello'!$D$57:$D$60,MATCH($B386,'Parametri Modello'!$A$57:$A$60,0))*(INDEX('Parametri Modello'!$B$50:$B$53,MATCH($B386,'Parametri Modello'!$A$50:$A$53,0))*'Parametri Modello'!$B$44))),IF(INDEX('Parametri Modello'!$F$57:$F$60,MATCH($B386,'Parametri Modello'!$A$57:$A$60,0))=0,0,($O386/INDEX('Parametri Modello'!$F$57:$F$60,MATCH($B386,'Parametri Modello'!$A$57:$A$60,0)))*((1-INDEX('Parametri Modello'!$D$57:$D$60,MATCH($B386,'Parametri Modello'!$A$57:$A$60,0)))*(INDEX('Parametri Modello'!$B$50:$B$53,MATCH($B386,'Parametri Modello'!$A$50:$A$53,0))*'Parametri Modello'!$B$44))))*(1+IF(IF($B386="D",'Info Lega'!$B$25,IF($B386="C",'Info Lega'!$B$26,"No"))="Si",'Parametri Modello'!$B$5,0))*(1+MAX(-0.25,MIN(0.25,IF(OR($T386="",$I386="",$I386=0,INDEX('Parametri Modello'!$B$19:$B$22,MATCH($B386,'Parametri Modello'!$A$19:$A$22,0))="",INDEX('Parametri Modello'!$B$19:$B$22,MATCH($B386,'Parametri Modello'!$A$19:$A$22,0))=0),0,(($T386-INDEX('Parametri Modello'!$B$19:$B$22,MATCH($B386,'Parametri Modello'!$A$19:$A$22,0)))/INDEX('Parametri Modello'!$B$19:$B$22,MATCH($B386,'Parametri Modello'!$A$19:$A$22,0)))*'Parametri Modello'!$B$9))))*(1+IF('Parametri Modello'!$B$27="Si",MAX(-'Parametri Modello'!$B$28,MIN('Parametri Modello'!$B$28*1.5,IF(OR(INDEX('Parametri Modello'!$F$32:$F$35,MATCH($B386,'Parametri Modello'!$A$32:$A$35,0))="",INDEX('Parametri Modello'!$F$32:$F$35,MATCH($B386,'Parametri Modello'!$A$32:$A$35,0))=0),0,(1/INDEX('Parametri Modello'!$F$32:$F$35,MATCH($B386,'Parametri Modello'!$A$32:$A$35,0))-1)*'Parametri Modello'!$B$28))),0)))*(1+INDEX('Parametri Modello'!$B$12:$B$15,MATCH($B386,'Parametri Modello'!$A$12:$A$15,0))),0),"")</f>
        <v>1</v>
      </c>
      <c r="I386" s="23">
        <f>IFERROR(INDEX('Input Statistiche 2025_26'!$F$3:$F$665,MATCH($A386,'Input Statistiche 2025_26'!$A$3:$A$665,0)),"")</f>
        <v>11</v>
      </c>
      <c r="J386" s="23">
        <f t="shared" ref="J386:J449" si="54">IFERROR(IF($I386="","",MAX(0,38-$I386)),"")</f>
        <v>27</v>
      </c>
      <c r="K386" s="23">
        <f>IFERROR(INDEX('Input Statistiche 2025_26'!$I$3:$I$665,MATCH($A386,'Input Statistiche 2025_26'!$A$3:$A$665,0)),"")</f>
        <v>0</v>
      </c>
      <c r="L386" s="23">
        <f>IFERROR(INDEX('Input Statistiche 2025_26'!$O$3:$O$665,MATCH($A386,'Input Statistiche 2025_26'!$A$3:$A$665,0)),"")</f>
        <v>0</v>
      </c>
      <c r="M386" s="25"/>
      <c r="N386" s="24">
        <f>IFERROR(INDEX('Input Giocatori 2026_27'!$E$3:$E$493,MATCH($A386,'Input Giocatori 2026_27'!$A$3:$A$493,0)),"")</f>
        <v>2</v>
      </c>
      <c r="O386" s="24">
        <f>IFERROR(INDEX('Input Giocatori 2026_27'!$G$3:$G$493,MATCH($A386,'Input Giocatori 2026_27'!$A$3:$A$493,0)),"")</f>
        <v>5</v>
      </c>
      <c r="P386" s="23" t="str">
        <f>IFERROR(IF($O386="","",IF((1-(COUNTIFS($B$2:$B$492,$B386,$O$2:$O$492,"&gt;"&amp;$O386)+1-1)/COUNTIF($B$2:$B$492,$B386))&gt;='Parametri Modello'!$B$63,"Top",IF((1-(COUNTIFS($B$2:$B$492,$B386,$O$2:$O$492,"&gt;"&amp;$O386)+1-1)/COUNTIF($B$2:$B$492,$B386))&gt;='Parametri Modello'!$B$64,"Buono",IF((1-(COUNTIFS($B$2:$B$492,$B386,$O$2:$O$492,"&gt;"&amp;$O386)+1-1)/COUNTIF($B$2:$B$492,$B386))&gt;='Parametri Modello'!$B$65,"Nella Media","Scommessa/Riserva")))),"")</f>
        <v>Scommessa/Riserva</v>
      </c>
      <c r="Q386" s="26">
        <f>IF(AND($D386="",$N386&gt;1),SUMPRODUCT(($D$2:$D386="")*($N$2:$N386&gt;1)),"")</f>
        <v>384</v>
      </c>
      <c r="R386" s="26" t="str">
        <f>IF($D386='Info Lega'!$B$28,COUNTIFS($D$2:$D386,'Info Lega'!$B$28),"")</f>
        <v/>
      </c>
      <c r="S386" s="27">
        <f>IFERROR(INDEX('Input Statistiche 2025_26'!$G$3:$G$665,MATCH($A386,'Input Statistiche 2025_26'!$A$3:$A$665,0)),"")</f>
        <v>5.59</v>
      </c>
      <c r="T386" s="27">
        <f>IFERROR(INDEX('Input Statistiche 2025_26'!$H$3:$H$665,MATCH($A386,'Input Statistiche 2025_26'!$A$3:$A$665,0)),"")</f>
        <v>5.59</v>
      </c>
      <c r="U386" s="23" t="str">
        <f>IF(OR('La Mia Rosa'!$O$12="",$D386&lt;&gt;""),"",IF($F386&lt;='La Mia Rosa'!$O$12*'Parametri Modello'!$B$24,"OK",IF($F386&lt;='La Mia Rosa'!$O$12*'Parametri Modello'!$B$25,"Attenzione","Rischio Alto")))</f>
        <v>OK</v>
      </c>
      <c r="V386" s="23">
        <f t="shared" ref="V386:V449" si="55">IFERROR(COUNTIFS($B$2:$B$492,$B386,$O$2:$O$492,"&gt;"&amp;$O386)+1,"")</f>
        <v>137</v>
      </c>
      <c r="W386" s="18">
        <f>'Info Lega'!$B$4-SUMIFS($M$2:$M$492,$D$2:$D$492,'Info Lega'!$B$28)</f>
        <v>1000</v>
      </c>
      <c r="X386" s="18">
        <f>('Info Lega'!$B$5-COUNTIFS($D$2:$D$492,'Info Lega'!$B$28,$B$2:$B$492,"P"))+('Info Lega'!$B$6-COUNTIFS($D$2:$D$492,'Info Lega'!$B$28,$B$2:$B$492,"D"))+('Info Lega'!$B$7-COUNTIFS($D$2:$D$492,'Info Lega'!$B$28,$B$2:$B$492,"C"))+('Info Lega'!$B$8-COUNTIFS($D$2:$D$492,'Info Lega'!$B$28,$B$2:$B$492,"A"))</f>
        <v>25</v>
      </c>
      <c r="Y386" s="18">
        <f>X386*'Parametri Modello'!$B$30</f>
        <v>25</v>
      </c>
      <c r="Z386" s="18">
        <f t="shared" ref="Z386:Z449" si="56">MAX(0,W386-Y386)</f>
        <v>975</v>
      </c>
      <c r="AA386" s="18">
        <f t="shared" ref="AA386:AA449" si="57">MIN(F386,Z386)</f>
        <v>1</v>
      </c>
      <c r="AB386" s="18"/>
      <c r="AC386" s="18" t="str">
        <f>IF($AB386="","",IF($AB386&gt;$AA386,"PASS",IF($AB386&lt;=$AA386*(1-'Parametri Modello'!$B$68),"BID","ATTENZIONE")))</f>
        <v/>
      </c>
      <c r="AD386" s="28">
        <f t="shared" ref="AD386:AD449" si="58">IF(I386="","",ROUND(100*(1-EXP(-I386/30)),0))</f>
        <v>31</v>
      </c>
      <c r="AE386" s="5" t="str">
        <f>IFERROR(INDEX('Stato Asta'!$G$9:$G$12,MATCH($B386,'Stato Asta'!$A$9:$A$12,0)),"")</f>
        <v>🔴 Non aspettare</v>
      </c>
      <c r="AF386" t="str">
        <f>IFERROR(IF($V386&lt;=INDEX('Parametri Modello'!$C$57:$C$60,MATCH($B386,'Parametri Modello'!$A$57:$A$60,0)),"Titolare","Riserva"),"")</f>
        <v>Riserva</v>
      </c>
      <c r="AG386" t="str">
        <f>IFERROR(INDEX('Pressione Competitiva'!$F$3:$F$6,MATCH($B386,'Pressione Competitiva'!$B$3:$B$6,0)),"")</f>
        <v>🔴 Molto Alta</v>
      </c>
      <c r="AH386" t="str">
        <f t="shared" ref="AH386:AH449" si="59">IF($AB386="","",$AA386-$AB386)</f>
        <v/>
      </c>
      <c r="AI386" t="str">
        <f>IFERROR(IF($AH386="","",IF($AH386&gt;=$AA386*'Parametri Modello'!$B$68,"🟢 Opportunita'",IF($AH386&lt;=$AA386*'Parametri Modello'!$B$69,"🔴 Sovrapprezzo","🟡 Prezzo Corretto"))),"")</f>
        <v/>
      </c>
      <c r="AJ386" t="str">
        <f t="shared" ref="AJ386:AJ449" si="60">IF($AB386="","",IF($AC386="PASS","Prezzo sopra la tua Offerta Max Dinamica ("&amp;$AA386&amp;" cr).",IF($AC386="BID","Margine ampio sul tuo tetto (+"&amp;($AA386-$AB386)&amp;" cr).","Margine ridotto: sei vicino al tuo tetto ("&amp;($AA386-$AB386)&amp;" cr residui).")))</f>
        <v/>
      </c>
      <c r="AK386">
        <f t="shared" ref="AK386:AK449" si="61">IF(AND($D386="",$N386&gt;1),COUNTIFS($B$2:$B$492,$B386,$P$2:$P$492,$P386,$D$2:$D$492,"",$N$2:$N$492,"&gt;1",$O$2:$O$492,"&gt;"&amp;$O386)+1,"")</f>
        <v>25</v>
      </c>
      <c r="AL386" t="str">
        <f t="shared" ref="AL386:AL449" si="62">IF($AK386="","",$B386&amp;"|"&amp;$P386&amp;"|"&amp;$AK386)</f>
        <v>D|Scommessa/Riserva|25</v>
      </c>
    </row>
    <row r="387" spans="1:38" ht="14.25" customHeight="1" x14ac:dyDescent="0.25">
      <c r="A387" s="18">
        <v>6925</v>
      </c>
      <c r="B387" s="18" t="s">
        <v>16</v>
      </c>
      <c r="C387" s="18" t="s">
        <v>526</v>
      </c>
      <c r="E387" s="23" t="str">
        <f>IF(COUNTIF('Info Strategia'!$D$2:$D$51,$C387)&gt;0,"SI","NO")</f>
        <v>NO</v>
      </c>
      <c r="F387" s="24">
        <f>IFERROR(ROUND(($G387+($H387-$G387)*'Info Strategia'!$B$6)*(1+IF($E387="SI",'Parametri Modello'!$B$7*'Info Strategia'!$B$6,0)),0),"")</f>
        <v>1</v>
      </c>
      <c r="G387" s="24">
        <f>IFERROR(ROUND(MAX(1,(IF($V387&lt;=INDEX('Parametri Modello'!$C$57:$C$60,MATCH($B387,'Parametri Modello'!$A$57:$A$60,0)),IF(INDEX('Parametri Modello'!$E$57:$E$60,MATCH($B387,'Parametri Modello'!$A$57:$A$60,0))=0,0,($O387/INDEX('Parametri Modello'!$E$57:$E$60,MATCH($B387,'Parametri Modello'!$A$57:$A$60,0)))*(INDEX('Parametri Modello'!$D$57:$D$60,MATCH($B387,'Parametri Modello'!$A$57:$A$60,0))*(INDEX('Parametri Modello'!$B$50:$B$53,MATCH($B387,'Parametri Modello'!$A$50:$A$53,0))*'Parametri Modello'!$B$44))),IF(INDEX('Parametri Modello'!$F$57:$F$60,MATCH($B387,'Parametri Modello'!$A$57:$A$60,0))=0,0,($O387/INDEX('Parametri Modello'!$F$57:$F$60,MATCH($B387,'Parametri Modello'!$A$57:$A$60,0)))*((1-INDEX('Parametri Modello'!$D$57:$D$60,MATCH($B387,'Parametri Modello'!$A$57:$A$60,0)))*(INDEX('Parametri Modello'!$B$50:$B$53,MATCH($B387,'Parametri Modello'!$A$50:$A$53,0))*'Parametri Modello'!$B$44))))*(1+IF(IF($B387="D",'Info Lega'!$B$25,IF($B387="C",'Info Lega'!$B$26,"No"))="Si",'Parametri Modello'!$B$5,0))*(1+MAX(-0.25,MIN(0.25,IF(OR($T387="",$I387="",$I387=0,INDEX('Parametri Modello'!$B$19:$B$22,MATCH($B387,'Parametri Modello'!$A$19:$A$22,0))="",INDEX('Parametri Modello'!$B$19:$B$22,MATCH($B387,'Parametri Modello'!$A$19:$A$22,0))=0),0,(($T387-INDEX('Parametri Modello'!$B$19:$B$22,MATCH($B387,'Parametri Modello'!$A$19:$A$22,0)))/INDEX('Parametri Modello'!$B$19:$B$22,MATCH($B387,'Parametri Modello'!$A$19:$A$22,0)))*'Parametri Modello'!$B$9))))*(1+IF('Parametri Modello'!$B$27="Si",MAX(-'Parametri Modello'!$B$28,MIN('Parametri Modello'!$B$28*1.5,IF(OR(INDEX('Parametri Modello'!$F$32:$F$35,MATCH($B387,'Parametri Modello'!$A$32:$A$35,0))="",INDEX('Parametri Modello'!$F$32:$F$35,MATCH($B387,'Parametri Modello'!$A$32:$A$35,0))=0),0,(1/INDEX('Parametri Modello'!$F$32:$F$35,MATCH($B387,'Parametri Modello'!$A$32:$A$35,0))-1)*'Parametri Modello'!$B$28))),0)))*(1-INDEX('Parametri Modello'!$B$12:$B$15,MATCH($B387,'Parametri Modello'!$A$12:$A$15,0)))),0),"")</f>
        <v>1</v>
      </c>
      <c r="H387" s="24">
        <f>IFERROR(ROUND((IF($V387&lt;=INDEX('Parametri Modello'!$C$57:$C$60,MATCH($B387,'Parametri Modello'!$A$57:$A$60,0)),IF(INDEX('Parametri Modello'!$E$57:$E$60,MATCH($B387,'Parametri Modello'!$A$57:$A$60,0))=0,0,($O387/INDEX('Parametri Modello'!$E$57:$E$60,MATCH($B387,'Parametri Modello'!$A$57:$A$60,0)))*(INDEX('Parametri Modello'!$D$57:$D$60,MATCH($B387,'Parametri Modello'!$A$57:$A$60,0))*(INDEX('Parametri Modello'!$B$50:$B$53,MATCH($B387,'Parametri Modello'!$A$50:$A$53,0))*'Parametri Modello'!$B$44))),IF(INDEX('Parametri Modello'!$F$57:$F$60,MATCH($B387,'Parametri Modello'!$A$57:$A$60,0))=0,0,($O387/INDEX('Parametri Modello'!$F$57:$F$60,MATCH($B387,'Parametri Modello'!$A$57:$A$60,0)))*((1-INDEX('Parametri Modello'!$D$57:$D$60,MATCH($B387,'Parametri Modello'!$A$57:$A$60,0)))*(INDEX('Parametri Modello'!$B$50:$B$53,MATCH($B387,'Parametri Modello'!$A$50:$A$53,0))*'Parametri Modello'!$B$44))))*(1+IF(IF($B387="D",'Info Lega'!$B$25,IF($B387="C",'Info Lega'!$B$26,"No"))="Si",'Parametri Modello'!$B$5,0))*(1+MAX(-0.25,MIN(0.25,IF(OR($T387="",$I387="",$I387=0,INDEX('Parametri Modello'!$B$19:$B$22,MATCH($B387,'Parametri Modello'!$A$19:$A$22,0))="",INDEX('Parametri Modello'!$B$19:$B$22,MATCH($B387,'Parametri Modello'!$A$19:$A$22,0))=0),0,(($T387-INDEX('Parametri Modello'!$B$19:$B$22,MATCH($B387,'Parametri Modello'!$A$19:$A$22,0)))/INDEX('Parametri Modello'!$B$19:$B$22,MATCH($B387,'Parametri Modello'!$A$19:$A$22,0)))*'Parametri Modello'!$B$9))))*(1+IF('Parametri Modello'!$B$27="Si",MAX(-'Parametri Modello'!$B$28,MIN('Parametri Modello'!$B$28*1.5,IF(OR(INDEX('Parametri Modello'!$F$32:$F$35,MATCH($B387,'Parametri Modello'!$A$32:$A$35,0))="",INDEX('Parametri Modello'!$F$32:$F$35,MATCH($B387,'Parametri Modello'!$A$32:$A$35,0))=0),0,(1/INDEX('Parametri Modello'!$F$32:$F$35,MATCH($B387,'Parametri Modello'!$A$32:$A$35,0))-1)*'Parametri Modello'!$B$28))),0)))*(1+INDEX('Parametri Modello'!$B$12:$B$15,MATCH($B387,'Parametri Modello'!$A$12:$A$15,0))),0),"")</f>
        <v>1</v>
      </c>
      <c r="I387" s="23">
        <f>IFERROR(INDEX('Input Statistiche 2025_26'!$F$3:$F$665,MATCH($A387,'Input Statistiche 2025_26'!$A$3:$A$665,0)),"")</f>
        <v>4</v>
      </c>
      <c r="J387" s="23">
        <f t="shared" si="54"/>
        <v>34</v>
      </c>
      <c r="K387" s="23">
        <f>IFERROR(INDEX('Input Statistiche 2025_26'!$I$3:$I$665,MATCH($A387,'Input Statistiche 2025_26'!$A$3:$A$665,0)),"")</f>
        <v>0</v>
      </c>
      <c r="L387" s="23">
        <f>IFERROR(INDEX('Input Statistiche 2025_26'!$O$3:$O$665,MATCH($A387,'Input Statistiche 2025_26'!$A$3:$A$665,0)),"")</f>
        <v>0</v>
      </c>
      <c r="M387" s="25"/>
      <c r="N387" s="24">
        <f>IFERROR(INDEX('Input Giocatori 2026_27'!$E$3:$E$493,MATCH($A387,'Input Giocatori 2026_27'!$A$3:$A$493,0)),"")</f>
        <v>2</v>
      </c>
      <c r="O387" s="24">
        <f>IFERROR(INDEX('Input Giocatori 2026_27'!$G$3:$G$493,MATCH($A387,'Input Giocatori 2026_27'!$A$3:$A$493,0)),"")</f>
        <v>5</v>
      </c>
      <c r="P387" s="23" t="str">
        <f>IFERROR(IF($O387="","",IF((1-(COUNTIFS($B$2:$B$492,$B387,$O$2:$O$492,"&gt;"&amp;$O387)+1-1)/COUNTIF($B$2:$B$492,$B387))&gt;='Parametri Modello'!$B$63,"Top",IF((1-(COUNTIFS($B$2:$B$492,$B387,$O$2:$O$492,"&gt;"&amp;$O387)+1-1)/COUNTIF($B$2:$B$492,$B387))&gt;='Parametri Modello'!$B$64,"Buono",IF((1-(COUNTIFS($B$2:$B$492,$B387,$O$2:$O$492,"&gt;"&amp;$O387)+1-1)/COUNTIF($B$2:$B$492,$B387))&gt;='Parametri Modello'!$B$65,"Nella Media","Scommessa/Riserva")))),"")</f>
        <v>Scommessa/Riserva</v>
      </c>
      <c r="Q387" s="26">
        <f>IF(AND($D387="",$N387&gt;1),SUMPRODUCT(($D$2:$D387="")*($N$2:$N387&gt;1)),"")</f>
        <v>385</v>
      </c>
      <c r="R387" s="26" t="str">
        <f>IF($D387='Info Lega'!$B$28,COUNTIFS($D$2:$D387,'Info Lega'!$B$28),"")</f>
        <v/>
      </c>
      <c r="S387" s="27">
        <f>IFERROR(INDEX('Input Statistiche 2025_26'!$G$3:$G$665,MATCH($A387,'Input Statistiche 2025_26'!$A$3:$A$665,0)),"")</f>
        <v>5.5</v>
      </c>
      <c r="T387" s="27">
        <f>IFERROR(INDEX('Input Statistiche 2025_26'!$H$3:$H$665,MATCH($A387,'Input Statistiche 2025_26'!$A$3:$A$665,0)),"")</f>
        <v>5.5</v>
      </c>
      <c r="U387" s="23" t="str">
        <f>IF(OR('La Mia Rosa'!$O$12="",$D387&lt;&gt;""),"",IF($F387&lt;='La Mia Rosa'!$O$12*'Parametri Modello'!$B$24,"OK",IF($F387&lt;='La Mia Rosa'!$O$12*'Parametri Modello'!$B$25,"Attenzione","Rischio Alto")))</f>
        <v>OK</v>
      </c>
      <c r="V387" s="23">
        <f t="shared" si="55"/>
        <v>137</v>
      </c>
      <c r="W387" s="18">
        <f>'Info Lega'!$B$4-SUMIFS($M$2:$M$492,$D$2:$D$492,'Info Lega'!$B$28)</f>
        <v>1000</v>
      </c>
      <c r="X387" s="18">
        <f>('Info Lega'!$B$5-COUNTIFS($D$2:$D$492,'Info Lega'!$B$28,$B$2:$B$492,"P"))+('Info Lega'!$B$6-COUNTIFS($D$2:$D$492,'Info Lega'!$B$28,$B$2:$B$492,"D"))+('Info Lega'!$B$7-COUNTIFS($D$2:$D$492,'Info Lega'!$B$28,$B$2:$B$492,"C"))+('Info Lega'!$B$8-COUNTIFS($D$2:$D$492,'Info Lega'!$B$28,$B$2:$B$492,"A"))</f>
        <v>25</v>
      </c>
      <c r="Y387" s="18">
        <f>X387*'Parametri Modello'!$B$30</f>
        <v>25</v>
      </c>
      <c r="Z387" s="18">
        <f t="shared" si="56"/>
        <v>975</v>
      </c>
      <c r="AA387" s="18">
        <f t="shared" si="57"/>
        <v>1</v>
      </c>
      <c r="AB387" s="18"/>
      <c r="AC387" s="18" t="str">
        <f>IF($AB387="","",IF($AB387&gt;$AA387,"PASS",IF($AB387&lt;=$AA387*(1-'Parametri Modello'!$B$68),"BID","ATTENZIONE")))</f>
        <v/>
      </c>
      <c r="AD387" s="28">
        <f t="shared" si="58"/>
        <v>12</v>
      </c>
      <c r="AE387" s="5" t="str">
        <f>IFERROR(INDEX('Stato Asta'!$G$9:$G$12,MATCH($B387,'Stato Asta'!$A$9:$A$12,0)),"")</f>
        <v>🔴 Non aspettare</v>
      </c>
      <c r="AF387" t="str">
        <f>IFERROR(IF($V387&lt;=INDEX('Parametri Modello'!$C$57:$C$60,MATCH($B387,'Parametri Modello'!$A$57:$A$60,0)),"Titolare","Riserva"),"")</f>
        <v>Riserva</v>
      </c>
      <c r="AG387" t="str">
        <f>IFERROR(INDEX('Pressione Competitiva'!$F$3:$F$6,MATCH($B387,'Pressione Competitiva'!$B$3:$B$6,0)),"")</f>
        <v>🔴 Molto Alta</v>
      </c>
      <c r="AH387" t="str">
        <f t="shared" si="59"/>
        <v/>
      </c>
      <c r="AI387" t="str">
        <f>IFERROR(IF($AH387="","",IF($AH387&gt;=$AA387*'Parametri Modello'!$B$68,"🟢 Opportunita'",IF($AH387&lt;=$AA387*'Parametri Modello'!$B$69,"🔴 Sovrapprezzo","🟡 Prezzo Corretto"))),"")</f>
        <v/>
      </c>
      <c r="AJ387" t="str">
        <f t="shared" si="60"/>
        <v/>
      </c>
      <c r="AK387">
        <f t="shared" si="61"/>
        <v>25</v>
      </c>
      <c r="AL387" t="str">
        <f t="shared" si="62"/>
        <v>D|Scommessa/Riserva|25</v>
      </c>
    </row>
    <row r="388" spans="1:38" ht="14.25" customHeight="1" x14ac:dyDescent="0.25">
      <c r="A388" s="18">
        <v>6809</v>
      </c>
      <c r="B388" s="18" t="s">
        <v>16</v>
      </c>
      <c r="C388" s="18" t="s">
        <v>527</v>
      </c>
      <c r="E388" s="23" t="str">
        <f>IF(COUNTIF('Info Strategia'!$D$2:$D$51,$C388)&gt;0,"SI","NO")</f>
        <v>NO</v>
      </c>
      <c r="F388" s="24">
        <f>IFERROR(ROUND(($G388+($H388-$G388)*'Info Strategia'!$B$6)*(1+IF($E388="SI",'Parametri Modello'!$B$7*'Info Strategia'!$B$6,0)),0),"")</f>
        <v>1</v>
      </c>
      <c r="G388" s="24">
        <f>IFERROR(ROUND(MAX(1,(IF($V388&lt;=INDEX('Parametri Modello'!$C$57:$C$60,MATCH($B388,'Parametri Modello'!$A$57:$A$60,0)),IF(INDEX('Parametri Modello'!$E$57:$E$60,MATCH($B388,'Parametri Modello'!$A$57:$A$60,0))=0,0,($O388/INDEX('Parametri Modello'!$E$57:$E$60,MATCH($B388,'Parametri Modello'!$A$57:$A$60,0)))*(INDEX('Parametri Modello'!$D$57:$D$60,MATCH($B388,'Parametri Modello'!$A$57:$A$60,0))*(INDEX('Parametri Modello'!$B$50:$B$53,MATCH($B388,'Parametri Modello'!$A$50:$A$53,0))*'Parametri Modello'!$B$44))),IF(INDEX('Parametri Modello'!$F$57:$F$60,MATCH($B388,'Parametri Modello'!$A$57:$A$60,0))=0,0,($O388/INDEX('Parametri Modello'!$F$57:$F$60,MATCH($B388,'Parametri Modello'!$A$57:$A$60,0)))*((1-INDEX('Parametri Modello'!$D$57:$D$60,MATCH($B388,'Parametri Modello'!$A$57:$A$60,0)))*(INDEX('Parametri Modello'!$B$50:$B$53,MATCH($B388,'Parametri Modello'!$A$50:$A$53,0))*'Parametri Modello'!$B$44))))*(1+IF(IF($B388="D",'Info Lega'!$B$25,IF($B388="C",'Info Lega'!$B$26,"No"))="Si",'Parametri Modello'!$B$5,0))*(1+MAX(-0.25,MIN(0.25,IF(OR($T388="",$I388="",$I388=0,INDEX('Parametri Modello'!$B$19:$B$22,MATCH($B388,'Parametri Modello'!$A$19:$A$22,0))="",INDEX('Parametri Modello'!$B$19:$B$22,MATCH($B388,'Parametri Modello'!$A$19:$A$22,0))=0),0,(($T388-INDEX('Parametri Modello'!$B$19:$B$22,MATCH($B388,'Parametri Modello'!$A$19:$A$22,0)))/INDEX('Parametri Modello'!$B$19:$B$22,MATCH($B388,'Parametri Modello'!$A$19:$A$22,0)))*'Parametri Modello'!$B$9))))*(1+IF('Parametri Modello'!$B$27="Si",MAX(-'Parametri Modello'!$B$28,MIN('Parametri Modello'!$B$28*1.5,IF(OR(INDEX('Parametri Modello'!$F$32:$F$35,MATCH($B388,'Parametri Modello'!$A$32:$A$35,0))="",INDEX('Parametri Modello'!$F$32:$F$35,MATCH($B388,'Parametri Modello'!$A$32:$A$35,0))=0),0,(1/INDEX('Parametri Modello'!$F$32:$F$35,MATCH($B388,'Parametri Modello'!$A$32:$A$35,0))-1)*'Parametri Modello'!$B$28))),0)))*(1-INDEX('Parametri Modello'!$B$12:$B$15,MATCH($B388,'Parametri Modello'!$A$12:$A$15,0)))),0),"")</f>
        <v>1</v>
      </c>
      <c r="H388" s="24">
        <f>IFERROR(ROUND((IF($V388&lt;=INDEX('Parametri Modello'!$C$57:$C$60,MATCH($B388,'Parametri Modello'!$A$57:$A$60,0)),IF(INDEX('Parametri Modello'!$E$57:$E$60,MATCH($B388,'Parametri Modello'!$A$57:$A$60,0))=0,0,($O388/INDEX('Parametri Modello'!$E$57:$E$60,MATCH($B388,'Parametri Modello'!$A$57:$A$60,0)))*(INDEX('Parametri Modello'!$D$57:$D$60,MATCH($B388,'Parametri Modello'!$A$57:$A$60,0))*(INDEX('Parametri Modello'!$B$50:$B$53,MATCH($B388,'Parametri Modello'!$A$50:$A$53,0))*'Parametri Modello'!$B$44))),IF(INDEX('Parametri Modello'!$F$57:$F$60,MATCH($B388,'Parametri Modello'!$A$57:$A$60,0))=0,0,($O388/INDEX('Parametri Modello'!$F$57:$F$60,MATCH($B388,'Parametri Modello'!$A$57:$A$60,0)))*((1-INDEX('Parametri Modello'!$D$57:$D$60,MATCH($B388,'Parametri Modello'!$A$57:$A$60,0)))*(INDEX('Parametri Modello'!$B$50:$B$53,MATCH($B388,'Parametri Modello'!$A$50:$A$53,0))*'Parametri Modello'!$B$44))))*(1+IF(IF($B388="D",'Info Lega'!$B$25,IF($B388="C",'Info Lega'!$B$26,"No"))="Si",'Parametri Modello'!$B$5,0))*(1+MAX(-0.25,MIN(0.25,IF(OR($T388="",$I388="",$I388=0,INDEX('Parametri Modello'!$B$19:$B$22,MATCH($B388,'Parametri Modello'!$A$19:$A$22,0))="",INDEX('Parametri Modello'!$B$19:$B$22,MATCH($B388,'Parametri Modello'!$A$19:$A$22,0))=0),0,(($T388-INDEX('Parametri Modello'!$B$19:$B$22,MATCH($B388,'Parametri Modello'!$A$19:$A$22,0)))/INDEX('Parametri Modello'!$B$19:$B$22,MATCH($B388,'Parametri Modello'!$A$19:$A$22,0)))*'Parametri Modello'!$B$9))))*(1+IF('Parametri Modello'!$B$27="Si",MAX(-'Parametri Modello'!$B$28,MIN('Parametri Modello'!$B$28*1.5,IF(OR(INDEX('Parametri Modello'!$F$32:$F$35,MATCH($B388,'Parametri Modello'!$A$32:$A$35,0))="",INDEX('Parametri Modello'!$F$32:$F$35,MATCH($B388,'Parametri Modello'!$A$32:$A$35,0))=0),0,(1/INDEX('Parametri Modello'!$F$32:$F$35,MATCH($B388,'Parametri Modello'!$A$32:$A$35,0))-1)*'Parametri Modello'!$B$28))),0)))*(1+INDEX('Parametri Modello'!$B$12:$B$15,MATCH($B388,'Parametri Modello'!$A$12:$A$15,0))),0),"")</f>
        <v>1</v>
      </c>
      <c r="I388" s="23">
        <f>IFERROR(INDEX('Input Statistiche 2025_26'!$F$3:$F$665,MATCH($A388,'Input Statistiche 2025_26'!$A$3:$A$665,0)),"")</f>
        <v>11</v>
      </c>
      <c r="J388" s="23">
        <f t="shared" si="54"/>
        <v>27</v>
      </c>
      <c r="K388" s="23">
        <f>IFERROR(INDEX('Input Statistiche 2025_26'!$I$3:$I$665,MATCH($A388,'Input Statistiche 2025_26'!$A$3:$A$665,0)),"")</f>
        <v>0</v>
      </c>
      <c r="L388" s="23">
        <f>IFERROR(INDEX('Input Statistiche 2025_26'!$O$3:$O$665,MATCH($A388,'Input Statistiche 2025_26'!$A$3:$A$665,0)),"")</f>
        <v>1</v>
      </c>
      <c r="M388" s="25"/>
      <c r="N388" s="24">
        <f>IFERROR(INDEX('Input Giocatori 2026_27'!$E$3:$E$493,MATCH($A388,'Input Giocatori 2026_27'!$A$3:$A$493,0)),"")</f>
        <v>1</v>
      </c>
      <c r="O388" s="24">
        <f>IFERROR(INDEX('Input Giocatori 2026_27'!$G$3:$G$493,MATCH($A388,'Input Giocatori 2026_27'!$A$3:$A$493,0)),"")</f>
        <v>5</v>
      </c>
      <c r="P388" s="23" t="str">
        <f>IFERROR(IF($O388="","",IF((1-(COUNTIFS($B$2:$B$492,$B388,$O$2:$O$492,"&gt;"&amp;$O388)+1-1)/COUNTIF($B$2:$B$492,$B388))&gt;='Parametri Modello'!$B$63,"Top",IF((1-(COUNTIFS($B$2:$B$492,$B388,$O$2:$O$492,"&gt;"&amp;$O388)+1-1)/COUNTIF($B$2:$B$492,$B388))&gt;='Parametri Modello'!$B$64,"Buono",IF((1-(COUNTIFS($B$2:$B$492,$B388,$O$2:$O$492,"&gt;"&amp;$O388)+1-1)/COUNTIF($B$2:$B$492,$B388))&gt;='Parametri Modello'!$B$65,"Nella Media","Scommessa/Riserva")))),"")</f>
        <v>Scommessa/Riserva</v>
      </c>
      <c r="Q388" s="26" t="str">
        <f>IF(AND($D388="",$N388&gt;1),SUMPRODUCT(($D$2:$D388="")*($N$2:$N388&gt;1)),"")</f>
        <v/>
      </c>
      <c r="R388" s="26" t="str">
        <f>IF($D388='Info Lega'!$B$28,COUNTIFS($D$2:$D388,'Info Lega'!$B$28),"")</f>
        <v/>
      </c>
      <c r="S388" s="27">
        <f>IFERROR(INDEX('Input Statistiche 2025_26'!$G$3:$G$665,MATCH($A388,'Input Statistiche 2025_26'!$A$3:$A$665,0)),"")</f>
        <v>5.73</v>
      </c>
      <c r="T388" s="27">
        <f>IFERROR(INDEX('Input Statistiche 2025_26'!$H$3:$H$665,MATCH($A388,'Input Statistiche 2025_26'!$A$3:$A$665,0)),"")</f>
        <v>5.73</v>
      </c>
      <c r="U388" s="23" t="str">
        <f>IF(OR('La Mia Rosa'!$O$12="",$D388&lt;&gt;""),"",IF($F388&lt;='La Mia Rosa'!$O$12*'Parametri Modello'!$B$24,"OK",IF($F388&lt;='La Mia Rosa'!$O$12*'Parametri Modello'!$B$25,"Attenzione","Rischio Alto")))</f>
        <v>OK</v>
      </c>
      <c r="V388" s="23">
        <f t="shared" si="55"/>
        <v>137</v>
      </c>
      <c r="W388" s="18">
        <f>'Info Lega'!$B$4-SUMIFS($M$2:$M$492,$D$2:$D$492,'Info Lega'!$B$28)</f>
        <v>1000</v>
      </c>
      <c r="X388" s="18">
        <f>('Info Lega'!$B$5-COUNTIFS($D$2:$D$492,'Info Lega'!$B$28,$B$2:$B$492,"P"))+('Info Lega'!$B$6-COUNTIFS($D$2:$D$492,'Info Lega'!$B$28,$B$2:$B$492,"D"))+('Info Lega'!$B$7-COUNTIFS($D$2:$D$492,'Info Lega'!$B$28,$B$2:$B$492,"C"))+('Info Lega'!$B$8-COUNTIFS($D$2:$D$492,'Info Lega'!$B$28,$B$2:$B$492,"A"))</f>
        <v>25</v>
      </c>
      <c r="Y388" s="18">
        <f>X388*'Parametri Modello'!$B$30</f>
        <v>25</v>
      </c>
      <c r="Z388" s="18">
        <f t="shared" si="56"/>
        <v>975</v>
      </c>
      <c r="AA388" s="18">
        <f t="shared" si="57"/>
        <v>1</v>
      </c>
      <c r="AB388" s="18"/>
      <c r="AC388" s="18" t="str">
        <f>IF($AB388="","",IF($AB388&gt;$AA388,"PASS",IF($AB388&lt;=$AA388*(1-'Parametri Modello'!$B$68),"BID","ATTENZIONE")))</f>
        <v/>
      </c>
      <c r="AD388" s="28">
        <f t="shared" si="58"/>
        <v>31</v>
      </c>
      <c r="AE388" s="5" t="str">
        <f>IFERROR(INDEX('Stato Asta'!$G$9:$G$12,MATCH($B388,'Stato Asta'!$A$9:$A$12,0)),"")</f>
        <v>🔴 Non aspettare</v>
      </c>
      <c r="AF388" t="str">
        <f>IFERROR(IF($V388&lt;=INDEX('Parametri Modello'!$C$57:$C$60,MATCH($B388,'Parametri Modello'!$A$57:$A$60,0)),"Titolare","Riserva"),"")</f>
        <v>Riserva</v>
      </c>
      <c r="AG388" t="str">
        <f>IFERROR(INDEX('Pressione Competitiva'!$F$3:$F$6,MATCH($B388,'Pressione Competitiva'!$B$3:$B$6,0)),"")</f>
        <v>🔴 Molto Alta</v>
      </c>
      <c r="AH388" t="str">
        <f t="shared" si="59"/>
        <v/>
      </c>
      <c r="AI388" t="str">
        <f>IFERROR(IF($AH388="","",IF($AH388&gt;=$AA388*'Parametri Modello'!$B$68,"🟢 Opportunita'",IF($AH388&lt;=$AA388*'Parametri Modello'!$B$69,"🔴 Sovrapprezzo","🟡 Prezzo Corretto"))),"")</f>
        <v/>
      </c>
      <c r="AJ388" t="str">
        <f t="shared" si="60"/>
        <v/>
      </c>
      <c r="AK388" t="str">
        <f t="shared" si="61"/>
        <v/>
      </c>
      <c r="AL388" t="str">
        <f t="shared" si="62"/>
        <v/>
      </c>
    </row>
    <row r="389" spans="1:38" ht="14.25" customHeight="1" x14ac:dyDescent="0.25">
      <c r="A389" s="18">
        <v>7183</v>
      </c>
      <c r="B389" s="18" t="s">
        <v>17</v>
      </c>
      <c r="C389" s="18" t="s">
        <v>528</v>
      </c>
      <c r="E389" s="23" t="str">
        <f>IF(COUNTIF('Info Strategia'!$D$2:$D$51,$C389)&gt;0,"SI","NO")</f>
        <v>NO</v>
      </c>
      <c r="F389" s="24">
        <f>IFERROR(ROUND(($G389+($H389-$G389)*'Info Strategia'!$B$6)*(1+IF($E389="SI",'Parametri Modello'!$B$7*'Info Strategia'!$B$6,0)),0),"")</f>
        <v>1</v>
      </c>
      <c r="G389" s="24">
        <f>IFERROR(ROUND(MAX(1,(IF($V389&lt;=INDEX('Parametri Modello'!$C$57:$C$60,MATCH($B389,'Parametri Modello'!$A$57:$A$60,0)),IF(INDEX('Parametri Modello'!$E$57:$E$60,MATCH($B389,'Parametri Modello'!$A$57:$A$60,0))=0,0,($O389/INDEX('Parametri Modello'!$E$57:$E$60,MATCH($B389,'Parametri Modello'!$A$57:$A$60,0)))*(INDEX('Parametri Modello'!$D$57:$D$60,MATCH($B389,'Parametri Modello'!$A$57:$A$60,0))*(INDEX('Parametri Modello'!$B$50:$B$53,MATCH($B389,'Parametri Modello'!$A$50:$A$53,0))*'Parametri Modello'!$B$44))),IF(INDEX('Parametri Modello'!$F$57:$F$60,MATCH($B389,'Parametri Modello'!$A$57:$A$60,0))=0,0,($O389/INDEX('Parametri Modello'!$F$57:$F$60,MATCH($B389,'Parametri Modello'!$A$57:$A$60,0)))*((1-INDEX('Parametri Modello'!$D$57:$D$60,MATCH($B389,'Parametri Modello'!$A$57:$A$60,0)))*(INDEX('Parametri Modello'!$B$50:$B$53,MATCH($B389,'Parametri Modello'!$A$50:$A$53,0))*'Parametri Modello'!$B$44))))*(1+IF(IF($B389="D",'Info Lega'!$B$25,IF($B389="C",'Info Lega'!$B$26,"No"))="Si",'Parametri Modello'!$B$5,0))*(1+MAX(-0.25,MIN(0.25,IF(OR($T389="",$I389="",$I389=0,INDEX('Parametri Modello'!$B$19:$B$22,MATCH($B389,'Parametri Modello'!$A$19:$A$22,0))="",INDEX('Parametri Modello'!$B$19:$B$22,MATCH($B389,'Parametri Modello'!$A$19:$A$22,0))=0),0,(($T389-INDEX('Parametri Modello'!$B$19:$B$22,MATCH($B389,'Parametri Modello'!$A$19:$A$22,0)))/INDEX('Parametri Modello'!$B$19:$B$22,MATCH($B389,'Parametri Modello'!$A$19:$A$22,0)))*'Parametri Modello'!$B$9))))*(1+IF('Parametri Modello'!$B$27="Si",MAX(-'Parametri Modello'!$B$28,MIN('Parametri Modello'!$B$28*1.5,IF(OR(INDEX('Parametri Modello'!$F$32:$F$35,MATCH($B389,'Parametri Modello'!$A$32:$A$35,0))="",INDEX('Parametri Modello'!$F$32:$F$35,MATCH($B389,'Parametri Modello'!$A$32:$A$35,0))=0),0,(1/INDEX('Parametri Modello'!$F$32:$F$35,MATCH($B389,'Parametri Modello'!$A$32:$A$35,0))-1)*'Parametri Modello'!$B$28))),0)))*(1-INDEX('Parametri Modello'!$B$12:$B$15,MATCH($B389,'Parametri Modello'!$A$12:$A$15,0)))),0),"")</f>
        <v>1</v>
      </c>
      <c r="H389" s="24">
        <f>IFERROR(ROUND((IF($V389&lt;=INDEX('Parametri Modello'!$C$57:$C$60,MATCH($B389,'Parametri Modello'!$A$57:$A$60,0)),IF(INDEX('Parametri Modello'!$E$57:$E$60,MATCH($B389,'Parametri Modello'!$A$57:$A$60,0))=0,0,($O389/INDEX('Parametri Modello'!$E$57:$E$60,MATCH($B389,'Parametri Modello'!$A$57:$A$60,0)))*(INDEX('Parametri Modello'!$D$57:$D$60,MATCH($B389,'Parametri Modello'!$A$57:$A$60,0))*(INDEX('Parametri Modello'!$B$50:$B$53,MATCH($B389,'Parametri Modello'!$A$50:$A$53,0))*'Parametri Modello'!$B$44))),IF(INDEX('Parametri Modello'!$F$57:$F$60,MATCH($B389,'Parametri Modello'!$A$57:$A$60,0))=0,0,($O389/INDEX('Parametri Modello'!$F$57:$F$60,MATCH($B389,'Parametri Modello'!$A$57:$A$60,0)))*((1-INDEX('Parametri Modello'!$D$57:$D$60,MATCH($B389,'Parametri Modello'!$A$57:$A$60,0)))*(INDEX('Parametri Modello'!$B$50:$B$53,MATCH($B389,'Parametri Modello'!$A$50:$A$53,0))*'Parametri Modello'!$B$44))))*(1+IF(IF($B389="D",'Info Lega'!$B$25,IF($B389="C",'Info Lega'!$B$26,"No"))="Si",'Parametri Modello'!$B$5,0))*(1+MAX(-0.25,MIN(0.25,IF(OR($T389="",$I389="",$I389=0,INDEX('Parametri Modello'!$B$19:$B$22,MATCH($B389,'Parametri Modello'!$A$19:$A$22,0))="",INDEX('Parametri Modello'!$B$19:$B$22,MATCH($B389,'Parametri Modello'!$A$19:$A$22,0))=0),0,(($T389-INDEX('Parametri Modello'!$B$19:$B$22,MATCH($B389,'Parametri Modello'!$A$19:$A$22,0)))/INDEX('Parametri Modello'!$B$19:$B$22,MATCH($B389,'Parametri Modello'!$A$19:$A$22,0)))*'Parametri Modello'!$B$9))))*(1+IF('Parametri Modello'!$B$27="Si",MAX(-'Parametri Modello'!$B$28,MIN('Parametri Modello'!$B$28*1.5,IF(OR(INDEX('Parametri Modello'!$F$32:$F$35,MATCH($B389,'Parametri Modello'!$A$32:$A$35,0))="",INDEX('Parametri Modello'!$F$32:$F$35,MATCH($B389,'Parametri Modello'!$A$32:$A$35,0))=0),0,(1/INDEX('Parametri Modello'!$F$32:$F$35,MATCH($B389,'Parametri Modello'!$A$32:$A$35,0))-1)*'Parametri Modello'!$B$28))),0)))*(1+INDEX('Parametri Modello'!$B$12:$B$15,MATCH($B389,'Parametri Modello'!$A$12:$A$15,0))),0),"")</f>
        <v>1</v>
      </c>
      <c r="I389" s="23">
        <f>IFERROR(INDEX('Input Statistiche 2025_26'!$F$3:$F$665,MATCH($A389,'Input Statistiche 2025_26'!$A$3:$A$665,0)),"")</f>
        <v>11</v>
      </c>
      <c r="J389" s="23">
        <f t="shared" si="54"/>
        <v>27</v>
      </c>
      <c r="K389" s="23">
        <f>IFERROR(INDEX('Input Statistiche 2025_26'!$I$3:$I$665,MATCH($A389,'Input Statistiche 2025_26'!$A$3:$A$665,0)),"")</f>
        <v>0</v>
      </c>
      <c r="L389" s="23">
        <f>IFERROR(INDEX('Input Statistiche 2025_26'!$O$3:$O$665,MATCH($A389,'Input Statistiche 2025_26'!$A$3:$A$665,0)),"")</f>
        <v>0</v>
      </c>
      <c r="M389" s="25"/>
      <c r="N389" s="24">
        <f>IFERROR(INDEX('Input Giocatori 2026_27'!$E$3:$E$493,MATCH($A389,'Input Giocatori 2026_27'!$A$3:$A$493,0)),"")</f>
        <v>3</v>
      </c>
      <c r="O389" s="24">
        <f>IFERROR(INDEX('Input Giocatori 2026_27'!$G$3:$G$493,MATCH($A389,'Input Giocatori 2026_27'!$A$3:$A$493,0)),"")</f>
        <v>5</v>
      </c>
      <c r="P389" s="23" t="str">
        <f>IFERROR(IF($O389="","",IF((1-(COUNTIFS($B$2:$B$492,$B389,$O$2:$O$492,"&gt;"&amp;$O389)+1-1)/COUNTIF($B$2:$B$492,$B389))&gt;='Parametri Modello'!$B$63,"Top",IF((1-(COUNTIFS($B$2:$B$492,$B389,$O$2:$O$492,"&gt;"&amp;$O389)+1-1)/COUNTIF($B$2:$B$492,$B389))&gt;='Parametri Modello'!$B$64,"Buono",IF((1-(COUNTIFS($B$2:$B$492,$B389,$O$2:$O$492,"&gt;"&amp;$O389)+1-1)/COUNTIF($B$2:$B$492,$B389))&gt;='Parametri Modello'!$B$65,"Nella Media","Scommessa/Riserva")))),"")</f>
        <v>Scommessa/Riserva</v>
      </c>
      <c r="Q389" s="26">
        <f>IF(AND($D389="",$N389&gt;1),SUMPRODUCT(($D$2:$D389="")*($N$2:$N389&gt;1)),"")</f>
        <v>386</v>
      </c>
      <c r="R389" s="26" t="str">
        <f>IF($D389='Info Lega'!$B$28,COUNTIFS($D$2:$D389,'Info Lega'!$B$28),"")</f>
        <v/>
      </c>
      <c r="S389" s="27">
        <f>IFERROR(INDEX('Input Statistiche 2025_26'!$G$3:$G$665,MATCH($A389,'Input Statistiche 2025_26'!$A$3:$A$665,0)),"")</f>
        <v>5.77</v>
      </c>
      <c r="T389" s="27">
        <f>IFERROR(INDEX('Input Statistiche 2025_26'!$H$3:$H$665,MATCH($A389,'Input Statistiche 2025_26'!$A$3:$A$665,0)),"")</f>
        <v>5.64</v>
      </c>
      <c r="U389" s="23" t="str">
        <f>IF(OR('La Mia Rosa'!$O$12="",$D389&lt;&gt;""),"",IF($F389&lt;='La Mia Rosa'!$O$12*'Parametri Modello'!$B$24,"OK",IF($F389&lt;='La Mia Rosa'!$O$12*'Parametri Modello'!$B$25,"Attenzione","Rischio Alto")))</f>
        <v>OK</v>
      </c>
      <c r="V389" s="23">
        <f t="shared" si="55"/>
        <v>146</v>
      </c>
      <c r="W389" s="18">
        <f>'Info Lega'!$B$4-SUMIFS($M$2:$M$492,$D$2:$D$492,'Info Lega'!$B$28)</f>
        <v>1000</v>
      </c>
      <c r="X389" s="18">
        <f>('Info Lega'!$B$5-COUNTIFS($D$2:$D$492,'Info Lega'!$B$28,$B$2:$B$492,"P"))+('Info Lega'!$B$6-COUNTIFS($D$2:$D$492,'Info Lega'!$B$28,$B$2:$B$492,"D"))+('Info Lega'!$B$7-COUNTIFS($D$2:$D$492,'Info Lega'!$B$28,$B$2:$B$492,"C"))+('Info Lega'!$B$8-COUNTIFS($D$2:$D$492,'Info Lega'!$B$28,$B$2:$B$492,"A"))</f>
        <v>25</v>
      </c>
      <c r="Y389" s="18">
        <f>X389*'Parametri Modello'!$B$30</f>
        <v>25</v>
      </c>
      <c r="Z389" s="18">
        <f t="shared" si="56"/>
        <v>975</v>
      </c>
      <c r="AA389" s="18">
        <f t="shared" si="57"/>
        <v>1</v>
      </c>
      <c r="AB389" s="18"/>
      <c r="AC389" s="18" t="str">
        <f>IF($AB389="","",IF($AB389&gt;$AA389,"PASS",IF($AB389&lt;=$AA389*(1-'Parametri Modello'!$B$68),"BID","ATTENZIONE")))</f>
        <v/>
      </c>
      <c r="AD389" s="28">
        <f t="shared" si="58"/>
        <v>31</v>
      </c>
      <c r="AE389" s="5" t="str">
        <f>IFERROR(INDEX('Stato Asta'!$G$9:$G$12,MATCH($B389,'Stato Asta'!$A$9:$A$12,0)),"")</f>
        <v>🔴 Non aspettare</v>
      </c>
      <c r="AF389" t="str">
        <f>IFERROR(IF($V389&lt;=INDEX('Parametri Modello'!$C$57:$C$60,MATCH($B389,'Parametri Modello'!$A$57:$A$60,0)),"Titolare","Riserva"),"")</f>
        <v>Riserva</v>
      </c>
      <c r="AG389" t="str">
        <f>IFERROR(INDEX('Pressione Competitiva'!$F$3:$F$6,MATCH($B389,'Pressione Competitiva'!$B$3:$B$6,0)),"")</f>
        <v>🔴 Molto Alta</v>
      </c>
      <c r="AH389" t="str">
        <f t="shared" si="59"/>
        <v/>
      </c>
      <c r="AI389" t="str">
        <f>IFERROR(IF($AH389="","",IF($AH389&gt;=$AA389*'Parametri Modello'!$B$68,"🟢 Opportunita'",IF($AH389&lt;=$AA389*'Parametri Modello'!$B$69,"🔴 Sovrapprezzo","🟡 Prezzo Corretto"))),"")</f>
        <v/>
      </c>
      <c r="AJ389" t="str">
        <f t="shared" si="60"/>
        <v/>
      </c>
      <c r="AK389">
        <f t="shared" si="61"/>
        <v>42</v>
      </c>
      <c r="AL389" t="str">
        <f t="shared" si="62"/>
        <v>C|Scommessa/Riserva|42</v>
      </c>
    </row>
    <row r="390" spans="1:38" ht="14.25" customHeight="1" x14ac:dyDescent="0.25">
      <c r="A390" s="18">
        <v>6903</v>
      </c>
      <c r="B390" s="18" t="s">
        <v>17</v>
      </c>
      <c r="C390" s="18" t="s">
        <v>529</v>
      </c>
      <c r="E390" s="23" t="str">
        <f>IF(COUNTIF('Info Strategia'!$D$2:$D$51,$C390)&gt;0,"SI","NO")</f>
        <v>NO</v>
      </c>
      <c r="F390" s="24">
        <f>IFERROR(ROUND(($G390+($H390-$G390)*'Info Strategia'!$B$6)*(1+IF($E390="SI",'Parametri Modello'!$B$7*'Info Strategia'!$B$6,0)),0),"")</f>
        <v>1</v>
      </c>
      <c r="G390" s="24">
        <f>IFERROR(ROUND(MAX(1,(IF($V390&lt;=INDEX('Parametri Modello'!$C$57:$C$60,MATCH($B390,'Parametri Modello'!$A$57:$A$60,0)),IF(INDEX('Parametri Modello'!$E$57:$E$60,MATCH($B390,'Parametri Modello'!$A$57:$A$60,0))=0,0,($O390/INDEX('Parametri Modello'!$E$57:$E$60,MATCH($B390,'Parametri Modello'!$A$57:$A$60,0)))*(INDEX('Parametri Modello'!$D$57:$D$60,MATCH($B390,'Parametri Modello'!$A$57:$A$60,0))*(INDEX('Parametri Modello'!$B$50:$B$53,MATCH($B390,'Parametri Modello'!$A$50:$A$53,0))*'Parametri Modello'!$B$44))),IF(INDEX('Parametri Modello'!$F$57:$F$60,MATCH($B390,'Parametri Modello'!$A$57:$A$60,0))=0,0,($O390/INDEX('Parametri Modello'!$F$57:$F$60,MATCH($B390,'Parametri Modello'!$A$57:$A$60,0)))*((1-INDEX('Parametri Modello'!$D$57:$D$60,MATCH($B390,'Parametri Modello'!$A$57:$A$60,0)))*(INDEX('Parametri Modello'!$B$50:$B$53,MATCH($B390,'Parametri Modello'!$A$50:$A$53,0))*'Parametri Modello'!$B$44))))*(1+IF(IF($B390="D",'Info Lega'!$B$25,IF($B390="C",'Info Lega'!$B$26,"No"))="Si",'Parametri Modello'!$B$5,0))*(1+MAX(-0.25,MIN(0.25,IF(OR($T390="",$I390="",$I390=0,INDEX('Parametri Modello'!$B$19:$B$22,MATCH($B390,'Parametri Modello'!$A$19:$A$22,0))="",INDEX('Parametri Modello'!$B$19:$B$22,MATCH($B390,'Parametri Modello'!$A$19:$A$22,0))=0),0,(($T390-INDEX('Parametri Modello'!$B$19:$B$22,MATCH($B390,'Parametri Modello'!$A$19:$A$22,0)))/INDEX('Parametri Modello'!$B$19:$B$22,MATCH($B390,'Parametri Modello'!$A$19:$A$22,0)))*'Parametri Modello'!$B$9))))*(1+IF('Parametri Modello'!$B$27="Si",MAX(-'Parametri Modello'!$B$28,MIN('Parametri Modello'!$B$28*1.5,IF(OR(INDEX('Parametri Modello'!$F$32:$F$35,MATCH($B390,'Parametri Modello'!$A$32:$A$35,0))="",INDEX('Parametri Modello'!$F$32:$F$35,MATCH($B390,'Parametri Modello'!$A$32:$A$35,0))=0),0,(1/INDEX('Parametri Modello'!$F$32:$F$35,MATCH($B390,'Parametri Modello'!$A$32:$A$35,0))-1)*'Parametri Modello'!$B$28))),0)))*(1-INDEX('Parametri Modello'!$B$12:$B$15,MATCH($B390,'Parametri Modello'!$A$12:$A$15,0)))),0),"")</f>
        <v>1</v>
      </c>
      <c r="H390" s="24">
        <f>IFERROR(ROUND((IF($V390&lt;=INDEX('Parametri Modello'!$C$57:$C$60,MATCH($B390,'Parametri Modello'!$A$57:$A$60,0)),IF(INDEX('Parametri Modello'!$E$57:$E$60,MATCH($B390,'Parametri Modello'!$A$57:$A$60,0))=0,0,($O390/INDEX('Parametri Modello'!$E$57:$E$60,MATCH($B390,'Parametri Modello'!$A$57:$A$60,0)))*(INDEX('Parametri Modello'!$D$57:$D$60,MATCH($B390,'Parametri Modello'!$A$57:$A$60,0))*(INDEX('Parametri Modello'!$B$50:$B$53,MATCH($B390,'Parametri Modello'!$A$50:$A$53,0))*'Parametri Modello'!$B$44))),IF(INDEX('Parametri Modello'!$F$57:$F$60,MATCH($B390,'Parametri Modello'!$A$57:$A$60,0))=0,0,($O390/INDEX('Parametri Modello'!$F$57:$F$60,MATCH($B390,'Parametri Modello'!$A$57:$A$60,0)))*((1-INDEX('Parametri Modello'!$D$57:$D$60,MATCH($B390,'Parametri Modello'!$A$57:$A$60,0)))*(INDEX('Parametri Modello'!$B$50:$B$53,MATCH($B390,'Parametri Modello'!$A$50:$A$53,0))*'Parametri Modello'!$B$44))))*(1+IF(IF($B390="D",'Info Lega'!$B$25,IF($B390="C",'Info Lega'!$B$26,"No"))="Si",'Parametri Modello'!$B$5,0))*(1+MAX(-0.25,MIN(0.25,IF(OR($T390="",$I390="",$I390=0,INDEX('Parametri Modello'!$B$19:$B$22,MATCH($B390,'Parametri Modello'!$A$19:$A$22,0))="",INDEX('Parametri Modello'!$B$19:$B$22,MATCH($B390,'Parametri Modello'!$A$19:$A$22,0))=0),0,(($T390-INDEX('Parametri Modello'!$B$19:$B$22,MATCH($B390,'Parametri Modello'!$A$19:$A$22,0)))/INDEX('Parametri Modello'!$B$19:$B$22,MATCH($B390,'Parametri Modello'!$A$19:$A$22,0)))*'Parametri Modello'!$B$9))))*(1+IF('Parametri Modello'!$B$27="Si",MAX(-'Parametri Modello'!$B$28,MIN('Parametri Modello'!$B$28*1.5,IF(OR(INDEX('Parametri Modello'!$F$32:$F$35,MATCH($B390,'Parametri Modello'!$A$32:$A$35,0))="",INDEX('Parametri Modello'!$F$32:$F$35,MATCH($B390,'Parametri Modello'!$A$32:$A$35,0))=0),0,(1/INDEX('Parametri Modello'!$F$32:$F$35,MATCH($B390,'Parametri Modello'!$A$32:$A$35,0))-1)*'Parametri Modello'!$B$28))),0)))*(1+INDEX('Parametri Modello'!$B$12:$B$15,MATCH($B390,'Parametri Modello'!$A$12:$A$15,0))),0),"")</f>
        <v>1</v>
      </c>
      <c r="I390" s="23" t="str">
        <f>IFERROR(INDEX('Input Statistiche 2025_26'!$F$3:$F$665,MATCH($A390,'Input Statistiche 2025_26'!$A$3:$A$665,0)),"")</f>
        <v/>
      </c>
      <c r="J390" s="23" t="str">
        <f t="shared" si="54"/>
        <v/>
      </c>
      <c r="K390" s="23" t="str">
        <f>IFERROR(INDEX('Input Statistiche 2025_26'!$I$3:$I$665,MATCH($A390,'Input Statistiche 2025_26'!$A$3:$A$665,0)),"")</f>
        <v/>
      </c>
      <c r="L390" s="23" t="str">
        <f>IFERROR(INDEX('Input Statistiche 2025_26'!$O$3:$O$665,MATCH($A390,'Input Statistiche 2025_26'!$A$3:$A$665,0)),"")</f>
        <v/>
      </c>
      <c r="M390" s="25"/>
      <c r="N390" s="24">
        <f>IFERROR(INDEX('Input Giocatori 2026_27'!$E$3:$E$493,MATCH($A390,'Input Giocatori 2026_27'!$A$3:$A$493,0)),"")</f>
        <v>2</v>
      </c>
      <c r="O390" s="24">
        <f>IFERROR(INDEX('Input Giocatori 2026_27'!$G$3:$G$493,MATCH($A390,'Input Giocatori 2026_27'!$A$3:$A$493,0)),"")</f>
        <v>5</v>
      </c>
      <c r="P390" s="23" t="str">
        <f>IFERROR(IF($O390="","",IF((1-(COUNTIFS($B$2:$B$492,$B390,$O$2:$O$492,"&gt;"&amp;$O390)+1-1)/COUNTIF($B$2:$B$492,$B390))&gt;='Parametri Modello'!$B$63,"Top",IF((1-(COUNTIFS($B$2:$B$492,$B390,$O$2:$O$492,"&gt;"&amp;$O390)+1-1)/COUNTIF($B$2:$B$492,$B390))&gt;='Parametri Modello'!$B$64,"Buono",IF((1-(COUNTIFS($B$2:$B$492,$B390,$O$2:$O$492,"&gt;"&amp;$O390)+1-1)/COUNTIF($B$2:$B$492,$B390))&gt;='Parametri Modello'!$B$65,"Nella Media","Scommessa/Riserva")))),"")</f>
        <v>Scommessa/Riserva</v>
      </c>
      <c r="Q390" s="26">
        <f>IF(AND($D390="",$N390&gt;1),SUMPRODUCT(($D$2:$D390="")*($N$2:$N390&gt;1)),"")</f>
        <v>387</v>
      </c>
      <c r="R390" s="26" t="str">
        <f>IF($D390='Info Lega'!$B$28,COUNTIFS($D$2:$D390,'Info Lega'!$B$28),"")</f>
        <v/>
      </c>
      <c r="S390" s="27" t="str">
        <f>IFERROR(INDEX('Input Statistiche 2025_26'!$G$3:$G$665,MATCH($A390,'Input Statistiche 2025_26'!$A$3:$A$665,0)),"")</f>
        <v/>
      </c>
      <c r="T390" s="27" t="str">
        <f>IFERROR(INDEX('Input Statistiche 2025_26'!$H$3:$H$665,MATCH($A390,'Input Statistiche 2025_26'!$A$3:$A$665,0)),"")</f>
        <v/>
      </c>
      <c r="U390" s="23" t="str">
        <f>IF(OR('La Mia Rosa'!$O$12="",$D390&lt;&gt;""),"",IF($F390&lt;='La Mia Rosa'!$O$12*'Parametri Modello'!$B$24,"OK",IF($F390&lt;='La Mia Rosa'!$O$12*'Parametri Modello'!$B$25,"Attenzione","Rischio Alto")))</f>
        <v>OK</v>
      </c>
      <c r="V390" s="23">
        <f t="shared" si="55"/>
        <v>146</v>
      </c>
      <c r="W390" s="18">
        <f>'Info Lega'!$B$4-SUMIFS($M$2:$M$492,$D$2:$D$492,'Info Lega'!$B$28)</f>
        <v>1000</v>
      </c>
      <c r="X390" s="18">
        <f>('Info Lega'!$B$5-COUNTIFS($D$2:$D$492,'Info Lega'!$B$28,$B$2:$B$492,"P"))+('Info Lega'!$B$6-COUNTIFS($D$2:$D$492,'Info Lega'!$B$28,$B$2:$B$492,"D"))+('Info Lega'!$B$7-COUNTIFS($D$2:$D$492,'Info Lega'!$B$28,$B$2:$B$492,"C"))+('Info Lega'!$B$8-COUNTIFS($D$2:$D$492,'Info Lega'!$B$28,$B$2:$B$492,"A"))</f>
        <v>25</v>
      </c>
      <c r="Y390" s="18">
        <f>X390*'Parametri Modello'!$B$30</f>
        <v>25</v>
      </c>
      <c r="Z390" s="18">
        <f t="shared" si="56"/>
        <v>975</v>
      </c>
      <c r="AA390" s="18">
        <f t="shared" si="57"/>
        <v>1</v>
      </c>
      <c r="AB390" s="18"/>
      <c r="AC390" s="18" t="str">
        <f>IF($AB390="","",IF($AB390&gt;$AA390,"PASS",IF($AB390&lt;=$AA390*(1-'Parametri Modello'!$B$68),"BID","ATTENZIONE")))</f>
        <v/>
      </c>
      <c r="AD390" s="28" t="str">
        <f t="shared" si="58"/>
        <v/>
      </c>
      <c r="AE390" s="5" t="str">
        <f>IFERROR(INDEX('Stato Asta'!$G$9:$G$12,MATCH($B390,'Stato Asta'!$A$9:$A$12,0)),"")</f>
        <v>🔴 Non aspettare</v>
      </c>
      <c r="AF390" t="str">
        <f>IFERROR(IF($V390&lt;=INDEX('Parametri Modello'!$C$57:$C$60,MATCH($B390,'Parametri Modello'!$A$57:$A$60,0)),"Titolare","Riserva"),"")</f>
        <v>Riserva</v>
      </c>
      <c r="AG390" t="str">
        <f>IFERROR(INDEX('Pressione Competitiva'!$F$3:$F$6,MATCH($B390,'Pressione Competitiva'!$B$3:$B$6,0)),"")</f>
        <v>🔴 Molto Alta</v>
      </c>
      <c r="AH390" t="str">
        <f t="shared" si="59"/>
        <v/>
      </c>
      <c r="AI390" t="str">
        <f>IFERROR(IF($AH390="","",IF($AH390&gt;=$AA390*'Parametri Modello'!$B$68,"🟢 Opportunita'",IF($AH390&lt;=$AA390*'Parametri Modello'!$B$69,"🔴 Sovrapprezzo","🟡 Prezzo Corretto"))),"")</f>
        <v/>
      </c>
      <c r="AJ390" t="str">
        <f t="shared" si="60"/>
        <v/>
      </c>
      <c r="AK390">
        <f t="shared" si="61"/>
        <v>42</v>
      </c>
      <c r="AL390" t="str">
        <f t="shared" si="62"/>
        <v>C|Scommessa/Riserva|42</v>
      </c>
    </row>
    <row r="391" spans="1:38" ht="14.25" customHeight="1" x14ac:dyDescent="0.25">
      <c r="A391" s="18">
        <v>5457</v>
      </c>
      <c r="B391" s="18" t="s">
        <v>17</v>
      </c>
      <c r="C391" s="18" t="s">
        <v>530</v>
      </c>
      <c r="E391" s="23" t="str">
        <f>IF(COUNTIF('Info Strategia'!$D$2:$D$51,$C391)&gt;0,"SI","NO")</f>
        <v>NO</v>
      </c>
      <c r="F391" s="24">
        <f>IFERROR(ROUND(($G391+($H391-$G391)*'Info Strategia'!$B$6)*(1+IF($E391="SI",'Parametri Modello'!$B$7*'Info Strategia'!$B$6,0)),0),"")</f>
        <v>1</v>
      </c>
      <c r="G391" s="24">
        <f>IFERROR(ROUND(MAX(1,(IF($V391&lt;=INDEX('Parametri Modello'!$C$57:$C$60,MATCH($B391,'Parametri Modello'!$A$57:$A$60,0)),IF(INDEX('Parametri Modello'!$E$57:$E$60,MATCH($B391,'Parametri Modello'!$A$57:$A$60,0))=0,0,($O391/INDEX('Parametri Modello'!$E$57:$E$60,MATCH($B391,'Parametri Modello'!$A$57:$A$60,0)))*(INDEX('Parametri Modello'!$D$57:$D$60,MATCH($B391,'Parametri Modello'!$A$57:$A$60,0))*(INDEX('Parametri Modello'!$B$50:$B$53,MATCH($B391,'Parametri Modello'!$A$50:$A$53,0))*'Parametri Modello'!$B$44))),IF(INDEX('Parametri Modello'!$F$57:$F$60,MATCH($B391,'Parametri Modello'!$A$57:$A$60,0))=0,0,($O391/INDEX('Parametri Modello'!$F$57:$F$60,MATCH($B391,'Parametri Modello'!$A$57:$A$60,0)))*((1-INDEX('Parametri Modello'!$D$57:$D$60,MATCH($B391,'Parametri Modello'!$A$57:$A$60,0)))*(INDEX('Parametri Modello'!$B$50:$B$53,MATCH($B391,'Parametri Modello'!$A$50:$A$53,0))*'Parametri Modello'!$B$44))))*(1+IF(IF($B391="D",'Info Lega'!$B$25,IF($B391="C",'Info Lega'!$B$26,"No"))="Si",'Parametri Modello'!$B$5,0))*(1+MAX(-0.25,MIN(0.25,IF(OR($T391="",$I391="",$I391=0,INDEX('Parametri Modello'!$B$19:$B$22,MATCH($B391,'Parametri Modello'!$A$19:$A$22,0))="",INDEX('Parametri Modello'!$B$19:$B$22,MATCH($B391,'Parametri Modello'!$A$19:$A$22,0))=0),0,(($T391-INDEX('Parametri Modello'!$B$19:$B$22,MATCH($B391,'Parametri Modello'!$A$19:$A$22,0)))/INDEX('Parametri Modello'!$B$19:$B$22,MATCH($B391,'Parametri Modello'!$A$19:$A$22,0)))*'Parametri Modello'!$B$9))))*(1+IF('Parametri Modello'!$B$27="Si",MAX(-'Parametri Modello'!$B$28,MIN('Parametri Modello'!$B$28*1.5,IF(OR(INDEX('Parametri Modello'!$F$32:$F$35,MATCH($B391,'Parametri Modello'!$A$32:$A$35,0))="",INDEX('Parametri Modello'!$F$32:$F$35,MATCH($B391,'Parametri Modello'!$A$32:$A$35,0))=0),0,(1/INDEX('Parametri Modello'!$F$32:$F$35,MATCH($B391,'Parametri Modello'!$A$32:$A$35,0))-1)*'Parametri Modello'!$B$28))),0)))*(1-INDEX('Parametri Modello'!$B$12:$B$15,MATCH($B391,'Parametri Modello'!$A$12:$A$15,0)))),0),"")</f>
        <v>1</v>
      </c>
      <c r="H391" s="24">
        <f>IFERROR(ROUND((IF($V391&lt;=INDEX('Parametri Modello'!$C$57:$C$60,MATCH($B391,'Parametri Modello'!$A$57:$A$60,0)),IF(INDEX('Parametri Modello'!$E$57:$E$60,MATCH($B391,'Parametri Modello'!$A$57:$A$60,0))=0,0,($O391/INDEX('Parametri Modello'!$E$57:$E$60,MATCH($B391,'Parametri Modello'!$A$57:$A$60,0)))*(INDEX('Parametri Modello'!$D$57:$D$60,MATCH($B391,'Parametri Modello'!$A$57:$A$60,0))*(INDEX('Parametri Modello'!$B$50:$B$53,MATCH($B391,'Parametri Modello'!$A$50:$A$53,0))*'Parametri Modello'!$B$44))),IF(INDEX('Parametri Modello'!$F$57:$F$60,MATCH($B391,'Parametri Modello'!$A$57:$A$60,0))=0,0,($O391/INDEX('Parametri Modello'!$F$57:$F$60,MATCH($B391,'Parametri Modello'!$A$57:$A$60,0)))*((1-INDEX('Parametri Modello'!$D$57:$D$60,MATCH($B391,'Parametri Modello'!$A$57:$A$60,0)))*(INDEX('Parametri Modello'!$B$50:$B$53,MATCH($B391,'Parametri Modello'!$A$50:$A$53,0))*'Parametri Modello'!$B$44))))*(1+IF(IF($B391="D",'Info Lega'!$B$25,IF($B391="C",'Info Lega'!$B$26,"No"))="Si",'Parametri Modello'!$B$5,0))*(1+MAX(-0.25,MIN(0.25,IF(OR($T391="",$I391="",$I391=0,INDEX('Parametri Modello'!$B$19:$B$22,MATCH($B391,'Parametri Modello'!$A$19:$A$22,0))="",INDEX('Parametri Modello'!$B$19:$B$22,MATCH($B391,'Parametri Modello'!$A$19:$A$22,0))=0),0,(($T391-INDEX('Parametri Modello'!$B$19:$B$22,MATCH($B391,'Parametri Modello'!$A$19:$A$22,0)))/INDEX('Parametri Modello'!$B$19:$B$22,MATCH($B391,'Parametri Modello'!$A$19:$A$22,0)))*'Parametri Modello'!$B$9))))*(1+IF('Parametri Modello'!$B$27="Si",MAX(-'Parametri Modello'!$B$28,MIN('Parametri Modello'!$B$28*1.5,IF(OR(INDEX('Parametri Modello'!$F$32:$F$35,MATCH($B391,'Parametri Modello'!$A$32:$A$35,0))="",INDEX('Parametri Modello'!$F$32:$F$35,MATCH($B391,'Parametri Modello'!$A$32:$A$35,0))=0),0,(1/INDEX('Parametri Modello'!$F$32:$F$35,MATCH($B391,'Parametri Modello'!$A$32:$A$35,0))-1)*'Parametri Modello'!$B$28))),0)))*(1+INDEX('Parametri Modello'!$B$12:$B$15,MATCH($B391,'Parametri Modello'!$A$12:$A$15,0))),0),"")</f>
        <v>1</v>
      </c>
      <c r="I391" s="23">
        <f>IFERROR(INDEX('Input Statistiche 2025_26'!$F$3:$F$665,MATCH($A391,'Input Statistiche 2025_26'!$A$3:$A$665,0)),"")</f>
        <v>21</v>
      </c>
      <c r="J391" s="23">
        <f t="shared" si="54"/>
        <v>17</v>
      </c>
      <c r="K391" s="23">
        <f>IFERROR(INDEX('Input Statistiche 2025_26'!$I$3:$I$665,MATCH($A391,'Input Statistiche 2025_26'!$A$3:$A$665,0)),"")</f>
        <v>1</v>
      </c>
      <c r="L391" s="23">
        <f>IFERROR(INDEX('Input Statistiche 2025_26'!$O$3:$O$665,MATCH($A391,'Input Statistiche 2025_26'!$A$3:$A$665,0)),"")</f>
        <v>0</v>
      </c>
      <c r="M391" s="25"/>
      <c r="N391" s="24">
        <f>IFERROR(INDEX('Input Giocatori 2026_27'!$E$3:$E$493,MATCH($A391,'Input Giocatori 2026_27'!$A$3:$A$493,0)),"")</f>
        <v>2</v>
      </c>
      <c r="O391" s="24">
        <f>IFERROR(INDEX('Input Giocatori 2026_27'!$G$3:$G$493,MATCH($A391,'Input Giocatori 2026_27'!$A$3:$A$493,0)),"")</f>
        <v>5</v>
      </c>
      <c r="P391" s="23" t="str">
        <f>IFERROR(IF($O391="","",IF((1-(COUNTIFS($B$2:$B$492,$B391,$O$2:$O$492,"&gt;"&amp;$O391)+1-1)/COUNTIF($B$2:$B$492,$B391))&gt;='Parametri Modello'!$B$63,"Top",IF((1-(COUNTIFS($B$2:$B$492,$B391,$O$2:$O$492,"&gt;"&amp;$O391)+1-1)/COUNTIF($B$2:$B$492,$B391))&gt;='Parametri Modello'!$B$64,"Buono",IF((1-(COUNTIFS($B$2:$B$492,$B391,$O$2:$O$492,"&gt;"&amp;$O391)+1-1)/COUNTIF($B$2:$B$492,$B391))&gt;='Parametri Modello'!$B$65,"Nella Media","Scommessa/Riserva")))),"")</f>
        <v>Scommessa/Riserva</v>
      </c>
      <c r="Q391" s="26">
        <f>IF(AND($D391="",$N391&gt;1),SUMPRODUCT(($D$2:$D391="")*($N$2:$N391&gt;1)),"")</f>
        <v>388</v>
      </c>
      <c r="R391" s="26" t="str">
        <f>IF($D391='Info Lega'!$B$28,COUNTIFS($D$2:$D391,'Info Lega'!$B$28),"")</f>
        <v/>
      </c>
      <c r="S391" s="27">
        <f>IFERROR(INDEX('Input Statistiche 2025_26'!$G$3:$G$665,MATCH($A391,'Input Statistiche 2025_26'!$A$3:$A$665,0)),"")</f>
        <v>5.69</v>
      </c>
      <c r="T391" s="27">
        <f>IFERROR(INDEX('Input Statistiche 2025_26'!$H$3:$H$665,MATCH($A391,'Input Statistiche 2025_26'!$A$3:$A$665,0)),"")</f>
        <v>5.71</v>
      </c>
      <c r="U391" s="23" t="str">
        <f>IF(OR('La Mia Rosa'!$O$12="",$D391&lt;&gt;""),"",IF($F391&lt;='La Mia Rosa'!$O$12*'Parametri Modello'!$B$24,"OK",IF($F391&lt;='La Mia Rosa'!$O$12*'Parametri Modello'!$B$25,"Attenzione","Rischio Alto")))</f>
        <v>OK</v>
      </c>
      <c r="V391" s="23">
        <f t="shared" si="55"/>
        <v>146</v>
      </c>
      <c r="W391" s="18">
        <f>'Info Lega'!$B$4-SUMIFS($M$2:$M$492,$D$2:$D$492,'Info Lega'!$B$28)</f>
        <v>1000</v>
      </c>
      <c r="X391" s="18">
        <f>('Info Lega'!$B$5-COUNTIFS($D$2:$D$492,'Info Lega'!$B$28,$B$2:$B$492,"P"))+('Info Lega'!$B$6-COUNTIFS($D$2:$D$492,'Info Lega'!$B$28,$B$2:$B$492,"D"))+('Info Lega'!$B$7-COUNTIFS($D$2:$D$492,'Info Lega'!$B$28,$B$2:$B$492,"C"))+('Info Lega'!$B$8-COUNTIFS($D$2:$D$492,'Info Lega'!$B$28,$B$2:$B$492,"A"))</f>
        <v>25</v>
      </c>
      <c r="Y391" s="18">
        <f>X391*'Parametri Modello'!$B$30</f>
        <v>25</v>
      </c>
      <c r="Z391" s="18">
        <f t="shared" si="56"/>
        <v>975</v>
      </c>
      <c r="AA391" s="18">
        <f t="shared" si="57"/>
        <v>1</v>
      </c>
      <c r="AB391" s="18"/>
      <c r="AC391" s="18" t="str">
        <f>IF($AB391="","",IF($AB391&gt;$AA391,"PASS",IF($AB391&lt;=$AA391*(1-'Parametri Modello'!$B$68),"BID","ATTENZIONE")))</f>
        <v/>
      </c>
      <c r="AD391" s="28">
        <f t="shared" si="58"/>
        <v>50</v>
      </c>
      <c r="AE391" s="5" t="str">
        <f>IFERROR(INDEX('Stato Asta'!$G$9:$G$12,MATCH($B391,'Stato Asta'!$A$9:$A$12,0)),"")</f>
        <v>🔴 Non aspettare</v>
      </c>
      <c r="AF391" t="str">
        <f>IFERROR(IF($V391&lt;=INDEX('Parametri Modello'!$C$57:$C$60,MATCH($B391,'Parametri Modello'!$A$57:$A$60,0)),"Titolare","Riserva"),"")</f>
        <v>Riserva</v>
      </c>
      <c r="AG391" t="str">
        <f>IFERROR(INDEX('Pressione Competitiva'!$F$3:$F$6,MATCH($B391,'Pressione Competitiva'!$B$3:$B$6,0)),"")</f>
        <v>🔴 Molto Alta</v>
      </c>
      <c r="AH391" t="str">
        <f t="shared" si="59"/>
        <v/>
      </c>
      <c r="AI391" t="str">
        <f>IFERROR(IF($AH391="","",IF($AH391&gt;=$AA391*'Parametri Modello'!$B$68,"🟢 Opportunita'",IF($AH391&lt;=$AA391*'Parametri Modello'!$B$69,"🔴 Sovrapprezzo","🟡 Prezzo Corretto"))),"")</f>
        <v/>
      </c>
      <c r="AJ391" t="str">
        <f t="shared" si="60"/>
        <v/>
      </c>
      <c r="AK391">
        <f t="shared" si="61"/>
        <v>42</v>
      </c>
      <c r="AL391" t="str">
        <f t="shared" si="62"/>
        <v>C|Scommessa/Riserva|42</v>
      </c>
    </row>
    <row r="392" spans="1:38" ht="14.25" customHeight="1" x14ac:dyDescent="0.25">
      <c r="A392" s="18">
        <v>7138</v>
      </c>
      <c r="B392" s="18" t="s">
        <v>17</v>
      </c>
      <c r="C392" s="18" t="s">
        <v>531</v>
      </c>
      <c r="E392" s="23" t="str">
        <f>IF(COUNTIF('Info Strategia'!$D$2:$D$51,$C392)&gt;0,"SI","NO")</f>
        <v>NO</v>
      </c>
      <c r="F392" s="24">
        <f>IFERROR(ROUND(($G392+($H392-$G392)*'Info Strategia'!$B$6)*(1+IF($E392="SI",'Parametri Modello'!$B$7*'Info Strategia'!$B$6,0)),0),"")</f>
        <v>1</v>
      </c>
      <c r="G392" s="24">
        <f>IFERROR(ROUND(MAX(1,(IF($V392&lt;=INDEX('Parametri Modello'!$C$57:$C$60,MATCH($B392,'Parametri Modello'!$A$57:$A$60,0)),IF(INDEX('Parametri Modello'!$E$57:$E$60,MATCH($B392,'Parametri Modello'!$A$57:$A$60,0))=0,0,($O392/INDEX('Parametri Modello'!$E$57:$E$60,MATCH($B392,'Parametri Modello'!$A$57:$A$60,0)))*(INDEX('Parametri Modello'!$D$57:$D$60,MATCH($B392,'Parametri Modello'!$A$57:$A$60,0))*(INDEX('Parametri Modello'!$B$50:$B$53,MATCH($B392,'Parametri Modello'!$A$50:$A$53,0))*'Parametri Modello'!$B$44))),IF(INDEX('Parametri Modello'!$F$57:$F$60,MATCH($B392,'Parametri Modello'!$A$57:$A$60,0))=0,0,($O392/INDEX('Parametri Modello'!$F$57:$F$60,MATCH($B392,'Parametri Modello'!$A$57:$A$60,0)))*((1-INDEX('Parametri Modello'!$D$57:$D$60,MATCH($B392,'Parametri Modello'!$A$57:$A$60,0)))*(INDEX('Parametri Modello'!$B$50:$B$53,MATCH($B392,'Parametri Modello'!$A$50:$A$53,0))*'Parametri Modello'!$B$44))))*(1+IF(IF($B392="D",'Info Lega'!$B$25,IF($B392="C",'Info Lega'!$B$26,"No"))="Si",'Parametri Modello'!$B$5,0))*(1+MAX(-0.25,MIN(0.25,IF(OR($T392="",$I392="",$I392=0,INDEX('Parametri Modello'!$B$19:$B$22,MATCH($B392,'Parametri Modello'!$A$19:$A$22,0))="",INDEX('Parametri Modello'!$B$19:$B$22,MATCH($B392,'Parametri Modello'!$A$19:$A$22,0))=0),0,(($T392-INDEX('Parametri Modello'!$B$19:$B$22,MATCH($B392,'Parametri Modello'!$A$19:$A$22,0)))/INDEX('Parametri Modello'!$B$19:$B$22,MATCH($B392,'Parametri Modello'!$A$19:$A$22,0)))*'Parametri Modello'!$B$9))))*(1+IF('Parametri Modello'!$B$27="Si",MAX(-'Parametri Modello'!$B$28,MIN('Parametri Modello'!$B$28*1.5,IF(OR(INDEX('Parametri Modello'!$F$32:$F$35,MATCH($B392,'Parametri Modello'!$A$32:$A$35,0))="",INDEX('Parametri Modello'!$F$32:$F$35,MATCH($B392,'Parametri Modello'!$A$32:$A$35,0))=0),0,(1/INDEX('Parametri Modello'!$F$32:$F$35,MATCH($B392,'Parametri Modello'!$A$32:$A$35,0))-1)*'Parametri Modello'!$B$28))),0)))*(1-INDEX('Parametri Modello'!$B$12:$B$15,MATCH($B392,'Parametri Modello'!$A$12:$A$15,0)))),0),"")</f>
        <v>1</v>
      </c>
      <c r="H392" s="24">
        <f>IFERROR(ROUND((IF($V392&lt;=INDEX('Parametri Modello'!$C$57:$C$60,MATCH($B392,'Parametri Modello'!$A$57:$A$60,0)),IF(INDEX('Parametri Modello'!$E$57:$E$60,MATCH($B392,'Parametri Modello'!$A$57:$A$60,0))=0,0,($O392/INDEX('Parametri Modello'!$E$57:$E$60,MATCH($B392,'Parametri Modello'!$A$57:$A$60,0)))*(INDEX('Parametri Modello'!$D$57:$D$60,MATCH($B392,'Parametri Modello'!$A$57:$A$60,0))*(INDEX('Parametri Modello'!$B$50:$B$53,MATCH($B392,'Parametri Modello'!$A$50:$A$53,0))*'Parametri Modello'!$B$44))),IF(INDEX('Parametri Modello'!$F$57:$F$60,MATCH($B392,'Parametri Modello'!$A$57:$A$60,0))=0,0,($O392/INDEX('Parametri Modello'!$F$57:$F$60,MATCH($B392,'Parametri Modello'!$A$57:$A$60,0)))*((1-INDEX('Parametri Modello'!$D$57:$D$60,MATCH($B392,'Parametri Modello'!$A$57:$A$60,0)))*(INDEX('Parametri Modello'!$B$50:$B$53,MATCH($B392,'Parametri Modello'!$A$50:$A$53,0))*'Parametri Modello'!$B$44))))*(1+IF(IF($B392="D",'Info Lega'!$B$25,IF($B392="C",'Info Lega'!$B$26,"No"))="Si",'Parametri Modello'!$B$5,0))*(1+MAX(-0.25,MIN(0.25,IF(OR($T392="",$I392="",$I392=0,INDEX('Parametri Modello'!$B$19:$B$22,MATCH($B392,'Parametri Modello'!$A$19:$A$22,0))="",INDEX('Parametri Modello'!$B$19:$B$22,MATCH($B392,'Parametri Modello'!$A$19:$A$22,0))=0),0,(($T392-INDEX('Parametri Modello'!$B$19:$B$22,MATCH($B392,'Parametri Modello'!$A$19:$A$22,0)))/INDEX('Parametri Modello'!$B$19:$B$22,MATCH($B392,'Parametri Modello'!$A$19:$A$22,0)))*'Parametri Modello'!$B$9))))*(1+IF('Parametri Modello'!$B$27="Si",MAX(-'Parametri Modello'!$B$28,MIN('Parametri Modello'!$B$28*1.5,IF(OR(INDEX('Parametri Modello'!$F$32:$F$35,MATCH($B392,'Parametri Modello'!$A$32:$A$35,0))="",INDEX('Parametri Modello'!$F$32:$F$35,MATCH($B392,'Parametri Modello'!$A$32:$A$35,0))=0),0,(1/INDEX('Parametri Modello'!$F$32:$F$35,MATCH($B392,'Parametri Modello'!$A$32:$A$35,0))-1)*'Parametri Modello'!$B$28))),0)))*(1+INDEX('Parametri Modello'!$B$12:$B$15,MATCH($B392,'Parametri Modello'!$A$12:$A$15,0))),0),"")</f>
        <v>1</v>
      </c>
      <c r="I392" s="23">
        <f>IFERROR(INDEX('Input Statistiche 2025_26'!$F$3:$F$665,MATCH($A392,'Input Statistiche 2025_26'!$A$3:$A$665,0)),"")</f>
        <v>21</v>
      </c>
      <c r="J392" s="23">
        <f t="shared" si="54"/>
        <v>17</v>
      </c>
      <c r="K392" s="23">
        <f>IFERROR(INDEX('Input Statistiche 2025_26'!$I$3:$I$665,MATCH($A392,'Input Statistiche 2025_26'!$A$3:$A$665,0)),"")</f>
        <v>1</v>
      </c>
      <c r="L392" s="23">
        <f>IFERROR(INDEX('Input Statistiche 2025_26'!$O$3:$O$665,MATCH($A392,'Input Statistiche 2025_26'!$A$3:$A$665,0)),"")</f>
        <v>0</v>
      </c>
      <c r="M392" s="25"/>
      <c r="N392" s="24">
        <f>IFERROR(INDEX('Input Giocatori 2026_27'!$E$3:$E$493,MATCH($A392,'Input Giocatori 2026_27'!$A$3:$A$493,0)),"")</f>
        <v>2</v>
      </c>
      <c r="O392" s="24">
        <f>IFERROR(INDEX('Input Giocatori 2026_27'!$G$3:$G$493,MATCH($A392,'Input Giocatori 2026_27'!$A$3:$A$493,0)),"")</f>
        <v>5</v>
      </c>
      <c r="P392" s="23" t="str">
        <f>IFERROR(IF($O392="","",IF((1-(COUNTIFS($B$2:$B$492,$B392,$O$2:$O$492,"&gt;"&amp;$O392)+1-1)/COUNTIF($B$2:$B$492,$B392))&gt;='Parametri Modello'!$B$63,"Top",IF((1-(COUNTIFS($B$2:$B$492,$B392,$O$2:$O$492,"&gt;"&amp;$O392)+1-1)/COUNTIF($B$2:$B$492,$B392))&gt;='Parametri Modello'!$B$64,"Buono",IF((1-(COUNTIFS($B$2:$B$492,$B392,$O$2:$O$492,"&gt;"&amp;$O392)+1-1)/COUNTIF($B$2:$B$492,$B392))&gt;='Parametri Modello'!$B$65,"Nella Media","Scommessa/Riserva")))),"")</f>
        <v>Scommessa/Riserva</v>
      </c>
      <c r="Q392" s="26">
        <f>IF(AND($D392="",$N392&gt;1),SUMPRODUCT(($D$2:$D392="")*($N$2:$N392&gt;1)),"")</f>
        <v>389</v>
      </c>
      <c r="R392" s="26" t="str">
        <f>IF($D392='Info Lega'!$B$28,COUNTIFS($D$2:$D392,'Info Lega'!$B$28),"")</f>
        <v/>
      </c>
      <c r="S392" s="27">
        <f>IFERROR(INDEX('Input Statistiche 2025_26'!$G$3:$G$665,MATCH($A392,'Input Statistiche 2025_26'!$A$3:$A$665,0)),"")</f>
        <v>5.79</v>
      </c>
      <c r="T392" s="27">
        <f>IFERROR(INDEX('Input Statistiche 2025_26'!$H$3:$H$665,MATCH($A392,'Input Statistiche 2025_26'!$A$3:$A$665,0)),"")</f>
        <v>5.81</v>
      </c>
      <c r="U392" s="23" t="str">
        <f>IF(OR('La Mia Rosa'!$O$12="",$D392&lt;&gt;""),"",IF($F392&lt;='La Mia Rosa'!$O$12*'Parametri Modello'!$B$24,"OK",IF($F392&lt;='La Mia Rosa'!$O$12*'Parametri Modello'!$B$25,"Attenzione","Rischio Alto")))</f>
        <v>OK</v>
      </c>
      <c r="V392" s="23">
        <f t="shared" si="55"/>
        <v>146</v>
      </c>
      <c r="W392" s="18">
        <f>'Info Lega'!$B$4-SUMIFS($M$2:$M$492,$D$2:$D$492,'Info Lega'!$B$28)</f>
        <v>1000</v>
      </c>
      <c r="X392" s="18">
        <f>('Info Lega'!$B$5-COUNTIFS($D$2:$D$492,'Info Lega'!$B$28,$B$2:$B$492,"P"))+('Info Lega'!$B$6-COUNTIFS($D$2:$D$492,'Info Lega'!$B$28,$B$2:$B$492,"D"))+('Info Lega'!$B$7-COUNTIFS($D$2:$D$492,'Info Lega'!$B$28,$B$2:$B$492,"C"))+('Info Lega'!$B$8-COUNTIFS($D$2:$D$492,'Info Lega'!$B$28,$B$2:$B$492,"A"))</f>
        <v>25</v>
      </c>
      <c r="Y392" s="18">
        <f>X392*'Parametri Modello'!$B$30</f>
        <v>25</v>
      </c>
      <c r="Z392" s="18">
        <f t="shared" si="56"/>
        <v>975</v>
      </c>
      <c r="AA392" s="18">
        <f t="shared" si="57"/>
        <v>1</v>
      </c>
      <c r="AB392" s="18"/>
      <c r="AC392" s="18" t="str">
        <f>IF($AB392="","",IF($AB392&gt;$AA392,"PASS",IF($AB392&lt;=$AA392*(1-'Parametri Modello'!$B$68),"BID","ATTENZIONE")))</f>
        <v/>
      </c>
      <c r="AD392" s="28">
        <f t="shared" si="58"/>
        <v>50</v>
      </c>
      <c r="AE392" s="5" t="str">
        <f>IFERROR(INDEX('Stato Asta'!$G$9:$G$12,MATCH($B392,'Stato Asta'!$A$9:$A$12,0)),"")</f>
        <v>🔴 Non aspettare</v>
      </c>
      <c r="AF392" t="str">
        <f>IFERROR(IF($V392&lt;=INDEX('Parametri Modello'!$C$57:$C$60,MATCH($B392,'Parametri Modello'!$A$57:$A$60,0)),"Titolare","Riserva"),"")</f>
        <v>Riserva</v>
      </c>
      <c r="AG392" t="str">
        <f>IFERROR(INDEX('Pressione Competitiva'!$F$3:$F$6,MATCH($B392,'Pressione Competitiva'!$B$3:$B$6,0)),"")</f>
        <v>🔴 Molto Alta</v>
      </c>
      <c r="AH392" t="str">
        <f t="shared" si="59"/>
        <v/>
      </c>
      <c r="AI392" t="str">
        <f>IFERROR(IF($AH392="","",IF($AH392&gt;=$AA392*'Parametri Modello'!$B$68,"🟢 Opportunita'",IF($AH392&lt;=$AA392*'Parametri Modello'!$B$69,"🔴 Sovrapprezzo","🟡 Prezzo Corretto"))),"")</f>
        <v/>
      </c>
      <c r="AJ392" t="str">
        <f t="shared" si="60"/>
        <v/>
      </c>
      <c r="AK392">
        <f t="shared" si="61"/>
        <v>42</v>
      </c>
      <c r="AL392" t="str">
        <f t="shared" si="62"/>
        <v>C|Scommessa/Riserva|42</v>
      </c>
    </row>
    <row r="393" spans="1:38" ht="14.25" customHeight="1" x14ac:dyDescent="0.25">
      <c r="A393" s="18">
        <v>6219</v>
      </c>
      <c r="B393" s="18" t="s">
        <v>17</v>
      </c>
      <c r="C393" s="18" t="s">
        <v>532</v>
      </c>
      <c r="E393" s="23" t="str">
        <f>IF(COUNTIF('Info Strategia'!$D$2:$D$51,$C393)&gt;0,"SI","NO")</f>
        <v>NO</v>
      </c>
      <c r="F393" s="24">
        <f>IFERROR(ROUND(($G393+($H393-$G393)*'Info Strategia'!$B$6)*(1+IF($E393="SI",'Parametri Modello'!$B$7*'Info Strategia'!$B$6,0)),0),"")</f>
        <v>1</v>
      </c>
      <c r="G393" s="24">
        <f>IFERROR(ROUND(MAX(1,(IF($V393&lt;=INDEX('Parametri Modello'!$C$57:$C$60,MATCH($B393,'Parametri Modello'!$A$57:$A$60,0)),IF(INDEX('Parametri Modello'!$E$57:$E$60,MATCH($B393,'Parametri Modello'!$A$57:$A$60,0))=0,0,($O393/INDEX('Parametri Modello'!$E$57:$E$60,MATCH($B393,'Parametri Modello'!$A$57:$A$60,0)))*(INDEX('Parametri Modello'!$D$57:$D$60,MATCH($B393,'Parametri Modello'!$A$57:$A$60,0))*(INDEX('Parametri Modello'!$B$50:$B$53,MATCH($B393,'Parametri Modello'!$A$50:$A$53,0))*'Parametri Modello'!$B$44))),IF(INDEX('Parametri Modello'!$F$57:$F$60,MATCH($B393,'Parametri Modello'!$A$57:$A$60,0))=0,0,($O393/INDEX('Parametri Modello'!$F$57:$F$60,MATCH($B393,'Parametri Modello'!$A$57:$A$60,0)))*((1-INDEX('Parametri Modello'!$D$57:$D$60,MATCH($B393,'Parametri Modello'!$A$57:$A$60,0)))*(INDEX('Parametri Modello'!$B$50:$B$53,MATCH($B393,'Parametri Modello'!$A$50:$A$53,0))*'Parametri Modello'!$B$44))))*(1+IF(IF($B393="D",'Info Lega'!$B$25,IF($B393="C",'Info Lega'!$B$26,"No"))="Si",'Parametri Modello'!$B$5,0))*(1+MAX(-0.25,MIN(0.25,IF(OR($T393="",$I393="",$I393=0,INDEX('Parametri Modello'!$B$19:$B$22,MATCH($B393,'Parametri Modello'!$A$19:$A$22,0))="",INDEX('Parametri Modello'!$B$19:$B$22,MATCH($B393,'Parametri Modello'!$A$19:$A$22,0))=0),0,(($T393-INDEX('Parametri Modello'!$B$19:$B$22,MATCH($B393,'Parametri Modello'!$A$19:$A$22,0)))/INDEX('Parametri Modello'!$B$19:$B$22,MATCH($B393,'Parametri Modello'!$A$19:$A$22,0)))*'Parametri Modello'!$B$9))))*(1+IF('Parametri Modello'!$B$27="Si",MAX(-'Parametri Modello'!$B$28,MIN('Parametri Modello'!$B$28*1.5,IF(OR(INDEX('Parametri Modello'!$F$32:$F$35,MATCH($B393,'Parametri Modello'!$A$32:$A$35,0))="",INDEX('Parametri Modello'!$F$32:$F$35,MATCH($B393,'Parametri Modello'!$A$32:$A$35,0))=0),0,(1/INDEX('Parametri Modello'!$F$32:$F$35,MATCH($B393,'Parametri Modello'!$A$32:$A$35,0))-1)*'Parametri Modello'!$B$28))),0)))*(1-INDEX('Parametri Modello'!$B$12:$B$15,MATCH($B393,'Parametri Modello'!$A$12:$A$15,0)))),0),"")</f>
        <v>1</v>
      </c>
      <c r="H393" s="24">
        <f>IFERROR(ROUND((IF($V393&lt;=INDEX('Parametri Modello'!$C$57:$C$60,MATCH($B393,'Parametri Modello'!$A$57:$A$60,0)),IF(INDEX('Parametri Modello'!$E$57:$E$60,MATCH($B393,'Parametri Modello'!$A$57:$A$60,0))=0,0,($O393/INDEX('Parametri Modello'!$E$57:$E$60,MATCH($B393,'Parametri Modello'!$A$57:$A$60,0)))*(INDEX('Parametri Modello'!$D$57:$D$60,MATCH($B393,'Parametri Modello'!$A$57:$A$60,0))*(INDEX('Parametri Modello'!$B$50:$B$53,MATCH($B393,'Parametri Modello'!$A$50:$A$53,0))*'Parametri Modello'!$B$44))),IF(INDEX('Parametri Modello'!$F$57:$F$60,MATCH($B393,'Parametri Modello'!$A$57:$A$60,0))=0,0,($O393/INDEX('Parametri Modello'!$F$57:$F$60,MATCH($B393,'Parametri Modello'!$A$57:$A$60,0)))*((1-INDEX('Parametri Modello'!$D$57:$D$60,MATCH($B393,'Parametri Modello'!$A$57:$A$60,0)))*(INDEX('Parametri Modello'!$B$50:$B$53,MATCH($B393,'Parametri Modello'!$A$50:$A$53,0))*'Parametri Modello'!$B$44))))*(1+IF(IF($B393="D",'Info Lega'!$B$25,IF($B393="C",'Info Lega'!$B$26,"No"))="Si",'Parametri Modello'!$B$5,0))*(1+MAX(-0.25,MIN(0.25,IF(OR($T393="",$I393="",$I393=0,INDEX('Parametri Modello'!$B$19:$B$22,MATCH($B393,'Parametri Modello'!$A$19:$A$22,0))="",INDEX('Parametri Modello'!$B$19:$B$22,MATCH($B393,'Parametri Modello'!$A$19:$A$22,0))=0),0,(($T393-INDEX('Parametri Modello'!$B$19:$B$22,MATCH($B393,'Parametri Modello'!$A$19:$A$22,0)))/INDEX('Parametri Modello'!$B$19:$B$22,MATCH($B393,'Parametri Modello'!$A$19:$A$22,0)))*'Parametri Modello'!$B$9))))*(1+IF('Parametri Modello'!$B$27="Si",MAX(-'Parametri Modello'!$B$28,MIN('Parametri Modello'!$B$28*1.5,IF(OR(INDEX('Parametri Modello'!$F$32:$F$35,MATCH($B393,'Parametri Modello'!$A$32:$A$35,0))="",INDEX('Parametri Modello'!$F$32:$F$35,MATCH($B393,'Parametri Modello'!$A$32:$A$35,0))=0),0,(1/INDEX('Parametri Modello'!$F$32:$F$35,MATCH($B393,'Parametri Modello'!$A$32:$A$35,0))-1)*'Parametri Modello'!$B$28))),0)))*(1+INDEX('Parametri Modello'!$B$12:$B$15,MATCH($B393,'Parametri Modello'!$A$12:$A$15,0))),0),"")</f>
        <v>1</v>
      </c>
      <c r="I393" s="23">
        <f>IFERROR(INDEX('Input Statistiche 2025_26'!$F$3:$F$665,MATCH($A393,'Input Statistiche 2025_26'!$A$3:$A$665,0)),"")</f>
        <v>2</v>
      </c>
      <c r="J393" s="23">
        <f t="shared" si="54"/>
        <v>36</v>
      </c>
      <c r="K393" s="23">
        <f>IFERROR(INDEX('Input Statistiche 2025_26'!$I$3:$I$665,MATCH($A393,'Input Statistiche 2025_26'!$A$3:$A$665,0)),"")</f>
        <v>0</v>
      </c>
      <c r="L393" s="23">
        <f>IFERROR(INDEX('Input Statistiche 2025_26'!$O$3:$O$665,MATCH($A393,'Input Statistiche 2025_26'!$A$3:$A$665,0)),"")</f>
        <v>0</v>
      </c>
      <c r="M393" s="25"/>
      <c r="N393" s="24">
        <f>IFERROR(INDEX('Input Giocatori 2026_27'!$E$3:$E$493,MATCH($A393,'Input Giocatori 2026_27'!$A$3:$A$493,0)),"")</f>
        <v>2</v>
      </c>
      <c r="O393" s="24">
        <f>IFERROR(INDEX('Input Giocatori 2026_27'!$G$3:$G$493,MATCH($A393,'Input Giocatori 2026_27'!$A$3:$A$493,0)),"")</f>
        <v>5</v>
      </c>
      <c r="P393" s="23" t="str">
        <f>IFERROR(IF($O393="","",IF((1-(COUNTIFS($B$2:$B$492,$B393,$O$2:$O$492,"&gt;"&amp;$O393)+1-1)/COUNTIF($B$2:$B$492,$B393))&gt;='Parametri Modello'!$B$63,"Top",IF((1-(COUNTIFS($B$2:$B$492,$B393,$O$2:$O$492,"&gt;"&amp;$O393)+1-1)/COUNTIF($B$2:$B$492,$B393))&gt;='Parametri Modello'!$B$64,"Buono",IF((1-(COUNTIFS($B$2:$B$492,$B393,$O$2:$O$492,"&gt;"&amp;$O393)+1-1)/COUNTIF($B$2:$B$492,$B393))&gt;='Parametri Modello'!$B$65,"Nella Media","Scommessa/Riserva")))),"")</f>
        <v>Scommessa/Riserva</v>
      </c>
      <c r="Q393" s="26">
        <f>IF(AND($D393="",$N393&gt;1),SUMPRODUCT(($D$2:$D393="")*($N$2:$N393&gt;1)),"")</f>
        <v>390</v>
      </c>
      <c r="R393" s="26" t="str">
        <f>IF($D393='Info Lega'!$B$28,COUNTIFS($D$2:$D393,'Info Lega'!$B$28),"")</f>
        <v/>
      </c>
      <c r="S393" s="27">
        <f>IFERROR(INDEX('Input Statistiche 2025_26'!$G$3:$G$665,MATCH($A393,'Input Statistiche 2025_26'!$A$3:$A$665,0)),"")</f>
        <v>5.75</v>
      </c>
      <c r="T393" s="27">
        <f>IFERROR(INDEX('Input Statistiche 2025_26'!$H$3:$H$665,MATCH($A393,'Input Statistiche 2025_26'!$A$3:$A$665,0)),"")</f>
        <v>5.75</v>
      </c>
      <c r="U393" s="23" t="str">
        <f>IF(OR('La Mia Rosa'!$O$12="",$D393&lt;&gt;""),"",IF($F393&lt;='La Mia Rosa'!$O$12*'Parametri Modello'!$B$24,"OK",IF($F393&lt;='La Mia Rosa'!$O$12*'Parametri Modello'!$B$25,"Attenzione","Rischio Alto")))</f>
        <v>OK</v>
      </c>
      <c r="V393" s="23">
        <f t="shared" si="55"/>
        <v>146</v>
      </c>
      <c r="W393" s="18">
        <f>'Info Lega'!$B$4-SUMIFS($M$2:$M$492,$D$2:$D$492,'Info Lega'!$B$28)</f>
        <v>1000</v>
      </c>
      <c r="X393" s="18">
        <f>('Info Lega'!$B$5-COUNTIFS($D$2:$D$492,'Info Lega'!$B$28,$B$2:$B$492,"P"))+('Info Lega'!$B$6-COUNTIFS($D$2:$D$492,'Info Lega'!$B$28,$B$2:$B$492,"D"))+('Info Lega'!$B$7-COUNTIFS($D$2:$D$492,'Info Lega'!$B$28,$B$2:$B$492,"C"))+('Info Lega'!$B$8-COUNTIFS($D$2:$D$492,'Info Lega'!$B$28,$B$2:$B$492,"A"))</f>
        <v>25</v>
      </c>
      <c r="Y393" s="18">
        <f>X393*'Parametri Modello'!$B$30</f>
        <v>25</v>
      </c>
      <c r="Z393" s="18">
        <f t="shared" si="56"/>
        <v>975</v>
      </c>
      <c r="AA393" s="18">
        <f t="shared" si="57"/>
        <v>1</v>
      </c>
      <c r="AB393" s="18"/>
      <c r="AC393" s="18" t="str">
        <f>IF($AB393="","",IF($AB393&gt;$AA393,"PASS",IF($AB393&lt;=$AA393*(1-'Parametri Modello'!$B$68),"BID","ATTENZIONE")))</f>
        <v/>
      </c>
      <c r="AD393" s="28">
        <f t="shared" si="58"/>
        <v>6</v>
      </c>
      <c r="AE393" s="5" t="str">
        <f>IFERROR(INDEX('Stato Asta'!$G$9:$G$12,MATCH($B393,'Stato Asta'!$A$9:$A$12,0)),"")</f>
        <v>🔴 Non aspettare</v>
      </c>
      <c r="AF393" t="str">
        <f>IFERROR(IF($V393&lt;=INDEX('Parametri Modello'!$C$57:$C$60,MATCH($B393,'Parametri Modello'!$A$57:$A$60,0)),"Titolare","Riserva"),"")</f>
        <v>Riserva</v>
      </c>
      <c r="AG393" t="str">
        <f>IFERROR(INDEX('Pressione Competitiva'!$F$3:$F$6,MATCH($B393,'Pressione Competitiva'!$B$3:$B$6,0)),"")</f>
        <v>🔴 Molto Alta</v>
      </c>
      <c r="AH393" t="str">
        <f t="shared" si="59"/>
        <v/>
      </c>
      <c r="AI393" t="str">
        <f>IFERROR(IF($AH393="","",IF($AH393&gt;=$AA393*'Parametri Modello'!$B$68,"🟢 Opportunita'",IF($AH393&lt;=$AA393*'Parametri Modello'!$B$69,"🔴 Sovrapprezzo","🟡 Prezzo Corretto"))),"")</f>
        <v/>
      </c>
      <c r="AJ393" t="str">
        <f t="shared" si="60"/>
        <v/>
      </c>
      <c r="AK393">
        <f t="shared" si="61"/>
        <v>42</v>
      </c>
      <c r="AL393" t="str">
        <f t="shared" si="62"/>
        <v>C|Scommessa/Riserva|42</v>
      </c>
    </row>
    <row r="394" spans="1:38" ht="14.25" customHeight="1" x14ac:dyDescent="0.25">
      <c r="A394" s="18">
        <v>6246</v>
      </c>
      <c r="B394" s="18" t="s">
        <v>17</v>
      </c>
      <c r="C394" s="18" t="s">
        <v>533</v>
      </c>
      <c r="E394" s="23" t="str">
        <f>IF(COUNTIF('Info Strategia'!$D$2:$D$51,$C394)&gt;0,"SI","NO")</f>
        <v>NO</v>
      </c>
      <c r="F394" s="24">
        <f>IFERROR(ROUND(($G394+($H394-$G394)*'Info Strategia'!$B$6)*(1+IF($E394="SI",'Parametri Modello'!$B$7*'Info Strategia'!$B$6,0)),0),"")</f>
        <v>1</v>
      </c>
      <c r="G394" s="24">
        <f>IFERROR(ROUND(MAX(1,(IF($V394&lt;=INDEX('Parametri Modello'!$C$57:$C$60,MATCH($B394,'Parametri Modello'!$A$57:$A$60,0)),IF(INDEX('Parametri Modello'!$E$57:$E$60,MATCH($B394,'Parametri Modello'!$A$57:$A$60,0))=0,0,($O394/INDEX('Parametri Modello'!$E$57:$E$60,MATCH($B394,'Parametri Modello'!$A$57:$A$60,0)))*(INDEX('Parametri Modello'!$D$57:$D$60,MATCH($B394,'Parametri Modello'!$A$57:$A$60,0))*(INDEX('Parametri Modello'!$B$50:$B$53,MATCH($B394,'Parametri Modello'!$A$50:$A$53,0))*'Parametri Modello'!$B$44))),IF(INDEX('Parametri Modello'!$F$57:$F$60,MATCH($B394,'Parametri Modello'!$A$57:$A$60,0))=0,0,($O394/INDEX('Parametri Modello'!$F$57:$F$60,MATCH($B394,'Parametri Modello'!$A$57:$A$60,0)))*((1-INDEX('Parametri Modello'!$D$57:$D$60,MATCH($B394,'Parametri Modello'!$A$57:$A$60,0)))*(INDEX('Parametri Modello'!$B$50:$B$53,MATCH($B394,'Parametri Modello'!$A$50:$A$53,0))*'Parametri Modello'!$B$44))))*(1+IF(IF($B394="D",'Info Lega'!$B$25,IF($B394="C",'Info Lega'!$B$26,"No"))="Si",'Parametri Modello'!$B$5,0))*(1+MAX(-0.25,MIN(0.25,IF(OR($T394="",$I394="",$I394=0,INDEX('Parametri Modello'!$B$19:$B$22,MATCH($B394,'Parametri Modello'!$A$19:$A$22,0))="",INDEX('Parametri Modello'!$B$19:$B$22,MATCH($B394,'Parametri Modello'!$A$19:$A$22,0))=0),0,(($T394-INDEX('Parametri Modello'!$B$19:$B$22,MATCH($B394,'Parametri Modello'!$A$19:$A$22,0)))/INDEX('Parametri Modello'!$B$19:$B$22,MATCH($B394,'Parametri Modello'!$A$19:$A$22,0)))*'Parametri Modello'!$B$9))))*(1+IF('Parametri Modello'!$B$27="Si",MAX(-'Parametri Modello'!$B$28,MIN('Parametri Modello'!$B$28*1.5,IF(OR(INDEX('Parametri Modello'!$F$32:$F$35,MATCH($B394,'Parametri Modello'!$A$32:$A$35,0))="",INDEX('Parametri Modello'!$F$32:$F$35,MATCH($B394,'Parametri Modello'!$A$32:$A$35,0))=0),0,(1/INDEX('Parametri Modello'!$F$32:$F$35,MATCH($B394,'Parametri Modello'!$A$32:$A$35,0))-1)*'Parametri Modello'!$B$28))),0)))*(1-INDEX('Parametri Modello'!$B$12:$B$15,MATCH($B394,'Parametri Modello'!$A$12:$A$15,0)))),0),"")</f>
        <v>1</v>
      </c>
      <c r="H394" s="24">
        <f>IFERROR(ROUND((IF($V394&lt;=INDEX('Parametri Modello'!$C$57:$C$60,MATCH($B394,'Parametri Modello'!$A$57:$A$60,0)),IF(INDEX('Parametri Modello'!$E$57:$E$60,MATCH($B394,'Parametri Modello'!$A$57:$A$60,0))=0,0,($O394/INDEX('Parametri Modello'!$E$57:$E$60,MATCH($B394,'Parametri Modello'!$A$57:$A$60,0)))*(INDEX('Parametri Modello'!$D$57:$D$60,MATCH($B394,'Parametri Modello'!$A$57:$A$60,0))*(INDEX('Parametri Modello'!$B$50:$B$53,MATCH($B394,'Parametri Modello'!$A$50:$A$53,0))*'Parametri Modello'!$B$44))),IF(INDEX('Parametri Modello'!$F$57:$F$60,MATCH($B394,'Parametri Modello'!$A$57:$A$60,0))=0,0,($O394/INDEX('Parametri Modello'!$F$57:$F$60,MATCH($B394,'Parametri Modello'!$A$57:$A$60,0)))*((1-INDEX('Parametri Modello'!$D$57:$D$60,MATCH($B394,'Parametri Modello'!$A$57:$A$60,0)))*(INDEX('Parametri Modello'!$B$50:$B$53,MATCH($B394,'Parametri Modello'!$A$50:$A$53,0))*'Parametri Modello'!$B$44))))*(1+IF(IF($B394="D",'Info Lega'!$B$25,IF($B394="C",'Info Lega'!$B$26,"No"))="Si",'Parametri Modello'!$B$5,0))*(1+MAX(-0.25,MIN(0.25,IF(OR($T394="",$I394="",$I394=0,INDEX('Parametri Modello'!$B$19:$B$22,MATCH($B394,'Parametri Modello'!$A$19:$A$22,0))="",INDEX('Parametri Modello'!$B$19:$B$22,MATCH($B394,'Parametri Modello'!$A$19:$A$22,0))=0),0,(($T394-INDEX('Parametri Modello'!$B$19:$B$22,MATCH($B394,'Parametri Modello'!$A$19:$A$22,0)))/INDEX('Parametri Modello'!$B$19:$B$22,MATCH($B394,'Parametri Modello'!$A$19:$A$22,0)))*'Parametri Modello'!$B$9))))*(1+IF('Parametri Modello'!$B$27="Si",MAX(-'Parametri Modello'!$B$28,MIN('Parametri Modello'!$B$28*1.5,IF(OR(INDEX('Parametri Modello'!$F$32:$F$35,MATCH($B394,'Parametri Modello'!$A$32:$A$35,0))="",INDEX('Parametri Modello'!$F$32:$F$35,MATCH($B394,'Parametri Modello'!$A$32:$A$35,0))=0),0,(1/INDEX('Parametri Modello'!$F$32:$F$35,MATCH($B394,'Parametri Modello'!$A$32:$A$35,0))-1)*'Parametri Modello'!$B$28))),0)))*(1+INDEX('Parametri Modello'!$B$12:$B$15,MATCH($B394,'Parametri Modello'!$A$12:$A$15,0))),0),"")</f>
        <v>1</v>
      </c>
      <c r="I394" s="23">
        <f>IFERROR(INDEX('Input Statistiche 2025_26'!$F$3:$F$665,MATCH($A394,'Input Statistiche 2025_26'!$A$3:$A$665,0)),"")</f>
        <v>21</v>
      </c>
      <c r="J394" s="23">
        <f t="shared" si="54"/>
        <v>17</v>
      </c>
      <c r="K394" s="23">
        <f>IFERROR(INDEX('Input Statistiche 2025_26'!$I$3:$I$665,MATCH($A394,'Input Statistiche 2025_26'!$A$3:$A$665,0)),"")</f>
        <v>0</v>
      </c>
      <c r="L394" s="23">
        <f>IFERROR(INDEX('Input Statistiche 2025_26'!$O$3:$O$665,MATCH($A394,'Input Statistiche 2025_26'!$A$3:$A$665,0)),"")</f>
        <v>1</v>
      </c>
      <c r="M394" s="25"/>
      <c r="N394" s="24">
        <f>IFERROR(INDEX('Input Giocatori 2026_27'!$E$3:$E$493,MATCH($A394,'Input Giocatori 2026_27'!$A$3:$A$493,0)),"")</f>
        <v>2</v>
      </c>
      <c r="O394" s="24">
        <f>IFERROR(INDEX('Input Giocatori 2026_27'!$G$3:$G$493,MATCH($A394,'Input Giocatori 2026_27'!$A$3:$A$493,0)),"")</f>
        <v>5</v>
      </c>
      <c r="P394" s="23" t="str">
        <f>IFERROR(IF($O394="","",IF((1-(COUNTIFS($B$2:$B$492,$B394,$O$2:$O$492,"&gt;"&amp;$O394)+1-1)/COUNTIF($B$2:$B$492,$B394))&gt;='Parametri Modello'!$B$63,"Top",IF((1-(COUNTIFS($B$2:$B$492,$B394,$O$2:$O$492,"&gt;"&amp;$O394)+1-1)/COUNTIF($B$2:$B$492,$B394))&gt;='Parametri Modello'!$B$64,"Buono",IF((1-(COUNTIFS($B$2:$B$492,$B394,$O$2:$O$492,"&gt;"&amp;$O394)+1-1)/COUNTIF($B$2:$B$492,$B394))&gt;='Parametri Modello'!$B$65,"Nella Media","Scommessa/Riserva")))),"")</f>
        <v>Scommessa/Riserva</v>
      </c>
      <c r="Q394" s="26">
        <f>IF(AND($D394="",$N394&gt;1),SUMPRODUCT(($D$2:$D394="")*($N$2:$N394&gt;1)),"")</f>
        <v>391</v>
      </c>
      <c r="R394" s="26" t="str">
        <f>IF($D394='Info Lega'!$B$28,COUNTIFS($D$2:$D394,'Info Lega'!$B$28),"")</f>
        <v/>
      </c>
      <c r="S394" s="27">
        <f>IFERROR(INDEX('Input Statistiche 2025_26'!$G$3:$G$665,MATCH($A394,'Input Statistiche 2025_26'!$A$3:$A$665,0)),"")</f>
        <v>5.93</v>
      </c>
      <c r="T394" s="27">
        <f>IFERROR(INDEX('Input Statistiche 2025_26'!$H$3:$H$665,MATCH($A394,'Input Statistiche 2025_26'!$A$3:$A$665,0)),"")</f>
        <v>5.9</v>
      </c>
      <c r="U394" s="23" t="str">
        <f>IF(OR('La Mia Rosa'!$O$12="",$D394&lt;&gt;""),"",IF($F394&lt;='La Mia Rosa'!$O$12*'Parametri Modello'!$B$24,"OK",IF($F394&lt;='La Mia Rosa'!$O$12*'Parametri Modello'!$B$25,"Attenzione","Rischio Alto")))</f>
        <v>OK</v>
      </c>
      <c r="V394" s="23">
        <f t="shared" si="55"/>
        <v>146</v>
      </c>
      <c r="W394" s="18">
        <f>'Info Lega'!$B$4-SUMIFS($M$2:$M$492,$D$2:$D$492,'Info Lega'!$B$28)</f>
        <v>1000</v>
      </c>
      <c r="X394" s="18">
        <f>('Info Lega'!$B$5-COUNTIFS($D$2:$D$492,'Info Lega'!$B$28,$B$2:$B$492,"P"))+('Info Lega'!$B$6-COUNTIFS($D$2:$D$492,'Info Lega'!$B$28,$B$2:$B$492,"D"))+('Info Lega'!$B$7-COUNTIFS($D$2:$D$492,'Info Lega'!$B$28,$B$2:$B$492,"C"))+('Info Lega'!$B$8-COUNTIFS($D$2:$D$492,'Info Lega'!$B$28,$B$2:$B$492,"A"))</f>
        <v>25</v>
      </c>
      <c r="Y394" s="18">
        <f>X394*'Parametri Modello'!$B$30</f>
        <v>25</v>
      </c>
      <c r="Z394" s="18">
        <f t="shared" si="56"/>
        <v>975</v>
      </c>
      <c r="AA394" s="18">
        <f t="shared" si="57"/>
        <v>1</v>
      </c>
      <c r="AB394" s="18"/>
      <c r="AC394" s="18" t="str">
        <f>IF($AB394="","",IF($AB394&gt;$AA394,"PASS",IF($AB394&lt;=$AA394*(1-'Parametri Modello'!$B$68),"BID","ATTENZIONE")))</f>
        <v/>
      </c>
      <c r="AD394" s="28">
        <f t="shared" si="58"/>
        <v>50</v>
      </c>
      <c r="AE394" s="5" t="str">
        <f>IFERROR(INDEX('Stato Asta'!$G$9:$G$12,MATCH($B394,'Stato Asta'!$A$9:$A$12,0)),"")</f>
        <v>🔴 Non aspettare</v>
      </c>
      <c r="AF394" t="str">
        <f>IFERROR(IF($V394&lt;=INDEX('Parametri Modello'!$C$57:$C$60,MATCH($B394,'Parametri Modello'!$A$57:$A$60,0)),"Titolare","Riserva"),"")</f>
        <v>Riserva</v>
      </c>
      <c r="AG394" t="str">
        <f>IFERROR(INDEX('Pressione Competitiva'!$F$3:$F$6,MATCH($B394,'Pressione Competitiva'!$B$3:$B$6,0)),"")</f>
        <v>🔴 Molto Alta</v>
      </c>
      <c r="AH394" t="str">
        <f t="shared" si="59"/>
        <v/>
      </c>
      <c r="AI394" t="str">
        <f>IFERROR(IF($AH394="","",IF($AH394&gt;=$AA394*'Parametri Modello'!$B$68,"🟢 Opportunita'",IF($AH394&lt;=$AA394*'Parametri Modello'!$B$69,"🔴 Sovrapprezzo","🟡 Prezzo Corretto"))),"")</f>
        <v/>
      </c>
      <c r="AJ394" t="str">
        <f t="shared" si="60"/>
        <v/>
      </c>
      <c r="AK394">
        <f t="shared" si="61"/>
        <v>42</v>
      </c>
      <c r="AL394" t="str">
        <f t="shared" si="62"/>
        <v>C|Scommessa/Riserva|42</v>
      </c>
    </row>
    <row r="395" spans="1:38" ht="14.25" customHeight="1" x14ac:dyDescent="0.25">
      <c r="A395" s="18">
        <v>6191</v>
      </c>
      <c r="B395" s="18" t="s">
        <v>17</v>
      </c>
      <c r="C395" s="18" t="s">
        <v>534</v>
      </c>
      <c r="E395" s="23" t="str">
        <f>IF(COUNTIF('Info Strategia'!$D$2:$D$51,$C395)&gt;0,"SI","NO")</f>
        <v>NO</v>
      </c>
      <c r="F395" s="24">
        <f>IFERROR(ROUND(($G395+($H395-$G395)*'Info Strategia'!$B$6)*(1+IF($E395="SI",'Parametri Modello'!$B$7*'Info Strategia'!$B$6,0)),0),"")</f>
        <v>1</v>
      </c>
      <c r="G395" s="24">
        <f>IFERROR(ROUND(MAX(1,(IF($V395&lt;=INDEX('Parametri Modello'!$C$57:$C$60,MATCH($B395,'Parametri Modello'!$A$57:$A$60,0)),IF(INDEX('Parametri Modello'!$E$57:$E$60,MATCH($B395,'Parametri Modello'!$A$57:$A$60,0))=0,0,($O395/INDEX('Parametri Modello'!$E$57:$E$60,MATCH($B395,'Parametri Modello'!$A$57:$A$60,0)))*(INDEX('Parametri Modello'!$D$57:$D$60,MATCH($B395,'Parametri Modello'!$A$57:$A$60,0))*(INDEX('Parametri Modello'!$B$50:$B$53,MATCH($B395,'Parametri Modello'!$A$50:$A$53,0))*'Parametri Modello'!$B$44))),IF(INDEX('Parametri Modello'!$F$57:$F$60,MATCH($B395,'Parametri Modello'!$A$57:$A$60,0))=0,0,($O395/INDEX('Parametri Modello'!$F$57:$F$60,MATCH($B395,'Parametri Modello'!$A$57:$A$60,0)))*((1-INDEX('Parametri Modello'!$D$57:$D$60,MATCH($B395,'Parametri Modello'!$A$57:$A$60,0)))*(INDEX('Parametri Modello'!$B$50:$B$53,MATCH($B395,'Parametri Modello'!$A$50:$A$53,0))*'Parametri Modello'!$B$44))))*(1+IF(IF($B395="D",'Info Lega'!$B$25,IF($B395="C",'Info Lega'!$B$26,"No"))="Si",'Parametri Modello'!$B$5,0))*(1+MAX(-0.25,MIN(0.25,IF(OR($T395="",$I395="",$I395=0,INDEX('Parametri Modello'!$B$19:$B$22,MATCH($B395,'Parametri Modello'!$A$19:$A$22,0))="",INDEX('Parametri Modello'!$B$19:$B$22,MATCH($B395,'Parametri Modello'!$A$19:$A$22,0))=0),0,(($T395-INDEX('Parametri Modello'!$B$19:$B$22,MATCH($B395,'Parametri Modello'!$A$19:$A$22,0)))/INDEX('Parametri Modello'!$B$19:$B$22,MATCH($B395,'Parametri Modello'!$A$19:$A$22,0)))*'Parametri Modello'!$B$9))))*(1+IF('Parametri Modello'!$B$27="Si",MAX(-'Parametri Modello'!$B$28,MIN('Parametri Modello'!$B$28*1.5,IF(OR(INDEX('Parametri Modello'!$F$32:$F$35,MATCH($B395,'Parametri Modello'!$A$32:$A$35,0))="",INDEX('Parametri Modello'!$F$32:$F$35,MATCH($B395,'Parametri Modello'!$A$32:$A$35,0))=0),0,(1/INDEX('Parametri Modello'!$F$32:$F$35,MATCH($B395,'Parametri Modello'!$A$32:$A$35,0))-1)*'Parametri Modello'!$B$28))),0)))*(1-INDEX('Parametri Modello'!$B$12:$B$15,MATCH($B395,'Parametri Modello'!$A$12:$A$15,0)))),0),"")</f>
        <v>1</v>
      </c>
      <c r="H395" s="24">
        <f>IFERROR(ROUND((IF($V395&lt;=INDEX('Parametri Modello'!$C$57:$C$60,MATCH($B395,'Parametri Modello'!$A$57:$A$60,0)),IF(INDEX('Parametri Modello'!$E$57:$E$60,MATCH($B395,'Parametri Modello'!$A$57:$A$60,0))=0,0,($O395/INDEX('Parametri Modello'!$E$57:$E$60,MATCH($B395,'Parametri Modello'!$A$57:$A$60,0)))*(INDEX('Parametri Modello'!$D$57:$D$60,MATCH($B395,'Parametri Modello'!$A$57:$A$60,0))*(INDEX('Parametri Modello'!$B$50:$B$53,MATCH($B395,'Parametri Modello'!$A$50:$A$53,0))*'Parametri Modello'!$B$44))),IF(INDEX('Parametri Modello'!$F$57:$F$60,MATCH($B395,'Parametri Modello'!$A$57:$A$60,0))=0,0,($O395/INDEX('Parametri Modello'!$F$57:$F$60,MATCH($B395,'Parametri Modello'!$A$57:$A$60,0)))*((1-INDEX('Parametri Modello'!$D$57:$D$60,MATCH($B395,'Parametri Modello'!$A$57:$A$60,0)))*(INDEX('Parametri Modello'!$B$50:$B$53,MATCH($B395,'Parametri Modello'!$A$50:$A$53,0))*'Parametri Modello'!$B$44))))*(1+IF(IF($B395="D",'Info Lega'!$B$25,IF($B395="C",'Info Lega'!$B$26,"No"))="Si",'Parametri Modello'!$B$5,0))*(1+MAX(-0.25,MIN(0.25,IF(OR($T395="",$I395="",$I395=0,INDEX('Parametri Modello'!$B$19:$B$22,MATCH($B395,'Parametri Modello'!$A$19:$A$22,0))="",INDEX('Parametri Modello'!$B$19:$B$22,MATCH($B395,'Parametri Modello'!$A$19:$A$22,0))=0),0,(($T395-INDEX('Parametri Modello'!$B$19:$B$22,MATCH($B395,'Parametri Modello'!$A$19:$A$22,0)))/INDEX('Parametri Modello'!$B$19:$B$22,MATCH($B395,'Parametri Modello'!$A$19:$A$22,0)))*'Parametri Modello'!$B$9))))*(1+IF('Parametri Modello'!$B$27="Si",MAX(-'Parametri Modello'!$B$28,MIN('Parametri Modello'!$B$28*1.5,IF(OR(INDEX('Parametri Modello'!$F$32:$F$35,MATCH($B395,'Parametri Modello'!$A$32:$A$35,0))="",INDEX('Parametri Modello'!$F$32:$F$35,MATCH($B395,'Parametri Modello'!$A$32:$A$35,0))=0),0,(1/INDEX('Parametri Modello'!$F$32:$F$35,MATCH($B395,'Parametri Modello'!$A$32:$A$35,0))-1)*'Parametri Modello'!$B$28))),0)))*(1+INDEX('Parametri Modello'!$B$12:$B$15,MATCH($B395,'Parametri Modello'!$A$12:$A$15,0))),0),"")</f>
        <v>1</v>
      </c>
      <c r="I395" s="23">
        <f>IFERROR(INDEX('Input Statistiche 2025_26'!$F$3:$F$665,MATCH($A395,'Input Statistiche 2025_26'!$A$3:$A$665,0)),"")</f>
        <v>11</v>
      </c>
      <c r="J395" s="23">
        <f t="shared" si="54"/>
        <v>27</v>
      </c>
      <c r="K395" s="23">
        <f>IFERROR(INDEX('Input Statistiche 2025_26'!$I$3:$I$665,MATCH($A395,'Input Statistiche 2025_26'!$A$3:$A$665,0)),"")</f>
        <v>0</v>
      </c>
      <c r="L395" s="23">
        <f>IFERROR(INDEX('Input Statistiche 2025_26'!$O$3:$O$665,MATCH($A395,'Input Statistiche 2025_26'!$A$3:$A$665,0)),"")</f>
        <v>2</v>
      </c>
      <c r="M395" s="25"/>
      <c r="N395" s="24">
        <f>IFERROR(INDEX('Input Giocatori 2026_27'!$E$3:$E$493,MATCH($A395,'Input Giocatori 2026_27'!$A$3:$A$493,0)),"")</f>
        <v>1</v>
      </c>
      <c r="O395" s="24">
        <f>IFERROR(INDEX('Input Giocatori 2026_27'!$G$3:$G$493,MATCH($A395,'Input Giocatori 2026_27'!$A$3:$A$493,0)),"")</f>
        <v>5</v>
      </c>
      <c r="P395" s="23" t="str">
        <f>IFERROR(IF($O395="","",IF((1-(COUNTIFS($B$2:$B$492,$B395,$O$2:$O$492,"&gt;"&amp;$O395)+1-1)/COUNTIF($B$2:$B$492,$B395))&gt;='Parametri Modello'!$B$63,"Top",IF((1-(COUNTIFS($B$2:$B$492,$B395,$O$2:$O$492,"&gt;"&amp;$O395)+1-1)/COUNTIF($B$2:$B$492,$B395))&gt;='Parametri Modello'!$B$64,"Buono",IF((1-(COUNTIFS($B$2:$B$492,$B395,$O$2:$O$492,"&gt;"&amp;$O395)+1-1)/COUNTIF($B$2:$B$492,$B395))&gt;='Parametri Modello'!$B$65,"Nella Media","Scommessa/Riserva")))),"")</f>
        <v>Scommessa/Riserva</v>
      </c>
      <c r="Q395" s="26" t="str">
        <f>IF(AND($D395="",$N395&gt;1),SUMPRODUCT(($D$2:$D395="")*($N$2:$N395&gt;1)),"")</f>
        <v/>
      </c>
      <c r="R395" s="26" t="str">
        <f>IF($D395='Info Lega'!$B$28,COUNTIFS($D$2:$D395,'Info Lega'!$B$28),"")</f>
        <v/>
      </c>
      <c r="S395" s="27">
        <f>IFERROR(INDEX('Input Statistiche 2025_26'!$G$3:$G$665,MATCH($A395,'Input Statistiche 2025_26'!$A$3:$A$665,0)),"")</f>
        <v>5.77</v>
      </c>
      <c r="T395" s="27">
        <f>IFERROR(INDEX('Input Statistiche 2025_26'!$H$3:$H$665,MATCH($A395,'Input Statistiche 2025_26'!$A$3:$A$665,0)),"")</f>
        <v>5.82</v>
      </c>
      <c r="U395" s="23" t="str">
        <f>IF(OR('La Mia Rosa'!$O$12="",$D395&lt;&gt;""),"",IF($F395&lt;='La Mia Rosa'!$O$12*'Parametri Modello'!$B$24,"OK",IF($F395&lt;='La Mia Rosa'!$O$12*'Parametri Modello'!$B$25,"Attenzione","Rischio Alto")))</f>
        <v>OK</v>
      </c>
      <c r="V395" s="23">
        <f t="shared" si="55"/>
        <v>146</v>
      </c>
      <c r="W395" s="18">
        <f>'Info Lega'!$B$4-SUMIFS($M$2:$M$492,$D$2:$D$492,'Info Lega'!$B$28)</f>
        <v>1000</v>
      </c>
      <c r="X395" s="18">
        <f>('Info Lega'!$B$5-COUNTIFS($D$2:$D$492,'Info Lega'!$B$28,$B$2:$B$492,"P"))+('Info Lega'!$B$6-COUNTIFS($D$2:$D$492,'Info Lega'!$B$28,$B$2:$B$492,"D"))+('Info Lega'!$B$7-COUNTIFS($D$2:$D$492,'Info Lega'!$B$28,$B$2:$B$492,"C"))+('Info Lega'!$B$8-COUNTIFS($D$2:$D$492,'Info Lega'!$B$28,$B$2:$B$492,"A"))</f>
        <v>25</v>
      </c>
      <c r="Y395" s="18">
        <f>X395*'Parametri Modello'!$B$30</f>
        <v>25</v>
      </c>
      <c r="Z395" s="18">
        <f t="shared" si="56"/>
        <v>975</v>
      </c>
      <c r="AA395" s="18">
        <f t="shared" si="57"/>
        <v>1</v>
      </c>
      <c r="AB395" s="18"/>
      <c r="AC395" s="18" t="str">
        <f>IF($AB395="","",IF($AB395&gt;$AA395,"PASS",IF($AB395&lt;=$AA395*(1-'Parametri Modello'!$B$68),"BID","ATTENZIONE")))</f>
        <v/>
      </c>
      <c r="AD395" s="28">
        <f t="shared" si="58"/>
        <v>31</v>
      </c>
      <c r="AE395" s="5" t="str">
        <f>IFERROR(INDEX('Stato Asta'!$G$9:$G$12,MATCH($B395,'Stato Asta'!$A$9:$A$12,0)),"")</f>
        <v>🔴 Non aspettare</v>
      </c>
      <c r="AF395" t="str">
        <f>IFERROR(IF($V395&lt;=INDEX('Parametri Modello'!$C$57:$C$60,MATCH($B395,'Parametri Modello'!$A$57:$A$60,0)),"Titolare","Riserva"),"")</f>
        <v>Riserva</v>
      </c>
      <c r="AG395" t="str">
        <f>IFERROR(INDEX('Pressione Competitiva'!$F$3:$F$6,MATCH($B395,'Pressione Competitiva'!$B$3:$B$6,0)),"")</f>
        <v>🔴 Molto Alta</v>
      </c>
      <c r="AH395" t="str">
        <f t="shared" si="59"/>
        <v/>
      </c>
      <c r="AI395" t="str">
        <f>IFERROR(IF($AH395="","",IF($AH395&gt;=$AA395*'Parametri Modello'!$B$68,"🟢 Opportunita'",IF($AH395&lt;=$AA395*'Parametri Modello'!$B$69,"🔴 Sovrapprezzo","🟡 Prezzo Corretto"))),"")</f>
        <v/>
      </c>
      <c r="AJ395" t="str">
        <f t="shared" si="60"/>
        <v/>
      </c>
      <c r="AK395" t="str">
        <f t="shared" si="61"/>
        <v/>
      </c>
      <c r="AL395" t="str">
        <f t="shared" si="62"/>
        <v/>
      </c>
    </row>
    <row r="396" spans="1:38" ht="14.25" customHeight="1" x14ac:dyDescent="0.25">
      <c r="A396" s="18">
        <v>7345</v>
      </c>
      <c r="B396" s="18" t="s">
        <v>17</v>
      </c>
      <c r="C396" s="18" t="s">
        <v>535</v>
      </c>
      <c r="E396" s="23" t="str">
        <f>IF(COUNTIF('Info Strategia'!$D$2:$D$51,$C396)&gt;0,"SI","NO")</f>
        <v>NO</v>
      </c>
      <c r="F396" s="24">
        <f>IFERROR(ROUND(($G396+($H396-$G396)*'Info Strategia'!$B$6)*(1+IF($E396="SI",'Parametri Modello'!$B$7*'Info Strategia'!$B$6,0)),0),"")</f>
        <v>1</v>
      </c>
      <c r="G396" s="24">
        <f>IFERROR(ROUND(MAX(1,(IF($V396&lt;=INDEX('Parametri Modello'!$C$57:$C$60,MATCH($B396,'Parametri Modello'!$A$57:$A$60,0)),IF(INDEX('Parametri Modello'!$E$57:$E$60,MATCH($B396,'Parametri Modello'!$A$57:$A$60,0))=0,0,($O396/INDEX('Parametri Modello'!$E$57:$E$60,MATCH($B396,'Parametri Modello'!$A$57:$A$60,0)))*(INDEX('Parametri Modello'!$D$57:$D$60,MATCH($B396,'Parametri Modello'!$A$57:$A$60,0))*(INDEX('Parametri Modello'!$B$50:$B$53,MATCH($B396,'Parametri Modello'!$A$50:$A$53,0))*'Parametri Modello'!$B$44))),IF(INDEX('Parametri Modello'!$F$57:$F$60,MATCH($B396,'Parametri Modello'!$A$57:$A$60,0))=0,0,($O396/INDEX('Parametri Modello'!$F$57:$F$60,MATCH($B396,'Parametri Modello'!$A$57:$A$60,0)))*((1-INDEX('Parametri Modello'!$D$57:$D$60,MATCH($B396,'Parametri Modello'!$A$57:$A$60,0)))*(INDEX('Parametri Modello'!$B$50:$B$53,MATCH($B396,'Parametri Modello'!$A$50:$A$53,0))*'Parametri Modello'!$B$44))))*(1+IF(IF($B396="D",'Info Lega'!$B$25,IF($B396="C",'Info Lega'!$B$26,"No"))="Si",'Parametri Modello'!$B$5,0))*(1+MAX(-0.25,MIN(0.25,IF(OR($T396="",$I396="",$I396=0,INDEX('Parametri Modello'!$B$19:$B$22,MATCH($B396,'Parametri Modello'!$A$19:$A$22,0))="",INDEX('Parametri Modello'!$B$19:$B$22,MATCH($B396,'Parametri Modello'!$A$19:$A$22,0))=0),0,(($T396-INDEX('Parametri Modello'!$B$19:$B$22,MATCH($B396,'Parametri Modello'!$A$19:$A$22,0)))/INDEX('Parametri Modello'!$B$19:$B$22,MATCH($B396,'Parametri Modello'!$A$19:$A$22,0)))*'Parametri Modello'!$B$9))))*(1+IF('Parametri Modello'!$B$27="Si",MAX(-'Parametri Modello'!$B$28,MIN('Parametri Modello'!$B$28*1.5,IF(OR(INDEX('Parametri Modello'!$F$32:$F$35,MATCH($B396,'Parametri Modello'!$A$32:$A$35,0))="",INDEX('Parametri Modello'!$F$32:$F$35,MATCH($B396,'Parametri Modello'!$A$32:$A$35,0))=0),0,(1/INDEX('Parametri Modello'!$F$32:$F$35,MATCH($B396,'Parametri Modello'!$A$32:$A$35,0))-1)*'Parametri Modello'!$B$28))),0)))*(1-INDEX('Parametri Modello'!$B$12:$B$15,MATCH($B396,'Parametri Modello'!$A$12:$A$15,0)))),0),"")</f>
        <v>1</v>
      </c>
      <c r="H396" s="24">
        <f>IFERROR(ROUND((IF($V396&lt;=INDEX('Parametri Modello'!$C$57:$C$60,MATCH($B396,'Parametri Modello'!$A$57:$A$60,0)),IF(INDEX('Parametri Modello'!$E$57:$E$60,MATCH($B396,'Parametri Modello'!$A$57:$A$60,0))=0,0,($O396/INDEX('Parametri Modello'!$E$57:$E$60,MATCH($B396,'Parametri Modello'!$A$57:$A$60,0)))*(INDEX('Parametri Modello'!$D$57:$D$60,MATCH($B396,'Parametri Modello'!$A$57:$A$60,0))*(INDEX('Parametri Modello'!$B$50:$B$53,MATCH($B396,'Parametri Modello'!$A$50:$A$53,0))*'Parametri Modello'!$B$44))),IF(INDEX('Parametri Modello'!$F$57:$F$60,MATCH($B396,'Parametri Modello'!$A$57:$A$60,0))=0,0,($O396/INDEX('Parametri Modello'!$F$57:$F$60,MATCH($B396,'Parametri Modello'!$A$57:$A$60,0)))*((1-INDEX('Parametri Modello'!$D$57:$D$60,MATCH($B396,'Parametri Modello'!$A$57:$A$60,0)))*(INDEX('Parametri Modello'!$B$50:$B$53,MATCH($B396,'Parametri Modello'!$A$50:$A$53,0))*'Parametri Modello'!$B$44))))*(1+IF(IF($B396="D",'Info Lega'!$B$25,IF($B396="C",'Info Lega'!$B$26,"No"))="Si",'Parametri Modello'!$B$5,0))*(1+MAX(-0.25,MIN(0.25,IF(OR($T396="",$I396="",$I396=0,INDEX('Parametri Modello'!$B$19:$B$22,MATCH($B396,'Parametri Modello'!$A$19:$A$22,0))="",INDEX('Parametri Modello'!$B$19:$B$22,MATCH($B396,'Parametri Modello'!$A$19:$A$22,0))=0),0,(($T396-INDEX('Parametri Modello'!$B$19:$B$22,MATCH($B396,'Parametri Modello'!$A$19:$A$22,0)))/INDEX('Parametri Modello'!$B$19:$B$22,MATCH($B396,'Parametri Modello'!$A$19:$A$22,0)))*'Parametri Modello'!$B$9))))*(1+IF('Parametri Modello'!$B$27="Si",MAX(-'Parametri Modello'!$B$28,MIN('Parametri Modello'!$B$28*1.5,IF(OR(INDEX('Parametri Modello'!$F$32:$F$35,MATCH($B396,'Parametri Modello'!$A$32:$A$35,0))="",INDEX('Parametri Modello'!$F$32:$F$35,MATCH($B396,'Parametri Modello'!$A$32:$A$35,0))=0),0,(1/INDEX('Parametri Modello'!$F$32:$F$35,MATCH($B396,'Parametri Modello'!$A$32:$A$35,0))-1)*'Parametri Modello'!$B$28))),0)))*(1+INDEX('Parametri Modello'!$B$12:$B$15,MATCH($B396,'Parametri Modello'!$A$12:$A$15,0))),0),"")</f>
        <v>1</v>
      </c>
      <c r="I396" s="23">
        <f>IFERROR(INDEX('Input Statistiche 2025_26'!$F$3:$F$665,MATCH($A396,'Input Statistiche 2025_26'!$A$3:$A$665,0)),"")</f>
        <v>0</v>
      </c>
      <c r="J396" s="23">
        <f t="shared" si="54"/>
        <v>38</v>
      </c>
      <c r="K396" s="23">
        <f>IFERROR(INDEX('Input Statistiche 2025_26'!$I$3:$I$665,MATCH($A396,'Input Statistiche 2025_26'!$A$3:$A$665,0)),"")</f>
        <v>0</v>
      </c>
      <c r="L396" s="23">
        <f>IFERROR(INDEX('Input Statistiche 2025_26'!$O$3:$O$665,MATCH($A396,'Input Statistiche 2025_26'!$A$3:$A$665,0)),"")</f>
        <v>0</v>
      </c>
      <c r="M396" s="25"/>
      <c r="N396" s="24">
        <f>IFERROR(INDEX('Input Giocatori 2026_27'!$E$3:$E$493,MATCH($A396,'Input Giocatori 2026_27'!$A$3:$A$493,0)),"")</f>
        <v>1</v>
      </c>
      <c r="O396" s="24">
        <f>IFERROR(INDEX('Input Giocatori 2026_27'!$G$3:$G$493,MATCH($A396,'Input Giocatori 2026_27'!$A$3:$A$493,0)),"")</f>
        <v>5</v>
      </c>
      <c r="P396" s="23" t="str">
        <f>IFERROR(IF($O396="","",IF((1-(COUNTIFS($B$2:$B$492,$B396,$O$2:$O$492,"&gt;"&amp;$O396)+1-1)/COUNTIF($B$2:$B$492,$B396))&gt;='Parametri Modello'!$B$63,"Top",IF((1-(COUNTIFS($B$2:$B$492,$B396,$O$2:$O$492,"&gt;"&amp;$O396)+1-1)/COUNTIF($B$2:$B$492,$B396))&gt;='Parametri Modello'!$B$64,"Buono",IF((1-(COUNTIFS($B$2:$B$492,$B396,$O$2:$O$492,"&gt;"&amp;$O396)+1-1)/COUNTIF($B$2:$B$492,$B396))&gt;='Parametri Modello'!$B$65,"Nella Media","Scommessa/Riserva")))),"")</f>
        <v>Scommessa/Riserva</v>
      </c>
      <c r="Q396" s="26" t="str">
        <f>IF(AND($D396="",$N396&gt;1),SUMPRODUCT(($D$2:$D396="")*($N$2:$N396&gt;1)),"")</f>
        <v/>
      </c>
      <c r="R396" s="26" t="str">
        <f>IF($D396='Info Lega'!$B$28,COUNTIFS($D$2:$D396,'Info Lega'!$B$28),"")</f>
        <v/>
      </c>
      <c r="S396" s="27">
        <f>IFERROR(INDEX('Input Statistiche 2025_26'!$G$3:$G$665,MATCH($A396,'Input Statistiche 2025_26'!$A$3:$A$665,0)),"")</f>
        <v>0</v>
      </c>
      <c r="T396" s="27">
        <f>IFERROR(INDEX('Input Statistiche 2025_26'!$H$3:$H$665,MATCH($A396,'Input Statistiche 2025_26'!$A$3:$A$665,0)),"")</f>
        <v>0</v>
      </c>
      <c r="U396" s="23" t="str">
        <f>IF(OR('La Mia Rosa'!$O$12="",$D396&lt;&gt;""),"",IF($F396&lt;='La Mia Rosa'!$O$12*'Parametri Modello'!$B$24,"OK",IF($F396&lt;='La Mia Rosa'!$O$12*'Parametri Modello'!$B$25,"Attenzione","Rischio Alto")))</f>
        <v>OK</v>
      </c>
      <c r="V396" s="23">
        <f t="shared" si="55"/>
        <v>146</v>
      </c>
      <c r="W396" s="18">
        <f>'Info Lega'!$B$4-SUMIFS($M$2:$M$492,$D$2:$D$492,'Info Lega'!$B$28)</f>
        <v>1000</v>
      </c>
      <c r="X396" s="18">
        <f>('Info Lega'!$B$5-COUNTIFS($D$2:$D$492,'Info Lega'!$B$28,$B$2:$B$492,"P"))+('Info Lega'!$B$6-COUNTIFS($D$2:$D$492,'Info Lega'!$B$28,$B$2:$B$492,"D"))+('Info Lega'!$B$7-COUNTIFS($D$2:$D$492,'Info Lega'!$B$28,$B$2:$B$492,"C"))+('Info Lega'!$B$8-COUNTIFS($D$2:$D$492,'Info Lega'!$B$28,$B$2:$B$492,"A"))</f>
        <v>25</v>
      </c>
      <c r="Y396" s="18">
        <f>X396*'Parametri Modello'!$B$30</f>
        <v>25</v>
      </c>
      <c r="Z396" s="18">
        <f t="shared" si="56"/>
        <v>975</v>
      </c>
      <c r="AA396" s="18">
        <f t="shared" si="57"/>
        <v>1</v>
      </c>
      <c r="AB396" s="18"/>
      <c r="AC396" s="18" t="str">
        <f>IF($AB396="","",IF($AB396&gt;$AA396,"PASS",IF($AB396&lt;=$AA396*(1-'Parametri Modello'!$B$68),"BID","ATTENZIONE")))</f>
        <v/>
      </c>
      <c r="AD396" s="28">
        <f t="shared" si="58"/>
        <v>0</v>
      </c>
      <c r="AE396" s="5" t="str">
        <f>IFERROR(INDEX('Stato Asta'!$G$9:$G$12,MATCH($B396,'Stato Asta'!$A$9:$A$12,0)),"")</f>
        <v>🔴 Non aspettare</v>
      </c>
      <c r="AF396" t="str">
        <f>IFERROR(IF($V396&lt;=INDEX('Parametri Modello'!$C$57:$C$60,MATCH($B396,'Parametri Modello'!$A$57:$A$60,0)),"Titolare","Riserva"),"")</f>
        <v>Riserva</v>
      </c>
      <c r="AG396" t="str">
        <f>IFERROR(INDEX('Pressione Competitiva'!$F$3:$F$6,MATCH($B396,'Pressione Competitiva'!$B$3:$B$6,0)),"")</f>
        <v>🔴 Molto Alta</v>
      </c>
      <c r="AH396" t="str">
        <f t="shared" si="59"/>
        <v/>
      </c>
      <c r="AI396" t="str">
        <f>IFERROR(IF($AH396="","",IF($AH396&gt;=$AA396*'Parametri Modello'!$B$68,"🟢 Opportunita'",IF($AH396&lt;=$AA396*'Parametri Modello'!$B$69,"🔴 Sovrapprezzo","🟡 Prezzo Corretto"))),"")</f>
        <v/>
      </c>
      <c r="AJ396" t="str">
        <f t="shared" si="60"/>
        <v/>
      </c>
      <c r="AK396" t="str">
        <f t="shared" si="61"/>
        <v/>
      </c>
      <c r="AL396" t="str">
        <f t="shared" si="62"/>
        <v/>
      </c>
    </row>
    <row r="397" spans="1:38" ht="14.25" customHeight="1" x14ac:dyDescent="0.25">
      <c r="A397" s="18">
        <v>7128</v>
      </c>
      <c r="B397" s="18" t="s">
        <v>18</v>
      </c>
      <c r="C397" s="18" t="s">
        <v>536</v>
      </c>
      <c r="E397" s="23" t="str">
        <f>IF(COUNTIF('Info Strategia'!$D$2:$D$51,$C397)&gt;0,"SI","NO")</f>
        <v>NO</v>
      </c>
      <c r="F397" s="24">
        <f>IFERROR(ROUND(($G397+($H397-$G397)*'Info Strategia'!$B$6)*(1+IF($E397="SI",'Parametri Modello'!$B$7*'Info Strategia'!$B$6,0)),0),"")</f>
        <v>2</v>
      </c>
      <c r="G397" s="24">
        <f>IFERROR(ROUND(MAX(1,(IF($V397&lt;=INDEX('Parametri Modello'!$C$57:$C$60,MATCH($B397,'Parametri Modello'!$A$57:$A$60,0)),IF(INDEX('Parametri Modello'!$E$57:$E$60,MATCH($B397,'Parametri Modello'!$A$57:$A$60,0))=0,0,($O397/INDEX('Parametri Modello'!$E$57:$E$60,MATCH($B397,'Parametri Modello'!$A$57:$A$60,0)))*(INDEX('Parametri Modello'!$D$57:$D$60,MATCH($B397,'Parametri Modello'!$A$57:$A$60,0))*(INDEX('Parametri Modello'!$B$50:$B$53,MATCH($B397,'Parametri Modello'!$A$50:$A$53,0))*'Parametri Modello'!$B$44))),IF(INDEX('Parametri Modello'!$F$57:$F$60,MATCH($B397,'Parametri Modello'!$A$57:$A$60,0))=0,0,($O397/INDEX('Parametri Modello'!$F$57:$F$60,MATCH($B397,'Parametri Modello'!$A$57:$A$60,0)))*((1-INDEX('Parametri Modello'!$D$57:$D$60,MATCH($B397,'Parametri Modello'!$A$57:$A$60,0)))*(INDEX('Parametri Modello'!$B$50:$B$53,MATCH($B397,'Parametri Modello'!$A$50:$A$53,0))*'Parametri Modello'!$B$44))))*(1+IF(IF($B397="D",'Info Lega'!$B$25,IF($B397="C",'Info Lega'!$B$26,"No"))="Si",'Parametri Modello'!$B$5,0))*(1+MAX(-0.25,MIN(0.25,IF(OR($T397="",$I397="",$I397=0,INDEX('Parametri Modello'!$B$19:$B$22,MATCH($B397,'Parametri Modello'!$A$19:$A$22,0))="",INDEX('Parametri Modello'!$B$19:$B$22,MATCH($B397,'Parametri Modello'!$A$19:$A$22,0))=0),0,(($T397-INDEX('Parametri Modello'!$B$19:$B$22,MATCH($B397,'Parametri Modello'!$A$19:$A$22,0)))/INDEX('Parametri Modello'!$B$19:$B$22,MATCH($B397,'Parametri Modello'!$A$19:$A$22,0)))*'Parametri Modello'!$B$9))))*(1+IF('Parametri Modello'!$B$27="Si",MAX(-'Parametri Modello'!$B$28,MIN('Parametri Modello'!$B$28*1.5,IF(OR(INDEX('Parametri Modello'!$F$32:$F$35,MATCH($B397,'Parametri Modello'!$A$32:$A$35,0))="",INDEX('Parametri Modello'!$F$32:$F$35,MATCH($B397,'Parametri Modello'!$A$32:$A$35,0))=0),0,(1/INDEX('Parametri Modello'!$F$32:$F$35,MATCH($B397,'Parametri Modello'!$A$32:$A$35,0))-1)*'Parametri Modello'!$B$28))),0)))*(1-INDEX('Parametri Modello'!$B$12:$B$15,MATCH($B397,'Parametri Modello'!$A$12:$A$15,0)))),0),"")</f>
        <v>1</v>
      </c>
      <c r="H397" s="24">
        <f>IFERROR(ROUND((IF($V397&lt;=INDEX('Parametri Modello'!$C$57:$C$60,MATCH($B397,'Parametri Modello'!$A$57:$A$60,0)),IF(INDEX('Parametri Modello'!$E$57:$E$60,MATCH($B397,'Parametri Modello'!$A$57:$A$60,0))=0,0,($O397/INDEX('Parametri Modello'!$E$57:$E$60,MATCH($B397,'Parametri Modello'!$A$57:$A$60,0)))*(INDEX('Parametri Modello'!$D$57:$D$60,MATCH($B397,'Parametri Modello'!$A$57:$A$60,0))*(INDEX('Parametri Modello'!$B$50:$B$53,MATCH($B397,'Parametri Modello'!$A$50:$A$53,0))*'Parametri Modello'!$B$44))),IF(INDEX('Parametri Modello'!$F$57:$F$60,MATCH($B397,'Parametri Modello'!$A$57:$A$60,0))=0,0,($O397/INDEX('Parametri Modello'!$F$57:$F$60,MATCH($B397,'Parametri Modello'!$A$57:$A$60,0)))*((1-INDEX('Parametri Modello'!$D$57:$D$60,MATCH($B397,'Parametri Modello'!$A$57:$A$60,0)))*(INDEX('Parametri Modello'!$B$50:$B$53,MATCH($B397,'Parametri Modello'!$A$50:$A$53,0))*'Parametri Modello'!$B$44))))*(1+IF(IF($B397="D",'Info Lega'!$B$25,IF($B397="C",'Info Lega'!$B$26,"No"))="Si",'Parametri Modello'!$B$5,0))*(1+MAX(-0.25,MIN(0.25,IF(OR($T397="",$I397="",$I397=0,INDEX('Parametri Modello'!$B$19:$B$22,MATCH($B397,'Parametri Modello'!$A$19:$A$22,0))="",INDEX('Parametri Modello'!$B$19:$B$22,MATCH($B397,'Parametri Modello'!$A$19:$A$22,0))=0),0,(($T397-INDEX('Parametri Modello'!$B$19:$B$22,MATCH($B397,'Parametri Modello'!$A$19:$A$22,0)))/INDEX('Parametri Modello'!$B$19:$B$22,MATCH($B397,'Parametri Modello'!$A$19:$A$22,0)))*'Parametri Modello'!$B$9))))*(1+IF('Parametri Modello'!$B$27="Si",MAX(-'Parametri Modello'!$B$28,MIN('Parametri Modello'!$B$28*1.5,IF(OR(INDEX('Parametri Modello'!$F$32:$F$35,MATCH($B397,'Parametri Modello'!$A$32:$A$35,0))="",INDEX('Parametri Modello'!$F$32:$F$35,MATCH($B397,'Parametri Modello'!$A$32:$A$35,0))=0),0,(1/INDEX('Parametri Modello'!$F$32:$F$35,MATCH($B397,'Parametri Modello'!$A$32:$A$35,0))-1)*'Parametri Modello'!$B$28))),0)))*(1+INDEX('Parametri Modello'!$B$12:$B$15,MATCH($B397,'Parametri Modello'!$A$12:$A$15,0))),0),"")</f>
        <v>2</v>
      </c>
      <c r="I397" s="23">
        <f>IFERROR(INDEX('Input Statistiche 2025_26'!$F$3:$F$665,MATCH($A397,'Input Statistiche 2025_26'!$A$3:$A$665,0)),"")</f>
        <v>14</v>
      </c>
      <c r="J397" s="23">
        <f t="shared" si="54"/>
        <v>24</v>
      </c>
      <c r="K397" s="23">
        <f>IFERROR(INDEX('Input Statistiche 2025_26'!$I$3:$I$665,MATCH($A397,'Input Statistiche 2025_26'!$A$3:$A$665,0)),"")</f>
        <v>1</v>
      </c>
      <c r="L397" s="23">
        <f>IFERROR(INDEX('Input Statistiche 2025_26'!$O$3:$O$665,MATCH($A397,'Input Statistiche 2025_26'!$A$3:$A$665,0)),"")</f>
        <v>1</v>
      </c>
      <c r="M397" s="25"/>
      <c r="N397" s="24">
        <f>IFERROR(INDEX('Input Giocatori 2026_27'!$E$3:$E$493,MATCH($A397,'Input Giocatori 2026_27'!$A$3:$A$493,0)),"")</f>
        <v>3</v>
      </c>
      <c r="O397" s="24">
        <f>IFERROR(INDEX('Input Giocatori 2026_27'!$G$3:$G$493,MATCH($A397,'Input Giocatori 2026_27'!$A$3:$A$493,0)),"")</f>
        <v>5</v>
      </c>
      <c r="P397" s="23" t="str">
        <f>IFERROR(IF($O397="","",IF((1-(COUNTIFS($B$2:$B$492,$B397,$O$2:$O$492,"&gt;"&amp;$O397)+1-1)/COUNTIF($B$2:$B$492,$B397))&gt;='Parametri Modello'!$B$63,"Top",IF((1-(COUNTIFS($B$2:$B$492,$B397,$O$2:$O$492,"&gt;"&amp;$O397)+1-1)/COUNTIF($B$2:$B$492,$B397))&gt;='Parametri Modello'!$B$64,"Buono",IF((1-(COUNTIFS($B$2:$B$492,$B397,$O$2:$O$492,"&gt;"&amp;$O397)+1-1)/COUNTIF($B$2:$B$492,$B397))&gt;='Parametri Modello'!$B$65,"Nella Media","Scommessa/Riserva")))),"")</f>
        <v>Scommessa/Riserva</v>
      </c>
      <c r="Q397" s="26">
        <f>IF(AND($D397="",$N397&gt;1),SUMPRODUCT(($D$2:$D397="")*($N$2:$N397&gt;1)),"")</f>
        <v>392</v>
      </c>
      <c r="R397" s="26" t="str">
        <f>IF($D397='Info Lega'!$B$28,COUNTIFS($D$2:$D397,'Info Lega'!$B$28),"")</f>
        <v/>
      </c>
      <c r="S397" s="27">
        <f>IFERROR(INDEX('Input Statistiche 2025_26'!$G$3:$G$665,MATCH($A397,'Input Statistiche 2025_26'!$A$3:$A$665,0)),"")</f>
        <v>5.96</v>
      </c>
      <c r="T397" s="27">
        <f>IFERROR(INDEX('Input Statistiche 2025_26'!$H$3:$H$665,MATCH($A397,'Input Statistiche 2025_26'!$A$3:$A$665,0)),"")</f>
        <v>6.25</v>
      </c>
      <c r="U397" s="23" t="str">
        <f>IF(OR('La Mia Rosa'!$O$12="",$D397&lt;&gt;""),"",IF($F397&lt;='La Mia Rosa'!$O$12*'Parametri Modello'!$B$24,"OK",IF($F397&lt;='La Mia Rosa'!$O$12*'Parametri Modello'!$B$25,"Attenzione","Rischio Alto")))</f>
        <v>OK</v>
      </c>
      <c r="V397" s="23">
        <f t="shared" si="55"/>
        <v>75</v>
      </c>
      <c r="W397" s="18">
        <f>'Info Lega'!$B$4-SUMIFS($M$2:$M$492,$D$2:$D$492,'Info Lega'!$B$28)</f>
        <v>1000</v>
      </c>
      <c r="X397" s="18">
        <f>('Info Lega'!$B$5-COUNTIFS($D$2:$D$492,'Info Lega'!$B$28,$B$2:$B$492,"P"))+('Info Lega'!$B$6-COUNTIFS($D$2:$D$492,'Info Lega'!$B$28,$B$2:$B$492,"D"))+('Info Lega'!$B$7-COUNTIFS($D$2:$D$492,'Info Lega'!$B$28,$B$2:$B$492,"C"))+('Info Lega'!$B$8-COUNTIFS($D$2:$D$492,'Info Lega'!$B$28,$B$2:$B$492,"A"))</f>
        <v>25</v>
      </c>
      <c r="Y397" s="18">
        <f>X397*'Parametri Modello'!$B$30</f>
        <v>25</v>
      </c>
      <c r="Z397" s="18">
        <f t="shared" si="56"/>
        <v>975</v>
      </c>
      <c r="AA397" s="18">
        <f t="shared" si="57"/>
        <v>2</v>
      </c>
      <c r="AB397" s="18"/>
      <c r="AC397" s="18" t="str">
        <f>IF($AB397="","",IF($AB397&gt;$AA397,"PASS",IF($AB397&lt;=$AA397*(1-'Parametri Modello'!$B$68),"BID","ATTENZIONE")))</f>
        <v/>
      </c>
      <c r="AD397" s="28">
        <f t="shared" si="58"/>
        <v>37</v>
      </c>
      <c r="AE397" s="5" t="str">
        <f>IFERROR(INDEX('Stato Asta'!$G$9:$G$12,MATCH($B397,'Stato Asta'!$A$9:$A$12,0)),"")</f>
        <v>🔴 Non aspettare</v>
      </c>
      <c r="AF397" t="str">
        <f>IFERROR(IF($V397&lt;=INDEX('Parametri Modello'!$C$57:$C$60,MATCH($B397,'Parametri Modello'!$A$57:$A$60,0)),"Titolare","Riserva"),"")</f>
        <v>Riserva</v>
      </c>
      <c r="AG397" t="str">
        <f>IFERROR(INDEX('Pressione Competitiva'!$F$3:$F$6,MATCH($B397,'Pressione Competitiva'!$B$3:$B$6,0)),"")</f>
        <v>🔴 Molto Alta</v>
      </c>
      <c r="AH397" t="str">
        <f t="shared" si="59"/>
        <v/>
      </c>
      <c r="AI397" t="str">
        <f>IFERROR(IF($AH397="","",IF($AH397&gt;=$AA397*'Parametri Modello'!$B$68,"🟢 Opportunita'",IF($AH397&lt;=$AA397*'Parametri Modello'!$B$69,"🔴 Sovrapprezzo","🟡 Prezzo Corretto"))),"")</f>
        <v/>
      </c>
      <c r="AJ397" t="str">
        <f t="shared" si="60"/>
        <v/>
      </c>
      <c r="AK397">
        <f t="shared" si="61"/>
        <v>21</v>
      </c>
      <c r="AL397" t="str">
        <f t="shared" si="62"/>
        <v>A|Scommessa/Riserva|21</v>
      </c>
    </row>
    <row r="398" spans="1:38" ht="14.25" customHeight="1" x14ac:dyDescent="0.25">
      <c r="A398" s="18">
        <v>383</v>
      </c>
      <c r="B398" s="18" t="s">
        <v>18</v>
      </c>
      <c r="C398" s="18" t="s">
        <v>537</v>
      </c>
      <c r="E398" s="23" t="str">
        <f>IF(COUNTIF('Info Strategia'!$D$2:$D$51,$C398)&gt;0,"SI","NO")</f>
        <v>NO</v>
      </c>
      <c r="F398" s="24">
        <f>IFERROR(ROUND(($G398+($H398-$G398)*'Info Strategia'!$B$6)*(1+IF($E398="SI",'Parametri Modello'!$B$7*'Info Strategia'!$B$6,0)),0),"")</f>
        <v>2</v>
      </c>
      <c r="G398" s="24">
        <f>IFERROR(ROUND(MAX(1,(IF($V398&lt;=INDEX('Parametri Modello'!$C$57:$C$60,MATCH($B398,'Parametri Modello'!$A$57:$A$60,0)),IF(INDEX('Parametri Modello'!$E$57:$E$60,MATCH($B398,'Parametri Modello'!$A$57:$A$60,0))=0,0,($O398/INDEX('Parametri Modello'!$E$57:$E$60,MATCH($B398,'Parametri Modello'!$A$57:$A$60,0)))*(INDEX('Parametri Modello'!$D$57:$D$60,MATCH($B398,'Parametri Modello'!$A$57:$A$60,0))*(INDEX('Parametri Modello'!$B$50:$B$53,MATCH($B398,'Parametri Modello'!$A$50:$A$53,0))*'Parametri Modello'!$B$44))),IF(INDEX('Parametri Modello'!$F$57:$F$60,MATCH($B398,'Parametri Modello'!$A$57:$A$60,0))=0,0,($O398/INDEX('Parametri Modello'!$F$57:$F$60,MATCH($B398,'Parametri Modello'!$A$57:$A$60,0)))*((1-INDEX('Parametri Modello'!$D$57:$D$60,MATCH($B398,'Parametri Modello'!$A$57:$A$60,0)))*(INDEX('Parametri Modello'!$B$50:$B$53,MATCH($B398,'Parametri Modello'!$A$50:$A$53,0))*'Parametri Modello'!$B$44))))*(1+IF(IF($B398="D",'Info Lega'!$B$25,IF($B398="C",'Info Lega'!$B$26,"No"))="Si",'Parametri Modello'!$B$5,0))*(1+MAX(-0.25,MIN(0.25,IF(OR($T398="",$I398="",$I398=0,INDEX('Parametri Modello'!$B$19:$B$22,MATCH($B398,'Parametri Modello'!$A$19:$A$22,0))="",INDEX('Parametri Modello'!$B$19:$B$22,MATCH($B398,'Parametri Modello'!$A$19:$A$22,0))=0),0,(($T398-INDEX('Parametri Modello'!$B$19:$B$22,MATCH($B398,'Parametri Modello'!$A$19:$A$22,0)))/INDEX('Parametri Modello'!$B$19:$B$22,MATCH($B398,'Parametri Modello'!$A$19:$A$22,0)))*'Parametri Modello'!$B$9))))*(1+IF('Parametri Modello'!$B$27="Si",MAX(-'Parametri Modello'!$B$28,MIN('Parametri Modello'!$B$28*1.5,IF(OR(INDEX('Parametri Modello'!$F$32:$F$35,MATCH($B398,'Parametri Modello'!$A$32:$A$35,0))="",INDEX('Parametri Modello'!$F$32:$F$35,MATCH($B398,'Parametri Modello'!$A$32:$A$35,0))=0),0,(1/INDEX('Parametri Modello'!$F$32:$F$35,MATCH($B398,'Parametri Modello'!$A$32:$A$35,0))-1)*'Parametri Modello'!$B$28))),0)))*(1-INDEX('Parametri Modello'!$B$12:$B$15,MATCH($B398,'Parametri Modello'!$A$12:$A$15,0)))),0),"")</f>
        <v>1</v>
      </c>
      <c r="H398" s="24">
        <f>IFERROR(ROUND((IF($V398&lt;=INDEX('Parametri Modello'!$C$57:$C$60,MATCH($B398,'Parametri Modello'!$A$57:$A$60,0)),IF(INDEX('Parametri Modello'!$E$57:$E$60,MATCH($B398,'Parametri Modello'!$A$57:$A$60,0))=0,0,($O398/INDEX('Parametri Modello'!$E$57:$E$60,MATCH($B398,'Parametri Modello'!$A$57:$A$60,0)))*(INDEX('Parametri Modello'!$D$57:$D$60,MATCH($B398,'Parametri Modello'!$A$57:$A$60,0))*(INDEX('Parametri Modello'!$B$50:$B$53,MATCH($B398,'Parametri Modello'!$A$50:$A$53,0))*'Parametri Modello'!$B$44))),IF(INDEX('Parametri Modello'!$F$57:$F$60,MATCH($B398,'Parametri Modello'!$A$57:$A$60,0))=0,0,($O398/INDEX('Parametri Modello'!$F$57:$F$60,MATCH($B398,'Parametri Modello'!$A$57:$A$60,0)))*((1-INDEX('Parametri Modello'!$D$57:$D$60,MATCH($B398,'Parametri Modello'!$A$57:$A$60,0)))*(INDEX('Parametri Modello'!$B$50:$B$53,MATCH($B398,'Parametri Modello'!$A$50:$A$53,0))*'Parametri Modello'!$B$44))))*(1+IF(IF($B398="D",'Info Lega'!$B$25,IF($B398="C",'Info Lega'!$B$26,"No"))="Si",'Parametri Modello'!$B$5,0))*(1+MAX(-0.25,MIN(0.25,IF(OR($T398="",$I398="",$I398=0,INDEX('Parametri Modello'!$B$19:$B$22,MATCH($B398,'Parametri Modello'!$A$19:$A$22,0))="",INDEX('Parametri Modello'!$B$19:$B$22,MATCH($B398,'Parametri Modello'!$A$19:$A$22,0))=0),0,(($T398-INDEX('Parametri Modello'!$B$19:$B$22,MATCH($B398,'Parametri Modello'!$A$19:$A$22,0)))/INDEX('Parametri Modello'!$B$19:$B$22,MATCH($B398,'Parametri Modello'!$A$19:$A$22,0)))*'Parametri Modello'!$B$9))))*(1+IF('Parametri Modello'!$B$27="Si",MAX(-'Parametri Modello'!$B$28,MIN('Parametri Modello'!$B$28*1.5,IF(OR(INDEX('Parametri Modello'!$F$32:$F$35,MATCH($B398,'Parametri Modello'!$A$32:$A$35,0))="",INDEX('Parametri Modello'!$F$32:$F$35,MATCH($B398,'Parametri Modello'!$A$32:$A$35,0))=0),0,(1/INDEX('Parametri Modello'!$F$32:$F$35,MATCH($B398,'Parametri Modello'!$A$32:$A$35,0))-1)*'Parametri Modello'!$B$28))),0)))*(1+INDEX('Parametri Modello'!$B$12:$B$15,MATCH($B398,'Parametri Modello'!$A$12:$A$15,0))),0),"")</f>
        <v>2</v>
      </c>
      <c r="I398" s="23" t="str">
        <f>IFERROR(INDEX('Input Statistiche 2025_26'!$F$3:$F$665,MATCH($A398,'Input Statistiche 2025_26'!$A$3:$A$665,0)),"")</f>
        <v/>
      </c>
      <c r="J398" s="23" t="str">
        <f t="shared" si="54"/>
        <v/>
      </c>
      <c r="K398" s="23" t="str">
        <f>IFERROR(INDEX('Input Statistiche 2025_26'!$I$3:$I$665,MATCH($A398,'Input Statistiche 2025_26'!$A$3:$A$665,0)),"")</f>
        <v/>
      </c>
      <c r="L398" s="23" t="str">
        <f>IFERROR(INDEX('Input Statistiche 2025_26'!$O$3:$O$665,MATCH($A398,'Input Statistiche 2025_26'!$A$3:$A$665,0)),"")</f>
        <v/>
      </c>
      <c r="M398" s="25"/>
      <c r="N398" s="24">
        <f>IFERROR(INDEX('Input Giocatori 2026_27'!$E$3:$E$493,MATCH($A398,'Input Giocatori 2026_27'!$A$3:$A$493,0)),"")</f>
        <v>2</v>
      </c>
      <c r="O398" s="24">
        <f>IFERROR(INDEX('Input Giocatori 2026_27'!$G$3:$G$493,MATCH($A398,'Input Giocatori 2026_27'!$A$3:$A$493,0)),"")</f>
        <v>5</v>
      </c>
      <c r="P398" s="23" t="str">
        <f>IFERROR(IF($O398="","",IF((1-(COUNTIFS($B$2:$B$492,$B398,$O$2:$O$492,"&gt;"&amp;$O398)+1-1)/COUNTIF($B$2:$B$492,$B398))&gt;='Parametri Modello'!$B$63,"Top",IF((1-(COUNTIFS($B$2:$B$492,$B398,$O$2:$O$492,"&gt;"&amp;$O398)+1-1)/COUNTIF($B$2:$B$492,$B398))&gt;='Parametri Modello'!$B$64,"Buono",IF((1-(COUNTIFS($B$2:$B$492,$B398,$O$2:$O$492,"&gt;"&amp;$O398)+1-1)/COUNTIF($B$2:$B$492,$B398))&gt;='Parametri Modello'!$B$65,"Nella Media","Scommessa/Riserva")))),"")</f>
        <v>Scommessa/Riserva</v>
      </c>
      <c r="Q398" s="26">
        <f>IF(AND($D398="",$N398&gt;1),SUMPRODUCT(($D$2:$D398="")*($N$2:$N398&gt;1)),"")</f>
        <v>393</v>
      </c>
      <c r="R398" s="26" t="str">
        <f>IF($D398='Info Lega'!$B$28,COUNTIFS($D$2:$D398,'Info Lega'!$B$28),"")</f>
        <v/>
      </c>
      <c r="S398" s="27" t="str">
        <f>IFERROR(INDEX('Input Statistiche 2025_26'!$G$3:$G$665,MATCH($A398,'Input Statistiche 2025_26'!$A$3:$A$665,0)),"")</f>
        <v/>
      </c>
      <c r="T398" s="27" t="str">
        <f>IFERROR(INDEX('Input Statistiche 2025_26'!$H$3:$H$665,MATCH($A398,'Input Statistiche 2025_26'!$A$3:$A$665,0)),"")</f>
        <v/>
      </c>
      <c r="U398" s="23" t="str">
        <f>IF(OR('La Mia Rosa'!$O$12="",$D398&lt;&gt;""),"",IF($F398&lt;='La Mia Rosa'!$O$12*'Parametri Modello'!$B$24,"OK",IF($F398&lt;='La Mia Rosa'!$O$12*'Parametri Modello'!$B$25,"Attenzione","Rischio Alto")))</f>
        <v>OK</v>
      </c>
      <c r="V398" s="23">
        <f t="shared" si="55"/>
        <v>75</v>
      </c>
      <c r="W398" s="18">
        <f>'Info Lega'!$B$4-SUMIFS($M$2:$M$492,$D$2:$D$492,'Info Lega'!$B$28)</f>
        <v>1000</v>
      </c>
      <c r="X398" s="18">
        <f>('Info Lega'!$B$5-COUNTIFS($D$2:$D$492,'Info Lega'!$B$28,$B$2:$B$492,"P"))+('Info Lega'!$B$6-COUNTIFS($D$2:$D$492,'Info Lega'!$B$28,$B$2:$B$492,"D"))+('Info Lega'!$B$7-COUNTIFS($D$2:$D$492,'Info Lega'!$B$28,$B$2:$B$492,"C"))+('Info Lega'!$B$8-COUNTIFS($D$2:$D$492,'Info Lega'!$B$28,$B$2:$B$492,"A"))</f>
        <v>25</v>
      </c>
      <c r="Y398" s="18">
        <f>X398*'Parametri Modello'!$B$30</f>
        <v>25</v>
      </c>
      <c r="Z398" s="18">
        <f t="shared" si="56"/>
        <v>975</v>
      </c>
      <c r="AA398" s="18">
        <f t="shared" si="57"/>
        <v>2</v>
      </c>
      <c r="AB398" s="18"/>
      <c r="AC398" s="18" t="str">
        <f>IF($AB398="","",IF($AB398&gt;$AA398,"PASS",IF($AB398&lt;=$AA398*(1-'Parametri Modello'!$B$68),"BID","ATTENZIONE")))</f>
        <v/>
      </c>
      <c r="AD398" s="28" t="str">
        <f t="shared" si="58"/>
        <v/>
      </c>
      <c r="AE398" s="5" t="str">
        <f>IFERROR(INDEX('Stato Asta'!$G$9:$G$12,MATCH($B398,'Stato Asta'!$A$9:$A$12,0)),"")</f>
        <v>🔴 Non aspettare</v>
      </c>
      <c r="AF398" t="str">
        <f>IFERROR(IF($V398&lt;=INDEX('Parametri Modello'!$C$57:$C$60,MATCH($B398,'Parametri Modello'!$A$57:$A$60,0)),"Titolare","Riserva"),"")</f>
        <v>Riserva</v>
      </c>
      <c r="AG398" t="str">
        <f>IFERROR(INDEX('Pressione Competitiva'!$F$3:$F$6,MATCH($B398,'Pressione Competitiva'!$B$3:$B$6,0)),"")</f>
        <v>🔴 Molto Alta</v>
      </c>
      <c r="AH398" t="str">
        <f t="shared" si="59"/>
        <v/>
      </c>
      <c r="AI398" t="str">
        <f>IFERROR(IF($AH398="","",IF($AH398&gt;=$AA398*'Parametri Modello'!$B$68,"🟢 Opportunita'",IF($AH398&lt;=$AA398*'Parametri Modello'!$B$69,"🔴 Sovrapprezzo","🟡 Prezzo Corretto"))),"")</f>
        <v/>
      </c>
      <c r="AJ398" t="str">
        <f t="shared" si="60"/>
        <v/>
      </c>
      <c r="AK398">
        <f t="shared" si="61"/>
        <v>21</v>
      </c>
      <c r="AL398" t="str">
        <f t="shared" si="62"/>
        <v>A|Scommessa/Riserva|21</v>
      </c>
    </row>
    <row r="399" spans="1:38" ht="14.25" customHeight="1" x14ac:dyDescent="0.25">
      <c r="A399" s="18">
        <v>6883</v>
      </c>
      <c r="B399" s="18" t="s">
        <v>16</v>
      </c>
      <c r="C399" s="18" t="s">
        <v>538</v>
      </c>
      <c r="E399" s="23" t="str">
        <f>IF(COUNTIF('Info Strategia'!$D$2:$D$51,$C399)&gt;0,"SI","NO")</f>
        <v>NO</v>
      </c>
      <c r="F399" s="24">
        <f>IFERROR(ROUND(($G399+($H399-$G399)*'Info Strategia'!$B$6)*(1+IF($E399="SI",'Parametri Modello'!$B$7*'Info Strategia'!$B$6,0)),0),"")</f>
        <v>1</v>
      </c>
      <c r="G399" s="24">
        <f>IFERROR(ROUND(MAX(1,(IF($V399&lt;=INDEX('Parametri Modello'!$C$57:$C$60,MATCH($B399,'Parametri Modello'!$A$57:$A$60,0)),IF(INDEX('Parametri Modello'!$E$57:$E$60,MATCH($B399,'Parametri Modello'!$A$57:$A$60,0))=0,0,($O399/INDEX('Parametri Modello'!$E$57:$E$60,MATCH($B399,'Parametri Modello'!$A$57:$A$60,0)))*(INDEX('Parametri Modello'!$D$57:$D$60,MATCH($B399,'Parametri Modello'!$A$57:$A$60,0))*(INDEX('Parametri Modello'!$B$50:$B$53,MATCH($B399,'Parametri Modello'!$A$50:$A$53,0))*'Parametri Modello'!$B$44))),IF(INDEX('Parametri Modello'!$F$57:$F$60,MATCH($B399,'Parametri Modello'!$A$57:$A$60,0))=0,0,($O399/INDEX('Parametri Modello'!$F$57:$F$60,MATCH($B399,'Parametri Modello'!$A$57:$A$60,0)))*((1-INDEX('Parametri Modello'!$D$57:$D$60,MATCH($B399,'Parametri Modello'!$A$57:$A$60,0)))*(INDEX('Parametri Modello'!$B$50:$B$53,MATCH($B399,'Parametri Modello'!$A$50:$A$53,0))*'Parametri Modello'!$B$44))))*(1+IF(IF($B399="D",'Info Lega'!$B$25,IF($B399="C",'Info Lega'!$B$26,"No"))="Si",'Parametri Modello'!$B$5,0))*(1+MAX(-0.25,MIN(0.25,IF(OR($T399="",$I399="",$I399=0,INDEX('Parametri Modello'!$B$19:$B$22,MATCH($B399,'Parametri Modello'!$A$19:$A$22,0))="",INDEX('Parametri Modello'!$B$19:$B$22,MATCH($B399,'Parametri Modello'!$A$19:$A$22,0))=0),0,(($T399-INDEX('Parametri Modello'!$B$19:$B$22,MATCH($B399,'Parametri Modello'!$A$19:$A$22,0)))/INDEX('Parametri Modello'!$B$19:$B$22,MATCH($B399,'Parametri Modello'!$A$19:$A$22,0)))*'Parametri Modello'!$B$9))))*(1+IF('Parametri Modello'!$B$27="Si",MAX(-'Parametri Modello'!$B$28,MIN('Parametri Modello'!$B$28*1.5,IF(OR(INDEX('Parametri Modello'!$F$32:$F$35,MATCH($B399,'Parametri Modello'!$A$32:$A$35,0))="",INDEX('Parametri Modello'!$F$32:$F$35,MATCH($B399,'Parametri Modello'!$A$32:$A$35,0))=0),0,(1/INDEX('Parametri Modello'!$F$32:$F$35,MATCH($B399,'Parametri Modello'!$A$32:$A$35,0))-1)*'Parametri Modello'!$B$28))),0)))*(1-INDEX('Parametri Modello'!$B$12:$B$15,MATCH($B399,'Parametri Modello'!$A$12:$A$15,0)))),0),"")</f>
        <v>1</v>
      </c>
      <c r="H399" s="24">
        <f>IFERROR(ROUND((IF($V399&lt;=INDEX('Parametri Modello'!$C$57:$C$60,MATCH($B399,'Parametri Modello'!$A$57:$A$60,0)),IF(INDEX('Parametri Modello'!$E$57:$E$60,MATCH($B399,'Parametri Modello'!$A$57:$A$60,0))=0,0,($O399/INDEX('Parametri Modello'!$E$57:$E$60,MATCH($B399,'Parametri Modello'!$A$57:$A$60,0)))*(INDEX('Parametri Modello'!$D$57:$D$60,MATCH($B399,'Parametri Modello'!$A$57:$A$60,0))*(INDEX('Parametri Modello'!$B$50:$B$53,MATCH($B399,'Parametri Modello'!$A$50:$A$53,0))*'Parametri Modello'!$B$44))),IF(INDEX('Parametri Modello'!$F$57:$F$60,MATCH($B399,'Parametri Modello'!$A$57:$A$60,0))=0,0,($O399/INDEX('Parametri Modello'!$F$57:$F$60,MATCH($B399,'Parametri Modello'!$A$57:$A$60,0)))*((1-INDEX('Parametri Modello'!$D$57:$D$60,MATCH($B399,'Parametri Modello'!$A$57:$A$60,0)))*(INDEX('Parametri Modello'!$B$50:$B$53,MATCH($B399,'Parametri Modello'!$A$50:$A$53,0))*'Parametri Modello'!$B$44))))*(1+IF(IF($B399="D",'Info Lega'!$B$25,IF($B399="C",'Info Lega'!$B$26,"No"))="Si",'Parametri Modello'!$B$5,0))*(1+MAX(-0.25,MIN(0.25,IF(OR($T399="",$I399="",$I399=0,INDEX('Parametri Modello'!$B$19:$B$22,MATCH($B399,'Parametri Modello'!$A$19:$A$22,0))="",INDEX('Parametri Modello'!$B$19:$B$22,MATCH($B399,'Parametri Modello'!$A$19:$A$22,0))=0),0,(($T399-INDEX('Parametri Modello'!$B$19:$B$22,MATCH($B399,'Parametri Modello'!$A$19:$A$22,0)))/INDEX('Parametri Modello'!$B$19:$B$22,MATCH($B399,'Parametri Modello'!$A$19:$A$22,0)))*'Parametri Modello'!$B$9))))*(1+IF('Parametri Modello'!$B$27="Si",MAX(-'Parametri Modello'!$B$28,MIN('Parametri Modello'!$B$28*1.5,IF(OR(INDEX('Parametri Modello'!$F$32:$F$35,MATCH($B399,'Parametri Modello'!$A$32:$A$35,0))="",INDEX('Parametri Modello'!$F$32:$F$35,MATCH($B399,'Parametri Modello'!$A$32:$A$35,0))=0),0,(1/INDEX('Parametri Modello'!$F$32:$F$35,MATCH($B399,'Parametri Modello'!$A$32:$A$35,0))-1)*'Parametri Modello'!$B$28))),0)))*(1+INDEX('Parametri Modello'!$B$12:$B$15,MATCH($B399,'Parametri Modello'!$A$12:$A$15,0))),0),"")</f>
        <v>1</v>
      </c>
      <c r="I399" s="23">
        <f>IFERROR(INDEX('Input Statistiche 2025_26'!$F$3:$F$665,MATCH($A399,'Input Statistiche 2025_26'!$A$3:$A$665,0)),"")</f>
        <v>5</v>
      </c>
      <c r="J399" s="23">
        <f t="shared" si="54"/>
        <v>33</v>
      </c>
      <c r="K399" s="23">
        <f>IFERROR(INDEX('Input Statistiche 2025_26'!$I$3:$I$665,MATCH($A399,'Input Statistiche 2025_26'!$A$3:$A$665,0)),"")</f>
        <v>0</v>
      </c>
      <c r="L399" s="23">
        <f>IFERROR(INDEX('Input Statistiche 2025_26'!$O$3:$O$665,MATCH($A399,'Input Statistiche 2025_26'!$A$3:$A$665,0)),"")</f>
        <v>0</v>
      </c>
      <c r="M399" s="25"/>
      <c r="N399" s="24">
        <f>IFERROR(INDEX('Input Giocatori 2026_27'!$E$3:$E$493,MATCH($A399,'Input Giocatori 2026_27'!$A$3:$A$493,0)),"")</f>
        <v>2</v>
      </c>
      <c r="O399" s="24">
        <f>IFERROR(INDEX('Input Giocatori 2026_27'!$G$3:$G$493,MATCH($A399,'Input Giocatori 2026_27'!$A$3:$A$493,0)),"")</f>
        <v>4</v>
      </c>
      <c r="P399" s="23" t="str">
        <f>IFERROR(IF($O399="","",IF((1-(COUNTIFS($B$2:$B$492,$B399,$O$2:$O$492,"&gt;"&amp;$O399)+1-1)/COUNTIF($B$2:$B$492,$B399))&gt;='Parametri Modello'!$B$63,"Top",IF((1-(COUNTIFS($B$2:$B$492,$B399,$O$2:$O$492,"&gt;"&amp;$O399)+1-1)/COUNTIF($B$2:$B$492,$B399))&gt;='Parametri Modello'!$B$64,"Buono",IF((1-(COUNTIFS($B$2:$B$492,$B399,$O$2:$O$492,"&gt;"&amp;$O399)+1-1)/COUNTIF($B$2:$B$492,$B399))&gt;='Parametri Modello'!$B$65,"Nella Media","Scommessa/Riserva")))),"")</f>
        <v>Scommessa/Riserva</v>
      </c>
      <c r="Q399" s="26">
        <f>IF(AND($D399="",$N399&gt;1),SUMPRODUCT(($D$2:$D399="")*($N$2:$N399&gt;1)),"")</f>
        <v>394</v>
      </c>
      <c r="R399" s="26" t="str">
        <f>IF($D399='Info Lega'!$B$28,COUNTIFS($D$2:$D399,'Info Lega'!$B$28),"")</f>
        <v/>
      </c>
      <c r="S399" s="27">
        <f>IFERROR(INDEX('Input Statistiche 2025_26'!$G$3:$G$665,MATCH($A399,'Input Statistiche 2025_26'!$A$3:$A$665,0)),"")</f>
        <v>5.8</v>
      </c>
      <c r="T399" s="27">
        <f>IFERROR(INDEX('Input Statistiche 2025_26'!$H$3:$H$665,MATCH($A399,'Input Statistiche 2025_26'!$A$3:$A$665,0)),"")</f>
        <v>5.7</v>
      </c>
      <c r="U399" s="23" t="str">
        <f>IF(OR('La Mia Rosa'!$O$12="",$D399&lt;&gt;""),"",IF($F399&lt;='La Mia Rosa'!$O$12*'Parametri Modello'!$B$24,"OK",IF($F399&lt;='La Mia Rosa'!$O$12*'Parametri Modello'!$B$25,"Attenzione","Rischio Alto")))</f>
        <v>OK</v>
      </c>
      <c r="V399" s="23">
        <f t="shared" si="55"/>
        <v>145</v>
      </c>
      <c r="W399" s="18">
        <f>'Info Lega'!$B$4-SUMIFS($M$2:$M$492,$D$2:$D$492,'Info Lega'!$B$28)</f>
        <v>1000</v>
      </c>
      <c r="X399" s="18">
        <f>('Info Lega'!$B$5-COUNTIFS($D$2:$D$492,'Info Lega'!$B$28,$B$2:$B$492,"P"))+('Info Lega'!$B$6-COUNTIFS($D$2:$D$492,'Info Lega'!$B$28,$B$2:$B$492,"D"))+('Info Lega'!$B$7-COUNTIFS($D$2:$D$492,'Info Lega'!$B$28,$B$2:$B$492,"C"))+('Info Lega'!$B$8-COUNTIFS($D$2:$D$492,'Info Lega'!$B$28,$B$2:$B$492,"A"))</f>
        <v>25</v>
      </c>
      <c r="Y399" s="18">
        <f>X399*'Parametri Modello'!$B$30</f>
        <v>25</v>
      </c>
      <c r="Z399" s="18">
        <f t="shared" si="56"/>
        <v>975</v>
      </c>
      <c r="AA399" s="18">
        <f t="shared" si="57"/>
        <v>1</v>
      </c>
      <c r="AB399" s="18"/>
      <c r="AC399" s="18" t="str">
        <f>IF($AB399="","",IF($AB399&gt;$AA399,"PASS",IF($AB399&lt;=$AA399*(1-'Parametri Modello'!$B$68),"BID","ATTENZIONE")))</f>
        <v/>
      </c>
      <c r="AD399" s="28">
        <f t="shared" si="58"/>
        <v>15</v>
      </c>
      <c r="AE399" s="5" t="str">
        <f>IFERROR(INDEX('Stato Asta'!$G$9:$G$12,MATCH($B399,'Stato Asta'!$A$9:$A$12,0)),"")</f>
        <v>🔴 Non aspettare</v>
      </c>
      <c r="AF399" t="str">
        <f>IFERROR(IF($V399&lt;=INDEX('Parametri Modello'!$C$57:$C$60,MATCH($B399,'Parametri Modello'!$A$57:$A$60,0)),"Titolare","Riserva"),"")</f>
        <v>Riserva</v>
      </c>
      <c r="AG399" t="str">
        <f>IFERROR(INDEX('Pressione Competitiva'!$F$3:$F$6,MATCH($B399,'Pressione Competitiva'!$B$3:$B$6,0)),"")</f>
        <v>🔴 Molto Alta</v>
      </c>
      <c r="AH399" t="str">
        <f t="shared" si="59"/>
        <v/>
      </c>
      <c r="AI399" t="str">
        <f>IFERROR(IF($AH399="","",IF($AH399&gt;=$AA399*'Parametri Modello'!$B$68,"🟢 Opportunita'",IF($AH399&lt;=$AA399*'Parametri Modello'!$B$69,"🔴 Sovrapprezzo","🟡 Prezzo Corretto"))),"")</f>
        <v/>
      </c>
      <c r="AJ399" t="str">
        <f t="shared" si="60"/>
        <v/>
      </c>
      <c r="AK399">
        <f t="shared" si="61"/>
        <v>32</v>
      </c>
      <c r="AL399" t="str">
        <f t="shared" si="62"/>
        <v>D|Scommessa/Riserva|32</v>
      </c>
    </row>
    <row r="400" spans="1:38" ht="14.25" customHeight="1" x14ac:dyDescent="0.25">
      <c r="A400" s="18">
        <v>7525</v>
      </c>
      <c r="B400" s="18" t="s">
        <v>16</v>
      </c>
      <c r="C400" s="18" t="s">
        <v>539</v>
      </c>
      <c r="E400" s="23" t="str">
        <f>IF(COUNTIF('Info Strategia'!$D$2:$D$51,$C400)&gt;0,"SI","NO")</f>
        <v>NO</v>
      </c>
      <c r="F400" s="24">
        <f>IFERROR(ROUND(($G400+($H400-$G400)*'Info Strategia'!$B$6)*(1+IF($E400="SI",'Parametri Modello'!$B$7*'Info Strategia'!$B$6,0)),0),"")</f>
        <v>1</v>
      </c>
      <c r="G400" s="24">
        <f>IFERROR(ROUND(MAX(1,(IF($V400&lt;=INDEX('Parametri Modello'!$C$57:$C$60,MATCH($B400,'Parametri Modello'!$A$57:$A$60,0)),IF(INDEX('Parametri Modello'!$E$57:$E$60,MATCH($B400,'Parametri Modello'!$A$57:$A$60,0))=0,0,($O400/INDEX('Parametri Modello'!$E$57:$E$60,MATCH($B400,'Parametri Modello'!$A$57:$A$60,0)))*(INDEX('Parametri Modello'!$D$57:$D$60,MATCH($B400,'Parametri Modello'!$A$57:$A$60,0))*(INDEX('Parametri Modello'!$B$50:$B$53,MATCH($B400,'Parametri Modello'!$A$50:$A$53,0))*'Parametri Modello'!$B$44))),IF(INDEX('Parametri Modello'!$F$57:$F$60,MATCH($B400,'Parametri Modello'!$A$57:$A$60,0))=0,0,($O400/INDEX('Parametri Modello'!$F$57:$F$60,MATCH($B400,'Parametri Modello'!$A$57:$A$60,0)))*((1-INDEX('Parametri Modello'!$D$57:$D$60,MATCH($B400,'Parametri Modello'!$A$57:$A$60,0)))*(INDEX('Parametri Modello'!$B$50:$B$53,MATCH($B400,'Parametri Modello'!$A$50:$A$53,0))*'Parametri Modello'!$B$44))))*(1+IF(IF($B400="D",'Info Lega'!$B$25,IF($B400="C",'Info Lega'!$B$26,"No"))="Si",'Parametri Modello'!$B$5,0))*(1+MAX(-0.25,MIN(0.25,IF(OR($T400="",$I400="",$I400=0,INDEX('Parametri Modello'!$B$19:$B$22,MATCH($B400,'Parametri Modello'!$A$19:$A$22,0))="",INDEX('Parametri Modello'!$B$19:$B$22,MATCH($B400,'Parametri Modello'!$A$19:$A$22,0))=0),0,(($T400-INDEX('Parametri Modello'!$B$19:$B$22,MATCH($B400,'Parametri Modello'!$A$19:$A$22,0)))/INDEX('Parametri Modello'!$B$19:$B$22,MATCH($B400,'Parametri Modello'!$A$19:$A$22,0)))*'Parametri Modello'!$B$9))))*(1+IF('Parametri Modello'!$B$27="Si",MAX(-'Parametri Modello'!$B$28,MIN('Parametri Modello'!$B$28*1.5,IF(OR(INDEX('Parametri Modello'!$F$32:$F$35,MATCH($B400,'Parametri Modello'!$A$32:$A$35,0))="",INDEX('Parametri Modello'!$F$32:$F$35,MATCH($B400,'Parametri Modello'!$A$32:$A$35,0))=0),0,(1/INDEX('Parametri Modello'!$F$32:$F$35,MATCH($B400,'Parametri Modello'!$A$32:$A$35,0))-1)*'Parametri Modello'!$B$28))),0)))*(1-INDEX('Parametri Modello'!$B$12:$B$15,MATCH($B400,'Parametri Modello'!$A$12:$A$15,0)))),0),"")</f>
        <v>1</v>
      </c>
      <c r="H400" s="24">
        <f>IFERROR(ROUND((IF($V400&lt;=INDEX('Parametri Modello'!$C$57:$C$60,MATCH($B400,'Parametri Modello'!$A$57:$A$60,0)),IF(INDEX('Parametri Modello'!$E$57:$E$60,MATCH($B400,'Parametri Modello'!$A$57:$A$60,0))=0,0,($O400/INDEX('Parametri Modello'!$E$57:$E$60,MATCH($B400,'Parametri Modello'!$A$57:$A$60,0)))*(INDEX('Parametri Modello'!$D$57:$D$60,MATCH($B400,'Parametri Modello'!$A$57:$A$60,0))*(INDEX('Parametri Modello'!$B$50:$B$53,MATCH($B400,'Parametri Modello'!$A$50:$A$53,0))*'Parametri Modello'!$B$44))),IF(INDEX('Parametri Modello'!$F$57:$F$60,MATCH($B400,'Parametri Modello'!$A$57:$A$60,0))=0,0,($O400/INDEX('Parametri Modello'!$F$57:$F$60,MATCH($B400,'Parametri Modello'!$A$57:$A$60,0)))*((1-INDEX('Parametri Modello'!$D$57:$D$60,MATCH($B400,'Parametri Modello'!$A$57:$A$60,0)))*(INDEX('Parametri Modello'!$B$50:$B$53,MATCH($B400,'Parametri Modello'!$A$50:$A$53,0))*'Parametri Modello'!$B$44))))*(1+IF(IF($B400="D",'Info Lega'!$B$25,IF($B400="C",'Info Lega'!$B$26,"No"))="Si",'Parametri Modello'!$B$5,0))*(1+MAX(-0.25,MIN(0.25,IF(OR($T400="",$I400="",$I400=0,INDEX('Parametri Modello'!$B$19:$B$22,MATCH($B400,'Parametri Modello'!$A$19:$A$22,0))="",INDEX('Parametri Modello'!$B$19:$B$22,MATCH($B400,'Parametri Modello'!$A$19:$A$22,0))=0),0,(($T400-INDEX('Parametri Modello'!$B$19:$B$22,MATCH($B400,'Parametri Modello'!$A$19:$A$22,0)))/INDEX('Parametri Modello'!$B$19:$B$22,MATCH($B400,'Parametri Modello'!$A$19:$A$22,0)))*'Parametri Modello'!$B$9))))*(1+IF('Parametri Modello'!$B$27="Si",MAX(-'Parametri Modello'!$B$28,MIN('Parametri Modello'!$B$28*1.5,IF(OR(INDEX('Parametri Modello'!$F$32:$F$35,MATCH($B400,'Parametri Modello'!$A$32:$A$35,0))="",INDEX('Parametri Modello'!$F$32:$F$35,MATCH($B400,'Parametri Modello'!$A$32:$A$35,0))=0),0,(1/INDEX('Parametri Modello'!$F$32:$F$35,MATCH($B400,'Parametri Modello'!$A$32:$A$35,0))-1)*'Parametri Modello'!$B$28))),0)))*(1+INDEX('Parametri Modello'!$B$12:$B$15,MATCH($B400,'Parametri Modello'!$A$12:$A$15,0))),0),"")</f>
        <v>1</v>
      </c>
      <c r="I400" s="23" t="str">
        <f>IFERROR(INDEX('Input Statistiche 2025_26'!$F$3:$F$665,MATCH($A400,'Input Statistiche 2025_26'!$A$3:$A$665,0)),"")</f>
        <v/>
      </c>
      <c r="J400" s="23" t="str">
        <f t="shared" si="54"/>
        <v/>
      </c>
      <c r="K400" s="23" t="str">
        <f>IFERROR(INDEX('Input Statistiche 2025_26'!$I$3:$I$665,MATCH($A400,'Input Statistiche 2025_26'!$A$3:$A$665,0)),"")</f>
        <v/>
      </c>
      <c r="L400" s="23" t="str">
        <f>IFERROR(INDEX('Input Statistiche 2025_26'!$O$3:$O$665,MATCH($A400,'Input Statistiche 2025_26'!$A$3:$A$665,0)),"")</f>
        <v/>
      </c>
      <c r="M400" s="25"/>
      <c r="N400" s="24">
        <f>IFERROR(INDEX('Input Giocatori 2026_27'!$E$3:$E$493,MATCH($A400,'Input Giocatori 2026_27'!$A$3:$A$493,0)),"")</f>
        <v>2</v>
      </c>
      <c r="O400" s="24">
        <f>IFERROR(INDEX('Input Giocatori 2026_27'!$G$3:$G$493,MATCH($A400,'Input Giocatori 2026_27'!$A$3:$A$493,0)),"")</f>
        <v>4</v>
      </c>
      <c r="P400" s="23" t="str">
        <f>IFERROR(IF($O400="","",IF((1-(COUNTIFS($B$2:$B$492,$B400,$O$2:$O$492,"&gt;"&amp;$O400)+1-1)/COUNTIF($B$2:$B$492,$B400))&gt;='Parametri Modello'!$B$63,"Top",IF((1-(COUNTIFS($B$2:$B$492,$B400,$O$2:$O$492,"&gt;"&amp;$O400)+1-1)/COUNTIF($B$2:$B$492,$B400))&gt;='Parametri Modello'!$B$64,"Buono",IF((1-(COUNTIFS($B$2:$B$492,$B400,$O$2:$O$492,"&gt;"&amp;$O400)+1-1)/COUNTIF($B$2:$B$492,$B400))&gt;='Parametri Modello'!$B$65,"Nella Media","Scommessa/Riserva")))),"")</f>
        <v>Scommessa/Riserva</v>
      </c>
      <c r="Q400" s="26">
        <f>IF(AND($D400="",$N400&gt;1),SUMPRODUCT(($D$2:$D400="")*($N$2:$N400&gt;1)),"")</f>
        <v>395</v>
      </c>
      <c r="R400" s="26" t="str">
        <f>IF($D400='Info Lega'!$B$28,COUNTIFS($D$2:$D400,'Info Lega'!$B$28),"")</f>
        <v/>
      </c>
      <c r="S400" s="27" t="str">
        <f>IFERROR(INDEX('Input Statistiche 2025_26'!$G$3:$G$665,MATCH($A400,'Input Statistiche 2025_26'!$A$3:$A$665,0)),"")</f>
        <v/>
      </c>
      <c r="T400" s="27" t="str">
        <f>IFERROR(INDEX('Input Statistiche 2025_26'!$H$3:$H$665,MATCH($A400,'Input Statistiche 2025_26'!$A$3:$A$665,0)),"")</f>
        <v/>
      </c>
      <c r="U400" s="23" t="str">
        <f>IF(OR('La Mia Rosa'!$O$12="",$D400&lt;&gt;""),"",IF($F400&lt;='La Mia Rosa'!$O$12*'Parametri Modello'!$B$24,"OK",IF($F400&lt;='La Mia Rosa'!$O$12*'Parametri Modello'!$B$25,"Attenzione","Rischio Alto")))</f>
        <v>OK</v>
      </c>
      <c r="V400" s="23">
        <f t="shared" si="55"/>
        <v>145</v>
      </c>
      <c r="W400" s="18">
        <f>'Info Lega'!$B$4-SUMIFS($M$2:$M$492,$D$2:$D$492,'Info Lega'!$B$28)</f>
        <v>1000</v>
      </c>
      <c r="X400" s="18">
        <f>('Info Lega'!$B$5-COUNTIFS($D$2:$D$492,'Info Lega'!$B$28,$B$2:$B$492,"P"))+('Info Lega'!$B$6-COUNTIFS($D$2:$D$492,'Info Lega'!$B$28,$B$2:$B$492,"D"))+('Info Lega'!$B$7-COUNTIFS($D$2:$D$492,'Info Lega'!$B$28,$B$2:$B$492,"C"))+('Info Lega'!$B$8-COUNTIFS($D$2:$D$492,'Info Lega'!$B$28,$B$2:$B$492,"A"))</f>
        <v>25</v>
      </c>
      <c r="Y400" s="18">
        <f>X400*'Parametri Modello'!$B$30</f>
        <v>25</v>
      </c>
      <c r="Z400" s="18">
        <f t="shared" si="56"/>
        <v>975</v>
      </c>
      <c r="AA400" s="18">
        <f t="shared" si="57"/>
        <v>1</v>
      </c>
      <c r="AB400" s="18"/>
      <c r="AC400" s="18" t="str">
        <f>IF($AB400="","",IF($AB400&gt;$AA400,"PASS",IF($AB400&lt;=$AA400*(1-'Parametri Modello'!$B$68),"BID","ATTENZIONE")))</f>
        <v/>
      </c>
      <c r="AD400" s="28" t="str">
        <f t="shared" si="58"/>
        <v/>
      </c>
      <c r="AE400" s="5" t="str">
        <f>IFERROR(INDEX('Stato Asta'!$G$9:$G$12,MATCH($B400,'Stato Asta'!$A$9:$A$12,0)),"")</f>
        <v>🔴 Non aspettare</v>
      </c>
      <c r="AF400" t="str">
        <f>IFERROR(IF($V400&lt;=INDEX('Parametri Modello'!$C$57:$C$60,MATCH($B400,'Parametri Modello'!$A$57:$A$60,0)),"Titolare","Riserva"),"")</f>
        <v>Riserva</v>
      </c>
      <c r="AG400" t="str">
        <f>IFERROR(INDEX('Pressione Competitiva'!$F$3:$F$6,MATCH($B400,'Pressione Competitiva'!$B$3:$B$6,0)),"")</f>
        <v>🔴 Molto Alta</v>
      </c>
      <c r="AH400" t="str">
        <f t="shared" si="59"/>
        <v/>
      </c>
      <c r="AI400" t="str">
        <f>IFERROR(IF($AH400="","",IF($AH400&gt;=$AA400*'Parametri Modello'!$B$68,"🟢 Opportunita'",IF($AH400&lt;=$AA400*'Parametri Modello'!$B$69,"🔴 Sovrapprezzo","🟡 Prezzo Corretto"))),"")</f>
        <v/>
      </c>
      <c r="AJ400" t="str">
        <f t="shared" si="60"/>
        <v/>
      </c>
      <c r="AK400">
        <f t="shared" si="61"/>
        <v>32</v>
      </c>
      <c r="AL400" t="str">
        <f t="shared" si="62"/>
        <v>D|Scommessa/Riserva|32</v>
      </c>
    </row>
    <row r="401" spans="1:38" ht="14.25" customHeight="1" x14ac:dyDescent="0.25">
      <c r="A401" s="18">
        <v>5994</v>
      </c>
      <c r="B401" s="18" t="s">
        <v>16</v>
      </c>
      <c r="C401" s="18" t="s">
        <v>540</v>
      </c>
      <c r="E401" s="23" t="str">
        <f>IF(COUNTIF('Info Strategia'!$D$2:$D$51,$C401)&gt;0,"SI","NO")</f>
        <v>NO</v>
      </c>
      <c r="F401" s="24">
        <f>IFERROR(ROUND(($G401+($H401-$G401)*'Info Strategia'!$B$6)*(1+IF($E401="SI",'Parametri Modello'!$B$7*'Info Strategia'!$B$6,0)),0),"")</f>
        <v>1</v>
      </c>
      <c r="G401" s="24">
        <f>IFERROR(ROUND(MAX(1,(IF($V401&lt;=INDEX('Parametri Modello'!$C$57:$C$60,MATCH($B401,'Parametri Modello'!$A$57:$A$60,0)),IF(INDEX('Parametri Modello'!$E$57:$E$60,MATCH($B401,'Parametri Modello'!$A$57:$A$60,0))=0,0,($O401/INDEX('Parametri Modello'!$E$57:$E$60,MATCH($B401,'Parametri Modello'!$A$57:$A$60,0)))*(INDEX('Parametri Modello'!$D$57:$D$60,MATCH($B401,'Parametri Modello'!$A$57:$A$60,0))*(INDEX('Parametri Modello'!$B$50:$B$53,MATCH($B401,'Parametri Modello'!$A$50:$A$53,0))*'Parametri Modello'!$B$44))),IF(INDEX('Parametri Modello'!$F$57:$F$60,MATCH($B401,'Parametri Modello'!$A$57:$A$60,0))=0,0,($O401/INDEX('Parametri Modello'!$F$57:$F$60,MATCH($B401,'Parametri Modello'!$A$57:$A$60,0)))*((1-INDEX('Parametri Modello'!$D$57:$D$60,MATCH($B401,'Parametri Modello'!$A$57:$A$60,0)))*(INDEX('Parametri Modello'!$B$50:$B$53,MATCH($B401,'Parametri Modello'!$A$50:$A$53,0))*'Parametri Modello'!$B$44))))*(1+IF(IF($B401="D",'Info Lega'!$B$25,IF($B401="C",'Info Lega'!$B$26,"No"))="Si",'Parametri Modello'!$B$5,0))*(1+MAX(-0.25,MIN(0.25,IF(OR($T401="",$I401="",$I401=0,INDEX('Parametri Modello'!$B$19:$B$22,MATCH($B401,'Parametri Modello'!$A$19:$A$22,0))="",INDEX('Parametri Modello'!$B$19:$B$22,MATCH($B401,'Parametri Modello'!$A$19:$A$22,0))=0),0,(($T401-INDEX('Parametri Modello'!$B$19:$B$22,MATCH($B401,'Parametri Modello'!$A$19:$A$22,0)))/INDEX('Parametri Modello'!$B$19:$B$22,MATCH($B401,'Parametri Modello'!$A$19:$A$22,0)))*'Parametri Modello'!$B$9))))*(1+IF('Parametri Modello'!$B$27="Si",MAX(-'Parametri Modello'!$B$28,MIN('Parametri Modello'!$B$28*1.5,IF(OR(INDEX('Parametri Modello'!$F$32:$F$35,MATCH($B401,'Parametri Modello'!$A$32:$A$35,0))="",INDEX('Parametri Modello'!$F$32:$F$35,MATCH($B401,'Parametri Modello'!$A$32:$A$35,0))=0),0,(1/INDEX('Parametri Modello'!$F$32:$F$35,MATCH($B401,'Parametri Modello'!$A$32:$A$35,0))-1)*'Parametri Modello'!$B$28))),0)))*(1-INDEX('Parametri Modello'!$B$12:$B$15,MATCH($B401,'Parametri Modello'!$A$12:$A$15,0)))),0),"")</f>
        <v>1</v>
      </c>
      <c r="H401" s="24">
        <f>IFERROR(ROUND((IF($V401&lt;=INDEX('Parametri Modello'!$C$57:$C$60,MATCH($B401,'Parametri Modello'!$A$57:$A$60,0)),IF(INDEX('Parametri Modello'!$E$57:$E$60,MATCH($B401,'Parametri Modello'!$A$57:$A$60,0))=0,0,($O401/INDEX('Parametri Modello'!$E$57:$E$60,MATCH($B401,'Parametri Modello'!$A$57:$A$60,0)))*(INDEX('Parametri Modello'!$D$57:$D$60,MATCH($B401,'Parametri Modello'!$A$57:$A$60,0))*(INDEX('Parametri Modello'!$B$50:$B$53,MATCH($B401,'Parametri Modello'!$A$50:$A$53,0))*'Parametri Modello'!$B$44))),IF(INDEX('Parametri Modello'!$F$57:$F$60,MATCH($B401,'Parametri Modello'!$A$57:$A$60,0))=0,0,($O401/INDEX('Parametri Modello'!$F$57:$F$60,MATCH($B401,'Parametri Modello'!$A$57:$A$60,0)))*((1-INDEX('Parametri Modello'!$D$57:$D$60,MATCH($B401,'Parametri Modello'!$A$57:$A$60,0)))*(INDEX('Parametri Modello'!$B$50:$B$53,MATCH($B401,'Parametri Modello'!$A$50:$A$53,0))*'Parametri Modello'!$B$44))))*(1+IF(IF($B401="D",'Info Lega'!$B$25,IF($B401="C",'Info Lega'!$B$26,"No"))="Si",'Parametri Modello'!$B$5,0))*(1+MAX(-0.25,MIN(0.25,IF(OR($T401="",$I401="",$I401=0,INDEX('Parametri Modello'!$B$19:$B$22,MATCH($B401,'Parametri Modello'!$A$19:$A$22,0))="",INDEX('Parametri Modello'!$B$19:$B$22,MATCH($B401,'Parametri Modello'!$A$19:$A$22,0))=0),0,(($T401-INDEX('Parametri Modello'!$B$19:$B$22,MATCH($B401,'Parametri Modello'!$A$19:$A$22,0)))/INDEX('Parametri Modello'!$B$19:$B$22,MATCH($B401,'Parametri Modello'!$A$19:$A$22,0)))*'Parametri Modello'!$B$9))))*(1+IF('Parametri Modello'!$B$27="Si",MAX(-'Parametri Modello'!$B$28,MIN('Parametri Modello'!$B$28*1.5,IF(OR(INDEX('Parametri Modello'!$F$32:$F$35,MATCH($B401,'Parametri Modello'!$A$32:$A$35,0))="",INDEX('Parametri Modello'!$F$32:$F$35,MATCH($B401,'Parametri Modello'!$A$32:$A$35,0))=0),0,(1/INDEX('Parametri Modello'!$F$32:$F$35,MATCH($B401,'Parametri Modello'!$A$32:$A$35,0))-1)*'Parametri Modello'!$B$28))),0)))*(1+INDEX('Parametri Modello'!$B$12:$B$15,MATCH($B401,'Parametri Modello'!$A$12:$A$15,0))),0),"")</f>
        <v>1</v>
      </c>
      <c r="I401" s="23">
        <f>IFERROR(INDEX('Input Statistiche 2025_26'!$F$3:$F$665,MATCH($A401,'Input Statistiche 2025_26'!$A$3:$A$665,0)),"")</f>
        <v>16</v>
      </c>
      <c r="J401" s="23">
        <f t="shared" si="54"/>
        <v>22</v>
      </c>
      <c r="K401" s="23">
        <f>IFERROR(INDEX('Input Statistiche 2025_26'!$I$3:$I$665,MATCH($A401,'Input Statistiche 2025_26'!$A$3:$A$665,0)),"")</f>
        <v>0</v>
      </c>
      <c r="L401" s="23">
        <f>IFERROR(INDEX('Input Statistiche 2025_26'!$O$3:$O$665,MATCH($A401,'Input Statistiche 2025_26'!$A$3:$A$665,0)),"")</f>
        <v>1</v>
      </c>
      <c r="M401" s="25"/>
      <c r="N401" s="24">
        <f>IFERROR(INDEX('Input Giocatori 2026_27'!$E$3:$E$493,MATCH($A401,'Input Giocatori 2026_27'!$A$3:$A$493,0)),"")</f>
        <v>2</v>
      </c>
      <c r="O401" s="24">
        <f>IFERROR(INDEX('Input Giocatori 2026_27'!$G$3:$G$493,MATCH($A401,'Input Giocatori 2026_27'!$A$3:$A$493,0)),"")</f>
        <v>4</v>
      </c>
      <c r="P401" s="23" t="str">
        <f>IFERROR(IF($O401="","",IF((1-(COUNTIFS($B$2:$B$492,$B401,$O$2:$O$492,"&gt;"&amp;$O401)+1-1)/COUNTIF($B$2:$B$492,$B401))&gt;='Parametri Modello'!$B$63,"Top",IF((1-(COUNTIFS($B$2:$B$492,$B401,$O$2:$O$492,"&gt;"&amp;$O401)+1-1)/COUNTIF($B$2:$B$492,$B401))&gt;='Parametri Modello'!$B$64,"Buono",IF((1-(COUNTIFS($B$2:$B$492,$B401,$O$2:$O$492,"&gt;"&amp;$O401)+1-1)/COUNTIF($B$2:$B$492,$B401))&gt;='Parametri Modello'!$B$65,"Nella Media","Scommessa/Riserva")))),"")</f>
        <v>Scommessa/Riserva</v>
      </c>
      <c r="Q401" s="26">
        <f>IF(AND($D401="",$N401&gt;1),SUMPRODUCT(($D$2:$D401="")*($N$2:$N401&gt;1)),"")</f>
        <v>396</v>
      </c>
      <c r="R401" s="26" t="str">
        <f>IF($D401='Info Lega'!$B$28,COUNTIFS($D$2:$D401,'Info Lega'!$B$28),"")</f>
        <v/>
      </c>
      <c r="S401" s="27">
        <f>IFERROR(INDEX('Input Statistiche 2025_26'!$G$3:$G$665,MATCH($A401,'Input Statistiche 2025_26'!$A$3:$A$665,0)),"")</f>
        <v>5.75</v>
      </c>
      <c r="T401" s="27">
        <f>IFERROR(INDEX('Input Statistiche 2025_26'!$H$3:$H$665,MATCH($A401,'Input Statistiche 2025_26'!$A$3:$A$665,0)),"")</f>
        <v>5.72</v>
      </c>
      <c r="U401" s="23" t="str">
        <f>IF(OR('La Mia Rosa'!$O$12="",$D401&lt;&gt;""),"",IF($F401&lt;='La Mia Rosa'!$O$12*'Parametri Modello'!$B$24,"OK",IF($F401&lt;='La Mia Rosa'!$O$12*'Parametri Modello'!$B$25,"Attenzione","Rischio Alto")))</f>
        <v>OK</v>
      </c>
      <c r="V401" s="23">
        <f t="shared" si="55"/>
        <v>145</v>
      </c>
      <c r="W401" s="18">
        <f>'Info Lega'!$B$4-SUMIFS($M$2:$M$492,$D$2:$D$492,'Info Lega'!$B$28)</f>
        <v>1000</v>
      </c>
      <c r="X401" s="18">
        <f>('Info Lega'!$B$5-COUNTIFS($D$2:$D$492,'Info Lega'!$B$28,$B$2:$B$492,"P"))+('Info Lega'!$B$6-COUNTIFS($D$2:$D$492,'Info Lega'!$B$28,$B$2:$B$492,"D"))+('Info Lega'!$B$7-COUNTIFS($D$2:$D$492,'Info Lega'!$B$28,$B$2:$B$492,"C"))+('Info Lega'!$B$8-COUNTIFS($D$2:$D$492,'Info Lega'!$B$28,$B$2:$B$492,"A"))</f>
        <v>25</v>
      </c>
      <c r="Y401" s="18">
        <f>X401*'Parametri Modello'!$B$30</f>
        <v>25</v>
      </c>
      <c r="Z401" s="18">
        <f t="shared" si="56"/>
        <v>975</v>
      </c>
      <c r="AA401" s="18">
        <f t="shared" si="57"/>
        <v>1</v>
      </c>
      <c r="AB401" s="18"/>
      <c r="AC401" s="18" t="str">
        <f>IF($AB401="","",IF($AB401&gt;$AA401,"PASS",IF($AB401&lt;=$AA401*(1-'Parametri Modello'!$B$68),"BID","ATTENZIONE")))</f>
        <v/>
      </c>
      <c r="AD401" s="28">
        <f t="shared" si="58"/>
        <v>41</v>
      </c>
      <c r="AE401" s="5" t="str">
        <f>IFERROR(INDEX('Stato Asta'!$G$9:$G$12,MATCH($B401,'Stato Asta'!$A$9:$A$12,0)),"")</f>
        <v>🔴 Non aspettare</v>
      </c>
      <c r="AF401" t="str">
        <f>IFERROR(IF($V401&lt;=INDEX('Parametri Modello'!$C$57:$C$60,MATCH($B401,'Parametri Modello'!$A$57:$A$60,0)),"Titolare","Riserva"),"")</f>
        <v>Riserva</v>
      </c>
      <c r="AG401" t="str">
        <f>IFERROR(INDEX('Pressione Competitiva'!$F$3:$F$6,MATCH($B401,'Pressione Competitiva'!$B$3:$B$6,0)),"")</f>
        <v>🔴 Molto Alta</v>
      </c>
      <c r="AH401" t="str">
        <f t="shared" si="59"/>
        <v/>
      </c>
      <c r="AI401" t="str">
        <f>IFERROR(IF($AH401="","",IF($AH401&gt;=$AA401*'Parametri Modello'!$B$68,"🟢 Opportunita'",IF($AH401&lt;=$AA401*'Parametri Modello'!$B$69,"🔴 Sovrapprezzo","🟡 Prezzo Corretto"))),"")</f>
        <v/>
      </c>
      <c r="AJ401" t="str">
        <f t="shared" si="60"/>
        <v/>
      </c>
      <c r="AK401">
        <f t="shared" si="61"/>
        <v>32</v>
      </c>
      <c r="AL401" t="str">
        <f t="shared" si="62"/>
        <v>D|Scommessa/Riserva|32</v>
      </c>
    </row>
    <row r="402" spans="1:38" ht="14.25" customHeight="1" x14ac:dyDescent="0.25">
      <c r="A402" s="18">
        <v>7478</v>
      </c>
      <c r="B402" s="18" t="s">
        <v>16</v>
      </c>
      <c r="C402" s="18" t="s">
        <v>541</v>
      </c>
      <c r="E402" s="23" t="str">
        <f>IF(COUNTIF('Info Strategia'!$D$2:$D$51,$C402)&gt;0,"SI","NO")</f>
        <v>NO</v>
      </c>
      <c r="F402" s="24">
        <f>IFERROR(ROUND(($G402+($H402-$G402)*'Info Strategia'!$B$6)*(1+IF($E402="SI",'Parametri Modello'!$B$7*'Info Strategia'!$B$6,0)),0),"")</f>
        <v>1</v>
      </c>
      <c r="G402" s="24">
        <f>IFERROR(ROUND(MAX(1,(IF($V402&lt;=INDEX('Parametri Modello'!$C$57:$C$60,MATCH($B402,'Parametri Modello'!$A$57:$A$60,0)),IF(INDEX('Parametri Modello'!$E$57:$E$60,MATCH($B402,'Parametri Modello'!$A$57:$A$60,0))=0,0,($O402/INDEX('Parametri Modello'!$E$57:$E$60,MATCH($B402,'Parametri Modello'!$A$57:$A$60,0)))*(INDEX('Parametri Modello'!$D$57:$D$60,MATCH($B402,'Parametri Modello'!$A$57:$A$60,0))*(INDEX('Parametri Modello'!$B$50:$B$53,MATCH($B402,'Parametri Modello'!$A$50:$A$53,0))*'Parametri Modello'!$B$44))),IF(INDEX('Parametri Modello'!$F$57:$F$60,MATCH($B402,'Parametri Modello'!$A$57:$A$60,0))=0,0,($O402/INDEX('Parametri Modello'!$F$57:$F$60,MATCH($B402,'Parametri Modello'!$A$57:$A$60,0)))*((1-INDEX('Parametri Modello'!$D$57:$D$60,MATCH($B402,'Parametri Modello'!$A$57:$A$60,0)))*(INDEX('Parametri Modello'!$B$50:$B$53,MATCH($B402,'Parametri Modello'!$A$50:$A$53,0))*'Parametri Modello'!$B$44))))*(1+IF(IF($B402="D",'Info Lega'!$B$25,IF($B402="C",'Info Lega'!$B$26,"No"))="Si",'Parametri Modello'!$B$5,0))*(1+MAX(-0.25,MIN(0.25,IF(OR($T402="",$I402="",$I402=0,INDEX('Parametri Modello'!$B$19:$B$22,MATCH($B402,'Parametri Modello'!$A$19:$A$22,0))="",INDEX('Parametri Modello'!$B$19:$B$22,MATCH($B402,'Parametri Modello'!$A$19:$A$22,0))=0),0,(($T402-INDEX('Parametri Modello'!$B$19:$B$22,MATCH($B402,'Parametri Modello'!$A$19:$A$22,0)))/INDEX('Parametri Modello'!$B$19:$B$22,MATCH($B402,'Parametri Modello'!$A$19:$A$22,0)))*'Parametri Modello'!$B$9))))*(1+IF('Parametri Modello'!$B$27="Si",MAX(-'Parametri Modello'!$B$28,MIN('Parametri Modello'!$B$28*1.5,IF(OR(INDEX('Parametri Modello'!$F$32:$F$35,MATCH($B402,'Parametri Modello'!$A$32:$A$35,0))="",INDEX('Parametri Modello'!$F$32:$F$35,MATCH($B402,'Parametri Modello'!$A$32:$A$35,0))=0),0,(1/INDEX('Parametri Modello'!$F$32:$F$35,MATCH($B402,'Parametri Modello'!$A$32:$A$35,0))-1)*'Parametri Modello'!$B$28))),0)))*(1-INDEX('Parametri Modello'!$B$12:$B$15,MATCH($B402,'Parametri Modello'!$A$12:$A$15,0)))),0),"")</f>
        <v>1</v>
      </c>
      <c r="H402" s="24">
        <f>IFERROR(ROUND((IF($V402&lt;=INDEX('Parametri Modello'!$C$57:$C$60,MATCH($B402,'Parametri Modello'!$A$57:$A$60,0)),IF(INDEX('Parametri Modello'!$E$57:$E$60,MATCH($B402,'Parametri Modello'!$A$57:$A$60,0))=0,0,($O402/INDEX('Parametri Modello'!$E$57:$E$60,MATCH($B402,'Parametri Modello'!$A$57:$A$60,0)))*(INDEX('Parametri Modello'!$D$57:$D$60,MATCH($B402,'Parametri Modello'!$A$57:$A$60,0))*(INDEX('Parametri Modello'!$B$50:$B$53,MATCH($B402,'Parametri Modello'!$A$50:$A$53,0))*'Parametri Modello'!$B$44))),IF(INDEX('Parametri Modello'!$F$57:$F$60,MATCH($B402,'Parametri Modello'!$A$57:$A$60,0))=0,0,($O402/INDEX('Parametri Modello'!$F$57:$F$60,MATCH($B402,'Parametri Modello'!$A$57:$A$60,0)))*((1-INDEX('Parametri Modello'!$D$57:$D$60,MATCH($B402,'Parametri Modello'!$A$57:$A$60,0)))*(INDEX('Parametri Modello'!$B$50:$B$53,MATCH($B402,'Parametri Modello'!$A$50:$A$53,0))*'Parametri Modello'!$B$44))))*(1+IF(IF($B402="D",'Info Lega'!$B$25,IF($B402="C",'Info Lega'!$B$26,"No"))="Si",'Parametri Modello'!$B$5,0))*(1+MAX(-0.25,MIN(0.25,IF(OR($T402="",$I402="",$I402=0,INDEX('Parametri Modello'!$B$19:$B$22,MATCH($B402,'Parametri Modello'!$A$19:$A$22,0))="",INDEX('Parametri Modello'!$B$19:$B$22,MATCH($B402,'Parametri Modello'!$A$19:$A$22,0))=0),0,(($T402-INDEX('Parametri Modello'!$B$19:$B$22,MATCH($B402,'Parametri Modello'!$A$19:$A$22,0)))/INDEX('Parametri Modello'!$B$19:$B$22,MATCH($B402,'Parametri Modello'!$A$19:$A$22,0)))*'Parametri Modello'!$B$9))))*(1+IF('Parametri Modello'!$B$27="Si",MAX(-'Parametri Modello'!$B$28,MIN('Parametri Modello'!$B$28*1.5,IF(OR(INDEX('Parametri Modello'!$F$32:$F$35,MATCH($B402,'Parametri Modello'!$A$32:$A$35,0))="",INDEX('Parametri Modello'!$F$32:$F$35,MATCH($B402,'Parametri Modello'!$A$32:$A$35,0))=0),0,(1/INDEX('Parametri Modello'!$F$32:$F$35,MATCH($B402,'Parametri Modello'!$A$32:$A$35,0))-1)*'Parametri Modello'!$B$28))),0)))*(1+INDEX('Parametri Modello'!$B$12:$B$15,MATCH($B402,'Parametri Modello'!$A$12:$A$15,0))),0),"")</f>
        <v>1</v>
      </c>
      <c r="I402" s="23" t="str">
        <f>IFERROR(INDEX('Input Statistiche 2025_26'!$F$3:$F$665,MATCH($A402,'Input Statistiche 2025_26'!$A$3:$A$665,0)),"")</f>
        <v/>
      </c>
      <c r="J402" s="23" t="str">
        <f t="shared" si="54"/>
        <v/>
      </c>
      <c r="K402" s="23" t="str">
        <f>IFERROR(INDEX('Input Statistiche 2025_26'!$I$3:$I$665,MATCH($A402,'Input Statistiche 2025_26'!$A$3:$A$665,0)),"")</f>
        <v/>
      </c>
      <c r="L402" s="23" t="str">
        <f>IFERROR(INDEX('Input Statistiche 2025_26'!$O$3:$O$665,MATCH($A402,'Input Statistiche 2025_26'!$A$3:$A$665,0)),"")</f>
        <v/>
      </c>
      <c r="M402" s="25"/>
      <c r="N402" s="24">
        <f>IFERROR(INDEX('Input Giocatori 2026_27'!$E$3:$E$493,MATCH($A402,'Input Giocatori 2026_27'!$A$3:$A$493,0)),"")</f>
        <v>2</v>
      </c>
      <c r="O402" s="24">
        <f>IFERROR(INDEX('Input Giocatori 2026_27'!$G$3:$G$493,MATCH($A402,'Input Giocatori 2026_27'!$A$3:$A$493,0)),"")</f>
        <v>4</v>
      </c>
      <c r="P402" s="23" t="str">
        <f>IFERROR(IF($O402="","",IF((1-(COUNTIFS($B$2:$B$492,$B402,$O$2:$O$492,"&gt;"&amp;$O402)+1-1)/COUNTIF($B$2:$B$492,$B402))&gt;='Parametri Modello'!$B$63,"Top",IF((1-(COUNTIFS($B$2:$B$492,$B402,$O$2:$O$492,"&gt;"&amp;$O402)+1-1)/COUNTIF($B$2:$B$492,$B402))&gt;='Parametri Modello'!$B$64,"Buono",IF((1-(COUNTIFS($B$2:$B$492,$B402,$O$2:$O$492,"&gt;"&amp;$O402)+1-1)/COUNTIF($B$2:$B$492,$B402))&gt;='Parametri Modello'!$B$65,"Nella Media","Scommessa/Riserva")))),"")</f>
        <v>Scommessa/Riserva</v>
      </c>
      <c r="Q402" s="26">
        <f>IF(AND($D402="",$N402&gt;1),SUMPRODUCT(($D$2:$D402="")*($N$2:$N402&gt;1)),"")</f>
        <v>397</v>
      </c>
      <c r="R402" s="26" t="str">
        <f>IF($D402='Info Lega'!$B$28,COUNTIFS($D$2:$D402,'Info Lega'!$B$28),"")</f>
        <v/>
      </c>
      <c r="S402" s="27" t="str">
        <f>IFERROR(INDEX('Input Statistiche 2025_26'!$G$3:$G$665,MATCH($A402,'Input Statistiche 2025_26'!$A$3:$A$665,0)),"")</f>
        <v/>
      </c>
      <c r="T402" s="27" t="str">
        <f>IFERROR(INDEX('Input Statistiche 2025_26'!$H$3:$H$665,MATCH($A402,'Input Statistiche 2025_26'!$A$3:$A$665,0)),"")</f>
        <v/>
      </c>
      <c r="U402" s="23" t="str">
        <f>IF(OR('La Mia Rosa'!$O$12="",$D402&lt;&gt;""),"",IF($F402&lt;='La Mia Rosa'!$O$12*'Parametri Modello'!$B$24,"OK",IF($F402&lt;='La Mia Rosa'!$O$12*'Parametri Modello'!$B$25,"Attenzione","Rischio Alto")))</f>
        <v>OK</v>
      </c>
      <c r="V402" s="23">
        <f t="shared" si="55"/>
        <v>145</v>
      </c>
      <c r="W402" s="18">
        <f>'Info Lega'!$B$4-SUMIFS($M$2:$M$492,$D$2:$D$492,'Info Lega'!$B$28)</f>
        <v>1000</v>
      </c>
      <c r="X402" s="18">
        <f>('Info Lega'!$B$5-COUNTIFS($D$2:$D$492,'Info Lega'!$B$28,$B$2:$B$492,"P"))+('Info Lega'!$B$6-COUNTIFS($D$2:$D$492,'Info Lega'!$B$28,$B$2:$B$492,"D"))+('Info Lega'!$B$7-COUNTIFS($D$2:$D$492,'Info Lega'!$B$28,$B$2:$B$492,"C"))+('Info Lega'!$B$8-COUNTIFS($D$2:$D$492,'Info Lega'!$B$28,$B$2:$B$492,"A"))</f>
        <v>25</v>
      </c>
      <c r="Y402" s="18">
        <f>X402*'Parametri Modello'!$B$30</f>
        <v>25</v>
      </c>
      <c r="Z402" s="18">
        <f t="shared" si="56"/>
        <v>975</v>
      </c>
      <c r="AA402" s="18">
        <f t="shared" si="57"/>
        <v>1</v>
      </c>
      <c r="AB402" s="18"/>
      <c r="AC402" s="18" t="str">
        <f>IF($AB402="","",IF($AB402&gt;$AA402,"PASS",IF($AB402&lt;=$AA402*(1-'Parametri Modello'!$B$68),"BID","ATTENZIONE")))</f>
        <v/>
      </c>
      <c r="AD402" s="28" t="str">
        <f t="shared" si="58"/>
        <v/>
      </c>
      <c r="AE402" s="5" t="str">
        <f>IFERROR(INDEX('Stato Asta'!$G$9:$G$12,MATCH($B402,'Stato Asta'!$A$9:$A$12,0)),"")</f>
        <v>🔴 Non aspettare</v>
      </c>
      <c r="AF402" t="str">
        <f>IFERROR(IF($V402&lt;=INDEX('Parametri Modello'!$C$57:$C$60,MATCH($B402,'Parametri Modello'!$A$57:$A$60,0)),"Titolare","Riserva"),"")</f>
        <v>Riserva</v>
      </c>
      <c r="AG402" t="str">
        <f>IFERROR(INDEX('Pressione Competitiva'!$F$3:$F$6,MATCH($B402,'Pressione Competitiva'!$B$3:$B$6,0)),"")</f>
        <v>🔴 Molto Alta</v>
      </c>
      <c r="AH402" t="str">
        <f t="shared" si="59"/>
        <v/>
      </c>
      <c r="AI402" t="str">
        <f>IFERROR(IF($AH402="","",IF($AH402&gt;=$AA402*'Parametri Modello'!$B$68,"🟢 Opportunita'",IF($AH402&lt;=$AA402*'Parametri Modello'!$B$69,"🔴 Sovrapprezzo","🟡 Prezzo Corretto"))),"")</f>
        <v/>
      </c>
      <c r="AJ402" t="str">
        <f t="shared" si="60"/>
        <v/>
      </c>
      <c r="AK402">
        <f t="shared" si="61"/>
        <v>32</v>
      </c>
      <c r="AL402" t="str">
        <f t="shared" si="62"/>
        <v>D|Scommessa/Riserva|32</v>
      </c>
    </row>
    <row r="403" spans="1:38" ht="14.25" customHeight="1" x14ac:dyDescent="0.25">
      <c r="A403" s="18">
        <v>6681</v>
      </c>
      <c r="B403" s="18" t="s">
        <v>16</v>
      </c>
      <c r="C403" s="18" t="s">
        <v>542</v>
      </c>
      <c r="E403" s="23" t="str">
        <f>IF(COUNTIF('Info Strategia'!$D$2:$D$51,$C403)&gt;0,"SI","NO")</f>
        <v>NO</v>
      </c>
      <c r="F403" s="24">
        <f>IFERROR(ROUND(($G403+($H403-$G403)*'Info Strategia'!$B$6)*(1+IF($E403="SI",'Parametri Modello'!$B$7*'Info Strategia'!$B$6,0)),0),"")</f>
        <v>1</v>
      </c>
      <c r="G403" s="24">
        <f>IFERROR(ROUND(MAX(1,(IF($V403&lt;=INDEX('Parametri Modello'!$C$57:$C$60,MATCH($B403,'Parametri Modello'!$A$57:$A$60,0)),IF(INDEX('Parametri Modello'!$E$57:$E$60,MATCH($B403,'Parametri Modello'!$A$57:$A$60,0))=0,0,($O403/INDEX('Parametri Modello'!$E$57:$E$60,MATCH($B403,'Parametri Modello'!$A$57:$A$60,0)))*(INDEX('Parametri Modello'!$D$57:$D$60,MATCH($B403,'Parametri Modello'!$A$57:$A$60,0))*(INDEX('Parametri Modello'!$B$50:$B$53,MATCH($B403,'Parametri Modello'!$A$50:$A$53,0))*'Parametri Modello'!$B$44))),IF(INDEX('Parametri Modello'!$F$57:$F$60,MATCH($B403,'Parametri Modello'!$A$57:$A$60,0))=0,0,($O403/INDEX('Parametri Modello'!$F$57:$F$60,MATCH($B403,'Parametri Modello'!$A$57:$A$60,0)))*((1-INDEX('Parametri Modello'!$D$57:$D$60,MATCH($B403,'Parametri Modello'!$A$57:$A$60,0)))*(INDEX('Parametri Modello'!$B$50:$B$53,MATCH($B403,'Parametri Modello'!$A$50:$A$53,0))*'Parametri Modello'!$B$44))))*(1+IF(IF($B403="D",'Info Lega'!$B$25,IF($B403="C",'Info Lega'!$B$26,"No"))="Si",'Parametri Modello'!$B$5,0))*(1+MAX(-0.25,MIN(0.25,IF(OR($T403="",$I403="",$I403=0,INDEX('Parametri Modello'!$B$19:$B$22,MATCH($B403,'Parametri Modello'!$A$19:$A$22,0))="",INDEX('Parametri Modello'!$B$19:$B$22,MATCH($B403,'Parametri Modello'!$A$19:$A$22,0))=0),0,(($T403-INDEX('Parametri Modello'!$B$19:$B$22,MATCH($B403,'Parametri Modello'!$A$19:$A$22,0)))/INDEX('Parametri Modello'!$B$19:$B$22,MATCH($B403,'Parametri Modello'!$A$19:$A$22,0)))*'Parametri Modello'!$B$9))))*(1+IF('Parametri Modello'!$B$27="Si",MAX(-'Parametri Modello'!$B$28,MIN('Parametri Modello'!$B$28*1.5,IF(OR(INDEX('Parametri Modello'!$F$32:$F$35,MATCH($B403,'Parametri Modello'!$A$32:$A$35,0))="",INDEX('Parametri Modello'!$F$32:$F$35,MATCH($B403,'Parametri Modello'!$A$32:$A$35,0))=0),0,(1/INDEX('Parametri Modello'!$F$32:$F$35,MATCH($B403,'Parametri Modello'!$A$32:$A$35,0))-1)*'Parametri Modello'!$B$28))),0)))*(1-INDEX('Parametri Modello'!$B$12:$B$15,MATCH($B403,'Parametri Modello'!$A$12:$A$15,0)))),0),"")</f>
        <v>1</v>
      </c>
      <c r="H403" s="24">
        <f>IFERROR(ROUND((IF($V403&lt;=INDEX('Parametri Modello'!$C$57:$C$60,MATCH($B403,'Parametri Modello'!$A$57:$A$60,0)),IF(INDEX('Parametri Modello'!$E$57:$E$60,MATCH($B403,'Parametri Modello'!$A$57:$A$60,0))=0,0,($O403/INDEX('Parametri Modello'!$E$57:$E$60,MATCH($B403,'Parametri Modello'!$A$57:$A$60,0)))*(INDEX('Parametri Modello'!$D$57:$D$60,MATCH($B403,'Parametri Modello'!$A$57:$A$60,0))*(INDEX('Parametri Modello'!$B$50:$B$53,MATCH($B403,'Parametri Modello'!$A$50:$A$53,0))*'Parametri Modello'!$B$44))),IF(INDEX('Parametri Modello'!$F$57:$F$60,MATCH($B403,'Parametri Modello'!$A$57:$A$60,0))=0,0,($O403/INDEX('Parametri Modello'!$F$57:$F$60,MATCH($B403,'Parametri Modello'!$A$57:$A$60,0)))*((1-INDEX('Parametri Modello'!$D$57:$D$60,MATCH($B403,'Parametri Modello'!$A$57:$A$60,0)))*(INDEX('Parametri Modello'!$B$50:$B$53,MATCH($B403,'Parametri Modello'!$A$50:$A$53,0))*'Parametri Modello'!$B$44))))*(1+IF(IF($B403="D",'Info Lega'!$B$25,IF($B403="C",'Info Lega'!$B$26,"No"))="Si",'Parametri Modello'!$B$5,0))*(1+MAX(-0.25,MIN(0.25,IF(OR($T403="",$I403="",$I403=0,INDEX('Parametri Modello'!$B$19:$B$22,MATCH($B403,'Parametri Modello'!$A$19:$A$22,0))="",INDEX('Parametri Modello'!$B$19:$B$22,MATCH($B403,'Parametri Modello'!$A$19:$A$22,0))=0),0,(($T403-INDEX('Parametri Modello'!$B$19:$B$22,MATCH($B403,'Parametri Modello'!$A$19:$A$22,0)))/INDEX('Parametri Modello'!$B$19:$B$22,MATCH($B403,'Parametri Modello'!$A$19:$A$22,0)))*'Parametri Modello'!$B$9))))*(1+IF('Parametri Modello'!$B$27="Si",MAX(-'Parametri Modello'!$B$28,MIN('Parametri Modello'!$B$28*1.5,IF(OR(INDEX('Parametri Modello'!$F$32:$F$35,MATCH($B403,'Parametri Modello'!$A$32:$A$35,0))="",INDEX('Parametri Modello'!$F$32:$F$35,MATCH($B403,'Parametri Modello'!$A$32:$A$35,0))=0),0,(1/INDEX('Parametri Modello'!$F$32:$F$35,MATCH($B403,'Parametri Modello'!$A$32:$A$35,0))-1)*'Parametri Modello'!$B$28))),0)))*(1+INDEX('Parametri Modello'!$B$12:$B$15,MATCH($B403,'Parametri Modello'!$A$12:$A$15,0))),0),"")</f>
        <v>1</v>
      </c>
      <c r="I403" s="23" t="str">
        <f>IFERROR(INDEX('Input Statistiche 2025_26'!$F$3:$F$665,MATCH($A403,'Input Statistiche 2025_26'!$A$3:$A$665,0)),"")</f>
        <v/>
      </c>
      <c r="J403" s="23" t="str">
        <f t="shared" si="54"/>
        <v/>
      </c>
      <c r="K403" s="23" t="str">
        <f>IFERROR(INDEX('Input Statistiche 2025_26'!$I$3:$I$665,MATCH($A403,'Input Statistiche 2025_26'!$A$3:$A$665,0)),"")</f>
        <v/>
      </c>
      <c r="L403" s="23" t="str">
        <f>IFERROR(INDEX('Input Statistiche 2025_26'!$O$3:$O$665,MATCH($A403,'Input Statistiche 2025_26'!$A$3:$A$665,0)),"")</f>
        <v/>
      </c>
      <c r="M403" s="25"/>
      <c r="N403" s="24">
        <f>IFERROR(INDEX('Input Giocatori 2026_27'!$E$3:$E$493,MATCH($A403,'Input Giocatori 2026_27'!$A$3:$A$493,0)),"")</f>
        <v>2</v>
      </c>
      <c r="O403" s="24">
        <f>IFERROR(INDEX('Input Giocatori 2026_27'!$G$3:$G$493,MATCH($A403,'Input Giocatori 2026_27'!$A$3:$A$493,0)),"")</f>
        <v>4</v>
      </c>
      <c r="P403" s="23" t="str">
        <f>IFERROR(IF($O403="","",IF((1-(COUNTIFS($B$2:$B$492,$B403,$O$2:$O$492,"&gt;"&amp;$O403)+1-1)/COUNTIF($B$2:$B$492,$B403))&gt;='Parametri Modello'!$B$63,"Top",IF((1-(COUNTIFS($B$2:$B$492,$B403,$O$2:$O$492,"&gt;"&amp;$O403)+1-1)/COUNTIF($B$2:$B$492,$B403))&gt;='Parametri Modello'!$B$64,"Buono",IF((1-(COUNTIFS($B$2:$B$492,$B403,$O$2:$O$492,"&gt;"&amp;$O403)+1-1)/COUNTIF($B$2:$B$492,$B403))&gt;='Parametri Modello'!$B$65,"Nella Media","Scommessa/Riserva")))),"")</f>
        <v>Scommessa/Riserva</v>
      </c>
      <c r="Q403" s="26">
        <f>IF(AND($D403="",$N403&gt;1),SUMPRODUCT(($D$2:$D403="")*($N$2:$N403&gt;1)),"")</f>
        <v>398</v>
      </c>
      <c r="R403" s="26" t="str">
        <f>IF($D403='Info Lega'!$B$28,COUNTIFS($D$2:$D403,'Info Lega'!$B$28),"")</f>
        <v/>
      </c>
      <c r="S403" s="27" t="str">
        <f>IFERROR(INDEX('Input Statistiche 2025_26'!$G$3:$G$665,MATCH($A403,'Input Statistiche 2025_26'!$A$3:$A$665,0)),"")</f>
        <v/>
      </c>
      <c r="T403" s="27" t="str">
        <f>IFERROR(INDEX('Input Statistiche 2025_26'!$H$3:$H$665,MATCH($A403,'Input Statistiche 2025_26'!$A$3:$A$665,0)),"")</f>
        <v/>
      </c>
      <c r="U403" s="23" t="str">
        <f>IF(OR('La Mia Rosa'!$O$12="",$D403&lt;&gt;""),"",IF($F403&lt;='La Mia Rosa'!$O$12*'Parametri Modello'!$B$24,"OK",IF($F403&lt;='La Mia Rosa'!$O$12*'Parametri Modello'!$B$25,"Attenzione","Rischio Alto")))</f>
        <v>OK</v>
      </c>
      <c r="V403" s="23">
        <f t="shared" si="55"/>
        <v>145</v>
      </c>
      <c r="W403" s="18">
        <f>'Info Lega'!$B$4-SUMIFS($M$2:$M$492,$D$2:$D$492,'Info Lega'!$B$28)</f>
        <v>1000</v>
      </c>
      <c r="X403" s="18">
        <f>('Info Lega'!$B$5-COUNTIFS($D$2:$D$492,'Info Lega'!$B$28,$B$2:$B$492,"P"))+('Info Lega'!$B$6-COUNTIFS($D$2:$D$492,'Info Lega'!$B$28,$B$2:$B$492,"D"))+('Info Lega'!$B$7-COUNTIFS($D$2:$D$492,'Info Lega'!$B$28,$B$2:$B$492,"C"))+('Info Lega'!$B$8-COUNTIFS($D$2:$D$492,'Info Lega'!$B$28,$B$2:$B$492,"A"))</f>
        <v>25</v>
      </c>
      <c r="Y403" s="18">
        <f>X403*'Parametri Modello'!$B$30</f>
        <v>25</v>
      </c>
      <c r="Z403" s="18">
        <f t="shared" si="56"/>
        <v>975</v>
      </c>
      <c r="AA403" s="18">
        <f t="shared" si="57"/>
        <v>1</v>
      </c>
      <c r="AB403" s="18"/>
      <c r="AC403" s="18" t="str">
        <f>IF($AB403="","",IF($AB403&gt;$AA403,"PASS",IF($AB403&lt;=$AA403*(1-'Parametri Modello'!$B$68),"BID","ATTENZIONE")))</f>
        <v/>
      </c>
      <c r="AD403" s="28" t="str">
        <f t="shared" si="58"/>
        <v/>
      </c>
      <c r="AE403" s="5" t="str">
        <f>IFERROR(INDEX('Stato Asta'!$G$9:$G$12,MATCH($B403,'Stato Asta'!$A$9:$A$12,0)),"")</f>
        <v>🔴 Non aspettare</v>
      </c>
      <c r="AF403" t="str">
        <f>IFERROR(IF($V403&lt;=INDEX('Parametri Modello'!$C$57:$C$60,MATCH($B403,'Parametri Modello'!$A$57:$A$60,0)),"Titolare","Riserva"),"")</f>
        <v>Riserva</v>
      </c>
      <c r="AG403" t="str">
        <f>IFERROR(INDEX('Pressione Competitiva'!$F$3:$F$6,MATCH($B403,'Pressione Competitiva'!$B$3:$B$6,0)),"")</f>
        <v>🔴 Molto Alta</v>
      </c>
      <c r="AH403" t="str">
        <f t="shared" si="59"/>
        <v/>
      </c>
      <c r="AI403" t="str">
        <f>IFERROR(IF($AH403="","",IF($AH403&gt;=$AA403*'Parametri Modello'!$B$68,"🟢 Opportunita'",IF($AH403&lt;=$AA403*'Parametri Modello'!$B$69,"🔴 Sovrapprezzo","🟡 Prezzo Corretto"))),"")</f>
        <v/>
      </c>
      <c r="AJ403" t="str">
        <f t="shared" si="60"/>
        <v/>
      </c>
      <c r="AK403">
        <f t="shared" si="61"/>
        <v>32</v>
      </c>
      <c r="AL403" t="str">
        <f t="shared" si="62"/>
        <v>D|Scommessa/Riserva|32</v>
      </c>
    </row>
    <row r="404" spans="1:38" ht="14.25" customHeight="1" x14ac:dyDescent="0.25">
      <c r="A404" s="18">
        <v>487</v>
      </c>
      <c r="B404" s="18" t="s">
        <v>16</v>
      </c>
      <c r="C404" s="18" t="s">
        <v>543</v>
      </c>
      <c r="E404" s="23" t="str">
        <f>IF(COUNTIF('Info Strategia'!$D$2:$D$51,$C404)&gt;0,"SI","NO")</f>
        <v>NO</v>
      </c>
      <c r="F404" s="24">
        <f>IFERROR(ROUND(($G404+($H404-$G404)*'Info Strategia'!$B$6)*(1+IF($E404="SI",'Parametri Modello'!$B$7*'Info Strategia'!$B$6,0)),0),"")</f>
        <v>1</v>
      </c>
      <c r="G404" s="24">
        <f>IFERROR(ROUND(MAX(1,(IF($V404&lt;=INDEX('Parametri Modello'!$C$57:$C$60,MATCH($B404,'Parametri Modello'!$A$57:$A$60,0)),IF(INDEX('Parametri Modello'!$E$57:$E$60,MATCH($B404,'Parametri Modello'!$A$57:$A$60,0))=0,0,($O404/INDEX('Parametri Modello'!$E$57:$E$60,MATCH($B404,'Parametri Modello'!$A$57:$A$60,0)))*(INDEX('Parametri Modello'!$D$57:$D$60,MATCH($B404,'Parametri Modello'!$A$57:$A$60,0))*(INDEX('Parametri Modello'!$B$50:$B$53,MATCH($B404,'Parametri Modello'!$A$50:$A$53,0))*'Parametri Modello'!$B$44))),IF(INDEX('Parametri Modello'!$F$57:$F$60,MATCH($B404,'Parametri Modello'!$A$57:$A$60,0))=0,0,($O404/INDEX('Parametri Modello'!$F$57:$F$60,MATCH($B404,'Parametri Modello'!$A$57:$A$60,0)))*((1-INDEX('Parametri Modello'!$D$57:$D$60,MATCH($B404,'Parametri Modello'!$A$57:$A$60,0)))*(INDEX('Parametri Modello'!$B$50:$B$53,MATCH($B404,'Parametri Modello'!$A$50:$A$53,0))*'Parametri Modello'!$B$44))))*(1+IF(IF($B404="D",'Info Lega'!$B$25,IF($B404="C",'Info Lega'!$B$26,"No"))="Si",'Parametri Modello'!$B$5,0))*(1+MAX(-0.25,MIN(0.25,IF(OR($T404="",$I404="",$I404=0,INDEX('Parametri Modello'!$B$19:$B$22,MATCH($B404,'Parametri Modello'!$A$19:$A$22,0))="",INDEX('Parametri Modello'!$B$19:$B$22,MATCH($B404,'Parametri Modello'!$A$19:$A$22,0))=0),0,(($T404-INDEX('Parametri Modello'!$B$19:$B$22,MATCH($B404,'Parametri Modello'!$A$19:$A$22,0)))/INDEX('Parametri Modello'!$B$19:$B$22,MATCH($B404,'Parametri Modello'!$A$19:$A$22,0)))*'Parametri Modello'!$B$9))))*(1+IF('Parametri Modello'!$B$27="Si",MAX(-'Parametri Modello'!$B$28,MIN('Parametri Modello'!$B$28*1.5,IF(OR(INDEX('Parametri Modello'!$F$32:$F$35,MATCH($B404,'Parametri Modello'!$A$32:$A$35,0))="",INDEX('Parametri Modello'!$F$32:$F$35,MATCH($B404,'Parametri Modello'!$A$32:$A$35,0))=0),0,(1/INDEX('Parametri Modello'!$F$32:$F$35,MATCH($B404,'Parametri Modello'!$A$32:$A$35,0))-1)*'Parametri Modello'!$B$28))),0)))*(1-INDEX('Parametri Modello'!$B$12:$B$15,MATCH($B404,'Parametri Modello'!$A$12:$A$15,0)))),0),"")</f>
        <v>1</v>
      </c>
      <c r="H404" s="24">
        <f>IFERROR(ROUND((IF($V404&lt;=INDEX('Parametri Modello'!$C$57:$C$60,MATCH($B404,'Parametri Modello'!$A$57:$A$60,0)),IF(INDEX('Parametri Modello'!$E$57:$E$60,MATCH($B404,'Parametri Modello'!$A$57:$A$60,0))=0,0,($O404/INDEX('Parametri Modello'!$E$57:$E$60,MATCH($B404,'Parametri Modello'!$A$57:$A$60,0)))*(INDEX('Parametri Modello'!$D$57:$D$60,MATCH($B404,'Parametri Modello'!$A$57:$A$60,0))*(INDEX('Parametri Modello'!$B$50:$B$53,MATCH($B404,'Parametri Modello'!$A$50:$A$53,0))*'Parametri Modello'!$B$44))),IF(INDEX('Parametri Modello'!$F$57:$F$60,MATCH($B404,'Parametri Modello'!$A$57:$A$60,0))=0,0,($O404/INDEX('Parametri Modello'!$F$57:$F$60,MATCH($B404,'Parametri Modello'!$A$57:$A$60,0)))*((1-INDEX('Parametri Modello'!$D$57:$D$60,MATCH($B404,'Parametri Modello'!$A$57:$A$60,0)))*(INDEX('Parametri Modello'!$B$50:$B$53,MATCH($B404,'Parametri Modello'!$A$50:$A$53,0))*'Parametri Modello'!$B$44))))*(1+IF(IF($B404="D",'Info Lega'!$B$25,IF($B404="C",'Info Lega'!$B$26,"No"))="Si",'Parametri Modello'!$B$5,0))*(1+MAX(-0.25,MIN(0.25,IF(OR($T404="",$I404="",$I404=0,INDEX('Parametri Modello'!$B$19:$B$22,MATCH($B404,'Parametri Modello'!$A$19:$A$22,0))="",INDEX('Parametri Modello'!$B$19:$B$22,MATCH($B404,'Parametri Modello'!$A$19:$A$22,0))=0),0,(($T404-INDEX('Parametri Modello'!$B$19:$B$22,MATCH($B404,'Parametri Modello'!$A$19:$A$22,0)))/INDEX('Parametri Modello'!$B$19:$B$22,MATCH($B404,'Parametri Modello'!$A$19:$A$22,0)))*'Parametri Modello'!$B$9))))*(1+IF('Parametri Modello'!$B$27="Si",MAX(-'Parametri Modello'!$B$28,MIN('Parametri Modello'!$B$28*1.5,IF(OR(INDEX('Parametri Modello'!$F$32:$F$35,MATCH($B404,'Parametri Modello'!$A$32:$A$35,0))="",INDEX('Parametri Modello'!$F$32:$F$35,MATCH($B404,'Parametri Modello'!$A$32:$A$35,0))=0),0,(1/INDEX('Parametri Modello'!$F$32:$F$35,MATCH($B404,'Parametri Modello'!$A$32:$A$35,0))-1)*'Parametri Modello'!$B$28))),0)))*(1+INDEX('Parametri Modello'!$B$12:$B$15,MATCH($B404,'Parametri Modello'!$A$12:$A$15,0))),0),"")</f>
        <v>1</v>
      </c>
      <c r="I404" s="23">
        <f>IFERROR(INDEX('Input Statistiche 2025_26'!$F$3:$F$665,MATCH($A404,'Input Statistiche 2025_26'!$A$3:$A$665,0)),"")</f>
        <v>10</v>
      </c>
      <c r="J404" s="23">
        <f t="shared" si="54"/>
        <v>28</v>
      </c>
      <c r="K404" s="23">
        <f>IFERROR(INDEX('Input Statistiche 2025_26'!$I$3:$I$665,MATCH($A404,'Input Statistiche 2025_26'!$A$3:$A$665,0)),"")</f>
        <v>0</v>
      </c>
      <c r="L404" s="23">
        <f>IFERROR(INDEX('Input Statistiche 2025_26'!$O$3:$O$665,MATCH($A404,'Input Statistiche 2025_26'!$A$3:$A$665,0)),"")</f>
        <v>0</v>
      </c>
      <c r="M404" s="25"/>
      <c r="N404" s="24">
        <f>IFERROR(INDEX('Input Giocatori 2026_27'!$E$3:$E$493,MATCH($A404,'Input Giocatori 2026_27'!$A$3:$A$493,0)),"")</f>
        <v>1</v>
      </c>
      <c r="O404" s="24">
        <f>IFERROR(INDEX('Input Giocatori 2026_27'!$G$3:$G$493,MATCH($A404,'Input Giocatori 2026_27'!$A$3:$A$493,0)),"")</f>
        <v>4</v>
      </c>
      <c r="P404" s="23" t="str">
        <f>IFERROR(IF($O404="","",IF((1-(COUNTIFS($B$2:$B$492,$B404,$O$2:$O$492,"&gt;"&amp;$O404)+1-1)/COUNTIF($B$2:$B$492,$B404))&gt;='Parametri Modello'!$B$63,"Top",IF((1-(COUNTIFS($B$2:$B$492,$B404,$O$2:$O$492,"&gt;"&amp;$O404)+1-1)/COUNTIF($B$2:$B$492,$B404))&gt;='Parametri Modello'!$B$64,"Buono",IF((1-(COUNTIFS($B$2:$B$492,$B404,$O$2:$O$492,"&gt;"&amp;$O404)+1-1)/COUNTIF($B$2:$B$492,$B404))&gt;='Parametri Modello'!$B$65,"Nella Media","Scommessa/Riserva")))),"")</f>
        <v>Scommessa/Riserva</v>
      </c>
      <c r="Q404" s="26" t="str">
        <f>IF(AND($D404="",$N404&gt;1),SUMPRODUCT(($D$2:$D404="")*($N$2:$N404&gt;1)),"")</f>
        <v/>
      </c>
      <c r="R404" s="26" t="str">
        <f>IF($D404='Info Lega'!$B$28,COUNTIFS($D$2:$D404,'Info Lega'!$B$28),"")</f>
        <v/>
      </c>
      <c r="S404" s="27">
        <f>IFERROR(INDEX('Input Statistiche 2025_26'!$G$3:$G$665,MATCH($A404,'Input Statistiche 2025_26'!$A$3:$A$665,0)),"")</f>
        <v>6.05</v>
      </c>
      <c r="T404" s="27">
        <f>IFERROR(INDEX('Input Statistiche 2025_26'!$H$3:$H$665,MATCH($A404,'Input Statistiche 2025_26'!$A$3:$A$665,0)),"")</f>
        <v>5.95</v>
      </c>
      <c r="U404" s="23" t="str">
        <f>IF(OR('La Mia Rosa'!$O$12="",$D404&lt;&gt;""),"",IF($F404&lt;='La Mia Rosa'!$O$12*'Parametri Modello'!$B$24,"OK",IF($F404&lt;='La Mia Rosa'!$O$12*'Parametri Modello'!$B$25,"Attenzione","Rischio Alto")))</f>
        <v>OK</v>
      </c>
      <c r="V404" s="23">
        <f t="shared" si="55"/>
        <v>145</v>
      </c>
      <c r="W404" s="18">
        <f>'Info Lega'!$B$4-SUMIFS($M$2:$M$492,$D$2:$D$492,'Info Lega'!$B$28)</f>
        <v>1000</v>
      </c>
      <c r="X404" s="18">
        <f>('Info Lega'!$B$5-COUNTIFS($D$2:$D$492,'Info Lega'!$B$28,$B$2:$B$492,"P"))+('Info Lega'!$B$6-COUNTIFS($D$2:$D$492,'Info Lega'!$B$28,$B$2:$B$492,"D"))+('Info Lega'!$B$7-COUNTIFS($D$2:$D$492,'Info Lega'!$B$28,$B$2:$B$492,"C"))+('Info Lega'!$B$8-COUNTIFS($D$2:$D$492,'Info Lega'!$B$28,$B$2:$B$492,"A"))</f>
        <v>25</v>
      </c>
      <c r="Y404" s="18">
        <f>X404*'Parametri Modello'!$B$30</f>
        <v>25</v>
      </c>
      <c r="Z404" s="18">
        <f t="shared" si="56"/>
        <v>975</v>
      </c>
      <c r="AA404" s="18">
        <f t="shared" si="57"/>
        <v>1</v>
      </c>
      <c r="AB404" s="18"/>
      <c r="AC404" s="18" t="str">
        <f>IF($AB404="","",IF($AB404&gt;$AA404,"PASS",IF($AB404&lt;=$AA404*(1-'Parametri Modello'!$B$68),"BID","ATTENZIONE")))</f>
        <v/>
      </c>
      <c r="AD404" s="28">
        <f t="shared" si="58"/>
        <v>28</v>
      </c>
      <c r="AE404" s="5" t="str">
        <f>IFERROR(INDEX('Stato Asta'!$G$9:$G$12,MATCH($B404,'Stato Asta'!$A$9:$A$12,0)),"")</f>
        <v>🔴 Non aspettare</v>
      </c>
      <c r="AF404" t="str">
        <f>IFERROR(IF($V404&lt;=INDEX('Parametri Modello'!$C$57:$C$60,MATCH($B404,'Parametri Modello'!$A$57:$A$60,0)),"Titolare","Riserva"),"")</f>
        <v>Riserva</v>
      </c>
      <c r="AG404" t="str">
        <f>IFERROR(INDEX('Pressione Competitiva'!$F$3:$F$6,MATCH($B404,'Pressione Competitiva'!$B$3:$B$6,0)),"")</f>
        <v>🔴 Molto Alta</v>
      </c>
      <c r="AH404" t="str">
        <f t="shared" si="59"/>
        <v/>
      </c>
      <c r="AI404" t="str">
        <f>IFERROR(IF($AH404="","",IF($AH404&gt;=$AA404*'Parametri Modello'!$B$68,"🟢 Opportunita'",IF($AH404&lt;=$AA404*'Parametri Modello'!$B$69,"🔴 Sovrapprezzo","🟡 Prezzo Corretto"))),"")</f>
        <v/>
      </c>
      <c r="AJ404" t="str">
        <f t="shared" si="60"/>
        <v/>
      </c>
      <c r="AK404" t="str">
        <f t="shared" si="61"/>
        <v/>
      </c>
      <c r="AL404" t="str">
        <f t="shared" si="62"/>
        <v/>
      </c>
    </row>
    <row r="405" spans="1:38" ht="14.25" customHeight="1" x14ac:dyDescent="0.25">
      <c r="A405" s="18">
        <v>6039</v>
      </c>
      <c r="B405" s="18" t="s">
        <v>16</v>
      </c>
      <c r="C405" s="18" t="s">
        <v>544</v>
      </c>
      <c r="E405" s="23" t="str">
        <f>IF(COUNTIF('Info Strategia'!$D$2:$D$51,$C405)&gt;0,"SI","NO")</f>
        <v>NO</v>
      </c>
      <c r="F405" s="24">
        <f>IFERROR(ROUND(($G405+($H405-$G405)*'Info Strategia'!$B$6)*(1+IF($E405="SI",'Parametri Modello'!$B$7*'Info Strategia'!$B$6,0)),0),"")</f>
        <v>1</v>
      </c>
      <c r="G405" s="24">
        <f>IFERROR(ROUND(MAX(1,(IF($V405&lt;=INDEX('Parametri Modello'!$C$57:$C$60,MATCH($B405,'Parametri Modello'!$A$57:$A$60,0)),IF(INDEX('Parametri Modello'!$E$57:$E$60,MATCH($B405,'Parametri Modello'!$A$57:$A$60,0))=0,0,($O405/INDEX('Parametri Modello'!$E$57:$E$60,MATCH($B405,'Parametri Modello'!$A$57:$A$60,0)))*(INDEX('Parametri Modello'!$D$57:$D$60,MATCH($B405,'Parametri Modello'!$A$57:$A$60,0))*(INDEX('Parametri Modello'!$B$50:$B$53,MATCH($B405,'Parametri Modello'!$A$50:$A$53,0))*'Parametri Modello'!$B$44))),IF(INDEX('Parametri Modello'!$F$57:$F$60,MATCH($B405,'Parametri Modello'!$A$57:$A$60,0))=0,0,($O405/INDEX('Parametri Modello'!$F$57:$F$60,MATCH($B405,'Parametri Modello'!$A$57:$A$60,0)))*((1-INDEX('Parametri Modello'!$D$57:$D$60,MATCH($B405,'Parametri Modello'!$A$57:$A$60,0)))*(INDEX('Parametri Modello'!$B$50:$B$53,MATCH($B405,'Parametri Modello'!$A$50:$A$53,0))*'Parametri Modello'!$B$44))))*(1+IF(IF($B405="D",'Info Lega'!$B$25,IF($B405="C",'Info Lega'!$B$26,"No"))="Si",'Parametri Modello'!$B$5,0))*(1+MAX(-0.25,MIN(0.25,IF(OR($T405="",$I405="",$I405=0,INDEX('Parametri Modello'!$B$19:$B$22,MATCH($B405,'Parametri Modello'!$A$19:$A$22,0))="",INDEX('Parametri Modello'!$B$19:$B$22,MATCH($B405,'Parametri Modello'!$A$19:$A$22,0))=0),0,(($T405-INDEX('Parametri Modello'!$B$19:$B$22,MATCH($B405,'Parametri Modello'!$A$19:$A$22,0)))/INDEX('Parametri Modello'!$B$19:$B$22,MATCH($B405,'Parametri Modello'!$A$19:$A$22,0)))*'Parametri Modello'!$B$9))))*(1+IF('Parametri Modello'!$B$27="Si",MAX(-'Parametri Modello'!$B$28,MIN('Parametri Modello'!$B$28*1.5,IF(OR(INDEX('Parametri Modello'!$F$32:$F$35,MATCH($B405,'Parametri Modello'!$A$32:$A$35,0))="",INDEX('Parametri Modello'!$F$32:$F$35,MATCH($B405,'Parametri Modello'!$A$32:$A$35,0))=0),0,(1/INDEX('Parametri Modello'!$F$32:$F$35,MATCH($B405,'Parametri Modello'!$A$32:$A$35,0))-1)*'Parametri Modello'!$B$28))),0)))*(1-INDEX('Parametri Modello'!$B$12:$B$15,MATCH($B405,'Parametri Modello'!$A$12:$A$15,0)))),0),"")</f>
        <v>1</v>
      </c>
      <c r="H405" s="24">
        <f>IFERROR(ROUND((IF($V405&lt;=INDEX('Parametri Modello'!$C$57:$C$60,MATCH($B405,'Parametri Modello'!$A$57:$A$60,0)),IF(INDEX('Parametri Modello'!$E$57:$E$60,MATCH($B405,'Parametri Modello'!$A$57:$A$60,0))=0,0,($O405/INDEX('Parametri Modello'!$E$57:$E$60,MATCH($B405,'Parametri Modello'!$A$57:$A$60,0)))*(INDEX('Parametri Modello'!$D$57:$D$60,MATCH($B405,'Parametri Modello'!$A$57:$A$60,0))*(INDEX('Parametri Modello'!$B$50:$B$53,MATCH($B405,'Parametri Modello'!$A$50:$A$53,0))*'Parametri Modello'!$B$44))),IF(INDEX('Parametri Modello'!$F$57:$F$60,MATCH($B405,'Parametri Modello'!$A$57:$A$60,0))=0,0,($O405/INDEX('Parametri Modello'!$F$57:$F$60,MATCH($B405,'Parametri Modello'!$A$57:$A$60,0)))*((1-INDEX('Parametri Modello'!$D$57:$D$60,MATCH($B405,'Parametri Modello'!$A$57:$A$60,0)))*(INDEX('Parametri Modello'!$B$50:$B$53,MATCH($B405,'Parametri Modello'!$A$50:$A$53,0))*'Parametri Modello'!$B$44))))*(1+IF(IF($B405="D",'Info Lega'!$B$25,IF($B405="C",'Info Lega'!$B$26,"No"))="Si",'Parametri Modello'!$B$5,0))*(1+MAX(-0.25,MIN(0.25,IF(OR($T405="",$I405="",$I405=0,INDEX('Parametri Modello'!$B$19:$B$22,MATCH($B405,'Parametri Modello'!$A$19:$A$22,0))="",INDEX('Parametri Modello'!$B$19:$B$22,MATCH($B405,'Parametri Modello'!$A$19:$A$22,0))=0),0,(($T405-INDEX('Parametri Modello'!$B$19:$B$22,MATCH($B405,'Parametri Modello'!$A$19:$A$22,0)))/INDEX('Parametri Modello'!$B$19:$B$22,MATCH($B405,'Parametri Modello'!$A$19:$A$22,0)))*'Parametri Modello'!$B$9))))*(1+IF('Parametri Modello'!$B$27="Si",MAX(-'Parametri Modello'!$B$28,MIN('Parametri Modello'!$B$28*1.5,IF(OR(INDEX('Parametri Modello'!$F$32:$F$35,MATCH($B405,'Parametri Modello'!$A$32:$A$35,0))="",INDEX('Parametri Modello'!$F$32:$F$35,MATCH($B405,'Parametri Modello'!$A$32:$A$35,0))=0),0,(1/INDEX('Parametri Modello'!$F$32:$F$35,MATCH($B405,'Parametri Modello'!$A$32:$A$35,0))-1)*'Parametri Modello'!$B$28))),0)))*(1+INDEX('Parametri Modello'!$B$12:$B$15,MATCH($B405,'Parametri Modello'!$A$12:$A$15,0))),0),"")</f>
        <v>1</v>
      </c>
      <c r="I405" s="23">
        <f>IFERROR(INDEX('Input Statistiche 2025_26'!$F$3:$F$665,MATCH($A405,'Input Statistiche 2025_26'!$A$3:$A$665,0)),"")</f>
        <v>9</v>
      </c>
      <c r="J405" s="23">
        <f t="shared" si="54"/>
        <v>29</v>
      </c>
      <c r="K405" s="23">
        <f>IFERROR(INDEX('Input Statistiche 2025_26'!$I$3:$I$665,MATCH($A405,'Input Statistiche 2025_26'!$A$3:$A$665,0)),"")</f>
        <v>2</v>
      </c>
      <c r="L405" s="23">
        <f>IFERROR(INDEX('Input Statistiche 2025_26'!$O$3:$O$665,MATCH($A405,'Input Statistiche 2025_26'!$A$3:$A$665,0)),"")</f>
        <v>0</v>
      </c>
      <c r="M405" s="25"/>
      <c r="N405" s="24">
        <f>IFERROR(INDEX('Input Giocatori 2026_27'!$E$3:$E$493,MATCH($A405,'Input Giocatori 2026_27'!$A$3:$A$493,0)),"")</f>
        <v>1</v>
      </c>
      <c r="O405" s="24">
        <f>IFERROR(INDEX('Input Giocatori 2026_27'!$G$3:$G$493,MATCH($A405,'Input Giocatori 2026_27'!$A$3:$A$493,0)),"")</f>
        <v>4</v>
      </c>
      <c r="P405" s="23" t="str">
        <f>IFERROR(IF($O405="","",IF((1-(COUNTIFS($B$2:$B$492,$B405,$O$2:$O$492,"&gt;"&amp;$O405)+1-1)/COUNTIF($B$2:$B$492,$B405))&gt;='Parametri Modello'!$B$63,"Top",IF((1-(COUNTIFS($B$2:$B$492,$B405,$O$2:$O$492,"&gt;"&amp;$O405)+1-1)/COUNTIF($B$2:$B$492,$B405))&gt;='Parametri Modello'!$B$64,"Buono",IF((1-(COUNTIFS($B$2:$B$492,$B405,$O$2:$O$492,"&gt;"&amp;$O405)+1-1)/COUNTIF($B$2:$B$492,$B405))&gt;='Parametri Modello'!$B$65,"Nella Media","Scommessa/Riserva")))),"")</f>
        <v>Scommessa/Riserva</v>
      </c>
      <c r="Q405" s="26" t="str">
        <f>IF(AND($D405="",$N405&gt;1),SUMPRODUCT(($D$2:$D405="")*($N$2:$N405&gt;1)),"")</f>
        <v/>
      </c>
      <c r="R405" s="26" t="str">
        <f>IF($D405='Info Lega'!$B$28,COUNTIFS($D$2:$D405,'Info Lega'!$B$28),"")</f>
        <v/>
      </c>
      <c r="S405" s="27">
        <f>IFERROR(INDEX('Input Statistiche 2025_26'!$G$3:$G$665,MATCH($A405,'Input Statistiche 2025_26'!$A$3:$A$665,0)),"")</f>
        <v>5.94</v>
      </c>
      <c r="T405" s="27">
        <f>IFERROR(INDEX('Input Statistiche 2025_26'!$H$3:$H$665,MATCH($A405,'Input Statistiche 2025_26'!$A$3:$A$665,0)),"")</f>
        <v>6.56</v>
      </c>
      <c r="U405" s="23" t="str">
        <f>IF(OR('La Mia Rosa'!$O$12="",$D405&lt;&gt;""),"",IF($F405&lt;='La Mia Rosa'!$O$12*'Parametri Modello'!$B$24,"OK",IF($F405&lt;='La Mia Rosa'!$O$12*'Parametri Modello'!$B$25,"Attenzione","Rischio Alto")))</f>
        <v>OK</v>
      </c>
      <c r="V405" s="23">
        <f t="shared" si="55"/>
        <v>145</v>
      </c>
      <c r="W405" s="18">
        <f>'Info Lega'!$B$4-SUMIFS($M$2:$M$492,$D$2:$D$492,'Info Lega'!$B$28)</f>
        <v>1000</v>
      </c>
      <c r="X405" s="18">
        <f>('Info Lega'!$B$5-COUNTIFS($D$2:$D$492,'Info Lega'!$B$28,$B$2:$B$492,"P"))+('Info Lega'!$B$6-COUNTIFS($D$2:$D$492,'Info Lega'!$B$28,$B$2:$B$492,"D"))+('Info Lega'!$B$7-COUNTIFS($D$2:$D$492,'Info Lega'!$B$28,$B$2:$B$492,"C"))+('Info Lega'!$B$8-COUNTIFS($D$2:$D$492,'Info Lega'!$B$28,$B$2:$B$492,"A"))</f>
        <v>25</v>
      </c>
      <c r="Y405" s="18">
        <f>X405*'Parametri Modello'!$B$30</f>
        <v>25</v>
      </c>
      <c r="Z405" s="18">
        <f t="shared" si="56"/>
        <v>975</v>
      </c>
      <c r="AA405" s="18">
        <f t="shared" si="57"/>
        <v>1</v>
      </c>
      <c r="AB405" s="18"/>
      <c r="AC405" s="18" t="str">
        <f>IF($AB405="","",IF($AB405&gt;$AA405,"PASS",IF($AB405&lt;=$AA405*(1-'Parametri Modello'!$B$68),"BID","ATTENZIONE")))</f>
        <v/>
      </c>
      <c r="AD405" s="28">
        <f t="shared" si="58"/>
        <v>26</v>
      </c>
      <c r="AE405" s="5" t="str">
        <f>IFERROR(INDEX('Stato Asta'!$G$9:$G$12,MATCH($B405,'Stato Asta'!$A$9:$A$12,0)),"")</f>
        <v>🔴 Non aspettare</v>
      </c>
      <c r="AF405" t="str">
        <f>IFERROR(IF($V405&lt;=INDEX('Parametri Modello'!$C$57:$C$60,MATCH($B405,'Parametri Modello'!$A$57:$A$60,0)),"Titolare","Riserva"),"")</f>
        <v>Riserva</v>
      </c>
      <c r="AG405" t="str">
        <f>IFERROR(INDEX('Pressione Competitiva'!$F$3:$F$6,MATCH($B405,'Pressione Competitiva'!$B$3:$B$6,0)),"")</f>
        <v>🔴 Molto Alta</v>
      </c>
      <c r="AH405" t="str">
        <f t="shared" si="59"/>
        <v/>
      </c>
      <c r="AI405" t="str">
        <f>IFERROR(IF($AH405="","",IF($AH405&gt;=$AA405*'Parametri Modello'!$B$68,"🟢 Opportunita'",IF($AH405&lt;=$AA405*'Parametri Modello'!$B$69,"🔴 Sovrapprezzo","🟡 Prezzo Corretto"))),"")</f>
        <v/>
      </c>
      <c r="AJ405" t="str">
        <f t="shared" si="60"/>
        <v/>
      </c>
      <c r="AK405" t="str">
        <f t="shared" si="61"/>
        <v/>
      </c>
      <c r="AL405" t="str">
        <f t="shared" si="62"/>
        <v/>
      </c>
    </row>
    <row r="406" spans="1:38" ht="14.25" customHeight="1" x14ac:dyDescent="0.25">
      <c r="A406" s="18">
        <v>327</v>
      </c>
      <c r="B406" s="18" t="s">
        <v>16</v>
      </c>
      <c r="C406" s="18" t="s">
        <v>545</v>
      </c>
      <c r="E406" s="23" t="str">
        <f>IF(COUNTIF('Info Strategia'!$D$2:$D$51,$C406)&gt;0,"SI","NO")</f>
        <v>NO</v>
      </c>
      <c r="F406" s="24">
        <f>IFERROR(ROUND(($G406+($H406-$G406)*'Info Strategia'!$B$6)*(1+IF($E406="SI",'Parametri Modello'!$B$7*'Info Strategia'!$B$6,0)),0),"")</f>
        <v>1</v>
      </c>
      <c r="G406" s="24">
        <f>IFERROR(ROUND(MAX(1,(IF($V406&lt;=INDEX('Parametri Modello'!$C$57:$C$60,MATCH($B406,'Parametri Modello'!$A$57:$A$60,0)),IF(INDEX('Parametri Modello'!$E$57:$E$60,MATCH($B406,'Parametri Modello'!$A$57:$A$60,0))=0,0,($O406/INDEX('Parametri Modello'!$E$57:$E$60,MATCH($B406,'Parametri Modello'!$A$57:$A$60,0)))*(INDEX('Parametri Modello'!$D$57:$D$60,MATCH($B406,'Parametri Modello'!$A$57:$A$60,0))*(INDEX('Parametri Modello'!$B$50:$B$53,MATCH($B406,'Parametri Modello'!$A$50:$A$53,0))*'Parametri Modello'!$B$44))),IF(INDEX('Parametri Modello'!$F$57:$F$60,MATCH($B406,'Parametri Modello'!$A$57:$A$60,0))=0,0,($O406/INDEX('Parametri Modello'!$F$57:$F$60,MATCH($B406,'Parametri Modello'!$A$57:$A$60,0)))*((1-INDEX('Parametri Modello'!$D$57:$D$60,MATCH($B406,'Parametri Modello'!$A$57:$A$60,0)))*(INDEX('Parametri Modello'!$B$50:$B$53,MATCH($B406,'Parametri Modello'!$A$50:$A$53,0))*'Parametri Modello'!$B$44))))*(1+IF(IF($B406="D",'Info Lega'!$B$25,IF($B406="C",'Info Lega'!$B$26,"No"))="Si",'Parametri Modello'!$B$5,0))*(1+MAX(-0.25,MIN(0.25,IF(OR($T406="",$I406="",$I406=0,INDEX('Parametri Modello'!$B$19:$B$22,MATCH($B406,'Parametri Modello'!$A$19:$A$22,0))="",INDEX('Parametri Modello'!$B$19:$B$22,MATCH($B406,'Parametri Modello'!$A$19:$A$22,0))=0),0,(($T406-INDEX('Parametri Modello'!$B$19:$B$22,MATCH($B406,'Parametri Modello'!$A$19:$A$22,0)))/INDEX('Parametri Modello'!$B$19:$B$22,MATCH($B406,'Parametri Modello'!$A$19:$A$22,0)))*'Parametri Modello'!$B$9))))*(1+IF('Parametri Modello'!$B$27="Si",MAX(-'Parametri Modello'!$B$28,MIN('Parametri Modello'!$B$28*1.5,IF(OR(INDEX('Parametri Modello'!$F$32:$F$35,MATCH($B406,'Parametri Modello'!$A$32:$A$35,0))="",INDEX('Parametri Modello'!$F$32:$F$35,MATCH($B406,'Parametri Modello'!$A$32:$A$35,0))=0),0,(1/INDEX('Parametri Modello'!$F$32:$F$35,MATCH($B406,'Parametri Modello'!$A$32:$A$35,0))-1)*'Parametri Modello'!$B$28))),0)))*(1-INDEX('Parametri Modello'!$B$12:$B$15,MATCH($B406,'Parametri Modello'!$A$12:$A$15,0)))),0),"")</f>
        <v>1</v>
      </c>
      <c r="H406" s="24">
        <f>IFERROR(ROUND((IF($V406&lt;=INDEX('Parametri Modello'!$C$57:$C$60,MATCH($B406,'Parametri Modello'!$A$57:$A$60,0)),IF(INDEX('Parametri Modello'!$E$57:$E$60,MATCH($B406,'Parametri Modello'!$A$57:$A$60,0))=0,0,($O406/INDEX('Parametri Modello'!$E$57:$E$60,MATCH($B406,'Parametri Modello'!$A$57:$A$60,0)))*(INDEX('Parametri Modello'!$D$57:$D$60,MATCH($B406,'Parametri Modello'!$A$57:$A$60,0))*(INDEX('Parametri Modello'!$B$50:$B$53,MATCH($B406,'Parametri Modello'!$A$50:$A$53,0))*'Parametri Modello'!$B$44))),IF(INDEX('Parametri Modello'!$F$57:$F$60,MATCH($B406,'Parametri Modello'!$A$57:$A$60,0))=0,0,($O406/INDEX('Parametri Modello'!$F$57:$F$60,MATCH($B406,'Parametri Modello'!$A$57:$A$60,0)))*((1-INDEX('Parametri Modello'!$D$57:$D$60,MATCH($B406,'Parametri Modello'!$A$57:$A$60,0)))*(INDEX('Parametri Modello'!$B$50:$B$53,MATCH($B406,'Parametri Modello'!$A$50:$A$53,0))*'Parametri Modello'!$B$44))))*(1+IF(IF($B406="D",'Info Lega'!$B$25,IF($B406="C",'Info Lega'!$B$26,"No"))="Si",'Parametri Modello'!$B$5,0))*(1+MAX(-0.25,MIN(0.25,IF(OR($T406="",$I406="",$I406=0,INDEX('Parametri Modello'!$B$19:$B$22,MATCH($B406,'Parametri Modello'!$A$19:$A$22,0))="",INDEX('Parametri Modello'!$B$19:$B$22,MATCH($B406,'Parametri Modello'!$A$19:$A$22,0))=0),0,(($T406-INDEX('Parametri Modello'!$B$19:$B$22,MATCH($B406,'Parametri Modello'!$A$19:$A$22,0)))/INDEX('Parametri Modello'!$B$19:$B$22,MATCH($B406,'Parametri Modello'!$A$19:$A$22,0)))*'Parametri Modello'!$B$9))))*(1+IF('Parametri Modello'!$B$27="Si",MAX(-'Parametri Modello'!$B$28,MIN('Parametri Modello'!$B$28*1.5,IF(OR(INDEX('Parametri Modello'!$F$32:$F$35,MATCH($B406,'Parametri Modello'!$A$32:$A$35,0))="",INDEX('Parametri Modello'!$F$32:$F$35,MATCH($B406,'Parametri Modello'!$A$32:$A$35,0))=0),0,(1/INDEX('Parametri Modello'!$F$32:$F$35,MATCH($B406,'Parametri Modello'!$A$32:$A$35,0))-1)*'Parametri Modello'!$B$28))),0)))*(1+INDEX('Parametri Modello'!$B$12:$B$15,MATCH($B406,'Parametri Modello'!$A$12:$A$15,0))),0),"")</f>
        <v>1</v>
      </c>
      <c r="I406" s="23">
        <f>IFERROR(INDEX('Input Statistiche 2025_26'!$F$3:$F$665,MATCH($A406,'Input Statistiche 2025_26'!$A$3:$A$665,0)),"")</f>
        <v>10</v>
      </c>
      <c r="J406" s="23">
        <f t="shared" si="54"/>
        <v>28</v>
      </c>
      <c r="K406" s="23">
        <f>IFERROR(INDEX('Input Statistiche 2025_26'!$I$3:$I$665,MATCH($A406,'Input Statistiche 2025_26'!$A$3:$A$665,0)),"")</f>
        <v>0</v>
      </c>
      <c r="L406" s="23">
        <f>IFERROR(INDEX('Input Statistiche 2025_26'!$O$3:$O$665,MATCH($A406,'Input Statistiche 2025_26'!$A$3:$A$665,0)),"")</f>
        <v>0</v>
      </c>
      <c r="M406" s="25"/>
      <c r="N406" s="24">
        <f>IFERROR(INDEX('Input Giocatori 2026_27'!$E$3:$E$493,MATCH($A406,'Input Giocatori 2026_27'!$A$3:$A$493,0)),"")</f>
        <v>1</v>
      </c>
      <c r="O406" s="24">
        <f>IFERROR(INDEX('Input Giocatori 2026_27'!$G$3:$G$493,MATCH($A406,'Input Giocatori 2026_27'!$A$3:$A$493,0)),"")</f>
        <v>4</v>
      </c>
      <c r="P406" s="23" t="str">
        <f>IFERROR(IF($O406="","",IF((1-(COUNTIFS($B$2:$B$492,$B406,$O$2:$O$492,"&gt;"&amp;$O406)+1-1)/COUNTIF($B$2:$B$492,$B406))&gt;='Parametri Modello'!$B$63,"Top",IF((1-(COUNTIFS($B$2:$B$492,$B406,$O$2:$O$492,"&gt;"&amp;$O406)+1-1)/COUNTIF($B$2:$B$492,$B406))&gt;='Parametri Modello'!$B$64,"Buono",IF((1-(COUNTIFS($B$2:$B$492,$B406,$O$2:$O$492,"&gt;"&amp;$O406)+1-1)/COUNTIF($B$2:$B$492,$B406))&gt;='Parametri Modello'!$B$65,"Nella Media","Scommessa/Riserva")))),"")</f>
        <v>Scommessa/Riserva</v>
      </c>
      <c r="Q406" s="26" t="str">
        <f>IF(AND($D406="",$N406&gt;1),SUMPRODUCT(($D$2:$D406="")*($N$2:$N406&gt;1)),"")</f>
        <v/>
      </c>
      <c r="R406" s="26" t="str">
        <f>IF($D406='Info Lega'!$B$28,COUNTIFS($D$2:$D406,'Info Lega'!$B$28),"")</f>
        <v/>
      </c>
      <c r="S406" s="27">
        <f>IFERROR(INDEX('Input Statistiche 2025_26'!$G$3:$G$665,MATCH($A406,'Input Statistiche 2025_26'!$A$3:$A$665,0)),"")</f>
        <v>5.85</v>
      </c>
      <c r="T406" s="27">
        <f>IFERROR(INDEX('Input Statistiche 2025_26'!$H$3:$H$665,MATCH($A406,'Input Statistiche 2025_26'!$A$3:$A$665,0)),"")</f>
        <v>5.75</v>
      </c>
      <c r="U406" s="23" t="str">
        <f>IF(OR('La Mia Rosa'!$O$12="",$D406&lt;&gt;""),"",IF($F406&lt;='La Mia Rosa'!$O$12*'Parametri Modello'!$B$24,"OK",IF($F406&lt;='La Mia Rosa'!$O$12*'Parametri Modello'!$B$25,"Attenzione","Rischio Alto")))</f>
        <v>OK</v>
      </c>
      <c r="V406" s="23">
        <f t="shared" si="55"/>
        <v>145</v>
      </c>
      <c r="W406" s="18">
        <f>'Info Lega'!$B$4-SUMIFS($M$2:$M$492,$D$2:$D$492,'Info Lega'!$B$28)</f>
        <v>1000</v>
      </c>
      <c r="X406" s="18">
        <f>('Info Lega'!$B$5-COUNTIFS($D$2:$D$492,'Info Lega'!$B$28,$B$2:$B$492,"P"))+('Info Lega'!$B$6-COUNTIFS($D$2:$D$492,'Info Lega'!$B$28,$B$2:$B$492,"D"))+('Info Lega'!$B$7-COUNTIFS($D$2:$D$492,'Info Lega'!$B$28,$B$2:$B$492,"C"))+('Info Lega'!$B$8-COUNTIFS($D$2:$D$492,'Info Lega'!$B$28,$B$2:$B$492,"A"))</f>
        <v>25</v>
      </c>
      <c r="Y406" s="18">
        <f>X406*'Parametri Modello'!$B$30</f>
        <v>25</v>
      </c>
      <c r="Z406" s="18">
        <f t="shared" si="56"/>
        <v>975</v>
      </c>
      <c r="AA406" s="18">
        <f t="shared" si="57"/>
        <v>1</v>
      </c>
      <c r="AB406" s="18"/>
      <c r="AC406" s="18" t="str">
        <f>IF($AB406="","",IF($AB406&gt;$AA406,"PASS",IF($AB406&lt;=$AA406*(1-'Parametri Modello'!$B$68),"BID","ATTENZIONE")))</f>
        <v/>
      </c>
      <c r="AD406" s="28">
        <f t="shared" si="58"/>
        <v>28</v>
      </c>
      <c r="AE406" s="5" t="str">
        <f>IFERROR(INDEX('Stato Asta'!$G$9:$G$12,MATCH($B406,'Stato Asta'!$A$9:$A$12,0)),"")</f>
        <v>🔴 Non aspettare</v>
      </c>
      <c r="AF406" t="str">
        <f>IFERROR(IF($V406&lt;=INDEX('Parametri Modello'!$C$57:$C$60,MATCH($B406,'Parametri Modello'!$A$57:$A$60,0)),"Titolare","Riserva"),"")</f>
        <v>Riserva</v>
      </c>
      <c r="AG406" t="str">
        <f>IFERROR(INDEX('Pressione Competitiva'!$F$3:$F$6,MATCH($B406,'Pressione Competitiva'!$B$3:$B$6,0)),"")</f>
        <v>🔴 Molto Alta</v>
      </c>
      <c r="AH406" t="str">
        <f t="shared" si="59"/>
        <v/>
      </c>
      <c r="AI406" t="str">
        <f>IFERROR(IF($AH406="","",IF($AH406&gt;=$AA406*'Parametri Modello'!$B$68,"🟢 Opportunita'",IF($AH406&lt;=$AA406*'Parametri Modello'!$B$69,"🔴 Sovrapprezzo","🟡 Prezzo Corretto"))),"")</f>
        <v/>
      </c>
      <c r="AJ406" t="str">
        <f t="shared" si="60"/>
        <v/>
      </c>
      <c r="AK406" t="str">
        <f t="shared" si="61"/>
        <v/>
      </c>
      <c r="AL406" t="str">
        <f t="shared" si="62"/>
        <v/>
      </c>
    </row>
    <row r="407" spans="1:38" ht="14.25" customHeight="1" x14ac:dyDescent="0.25">
      <c r="A407" s="18">
        <v>7182</v>
      </c>
      <c r="B407" s="18" t="s">
        <v>16</v>
      </c>
      <c r="C407" s="18" t="s">
        <v>546</v>
      </c>
      <c r="E407" s="23" t="str">
        <f>IF(COUNTIF('Info Strategia'!$D$2:$D$51,$C407)&gt;0,"SI","NO")</f>
        <v>NO</v>
      </c>
      <c r="F407" s="24">
        <f>IFERROR(ROUND(($G407+($H407-$G407)*'Info Strategia'!$B$6)*(1+IF($E407="SI",'Parametri Modello'!$B$7*'Info Strategia'!$B$6,0)),0),"")</f>
        <v>1</v>
      </c>
      <c r="G407" s="24">
        <f>IFERROR(ROUND(MAX(1,(IF($V407&lt;=INDEX('Parametri Modello'!$C$57:$C$60,MATCH($B407,'Parametri Modello'!$A$57:$A$60,0)),IF(INDEX('Parametri Modello'!$E$57:$E$60,MATCH($B407,'Parametri Modello'!$A$57:$A$60,0))=0,0,($O407/INDEX('Parametri Modello'!$E$57:$E$60,MATCH($B407,'Parametri Modello'!$A$57:$A$60,0)))*(INDEX('Parametri Modello'!$D$57:$D$60,MATCH($B407,'Parametri Modello'!$A$57:$A$60,0))*(INDEX('Parametri Modello'!$B$50:$B$53,MATCH($B407,'Parametri Modello'!$A$50:$A$53,0))*'Parametri Modello'!$B$44))),IF(INDEX('Parametri Modello'!$F$57:$F$60,MATCH($B407,'Parametri Modello'!$A$57:$A$60,0))=0,0,($O407/INDEX('Parametri Modello'!$F$57:$F$60,MATCH($B407,'Parametri Modello'!$A$57:$A$60,0)))*((1-INDEX('Parametri Modello'!$D$57:$D$60,MATCH($B407,'Parametri Modello'!$A$57:$A$60,0)))*(INDEX('Parametri Modello'!$B$50:$B$53,MATCH($B407,'Parametri Modello'!$A$50:$A$53,0))*'Parametri Modello'!$B$44))))*(1+IF(IF($B407="D",'Info Lega'!$B$25,IF($B407="C",'Info Lega'!$B$26,"No"))="Si",'Parametri Modello'!$B$5,0))*(1+MAX(-0.25,MIN(0.25,IF(OR($T407="",$I407="",$I407=0,INDEX('Parametri Modello'!$B$19:$B$22,MATCH($B407,'Parametri Modello'!$A$19:$A$22,0))="",INDEX('Parametri Modello'!$B$19:$B$22,MATCH($B407,'Parametri Modello'!$A$19:$A$22,0))=0),0,(($T407-INDEX('Parametri Modello'!$B$19:$B$22,MATCH($B407,'Parametri Modello'!$A$19:$A$22,0)))/INDEX('Parametri Modello'!$B$19:$B$22,MATCH($B407,'Parametri Modello'!$A$19:$A$22,0)))*'Parametri Modello'!$B$9))))*(1+IF('Parametri Modello'!$B$27="Si",MAX(-'Parametri Modello'!$B$28,MIN('Parametri Modello'!$B$28*1.5,IF(OR(INDEX('Parametri Modello'!$F$32:$F$35,MATCH($B407,'Parametri Modello'!$A$32:$A$35,0))="",INDEX('Parametri Modello'!$F$32:$F$35,MATCH($B407,'Parametri Modello'!$A$32:$A$35,0))=0),0,(1/INDEX('Parametri Modello'!$F$32:$F$35,MATCH($B407,'Parametri Modello'!$A$32:$A$35,0))-1)*'Parametri Modello'!$B$28))),0)))*(1-INDEX('Parametri Modello'!$B$12:$B$15,MATCH($B407,'Parametri Modello'!$A$12:$A$15,0)))),0),"")</f>
        <v>1</v>
      </c>
      <c r="H407" s="24">
        <f>IFERROR(ROUND((IF($V407&lt;=INDEX('Parametri Modello'!$C$57:$C$60,MATCH($B407,'Parametri Modello'!$A$57:$A$60,0)),IF(INDEX('Parametri Modello'!$E$57:$E$60,MATCH($B407,'Parametri Modello'!$A$57:$A$60,0))=0,0,($O407/INDEX('Parametri Modello'!$E$57:$E$60,MATCH($B407,'Parametri Modello'!$A$57:$A$60,0)))*(INDEX('Parametri Modello'!$D$57:$D$60,MATCH($B407,'Parametri Modello'!$A$57:$A$60,0))*(INDEX('Parametri Modello'!$B$50:$B$53,MATCH($B407,'Parametri Modello'!$A$50:$A$53,0))*'Parametri Modello'!$B$44))),IF(INDEX('Parametri Modello'!$F$57:$F$60,MATCH($B407,'Parametri Modello'!$A$57:$A$60,0))=0,0,($O407/INDEX('Parametri Modello'!$F$57:$F$60,MATCH($B407,'Parametri Modello'!$A$57:$A$60,0)))*((1-INDEX('Parametri Modello'!$D$57:$D$60,MATCH($B407,'Parametri Modello'!$A$57:$A$60,0)))*(INDEX('Parametri Modello'!$B$50:$B$53,MATCH($B407,'Parametri Modello'!$A$50:$A$53,0))*'Parametri Modello'!$B$44))))*(1+IF(IF($B407="D",'Info Lega'!$B$25,IF($B407="C",'Info Lega'!$B$26,"No"))="Si",'Parametri Modello'!$B$5,0))*(1+MAX(-0.25,MIN(0.25,IF(OR($T407="",$I407="",$I407=0,INDEX('Parametri Modello'!$B$19:$B$22,MATCH($B407,'Parametri Modello'!$A$19:$A$22,0))="",INDEX('Parametri Modello'!$B$19:$B$22,MATCH($B407,'Parametri Modello'!$A$19:$A$22,0))=0),0,(($T407-INDEX('Parametri Modello'!$B$19:$B$22,MATCH($B407,'Parametri Modello'!$A$19:$A$22,0)))/INDEX('Parametri Modello'!$B$19:$B$22,MATCH($B407,'Parametri Modello'!$A$19:$A$22,0)))*'Parametri Modello'!$B$9))))*(1+IF('Parametri Modello'!$B$27="Si",MAX(-'Parametri Modello'!$B$28,MIN('Parametri Modello'!$B$28*1.5,IF(OR(INDEX('Parametri Modello'!$F$32:$F$35,MATCH($B407,'Parametri Modello'!$A$32:$A$35,0))="",INDEX('Parametri Modello'!$F$32:$F$35,MATCH($B407,'Parametri Modello'!$A$32:$A$35,0))=0),0,(1/INDEX('Parametri Modello'!$F$32:$F$35,MATCH($B407,'Parametri Modello'!$A$32:$A$35,0))-1)*'Parametri Modello'!$B$28))),0)))*(1+INDEX('Parametri Modello'!$B$12:$B$15,MATCH($B407,'Parametri Modello'!$A$12:$A$15,0))),0),"")</f>
        <v>1</v>
      </c>
      <c r="I407" s="23">
        <f>IFERROR(INDEX('Input Statistiche 2025_26'!$F$3:$F$665,MATCH($A407,'Input Statistiche 2025_26'!$A$3:$A$665,0)),"")</f>
        <v>9</v>
      </c>
      <c r="J407" s="23">
        <f t="shared" si="54"/>
        <v>29</v>
      </c>
      <c r="K407" s="23">
        <f>IFERROR(INDEX('Input Statistiche 2025_26'!$I$3:$I$665,MATCH($A407,'Input Statistiche 2025_26'!$A$3:$A$665,0)),"")</f>
        <v>0</v>
      </c>
      <c r="L407" s="23">
        <f>IFERROR(INDEX('Input Statistiche 2025_26'!$O$3:$O$665,MATCH($A407,'Input Statistiche 2025_26'!$A$3:$A$665,0)),"")</f>
        <v>0</v>
      </c>
      <c r="M407" s="25"/>
      <c r="N407" s="24">
        <f>IFERROR(INDEX('Input Giocatori 2026_27'!$E$3:$E$493,MATCH($A407,'Input Giocatori 2026_27'!$A$3:$A$493,0)),"")</f>
        <v>1</v>
      </c>
      <c r="O407" s="24">
        <f>IFERROR(INDEX('Input Giocatori 2026_27'!$G$3:$G$493,MATCH($A407,'Input Giocatori 2026_27'!$A$3:$A$493,0)),"")</f>
        <v>4</v>
      </c>
      <c r="P407" s="23" t="str">
        <f>IFERROR(IF($O407="","",IF((1-(COUNTIFS($B$2:$B$492,$B407,$O$2:$O$492,"&gt;"&amp;$O407)+1-1)/COUNTIF($B$2:$B$492,$B407))&gt;='Parametri Modello'!$B$63,"Top",IF((1-(COUNTIFS($B$2:$B$492,$B407,$O$2:$O$492,"&gt;"&amp;$O407)+1-1)/COUNTIF($B$2:$B$492,$B407))&gt;='Parametri Modello'!$B$64,"Buono",IF((1-(COUNTIFS($B$2:$B$492,$B407,$O$2:$O$492,"&gt;"&amp;$O407)+1-1)/COUNTIF($B$2:$B$492,$B407))&gt;='Parametri Modello'!$B$65,"Nella Media","Scommessa/Riserva")))),"")</f>
        <v>Scommessa/Riserva</v>
      </c>
      <c r="Q407" s="26" t="str">
        <f>IF(AND($D407="",$N407&gt;1),SUMPRODUCT(($D$2:$D407="")*($N$2:$N407&gt;1)),"")</f>
        <v/>
      </c>
      <c r="R407" s="26" t="str">
        <f>IF($D407='Info Lega'!$B$28,COUNTIFS($D$2:$D407,'Info Lega'!$B$28),"")</f>
        <v/>
      </c>
      <c r="S407" s="27">
        <f>IFERROR(INDEX('Input Statistiche 2025_26'!$G$3:$G$665,MATCH($A407,'Input Statistiche 2025_26'!$A$3:$A$665,0)),"")</f>
        <v>5.5</v>
      </c>
      <c r="T407" s="27">
        <f>IFERROR(INDEX('Input Statistiche 2025_26'!$H$3:$H$665,MATCH($A407,'Input Statistiche 2025_26'!$A$3:$A$665,0)),"")</f>
        <v>5.5</v>
      </c>
      <c r="U407" s="23" t="str">
        <f>IF(OR('La Mia Rosa'!$O$12="",$D407&lt;&gt;""),"",IF($F407&lt;='La Mia Rosa'!$O$12*'Parametri Modello'!$B$24,"OK",IF($F407&lt;='La Mia Rosa'!$O$12*'Parametri Modello'!$B$25,"Attenzione","Rischio Alto")))</f>
        <v>OK</v>
      </c>
      <c r="V407" s="23">
        <f t="shared" si="55"/>
        <v>145</v>
      </c>
      <c r="W407" s="18">
        <f>'Info Lega'!$B$4-SUMIFS($M$2:$M$492,$D$2:$D$492,'Info Lega'!$B$28)</f>
        <v>1000</v>
      </c>
      <c r="X407" s="18">
        <f>('Info Lega'!$B$5-COUNTIFS($D$2:$D$492,'Info Lega'!$B$28,$B$2:$B$492,"P"))+('Info Lega'!$B$6-COUNTIFS($D$2:$D$492,'Info Lega'!$B$28,$B$2:$B$492,"D"))+('Info Lega'!$B$7-COUNTIFS($D$2:$D$492,'Info Lega'!$B$28,$B$2:$B$492,"C"))+('Info Lega'!$B$8-COUNTIFS($D$2:$D$492,'Info Lega'!$B$28,$B$2:$B$492,"A"))</f>
        <v>25</v>
      </c>
      <c r="Y407" s="18">
        <f>X407*'Parametri Modello'!$B$30</f>
        <v>25</v>
      </c>
      <c r="Z407" s="18">
        <f t="shared" si="56"/>
        <v>975</v>
      </c>
      <c r="AA407" s="18">
        <f t="shared" si="57"/>
        <v>1</v>
      </c>
      <c r="AB407" s="18"/>
      <c r="AC407" s="18" t="str">
        <f>IF($AB407="","",IF($AB407&gt;$AA407,"PASS",IF($AB407&lt;=$AA407*(1-'Parametri Modello'!$B$68),"BID","ATTENZIONE")))</f>
        <v/>
      </c>
      <c r="AD407" s="28">
        <f t="shared" si="58"/>
        <v>26</v>
      </c>
      <c r="AE407" s="5" t="str">
        <f>IFERROR(INDEX('Stato Asta'!$G$9:$G$12,MATCH($B407,'Stato Asta'!$A$9:$A$12,0)),"")</f>
        <v>🔴 Non aspettare</v>
      </c>
      <c r="AF407" t="str">
        <f>IFERROR(IF($V407&lt;=INDEX('Parametri Modello'!$C$57:$C$60,MATCH($B407,'Parametri Modello'!$A$57:$A$60,0)),"Titolare","Riserva"),"")</f>
        <v>Riserva</v>
      </c>
      <c r="AG407" t="str">
        <f>IFERROR(INDEX('Pressione Competitiva'!$F$3:$F$6,MATCH($B407,'Pressione Competitiva'!$B$3:$B$6,0)),"")</f>
        <v>🔴 Molto Alta</v>
      </c>
      <c r="AH407" t="str">
        <f t="shared" si="59"/>
        <v/>
      </c>
      <c r="AI407" t="str">
        <f>IFERROR(IF($AH407="","",IF($AH407&gt;=$AA407*'Parametri Modello'!$B$68,"🟢 Opportunita'",IF($AH407&lt;=$AA407*'Parametri Modello'!$B$69,"🔴 Sovrapprezzo","🟡 Prezzo Corretto"))),"")</f>
        <v/>
      </c>
      <c r="AJ407" t="str">
        <f t="shared" si="60"/>
        <v/>
      </c>
      <c r="AK407" t="str">
        <f t="shared" si="61"/>
        <v/>
      </c>
      <c r="AL407" t="str">
        <f t="shared" si="62"/>
        <v/>
      </c>
    </row>
    <row r="408" spans="1:38" ht="14.25" customHeight="1" x14ac:dyDescent="0.25">
      <c r="A408" s="18">
        <v>7476</v>
      </c>
      <c r="B408" s="18" t="s">
        <v>16</v>
      </c>
      <c r="C408" s="18" t="s">
        <v>547</v>
      </c>
      <c r="E408" s="23" t="str">
        <f>IF(COUNTIF('Info Strategia'!$D$2:$D$51,$C408)&gt;0,"SI","NO")</f>
        <v>NO</v>
      </c>
      <c r="F408" s="24">
        <f>IFERROR(ROUND(($G408+($H408-$G408)*'Info Strategia'!$B$6)*(1+IF($E408="SI",'Parametri Modello'!$B$7*'Info Strategia'!$B$6,0)),0),"")</f>
        <v>1</v>
      </c>
      <c r="G408" s="24">
        <f>IFERROR(ROUND(MAX(1,(IF($V408&lt;=INDEX('Parametri Modello'!$C$57:$C$60,MATCH($B408,'Parametri Modello'!$A$57:$A$60,0)),IF(INDEX('Parametri Modello'!$E$57:$E$60,MATCH($B408,'Parametri Modello'!$A$57:$A$60,0))=0,0,($O408/INDEX('Parametri Modello'!$E$57:$E$60,MATCH($B408,'Parametri Modello'!$A$57:$A$60,0)))*(INDEX('Parametri Modello'!$D$57:$D$60,MATCH($B408,'Parametri Modello'!$A$57:$A$60,0))*(INDEX('Parametri Modello'!$B$50:$B$53,MATCH($B408,'Parametri Modello'!$A$50:$A$53,0))*'Parametri Modello'!$B$44))),IF(INDEX('Parametri Modello'!$F$57:$F$60,MATCH($B408,'Parametri Modello'!$A$57:$A$60,0))=0,0,($O408/INDEX('Parametri Modello'!$F$57:$F$60,MATCH($B408,'Parametri Modello'!$A$57:$A$60,0)))*((1-INDEX('Parametri Modello'!$D$57:$D$60,MATCH($B408,'Parametri Modello'!$A$57:$A$60,0)))*(INDEX('Parametri Modello'!$B$50:$B$53,MATCH($B408,'Parametri Modello'!$A$50:$A$53,0))*'Parametri Modello'!$B$44))))*(1+IF(IF($B408="D",'Info Lega'!$B$25,IF($B408="C",'Info Lega'!$B$26,"No"))="Si",'Parametri Modello'!$B$5,0))*(1+MAX(-0.25,MIN(0.25,IF(OR($T408="",$I408="",$I408=0,INDEX('Parametri Modello'!$B$19:$B$22,MATCH($B408,'Parametri Modello'!$A$19:$A$22,0))="",INDEX('Parametri Modello'!$B$19:$B$22,MATCH($B408,'Parametri Modello'!$A$19:$A$22,0))=0),0,(($T408-INDEX('Parametri Modello'!$B$19:$B$22,MATCH($B408,'Parametri Modello'!$A$19:$A$22,0)))/INDEX('Parametri Modello'!$B$19:$B$22,MATCH($B408,'Parametri Modello'!$A$19:$A$22,0)))*'Parametri Modello'!$B$9))))*(1+IF('Parametri Modello'!$B$27="Si",MAX(-'Parametri Modello'!$B$28,MIN('Parametri Modello'!$B$28*1.5,IF(OR(INDEX('Parametri Modello'!$F$32:$F$35,MATCH($B408,'Parametri Modello'!$A$32:$A$35,0))="",INDEX('Parametri Modello'!$F$32:$F$35,MATCH($B408,'Parametri Modello'!$A$32:$A$35,0))=0),0,(1/INDEX('Parametri Modello'!$F$32:$F$35,MATCH($B408,'Parametri Modello'!$A$32:$A$35,0))-1)*'Parametri Modello'!$B$28))),0)))*(1-INDEX('Parametri Modello'!$B$12:$B$15,MATCH($B408,'Parametri Modello'!$A$12:$A$15,0)))),0),"")</f>
        <v>1</v>
      </c>
      <c r="H408" s="24">
        <f>IFERROR(ROUND((IF($V408&lt;=INDEX('Parametri Modello'!$C$57:$C$60,MATCH($B408,'Parametri Modello'!$A$57:$A$60,0)),IF(INDEX('Parametri Modello'!$E$57:$E$60,MATCH($B408,'Parametri Modello'!$A$57:$A$60,0))=0,0,($O408/INDEX('Parametri Modello'!$E$57:$E$60,MATCH($B408,'Parametri Modello'!$A$57:$A$60,0)))*(INDEX('Parametri Modello'!$D$57:$D$60,MATCH($B408,'Parametri Modello'!$A$57:$A$60,0))*(INDEX('Parametri Modello'!$B$50:$B$53,MATCH($B408,'Parametri Modello'!$A$50:$A$53,0))*'Parametri Modello'!$B$44))),IF(INDEX('Parametri Modello'!$F$57:$F$60,MATCH($B408,'Parametri Modello'!$A$57:$A$60,0))=0,0,($O408/INDEX('Parametri Modello'!$F$57:$F$60,MATCH($B408,'Parametri Modello'!$A$57:$A$60,0)))*((1-INDEX('Parametri Modello'!$D$57:$D$60,MATCH($B408,'Parametri Modello'!$A$57:$A$60,0)))*(INDEX('Parametri Modello'!$B$50:$B$53,MATCH($B408,'Parametri Modello'!$A$50:$A$53,0))*'Parametri Modello'!$B$44))))*(1+IF(IF($B408="D",'Info Lega'!$B$25,IF($B408="C",'Info Lega'!$B$26,"No"))="Si",'Parametri Modello'!$B$5,0))*(1+MAX(-0.25,MIN(0.25,IF(OR($T408="",$I408="",$I408=0,INDEX('Parametri Modello'!$B$19:$B$22,MATCH($B408,'Parametri Modello'!$A$19:$A$22,0))="",INDEX('Parametri Modello'!$B$19:$B$22,MATCH($B408,'Parametri Modello'!$A$19:$A$22,0))=0),0,(($T408-INDEX('Parametri Modello'!$B$19:$B$22,MATCH($B408,'Parametri Modello'!$A$19:$A$22,0)))/INDEX('Parametri Modello'!$B$19:$B$22,MATCH($B408,'Parametri Modello'!$A$19:$A$22,0)))*'Parametri Modello'!$B$9))))*(1+IF('Parametri Modello'!$B$27="Si",MAX(-'Parametri Modello'!$B$28,MIN('Parametri Modello'!$B$28*1.5,IF(OR(INDEX('Parametri Modello'!$F$32:$F$35,MATCH($B408,'Parametri Modello'!$A$32:$A$35,0))="",INDEX('Parametri Modello'!$F$32:$F$35,MATCH($B408,'Parametri Modello'!$A$32:$A$35,0))=0),0,(1/INDEX('Parametri Modello'!$F$32:$F$35,MATCH($B408,'Parametri Modello'!$A$32:$A$35,0))-1)*'Parametri Modello'!$B$28))),0)))*(1+INDEX('Parametri Modello'!$B$12:$B$15,MATCH($B408,'Parametri Modello'!$A$12:$A$15,0))),0),"")</f>
        <v>1</v>
      </c>
      <c r="I408" s="23" t="str">
        <f>IFERROR(INDEX('Input Statistiche 2025_26'!$F$3:$F$665,MATCH($A408,'Input Statistiche 2025_26'!$A$3:$A$665,0)),"")</f>
        <v/>
      </c>
      <c r="J408" s="23" t="str">
        <f t="shared" si="54"/>
        <v/>
      </c>
      <c r="K408" s="23" t="str">
        <f>IFERROR(INDEX('Input Statistiche 2025_26'!$I$3:$I$665,MATCH($A408,'Input Statistiche 2025_26'!$A$3:$A$665,0)),"")</f>
        <v/>
      </c>
      <c r="L408" s="23" t="str">
        <f>IFERROR(INDEX('Input Statistiche 2025_26'!$O$3:$O$665,MATCH($A408,'Input Statistiche 2025_26'!$A$3:$A$665,0)),"")</f>
        <v/>
      </c>
      <c r="M408" s="25"/>
      <c r="N408" s="24">
        <f>IFERROR(INDEX('Input Giocatori 2026_27'!$E$3:$E$493,MATCH($A408,'Input Giocatori 2026_27'!$A$3:$A$493,0)),"")</f>
        <v>1</v>
      </c>
      <c r="O408" s="24">
        <f>IFERROR(INDEX('Input Giocatori 2026_27'!$G$3:$G$493,MATCH($A408,'Input Giocatori 2026_27'!$A$3:$A$493,0)),"")</f>
        <v>4</v>
      </c>
      <c r="P408" s="23" t="str">
        <f>IFERROR(IF($O408="","",IF((1-(COUNTIFS($B$2:$B$492,$B408,$O$2:$O$492,"&gt;"&amp;$O408)+1-1)/COUNTIF($B$2:$B$492,$B408))&gt;='Parametri Modello'!$B$63,"Top",IF((1-(COUNTIFS($B$2:$B$492,$B408,$O$2:$O$492,"&gt;"&amp;$O408)+1-1)/COUNTIF($B$2:$B$492,$B408))&gt;='Parametri Modello'!$B$64,"Buono",IF((1-(COUNTIFS($B$2:$B$492,$B408,$O$2:$O$492,"&gt;"&amp;$O408)+1-1)/COUNTIF($B$2:$B$492,$B408))&gt;='Parametri Modello'!$B$65,"Nella Media","Scommessa/Riserva")))),"")</f>
        <v>Scommessa/Riserva</v>
      </c>
      <c r="Q408" s="26" t="str">
        <f>IF(AND($D408="",$N408&gt;1),SUMPRODUCT(($D$2:$D408="")*($N$2:$N408&gt;1)),"")</f>
        <v/>
      </c>
      <c r="R408" s="26" t="str">
        <f>IF($D408='Info Lega'!$B$28,COUNTIFS($D$2:$D408,'Info Lega'!$B$28),"")</f>
        <v/>
      </c>
      <c r="S408" s="27" t="str">
        <f>IFERROR(INDEX('Input Statistiche 2025_26'!$G$3:$G$665,MATCH($A408,'Input Statistiche 2025_26'!$A$3:$A$665,0)),"")</f>
        <v/>
      </c>
      <c r="T408" s="27" t="str">
        <f>IFERROR(INDEX('Input Statistiche 2025_26'!$H$3:$H$665,MATCH($A408,'Input Statistiche 2025_26'!$A$3:$A$665,0)),"")</f>
        <v/>
      </c>
      <c r="U408" s="23" t="str">
        <f>IF(OR('La Mia Rosa'!$O$12="",$D408&lt;&gt;""),"",IF($F408&lt;='La Mia Rosa'!$O$12*'Parametri Modello'!$B$24,"OK",IF($F408&lt;='La Mia Rosa'!$O$12*'Parametri Modello'!$B$25,"Attenzione","Rischio Alto")))</f>
        <v>OK</v>
      </c>
      <c r="V408" s="23">
        <f t="shared" si="55"/>
        <v>145</v>
      </c>
      <c r="W408" s="18">
        <f>'Info Lega'!$B$4-SUMIFS($M$2:$M$492,$D$2:$D$492,'Info Lega'!$B$28)</f>
        <v>1000</v>
      </c>
      <c r="X408" s="18">
        <f>('Info Lega'!$B$5-COUNTIFS($D$2:$D$492,'Info Lega'!$B$28,$B$2:$B$492,"P"))+('Info Lega'!$B$6-COUNTIFS($D$2:$D$492,'Info Lega'!$B$28,$B$2:$B$492,"D"))+('Info Lega'!$B$7-COUNTIFS($D$2:$D$492,'Info Lega'!$B$28,$B$2:$B$492,"C"))+('Info Lega'!$B$8-COUNTIFS($D$2:$D$492,'Info Lega'!$B$28,$B$2:$B$492,"A"))</f>
        <v>25</v>
      </c>
      <c r="Y408" s="18">
        <f>X408*'Parametri Modello'!$B$30</f>
        <v>25</v>
      </c>
      <c r="Z408" s="18">
        <f t="shared" si="56"/>
        <v>975</v>
      </c>
      <c r="AA408" s="18">
        <f t="shared" si="57"/>
        <v>1</v>
      </c>
      <c r="AB408" s="18"/>
      <c r="AC408" s="18" t="str">
        <f>IF($AB408="","",IF($AB408&gt;$AA408,"PASS",IF($AB408&lt;=$AA408*(1-'Parametri Modello'!$B$68),"BID","ATTENZIONE")))</f>
        <v/>
      </c>
      <c r="AD408" s="28" t="str">
        <f t="shared" si="58"/>
        <v/>
      </c>
      <c r="AE408" s="5" t="str">
        <f>IFERROR(INDEX('Stato Asta'!$G$9:$G$12,MATCH($B408,'Stato Asta'!$A$9:$A$12,0)),"")</f>
        <v>🔴 Non aspettare</v>
      </c>
      <c r="AF408" t="str">
        <f>IFERROR(IF($V408&lt;=INDEX('Parametri Modello'!$C$57:$C$60,MATCH($B408,'Parametri Modello'!$A$57:$A$60,0)),"Titolare","Riserva"),"")</f>
        <v>Riserva</v>
      </c>
      <c r="AG408" t="str">
        <f>IFERROR(INDEX('Pressione Competitiva'!$F$3:$F$6,MATCH($B408,'Pressione Competitiva'!$B$3:$B$6,0)),"")</f>
        <v>🔴 Molto Alta</v>
      </c>
      <c r="AH408" t="str">
        <f t="shared" si="59"/>
        <v/>
      </c>
      <c r="AI408" t="str">
        <f>IFERROR(IF($AH408="","",IF($AH408&gt;=$AA408*'Parametri Modello'!$B$68,"🟢 Opportunita'",IF($AH408&lt;=$AA408*'Parametri Modello'!$B$69,"🔴 Sovrapprezzo","🟡 Prezzo Corretto"))),"")</f>
        <v/>
      </c>
      <c r="AJ408" t="str">
        <f t="shared" si="60"/>
        <v/>
      </c>
      <c r="AK408" t="str">
        <f t="shared" si="61"/>
        <v/>
      </c>
      <c r="AL408" t="str">
        <f t="shared" si="62"/>
        <v/>
      </c>
    </row>
    <row r="409" spans="1:38" ht="14.25" customHeight="1" x14ac:dyDescent="0.25">
      <c r="A409" s="18">
        <v>7202</v>
      </c>
      <c r="B409" s="18" t="s">
        <v>16</v>
      </c>
      <c r="C409" s="18" t="s">
        <v>548</v>
      </c>
      <c r="E409" s="23" t="str">
        <f>IF(COUNTIF('Info Strategia'!$D$2:$D$51,$C409)&gt;0,"SI","NO")</f>
        <v>NO</v>
      </c>
      <c r="F409" s="24">
        <f>IFERROR(ROUND(($G409+($H409-$G409)*'Info Strategia'!$B$6)*(1+IF($E409="SI",'Parametri Modello'!$B$7*'Info Strategia'!$B$6,0)),0),"")</f>
        <v>1</v>
      </c>
      <c r="G409" s="24">
        <f>IFERROR(ROUND(MAX(1,(IF($V409&lt;=INDEX('Parametri Modello'!$C$57:$C$60,MATCH($B409,'Parametri Modello'!$A$57:$A$60,0)),IF(INDEX('Parametri Modello'!$E$57:$E$60,MATCH($B409,'Parametri Modello'!$A$57:$A$60,0))=0,0,($O409/INDEX('Parametri Modello'!$E$57:$E$60,MATCH($B409,'Parametri Modello'!$A$57:$A$60,0)))*(INDEX('Parametri Modello'!$D$57:$D$60,MATCH($B409,'Parametri Modello'!$A$57:$A$60,0))*(INDEX('Parametri Modello'!$B$50:$B$53,MATCH($B409,'Parametri Modello'!$A$50:$A$53,0))*'Parametri Modello'!$B$44))),IF(INDEX('Parametri Modello'!$F$57:$F$60,MATCH($B409,'Parametri Modello'!$A$57:$A$60,0))=0,0,($O409/INDEX('Parametri Modello'!$F$57:$F$60,MATCH($B409,'Parametri Modello'!$A$57:$A$60,0)))*((1-INDEX('Parametri Modello'!$D$57:$D$60,MATCH($B409,'Parametri Modello'!$A$57:$A$60,0)))*(INDEX('Parametri Modello'!$B$50:$B$53,MATCH($B409,'Parametri Modello'!$A$50:$A$53,0))*'Parametri Modello'!$B$44))))*(1+IF(IF($B409="D",'Info Lega'!$B$25,IF($B409="C",'Info Lega'!$B$26,"No"))="Si",'Parametri Modello'!$B$5,0))*(1+MAX(-0.25,MIN(0.25,IF(OR($T409="",$I409="",$I409=0,INDEX('Parametri Modello'!$B$19:$B$22,MATCH($B409,'Parametri Modello'!$A$19:$A$22,0))="",INDEX('Parametri Modello'!$B$19:$B$22,MATCH($B409,'Parametri Modello'!$A$19:$A$22,0))=0),0,(($T409-INDEX('Parametri Modello'!$B$19:$B$22,MATCH($B409,'Parametri Modello'!$A$19:$A$22,0)))/INDEX('Parametri Modello'!$B$19:$B$22,MATCH($B409,'Parametri Modello'!$A$19:$A$22,0)))*'Parametri Modello'!$B$9))))*(1+IF('Parametri Modello'!$B$27="Si",MAX(-'Parametri Modello'!$B$28,MIN('Parametri Modello'!$B$28*1.5,IF(OR(INDEX('Parametri Modello'!$F$32:$F$35,MATCH($B409,'Parametri Modello'!$A$32:$A$35,0))="",INDEX('Parametri Modello'!$F$32:$F$35,MATCH($B409,'Parametri Modello'!$A$32:$A$35,0))=0),0,(1/INDEX('Parametri Modello'!$F$32:$F$35,MATCH($B409,'Parametri Modello'!$A$32:$A$35,0))-1)*'Parametri Modello'!$B$28))),0)))*(1-INDEX('Parametri Modello'!$B$12:$B$15,MATCH($B409,'Parametri Modello'!$A$12:$A$15,0)))),0),"")</f>
        <v>1</v>
      </c>
      <c r="H409" s="24">
        <f>IFERROR(ROUND((IF($V409&lt;=INDEX('Parametri Modello'!$C$57:$C$60,MATCH($B409,'Parametri Modello'!$A$57:$A$60,0)),IF(INDEX('Parametri Modello'!$E$57:$E$60,MATCH($B409,'Parametri Modello'!$A$57:$A$60,0))=0,0,($O409/INDEX('Parametri Modello'!$E$57:$E$60,MATCH($B409,'Parametri Modello'!$A$57:$A$60,0)))*(INDEX('Parametri Modello'!$D$57:$D$60,MATCH($B409,'Parametri Modello'!$A$57:$A$60,0))*(INDEX('Parametri Modello'!$B$50:$B$53,MATCH($B409,'Parametri Modello'!$A$50:$A$53,0))*'Parametri Modello'!$B$44))),IF(INDEX('Parametri Modello'!$F$57:$F$60,MATCH($B409,'Parametri Modello'!$A$57:$A$60,0))=0,0,($O409/INDEX('Parametri Modello'!$F$57:$F$60,MATCH($B409,'Parametri Modello'!$A$57:$A$60,0)))*((1-INDEX('Parametri Modello'!$D$57:$D$60,MATCH($B409,'Parametri Modello'!$A$57:$A$60,0)))*(INDEX('Parametri Modello'!$B$50:$B$53,MATCH($B409,'Parametri Modello'!$A$50:$A$53,0))*'Parametri Modello'!$B$44))))*(1+IF(IF($B409="D",'Info Lega'!$B$25,IF($B409="C",'Info Lega'!$B$26,"No"))="Si",'Parametri Modello'!$B$5,0))*(1+MAX(-0.25,MIN(0.25,IF(OR($T409="",$I409="",$I409=0,INDEX('Parametri Modello'!$B$19:$B$22,MATCH($B409,'Parametri Modello'!$A$19:$A$22,0))="",INDEX('Parametri Modello'!$B$19:$B$22,MATCH($B409,'Parametri Modello'!$A$19:$A$22,0))=0),0,(($T409-INDEX('Parametri Modello'!$B$19:$B$22,MATCH($B409,'Parametri Modello'!$A$19:$A$22,0)))/INDEX('Parametri Modello'!$B$19:$B$22,MATCH($B409,'Parametri Modello'!$A$19:$A$22,0)))*'Parametri Modello'!$B$9))))*(1+IF('Parametri Modello'!$B$27="Si",MAX(-'Parametri Modello'!$B$28,MIN('Parametri Modello'!$B$28*1.5,IF(OR(INDEX('Parametri Modello'!$F$32:$F$35,MATCH($B409,'Parametri Modello'!$A$32:$A$35,0))="",INDEX('Parametri Modello'!$F$32:$F$35,MATCH($B409,'Parametri Modello'!$A$32:$A$35,0))=0),0,(1/INDEX('Parametri Modello'!$F$32:$F$35,MATCH($B409,'Parametri Modello'!$A$32:$A$35,0))-1)*'Parametri Modello'!$B$28))),0)))*(1+INDEX('Parametri Modello'!$B$12:$B$15,MATCH($B409,'Parametri Modello'!$A$12:$A$15,0))),0),"")</f>
        <v>1</v>
      </c>
      <c r="I409" s="23">
        <f>IFERROR(INDEX('Input Statistiche 2025_26'!$F$3:$F$665,MATCH($A409,'Input Statistiche 2025_26'!$A$3:$A$665,0)),"")</f>
        <v>11</v>
      </c>
      <c r="J409" s="23">
        <f t="shared" si="54"/>
        <v>27</v>
      </c>
      <c r="K409" s="23">
        <f>IFERROR(INDEX('Input Statistiche 2025_26'!$I$3:$I$665,MATCH($A409,'Input Statistiche 2025_26'!$A$3:$A$665,0)),"")</f>
        <v>0</v>
      </c>
      <c r="L409" s="23">
        <f>IFERROR(INDEX('Input Statistiche 2025_26'!$O$3:$O$665,MATCH($A409,'Input Statistiche 2025_26'!$A$3:$A$665,0)),"")</f>
        <v>0</v>
      </c>
      <c r="M409" s="25"/>
      <c r="N409" s="24">
        <f>IFERROR(INDEX('Input Giocatori 2026_27'!$E$3:$E$493,MATCH($A409,'Input Giocatori 2026_27'!$A$3:$A$493,0)),"")</f>
        <v>1</v>
      </c>
      <c r="O409" s="24">
        <f>IFERROR(INDEX('Input Giocatori 2026_27'!$G$3:$G$493,MATCH($A409,'Input Giocatori 2026_27'!$A$3:$A$493,0)),"")</f>
        <v>4</v>
      </c>
      <c r="P409" s="23" t="str">
        <f>IFERROR(IF($O409="","",IF((1-(COUNTIFS($B$2:$B$492,$B409,$O$2:$O$492,"&gt;"&amp;$O409)+1-1)/COUNTIF($B$2:$B$492,$B409))&gt;='Parametri Modello'!$B$63,"Top",IF((1-(COUNTIFS($B$2:$B$492,$B409,$O$2:$O$492,"&gt;"&amp;$O409)+1-1)/COUNTIF($B$2:$B$492,$B409))&gt;='Parametri Modello'!$B$64,"Buono",IF((1-(COUNTIFS($B$2:$B$492,$B409,$O$2:$O$492,"&gt;"&amp;$O409)+1-1)/COUNTIF($B$2:$B$492,$B409))&gt;='Parametri Modello'!$B$65,"Nella Media","Scommessa/Riserva")))),"")</f>
        <v>Scommessa/Riserva</v>
      </c>
      <c r="Q409" s="26" t="str">
        <f>IF(AND($D409="",$N409&gt;1),SUMPRODUCT(($D$2:$D409="")*($N$2:$N409&gt;1)),"")</f>
        <v/>
      </c>
      <c r="R409" s="26" t="str">
        <f>IF($D409='Info Lega'!$B$28,COUNTIFS($D$2:$D409,'Info Lega'!$B$28),"")</f>
        <v/>
      </c>
      <c r="S409" s="27">
        <f>IFERROR(INDEX('Input Statistiche 2025_26'!$G$3:$G$665,MATCH($A409,'Input Statistiche 2025_26'!$A$3:$A$665,0)),"")</f>
        <v>5.59</v>
      </c>
      <c r="T409" s="27">
        <f>IFERROR(INDEX('Input Statistiche 2025_26'!$H$3:$H$665,MATCH($A409,'Input Statistiche 2025_26'!$A$3:$A$665,0)),"")</f>
        <v>5.36</v>
      </c>
      <c r="U409" s="23" t="str">
        <f>IF(OR('La Mia Rosa'!$O$12="",$D409&lt;&gt;""),"",IF($F409&lt;='La Mia Rosa'!$O$12*'Parametri Modello'!$B$24,"OK",IF($F409&lt;='La Mia Rosa'!$O$12*'Parametri Modello'!$B$25,"Attenzione","Rischio Alto")))</f>
        <v>OK</v>
      </c>
      <c r="V409" s="23">
        <f t="shared" si="55"/>
        <v>145</v>
      </c>
      <c r="W409" s="18">
        <f>'Info Lega'!$B$4-SUMIFS($M$2:$M$492,$D$2:$D$492,'Info Lega'!$B$28)</f>
        <v>1000</v>
      </c>
      <c r="X409" s="18">
        <f>('Info Lega'!$B$5-COUNTIFS($D$2:$D$492,'Info Lega'!$B$28,$B$2:$B$492,"P"))+('Info Lega'!$B$6-COUNTIFS($D$2:$D$492,'Info Lega'!$B$28,$B$2:$B$492,"D"))+('Info Lega'!$B$7-COUNTIFS($D$2:$D$492,'Info Lega'!$B$28,$B$2:$B$492,"C"))+('Info Lega'!$B$8-COUNTIFS($D$2:$D$492,'Info Lega'!$B$28,$B$2:$B$492,"A"))</f>
        <v>25</v>
      </c>
      <c r="Y409" s="18">
        <f>X409*'Parametri Modello'!$B$30</f>
        <v>25</v>
      </c>
      <c r="Z409" s="18">
        <f t="shared" si="56"/>
        <v>975</v>
      </c>
      <c r="AA409" s="18">
        <f t="shared" si="57"/>
        <v>1</v>
      </c>
      <c r="AB409" s="18"/>
      <c r="AC409" s="18" t="str">
        <f>IF($AB409="","",IF($AB409&gt;$AA409,"PASS",IF($AB409&lt;=$AA409*(1-'Parametri Modello'!$B$68),"BID","ATTENZIONE")))</f>
        <v/>
      </c>
      <c r="AD409" s="28">
        <f t="shared" si="58"/>
        <v>31</v>
      </c>
      <c r="AE409" s="5" t="str">
        <f>IFERROR(INDEX('Stato Asta'!$G$9:$G$12,MATCH($B409,'Stato Asta'!$A$9:$A$12,0)),"")</f>
        <v>🔴 Non aspettare</v>
      </c>
      <c r="AF409" t="str">
        <f>IFERROR(IF($V409&lt;=INDEX('Parametri Modello'!$C$57:$C$60,MATCH($B409,'Parametri Modello'!$A$57:$A$60,0)),"Titolare","Riserva"),"")</f>
        <v>Riserva</v>
      </c>
      <c r="AG409" t="str">
        <f>IFERROR(INDEX('Pressione Competitiva'!$F$3:$F$6,MATCH($B409,'Pressione Competitiva'!$B$3:$B$6,0)),"")</f>
        <v>🔴 Molto Alta</v>
      </c>
      <c r="AH409" t="str">
        <f t="shared" si="59"/>
        <v/>
      </c>
      <c r="AI409" t="str">
        <f>IFERROR(IF($AH409="","",IF($AH409&gt;=$AA409*'Parametri Modello'!$B$68,"🟢 Opportunita'",IF($AH409&lt;=$AA409*'Parametri Modello'!$B$69,"🔴 Sovrapprezzo","🟡 Prezzo Corretto"))),"")</f>
        <v/>
      </c>
      <c r="AJ409" t="str">
        <f t="shared" si="60"/>
        <v/>
      </c>
      <c r="AK409" t="str">
        <f t="shared" si="61"/>
        <v/>
      </c>
      <c r="AL409" t="str">
        <f t="shared" si="62"/>
        <v/>
      </c>
    </row>
    <row r="410" spans="1:38" ht="14.25" customHeight="1" x14ac:dyDescent="0.25">
      <c r="A410" s="18">
        <v>6225</v>
      </c>
      <c r="B410" s="18" t="s">
        <v>17</v>
      </c>
      <c r="C410" s="18" t="s">
        <v>549</v>
      </c>
      <c r="E410" s="23" t="str">
        <f>IF(COUNTIF('Info Strategia'!$D$2:$D$51,$C410)&gt;0,"SI","NO")</f>
        <v>NO</v>
      </c>
      <c r="F410" s="24">
        <f>IFERROR(ROUND(($G410+($H410-$G410)*'Info Strategia'!$B$6)*(1+IF($E410="SI",'Parametri Modello'!$B$7*'Info Strategia'!$B$6,0)),0),"")</f>
        <v>1</v>
      </c>
      <c r="G410" s="24">
        <f>IFERROR(ROUND(MAX(1,(IF($V410&lt;=INDEX('Parametri Modello'!$C$57:$C$60,MATCH($B410,'Parametri Modello'!$A$57:$A$60,0)),IF(INDEX('Parametri Modello'!$E$57:$E$60,MATCH($B410,'Parametri Modello'!$A$57:$A$60,0))=0,0,($O410/INDEX('Parametri Modello'!$E$57:$E$60,MATCH($B410,'Parametri Modello'!$A$57:$A$60,0)))*(INDEX('Parametri Modello'!$D$57:$D$60,MATCH($B410,'Parametri Modello'!$A$57:$A$60,0))*(INDEX('Parametri Modello'!$B$50:$B$53,MATCH($B410,'Parametri Modello'!$A$50:$A$53,0))*'Parametri Modello'!$B$44))),IF(INDEX('Parametri Modello'!$F$57:$F$60,MATCH($B410,'Parametri Modello'!$A$57:$A$60,0))=0,0,($O410/INDEX('Parametri Modello'!$F$57:$F$60,MATCH($B410,'Parametri Modello'!$A$57:$A$60,0)))*((1-INDEX('Parametri Modello'!$D$57:$D$60,MATCH($B410,'Parametri Modello'!$A$57:$A$60,0)))*(INDEX('Parametri Modello'!$B$50:$B$53,MATCH($B410,'Parametri Modello'!$A$50:$A$53,0))*'Parametri Modello'!$B$44))))*(1+IF(IF($B410="D",'Info Lega'!$B$25,IF($B410="C",'Info Lega'!$B$26,"No"))="Si",'Parametri Modello'!$B$5,0))*(1+MAX(-0.25,MIN(0.25,IF(OR($T410="",$I410="",$I410=0,INDEX('Parametri Modello'!$B$19:$B$22,MATCH($B410,'Parametri Modello'!$A$19:$A$22,0))="",INDEX('Parametri Modello'!$B$19:$B$22,MATCH($B410,'Parametri Modello'!$A$19:$A$22,0))=0),0,(($T410-INDEX('Parametri Modello'!$B$19:$B$22,MATCH($B410,'Parametri Modello'!$A$19:$A$22,0)))/INDEX('Parametri Modello'!$B$19:$B$22,MATCH($B410,'Parametri Modello'!$A$19:$A$22,0)))*'Parametri Modello'!$B$9))))*(1+IF('Parametri Modello'!$B$27="Si",MAX(-'Parametri Modello'!$B$28,MIN('Parametri Modello'!$B$28*1.5,IF(OR(INDEX('Parametri Modello'!$F$32:$F$35,MATCH($B410,'Parametri Modello'!$A$32:$A$35,0))="",INDEX('Parametri Modello'!$F$32:$F$35,MATCH($B410,'Parametri Modello'!$A$32:$A$35,0))=0),0,(1/INDEX('Parametri Modello'!$F$32:$F$35,MATCH($B410,'Parametri Modello'!$A$32:$A$35,0))-1)*'Parametri Modello'!$B$28))),0)))*(1-INDEX('Parametri Modello'!$B$12:$B$15,MATCH($B410,'Parametri Modello'!$A$12:$A$15,0)))),0),"")</f>
        <v>1</v>
      </c>
      <c r="H410" s="24">
        <f>IFERROR(ROUND((IF($V410&lt;=INDEX('Parametri Modello'!$C$57:$C$60,MATCH($B410,'Parametri Modello'!$A$57:$A$60,0)),IF(INDEX('Parametri Modello'!$E$57:$E$60,MATCH($B410,'Parametri Modello'!$A$57:$A$60,0))=0,0,($O410/INDEX('Parametri Modello'!$E$57:$E$60,MATCH($B410,'Parametri Modello'!$A$57:$A$60,0)))*(INDEX('Parametri Modello'!$D$57:$D$60,MATCH($B410,'Parametri Modello'!$A$57:$A$60,0))*(INDEX('Parametri Modello'!$B$50:$B$53,MATCH($B410,'Parametri Modello'!$A$50:$A$53,0))*'Parametri Modello'!$B$44))),IF(INDEX('Parametri Modello'!$F$57:$F$60,MATCH($B410,'Parametri Modello'!$A$57:$A$60,0))=0,0,($O410/INDEX('Parametri Modello'!$F$57:$F$60,MATCH($B410,'Parametri Modello'!$A$57:$A$60,0)))*((1-INDEX('Parametri Modello'!$D$57:$D$60,MATCH($B410,'Parametri Modello'!$A$57:$A$60,0)))*(INDEX('Parametri Modello'!$B$50:$B$53,MATCH($B410,'Parametri Modello'!$A$50:$A$53,0))*'Parametri Modello'!$B$44))))*(1+IF(IF($B410="D",'Info Lega'!$B$25,IF($B410="C",'Info Lega'!$B$26,"No"))="Si",'Parametri Modello'!$B$5,0))*(1+MAX(-0.25,MIN(0.25,IF(OR($T410="",$I410="",$I410=0,INDEX('Parametri Modello'!$B$19:$B$22,MATCH($B410,'Parametri Modello'!$A$19:$A$22,0))="",INDEX('Parametri Modello'!$B$19:$B$22,MATCH($B410,'Parametri Modello'!$A$19:$A$22,0))=0),0,(($T410-INDEX('Parametri Modello'!$B$19:$B$22,MATCH($B410,'Parametri Modello'!$A$19:$A$22,0)))/INDEX('Parametri Modello'!$B$19:$B$22,MATCH($B410,'Parametri Modello'!$A$19:$A$22,0)))*'Parametri Modello'!$B$9))))*(1+IF('Parametri Modello'!$B$27="Si",MAX(-'Parametri Modello'!$B$28,MIN('Parametri Modello'!$B$28*1.5,IF(OR(INDEX('Parametri Modello'!$F$32:$F$35,MATCH($B410,'Parametri Modello'!$A$32:$A$35,0))="",INDEX('Parametri Modello'!$F$32:$F$35,MATCH($B410,'Parametri Modello'!$A$32:$A$35,0))=0),0,(1/INDEX('Parametri Modello'!$F$32:$F$35,MATCH($B410,'Parametri Modello'!$A$32:$A$35,0))-1)*'Parametri Modello'!$B$28))),0)))*(1+INDEX('Parametri Modello'!$B$12:$B$15,MATCH($B410,'Parametri Modello'!$A$12:$A$15,0))),0),"")</f>
        <v>1</v>
      </c>
      <c r="I410" s="23">
        <f>IFERROR(INDEX('Input Statistiche 2025_26'!$F$3:$F$665,MATCH($A410,'Input Statistiche 2025_26'!$A$3:$A$665,0)),"")</f>
        <v>0</v>
      </c>
      <c r="J410" s="23">
        <f t="shared" si="54"/>
        <v>38</v>
      </c>
      <c r="K410" s="23">
        <f>IFERROR(INDEX('Input Statistiche 2025_26'!$I$3:$I$665,MATCH($A410,'Input Statistiche 2025_26'!$A$3:$A$665,0)),"")</f>
        <v>0</v>
      </c>
      <c r="L410" s="23">
        <f>IFERROR(INDEX('Input Statistiche 2025_26'!$O$3:$O$665,MATCH($A410,'Input Statistiche 2025_26'!$A$3:$A$665,0)),"")</f>
        <v>0</v>
      </c>
      <c r="M410" s="25"/>
      <c r="N410" s="24">
        <f>IFERROR(INDEX('Input Giocatori 2026_27'!$E$3:$E$493,MATCH($A410,'Input Giocatori 2026_27'!$A$3:$A$493,0)),"")</f>
        <v>2</v>
      </c>
      <c r="O410" s="24">
        <f>IFERROR(INDEX('Input Giocatori 2026_27'!$G$3:$G$493,MATCH($A410,'Input Giocatori 2026_27'!$A$3:$A$493,0)),"")</f>
        <v>4</v>
      </c>
      <c r="P410" s="23" t="str">
        <f>IFERROR(IF($O410="","",IF((1-(COUNTIFS($B$2:$B$492,$B410,$O$2:$O$492,"&gt;"&amp;$O410)+1-1)/COUNTIF($B$2:$B$492,$B410))&gt;='Parametri Modello'!$B$63,"Top",IF((1-(COUNTIFS($B$2:$B$492,$B410,$O$2:$O$492,"&gt;"&amp;$O410)+1-1)/COUNTIF($B$2:$B$492,$B410))&gt;='Parametri Modello'!$B$64,"Buono",IF((1-(COUNTIFS($B$2:$B$492,$B410,$O$2:$O$492,"&gt;"&amp;$O410)+1-1)/COUNTIF($B$2:$B$492,$B410))&gt;='Parametri Modello'!$B$65,"Nella Media","Scommessa/Riserva")))),"")</f>
        <v>Scommessa/Riserva</v>
      </c>
      <c r="Q410" s="26">
        <f>IF(AND($D410="",$N410&gt;1),SUMPRODUCT(($D$2:$D410="")*($N$2:$N410&gt;1)),"")</f>
        <v>399</v>
      </c>
      <c r="R410" s="26" t="str">
        <f>IF($D410='Info Lega'!$B$28,COUNTIFS($D$2:$D410,'Info Lega'!$B$28),"")</f>
        <v/>
      </c>
      <c r="S410" s="27">
        <f>IFERROR(INDEX('Input Statistiche 2025_26'!$G$3:$G$665,MATCH($A410,'Input Statistiche 2025_26'!$A$3:$A$665,0)),"")</f>
        <v>0</v>
      </c>
      <c r="T410" s="27">
        <f>IFERROR(INDEX('Input Statistiche 2025_26'!$H$3:$H$665,MATCH($A410,'Input Statistiche 2025_26'!$A$3:$A$665,0)),"")</f>
        <v>0</v>
      </c>
      <c r="U410" s="23" t="str">
        <f>IF(OR('La Mia Rosa'!$O$12="",$D410&lt;&gt;""),"",IF($F410&lt;='La Mia Rosa'!$O$12*'Parametri Modello'!$B$24,"OK",IF($F410&lt;='La Mia Rosa'!$O$12*'Parametri Modello'!$B$25,"Attenzione","Rischio Alto")))</f>
        <v>OK</v>
      </c>
      <c r="V410" s="23">
        <f t="shared" si="55"/>
        <v>154</v>
      </c>
      <c r="W410" s="18">
        <f>'Info Lega'!$B$4-SUMIFS($M$2:$M$492,$D$2:$D$492,'Info Lega'!$B$28)</f>
        <v>1000</v>
      </c>
      <c r="X410" s="18">
        <f>('Info Lega'!$B$5-COUNTIFS($D$2:$D$492,'Info Lega'!$B$28,$B$2:$B$492,"P"))+('Info Lega'!$B$6-COUNTIFS($D$2:$D$492,'Info Lega'!$B$28,$B$2:$B$492,"D"))+('Info Lega'!$B$7-COUNTIFS($D$2:$D$492,'Info Lega'!$B$28,$B$2:$B$492,"C"))+('Info Lega'!$B$8-COUNTIFS($D$2:$D$492,'Info Lega'!$B$28,$B$2:$B$492,"A"))</f>
        <v>25</v>
      </c>
      <c r="Y410" s="18">
        <f>X410*'Parametri Modello'!$B$30</f>
        <v>25</v>
      </c>
      <c r="Z410" s="18">
        <f t="shared" si="56"/>
        <v>975</v>
      </c>
      <c r="AA410" s="18">
        <f t="shared" si="57"/>
        <v>1</v>
      </c>
      <c r="AB410" s="18"/>
      <c r="AC410" s="18" t="str">
        <f>IF($AB410="","",IF($AB410&gt;$AA410,"PASS",IF($AB410&lt;=$AA410*(1-'Parametri Modello'!$B$68),"BID","ATTENZIONE")))</f>
        <v/>
      </c>
      <c r="AD410" s="28">
        <f t="shared" si="58"/>
        <v>0</v>
      </c>
      <c r="AE410" s="5" t="str">
        <f>IFERROR(INDEX('Stato Asta'!$G$9:$G$12,MATCH($B410,'Stato Asta'!$A$9:$A$12,0)),"")</f>
        <v>🔴 Non aspettare</v>
      </c>
      <c r="AF410" t="str">
        <f>IFERROR(IF($V410&lt;=INDEX('Parametri Modello'!$C$57:$C$60,MATCH($B410,'Parametri Modello'!$A$57:$A$60,0)),"Titolare","Riserva"),"")</f>
        <v>Riserva</v>
      </c>
      <c r="AG410" t="str">
        <f>IFERROR(INDEX('Pressione Competitiva'!$F$3:$F$6,MATCH($B410,'Pressione Competitiva'!$B$3:$B$6,0)),"")</f>
        <v>🔴 Molto Alta</v>
      </c>
      <c r="AH410" t="str">
        <f t="shared" si="59"/>
        <v/>
      </c>
      <c r="AI410" t="str">
        <f>IFERROR(IF($AH410="","",IF($AH410&gt;=$AA410*'Parametri Modello'!$B$68,"🟢 Opportunita'",IF($AH410&lt;=$AA410*'Parametri Modello'!$B$69,"🔴 Sovrapprezzo","🟡 Prezzo Corretto"))),"")</f>
        <v/>
      </c>
      <c r="AJ410" t="str">
        <f t="shared" si="60"/>
        <v/>
      </c>
      <c r="AK410">
        <f t="shared" si="61"/>
        <v>48</v>
      </c>
      <c r="AL410" t="str">
        <f t="shared" si="62"/>
        <v>C|Scommessa/Riserva|48</v>
      </c>
    </row>
    <row r="411" spans="1:38" ht="14.25" customHeight="1" x14ac:dyDescent="0.25">
      <c r="A411" s="18">
        <v>6917</v>
      </c>
      <c r="B411" s="18" t="s">
        <v>17</v>
      </c>
      <c r="C411" s="18" t="s">
        <v>550</v>
      </c>
      <c r="E411" s="23" t="str">
        <f>IF(COUNTIF('Info Strategia'!$D$2:$D$51,$C411)&gt;0,"SI","NO")</f>
        <v>NO</v>
      </c>
      <c r="F411" s="24">
        <f>IFERROR(ROUND(($G411+($H411-$G411)*'Info Strategia'!$B$6)*(1+IF($E411="SI",'Parametri Modello'!$B$7*'Info Strategia'!$B$6,0)),0),"")</f>
        <v>1</v>
      </c>
      <c r="G411" s="24">
        <f>IFERROR(ROUND(MAX(1,(IF($V411&lt;=INDEX('Parametri Modello'!$C$57:$C$60,MATCH($B411,'Parametri Modello'!$A$57:$A$60,0)),IF(INDEX('Parametri Modello'!$E$57:$E$60,MATCH($B411,'Parametri Modello'!$A$57:$A$60,0))=0,0,($O411/INDEX('Parametri Modello'!$E$57:$E$60,MATCH($B411,'Parametri Modello'!$A$57:$A$60,0)))*(INDEX('Parametri Modello'!$D$57:$D$60,MATCH($B411,'Parametri Modello'!$A$57:$A$60,0))*(INDEX('Parametri Modello'!$B$50:$B$53,MATCH($B411,'Parametri Modello'!$A$50:$A$53,0))*'Parametri Modello'!$B$44))),IF(INDEX('Parametri Modello'!$F$57:$F$60,MATCH($B411,'Parametri Modello'!$A$57:$A$60,0))=0,0,($O411/INDEX('Parametri Modello'!$F$57:$F$60,MATCH($B411,'Parametri Modello'!$A$57:$A$60,0)))*((1-INDEX('Parametri Modello'!$D$57:$D$60,MATCH($B411,'Parametri Modello'!$A$57:$A$60,0)))*(INDEX('Parametri Modello'!$B$50:$B$53,MATCH($B411,'Parametri Modello'!$A$50:$A$53,0))*'Parametri Modello'!$B$44))))*(1+IF(IF($B411="D",'Info Lega'!$B$25,IF($B411="C",'Info Lega'!$B$26,"No"))="Si",'Parametri Modello'!$B$5,0))*(1+MAX(-0.25,MIN(0.25,IF(OR($T411="",$I411="",$I411=0,INDEX('Parametri Modello'!$B$19:$B$22,MATCH($B411,'Parametri Modello'!$A$19:$A$22,0))="",INDEX('Parametri Modello'!$B$19:$B$22,MATCH($B411,'Parametri Modello'!$A$19:$A$22,0))=0),0,(($T411-INDEX('Parametri Modello'!$B$19:$B$22,MATCH($B411,'Parametri Modello'!$A$19:$A$22,0)))/INDEX('Parametri Modello'!$B$19:$B$22,MATCH($B411,'Parametri Modello'!$A$19:$A$22,0)))*'Parametri Modello'!$B$9))))*(1+IF('Parametri Modello'!$B$27="Si",MAX(-'Parametri Modello'!$B$28,MIN('Parametri Modello'!$B$28*1.5,IF(OR(INDEX('Parametri Modello'!$F$32:$F$35,MATCH($B411,'Parametri Modello'!$A$32:$A$35,0))="",INDEX('Parametri Modello'!$F$32:$F$35,MATCH($B411,'Parametri Modello'!$A$32:$A$35,0))=0),0,(1/INDEX('Parametri Modello'!$F$32:$F$35,MATCH($B411,'Parametri Modello'!$A$32:$A$35,0))-1)*'Parametri Modello'!$B$28))),0)))*(1-INDEX('Parametri Modello'!$B$12:$B$15,MATCH($B411,'Parametri Modello'!$A$12:$A$15,0)))),0),"")</f>
        <v>1</v>
      </c>
      <c r="H411" s="24">
        <f>IFERROR(ROUND((IF($V411&lt;=INDEX('Parametri Modello'!$C$57:$C$60,MATCH($B411,'Parametri Modello'!$A$57:$A$60,0)),IF(INDEX('Parametri Modello'!$E$57:$E$60,MATCH($B411,'Parametri Modello'!$A$57:$A$60,0))=0,0,($O411/INDEX('Parametri Modello'!$E$57:$E$60,MATCH($B411,'Parametri Modello'!$A$57:$A$60,0)))*(INDEX('Parametri Modello'!$D$57:$D$60,MATCH($B411,'Parametri Modello'!$A$57:$A$60,0))*(INDEX('Parametri Modello'!$B$50:$B$53,MATCH($B411,'Parametri Modello'!$A$50:$A$53,0))*'Parametri Modello'!$B$44))),IF(INDEX('Parametri Modello'!$F$57:$F$60,MATCH($B411,'Parametri Modello'!$A$57:$A$60,0))=0,0,($O411/INDEX('Parametri Modello'!$F$57:$F$60,MATCH($B411,'Parametri Modello'!$A$57:$A$60,0)))*((1-INDEX('Parametri Modello'!$D$57:$D$60,MATCH($B411,'Parametri Modello'!$A$57:$A$60,0)))*(INDEX('Parametri Modello'!$B$50:$B$53,MATCH($B411,'Parametri Modello'!$A$50:$A$53,0))*'Parametri Modello'!$B$44))))*(1+IF(IF($B411="D",'Info Lega'!$B$25,IF($B411="C",'Info Lega'!$B$26,"No"))="Si",'Parametri Modello'!$B$5,0))*(1+MAX(-0.25,MIN(0.25,IF(OR($T411="",$I411="",$I411=0,INDEX('Parametri Modello'!$B$19:$B$22,MATCH($B411,'Parametri Modello'!$A$19:$A$22,0))="",INDEX('Parametri Modello'!$B$19:$B$22,MATCH($B411,'Parametri Modello'!$A$19:$A$22,0))=0),0,(($T411-INDEX('Parametri Modello'!$B$19:$B$22,MATCH($B411,'Parametri Modello'!$A$19:$A$22,0)))/INDEX('Parametri Modello'!$B$19:$B$22,MATCH($B411,'Parametri Modello'!$A$19:$A$22,0)))*'Parametri Modello'!$B$9))))*(1+IF('Parametri Modello'!$B$27="Si",MAX(-'Parametri Modello'!$B$28,MIN('Parametri Modello'!$B$28*1.5,IF(OR(INDEX('Parametri Modello'!$F$32:$F$35,MATCH($B411,'Parametri Modello'!$A$32:$A$35,0))="",INDEX('Parametri Modello'!$F$32:$F$35,MATCH($B411,'Parametri Modello'!$A$32:$A$35,0))=0),0,(1/INDEX('Parametri Modello'!$F$32:$F$35,MATCH($B411,'Parametri Modello'!$A$32:$A$35,0))-1)*'Parametri Modello'!$B$28))),0)))*(1+INDEX('Parametri Modello'!$B$12:$B$15,MATCH($B411,'Parametri Modello'!$A$12:$A$15,0))),0),"")</f>
        <v>1</v>
      </c>
      <c r="I411" s="23">
        <f>IFERROR(INDEX('Input Statistiche 2025_26'!$F$3:$F$665,MATCH($A411,'Input Statistiche 2025_26'!$A$3:$A$665,0)),"")</f>
        <v>21</v>
      </c>
      <c r="J411" s="23">
        <f t="shared" si="54"/>
        <v>17</v>
      </c>
      <c r="K411" s="23">
        <f>IFERROR(INDEX('Input Statistiche 2025_26'!$I$3:$I$665,MATCH($A411,'Input Statistiche 2025_26'!$A$3:$A$665,0)),"")</f>
        <v>0</v>
      </c>
      <c r="L411" s="23">
        <f>IFERROR(INDEX('Input Statistiche 2025_26'!$O$3:$O$665,MATCH($A411,'Input Statistiche 2025_26'!$A$3:$A$665,0)),"")</f>
        <v>1</v>
      </c>
      <c r="M411" s="25"/>
      <c r="N411" s="24">
        <f>IFERROR(INDEX('Input Giocatori 2026_27'!$E$3:$E$493,MATCH($A411,'Input Giocatori 2026_27'!$A$3:$A$493,0)),"")</f>
        <v>2</v>
      </c>
      <c r="O411" s="24">
        <f>IFERROR(INDEX('Input Giocatori 2026_27'!$G$3:$G$493,MATCH($A411,'Input Giocatori 2026_27'!$A$3:$A$493,0)),"")</f>
        <v>4</v>
      </c>
      <c r="P411" s="23" t="str">
        <f>IFERROR(IF($O411="","",IF((1-(COUNTIFS($B$2:$B$492,$B411,$O$2:$O$492,"&gt;"&amp;$O411)+1-1)/COUNTIF($B$2:$B$492,$B411))&gt;='Parametri Modello'!$B$63,"Top",IF((1-(COUNTIFS($B$2:$B$492,$B411,$O$2:$O$492,"&gt;"&amp;$O411)+1-1)/COUNTIF($B$2:$B$492,$B411))&gt;='Parametri Modello'!$B$64,"Buono",IF((1-(COUNTIFS($B$2:$B$492,$B411,$O$2:$O$492,"&gt;"&amp;$O411)+1-1)/COUNTIF($B$2:$B$492,$B411))&gt;='Parametri Modello'!$B$65,"Nella Media","Scommessa/Riserva")))),"")</f>
        <v>Scommessa/Riserva</v>
      </c>
      <c r="Q411" s="26">
        <f>IF(AND($D411="",$N411&gt;1),SUMPRODUCT(($D$2:$D411="")*($N$2:$N411&gt;1)),"")</f>
        <v>400</v>
      </c>
      <c r="R411" s="26" t="str">
        <f>IF($D411='Info Lega'!$B$28,COUNTIFS($D$2:$D411,'Info Lega'!$B$28),"")</f>
        <v/>
      </c>
      <c r="S411" s="27">
        <f>IFERROR(INDEX('Input Statistiche 2025_26'!$G$3:$G$665,MATCH($A411,'Input Statistiche 2025_26'!$A$3:$A$665,0)),"")</f>
        <v>5.98</v>
      </c>
      <c r="T411" s="27">
        <f>IFERROR(INDEX('Input Statistiche 2025_26'!$H$3:$H$665,MATCH($A411,'Input Statistiche 2025_26'!$A$3:$A$665,0)),"")</f>
        <v>5.9</v>
      </c>
      <c r="U411" s="23" t="str">
        <f>IF(OR('La Mia Rosa'!$O$12="",$D411&lt;&gt;""),"",IF($F411&lt;='La Mia Rosa'!$O$12*'Parametri Modello'!$B$24,"OK",IF($F411&lt;='La Mia Rosa'!$O$12*'Parametri Modello'!$B$25,"Attenzione","Rischio Alto")))</f>
        <v>OK</v>
      </c>
      <c r="V411" s="23">
        <f t="shared" si="55"/>
        <v>154</v>
      </c>
      <c r="W411" s="18">
        <f>'Info Lega'!$B$4-SUMIFS($M$2:$M$492,$D$2:$D$492,'Info Lega'!$B$28)</f>
        <v>1000</v>
      </c>
      <c r="X411" s="18">
        <f>('Info Lega'!$B$5-COUNTIFS($D$2:$D$492,'Info Lega'!$B$28,$B$2:$B$492,"P"))+('Info Lega'!$B$6-COUNTIFS($D$2:$D$492,'Info Lega'!$B$28,$B$2:$B$492,"D"))+('Info Lega'!$B$7-COUNTIFS($D$2:$D$492,'Info Lega'!$B$28,$B$2:$B$492,"C"))+('Info Lega'!$B$8-COUNTIFS($D$2:$D$492,'Info Lega'!$B$28,$B$2:$B$492,"A"))</f>
        <v>25</v>
      </c>
      <c r="Y411" s="18">
        <f>X411*'Parametri Modello'!$B$30</f>
        <v>25</v>
      </c>
      <c r="Z411" s="18">
        <f t="shared" si="56"/>
        <v>975</v>
      </c>
      <c r="AA411" s="18">
        <f t="shared" si="57"/>
        <v>1</v>
      </c>
      <c r="AB411" s="18"/>
      <c r="AC411" s="18" t="str">
        <f>IF($AB411="","",IF($AB411&gt;$AA411,"PASS",IF($AB411&lt;=$AA411*(1-'Parametri Modello'!$B$68),"BID","ATTENZIONE")))</f>
        <v/>
      </c>
      <c r="AD411" s="28">
        <f t="shared" si="58"/>
        <v>50</v>
      </c>
      <c r="AE411" s="5" t="str">
        <f>IFERROR(INDEX('Stato Asta'!$G$9:$G$12,MATCH($B411,'Stato Asta'!$A$9:$A$12,0)),"")</f>
        <v>🔴 Non aspettare</v>
      </c>
      <c r="AF411" t="str">
        <f>IFERROR(IF($V411&lt;=INDEX('Parametri Modello'!$C$57:$C$60,MATCH($B411,'Parametri Modello'!$A$57:$A$60,0)),"Titolare","Riserva"),"")</f>
        <v>Riserva</v>
      </c>
      <c r="AG411" t="str">
        <f>IFERROR(INDEX('Pressione Competitiva'!$F$3:$F$6,MATCH($B411,'Pressione Competitiva'!$B$3:$B$6,0)),"")</f>
        <v>🔴 Molto Alta</v>
      </c>
      <c r="AH411" t="str">
        <f t="shared" si="59"/>
        <v/>
      </c>
      <c r="AI411" t="str">
        <f>IFERROR(IF($AH411="","",IF($AH411&gt;=$AA411*'Parametri Modello'!$B$68,"🟢 Opportunita'",IF($AH411&lt;=$AA411*'Parametri Modello'!$B$69,"🔴 Sovrapprezzo","🟡 Prezzo Corretto"))),"")</f>
        <v/>
      </c>
      <c r="AJ411" t="str">
        <f t="shared" si="60"/>
        <v/>
      </c>
      <c r="AK411">
        <f t="shared" si="61"/>
        <v>48</v>
      </c>
      <c r="AL411" t="str">
        <f t="shared" si="62"/>
        <v>C|Scommessa/Riserva|48</v>
      </c>
    </row>
    <row r="412" spans="1:38" ht="14.25" customHeight="1" x14ac:dyDescent="0.25">
      <c r="A412" s="18">
        <v>526</v>
      </c>
      <c r="B412" s="18" t="s">
        <v>17</v>
      </c>
      <c r="C412" s="18" t="s">
        <v>551</v>
      </c>
      <c r="E412" s="23" t="str">
        <f>IF(COUNTIF('Info Strategia'!$D$2:$D$51,$C412)&gt;0,"SI","NO")</f>
        <v>NO</v>
      </c>
      <c r="F412" s="24">
        <f>IFERROR(ROUND(($G412+($H412-$G412)*'Info Strategia'!$B$6)*(1+IF($E412="SI",'Parametri Modello'!$B$7*'Info Strategia'!$B$6,0)),0),"")</f>
        <v>1</v>
      </c>
      <c r="G412" s="24">
        <f>IFERROR(ROUND(MAX(1,(IF($V412&lt;=INDEX('Parametri Modello'!$C$57:$C$60,MATCH($B412,'Parametri Modello'!$A$57:$A$60,0)),IF(INDEX('Parametri Modello'!$E$57:$E$60,MATCH($B412,'Parametri Modello'!$A$57:$A$60,0))=0,0,($O412/INDEX('Parametri Modello'!$E$57:$E$60,MATCH($B412,'Parametri Modello'!$A$57:$A$60,0)))*(INDEX('Parametri Modello'!$D$57:$D$60,MATCH($B412,'Parametri Modello'!$A$57:$A$60,0))*(INDEX('Parametri Modello'!$B$50:$B$53,MATCH($B412,'Parametri Modello'!$A$50:$A$53,0))*'Parametri Modello'!$B$44))),IF(INDEX('Parametri Modello'!$F$57:$F$60,MATCH($B412,'Parametri Modello'!$A$57:$A$60,0))=0,0,($O412/INDEX('Parametri Modello'!$F$57:$F$60,MATCH($B412,'Parametri Modello'!$A$57:$A$60,0)))*((1-INDEX('Parametri Modello'!$D$57:$D$60,MATCH($B412,'Parametri Modello'!$A$57:$A$60,0)))*(INDEX('Parametri Modello'!$B$50:$B$53,MATCH($B412,'Parametri Modello'!$A$50:$A$53,0))*'Parametri Modello'!$B$44))))*(1+IF(IF($B412="D",'Info Lega'!$B$25,IF($B412="C",'Info Lega'!$B$26,"No"))="Si",'Parametri Modello'!$B$5,0))*(1+MAX(-0.25,MIN(0.25,IF(OR($T412="",$I412="",$I412=0,INDEX('Parametri Modello'!$B$19:$B$22,MATCH($B412,'Parametri Modello'!$A$19:$A$22,0))="",INDEX('Parametri Modello'!$B$19:$B$22,MATCH($B412,'Parametri Modello'!$A$19:$A$22,0))=0),0,(($T412-INDEX('Parametri Modello'!$B$19:$B$22,MATCH($B412,'Parametri Modello'!$A$19:$A$22,0)))/INDEX('Parametri Modello'!$B$19:$B$22,MATCH($B412,'Parametri Modello'!$A$19:$A$22,0)))*'Parametri Modello'!$B$9))))*(1+IF('Parametri Modello'!$B$27="Si",MAX(-'Parametri Modello'!$B$28,MIN('Parametri Modello'!$B$28*1.5,IF(OR(INDEX('Parametri Modello'!$F$32:$F$35,MATCH($B412,'Parametri Modello'!$A$32:$A$35,0))="",INDEX('Parametri Modello'!$F$32:$F$35,MATCH($B412,'Parametri Modello'!$A$32:$A$35,0))=0),0,(1/INDEX('Parametri Modello'!$F$32:$F$35,MATCH($B412,'Parametri Modello'!$A$32:$A$35,0))-1)*'Parametri Modello'!$B$28))),0)))*(1-INDEX('Parametri Modello'!$B$12:$B$15,MATCH($B412,'Parametri Modello'!$A$12:$A$15,0)))),0),"")</f>
        <v>1</v>
      </c>
      <c r="H412" s="24">
        <f>IFERROR(ROUND((IF($V412&lt;=INDEX('Parametri Modello'!$C$57:$C$60,MATCH($B412,'Parametri Modello'!$A$57:$A$60,0)),IF(INDEX('Parametri Modello'!$E$57:$E$60,MATCH($B412,'Parametri Modello'!$A$57:$A$60,0))=0,0,($O412/INDEX('Parametri Modello'!$E$57:$E$60,MATCH($B412,'Parametri Modello'!$A$57:$A$60,0)))*(INDEX('Parametri Modello'!$D$57:$D$60,MATCH($B412,'Parametri Modello'!$A$57:$A$60,0))*(INDEX('Parametri Modello'!$B$50:$B$53,MATCH($B412,'Parametri Modello'!$A$50:$A$53,0))*'Parametri Modello'!$B$44))),IF(INDEX('Parametri Modello'!$F$57:$F$60,MATCH($B412,'Parametri Modello'!$A$57:$A$60,0))=0,0,($O412/INDEX('Parametri Modello'!$F$57:$F$60,MATCH($B412,'Parametri Modello'!$A$57:$A$60,0)))*((1-INDEX('Parametri Modello'!$D$57:$D$60,MATCH($B412,'Parametri Modello'!$A$57:$A$60,0)))*(INDEX('Parametri Modello'!$B$50:$B$53,MATCH($B412,'Parametri Modello'!$A$50:$A$53,0))*'Parametri Modello'!$B$44))))*(1+IF(IF($B412="D",'Info Lega'!$B$25,IF($B412="C",'Info Lega'!$B$26,"No"))="Si",'Parametri Modello'!$B$5,0))*(1+MAX(-0.25,MIN(0.25,IF(OR($T412="",$I412="",$I412=0,INDEX('Parametri Modello'!$B$19:$B$22,MATCH($B412,'Parametri Modello'!$A$19:$A$22,0))="",INDEX('Parametri Modello'!$B$19:$B$22,MATCH($B412,'Parametri Modello'!$A$19:$A$22,0))=0),0,(($T412-INDEX('Parametri Modello'!$B$19:$B$22,MATCH($B412,'Parametri Modello'!$A$19:$A$22,0)))/INDEX('Parametri Modello'!$B$19:$B$22,MATCH($B412,'Parametri Modello'!$A$19:$A$22,0)))*'Parametri Modello'!$B$9))))*(1+IF('Parametri Modello'!$B$27="Si",MAX(-'Parametri Modello'!$B$28,MIN('Parametri Modello'!$B$28*1.5,IF(OR(INDEX('Parametri Modello'!$F$32:$F$35,MATCH($B412,'Parametri Modello'!$A$32:$A$35,0))="",INDEX('Parametri Modello'!$F$32:$F$35,MATCH($B412,'Parametri Modello'!$A$32:$A$35,0))=0),0,(1/INDEX('Parametri Modello'!$F$32:$F$35,MATCH($B412,'Parametri Modello'!$A$32:$A$35,0))-1)*'Parametri Modello'!$B$28))),0)))*(1+INDEX('Parametri Modello'!$B$12:$B$15,MATCH($B412,'Parametri Modello'!$A$12:$A$15,0))),0),"")</f>
        <v>1</v>
      </c>
      <c r="I412" s="23" t="str">
        <f>IFERROR(INDEX('Input Statistiche 2025_26'!$F$3:$F$665,MATCH($A412,'Input Statistiche 2025_26'!$A$3:$A$665,0)),"")</f>
        <v/>
      </c>
      <c r="J412" s="23" t="str">
        <f t="shared" si="54"/>
        <v/>
      </c>
      <c r="K412" s="23" t="str">
        <f>IFERROR(INDEX('Input Statistiche 2025_26'!$I$3:$I$665,MATCH($A412,'Input Statistiche 2025_26'!$A$3:$A$665,0)),"")</f>
        <v/>
      </c>
      <c r="L412" s="23" t="str">
        <f>IFERROR(INDEX('Input Statistiche 2025_26'!$O$3:$O$665,MATCH($A412,'Input Statistiche 2025_26'!$A$3:$A$665,0)),"")</f>
        <v/>
      </c>
      <c r="M412" s="25"/>
      <c r="N412" s="24">
        <f>IFERROR(INDEX('Input Giocatori 2026_27'!$E$3:$E$493,MATCH($A412,'Input Giocatori 2026_27'!$A$3:$A$493,0)),"")</f>
        <v>2</v>
      </c>
      <c r="O412" s="24">
        <f>IFERROR(INDEX('Input Giocatori 2026_27'!$G$3:$G$493,MATCH($A412,'Input Giocatori 2026_27'!$A$3:$A$493,0)),"")</f>
        <v>4</v>
      </c>
      <c r="P412" s="23" t="str">
        <f>IFERROR(IF($O412="","",IF((1-(COUNTIFS($B$2:$B$492,$B412,$O$2:$O$492,"&gt;"&amp;$O412)+1-1)/COUNTIF($B$2:$B$492,$B412))&gt;='Parametri Modello'!$B$63,"Top",IF((1-(COUNTIFS($B$2:$B$492,$B412,$O$2:$O$492,"&gt;"&amp;$O412)+1-1)/COUNTIF($B$2:$B$492,$B412))&gt;='Parametri Modello'!$B$64,"Buono",IF((1-(COUNTIFS($B$2:$B$492,$B412,$O$2:$O$492,"&gt;"&amp;$O412)+1-1)/COUNTIF($B$2:$B$492,$B412))&gt;='Parametri Modello'!$B$65,"Nella Media","Scommessa/Riserva")))),"")</f>
        <v>Scommessa/Riserva</v>
      </c>
      <c r="Q412" s="26">
        <f>IF(AND($D412="",$N412&gt;1),SUMPRODUCT(($D$2:$D412="")*($N$2:$N412&gt;1)),"")</f>
        <v>401</v>
      </c>
      <c r="R412" s="26" t="str">
        <f>IF($D412='Info Lega'!$B$28,COUNTIFS($D$2:$D412,'Info Lega'!$B$28),"")</f>
        <v/>
      </c>
      <c r="S412" s="27" t="str">
        <f>IFERROR(INDEX('Input Statistiche 2025_26'!$G$3:$G$665,MATCH($A412,'Input Statistiche 2025_26'!$A$3:$A$665,0)),"")</f>
        <v/>
      </c>
      <c r="T412" s="27" t="str">
        <f>IFERROR(INDEX('Input Statistiche 2025_26'!$H$3:$H$665,MATCH($A412,'Input Statistiche 2025_26'!$A$3:$A$665,0)),"")</f>
        <v/>
      </c>
      <c r="U412" s="23" t="str">
        <f>IF(OR('La Mia Rosa'!$O$12="",$D412&lt;&gt;""),"",IF($F412&lt;='La Mia Rosa'!$O$12*'Parametri Modello'!$B$24,"OK",IF($F412&lt;='La Mia Rosa'!$O$12*'Parametri Modello'!$B$25,"Attenzione","Rischio Alto")))</f>
        <v>OK</v>
      </c>
      <c r="V412" s="23">
        <f t="shared" si="55"/>
        <v>154</v>
      </c>
      <c r="W412" s="18">
        <f>'Info Lega'!$B$4-SUMIFS($M$2:$M$492,$D$2:$D$492,'Info Lega'!$B$28)</f>
        <v>1000</v>
      </c>
      <c r="X412" s="18">
        <f>('Info Lega'!$B$5-COUNTIFS($D$2:$D$492,'Info Lega'!$B$28,$B$2:$B$492,"P"))+('Info Lega'!$B$6-COUNTIFS($D$2:$D$492,'Info Lega'!$B$28,$B$2:$B$492,"D"))+('Info Lega'!$B$7-COUNTIFS($D$2:$D$492,'Info Lega'!$B$28,$B$2:$B$492,"C"))+('Info Lega'!$B$8-COUNTIFS($D$2:$D$492,'Info Lega'!$B$28,$B$2:$B$492,"A"))</f>
        <v>25</v>
      </c>
      <c r="Y412" s="18">
        <f>X412*'Parametri Modello'!$B$30</f>
        <v>25</v>
      </c>
      <c r="Z412" s="18">
        <f t="shared" si="56"/>
        <v>975</v>
      </c>
      <c r="AA412" s="18">
        <f t="shared" si="57"/>
        <v>1</v>
      </c>
      <c r="AB412" s="18"/>
      <c r="AC412" s="18" t="str">
        <f>IF($AB412="","",IF($AB412&gt;$AA412,"PASS",IF($AB412&lt;=$AA412*(1-'Parametri Modello'!$B$68),"BID","ATTENZIONE")))</f>
        <v/>
      </c>
      <c r="AD412" s="28" t="str">
        <f t="shared" si="58"/>
        <v/>
      </c>
      <c r="AE412" s="5" t="str">
        <f>IFERROR(INDEX('Stato Asta'!$G$9:$G$12,MATCH($B412,'Stato Asta'!$A$9:$A$12,0)),"")</f>
        <v>🔴 Non aspettare</v>
      </c>
      <c r="AF412" t="str">
        <f>IFERROR(IF($V412&lt;=INDEX('Parametri Modello'!$C$57:$C$60,MATCH($B412,'Parametri Modello'!$A$57:$A$60,0)),"Titolare","Riserva"),"")</f>
        <v>Riserva</v>
      </c>
      <c r="AG412" t="str">
        <f>IFERROR(INDEX('Pressione Competitiva'!$F$3:$F$6,MATCH($B412,'Pressione Competitiva'!$B$3:$B$6,0)),"")</f>
        <v>🔴 Molto Alta</v>
      </c>
      <c r="AH412" t="str">
        <f t="shared" si="59"/>
        <v/>
      </c>
      <c r="AI412" t="str">
        <f>IFERROR(IF($AH412="","",IF($AH412&gt;=$AA412*'Parametri Modello'!$B$68,"🟢 Opportunita'",IF($AH412&lt;=$AA412*'Parametri Modello'!$B$69,"🔴 Sovrapprezzo","🟡 Prezzo Corretto"))),"")</f>
        <v/>
      </c>
      <c r="AJ412" t="str">
        <f t="shared" si="60"/>
        <v/>
      </c>
      <c r="AK412">
        <f t="shared" si="61"/>
        <v>48</v>
      </c>
      <c r="AL412" t="str">
        <f t="shared" si="62"/>
        <v>C|Scommessa/Riserva|48</v>
      </c>
    </row>
    <row r="413" spans="1:38" ht="14.25" customHeight="1" x14ac:dyDescent="0.25">
      <c r="A413" s="18">
        <v>5007</v>
      </c>
      <c r="B413" s="18" t="s">
        <v>17</v>
      </c>
      <c r="C413" s="18" t="s">
        <v>552</v>
      </c>
      <c r="E413" s="23" t="str">
        <f>IF(COUNTIF('Info Strategia'!$D$2:$D$51,$C413)&gt;0,"SI","NO")</f>
        <v>NO</v>
      </c>
      <c r="F413" s="24">
        <f>IFERROR(ROUND(($G413+($H413-$G413)*'Info Strategia'!$B$6)*(1+IF($E413="SI",'Parametri Modello'!$B$7*'Info Strategia'!$B$6,0)),0),"")</f>
        <v>1</v>
      </c>
      <c r="G413" s="24">
        <f>IFERROR(ROUND(MAX(1,(IF($V413&lt;=INDEX('Parametri Modello'!$C$57:$C$60,MATCH($B413,'Parametri Modello'!$A$57:$A$60,0)),IF(INDEX('Parametri Modello'!$E$57:$E$60,MATCH($B413,'Parametri Modello'!$A$57:$A$60,0))=0,0,($O413/INDEX('Parametri Modello'!$E$57:$E$60,MATCH($B413,'Parametri Modello'!$A$57:$A$60,0)))*(INDEX('Parametri Modello'!$D$57:$D$60,MATCH($B413,'Parametri Modello'!$A$57:$A$60,0))*(INDEX('Parametri Modello'!$B$50:$B$53,MATCH($B413,'Parametri Modello'!$A$50:$A$53,0))*'Parametri Modello'!$B$44))),IF(INDEX('Parametri Modello'!$F$57:$F$60,MATCH($B413,'Parametri Modello'!$A$57:$A$60,0))=0,0,($O413/INDEX('Parametri Modello'!$F$57:$F$60,MATCH($B413,'Parametri Modello'!$A$57:$A$60,0)))*((1-INDEX('Parametri Modello'!$D$57:$D$60,MATCH($B413,'Parametri Modello'!$A$57:$A$60,0)))*(INDEX('Parametri Modello'!$B$50:$B$53,MATCH($B413,'Parametri Modello'!$A$50:$A$53,0))*'Parametri Modello'!$B$44))))*(1+IF(IF($B413="D",'Info Lega'!$B$25,IF($B413="C",'Info Lega'!$B$26,"No"))="Si",'Parametri Modello'!$B$5,0))*(1+MAX(-0.25,MIN(0.25,IF(OR($T413="",$I413="",$I413=0,INDEX('Parametri Modello'!$B$19:$B$22,MATCH($B413,'Parametri Modello'!$A$19:$A$22,0))="",INDEX('Parametri Modello'!$B$19:$B$22,MATCH($B413,'Parametri Modello'!$A$19:$A$22,0))=0),0,(($T413-INDEX('Parametri Modello'!$B$19:$B$22,MATCH($B413,'Parametri Modello'!$A$19:$A$22,0)))/INDEX('Parametri Modello'!$B$19:$B$22,MATCH($B413,'Parametri Modello'!$A$19:$A$22,0)))*'Parametri Modello'!$B$9))))*(1+IF('Parametri Modello'!$B$27="Si",MAX(-'Parametri Modello'!$B$28,MIN('Parametri Modello'!$B$28*1.5,IF(OR(INDEX('Parametri Modello'!$F$32:$F$35,MATCH($B413,'Parametri Modello'!$A$32:$A$35,0))="",INDEX('Parametri Modello'!$F$32:$F$35,MATCH($B413,'Parametri Modello'!$A$32:$A$35,0))=0),0,(1/INDEX('Parametri Modello'!$F$32:$F$35,MATCH($B413,'Parametri Modello'!$A$32:$A$35,0))-1)*'Parametri Modello'!$B$28))),0)))*(1-INDEX('Parametri Modello'!$B$12:$B$15,MATCH($B413,'Parametri Modello'!$A$12:$A$15,0)))),0),"")</f>
        <v>1</v>
      </c>
      <c r="H413" s="24">
        <f>IFERROR(ROUND((IF($V413&lt;=INDEX('Parametri Modello'!$C$57:$C$60,MATCH($B413,'Parametri Modello'!$A$57:$A$60,0)),IF(INDEX('Parametri Modello'!$E$57:$E$60,MATCH($B413,'Parametri Modello'!$A$57:$A$60,0))=0,0,($O413/INDEX('Parametri Modello'!$E$57:$E$60,MATCH($B413,'Parametri Modello'!$A$57:$A$60,0)))*(INDEX('Parametri Modello'!$D$57:$D$60,MATCH($B413,'Parametri Modello'!$A$57:$A$60,0))*(INDEX('Parametri Modello'!$B$50:$B$53,MATCH($B413,'Parametri Modello'!$A$50:$A$53,0))*'Parametri Modello'!$B$44))),IF(INDEX('Parametri Modello'!$F$57:$F$60,MATCH($B413,'Parametri Modello'!$A$57:$A$60,0))=0,0,($O413/INDEX('Parametri Modello'!$F$57:$F$60,MATCH($B413,'Parametri Modello'!$A$57:$A$60,0)))*((1-INDEX('Parametri Modello'!$D$57:$D$60,MATCH($B413,'Parametri Modello'!$A$57:$A$60,0)))*(INDEX('Parametri Modello'!$B$50:$B$53,MATCH($B413,'Parametri Modello'!$A$50:$A$53,0))*'Parametri Modello'!$B$44))))*(1+IF(IF($B413="D",'Info Lega'!$B$25,IF($B413="C",'Info Lega'!$B$26,"No"))="Si",'Parametri Modello'!$B$5,0))*(1+MAX(-0.25,MIN(0.25,IF(OR($T413="",$I413="",$I413=0,INDEX('Parametri Modello'!$B$19:$B$22,MATCH($B413,'Parametri Modello'!$A$19:$A$22,0))="",INDEX('Parametri Modello'!$B$19:$B$22,MATCH($B413,'Parametri Modello'!$A$19:$A$22,0))=0),0,(($T413-INDEX('Parametri Modello'!$B$19:$B$22,MATCH($B413,'Parametri Modello'!$A$19:$A$22,0)))/INDEX('Parametri Modello'!$B$19:$B$22,MATCH($B413,'Parametri Modello'!$A$19:$A$22,0)))*'Parametri Modello'!$B$9))))*(1+IF('Parametri Modello'!$B$27="Si",MAX(-'Parametri Modello'!$B$28,MIN('Parametri Modello'!$B$28*1.5,IF(OR(INDEX('Parametri Modello'!$F$32:$F$35,MATCH($B413,'Parametri Modello'!$A$32:$A$35,0))="",INDEX('Parametri Modello'!$F$32:$F$35,MATCH($B413,'Parametri Modello'!$A$32:$A$35,0))=0),0,(1/INDEX('Parametri Modello'!$F$32:$F$35,MATCH($B413,'Parametri Modello'!$A$32:$A$35,0))-1)*'Parametri Modello'!$B$28))),0)))*(1+INDEX('Parametri Modello'!$B$12:$B$15,MATCH($B413,'Parametri Modello'!$A$12:$A$15,0))),0),"")</f>
        <v>1</v>
      </c>
      <c r="I413" s="23">
        <f>IFERROR(INDEX('Input Statistiche 2025_26'!$F$3:$F$665,MATCH($A413,'Input Statistiche 2025_26'!$A$3:$A$665,0)),"")</f>
        <v>8</v>
      </c>
      <c r="J413" s="23">
        <f t="shared" si="54"/>
        <v>30</v>
      </c>
      <c r="K413" s="23">
        <f>IFERROR(INDEX('Input Statistiche 2025_26'!$I$3:$I$665,MATCH($A413,'Input Statistiche 2025_26'!$A$3:$A$665,0)),"")</f>
        <v>0</v>
      </c>
      <c r="L413" s="23">
        <f>IFERROR(INDEX('Input Statistiche 2025_26'!$O$3:$O$665,MATCH($A413,'Input Statistiche 2025_26'!$A$3:$A$665,0)),"")</f>
        <v>0</v>
      </c>
      <c r="M413" s="25"/>
      <c r="N413" s="24">
        <f>IFERROR(INDEX('Input Giocatori 2026_27'!$E$3:$E$493,MATCH($A413,'Input Giocatori 2026_27'!$A$3:$A$493,0)),"")</f>
        <v>1</v>
      </c>
      <c r="O413" s="24">
        <f>IFERROR(INDEX('Input Giocatori 2026_27'!$G$3:$G$493,MATCH($A413,'Input Giocatori 2026_27'!$A$3:$A$493,0)),"")</f>
        <v>4</v>
      </c>
      <c r="P413" s="23" t="str">
        <f>IFERROR(IF($O413="","",IF((1-(COUNTIFS($B$2:$B$492,$B413,$O$2:$O$492,"&gt;"&amp;$O413)+1-1)/COUNTIF($B$2:$B$492,$B413))&gt;='Parametri Modello'!$B$63,"Top",IF((1-(COUNTIFS($B$2:$B$492,$B413,$O$2:$O$492,"&gt;"&amp;$O413)+1-1)/COUNTIF($B$2:$B$492,$B413))&gt;='Parametri Modello'!$B$64,"Buono",IF((1-(COUNTIFS($B$2:$B$492,$B413,$O$2:$O$492,"&gt;"&amp;$O413)+1-1)/COUNTIF($B$2:$B$492,$B413))&gt;='Parametri Modello'!$B$65,"Nella Media","Scommessa/Riserva")))),"")</f>
        <v>Scommessa/Riserva</v>
      </c>
      <c r="Q413" s="26" t="str">
        <f>IF(AND($D413="",$N413&gt;1),SUMPRODUCT(($D$2:$D413="")*($N$2:$N413&gt;1)),"")</f>
        <v/>
      </c>
      <c r="R413" s="26" t="str">
        <f>IF($D413='Info Lega'!$B$28,COUNTIFS($D$2:$D413,'Info Lega'!$B$28),"")</f>
        <v/>
      </c>
      <c r="S413" s="27">
        <f>IFERROR(INDEX('Input Statistiche 2025_26'!$G$3:$G$665,MATCH($A413,'Input Statistiche 2025_26'!$A$3:$A$665,0)),"")</f>
        <v>6</v>
      </c>
      <c r="T413" s="27">
        <f>IFERROR(INDEX('Input Statistiche 2025_26'!$H$3:$H$665,MATCH($A413,'Input Statistiche 2025_26'!$A$3:$A$665,0)),"")</f>
        <v>5.88</v>
      </c>
      <c r="U413" s="23" t="str">
        <f>IF(OR('La Mia Rosa'!$O$12="",$D413&lt;&gt;""),"",IF($F413&lt;='La Mia Rosa'!$O$12*'Parametri Modello'!$B$24,"OK",IF($F413&lt;='La Mia Rosa'!$O$12*'Parametri Modello'!$B$25,"Attenzione","Rischio Alto")))</f>
        <v>OK</v>
      </c>
      <c r="V413" s="23">
        <f t="shared" si="55"/>
        <v>154</v>
      </c>
      <c r="W413" s="18">
        <f>'Info Lega'!$B$4-SUMIFS($M$2:$M$492,$D$2:$D$492,'Info Lega'!$B$28)</f>
        <v>1000</v>
      </c>
      <c r="X413" s="18">
        <f>('Info Lega'!$B$5-COUNTIFS($D$2:$D$492,'Info Lega'!$B$28,$B$2:$B$492,"P"))+('Info Lega'!$B$6-COUNTIFS($D$2:$D$492,'Info Lega'!$B$28,$B$2:$B$492,"D"))+('Info Lega'!$B$7-COUNTIFS($D$2:$D$492,'Info Lega'!$B$28,$B$2:$B$492,"C"))+('Info Lega'!$B$8-COUNTIFS($D$2:$D$492,'Info Lega'!$B$28,$B$2:$B$492,"A"))</f>
        <v>25</v>
      </c>
      <c r="Y413" s="18">
        <f>X413*'Parametri Modello'!$B$30</f>
        <v>25</v>
      </c>
      <c r="Z413" s="18">
        <f t="shared" si="56"/>
        <v>975</v>
      </c>
      <c r="AA413" s="18">
        <f t="shared" si="57"/>
        <v>1</v>
      </c>
      <c r="AB413" s="18"/>
      <c r="AC413" s="18" t="str">
        <f>IF($AB413="","",IF($AB413&gt;$AA413,"PASS",IF($AB413&lt;=$AA413*(1-'Parametri Modello'!$B$68),"BID","ATTENZIONE")))</f>
        <v/>
      </c>
      <c r="AD413" s="28">
        <f t="shared" si="58"/>
        <v>23</v>
      </c>
      <c r="AE413" s="5" t="str">
        <f>IFERROR(INDEX('Stato Asta'!$G$9:$G$12,MATCH($B413,'Stato Asta'!$A$9:$A$12,0)),"")</f>
        <v>🔴 Non aspettare</v>
      </c>
      <c r="AF413" t="str">
        <f>IFERROR(IF($V413&lt;=INDEX('Parametri Modello'!$C$57:$C$60,MATCH($B413,'Parametri Modello'!$A$57:$A$60,0)),"Titolare","Riserva"),"")</f>
        <v>Riserva</v>
      </c>
      <c r="AG413" t="str">
        <f>IFERROR(INDEX('Pressione Competitiva'!$F$3:$F$6,MATCH($B413,'Pressione Competitiva'!$B$3:$B$6,0)),"")</f>
        <v>🔴 Molto Alta</v>
      </c>
      <c r="AH413" t="str">
        <f t="shared" si="59"/>
        <v/>
      </c>
      <c r="AI413" t="str">
        <f>IFERROR(IF($AH413="","",IF($AH413&gt;=$AA413*'Parametri Modello'!$B$68,"🟢 Opportunita'",IF($AH413&lt;=$AA413*'Parametri Modello'!$B$69,"🔴 Sovrapprezzo","🟡 Prezzo Corretto"))),"")</f>
        <v/>
      </c>
      <c r="AJ413" t="str">
        <f t="shared" si="60"/>
        <v/>
      </c>
      <c r="AK413" t="str">
        <f t="shared" si="61"/>
        <v/>
      </c>
      <c r="AL413" t="str">
        <f t="shared" si="62"/>
        <v/>
      </c>
    </row>
    <row r="414" spans="1:38" ht="14.25" customHeight="1" x14ac:dyDescent="0.25">
      <c r="A414" s="18">
        <v>6889</v>
      </c>
      <c r="B414" s="18" t="s">
        <v>17</v>
      </c>
      <c r="C414" s="18" t="s">
        <v>553</v>
      </c>
      <c r="E414" s="23" t="str">
        <f>IF(COUNTIF('Info Strategia'!$D$2:$D$51,$C414)&gt;0,"SI","NO")</f>
        <v>NO</v>
      </c>
      <c r="F414" s="24">
        <f>IFERROR(ROUND(($G414+($H414-$G414)*'Info Strategia'!$B$6)*(1+IF($E414="SI",'Parametri Modello'!$B$7*'Info Strategia'!$B$6,0)),0),"")</f>
        <v>1</v>
      </c>
      <c r="G414" s="24">
        <f>IFERROR(ROUND(MAX(1,(IF($V414&lt;=INDEX('Parametri Modello'!$C$57:$C$60,MATCH($B414,'Parametri Modello'!$A$57:$A$60,0)),IF(INDEX('Parametri Modello'!$E$57:$E$60,MATCH($B414,'Parametri Modello'!$A$57:$A$60,0))=0,0,($O414/INDEX('Parametri Modello'!$E$57:$E$60,MATCH($B414,'Parametri Modello'!$A$57:$A$60,0)))*(INDEX('Parametri Modello'!$D$57:$D$60,MATCH($B414,'Parametri Modello'!$A$57:$A$60,0))*(INDEX('Parametri Modello'!$B$50:$B$53,MATCH($B414,'Parametri Modello'!$A$50:$A$53,0))*'Parametri Modello'!$B$44))),IF(INDEX('Parametri Modello'!$F$57:$F$60,MATCH($B414,'Parametri Modello'!$A$57:$A$60,0))=0,0,($O414/INDEX('Parametri Modello'!$F$57:$F$60,MATCH($B414,'Parametri Modello'!$A$57:$A$60,0)))*((1-INDEX('Parametri Modello'!$D$57:$D$60,MATCH($B414,'Parametri Modello'!$A$57:$A$60,0)))*(INDEX('Parametri Modello'!$B$50:$B$53,MATCH($B414,'Parametri Modello'!$A$50:$A$53,0))*'Parametri Modello'!$B$44))))*(1+IF(IF($B414="D",'Info Lega'!$B$25,IF($B414="C",'Info Lega'!$B$26,"No"))="Si",'Parametri Modello'!$B$5,0))*(1+MAX(-0.25,MIN(0.25,IF(OR($T414="",$I414="",$I414=0,INDEX('Parametri Modello'!$B$19:$B$22,MATCH($B414,'Parametri Modello'!$A$19:$A$22,0))="",INDEX('Parametri Modello'!$B$19:$B$22,MATCH($B414,'Parametri Modello'!$A$19:$A$22,0))=0),0,(($T414-INDEX('Parametri Modello'!$B$19:$B$22,MATCH($B414,'Parametri Modello'!$A$19:$A$22,0)))/INDEX('Parametri Modello'!$B$19:$B$22,MATCH($B414,'Parametri Modello'!$A$19:$A$22,0)))*'Parametri Modello'!$B$9))))*(1+IF('Parametri Modello'!$B$27="Si",MAX(-'Parametri Modello'!$B$28,MIN('Parametri Modello'!$B$28*1.5,IF(OR(INDEX('Parametri Modello'!$F$32:$F$35,MATCH($B414,'Parametri Modello'!$A$32:$A$35,0))="",INDEX('Parametri Modello'!$F$32:$F$35,MATCH($B414,'Parametri Modello'!$A$32:$A$35,0))=0),0,(1/INDEX('Parametri Modello'!$F$32:$F$35,MATCH($B414,'Parametri Modello'!$A$32:$A$35,0))-1)*'Parametri Modello'!$B$28))),0)))*(1-INDEX('Parametri Modello'!$B$12:$B$15,MATCH($B414,'Parametri Modello'!$A$12:$A$15,0)))),0),"")</f>
        <v>1</v>
      </c>
      <c r="H414" s="24">
        <f>IFERROR(ROUND((IF($V414&lt;=INDEX('Parametri Modello'!$C$57:$C$60,MATCH($B414,'Parametri Modello'!$A$57:$A$60,0)),IF(INDEX('Parametri Modello'!$E$57:$E$60,MATCH($B414,'Parametri Modello'!$A$57:$A$60,0))=0,0,($O414/INDEX('Parametri Modello'!$E$57:$E$60,MATCH($B414,'Parametri Modello'!$A$57:$A$60,0)))*(INDEX('Parametri Modello'!$D$57:$D$60,MATCH($B414,'Parametri Modello'!$A$57:$A$60,0))*(INDEX('Parametri Modello'!$B$50:$B$53,MATCH($B414,'Parametri Modello'!$A$50:$A$53,0))*'Parametri Modello'!$B$44))),IF(INDEX('Parametri Modello'!$F$57:$F$60,MATCH($B414,'Parametri Modello'!$A$57:$A$60,0))=0,0,($O414/INDEX('Parametri Modello'!$F$57:$F$60,MATCH($B414,'Parametri Modello'!$A$57:$A$60,0)))*((1-INDEX('Parametri Modello'!$D$57:$D$60,MATCH($B414,'Parametri Modello'!$A$57:$A$60,0)))*(INDEX('Parametri Modello'!$B$50:$B$53,MATCH($B414,'Parametri Modello'!$A$50:$A$53,0))*'Parametri Modello'!$B$44))))*(1+IF(IF($B414="D",'Info Lega'!$B$25,IF($B414="C",'Info Lega'!$B$26,"No"))="Si",'Parametri Modello'!$B$5,0))*(1+MAX(-0.25,MIN(0.25,IF(OR($T414="",$I414="",$I414=0,INDEX('Parametri Modello'!$B$19:$B$22,MATCH($B414,'Parametri Modello'!$A$19:$A$22,0))="",INDEX('Parametri Modello'!$B$19:$B$22,MATCH($B414,'Parametri Modello'!$A$19:$A$22,0))=0),0,(($T414-INDEX('Parametri Modello'!$B$19:$B$22,MATCH($B414,'Parametri Modello'!$A$19:$A$22,0)))/INDEX('Parametri Modello'!$B$19:$B$22,MATCH($B414,'Parametri Modello'!$A$19:$A$22,0)))*'Parametri Modello'!$B$9))))*(1+IF('Parametri Modello'!$B$27="Si",MAX(-'Parametri Modello'!$B$28,MIN('Parametri Modello'!$B$28*1.5,IF(OR(INDEX('Parametri Modello'!$F$32:$F$35,MATCH($B414,'Parametri Modello'!$A$32:$A$35,0))="",INDEX('Parametri Modello'!$F$32:$F$35,MATCH($B414,'Parametri Modello'!$A$32:$A$35,0))=0),0,(1/INDEX('Parametri Modello'!$F$32:$F$35,MATCH($B414,'Parametri Modello'!$A$32:$A$35,0))-1)*'Parametri Modello'!$B$28))),0)))*(1+INDEX('Parametri Modello'!$B$12:$B$15,MATCH($B414,'Parametri Modello'!$A$12:$A$15,0))),0),"")</f>
        <v>1</v>
      </c>
      <c r="I414" s="23">
        <f>IFERROR(INDEX('Input Statistiche 2025_26'!$F$3:$F$665,MATCH($A414,'Input Statistiche 2025_26'!$A$3:$A$665,0)),"")</f>
        <v>9</v>
      </c>
      <c r="J414" s="23">
        <f t="shared" si="54"/>
        <v>29</v>
      </c>
      <c r="K414" s="23">
        <f>IFERROR(INDEX('Input Statistiche 2025_26'!$I$3:$I$665,MATCH($A414,'Input Statistiche 2025_26'!$A$3:$A$665,0)),"")</f>
        <v>0</v>
      </c>
      <c r="L414" s="23">
        <f>IFERROR(INDEX('Input Statistiche 2025_26'!$O$3:$O$665,MATCH($A414,'Input Statistiche 2025_26'!$A$3:$A$665,0)),"")</f>
        <v>0</v>
      </c>
      <c r="M414" s="25"/>
      <c r="N414" s="24">
        <f>IFERROR(INDEX('Input Giocatori 2026_27'!$E$3:$E$493,MATCH($A414,'Input Giocatori 2026_27'!$A$3:$A$493,0)),"")</f>
        <v>1</v>
      </c>
      <c r="O414" s="24">
        <f>IFERROR(INDEX('Input Giocatori 2026_27'!$G$3:$G$493,MATCH($A414,'Input Giocatori 2026_27'!$A$3:$A$493,0)),"")</f>
        <v>4</v>
      </c>
      <c r="P414" s="23" t="str">
        <f>IFERROR(IF($O414="","",IF((1-(COUNTIFS($B$2:$B$492,$B414,$O$2:$O$492,"&gt;"&amp;$O414)+1-1)/COUNTIF($B$2:$B$492,$B414))&gt;='Parametri Modello'!$B$63,"Top",IF((1-(COUNTIFS($B$2:$B$492,$B414,$O$2:$O$492,"&gt;"&amp;$O414)+1-1)/COUNTIF($B$2:$B$492,$B414))&gt;='Parametri Modello'!$B$64,"Buono",IF((1-(COUNTIFS($B$2:$B$492,$B414,$O$2:$O$492,"&gt;"&amp;$O414)+1-1)/COUNTIF($B$2:$B$492,$B414))&gt;='Parametri Modello'!$B$65,"Nella Media","Scommessa/Riserva")))),"")</f>
        <v>Scommessa/Riserva</v>
      </c>
      <c r="Q414" s="26" t="str">
        <f>IF(AND($D414="",$N414&gt;1),SUMPRODUCT(($D$2:$D414="")*($N$2:$N414&gt;1)),"")</f>
        <v/>
      </c>
      <c r="R414" s="26" t="str">
        <f>IF($D414='Info Lega'!$B$28,COUNTIFS($D$2:$D414,'Info Lega'!$B$28),"")</f>
        <v/>
      </c>
      <c r="S414" s="27">
        <f>IFERROR(INDEX('Input Statistiche 2025_26'!$G$3:$G$665,MATCH($A414,'Input Statistiche 2025_26'!$A$3:$A$665,0)),"")</f>
        <v>5.78</v>
      </c>
      <c r="T414" s="27">
        <f>IFERROR(INDEX('Input Statistiche 2025_26'!$H$3:$H$665,MATCH($A414,'Input Statistiche 2025_26'!$A$3:$A$665,0)),"")</f>
        <v>5.72</v>
      </c>
      <c r="U414" s="23" t="str">
        <f>IF(OR('La Mia Rosa'!$O$12="",$D414&lt;&gt;""),"",IF($F414&lt;='La Mia Rosa'!$O$12*'Parametri Modello'!$B$24,"OK",IF($F414&lt;='La Mia Rosa'!$O$12*'Parametri Modello'!$B$25,"Attenzione","Rischio Alto")))</f>
        <v>OK</v>
      </c>
      <c r="V414" s="23">
        <f t="shared" si="55"/>
        <v>154</v>
      </c>
      <c r="W414" s="18">
        <f>'Info Lega'!$B$4-SUMIFS($M$2:$M$492,$D$2:$D$492,'Info Lega'!$B$28)</f>
        <v>1000</v>
      </c>
      <c r="X414" s="18">
        <f>('Info Lega'!$B$5-COUNTIFS($D$2:$D$492,'Info Lega'!$B$28,$B$2:$B$492,"P"))+('Info Lega'!$B$6-COUNTIFS($D$2:$D$492,'Info Lega'!$B$28,$B$2:$B$492,"D"))+('Info Lega'!$B$7-COUNTIFS($D$2:$D$492,'Info Lega'!$B$28,$B$2:$B$492,"C"))+('Info Lega'!$B$8-COUNTIFS($D$2:$D$492,'Info Lega'!$B$28,$B$2:$B$492,"A"))</f>
        <v>25</v>
      </c>
      <c r="Y414" s="18">
        <f>X414*'Parametri Modello'!$B$30</f>
        <v>25</v>
      </c>
      <c r="Z414" s="18">
        <f t="shared" si="56"/>
        <v>975</v>
      </c>
      <c r="AA414" s="18">
        <f t="shared" si="57"/>
        <v>1</v>
      </c>
      <c r="AB414" s="18"/>
      <c r="AC414" s="18" t="str">
        <f>IF($AB414="","",IF($AB414&gt;$AA414,"PASS",IF($AB414&lt;=$AA414*(1-'Parametri Modello'!$B$68),"BID","ATTENZIONE")))</f>
        <v/>
      </c>
      <c r="AD414" s="28">
        <f t="shared" si="58"/>
        <v>26</v>
      </c>
      <c r="AE414" s="5" t="str">
        <f>IFERROR(INDEX('Stato Asta'!$G$9:$G$12,MATCH($B414,'Stato Asta'!$A$9:$A$12,0)),"")</f>
        <v>🔴 Non aspettare</v>
      </c>
      <c r="AF414" t="str">
        <f>IFERROR(IF($V414&lt;=INDEX('Parametri Modello'!$C$57:$C$60,MATCH($B414,'Parametri Modello'!$A$57:$A$60,0)),"Titolare","Riserva"),"")</f>
        <v>Riserva</v>
      </c>
      <c r="AG414" t="str">
        <f>IFERROR(INDEX('Pressione Competitiva'!$F$3:$F$6,MATCH($B414,'Pressione Competitiva'!$B$3:$B$6,0)),"")</f>
        <v>🔴 Molto Alta</v>
      </c>
      <c r="AH414" t="str">
        <f t="shared" si="59"/>
        <v/>
      </c>
      <c r="AI414" t="str">
        <f>IFERROR(IF($AH414="","",IF($AH414&gt;=$AA414*'Parametri Modello'!$B$68,"🟢 Opportunita'",IF($AH414&lt;=$AA414*'Parametri Modello'!$B$69,"🔴 Sovrapprezzo","🟡 Prezzo Corretto"))),"")</f>
        <v/>
      </c>
      <c r="AJ414" t="str">
        <f t="shared" si="60"/>
        <v/>
      </c>
      <c r="AK414" t="str">
        <f t="shared" si="61"/>
        <v/>
      </c>
      <c r="AL414" t="str">
        <f t="shared" si="62"/>
        <v/>
      </c>
    </row>
    <row r="415" spans="1:38" ht="14.25" customHeight="1" x14ac:dyDescent="0.25">
      <c r="A415" s="18">
        <v>6212</v>
      </c>
      <c r="B415" s="18" t="s">
        <v>17</v>
      </c>
      <c r="C415" s="18" t="s">
        <v>554</v>
      </c>
      <c r="E415" s="23" t="str">
        <f>IF(COUNTIF('Info Strategia'!$D$2:$D$51,$C415)&gt;0,"SI","NO")</f>
        <v>NO</v>
      </c>
      <c r="F415" s="24">
        <f>IFERROR(ROUND(($G415+($H415-$G415)*'Info Strategia'!$B$6)*(1+IF($E415="SI",'Parametri Modello'!$B$7*'Info Strategia'!$B$6,0)),0),"")</f>
        <v>1</v>
      </c>
      <c r="G415" s="24">
        <f>IFERROR(ROUND(MAX(1,(IF($V415&lt;=INDEX('Parametri Modello'!$C$57:$C$60,MATCH($B415,'Parametri Modello'!$A$57:$A$60,0)),IF(INDEX('Parametri Modello'!$E$57:$E$60,MATCH($B415,'Parametri Modello'!$A$57:$A$60,0))=0,0,($O415/INDEX('Parametri Modello'!$E$57:$E$60,MATCH($B415,'Parametri Modello'!$A$57:$A$60,0)))*(INDEX('Parametri Modello'!$D$57:$D$60,MATCH($B415,'Parametri Modello'!$A$57:$A$60,0))*(INDEX('Parametri Modello'!$B$50:$B$53,MATCH($B415,'Parametri Modello'!$A$50:$A$53,0))*'Parametri Modello'!$B$44))),IF(INDEX('Parametri Modello'!$F$57:$F$60,MATCH($B415,'Parametri Modello'!$A$57:$A$60,0))=0,0,($O415/INDEX('Parametri Modello'!$F$57:$F$60,MATCH($B415,'Parametri Modello'!$A$57:$A$60,0)))*((1-INDEX('Parametri Modello'!$D$57:$D$60,MATCH($B415,'Parametri Modello'!$A$57:$A$60,0)))*(INDEX('Parametri Modello'!$B$50:$B$53,MATCH($B415,'Parametri Modello'!$A$50:$A$53,0))*'Parametri Modello'!$B$44))))*(1+IF(IF($B415="D",'Info Lega'!$B$25,IF($B415="C",'Info Lega'!$B$26,"No"))="Si",'Parametri Modello'!$B$5,0))*(1+MAX(-0.25,MIN(0.25,IF(OR($T415="",$I415="",$I415=0,INDEX('Parametri Modello'!$B$19:$B$22,MATCH($B415,'Parametri Modello'!$A$19:$A$22,0))="",INDEX('Parametri Modello'!$B$19:$B$22,MATCH($B415,'Parametri Modello'!$A$19:$A$22,0))=0),0,(($T415-INDEX('Parametri Modello'!$B$19:$B$22,MATCH($B415,'Parametri Modello'!$A$19:$A$22,0)))/INDEX('Parametri Modello'!$B$19:$B$22,MATCH($B415,'Parametri Modello'!$A$19:$A$22,0)))*'Parametri Modello'!$B$9))))*(1+IF('Parametri Modello'!$B$27="Si",MAX(-'Parametri Modello'!$B$28,MIN('Parametri Modello'!$B$28*1.5,IF(OR(INDEX('Parametri Modello'!$F$32:$F$35,MATCH($B415,'Parametri Modello'!$A$32:$A$35,0))="",INDEX('Parametri Modello'!$F$32:$F$35,MATCH($B415,'Parametri Modello'!$A$32:$A$35,0))=0),0,(1/INDEX('Parametri Modello'!$F$32:$F$35,MATCH($B415,'Parametri Modello'!$A$32:$A$35,0))-1)*'Parametri Modello'!$B$28))),0)))*(1-INDEX('Parametri Modello'!$B$12:$B$15,MATCH($B415,'Parametri Modello'!$A$12:$A$15,0)))),0),"")</f>
        <v>1</v>
      </c>
      <c r="H415" s="24">
        <f>IFERROR(ROUND((IF($V415&lt;=INDEX('Parametri Modello'!$C$57:$C$60,MATCH($B415,'Parametri Modello'!$A$57:$A$60,0)),IF(INDEX('Parametri Modello'!$E$57:$E$60,MATCH($B415,'Parametri Modello'!$A$57:$A$60,0))=0,0,($O415/INDEX('Parametri Modello'!$E$57:$E$60,MATCH($B415,'Parametri Modello'!$A$57:$A$60,0)))*(INDEX('Parametri Modello'!$D$57:$D$60,MATCH($B415,'Parametri Modello'!$A$57:$A$60,0))*(INDEX('Parametri Modello'!$B$50:$B$53,MATCH($B415,'Parametri Modello'!$A$50:$A$53,0))*'Parametri Modello'!$B$44))),IF(INDEX('Parametri Modello'!$F$57:$F$60,MATCH($B415,'Parametri Modello'!$A$57:$A$60,0))=0,0,($O415/INDEX('Parametri Modello'!$F$57:$F$60,MATCH($B415,'Parametri Modello'!$A$57:$A$60,0)))*((1-INDEX('Parametri Modello'!$D$57:$D$60,MATCH($B415,'Parametri Modello'!$A$57:$A$60,0)))*(INDEX('Parametri Modello'!$B$50:$B$53,MATCH($B415,'Parametri Modello'!$A$50:$A$53,0))*'Parametri Modello'!$B$44))))*(1+IF(IF($B415="D",'Info Lega'!$B$25,IF($B415="C",'Info Lega'!$B$26,"No"))="Si",'Parametri Modello'!$B$5,0))*(1+MAX(-0.25,MIN(0.25,IF(OR($T415="",$I415="",$I415=0,INDEX('Parametri Modello'!$B$19:$B$22,MATCH($B415,'Parametri Modello'!$A$19:$A$22,0))="",INDEX('Parametri Modello'!$B$19:$B$22,MATCH($B415,'Parametri Modello'!$A$19:$A$22,0))=0),0,(($T415-INDEX('Parametri Modello'!$B$19:$B$22,MATCH($B415,'Parametri Modello'!$A$19:$A$22,0)))/INDEX('Parametri Modello'!$B$19:$B$22,MATCH($B415,'Parametri Modello'!$A$19:$A$22,0)))*'Parametri Modello'!$B$9))))*(1+IF('Parametri Modello'!$B$27="Si",MAX(-'Parametri Modello'!$B$28,MIN('Parametri Modello'!$B$28*1.5,IF(OR(INDEX('Parametri Modello'!$F$32:$F$35,MATCH($B415,'Parametri Modello'!$A$32:$A$35,0))="",INDEX('Parametri Modello'!$F$32:$F$35,MATCH($B415,'Parametri Modello'!$A$32:$A$35,0))=0),0,(1/INDEX('Parametri Modello'!$F$32:$F$35,MATCH($B415,'Parametri Modello'!$A$32:$A$35,0))-1)*'Parametri Modello'!$B$28))),0)))*(1+INDEX('Parametri Modello'!$B$12:$B$15,MATCH($B415,'Parametri Modello'!$A$12:$A$15,0))),0),"")</f>
        <v>1</v>
      </c>
      <c r="I415" s="23">
        <f>IFERROR(INDEX('Input Statistiche 2025_26'!$F$3:$F$665,MATCH($A415,'Input Statistiche 2025_26'!$A$3:$A$665,0)),"")</f>
        <v>10</v>
      </c>
      <c r="J415" s="23">
        <f t="shared" si="54"/>
        <v>28</v>
      </c>
      <c r="K415" s="23">
        <f>IFERROR(INDEX('Input Statistiche 2025_26'!$I$3:$I$665,MATCH($A415,'Input Statistiche 2025_26'!$A$3:$A$665,0)),"")</f>
        <v>0</v>
      </c>
      <c r="L415" s="23">
        <f>IFERROR(INDEX('Input Statistiche 2025_26'!$O$3:$O$665,MATCH($A415,'Input Statistiche 2025_26'!$A$3:$A$665,0)),"")</f>
        <v>0</v>
      </c>
      <c r="M415" s="25"/>
      <c r="N415" s="24">
        <f>IFERROR(INDEX('Input Giocatori 2026_27'!$E$3:$E$493,MATCH($A415,'Input Giocatori 2026_27'!$A$3:$A$493,0)),"")</f>
        <v>1</v>
      </c>
      <c r="O415" s="24">
        <f>IFERROR(INDEX('Input Giocatori 2026_27'!$G$3:$G$493,MATCH($A415,'Input Giocatori 2026_27'!$A$3:$A$493,0)),"")</f>
        <v>4</v>
      </c>
      <c r="P415" s="23" t="str">
        <f>IFERROR(IF($O415="","",IF((1-(COUNTIFS($B$2:$B$492,$B415,$O$2:$O$492,"&gt;"&amp;$O415)+1-1)/COUNTIF($B$2:$B$492,$B415))&gt;='Parametri Modello'!$B$63,"Top",IF((1-(COUNTIFS($B$2:$B$492,$B415,$O$2:$O$492,"&gt;"&amp;$O415)+1-1)/COUNTIF($B$2:$B$492,$B415))&gt;='Parametri Modello'!$B$64,"Buono",IF((1-(COUNTIFS($B$2:$B$492,$B415,$O$2:$O$492,"&gt;"&amp;$O415)+1-1)/COUNTIF($B$2:$B$492,$B415))&gt;='Parametri Modello'!$B$65,"Nella Media","Scommessa/Riserva")))),"")</f>
        <v>Scommessa/Riserva</v>
      </c>
      <c r="Q415" s="26" t="str">
        <f>IF(AND($D415="",$N415&gt;1),SUMPRODUCT(($D$2:$D415="")*($N$2:$N415&gt;1)),"")</f>
        <v/>
      </c>
      <c r="R415" s="26" t="str">
        <f>IF($D415='Info Lega'!$B$28,COUNTIFS($D$2:$D415,'Info Lega'!$B$28),"")</f>
        <v/>
      </c>
      <c r="S415" s="27">
        <f>IFERROR(INDEX('Input Statistiche 2025_26'!$G$3:$G$665,MATCH($A415,'Input Statistiche 2025_26'!$A$3:$A$665,0)),"")</f>
        <v>5.75</v>
      </c>
      <c r="T415" s="27">
        <f>IFERROR(INDEX('Input Statistiche 2025_26'!$H$3:$H$665,MATCH($A415,'Input Statistiche 2025_26'!$A$3:$A$665,0)),"")</f>
        <v>5.7</v>
      </c>
      <c r="U415" s="23" t="str">
        <f>IF(OR('La Mia Rosa'!$O$12="",$D415&lt;&gt;""),"",IF($F415&lt;='La Mia Rosa'!$O$12*'Parametri Modello'!$B$24,"OK",IF($F415&lt;='La Mia Rosa'!$O$12*'Parametri Modello'!$B$25,"Attenzione","Rischio Alto")))</f>
        <v>OK</v>
      </c>
      <c r="V415" s="23">
        <f t="shared" si="55"/>
        <v>154</v>
      </c>
      <c r="W415" s="18">
        <f>'Info Lega'!$B$4-SUMIFS($M$2:$M$492,$D$2:$D$492,'Info Lega'!$B$28)</f>
        <v>1000</v>
      </c>
      <c r="X415" s="18">
        <f>('Info Lega'!$B$5-COUNTIFS($D$2:$D$492,'Info Lega'!$B$28,$B$2:$B$492,"P"))+('Info Lega'!$B$6-COUNTIFS($D$2:$D$492,'Info Lega'!$B$28,$B$2:$B$492,"D"))+('Info Lega'!$B$7-COUNTIFS($D$2:$D$492,'Info Lega'!$B$28,$B$2:$B$492,"C"))+('Info Lega'!$B$8-COUNTIFS($D$2:$D$492,'Info Lega'!$B$28,$B$2:$B$492,"A"))</f>
        <v>25</v>
      </c>
      <c r="Y415" s="18">
        <f>X415*'Parametri Modello'!$B$30</f>
        <v>25</v>
      </c>
      <c r="Z415" s="18">
        <f t="shared" si="56"/>
        <v>975</v>
      </c>
      <c r="AA415" s="18">
        <f t="shared" si="57"/>
        <v>1</v>
      </c>
      <c r="AB415" s="18"/>
      <c r="AC415" s="18" t="str">
        <f>IF($AB415="","",IF($AB415&gt;$AA415,"PASS",IF($AB415&lt;=$AA415*(1-'Parametri Modello'!$B$68),"BID","ATTENZIONE")))</f>
        <v/>
      </c>
      <c r="AD415" s="28">
        <f t="shared" si="58"/>
        <v>28</v>
      </c>
      <c r="AE415" s="5" t="str">
        <f>IFERROR(INDEX('Stato Asta'!$G$9:$G$12,MATCH($B415,'Stato Asta'!$A$9:$A$12,0)),"")</f>
        <v>🔴 Non aspettare</v>
      </c>
      <c r="AF415" t="str">
        <f>IFERROR(IF($V415&lt;=INDEX('Parametri Modello'!$C$57:$C$60,MATCH($B415,'Parametri Modello'!$A$57:$A$60,0)),"Titolare","Riserva"),"")</f>
        <v>Riserva</v>
      </c>
      <c r="AG415" t="str">
        <f>IFERROR(INDEX('Pressione Competitiva'!$F$3:$F$6,MATCH($B415,'Pressione Competitiva'!$B$3:$B$6,0)),"")</f>
        <v>🔴 Molto Alta</v>
      </c>
      <c r="AH415" t="str">
        <f t="shared" si="59"/>
        <v/>
      </c>
      <c r="AI415" t="str">
        <f>IFERROR(IF($AH415="","",IF($AH415&gt;=$AA415*'Parametri Modello'!$B$68,"🟢 Opportunita'",IF($AH415&lt;=$AA415*'Parametri Modello'!$B$69,"🔴 Sovrapprezzo","🟡 Prezzo Corretto"))),"")</f>
        <v/>
      </c>
      <c r="AJ415" t="str">
        <f t="shared" si="60"/>
        <v/>
      </c>
      <c r="AK415" t="str">
        <f t="shared" si="61"/>
        <v/>
      </c>
      <c r="AL415" t="str">
        <f t="shared" si="62"/>
        <v/>
      </c>
    </row>
    <row r="416" spans="1:38" ht="14.25" customHeight="1" x14ac:dyDescent="0.25">
      <c r="A416" s="18">
        <v>7249</v>
      </c>
      <c r="B416" s="18" t="s">
        <v>18</v>
      </c>
      <c r="C416" s="18" t="s">
        <v>555</v>
      </c>
      <c r="E416" s="23" t="str">
        <f>IF(COUNTIF('Info Strategia'!$D$2:$D$51,$C416)&gt;0,"SI","NO")</f>
        <v>NO</v>
      </c>
      <c r="F416" s="24">
        <f>IFERROR(ROUND(($G416+($H416-$G416)*'Info Strategia'!$B$6)*(1+IF($E416="SI",'Parametri Modello'!$B$7*'Info Strategia'!$B$6,0)),0),"")</f>
        <v>1</v>
      </c>
      <c r="G416" s="24">
        <f>IFERROR(ROUND(MAX(1,(IF($V416&lt;=INDEX('Parametri Modello'!$C$57:$C$60,MATCH($B416,'Parametri Modello'!$A$57:$A$60,0)),IF(INDEX('Parametri Modello'!$E$57:$E$60,MATCH($B416,'Parametri Modello'!$A$57:$A$60,0))=0,0,($O416/INDEX('Parametri Modello'!$E$57:$E$60,MATCH($B416,'Parametri Modello'!$A$57:$A$60,0)))*(INDEX('Parametri Modello'!$D$57:$D$60,MATCH($B416,'Parametri Modello'!$A$57:$A$60,0))*(INDEX('Parametri Modello'!$B$50:$B$53,MATCH($B416,'Parametri Modello'!$A$50:$A$53,0))*'Parametri Modello'!$B$44))),IF(INDEX('Parametri Modello'!$F$57:$F$60,MATCH($B416,'Parametri Modello'!$A$57:$A$60,0))=0,0,($O416/INDEX('Parametri Modello'!$F$57:$F$60,MATCH($B416,'Parametri Modello'!$A$57:$A$60,0)))*((1-INDEX('Parametri Modello'!$D$57:$D$60,MATCH($B416,'Parametri Modello'!$A$57:$A$60,0)))*(INDEX('Parametri Modello'!$B$50:$B$53,MATCH($B416,'Parametri Modello'!$A$50:$A$53,0))*'Parametri Modello'!$B$44))))*(1+IF(IF($B416="D",'Info Lega'!$B$25,IF($B416="C",'Info Lega'!$B$26,"No"))="Si",'Parametri Modello'!$B$5,0))*(1+MAX(-0.25,MIN(0.25,IF(OR($T416="",$I416="",$I416=0,INDEX('Parametri Modello'!$B$19:$B$22,MATCH($B416,'Parametri Modello'!$A$19:$A$22,0))="",INDEX('Parametri Modello'!$B$19:$B$22,MATCH($B416,'Parametri Modello'!$A$19:$A$22,0))=0),0,(($T416-INDEX('Parametri Modello'!$B$19:$B$22,MATCH($B416,'Parametri Modello'!$A$19:$A$22,0)))/INDEX('Parametri Modello'!$B$19:$B$22,MATCH($B416,'Parametri Modello'!$A$19:$A$22,0)))*'Parametri Modello'!$B$9))))*(1+IF('Parametri Modello'!$B$27="Si",MAX(-'Parametri Modello'!$B$28,MIN('Parametri Modello'!$B$28*1.5,IF(OR(INDEX('Parametri Modello'!$F$32:$F$35,MATCH($B416,'Parametri Modello'!$A$32:$A$35,0))="",INDEX('Parametri Modello'!$F$32:$F$35,MATCH($B416,'Parametri Modello'!$A$32:$A$35,0))=0),0,(1/INDEX('Parametri Modello'!$F$32:$F$35,MATCH($B416,'Parametri Modello'!$A$32:$A$35,0))-1)*'Parametri Modello'!$B$28))),0)))*(1-INDEX('Parametri Modello'!$B$12:$B$15,MATCH($B416,'Parametri Modello'!$A$12:$A$15,0)))),0),"")</f>
        <v>1</v>
      </c>
      <c r="H416" s="24">
        <f>IFERROR(ROUND((IF($V416&lt;=INDEX('Parametri Modello'!$C$57:$C$60,MATCH($B416,'Parametri Modello'!$A$57:$A$60,0)),IF(INDEX('Parametri Modello'!$E$57:$E$60,MATCH($B416,'Parametri Modello'!$A$57:$A$60,0))=0,0,($O416/INDEX('Parametri Modello'!$E$57:$E$60,MATCH($B416,'Parametri Modello'!$A$57:$A$60,0)))*(INDEX('Parametri Modello'!$D$57:$D$60,MATCH($B416,'Parametri Modello'!$A$57:$A$60,0))*(INDEX('Parametri Modello'!$B$50:$B$53,MATCH($B416,'Parametri Modello'!$A$50:$A$53,0))*'Parametri Modello'!$B$44))),IF(INDEX('Parametri Modello'!$F$57:$F$60,MATCH($B416,'Parametri Modello'!$A$57:$A$60,0))=0,0,($O416/INDEX('Parametri Modello'!$F$57:$F$60,MATCH($B416,'Parametri Modello'!$A$57:$A$60,0)))*((1-INDEX('Parametri Modello'!$D$57:$D$60,MATCH($B416,'Parametri Modello'!$A$57:$A$60,0)))*(INDEX('Parametri Modello'!$B$50:$B$53,MATCH($B416,'Parametri Modello'!$A$50:$A$53,0))*'Parametri Modello'!$B$44))))*(1+IF(IF($B416="D",'Info Lega'!$B$25,IF($B416="C",'Info Lega'!$B$26,"No"))="Si",'Parametri Modello'!$B$5,0))*(1+MAX(-0.25,MIN(0.25,IF(OR($T416="",$I416="",$I416=0,INDEX('Parametri Modello'!$B$19:$B$22,MATCH($B416,'Parametri Modello'!$A$19:$A$22,0))="",INDEX('Parametri Modello'!$B$19:$B$22,MATCH($B416,'Parametri Modello'!$A$19:$A$22,0))=0),0,(($T416-INDEX('Parametri Modello'!$B$19:$B$22,MATCH($B416,'Parametri Modello'!$A$19:$A$22,0)))/INDEX('Parametri Modello'!$B$19:$B$22,MATCH($B416,'Parametri Modello'!$A$19:$A$22,0)))*'Parametri Modello'!$B$9))))*(1+IF('Parametri Modello'!$B$27="Si",MAX(-'Parametri Modello'!$B$28,MIN('Parametri Modello'!$B$28*1.5,IF(OR(INDEX('Parametri Modello'!$F$32:$F$35,MATCH($B416,'Parametri Modello'!$A$32:$A$35,0))="",INDEX('Parametri Modello'!$F$32:$F$35,MATCH($B416,'Parametri Modello'!$A$32:$A$35,0))=0),0,(1/INDEX('Parametri Modello'!$F$32:$F$35,MATCH($B416,'Parametri Modello'!$A$32:$A$35,0))-1)*'Parametri Modello'!$B$28))),0)))*(1+INDEX('Parametri Modello'!$B$12:$B$15,MATCH($B416,'Parametri Modello'!$A$12:$A$15,0))),0),"")</f>
        <v>1</v>
      </c>
      <c r="I416" s="23">
        <f>IFERROR(INDEX('Input Statistiche 2025_26'!$F$3:$F$665,MATCH($A416,'Input Statistiche 2025_26'!$A$3:$A$665,0)),"")</f>
        <v>21</v>
      </c>
      <c r="J416" s="23">
        <f t="shared" si="54"/>
        <v>17</v>
      </c>
      <c r="K416" s="23">
        <f>IFERROR(INDEX('Input Statistiche 2025_26'!$I$3:$I$665,MATCH($A416,'Input Statistiche 2025_26'!$A$3:$A$665,0)),"")</f>
        <v>3</v>
      </c>
      <c r="L416" s="23">
        <f>IFERROR(INDEX('Input Statistiche 2025_26'!$O$3:$O$665,MATCH($A416,'Input Statistiche 2025_26'!$A$3:$A$665,0)),"")</f>
        <v>0</v>
      </c>
      <c r="M416" s="25"/>
      <c r="N416" s="24">
        <f>IFERROR(INDEX('Input Giocatori 2026_27'!$E$3:$E$493,MATCH($A416,'Input Giocatori 2026_27'!$A$3:$A$493,0)),"")</f>
        <v>2</v>
      </c>
      <c r="O416" s="24">
        <f>IFERROR(INDEX('Input Giocatori 2026_27'!$G$3:$G$493,MATCH($A416,'Input Giocatori 2026_27'!$A$3:$A$493,0)),"")</f>
        <v>4</v>
      </c>
      <c r="P416" s="23" t="str">
        <f>IFERROR(IF($O416="","",IF((1-(COUNTIFS($B$2:$B$492,$B416,$O$2:$O$492,"&gt;"&amp;$O416)+1-1)/COUNTIF($B$2:$B$492,$B416))&gt;='Parametri Modello'!$B$63,"Top",IF((1-(COUNTIFS($B$2:$B$492,$B416,$O$2:$O$492,"&gt;"&amp;$O416)+1-1)/COUNTIF($B$2:$B$492,$B416))&gt;='Parametri Modello'!$B$64,"Buono",IF((1-(COUNTIFS($B$2:$B$492,$B416,$O$2:$O$492,"&gt;"&amp;$O416)+1-1)/COUNTIF($B$2:$B$492,$B416))&gt;='Parametri Modello'!$B$65,"Nella Media","Scommessa/Riserva")))),"")</f>
        <v>Scommessa/Riserva</v>
      </c>
      <c r="Q416" s="26">
        <f>IF(AND($D416="",$N416&gt;1),SUMPRODUCT(($D$2:$D416="")*($N$2:$N416&gt;1)),"")</f>
        <v>402</v>
      </c>
      <c r="R416" s="26" t="str">
        <f>IF($D416='Info Lega'!$B$28,COUNTIFS($D$2:$D416,'Info Lega'!$B$28),"")</f>
        <v/>
      </c>
      <c r="S416" s="27">
        <f>IFERROR(INDEX('Input Statistiche 2025_26'!$G$3:$G$665,MATCH($A416,'Input Statistiche 2025_26'!$A$3:$A$665,0)),"")</f>
        <v>5.88</v>
      </c>
      <c r="T416" s="27">
        <f>IFERROR(INDEX('Input Statistiche 2025_26'!$H$3:$H$665,MATCH($A416,'Input Statistiche 2025_26'!$A$3:$A$665,0)),"")</f>
        <v>6.24</v>
      </c>
      <c r="U416" s="23" t="str">
        <f>IF(OR('La Mia Rosa'!$O$12="",$D416&lt;&gt;""),"",IF($F416&lt;='La Mia Rosa'!$O$12*'Parametri Modello'!$B$24,"OK",IF($F416&lt;='La Mia Rosa'!$O$12*'Parametri Modello'!$B$25,"Attenzione","Rischio Alto")))</f>
        <v>OK</v>
      </c>
      <c r="V416" s="23">
        <f t="shared" si="55"/>
        <v>77</v>
      </c>
      <c r="W416" s="18">
        <f>'Info Lega'!$B$4-SUMIFS($M$2:$M$492,$D$2:$D$492,'Info Lega'!$B$28)</f>
        <v>1000</v>
      </c>
      <c r="X416" s="18">
        <f>('Info Lega'!$B$5-COUNTIFS($D$2:$D$492,'Info Lega'!$B$28,$B$2:$B$492,"P"))+('Info Lega'!$B$6-COUNTIFS($D$2:$D$492,'Info Lega'!$B$28,$B$2:$B$492,"D"))+('Info Lega'!$B$7-COUNTIFS($D$2:$D$492,'Info Lega'!$B$28,$B$2:$B$492,"C"))+('Info Lega'!$B$8-COUNTIFS($D$2:$D$492,'Info Lega'!$B$28,$B$2:$B$492,"A"))</f>
        <v>25</v>
      </c>
      <c r="Y416" s="18">
        <f>X416*'Parametri Modello'!$B$30</f>
        <v>25</v>
      </c>
      <c r="Z416" s="18">
        <f t="shared" si="56"/>
        <v>975</v>
      </c>
      <c r="AA416" s="18">
        <f t="shared" si="57"/>
        <v>1</v>
      </c>
      <c r="AB416" s="18"/>
      <c r="AC416" s="18" t="str">
        <f>IF($AB416="","",IF($AB416&gt;$AA416,"PASS",IF($AB416&lt;=$AA416*(1-'Parametri Modello'!$B$68),"BID","ATTENZIONE")))</f>
        <v/>
      </c>
      <c r="AD416" s="28">
        <f t="shared" si="58"/>
        <v>50</v>
      </c>
      <c r="AE416" s="5" t="str">
        <f>IFERROR(INDEX('Stato Asta'!$G$9:$G$12,MATCH($B416,'Stato Asta'!$A$9:$A$12,0)),"")</f>
        <v>🔴 Non aspettare</v>
      </c>
      <c r="AF416" t="str">
        <f>IFERROR(IF($V416&lt;=INDEX('Parametri Modello'!$C$57:$C$60,MATCH($B416,'Parametri Modello'!$A$57:$A$60,0)),"Titolare","Riserva"),"")</f>
        <v>Riserva</v>
      </c>
      <c r="AG416" t="str">
        <f>IFERROR(INDEX('Pressione Competitiva'!$F$3:$F$6,MATCH($B416,'Pressione Competitiva'!$B$3:$B$6,0)),"")</f>
        <v>🔴 Molto Alta</v>
      </c>
      <c r="AH416" t="str">
        <f t="shared" si="59"/>
        <v/>
      </c>
      <c r="AI416" t="str">
        <f>IFERROR(IF($AH416="","",IF($AH416&gt;=$AA416*'Parametri Modello'!$B$68,"🟢 Opportunita'",IF($AH416&lt;=$AA416*'Parametri Modello'!$B$69,"🔴 Sovrapprezzo","🟡 Prezzo Corretto"))),"")</f>
        <v/>
      </c>
      <c r="AJ416" t="str">
        <f t="shared" si="60"/>
        <v/>
      </c>
      <c r="AK416">
        <f t="shared" si="61"/>
        <v>23</v>
      </c>
      <c r="AL416" t="str">
        <f t="shared" si="62"/>
        <v>A|Scommessa/Riserva|23</v>
      </c>
    </row>
    <row r="417" spans="1:38" ht="14.25" customHeight="1" x14ac:dyDescent="0.25">
      <c r="A417" s="18">
        <v>6981</v>
      </c>
      <c r="B417" s="18" t="s">
        <v>18</v>
      </c>
      <c r="C417" s="18" t="s">
        <v>556</v>
      </c>
      <c r="E417" s="23" t="str">
        <f>IF(COUNTIF('Info Strategia'!$D$2:$D$51,$C417)&gt;0,"SI","NO")</f>
        <v>NO</v>
      </c>
      <c r="F417" s="24">
        <f>IFERROR(ROUND(($G417+($H417-$G417)*'Info Strategia'!$B$6)*(1+IF($E417="SI",'Parametri Modello'!$B$7*'Info Strategia'!$B$6,0)),0),"")</f>
        <v>1</v>
      </c>
      <c r="G417" s="24">
        <f>IFERROR(ROUND(MAX(1,(IF($V417&lt;=INDEX('Parametri Modello'!$C$57:$C$60,MATCH($B417,'Parametri Modello'!$A$57:$A$60,0)),IF(INDEX('Parametri Modello'!$E$57:$E$60,MATCH($B417,'Parametri Modello'!$A$57:$A$60,0))=0,0,($O417/INDEX('Parametri Modello'!$E$57:$E$60,MATCH($B417,'Parametri Modello'!$A$57:$A$60,0)))*(INDEX('Parametri Modello'!$D$57:$D$60,MATCH($B417,'Parametri Modello'!$A$57:$A$60,0))*(INDEX('Parametri Modello'!$B$50:$B$53,MATCH($B417,'Parametri Modello'!$A$50:$A$53,0))*'Parametri Modello'!$B$44))),IF(INDEX('Parametri Modello'!$F$57:$F$60,MATCH($B417,'Parametri Modello'!$A$57:$A$60,0))=0,0,($O417/INDEX('Parametri Modello'!$F$57:$F$60,MATCH($B417,'Parametri Modello'!$A$57:$A$60,0)))*((1-INDEX('Parametri Modello'!$D$57:$D$60,MATCH($B417,'Parametri Modello'!$A$57:$A$60,0)))*(INDEX('Parametri Modello'!$B$50:$B$53,MATCH($B417,'Parametri Modello'!$A$50:$A$53,0))*'Parametri Modello'!$B$44))))*(1+IF(IF($B417="D",'Info Lega'!$B$25,IF($B417="C",'Info Lega'!$B$26,"No"))="Si",'Parametri Modello'!$B$5,0))*(1+MAX(-0.25,MIN(0.25,IF(OR($T417="",$I417="",$I417=0,INDEX('Parametri Modello'!$B$19:$B$22,MATCH($B417,'Parametri Modello'!$A$19:$A$22,0))="",INDEX('Parametri Modello'!$B$19:$B$22,MATCH($B417,'Parametri Modello'!$A$19:$A$22,0))=0),0,(($T417-INDEX('Parametri Modello'!$B$19:$B$22,MATCH($B417,'Parametri Modello'!$A$19:$A$22,0)))/INDEX('Parametri Modello'!$B$19:$B$22,MATCH($B417,'Parametri Modello'!$A$19:$A$22,0)))*'Parametri Modello'!$B$9))))*(1+IF('Parametri Modello'!$B$27="Si",MAX(-'Parametri Modello'!$B$28,MIN('Parametri Modello'!$B$28*1.5,IF(OR(INDEX('Parametri Modello'!$F$32:$F$35,MATCH($B417,'Parametri Modello'!$A$32:$A$35,0))="",INDEX('Parametri Modello'!$F$32:$F$35,MATCH($B417,'Parametri Modello'!$A$32:$A$35,0))=0),0,(1/INDEX('Parametri Modello'!$F$32:$F$35,MATCH($B417,'Parametri Modello'!$A$32:$A$35,0))-1)*'Parametri Modello'!$B$28))),0)))*(1-INDEX('Parametri Modello'!$B$12:$B$15,MATCH($B417,'Parametri Modello'!$A$12:$A$15,0)))),0),"")</f>
        <v>1</v>
      </c>
      <c r="H417" s="24">
        <f>IFERROR(ROUND((IF($V417&lt;=INDEX('Parametri Modello'!$C$57:$C$60,MATCH($B417,'Parametri Modello'!$A$57:$A$60,0)),IF(INDEX('Parametri Modello'!$E$57:$E$60,MATCH($B417,'Parametri Modello'!$A$57:$A$60,0))=0,0,($O417/INDEX('Parametri Modello'!$E$57:$E$60,MATCH($B417,'Parametri Modello'!$A$57:$A$60,0)))*(INDEX('Parametri Modello'!$D$57:$D$60,MATCH($B417,'Parametri Modello'!$A$57:$A$60,0))*(INDEX('Parametri Modello'!$B$50:$B$53,MATCH($B417,'Parametri Modello'!$A$50:$A$53,0))*'Parametri Modello'!$B$44))),IF(INDEX('Parametri Modello'!$F$57:$F$60,MATCH($B417,'Parametri Modello'!$A$57:$A$60,0))=0,0,($O417/INDEX('Parametri Modello'!$F$57:$F$60,MATCH($B417,'Parametri Modello'!$A$57:$A$60,0)))*((1-INDEX('Parametri Modello'!$D$57:$D$60,MATCH($B417,'Parametri Modello'!$A$57:$A$60,0)))*(INDEX('Parametri Modello'!$B$50:$B$53,MATCH($B417,'Parametri Modello'!$A$50:$A$53,0))*'Parametri Modello'!$B$44))))*(1+IF(IF($B417="D",'Info Lega'!$B$25,IF($B417="C",'Info Lega'!$B$26,"No"))="Si",'Parametri Modello'!$B$5,0))*(1+MAX(-0.25,MIN(0.25,IF(OR($T417="",$I417="",$I417=0,INDEX('Parametri Modello'!$B$19:$B$22,MATCH($B417,'Parametri Modello'!$A$19:$A$22,0))="",INDEX('Parametri Modello'!$B$19:$B$22,MATCH($B417,'Parametri Modello'!$A$19:$A$22,0))=0),0,(($T417-INDEX('Parametri Modello'!$B$19:$B$22,MATCH($B417,'Parametri Modello'!$A$19:$A$22,0)))/INDEX('Parametri Modello'!$B$19:$B$22,MATCH($B417,'Parametri Modello'!$A$19:$A$22,0)))*'Parametri Modello'!$B$9))))*(1+IF('Parametri Modello'!$B$27="Si",MAX(-'Parametri Modello'!$B$28,MIN('Parametri Modello'!$B$28*1.5,IF(OR(INDEX('Parametri Modello'!$F$32:$F$35,MATCH($B417,'Parametri Modello'!$A$32:$A$35,0))="",INDEX('Parametri Modello'!$F$32:$F$35,MATCH($B417,'Parametri Modello'!$A$32:$A$35,0))=0),0,(1/INDEX('Parametri Modello'!$F$32:$F$35,MATCH($B417,'Parametri Modello'!$A$32:$A$35,0))-1)*'Parametri Modello'!$B$28))),0)))*(1+INDEX('Parametri Modello'!$B$12:$B$15,MATCH($B417,'Parametri Modello'!$A$12:$A$15,0))),0),"")</f>
        <v>1</v>
      </c>
      <c r="I417" s="23">
        <f>IFERROR(INDEX('Input Statistiche 2025_26'!$F$3:$F$665,MATCH($A417,'Input Statistiche 2025_26'!$A$3:$A$665,0)),"")</f>
        <v>7</v>
      </c>
      <c r="J417" s="23">
        <f t="shared" si="54"/>
        <v>31</v>
      </c>
      <c r="K417" s="23">
        <f>IFERROR(INDEX('Input Statistiche 2025_26'!$I$3:$I$665,MATCH($A417,'Input Statistiche 2025_26'!$A$3:$A$665,0)),"")</f>
        <v>1</v>
      </c>
      <c r="L417" s="23">
        <f>IFERROR(INDEX('Input Statistiche 2025_26'!$O$3:$O$665,MATCH($A417,'Input Statistiche 2025_26'!$A$3:$A$665,0)),"")</f>
        <v>0</v>
      </c>
      <c r="M417" s="25"/>
      <c r="N417" s="24">
        <f>IFERROR(INDEX('Input Giocatori 2026_27'!$E$3:$E$493,MATCH($A417,'Input Giocatori 2026_27'!$A$3:$A$493,0)),"")</f>
        <v>1</v>
      </c>
      <c r="O417" s="24">
        <f>IFERROR(INDEX('Input Giocatori 2026_27'!$G$3:$G$493,MATCH($A417,'Input Giocatori 2026_27'!$A$3:$A$493,0)),"")</f>
        <v>4</v>
      </c>
      <c r="P417" s="23" t="str">
        <f>IFERROR(IF($O417="","",IF((1-(COUNTIFS($B$2:$B$492,$B417,$O$2:$O$492,"&gt;"&amp;$O417)+1-1)/COUNTIF($B$2:$B$492,$B417))&gt;='Parametri Modello'!$B$63,"Top",IF((1-(COUNTIFS($B$2:$B$492,$B417,$O$2:$O$492,"&gt;"&amp;$O417)+1-1)/COUNTIF($B$2:$B$492,$B417))&gt;='Parametri Modello'!$B$64,"Buono",IF((1-(COUNTIFS($B$2:$B$492,$B417,$O$2:$O$492,"&gt;"&amp;$O417)+1-1)/COUNTIF($B$2:$B$492,$B417))&gt;='Parametri Modello'!$B$65,"Nella Media","Scommessa/Riserva")))),"")</f>
        <v>Scommessa/Riserva</v>
      </c>
      <c r="Q417" s="26" t="str">
        <f>IF(AND($D417="",$N417&gt;1),SUMPRODUCT(($D$2:$D417="")*($N$2:$N417&gt;1)),"")</f>
        <v/>
      </c>
      <c r="R417" s="26" t="str">
        <f>IF($D417='Info Lega'!$B$28,COUNTIFS($D$2:$D417,'Info Lega'!$B$28),"")</f>
        <v/>
      </c>
      <c r="S417" s="27">
        <f>IFERROR(INDEX('Input Statistiche 2025_26'!$G$3:$G$665,MATCH($A417,'Input Statistiche 2025_26'!$A$3:$A$665,0)),"")</f>
        <v>5.93</v>
      </c>
      <c r="T417" s="27">
        <f>IFERROR(INDEX('Input Statistiche 2025_26'!$H$3:$H$665,MATCH($A417,'Input Statistiche 2025_26'!$A$3:$A$665,0)),"")</f>
        <v>6.36</v>
      </c>
      <c r="U417" s="23" t="str">
        <f>IF(OR('La Mia Rosa'!$O$12="",$D417&lt;&gt;""),"",IF($F417&lt;='La Mia Rosa'!$O$12*'Parametri Modello'!$B$24,"OK",IF($F417&lt;='La Mia Rosa'!$O$12*'Parametri Modello'!$B$25,"Attenzione","Rischio Alto")))</f>
        <v>OK</v>
      </c>
      <c r="V417" s="23">
        <f t="shared" si="55"/>
        <v>77</v>
      </c>
      <c r="W417" s="18">
        <f>'Info Lega'!$B$4-SUMIFS($M$2:$M$492,$D$2:$D$492,'Info Lega'!$B$28)</f>
        <v>1000</v>
      </c>
      <c r="X417" s="18">
        <f>('Info Lega'!$B$5-COUNTIFS($D$2:$D$492,'Info Lega'!$B$28,$B$2:$B$492,"P"))+('Info Lega'!$B$6-COUNTIFS($D$2:$D$492,'Info Lega'!$B$28,$B$2:$B$492,"D"))+('Info Lega'!$B$7-COUNTIFS($D$2:$D$492,'Info Lega'!$B$28,$B$2:$B$492,"C"))+('Info Lega'!$B$8-COUNTIFS($D$2:$D$492,'Info Lega'!$B$28,$B$2:$B$492,"A"))</f>
        <v>25</v>
      </c>
      <c r="Y417" s="18">
        <f>X417*'Parametri Modello'!$B$30</f>
        <v>25</v>
      </c>
      <c r="Z417" s="18">
        <f t="shared" si="56"/>
        <v>975</v>
      </c>
      <c r="AA417" s="18">
        <f t="shared" si="57"/>
        <v>1</v>
      </c>
      <c r="AB417" s="18"/>
      <c r="AC417" s="18" t="str">
        <f>IF($AB417="","",IF($AB417&gt;$AA417,"PASS",IF($AB417&lt;=$AA417*(1-'Parametri Modello'!$B$68),"BID","ATTENZIONE")))</f>
        <v/>
      </c>
      <c r="AD417" s="28">
        <f t="shared" si="58"/>
        <v>21</v>
      </c>
      <c r="AE417" s="5" t="str">
        <f>IFERROR(INDEX('Stato Asta'!$G$9:$G$12,MATCH($B417,'Stato Asta'!$A$9:$A$12,0)),"")</f>
        <v>🔴 Non aspettare</v>
      </c>
      <c r="AF417" t="str">
        <f>IFERROR(IF($V417&lt;=INDEX('Parametri Modello'!$C$57:$C$60,MATCH($B417,'Parametri Modello'!$A$57:$A$60,0)),"Titolare","Riserva"),"")</f>
        <v>Riserva</v>
      </c>
      <c r="AG417" t="str">
        <f>IFERROR(INDEX('Pressione Competitiva'!$F$3:$F$6,MATCH($B417,'Pressione Competitiva'!$B$3:$B$6,0)),"")</f>
        <v>🔴 Molto Alta</v>
      </c>
      <c r="AH417" t="str">
        <f t="shared" si="59"/>
        <v/>
      </c>
      <c r="AI417" t="str">
        <f>IFERROR(IF($AH417="","",IF($AH417&gt;=$AA417*'Parametri Modello'!$B$68,"🟢 Opportunita'",IF($AH417&lt;=$AA417*'Parametri Modello'!$B$69,"🔴 Sovrapprezzo","🟡 Prezzo Corretto"))),"")</f>
        <v/>
      </c>
      <c r="AJ417" t="str">
        <f t="shared" si="60"/>
        <v/>
      </c>
      <c r="AK417" t="str">
        <f t="shared" si="61"/>
        <v/>
      </c>
      <c r="AL417" t="str">
        <f t="shared" si="62"/>
        <v/>
      </c>
    </row>
    <row r="418" spans="1:38" ht="14.25" customHeight="1" x14ac:dyDescent="0.25">
      <c r="A418" s="18">
        <v>4867</v>
      </c>
      <c r="B418" s="18" t="s">
        <v>15</v>
      </c>
      <c r="C418" s="18" t="s">
        <v>557</v>
      </c>
      <c r="E418" s="23" t="str">
        <f>IF(COUNTIF('Info Strategia'!$D$2:$D$51,$C418)&gt;0,"SI","NO")</f>
        <v>NO</v>
      </c>
      <c r="F418" s="24">
        <f>IFERROR(ROUND(($G418+($H418-$G418)*'Info Strategia'!$B$6)*(1+IF($E418="SI",'Parametri Modello'!$B$7*'Info Strategia'!$B$6,0)),0),"")</f>
        <v>1</v>
      </c>
      <c r="G418" s="24">
        <f>IFERROR(ROUND(MAX(1,(IF($V418&lt;=INDEX('Parametri Modello'!$C$57:$C$60,MATCH($B418,'Parametri Modello'!$A$57:$A$60,0)),IF(INDEX('Parametri Modello'!$E$57:$E$60,MATCH($B418,'Parametri Modello'!$A$57:$A$60,0))=0,0,($O418/INDEX('Parametri Modello'!$E$57:$E$60,MATCH($B418,'Parametri Modello'!$A$57:$A$60,0)))*(INDEX('Parametri Modello'!$D$57:$D$60,MATCH($B418,'Parametri Modello'!$A$57:$A$60,0))*(INDEX('Parametri Modello'!$B$50:$B$53,MATCH($B418,'Parametri Modello'!$A$50:$A$53,0))*'Parametri Modello'!$B$44))),IF(INDEX('Parametri Modello'!$F$57:$F$60,MATCH($B418,'Parametri Modello'!$A$57:$A$60,0))=0,0,($O418/INDEX('Parametri Modello'!$F$57:$F$60,MATCH($B418,'Parametri Modello'!$A$57:$A$60,0)))*((1-INDEX('Parametri Modello'!$D$57:$D$60,MATCH($B418,'Parametri Modello'!$A$57:$A$60,0)))*(INDEX('Parametri Modello'!$B$50:$B$53,MATCH($B418,'Parametri Modello'!$A$50:$A$53,0))*'Parametri Modello'!$B$44))))*(1+IF(IF($B418="D",'Info Lega'!$B$25,IF($B418="C",'Info Lega'!$B$26,"No"))="Si",'Parametri Modello'!$B$5,0))*(1+MAX(-0.25,MIN(0.25,IF(OR($T418="",$I418="",$I418=0,INDEX('Parametri Modello'!$B$19:$B$22,MATCH($B418,'Parametri Modello'!$A$19:$A$22,0))="",INDEX('Parametri Modello'!$B$19:$B$22,MATCH($B418,'Parametri Modello'!$A$19:$A$22,0))=0),0,(($T418-INDEX('Parametri Modello'!$B$19:$B$22,MATCH($B418,'Parametri Modello'!$A$19:$A$22,0)))/INDEX('Parametri Modello'!$B$19:$B$22,MATCH($B418,'Parametri Modello'!$A$19:$A$22,0)))*'Parametri Modello'!$B$9))))*(1+IF('Parametri Modello'!$B$27="Si",MAX(-'Parametri Modello'!$B$28,MIN('Parametri Modello'!$B$28*1.5,IF(OR(INDEX('Parametri Modello'!$F$32:$F$35,MATCH($B418,'Parametri Modello'!$A$32:$A$35,0))="",INDEX('Parametri Modello'!$F$32:$F$35,MATCH($B418,'Parametri Modello'!$A$32:$A$35,0))=0),0,(1/INDEX('Parametri Modello'!$F$32:$F$35,MATCH($B418,'Parametri Modello'!$A$32:$A$35,0))-1)*'Parametri Modello'!$B$28))),0)))*(1-INDEX('Parametri Modello'!$B$12:$B$15,MATCH($B418,'Parametri Modello'!$A$12:$A$15,0)))),0),"")</f>
        <v>1</v>
      </c>
      <c r="H418" s="24">
        <f>IFERROR(ROUND((IF($V418&lt;=INDEX('Parametri Modello'!$C$57:$C$60,MATCH($B418,'Parametri Modello'!$A$57:$A$60,0)),IF(INDEX('Parametri Modello'!$E$57:$E$60,MATCH($B418,'Parametri Modello'!$A$57:$A$60,0))=0,0,($O418/INDEX('Parametri Modello'!$E$57:$E$60,MATCH($B418,'Parametri Modello'!$A$57:$A$60,0)))*(INDEX('Parametri Modello'!$D$57:$D$60,MATCH($B418,'Parametri Modello'!$A$57:$A$60,0))*(INDEX('Parametri Modello'!$B$50:$B$53,MATCH($B418,'Parametri Modello'!$A$50:$A$53,0))*'Parametri Modello'!$B$44))),IF(INDEX('Parametri Modello'!$F$57:$F$60,MATCH($B418,'Parametri Modello'!$A$57:$A$60,0))=0,0,($O418/INDEX('Parametri Modello'!$F$57:$F$60,MATCH($B418,'Parametri Modello'!$A$57:$A$60,0)))*((1-INDEX('Parametri Modello'!$D$57:$D$60,MATCH($B418,'Parametri Modello'!$A$57:$A$60,0)))*(INDEX('Parametri Modello'!$B$50:$B$53,MATCH($B418,'Parametri Modello'!$A$50:$A$53,0))*'Parametri Modello'!$B$44))))*(1+IF(IF($B418="D",'Info Lega'!$B$25,IF($B418="C",'Info Lega'!$B$26,"No"))="Si",'Parametri Modello'!$B$5,0))*(1+MAX(-0.25,MIN(0.25,IF(OR($T418="",$I418="",$I418=0,INDEX('Parametri Modello'!$B$19:$B$22,MATCH($B418,'Parametri Modello'!$A$19:$A$22,0))="",INDEX('Parametri Modello'!$B$19:$B$22,MATCH($B418,'Parametri Modello'!$A$19:$A$22,0))=0),0,(($T418-INDEX('Parametri Modello'!$B$19:$B$22,MATCH($B418,'Parametri Modello'!$A$19:$A$22,0)))/INDEX('Parametri Modello'!$B$19:$B$22,MATCH($B418,'Parametri Modello'!$A$19:$A$22,0)))*'Parametri Modello'!$B$9))))*(1+IF('Parametri Modello'!$B$27="Si",MAX(-'Parametri Modello'!$B$28,MIN('Parametri Modello'!$B$28*1.5,IF(OR(INDEX('Parametri Modello'!$F$32:$F$35,MATCH($B418,'Parametri Modello'!$A$32:$A$35,0))="",INDEX('Parametri Modello'!$F$32:$F$35,MATCH($B418,'Parametri Modello'!$A$32:$A$35,0))=0),0,(1/INDEX('Parametri Modello'!$F$32:$F$35,MATCH($B418,'Parametri Modello'!$A$32:$A$35,0))-1)*'Parametri Modello'!$B$28))),0)))*(1+INDEX('Parametri Modello'!$B$12:$B$15,MATCH($B418,'Parametri Modello'!$A$12:$A$15,0))),0),"")</f>
        <v>1</v>
      </c>
      <c r="I418" s="23">
        <f>IFERROR(INDEX('Input Statistiche 2025_26'!$F$3:$F$665,MATCH($A418,'Input Statistiche 2025_26'!$A$3:$A$665,0)),"")</f>
        <v>6</v>
      </c>
      <c r="J418" s="23">
        <f t="shared" si="54"/>
        <v>32</v>
      </c>
      <c r="K418" s="23">
        <f>IFERROR(INDEX('Input Statistiche 2025_26'!$I$3:$I$665,MATCH($A418,'Input Statistiche 2025_26'!$A$3:$A$665,0)),"")</f>
        <v>0</v>
      </c>
      <c r="L418" s="23">
        <f>IFERROR(INDEX('Input Statistiche 2025_26'!$O$3:$O$665,MATCH($A418,'Input Statistiche 2025_26'!$A$3:$A$665,0)),"")</f>
        <v>0</v>
      </c>
      <c r="M418" s="25"/>
      <c r="N418" s="24">
        <f>IFERROR(INDEX('Input Giocatori 2026_27'!$E$3:$E$493,MATCH($A418,'Input Giocatori 2026_27'!$A$3:$A$493,0)),"")</f>
        <v>1</v>
      </c>
      <c r="O418" s="24">
        <f>IFERROR(INDEX('Input Giocatori 2026_27'!$G$3:$G$493,MATCH($A418,'Input Giocatori 2026_27'!$A$3:$A$493,0)),"")</f>
        <v>3</v>
      </c>
      <c r="P418" s="23" t="str">
        <f>IFERROR(IF($O418="","",IF((1-(COUNTIFS($B$2:$B$492,$B418,$O$2:$O$492,"&gt;"&amp;$O418)+1-1)/COUNTIF($B$2:$B$492,$B418))&gt;='Parametri Modello'!$B$63,"Top",IF((1-(COUNTIFS($B$2:$B$492,$B418,$O$2:$O$492,"&gt;"&amp;$O418)+1-1)/COUNTIF($B$2:$B$492,$B418))&gt;='Parametri Modello'!$B$64,"Buono",IF((1-(COUNTIFS($B$2:$B$492,$B418,$O$2:$O$492,"&gt;"&amp;$O418)+1-1)/COUNTIF($B$2:$B$492,$B418))&gt;='Parametri Modello'!$B$65,"Nella Media","Scommessa/Riserva")))),"")</f>
        <v>Nella Media</v>
      </c>
      <c r="Q418" s="26" t="str">
        <f>IF(AND($D418="",$N418&gt;1),SUMPRODUCT(($D$2:$D418="")*($N$2:$N418&gt;1)),"")</f>
        <v/>
      </c>
      <c r="R418" s="26" t="str">
        <f>IF($D418='Info Lega'!$B$28,COUNTIFS($D$2:$D418,'Info Lega'!$B$28),"")</f>
        <v/>
      </c>
      <c r="S418" s="27">
        <f>IFERROR(INDEX('Input Statistiche 2025_26'!$G$3:$G$665,MATCH($A418,'Input Statistiche 2025_26'!$A$3:$A$665,0)),"")</f>
        <v>6.17</v>
      </c>
      <c r="T418" s="27">
        <f>IFERROR(INDEX('Input Statistiche 2025_26'!$H$3:$H$665,MATCH($A418,'Input Statistiche 2025_26'!$A$3:$A$665,0)),"")</f>
        <v>5</v>
      </c>
      <c r="U418" s="23" t="str">
        <f>IF(OR('La Mia Rosa'!$O$12="",$D418&lt;&gt;""),"",IF($F418&lt;='La Mia Rosa'!$O$12*'Parametri Modello'!$B$24,"OK",IF($F418&lt;='La Mia Rosa'!$O$12*'Parametri Modello'!$B$25,"Attenzione","Rischio Alto")))</f>
        <v>OK</v>
      </c>
      <c r="V418" s="23">
        <f t="shared" si="55"/>
        <v>25</v>
      </c>
      <c r="W418" s="18">
        <f>'Info Lega'!$B$4-SUMIFS($M$2:$M$492,$D$2:$D$492,'Info Lega'!$B$28)</f>
        <v>1000</v>
      </c>
      <c r="X418" s="18">
        <f>('Info Lega'!$B$5-COUNTIFS($D$2:$D$492,'Info Lega'!$B$28,$B$2:$B$492,"P"))+('Info Lega'!$B$6-COUNTIFS($D$2:$D$492,'Info Lega'!$B$28,$B$2:$B$492,"D"))+('Info Lega'!$B$7-COUNTIFS($D$2:$D$492,'Info Lega'!$B$28,$B$2:$B$492,"C"))+('Info Lega'!$B$8-COUNTIFS($D$2:$D$492,'Info Lega'!$B$28,$B$2:$B$492,"A"))</f>
        <v>25</v>
      </c>
      <c r="Y418" s="18">
        <f>X418*'Parametri Modello'!$B$30</f>
        <v>25</v>
      </c>
      <c r="Z418" s="18">
        <f t="shared" si="56"/>
        <v>975</v>
      </c>
      <c r="AA418" s="18">
        <f t="shared" si="57"/>
        <v>1</v>
      </c>
      <c r="AB418" s="18"/>
      <c r="AC418" s="18" t="str">
        <f>IF($AB418="","",IF($AB418&gt;$AA418,"PASS",IF($AB418&lt;=$AA418*(1-'Parametri Modello'!$B$68),"BID","ATTENZIONE")))</f>
        <v/>
      </c>
      <c r="AD418" s="28">
        <f t="shared" si="58"/>
        <v>18</v>
      </c>
      <c r="AE418" s="5" t="str">
        <f>IFERROR(INDEX('Stato Asta'!$G$9:$G$12,MATCH($B418,'Stato Asta'!$A$9:$A$12,0)),"")</f>
        <v>🔴 Non aspettare</v>
      </c>
      <c r="AF418" t="str">
        <f>IFERROR(IF($V418&lt;=INDEX('Parametri Modello'!$C$57:$C$60,MATCH($B418,'Parametri Modello'!$A$57:$A$60,0)),"Titolare","Riserva"),"")</f>
        <v>Riserva</v>
      </c>
      <c r="AG418" t="str">
        <f>IFERROR(INDEX('Pressione Competitiva'!$F$3:$F$6,MATCH($B418,'Pressione Competitiva'!$B$3:$B$6,0)),"")</f>
        <v>🔴 Molto Alta</v>
      </c>
      <c r="AH418" t="str">
        <f t="shared" si="59"/>
        <v/>
      </c>
      <c r="AI418" t="str">
        <f>IFERROR(IF($AH418="","",IF($AH418&gt;=$AA418*'Parametri Modello'!$B$68,"🟢 Opportunita'",IF($AH418&lt;=$AA418*'Parametri Modello'!$B$69,"🔴 Sovrapprezzo","🟡 Prezzo Corretto"))),"")</f>
        <v/>
      </c>
      <c r="AJ418" t="str">
        <f t="shared" si="60"/>
        <v/>
      </c>
      <c r="AK418" t="str">
        <f t="shared" si="61"/>
        <v/>
      </c>
      <c r="AL418" t="str">
        <f t="shared" si="62"/>
        <v/>
      </c>
    </row>
    <row r="419" spans="1:38" ht="14.25" customHeight="1" x14ac:dyDescent="0.25">
      <c r="A419" s="18">
        <v>7470</v>
      </c>
      <c r="B419" s="18" t="s">
        <v>16</v>
      </c>
      <c r="C419" s="18" t="s">
        <v>558</v>
      </c>
      <c r="E419" s="23" t="str">
        <f>IF(COUNTIF('Info Strategia'!$D$2:$D$51,$C419)&gt;0,"SI","NO")</f>
        <v>NO</v>
      </c>
      <c r="F419" s="24">
        <f>IFERROR(ROUND(($G419+($H419-$G419)*'Info Strategia'!$B$6)*(1+IF($E419="SI",'Parametri Modello'!$B$7*'Info Strategia'!$B$6,0)),0),"")</f>
        <v>1</v>
      </c>
      <c r="G419" s="24">
        <f>IFERROR(ROUND(MAX(1,(IF($V419&lt;=INDEX('Parametri Modello'!$C$57:$C$60,MATCH($B419,'Parametri Modello'!$A$57:$A$60,0)),IF(INDEX('Parametri Modello'!$E$57:$E$60,MATCH($B419,'Parametri Modello'!$A$57:$A$60,0))=0,0,($O419/INDEX('Parametri Modello'!$E$57:$E$60,MATCH($B419,'Parametri Modello'!$A$57:$A$60,0)))*(INDEX('Parametri Modello'!$D$57:$D$60,MATCH($B419,'Parametri Modello'!$A$57:$A$60,0))*(INDEX('Parametri Modello'!$B$50:$B$53,MATCH($B419,'Parametri Modello'!$A$50:$A$53,0))*'Parametri Modello'!$B$44))),IF(INDEX('Parametri Modello'!$F$57:$F$60,MATCH($B419,'Parametri Modello'!$A$57:$A$60,0))=0,0,($O419/INDEX('Parametri Modello'!$F$57:$F$60,MATCH($B419,'Parametri Modello'!$A$57:$A$60,0)))*((1-INDEX('Parametri Modello'!$D$57:$D$60,MATCH($B419,'Parametri Modello'!$A$57:$A$60,0)))*(INDEX('Parametri Modello'!$B$50:$B$53,MATCH($B419,'Parametri Modello'!$A$50:$A$53,0))*'Parametri Modello'!$B$44))))*(1+IF(IF($B419="D",'Info Lega'!$B$25,IF($B419="C",'Info Lega'!$B$26,"No"))="Si",'Parametri Modello'!$B$5,0))*(1+MAX(-0.25,MIN(0.25,IF(OR($T419="",$I419="",$I419=0,INDEX('Parametri Modello'!$B$19:$B$22,MATCH($B419,'Parametri Modello'!$A$19:$A$22,0))="",INDEX('Parametri Modello'!$B$19:$B$22,MATCH($B419,'Parametri Modello'!$A$19:$A$22,0))=0),0,(($T419-INDEX('Parametri Modello'!$B$19:$B$22,MATCH($B419,'Parametri Modello'!$A$19:$A$22,0)))/INDEX('Parametri Modello'!$B$19:$B$22,MATCH($B419,'Parametri Modello'!$A$19:$A$22,0)))*'Parametri Modello'!$B$9))))*(1+IF('Parametri Modello'!$B$27="Si",MAX(-'Parametri Modello'!$B$28,MIN('Parametri Modello'!$B$28*1.5,IF(OR(INDEX('Parametri Modello'!$F$32:$F$35,MATCH($B419,'Parametri Modello'!$A$32:$A$35,0))="",INDEX('Parametri Modello'!$F$32:$F$35,MATCH($B419,'Parametri Modello'!$A$32:$A$35,0))=0),0,(1/INDEX('Parametri Modello'!$F$32:$F$35,MATCH($B419,'Parametri Modello'!$A$32:$A$35,0))-1)*'Parametri Modello'!$B$28))),0)))*(1-INDEX('Parametri Modello'!$B$12:$B$15,MATCH($B419,'Parametri Modello'!$A$12:$A$15,0)))),0),"")</f>
        <v>1</v>
      </c>
      <c r="H419" s="24">
        <f>IFERROR(ROUND((IF($V419&lt;=INDEX('Parametri Modello'!$C$57:$C$60,MATCH($B419,'Parametri Modello'!$A$57:$A$60,0)),IF(INDEX('Parametri Modello'!$E$57:$E$60,MATCH($B419,'Parametri Modello'!$A$57:$A$60,0))=0,0,($O419/INDEX('Parametri Modello'!$E$57:$E$60,MATCH($B419,'Parametri Modello'!$A$57:$A$60,0)))*(INDEX('Parametri Modello'!$D$57:$D$60,MATCH($B419,'Parametri Modello'!$A$57:$A$60,0))*(INDEX('Parametri Modello'!$B$50:$B$53,MATCH($B419,'Parametri Modello'!$A$50:$A$53,0))*'Parametri Modello'!$B$44))),IF(INDEX('Parametri Modello'!$F$57:$F$60,MATCH($B419,'Parametri Modello'!$A$57:$A$60,0))=0,0,($O419/INDEX('Parametri Modello'!$F$57:$F$60,MATCH($B419,'Parametri Modello'!$A$57:$A$60,0)))*((1-INDEX('Parametri Modello'!$D$57:$D$60,MATCH($B419,'Parametri Modello'!$A$57:$A$60,0)))*(INDEX('Parametri Modello'!$B$50:$B$53,MATCH($B419,'Parametri Modello'!$A$50:$A$53,0))*'Parametri Modello'!$B$44))))*(1+IF(IF($B419="D",'Info Lega'!$B$25,IF($B419="C",'Info Lega'!$B$26,"No"))="Si",'Parametri Modello'!$B$5,0))*(1+MAX(-0.25,MIN(0.25,IF(OR($T419="",$I419="",$I419=0,INDEX('Parametri Modello'!$B$19:$B$22,MATCH($B419,'Parametri Modello'!$A$19:$A$22,0))="",INDEX('Parametri Modello'!$B$19:$B$22,MATCH($B419,'Parametri Modello'!$A$19:$A$22,0))=0),0,(($T419-INDEX('Parametri Modello'!$B$19:$B$22,MATCH($B419,'Parametri Modello'!$A$19:$A$22,0)))/INDEX('Parametri Modello'!$B$19:$B$22,MATCH($B419,'Parametri Modello'!$A$19:$A$22,0)))*'Parametri Modello'!$B$9))))*(1+IF('Parametri Modello'!$B$27="Si",MAX(-'Parametri Modello'!$B$28,MIN('Parametri Modello'!$B$28*1.5,IF(OR(INDEX('Parametri Modello'!$F$32:$F$35,MATCH($B419,'Parametri Modello'!$A$32:$A$35,0))="",INDEX('Parametri Modello'!$F$32:$F$35,MATCH($B419,'Parametri Modello'!$A$32:$A$35,0))=0),0,(1/INDEX('Parametri Modello'!$F$32:$F$35,MATCH($B419,'Parametri Modello'!$A$32:$A$35,0))-1)*'Parametri Modello'!$B$28))),0)))*(1+INDEX('Parametri Modello'!$B$12:$B$15,MATCH($B419,'Parametri Modello'!$A$12:$A$15,0))),0),"")</f>
        <v>1</v>
      </c>
      <c r="I419" s="23" t="str">
        <f>IFERROR(INDEX('Input Statistiche 2025_26'!$F$3:$F$665,MATCH($A419,'Input Statistiche 2025_26'!$A$3:$A$665,0)),"")</f>
        <v/>
      </c>
      <c r="J419" s="23" t="str">
        <f t="shared" si="54"/>
        <v/>
      </c>
      <c r="K419" s="23" t="str">
        <f>IFERROR(INDEX('Input Statistiche 2025_26'!$I$3:$I$665,MATCH($A419,'Input Statistiche 2025_26'!$A$3:$A$665,0)),"")</f>
        <v/>
      </c>
      <c r="L419" s="23" t="str">
        <f>IFERROR(INDEX('Input Statistiche 2025_26'!$O$3:$O$665,MATCH($A419,'Input Statistiche 2025_26'!$A$3:$A$665,0)),"")</f>
        <v/>
      </c>
      <c r="M419" s="25"/>
      <c r="N419" s="24">
        <f>IFERROR(INDEX('Input Giocatori 2026_27'!$E$3:$E$493,MATCH($A419,'Input Giocatori 2026_27'!$A$3:$A$493,0)),"")</f>
        <v>1</v>
      </c>
      <c r="O419" s="24">
        <f>IFERROR(INDEX('Input Giocatori 2026_27'!$G$3:$G$493,MATCH($A419,'Input Giocatori 2026_27'!$A$3:$A$493,0)),"")</f>
        <v>3</v>
      </c>
      <c r="P419" s="23" t="str">
        <f>IFERROR(IF($O419="","",IF((1-(COUNTIFS($B$2:$B$492,$B419,$O$2:$O$492,"&gt;"&amp;$O419)+1-1)/COUNTIF($B$2:$B$492,$B419))&gt;='Parametri Modello'!$B$63,"Top",IF((1-(COUNTIFS($B$2:$B$492,$B419,$O$2:$O$492,"&gt;"&amp;$O419)+1-1)/COUNTIF($B$2:$B$492,$B419))&gt;='Parametri Modello'!$B$64,"Buono",IF((1-(COUNTIFS($B$2:$B$492,$B419,$O$2:$O$492,"&gt;"&amp;$O419)+1-1)/COUNTIF($B$2:$B$492,$B419))&gt;='Parametri Modello'!$B$65,"Nella Media","Scommessa/Riserva")))),"")</f>
        <v>Scommessa/Riserva</v>
      </c>
      <c r="Q419" s="26" t="str">
        <f>IF(AND($D419="",$N419&gt;1),SUMPRODUCT(($D$2:$D419="")*($N$2:$N419&gt;1)),"")</f>
        <v/>
      </c>
      <c r="R419" s="26" t="str">
        <f>IF($D419='Info Lega'!$B$28,COUNTIFS($D$2:$D419,'Info Lega'!$B$28),"")</f>
        <v/>
      </c>
      <c r="S419" s="27" t="str">
        <f>IFERROR(INDEX('Input Statistiche 2025_26'!$G$3:$G$665,MATCH($A419,'Input Statistiche 2025_26'!$A$3:$A$665,0)),"")</f>
        <v/>
      </c>
      <c r="T419" s="27" t="str">
        <f>IFERROR(INDEX('Input Statistiche 2025_26'!$H$3:$H$665,MATCH($A419,'Input Statistiche 2025_26'!$A$3:$A$665,0)),"")</f>
        <v/>
      </c>
      <c r="U419" s="23" t="str">
        <f>IF(OR('La Mia Rosa'!$O$12="",$D419&lt;&gt;""),"",IF($F419&lt;='La Mia Rosa'!$O$12*'Parametri Modello'!$B$24,"OK",IF($F419&lt;='La Mia Rosa'!$O$12*'Parametri Modello'!$B$25,"Attenzione","Rischio Alto")))</f>
        <v>OK</v>
      </c>
      <c r="V419" s="23">
        <f t="shared" si="55"/>
        <v>156</v>
      </c>
      <c r="W419" s="18">
        <f>'Info Lega'!$B$4-SUMIFS($M$2:$M$492,$D$2:$D$492,'Info Lega'!$B$28)</f>
        <v>1000</v>
      </c>
      <c r="X419" s="18">
        <f>('Info Lega'!$B$5-COUNTIFS($D$2:$D$492,'Info Lega'!$B$28,$B$2:$B$492,"P"))+('Info Lega'!$B$6-COUNTIFS($D$2:$D$492,'Info Lega'!$B$28,$B$2:$B$492,"D"))+('Info Lega'!$B$7-COUNTIFS($D$2:$D$492,'Info Lega'!$B$28,$B$2:$B$492,"C"))+('Info Lega'!$B$8-COUNTIFS($D$2:$D$492,'Info Lega'!$B$28,$B$2:$B$492,"A"))</f>
        <v>25</v>
      </c>
      <c r="Y419" s="18">
        <f>X419*'Parametri Modello'!$B$30</f>
        <v>25</v>
      </c>
      <c r="Z419" s="18">
        <f t="shared" si="56"/>
        <v>975</v>
      </c>
      <c r="AA419" s="18">
        <f t="shared" si="57"/>
        <v>1</v>
      </c>
      <c r="AB419" s="18"/>
      <c r="AC419" s="18" t="str">
        <f>IF($AB419="","",IF($AB419&gt;$AA419,"PASS",IF($AB419&lt;=$AA419*(1-'Parametri Modello'!$B$68),"BID","ATTENZIONE")))</f>
        <v/>
      </c>
      <c r="AD419" s="28" t="str">
        <f t="shared" si="58"/>
        <v/>
      </c>
      <c r="AE419" s="5" t="str">
        <f>IFERROR(INDEX('Stato Asta'!$G$9:$G$12,MATCH($B419,'Stato Asta'!$A$9:$A$12,0)),"")</f>
        <v>🔴 Non aspettare</v>
      </c>
      <c r="AF419" t="str">
        <f>IFERROR(IF($V419&lt;=INDEX('Parametri Modello'!$C$57:$C$60,MATCH($B419,'Parametri Modello'!$A$57:$A$60,0)),"Titolare","Riserva"),"")</f>
        <v>Riserva</v>
      </c>
      <c r="AG419" t="str">
        <f>IFERROR(INDEX('Pressione Competitiva'!$F$3:$F$6,MATCH($B419,'Pressione Competitiva'!$B$3:$B$6,0)),"")</f>
        <v>🔴 Molto Alta</v>
      </c>
      <c r="AH419" t="str">
        <f t="shared" si="59"/>
        <v/>
      </c>
      <c r="AI419" t="str">
        <f>IFERROR(IF($AH419="","",IF($AH419&gt;=$AA419*'Parametri Modello'!$B$68,"🟢 Opportunita'",IF($AH419&lt;=$AA419*'Parametri Modello'!$B$69,"🔴 Sovrapprezzo","🟡 Prezzo Corretto"))),"")</f>
        <v/>
      </c>
      <c r="AJ419" t="str">
        <f t="shared" si="60"/>
        <v/>
      </c>
      <c r="AK419" t="str">
        <f t="shared" si="61"/>
        <v/>
      </c>
      <c r="AL419" t="str">
        <f t="shared" si="62"/>
        <v/>
      </c>
    </row>
    <row r="420" spans="1:38" ht="14.25" customHeight="1" x14ac:dyDescent="0.25">
      <c r="A420" s="18">
        <v>7471</v>
      </c>
      <c r="B420" s="18" t="s">
        <v>16</v>
      </c>
      <c r="C420" s="18" t="s">
        <v>559</v>
      </c>
      <c r="E420" s="23" t="str">
        <f>IF(COUNTIF('Info Strategia'!$D$2:$D$51,$C420)&gt;0,"SI","NO")</f>
        <v>NO</v>
      </c>
      <c r="F420" s="24">
        <f>IFERROR(ROUND(($G420+($H420-$G420)*'Info Strategia'!$B$6)*(1+IF($E420="SI",'Parametri Modello'!$B$7*'Info Strategia'!$B$6,0)),0),"")</f>
        <v>1</v>
      </c>
      <c r="G420" s="24">
        <f>IFERROR(ROUND(MAX(1,(IF($V420&lt;=INDEX('Parametri Modello'!$C$57:$C$60,MATCH($B420,'Parametri Modello'!$A$57:$A$60,0)),IF(INDEX('Parametri Modello'!$E$57:$E$60,MATCH($B420,'Parametri Modello'!$A$57:$A$60,0))=0,0,($O420/INDEX('Parametri Modello'!$E$57:$E$60,MATCH($B420,'Parametri Modello'!$A$57:$A$60,0)))*(INDEX('Parametri Modello'!$D$57:$D$60,MATCH($B420,'Parametri Modello'!$A$57:$A$60,0))*(INDEX('Parametri Modello'!$B$50:$B$53,MATCH($B420,'Parametri Modello'!$A$50:$A$53,0))*'Parametri Modello'!$B$44))),IF(INDEX('Parametri Modello'!$F$57:$F$60,MATCH($B420,'Parametri Modello'!$A$57:$A$60,0))=0,0,($O420/INDEX('Parametri Modello'!$F$57:$F$60,MATCH($B420,'Parametri Modello'!$A$57:$A$60,0)))*((1-INDEX('Parametri Modello'!$D$57:$D$60,MATCH($B420,'Parametri Modello'!$A$57:$A$60,0)))*(INDEX('Parametri Modello'!$B$50:$B$53,MATCH($B420,'Parametri Modello'!$A$50:$A$53,0))*'Parametri Modello'!$B$44))))*(1+IF(IF($B420="D",'Info Lega'!$B$25,IF($B420="C",'Info Lega'!$B$26,"No"))="Si",'Parametri Modello'!$B$5,0))*(1+MAX(-0.25,MIN(0.25,IF(OR($T420="",$I420="",$I420=0,INDEX('Parametri Modello'!$B$19:$B$22,MATCH($B420,'Parametri Modello'!$A$19:$A$22,0))="",INDEX('Parametri Modello'!$B$19:$B$22,MATCH($B420,'Parametri Modello'!$A$19:$A$22,0))=0),0,(($T420-INDEX('Parametri Modello'!$B$19:$B$22,MATCH($B420,'Parametri Modello'!$A$19:$A$22,0)))/INDEX('Parametri Modello'!$B$19:$B$22,MATCH($B420,'Parametri Modello'!$A$19:$A$22,0)))*'Parametri Modello'!$B$9))))*(1+IF('Parametri Modello'!$B$27="Si",MAX(-'Parametri Modello'!$B$28,MIN('Parametri Modello'!$B$28*1.5,IF(OR(INDEX('Parametri Modello'!$F$32:$F$35,MATCH($B420,'Parametri Modello'!$A$32:$A$35,0))="",INDEX('Parametri Modello'!$F$32:$F$35,MATCH($B420,'Parametri Modello'!$A$32:$A$35,0))=0),0,(1/INDEX('Parametri Modello'!$F$32:$F$35,MATCH($B420,'Parametri Modello'!$A$32:$A$35,0))-1)*'Parametri Modello'!$B$28))),0)))*(1-INDEX('Parametri Modello'!$B$12:$B$15,MATCH($B420,'Parametri Modello'!$A$12:$A$15,0)))),0),"")</f>
        <v>1</v>
      </c>
      <c r="H420" s="24">
        <f>IFERROR(ROUND((IF($V420&lt;=INDEX('Parametri Modello'!$C$57:$C$60,MATCH($B420,'Parametri Modello'!$A$57:$A$60,0)),IF(INDEX('Parametri Modello'!$E$57:$E$60,MATCH($B420,'Parametri Modello'!$A$57:$A$60,0))=0,0,($O420/INDEX('Parametri Modello'!$E$57:$E$60,MATCH($B420,'Parametri Modello'!$A$57:$A$60,0)))*(INDEX('Parametri Modello'!$D$57:$D$60,MATCH($B420,'Parametri Modello'!$A$57:$A$60,0))*(INDEX('Parametri Modello'!$B$50:$B$53,MATCH($B420,'Parametri Modello'!$A$50:$A$53,0))*'Parametri Modello'!$B$44))),IF(INDEX('Parametri Modello'!$F$57:$F$60,MATCH($B420,'Parametri Modello'!$A$57:$A$60,0))=0,0,($O420/INDEX('Parametri Modello'!$F$57:$F$60,MATCH($B420,'Parametri Modello'!$A$57:$A$60,0)))*((1-INDEX('Parametri Modello'!$D$57:$D$60,MATCH($B420,'Parametri Modello'!$A$57:$A$60,0)))*(INDEX('Parametri Modello'!$B$50:$B$53,MATCH($B420,'Parametri Modello'!$A$50:$A$53,0))*'Parametri Modello'!$B$44))))*(1+IF(IF($B420="D",'Info Lega'!$B$25,IF($B420="C",'Info Lega'!$B$26,"No"))="Si",'Parametri Modello'!$B$5,0))*(1+MAX(-0.25,MIN(0.25,IF(OR($T420="",$I420="",$I420=0,INDEX('Parametri Modello'!$B$19:$B$22,MATCH($B420,'Parametri Modello'!$A$19:$A$22,0))="",INDEX('Parametri Modello'!$B$19:$B$22,MATCH($B420,'Parametri Modello'!$A$19:$A$22,0))=0),0,(($T420-INDEX('Parametri Modello'!$B$19:$B$22,MATCH($B420,'Parametri Modello'!$A$19:$A$22,0)))/INDEX('Parametri Modello'!$B$19:$B$22,MATCH($B420,'Parametri Modello'!$A$19:$A$22,0)))*'Parametri Modello'!$B$9))))*(1+IF('Parametri Modello'!$B$27="Si",MAX(-'Parametri Modello'!$B$28,MIN('Parametri Modello'!$B$28*1.5,IF(OR(INDEX('Parametri Modello'!$F$32:$F$35,MATCH($B420,'Parametri Modello'!$A$32:$A$35,0))="",INDEX('Parametri Modello'!$F$32:$F$35,MATCH($B420,'Parametri Modello'!$A$32:$A$35,0))=0),0,(1/INDEX('Parametri Modello'!$F$32:$F$35,MATCH($B420,'Parametri Modello'!$A$32:$A$35,0))-1)*'Parametri Modello'!$B$28))),0)))*(1+INDEX('Parametri Modello'!$B$12:$B$15,MATCH($B420,'Parametri Modello'!$A$12:$A$15,0))),0),"")</f>
        <v>1</v>
      </c>
      <c r="I420" s="23" t="str">
        <f>IFERROR(INDEX('Input Statistiche 2025_26'!$F$3:$F$665,MATCH($A420,'Input Statistiche 2025_26'!$A$3:$A$665,0)),"")</f>
        <v/>
      </c>
      <c r="J420" s="23" t="str">
        <f t="shared" si="54"/>
        <v/>
      </c>
      <c r="K420" s="23" t="str">
        <f>IFERROR(INDEX('Input Statistiche 2025_26'!$I$3:$I$665,MATCH($A420,'Input Statistiche 2025_26'!$A$3:$A$665,0)),"")</f>
        <v/>
      </c>
      <c r="L420" s="23" t="str">
        <f>IFERROR(INDEX('Input Statistiche 2025_26'!$O$3:$O$665,MATCH($A420,'Input Statistiche 2025_26'!$A$3:$A$665,0)),"")</f>
        <v/>
      </c>
      <c r="M420" s="25"/>
      <c r="N420" s="24">
        <f>IFERROR(INDEX('Input Giocatori 2026_27'!$E$3:$E$493,MATCH($A420,'Input Giocatori 2026_27'!$A$3:$A$493,0)),"")</f>
        <v>1</v>
      </c>
      <c r="O420" s="24">
        <f>IFERROR(INDEX('Input Giocatori 2026_27'!$G$3:$G$493,MATCH($A420,'Input Giocatori 2026_27'!$A$3:$A$493,0)),"")</f>
        <v>3</v>
      </c>
      <c r="P420" s="23" t="str">
        <f>IFERROR(IF($O420="","",IF((1-(COUNTIFS($B$2:$B$492,$B420,$O$2:$O$492,"&gt;"&amp;$O420)+1-1)/COUNTIF($B$2:$B$492,$B420))&gt;='Parametri Modello'!$B$63,"Top",IF((1-(COUNTIFS($B$2:$B$492,$B420,$O$2:$O$492,"&gt;"&amp;$O420)+1-1)/COUNTIF($B$2:$B$492,$B420))&gt;='Parametri Modello'!$B$64,"Buono",IF((1-(COUNTIFS($B$2:$B$492,$B420,$O$2:$O$492,"&gt;"&amp;$O420)+1-1)/COUNTIF($B$2:$B$492,$B420))&gt;='Parametri Modello'!$B$65,"Nella Media","Scommessa/Riserva")))),"")</f>
        <v>Scommessa/Riserva</v>
      </c>
      <c r="Q420" s="26" t="str">
        <f>IF(AND($D420="",$N420&gt;1),SUMPRODUCT(($D$2:$D420="")*($N$2:$N420&gt;1)),"")</f>
        <v/>
      </c>
      <c r="R420" s="26" t="str">
        <f>IF($D420='Info Lega'!$B$28,COUNTIFS($D$2:$D420,'Info Lega'!$B$28),"")</f>
        <v/>
      </c>
      <c r="S420" s="27" t="str">
        <f>IFERROR(INDEX('Input Statistiche 2025_26'!$G$3:$G$665,MATCH($A420,'Input Statistiche 2025_26'!$A$3:$A$665,0)),"")</f>
        <v/>
      </c>
      <c r="T420" s="27" t="str">
        <f>IFERROR(INDEX('Input Statistiche 2025_26'!$H$3:$H$665,MATCH($A420,'Input Statistiche 2025_26'!$A$3:$A$665,0)),"")</f>
        <v/>
      </c>
      <c r="U420" s="23" t="str">
        <f>IF(OR('La Mia Rosa'!$O$12="",$D420&lt;&gt;""),"",IF($F420&lt;='La Mia Rosa'!$O$12*'Parametri Modello'!$B$24,"OK",IF($F420&lt;='La Mia Rosa'!$O$12*'Parametri Modello'!$B$25,"Attenzione","Rischio Alto")))</f>
        <v>OK</v>
      </c>
      <c r="V420" s="23">
        <f t="shared" si="55"/>
        <v>156</v>
      </c>
      <c r="W420" s="18">
        <f>'Info Lega'!$B$4-SUMIFS($M$2:$M$492,$D$2:$D$492,'Info Lega'!$B$28)</f>
        <v>1000</v>
      </c>
      <c r="X420" s="18">
        <f>('Info Lega'!$B$5-COUNTIFS($D$2:$D$492,'Info Lega'!$B$28,$B$2:$B$492,"P"))+('Info Lega'!$B$6-COUNTIFS($D$2:$D$492,'Info Lega'!$B$28,$B$2:$B$492,"D"))+('Info Lega'!$B$7-COUNTIFS($D$2:$D$492,'Info Lega'!$B$28,$B$2:$B$492,"C"))+('Info Lega'!$B$8-COUNTIFS($D$2:$D$492,'Info Lega'!$B$28,$B$2:$B$492,"A"))</f>
        <v>25</v>
      </c>
      <c r="Y420" s="18">
        <f>X420*'Parametri Modello'!$B$30</f>
        <v>25</v>
      </c>
      <c r="Z420" s="18">
        <f t="shared" si="56"/>
        <v>975</v>
      </c>
      <c r="AA420" s="18">
        <f t="shared" si="57"/>
        <v>1</v>
      </c>
      <c r="AB420" s="18"/>
      <c r="AC420" s="18" t="str">
        <f>IF($AB420="","",IF($AB420&gt;$AA420,"PASS",IF($AB420&lt;=$AA420*(1-'Parametri Modello'!$B$68),"BID","ATTENZIONE")))</f>
        <v/>
      </c>
      <c r="AD420" s="28" t="str">
        <f t="shared" si="58"/>
        <v/>
      </c>
      <c r="AE420" s="5" t="str">
        <f>IFERROR(INDEX('Stato Asta'!$G$9:$G$12,MATCH($B420,'Stato Asta'!$A$9:$A$12,0)),"")</f>
        <v>🔴 Non aspettare</v>
      </c>
      <c r="AF420" t="str">
        <f>IFERROR(IF($V420&lt;=INDEX('Parametri Modello'!$C$57:$C$60,MATCH($B420,'Parametri Modello'!$A$57:$A$60,0)),"Titolare","Riserva"),"")</f>
        <v>Riserva</v>
      </c>
      <c r="AG420" t="str">
        <f>IFERROR(INDEX('Pressione Competitiva'!$F$3:$F$6,MATCH($B420,'Pressione Competitiva'!$B$3:$B$6,0)),"")</f>
        <v>🔴 Molto Alta</v>
      </c>
      <c r="AH420" t="str">
        <f t="shared" si="59"/>
        <v/>
      </c>
      <c r="AI420" t="str">
        <f>IFERROR(IF($AH420="","",IF($AH420&gt;=$AA420*'Parametri Modello'!$B$68,"🟢 Opportunita'",IF($AH420&lt;=$AA420*'Parametri Modello'!$B$69,"🔴 Sovrapprezzo","🟡 Prezzo Corretto"))),"")</f>
        <v/>
      </c>
      <c r="AJ420" t="str">
        <f t="shared" si="60"/>
        <v/>
      </c>
      <c r="AK420" t="str">
        <f t="shared" si="61"/>
        <v/>
      </c>
      <c r="AL420" t="str">
        <f t="shared" si="62"/>
        <v/>
      </c>
    </row>
    <row r="421" spans="1:38" ht="14.25" customHeight="1" x14ac:dyDescent="0.25">
      <c r="A421" s="18">
        <v>294</v>
      </c>
      <c r="B421" s="18" t="s">
        <v>16</v>
      </c>
      <c r="C421" s="18" t="s">
        <v>560</v>
      </c>
      <c r="E421" s="23" t="str">
        <f>IF(COUNTIF('Info Strategia'!$D$2:$D$51,$C421)&gt;0,"SI","NO")</f>
        <v>NO</v>
      </c>
      <c r="F421" s="24">
        <f>IFERROR(ROUND(($G421+($H421-$G421)*'Info Strategia'!$B$6)*(1+IF($E421="SI",'Parametri Modello'!$B$7*'Info Strategia'!$B$6,0)),0),"")</f>
        <v>1</v>
      </c>
      <c r="G421" s="24">
        <f>IFERROR(ROUND(MAX(1,(IF($V421&lt;=INDEX('Parametri Modello'!$C$57:$C$60,MATCH($B421,'Parametri Modello'!$A$57:$A$60,0)),IF(INDEX('Parametri Modello'!$E$57:$E$60,MATCH($B421,'Parametri Modello'!$A$57:$A$60,0))=0,0,($O421/INDEX('Parametri Modello'!$E$57:$E$60,MATCH($B421,'Parametri Modello'!$A$57:$A$60,0)))*(INDEX('Parametri Modello'!$D$57:$D$60,MATCH($B421,'Parametri Modello'!$A$57:$A$60,0))*(INDEX('Parametri Modello'!$B$50:$B$53,MATCH($B421,'Parametri Modello'!$A$50:$A$53,0))*'Parametri Modello'!$B$44))),IF(INDEX('Parametri Modello'!$F$57:$F$60,MATCH($B421,'Parametri Modello'!$A$57:$A$60,0))=0,0,($O421/INDEX('Parametri Modello'!$F$57:$F$60,MATCH($B421,'Parametri Modello'!$A$57:$A$60,0)))*((1-INDEX('Parametri Modello'!$D$57:$D$60,MATCH($B421,'Parametri Modello'!$A$57:$A$60,0)))*(INDEX('Parametri Modello'!$B$50:$B$53,MATCH($B421,'Parametri Modello'!$A$50:$A$53,0))*'Parametri Modello'!$B$44))))*(1+IF(IF($B421="D",'Info Lega'!$B$25,IF($B421="C",'Info Lega'!$B$26,"No"))="Si",'Parametri Modello'!$B$5,0))*(1+MAX(-0.25,MIN(0.25,IF(OR($T421="",$I421="",$I421=0,INDEX('Parametri Modello'!$B$19:$B$22,MATCH($B421,'Parametri Modello'!$A$19:$A$22,0))="",INDEX('Parametri Modello'!$B$19:$B$22,MATCH($B421,'Parametri Modello'!$A$19:$A$22,0))=0),0,(($T421-INDEX('Parametri Modello'!$B$19:$B$22,MATCH($B421,'Parametri Modello'!$A$19:$A$22,0)))/INDEX('Parametri Modello'!$B$19:$B$22,MATCH($B421,'Parametri Modello'!$A$19:$A$22,0)))*'Parametri Modello'!$B$9))))*(1+IF('Parametri Modello'!$B$27="Si",MAX(-'Parametri Modello'!$B$28,MIN('Parametri Modello'!$B$28*1.5,IF(OR(INDEX('Parametri Modello'!$F$32:$F$35,MATCH($B421,'Parametri Modello'!$A$32:$A$35,0))="",INDEX('Parametri Modello'!$F$32:$F$35,MATCH($B421,'Parametri Modello'!$A$32:$A$35,0))=0),0,(1/INDEX('Parametri Modello'!$F$32:$F$35,MATCH($B421,'Parametri Modello'!$A$32:$A$35,0))-1)*'Parametri Modello'!$B$28))),0)))*(1-INDEX('Parametri Modello'!$B$12:$B$15,MATCH($B421,'Parametri Modello'!$A$12:$A$15,0)))),0),"")</f>
        <v>1</v>
      </c>
      <c r="H421" s="24">
        <f>IFERROR(ROUND((IF($V421&lt;=INDEX('Parametri Modello'!$C$57:$C$60,MATCH($B421,'Parametri Modello'!$A$57:$A$60,0)),IF(INDEX('Parametri Modello'!$E$57:$E$60,MATCH($B421,'Parametri Modello'!$A$57:$A$60,0))=0,0,($O421/INDEX('Parametri Modello'!$E$57:$E$60,MATCH($B421,'Parametri Modello'!$A$57:$A$60,0)))*(INDEX('Parametri Modello'!$D$57:$D$60,MATCH($B421,'Parametri Modello'!$A$57:$A$60,0))*(INDEX('Parametri Modello'!$B$50:$B$53,MATCH($B421,'Parametri Modello'!$A$50:$A$53,0))*'Parametri Modello'!$B$44))),IF(INDEX('Parametri Modello'!$F$57:$F$60,MATCH($B421,'Parametri Modello'!$A$57:$A$60,0))=0,0,($O421/INDEX('Parametri Modello'!$F$57:$F$60,MATCH($B421,'Parametri Modello'!$A$57:$A$60,0)))*((1-INDEX('Parametri Modello'!$D$57:$D$60,MATCH($B421,'Parametri Modello'!$A$57:$A$60,0)))*(INDEX('Parametri Modello'!$B$50:$B$53,MATCH($B421,'Parametri Modello'!$A$50:$A$53,0))*'Parametri Modello'!$B$44))))*(1+IF(IF($B421="D",'Info Lega'!$B$25,IF($B421="C",'Info Lega'!$B$26,"No"))="Si",'Parametri Modello'!$B$5,0))*(1+MAX(-0.25,MIN(0.25,IF(OR($T421="",$I421="",$I421=0,INDEX('Parametri Modello'!$B$19:$B$22,MATCH($B421,'Parametri Modello'!$A$19:$A$22,0))="",INDEX('Parametri Modello'!$B$19:$B$22,MATCH($B421,'Parametri Modello'!$A$19:$A$22,0))=0),0,(($T421-INDEX('Parametri Modello'!$B$19:$B$22,MATCH($B421,'Parametri Modello'!$A$19:$A$22,0)))/INDEX('Parametri Modello'!$B$19:$B$22,MATCH($B421,'Parametri Modello'!$A$19:$A$22,0)))*'Parametri Modello'!$B$9))))*(1+IF('Parametri Modello'!$B$27="Si",MAX(-'Parametri Modello'!$B$28,MIN('Parametri Modello'!$B$28*1.5,IF(OR(INDEX('Parametri Modello'!$F$32:$F$35,MATCH($B421,'Parametri Modello'!$A$32:$A$35,0))="",INDEX('Parametri Modello'!$F$32:$F$35,MATCH($B421,'Parametri Modello'!$A$32:$A$35,0))=0),0,(1/INDEX('Parametri Modello'!$F$32:$F$35,MATCH($B421,'Parametri Modello'!$A$32:$A$35,0))-1)*'Parametri Modello'!$B$28))),0)))*(1+INDEX('Parametri Modello'!$B$12:$B$15,MATCH($B421,'Parametri Modello'!$A$12:$A$15,0))),0),"")</f>
        <v>1</v>
      </c>
      <c r="I421" s="23">
        <f>IFERROR(INDEX('Input Statistiche 2025_26'!$F$3:$F$665,MATCH($A421,'Input Statistiche 2025_26'!$A$3:$A$665,0)),"")</f>
        <v>8</v>
      </c>
      <c r="J421" s="23">
        <f t="shared" si="54"/>
        <v>30</v>
      </c>
      <c r="K421" s="23">
        <f>IFERROR(INDEX('Input Statistiche 2025_26'!$I$3:$I$665,MATCH($A421,'Input Statistiche 2025_26'!$A$3:$A$665,0)),"")</f>
        <v>0</v>
      </c>
      <c r="L421" s="23">
        <f>IFERROR(INDEX('Input Statistiche 2025_26'!$O$3:$O$665,MATCH($A421,'Input Statistiche 2025_26'!$A$3:$A$665,0)),"")</f>
        <v>0</v>
      </c>
      <c r="M421" s="25"/>
      <c r="N421" s="24">
        <f>IFERROR(INDEX('Input Giocatori 2026_27'!$E$3:$E$493,MATCH($A421,'Input Giocatori 2026_27'!$A$3:$A$493,0)),"")</f>
        <v>1</v>
      </c>
      <c r="O421" s="24">
        <f>IFERROR(INDEX('Input Giocatori 2026_27'!$G$3:$G$493,MATCH($A421,'Input Giocatori 2026_27'!$A$3:$A$493,0)),"")</f>
        <v>3</v>
      </c>
      <c r="P421" s="23" t="str">
        <f>IFERROR(IF($O421="","",IF((1-(COUNTIFS($B$2:$B$492,$B421,$O$2:$O$492,"&gt;"&amp;$O421)+1-1)/COUNTIF($B$2:$B$492,$B421))&gt;='Parametri Modello'!$B$63,"Top",IF((1-(COUNTIFS($B$2:$B$492,$B421,$O$2:$O$492,"&gt;"&amp;$O421)+1-1)/COUNTIF($B$2:$B$492,$B421))&gt;='Parametri Modello'!$B$64,"Buono",IF((1-(COUNTIFS($B$2:$B$492,$B421,$O$2:$O$492,"&gt;"&amp;$O421)+1-1)/COUNTIF($B$2:$B$492,$B421))&gt;='Parametri Modello'!$B$65,"Nella Media","Scommessa/Riserva")))),"")</f>
        <v>Scommessa/Riserva</v>
      </c>
      <c r="Q421" s="26" t="str">
        <f>IF(AND($D421="",$N421&gt;1),SUMPRODUCT(($D$2:$D421="")*($N$2:$N421&gt;1)),"")</f>
        <v/>
      </c>
      <c r="R421" s="26" t="str">
        <f>IF($D421='Info Lega'!$B$28,COUNTIFS($D$2:$D421,'Info Lega'!$B$28),"")</f>
        <v/>
      </c>
      <c r="S421" s="27">
        <f>IFERROR(INDEX('Input Statistiche 2025_26'!$G$3:$G$665,MATCH($A421,'Input Statistiche 2025_26'!$A$3:$A$665,0)),"")</f>
        <v>5.69</v>
      </c>
      <c r="T421" s="27">
        <f>IFERROR(INDEX('Input Statistiche 2025_26'!$H$3:$H$665,MATCH($A421,'Input Statistiche 2025_26'!$A$3:$A$665,0)),"")</f>
        <v>5.56</v>
      </c>
      <c r="U421" s="23" t="str">
        <f>IF(OR('La Mia Rosa'!$O$12="",$D421&lt;&gt;""),"",IF($F421&lt;='La Mia Rosa'!$O$12*'Parametri Modello'!$B$24,"OK",IF($F421&lt;='La Mia Rosa'!$O$12*'Parametri Modello'!$B$25,"Attenzione","Rischio Alto")))</f>
        <v>OK</v>
      </c>
      <c r="V421" s="23">
        <f t="shared" si="55"/>
        <v>156</v>
      </c>
      <c r="W421" s="18">
        <f>'Info Lega'!$B$4-SUMIFS($M$2:$M$492,$D$2:$D$492,'Info Lega'!$B$28)</f>
        <v>1000</v>
      </c>
      <c r="X421" s="18">
        <f>('Info Lega'!$B$5-COUNTIFS($D$2:$D$492,'Info Lega'!$B$28,$B$2:$B$492,"P"))+('Info Lega'!$B$6-COUNTIFS($D$2:$D$492,'Info Lega'!$B$28,$B$2:$B$492,"D"))+('Info Lega'!$B$7-COUNTIFS($D$2:$D$492,'Info Lega'!$B$28,$B$2:$B$492,"C"))+('Info Lega'!$B$8-COUNTIFS($D$2:$D$492,'Info Lega'!$B$28,$B$2:$B$492,"A"))</f>
        <v>25</v>
      </c>
      <c r="Y421" s="18">
        <f>X421*'Parametri Modello'!$B$30</f>
        <v>25</v>
      </c>
      <c r="Z421" s="18">
        <f t="shared" si="56"/>
        <v>975</v>
      </c>
      <c r="AA421" s="18">
        <f t="shared" si="57"/>
        <v>1</v>
      </c>
      <c r="AB421" s="18"/>
      <c r="AC421" s="18" t="str">
        <f>IF($AB421="","",IF($AB421&gt;$AA421,"PASS",IF($AB421&lt;=$AA421*(1-'Parametri Modello'!$B$68),"BID","ATTENZIONE")))</f>
        <v/>
      </c>
      <c r="AD421" s="28">
        <f t="shared" si="58"/>
        <v>23</v>
      </c>
      <c r="AE421" s="5" t="str">
        <f>IFERROR(INDEX('Stato Asta'!$G$9:$G$12,MATCH($B421,'Stato Asta'!$A$9:$A$12,0)),"")</f>
        <v>🔴 Non aspettare</v>
      </c>
      <c r="AF421" t="str">
        <f>IFERROR(IF($V421&lt;=INDEX('Parametri Modello'!$C$57:$C$60,MATCH($B421,'Parametri Modello'!$A$57:$A$60,0)),"Titolare","Riserva"),"")</f>
        <v>Riserva</v>
      </c>
      <c r="AG421" t="str">
        <f>IFERROR(INDEX('Pressione Competitiva'!$F$3:$F$6,MATCH($B421,'Pressione Competitiva'!$B$3:$B$6,0)),"")</f>
        <v>🔴 Molto Alta</v>
      </c>
      <c r="AH421" t="str">
        <f t="shared" si="59"/>
        <v/>
      </c>
      <c r="AI421" t="str">
        <f>IFERROR(IF($AH421="","",IF($AH421&gt;=$AA421*'Parametri Modello'!$B$68,"🟢 Opportunita'",IF($AH421&lt;=$AA421*'Parametri Modello'!$B$69,"🔴 Sovrapprezzo","🟡 Prezzo Corretto"))),"")</f>
        <v/>
      </c>
      <c r="AJ421" t="str">
        <f t="shared" si="60"/>
        <v/>
      </c>
      <c r="AK421" t="str">
        <f t="shared" si="61"/>
        <v/>
      </c>
      <c r="AL421" t="str">
        <f t="shared" si="62"/>
        <v/>
      </c>
    </row>
    <row r="422" spans="1:38" ht="14.25" customHeight="1" x14ac:dyDescent="0.25">
      <c r="A422" s="18">
        <v>5481</v>
      </c>
      <c r="B422" s="18" t="s">
        <v>16</v>
      </c>
      <c r="C422" s="18" t="s">
        <v>561</v>
      </c>
      <c r="E422" s="23" t="str">
        <f>IF(COUNTIF('Info Strategia'!$D$2:$D$51,$C422)&gt;0,"SI","NO")</f>
        <v>NO</v>
      </c>
      <c r="F422" s="24">
        <f>IFERROR(ROUND(($G422+($H422-$G422)*'Info Strategia'!$B$6)*(1+IF($E422="SI",'Parametri Modello'!$B$7*'Info Strategia'!$B$6,0)),0),"")</f>
        <v>1</v>
      </c>
      <c r="G422" s="24">
        <f>IFERROR(ROUND(MAX(1,(IF($V422&lt;=INDEX('Parametri Modello'!$C$57:$C$60,MATCH($B422,'Parametri Modello'!$A$57:$A$60,0)),IF(INDEX('Parametri Modello'!$E$57:$E$60,MATCH($B422,'Parametri Modello'!$A$57:$A$60,0))=0,0,($O422/INDEX('Parametri Modello'!$E$57:$E$60,MATCH($B422,'Parametri Modello'!$A$57:$A$60,0)))*(INDEX('Parametri Modello'!$D$57:$D$60,MATCH($B422,'Parametri Modello'!$A$57:$A$60,0))*(INDEX('Parametri Modello'!$B$50:$B$53,MATCH($B422,'Parametri Modello'!$A$50:$A$53,0))*'Parametri Modello'!$B$44))),IF(INDEX('Parametri Modello'!$F$57:$F$60,MATCH($B422,'Parametri Modello'!$A$57:$A$60,0))=0,0,($O422/INDEX('Parametri Modello'!$F$57:$F$60,MATCH($B422,'Parametri Modello'!$A$57:$A$60,0)))*((1-INDEX('Parametri Modello'!$D$57:$D$60,MATCH($B422,'Parametri Modello'!$A$57:$A$60,0)))*(INDEX('Parametri Modello'!$B$50:$B$53,MATCH($B422,'Parametri Modello'!$A$50:$A$53,0))*'Parametri Modello'!$B$44))))*(1+IF(IF($B422="D",'Info Lega'!$B$25,IF($B422="C",'Info Lega'!$B$26,"No"))="Si",'Parametri Modello'!$B$5,0))*(1+MAX(-0.25,MIN(0.25,IF(OR($T422="",$I422="",$I422=0,INDEX('Parametri Modello'!$B$19:$B$22,MATCH($B422,'Parametri Modello'!$A$19:$A$22,0))="",INDEX('Parametri Modello'!$B$19:$B$22,MATCH($B422,'Parametri Modello'!$A$19:$A$22,0))=0),0,(($T422-INDEX('Parametri Modello'!$B$19:$B$22,MATCH($B422,'Parametri Modello'!$A$19:$A$22,0)))/INDEX('Parametri Modello'!$B$19:$B$22,MATCH($B422,'Parametri Modello'!$A$19:$A$22,0)))*'Parametri Modello'!$B$9))))*(1+IF('Parametri Modello'!$B$27="Si",MAX(-'Parametri Modello'!$B$28,MIN('Parametri Modello'!$B$28*1.5,IF(OR(INDEX('Parametri Modello'!$F$32:$F$35,MATCH($B422,'Parametri Modello'!$A$32:$A$35,0))="",INDEX('Parametri Modello'!$F$32:$F$35,MATCH($B422,'Parametri Modello'!$A$32:$A$35,0))=0),0,(1/INDEX('Parametri Modello'!$F$32:$F$35,MATCH($B422,'Parametri Modello'!$A$32:$A$35,0))-1)*'Parametri Modello'!$B$28))),0)))*(1-INDEX('Parametri Modello'!$B$12:$B$15,MATCH($B422,'Parametri Modello'!$A$12:$A$15,0)))),0),"")</f>
        <v>1</v>
      </c>
      <c r="H422" s="24">
        <f>IFERROR(ROUND((IF($V422&lt;=INDEX('Parametri Modello'!$C$57:$C$60,MATCH($B422,'Parametri Modello'!$A$57:$A$60,0)),IF(INDEX('Parametri Modello'!$E$57:$E$60,MATCH($B422,'Parametri Modello'!$A$57:$A$60,0))=0,0,($O422/INDEX('Parametri Modello'!$E$57:$E$60,MATCH($B422,'Parametri Modello'!$A$57:$A$60,0)))*(INDEX('Parametri Modello'!$D$57:$D$60,MATCH($B422,'Parametri Modello'!$A$57:$A$60,0))*(INDEX('Parametri Modello'!$B$50:$B$53,MATCH($B422,'Parametri Modello'!$A$50:$A$53,0))*'Parametri Modello'!$B$44))),IF(INDEX('Parametri Modello'!$F$57:$F$60,MATCH($B422,'Parametri Modello'!$A$57:$A$60,0))=0,0,($O422/INDEX('Parametri Modello'!$F$57:$F$60,MATCH($B422,'Parametri Modello'!$A$57:$A$60,0)))*((1-INDEX('Parametri Modello'!$D$57:$D$60,MATCH($B422,'Parametri Modello'!$A$57:$A$60,0)))*(INDEX('Parametri Modello'!$B$50:$B$53,MATCH($B422,'Parametri Modello'!$A$50:$A$53,0))*'Parametri Modello'!$B$44))))*(1+IF(IF($B422="D",'Info Lega'!$B$25,IF($B422="C",'Info Lega'!$B$26,"No"))="Si",'Parametri Modello'!$B$5,0))*(1+MAX(-0.25,MIN(0.25,IF(OR($T422="",$I422="",$I422=0,INDEX('Parametri Modello'!$B$19:$B$22,MATCH($B422,'Parametri Modello'!$A$19:$A$22,0))="",INDEX('Parametri Modello'!$B$19:$B$22,MATCH($B422,'Parametri Modello'!$A$19:$A$22,0))=0),0,(($T422-INDEX('Parametri Modello'!$B$19:$B$22,MATCH($B422,'Parametri Modello'!$A$19:$A$22,0)))/INDEX('Parametri Modello'!$B$19:$B$22,MATCH($B422,'Parametri Modello'!$A$19:$A$22,0)))*'Parametri Modello'!$B$9))))*(1+IF('Parametri Modello'!$B$27="Si",MAX(-'Parametri Modello'!$B$28,MIN('Parametri Modello'!$B$28*1.5,IF(OR(INDEX('Parametri Modello'!$F$32:$F$35,MATCH($B422,'Parametri Modello'!$A$32:$A$35,0))="",INDEX('Parametri Modello'!$F$32:$F$35,MATCH($B422,'Parametri Modello'!$A$32:$A$35,0))=0),0,(1/INDEX('Parametri Modello'!$F$32:$F$35,MATCH($B422,'Parametri Modello'!$A$32:$A$35,0))-1)*'Parametri Modello'!$B$28))),0)))*(1+INDEX('Parametri Modello'!$B$12:$B$15,MATCH($B422,'Parametri Modello'!$A$12:$A$15,0))),0),"")</f>
        <v>1</v>
      </c>
      <c r="I422" s="23">
        <f>IFERROR(INDEX('Input Statistiche 2025_26'!$F$3:$F$665,MATCH($A422,'Input Statistiche 2025_26'!$A$3:$A$665,0)),"")</f>
        <v>9</v>
      </c>
      <c r="J422" s="23">
        <f t="shared" si="54"/>
        <v>29</v>
      </c>
      <c r="K422" s="23">
        <f>IFERROR(INDEX('Input Statistiche 2025_26'!$I$3:$I$665,MATCH($A422,'Input Statistiche 2025_26'!$A$3:$A$665,0)),"")</f>
        <v>0</v>
      </c>
      <c r="L422" s="23">
        <f>IFERROR(INDEX('Input Statistiche 2025_26'!$O$3:$O$665,MATCH($A422,'Input Statistiche 2025_26'!$A$3:$A$665,0)),"")</f>
        <v>1</v>
      </c>
      <c r="M422" s="25"/>
      <c r="N422" s="24">
        <f>IFERROR(INDEX('Input Giocatori 2026_27'!$E$3:$E$493,MATCH($A422,'Input Giocatori 2026_27'!$A$3:$A$493,0)),"")</f>
        <v>1</v>
      </c>
      <c r="O422" s="24">
        <f>IFERROR(INDEX('Input Giocatori 2026_27'!$G$3:$G$493,MATCH($A422,'Input Giocatori 2026_27'!$A$3:$A$493,0)),"")</f>
        <v>3</v>
      </c>
      <c r="P422" s="23" t="str">
        <f>IFERROR(IF($O422="","",IF((1-(COUNTIFS($B$2:$B$492,$B422,$O$2:$O$492,"&gt;"&amp;$O422)+1-1)/COUNTIF($B$2:$B$492,$B422))&gt;='Parametri Modello'!$B$63,"Top",IF((1-(COUNTIFS($B$2:$B$492,$B422,$O$2:$O$492,"&gt;"&amp;$O422)+1-1)/COUNTIF($B$2:$B$492,$B422))&gt;='Parametri Modello'!$B$64,"Buono",IF((1-(COUNTIFS($B$2:$B$492,$B422,$O$2:$O$492,"&gt;"&amp;$O422)+1-1)/COUNTIF($B$2:$B$492,$B422))&gt;='Parametri Modello'!$B$65,"Nella Media","Scommessa/Riserva")))),"")</f>
        <v>Scommessa/Riserva</v>
      </c>
      <c r="Q422" s="26" t="str">
        <f>IF(AND($D422="",$N422&gt;1),SUMPRODUCT(($D$2:$D422="")*($N$2:$N422&gt;1)),"")</f>
        <v/>
      </c>
      <c r="R422" s="26" t="str">
        <f>IF($D422='Info Lega'!$B$28,COUNTIFS($D$2:$D422,'Info Lega'!$B$28),"")</f>
        <v/>
      </c>
      <c r="S422" s="27">
        <f>IFERROR(INDEX('Input Statistiche 2025_26'!$G$3:$G$665,MATCH($A422,'Input Statistiche 2025_26'!$A$3:$A$665,0)),"")</f>
        <v>5.94</v>
      </c>
      <c r="T422" s="27">
        <f>IFERROR(INDEX('Input Statistiche 2025_26'!$H$3:$H$665,MATCH($A422,'Input Statistiche 2025_26'!$A$3:$A$665,0)),"")</f>
        <v>5.94</v>
      </c>
      <c r="U422" s="23" t="str">
        <f>IF(OR('La Mia Rosa'!$O$12="",$D422&lt;&gt;""),"",IF($F422&lt;='La Mia Rosa'!$O$12*'Parametri Modello'!$B$24,"OK",IF($F422&lt;='La Mia Rosa'!$O$12*'Parametri Modello'!$B$25,"Attenzione","Rischio Alto")))</f>
        <v>OK</v>
      </c>
      <c r="V422" s="23">
        <f t="shared" si="55"/>
        <v>156</v>
      </c>
      <c r="W422" s="18">
        <f>'Info Lega'!$B$4-SUMIFS($M$2:$M$492,$D$2:$D$492,'Info Lega'!$B$28)</f>
        <v>1000</v>
      </c>
      <c r="X422" s="18">
        <f>('Info Lega'!$B$5-COUNTIFS($D$2:$D$492,'Info Lega'!$B$28,$B$2:$B$492,"P"))+('Info Lega'!$B$6-COUNTIFS($D$2:$D$492,'Info Lega'!$B$28,$B$2:$B$492,"D"))+('Info Lega'!$B$7-COUNTIFS($D$2:$D$492,'Info Lega'!$B$28,$B$2:$B$492,"C"))+('Info Lega'!$B$8-COUNTIFS($D$2:$D$492,'Info Lega'!$B$28,$B$2:$B$492,"A"))</f>
        <v>25</v>
      </c>
      <c r="Y422" s="18">
        <f>X422*'Parametri Modello'!$B$30</f>
        <v>25</v>
      </c>
      <c r="Z422" s="18">
        <f t="shared" si="56"/>
        <v>975</v>
      </c>
      <c r="AA422" s="18">
        <f t="shared" si="57"/>
        <v>1</v>
      </c>
      <c r="AB422" s="18"/>
      <c r="AC422" s="18" t="str">
        <f>IF($AB422="","",IF($AB422&gt;$AA422,"PASS",IF($AB422&lt;=$AA422*(1-'Parametri Modello'!$B$68),"BID","ATTENZIONE")))</f>
        <v/>
      </c>
      <c r="AD422" s="28">
        <f t="shared" si="58"/>
        <v>26</v>
      </c>
      <c r="AE422" s="5" t="str">
        <f>IFERROR(INDEX('Stato Asta'!$G$9:$G$12,MATCH($B422,'Stato Asta'!$A$9:$A$12,0)),"")</f>
        <v>🔴 Non aspettare</v>
      </c>
      <c r="AF422" t="str">
        <f>IFERROR(IF($V422&lt;=INDEX('Parametri Modello'!$C$57:$C$60,MATCH($B422,'Parametri Modello'!$A$57:$A$60,0)),"Titolare","Riserva"),"")</f>
        <v>Riserva</v>
      </c>
      <c r="AG422" t="str">
        <f>IFERROR(INDEX('Pressione Competitiva'!$F$3:$F$6,MATCH($B422,'Pressione Competitiva'!$B$3:$B$6,0)),"")</f>
        <v>🔴 Molto Alta</v>
      </c>
      <c r="AH422" t="str">
        <f t="shared" si="59"/>
        <v/>
      </c>
      <c r="AI422" t="str">
        <f>IFERROR(IF($AH422="","",IF($AH422&gt;=$AA422*'Parametri Modello'!$B$68,"🟢 Opportunita'",IF($AH422&lt;=$AA422*'Parametri Modello'!$B$69,"🔴 Sovrapprezzo","🟡 Prezzo Corretto"))),"")</f>
        <v/>
      </c>
      <c r="AJ422" t="str">
        <f t="shared" si="60"/>
        <v/>
      </c>
      <c r="AK422" t="str">
        <f t="shared" si="61"/>
        <v/>
      </c>
      <c r="AL422" t="str">
        <f t="shared" si="62"/>
        <v/>
      </c>
    </row>
    <row r="423" spans="1:38" ht="14.25" customHeight="1" x14ac:dyDescent="0.25">
      <c r="A423" s="18">
        <v>6149</v>
      </c>
      <c r="B423" s="18" t="s">
        <v>16</v>
      </c>
      <c r="C423" s="18" t="s">
        <v>562</v>
      </c>
      <c r="E423" s="23" t="str">
        <f>IF(COUNTIF('Info Strategia'!$D$2:$D$51,$C423)&gt;0,"SI","NO")</f>
        <v>NO</v>
      </c>
      <c r="F423" s="24">
        <f>IFERROR(ROUND(($G423+($H423-$G423)*'Info Strategia'!$B$6)*(1+IF($E423="SI",'Parametri Modello'!$B$7*'Info Strategia'!$B$6,0)),0),"")</f>
        <v>1</v>
      </c>
      <c r="G423" s="24">
        <f>IFERROR(ROUND(MAX(1,(IF($V423&lt;=INDEX('Parametri Modello'!$C$57:$C$60,MATCH($B423,'Parametri Modello'!$A$57:$A$60,0)),IF(INDEX('Parametri Modello'!$E$57:$E$60,MATCH($B423,'Parametri Modello'!$A$57:$A$60,0))=0,0,($O423/INDEX('Parametri Modello'!$E$57:$E$60,MATCH($B423,'Parametri Modello'!$A$57:$A$60,0)))*(INDEX('Parametri Modello'!$D$57:$D$60,MATCH($B423,'Parametri Modello'!$A$57:$A$60,0))*(INDEX('Parametri Modello'!$B$50:$B$53,MATCH($B423,'Parametri Modello'!$A$50:$A$53,0))*'Parametri Modello'!$B$44))),IF(INDEX('Parametri Modello'!$F$57:$F$60,MATCH($B423,'Parametri Modello'!$A$57:$A$60,0))=0,0,($O423/INDEX('Parametri Modello'!$F$57:$F$60,MATCH($B423,'Parametri Modello'!$A$57:$A$60,0)))*((1-INDEX('Parametri Modello'!$D$57:$D$60,MATCH($B423,'Parametri Modello'!$A$57:$A$60,0)))*(INDEX('Parametri Modello'!$B$50:$B$53,MATCH($B423,'Parametri Modello'!$A$50:$A$53,0))*'Parametri Modello'!$B$44))))*(1+IF(IF($B423="D",'Info Lega'!$B$25,IF($B423="C",'Info Lega'!$B$26,"No"))="Si",'Parametri Modello'!$B$5,0))*(1+MAX(-0.25,MIN(0.25,IF(OR($T423="",$I423="",$I423=0,INDEX('Parametri Modello'!$B$19:$B$22,MATCH($B423,'Parametri Modello'!$A$19:$A$22,0))="",INDEX('Parametri Modello'!$B$19:$B$22,MATCH($B423,'Parametri Modello'!$A$19:$A$22,0))=0),0,(($T423-INDEX('Parametri Modello'!$B$19:$B$22,MATCH($B423,'Parametri Modello'!$A$19:$A$22,0)))/INDEX('Parametri Modello'!$B$19:$B$22,MATCH($B423,'Parametri Modello'!$A$19:$A$22,0)))*'Parametri Modello'!$B$9))))*(1+IF('Parametri Modello'!$B$27="Si",MAX(-'Parametri Modello'!$B$28,MIN('Parametri Modello'!$B$28*1.5,IF(OR(INDEX('Parametri Modello'!$F$32:$F$35,MATCH($B423,'Parametri Modello'!$A$32:$A$35,0))="",INDEX('Parametri Modello'!$F$32:$F$35,MATCH($B423,'Parametri Modello'!$A$32:$A$35,0))=0),0,(1/INDEX('Parametri Modello'!$F$32:$F$35,MATCH($B423,'Parametri Modello'!$A$32:$A$35,0))-1)*'Parametri Modello'!$B$28))),0)))*(1-INDEX('Parametri Modello'!$B$12:$B$15,MATCH($B423,'Parametri Modello'!$A$12:$A$15,0)))),0),"")</f>
        <v>1</v>
      </c>
      <c r="H423" s="24">
        <f>IFERROR(ROUND((IF($V423&lt;=INDEX('Parametri Modello'!$C$57:$C$60,MATCH($B423,'Parametri Modello'!$A$57:$A$60,0)),IF(INDEX('Parametri Modello'!$E$57:$E$60,MATCH($B423,'Parametri Modello'!$A$57:$A$60,0))=0,0,($O423/INDEX('Parametri Modello'!$E$57:$E$60,MATCH($B423,'Parametri Modello'!$A$57:$A$60,0)))*(INDEX('Parametri Modello'!$D$57:$D$60,MATCH($B423,'Parametri Modello'!$A$57:$A$60,0))*(INDEX('Parametri Modello'!$B$50:$B$53,MATCH($B423,'Parametri Modello'!$A$50:$A$53,0))*'Parametri Modello'!$B$44))),IF(INDEX('Parametri Modello'!$F$57:$F$60,MATCH($B423,'Parametri Modello'!$A$57:$A$60,0))=0,0,($O423/INDEX('Parametri Modello'!$F$57:$F$60,MATCH($B423,'Parametri Modello'!$A$57:$A$60,0)))*((1-INDEX('Parametri Modello'!$D$57:$D$60,MATCH($B423,'Parametri Modello'!$A$57:$A$60,0)))*(INDEX('Parametri Modello'!$B$50:$B$53,MATCH($B423,'Parametri Modello'!$A$50:$A$53,0))*'Parametri Modello'!$B$44))))*(1+IF(IF($B423="D",'Info Lega'!$B$25,IF($B423="C",'Info Lega'!$B$26,"No"))="Si",'Parametri Modello'!$B$5,0))*(1+MAX(-0.25,MIN(0.25,IF(OR($T423="",$I423="",$I423=0,INDEX('Parametri Modello'!$B$19:$B$22,MATCH($B423,'Parametri Modello'!$A$19:$A$22,0))="",INDEX('Parametri Modello'!$B$19:$B$22,MATCH($B423,'Parametri Modello'!$A$19:$A$22,0))=0),0,(($T423-INDEX('Parametri Modello'!$B$19:$B$22,MATCH($B423,'Parametri Modello'!$A$19:$A$22,0)))/INDEX('Parametri Modello'!$B$19:$B$22,MATCH($B423,'Parametri Modello'!$A$19:$A$22,0)))*'Parametri Modello'!$B$9))))*(1+IF('Parametri Modello'!$B$27="Si",MAX(-'Parametri Modello'!$B$28,MIN('Parametri Modello'!$B$28*1.5,IF(OR(INDEX('Parametri Modello'!$F$32:$F$35,MATCH($B423,'Parametri Modello'!$A$32:$A$35,0))="",INDEX('Parametri Modello'!$F$32:$F$35,MATCH($B423,'Parametri Modello'!$A$32:$A$35,0))=0),0,(1/INDEX('Parametri Modello'!$F$32:$F$35,MATCH($B423,'Parametri Modello'!$A$32:$A$35,0))-1)*'Parametri Modello'!$B$28))),0)))*(1+INDEX('Parametri Modello'!$B$12:$B$15,MATCH($B423,'Parametri Modello'!$A$12:$A$15,0))),0),"")</f>
        <v>1</v>
      </c>
      <c r="I423" s="23">
        <f>IFERROR(INDEX('Input Statistiche 2025_26'!$F$3:$F$665,MATCH($A423,'Input Statistiche 2025_26'!$A$3:$A$665,0)),"")</f>
        <v>2</v>
      </c>
      <c r="J423" s="23">
        <f t="shared" si="54"/>
        <v>36</v>
      </c>
      <c r="K423" s="23">
        <f>IFERROR(INDEX('Input Statistiche 2025_26'!$I$3:$I$665,MATCH($A423,'Input Statistiche 2025_26'!$A$3:$A$665,0)),"")</f>
        <v>0</v>
      </c>
      <c r="L423" s="23">
        <f>IFERROR(INDEX('Input Statistiche 2025_26'!$O$3:$O$665,MATCH($A423,'Input Statistiche 2025_26'!$A$3:$A$665,0)),"")</f>
        <v>0</v>
      </c>
      <c r="M423" s="25"/>
      <c r="N423" s="24">
        <f>IFERROR(INDEX('Input Giocatori 2026_27'!$E$3:$E$493,MATCH($A423,'Input Giocatori 2026_27'!$A$3:$A$493,0)),"")</f>
        <v>1</v>
      </c>
      <c r="O423" s="24">
        <f>IFERROR(INDEX('Input Giocatori 2026_27'!$G$3:$G$493,MATCH($A423,'Input Giocatori 2026_27'!$A$3:$A$493,0)),"")</f>
        <v>3</v>
      </c>
      <c r="P423" s="23" t="str">
        <f>IFERROR(IF($O423="","",IF((1-(COUNTIFS($B$2:$B$492,$B423,$O$2:$O$492,"&gt;"&amp;$O423)+1-1)/COUNTIF($B$2:$B$492,$B423))&gt;='Parametri Modello'!$B$63,"Top",IF((1-(COUNTIFS($B$2:$B$492,$B423,$O$2:$O$492,"&gt;"&amp;$O423)+1-1)/COUNTIF($B$2:$B$492,$B423))&gt;='Parametri Modello'!$B$64,"Buono",IF((1-(COUNTIFS($B$2:$B$492,$B423,$O$2:$O$492,"&gt;"&amp;$O423)+1-1)/COUNTIF($B$2:$B$492,$B423))&gt;='Parametri Modello'!$B$65,"Nella Media","Scommessa/Riserva")))),"")</f>
        <v>Scommessa/Riserva</v>
      </c>
      <c r="Q423" s="26" t="str">
        <f>IF(AND($D423="",$N423&gt;1),SUMPRODUCT(($D$2:$D423="")*($N$2:$N423&gt;1)),"")</f>
        <v/>
      </c>
      <c r="R423" s="26" t="str">
        <f>IF($D423='Info Lega'!$B$28,COUNTIFS($D$2:$D423,'Info Lega'!$B$28),"")</f>
        <v/>
      </c>
      <c r="S423" s="27">
        <f>IFERROR(INDEX('Input Statistiche 2025_26'!$G$3:$G$665,MATCH($A423,'Input Statistiche 2025_26'!$A$3:$A$665,0)),"")</f>
        <v>6</v>
      </c>
      <c r="T423" s="27">
        <f>IFERROR(INDEX('Input Statistiche 2025_26'!$H$3:$H$665,MATCH($A423,'Input Statistiche 2025_26'!$A$3:$A$665,0)),"")</f>
        <v>6</v>
      </c>
      <c r="U423" s="23" t="str">
        <f>IF(OR('La Mia Rosa'!$O$12="",$D423&lt;&gt;""),"",IF($F423&lt;='La Mia Rosa'!$O$12*'Parametri Modello'!$B$24,"OK",IF($F423&lt;='La Mia Rosa'!$O$12*'Parametri Modello'!$B$25,"Attenzione","Rischio Alto")))</f>
        <v>OK</v>
      </c>
      <c r="V423" s="23">
        <f t="shared" si="55"/>
        <v>156</v>
      </c>
      <c r="W423" s="18">
        <f>'Info Lega'!$B$4-SUMIFS($M$2:$M$492,$D$2:$D$492,'Info Lega'!$B$28)</f>
        <v>1000</v>
      </c>
      <c r="X423" s="18">
        <f>('Info Lega'!$B$5-COUNTIFS($D$2:$D$492,'Info Lega'!$B$28,$B$2:$B$492,"P"))+('Info Lega'!$B$6-COUNTIFS($D$2:$D$492,'Info Lega'!$B$28,$B$2:$B$492,"D"))+('Info Lega'!$B$7-COUNTIFS($D$2:$D$492,'Info Lega'!$B$28,$B$2:$B$492,"C"))+('Info Lega'!$B$8-COUNTIFS($D$2:$D$492,'Info Lega'!$B$28,$B$2:$B$492,"A"))</f>
        <v>25</v>
      </c>
      <c r="Y423" s="18">
        <f>X423*'Parametri Modello'!$B$30</f>
        <v>25</v>
      </c>
      <c r="Z423" s="18">
        <f t="shared" si="56"/>
        <v>975</v>
      </c>
      <c r="AA423" s="18">
        <f t="shared" si="57"/>
        <v>1</v>
      </c>
      <c r="AB423" s="18"/>
      <c r="AC423" s="18" t="str">
        <f>IF($AB423="","",IF($AB423&gt;$AA423,"PASS",IF($AB423&lt;=$AA423*(1-'Parametri Modello'!$B$68),"BID","ATTENZIONE")))</f>
        <v/>
      </c>
      <c r="AD423" s="28">
        <f t="shared" si="58"/>
        <v>6</v>
      </c>
      <c r="AE423" s="5" t="str">
        <f>IFERROR(INDEX('Stato Asta'!$G$9:$G$12,MATCH($B423,'Stato Asta'!$A$9:$A$12,0)),"")</f>
        <v>🔴 Non aspettare</v>
      </c>
      <c r="AF423" t="str">
        <f>IFERROR(IF($V423&lt;=INDEX('Parametri Modello'!$C$57:$C$60,MATCH($B423,'Parametri Modello'!$A$57:$A$60,0)),"Titolare","Riserva"),"")</f>
        <v>Riserva</v>
      </c>
      <c r="AG423" t="str">
        <f>IFERROR(INDEX('Pressione Competitiva'!$F$3:$F$6,MATCH($B423,'Pressione Competitiva'!$B$3:$B$6,0)),"")</f>
        <v>🔴 Molto Alta</v>
      </c>
      <c r="AH423" t="str">
        <f t="shared" si="59"/>
        <v/>
      </c>
      <c r="AI423" t="str">
        <f>IFERROR(IF($AH423="","",IF($AH423&gt;=$AA423*'Parametri Modello'!$B$68,"🟢 Opportunita'",IF($AH423&lt;=$AA423*'Parametri Modello'!$B$69,"🔴 Sovrapprezzo","🟡 Prezzo Corretto"))),"")</f>
        <v/>
      </c>
      <c r="AJ423" t="str">
        <f t="shared" si="60"/>
        <v/>
      </c>
      <c r="AK423" t="str">
        <f t="shared" si="61"/>
        <v/>
      </c>
      <c r="AL423" t="str">
        <f t="shared" si="62"/>
        <v/>
      </c>
    </row>
    <row r="424" spans="1:38" ht="14.25" customHeight="1" x14ac:dyDescent="0.25">
      <c r="A424" s="18">
        <v>7356</v>
      </c>
      <c r="B424" s="18" t="s">
        <v>16</v>
      </c>
      <c r="C424" s="18" t="s">
        <v>563</v>
      </c>
      <c r="E424" s="23" t="str">
        <f>IF(COUNTIF('Info Strategia'!$D$2:$D$51,$C424)&gt;0,"SI","NO")</f>
        <v>NO</v>
      </c>
      <c r="F424" s="24">
        <f>IFERROR(ROUND(($G424+($H424-$G424)*'Info Strategia'!$B$6)*(1+IF($E424="SI",'Parametri Modello'!$B$7*'Info Strategia'!$B$6,0)),0),"")</f>
        <v>1</v>
      </c>
      <c r="G424" s="24">
        <f>IFERROR(ROUND(MAX(1,(IF($V424&lt;=INDEX('Parametri Modello'!$C$57:$C$60,MATCH($B424,'Parametri Modello'!$A$57:$A$60,0)),IF(INDEX('Parametri Modello'!$E$57:$E$60,MATCH($B424,'Parametri Modello'!$A$57:$A$60,0))=0,0,($O424/INDEX('Parametri Modello'!$E$57:$E$60,MATCH($B424,'Parametri Modello'!$A$57:$A$60,0)))*(INDEX('Parametri Modello'!$D$57:$D$60,MATCH($B424,'Parametri Modello'!$A$57:$A$60,0))*(INDEX('Parametri Modello'!$B$50:$B$53,MATCH($B424,'Parametri Modello'!$A$50:$A$53,0))*'Parametri Modello'!$B$44))),IF(INDEX('Parametri Modello'!$F$57:$F$60,MATCH($B424,'Parametri Modello'!$A$57:$A$60,0))=0,0,($O424/INDEX('Parametri Modello'!$F$57:$F$60,MATCH($B424,'Parametri Modello'!$A$57:$A$60,0)))*((1-INDEX('Parametri Modello'!$D$57:$D$60,MATCH($B424,'Parametri Modello'!$A$57:$A$60,0)))*(INDEX('Parametri Modello'!$B$50:$B$53,MATCH($B424,'Parametri Modello'!$A$50:$A$53,0))*'Parametri Modello'!$B$44))))*(1+IF(IF($B424="D",'Info Lega'!$B$25,IF($B424="C",'Info Lega'!$B$26,"No"))="Si",'Parametri Modello'!$B$5,0))*(1+MAX(-0.25,MIN(0.25,IF(OR($T424="",$I424="",$I424=0,INDEX('Parametri Modello'!$B$19:$B$22,MATCH($B424,'Parametri Modello'!$A$19:$A$22,0))="",INDEX('Parametri Modello'!$B$19:$B$22,MATCH($B424,'Parametri Modello'!$A$19:$A$22,0))=0),0,(($T424-INDEX('Parametri Modello'!$B$19:$B$22,MATCH($B424,'Parametri Modello'!$A$19:$A$22,0)))/INDEX('Parametri Modello'!$B$19:$B$22,MATCH($B424,'Parametri Modello'!$A$19:$A$22,0)))*'Parametri Modello'!$B$9))))*(1+IF('Parametri Modello'!$B$27="Si",MAX(-'Parametri Modello'!$B$28,MIN('Parametri Modello'!$B$28*1.5,IF(OR(INDEX('Parametri Modello'!$F$32:$F$35,MATCH($B424,'Parametri Modello'!$A$32:$A$35,0))="",INDEX('Parametri Modello'!$F$32:$F$35,MATCH($B424,'Parametri Modello'!$A$32:$A$35,0))=0),0,(1/INDEX('Parametri Modello'!$F$32:$F$35,MATCH($B424,'Parametri Modello'!$A$32:$A$35,0))-1)*'Parametri Modello'!$B$28))),0)))*(1-INDEX('Parametri Modello'!$B$12:$B$15,MATCH($B424,'Parametri Modello'!$A$12:$A$15,0)))),0),"")</f>
        <v>1</v>
      </c>
      <c r="H424" s="24">
        <f>IFERROR(ROUND((IF($V424&lt;=INDEX('Parametri Modello'!$C$57:$C$60,MATCH($B424,'Parametri Modello'!$A$57:$A$60,0)),IF(INDEX('Parametri Modello'!$E$57:$E$60,MATCH($B424,'Parametri Modello'!$A$57:$A$60,0))=0,0,($O424/INDEX('Parametri Modello'!$E$57:$E$60,MATCH($B424,'Parametri Modello'!$A$57:$A$60,0)))*(INDEX('Parametri Modello'!$D$57:$D$60,MATCH($B424,'Parametri Modello'!$A$57:$A$60,0))*(INDEX('Parametri Modello'!$B$50:$B$53,MATCH($B424,'Parametri Modello'!$A$50:$A$53,0))*'Parametri Modello'!$B$44))),IF(INDEX('Parametri Modello'!$F$57:$F$60,MATCH($B424,'Parametri Modello'!$A$57:$A$60,0))=0,0,($O424/INDEX('Parametri Modello'!$F$57:$F$60,MATCH($B424,'Parametri Modello'!$A$57:$A$60,0)))*((1-INDEX('Parametri Modello'!$D$57:$D$60,MATCH($B424,'Parametri Modello'!$A$57:$A$60,0)))*(INDEX('Parametri Modello'!$B$50:$B$53,MATCH($B424,'Parametri Modello'!$A$50:$A$53,0))*'Parametri Modello'!$B$44))))*(1+IF(IF($B424="D",'Info Lega'!$B$25,IF($B424="C",'Info Lega'!$B$26,"No"))="Si",'Parametri Modello'!$B$5,0))*(1+MAX(-0.25,MIN(0.25,IF(OR($T424="",$I424="",$I424=0,INDEX('Parametri Modello'!$B$19:$B$22,MATCH($B424,'Parametri Modello'!$A$19:$A$22,0))="",INDEX('Parametri Modello'!$B$19:$B$22,MATCH($B424,'Parametri Modello'!$A$19:$A$22,0))=0),0,(($T424-INDEX('Parametri Modello'!$B$19:$B$22,MATCH($B424,'Parametri Modello'!$A$19:$A$22,0)))/INDEX('Parametri Modello'!$B$19:$B$22,MATCH($B424,'Parametri Modello'!$A$19:$A$22,0)))*'Parametri Modello'!$B$9))))*(1+IF('Parametri Modello'!$B$27="Si",MAX(-'Parametri Modello'!$B$28,MIN('Parametri Modello'!$B$28*1.5,IF(OR(INDEX('Parametri Modello'!$F$32:$F$35,MATCH($B424,'Parametri Modello'!$A$32:$A$35,0))="",INDEX('Parametri Modello'!$F$32:$F$35,MATCH($B424,'Parametri Modello'!$A$32:$A$35,0))=0),0,(1/INDEX('Parametri Modello'!$F$32:$F$35,MATCH($B424,'Parametri Modello'!$A$32:$A$35,0))-1)*'Parametri Modello'!$B$28))),0)))*(1+INDEX('Parametri Modello'!$B$12:$B$15,MATCH($B424,'Parametri Modello'!$A$12:$A$15,0))),0),"")</f>
        <v>1</v>
      </c>
      <c r="I424" s="23">
        <f>IFERROR(INDEX('Input Statistiche 2025_26'!$F$3:$F$665,MATCH($A424,'Input Statistiche 2025_26'!$A$3:$A$665,0)),"")</f>
        <v>3</v>
      </c>
      <c r="J424" s="23">
        <f t="shared" si="54"/>
        <v>35</v>
      </c>
      <c r="K424" s="23">
        <f>IFERROR(INDEX('Input Statistiche 2025_26'!$I$3:$I$665,MATCH($A424,'Input Statistiche 2025_26'!$A$3:$A$665,0)),"")</f>
        <v>0</v>
      </c>
      <c r="L424" s="23">
        <f>IFERROR(INDEX('Input Statistiche 2025_26'!$O$3:$O$665,MATCH($A424,'Input Statistiche 2025_26'!$A$3:$A$665,0)),"")</f>
        <v>0</v>
      </c>
      <c r="M424" s="25"/>
      <c r="N424" s="24">
        <f>IFERROR(INDEX('Input Giocatori 2026_27'!$E$3:$E$493,MATCH($A424,'Input Giocatori 2026_27'!$A$3:$A$493,0)),"")</f>
        <v>1</v>
      </c>
      <c r="O424" s="24">
        <f>IFERROR(INDEX('Input Giocatori 2026_27'!$G$3:$G$493,MATCH($A424,'Input Giocatori 2026_27'!$A$3:$A$493,0)),"")</f>
        <v>3</v>
      </c>
      <c r="P424" s="23" t="str">
        <f>IFERROR(IF($O424="","",IF((1-(COUNTIFS($B$2:$B$492,$B424,$O$2:$O$492,"&gt;"&amp;$O424)+1-1)/COUNTIF($B$2:$B$492,$B424))&gt;='Parametri Modello'!$B$63,"Top",IF((1-(COUNTIFS($B$2:$B$492,$B424,$O$2:$O$492,"&gt;"&amp;$O424)+1-1)/COUNTIF($B$2:$B$492,$B424))&gt;='Parametri Modello'!$B$64,"Buono",IF((1-(COUNTIFS($B$2:$B$492,$B424,$O$2:$O$492,"&gt;"&amp;$O424)+1-1)/COUNTIF($B$2:$B$492,$B424))&gt;='Parametri Modello'!$B$65,"Nella Media","Scommessa/Riserva")))),"")</f>
        <v>Scommessa/Riserva</v>
      </c>
      <c r="Q424" s="26" t="str">
        <f>IF(AND($D424="",$N424&gt;1),SUMPRODUCT(($D$2:$D424="")*($N$2:$N424&gt;1)),"")</f>
        <v/>
      </c>
      <c r="R424" s="26" t="str">
        <f>IF($D424='Info Lega'!$B$28,COUNTIFS($D$2:$D424,'Info Lega'!$B$28),"")</f>
        <v/>
      </c>
      <c r="S424" s="27">
        <f>IFERROR(INDEX('Input Statistiche 2025_26'!$G$3:$G$665,MATCH($A424,'Input Statistiche 2025_26'!$A$3:$A$665,0)),"")</f>
        <v>5.83</v>
      </c>
      <c r="T424" s="27">
        <f>IFERROR(INDEX('Input Statistiche 2025_26'!$H$3:$H$665,MATCH($A424,'Input Statistiche 2025_26'!$A$3:$A$665,0)),"")</f>
        <v>5.67</v>
      </c>
      <c r="U424" s="23" t="str">
        <f>IF(OR('La Mia Rosa'!$O$12="",$D424&lt;&gt;""),"",IF($F424&lt;='La Mia Rosa'!$O$12*'Parametri Modello'!$B$24,"OK",IF($F424&lt;='La Mia Rosa'!$O$12*'Parametri Modello'!$B$25,"Attenzione","Rischio Alto")))</f>
        <v>OK</v>
      </c>
      <c r="V424" s="23">
        <f t="shared" si="55"/>
        <v>156</v>
      </c>
      <c r="W424" s="18">
        <f>'Info Lega'!$B$4-SUMIFS($M$2:$M$492,$D$2:$D$492,'Info Lega'!$B$28)</f>
        <v>1000</v>
      </c>
      <c r="X424" s="18">
        <f>('Info Lega'!$B$5-COUNTIFS($D$2:$D$492,'Info Lega'!$B$28,$B$2:$B$492,"P"))+('Info Lega'!$B$6-COUNTIFS($D$2:$D$492,'Info Lega'!$B$28,$B$2:$B$492,"D"))+('Info Lega'!$B$7-COUNTIFS($D$2:$D$492,'Info Lega'!$B$28,$B$2:$B$492,"C"))+('Info Lega'!$B$8-COUNTIFS($D$2:$D$492,'Info Lega'!$B$28,$B$2:$B$492,"A"))</f>
        <v>25</v>
      </c>
      <c r="Y424" s="18">
        <f>X424*'Parametri Modello'!$B$30</f>
        <v>25</v>
      </c>
      <c r="Z424" s="18">
        <f t="shared" si="56"/>
        <v>975</v>
      </c>
      <c r="AA424" s="18">
        <f t="shared" si="57"/>
        <v>1</v>
      </c>
      <c r="AB424" s="18"/>
      <c r="AC424" s="18" t="str">
        <f>IF($AB424="","",IF($AB424&gt;$AA424,"PASS",IF($AB424&lt;=$AA424*(1-'Parametri Modello'!$B$68),"BID","ATTENZIONE")))</f>
        <v/>
      </c>
      <c r="AD424" s="28">
        <f t="shared" si="58"/>
        <v>10</v>
      </c>
      <c r="AE424" s="5" t="str">
        <f>IFERROR(INDEX('Stato Asta'!$G$9:$G$12,MATCH($B424,'Stato Asta'!$A$9:$A$12,0)),"")</f>
        <v>🔴 Non aspettare</v>
      </c>
      <c r="AF424" t="str">
        <f>IFERROR(IF($V424&lt;=INDEX('Parametri Modello'!$C$57:$C$60,MATCH($B424,'Parametri Modello'!$A$57:$A$60,0)),"Titolare","Riserva"),"")</f>
        <v>Riserva</v>
      </c>
      <c r="AG424" t="str">
        <f>IFERROR(INDEX('Pressione Competitiva'!$F$3:$F$6,MATCH($B424,'Pressione Competitiva'!$B$3:$B$6,0)),"")</f>
        <v>🔴 Molto Alta</v>
      </c>
      <c r="AH424" t="str">
        <f t="shared" si="59"/>
        <v/>
      </c>
      <c r="AI424" t="str">
        <f>IFERROR(IF($AH424="","",IF($AH424&gt;=$AA424*'Parametri Modello'!$B$68,"🟢 Opportunita'",IF($AH424&lt;=$AA424*'Parametri Modello'!$B$69,"🔴 Sovrapprezzo","🟡 Prezzo Corretto"))),"")</f>
        <v/>
      </c>
      <c r="AJ424" t="str">
        <f t="shared" si="60"/>
        <v/>
      </c>
      <c r="AK424" t="str">
        <f t="shared" si="61"/>
        <v/>
      </c>
      <c r="AL424" t="str">
        <f t="shared" si="62"/>
        <v/>
      </c>
    </row>
    <row r="425" spans="1:38" ht="14.25" customHeight="1" x14ac:dyDescent="0.25">
      <c r="A425" s="18">
        <v>6021</v>
      </c>
      <c r="B425" s="18" t="s">
        <v>16</v>
      </c>
      <c r="C425" s="18" t="s">
        <v>564</v>
      </c>
      <c r="E425" s="23" t="str">
        <f>IF(COUNTIF('Info Strategia'!$D$2:$D$51,$C425)&gt;0,"SI","NO")</f>
        <v>NO</v>
      </c>
      <c r="F425" s="24">
        <f>IFERROR(ROUND(($G425+($H425-$G425)*'Info Strategia'!$B$6)*(1+IF($E425="SI",'Parametri Modello'!$B$7*'Info Strategia'!$B$6,0)),0),"")</f>
        <v>1</v>
      </c>
      <c r="G425" s="24">
        <f>IFERROR(ROUND(MAX(1,(IF($V425&lt;=INDEX('Parametri Modello'!$C$57:$C$60,MATCH($B425,'Parametri Modello'!$A$57:$A$60,0)),IF(INDEX('Parametri Modello'!$E$57:$E$60,MATCH($B425,'Parametri Modello'!$A$57:$A$60,0))=0,0,($O425/INDEX('Parametri Modello'!$E$57:$E$60,MATCH($B425,'Parametri Modello'!$A$57:$A$60,0)))*(INDEX('Parametri Modello'!$D$57:$D$60,MATCH($B425,'Parametri Modello'!$A$57:$A$60,0))*(INDEX('Parametri Modello'!$B$50:$B$53,MATCH($B425,'Parametri Modello'!$A$50:$A$53,0))*'Parametri Modello'!$B$44))),IF(INDEX('Parametri Modello'!$F$57:$F$60,MATCH($B425,'Parametri Modello'!$A$57:$A$60,0))=0,0,($O425/INDEX('Parametri Modello'!$F$57:$F$60,MATCH($B425,'Parametri Modello'!$A$57:$A$60,0)))*((1-INDEX('Parametri Modello'!$D$57:$D$60,MATCH($B425,'Parametri Modello'!$A$57:$A$60,0)))*(INDEX('Parametri Modello'!$B$50:$B$53,MATCH($B425,'Parametri Modello'!$A$50:$A$53,0))*'Parametri Modello'!$B$44))))*(1+IF(IF($B425="D",'Info Lega'!$B$25,IF($B425="C",'Info Lega'!$B$26,"No"))="Si",'Parametri Modello'!$B$5,0))*(1+MAX(-0.25,MIN(0.25,IF(OR($T425="",$I425="",$I425=0,INDEX('Parametri Modello'!$B$19:$B$22,MATCH($B425,'Parametri Modello'!$A$19:$A$22,0))="",INDEX('Parametri Modello'!$B$19:$B$22,MATCH($B425,'Parametri Modello'!$A$19:$A$22,0))=0),0,(($T425-INDEX('Parametri Modello'!$B$19:$B$22,MATCH($B425,'Parametri Modello'!$A$19:$A$22,0)))/INDEX('Parametri Modello'!$B$19:$B$22,MATCH($B425,'Parametri Modello'!$A$19:$A$22,0)))*'Parametri Modello'!$B$9))))*(1+IF('Parametri Modello'!$B$27="Si",MAX(-'Parametri Modello'!$B$28,MIN('Parametri Modello'!$B$28*1.5,IF(OR(INDEX('Parametri Modello'!$F$32:$F$35,MATCH($B425,'Parametri Modello'!$A$32:$A$35,0))="",INDEX('Parametri Modello'!$F$32:$F$35,MATCH($B425,'Parametri Modello'!$A$32:$A$35,0))=0),0,(1/INDEX('Parametri Modello'!$F$32:$F$35,MATCH($B425,'Parametri Modello'!$A$32:$A$35,0))-1)*'Parametri Modello'!$B$28))),0)))*(1-INDEX('Parametri Modello'!$B$12:$B$15,MATCH($B425,'Parametri Modello'!$A$12:$A$15,0)))),0),"")</f>
        <v>1</v>
      </c>
      <c r="H425" s="24">
        <f>IFERROR(ROUND((IF($V425&lt;=INDEX('Parametri Modello'!$C$57:$C$60,MATCH($B425,'Parametri Modello'!$A$57:$A$60,0)),IF(INDEX('Parametri Modello'!$E$57:$E$60,MATCH($B425,'Parametri Modello'!$A$57:$A$60,0))=0,0,($O425/INDEX('Parametri Modello'!$E$57:$E$60,MATCH($B425,'Parametri Modello'!$A$57:$A$60,0)))*(INDEX('Parametri Modello'!$D$57:$D$60,MATCH($B425,'Parametri Modello'!$A$57:$A$60,0))*(INDEX('Parametri Modello'!$B$50:$B$53,MATCH($B425,'Parametri Modello'!$A$50:$A$53,0))*'Parametri Modello'!$B$44))),IF(INDEX('Parametri Modello'!$F$57:$F$60,MATCH($B425,'Parametri Modello'!$A$57:$A$60,0))=0,0,($O425/INDEX('Parametri Modello'!$F$57:$F$60,MATCH($B425,'Parametri Modello'!$A$57:$A$60,0)))*((1-INDEX('Parametri Modello'!$D$57:$D$60,MATCH($B425,'Parametri Modello'!$A$57:$A$60,0)))*(INDEX('Parametri Modello'!$B$50:$B$53,MATCH($B425,'Parametri Modello'!$A$50:$A$53,0))*'Parametri Modello'!$B$44))))*(1+IF(IF($B425="D",'Info Lega'!$B$25,IF($B425="C",'Info Lega'!$B$26,"No"))="Si",'Parametri Modello'!$B$5,0))*(1+MAX(-0.25,MIN(0.25,IF(OR($T425="",$I425="",$I425=0,INDEX('Parametri Modello'!$B$19:$B$22,MATCH($B425,'Parametri Modello'!$A$19:$A$22,0))="",INDEX('Parametri Modello'!$B$19:$B$22,MATCH($B425,'Parametri Modello'!$A$19:$A$22,0))=0),0,(($T425-INDEX('Parametri Modello'!$B$19:$B$22,MATCH($B425,'Parametri Modello'!$A$19:$A$22,0)))/INDEX('Parametri Modello'!$B$19:$B$22,MATCH($B425,'Parametri Modello'!$A$19:$A$22,0)))*'Parametri Modello'!$B$9))))*(1+IF('Parametri Modello'!$B$27="Si",MAX(-'Parametri Modello'!$B$28,MIN('Parametri Modello'!$B$28*1.5,IF(OR(INDEX('Parametri Modello'!$F$32:$F$35,MATCH($B425,'Parametri Modello'!$A$32:$A$35,0))="",INDEX('Parametri Modello'!$F$32:$F$35,MATCH($B425,'Parametri Modello'!$A$32:$A$35,0))=0),0,(1/INDEX('Parametri Modello'!$F$32:$F$35,MATCH($B425,'Parametri Modello'!$A$32:$A$35,0))-1)*'Parametri Modello'!$B$28))),0)))*(1+INDEX('Parametri Modello'!$B$12:$B$15,MATCH($B425,'Parametri Modello'!$A$12:$A$15,0))),0),"")</f>
        <v>1</v>
      </c>
      <c r="I425" s="23" t="str">
        <f>IFERROR(INDEX('Input Statistiche 2025_26'!$F$3:$F$665,MATCH($A425,'Input Statistiche 2025_26'!$A$3:$A$665,0)),"")</f>
        <v/>
      </c>
      <c r="J425" s="23" t="str">
        <f t="shared" si="54"/>
        <v/>
      </c>
      <c r="K425" s="23" t="str">
        <f>IFERROR(INDEX('Input Statistiche 2025_26'!$I$3:$I$665,MATCH($A425,'Input Statistiche 2025_26'!$A$3:$A$665,0)),"")</f>
        <v/>
      </c>
      <c r="L425" s="23" t="str">
        <f>IFERROR(INDEX('Input Statistiche 2025_26'!$O$3:$O$665,MATCH($A425,'Input Statistiche 2025_26'!$A$3:$A$665,0)),"")</f>
        <v/>
      </c>
      <c r="M425" s="25"/>
      <c r="N425" s="24">
        <f>IFERROR(INDEX('Input Giocatori 2026_27'!$E$3:$E$493,MATCH($A425,'Input Giocatori 2026_27'!$A$3:$A$493,0)),"")</f>
        <v>1</v>
      </c>
      <c r="O425" s="24">
        <f>IFERROR(INDEX('Input Giocatori 2026_27'!$G$3:$G$493,MATCH($A425,'Input Giocatori 2026_27'!$A$3:$A$493,0)),"")</f>
        <v>3</v>
      </c>
      <c r="P425" s="23" t="str">
        <f>IFERROR(IF($O425="","",IF((1-(COUNTIFS($B$2:$B$492,$B425,$O$2:$O$492,"&gt;"&amp;$O425)+1-1)/COUNTIF($B$2:$B$492,$B425))&gt;='Parametri Modello'!$B$63,"Top",IF((1-(COUNTIFS($B$2:$B$492,$B425,$O$2:$O$492,"&gt;"&amp;$O425)+1-1)/COUNTIF($B$2:$B$492,$B425))&gt;='Parametri Modello'!$B$64,"Buono",IF((1-(COUNTIFS($B$2:$B$492,$B425,$O$2:$O$492,"&gt;"&amp;$O425)+1-1)/COUNTIF($B$2:$B$492,$B425))&gt;='Parametri Modello'!$B$65,"Nella Media","Scommessa/Riserva")))),"")</f>
        <v>Scommessa/Riserva</v>
      </c>
      <c r="Q425" s="26" t="str">
        <f>IF(AND($D425="",$N425&gt;1),SUMPRODUCT(($D$2:$D425="")*($N$2:$N425&gt;1)),"")</f>
        <v/>
      </c>
      <c r="R425" s="26" t="str">
        <f>IF($D425='Info Lega'!$B$28,COUNTIFS($D$2:$D425,'Info Lega'!$B$28),"")</f>
        <v/>
      </c>
      <c r="S425" s="27" t="str">
        <f>IFERROR(INDEX('Input Statistiche 2025_26'!$G$3:$G$665,MATCH($A425,'Input Statistiche 2025_26'!$A$3:$A$665,0)),"")</f>
        <v/>
      </c>
      <c r="T425" s="27" t="str">
        <f>IFERROR(INDEX('Input Statistiche 2025_26'!$H$3:$H$665,MATCH($A425,'Input Statistiche 2025_26'!$A$3:$A$665,0)),"")</f>
        <v/>
      </c>
      <c r="U425" s="23" t="str">
        <f>IF(OR('La Mia Rosa'!$O$12="",$D425&lt;&gt;""),"",IF($F425&lt;='La Mia Rosa'!$O$12*'Parametri Modello'!$B$24,"OK",IF($F425&lt;='La Mia Rosa'!$O$12*'Parametri Modello'!$B$25,"Attenzione","Rischio Alto")))</f>
        <v>OK</v>
      </c>
      <c r="V425" s="23">
        <f t="shared" si="55"/>
        <v>156</v>
      </c>
      <c r="W425" s="18">
        <f>'Info Lega'!$B$4-SUMIFS($M$2:$M$492,$D$2:$D$492,'Info Lega'!$B$28)</f>
        <v>1000</v>
      </c>
      <c r="X425" s="18">
        <f>('Info Lega'!$B$5-COUNTIFS($D$2:$D$492,'Info Lega'!$B$28,$B$2:$B$492,"P"))+('Info Lega'!$B$6-COUNTIFS($D$2:$D$492,'Info Lega'!$B$28,$B$2:$B$492,"D"))+('Info Lega'!$B$7-COUNTIFS($D$2:$D$492,'Info Lega'!$B$28,$B$2:$B$492,"C"))+('Info Lega'!$B$8-COUNTIFS($D$2:$D$492,'Info Lega'!$B$28,$B$2:$B$492,"A"))</f>
        <v>25</v>
      </c>
      <c r="Y425" s="18">
        <f>X425*'Parametri Modello'!$B$30</f>
        <v>25</v>
      </c>
      <c r="Z425" s="18">
        <f t="shared" si="56"/>
        <v>975</v>
      </c>
      <c r="AA425" s="18">
        <f t="shared" si="57"/>
        <v>1</v>
      </c>
      <c r="AB425" s="18"/>
      <c r="AC425" s="18" t="str">
        <f>IF($AB425="","",IF($AB425&gt;$AA425,"PASS",IF($AB425&lt;=$AA425*(1-'Parametri Modello'!$B$68),"BID","ATTENZIONE")))</f>
        <v/>
      </c>
      <c r="AD425" s="28" t="str">
        <f t="shared" si="58"/>
        <v/>
      </c>
      <c r="AE425" s="5" t="str">
        <f>IFERROR(INDEX('Stato Asta'!$G$9:$G$12,MATCH($B425,'Stato Asta'!$A$9:$A$12,0)),"")</f>
        <v>🔴 Non aspettare</v>
      </c>
      <c r="AF425" t="str">
        <f>IFERROR(IF($V425&lt;=INDEX('Parametri Modello'!$C$57:$C$60,MATCH($B425,'Parametri Modello'!$A$57:$A$60,0)),"Titolare","Riserva"),"")</f>
        <v>Riserva</v>
      </c>
      <c r="AG425" t="str">
        <f>IFERROR(INDEX('Pressione Competitiva'!$F$3:$F$6,MATCH($B425,'Pressione Competitiva'!$B$3:$B$6,0)),"")</f>
        <v>🔴 Molto Alta</v>
      </c>
      <c r="AH425" t="str">
        <f t="shared" si="59"/>
        <v/>
      </c>
      <c r="AI425" t="str">
        <f>IFERROR(IF($AH425="","",IF($AH425&gt;=$AA425*'Parametri Modello'!$B$68,"🟢 Opportunita'",IF($AH425&lt;=$AA425*'Parametri Modello'!$B$69,"🔴 Sovrapprezzo","🟡 Prezzo Corretto"))),"")</f>
        <v/>
      </c>
      <c r="AJ425" t="str">
        <f t="shared" si="60"/>
        <v/>
      </c>
      <c r="AK425" t="str">
        <f t="shared" si="61"/>
        <v/>
      </c>
      <c r="AL425" t="str">
        <f t="shared" si="62"/>
        <v/>
      </c>
    </row>
    <row r="426" spans="1:38" ht="14.25" customHeight="1" x14ac:dyDescent="0.25">
      <c r="A426" s="18">
        <v>6815</v>
      </c>
      <c r="B426" s="18" t="s">
        <v>17</v>
      </c>
      <c r="C426" s="18" t="s">
        <v>565</v>
      </c>
      <c r="E426" s="23" t="str">
        <f>IF(COUNTIF('Info Strategia'!$D$2:$D$51,$C426)&gt;0,"SI","NO")</f>
        <v>NO</v>
      </c>
      <c r="F426" s="24">
        <f>IFERROR(ROUND(($G426+($H426-$G426)*'Info Strategia'!$B$6)*(1+IF($E426="SI",'Parametri Modello'!$B$7*'Info Strategia'!$B$6,0)),0),"")</f>
        <v>0</v>
      </c>
      <c r="G426" s="24">
        <f>IFERROR(ROUND(MAX(1,(IF($V426&lt;=INDEX('Parametri Modello'!$C$57:$C$60,MATCH($B426,'Parametri Modello'!$A$57:$A$60,0)),IF(INDEX('Parametri Modello'!$E$57:$E$60,MATCH($B426,'Parametri Modello'!$A$57:$A$60,0))=0,0,($O426/INDEX('Parametri Modello'!$E$57:$E$60,MATCH($B426,'Parametri Modello'!$A$57:$A$60,0)))*(INDEX('Parametri Modello'!$D$57:$D$60,MATCH($B426,'Parametri Modello'!$A$57:$A$60,0))*(INDEX('Parametri Modello'!$B$50:$B$53,MATCH($B426,'Parametri Modello'!$A$50:$A$53,0))*'Parametri Modello'!$B$44))),IF(INDEX('Parametri Modello'!$F$57:$F$60,MATCH($B426,'Parametri Modello'!$A$57:$A$60,0))=0,0,($O426/INDEX('Parametri Modello'!$F$57:$F$60,MATCH($B426,'Parametri Modello'!$A$57:$A$60,0)))*((1-INDEX('Parametri Modello'!$D$57:$D$60,MATCH($B426,'Parametri Modello'!$A$57:$A$60,0)))*(INDEX('Parametri Modello'!$B$50:$B$53,MATCH($B426,'Parametri Modello'!$A$50:$A$53,0))*'Parametri Modello'!$B$44))))*(1+IF(IF($B426="D",'Info Lega'!$B$25,IF($B426="C",'Info Lega'!$B$26,"No"))="Si",'Parametri Modello'!$B$5,0))*(1+MAX(-0.25,MIN(0.25,IF(OR($T426="",$I426="",$I426=0,INDEX('Parametri Modello'!$B$19:$B$22,MATCH($B426,'Parametri Modello'!$A$19:$A$22,0))="",INDEX('Parametri Modello'!$B$19:$B$22,MATCH($B426,'Parametri Modello'!$A$19:$A$22,0))=0),0,(($T426-INDEX('Parametri Modello'!$B$19:$B$22,MATCH($B426,'Parametri Modello'!$A$19:$A$22,0)))/INDEX('Parametri Modello'!$B$19:$B$22,MATCH($B426,'Parametri Modello'!$A$19:$A$22,0)))*'Parametri Modello'!$B$9))))*(1+IF('Parametri Modello'!$B$27="Si",MAX(-'Parametri Modello'!$B$28,MIN('Parametri Modello'!$B$28*1.5,IF(OR(INDEX('Parametri Modello'!$F$32:$F$35,MATCH($B426,'Parametri Modello'!$A$32:$A$35,0))="",INDEX('Parametri Modello'!$F$32:$F$35,MATCH($B426,'Parametri Modello'!$A$32:$A$35,0))=0),0,(1/INDEX('Parametri Modello'!$F$32:$F$35,MATCH($B426,'Parametri Modello'!$A$32:$A$35,0))-1)*'Parametri Modello'!$B$28))),0)))*(1-INDEX('Parametri Modello'!$B$12:$B$15,MATCH($B426,'Parametri Modello'!$A$12:$A$15,0)))),0),"")</f>
        <v>1</v>
      </c>
      <c r="H426" s="24">
        <f>IFERROR(ROUND((IF($V426&lt;=INDEX('Parametri Modello'!$C$57:$C$60,MATCH($B426,'Parametri Modello'!$A$57:$A$60,0)),IF(INDEX('Parametri Modello'!$E$57:$E$60,MATCH($B426,'Parametri Modello'!$A$57:$A$60,0))=0,0,($O426/INDEX('Parametri Modello'!$E$57:$E$60,MATCH($B426,'Parametri Modello'!$A$57:$A$60,0)))*(INDEX('Parametri Modello'!$D$57:$D$60,MATCH($B426,'Parametri Modello'!$A$57:$A$60,0))*(INDEX('Parametri Modello'!$B$50:$B$53,MATCH($B426,'Parametri Modello'!$A$50:$A$53,0))*'Parametri Modello'!$B$44))),IF(INDEX('Parametri Modello'!$F$57:$F$60,MATCH($B426,'Parametri Modello'!$A$57:$A$60,0))=0,0,($O426/INDEX('Parametri Modello'!$F$57:$F$60,MATCH($B426,'Parametri Modello'!$A$57:$A$60,0)))*((1-INDEX('Parametri Modello'!$D$57:$D$60,MATCH($B426,'Parametri Modello'!$A$57:$A$60,0)))*(INDEX('Parametri Modello'!$B$50:$B$53,MATCH($B426,'Parametri Modello'!$A$50:$A$53,0))*'Parametri Modello'!$B$44))))*(1+IF(IF($B426="D",'Info Lega'!$B$25,IF($B426="C",'Info Lega'!$B$26,"No"))="Si",'Parametri Modello'!$B$5,0))*(1+MAX(-0.25,MIN(0.25,IF(OR($T426="",$I426="",$I426=0,INDEX('Parametri Modello'!$B$19:$B$22,MATCH($B426,'Parametri Modello'!$A$19:$A$22,0))="",INDEX('Parametri Modello'!$B$19:$B$22,MATCH($B426,'Parametri Modello'!$A$19:$A$22,0))=0),0,(($T426-INDEX('Parametri Modello'!$B$19:$B$22,MATCH($B426,'Parametri Modello'!$A$19:$A$22,0)))/INDEX('Parametri Modello'!$B$19:$B$22,MATCH($B426,'Parametri Modello'!$A$19:$A$22,0)))*'Parametri Modello'!$B$9))))*(1+IF('Parametri Modello'!$B$27="Si",MAX(-'Parametri Modello'!$B$28,MIN('Parametri Modello'!$B$28*1.5,IF(OR(INDEX('Parametri Modello'!$F$32:$F$35,MATCH($B426,'Parametri Modello'!$A$32:$A$35,0))="",INDEX('Parametri Modello'!$F$32:$F$35,MATCH($B426,'Parametri Modello'!$A$32:$A$35,0))=0),0,(1/INDEX('Parametri Modello'!$F$32:$F$35,MATCH($B426,'Parametri Modello'!$A$32:$A$35,0))-1)*'Parametri Modello'!$B$28))),0)))*(1+INDEX('Parametri Modello'!$B$12:$B$15,MATCH($B426,'Parametri Modello'!$A$12:$A$15,0))),0),"")</f>
        <v>0</v>
      </c>
      <c r="I426" s="23">
        <f>IFERROR(INDEX('Input Statistiche 2025_26'!$F$3:$F$665,MATCH($A426,'Input Statistiche 2025_26'!$A$3:$A$665,0)),"")</f>
        <v>24</v>
      </c>
      <c r="J426" s="23">
        <f t="shared" si="54"/>
        <v>14</v>
      </c>
      <c r="K426" s="23">
        <f>IFERROR(INDEX('Input Statistiche 2025_26'!$I$3:$I$665,MATCH($A426,'Input Statistiche 2025_26'!$A$3:$A$665,0)),"")</f>
        <v>2</v>
      </c>
      <c r="L426" s="23">
        <f>IFERROR(INDEX('Input Statistiche 2025_26'!$O$3:$O$665,MATCH($A426,'Input Statistiche 2025_26'!$A$3:$A$665,0)),"")</f>
        <v>1</v>
      </c>
      <c r="M426" s="25"/>
      <c r="N426" s="24">
        <f>IFERROR(INDEX('Input Giocatori 2026_27'!$E$3:$E$493,MATCH($A426,'Input Giocatori 2026_27'!$A$3:$A$493,0)),"")</f>
        <v>2</v>
      </c>
      <c r="O426" s="24">
        <f>IFERROR(INDEX('Input Giocatori 2026_27'!$G$3:$G$493,MATCH($A426,'Input Giocatori 2026_27'!$A$3:$A$493,0)),"")</f>
        <v>3</v>
      </c>
      <c r="P426" s="23" t="str">
        <f>IFERROR(IF($O426="","",IF((1-(COUNTIFS($B$2:$B$492,$B426,$O$2:$O$492,"&gt;"&amp;$O426)+1-1)/COUNTIF($B$2:$B$492,$B426))&gt;='Parametri Modello'!$B$63,"Top",IF((1-(COUNTIFS($B$2:$B$492,$B426,$O$2:$O$492,"&gt;"&amp;$O426)+1-1)/COUNTIF($B$2:$B$492,$B426))&gt;='Parametri Modello'!$B$64,"Buono",IF((1-(COUNTIFS($B$2:$B$492,$B426,$O$2:$O$492,"&gt;"&amp;$O426)+1-1)/COUNTIF($B$2:$B$492,$B426))&gt;='Parametri Modello'!$B$65,"Nella Media","Scommessa/Riserva")))),"")</f>
        <v>Scommessa/Riserva</v>
      </c>
      <c r="Q426" s="26">
        <f>IF(AND($D426="",$N426&gt;1),SUMPRODUCT(($D$2:$D426="")*($N$2:$N426&gt;1)),"")</f>
        <v>403</v>
      </c>
      <c r="R426" s="26" t="str">
        <f>IF($D426='Info Lega'!$B$28,COUNTIFS($D$2:$D426,'Info Lega'!$B$28),"")</f>
        <v/>
      </c>
      <c r="S426" s="27">
        <f>IFERROR(INDEX('Input Statistiche 2025_26'!$G$3:$G$665,MATCH($A426,'Input Statistiche 2025_26'!$A$3:$A$665,0)),"")</f>
        <v>5.92</v>
      </c>
      <c r="T426" s="27">
        <f>IFERROR(INDEX('Input Statistiche 2025_26'!$H$3:$H$665,MATCH($A426,'Input Statistiche 2025_26'!$A$3:$A$665,0)),"")</f>
        <v>6.15</v>
      </c>
      <c r="U426" s="23" t="str">
        <f>IF(OR('La Mia Rosa'!$O$12="",$D426&lt;&gt;""),"",IF($F426&lt;='La Mia Rosa'!$O$12*'Parametri Modello'!$B$24,"OK",IF($F426&lt;='La Mia Rosa'!$O$12*'Parametri Modello'!$B$25,"Attenzione","Rischio Alto")))</f>
        <v>OK</v>
      </c>
      <c r="V426" s="23">
        <f t="shared" si="55"/>
        <v>160</v>
      </c>
      <c r="W426" s="18">
        <f>'Info Lega'!$B$4-SUMIFS($M$2:$M$492,$D$2:$D$492,'Info Lega'!$B$28)</f>
        <v>1000</v>
      </c>
      <c r="X426" s="18">
        <f>('Info Lega'!$B$5-COUNTIFS($D$2:$D$492,'Info Lega'!$B$28,$B$2:$B$492,"P"))+('Info Lega'!$B$6-COUNTIFS($D$2:$D$492,'Info Lega'!$B$28,$B$2:$B$492,"D"))+('Info Lega'!$B$7-COUNTIFS($D$2:$D$492,'Info Lega'!$B$28,$B$2:$B$492,"C"))+('Info Lega'!$B$8-COUNTIFS($D$2:$D$492,'Info Lega'!$B$28,$B$2:$B$492,"A"))</f>
        <v>25</v>
      </c>
      <c r="Y426" s="18">
        <f>X426*'Parametri Modello'!$B$30</f>
        <v>25</v>
      </c>
      <c r="Z426" s="18">
        <f t="shared" si="56"/>
        <v>975</v>
      </c>
      <c r="AA426" s="18">
        <f t="shared" si="57"/>
        <v>0</v>
      </c>
      <c r="AB426" s="18"/>
      <c r="AC426" s="18" t="str">
        <f>IF($AB426="","",IF($AB426&gt;$AA426,"PASS",IF($AB426&lt;=$AA426*(1-'Parametri Modello'!$B$68),"BID","ATTENZIONE")))</f>
        <v/>
      </c>
      <c r="AD426" s="28">
        <f t="shared" si="58"/>
        <v>55</v>
      </c>
      <c r="AE426" s="5" t="str">
        <f>IFERROR(INDEX('Stato Asta'!$G$9:$G$12,MATCH($B426,'Stato Asta'!$A$9:$A$12,0)),"")</f>
        <v>🔴 Non aspettare</v>
      </c>
      <c r="AF426" t="str">
        <f>IFERROR(IF($V426&lt;=INDEX('Parametri Modello'!$C$57:$C$60,MATCH($B426,'Parametri Modello'!$A$57:$A$60,0)),"Titolare","Riserva"),"")</f>
        <v>Riserva</v>
      </c>
      <c r="AG426" t="str">
        <f>IFERROR(INDEX('Pressione Competitiva'!$F$3:$F$6,MATCH($B426,'Pressione Competitiva'!$B$3:$B$6,0)),"")</f>
        <v>🔴 Molto Alta</v>
      </c>
      <c r="AH426" t="str">
        <f t="shared" si="59"/>
        <v/>
      </c>
      <c r="AI426" t="str">
        <f>IFERROR(IF($AH426="","",IF($AH426&gt;=$AA426*'Parametri Modello'!$B$68,"🟢 Opportunita'",IF($AH426&lt;=$AA426*'Parametri Modello'!$B$69,"🔴 Sovrapprezzo","🟡 Prezzo Corretto"))),"")</f>
        <v/>
      </c>
      <c r="AJ426" t="str">
        <f t="shared" si="60"/>
        <v/>
      </c>
      <c r="AK426">
        <f t="shared" si="61"/>
        <v>51</v>
      </c>
      <c r="AL426" t="str">
        <f t="shared" si="62"/>
        <v>C|Scommessa/Riserva|51</v>
      </c>
    </row>
    <row r="427" spans="1:38" ht="14.25" customHeight="1" x14ac:dyDescent="0.25">
      <c r="A427" s="18">
        <v>7456</v>
      </c>
      <c r="B427" s="18" t="s">
        <v>17</v>
      </c>
      <c r="C427" s="18" t="s">
        <v>566</v>
      </c>
      <c r="E427" s="23" t="str">
        <f>IF(COUNTIF('Info Strategia'!$D$2:$D$51,$C427)&gt;0,"SI","NO")</f>
        <v>NO</v>
      </c>
      <c r="F427" s="24">
        <f>IFERROR(ROUND(($G427+($H427-$G427)*'Info Strategia'!$B$6)*(1+IF($E427="SI",'Parametri Modello'!$B$7*'Info Strategia'!$B$6,0)),0),"")</f>
        <v>0</v>
      </c>
      <c r="G427" s="24">
        <f>IFERROR(ROUND(MAX(1,(IF($V427&lt;=INDEX('Parametri Modello'!$C$57:$C$60,MATCH($B427,'Parametri Modello'!$A$57:$A$60,0)),IF(INDEX('Parametri Modello'!$E$57:$E$60,MATCH($B427,'Parametri Modello'!$A$57:$A$60,0))=0,0,($O427/INDEX('Parametri Modello'!$E$57:$E$60,MATCH($B427,'Parametri Modello'!$A$57:$A$60,0)))*(INDEX('Parametri Modello'!$D$57:$D$60,MATCH($B427,'Parametri Modello'!$A$57:$A$60,0))*(INDEX('Parametri Modello'!$B$50:$B$53,MATCH($B427,'Parametri Modello'!$A$50:$A$53,0))*'Parametri Modello'!$B$44))),IF(INDEX('Parametri Modello'!$F$57:$F$60,MATCH($B427,'Parametri Modello'!$A$57:$A$60,0))=0,0,($O427/INDEX('Parametri Modello'!$F$57:$F$60,MATCH($B427,'Parametri Modello'!$A$57:$A$60,0)))*((1-INDEX('Parametri Modello'!$D$57:$D$60,MATCH($B427,'Parametri Modello'!$A$57:$A$60,0)))*(INDEX('Parametri Modello'!$B$50:$B$53,MATCH($B427,'Parametri Modello'!$A$50:$A$53,0))*'Parametri Modello'!$B$44))))*(1+IF(IF($B427="D",'Info Lega'!$B$25,IF($B427="C",'Info Lega'!$B$26,"No"))="Si",'Parametri Modello'!$B$5,0))*(1+MAX(-0.25,MIN(0.25,IF(OR($T427="",$I427="",$I427=0,INDEX('Parametri Modello'!$B$19:$B$22,MATCH($B427,'Parametri Modello'!$A$19:$A$22,0))="",INDEX('Parametri Modello'!$B$19:$B$22,MATCH($B427,'Parametri Modello'!$A$19:$A$22,0))=0),0,(($T427-INDEX('Parametri Modello'!$B$19:$B$22,MATCH($B427,'Parametri Modello'!$A$19:$A$22,0)))/INDEX('Parametri Modello'!$B$19:$B$22,MATCH($B427,'Parametri Modello'!$A$19:$A$22,0)))*'Parametri Modello'!$B$9))))*(1+IF('Parametri Modello'!$B$27="Si",MAX(-'Parametri Modello'!$B$28,MIN('Parametri Modello'!$B$28*1.5,IF(OR(INDEX('Parametri Modello'!$F$32:$F$35,MATCH($B427,'Parametri Modello'!$A$32:$A$35,0))="",INDEX('Parametri Modello'!$F$32:$F$35,MATCH($B427,'Parametri Modello'!$A$32:$A$35,0))=0),0,(1/INDEX('Parametri Modello'!$F$32:$F$35,MATCH($B427,'Parametri Modello'!$A$32:$A$35,0))-1)*'Parametri Modello'!$B$28))),0)))*(1-INDEX('Parametri Modello'!$B$12:$B$15,MATCH($B427,'Parametri Modello'!$A$12:$A$15,0)))),0),"")</f>
        <v>1</v>
      </c>
      <c r="H427" s="24">
        <f>IFERROR(ROUND((IF($V427&lt;=INDEX('Parametri Modello'!$C$57:$C$60,MATCH($B427,'Parametri Modello'!$A$57:$A$60,0)),IF(INDEX('Parametri Modello'!$E$57:$E$60,MATCH($B427,'Parametri Modello'!$A$57:$A$60,0))=0,0,($O427/INDEX('Parametri Modello'!$E$57:$E$60,MATCH($B427,'Parametri Modello'!$A$57:$A$60,0)))*(INDEX('Parametri Modello'!$D$57:$D$60,MATCH($B427,'Parametri Modello'!$A$57:$A$60,0))*(INDEX('Parametri Modello'!$B$50:$B$53,MATCH($B427,'Parametri Modello'!$A$50:$A$53,0))*'Parametri Modello'!$B$44))),IF(INDEX('Parametri Modello'!$F$57:$F$60,MATCH($B427,'Parametri Modello'!$A$57:$A$60,0))=0,0,($O427/INDEX('Parametri Modello'!$F$57:$F$60,MATCH($B427,'Parametri Modello'!$A$57:$A$60,0)))*((1-INDEX('Parametri Modello'!$D$57:$D$60,MATCH($B427,'Parametri Modello'!$A$57:$A$60,0)))*(INDEX('Parametri Modello'!$B$50:$B$53,MATCH($B427,'Parametri Modello'!$A$50:$A$53,0))*'Parametri Modello'!$B$44))))*(1+IF(IF($B427="D",'Info Lega'!$B$25,IF($B427="C",'Info Lega'!$B$26,"No"))="Si",'Parametri Modello'!$B$5,0))*(1+MAX(-0.25,MIN(0.25,IF(OR($T427="",$I427="",$I427=0,INDEX('Parametri Modello'!$B$19:$B$22,MATCH($B427,'Parametri Modello'!$A$19:$A$22,0))="",INDEX('Parametri Modello'!$B$19:$B$22,MATCH($B427,'Parametri Modello'!$A$19:$A$22,0))=0),0,(($T427-INDEX('Parametri Modello'!$B$19:$B$22,MATCH($B427,'Parametri Modello'!$A$19:$A$22,0)))/INDEX('Parametri Modello'!$B$19:$B$22,MATCH($B427,'Parametri Modello'!$A$19:$A$22,0)))*'Parametri Modello'!$B$9))))*(1+IF('Parametri Modello'!$B$27="Si",MAX(-'Parametri Modello'!$B$28,MIN('Parametri Modello'!$B$28*1.5,IF(OR(INDEX('Parametri Modello'!$F$32:$F$35,MATCH($B427,'Parametri Modello'!$A$32:$A$35,0))="",INDEX('Parametri Modello'!$F$32:$F$35,MATCH($B427,'Parametri Modello'!$A$32:$A$35,0))=0),0,(1/INDEX('Parametri Modello'!$F$32:$F$35,MATCH($B427,'Parametri Modello'!$A$32:$A$35,0))-1)*'Parametri Modello'!$B$28))),0)))*(1+INDEX('Parametri Modello'!$B$12:$B$15,MATCH($B427,'Parametri Modello'!$A$12:$A$15,0))),0),"")</f>
        <v>0</v>
      </c>
      <c r="I427" s="23" t="str">
        <f>IFERROR(INDEX('Input Statistiche 2025_26'!$F$3:$F$665,MATCH($A427,'Input Statistiche 2025_26'!$A$3:$A$665,0)),"")</f>
        <v/>
      </c>
      <c r="J427" s="23" t="str">
        <f t="shared" si="54"/>
        <v/>
      </c>
      <c r="K427" s="23" t="str">
        <f>IFERROR(INDEX('Input Statistiche 2025_26'!$I$3:$I$665,MATCH($A427,'Input Statistiche 2025_26'!$A$3:$A$665,0)),"")</f>
        <v/>
      </c>
      <c r="L427" s="23" t="str">
        <f>IFERROR(INDEX('Input Statistiche 2025_26'!$O$3:$O$665,MATCH($A427,'Input Statistiche 2025_26'!$A$3:$A$665,0)),"")</f>
        <v/>
      </c>
      <c r="M427" s="25"/>
      <c r="N427" s="24">
        <f>IFERROR(INDEX('Input Giocatori 2026_27'!$E$3:$E$493,MATCH($A427,'Input Giocatori 2026_27'!$A$3:$A$493,0)),"")</f>
        <v>1</v>
      </c>
      <c r="O427" s="24">
        <f>IFERROR(INDEX('Input Giocatori 2026_27'!$G$3:$G$493,MATCH($A427,'Input Giocatori 2026_27'!$A$3:$A$493,0)),"")</f>
        <v>3</v>
      </c>
      <c r="P427" s="23" t="str">
        <f>IFERROR(IF($O427="","",IF((1-(COUNTIFS($B$2:$B$492,$B427,$O$2:$O$492,"&gt;"&amp;$O427)+1-1)/COUNTIF($B$2:$B$492,$B427))&gt;='Parametri Modello'!$B$63,"Top",IF((1-(COUNTIFS($B$2:$B$492,$B427,$O$2:$O$492,"&gt;"&amp;$O427)+1-1)/COUNTIF($B$2:$B$492,$B427))&gt;='Parametri Modello'!$B$64,"Buono",IF((1-(COUNTIFS($B$2:$B$492,$B427,$O$2:$O$492,"&gt;"&amp;$O427)+1-1)/COUNTIF($B$2:$B$492,$B427))&gt;='Parametri Modello'!$B$65,"Nella Media","Scommessa/Riserva")))),"")</f>
        <v>Scommessa/Riserva</v>
      </c>
      <c r="Q427" s="26" t="str">
        <f>IF(AND($D427="",$N427&gt;1),SUMPRODUCT(($D$2:$D427="")*($N$2:$N427&gt;1)),"")</f>
        <v/>
      </c>
      <c r="R427" s="26" t="str">
        <f>IF($D427='Info Lega'!$B$28,COUNTIFS($D$2:$D427,'Info Lega'!$B$28),"")</f>
        <v/>
      </c>
      <c r="S427" s="27" t="str">
        <f>IFERROR(INDEX('Input Statistiche 2025_26'!$G$3:$G$665,MATCH($A427,'Input Statistiche 2025_26'!$A$3:$A$665,0)),"")</f>
        <v/>
      </c>
      <c r="T427" s="27" t="str">
        <f>IFERROR(INDEX('Input Statistiche 2025_26'!$H$3:$H$665,MATCH($A427,'Input Statistiche 2025_26'!$A$3:$A$665,0)),"")</f>
        <v/>
      </c>
      <c r="U427" s="23" t="str">
        <f>IF(OR('La Mia Rosa'!$O$12="",$D427&lt;&gt;""),"",IF($F427&lt;='La Mia Rosa'!$O$12*'Parametri Modello'!$B$24,"OK",IF($F427&lt;='La Mia Rosa'!$O$12*'Parametri Modello'!$B$25,"Attenzione","Rischio Alto")))</f>
        <v>OK</v>
      </c>
      <c r="V427" s="23">
        <f t="shared" si="55"/>
        <v>160</v>
      </c>
      <c r="W427" s="18">
        <f>'Info Lega'!$B$4-SUMIFS($M$2:$M$492,$D$2:$D$492,'Info Lega'!$B$28)</f>
        <v>1000</v>
      </c>
      <c r="X427" s="18">
        <f>('Info Lega'!$B$5-COUNTIFS($D$2:$D$492,'Info Lega'!$B$28,$B$2:$B$492,"P"))+('Info Lega'!$B$6-COUNTIFS($D$2:$D$492,'Info Lega'!$B$28,$B$2:$B$492,"D"))+('Info Lega'!$B$7-COUNTIFS($D$2:$D$492,'Info Lega'!$B$28,$B$2:$B$492,"C"))+('Info Lega'!$B$8-COUNTIFS($D$2:$D$492,'Info Lega'!$B$28,$B$2:$B$492,"A"))</f>
        <v>25</v>
      </c>
      <c r="Y427" s="18">
        <f>X427*'Parametri Modello'!$B$30</f>
        <v>25</v>
      </c>
      <c r="Z427" s="18">
        <f t="shared" si="56"/>
        <v>975</v>
      </c>
      <c r="AA427" s="18">
        <f t="shared" si="57"/>
        <v>0</v>
      </c>
      <c r="AB427" s="18"/>
      <c r="AC427" s="18" t="str">
        <f>IF($AB427="","",IF($AB427&gt;$AA427,"PASS",IF($AB427&lt;=$AA427*(1-'Parametri Modello'!$B$68),"BID","ATTENZIONE")))</f>
        <v/>
      </c>
      <c r="AD427" s="28" t="str">
        <f t="shared" si="58"/>
        <v/>
      </c>
      <c r="AE427" s="5" t="str">
        <f>IFERROR(INDEX('Stato Asta'!$G$9:$G$12,MATCH($B427,'Stato Asta'!$A$9:$A$12,0)),"")</f>
        <v>🔴 Non aspettare</v>
      </c>
      <c r="AF427" t="str">
        <f>IFERROR(IF($V427&lt;=INDEX('Parametri Modello'!$C$57:$C$60,MATCH($B427,'Parametri Modello'!$A$57:$A$60,0)),"Titolare","Riserva"),"")</f>
        <v>Riserva</v>
      </c>
      <c r="AG427" t="str">
        <f>IFERROR(INDEX('Pressione Competitiva'!$F$3:$F$6,MATCH($B427,'Pressione Competitiva'!$B$3:$B$6,0)),"")</f>
        <v>🔴 Molto Alta</v>
      </c>
      <c r="AH427" t="str">
        <f t="shared" si="59"/>
        <v/>
      </c>
      <c r="AI427" t="str">
        <f>IFERROR(IF($AH427="","",IF($AH427&gt;=$AA427*'Parametri Modello'!$B$68,"🟢 Opportunita'",IF($AH427&lt;=$AA427*'Parametri Modello'!$B$69,"🔴 Sovrapprezzo","🟡 Prezzo Corretto"))),"")</f>
        <v/>
      </c>
      <c r="AJ427" t="str">
        <f t="shared" si="60"/>
        <v/>
      </c>
      <c r="AK427" t="str">
        <f t="shared" si="61"/>
        <v/>
      </c>
      <c r="AL427" t="str">
        <f t="shared" si="62"/>
        <v/>
      </c>
    </row>
    <row r="428" spans="1:38" ht="14.25" customHeight="1" x14ac:dyDescent="0.25">
      <c r="A428" s="18">
        <v>5725</v>
      </c>
      <c r="B428" s="18" t="s">
        <v>17</v>
      </c>
      <c r="C428" s="18" t="s">
        <v>567</v>
      </c>
      <c r="E428" s="23" t="str">
        <f>IF(COUNTIF('Info Strategia'!$D$2:$D$51,$C428)&gt;0,"SI","NO")</f>
        <v>NO</v>
      </c>
      <c r="F428" s="24">
        <f>IFERROR(ROUND(($G428+($H428-$G428)*'Info Strategia'!$B$6)*(1+IF($E428="SI",'Parametri Modello'!$B$7*'Info Strategia'!$B$6,0)),0),"")</f>
        <v>0</v>
      </c>
      <c r="G428" s="24">
        <f>IFERROR(ROUND(MAX(1,(IF($V428&lt;=INDEX('Parametri Modello'!$C$57:$C$60,MATCH($B428,'Parametri Modello'!$A$57:$A$60,0)),IF(INDEX('Parametri Modello'!$E$57:$E$60,MATCH($B428,'Parametri Modello'!$A$57:$A$60,0))=0,0,($O428/INDEX('Parametri Modello'!$E$57:$E$60,MATCH($B428,'Parametri Modello'!$A$57:$A$60,0)))*(INDEX('Parametri Modello'!$D$57:$D$60,MATCH($B428,'Parametri Modello'!$A$57:$A$60,0))*(INDEX('Parametri Modello'!$B$50:$B$53,MATCH($B428,'Parametri Modello'!$A$50:$A$53,0))*'Parametri Modello'!$B$44))),IF(INDEX('Parametri Modello'!$F$57:$F$60,MATCH($B428,'Parametri Modello'!$A$57:$A$60,0))=0,0,($O428/INDEX('Parametri Modello'!$F$57:$F$60,MATCH($B428,'Parametri Modello'!$A$57:$A$60,0)))*((1-INDEX('Parametri Modello'!$D$57:$D$60,MATCH($B428,'Parametri Modello'!$A$57:$A$60,0)))*(INDEX('Parametri Modello'!$B$50:$B$53,MATCH($B428,'Parametri Modello'!$A$50:$A$53,0))*'Parametri Modello'!$B$44))))*(1+IF(IF($B428="D",'Info Lega'!$B$25,IF($B428="C",'Info Lega'!$B$26,"No"))="Si",'Parametri Modello'!$B$5,0))*(1+MAX(-0.25,MIN(0.25,IF(OR($T428="",$I428="",$I428=0,INDEX('Parametri Modello'!$B$19:$B$22,MATCH($B428,'Parametri Modello'!$A$19:$A$22,0))="",INDEX('Parametri Modello'!$B$19:$B$22,MATCH($B428,'Parametri Modello'!$A$19:$A$22,0))=0),0,(($T428-INDEX('Parametri Modello'!$B$19:$B$22,MATCH($B428,'Parametri Modello'!$A$19:$A$22,0)))/INDEX('Parametri Modello'!$B$19:$B$22,MATCH($B428,'Parametri Modello'!$A$19:$A$22,0)))*'Parametri Modello'!$B$9))))*(1+IF('Parametri Modello'!$B$27="Si",MAX(-'Parametri Modello'!$B$28,MIN('Parametri Modello'!$B$28*1.5,IF(OR(INDEX('Parametri Modello'!$F$32:$F$35,MATCH($B428,'Parametri Modello'!$A$32:$A$35,0))="",INDEX('Parametri Modello'!$F$32:$F$35,MATCH($B428,'Parametri Modello'!$A$32:$A$35,0))=0),0,(1/INDEX('Parametri Modello'!$F$32:$F$35,MATCH($B428,'Parametri Modello'!$A$32:$A$35,0))-1)*'Parametri Modello'!$B$28))),0)))*(1-INDEX('Parametri Modello'!$B$12:$B$15,MATCH($B428,'Parametri Modello'!$A$12:$A$15,0)))),0),"")</f>
        <v>1</v>
      </c>
      <c r="H428" s="24">
        <f>IFERROR(ROUND((IF($V428&lt;=INDEX('Parametri Modello'!$C$57:$C$60,MATCH($B428,'Parametri Modello'!$A$57:$A$60,0)),IF(INDEX('Parametri Modello'!$E$57:$E$60,MATCH($B428,'Parametri Modello'!$A$57:$A$60,0))=0,0,($O428/INDEX('Parametri Modello'!$E$57:$E$60,MATCH($B428,'Parametri Modello'!$A$57:$A$60,0)))*(INDEX('Parametri Modello'!$D$57:$D$60,MATCH($B428,'Parametri Modello'!$A$57:$A$60,0))*(INDEX('Parametri Modello'!$B$50:$B$53,MATCH($B428,'Parametri Modello'!$A$50:$A$53,0))*'Parametri Modello'!$B$44))),IF(INDEX('Parametri Modello'!$F$57:$F$60,MATCH($B428,'Parametri Modello'!$A$57:$A$60,0))=0,0,($O428/INDEX('Parametri Modello'!$F$57:$F$60,MATCH($B428,'Parametri Modello'!$A$57:$A$60,0)))*((1-INDEX('Parametri Modello'!$D$57:$D$60,MATCH($B428,'Parametri Modello'!$A$57:$A$60,0)))*(INDEX('Parametri Modello'!$B$50:$B$53,MATCH($B428,'Parametri Modello'!$A$50:$A$53,0))*'Parametri Modello'!$B$44))))*(1+IF(IF($B428="D",'Info Lega'!$B$25,IF($B428="C",'Info Lega'!$B$26,"No"))="Si",'Parametri Modello'!$B$5,0))*(1+MAX(-0.25,MIN(0.25,IF(OR($T428="",$I428="",$I428=0,INDEX('Parametri Modello'!$B$19:$B$22,MATCH($B428,'Parametri Modello'!$A$19:$A$22,0))="",INDEX('Parametri Modello'!$B$19:$B$22,MATCH($B428,'Parametri Modello'!$A$19:$A$22,0))=0),0,(($T428-INDEX('Parametri Modello'!$B$19:$B$22,MATCH($B428,'Parametri Modello'!$A$19:$A$22,0)))/INDEX('Parametri Modello'!$B$19:$B$22,MATCH($B428,'Parametri Modello'!$A$19:$A$22,0)))*'Parametri Modello'!$B$9))))*(1+IF('Parametri Modello'!$B$27="Si",MAX(-'Parametri Modello'!$B$28,MIN('Parametri Modello'!$B$28*1.5,IF(OR(INDEX('Parametri Modello'!$F$32:$F$35,MATCH($B428,'Parametri Modello'!$A$32:$A$35,0))="",INDEX('Parametri Modello'!$F$32:$F$35,MATCH($B428,'Parametri Modello'!$A$32:$A$35,0))=0),0,(1/INDEX('Parametri Modello'!$F$32:$F$35,MATCH($B428,'Parametri Modello'!$A$32:$A$35,0))-1)*'Parametri Modello'!$B$28))),0)))*(1+INDEX('Parametri Modello'!$B$12:$B$15,MATCH($B428,'Parametri Modello'!$A$12:$A$15,0))),0),"")</f>
        <v>0</v>
      </c>
      <c r="I428" s="23" t="str">
        <f>IFERROR(INDEX('Input Statistiche 2025_26'!$F$3:$F$665,MATCH($A428,'Input Statistiche 2025_26'!$A$3:$A$665,0)),"")</f>
        <v/>
      </c>
      <c r="J428" s="23" t="str">
        <f t="shared" si="54"/>
        <v/>
      </c>
      <c r="K428" s="23" t="str">
        <f>IFERROR(INDEX('Input Statistiche 2025_26'!$I$3:$I$665,MATCH($A428,'Input Statistiche 2025_26'!$A$3:$A$665,0)),"")</f>
        <v/>
      </c>
      <c r="L428" s="23" t="str">
        <f>IFERROR(INDEX('Input Statistiche 2025_26'!$O$3:$O$665,MATCH($A428,'Input Statistiche 2025_26'!$A$3:$A$665,0)),"")</f>
        <v/>
      </c>
      <c r="M428" s="25"/>
      <c r="N428" s="24">
        <f>IFERROR(INDEX('Input Giocatori 2026_27'!$E$3:$E$493,MATCH($A428,'Input Giocatori 2026_27'!$A$3:$A$493,0)),"")</f>
        <v>1</v>
      </c>
      <c r="O428" s="24">
        <f>IFERROR(INDEX('Input Giocatori 2026_27'!$G$3:$G$493,MATCH($A428,'Input Giocatori 2026_27'!$A$3:$A$493,0)),"")</f>
        <v>3</v>
      </c>
      <c r="P428" s="23" t="str">
        <f>IFERROR(IF($O428="","",IF((1-(COUNTIFS($B$2:$B$492,$B428,$O$2:$O$492,"&gt;"&amp;$O428)+1-1)/COUNTIF($B$2:$B$492,$B428))&gt;='Parametri Modello'!$B$63,"Top",IF((1-(COUNTIFS($B$2:$B$492,$B428,$O$2:$O$492,"&gt;"&amp;$O428)+1-1)/COUNTIF($B$2:$B$492,$B428))&gt;='Parametri Modello'!$B$64,"Buono",IF((1-(COUNTIFS($B$2:$B$492,$B428,$O$2:$O$492,"&gt;"&amp;$O428)+1-1)/COUNTIF($B$2:$B$492,$B428))&gt;='Parametri Modello'!$B$65,"Nella Media","Scommessa/Riserva")))),"")</f>
        <v>Scommessa/Riserva</v>
      </c>
      <c r="Q428" s="26" t="str">
        <f>IF(AND($D428="",$N428&gt;1),SUMPRODUCT(($D$2:$D428="")*($N$2:$N428&gt;1)),"")</f>
        <v/>
      </c>
      <c r="R428" s="26" t="str">
        <f>IF($D428='Info Lega'!$B$28,COUNTIFS($D$2:$D428,'Info Lega'!$B$28),"")</f>
        <v/>
      </c>
      <c r="S428" s="27" t="str">
        <f>IFERROR(INDEX('Input Statistiche 2025_26'!$G$3:$G$665,MATCH($A428,'Input Statistiche 2025_26'!$A$3:$A$665,0)),"")</f>
        <v/>
      </c>
      <c r="T428" s="27" t="str">
        <f>IFERROR(INDEX('Input Statistiche 2025_26'!$H$3:$H$665,MATCH($A428,'Input Statistiche 2025_26'!$A$3:$A$665,0)),"")</f>
        <v/>
      </c>
      <c r="U428" s="23" t="str">
        <f>IF(OR('La Mia Rosa'!$O$12="",$D428&lt;&gt;""),"",IF($F428&lt;='La Mia Rosa'!$O$12*'Parametri Modello'!$B$24,"OK",IF($F428&lt;='La Mia Rosa'!$O$12*'Parametri Modello'!$B$25,"Attenzione","Rischio Alto")))</f>
        <v>OK</v>
      </c>
      <c r="V428" s="23">
        <f t="shared" si="55"/>
        <v>160</v>
      </c>
      <c r="W428" s="18">
        <f>'Info Lega'!$B$4-SUMIFS($M$2:$M$492,$D$2:$D$492,'Info Lega'!$B$28)</f>
        <v>1000</v>
      </c>
      <c r="X428" s="18">
        <f>('Info Lega'!$B$5-COUNTIFS($D$2:$D$492,'Info Lega'!$B$28,$B$2:$B$492,"P"))+('Info Lega'!$B$6-COUNTIFS($D$2:$D$492,'Info Lega'!$B$28,$B$2:$B$492,"D"))+('Info Lega'!$B$7-COUNTIFS($D$2:$D$492,'Info Lega'!$B$28,$B$2:$B$492,"C"))+('Info Lega'!$B$8-COUNTIFS($D$2:$D$492,'Info Lega'!$B$28,$B$2:$B$492,"A"))</f>
        <v>25</v>
      </c>
      <c r="Y428" s="18">
        <f>X428*'Parametri Modello'!$B$30</f>
        <v>25</v>
      </c>
      <c r="Z428" s="18">
        <f t="shared" si="56"/>
        <v>975</v>
      </c>
      <c r="AA428" s="18">
        <f t="shared" si="57"/>
        <v>0</v>
      </c>
      <c r="AB428" s="18"/>
      <c r="AC428" s="18" t="str">
        <f>IF($AB428="","",IF($AB428&gt;$AA428,"PASS",IF($AB428&lt;=$AA428*(1-'Parametri Modello'!$B$68),"BID","ATTENZIONE")))</f>
        <v/>
      </c>
      <c r="AD428" s="28" t="str">
        <f t="shared" si="58"/>
        <v/>
      </c>
      <c r="AE428" s="5" t="str">
        <f>IFERROR(INDEX('Stato Asta'!$G$9:$G$12,MATCH($B428,'Stato Asta'!$A$9:$A$12,0)),"")</f>
        <v>🔴 Non aspettare</v>
      </c>
      <c r="AF428" t="str">
        <f>IFERROR(IF($V428&lt;=INDEX('Parametri Modello'!$C$57:$C$60,MATCH($B428,'Parametri Modello'!$A$57:$A$60,0)),"Titolare","Riserva"),"")</f>
        <v>Riserva</v>
      </c>
      <c r="AG428" t="str">
        <f>IFERROR(INDEX('Pressione Competitiva'!$F$3:$F$6,MATCH($B428,'Pressione Competitiva'!$B$3:$B$6,0)),"")</f>
        <v>🔴 Molto Alta</v>
      </c>
      <c r="AH428" t="str">
        <f t="shared" si="59"/>
        <v/>
      </c>
      <c r="AI428" t="str">
        <f>IFERROR(IF($AH428="","",IF($AH428&gt;=$AA428*'Parametri Modello'!$B$68,"🟢 Opportunita'",IF($AH428&lt;=$AA428*'Parametri Modello'!$B$69,"🔴 Sovrapprezzo","🟡 Prezzo Corretto"))),"")</f>
        <v/>
      </c>
      <c r="AJ428" t="str">
        <f t="shared" si="60"/>
        <v/>
      </c>
      <c r="AK428" t="str">
        <f t="shared" si="61"/>
        <v/>
      </c>
      <c r="AL428" t="str">
        <f t="shared" si="62"/>
        <v/>
      </c>
    </row>
    <row r="429" spans="1:38" ht="14.25" customHeight="1" x14ac:dyDescent="0.25">
      <c r="A429" s="18">
        <v>7248</v>
      </c>
      <c r="B429" s="18" t="s">
        <v>17</v>
      </c>
      <c r="C429" s="18" t="s">
        <v>568</v>
      </c>
      <c r="E429" s="23" t="str">
        <f>IF(COUNTIF('Info Strategia'!$D$2:$D$51,$C429)&gt;0,"SI","NO")</f>
        <v>NO</v>
      </c>
      <c r="F429" s="24">
        <f>IFERROR(ROUND(($G429+($H429-$G429)*'Info Strategia'!$B$6)*(1+IF($E429="SI",'Parametri Modello'!$B$7*'Info Strategia'!$B$6,0)),0),"")</f>
        <v>0</v>
      </c>
      <c r="G429" s="24">
        <f>IFERROR(ROUND(MAX(1,(IF($V429&lt;=INDEX('Parametri Modello'!$C$57:$C$60,MATCH($B429,'Parametri Modello'!$A$57:$A$60,0)),IF(INDEX('Parametri Modello'!$E$57:$E$60,MATCH($B429,'Parametri Modello'!$A$57:$A$60,0))=0,0,($O429/INDEX('Parametri Modello'!$E$57:$E$60,MATCH($B429,'Parametri Modello'!$A$57:$A$60,0)))*(INDEX('Parametri Modello'!$D$57:$D$60,MATCH($B429,'Parametri Modello'!$A$57:$A$60,0))*(INDEX('Parametri Modello'!$B$50:$B$53,MATCH($B429,'Parametri Modello'!$A$50:$A$53,0))*'Parametri Modello'!$B$44))),IF(INDEX('Parametri Modello'!$F$57:$F$60,MATCH($B429,'Parametri Modello'!$A$57:$A$60,0))=0,0,($O429/INDEX('Parametri Modello'!$F$57:$F$60,MATCH($B429,'Parametri Modello'!$A$57:$A$60,0)))*((1-INDEX('Parametri Modello'!$D$57:$D$60,MATCH($B429,'Parametri Modello'!$A$57:$A$60,0)))*(INDEX('Parametri Modello'!$B$50:$B$53,MATCH($B429,'Parametri Modello'!$A$50:$A$53,0))*'Parametri Modello'!$B$44))))*(1+IF(IF($B429="D",'Info Lega'!$B$25,IF($B429="C",'Info Lega'!$B$26,"No"))="Si",'Parametri Modello'!$B$5,0))*(1+MAX(-0.25,MIN(0.25,IF(OR($T429="",$I429="",$I429=0,INDEX('Parametri Modello'!$B$19:$B$22,MATCH($B429,'Parametri Modello'!$A$19:$A$22,0))="",INDEX('Parametri Modello'!$B$19:$B$22,MATCH($B429,'Parametri Modello'!$A$19:$A$22,0))=0),0,(($T429-INDEX('Parametri Modello'!$B$19:$B$22,MATCH($B429,'Parametri Modello'!$A$19:$A$22,0)))/INDEX('Parametri Modello'!$B$19:$B$22,MATCH($B429,'Parametri Modello'!$A$19:$A$22,0)))*'Parametri Modello'!$B$9))))*(1+IF('Parametri Modello'!$B$27="Si",MAX(-'Parametri Modello'!$B$28,MIN('Parametri Modello'!$B$28*1.5,IF(OR(INDEX('Parametri Modello'!$F$32:$F$35,MATCH($B429,'Parametri Modello'!$A$32:$A$35,0))="",INDEX('Parametri Modello'!$F$32:$F$35,MATCH($B429,'Parametri Modello'!$A$32:$A$35,0))=0),0,(1/INDEX('Parametri Modello'!$F$32:$F$35,MATCH($B429,'Parametri Modello'!$A$32:$A$35,0))-1)*'Parametri Modello'!$B$28))),0)))*(1-INDEX('Parametri Modello'!$B$12:$B$15,MATCH($B429,'Parametri Modello'!$A$12:$A$15,0)))),0),"")</f>
        <v>1</v>
      </c>
      <c r="H429" s="24">
        <f>IFERROR(ROUND((IF($V429&lt;=INDEX('Parametri Modello'!$C$57:$C$60,MATCH($B429,'Parametri Modello'!$A$57:$A$60,0)),IF(INDEX('Parametri Modello'!$E$57:$E$60,MATCH($B429,'Parametri Modello'!$A$57:$A$60,0))=0,0,($O429/INDEX('Parametri Modello'!$E$57:$E$60,MATCH($B429,'Parametri Modello'!$A$57:$A$60,0)))*(INDEX('Parametri Modello'!$D$57:$D$60,MATCH($B429,'Parametri Modello'!$A$57:$A$60,0))*(INDEX('Parametri Modello'!$B$50:$B$53,MATCH($B429,'Parametri Modello'!$A$50:$A$53,0))*'Parametri Modello'!$B$44))),IF(INDEX('Parametri Modello'!$F$57:$F$60,MATCH($B429,'Parametri Modello'!$A$57:$A$60,0))=0,0,($O429/INDEX('Parametri Modello'!$F$57:$F$60,MATCH($B429,'Parametri Modello'!$A$57:$A$60,0)))*((1-INDEX('Parametri Modello'!$D$57:$D$60,MATCH($B429,'Parametri Modello'!$A$57:$A$60,0)))*(INDEX('Parametri Modello'!$B$50:$B$53,MATCH($B429,'Parametri Modello'!$A$50:$A$53,0))*'Parametri Modello'!$B$44))))*(1+IF(IF($B429="D",'Info Lega'!$B$25,IF($B429="C",'Info Lega'!$B$26,"No"))="Si",'Parametri Modello'!$B$5,0))*(1+MAX(-0.25,MIN(0.25,IF(OR($T429="",$I429="",$I429=0,INDEX('Parametri Modello'!$B$19:$B$22,MATCH($B429,'Parametri Modello'!$A$19:$A$22,0))="",INDEX('Parametri Modello'!$B$19:$B$22,MATCH($B429,'Parametri Modello'!$A$19:$A$22,0))=0),0,(($T429-INDEX('Parametri Modello'!$B$19:$B$22,MATCH($B429,'Parametri Modello'!$A$19:$A$22,0)))/INDEX('Parametri Modello'!$B$19:$B$22,MATCH($B429,'Parametri Modello'!$A$19:$A$22,0)))*'Parametri Modello'!$B$9))))*(1+IF('Parametri Modello'!$B$27="Si",MAX(-'Parametri Modello'!$B$28,MIN('Parametri Modello'!$B$28*1.5,IF(OR(INDEX('Parametri Modello'!$F$32:$F$35,MATCH($B429,'Parametri Modello'!$A$32:$A$35,0))="",INDEX('Parametri Modello'!$F$32:$F$35,MATCH($B429,'Parametri Modello'!$A$32:$A$35,0))=0),0,(1/INDEX('Parametri Modello'!$F$32:$F$35,MATCH($B429,'Parametri Modello'!$A$32:$A$35,0))-1)*'Parametri Modello'!$B$28))),0)))*(1+INDEX('Parametri Modello'!$B$12:$B$15,MATCH($B429,'Parametri Modello'!$A$12:$A$15,0))),0),"")</f>
        <v>0</v>
      </c>
      <c r="I429" s="23">
        <f>IFERROR(INDEX('Input Statistiche 2025_26'!$F$3:$F$665,MATCH($A429,'Input Statistiche 2025_26'!$A$3:$A$665,0)),"")</f>
        <v>1</v>
      </c>
      <c r="J429" s="23">
        <f t="shared" si="54"/>
        <v>37</v>
      </c>
      <c r="K429" s="23">
        <f>IFERROR(INDEX('Input Statistiche 2025_26'!$I$3:$I$665,MATCH($A429,'Input Statistiche 2025_26'!$A$3:$A$665,0)),"")</f>
        <v>0</v>
      </c>
      <c r="L429" s="23">
        <f>IFERROR(INDEX('Input Statistiche 2025_26'!$O$3:$O$665,MATCH($A429,'Input Statistiche 2025_26'!$A$3:$A$665,0)),"")</f>
        <v>0</v>
      </c>
      <c r="M429" s="25"/>
      <c r="N429" s="24">
        <f>IFERROR(INDEX('Input Giocatori 2026_27'!$E$3:$E$493,MATCH($A429,'Input Giocatori 2026_27'!$A$3:$A$493,0)),"")</f>
        <v>1</v>
      </c>
      <c r="O429" s="24">
        <f>IFERROR(INDEX('Input Giocatori 2026_27'!$G$3:$G$493,MATCH($A429,'Input Giocatori 2026_27'!$A$3:$A$493,0)),"")</f>
        <v>3</v>
      </c>
      <c r="P429" s="23" t="str">
        <f>IFERROR(IF($O429="","",IF((1-(COUNTIFS($B$2:$B$492,$B429,$O$2:$O$492,"&gt;"&amp;$O429)+1-1)/COUNTIF($B$2:$B$492,$B429))&gt;='Parametri Modello'!$B$63,"Top",IF((1-(COUNTIFS($B$2:$B$492,$B429,$O$2:$O$492,"&gt;"&amp;$O429)+1-1)/COUNTIF($B$2:$B$492,$B429))&gt;='Parametri Modello'!$B$64,"Buono",IF((1-(COUNTIFS($B$2:$B$492,$B429,$O$2:$O$492,"&gt;"&amp;$O429)+1-1)/COUNTIF($B$2:$B$492,$B429))&gt;='Parametri Modello'!$B$65,"Nella Media","Scommessa/Riserva")))),"")</f>
        <v>Scommessa/Riserva</v>
      </c>
      <c r="Q429" s="26" t="str">
        <f>IF(AND($D429="",$N429&gt;1),SUMPRODUCT(($D$2:$D429="")*($N$2:$N429&gt;1)),"")</f>
        <v/>
      </c>
      <c r="R429" s="26" t="str">
        <f>IF($D429='Info Lega'!$B$28,COUNTIFS($D$2:$D429,'Info Lega'!$B$28),"")</f>
        <v/>
      </c>
      <c r="S429" s="27">
        <f>IFERROR(INDEX('Input Statistiche 2025_26'!$G$3:$G$665,MATCH($A429,'Input Statistiche 2025_26'!$A$3:$A$665,0)),"")</f>
        <v>5.5</v>
      </c>
      <c r="T429" s="27">
        <f>IFERROR(INDEX('Input Statistiche 2025_26'!$H$3:$H$665,MATCH($A429,'Input Statistiche 2025_26'!$A$3:$A$665,0)),"")</f>
        <v>5.5</v>
      </c>
      <c r="U429" s="23" t="str">
        <f>IF(OR('La Mia Rosa'!$O$12="",$D429&lt;&gt;""),"",IF($F429&lt;='La Mia Rosa'!$O$12*'Parametri Modello'!$B$24,"OK",IF($F429&lt;='La Mia Rosa'!$O$12*'Parametri Modello'!$B$25,"Attenzione","Rischio Alto")))</f>
        <v>OK</v>
      </c>
      <c r="V429" s="23">
        <f t="shared" si="55"/>
        <v>160</v>
      </c>
      <c r="W429" s="18">
        <f>'Info Lega'!$B$4-SUMIFS($M$2:$M$492,$D$2:$D$492,'Info Lega'!$B$28)</f>
        <v>1000</v>
      </c>
      <c r="X429" s="18">
        <f>('Info Lega'!$B$5-COUNTIFS($D$2:$D$492,'Info Lega'!$B$28,$B$2:$B$492,"P"))+('Info Lega'!$B$6-COUNTIFS($D$2:$D$492,'Info Lega'!$B$28,$B$2:$B$492,"D"))+('Info Lega'!$B$7-COUNTIFS($D$2:$D$492,'Info Lega'!$B$28,$B$2:$B$492,"C"))+('Info Lega'!$B$8-COUNTIFS($D$2:$D$492,'Info Lega'!$B$28,$B$2:$B$492,"A"))</f>
        <v>25</v>
      </c>
      <c r="Y429" s="18">
        <f>X429*'Parametri Modello'!$B$30</f>
        <v>25</v>
      </c>
      <c r="Z429" s="18">
        <f t="shared" si="56"/>
        <v>975</v>
      </c>
      <c r="AA429" s="18">
        <f t="shared" si="57"/>
        <v>0</v>
      </c>
      <c r="AB429" s="18"/>
      <c r="AC429" s="18" t="str">
        <f>IF($AB429="","",IF($AB429&gt;$AA429,"PASS",IF($AB429&lt;=$AA429*(1-'Parametri Modello'!$B$68),"BID","ATTENZIONE")))</f>
        <v/>
      </c>
      <c r="AD429" s="28">
        <f t="shared" si="58"/>
        <v>3</v>
      </c>
      <c r="AE429" s="5" t="str">
        <f>IFERROR(INDEX('Stato Asta'!$G$9:$G$12,MATCH($B429,'Stato Asta'!$A$9:$A$12,0)),"")</f>
        <v>🔴 Non aspettare</v>
      </c>
      <c r="AF429" t="str">
        <f>IFERROR(IF($V429&lt;=INDEX('Parametri Modello'!$C$57:$C$60,MATCH($B429,'Parametri Modello'!$A$57:$A$60,0)),"Titolare","Riserva"),"")</f>
        <v>Riserva</v>
      </c>
      <c r="AG429" t="str">
        <f>IFERROR(INDEX('Pressione Competitiva'!$F$3:$F$6,MATCH($B429,'Pressione Competitiva'!$B$3:$B$6,0)),"")</f>
        <v>🔴 Molto Alta</v>
      </c>
      <c r="AH429" t="str">
        <f t="shared" si="59"/>
        <v/>
      </c>
      <c r="AI429" t="str">
        <f>IFERROR(IF($AH429="","",IF($AH429&gt;=$AA429*'Parametri Modello'!$B$68,"🟢 Opportunita'",IF($AH429&lt;=$AA429*'Parametri Modello'!$B$69,"🔴 Sovrapprezzo","🟡 Prezzo Corretto"))),"")</f>
        <v/>
      </c>
      <c r="AJ429" t="str">
        <f t="shared" si="60"/>
        <v/>
      </c>
      <c r="AK429" t="str">
        <f t="shared" si="61"/>
        <v/>
      </c>
      <c r="AL429" t="str">
        <f t="shared" si="62"/>
        <v/>
      </c>
    </row>
    <row r="430" spans="1:38" ht="14.25" customHeight="1" x14ac:dyDescent="0.25">
      <c r="A430" s="18">
        <v>7276</v>
      </c>
      <c r="B430" s="18" t="s">
        <v>17</v>
      </c>
      <c r="C430" s="18" t="s">
        <v>569</v>
      </c>
      <c r="E430" s="23" t="str">
        <f>IF(COUNTIF('Info Strategia'!$D$2:$D$51,$C430)&gt;0,"SI","NO")</f>
        <v>NO</v>
      </c>
      <c r="F430" s="24">
        <f>IFERROR(ROUND(($G430+($H430-$G430)*'Info Strategia'!$B$6)*(1+IF($E430="SI",'Parametri Modello'!$B$7*'Info Strategia'!$B$6,0)),0),"")</f>
        <v>0</v>
      </c>
      <c r="G430" s="24">
        <f>IFERROR(ROUND(MAX(1,(IF($V430&lt;=INDEX('Parametri Modello'!$C$57:$C$60,MATCH($B430,'Parametri Modello'!$A$57:$A$60,0)),IF(INDEX('Parametri Modello'!$E$57:$E$60,MATCH($B430,'Parametri Modello'!$A$57:$A$60,0))=0,0,($O430/INDEX('Parametri Modello'!$E$57:$E$60,MATCH($B430,'Parametri Modello'!$A$57:$A$60,0)))*(INDEX('Parametri Modello'!$D$57:$D$60,MATCH($B430,'Parametri Modello'!$A$57:$A$60,0))*(INDEX('Parametri Modello'!$B$50:$B$53,MATCH($B430,'Parametri Modello'!$A$50:$A$53,0))*'Parametri Modello'!$B$44))),IF(INDEX('Parametri Modello'!$F$57:$F$60,MATCH($B430,'Parametri Modello'!$A$57:$A$60,0))=0,0,($O430/INDEX('Parametri Modello'!$F$57:$F$60,MATCH($B430,'Parametri Modello'!$A$57:$A$60,0)))*((1-INDEX('Parametri Modello'!$D$57:$D$60,MATCH($B430,'Parametri Modello'!$A$57:$A$60,0)))*(INDEX('Parametri Modello'!$B$50:$B$53,MATCH($B430,'Parametri Modello'!$A$50:$A$53,0))*'Parametri Modello'!$B$44))))*(1+IF(IF($B430="D",'Info Lega'!$B$25,IF($B430="C",'Info Lega'!$B$26,"No"))="Si",'Parametri Modello'!$B$5,0))*(1+MAX(-0.25,MIN(0.25,IF(OR($T430="",$I430="",$I430=0,INDEX('Parametri Modello'!$B$19:$B$22,MATCH($B430,'Parametri Modello'!$A$19:$A$22,0))="",INDEX('Parametri Modello'!$B$19:$B$22,MATCH($B430,'Parametri Modello'!$A$19:$A$22,0))=0),0,(($T430-INDEX('Parametri Modello'!$B$19:$B$22,MATCH($B430,'Parametri Modello'!$A$19:$A$22,0)))/INDEX('Parametri Modello'!$B$19:$B$22,MATCH($B430,'Parametri Modello'!$A$19:$A$22,0)))*'Parametri Modello'!$B$9))))*(1+IF('Parametri Modello'!$B$27="Si",MAX(-'Parametri Modello'!$B$28,MIN('Parametri Modello'!$B$28*1.5,IF(OR(INDEX('Parametri Modello'!$F$32:$F$35,MATCH($B430,'Parametri Modello'!$A$32:$A$35,0))="",INDEX('Parametri Modello'!$F$32:$F$35,MATCH($B430,'Parametri Modello'!$A$32:$A$35,0))=0),0,(1/INDEX('Parametri Modello'!$F$32:$F$35,MATCH($B430,'Parametri Modello'!$A$32:$A$35,0))-1)*'Parametri Modello'!$B$28))),0)))*(1-INDEX('Parametri Modello'!$B$12:$B$15,MATCH($B430,'Parametri Modello'!$A$12:$A$15,0)))),0),"")</f>
        <v>1</v>
      </c>
      <c r="H430" s="24">
        <f>IFERROR(ROUND((IF($V430&lt;=INDEX('Parametri Modello'!$C$57:$C$60,MATCH($B430,'Parametri Modello'!$A$57:$A$60,0)),IF(INDEX('Parametri Modello'!$E$57:$E$60,MATCH($B430,'Parametri Modello'!$A$57:$A$60,0))=0,0,($O430/INDEX('Parametri Modello'!$E$57:$E$60,MATCH($B430,'Parametri Modello'!$A$57:$A$60,0)))*(INDEX('Parametri Modello'!$D$57:$D$60,MATCH($B430,'Parametri Modello'!$A$57:$A$60,0))*(INDEX('Parametri Modello'!$B$50:$B$53,MATCH($B430,'Parametri Modello'!$A$50:$A$53,0))*'Parametri Modello'!$B$44))),IF(INDEX('Parametri Modello'!$F$57:$F$60,MATCH($B430,'Parametri Modello'!$A$57:$A$60,0))=0,0,($O430/INDEX('Parametri Modello'!$F$57:$F$60,MATCH($B430,'Parametri Modello'!$A$57:$A$60,0)))*((1-INDEX('Parametri Modello'!$D$57:$D$60,MATCH($B430,'Parametri Modello'!$A$57:$A$60,0)))*(INDEX('Parametri Modello'!$B$50:$B$53,MATCH($B430,'Parametri Modello'!$A$50:$A$53,0))*'Parametri Modello'!$B$44))))*(1+IF(IF($B430="D",'Info Lega'!$B$25,IF($B430="C",'Info Lega'!$B$26,"No"))="Si",'Parametri Modello'!$B$5,0))*(1+MAX(-0.25,MIN(0.25,IF(OR($T430="",$I430="",$I430=0,INDEX('Parametri Modello'!$B$19:$B$22,MATCH($B430,'Parametri Modello'!$A$19:$A$22,0))="",INDEX('Parametri Modello'!$B$19:$B$22,MATCH($B430,'Parametri Modello'!$A$19:$A$22,0))=0),0,(($T430-INDEX('Parametri Modello'!$B$19:$B$22,MATCH($B430,'Parametri Modello'!$A$19:$A$22,0)))/INDEX('Parametri Modello'!$B$19:$B$22,MATCH($B430,'Parametri Modello'!$A$19:$A$22,0)))*'Parametri Modello'!$B$9))))*(1+IF('Parametri Modello'!$B$27="Si",MAX(-'Parametri Modello'!$B$28,MIN('Parametri Modello'!$B$28*1.5,IF(OR(INDEX('Parametri Modello'!$F$32:$F$35,MATCH($B430,'Parametri Modello'!$A$32:$A$35,0))="",INDEX('Parametri Modello'!$F$32:$F$35,MATCH($B430,'Parametri Modello'!$A$32:$A$35,0))=0),0,(1/INDEX('Parametri Modello'!$F$32:$F$35,MATCH($B430,'Parametri Modello'!$A$32:$A$35,0))-1)*'Parametri Modello'!$B$28))),0)))*(1+INDEX('Parametri Modello'!$B$12:$B$15,MATCH($B430,'Parametri Modello'!$A$12:$A$15,0))),0),"")</f>
        <v>0</v>
      </c>
      <c r="I430" s="23">
        <f>IFERROR(INDEX('Input Statistiche 2025_26'!$F$3:$F$665,MATCH($A430,'Input Statistiche 2025_26'!$A$3:$A$665,0)),"")</f>
        <v>1</v>
      </c>
      <c r="J430" s="23">
        <f t="shared" si="54"/>
        <v>37</v>
      </c>
      <c r="K430" s="23">
        <f>IFERROR(INDEX('Input Statistiche 2025_26'!$I$3:$I$665,MATCH($A430,'Input Statistiche 2025_26'!$A$3:$A$665,0)),"")</f>
        <v>0</v>
      </c>
      <c r="L430" s="23">
        <f>IFERROR(INDEX('Input Statistiche 2025_26'!$O$3:$O$665,MATCH($A430,'Input Statistiche 2025_26'!$A$3:$A$665,0)),"")</f>
        <v>0</v>
      </c>
      <c r="M430" s="25"/>
      <c r="N430" s="24">
        <f>IFERROR(INDEX('Input Giocatori 2026_27'!$E$3:$E$493,MATCH($A430,'Input Giocatori 2026_27'!$A$3:$A$493,0)),"")</f>
        <v>1</v>
      </c>
      <c r="O430" s="24">
        <f>IFERROR(INDEX('Input Giocatori 2026_27'!$G$3:$G$493,MATCH($A430,'Input Giocatori 2026_27'!$A$3:$A$493,0)),"")</f>
        <v>3</v>
      </c>
      <c r="P430" s="23" t="str">
        <f>IFERROR(IF($O430="","",IF((1-(COUNTIFS($B$2:$B$492,$B430,$O$2:$O$492,"&gt;"&amp;$O430)+1-1)/COUNTIF($B$2:$B$492,$B430))&gt;='Parametri Modello'!$B$63,"Top",IF((1-(COUNTIFS($B$2:$B$492,$B430,$O$2:$O$492,"&gt;"&amp;$O430)+1-1)/COUNTIF($B$2:$B$492,$B430))&gt;='Parametri Modello'!$B$64,"Buono",IF((1-(COUNTIFS($B$2:$B$492,$B430,$O$2:$O$492,"&gt;"&amp;$O430)+1-1)/COUNTIF($B$2:$B$492,$B430))&gt;='Parametri Modello'!$B$65,"Nella Media","Scommessa/Riserva")))),"")</f>
        <v>Scommessa/Riserva</v>
      </c>
      <c r="Q430" s="26" t="str">
        <f>IF(AND($D430="",$N430&gt;1),SUMPRODUCT(($D$2:$D430="")*($N$2:$N430&gt;1)),"")</f>
        <v/>
      </c>
      <c r="R430" s="26" t="str">
        <f>IF($D430='Info Lega'!$B$28,COUNTIFS($D$2:$D430,'Info Lega'!$B$28),"")</f>
        <v/>
      </c>
      <c r="S430" s="27">
        <f>IFERROR(INDEX('Input Statistiche 2025_26'!$G$3:$G$665,MATCH($A430,'Input Statistiche 2025_26'!$A$3:$A$665,0)),"")</f>
        <v>6</v>
      </c>
      <c r="T430" s="27">
        <f>IFERROR(INDEX('Input Statistiche 2025_26'!$H$3:$H$665,MATCH($A430,'Input Statistiche 2025_26'!$A$3:$A$665,0)),"")</f>
        <v>6</v>
      </c>
      <c r="U430" s="23" t="str">
        <f>IF(OR('La Mia Rosa'!$O$12="",$D430&lt;&gt;""),"",IF($F430&lt;='La Mia Rosa'!$O$12*'Parametri Modello'!$B$24,"OK",IF($F430&lt;='La Mia Rosa'!$O$12*'Parametri Modello'!$B$25,"Attenzione","Rischio Alto")))</f>
        <v>OK</v>
      </c>
      <c r="V430" s="23">
        <f t="shared" si="55"/>
        <v>160</v>
      </c>
      <c r="W430" s="18">
        <f>'Info Lega'!$B$4-SUMIFS($M$2:$M$492,$D$2:$D$492,'Info Lega'!$B$28)</f>
        <v>1000</v>
      </c>
      <c r="X430" s="18">
        <f>('Info Lega'!$B$5-COUNTIFS($D$2:$D$492,'Info Lega'!$B$28,$B$2:$B$492,"P"))+('Info Lega'!$B$6-COUNTIFS($D$2:$D$492,'Info Lega'!$B$28,$B$2:$B$492,"D"))+('Info Lega'!$B$7-COUNTIFS($D$2:$D$492,'Info Lega'!$B$28,$B$2:$B$492,"C"))+('Info Lega'!$B$8-COUNTIFS($D$2:$D$492,'Info Lega'!$B$28,$B$2:$B$492,"A"))</f>
        <v>25</v>
      </c>
      <c r="Y430" s="18">
        <f>X430*'Parametri Modello'!$B$30</f>
        <v>25</v>
      </c>
      <c r="Z430" s="18">
        <f t="shared" si="56"/>
        <v>975</v>
      </c>
      <c r="AA430" s="18">
        <f t="shared" si="57"/>
        <v>0</v>
      </c>
      <c r="AB430" s="18"/>
      <c r="AC430" s="18" t="str">
        <f>IF($AB430="","",IF($AB430&gt;$AA430,"PASS",IF($AB430&lt;=$AA430*(1-'Parametri Modello'!$B$68),"BID","ATTENZIONE")))</f>
        <v/>
      </c>
      <c r="AD430" s="28">
        <f t="shared" si="58"/>
        <v>3</v>
      </c>
      <c r="AE430" s="5" t="str">
        <f>IFERROR(INDEX('Stato Asta'!$G$9:$G$12,MATCH($B430,'Stato Asta'!$A$9:$A$12,0)),"")</f>
        <v>🔴 Non aspettare</v>
      </c>
      <c r="AF430" t="str">
        <f>IFERROR(IF($V430&lt;=INDEX('Parametri Modello'!$C$57:$C$60,MATCH($B430,'Parametri Modello'!$A$57:$A$60,0)),"Titolare","Riserva"),"")</f>
        <v>Riserva</v>
      </c>
      <c r="AG430" t="str">
        <f>IFERROR(INDEX('Pressione Competitiva'!$F$3:$F$6,MATCH($B430,'Pressione Competitiva'!$B$3:$B$6,0)),"")</f>
        <v>🔴 Molto Alta</v>
      </c>
      <c r="AH430" t="str">
        <f t="shared" si="59"/>
        <v/>
      </c>
      <c r="AI430" t="str">
        <f>IFERROR(IF($AH430="","",IF($AH430&gt;=$AA430*'Parametri Modello'!$B$68,"🟢 Opportunita'",IF($AH430&lt;=$AA430*'Parametri Modello'!$B$69,"🔴 Sovrapprezzo","🟡 Prezzo Corretto"))),"")</f>
        <v/>
      </c>
      <c r="AJ430" t="str">
        <f t="shared" si="60"/>
        <v/>
      </c>
      <c r="AK430" t="str">
        <f t="shared" si="61"/>
        <v/>
      </c>
      <c r="AL430" t="str">
        <f t="shared" si="62"/>
        <v/>
      </c>
    </row>
    <row r="431" spans="1:38" ht="14.25" customHeight="1" x14ac:dyDescent="0.25">
      <c r="A431" s="18">
        <v>7392</v>
      </c>
      <c r="B431" s="18" t="s">
        <v>17</v>
      </c>
      <c r="C431" s="18" t="s">
        <v>570</v>
      </c>
      <c r="E431" s="23" t="str">
        <f>IF(COUNTIF('Info Strategia'!$D$2:$D$51,$C431)&gt;0,"SI","NO")</f>
        <v>NO</v>
      </c>
      <c r="F431" s="24">
        <f>IFERROR(ROUND(($G431+($H431-$G431)*'Info Strategia'!$B$6)*(1+IF($E431="SI",'Parametri Modello'!$B$7*'Info Strategia'!$B$6,0)),0),"")</f>
        <v>0</v>
      </c>
      <c r="G431" s="24">
        <f>IFERROR(ROUND(MAX(1,(IF($V431&lt;=INDEX('Parametri Modello'!$C$57:$C$60,MATCH($B431,'Parametri Modello'!$A$57:$A$60,0)),IF(INDEX('Parametri Modello'!$E$57:$E$60,MATCH($B431,'Parametri Modello'!$A$57:$A$60,0))=0,0,($O431/INDEX('Parametri Modello'!$E$57:$E$60,MATCH($B431,'Parametri Modello'!$A$57:$A$60,0)))*(INDEX('Parametri Modello'!$D$57:$D$60,MATCH($B431,'Parametri Modello'!$A$57:$A$60,0))*(INDEX('Parametri Modello'!$B$50:$B$53,MATCH($B431,'Parametri Modello'!$A$50:$A$53,0))*'Parametri Modello'!$B$44))),IF(INDEX('Parametri Modello'!$F$57:$F$60,MATCH($B431,'Parametri Modello'!$A$57:$A$60,0))=0,0,($O431/INDEX('Parametri Modello'!$F$57:$F$60,MATCH($B431,'Parametri Modello'!$A$57:$A$60,0)))*((1-INDEX('Parametri Modello'!$D$57:$D$60,MATCH($B431,'Parametri Modello'!$A$57:$A$60,0)))*(INDEX('Parametri Modello'!$B$50:$B$53,MATCH($B431,'Parametri Modello'!$A$50:$A$53,0))*'Parametri Modello'!$B$44))))*(1+IF(IF($B431="D",'Info Lega'!$B$25,IF($B431="C",'Info Lega'!$B$26,"No"))="Si",'Parametri Modello'!$B$5,0))*(1+MAX(-0.25,MIN(0.25,IF(OR($T431="",$I431="",$I431=0,INDEX('Parametri Modello'!$B$19:$B$22,MATCH($B431,'Parametri Modello'!$A$19:$A$22,0))="",INDEX('Parametri Modello'!$B$19:$B$22,MATCH($B431,'Parametri Modello'!$A$19:$A$22,0))=0),0,(($T431-INDEX('Parametri Modello'!$B$19:$B$22,MATCH($B431,'Parametri Modello'!$A$19:$A$22,0)))/INDEX('Parametri Modello'!$B$19:$B$22,MATCH($B431,'Parametri Modello'!$A$19:$A$22,0)))*'Parametri Modello'!$B$9))))*(1+IF('Parametri Modello'!$B$27="Si",MAX(-'Parametri Modello'!$B$28,MIN('Parametri Modello'!$B$28*1.5,IF(OR(INDEX('Parametri Modello'!$F$32:$F$35,MATCH($B431,'Parametri Modello'!$A$32:$A$35,0))="",INDEX('Parametri Modello'!$F$32:$F$35,MATCH($B431,'Parametri Modello'!$A$32:$A$35,0))=0),0,(1/INDEX('Parametri Modello'!$F$32:$F$35,MATCH($B431,'Parametri Modello'!$A$32:$A$35,0))-1)*'Parametri Modello'!$B$28))),0)))*(1-INDEX('Parametri Modello'!$B$12:$B$15,MATCH($B431,'Parametri Modello'!$A$12:$A$15,0)))),0),"")</f>
        <v>1</v>
      </c>
      <c r="H431" s="24">
        <f>IFERROR(ROUND((IF($V431&lt;=INDEX('Parametri Modello'!$C$57:$C$60,MATCH($B431,'Parametri Modello'!$A$57:$A$60,0)),IF(INDEX('Parametri Modello'!$E$57:$E$60,MATCH($B431,'Parametri Modello'!$A$57:$A$60,0))=0,0,($O431/INDEX('Parametri Modello'!$E$57:$E$60,MATCH($B431,'Parametri Modello'!$A$57:$A$60,0)))*(INDEX('Parametri Modello'!$D$57:$D$60,MATCH($B431,'Parametri Modello'!$A$57:$A$60,0))*(INDEX('Parametri Modello'!$B$50:$B$53,MATCH($B431,'Parametri Modello'!$A$50:$A$53,0))*'Parametri Modello'!$B$44))),IF(INDEX('Parametri Modello'!$F$57:$F$60,MATCH($B431,'Parametri Modello'!$A$57:$A$60,0))=0,0,($O431/INDEX('Parametri Modello'!$F$57:$F$60,MATCH($B431,'Parametri Modello'!$A$57:$A$60,0)))*((1-INDEX('Parametri Modello'!$D$57:$D$60,MATCH($B431,'Parametri Modello'!$A$57:$A$60,0)))*(INDEX('Parametri Modello'!$B$50:$B$53,MATCH($B431,'Parametri Modello'!$A$50:$A$53,0))*'Parametri Modello'!$B$44))))*(1+IF(IF($B431="D",'Info Lega'!$B$25,IF($B431="C",'Info Lega'!$B$26,"No"))="Si",'Parametri Modello'!$B$5,0))*(1+MAX(-0.25,MIN(0.25,IF(OR($T431="",$I431="",$I431=0,INDEX('Parametri Modello'!$B$19:$B$22,MATCH($B431,'Parametri Modello'!$A$19:$A$22,0))="",INDEX('Parametri Modello'!$B$19:$B$22,MATCH($B431,'Parametri Modello'!$A$19:$A$22,0))=0),0,(($T431-INDEX('Parametri Modello'!$B$19:$B$22,MATCH($B431,'Parametri Modello'!$A$19:$A$22,0)))/INDEX('Parametri Modello'!$B$19:$B$22,MATCH($B431,'Parametri Modello'!$A$19:$A$22,0)))*'Parametri Modello'!$B$9))))*(1+IF('Parametri Modello'!$B$27="Si",MAX(-'Parametri Modello'!$B$28,MIN('Parametri Modello'!$B$28*1.5,IF(OR(INDEX('Parametri Modello'!$F$32:$F$35,MATCH($B431,'Parametri Modello'!$A$32:$A$35,0))="",INDEX('Parametri Modello'!$F$32:$F$35,MATCH($B431,'Parametri Modello'!$A$32:$A$35,0))=0),0,(1/INDEX('Parametri Modello'!$F$32:$F$35,MATCH($B431,'Parametri Modello'!$A$32:$A$35,0))-1)*'Parametri Modello'!$B$28))),0)))*(1+INDEX('Parametri Modello'!$B$12:$B$15,MATCH($B431,'Parametri Modello'!$A$12:$A$15,0))),0),"")</f>
        <v>0</v>
      </c>
      <c r="I431" s="23" t="str">
        <f>IFERROR(INDEX('Input Statistiche 2025_26'!$F$3:$F$665,MATCH($A431,'Input Statistiche 2025_26'!$A$3:$A$665,0)),"")</f>
        <v/>
      </c>
      <c r="J431" s="23" t="str">
        <f t="shared" si="54"/>
        <v/>
      </c>
      <c r="K431" s="23" t="str">
        <f>IFERROR(INDEX('Input Statistiche 2025_26'!$I$3:$I$665,MATCH($A431,'Input Statistiche 2025_26'!$A$3:$A$665,0)),"")</f>
        <v/>
      </c>
      <c r="L431" s="23" t="str">
        <f>IFERROR(INDEX('Input Statistiche 2025_26'!$O$3:$O$665,MATCH($A431,'Input Statistiche 2025_26'!$A$3:$A$665,0)),"")</f>
        <v/>
      </c>
      <c r="M431" s="25"/>
      <c r="N431" s="24">
        <f>IFERROR(INDEX('Input Giocatori 2026_27'!$E$3:$E$493,MATCH($A431,'Input Giocatori 2026_27'!$A$3:$A$493,0)),"")</f>
        <v>1</v>
      </c>
      <c r="O431" s="24">
        <f>IFERROR(INDEX('Input Giocatori 2026_27'!$G$3:$G$493,MATCH($A431,'Input Giocatori 2026_27'!$A$3:$A$493,0)),"")</f>
        <v>3</v>
      </c>
      <c r="P431" s="23" t="str">
        <f>IFERROR(IF($O431="","",IF((1-(COUNTIFS($B$2:$B$492,$B431,$O$2:$O$492,"&gt;"&amp;$O431)+1-1)/COUNTIF($B$2:$B$492,$B431))&gt;='Parametri Modello'!$B$63,"Top",IF((1-(COUNTIFS($B$2:$B$492,$B431,$O$2:$O$492,"&gt;"&amp;$O431)+1-1)/COUNTIF($B$2:$B$492,$B431))&gt;='Parametri Modello'!$B$64,"Buono",IF((1-(COUNTIFS($B$2:$B$492,$B431,$O$2:$O$492,"&gt;"&amp;$O431)+1-1)/COUNTIF($B$2:$B$492,$B431))&gt;='Parametri Modello'!$B$65,"Nella Media","Scommessa/Riserva")))),"")</f>
        <v>Scommessa/Riserva</v>
      </c>
      <c r="Q431" s="26" t="str">
        <f>IF(AND($D431="",$N431&gt;1),SUMPRODUCT(($D$2:$D431="")*($N$2:$N431&gt;1)),"")</f>
        <v/>
      </c>
      <c r="R431" s="26" t="str">
        <f>IF($D431='Info Lega'!$B$28,COUNTIFS($D$2:$D431,'Info Lega'!$B$28),"")</f>
        <v/>
      </c>
      <c r="S431" s="27" t="str">
        <f>IFERROR(INDEX('Input Statistiche 2025_26'!$G$3:$G$665,MATCH($A431,'Input Statistiche 2025_26'!$A$3:$A$665,0)),"")</f>
        <v/>
      </c>
      <c r="T431" s="27" t="str">
        <f>IFERROR(INDEX('Input Statistiche 2025_26'!$H$3:$H$665,MATCH($A431,'Input Statistiche 2025_26'!$A$3:$A$665,0)),"")</f>
        <v/>
      </c>
      <c r="U431" s="23" t="str">
        <f>IF(OR('La Mia Rosa'!$O$12="",$D431&lt;&gt;""),"",IF($F431&lt;='La Mia Rosa'!$O$12*'Parametri Modello'!$B$24,"OK",IF($F431&lt;='La Mia Rosa'!$O$12*'Parametri Modello'!$B$25,"Attenzione","Rischio Alto")))</f>
        <v>OK</v>
      </c>
      <c r="V431" s="23">
        <f t="shared" si="55"/>
        <v>160</v>
      </c>
      <c r="W431" s="18">
        <f>'Info Lega'!$B$4-SUMIFS($M$2:$M$492,$D$2:$D$492,'Info Lega'!$B$28)</f>
        <v>1000</v>
      </c>
      <c r="X431" s="18">
        <f>('Info Lega'!$B$5-COUNTIFS($D$2:$D$492,'Info Lega'!$B$28,$B$2:$B$492,"P"))+('Info Lega'!$B$6-COUNTIFS($D$2:$D$492,'Info Lega'!$B$28,$B$2:$B$492,"D"))+('Info Lega'!$B$7-COUNTIFS($D$2:$D$492,'Info Lega'!$B$28,$B$2:$B$492,"C"))+('Info Lega'!$B$8-COUNTIFS($D$2:$D$492,'Info Lega'!$B$28,$B$2:$B$492,"A"))</f>
        <v>25</v>
      </c>
      <c r="Y431" s="18">
        <f>X431*'Parametri Modello'!$B$30</f>
        <v>25</v>
      </c>
      <c r="Z431" s="18">
        <f t="shared" si="56"/>
        <v>975</v>
      </c>
      <c r="AA431" s="18">
        <f t="shared" si="57"/>
        <v>0</v>
      </c>
      <c r="AB431" s="18"/>
      <c r="AC431" s="18" t="str">
        <f>IF($AB431="","",IF($AB431&gt;$AA431,"PASS",IF($AB431&lt;=$AA431*(1-'Parametri Modello'!$B$68),"BID","ATTENZIONE")))</f>
        <v/>
      </c>
      <c r="AD431" s="28" t="str">
        <f t="shared" si="58"/>
        <v/>
      </c>
      <c r="AE431" s="5" t="str">
        <f>IFERROR(INDEX('Stato Asta'!$G$9:$G$12,MATCH($B431,'Stato Asta'!$A$9:$A$12,0)),"")</f>
        <v>🔴 Non aspettare</v>
      </c>
      <c r="AF431" t="str">
        <f>IFERROR(IF($V431&lt;=INDEX('Parametri Modello'!$C$57:$C$60,MATCH($B431,'Parametri Modello'!$A$57:$A$60,0)),"Titolare","Riserva"),"")</f>
        <v>Riserva</v>
      </c>
      <c r="AG431" t="str">
        <f>IFERROR(INDEX('Pressione Competitiva'!$F$3:$F$6,MATCH($B431,'Pressione Competitiva'!$B$3:$B$6,0)),"")</f>
        <v>🔴 Molto Alta</v>
      </c>
      <c r="AH431" t="str">
        <f t="shared" si="59"/>
        <v/>
      </c>
      <c r="AI431" t="str">
        <f>IFERROR(IF($AH431="","",IF($AH431&gt;=$AA431*'Parametri Modello'!$B$68,"🟢 Opportunita'",IF($AH431&lt;=$AA431*'Parametri Modello'!$B$69,"🔴 Sovrapprezzo","🟡 Prezzo Corretto"))),"")</f>
        <v/>
      </c>
      <c r="AJ431" t="str">
        <f t="shared" si="60"/>
        <v/>
      </c>
      <c r="AK431" t="str">
        <f t="shared" si="61"/>
        <v/>
      </c>
      <c r="AL431" t="str">
        <f t="shared" si="62"/>
        <v/>
      </c>
    </row>
    <row r="432" spans="1:38" ht="14.25" customHeight="1" x14ac:dyDescent="0.25">
      <c r="A432" s="18">
        <v>5485</v>
      </c>
      <c r="B432" s="18" t="s">
        <v>17</v>
      </c>
      <c r="C432" s="18" t="s">
        <v>571</v>
      </c>
      <c r="E432" s="23" t="str">
        <f>IF(COUNTIF('Info Strategia'!$D$2:$D$51,$C432)&gt;0,"SI","NO")</f>
        <v>NO</v>
      </c>
      <c r="F432" s="24">
        <f>IFERROR(ROUND(($G432+($H432-$G432)*'Info Strategia'!$B$6)*(1+IF($E432="SI",'Parametri Modello'!$B$7*'Info Strategia'!$B$6,0)),0),"")</f>
        <v>0</v>
      </c>
      <c r="G432" s="24">
        <f>IFERROR(ROUND(MAX(1,(IF($V432&lt;=INDEX('Parametri Modello'!$C$57:$C$60,MATCH($B432,'Parametri Modello'!$A$57:$A$60,0)),IF(INDEX('Parametri Modello'!$E$57:$E$60,MATCH($B432,'Parametri Modello'!$A$57:$A$60,0))=0,0,($O432/INDEX('Parametri Modello'!$E$57:$E$60,MATCH($B432,'Parametri Modello'!$A$57:$A$60,0)))*(INDEX('Parametri Modello'!$D$57:$D$60,MATCH($B432,'Parametri Modello'!$A$57:$A$60,0))*(INDEX('Parametri Modello'!$B$50:$B$53,MATCH($B432,'Parametri Modello'!$A$50:$A$53,0))*'Parametri Modello'!$B$44))),IF(INDEX('Parametri Modello'!$F$57:$F$60,MATCH($B432,'Parametri Modello'!$A$57:$A$60,0))=0,0,($O432/INDEX('Parametri Modello'!$F$57:$F$60,MATCH($B432,'Parametri Modello'!$A$57:$A$60,0)))*((1-INDEX('Parametri Modello'!$D$57:$D$60,MATCH($B432,'Parametri Modello'!$A$57:$A$60,0)))*(INDEX('Parametri Modello'!$B$50:$B$53,MATCH($B432,'Parametri Modello'!$A$50:$A$53,0))*'Parametri Modello'!$B$44))))*(1+IF(IF($B432="D",'Info Lega'!$B$25,IF($B432="C",'Info Lega'!$B$26,"No"))="Si",'Parametri Modello'!$B$5,0))*(1+MAX(-0.25,MIN(0.25,IF(OR($T432="",$I432="",$I432=0,INDEX('Parametri Modello'!$B$19:$B$22,MATCH($B432,'Parametri Modello'!$A$19:$A$22,0))="",INDEX('Parametri Modello'!$B$19:$B$22,MATCH($B432,'Parametri Modello'!$A$19:$A$22,0))=0),0,(($T432-INDEX('Parametri Modello'!$B$19:$B$22,MATCH($B432,'Parametri Modello'!$A$19:$A$22,0)))/INDEX('Parametri Modello'!$B$19:$B$22,MATCH($B432,'Parametri Modello'!$A$19:$A$22,0)))*'Parametri Modello'!$B$9))))*(1+IF('Parametri Modello'!$B$27="Si",MAX(-'Parametri Modello'!$B$28,MIN('Parametri Modello'!$B$28*1.5,IF(OR(INDEX('Parametri Modello'!$F$32:$F$35,MATCH($B432,'Parametri Modello'!$A$32:$A$35,0))="",INDEX('Parametri Modello'!$F$32:$F$35,MATCH($B432,'Parametri Modello'!$A$32:$A$35,0))=0),0,(1/INDEX('Parametri Modello'!$F$32:$F$35,MATCH($B432,'Parametri Modello'!$A$32:$A$35,0))-1)*'Parametri Modello'!$B$28))),0)))*(1-INDEX('Parametri Modello'!$B$12:$B$15,MATCH($B432,'Parametri Modello'!$A$12:$A$15,0)))),0),"")</f>
        <v>1</v>
      </c>
      <c r="H432" s="24">
        <f>IFERROR(ROUND((IF($V432&lt;=INDEX('Parametri Modello'!$C$57:$C$60,MATCH($B432,'Parametri Modello'!$A$57:$A$60,0)),IF(INDEX('Parametri Modello'!$E$57:$E$60,MATCH($B432,'Parametri Modello'!$A$57:$A$60,0))=0,0,($O432/INDEX('Parametri Modello'!$E$57:$E$60,MATCH($B432,'Parametri Modello'!$A$57:$A$60,0)))*(INDEX('Parametri Modello'!$D$57:$D$60,MATCH($B432,'Parametri Modello'!$A$57:$A$60,0))*(INDEX('Parametri Modello'!$B$50:$B$53,MATCH($B432,'Parametri Modello'!$A$50:$A$53,0))*'Parametri Modello'!$B$44))),IF(INDEX('Parametri Modello'!$F$57:$F$60,MATCH($B432,'Parametri Modello'!$A$57:$A$60,0))=0,0,($O432/INDEX('Parametri Modello'!$F$57:$F$60,MATCH($B432,'Parametri Modello'!$A$57:$A$60,0)))*((1-INDEX('Parametri Modello'!$D$57:$D$60,MATCH($B432,'Parametri Modello'!$A$57:$A$60,0)))*(INDEX('Parametri Modello'!$B$50:$B$53,MATCH($B432,'Parametri Modello'!$A$50:$A$53,0))*'Parametri Modello'!$B$44))))*(1+IF(IF($B432="D",'Info Lega'!$B$25,IF($B432="C",'Info Lega'!$B$26,"No"))="Si",'Parametri Modello'!$B$5,0))*(1+MAX(-0.25,MIN(0.25,IF(OR($T432="",$I432="",$I432=0,INDEX('Parametri Modello'!$B$19:$B$22,MATCH($B432,'Parametri Modello'!$A$19:$A$22,0))="",INDEX('Parametri Modello'!$B$19:$B$22,MATCH($B432,'Parametri Modello'!$A$19:$A$22,0))=0),0,(($T432-INDEX('Parametri Modello'!$B$19:$B$22,MATCH($B432,'Parametri Modello'!$A$19:$A$22,0)))/INDEX('Parametri Modello'!$B$19:$B$22,MATCH($B432,'Parametri Modello'!$A$19:$A$22,0)))*'Parametri Modello'!$B$9))))*(1+IF('Parametri Modello'!$B$27="Si",MAX(-'Parametri Modello'!$B$28,MIN('Parametri Modello'!$B$28*1.5,IF(OR(INDEX('Parametri Modello'!$F$32:$F$35,MATCH($B432,'Parametri Modello'!$A$32:$A$35,0))="",INDEX('Parametri Modello'!$F$32:$F$35,MATCH($B432,'Parametri Modello'!$A$32:$A$35,0))=0),0,(1/INDEX('Parametri Modello'!$F$32:$F$35,MATCH($B432,'Parametri Modello'!$A$32:$A$35,0))-1)*'Parametri Modello'!$B$28))),0)))*(1+INDEX('Parametri Modello'!$B$12:$B$15,MATCH($B432,'Parametri Modello'!$A$12:$A$15,0))),0),"")</f>
        <v>0</v>
      </c>
      <c r="I432" s="23" t="str">
        <f>IFERROR(INDEX('Input Statistiche 2025_26'!$F$3:$F$665,MATCH($A432,'Input Statistiche 2025_26'!$A$3:$A$665,0)),"")</f>
        <v/>
      </c>
      <c r="J432" s="23" t="str">
        <f t="shared" si="54"/>
        <v/>
      </c>
      <c r="K432" s="23" t="str">
        <f>IFERROR(INDEX('Input Statistiche 2025_26'!$I$3:$I$665,MATCH($A432,'Input Statistiche 2025_26'!$A$3:$A$665,0)),"")</f>
        <v/>
      </c>
      <c r="L432" s="23" t="str">
        <f>IFERROR(INDEX('Input Statistiche 2025_26'!$O$3:$O$665,MATCH($A432,'Input Statistiche 2025_26'!$A$3:$A$665,0)),"")</f>
        <v/>
      </c>
      <c r="M432" s="25"/>
      <c r="N432" s="24">
        <f>IFERROR(INDEX('Input Giocatori 2026_27'!$E$3:$E$493,MATCH($A432,'Input Giocatori 2026_27'!$A$3:$A$493,0)),"")</f>
        <v>1</v>
      </c>
      <c r="O432" s="24">
        <f>IFERROR(INDEX('Input Giocatori 2026_27'!$G$3:$G$493,MATCH($A432,'Input Giocatori 2026_27'!$A$3:$A$493,0)),"")</f>
        <v>3</v>
      </c>
      <c r="P432" s="23" t="str">
        <f>IFERROR(IF($O432="","",IF((1-(COUNTIFS($B$2:$B$492,$B432,$O$2:$O$492,"&gt;"&amp;$O432)+1-1)/COUNTIF($B$2:$B$492,$B432))&gt;='Parametri Modello'!$B$63,"Top",IF((1-(COUNTIFS($B$2:$B$492,$B432,$O$2:$O$492,"&gt;"&amp;$O432)+1-1)/COUNTIF($B$2:$B$492,$B432))&gt;='Parametri Modello'!$B$64,"Buono",IF((1-(COUNTIFS($B$2:$B$492,$B432,$O$2:$O$492,"&gt;"&amp;$O432)+1-1)/COUNTIF($B$2:$B$492,$B432))&gt;='Parametri Modello'!$B$65,"Nella Media","Scommessa/Riserva")))),"")</f>
        <v>Scommessa/Riserva</v>
      </c>
      <c r="Q432" s="26" t="str">
        <f>IF(AND($D432="",$N432&gt;1),SUMPRODUCT(($D$2:$D432="")*($N$2:$N432&gt;1)),"")</f>
        <v/>
      </c>
      <c r="R432" s="26" t="str">
        <f>IF($D432='Info Lega'!$B$28,COUNTIFS($D$2:$D432,'Info Lega'!$B$28),"")</f>
        <v/>
      </c>
      <c r="S432" s="27" t="str">
        <f>IFERROR(INDEX('Input Statistiche 2025_26'!$G$3:$G$665,MATCH($A432,'Input Statistiche 2025_26'!$A$3:$A$665,0)),"")</f>
        <v/>
      </c>
      <c r="T432" s="27" t="str">
        <f>IFERROR(INDEX('Input Statistiche 2025_26'!$H$3:$H$665,MATCH($A432,'Input Statistiche 2025_26'!$A$3:$A$665,0)),"")</f>
        <v/>
      </c>
      <c r="U432" s="23" t="str">
        <f>IF(OR('La Mia Rosa'!$O$12="",$D432&lt;&gt;""),"",IF($F432&lt;='La Mia Rosa'!$O$12*'Parametri Modello'!$B$24,"OK",IF($F432&lt;='La Mia Rosa'!$O$12*'Parametri Modello'!$B$25,"Attenzione","Rischio Alto")))</f>
        <v>OK</v>
      </c>
      <c r="V432" s="23">
        <f t="shared" si="55"/>
        <v>160</v>
      </c>
      <c r="W432" s="18">
        <f>'Info Lega'!$B$4-SUMIFS($M$2:$M$492,$D$2:$D$492,'Info Lega'!$B$28)</f>
        <v>1000</v>
      </c>
      <c r="X432" s="18">
        <f>('Info Lega'!$B$5-COUNTIFS($D$2:$D$492,'Info Lega'!$B$28,$B$2:$B$492,"P"))+('Info Lega'!$B$6-COUNTIFS($D$2:$D$492,'Info Lega'!$B$28,$B$2:$B$492,"D"))+('Info Lega'!$B$7-COUNTIFS($D$2:$D$492,'Info Lega'!$B$28,$B$2:$B$492,"C"))+('Info Lega'!$B$8-COUNTIFS($D$2:$D$492,'Info Lega'!$B$28,$B$2:$B$492,"A"))</f>
        <v>25</v>
      </c>
      <c r="Y432" s="18">
        <f>X432*'Parametri Modello'!$B$30</f>
        <v>25</v>
      </c>
      <c r="Z432" s="18">
        <f t="shared" si="56"/>
        <v>975</v>
      </c>
      <c r="AA432" s="18">
        <f t="shared" si="57"/>
        <v>0</v>
      </c>
      <c r="AB432" s="18"/>
      <c r="AC432" s="18" t="str">
        <f>IF($AB432="","",IF($AB432&gt;$AA432,"PASS",IF($AB432&lt;=$AA432*(1-'Parametri Modello'!$B$68),"BID","ATTENZIONE")))</f>
        <v/>
      </c>
      <c r="AD432" s="28" t="str">
        <f t="shared" si="58"/>
        <v/>
      </c>
      <c r="AE432" s="5" t="str">
        <f>IFERROR(INDEX('Stato Asta'!$G$9:$G$12,MATCH($B432,'Stato Asta'!$A$9:$A$12,0)),"")</f>
        <v>🔴 Non aspettare</v>
      </c>
      <c r="AF432" t="str">
        <f>IFERROR(IF($V432&lt;=INDEX('Parametri Modello'!$C$57:$C$60,MATCH($B432,'Parametri Modello'!$A$57:$A$60,0)),"Titolare","Riserva"),"")</f>
        <v>Riserva</v>
      </c>
      <c r="AG432" t="str">
        <f>IFERROR(INDEX('Pressione Competitiva'!$F$3:$F$6,MATCH($B432,'Pressione Competitiva'!$B$3:$B$6,0)),"")</f>
        <v>🔴 Molto Alta</v>
      </c>
      <c r="AH432" t="str">
        <f t="shared" si="59"/>
        <v/>
      </c>
      <c r="AI432" t="str">
        <f>IFERROR(IF($AH432="","",IF($AH432&gt;=$AA432*'Parametri Modello'!$B$68,"🟢 Opportunita'",IF($AH432&lt;=$AA432*'Parametri Modello'!$B$69,"🔴 Sovrapprezzo","🟡 Prezzo Corretto"))),"")</f>
        <v/>
      </c>
      <c r="AJ432" t="str">
        <f t="shared" si="60"/>
        <v/>
      </c>
      <c r="AK432" t="str">
        <f t="shared" si="61"/>
        <v/>
      </c>
      <c r="AL432" t="str">
        <f t="shared" si="62"/>
        <v/>
      </c>
    </row>
    <row r="433" spans="1:38" ht="14.25" customHeight="1" x14ac:dyDescent="0.25">
      <c r="A433" s="18">
        <v>7161</v>
      </c>
      <c r="B433" s="18" t="s">
        <v>18</v>
      </c>
      <c r="C433" s="18" t="s">
        <v>572</v>
      </c>
      <c r="E433" s="23" t="str">
        <f>IF(COUNTIF('Info Strategia'!$D$2:$D$51,$C433)&gt;0,"SI","NO")</f>
        <v>NO</v>
      </c>
      <c r="F433" s="24">
        <f>IFERROR(ROUND(($G433+($H433-$G433)*'Info Strategia'!$B$6)*(1+IF($E433="SI",'Parametri Modello'!$B$7*'Info Strategia'!$B$6,0)),0),"")</f>
        <v>1</v>
      </c>
      <c r="G433" s="24">
        <f>IFERROR(ROUND(MAX(1,(IF($V433&lt;=INDEX('Parametri Modello'!$C$57:$C$60,MATCH($B433,'Parametri Modello'!$A$57:$A$60,0)),IF(INDEX('Parametri Modello'!$E$57:$E$60,MATCH($B433,'Parametri Modello'!$A$57:$A$60,0))=0,0,($O433/INDEX('Parametri Modello'!$E$57:$E$60,MATCH($B433,'Parametri Modello'!$A$57:$A$60,0)))*(INDEX('Parametri Modello'!$D$57:$D$60,MATCH($B433,'Parametri Modello'!$A$57:$A$60,0))*(INDEX('Parametri Modello'!$B$50:$B$53,MATCH($B433,'Parametri Modello'!$A$50:$A$53,0))*'Parametri Modello'!$B$44))),IF(INDEX('Parametri Modello'!$F$57:$F$60,MATCH($B433,'Parametri Modello'!$A$57:$A$60,0))=0,0,($O433/INDEX('Parametri Modello'!$F$57:$F$60,MATCH($B433,'Parametri Modello'!$A$57:$A$60,0)))*((1-INDEX('Parametri Modello'!$D$57:$D$60,MATCH($B433,'Parametri Modello'!$A$57:$A$60,0)))*(INDEX('Parametri Modello'!$B$50:$B$53,MATCH($B433,'Parametri Modello'!$A$50:$A$53,0))*'Parametri Modello'!$B$44))))*(1+IF(IF($B433="D",'Info Lega'!$B$25,IF($B433="C",'Info Lega'!$B$26,"No"))="Si",'Parametri Modello'!$B$5,0))*(1+MAX(-0.25,MIN(0.25,IF(OR($T433="",$I433="",$I433=0,INDEX('Parametri Modello'!$B$19:$B$22,MATCH($B433,'Parametri Modello'!$A$19:$A$22,0))="",INDEX('Parametri Modello'!$B$19:$B$22,MATCH($B433,'Parametri Modello'!$A$19:$A$22,0))=0),0,(($T433-INDEX('Parametri Modello'!$B$19:$B$22,MATCH($B433,'Parametri Modello'!$A$19:$A$22,0)))/INDEX('Parametri Modello'!$B$19:$B$22,MATCH($B433,'Parametri Modello'!$A$19:$A$22,0)))*'Parametri Modello'!$B$9))))*(1+IF('Parametri Modello'!$B$27="Si",MAX(-'Parametri Modello'!$B$28,MIN('Parametri Modello'!$B$28*1.5,IF(OR(INDEX('Parametri Modello'!$F$32:$F$35,MATCH($B433,'Parametri Modello'!$A$32:$A$35,0))="",INDEX('Parametri Modello'!$F$32:$F$35,MATCH($B433,'Parametri Modello'!$A$32:$A$35,0))=0),0,(1/INDEX('Parametri Modello'!$F$32:$F$35,MATCH($B433,'Parametri Modello'!$A$32:$A$35,0))-1)*'Parametri Modello'!$B$28))),0)))*(1-INDEX('Parametri Modello'!$B$12:$B$15,MATCH($B433,'Parametri Modello'!$A$12:$A$15,0)))),0),"")</f>
        <v>1</v>
      </c>
      <c r="H433" s="24">
        <f>IFERROR(ROUND((IF($V433&lt;=INDEX('Parametri Modello'!$C$57:$C$60,MATCH($B433,'Parametri Modello'!$A$57:$A$60,0)),IF(INDEX('Parametri Modello'!$E$57:$E$60,MATCH($B433,'Parametri Modello'!$A$57:$A$60,0))=0,0,($O433/INDEX('Parametri Modello'!$E$57:$E$60,MATCH($B433,'Parametri Modello'!$A$57:$A$60,0)))*(INDEX('Parametri Modello'!$D$57:$D$60,MATCH($B433,'Parametri Modello'!$A$57:$A$60,0))*(INDEX('Parametri Modello'!$B$50:$B$53,MATCH($B433,'Parametri Modello'!$A$50:$A$53,0))*'Parametri Modello'!$B$44))),IF(INDEX('Parametri Modello'!$F$57:$F$60,MATCH($B433,'Parametri Modello'!$A$57:$A$60,0))=0,0,($O433/INDEX('Parametri Modello'!$F$57:$F$60,MATCH($B433,'Parametri Modello'!$A$57:$A$60,0)))*((1-INDEX('Parametri Modello'!$D$57:$D$60,MATCH($B433,'Parametri Modello'!$A$57:$A$60,0)))*(INDEX('Parametri Modello'!$B$50:$B$53,MATCH($B433,'Parametri Modello'!$A$50:$A$53,0))*'Parametri Modello'!$B$44))))*(1+IF(IF($B433="D",'Info Lega'!$B$25,IF($B433="C",'Info Lega'!$B$26,"No"))="Si",'Parametri Modello'!$B$5,0))*(1+MAX(-0.25,MIN(0.25,IF(OR($T433="",$I433="",$I433=0,INDEX('Parametri Modello'!$B$19:$B$22,MATCH($B433,'Parametri Modello'!$A$19:$A$22,0))="",INDEX('Parametri Modello'!$B$19:$B$22,MATCH($B433,'Parametri Modello'!$A$19:$A$22,0))=0),0,(($T433-INDEX('Parametri Modello'!$B$19:$B$22,MATCH($B433,'Parametri Modello'!$A$19:$A$22,0)))/INDEX('Parametri Modello'!$B$19:$B$22,MATCH($B433,'Parametri Modello'!$A$19:$A$22,0)))*'Parametri Modello'!$B$9))))*(1+IF('Parametri Modello'!$B$27="Si",MAX(-'Parametri Modello'!$B$28,MIN('Parametri Modello'!$B$28*1.5,IF(OR(INDEX('Parametri Modello'!$F$32:$F$35,MATCH($B433,'Parametri Modello'!$A$32:$A$35,0))="",INDEX('Parametri Modello'!$F$32:$F$35,MATCH($B433,'Parametri Modello'!$A$32:$A$35,0))=0),0,(1/INDEX('Parametri Modello'!$F$32:$F$35,MATCH($B433,'Parametri Modello'!$A$32:$A$35,0))-1)*'Parametri Modello'!$B$28))),0)))*(1+INDEX('Parametri Modello'!$B$12:$B$15,MATCH($B433,'Parametri Modello'!$A$12:$A$15,0))),0),"")</f>
        <v>1</v>
      </c>
      <c r="I433" s="23">
        <f>IFERROR(INDEX('Input Statistiche 2025_26'!$F$3:$F$665,MATCH($A433,'Input Statistiche 2025_26'!$A$3:$A$665,0)),"")</f>
        <v>12</v>
      </c>
      <c r="J433" s="23">
        <f t="shared" si="54"/>
        <v>26</v>
      </c>
      <c r="K433" s="23">
        <f>IFERROR(INDEX('Input Statistiche 2025_26'!$I$3:$I$665,MATCH($A433,'Input Statistiche 2025_26'!$A$3:$A$665,0)),"")</f>
        <v>0</v>
      </c>
      <c r="L433" s="23">
        <f>IFERROR(INDEX('Input Statistiche 2025_26'!$O$3:$O$665,MATCH($A433,'Input Statistiche 2025_26'!$A$3:$A$665,0)),"")</f>
        <v>1</v>
      </c>
      <c r="M433" s="25"/>
      <c r="N433" s="24">
        <f>IFERROR(INDEX('Input Giocatori 2026_27'!$E$3:$E$493,MATCH($A433,'Input Giocatori 2026_27'!$A$3:$A$493,0)),"")</f>
        <v>1</v>
      </c>
      <c r="O433" s="24">
        <f>IFERROR(INDEX('Input Giocatori 2026_27'!$G$3:$G$493,MATCH($A433,'Input Giocatori 2026_27'!$A$3:$A$493,0)),"")</f>
        <v>3</v>
      </c>
      <c r="P433" s="23" t="str">
        <f>IFERROR(IF($O433="","",IF((1-(COUNTIFS($B$2:$B$492,$B433,$O$2:$O$492,"&gt;"&amp;$O433)+1-1)/COUNTIF($B$2:$B$492,$B433))&gt;='Parametri Modello'!$B$63,"Top",IF((1-(COUNTIFS($B$2:$B$492,$B433,$O$2:$O$492,"&gt;"&amp;$O433)+1-1)/COUNTIF($B$2:$B$492,$B433))&gt;='Parametri Modello'!$B$64,"Buono",IF((1-(COUNTIFS($B$2:$B$492,$B433,$O$2:$O$492,"&gt;"&amp;$O433)+1-1)/COUNTIF($B$2:$B$492,$B433))&gt;='Parametri Modello'!$B$65,"Nella Media","Scommessa/Riserva")))),"")</f>
        <v>Scommessa/Riserva</v>
      </c>
      <c r="Q433" s="26" t="str">
        <f>IF(AND($D433="",$N433&gt;1),SUMPRODUCT(($D$2:$D433="")*($N$2:$N433&gt;1)),"")</f>
        <v/>
      </c>
      <c r="R433" s="26" t="str">
        <f>IF($D433='Info Lega'!$B$28,COUNTIFS($D$2:$D433,'Info Lega'!$B$28),"")</f>
        <v/>
      </c>
      <c r="S433" s="27">
        <f>IFERROR(INDEX('Input Statistiche 2025_26'!$G$3:$G$665,MATCH($A433,'Input Statistiche 2025_26'!$A$3:$A$665,0)),"")</f>
        <v>5.75</v>
      </c>
      <c r="T433" s="27">
        <f>IFERROR(INDEX('Input Statistiche 2025_26'!$H$3:$H$665,MATCH($A433,'Input Statistiche 2025_26'!$A$3:$A$665,0)),"")</f>
        <v>5.83</v>
      </c>
      <c r="U433" s="23" t="str">
        <f>IF(OR('La Mia Rosa'!$O$12="",$D433&lt;&gt;""),"",IF($F433&lt;='La Mia Rosa'!$O$12*'Parametri Modello'!$B$24,"OK",IF($F433&lt;='La Mia Rosa'!$O$12*'Parametri Modello'!$B$25,"Attenzione","Rischio Alto")))</f>
        <v>OK</v>
      </c>
      <c r="V433" s="23">
        <f t="shared" si="55"/>
        <v>79</v>
      </c>
      <c r="W433" s="18">
        <f>'Info Lega'!$B$4-SUMIFS($M$2:$M$492,$D$2:$D$492,'Info Lega'!$B$28)</f>
        <v>1000</v>
      </c>
      <c r="X433" s="18">
        <f>('Info Lega'!$B$5-COUNTIFS($D$2:$D$492,'Info Lega'!$B$28,$B$2:$B$492,"P"))+('Info Lega'!$B$6-COUNTIFS($D$2:$D$492,'Info Lega'!$B$28,$B$2:$B$492,"D"))+('Info Lega'!$B$7-COUNTIFS($D$2:$D$492,'Info Lega'!$B$28,$B$2:$B$492,"C"))+('Info Lega'!$B$8-COUNTIFS($D$2:$D$492,'Info Lega'!$B$28,$B$2:$B$492,"A"))</f>
        <v>25</v>
      </c>
      <c r="Y433" s="18">
        <f>X433*'Parametri Modello'!$B$30</f>
        <v>25</v>
      </c>
      <c r="Z433" s="18">
        <f t="shared" si="56"/>
        <v>975</v>
      </c>
      <c r="AA433" s="18">
        <f t="shared" si="57"/>
        <v>1</v>
      </c>
      <c r="AB433" s="18"/>
      <c r="AC433" s="18" t="str">
        <f>IF($AB433="","",IF($AB433&gt;$AA433,"PASS",IF($AB433&lt;=$AA433*(1-'Parametri Modello'!$B$68),"BID","ATTENZIONE")))</f>
        <v/>
      </c>
      <c r="AD433" s="28">
        <f t="shared" si="58"/>
        <v>33</v>
      </c>
      <c r="AE433" s="5" t="str">
        <f>IFERROR(INDEX('Stato Asta'!$G$9:$G$12,MATCH($B433,'Stato Asta'!$A$9:$A$12,0)),"")</f>
        <v>🔴 Non aspettare</v>
      </c>
      <c r="AF433" t="str">
        <f>IFERROR(IF($V433&lt;=INDEX('Parametri Modello'!$C$57:$C$60,MATCH($B433,'Parametri Modello'!$A$57:$A$60,0)),"Titolare","Riserva"),"")</f>
        <v>Riserva</v>
      </c>
      <c r="AG433" t="str">
        <f>IFERROR(INDEX('Pressione Competitiva'!$F$3:$F$6,MATCH($B433,'Pressione Competitiva'!$B$3:$B$6,0)),"")</f>
        <v>🔴 Molto Alta</v>
      </c>
      <c r="AH433" t="str">
        <f t="shared" si="59"/>
        <v/>
      </c>
      <c r="AI433" t="str">
        <f>IFERROR(IF($AH433="","",IF($AH433&gt;=$AA433*'Parametri Modello'!$B$68,"🟢 Opportunita'",IF($AH433&lt;=$AA433*'Parametri Modello'!$B$69,"🔴 Sovrapprezzo","🟡 Prezzo Corretto"))),"")</f>
        <v/>
      </c>
      <c r="AJ433" t="str">
        <f t="shared" si="60"/>
        <v/>
      </c>
      <c r="AK433" t="str">
        <f t="shared" si="61"/>
        <v/>
      </c>
      <c r="AL433" t="str">
        <f t="shared" si="62"/>
        <v/>
      </c>
    </row>
    <row r="434" spans="1:38" ht="14.25" customHeight="1" x14ac:dyDescent="0.25">
      <c r="A434" s="18">
        <v>6245</v>
      </c>
      <c r="B434" s="18" t="s">
        <v>16</v>
      </c>
      <c r="C434" s="18" t="s">
        <v>573</v>
      </c>
      <c r="E434" s="23" t="str">
        <f>IF(COUNTIF('Info Strategia'!$D$2:$D$51,$C434)&gt;0,"SI","NO")</f>
        <v>NO</v>
      </c>
      <c r="F434" s="24">
        <f>IFERROR(ROUND(($G434+($H434-$G434)*'Info Strategia'!$B$6)*(1+IF($E434="SI",'Parametri Modello'!$B$7*'Info Strategia'!$B$6,0)),0),"")</f>
        <v>0</v>
      </c>
      <c r="G434" s="24">
        <f>IFERROR(ROUND(MAX(1,(IF($V434&lt;=INDEX('Parametri Modello'!$C$57:$C$60,MATCH($B434,'Parametri Modello'!$A$57:$A$60,0)),IF(INDEX('Parametri Modello'!$E$57:$E$60,MATCH($B434,'Parametri Modello'!$A$57:$A$60,0))=0,0,($O434/INDEX('Parametri Modello'!$E$57:$E$60,MATCH($B434,'Parametri Modello'!$A$57:$A$60,0)))*(INDEX('Parametri Modello'!$D$57:$D$60,MATCH($B434,'Parametri Modello'!$A$57:$A$60,0))*(INDEX('Parametri Modello'!$B$50:$B$53,MATCH($B434,'Parametri Modello'!$A$50:$A$53,0))*'Parametri Modello'!$B$44))),IF(INDEX('Parametri Modello'!$F$57:$F$60,MATCH($B434,'Parametri Modello'!$A$57:$A$60,0))=0,0,($O434/INDEX('Parametri Modello'!$F$57:$F$60,MATCH($B434,'Parametri Modello'!$A$57:$A$60,0)))*((1-INDEX('Parametri Modello'!$D$57:$D$60,MATCH($B434,'Parametri Modello'!$A$57:$A$60,0)))*(INDEX('Parametri Modello'!$B$50:$B$53,MATCH($B434,'Parametri Modello'!$A$50:$A$53,0))*'Parametri Modello'!$B$44))))*(1+IF(IF($B434="D",'Info Lega'!$B$25,IF($B434="C",'Info Lega'!$B$26,"No"))="Si",'Parametri Modello'!$B$5,0))*(1+MAX(-0.25,MIN(0.25,IF(OR($T434="",$I434="",$I434=0,INDEX('Parametri Modello'!$B$19:$B$22,MATCH($B434,'Parametri Modello'!$A$19:$A$22,0))="",INDEX('Parametri Modello'!$B$19:$B$22,MATCH($B434,'Parametri Modello'!$A$19:$A$22,0))=0),0,(($T434-INDEX('Parametri Modello'!$B$19:$B$22,MATCH($B434,'Parametri Modello'!$A$19:$A$22,0)))/INDEX('Parametri Modello'!$B$19:$B$22,MATCH($B434,'Parametri Modello'!$A$19:$A$22,0)))*'Parametri Modello'!$B$9))))*(1+IF('Parametri Modello'!$B$27="Si",MAX(-'Parametri Modello'!$B$28,MIN('Parametri Modello'!$B$28*1.5,IF(OR(INDEX('Parametri Modello'!$F$32:$F$35,MATCH($B434,'Parametri Modello'!$A$32:$A$35,0))="",INDEX('Parametri Modello'!$F$32:$F$35,MATCH($B434,'Parametri Modello'!$A$32:$A$35,0))=0),0,(1/INDEX('Parametri Modello'!$F$32:$F$35,MATCH($B434,'Parametri Modello'!$A$32:$A$35,0))-1)*'Parametri Modello'!$B$28))),0)))*(1-INDEX('Parametri Modello'!$B$12:$B$15,MATCH($B434,'Parametri Modello'!$A$12:$A$15,0)))),0),"")</f>
        <v>1</v>
      </c>
      <c r="H434" s="24">
        <f>IFERROR(ROUND((IF($V434&lt;=INDEX('Parametri Modello'!$C$57:$C$60,MATCH($B434,'Parametri Modello'!$A$57:$A$60,0)),IF(INDEX('Parametri Modello'!$E$57:$E$60,MATCH($B434,'Parametri Modello'!$A$57:$A$60,0))=0,0,($O434/INDEX('Parametri Modello'!$E$57:$E$60,MATCH($B434,'Parametri Modello'!$A$57:$A$60,0)))*(INDEX('Parametri Modello'!$D$57:$D$60,MATCH($B434,'Parametri Modello'!$A$57:$A$60,0))*(INDEX('Parametri Modello'!$B$50:$B$53,MATCH($B434,'Parametri Modello'!$A$50:$A$53,0))*'Parametri Modello'!$B$44))),IF(INDEX('Parametri Modello'!$F$57:$F$60,MATCH($B434,'Parametri Modello'!$A$57:$A$60,0))=0,0,($O434/INDEX('Parametri Modello'!$F$57:$F$60,MATCH($B434,'Parametri Modello'!$A$57:$A$60,0)))*((1-INDEX('Parametri Modello'!$D$57:$D$60,MATCH($B434,'Parametri Modello'!$A$57:$A$60,0)))*(INDEX('Parametri Modello'!$B$50:$B$53,MATCH($B434,'Parametri Modello'!$A$50:$A$53,0))*'Parametri Modello'!$B$44))))*(1+IF(IF($B434="D",'Info Lega'!$B$25,IF($B434="C",'Info Lega'!$B$26,"No"))="Si",'Parametri Modello'!$B$5,0))*(1+MAX(-0.25,MIN(0.25,IF(OR($T434="",$I434="",$I434=0,INDEX('Parametri Modello'!$B$19:$B$22,MATCH($B434,'Parametri Modello'!$A$19:$A$22,0))="",INDEX('Parametri Modello'!$B$19:$B$22,MATCH($B434,'Parametri Modello'!$A$19:$A$22,0))=0),0,(($T434-INDEX('Parametri Modello'!$B$19:$B$22,MATCH($B434,'Parametri Modello'!$A$19:$A$22,0)))/INDEX('Parametri Modello'!$B$19:$B$22,MATCH($B434,'Parametri Modello'!$A$19:$A$22,0)))*'Parametri Modello'!$B$9))))*(1+IF('Parametri Modello'!$B$27="Si",MAX(-'Parametri Modello'!$B$28,MIN('Parametri Modello'!$B$28*1.5,IF(OR(INDEX('Parametri Modello'!$F$32:$F$35,MATCH($B434,'Parametri Modello'!$A$32:$A$35,0))="",INDEX('Parametri Modello'!$F$32:$F$35,MATCH($B434,'Parametri Modello'!$A$32:$A$35,0))=0),0,(1/INDEX('Parametri Modello'!$F$32:$F$35,MATCH($B434,'Parametri Modello'!$A$32:$A$35,0))-1)*'Parametri Modello'!$B$28))),0)))*(1+INDEX('Parametri Modello'!$B$12:$B$15,MATCH($B434,'Parametri Modello'!$A$12:$A$15,0))),0),"")</f>
        <v>0</v>
      </c>
      <c r="I434" s="23">
        <f>IFERROR(INDEX('Input Statistiche 2025_26'!$F$3:$F$665,MATCH($A434,'Input Statistiche 2025_26'!$A$3:$A$665,0)),"")</f>
        <v>0</v>
      </c>
      <c r="J434" s="23">
        <f t="shared" si="54"/>
        <v>38</v>
      </c>
      <c r="K434" s="23">
        <f>IFERROR(INDEX('Input Statistiche 2025_26'!$I$3:$I$665,MATCH($A434,'Input Statistiche 2025_26'!$A$3:$A$665,0)),"")</f>
        <v>0</v>
      </c>
      <c r="L434" s="23">
        <f>IFERROR(INDEX('Input Statistiche 2025_26'!$O$3:$O$665,MATCH($A434,'Input Statistiche 2025_26'!$A$3:$A$665,0)),"")</f>
        <v>0</v>
      </c>
      <c r="M434" s="25"/>
      <c r="N434" s="24">
        <f>IFERROR(INDEX('Input Giocatori 2026_27'!$E$3:$E$493,MATCH($A434,'Input Giocatori 2026_27'!$A$3:$A$493,0)),"")</f>
        <v>1</v>
      </c>
      <c r="O434" s="24">
        <f>IFERROR(INDEX('Input Giocatori 2026_27'!$G$3:$G$493,MATCH($A434,'Input Giocatori 2026_27'!$A$3:$A$493,0)),"")</f>
        <v>2</v>
      </c>
      <c r="P434" s="23" t="str">
        <f>IFERROR(IF($O434="","",IF((1-(COUNTIFS($B$2:$B$492,$B434,$O$2:$O$492,"&gt;"&amp;$O434)+1-1)/COUNTIF($B$2:$B$492,$B434))&gt;='Parametri Modello'!$B$63,"Top",IF((1-(COUNTIFS($B$2:$B$492,$B434,$O$2:$O$492,"&gt;"&amp;$O434)+1-1)/COUNTIF($B$2:$B$492,$B434))&gt;='Parametri Modello'!$B$64,"Buono",IF((1-(COUNTIFS($B$2:$B$492,$B434,$O$2:$O$492,"&gt;"&amp;$O434)+1-1)/COUNTIF($B$2:$B$492,$B434))&gt;='Parametri Modello'!$B$65,"Nella Media","Scommessa/Riserva")))),"")</f>
        <v>Scommessa/Riserva</v>
      </c>
      <c r="Q434" s="26" t="str">
        <f>IF(AND($D434="",$N434&gt;1),SUMPRODUCT(($D$2:$D434="")*($N$2:$N434&gt;1)),"")</f>
        <v/>
      </c>
      <c r="R434" s="26" t="str">
        <f>IF($D434='Info Lega'!$B$28,COUNTIFS($D$2:$D434,'Info Lega'!$B$28),"")</f>
        <v/>
      </c>
      <c r="S434" s="27">
        <f>IFERROR(INDEX('Input Statistiche 2025_26'!$G$3:$G$665,MATCH($A434,'Input Statistiche 2025_26'!$A$3:$A$665,0)),"")</f>
        <v>0</v>
      </c>
      <c r="T434" s="27">
        <f>IFERROR(INDEX('Input Statistiche 2025_26'!$H$3:$H$665,MATCH($A434,'Input Statistiche 2025_26'!$A$3:$A$665,0)),"")</f>
        <v>0</v>
      </c>
      <c r="U434" s="23" t="str">
        <f>IF(OR('La Mia Rosa'!$O$12="",$D434&lt;&gt;""),"",IF($F434&lt;='La Mia Rosa'!$O$12*'Parametri Modello'!$B$24,"OK",IF($F434&lt;='La Mia Rosa'!$O$12*'Parametri Modello'!$B$25,"Attenzione","Rischio Alto")))</f>
        <v>OK</v>
      </c>
      <c r="V434" s="23">
        <f t="shared" si="55"/>
        <v>163</v>
      </c>
      <c r="W434" s="18">
        <f>'Info Lega'!$B$4-SUMIFS($M$2:$M$492,$D$2:$D$492,'Info Lega'!$B$28)</f>
        <v>1000</v>
      </c>
      <c r="X434" s="18">
        <f>('Info Lega'!$B$5-COUNTIFS($D$2:$D$492,'Info Lega'!$B$28,$B$2:$B$492,"P"))+('Info Lega'!$B$6-COUNTIFS($D$2:$D$492,'Info Lega'!$B$28,$B$2:$B$492,"D"))+('Info Lega'!$B$7-COUNTIFS($D$2:$D$492,'Info Lega'!$B$28,$B$2:$B$492,"C"))+('Info Lega'!$B$8-COUNTIFS($D$2:$D$492,'Info Lega'!$B$28,$B$2:$B$492,"A"))</f>
        <v>25</v>
      </c>
      <c r="Y434" s="18">
        <f>X434*'Parametri Modello'!$B$30</f>
        <v>25</v>
      </c>
      <c r="Z434" s="18">
        <f t="shared" si="56"/>
        <v>975</v>
      </c>
      <c r="AA434" s="18">
        <f t="shared" si="57"/>
        <v>0</v>
      </c>
      <c r="AB434" s="18"/>
      <c r="AC434" s="18" t="str">
        <f>IF($AB434="","",IF($AB434&gt;$AA434,"PASS",IF($AB434&lt;=$AA434*(1-'Parametri Modello'!$B$68),"BID","ATTENZIONE")))</f>
        <v/>
      </c>
      <c r="AD434" s="28">
        <f t="shared" si="58"/>
        <v>0</v>
      </c>
      <c r="AE434" s="5" t="str">
        <f>IFERROR(INDEX('Stato Asta'!$G$9:$G$12,MATCH($B434,'Stato Asta'!$A$9:$A$12,0)),"")</f>
        <v>🔴 Non aspettare</v>
      </c>
      <c r="AF434" t="str">
        <f>IFERROR(IF($V434&lt;=INDEX('Parametri Modello'!$C$57:$C$60,MATCH($B434,'Parametri Modello'!$A$57:$A$60,0)),"Titolare","Riserva"),"")</f>
        <v>Riserva</v>
      </c>
      <c r="AG434" t="str">
        <f>IFERROR(INDEX('Pressione Competitiva'!$F$3:$F$6,MATCH($B434,'Pressione Competitiva'!$B$3:$B$6,0)),"")</f>
        <v>🔴 Molto Alta</v>
      </c>
      <c r="AH434" t="str">
        <f t="shared" si="59"/>
        <v/>
      </c>
      <c r="AI434" t="str">
        <f>IFERROR(IF($AH434="","",IF($AH434&gt;=$AA434*'Parametri Modello'!$B$68,"🟢 Opportunita'",IF($AH434&lt;=$AA434*'Parametri Modello'!$B$69,"🔴 Sovrapprezzo","🟡 Prezzo Corretto"))),"")</f>
        <v/>
      </c>
      <c r="AJ434" t="str">
        <f t="shared" si="60"/>
        <v/>
      </c>
      <c r="AK434" t="str">
        <f t="shared" si="61"/>
        <v/>
      </c>
      <c r="AL434" t="str">
        <f t="shared" si="62"/>
        <v/>
      </c>
    </row>
    <row r="435" spans="1:38" ht="14.25" customHeight="1" x14ac:dyDescent="0.25">
      <c r="A435" s="18">
        <v>6244</v>
      </c>
      <c r="B435" s="18" t="s">
        <v>16</v>
      </c>
      <c r="C435" s="18" t="s">
        <v>574</v>
      </c>
      <c r="E435" s="23" t="str">
        <f>IF(COUNTIF('Info Strategia'!$D$2:$D$51,$C435)&gt;0,"SI","NO")</f>
        <v>NO</v>
      </c>
      <c r="F435" s="24">
        <f>IFERROR(ROUND(($G435+($H435-$G435)*'Info Strategia'!$B$6)*(1+IF($E435="SI",'Parametri Modello'!$B$7*'Info Strategia'!$B$6,0)),0),"")</f>
        <v>0</v>
      </c>
      <c r="G435" s="24">
        <f>IFERROR(ROUND(MAX(1,(IF($V435&lt;=INDEX('Parametri Modello'!$C$57:$C$60,MATCH($B435,'Parametri Modello'!$A$57:$A$60,0)),IF(INDEX('Parametri Modello'!$E$57:$E$60,MATCH($B435,'Parametri Modello'!$A$57:$A$60,0))=0,0,($O435/INDEX('Parametri Modello'!$E$57:$E$60,MATCH($B435,'Parametri Modello'!$A$57:$A$60,0)))*(INDEX('Parametri Modello'!$D$57:$D$60,MATCH($B435,'Parametri Modello'!$A$57:$A$60,0))*(INDEX('Parametri Modello'!$B$50:$B$53,MATCH($B435,'Parametri Modello'!$A$50:$A$53,0))*'Parametri Modello'!$B$44))),IF(INDEX('Parametri Modello'!$F$57:$F$60,MATCH($B435,'Parametri Modello'!$A$57:$A$60,0))=0,0,($O435/INDEX('Parametri Modello'!$F$57:$F$60,MATCH($B435,'Parametri Modello'!$A$57:$A$60,0)))*((1-INDEX('Parametri Modello'!$D$57:$D$60,MATCH($B435,'Parametri Modello'!$A$57:$A$60,0)))*(INDEX('Parametri Modello'!$B$50:$B$53,MATCH($B435,'Parametri Modello'!$A$50:$A$53,0))*'Parametri Modello'!$B$44))))*(1+IF(IF($B435="D",'Info Lega'!$B$25,IF($B435="C",'Info Lega'!$B$26,"No"))="Si",'Parametri Modello'!$B$5,0))*(1+MAX(-0.25,MIN(0.25,IF(OR($T435="",$I435="",$I435=0,INDEX('Parametri Modello'!$B$19:$B$22,MATCH($B435,'Parametri Modello'!$A$19:$A$22,0))="",INDEX('Parametri Modello'!$B$19:$B$22,MATCH($B435,'Parametri Modello'!$A$19:$A$22,0))=0),0,(($T435-INDEX('Parametri Modello'!$B$19:$B$22,MATCH($B435,'Parametri Modello'!$A$19:$A$22,0)))/INDEX('Parametri Modello'!$B$19:$B$22,MATCH($B435,'Parametri Modello'!$A$19:$A$22,0)))*'Parametri Modello'!$B$9))))*(1+IF('Parametri Modello'!$B$27="Si",MAX(-'Parametri Modello'!$B$28,MIN('Parametri Modello'!$B$28*1.5,IF(OR(INDEX('Parametri Modello'!$F$32:$F$35,MATCH($B435,'Parametri Modello'!$A$32:$A$35,0))="",INDEX('Parametri Modello'!$F$32:$F$35,MATCH($B435,'Parametri Modello'!$A$32:$A$35,0))=0),0,(1/INDEX('Parametri Modello'!$F$32:$F$35,MATCH($B435,'Parametri Modello'!$A$32:$A$35,0))-1)*'Parametri Modello'!$B$28))),0)))*(1-INDEX('Parametri Modello'!$B$12:$B$15,MATCH($B435,'Parametri Modello'!$A$12:$A$15,0)))),0),"")</f>
        <v>1</v>
      </c>
      <c r="H435" s="24">
        <f>IFERROR(ROUND((IF($V435&lt;=INDEX('Parametri Modello'!$C$57:$C$60,MATCH($B435,'Parametri Modello'!$A$57:$A$60,0)),IF(INDEX('Parametri Modello'!$E$57:$E$60,MATCH($B435,'Parametri Modello'!$A$57:$A$60,0))=0,0,($O435/INDEX('Parametri Modello'!$E$57:$E$60,MATCH($B435,'Parametri Modello'!$A$57:$A$60,0)))*(INDEX('Parametri Modello'!$D$57:$D$60,MATCH($B435,'Parametri Modello'!$A$57:$A$60,0))*(INDEX('Parametri Modello'!$B$50:$B$53,MATCH($B435,'Parametri Modello'!$A$50:$A$53,0))*'Parametri Modello'!$B$44))),IF(INDEX('Parametri Modello'!$F$57:$F$60,MATCH($B435,'Parametri Modello'!$A$57:$A$60,0))=0,0,($O435/INDEX('Parametri Modello'!$F$57:$F$60,MATCH($B435,'Parametri Modello'!$A$57:$A$60,0)))*((1-INDEX('Parametri Modello'!$D$57:$D$60,MATCH($B435,'Parametri Modello'!$A$57:$A$60,0)))*(INDEX('Parametri Modello'!$B$50:$B$53,MATCH($B435,'Parametri Modello'!$A$50:$A$53,0))*'Parametri Modello'!$B$44))))*(1+IF(IF($B435="D",'Info Lega'!$B$25,IF($B435="C",'Info Lega'!$B$26,"No"))="Si",'Parametri Modello'!$B$5,0))*(1+MAX(-0.25,MIN(0.25,IF(OR($T435="",$I435="",$I435=0,INDEX('Parametri Modello'!$B$19:$B$22,MATCH($B435,'Parametri Modello'!$A$19:$A$22,0))="",INDEX('Parametri Modello'!$B$19:$B$22,MATCH($B435,'Parametri Modello'!$A$19:$A$22,0))=0),0,(($T435-INDEX('Parametri Modello'!$B$19:$B$22,MATCH($B435,'Parametri Modello'!$A$19:$A$22,0)))/INDEX('Parametri Modello'!$B$19:$B$22,MATCH($B435,'Parametri Modello'!$A$19:$A$22,0)))*'Parametri Modello'!$B$9))))*(1+IF('Parametri Modello'!$B$27="Si",MAX(-'Parametri Modello'!$B$28,MIN('Parametri Modello'!$B$28*1.5,IF(OR(INDEX('Parametri Modello'!$F$32:$F$35,MATCH($B435,'Parametri Modello'!$A$32:$A$35,0))="",INDEX('Parametri Modello'!$F$32:$F$35,MATCH($B435,'Parametri Modello'!$A$32:$A$35,0))=0),0,(1/INDEX('Parametri Modello'!$F$32:$F$35,MATCH($B435,'Parametri Modello'!$A$32:$A$35,0))-1)*'Parametri Modello'!$B$28))),0)))*(1+INDEX('Parametri Modello'!$B$12:$B$15,MATCH($B435,'Parametri Modello'!$A$12:$A$15,0))),0),"")</f>
        <v>0</v>
      </c>
      <c r="I435" s="23" t="str">
        <f>IFERROR(INDEX('Input Statistiche 2025_26'!$F$3:$F$665,MATCH($A435,'Input Statistiche 2025_26'!$A$3:$A$665,0)),"")</f>
        <v/>
      </c>
      <c r="J435" s="23" t="str">
        <f t="shared" si="54"/>
        <v/>
      </c>
      <c r="K435" s="23" t="str">
        <f>IFERROR(INDEX('Input Statistiche 2025_26'!$I$3:$I$665,MATCH($A435,'Input Statistiche 2025_26'!$A$3:$A$665,0)),"")</f>
        <v/>
      </c>
      <c r="L435" s="23" t="str">
        <f>IFERROR(INDEX('Input Statistiche 2025_26'!$O$3:$O$665,MATCH($A435,'Input Statistiche 2025_26'!$A$3:$A$665,0)),"")</f>
        <v/>
      </c>
      <c r="M435" s="25"/>
      <c r="N435" s="24">
        <f>IFERROR(INDEX('Input Giocatori 2026_27'!$E$3:$E$493,MATCH($A435,'Input Giocatori 2026_27'!$A$3:$A$493,0)),"")</f>
        <v>1</v>
      </c>
      <c r="O435" s="24">
        <f>IFERROR(INDEX('Input Giocatori 2026_27'!$G$3:$G$493,MATCH($A435,'Input Giocatori 2026_27'!$A$3:$A$493,0)),"")</f>
        <v>2</v>
      </c>
      <c r="P435" s="23" t="str">
        <f>IFERROR(IF($O435="","",IF((1-(COUNTIFS($B$2:$B$492,$B435,$O$2:$O$492,"&gt;"&amp;$O435)+1-1)/COUNTIF($B$2:$B$492,$B435))&gt;='Parametri Modello'!$B$63,"Top",IF((1-(COUNTIFS($B$2:$B$492,$B435,$O$2:$O$492,"&gt;"&amp;$O435)+1-1)/COUNTIF($B$2:$B$492,$B435))&gt;='Parametri Modello'!$B$64,"Buono",IF((1-(COUNTIFS($B$2:$B$492,$B435,$O$2:$O$492,"&gt;"&amp;$O435)+1-1)/COUNTIF($B$2:$B$492,$B435))&gt;='Parametri Modello'!$B$65,"Nella Media","Scommessa/Riserva")))),"")</f>
        <v>Scommessa/Riserva</v>
      </c>
      <c r="Q435" s="26" t="str">
        <f>IF(AND($D435="",$N435&gt;1),SUMPRODUCT(($D$2:$D435="")*($N$2:$N435&gt;1)),"")</f>
        <v/>
      </c>
      <c r="R435" s="26" t="str">
        <f>IF($D435='Info Lega'!$B$28,COUNTIFS($D$2:$D435,'Info Lega'!$B$28),"")</f>
        <v/>
      </c>
      <c r="S435" s="27" t="str">
        <f>IFERROR(INDEX('Input Statistiche 2025_26'!$G$3:$G$665,MATCH($A435,'Input Statistiche 2025_26'!$A$3:$A$665,0)),"")</f>
        <v/>
      </c>
      <c r="T435" s="27" t="str">
        <f>IFERROR(INDEX('Input Statistiche 2025_26'!$H$3:$H$665,MATCH($A435,'Input Statistiche 2025_26'!$A$3:$A$665,0)),"")</f>
        <v/>
      </c>
      <c r="U435" s="23" t="str">
        <f>IF(OR('La Mia Rosa'!$O$12="",$D435&lt;&gt;""),"",IF($F435&lt;='La Mia Rosa'!$O$12*'Parametri Modello'!$B$24,"OK",IF($F435&lt;='La Mia Rosa'!$O$12*'Parametri Modello'!$B$25,"Attenzione","Rischio Alto")))</f>
        <v>OK</v>
      </c>
      <c r="V435" s="23">
        <f t="shared" si="55"/>
        <v>163</v>
      </c>
      <c r="W435" s="18">
        <f>'Info Lega'!$B$4-SUMIFS($M$2:$M$492,$D$2:$D$492,'Info Lega'!$B$28)</f>
        <v>1000</v>
      </c>
      <c r="X435" s="18">
        <f>('Info Lega'!$B$5-COUNTIFS($D$2:$D$492,'Info Lega'!$B$28,$B$2:$B$492,"P"))+('Info Lega'!$B$6-COUNTIFS($D$2:$D$492,'Info Lega'!$B$28,$B$2:$B$492,"D"))+('Info Lega'!$B$7-COUNTIFS($D$2:$D$492,'Info Lega'!$B$28,$B$2:$B$492,"C"))+('Info Lega'!$B$8-COUNTIFS($D$2:$D$492,'Info Lega'!$B$28,$B$2:$B$492,"A"))</f>
        <v>25</v>
      </c>
      <c r="Y435" s="18">
        <f>X435*'Parametri Modello'!$B$30</f>
        <v>25</v>
      </c>
      <c r="Z435" s="18">
        <f t="shared" si="56"/>
        <v>975</v>
      </c>
      <c r="AA435" s="18">
        <f t="shared" si="57"/>
        <v>0</v>
      </c>
      <c r="AB435" s="18"/>
      <c r="AC435" s="18" t="str">
        <f>IF($AB435="","",IF($AB435&gt;$AA435,"PASS",IF($AB435&lt;=$AA435*(1-'Parametri Modello'!$B$68),"BID","ATTENZIONE")))</f>
        <v/>
      </c>
      <c r="AD435" s="28" t="str">
        <f t="shared" si="58"/>
        <v/>
      </c>
      <c r="AE435" s="5" t="str">
        <f>IFERROR(INDEX('Stato Asta'!$G$9:$G$12,MATCH($B435,'Stato Asta'!$A$9:$A$12,0)),"")</f>
        <v>🔴 Non aspettare</v>
      </c>
      <c r="AF435" t="str">
        <f>IFERROR(IF($V435&lt;=INDEX('Parametri Modello'!$C$57:$C$60,MATCH($B435,'Parametri Modello'!$A$57:$A$60,0)),"Titolare","Riserva"),"")</f>
        <v>Riserva</v>
      </c>
      <c r="AG435" t="str">
        <f>IFERROR(INDEX('Pressione Competitiva'!$F$3:$F$6,MATCH($B435,'Pressione Competitiva'!$B$3:$B$6,0)),"")</f>
        <v>🔴 Molto Alta</v>
      </c>
      <c r="AH435" t="str">
        <f t="shared" si="59"/>
        <v/>
      </c>
      <c r="AI435" t="str">
        <f>IFERROR(IF($AH435="","",IF($AH435&gt;=$AA435*'Parametri Modello'!$B$68,"🟢 Opportunita'",IF($AH435&lt;=$AA435*'Parametri Modello'!$B$69,"🔴 Sovrapprezzo","🟡 Prezzo Corretto"))),"")</f>
        <v/>
      </c>
      <c r="AJ435" t="str">
        <f t="shared" si="60"/>
        <v/>
      </c>
      <c r="AK435" t="str">
        <f t="shared" si="61"/>
        <v/>
      </c>
      <c r="AL435" t="str">
        <f t="shared" si="62"/>
        <v/>
      </c>
    </row>
    <row r="436" spans="1:38" ht="14.25" customHeight="1" x14ac:dyDescent="0.25">
      <c r="A436" s="18">
        <v>5399</v>
      </c>
      <c r="B436" s="18" t="s">
        <v>16</v>
      </c>
      <c r="C436" s="18" t="s">
        <v>575</v>
      </c>
      <c r="E436" s="23" t="str">
        <f>IF(COUNTIF('Info Strategia'!$D$2:$D$51,$C436)&gt;0,"SI","NO")</f>
        <v>NO</v>
      </c>
      <c r="F436" s="24">
        <f>IFERROR(ROUND(($G436+($H436-$G436)*'Info Strategia'!$B$6)*(1+IF($E436="SI",'Parametri Modello'!$B$7*'Info Strategia'!$B$6,0)),0),"")</f>
        <v>0</v>
      </c>
      <c r="G436" s="24">
        <f>IFERROR(ROUND(MAX(1,(IF($V436&lt;=INDEX('Parametri Modello'!$C$57:$C$60,MATCH($B436,'Parametri Modello'!$A$57:$A$60,0)),IF(INDEX('Parametri Modello'!$E$57:$E$60,MATCH($B436,'Parametri Modello'!$A$57:$A$60,0))=0,0,($O436/INDEX('Parametri Modello'!$E$57:$E$60,MATCH($B436,'Parametri Modello'!$A$57:$A$60,0)))*(INDEX('Parametri Modello'!$D$57:$D$60,MATCH($B436,'Parametri Modello'!$A$57:$A$60,0))*(INDEX('Parametri Modello'!$B$50:$B$53,MATCH($B436,'Parametri Modello'!$A$50:$A$53,0))*'Parametri Modello'!$B$44))),IF(INDEX('Parametri Modello'!$F$57:$F$60,MATCH($B436,'Parametri Modello'!$A$57:$A$60,0))=0,0,($O436/INDEX('Parametri Modello'!$F$57:$F$60,MATCH($B436,'Parametri Modello'!$A$57:$A$60,0)))*((1-INDEX('Parametri Modello'!$D$57:$D$60,MATCH($B436,'Parametri Modello'!$A$57:$A$60,0)))*(INDEX('Parametri Modello'!$B$50:$B$53,MATCH($B436,'Parametri Modello'!$A$50:$A$53,0))*'Parametri Modello'!$B$44))))*(1+IF(IF($B436="D",'Info Lega'!$B$25,IF($B436="C",'Info Lega'!$B$26,"No"))="Si",'Parametri Modello'!$B$5,0))*(1+MAX(-0.25,MIN(0.25,IF(OR($T436="",$I436="",$I436=0,INDEX('Parametri Modello'!$B$19:$B$22,MATCH($B436,'Parametri Modello'!$A$19:$A$22,0))="",INDEX('Parametri Modello'!$B$19:$B$22,MATCH($B436,'Parametri Modello'!$A$19:$A$22,0))=0),0,(($T436-INDEX('Parametri Modello'!$B$19:$B$22,MATCH($B436,'Parametri Modello'!$A$19:$A$22,0)))/INDEX('Parametri Modello'!$B$19:$B$22,MATCH($B436,'Parametri Modello'!$A$19:$A$22,0)))*'Parametri Modello'!$B$9))))*(1+IF('Parametri Modello'!$B$27="Si",MAX(-'Parametri Modello'!$B$28,MIN('Parametri Modello'!$B$28*1.5,IF(OR(INDEX('Parametri Modello'!$F$32:$F$35,MATCH($B436,'Parametri Modello'!$A$32:$A$35,0))="",INDEX('Parametri Modello'!$F$32:$F$35,MATCH($B436,'Parametri Modello'!$A$32:$A$35,0))=0),0,(1/INDEX('Parametri Modello'!$F$32:$F$35,MATCH($B436,'Parametri Modello'!$A$32:$A$35,0))-1)*'Parametri Modello'!$B$28))),0)))*(1-INDEX('Parametri Modello'!$B$12:$B$15,MATCH($B436,'Parametri Modello'!$A$12:$A$15,0)))),0),"")</f>
        <v>1</v>
      </c>
      <c r="H436" s="24">
        <f>IFERROR(ROUND((IF($V436&lt;=INDEX('Parametri Modello'!$C$57:$C$60,MATCH($B436,'Parametri Modello'!$A$57:$A$60,0)),IF(INDEX('Parametri Modello'!$E$57:$E$60,MATCH($B436,'Parametri Modello'!$A$57:$A$60,0))=0,0,($O436/INDEX('Parametri Modello'!$E$57:$E$60,MATCH($B436,'Parametri Modello'!$A$57:$A$60,0)))*(INDEX('Parametri Modello'!$D$57:$D$60,MATCH($B436,'Parametri Modello'!$A$57:$A$60,0))*(INDEX('Parametri Modello'!$B$50:$B$53,MATCH($B436,'Parametri Modello'!$A$50:$A$53,0))*'Parametri Modello'!$B$44))),IF(INDEX('Parametri Modello'!$F$57:$F$60,MATCH($B436,'Parametri Modello'!$A$57:$A$60,0))=0,0,($O436/INDEX('Parametri Modello'!$F$57:$F$60,MATCH($B436,'Parametri Modello'!$A$57:$A$60,0)))*((1-INDEX('Parametri Modello'!$D$57:$D$60,MATCH($B436,'Parametri Modello'!$A$57:$A$60,0)))*(INDEX('Parametri Modello'!$B$50:$B$53,MATCH($B436,'Parametri Modello'!$A$50:$A$53,0))*'Parametri Modello'!$B$44))))*(1+IF(IF($B436="D",'Info Lega'!$B$25,IF($B436="C",'Info Lega'!$B$26,"No"))="Si",'Parametri Modello'!$B$5,0))*(1+MAX(-0.25,MIN(0.25,IF(OR($T436="",$I436="",$I436=0,INDEX('Parametri Modello'!$B$19:$B$22,MATCH($B436,'Parametri Modello'!$A$19:$A$22,0))="",INDEX('Parametri Modello'!$B$19:$B$22,MATCH($B436,'Parametri Modello'!$A$19:$A$22,0))=0),0,(($T436-INDEX('Parametri Modello'!$B$19:$B$22,MATCH($B436,'Parametri Modello'!$A$19:$A$22,0)))/INDEX('Parametri Modello'!$B$19:$B$22,MATCH($B436,'Parametri Modello'!$A$19:$A$22,0)))*'Parametri Modello'!$B$9))))*(1+IF('Parametri Modello'!$B$27="Si",MAX(-'Parametri Modello'!$B$28,MIN('Parametri Modello'!$B$28*1.5,IF(OR(INDEX('Parametri Modello'!$F$32:$F$35,MATCH($B436,'Parametri Modello'!$A$32:$A$35,0))="",INDEX('Parametri Modello'!$F$32:$F$35,MATCH($B436,'Parametri Modello'!$A$32:$A$35,0))=0),0,(1/INDEX('Parametri Modello'!$F$32:$F$35,MATCH($B436,'Parametri Modello'!$A$32:$A$35,0))-1)*'Parametri Modello'!$B$28))),0)))*(1+INDEX('Parametri Modello'!$B$12:$B$15,MATCH($B436,'Parametri Modello'!$A$12:$A$15,0))),0),"")</f>
        <v>0</v>
      </c>
      <c r="I436" s="23" t="str">
        <f>IFERROR(INDEX('Input Statistiche 2025_26'!$F$3:$F$665,MATCH($A436,'Input Statistiche 2025_26'!$A$3:$A$665,0)),"")</f>
        <v/>
      </c>
      <c r="J436" s="23" t="str">
        <f t="shared" si="54"/>
        <v/>
      </c>
      <c r="K436" s="23" t="str">
        <f>IFERROR(INDEX('Input Statistiche 2025_26'!$I$3:$I$665,MATCH($A436,'Input Statistiche 2025_26'!$A$3:$A$665,0)),"")</f>
        <v/>
      </c>
      <c r="L436" s="23" t="str">
        <f>IFERROR(INDEX('Input Statistiche 2025_26'!$O$3:$O$665,MATCH($A436,'Input Statistiche 2025_26'!$A$3:$A$665,0)),"")</f>
        <v/>
      </c>
      <c r="M436" s="25"/>
      <c r="N436" s="24">
        <f>IFERROR(INDEX('Input Giocatori 2026_27'!$E$3:$E$493,MATCH($A436,'Input Giocatori 2026_27'!$A$3:$A$493,0)),"")</f>
        <v>1</v>
      </c>
      <c r="O436" s="24">
        <f>IFERROR(INDEX('Input Giocatori 2026_27'!$G$3:$G$493,MATCH($A436,'Input Giocatori 2026_27'!$A$3:$A$493,0)),"")</f>
        <v>2</v>
      </c>
      <c r="P436" s="23" t="str">
        <f>IFERROR(IF($O436="","",IF((1-(COUNTIFS($B$2:$B$492,$B436,$O$2:$O$492,"&gt;"&amp;$O436)+1-1)/COUNTIF($B$2:$B$492,$B436))&gt;='Parametri Modello'!$B$63,"Top",IF((1-(COUNTIFS($B$2:$B$492,$B436,$O$2:$O$492,"&gt;"&amp;$O436)+1-1)/COUNTIF($B$2:$B$492,$B436))&gt;='Parametri Modello'!$B$64,"Buono",IF((1-(COUNTIFS($B$2:$B$492,$B436,$O$2:$O$492,"&gt;"&amp;$O436)+1-1)/COUNTIF($B$2:$B$492,$B436))&gt;='Parametri Modello'!$B$65,"Nella Media","Scommessa/Riserva")))),"")</f>
        <v>Scommessa/Riserva</v>
      </c>
      <c r="Q436" s="26" t="str">
        <f>IF(AND($D436="",$N436&gt;1),SUMPRODUCT(($D$2:$D436="")*($N$2:$N436&gt;1)),"")</f>
        <v/>
      </c>
      <c r="R436" s="26" t="str">
        <f>IF($D436='Info Lega'!$B$28,COUNTIFS($D$2:$D436,'Info Lega'!$B$28),"")</f>
        <v/>
      </c>
      <c r="S436" s="27" t="str">
        <f>IFERROR(INDEX('Input Statistiche 2025_26'!$G$3:$G$665,MATCH($A436,'Input Statistiche 2025_26'!$A$3:$A$665,0)),"")</f>
        <v/>
      </c>
      <c r="T436" s="27" t="str">
        <f>IFERROR(INDEX('Input Statistiche 2025_26'!$H$3:$H$665,MATCH($A436,'Input Statistiche 2025_26'!$A$3:$A$665,0)),"")</f>
        <v/>
      </c>
      <c r="U436" s="23" t="str">
        <f>IF(OR('La Mia Rosa'!$O$12="",$D436&lt;&gt;""),"",IF($F436&lt;='La Mia Rosa'!$O$12*'Parametri Modello'!$B$24,"OK",IF($F436&lt;='La Mia Rosa'!$O$12*'Parametri Modello'!$B$25,"Attenzione","Rischio Alto")))</f>
        <v>OK</v>
      </c>
      <c r="V436" s="23">
        <f t="shared" si="55"/>
        <v>163</v>
      </c>
      <c r="W436" s="18">
        <f>'Info Lega'!$B$4-SUMIFS($M$2:$M$492,$D$2:$D$492,'Info Lega'!$B$28)</f>
        <v>1000</v>
      </c>
      <c r="X436" s="18">
        <f>('Info Lega'!$B$5-COUNTIFS($D$2:$D$492,'Info Lega'!$B$28,$B$2:$B$492,"P"))+('Info Lega'!$B$6-COUNTIFS($D$2:$D$492,'Info Lega'!$B$28,$B$2:$B$492,"D"))+('Info Lega'!$B$7-COUNTIFS($D$2:$D$492,'Info Lega'!$B$28,$B$2:$B$492,"C"))+('Info Lega'!$B$8-COUNTIFS($D$2:$D$492,'Info Lega'!$B$28,$B$2:$B$492,"A"))</f>
        <v>25</v>
      </c>
      <c r="Y436" s="18">
        <f>X436*'Parametri Modello'!$B$30</f>
        <v>25</v>
      </c>
      <c r="Z436" s="18">
        <f t="shared" si="56"/>
        <v>975</v>
      </c>
      <c r="AA436" s="18">
        <f t="shared" si="57"/>
        <v>0</v>
      </c>
      <c r="AB436" s="18"/>
      <c r="AC436" s="18" t="str">
        <f>IF($AB436="","",IF($AB436&gt;$AA436,"PASS",IF($AB436&lt;=$AA436*(1-'Parametri Modello'!$B$68),"BID","ATTENZIONE")))</f>
        <v/>
      </c>
      <c r="AD436" s="28" t="str">
        <f t="shared" si="58"/>
        <v/>
      </c>
      <c r="AE436" s="5" t="str">
        <f>IFERROR(INDEX('Stato Asta'!$G$9:$G$12,MATCH($B436,'Stato Asta'!$A$9:$A$12,0)),"")</f>
        <v>🔴 Non aspettare</v>
      </c>
      <c r="AF436" t="str">
        <f>IFERROR(IF($V436&lt;=INDEX('Parametri Modello'!$C$57:$C$60,MATCH($B436,'Parametri Modello'!$A$57:$A$60,0)),"Titolare","Riserva"),"")</f>
        <v>Riserva</v>
      </c>
      <c r="AG436" t="str">
        <f>IFERROR(INDEX('Pressione Competitiva'!$F$3:$F$6,MATCH($B436,'Pressione Competitiva'!$B$3:$B$6,0)),"")</f>
        <v>🔴 Molto Alta</v>
      </c>
      <c r="AH436" t="str">
        <f t="shared" si="59"/>
        <v/>
      </c>
      <c r="AI436" t="str">
        <f>IFERROR(IF($AH436="","",IF($AH436&gt;=$AA436*'Parametri Modello'!$B$68,"🟢 Opportunita'",IF($AH436&lt;=$AA436*'Parametri Modello'!$B$69,"🔴 Sovrapprezzo","🟡 Prezzo Corretto"))),"")</f>
        <v/>
      </c>
      <c r="AJ436" t="str">
        <f t="shared" si="60"/>
        <v/>
      </c>
      <c r="AK436" t="str">
        <f t="shared" si="61"/>
        <v/>
      </c>
      <c r="AL436" t="str">
        <f t="shared" si="62"/>
        <v/>
      </c>
    </row>
    <row r="437" spans="1:38" ht="14.25" customHeight="1" x14ac:dyDescent="0.25">
      <c r="A437" s="18">
        <v>7260</v>
      </c>
      <c r="B437" s="18" t="s">
        <v>16</v>
      </c>
      <c r="C437" s="18" t="s">
        <v>576</v>
      </c>
      <c r="E437" s="23" t="str">
        <f>IF(COUNTIF('Info Strategia'!$D$2:$D$51,$C437)&gt;0,"SI","NO")</f>
        <v>NO</v>
      </c>
      <c r="F437" s="24">
        <f>IFERROR(ROUND(($G437+($H437-$G437)*'Info Strategia'!$B$6)*(1+IF($E437="SI",'Parametri Modello'!$B$7*'Info Strategia'!$B$6,0)),0),"")</f>
        <v>0</v>
      </c>
      <c r="G437" s="24">
        <f>IFERROR(ROUND(MAX(1,(IF($V437&lt;=INDEX('Parametri Modello'!$C$57:$C$60,MATCH($B437,'Parametri Modello'!$A$57:$A$60,0)),IF(INDEX('Parametri Modello'!$E$57:$E$60,MATCH($B437,'Parametri Modello'!$A$57:$A$60,0))=0,0,($O437/INDEX('Parametri Modello'!$E$57:$E$60,MATCH($B437,'Parametri Modello'!$A$57:$A$60,0)))*(INDEX('Parametri Modello'!$D$57:$D$60,MATCH($B437,'Parametri Modello'!$A$57:$A$60,0))*(INDEX('Parametri Modello'!$B$50:$B$53,MATCH($B437,'Parametri Modello'!$A$50:$A$53,0))*'Parametri Modello'!$B$44))),IF(INDEX('Parametri Modello'!$F$57:$F$60,MATCH($B437,'Parametri Modello'!$A$57:$A$60,0))=0,0,($O437/INDEX('Parametri Modello'!$F$57:$F$60,MATCH($B437,'Parametri Modello'!$A$57:$A$60,0)))*((1-INDEX('Parametri Modello'!$D$57:$D$60,MATCH($B437,'Parametri Modello'!$A$57:$A$60,0)))*(INDEX('Parametri Modello'!$B$50:$B$53,MATCH($B437,'Parametri Modello'!$A$50:$A$53,0))*'Parametri Modello'!$B$44))))*(1+IF(IF($B437="D",'Info Lega'!$B$25,IF($B437="C",'Info Lega'!$B$26,"No"))="Si",'Parametri Modello'!$B$5,0))*(1+MAX(-0.25,MIN(0.25,IF(OR($T437="",$I437="",$I437=0,INDEX('Parametri Modello'!$B$19:$B$22,MATCH($B437,'Parametri Modello'!$A$19:$A$22,0))="",INDEX('Parametri Modello'!$B$19:$B$22,MATCH($B437,'Parametri Modello'!$A$19:$A$22,0))=0),0,(($T437-INDEX('Parametri Modello'!$B$19:$B$22,MATCH($B437,'Parametri Modello'!$A$19:$A$22,0)))/INDEX('Parametri Modello'!$B$19:$B$22,MATCH($B437,'Parametri Modello'!$A$19:$A$22,0)))*'Parametri Modello'!$B$9))))*(1+IF('Parametri Modello'!$B$27="Si",MAX(-'Parametri Modello'!$B$28,MIN('Parametri Modello'!$B$28*1.5,IF(OR(INDEX('Parametri Modello'!$F$32:$F$35,MATCH($B437,'Parametri Modello'!$A$32:$A$35,0))="",INDEX('Parametri Modello'!$F$32:$F$35,MATCH($B437,'Parametri Modello'!$A$32:$A$35,0))=0),0,(1/INDEX('Parametri Modello'!$F$32:$F$35,MATCH($B437,'Parametri Modello'!$A$32:$A$35,0))-1)*'Parametri Modello'!$B$28))),0)))*(1-INDEX('Parametri Modello'!$B$12:$B$15,MATCH($B437,'Parametri Modello'!$A$12:$A$15,0)))),0),"")</f>
        <v>1</v>
      </c>
      <c r="H437" s="24">
        <f>IFERROR(ROUND((IF($V437&lt;=INDEX('Parametri Modello'!$C$57:$C$60,MATCH($B437,'Parametri Modello'!$A$57:$A$60,0)),IF(INDEX('Parametri Modello'!$E$57:$E$60,MATCH($B437,'Parametri Modello'!$A$57:$A$60,0))=0,0,($O437/INDEX('Parametri Modello'!$E$57:$E$60,MATCH($B437,'Parametri Modello'!$A$57:$A$60,0)))*(INDEX('Parametri Modello'!$D$57:$D$60,MATCH($B437,'Parametri Modello'!$A$57:$A$60,0))*(INDEX('Parametri Modello'!$B$50:$B$53,MATCH($B437,'Parametri Modello'!$A$50:$A$53,0))*'Parametri Modello'!$B$44))),IF(INDEX('Parametri Modello'!$F$57:$F$60,MATCH($B437,'Parametri Modello'!$A$57:$A$60,0))=0,0,($O437/INDEX('Parametri Modello'!$F$57:$F$60,MATCH($B437,'Parametri Modello'!$A$57:$A$60,0)))*((1-INDEX('Parametri Modello'!$D$57:$D$60,MATCH($B437,'Parametri Modello'!$A$57:$A$60,0)))*(INDEX('Parametri Modello'!$B$50:$B$53,MATCH($B437,'Parametri Modello'!$A$50:$A$53,0))*'Parametri Modello'!$B$44))))*(1+IF(IF($B437="D",'Info Lega'!$B$25,IF($B437="C",'Info Lega'!$B$26,"No"))="Si",'Parametri Modello'!$B$5,0))*(1+MAX(-0.25,MIN(0.25,IF(OR($T437="",$I437="",$I437=0,INDEX('Parametri Modello'!$B$19:$B$22,MATCH($B437,'Parametri Modello'!$A$19:$A$22,0))="",INDEX('Parametri Modello'!$B$19:$B$22,MATCH($B437,'Parametri Modello'!$A$19:$A$22,0))=0),0,(($T437-INDEX('Parametri Modello'!$B$19:$B$22,MATCH($B437,'Parametri Modello'!$A$19:$A$22,0)))/INDEX('Parametri Modello'!$B$19:$B$22,MATCH($B437,'Parametri Modello'!$A$19:$A$22,0)))*'Parametri Modello'!$B$9))))*(1+IF('Parametri Modello'!$B$27="Si",MAX(-'Parametri Modello'!$B$28,MIN('Parametri Modello'!$B$28*1.5,IF(OR(INDEX('Parametri Modello'!$F$32:$F$35,MATCH($B437,'Parametri Modello'!$A$32:$A$35,0))="",INDEX('Parametri Modello'!$F$32:$F$35,MATCH($B437,'Parametri Modello'!$A$32:$A$35,0))=0),0,(1/INDEX('Parametri Modello'!$F$32:$F$35,MATCH($B437,'Parametri Modello'!$A$32:$A$35,0))-1)*'Parametri Modello'!$B$28))),0)))*(1+INDEX('Parametri Modello'!$B$12:$B$15,MATCH($B437,'Parametri Modello'!$A$12:$A$15,0))),0),"")</f>
        <v>0</v>
      </c>
      <c r="I437" s="23">
        <f>IFERROR(INDEX('Input Statistiche 2025_26'!$F$3:$F$665,MATCH($A437,'Input Statistiche 2025_26'!$A$3:$A$665,0)),"")</f>
        <v>9</v>
      </c>
      <c r="J437" s="23">
        <f t="shared" si="54"/>
        <v>29</v>
      </c>
      <c r="K437" s="23">
        <f>IFERROR(INDEX('Input Statistiche 2025_26'!$I$3:$I$665,MATCH($A437,'Input Statistiche 2025_26'!$A$3:$A$665,0)),"")</f>
        <v>0</v>
      </c>
      <c r="L437" s="23">
        <f>IFERROR(INDEX('Input Statistiche 2025_26'!$O$3:$O$665,MATCH($A437,'Input Statistiche 2025_26'!$A$3:$A$665,0)),"")</f>
        <v>0</v>
      </c>
      <c r="M437" s="25"/>
      <c r="N437" s="24">
        <f>IFERROR(INDEX('Input Giocatori 2026_27'!$E$3:$E$493,MATCH($A437,'Input Giocatori 2026_27'!$A$3:$A$493,0)),"")</f>
        <v>1</v>
      </c>
      <c r="O437" s="24">
        <f>IFERROR(INDEX('Input Giocatori 2026_27'!$G$3:$G$493,MATCH($A437,'Input Giocatori 2026_27'!$A$3:$A$493,0)),"")</f>
        <v>2</v>
      </c>
      <c r="P437" s="23" t="str">
        <f>IFERROR(IF($O437="","",IF((1-(COUNTIFS($B$2:$B$492,$B437,$O$2:$O$492,"&gt;"&amp;$O437)+1-1)/COUNTIF($B$2:$B$492,$B437))&gt;='Parametri Modello'!$B$63,"Top",IF((1-(COUNTIFS($B$2:$B$492,$B437,$O$2:$O$492,"&gt;"&amp;$O437)+1-1)/COUNTIF($B$2:$B$492,$B437))&gt;='Parametri Modello'!$B$64,"Buono",IF((1-(COUNTIFS($B$2:$B$492,$B437,$O$2:$O$492,"&gt;"&amp;$O437)+1-1)/COUNTIF($B$2:$B$492,$B437))&gt;='Parametri Modello'!$B$65,"Nella Media","Scommessa/Riserva")))),"")</f>
        <v>Scommessa/Riserva</v>
      </c>
      <c r="Q437" s="26" t="str">
        <f>IF(AND($D437="",$N437&gt;1),SUMPRODUCT(($D$2:$D437="")*($N$2:$N437&gt;1)),"")</f>
        <v/>
      </c>
      <c r="R437" s="26" t="str">
        <f>IF($D437='Info Lega'!$B$28,COUNTIFS($D$2:$D437,'Info Lega'!$B$28),"")</f>
        <v/>
      </c>
      <c r="S437" s="27">
        <f>IFERROR(INDEX('Input Statistiche 2025_26'!$G$3:$G$665,MATCH($A437,'Input Statistiche 2025_26'!$A$3:$A$665,0)),"")</f>
        <v>5.94</v>
      </c>
      <c r="T437" s="27">
        <f>IFERROR(INDEX('Input Statistiche 2025_26'!$H$3:$H$665,MATCH($A437,'Input Statistiche 2025_26'!$A$3:$A$665,0)),"")</f>
        <v>5.78</v>
      </c>
      <c r="U437" s="23" t="str">
        <f>IF(OR('La Mia Rosa'!$O$12="",$D437&lt;&gt;""),"",IF($F437&lt;='La Mia Rosa'!$O$12*'Parametri Modello'!$B$24,"OK",IF($F437&lt;='La Mia Rosa'!$O$12*'Parametri Modello'!$B$25,"Attenzione","Rischio Alto")))</f>
        <v>OK</v>
      </c>
      <c r="V437" s="23">
        <f t="shared" si="55"/>
        <v>163</v>
      </c>
      <c r="W437" s="18">
        <f>'Info Lega'!$B$4-SUMIFS($M$2:$M$492,$D$2:$D$492,'Info Lega'!$B$28)</f>
        <v>1000</v>
      </c>
      <c r="X437" s="18">
        <f>('Info Lega'!$B$5-COUNTIFS($D$2:$D$492,'Info Lega'!$B$28,$B$2:$B$492,"P"))+('Info Lega'!$B$6-COUNTIFS($D$2:$D$492,'Info Lega'!$B$28,$B$2:$B$492,"D"))+('Info Lega'!$B$7-COUNTIFS($D$2:$D$492,'Info Lega'!$B$28,$B$2:$B$492,"C"))+('Info Lega'!$B$8-COUNTIFS($D$2:$D$492,'Info Lega'!$B$28,$B$2:$B$492,"A"))</f>
        <v>25</v>
      </c>
      <c r="Y437" s="18">
        <f>X437*'Parametri Modello'!$B$30</f>
        <v>25</v>
      </c>
      <c r="Z437" s="18">
        <f t="shared" si="56"/>
        <v>975</v>
      </c>
      <c r="AA437" s="18">
        <f t="shared" si="57"/>
        <v>0</v>
      </c>
      <c r="AB437" s="18"/>
      <c r="AC437" s="18" t="str">
        <f>IF($AB437="","",IF($AB437&gt;$AA437,"PASS",IF($AB437&lt;=$AA437*(1-'Parametri Modello'!$B$68),"BID","ATTENZIONE")))</f>
        <v/>
      </c>
      <c r="AD437" s="28">
        <f t="shared" si="58"/>
        <v>26</v>
      </c>
      <c r="AE437" s="5" t="str">
        <f>IFERROR(INDEX('Stato Asta'!$G$9:$G$12,MATCH($B437,'Stato Asta'!$A$9:$A$12,0)),"")</f>
        <v>🔴 Non aspettare</v>
      </c>
      <c r="AF437" t="str">
        <f>IFERROR(IF($V437&lt;=INDEX('Parametri Modello'!$C$57:$C$60,MATCH($B437,'Parametri Modello'!$A$57:$A$60,0)),"Titolare","Riserva"),"")</f>
        <v>Riserva</v>
      </c>
      <c r="AG437" t="str">
        <f>IFERROR(INDEX('Pressione Competitiva'!$F$3:$F$6,MATCH($B437,'Pressione Competitiva'!$B$3:$B$6,0)),"")</f>
        <v>🔴 Molto Alta</v>
      </c>
      <c r="AH437" t="str">
        <f t="shared" si="59"/>
        <v/>
      </c>
      <c r="AI437" t="str">
        <f>IFERROR(IF($AH437="","",IF($AH437&gt;=$AA437*'Parametri Modello'!$B$68,"🟢 Opportunita'",IF($AH437&lt;=$AA437*'Parametri Modello'!$B$69,"🔴 Sovrapprezzo","🟡 Prezzo Corretto"))),"")</f>
        <v/>
      </c>
      <c r="AJ437" t="str">
        <f t="shared" si="60"/>
        <v/>
      </c>
      <c r="AK437" t="str">
        <f t="shared" si="61"/>
        <v/>
      </c>
      <c r="AL437" t="str">
        <f t="shared" si="62"/>
        <v/>
      </c>
    </row>
    <row r="438" spans="1:38" ht="14.25" customHeight="1" x14ac:dyDescent="0.25">
      <c r="A438" s="18">
        <v>6189</v>
      </c>
      <c r="B438" s="18" t="s">
        <v>16</v>
      </c>
      <c r="C438" s="18" t="s">
        <v>577</v>
      </c>
      <c r="E438" s="23" t="str">
        <f>IF(COUNTIF('Info Strategia'!$D$2:$D$51,$C438)&gt;0,"SI","NO")</f>
        <v>NO</v>
      </c>
      <c r="F438" s="24">
        <f>IFERROR(ROUND(($G438+($H438-$G438)*'Info Strategia'!$B$6)*(1+IF($E438="SI",'Parametri Modello'!$B$7*'Info Strategia'!$B$6,0)),0),"")</f>
        <v>0</v>
      </c>
      <c r="G438" s="24">
        <f>IFERROR(ROUND(MAX(1,(IF($V438&lt;=INDEX('Parametri Modello'!$C$57:$C$60,MATCH($B438,'Parametri Modello'!$A$57:$A$60,0)),IF(INDEX('Parametri Modello'!$E$57:$E$60,MATCH($B438,'Parametri Modello'!$A$57:$A$60,0))=0,0,($O438/INDEX('Parametri Modello'!$E$57:$E$60,MATCH($B438,'Parametri Modello'!$A$57:$A$60,0)))*(INDEX('Parametri Modello'!$D$57:$D$60,MATCH($B438,'Parametri Modello'!$A$57:$A$60,0))*(INDEX('Parametri Modello'!$B$50:$B$53,MATCH($B438,'Parametri Modello'!$A$50:$A$53,0))*'Parametri Modello'!$B$44))),IF(INDEX('Parametri Modello'!$F$57:$F$60,MATCH($B438,'Parametri Modello'!$A$57:$A$60,0))=0,0,($O438/INDEX('Parametri Modello'!$F$57:$F$60,MATCH($B438,'Parametri Modello'!$A$57:$A$60,0)))*((1-INDEX('Parametri Modello'!$D$57:$D$60,MATCH($B438,'Parametri Modello'!$A$57:$A$60,0)))*(INDEX('Parametri Modello'!$B$50:$B$53,MATCH($B438,'Parametri Modello'!$A$50:$A$53,0))*'Parametri Modello'!$B$44))))*(1+IF(IF($B438="D",'Info Lega'!$B$25,IF($B438="C",'Info Lega'!$B$26,"No"))="Si",'Parametri Modello'!$B$5,0))*(1+MAX(-0.25,MIN(0.25,IF(OR($T438="",$I438="",$I438=0,INDEX('Parametri Modello'!$B$19:$B$22,MATCH($B438,'Parametri Modello'!$A$19:$A$22,0))="",INDEX('Parametri Modello'!$B$19:$B$22,MATCH($B438,'Parametri Modello'!$A$19:$A$22,0))=0),0,(($T438-INDEX('Parametri Modello'!$B$19:$B$22,MATCH($B438,'Parametri Modello'!$A$19:$A$22,0)))/INDEX('Parametri Modello'!$B$19:$B$22,MATCH($B438,'Parametri Modello'!$A$19:$A$22,0)))*'Parametri Modello'!$B$9))))*(1+IF('Parametri Modello'!$B$27="Si",MAX(-'Parametri Modello'!$B$28,MIN('Parametri Modello'!$B$28*1.5,IF(OR(INDEX('Parametri Modello'!$F$32:$F$35,MATCH($B438,'Parametri Modello'!$A$32:$A$35,0))="",INDEX('Parametri Modello'!$F$32:$F$35,MATCH($B438,'Parametri Modello'!$A$32:$A$35,0))=0),0,(1/INDEX('Parametri Modello'!$F$32:$F$35,MATCH($B438,'Parametri Modello'!$A$32:$A$35,0))-1)*'Parametri Modello'!$B$28))),0)))*(1-INDEX('Parametri Modello'!$B$12:$B$15,MATCH($B438,'Parametri Modello'!$A$12:$A$15,0)))),0),"")</f>
        <v>1</v>
      </c>
      <c r="H438" s="24">
        <f>IFERROR(ROUND((IF($V438&lt;=INDEX('Parametri Modello'!$C$57:$C$60,MATCH($B438,'Parametri Modello'!$A$57:$A$60,0)),IF(INDEX('Parametri Modello'!$E$57:$E$60,MATCH($B438,'Parametri Modello'!$A$57:$A$60,0))=0,0,($O438/INDEX('Parametri Modello'!$E$57:$E$60,MATCH($B438,'Parametri Modello'!$A$57:$A$60,0)))*(INDEX('Parametri Modello'!$D$57:$D$60,MATCH($B438,'Parametri Modello'!$A$57:$A$60,0))*(INDEX('Parametri Modello'!$B$50:$B$53,MATCH($B438,'Parametri Modello'!$A$50:$A$53,0))*'Parametri Modello'!$B$44))),IF(INDEX('Parametri Modello'!$F$57:$F$60,MATCH($B438,'Parametri Modello'!$A$57:$A$60,0))=0,0,($O438/INDEX('Parametri Modello'!$F$57:$F$60,MATCH($B438,'Parametri Modello'!$A$57:$A$60,0)))*((1-INDEX('Parametri Modello'!$D$57:$D$60,MATCH($B438,'Parametri Modello'!$A$57:$A$60,0)))*(INDEX('Parametri Modello'!$B$50:$B$53,MATCH($B438,'Parametri Modello'!$A$50:$A$53,0))*'Parametri Modello'!$B$44))))*(1+IF(IF($B438="D",'Info Lega'!$B$25,IF($B438="C",'Info Lega'!$B$26,"No"))="Si",'Parametri Modello'!$B$5,0))*(1+MAX(-0.25,MIN(0.25,IF(OR($T438="",$I438="",$I438=0,INDEX('Parametri Modello'!$B$19:$B$22,MATCH($B438,'Parametri Modello'!$A$19:$A$22,0))="",INDEX('Parametri Modello'!$B$19:$B$22,MATCH($B438,'Parametri Modello'!$A$19:$A$22,0))=0),0,(($T438-INDEX('Parametri Modello'!$B$19:$B$22,MATCH($B438,'Parametri Modello'!$A$19:$A$22,0)))/INDEX('Parametri Modello'!$B$19:$B$22,MATCH($B438,'Parametri Modello'!$A$19:$A$22,0)))*'Parametri Modello'!$B$9))))*(1+IF('Parametri Modello'!$B$27="Si",MAX(-'Parametri Modello'!$B$28,MIN('Parametri Modello'!$B$28*1.5,IF(OR(INDEX('Parametri Modello'!$F$32:$F$35,MATCH($B438,'Parametri Modello'!$A$32:$A$35,0))="",INDEX('Parametri Modello'!$F$32:$F$35,MATCH($B438,'Parametri Modello'!$A$32:$A$35,0))=0),0,(1/INDEX('Parametri Modello'!$F$32:$F$35,MATCH($B438,'Parametri Modello'!$A$32:$A$35,0))-1)*'Parametri Modello'!$B$28))),0)))*(1+INDEX('Parametri Modello'!$B$12:$B$15,MATCH($B438,'Parametri Modello'!$A$12:$A$15,0))),0),"")</f>
        <v>0</v>
      </c>
      <c r="I438" s="23">
        <f>IFERROR(INDEX('Input Statistiche 2025_26'!$F$3:$F$665,MATCH($A438,'Input Statistiche 2025_26'!$A$3:$A$665,0)),"")</f>
        <v>0</v>
      </c>
      <c r="J438" s="23">
        <f t="shared" si="54"/>
        <v>38</v>
      </c>
      <c r="K438" s="23">
        <f>IFERROR(INDEX('Input Statistiche 2025_26'!$I$3:$I$665,MATCH($A438,'Input Statistiche 2025_26'!$A$3:$A$665,0)),"")</f>
        <v>0</v>
      </c>
      <c r="L438" s="23">
        <f>IFERROR(INDEX('Input Statistiche 2025_26'!$O$3:$O$665,MATCH($A438,'Input Statistiche 2025_26'!$A$3:$A$665,0)),"")</f>
        <v>0</v>
      </c>
      <c r="M438" s="25"/>
      <c r="N438" s="24">
        <f>IFERROR(INDEX('Input Giocatori 2026_27'!$E$3:$E$493,MATCH($A438,'Input Giocatori 2026_27'!$A$3:$A$493,0)),"")</f>
        <v>1</v>
      </c>
      <c r="O438" s="24">
        <f>IFERROR(INDEX('Input Giocatori 2026_27'!$G$3:$G$493,MATCH($A438,'Input Giocatori 2026_27'!$A$3:$A$493,0)),"")</f>
        <v>2</v>
      </c>
      <c r="P438" s="23" t="str">
        <f>IFERROR(IF($O438="","",IF((1-(COUNTIFS($B$2:$B$492,$B438,$O$2:$O$492,"&gt;"&amp;$O438)+1-1)/COUNTIF($B$2:$B$492,$B438))&gt;='Parametri Modello'!$B$63,"Top",IF((1-(COUNTIFS($B$2:$B$492,$B438,$O$2:$O$492,"&gt;"&amp;$O438)+1-1)/COUNTIF($B$2:$B$492,$B438))&gt;='Parametri Modello'!$B$64,"Buono",IF((1-(COUNTIFS($B$2:$B$492,$B438,$O$2:$O$492,"&gt;"&amp;$O438)+1-1)/COUNTIF($B$2:$B$492,$B438))&gt;='Parametri Modello'!$B$65,"Nella Media","Scommessa/Riserva")))),"")</f>
        <v>Scommessa/Riserva</v>
      </c>
      <c r="Q438" s="26" t="str">
        <f>IF(AND($D438="",$N438&gt;1),SUMPRODUCT(($D$2:$D438="")*($N$2:$N438&gt;1)),"")</f>
        <v/>
      </c>
      <c r="R438" s="26" t="str">
        <f>IF($D438='Info Lega'!$B$28,COUNTIFS($D$2:$D438,'Info Lega'!$B$28),"")</f>
        <v/>
      </c>
      <c r="S438" s="27">
        <f>IFERROR(INDEX('Input Statistiche 2025_26'!$G$3:$G$665,MATCH($A438,'Input Statistiche 2025_26'!$A$3:$A$665,0)),"")</f>
        <v>0</v>
      </c>
      <c r="T438" s="27">
        <f>IFERROR(INDEX('Input Statistiche 2025_26'!$H$3:$H$665,MATCH($A438,'Input Statistiche 2025_26'!$A$3:$A$665,0)),"")</f>
        <v>0</v>
      </c>
      <c r="U438" s="23" t="str">
        <f>IF(OR('La Mia Rosa'!$O$12="",$D438&lt;&gt;""),"",IF($F438&lt;='La Mia Rosa'!$O$12*'Parametri Modello'!$B$24,"OK",IF($F438&lt;='La Mia Rosa'!$O$12*'Parametri Modello'!$B$25,"Attenzione","Rischio Alto")))</f>
        <v>OK</v>
      </c>
      <c r="V438" s="23">
        <f t="shared" si="55"/>
        <v>163</v>
      </c>
      <c r="W438" s="18">
        <f>'Info Lega'!$B$4-SUMIFS($M$2:$M$492,$D$2:$D$492,'Info Lega'!$B$28)</f>
        <v>1000</v>
      </c>
      <c r="X438" s="18">
        <f>('Info Lega'!$B$5-COUNTIFS($D$2:$D$492,'Info Lega'!$B$28,$B$2:$B$492,"P"))+('Info Lega'!$B$6-COUNTIFS($D$2:$D$492,'Info Lega'!$B$28,$B$2:$B$492,"D"))+('Info Lega'!$B$7-COUNTIFS($D$2:$D$492,'Info Lega'!$B$28,$B$2:$B$492,"C"))+('Info Lega'!$B$8-COUNTIFS($D$2:$D$492,'Info Lega'!$B$28,$B$2:$B$492,"A"))</f>
        <v>25</v>
      </c>
      <c r="Y438" s="18">
        <f>X438*'Parametri Modello'!$B$30</f>
        <v>25</v>
      </c>
      <c r="Z438" s="18">
        <f t="shared" si="56"/>
        <v>975</v>
      </c>
      <c r="AA438" s="18">
        <f t="shared" si="57"/>
        <v>0</v>
      </c>
      <c r="AB438" s="18"/>
      <c r="AC438" s="18" t="str">
        <f>IF($AB438="","",IF($AB438&gt;$AA438,"PASS",IF($AB438&lt;=$AA438*(1-'Parametri Modello'!$B$68),"BID","ATTENZIONE")))</f>
        <v/>
      </c>
      <c r="AD438" s="28">
        <f t="shared" si="58"/>
        <v>0</v>
      </c>
      <c r="AE438" s="5" t="str">
        <f>IFERROR(INDEX('Stato Asta'!$G$9:$G$12,MATCH($B438,'Stato Asta'!$A$9:$A$12,0)),"")</f>
        <v>🔴 Non aspettare</v>
      </c>
      <c r="AF438" t="str">
        <f>IFERROR(IF($V438&lt;=INDEX('Parametri Modello'!$C$57:$C$60,MATCH($B438,'Parametri Modello'!$A$57:$A$60,0)),"Titolare","Riserva"),"")</f>
        <v>Riserva</v>
      </c>
      <c r="AG438" t="str">
        <f>IFERROR(INDEX('Pressione Competitiva'!$F$3:$F$6,MATCH($B438,'Pressione Competitiva'!$B$3:$B$6,0)),"")</f>
        <v>🔴 Molto Alta</v>
      </c>
      <c r="AH438" t="str">
        <f t="shared" si="59"/>
        <v/>
      </c>
      <c r="AI438" t="str">
        <f>IFERROR(IF($AH438="","",IF($AH438&gt;=$AA438*'Parametri Modello'!$B$68,"🟢 Opportunita'",IF($AH438&lt;=$AA438*'Parametri Modello'!$B$69,"🔴 Sovrapprezzo","🟡 Prezzo Corretto"))),"")</f>
        <v/>
      </c>
      <c r="AJ438" t="str">
        <f t="shared" si="60"/>
        <v/>
      </c>
      <c r="AK438" t="str">
        <f t="shared" si="61"/>
        <v/>
      </c>
      <c r="AL438" t="str">
        <f t="shared" si="62"/>
        <v/>
      </c>
    </row>
    <row r="439" spans="1:38" ht="14.25" customHeight="1" x14ac:dyDescent="0.25">
      <c r="A439" s="18">
        <v>6410</v>
      </c>
      <c r="B439" s="18" t="s">
        <v>17</v>
      </c>
      <c r="C439" s="18" t="s">
        <v>578</v>
      </c>
      <c r="E439" s="23" t="str">
        <f>IF(COUNTIF('Info Strategia'!$D$2:$D$51,$C439)&gt;0,"SI","NO")</f>
        <v>NO</v>
      </c>
      <c r="F439" s="24">
        <f>IFERROR(ROUND(($G439+($H439-$G439)*'Info Strategia'!$B$6)*(1+IF($E439="SI",'Parametri Modello'!$B$7*'Info Strategia'!$B$6,0)),0),"")</f>
        <v>0</v>
      </c>
      <c r="G439" s="24">
        <f>IFERROR(ROUND(MAX(1,(IF($V439&lt;=INDEX('Parametri Modello'!$C$57:$C$60,MATCH($B439,'Parametri Modello'!$A$57:$A$60,0)),IF(INDEX('Parametri Modello'!$E$57:$E$60,MATCH($B439,'Parametri Modello'!$A$57:$A$60,0))=0,0,($O439/INDEX('Parametri Modello'!$E$57:$E$60,MATCH($B439,'Parametri Modello'!$A$57:$A$60,0)))*(INDEX('Parametri Modello'!$D$57:$D$60,MATCH($B439,'Parametri Modello'!$A$57:$A$60,0))*(INDEX('Parametri Modello'!$B$50:$B$53,MATCH($B439,'Parametri Modello'!$A$50:$A$53,0))*'Parametri Modello'!$B$44))),IF(INDEX('Parametri Modello'!$F$57:$F$60,MATCH($B439,'Parametri Modello'!$A$57:$A$60,0))=0,0,($O439/INDEX('Parametri Modello'!$F$57:$F$60,MATCH($B439,'Parametri Modello'!$A$57:$A$60,0)))*((1-INDEX('Parametri Modello'!$D$57:$D$60,MATCH($B439,'Parametri Modello'!$A$57:$A$60,0)))*(INDEX('Parametri Modello'!$B$50:$B$53,MATCH($B439,'Parametri Modello'!$A$50:$A$53,0))*'Parametri Modello'!$B$44))))*(1+IF(IF($B439="D",'Info Lega'!$B$25,IF($B439="C",'Info Lega'!$B$26,"No"))="Si",'Parametri Modello'!$B$5,0))*(1+MAX(-0.25,MIN(0.25,IF(OR($T439="",$I439="",$I439=0,INDEX('Parametri Modello'!$B$19:$B$22,MATCH($B439,'Parametri Modello'!$A$19:$A$22,0))="",INDEX('Parametri Modello'!$B$19:$B$22,MATCH($B439,'Parametri Modello'!$A$19:$A$22,0))=0),0,(($T439-INDEX('Parametri Modello'!$B$19:$B$22,MATCH($B439,'Parametri Modello'!$A$19:$A$22,0)))/INDEX('Parametri Modello'!$B$19:$B$22,MATCH($B439,'Parametri Modello'!$A$19:$A$22,0)))*'Parametri Modello'!$B$9))))*(1+IF('Parametri Modello'!$B$27="Si",MAX(-'Parametri Modello'!$B$28,MIN('Parametri Modello'!$B$28*1.5,IF(OR(INDEX('Parametri Modello'!$F$32:$F$35,MATCH($B439,'Parametri Modello'!$A$32:$A$35,0))="",INDEX('Parametri Modello'!$F$32:$F$35,MATCH($B439,'Parametri Modello'!$A$32:$A$35,0))=0),0,(1/INDEX('Parametri Modello'!$F$32:$F$35,MATCH($B439,'Parametri Modello'!$A$32:$A$35,0))-1)*'Parametri Modello'!$B$28))),0)))*(1-INDEX('Parametri Modello'!$B$12:$B$15,MATCH($B439,'Parametri Modello'!$A$12:$A$15,0)))),0),"")</f>
        <v>1</v>
      </c>
      <c r="H439" s="24">
        <f>IFERROR(ROUND((IF($V439&lt;=INDEX('Parametri Modello'!$C$57:$C$60,MATCH($B439,'Parametri Modello'!$A$57:$A$60,0)),IF(INDEX('Parametri Modello'!$E$57:$E$60,MATCH($B439,'Parametri Modello'!$A$57:$A$60,0))=0,0,($O439/INDEX('Parametri Modello'!$E$57:$E$60,MATCH($B439,'Parametri Modello'!$A$57:$A$60,0)))*(INDEX('Parametri Modello'!$D$57:$D$60,MATCH($B439,'Parametri Modello'!$A$57:$A$60,0))*(INDEX('Parametri Modello'!$B$50:$B$53,MATCH($B439,'Parametri Modello'!$A$50:$A$53,0))*'Parametri Modello'!$B$44))),IF(INDEX('Parametri Modello'!$F$57:$F$60,MATCH($B439,'Parametri Modello'!$A$57:$A$60,0))=0,0,($O439/INDEX('Parametri Modello'!$F$57:$F$60,MATCH($B439,'Parametri Modello'!$A$57:$A$60,0)))*((1-INDEX('Parametri Modello'!$D$57:$D$60,MATCH($B439,'Parametri Modello'!$A$57:$A$60,0)))*(INDEX('Parametri Modello'!$B$50:$B$53,MATCH($B439,'Parametri Modello'!$A$50:$A$53,0))*'Parametri Modello'!$B$44))))*(1+IF(IF($B439="D",'Info Lega'!$B$25,IF($B439="C",'Info Lega'!$B$26,"No"))="Si",'Parametri Modello'!$B$5,0))*(1+MAX(-0.25,MIN(0.25,IF(OR($T439="",$I439="",$I439=0,INDEX('Parametri Modello'!$B$19:$B$22,MATCH($B439,'Parametri Modello'!$A$19:$A$22,0))="",INDEX('Parametri Modello'!$B$19:$B$22,MATCH($B439,'Parametri Modello'!$A$19:$A$22,0))=0),0,(($T439-INDEX('Parametri Modello'!$B$19:$B$22,MATCH($B439,'Parametri Modello'!$A$19:$A$22,0)))/INDEX('Parametri Modello'!$B$19:$B$22,MATCH($B439,'Parametri Modello'!$A$19:$A$22,0)))*'Parametri Modello'!$B$9))))*(1+IF('Parametri Modello'!$B$27="Si",MAX(-'Parametri Modello'!$B$28,MIN('Parametri Modello'!$B$28*1.5,IF(OR(INDEX('Parametri Modello'!$F$32:$F$35,MATCH($B439,'Parametri Modello'!$A$32:$A$35,0))="",INDEX('Parametri Modello'!$F$32:$F$35,MATCH($B439,'Parametri Modello'!$A$32:$A$35,0))=0),0,(1/INDEX('Parametri Modello'!$F$32:$F$35,MATCH($B439,'Parametri Modello'!$A$32:$A$35,0))-1)*'Parametri Modello'!$B$28))),0)))*(1+INDEX('Parametri Modello'!$B$12:$B$15,MATCH($B439,'Parametri Modello'!$A$12:$A$15,0))),0),"")</f>
        <v>0</v>
      </c>
      <c r="I439" s="23">
        <f>IFERROR(INDEX('Input Statistiche 2025_26'!$F$3:$F$665,MATCH($A439,'Input Statistiche 2025_26'!$A$3:$A$665,0)),"")</f>
        <v>11</v>
      </c>
      <c r="J439" s="23">
        <f t="shared" si="54"/>
        <v>27</v>
      </c>
      <c r="K439" s="23">
        <f>IFERROR(INDEX('Input Statistiche 2025_26'!$I$3:$I$665,MATCH($A439,'Input Statistiche 2025_26'!$A$3:$A$665,0)),"")</f>
        <v>0</v>
      </c>
      <c r="L439" s="23">
        <f>IFERROR(INDEX('Input Statistiche 2025_26'!$O$3:$O$665,MATCH($A439,'Input Statistiche 2025_26'!$A$3:$A$665,0)),"")</f>
        <v>0</v>
      </c>
      <c r="M439" s="25"/>
      <c r="N439" s="24">
        <f>IFERROR(INDEX('Input Giocatori 2026_27'!$E$3:$E$493,MATCH($A439,'Input Giocatori 2026_27'!$A$3:$A$493,0)),"")</f>
        <v>1</v>
      </c>
      <c r="O439" s="24">
        <f>IFERROR(INDEX('Input Giocatori 2026_27'!$G$3:$G$493,MATCH($A439,'Input Giocatori 2026_27'!$A$3:$A$493,0)),"")</f>
        <v>2</v>
      </c>
      <c r="P439" s="23" t="str">
        <f>IFERROR(IF($O439="","",IF((1-(COUNTIFS($B$2:$B$492,$B439,$O$2:$O$492,"&gt;"&amp;$O439)+1-1)/COUNTIF($B$2:$B$492,$B439))&gt;='Parametri Modello'!$B$63,"Top",IF((1-(COUNTIFS($B$2:$B$492,$B439,$O$2:$O$492,"&gt;"&amp;$O439)+1-1)/COUNTIF($B$2:$B$492,$B439))&gt;='Parametri Modello'!$B$64,"Buono",IF((1-(COUNTIFS($B$2:$B$492,$B439,$O$2:$O$492,"&gt;"&amp;$O439)+1-1)/COUNTIF($B$2:$B$492,$B439))&gt;='Parametri Modello'!$B$65,"Nella Media","Scommessa/Riserva")))),"")</f>
        <v>Scommessa/Riserva</v>
      </c>
      <c r="Q439" s="26" t="str">
        <f>IF(AND($D439="",$N439&gt;1),SUMPRODUCT(($D$2:$D439="")*($N$2:$N439&gt;1)),"")</f>
        <v/>
      </c>
      <c r="R439" s="26" t="str">
        <f>IF($D439='Info Lega'!$B$28,COUNTIFS($D$2:$D439,'Info Lega'!$B$28),"")</f>
        <v/>
      </c>
      <c r="S439" s="27">
        <f>IFERROR(INDEX('Input Statistiche 2025_26'!$G$3:$G$665,MATCH($A439,'Input Statistiche 2025_26'!$A$3:$A$665,0)),"")</f>
        <v>5.77</v>
      </c>
      <c r="T439" s="27">
        <f>IFERROR(INDEX('Input Statistiche 2025_26'!$H$3:$H$665,MATCH($A439,'Input Statistiche 2025_26'!$A$3:$A$665,0)),"")</f>
        <v>5.73</v>
      </c>
      <c r="U439" s="23" t="str">
        <f>IF(OR('La Mia Rosa'!$O$12="",$D439&lt;&gt;""),"",IF($F439&lt;='La Mia Rosa'!$O$12*'Parametri Modello'!$B$24,"OK",IF($F439&lt;='La Mia Rosa'!$O$12*'Parametri Modello'!$B$25,"Attenzione","Rischio Alto")))</f>
        <v>OK</v>
      </c>
      <c r="V439" s="23">
        <f t="shared" si="55"/>
        <v>167</v>
      </c>
      <c r="W439" s="18">
        <f>'Info Lega'!$B$4-SUMIFS($M$2:$M$492,$D$2:$D$492,'Info Lega'!$B$28)</f>
        <v>1000</v>
      </c>
      <c r="X439" s="18">
        <f>('Info Lega'!$B$5-COUNTIFS($D$2:$D$492,'Info Lega'!$B$28,$B$2:$B$492,"P"))+('Info Lega'!$B$6-COUNTIFS($D$2:$D$492,'Info Lega'!$B$28,$B$2:$B$492,"D"))+('Info Lega'!$B$7-COUNTIFS($D$2:$D$492,'Info Lega'!$B$28,$B$2:$B$492,"C"))+('Info Lega'!$B$8-COUNTIFS($D$2:$D$492,'Info Lega'!$B$28,$B$2:$B$492,"A"))</f>
        <v>25</v>
      </c>
      <c r="Y439" s="18">
        <f>X439*'Parametri Modello'!$B$30</f>
        <v>25</v>
      </c>
      <c r="Z439" s="18">
        <f t="shared" si="56"/>
        <v>975</v>
      </c>
      <c r="AA439" s="18">
        <f t="shared" si="57"/>
        <v>0</v>
      </c>
      <c r="AB439" s="18"/>
      <c r="AC439" s="18" t="str">
        <f>IF($AB439="","",IF($AB439&gt;$AA439,"PASS",IF($AB439&lt;=$AA439*(1-'Parametri Modello'!$B$68),"BID","ATTENZIONE")))</f>
        <v/>
      </c>
      <c r="AD439" s="28">
        <f t="shared" si="58"/>
        <v>31</v>
      </c>
      <c r="AE439" s="5" t="str">
        <f>IFERROR(INDEX('Stato Asta'!$G$9:$G$12,MATCH($B439,'Stato Asta'!$A$9:$A$12,0)),"")</f>
        <v>🔴 Non aspettare</v>
      </c>
      <c r="AF439" t="str">
        <f>IFERROR(IF($V439&lt;=INDEX('Parametri Modello'!$C$57:$C$60,MATCH($B439,'Parametri Modello'!$A$57:$A$60,0)),"Titolare","Riserva"),"")</f>
        <v>Riserva</v>
      </c>
      <c r="AG439" t="str">
        <f>IFERROR(INDEX('Pressione Competitiva'!$F$3:$F$6,MATCH($B439,'Pressione Competitiva'!$B$3:$B$6,0)),"")</f>
        <v>🔴 Molto Alta</v>
      </c>
      <c r="AH439" t="str">
        <f t="shared" si="59"/>
        <v/>
      </c>
      <c r="AI439" t="str">
        <f>IFERROR(IF($AH439="","",IF($AH439&gt;=$AA439*'Parametri Modello'!$B$68,"🟢 Opportunita'",IF($AH439&lt;=$AA439*'Parametri Modello'!$B$69,"🔴 Sovrapprezzo","🟡 Prezzo Corretto"))),"")</f>
        <v/>
      </c>
      <c r="AJ439" t="str">
        <f t="shared" si="60"/>
        <v/>
      </c>
      <c r="AK439" t="str">
        <f t="shared" si="61"/>
        <v/>
      </c>
      <c r="AL439" t="str">
        <f t="shared" si="62"/>
        <v/>
      </c>
    </row>
    <row r="440" spans="1:38" ht="14.25" customHeight="1" x14ac:dyDescent="0.25">
      <c r="A440" s="18">
        <v>7317</v>
      </c>
      <c r="B440" s="18" t="s">
        <v>18</v>
      </c>
      <c r="C440" s="18" t="s">
        <v>579</v>
      </c>
      <c r="E440" s="23" t="str">
        <f>IF(COUNTIF('Info Strategia'!$D$2:$D$51,$C440)&gt;0,"SI","NO")</f>
        <v>NO</v>
      </c>
      <c r="F440" s="24">
        <f>IFERROR(ROUND(($G440+($H440-$G440)*'Info Strategia'!$B$6)*(1+IF($E440="SI",'Parametri Modello'!$B$7*'Info Strategia'!$B$6,0)),0),"")</f>
        <v>1</v>
      </c>
      <c r="G440" s="24">
        <f>IFERROR(ROUND(MAX(1,(IF($V440&lt;=INDEX('Parametri Modello'!$C$57:$C$60,MATCH($B440,'Parametri Modello'!$A$57:$A$60,0)),IF(INDEX('Parametri Modello'!$E$57:$E$60,MATCH($B440,'Parametri Modello'!$A$57:$A$60,0))=0,0,($O440/INDEX('Parametri Modello'!$E$57:$E$60,MATCH($B440,'Parametri Modello'!$A$57:$A$60,0)))*(INDEX('Parametri Modello'!$D$57:$D$60,MATCH($B440,'Parametri Modello'!$A$57:$A$60,0))*(INDEX('Parametri Modello'!$B$50:$B$53,MATCH($B440,'Parametri Modello'!$A$50:$A$53,0))*'Parametri Modello'!$B$44))),IF(INDEX('Parametri Modello'!$F$57:$F$60,MATCH($B440,'Parametri Modello'!$A$57:$A$60,0))=0,0,($O440/INDEX('Parametri Modello'!$F$57:$F$60,MATCH($B440,'Parametri Modello'!$A$57:$A$60,0)))*((1-INDEX('Parametri Modello'!$D$57:$D$60,MATCH($B440,'Parametri Modello'!$A$57:$A$60,0)))*(INDEX('Parametri Modello'!$B$50:$B$53,MATCH($B440,'Parametri Modello'!$A$50:$A$53,0))*'Parametri Modello'!$B$44))))*(1+IF(IF($B440="D",'Info Lega'!$B$25,IF($B440="C",'Info Lega'!$B$26,"No"))="Si",'Parametri Modello'!$B$5,0))*(1+MAX(-0.25,MIN(0.25,IF(OR($T440="",$I440="",$I440=0,INDEX('Parametri Modello'!$B$19:$B$22,MATCH($B440,'Parametri Modello'!$A$19:$A$22,0))="",INDEX('Parametri Modello'!$B$19:$B$22,MATCH($B440,'Parametri Modello'!$A$19:$A$22,0))=0),0,(($T440-INDEX('Parametri Modello'!$B$19:$B$22,MATCH($B440,'Parametri Modello'!$A$19:$A$22,0)))/INDEX('Parametri Modello'!$B$19:$B$22,MATCH($B440,'Parametri Modello'!$A$19:$A$22,0)))*'Parametri Modello'!$B$9))))*(1+IF('Parametri Modello'!$B$27="Si",MAX(-'Parametri Modello'!$B$28,MIN('Parametri Modello'!$B$28*1.5,IF(OR(INDEX('Parametri Modello'!$F$32:$F$35,MATCH($B440,'Parametri Modello'!$A$32:$A$35,0))="",INDEX('Parametri Modello'!$F$32:$F$35,MATCH($B440,'Parametri Modello'!$A$32:$A$35,0))=0),0,(1/INDEX('Parametri Modello'!$F$32:$F$35,MATCH($B440,'Parametri Modello'!$A$32:$A$35,0))-1)*'Parametri Modello'!$B$28))),0)))*(1-INDEX('Parametri Modello'!$B$12:$B$15,MATCH($B440,'Parametri Modello'!$A$12:$A$15,0)))),0),"")</f>
        <v>1</v>
      </c>
      <c r="H440" s="24">
        <f>IFERROR(ROUND((IF($V440&lt;=INDEX('Parametri Modello'!$C$57:$C$60,MATCH($B440,'Parametri Modello'!$A$57:$A$60,0)),IF(INDEX('Parametri Modello'!$E$57:$E$60,MATCH($B440,'Parametri Modello'!$A$57:$A$60,0))=0,0,($O440/INDEX('Parametri Modello'!$E$57:$E$60,MATCH($B440,'Parametri Modello'!$A$57:$A$60,0)))*(INDEX('Parametri Modello'!$D$57:$D$60,MATCH($B440,'Parametri Modello'!$A$57:$A$60,0))*(INDEX('Parametri Modello'!$B$50:$B$53,MATCH($B440,'Parametri Modello'!$A$50:$A$53,0))*'Parametri Modello'!$B$44))),IF(INDEX('Parametri Modello'!$F$57:$F$60,MATCH($B440,'Parametri Modello'!$A$57:$A$60,0))=0,0,($O440/INDEX('Parametri Modello'!$F$57:$F$60,MATCH($B440,'Parametri Modello'!$A$57:$A$60,0)))*((1-INDEX('Parametri Modello'!$D$57:$D$60,MATCH($B440,'Parametri Modello'!$A$57:$A$60,0)))*(INDEX('Parametri Modello'!$B$50:$B$53,MATCH($B440,'Parametri Modello'!$A$50:$A$53,0))*'Parametri Modello'!$B$44))))*(1+IF(IF($B440="D",'Info Lega'!$B$25,IF($B440="C",'Info Lega'!$B$26,"No"))="Si",'Parametri Modello'!$B$5,0))*(1+MAX(-0.25,MIN(0.25,IF(OR($T440="",$I440="",$I440=0,INDEX('Parametri Modello'!$B$19:$B$22,MATCH($B440,'Parametri Modello'!$A$19:$A$22,0))="",INDEX('Parametri Modello'!$B$19:$B$22,MATCH($B440,'Parametri Modello'!$A$19:$A$22,0))=0),0,(($T440-INDEX('Parametri Modello'!$B$19:$B$22,MATCH($B440,'Parametri Modello'!$A$19:$A$22,0)))/INDEX('Parametri Modello'!$B$19:$B$22,MATCH($B440,'Parametri Modello'!$A$19:$A$22,0)))*'Parametri Modello'!$B$9))))*(1+IF('Parametri Modello'!$B$27="Si",MAX(-'Parametri Modello'!$B$28,MIN('Parametri Modello'!$B$28*1.5,IF(OR(INDEX('Parametri Modello'!$F$32:$F$35,MATCH($B440,'Parametri Modello'!$A$32:$A$35,0))="",INDEX('Parametri Modello'!$F$32:$F$35,MATCH($B440,'Parametri Modello'!$A$32:$A$35,0))=0),0,(1/INDEX('Parametri Modello'!$F$32:$F$35,MATCH($B440,'Parametri Modello'!$A$32:$A$35,0))-1)*'Parametri Modello'!$B$28))),0)))*(1+INDEX('Parametri Modello'!$B$12:$B$15,MATCH($B440,'Parametri Modello'!$A$12:$A$15,0))),0),"")</f>
        <v>1</v>
      </c>
      <c r="I440" s="23">
        <f>IFERROR(INDEX('Input Statistiche 2025_26'!$F$3:$F$665,MATCH($A440,'Input Statistiche 2025_26'!$A$3:$A$665,0)),"")</f>
        <v>3</v>
      </c>
      <c r="J440" s="23">
        <f t="shared" si="54"/>
        <v>35</v>
      </c>
      <c r="K440" s="23">
        <f>IFERROR(INDEX('Input Statistiche 2025_26'!$I$3:$I$665,MATCH($A440,'Input Statistiche 2025_26'!$A$3:$A$665,0)),"")</f>
        <v>0</v>
      </c>
      <c r="L440" s="23">
        <f>IFERROR(INDEX('Input Statistiche 2025_26'!$O$3:$O$665,MATCH($A440,'Input Statistiche 2025_26'!$A$3:$A$665,0)),"")</f>
        <v>0</v>
      </c>
      <c r="M440" s="25"/>
      <c r="N440" s="24">
        <f>IFERROR(INDEX('Input Giocatori 2026_27'!$E$3:$E$493,MATCH($A440,'Input Giocatori 2026_27'!$A$3:$A$493,0)),"")</f>
        <v>1</v>
      </c>
      <c r="O440" s="24">
        <f>IFERROR(INDEX('Input Giocatori 2026_27'!$G$3:$G$493,MATCH($A440,'Input Giocatori 2026_27'!$A$3:$A$493,0)),"")</f>
        <v>2</v>
      </c>
      <c r="P440" s="23" t="str">
        <f>IFERROR(IF($O440="","",IF((1-(COUNTIFS($B$2:$B$492,$B440,$O$2:$O$492,"&gt;"&amp;$O440)+1-1)/COUNTIF($B$2:$B$492,$B440))&gt;='Parametri Modello'!$B$63,"Top",IF((1-(COUNTIFS($B$2:$B$492,$B440,$O$2:$O$492,"&gt;"&amp;$O440)+1-1)/COUNTIF($B$2:$B$492,$B440))&gt;='Parametri Modello'!$B$64,"Buono",IF((1-(COUNTIFS($B$2:$B$492,$B440,$O$2:$O$492,"&gt;"&amp;$O440)+1-1)/COUNTIF($B$2:$B$492,$B440))&gt;='Parametri Modello'!$B$65,"Nella Media","Scommessa/Riserva")))),"")</f>
        <v>Scommessa/Riserva</v>
      </c>
      <c r="Q440" s="26" t="str">
        <f>IF(AND($D440="",$N440&gt;1),SUMPRODUCT(($D$2:$D440="")*($N$2:$N440&gt;1)),"")</f>
        <v/>
      </c>
      <c r="R440" s="26" t="str">
        <f>IF($D440='Info Lega'!$B$28,COUNTIFS($D$2:$D440,'Info Lega'!$B$28),"")</f>
        <v/>
      </c>
      <c r="S440" s="27">
        <f>IFERROR(INDEX('Input Statistiche 2025_26'!$G$3:$G$665,MATCH($A440,'Input Statistiche 2025_26'!$A$3:$A$665,0)),"")</f>
        <v>5.67</v>
      </c>
      <c r="T440" s="27">
        <f>IFERROR(INDEX('Input Statistiche 2025_26'!$H$3:$H$665,MATCH($A440,'Input Statistiche 2025_26'!$A$3:$A$665,0)),"")</f>
        <v>5.67</v>
      </c>
      <c r="U440" s="23" t="str">
        <f>IF(OR('La Mia Rosa'!$O$12="",$D440&lt;&gt;""),"",IF($F440&lt;='La Mia Rosa'!$O$12*'Parametri Modello'!$B$24,"OK",IF($F440&lt;='La Mia Rosa'!$O$12*'Parametri Modello'!$B$25,"Attenzione","Rischio Alto")))</f>
        <v>OK</v>
      </c>
      <c r="V440" s="23">
        <f t="shared" si="55"/>
        <v>80</v>
      </c>
      <c r="W440" s="18">
        <f>'Info Lega'!$B$4-SUMIFS($M$2:$M$492,$D$2:$D$492,'Info Lega'!$B$28)</f>
        <v>1000</v>
      </c>
      <c r="X440" s="18">
        <f>('Info Lega'!$B$5-COUNTIFS($D$2:$D$492,'Info Lega'!$B$28,$B$2:$B$492,"P"))+('Info Lega'!$B$6-COUNTIFS($D$2:$D$492,'Info Lega'!$B$28,$B$2:$B$492,"D"))+('Info Lega'!$B$7-COUNTIFS($D$2:$D$492,'Info Lega'!$B$28,$B$2:$B$492,"C"))+('Info Lega'!$B$8-COUNTIFS($D$2:$D$492,'Info Lega'!$B$28,$B$2:$B$492,"A"))</f>
        <v>25</v>
      </c>
      <c r="Y440" s="18">
        <f>X440*'Parametri Modello'!$B$30</f>
        <v>25</v>
      </c>
      <c r="Z440" s="18">
        <f t="shared" si="56"/>
        <v>975</v>
      </c>
      <c r="AA440" s="18">
        <f t="shared" si="57"/>
        <v>1</v>
      </c>
      <c r="AB440" s="18"/>
      <c r="AC440" s="18" t="str">
        <f>IF($AB440="","",IF($AB440&gt;$AA440,"PASS",IF($AB440&lt;=$AA440*(1-'Parametri Modello'!$B$68),"BID","ATTENZIONE")))</f>
        <v/>
      </c>
      <c r="AD440" s="28">
        <f t="shared" si="58"/>
        <v>10</v>
      </c>
      <c r="AE440" s="5" t="str">
        <f>IFERROR(INDEX('Stato Asta'!$G$9:$G$12,MATCH($B440,'Stato Asta'!$A$9:$A$12,0)),"")</f>
        <v>🔴 Non aspettare</v>
      </c>
      <c r="AF440" t="str">
        <f>IFERROR(IF($V440&lt;=INDEX('Parametri Modello'!$C$57:$C$60,MATCH($B440,'Parametri Modello'!$A$57:$A$60,0)),"Titolare","Riserva"),"")</f>
        <v>Riserva</v>
      </c>
      <c r="AG440" t="str">
        <f>IFERROR(INDEX('Pressione Competitiva'!$F$3:$F$6,MATCH($B440,'Pressione Competitiva'!$B$3:$B$6,0)),"")</f>
        <v>🔴 Molto Alta</v>
      </c>
      <c r="AH440" t="str">
        <f t="shared" si="59"/>
        <v/>
      </c>
      <c r="AI440" t="str">
        <f>IFERROR(IF($AH440="","",IF($AH440&gt;=$AA440*'Parametri Modello'!$B$68,"🟢 Opportunita'",IF($AH440&lt;=$AA440*'Parametri Modello'!$B$69,"🔴 Sovrapprezzo","🟡 Prezzo Corretto"))),"")</f>
        <v/>
      </c>
      <c r="AJ440" t="str">
        <f t="shared" si="60"/>
        <v/>
      </c>
      <c r="AK440" t="str">
        <f t="shared" si="61"/>
        <v/>
      </c>
      <c r="AL440" t="str">
        <f t="shared" si="62"/>
        <v/>
      </c>
    </row>
    <row r="441" spans="1:38" ht="14.25" customHeight="1" x14ac:dyDescent="0.25">
      <c r="A441" s="18">
        <v>2297</v>
      </c>
      <c r="B441" s="18" t="s">
        <v>15</v>
      </c>
      <c r="C441" s="18" t="s">
        <v>580</v>
      </c>
      <c r="E441" s="23" t="str">
        <f>IF(COUNTIF('Info Strategia'!$D$2:$D$51,$C441)&gt;0,"SI","NO")</f>
        <v>NO</v>
      </c>
      <c r="F441" s="24">
        <f>IFERROR(ROUND(($G441+($H441-$G441)*'Info Strategia'!$B$6)*(1+IF($E441="SI",'Parametri Modello'!$B$7*'Info Strategia'!$B$6,0)),0),"")</f>
        <v>0</v>
      </c>
      <c r="G441" s="24">
        <f>IFERROR(ROUND(MAX(1,(IF($V441&lt;=INDEX('Parametri Modello'!$C$57:$C$60,MATCH($B441,'Parametri Modello'!$A$57:$A$60,0)),IF(INDEX('Parametri Modello'!$E$57:$E$60,MATCH($B441,'Parametri Modello'!$A$57:$A$60,0))=0,0,($O441/INDEX('Parametri Modello'!$E$57:$E$60,MATCH($B441,'Parametri Modello'!$A$57:$A$60,0)))*(INDEX('Parametri Modello'!$D$57:$D$60,MATCH($B441,'Parametri Modello'!$A$57:$A$60,0))*(INDEX('Parametri Modello'!$B$50:$B$53,MATCH($B441,'Parametri Modello'!$A$50:$A$53,0))*'Parametri Modello'!$B$44))),IF(INDEX('Parametri Modello'!$F$57:$F$60,MATCH($B441,'Parametri Modello'!$A$57:$A$60,0))=0,0,($O441/INDEX('Parametri Modello'!$F$57:$F$60,MATCH($B441,'Parametri Modello'!$A$57:$A$60,0)))*((1-INDEX('Parametri Modello'!$D$57:$D$60,MATCH($B441,'Parametri Modello'!$A$57:$A$60,0)))*(INDEX('Parametri Modello'!$B$50:$B$53,MATCH($B441,'Parametri Modello'!$A$50:$A$53,0))*'Parametri Modello'!$B$44))))*(1+IF(IF($B441="D",'Info Lega'!$B$25,IF($B441="C",'Info Lega'!$B$26,"No"))="Si",'Parametri Modello'!$B$5,0))*(1+MAX(-0.25,MIN(0.25,IF(OR($T441="",$I441="",$I441=0,INDEX('Parametri Modello'!$B$19:$B$22,MATCH($B441,'Parametri Modello'!$A$19:$A$22,0))="",INDEX('Parametri Modello'!$B$19:$B$22,MATCH($B441,'Parametri Modello'!$A$19:$A$22,0))=0),0,(($T441-INDEX('Parametri Modello'!$B$19:$B$22,MATCH($B441,'Parametri Modello'!$A$19:$A$22,0)))/INDEX('Parametri Modello'!$B$19:$B$22,MATCH($B441,'Parametri Modello'!$A$19:$A$22,0)))*'Parametri Modello'!$B$9))))*(1+IF('Parametri Modello'!$B$27="Si",MAX(-'Parametri Modello'!$B$28,MIN('Parametri Modello'!$B$28*1.5,IF(OR(INDEX('Parametri Modello'!$F$32:$F$35,MATCH($B441,'Parametri Modello'!$A$32:$A$35,0))="",INDEX('Parametri Modello'!$F$32:$F$35,MATCH($B441,'Parametri Modello'!$A$32:$A$35,0))=0),0,(1/INDEX('Parametri Modello'!$F$32:$F$35,MATCH($B441,'Parametri Modello'!$A$32:$A$35,0))-1)*'Parametri Modello'!$B$28))),0)))*(1-INDEX('Parametri Modello'!$B$12:$B$15,MATCH($B441,'Parametri Modello'!$A$12:$A$15,0)))),0),"")</f>
        <v>1</v>
      </c>
      <c r="H441" s="24">
        <f>IFERROR(ROUND((IF($V441&lt;=INDEX('Parametri Modello'!$C$57:$C$60,MATCH($B441,'Parametri Modello'!$A$57:$A$60,0)),IF(INDEX('Parametri Modello'!$E$57:$E$60,MATCH($B441,'Parametri Modello'!$A$57:$A$60,0))=0,0,($O441/INDEX('Parametri Modello'!$E$57:$E$60,MATCH($B441,'Parametri Modello'!$A$57:$A$60,0)))*(INDEX('Parametri Modello'!$D$57:$D$60,MATCH($B441,'Parametri Modello'!$A$57:$A$60,0))*(INDEX('Parametri Modello'!$B$50:$B$53,MATCH($B441,'Parametri Modello'!$A$50:$A$53,0))*'Parametri Modello'!$B$44))),IF(INDEX('Parametri Modello'!$F$57:$F$60,MATCH($B441,'Parametri Modello'!$A$57:$A$60,0))=0,0,($O441/INDEX('Parametri Modello'!$F$57:$F$60,MATCH($B441,'Parametri Modello'!$A$57:$A$60,0)))*((1-INDEX('Parametri Modello'!$D$57:$D$60,MATCH($B441,'Parametri Modello'!$A$57:$A$60,0)))*(INDEX('Parametri Modello'!$B$50:$B$53,MATCH($B441,'Parametri Modello'!$A$50:$A$53,0))*'Parametri Modello'!$B$44))))*(1+IF(IF($B441="D",'Info Lega'!$B$25,IF($B441="C",'Info Lega'!$B$26,"No"))="Si",'Parametri Modello'!$B$5,0))*(1+MAX(-0.25,MIN(0.25,IF(OR($T441="",$I441="",$I441=0,INDEX('Parametri Modello'!$B$19:$B$22,MATCH($B441,'Parametri Modello'!$A$19:$A$22,0))="",INDEX('Parametri Modello'!$B$19:$B$22,MATCH($B441,'Parametri Modello'!$A$19:$A$22,0))=0),0,(($T441-INDEX('Parametri Modello'!$B$19:$B$22,MATCH($B441,'Parametri Modello'!$A$19:$A$22,0)))/INDEX('Parametri Modello'!$B$19:$B$22,MATCH($B441,'Parametri Modello'!$A$19:$A$22,0)))*'Parametri Modello'!$B$9))))*(1+IF('Parametri Modello'!$B$27="Si",MAX(-'Parametri Modello'!$B$28,MIN('Parametri Modello'!$B$28*1.5,IF(OR(INDEX('Parametri Modello'!$F$32:$F$35,MATCH($B441,'Parametri Modello'!$A$32:$A$35,0))="",INDEX('Parametri Modello'!$F$32:$F$35,MATCH($B441,'Parametri Modello'!$A$32:$A$35,0))=0),0,(1/INDEX('Parametri Modello'!$F$32:$F$35,MATCH($B441,'Parametri Modello'!$A$32:$A$35,0))-1)*'Parametri Modello'!$B$28))),0)))*(1+INDEX('Parametri Modello'!$B$12:$B$15,MATCH($B441,'Parametri Modello'!$A$12:$A$15,0))),0),"")</f>
        <v>0</v>
      </c>
      <c r="I441" s="23">
        <f>IFERROR(INDEX('Input Statistiche 2025_26'!$F$3:$F$665,MATCH($A441,'Input Statistiche 2025_26'!$A$3:$A$665,0)),"")</f>
        <v>0</v>
      </c>
      <c r="J441" s="23">
        <f t="shared" si="54"/>
        <v>38</v>
      </c>
      <c r="K441" s="23">
        <f>IFERROR(INDEX('Input Statistiche 2025_26'!$I$3:$I$665,MATCH($A441,'Input Statistiche 2025_26'!$A$3:$A$665,0)),"")</f>
        <v>0</v>
      </c>
      <c r="L441" s="23">
        <f>IFERROR(INDEX('Input Statistiche 2025_26'!$O$3:$O$665,MATCH($A441,'Input Statistiche 2025_26'!$A$3:$A$665,0)),"")</f>
        <v>0</v>
      </c>
      <c r="M441" s="25"/>
      <c r="N441" s="24">
        <f>IFERROR(INDEX('Input Giocatori 2026_27'!$E$3:$E$493,MATCH($A441,'Input Giocatori 2026_27'!$A$3:$A$493,0)),"")</f>
        <v>1</v>
      </c>
      <c r="O441" s="24">
        <f>IFERROR(INDEX('Input Giocatori 2026_27'!$G$3:$G$493,MATCH($A441,'Input Giocatori 2026_27'!$A$3:$A$493,0)),"")</f>
        <v>1</v>
      </c>
      <c r="P441" s="23" t="str">
        <f>IFERROR(IF($O441="","",IF((1-(COUNTIFS($B$2:$B$492,$B441,$O$2:$O$492,"&gt;"&amp;$O441)+1-1)/COUNTIF($B$2:$B$492,$B441))&gt;='Parametri Modello'!$B$63,"Top",IF((1-(COUNTIFS($B$2:$B$492,$B441,$O$2:$O$492,"&gt;"&amp;$O441)+1-1)/COUNTIF($B$2:$B$492,$B441))&gt;='Parametri Modello'!$B$64,"Buono",IF((1-(COUNTIFS($B$2:$B$492,$B441,$O$2:$O$492,"&gt;"&amp;$O441)+1-1)/COUNTIF($B$2:$B$492,$B441))&gt;='Parametri Modello'!$B$65,"Nella Media","Scommessa/Riserva")))),"")</f>
        <v>Nella Media</v>
      </c>
      <c r="Q441" s="26" t="str">
        <f>IF(AND($D441="",$N441&gt;1),SUMPRODUCT(($D$2:$D441="")*($N$2:$N441&gt;1)),"")</f>
        <v/>
      </c>
      <c r="R441" s="26" t="str">
        <f>IF($D441='Info Lega'!$B$28,COUNTIFS($D$2:$D441,'Info Lega'!$B$28),"")</f>
        <v/>
      </c>
      <c r="S441" s="27">
        <f>IFERROR(INDEX('Input Statistiche 2025_26'!$G$3:$G$665,MATCH($A441,'Input Statistiche 2025_26'!$A$3:$A$665,0)),"")</f>
        <v>0</v>
      </c>
      <c r="T441" s="27">
        <f>IFERROR(INDEX('Input Statistiche 2025_26'!$H$3:$H$665,MATCH($A441,'Input Statistiche 2025_26'!$A$3:$A$665,0)),"")</f>
        <v>0</v>
      </c>
      <c r="U441" s="23" t="str">
        <f>IF(OR('La Mia Rosa'!$O$12="",$D441&lt;&gt;""),"",IF($F441&lt;='La Mia Rosa'!$O$12*'Parametri Modello'!$B$24,"OK",IF($F441&lt;='La Mia Rosa'!$O$12*'Parametri Modello'!$B$25,"Attenzione","Rischio Alto")))</f>
        <v>OK</v>
      </c>
      <c r="V441" s="23">
        <f t="shared" si="55"/>
        <v>26</v>
      </c>
      <c r="W441" s="18">
        <f>'Info Lega'!$B$4-SUMIFS($M$2:$M$492,$D$2:$D$492,'Info Lega'!$B$28)</f>
        <v>1000</v>
      </c>
      <c r="X441" s="18">
        <f>('Info Lega'!$B$5-COUNTIFS($D$2:$D$492,'Info Lega'!$B$28,$B$2:$B$492,"P"))+('Info Lega'!$B$6-COUNTIFS($D$2:$D$492,'Info Lega'!$B$28,$B$2:$B$492,"D"))+('Info Lega'!$B$7-COUNTIFS($D$2:$D$492,'Info Lega'!$B$28,$B$2:$B$492,"C"))+('Info Lega'!$B$8-COUNTIFS($D$2:$D$492,'Info Lega'!$B$28,$B$2:$B$492,"A"))</f>
        <v>25</v>
      </c>
      <c r="Y441" s="18">
        <f>X441*'Parametri Modello'!$B$30</f>
        <v>25</v>
      </c>
      <c r="Z441" s="18">
        <f t="shared" si="56"/>
        <v>975</v>
      </c>
      <c r="AA441" s="18">
        <f t="shared" si="57"/>
        <v>0</v>
      </c>
      <c r="AB441" s="18"/>
      <c r="AC441" s="18" t="str">
        <f>IF($AB441="","",IF($AB441&gt;$AA441,"PASS",IF($AB441&lt;=$AA441*(1-'Parametri Modello'!$B$68),"BID","ATTENZIONE")))</f>
        <v/>
      </c>
      <c r="AD441" s="28">
        <f t="shared" si="58"/>
        <v>0</v>
      </c>
      <c r="AE441" s="5" t="str">
        <f>IFERROR(INDEX('Stato Asta'!$G$9:$G$12,MATCH($B441,'Stato Asta'!$A$9:$A$12,0)),"")</f>
        <v>🔴 Non aspettare</v>
      </c>
      <c r="AF441" t="str">
        <f>IFERROR(IF($V441&lt;=INDEX('Parametri Modello'!$C$57:$C$60,MATCH($B441,'Parametri Modello'!$A$57:$A$60,0)),"Titolare","Riserva"),"")</f>
        <v>Riserva</v>
      </c>
      <c r="AG441" t="str">
        <f>IFERROR(INDEX('Pressione Competitiva'!$F$3:$F$6,MATCH($B441,'Pressione Competitiva'!$B$3:$B$6,0)),"")</f>
        <v>🔴 Molto Alta</v>
      </c>
      <c r="AH441" t="str">
        <f t="shared" si="59"/>
        <v/>
      </c>
      <c r="AI441" t="str">
        <f>IFERROR(IF($AH441="","",IF($AH441&gt;=$AA441*'Parametri Modello'!$B$68,"🟢 Opportunita'",IF($AH441&lt;=$AA441*'Parametri Modello'!$B$69,"🔴 Sovrapprezzo","🟡 Prezzo Corretto"))),"")</f>
        <v/>
      </c>
      <c r="AJ441" t="str">
        <f t="shared" si="60"/>
        <v/>
      </c>
      <c r="AK441" t="str">
        <f t="shared" si="61"/>
        <v/>
      </c>
      <c r="AL441" t="str">
        <f t="shared" si="62"/>
        <v/>
      </c>
    </row>
    <row r="442" spans="1:38" ht="14.25" customHeight="1" x14ac:dyDescent="0.25">
      <c r="A442" s="18">
        <v>4</v>
      </c>
      <c r="B442" s="18" t="s">
        <v>15</v>
      </c>
      <c r="C442" s="18" t="s">
        <v>581</v>
      </c>
      <c r="E442" s="23" t="str">
        <f>IF(COUNTIF('Info Strategia'!$D$2:$D$51,$C442)&gt;0,"SI","NO")</f>
        <v>NO</v>
      </c>
      <c r="F442" s="24">
        <f>IFERROR(ROUND(($G442+($H442-$G442)*'Info Strategia'!$B$6)*(1+IF($E442="SI",'Parametri Modello'!$B$7*'Info Strategia'!$B$6,0)),0),"")</f>
        <v>0</v>
      </c>
      <c r="G442" s="24">
        <f>IFERROR(ROUND(MAX(1,(IF($V442&lt;=INDEX('Parametri Modello'!$C$57:$C$60,MATCH($B442,'Parametri Modello'!$A$57:$A$60,0)),IF(INDEX('Parametri Modello'!$E$57:$E$60,MATCH($B442,'Parametri Modello'!$A$57:$A$60,0))=0,0,($O442/INDEX('Parametri Modello'!$E$57:$E$60,MATCH($B442,'Parametri Modello'!$A$57:$A$60,0)))*(INDEX('Parametri Modello'!$D$57:$D$60,MATCH($B442,'Parametri Modello'!$A$57:$A$60,0))*(INDEX('Parametri Modello'!$B$50:$B$53,MATCH($B442,'Parametri Modello'!$A$50:$A$53,0))*'Parametri Modello'!$B$44))),IF(INDEX('Parametri Modello'!$F$57:$F$60,MATCH($B442,'Parametri Modello'!$A$57:$A$60,0))=0,0,($O442/INDEX('Parametri Modello'!$F$57:$F$60,MATCH($B442,'Parametri Modello'!$A$57:$A$60,0)))*((1-INDEX('Parametri Modello'!$D$57:$D$60,MATCH($B442,'Parametri Modello'!$A$57:$A$60,0)))*(INDEX('Parametri Modello'!$B$50:$B$53,MATCH($B442,'Parametri Modello'!$A$50:$A$53,0))*'Parametri Modello'!$B$44))))*(1+IF(IF($B442="D",'Info Lega'!$B$25,IF($B442="C",'Info Lega'!$B$26,"No"))="Si",'Parametri Modello'!$B$5,0))*(1+MAX(-0.25,MIN(0.25,IF(OR($T442="",$I442="",$I442=0,INDEX('Parametri Modello'!$B$19:$B$22,MATCH($B442,'Parametri Modello'!$A$19:$A$22,0))="",INDEX('Parametri Modello'!$B$19:$B$22,MATCH($B442,'Parametri Modello'!$A$19:$A$22,0))=0),0,(($T442-INDEX('Parametri Modello'!$B$19:$B$22,MATCH($B442,'Parametri Modello'!$A$19:$A$22,0)))/INDEX('Parametri Modello'!$B$19:$B$22,MATCH($B442,'Parametri Modello'!$A$19:$A$22,0)))*'Parametri Modello'!$B$9))))*(1+IF('Parametri Modello'!$B$27="Si",MAX(-'Parametri Modello'!$B$28,MIN('Parametri Modello'!$B$28*1.5,IF(OR(INDEX('Parametri Modello'!$F$32:$F$35,MATCH($B442,'Parametri Modello'!$A$32:$A$35,0))="",INDEX('Parametri Modello'!$F$32:$F$35,MATCH($B442,'Parametri Modello'!$A$32:$A$35,0))=0),0,(1/INDEX('Parametri Modello'!$F$32:$F$35,MATCH($B442,'Parametri Modello'!$A$32:$A$35,0))-1)*'Parametri Modello'!$B$28))),0)))*(1-INDEX('Parametri Modello'!$B$12:$B$15,MATCH($B442,'Parametri Modello'!$A$12:$A$15,0)))),0),"")</f>
        <v>1</v>
      </c>
      <c r="H442" s="24">
        <f>IFERROR(ROUND((IF($V442&lt;=INDEX('Parametri Modello'!$C$57:$C$60,MATCH($B442,'Parametri Modello'!$A$57:$A$60,0)),IF(INDEX('Parametri Modello'!$E$57:$E$60,MATCH($B442,'Parametri Modello'!$A$57:$A$60,0))=0,0,($O442/INDEX('Parametri Modello'!$E$57:$E$60,MATCH($B442,'Parametri Modello'!$A$57:$A$60,0)))*(INDEX('Parametri Modello'!$D$57:$D$60,MATCH($B442,'Parametri Modello'!$A$57:$A$60,0))*(INDEX('Parametri Modello'!$B$50:$B$53,MATCH($B442,'Parametri Modello'!$A$50:$A$53,0))*'Parametri Modello'!$B$44))),IF(INDEX('Parametri Modello'!$F$57:$F$60,MATCH($B442,'Parametri Modello'!$A$57:$A$60,0))=0,0,($O442/INDEX('Parametri Modello'!$F$57:$F$60,MATCH($B442,'Parametri Modello'!$A$57:$A$60,0)))*((1-INDEX('Parametri Modello'!$D$57:$D$60,MATCH($B442,'Parametri Modello'!$A$57:$A$60,0)))*(INDEX('Parametri Modello'!$B$50:$B$53,MATCH($B442,'Parametri Modello'!$A$50:$A$53,0))*'Parametri Modello'!$B$44))))*(1+IF(IF($B442="D",'Info Lega'!$B$25,IF($B442="C",'Info Lega'!$B$26,"No"))="Si",'Parametri Modello'!$B$5,0))*(1+MAX(-0.25,MIN(0.25,IF(OR($T442="",$I442="",$I442=0,INDEX('Parametri Modello'!$B$19:$B$22,MATCH($B442,'Parametri Modello'!$A$19:$A$22,0))="",INDEX('Parametri Modello'!$B$19:$B$22,MATCH($B442,'Parametri Modello'!$A$19:$A$22,0))=0),0,(($T442-INDEX('Parametri Modello'!$B$19:$B$22,MATCH($B442,'Parametri Modello'!$A$19:$A$22,0)))/INDEX('Parametri Modello'!$B$19:$B$22,MATCH($B442,'Parametri Modello'!$A$19:$A$22,0)))*'Parametri Modello'!$B$9))))*(1+IF('Parametri Modello'!$B$27="Si",MAX(-'Parametri Modello'!$B$28,MIN('Parametri Modello'!$B$28*1.5,IF(OR(INDEX('Parametri Modello'!$F$32:$F$35,MATCH($B442,'Parametri Modello'!$A$32:$A$35,0))="",INDEX('Parametri Modello'!$F$32:$F$35,MATCH($B442,'Parametri Modello'!$A$32:$A$35,0))=0),0,(1/INDEX('Parametri Modello'!$F$32:$F$35,MATCH($B442,'Parametri Modello'!$A$32:$A$35,0))-1)*'Parametri Modello'!$B$28))),0)))*(1+INDEX('Parametri Modello'!$B$12:$B$15,MATCH($B442,'Parametri Modello'!$A$12:$A$15,0))),0),"")</f>
        <v>0</v>
      </c>
      <c r="I442" s="23">
        <f>IFERROR(INDEX('Input Statistiche 2025_26'!$F$3:$F$665,MATCH($A442,'Input Statistiche 2025_26'!$A$3:$A$665,0)),"")</f>
        <v>1</v>
      </c>
      <c r="J442" s="23">
        <f t="shared" si="54"/>
        <v>37</v>
      </c>
      <c r="K442" s="23">
        <f>IFERROR(INDEX('Input Statistiche 2025_26'!$I$3:$I$665,MATCH($A442,'Input Statistiche 2025_26'!$A$3:$A$665,0)),"")</f>
        <v>0</v>
      </c>
      <c r="L442" s="23">
        <f>IFERROR(INDEX('Input Statistiche 2025_26'!$O$3:$O$665,MATCH($A442,'Input Statistiche 2025_26'!$A$3:$A$665,0)),"")</f>
        <v>0</v>
      </c>
      <c r="M442" s="25"/>
      <c r="N442" s="24">
        <f>IFERROR(INDEX('Input Giocatori 2026_27'!$E$3:$E$493,MATCH($A442,'Input Giocatori 2026_27'!$A$3:$A$493,0)),"")</f>
        <v>1</v>
      </c>
      <c r="O442" s="24">
        <f>IFERROR(INDEX('Input Giocatori 2026_27'!$G$3:$G$493,MATCH($A442,'Input Giocatori 2026_27'!$A$3:$A$493,0)),"")</f>
        <v>1</v>
      </c>
      <c r="P442" s="23" t="str">
        <f>IFERROR(IF($O442="","",IF((1-(COUNTIFS($B$2:$B$492,$B442,$O$2:$O$492,"&gt;"&amp;$O442)+1-1)/COUNTIF($B$2:$B$492,$B442))&gt;='Parametri Modello'!$B$63,"Top",IF((1-(COUNTIFS($B$2:$B$492,$B442,$O$2:$O$492,"&gt;"&amp;$O442)+1-1)/COUNTIF($B$2:$B$492,$B442))&gt;='Parametri Modello'!$B$64,"Buono",IF((1-(COUNTIFS($B$2:$B$492,$B442,$O$2:$O$492,"&gt;"&amp;$O442)+1-1)/COUNTIF($B$2:$B$492,$B442))&gt;='Parametri Modello'!$B$65,"Nella Media","Scommessa/Riserva")))),"")</f>
        <v>Nella Media</v>
      </c>
      <c r="Q442" s="26" t="str">
        <f>IF(AND($D442="",$N442&gt;1),SUMPRODUCT(($D$2:$D442="")*($N$2:$N442&gt;1)),"")</f>
        <v/>
      </c>
      <c r="R442" s="26" t="str">
        <f>IF($D442='Info Lega'!$B$28,COUNTIFS($D$2:$D442,'Info Lega'!$B$28),"")</f>
        <v/>
      </c>
      <c r="S442" s="27">
        <f>IFERROR(INDEX('Input Statistiche 2025_26'!$G$3:$G$665,MATCH($A442,'Input Statistiche 2025_26'!$A$3:$A$665,0)),"")</f>
        <v>5.5</v>
      </c>
      <c r="T442" s="27">
        <f>IFERROR(INDEX('Input Statistiche 2025_26'!$H$3:$H$665,MATCH($A442,'Input Statistiche 2025_26'!$A$3:$A$665,0)),"")</f>
        <v>4.5</v>
      </c>
      <c r="U442" s="23" t="str">
        <f>IF(OR('La Mia Rosa'!$O$12="",$D442&lt;&gt;""),"",IF($F442&lt;='La Mia Rosa'!$O$12*'Parametri Modello'!$B$24,"OK",IF($F442&lt;='La Mia Rosa'!$O$12*'Parametri Modello'!$B$25,"Attenzione","Rischio Alto")))</f>
        <v>OK</v>
      </c>
      <c r="V442" s="23">
        <f t="shared" si="55"/>
        <v>26</v>
      </c>
      <c r="W442" s="18">
        <f>'Info Lega'!$B$4-SUMIFS($M$2:$M$492,$D$2:$D$492,'Info Lega'!$B$28)</f>
        <v>1000</v>
      </c>
      <c r="X442" s="18">
        <f>('Info Lega'!$B$5-COUNTIFS($D$2:$D$492,'Info Lega'!$B$28,$B$2:$B$492,"P"))+('Info Lega'!$B$6-COUNTIFS($D$2:$D$492,'Info Lega'!$B$28,$B$2:$B$492,"D"))+('Info Lega'!$B$7-COUNTIFS($D$2:$D$492,'Info Lega'!$B$28,$B$2:$B$492,"C"))+('Info Lega'!$B$8-COUNTIFS($D$2:$D$492,'Info Lega'!$B$28,$B$2:$B$492,"A"))</f>
        <v>25</v>
      </c>
      <c r="Y442" s="18">
        <f>X442*'Parametri Modello'!$B$30</f>
        <v>25</v>
      </c>
      <c r="Z442" s="18">
        <f t="shared" si="56"/>
        <v>975</v>
      </c>
      <c r="AA442" s="18">
        <f t="shared" si="57"/>
        <v>0</v>
      </c>
      <c r="AB442" s="18"/>
      <c r="AC442" s="18" t="str">
        <f>IF($AB442="","",IF($AB442&gt;$AA442,"PASS",IF($AB442&lt;=$AA442*(1-'Parametri Modello'!$B$68),"BID","ATTENZIONE")))</f>
        <v/>
      </c>
      <c r="AD442" s="28">
        <f t="shared" si="58"/>
        <v>3</v>
      </c>
      <c r="AE442" s="5" t="str">
        <f>IFERROR(INDEX('Stato Asta'!$G$9:$G$12,MATCH($B442,'Stato Asta'!$A$9:$A$12,0)),"")</f>
        <v>🔴 Non aspettare</v>
      </c>
      <c r="AF442" t="str">
        <f>IFERROR(IF($V442&lt;=INDEX('Parametri Modello'!$C$57:$C$60,MATCH($B442,'Parametri Modello'!$A$57:$A$60,0)),"Titolare","Riserva"),"")</f>
        <v>Riserva</v>
      </c>
      <c r="AG442" t="str">
        <f>IFERROR(INDEX('Pressione Competitiva'!$F$3:$F$6,MATCH($B442,'Pressione Competitiva'!$B$3:$B$6,0)),"")</f>
        <v>🔴 Molto Alta</v>
      </c>
      <c r="AH442" t="str">
        <f t="shared" si="59"/>
        <v/>
      </c>
      <c r="AI442" t="str">
        <f>IFERROR(IF($AH442="","",IF($AH442&gt;=$AA442*'Parametri Modello'!$B$68,"🟢 Opportunita'",IF($AH442&lt;=$AA442*'Parametri Modello'!$B$69,"🔴 Sovrapprezzo","🟡 Prezzo Corretto"))),"")</f>
        <v/>
      </c>
      <c r="AJ442" t="str">
        <f t="shared" si="60"/>
        <v/>
      </c>
      <c r="AK442" t="str">
        <f t="shared" si="61"/>
        <v/>
      </c>
      <c r="AL442" t="str">
        <f t="shared" si="62"/>
        <v/>
      </c>
    </row>
    <row r="443" spans="1:38" ht="14.25" customHeight="1" x14ac:dyDescent="0.25">
      <c r="A443" s="18">
        <v>7533</v>
      </c>
      <c r="B443" s="18" t="s">
        <v>15</v>
      </c>
      <c r="C443" s="18" t="s">
        <v>582</v>
      </c>
      <c r="E443" s="23" t="str">
        <f>IF(COUNTIF('Info Strategia'!$D$2:$D$51,$C443)&gt;0,"SI","NO")</f>
        <v>NO</v>
      </c>
      <c r="F443" s="24">
        <f>IFERROR(ROUND(($G443+($H443-$G443)*'Info Strategia'!$B$6)*(1+IF($E443="SI",'Parametri Modello'!$B$7*'Info Strategia'!$B$6,0)),0),"")</f>
        <v>0</v>
      </c>
      <c r="G443" s="24">
        <f>IFERROR(ROUND(MAX(1,(IF($V443&lt;=INDEX('Parametri Modello'!$C$57:$C$60,MATCH($B443,'Parametri Modello'!$A$57:$A$60,0)),IF(INDEX('Parametri Modello'!$E$57:$E$60,MATCH($B443,'Parametri Modello'!$A$57:$A$60,0))=0,0,($O443/INDEX('Parametri Modello'!$E$57:$E$60,MATCH($B443,'Parametri Modello'!$A$57:$A$60,0)))*(INDEX('Parametri Modello'!$D$57:$D$60,MATCH($B443,'Parametri Modello'!$A$57:$A$60,0))*(INDEX('Parametri Modello'!$B$50:$B$53,MATCH($B443,'Parametri Modello'!$A$50:$A$53,0))*'Parametri Modello'!$B$44))),IF(INDEX('Parametri Modello'!$F$57:$F$60,MATCH($B443,'Parametri Modello'!$A$57:$A$60,0))=0,0,($O443/INDEX('Parametri Modello'!$F$57:$F$60,MATCH($B443,'Parametri Modello'!$A$57:$A$60,0)))*((1-INDEX('Parametri Modello'!$D$57:$D$60,MATCH($B443,'Parametri Modello'!$A$57:$A$60,0)))*(INDEX('Parametri Modello'!$B$50:$B$53,MATCH($B443,'Parametri Modello'!$A$50:$A$53,0))*'Parametri Modello'!$B$44))))*(1+IF(IF($B443="D",'Info Lega'!$B$25,IF($B443="C",'Info Lega'!$B$26,"No"))="Si",'Parametri Modello'!$B$5,0))*(1+MAX(-0.25,MIN(0.25,IF(OR($T443="",$I443="",$I443=0,INDEX('Parametri Modello'!$B$19:$B$22,MATCH($B443,'Parametri Modello'!$A$19:$A$22,0))="",INDEX('Parametri Modello'!$B$19:$B$22,MATCH($B443,'Parametri Modello'!$A$19:$A$22,0))=0),0,(($T443-INDEX('Parametri Modello'!$B$19:$B$22,MATCH($B443,'Parametri Modello'!$A$19:$A$22,0)))/INDEX('Parametri Modello'!$B$19:$B$22,MATCH($B443,'Parametri Modello'!$A$19:$A$22,0)))*'Parametri Modello'!$B$9))))*(1+IF('Parametri Modello'!$B$27="Si",MAX(-'Parametri Modello'!$B$28,MIN('Parametri Modello'!$B$28*1.5,IF(OR(INDEX('Parametri Modello'!$F$32:$F$35,MATCH($B443,'Parametri Modello'!$A$32:$A$35,0))="",INDEX('Parametri Modello'!$F$32:$F$35,MATCH($B443,'Parametri Modello'!$A$32:$A$35,0))=0),0,(1/INDEX('Parametri Modello'!$F$32:$F$35,MATCH($B443,'Parametri Modello'!$A$32:$A$35,0))-1)*'Parametri Modello'!$B$28))),0)))*(1-INDEX('Parametri Modello'!$B$12:$B$15,MATCH($B443,'Parametri Modello'!$A$12:$A$15,0)))),0),"")</f>
        <v>1</v>
      </c>
      <c r="H443" s="24">
        <f>IFERROR(ROUND((IF($V443&lt;=INDEX('Parametri Modello'!$C$57:$C$60,MATCH($B443,'Parametri Modello'!$A$57:$A$60,0)),IF(INDEX('Parametri Modello'!$E$57:$E$60,MATCH($B443,'Parametri Modello'!$A$57:$A$60,0))=0,0,($O443/INDEX('Parametri Modello'!$E$57:$E$60,MATCH($B443,'Parametri Modello'!$A$57:$A$60,0)))*(INDEX('Parametri Modello'!$D$57:$D$60,MATCH($B443,'Parametri Modello'!$A$57:$A$60,0))*(INDEX('Parametri Modello'!$B$50:$B$53,MATCH($B443,'Parametri Modello'!$A$50:$A$53,0))*'Parametri Modello'!$B$44))),IF(INDEX('Parametri Modello'!$F$57:$F$60,MATCH($B443,'Parametri Modello'!$A$57:$A$60,0))=0,0,($O443/INDEX('Parametri Modello'!$F$57:$F$60,MATCH($B443,'Parametri Modello'!$A$57:$A$60,0)))*((1-INDEX('Parametri Modello'!$D$57:$D$60,MATCH($B443,'Parametri Modello'!$A$57:$A$60,0)))*(INDEX('Parametri Modello'!$B$50:$B$53,MATCH($B443,'Parametri Modello'!$A$50:$A$53,0))*'Parametri Modello'!$B$44))))*(1+IF(IF($B443="D",'Info Lega'!$B$25,IF($B443="C",'Info Lega'!$B$26,"No"))="Si",'Parametri Modello'!$B$5,0))*(1+MAX(-0.25,MIN(0.25,IF(OR($T443="",$I443="",$I443=0,INDEX('Parametri Modello'!$B$19:$B$22,MATCH($B443,'Parametri Modello'!$A$19:$A$22,0))="",INDEX('Parametri Modello'!$B$19:$B$22,MATCH($B443,'Parametri Modello'!$A$19:$A$22,0))=0),0,(($T443-INDEX('Parametri Modello'!$B$19:$B$22,MATCH($B443,'Parametri Modello'!$A$19:$A$22,0)))/INDEX('Parametri Modello'!$B$19:$B$22,MATCH($B443,'Parametri Modello'!$A$19:$A$22,0)))*'Parametri Modello'!$B$9))))*(1+IF('Parametri Modello'!$B$27="Si",MAX(-'Parametri Modello'!$B$28,MIN('Parametri Modello'!$B$28*1.5,IF(OR(INDEX('Parametri Modello'!$F$32:$F$35,MATCH($B443,'Parametri Modello'!$A$32:$A$35,0))="",INDEX('Parametri Modello'!$F$32:$F$35,MATCH($B443,'Parametri Modello'!$A$32:$A$35,0))=0),0,(1/INDEX('Parametri Modello'!$F$32:$F$35,MATCH($B443,'Parametri Modello'!$A$32:$A$35,0))-1)*'Parametri Modello'!$B$28))),0)))*(1+INDEX('Parametri Modello'!$B$12:$B$15,MATCH($B443,'Parametri Modello'!$A$12:$A$15,0))),0),"")</f>
        <v>0</v>
      </c>
      <c r="I443" s="23" t="str">
        <f>IFERROR(INDEX('Input Statistiche 2025_26'!$F$3:$F$665,MATCH($A443,'Input Statistiche 2025_26'!$A$3:$A$665,0)),"")</f>
        <v/>
      </c>
      <c r="J443" s="23" t="str">
        <f t="shared" si="54"/>
        <v/>
      </c>
      <c r="K443" s="23" t="str">
        <f>IFERROR(INDEX('Input Statistiche 2025_26'!$I$3:$I$665,MATCH($A443,'Input Statistiche 2025_26'!$A$3:$A$665,0)),"")</f>
        <v/>
      </c>
      <c r="L443" s="23" t="str">
        <f>IFERROR(INDEX('Input Statistiche 2025_26'!$O$3:$O$665,MATCH($A443,'Input Statistiche 2025_26'!$A$3:$A$665,0)),"")</f>
        <v/>
      </c>
      <c r="M443" s="25"/>
      <c r="N443" s="24">
        <f>IFERROR(INDEX('Input Giocatori 2026_27'!$E$3:$E$493,MATCH($A443,'Input Giocatori 2026_27'!$A$3:$A$493,0)),"")</f>
        <v>1</v>
      </c>
      <c r="O443" s="24">
        <f>IFERROR(INDEX('Input Giocatori 2026_27'!$G$3:$G$493,MATCH($A443,'Input Giocatori 2026_27'!$A$3:$A$493,0)),"")</f>
        <v>1</v>
      </c>
      <c r="P443" s="23" t="str">
        <f>IFERROR(IF($O443="","",IF((1-(COUNTIFS($B$2:$B$492,$B443,$O$2:$O$492,"&gt;"&amp;$O443)+1-1)/COUNTIF($B$2:$B$492,$B443))&gt;='Parametri Modello'!$B$63,"Top",IF((1-(COUNTIFS($B$2:$B$492,$B443,$O$2:$O$492,"&gt;"&amp;$O443)+1-1)/COUNTIF($B$2:$B$492,$B443))&gt;='Parametri Modello'!$B$64,"Buono",IF((1-(COUNTIFS($B$2:$B$492,$B443,$O$2:$O$492,"&gt;"&amp;$O443)+1-1)/COUNTIF($B$2:$B$492,$B443))&gt;='Parametri Modello'!$B$65,"Nella Media","Scommessa/Riserva")))),"")</f>
        <v>Nella Media</v>
      </c>
      <c r="Q443" s="26" t="str">
        <f>IF(AND($D443="",$N443&gt;1),SUMPRODUCT(($D$2:$D443="")*($N$2:$N443&gt;1)),"")</f>
        <v/>
      </c>
      <c r="R443" s="26" t="str">
        <f>IF($D443='Info Lega'!$B$28,COUNTIFS($D$2:$D443,'Info Lega'!$B$28),"")</f>
        <v/>
      </c>
      <c r="S443" s="27" t="str">
        <f>IFERROR(INDEX('Input Statistiche 2025_26'!$G$3:$G$665,MATCH($A443,'Input Statistiche 2025_26'!$A$3:$A$665,0)),"")</f>
        <v/>
      </c>
      <c r="T443" s="27" t="str">
        <f>IFERROR(INDEX('Input Statistiche 2025_26'!$H$3:$H$665,MATCH($A443,'Input Statistiche 2025_26'!$A$3:$A$665,0)),"")</f>
        <v/>
      </c>
      <c r="U443" s="23" t="str">
        <f>IF(OR('La Mia Rosa'!$O$12="",$D443&lt;&gt;""),"",IF($F443&lt;='La Mia Rosa'!$O$12*'Parametri Modello'!$B$24,"OK",IF($F443&lt;='La Mia Rosa'!$O$12*'Parametri Modello'!$B$25,"Attenzione","Rischio Alto")))</f>
        <v>OK</v>
      </c>
      <c r="V443" s="23">
        <f t="shared" si="55"/>
        <v>26</v>
      </c>
      <c r="W443" s="18">
        <f>'Info Lega'!$B$4-SUMIFS($M$2:$M$492,$D$2:$D$492,'Info Lega'!$B$28)</f>
        <v>1000</v>
      </c>
      <c r="X443" s="18">
        <f>('Info Lega'!$B$5-COUNTIFS($D$2:$D$492,'Info Lega'!$B$28,$B$2:$B$492,"P"))+('Info Lega'!$B$6-COUNTIFS($D$2:$D$492,'Info Lega'!$B$28,$B$2:$B$492,"D"))+('Info Lega'!$B$7-COUNTIFS($D$2:$D$492,'Info Lega'!$B$28,$B$2:$B$492,"C"))+('Info Lega'!$B$8-COUNTIFS($D$2:$D$492,'Info Lega'!$B$28,$B$2:$B$492,"A"))</f>
        <v>25</v>
      </c>
      <c r="Y443" s="18">
        <f>X443*'Parametri Modello'!$B$30</f>
        <v>25</v>
      </c>
      <c r="Z443" s="18">
        <f t="shared" si="56"/>
        <v>975</v>
      </c>
      <c r="AA443" s="18">
        <f t="shared" si="57"/>
        <v>0</v>
      </c>
      <c r="AB443" s="18"/>
      <c r="AC443" s="18" t="str">
        <f>IF($AB443="","",IF($AB443&gt;$AA443,"PASS",IF($AB443&lt;=$AA443*(1-'Parametri Modello'!$B$68),"BID","ATTENZIONE")))</f>
        <v/>
      </c>
      <c r="AD443" s="28" t="str">
        <f t="shared" si="58"/>
        <v/>
      </c>
      <c r="AE443" s="5" t="str">
        <f>IFERROR(INDEX('Stato Asta'!$G$9:$G$12,MATCH($B443,'Stato Asta'!$A$9:$A$12,0)),"")</f>
        <v>🔴 Non aspettare</v>
      </c>
      <c r="AF443" t="str">
        <f>IFERROR(IF($V443&lt;=INDEX('Parametri Modello'!$C$57:$C$60,MATCH($B443,'Parametri Modello'!$A$57:$A$60,0)),"Titolare","Riserva"),"")</f>
        <v>Riserva</v>
      </c>
      <c r="AG443" t="str">
        <f>IFERROR(INDEX('Pressione Competitiva'!$F$3:$F$6,MATCH($B443,'Pressione Competitiva'!$B$3:$B$6,0)),"")</f>
        <v>🔴 Molto Alta</v>
      </c>
      <c r="AH443" t="str">
        <f t="shared" si="59"/>
        <v/>
      </c>
      <c r="AI443" t="str">
        <f>IFERROR(IF($AH443="","",IF($AH443&gt;=$AA443*'Parametri Modello'!$B$68,"🟢 Opportunita'",IF($AH443&lt;=$AA443*'Parametri Modello'!$B$69,"🔴 Sovrapprezzo","🟡 Prezzo Corretto"))),"")</f>
        <v/>
      </c>
      <c r="AJ443" t="str">
        <f t="shared" si="60"/>
        <v/>
      </c>
      <c r="AK443" t="str">
        <f t="shared" si="61"/>
        <v/>
      </c>
      <c r="AL443" t="str">
        <f t="shared" si="62"/>
        <v/>
      </c>
    </row>
    <row r="444" spans="1:38" ht="14.25" customHeight="1" x14ac:dyDescent="0.25">
      <c r="A444" s="18">
        <v>7172</v>
      </c>
      <c r="B444" s="18" t="s">
        <v>15</v>
      </c>
      <c r="C444" s="18" t="s">
        <v>583</v>
      </c>
      <c r="E444" s="23" t="str">
        <f>IF(COUNTIF('Info Strategia'!$D$2:$D$51,$C444)&gt;0,"SI","NO")</f>
        <v>NO</v>
      </c>
      <c r="F444" s="24">
        <f>IFERROR(ROUND(($G444+($H444-$G444)*'Info Strategia'!$B$6)*(1+IF($E444="SI",'Parametri Modello'!$B$7*'Info Strategia'!$B$6,0)),0),"")</f>
        <v>0</v>
      </c>
      <c r="G444" s="24">
        <f>IFERROR(ROUND(MAX(1,(IF($V444&lt;=INDEX('Parametri Modello'!$C$57:$C$60,MATCH($B444,'Parametri Modello'!$A$57:$A$60,0)),IF(INDEX('Parametri Modello'!$E$57:$E$60,MATCH($B444,'Parametri Modello'!$A$57:$A$60,0))=0,0,($O444/INDEX('Parametri Modello'!$E$57:$E$60,MATCH($B444,'Parametri Modello'!$A$57:$A$60,0)))*(INDEX('Parametri Modello'!$D$57:$D$60,MATCH($B444,'Parametri Modello'!$A$57:$A$60,0))*(INDEX('Parametri Modello'!$B$50:$B$53,MATCH($B444,'Parametri Modello'!$A$50:$A$53,0))*'Parametri Modello'!$B$44))),IF(INDEX('Parametri Modello'!$F$57:$F$60,MATCH($B444,'Parametri Modello'!$A$57:$A$60,0))=0,0,($O444/INDEX('Parametri Modello'!$F$57:$F$60,MATCH($B444,'Parametri Modello'!$A$57:$A$60,0)))*((1-INDEX('Parametri Modello'!$D$57:$D$60,MATCH($B444,'Parametri Modello'!$A$57:$A$60,0)))*(INDEX('Parametri Modello'!$B$50:$B$53,MATCH($B444,'Parametri Modello'!$A$50:$A$53,0))*'Parametri Modello'!$B$44))))*(1+IF(IF($B444="D",'Info Lega'!$B$25,IF($B444="C",'Info Lega'!$B$26,"No"))="Si",'Parametri Modello'!$B$5,0))*(1+MAX(-0.25,MIN(0.25,IF(OR($T444="",$I444="",$I444=0,INDEX('Parametri Modello'!$B$19:$B$22,MATCH($B444,'Parametri Modello'!$A$19:$A$22,0))="",INDEX('Parametri Modello'!$B$19:$B$22,MATCH($B444,'Parametri Modello'!$A$19:$A$22,0))=0),0,(($T444-INDEX('Parametri Modello'!$B$19:$B$22,MATCH($B444,'Parametri Modello'!$A$19:$A$22,0)))/INDEX('Parametri Modello'!$B$19:$B$22,MATCH($B444,'Parametri Modello'!$A$19:$A$22,0)))*'Parametri Modello'!$B$9))))*(1+IF('Parametri Modello'!$B$27="Si",MAX(-'Parametri Modello'!$B$28,MIN('Parametri Modello'!$B$28*1.5,IF(OR(INDEX('Parametri Modello'!$F$32:$F$35,MATCH($B444,'Parametri Modello'!$A$32:$A$35,0))="",INDEX('Parametri Modello'!$F$32:$F$35,MATCH($B444,'Parametri Modello'!$A$32:$A$35,0))=0),0,(1/INDEX('Parametri Modello'!$F$32:$F$35,MATCH($B444,'Parametri Modello'!$A$32:$A$35,0))-1)*'Parametri Modello'!$B$28))),0)))*(1-INDEX('Parametri Modello'!$B$12:$B$15,MATCH($B444,'Parametri Modello'!$A$12:$A$15,0)))),0),"")</f>
        <v>1</v>
      </c>
      <c r="H444" s="24">
        <f>IFERROR(ROUND((IF($V444&lt;=INDEX('Parametri Modello'!$C$57:$C$60,MATCH($B444,'Parametri Modello'!$A$57:$A$60,0)),IF(INDEX('Parametri Modello'!$E$57:$E$60,MATCH($B444,'Parametri Modello'!$A$57:$A$60,0))=0,0,($O444/INDEX('Parametri Modello'!$E$57:$E$60,MATCH($B444,'Parametri Modello'!$A$57:$A$60,0)))*(INDEX('Parametri Modello'!$D$57:$D$60,MATCH($B444,'Parametri Modello'!$A$57:$A$60,0))*(INDEX('Parametri Modello'!$B$50:$B$53,MATCH($B444,'Parametri Modello'!$A$50:$A$53,0))*'Parametri Modello'!$B$44))),IF(INDEX('Parametri Modello'!$F$57:$F$60,MATCH($B444,'Parametri Modello'!$A$57:$A$60,0))=0,0,($O444/INDEX('Parametri Modello'!$F$57:$F$60,MATCH($B444,'Parametri Modello'!$A$57:$A$60,0)))*((1-INDEX('Parametri Modello'!$D$57:$D$60,MATCH($B444,'Parametri Modello'!$A$57:$A$60,0)))*(INDEX('Parametri Modello'!$B$50:$B$53,MATCH($B444,'Parametri Modello'!$A$50:$A$53,0))*'Parametri Modello'!$B$44))))*(1+IF(IF($B444="D",'Info Lega'!$B$25,IF($B444="C",'Info Lega'!$B$26,"No"))="Si",'Parametri Modello'!$B$5,0))*(1+MAX(-0.25,MIN(0.25,IF(OR($T444="",$I444="",$I444=0,INDEX('Parametri Modello'!$B$19:$B$22,MATCH($B444,'Parametri Modello'!$A$19:$A$22,0))="",INDEX('Parametri Modello'!$B$19:$B$22,MATCH($B444,'Parametri Modello'!$A$19:$A$22,0))=0),0,(($T444-INDEX('Parametri Modello'!$B$19:$B$22,MATCH($B444,'Parametri Modello'!$A$19:$A$22,0)))/INDEX('Parametri Modello'!$B$19:$B$22,MATCH($B444,'Parametri Modello'!$A$19:$A$22,0)))*'Parametri Modello'!$B$9))))*(1+IF('Parametri Modello'!$B$27="Si",MAX(-'Parametri Modello'!$B$28,MIN('Parametri Modello'!$B$28*1.5,IF(OR(INDEX('Parametri Modello'!$F$32:$F$35,MATCH($B444,'Parametri Modello'!$A$32:$A$35,0))="",INDEX('Parametri Modello'!$F$32:$F$35,MATCH($B444,'Parametri Modello'!$A$32:$A$35,0))=0),0,(1/INDEX('Parametri Modello'!$F$32:$F$35,MATCH($B444,'Parametri Modello'!$A$32:$A$35,0))-1)*'Parametri Modello'!$B$28))),0)))*(1+INDEX('Parametri Modello'!$B$12:$B$15,MATCH($B444,'Parametri Modello'!$A$12:$A$15,0))),0),"")</f>
        <v>0</v>
      </c>
      <c r="I444" s="23">
        <f>IFERROR(INDEX('Input Statistiche 2025_26'!$F$3:$F$665,MATCH($A444,'Input Statistiche 2025_26'!$A$3:$A$665,0)),"")</f>
        <v>4</v>
      </c>
      <c r="J444" s="23">
        <f t="shared" si="54"/>
        <v>34</v>
      </c>
      <c r="K444" s="23">
        <f>IFERROR(INDEX('Input Statistiche 2025_26'!$I$3:$I$665,MATCH($A444,'Input Statistiche 2025_26'!$A$3:$A$665,0)),"")</f>
        <v>0</v>
      </c>
      <c r="L444" s="23">
        <f>IFERROR(INDEX('Input Statistiche 2025_26'!$O$3:$O$665,MATCH($A444,'Input Statistiche 2025_26'!$A$3:$A$665,0)),"")</f>
        <v>0</v>
      </c>
      <c r="M444" s="25"/>
      <c r="N444" s="24">
        <f>IFERROR(INDEX('Input Giocatori 2026_27'!$E$3:$E$493,MATCH($A444,'Input Giocatori 2026_27'!$A$3:$A$493,0)),"")</f>
        <v>1</v>
      </c>
      <c r="O444" s="24">
        <f>IFERROR(INDEX('Input Giocatori 2026_27'!$G$3:$G$493,MATCH($A444,'Input Giocatori 2026_27'!$A$3:$A$493,0)),"")</f>
        <v>1</v>
      </c>
      <c r="P444" s="23" t="str">
        <f>IFERROR(IF($O444="","",IF((1-(COUNTIFS($B$2:$B$492,$B444,$O$2:$O$492,"&gt;"&amp;$O444)+1-1)/COUNTIF($B$2:$B$492,$B444))&gt;='Parametri Modello'!$B$63,"Top",IF((1-(COUNTIFS($B$2:$B$492,$B444,$O$2:$O$492,"&gt;"&amp;$O444)+1-1)/COUNTIF($B$2:$B$492,$B444))&gt;='Parametri Modello'!$B$64,"Buono",IF((1-(COUNTIFS($B$2:$B$492,$B444,$O$2:$O$492,"&gt;"&amp;$O444)+1-1)/COUNTIF($B$2:$B$492,$B444))&gt;='Parametri Modello'!$B$65,"Nella Media","Scommessa/Riserva")))),"")</f>
        <v>Nella Media</v>
      </c>
      <c r="Q444" s="26" t="str">
        <f>IF(AND($D444="",$N444&gt;1),SUMPRODUCT(($D$2:$D444="")*($N$2:$N444&gt;1)),"")</f>
        <v/>
      </c>
      <c r="R444" s="26" t="str">
        <f>IF($D444='Info Lega'!$B$28,COUNTIFS($D$2:$D444,'Info Lega'!$B$28),"")</f>
        <v/>
      </c>
      <c r="S444" s="27">
        <f>IFERROR(INDEX('Input Statistiche 2025_26'!$G$3:$G$665,MATCH($A444,'Input Statistiche 2025_26'!$A$3:$A$665,0)),"")</f>
        <v>6.12</v>
      </c>
      <c r="T444" s="27">
        <f>IFERROR(INDEX('Input Statistiche 2025_26'!$H$3:$H$665,MATCH($A444,'Input Statistiche 2025_26'!$A$3:$A$665,0)),"")</f>
        <v>5.62</v>
      </c>
      <c r="U444" s="23" t="str">
        <f>IF(OR('La Mia Rosa'!$O$12="",$D444&lt;&gt;""),"",IF($F444&lt;='La Mia Rosa'!$O$12*'Parametri Modello'!$B$24,"OK",IF($F444&lt;='La Mia Rosa'!$O$12*'Parametri Modello'!$B$25,"Attenzione","Rischio Alto")))</f>
        <v>OK</v>
      </c>
      <c r="V444" s="23">
        <f t="shared" si="55"/>
        <v>26</v>
      </c>
      <c r="W444" s="18">
        <f>'Info Lega'!$B$4-SUMIFS($M$2:$M$492,$D$2:$D$492,'Info Lega'!$B$28)</f>
        <v>1000</v>
      </c>
      <c r="X444" s="18">
        <f>('Info Lega'!$B$5-COUNTIFS($D$2:$D$492,'Info Lega'!$B$28,$B$2:$B$492,"P"))+('Info Lega'!$B$6-COUNTIFS($D$2:$D$492,'Info Lega'!$B$28,$B$2:$B$492,"D"))+('Info Lega'!$B$7-COUNTIFS($D$2:$D$492,'Info Lega'!$B$28,$B$2:$B$492,"C"))+('Info Lega'!$B$8-COUNTIFS($D$2:$D$492,'Info Lega'!$B$28,$B$2:$B$492,"A"))</f>
        <v>25</v>
      </c>
      <c r="Y444" s="18">
        <f>X444*'Parametri Modello'!$B$30</f>
        <v>25</v>
      </c>
      <c r="Z444" s="18">
        <f t="shared" si="56"/>
        <v>975</v>
      </c>
      <c r="AA444" s="18">
        <f t="shared" si="57"/>
        <v>0</v>
      </c>
      <c r="AB444" s="18"/>
      <c r="AC444" s="18" t="str">
        <f>IF($AB444="","",IF($AB444&gt;$AA444,"PASS",IF($AB444&lt;=$AA444*(1-'Parametri Modello'!$B$68),"BID","ATTENZIONE")))</f>
        <v/>
      </c>
      <c r="AD444" s="28">
        <f t="shared" si="58"/>
        <v>12</v>
      </c>
      <c r="AE444" s="5" t="str">
        <f>IFERROR(INDEX('Stato Asta'!$G$9:$G$12,MATCH($B444,'Stato Asta'!$A$9:$A$12,0)),"")</f>
        <v>🔴 Non aspettare</v>
      </c>
      <c r="AF444" t="str">
        <f>IFERROR(IF($V444&lt;=INDEX('Parametri Modello'!$C$57:$C$60,MATCH($B444,'Parametri Modello'!$A$57:$A$60,0)),"Titolare","Riserva"),"")</f>
        <v>Riserva</v>
      </c>
      <c r="AG444" t="str">
        <f>IFERROR(INDEX('Pressione Competitiva'!$F$3:$F$6,MATCH($B444,'Pressione Competitiva'!$B$3:$B$6,0)),"")</f>
        <v>🔴 Molto Alta</v>
      </c>
      <c r="AH444" t="str">
        <f t="shared" si="59"/>
        <v/>
      </c>
      <c r="AI444" t="str">
        <f>IFERROR(IF($AH444="","",IF($AH444&gt;=$AA444*'Parametri Modello'!$B$68,"🟢 Opportunita'",IF($AH444&lt;=$AA444*'Parametri Modello'!$B$69,"🔴 Sovrapprezzo","🟡 Prezzo Corretto"))),"")</f>
        <v/>
      </c>
      <c r="AJ444" t="str">
        <f t="shared" si="60"/>
        <v/>
      </c>
      <c r="AK444" t="str">
        <f t="shared" si="61"/>
        <v/>
      </c>
      <c r="AL444" t="str">
        <f t="shared" si="62"/>
        <v/>
      </c>
    </row>
    <row r="445" spans="1:38" ht="14.25" customHeight="1" x14ac:dyDescent="0.25">
      <c r="A445" s="18">
        <v>4929</v>
      </c>
      <c r="B445" s="18" t="s">
        <v>15</v>
      </c>
      <c r="C445" s="18" t="s">
        <v>584</v>
      </c>
      <c r="E445" s="23" t="str">
        <f>IF(COUNTIF('Info Strategia'!$D$2:$D$51,$C445)&gt;0,"SI","NO")</f>
        <v>NO</v>
      </c>
      <c r="F445" s="24">
        <f>IFERROR(ROUND(($G445+($H445-$G445)*'Info Strategia'!$B$6)*(1+IF($E445="SI",'Parametri Modello'!$B$7*'Info Strategia'!$B$6,0)),0),"")</f>
        <v>0</v>
      </c>
      <c r="G445" s="24">
        <f>IFERROR(ROUND(MAX(1,(IF($V445&lt;=INDEX('Parametri Modello'!$C$57:$C$60,MATCH($B445,'Parametri Modello'!$A$57:$A$60,0)),IF(INDEX('Parametri Modello'!$E$57:$E$60,MATCH($B445,'Parametri Modello'!$A$57:$A$60,0))=0,0,($O445/INDEX('Parametri Modello'!$E$57:$E$60,MATCH($B445,'Parametri Modello'!$A$57:$A$60,0)))*(INDEX('Parametri Modello'!$D$57:$D$60,MATCH($B445,'Parametri Modello'!$A$57:$A$60,0))*(INDEX('Parametri Modello'!$B$50:$B$53,MATCH($B445,'Parametri Modello'!$A$50:$A$53,0))*'Parametri Modello'!$B$44))),IF(INDEX('Parametri Modello'!$F$57:$F$60,MATCH($B445,'Parametri Modello'!$A$57:$A$60,0))=0,0,($O445/INDEX('Parametri Modello'!$F$57:$F$60,MATCH($B445,'Parametri Modello'!$A$57:$A$60,0)))*((1-INDEX('Parametri Modello'!$D$57:$D$60,MATCH($B445,'Parametri Modello'!$A$57:$A$60,0)))*(INDEX('Parametri Modello'!$B$50:$B$53,MATCH($B445,'Parametri Modello'!$A$50:$A$53,0))*'Parametri Modello'!$B$44))))*(1+IF(IF($B445="D",'Info Lega'!$B$25,IF($B445="C",'Info Lega'!$B$26,"No"))="Si",'Parametri Modello'!$B$5,0))*(1+MAX(-0.25,MIN(0.25,IF(OR($T445="",$I445="",$I445=0,INDEX('Parametri Modello'!$B$19:$B$22,MATCH($B445,'Parametri Modello'!$A$19:$A$22,0))="",INDEX('Parametri Modello'!$B$19:$B$22,MATCH($B445,'Parametri Modello'!$A$19:$A$22,0))=0),0,(($T445-INDEX('Parametri Modello'!$B$19:$B$22,MATCH($B445,'Parametri Modello'!$A$19:$A$22,0)))/INDEX('Parametri Modello'!$B$19:$B$22,MATCH($B445,'Parametri Modello'!$A$19:$A$22,0)))*'Parametri Modello'!$B$9))))*(1+IF('Parametri Modello'!$B$27="Si",MAX(-'Parametri Modello'!$B$28,MIN('Parametri Modello'!$B$28*1.5,IF(OR(INDEX('Parametri Modello'!$F$32:$F$35,MATCH($B445,'Parametri Modello'!$A$32:$A$35,0))="",INDEX('Parametri Modello'!$F$32:$F$35,MATCH($B445,'Parametri Modello'!$A$32:$A$35,0))=0),0,(1/INDEX('Parametri Modello'!$F$32:$F$35,MATCH($B445,'Parametri Modello'!$A$32:$A$35,0))-1)*'Parametri Modello'!$B$28))),0)))*(1-INDEX('Parametri Modello'!$B$12:$B$15,MATCH($B445,'Parametri Modello'!$A$12:$A$15,0)))),0),"")</f>
        <v>1</v>
      </c>
      <c r="H445" s="24">
        <f>IFERROR(ROUND((IF($V445&lt;=INDEX('Parametri Modello'!$C$57:$C$60,MATCH($B445,'Parametri Modello'!$A$57:$A$60,0)),IF(INDEX('Parametri Modello'!$E$57:$E$60,MATCH($B445,'Parametri Modello'!$A$57:$A$60,0))=0,0,($O445/INDEX('Parametri Modello'!$E$57:$E$60,MATCH($B445,'Parametri Modello'!$A$57:$A$60,0)))*(INDEX('Parametri Modello'!$D$57:$D$60,MATCH($B445,'Parametri Modello'!$A$57:$A$60,0))*(INDEX('Parametri Modello'!$B$50:$B$53,MATCH($B445,'Parametri Modello'!$A$50:$A$53,0))*'Parametri Modello'!$B$44))),IF(INDEX('Parametri Modello'!$F$57:$F$60,MATCH($B445,'Parametri Modello'!$A$57:$A$60,0))=0,0,($O445/INDEX('Parametri Modello'!$F$57:$F$60,MATCH($B445,'Parametri Modello'!$A$57:$A$60,0)))*((1-INDEX('Parametri Modello'!$D$57:$D$60,MATCH($B445,'Parametri Modello'!$A$57:$A$60,0)))*(INDEX('Parametri Modello'!$B$50:$B$53,MATCH($B445,'Parametri Modello'!$A$50:$A$53,0))*'Parametri Modello'!$B$44))))*(1+IF(IF($B445="D",'Info Lega'!$B$25,IF($B445="C",'Info Lega'!$B$26,"No"))="Si",'Parametri Modello'!$B$5,0))*(1+MAX(-0.25,MIN(0.25,IF(OR($T445="",$I445="",$I445=0,INDEX('Parametri Modello'!$B$19:$B$22,MATCH($B445,'Parametri Modello'!$A$19:$A$22,0))="",INDEX('Parametri Modello'!$B$19:$B$22,MATCH($B445,'Parametri Modello'!$A$19:$A$22,0))=0),0,(($T445-INDEX('Parametri Modello'!$B$19:$B$22,MATCH($B445,'Parametri Modello'!$A$19:$A$22,0)))/INDEX('Parametri Modello'!$B$19:$B$22,MATCH($B445,'Parametri Modello'!$A$19:$A$22,0)))*'Parametri Modello'!$B$9))))*(1+IF('Parametri Modello'!$B$27="Si",MAX(-'Parametri Modello'!$B$28,MIN('Parametri Modello'!$B$28*1.5,IF(OR(INDEX('Parametri Modello'!$F$32:$F$35,MATCH($B445,'Parametri Modello'!$A$32:$A$35,0))="",INDEX('Parametri Modello'!$F$32:$F$35,MATCH($B445,'Parametri Modello'!$A$32:$A$35,0))=0),0,(1/INDEX('Parametri Modello'!$F$32:$F$35,MATCH($B445,'Parametri Modello'!$A$32:$A$35,0))-1)*'Parametri Modello'!$B$28))),0)))*(1+INDEX('Parametri Modello'!$B$12:$B$15,MATCH($B445,'Parametri Modello'!$A$12:$A$15,0))),0),"")</f>
        <v>0</v>
      </c>
      <c r="I445" s="23">
        <f>IFERROR(INDEX('Input Statistiche 2025_26'!$F$3:$F$665,MATCH($A445,'Input Statistiche 2025_26'!$A$3:$A$665,0)),"")</f>
        <v>0</v>
      </c>
      <c r="J445" s="23">
        <f t="shared" si="54"/>
        <v>38</v>
      </c>
      <c r="K445" s="23">
        <f>IFERROR(INDEX('Input Statistiche 2025_26'!$I$3:$I$665,MATCH($A445,'Input Statistiche 2025_26'!$A$3:$A$665,0)),"")</f>
        <v>0</v>
      </c>
      <c r="L445" s="23">
        <f>IFERROR(INDEX('Input Statistiche 2025_26'!$O$3:$O$665,MATCH($A445,'Input Statistiche 2025_26'!$A$3:$A$665,0)),"")</f>
        <v>0</v>
      </c>
      <c r="M445" s="25"/>
      <c r="N445" s="24">
        <f>IFERROR(INDEX('Input Giocatori 2026_27'!$E$3:$E$493,MATCH($A445,'Input Giocatori 2026_27'!$A$3:$A$493,0)),"")</f>
        <v>1</v>
      </c>
      <c r="O445" s="24">
        <f>IFERROR(INDEX('Input Giocatori 2026_27'!$G$3:$G$493,MATCH($A445,'Input Giocatori 2026_27'!$A$3:$A$493,0)),"")</f>
        <v>1</v>
      </c>
      <c r="P445" s="23" t="str">
        <f>IFERROR(IF($O445="","",IF((1-(COUNTIFS($B$2:$B$492,$B445,$O$2:$O$492,"&gt;"&amp;$O445)+1-1)/COUNTIF($B$2:$B$492,$B445))&gt;='Parametri Modello'!$B$63,"Top",IF((1-(COUNTIFS($B$2:$B$492,$B445,$O$2:$O$492,"&gt;"&amp;$O445)+1-1)/COUNTIF($B$2:$B$492,$B445))&gt;='Parametri Modello'!$B$64,"Buono",IF((1-(COUNTIFS($B$2:$B$492,$B445,$O$2:$O$492,"&gt;"&amp;$O445)+1-1)/COUNTIF($B$2:$B$492,$B445))&gt;='Parametri Modello'!$B$65,"Nella Media","Scommessa/Riserva")))),"")</f>
        <v>Nella Media</v>
      </c>
      <c r="Q445" s="26" t="str">
        <f>IF(AND($D445="",$N445&gt;1),SUMPRODUCT(($D$2:$D445="")*($N$2:$N445&gt;1)),"")</f>
        <v/>
      </c>
      <c r="R445" s="26" t="str">
        <f>IF($D445='Info Lega'!$B$28,COUNTIFS($D$2:$D445,'Info Lega'!$B$28),"")</f>
        <v/>
      </c>
      <c r="S445" s="27">
        <f>IFERROR(INDEX('Input Statistiche 2025_26'!$G$3:$G$665,MATCH($A445,'Input Statistiche 2025_26'!$A$3:$A$665,0)),"")</f>
        <v>0</v>
      </c>
      <c r="T445" s="27">
        <f>IFERROR(INDEX('Input Statistiche 2025_26'!$H$3:$H$665,MATCH($A445,'Input Statistiche 2025_26'!$A$3:$A$665,0)),"")</f>
        <v>0</v>
      </c>
      <c r="U445" s="23" t="str">
        <f>IF(OR('La Mia Rosa'!$O$12="",$D445&lt;&gt;""),"",IF($F445&lt;='La Mia Rosa'!$O$12*'Parametri Modello'!$B$24,"OK",IF($F445&lt;='La Mia Rosa'!$O$12*'Parametri Modello'!$B$25,"Attenzione","Rischio Alto")))</f>
        <v>OK</v>
      </c>
      <c r="V445" s="23">
        <f t="shared" si="55"/>
        <v>26</v>
      </c>
      <c r="W445" s="18">
        <f>'Info Lega'!$B$4-SUMIFS($M$2:$M$492,$D$2:$D$492,'Info Lega'!$B$28)</f>
        <v>1000</v>
      </c>
      <c r="X445" s="18">
        <f>('Info Lega'!$B$5-COUNTIFS($D$2:$D$492,'Info Lega'!$B$28,$B$2:$B$492,"P"))+('Info Lega'!$B$6-COUNTIFS($D$2:$D$492,'Info Lega'!$B$28,$B$2:$B$492,"D"))+('Info Lega'!$B$7-COUNTIFS($D$2:$D$492,'Info Lega'!$B$28,$B$2:$B$492,"C"))+('Info Lega'!$B$8-COUNTIFS($D$2:$D$492,'Info Lega'!$B$28,$B$2:$B$492,"A"))</f>
        <v>25</v>
      </c>
      <c r="Y445" s="18">
        <f>X445*'Parametri Modello'!$B$30</f>
        <v>25</v>
      </c>
      <c r="Z445" s="18">
        <f t="shared" si="56"/>
        <v>975</v>
      </c>
      <c r="AA445" s="18">
        <f t="shared" si="57"/>
        <v>0</v>
      </c>
      <c r="AB445" s="18"/>
      <c r="AC445" s="18" t="str">
        <f>IF($AB445="","",IF($AB445&gt;$AA445,"PASS",IF($AB445&lt;=$AA445*(1-'Parametri Modello'!$B$68),"BID","ATTENZIONE")))</f>
        <v/>
      </c>
      <c r="AD445" s="28">
        <f t="shared" si="58"/>
        <v>0</v>
      </c>
      <c r="AE445" s="5" t="str">
        <f>IFERROR(INDEX('Stato Asta'!$G$9:$G$12,MATCH($B445,'Stato Asta'!$A$9:$A$12,0)),"")</f>
        <v>🔴 Non aspettare</v>
      </c>
      <c r="AF445" t="str">
        <f>IFERROR(IF($V445&lt;=INDEX('Parametri Modello'!$C$57:$C$60,MATCH($B445,'Parametri Modello'!$A$57:$A$60,0)),"Titolare","Riserva"),"")</f>
        <v>Riserva</v>
      </c>
      <c r="AG445" t="str">
        <f>IFERROR(INDEX('Pressione Competitiva'!$F$3:$F$6,MATCH($B445,'Pressione Competitiva'!$B$3:$B$6,0)),"")</f>
        <v>🔴 Molto Alta</v>
      </c>
      <c r="AH445" t="str">
        <f t="shared" si="59"/>
        <v/>
      </c>
      <c r="AI445" t="str">
        <f>IFERROR(IF($AH445="","",IF($AH445&gt;=$AA445*'Parametri Modello'!$B$68,"🟢 Opportunita'",IF($AH445&lt;=$AA445*'Parametri Modello'!$B$69,"🔴 Sovrapprezzo","🟡 Prezzo Corretto"))),"")</f>
        <v/>
      </c>
      <c r="AJ445" t="str">
        <f t="shared" si="60"/>
        <v/>
      </c>
      <c r="AK445" t="str">
        <f t="shared" si="61"/>
        <v/>
      </c>
      <c r="AL445" t="str">
        <f t="shared" si="62"/>
        <v/>
      </c>
    </row>
    <row r="446" spans="1:38" ht="14.25" customHeight="1" x14ac:dyDescent="0.25">
      <c r="A446" s="18">
        <v>6650</v>
      </c>
      <c r="B446" s="18" t="s">
        <v>15</v>
      </c>
      <c r="C446" s="18" t="s">
        <v>585</v>
      </c>
      <c r="E446" s="23" t="str">
        <f>IF(COUNTIF('Info Strategia'!$D$2:$D$51,$C446)&gt;0,"SI","NO")</f>
        <v>NO</v>
      </c>
      <c r="F446" s="24">
        <f>IFERROR(ROUND(($G446+($H446-$G446)*'Info Strategia'!$B$6)*(1+IF($E446="SI",'Parametri Modello'!$B$7*'Info Strategia'!$B$6,0)),0),"")</f>
        <v>0</v>
      </c>
      <c r="G446" s="24">
        <f>IFERROR(ROUND(MAX(1,(IF($V446&lt;=INDEX('Parametri Modello'!$C$57:$C$60,MATCH($B446,'Parametri Modello'!$A$57:$A$60,0)),IF(INDEX('Parametri Modello'!$E$57:$E$60,MATCH($B446,'Parametri Modello'!$A$57:$A$60,0))=0,0,($O446/INDEX('Parametri Modello'!$E$57:$E$60,MATCH($B446,'Parametri Modello'!$A$57:$A$60,0)))*(INDEX('Parametri Modello'!$D$57:$D$60,MATCH($B446,'Parametri Modello'!$A$57:$A$60,0))*(INDEX('Parametri Modello'!$B$50:$B$53,MATCH($B446,'Parametri Modello'!$A$50:$A$53,0))*'Parametri Modello'!$B$44))),IF(INDEX('Parametri Modello'!$F$57:$F$60,MATCH($B446,'Parametri Modello'!$A$57:$A$60,0))=0,0,($O446/INDEX('Parametri Modello'!$F$57:$F$60,MATCH($B446,'Parametri Modello'!$A$57:$A$60,0)))*((1-INDEX('Parametri Modello'!$D$57:$D$60,MATCH($B446,'Parametri Modello'!$A$57:$A$60,0)))*(INDEX('Parametri Modello'!$B$50:$B$53,MATCH($B446,'Parametri Modello'!$A$50:$A$53,0))*'Parametri Modello'!$B$44))))*(1+IF(IF($B446="D",'Info Lega'!$B$25,IF($B446="C",'Info Lega'!$B$26,"No"))="Si",'Parametri Modello'!$B$5,0))*(1+MAX(-0.25,MIN(0.25,IF(OR($T446="",$I446="",$I446=0,INDEX('Parametri Modello'!$B$19:$B$22,MATCH($B446,'Parametri Modello'!$A$19:$A$22,0))="",INDEX('Parametri Modello'!$B$19:$B$22,MATCH($B446,'Parametri Modello'!$A$19:$A$22,0))=0),0,(($T446-INDEX('Parametri Modello'!$B$19:$B$22,MATCH($B446,'Parametri Modello'!$A$19:$A$22,0)))/INDEX('Parametri Modello'!$B$19:$B$22,MATCH($B446,'Parametri Modello'!$A$19:$A$22,0)))*'Parametri Modello'!$B$9))))*(1+IF('Parametri Modello'!$B$27="Si",MAX(-'Parametri Modello'!$B$28,MIN('Parametri Modello'!$B$28*1.5,IF(OR(INDEX('Parametri Modello'!$F$32:$F$35,MATCH($B446,'Parametri Modello'!$A$32:$A$35,0))="",INDEX('Parametri Modello'!$F$32:$F$35,MATCH($B446,'Parametri Modello'!$A$32:$A$35,0))=0),0,(1/INDEX('Parametri Modello'!$F$32:$F$35,MATCH($B446,'Parametri Modello'!$A$32:$A$35,0))-1)*'Parametri Modello'!$B$28))),0)))*(1-INDEX('Parametri Modello'!$B$12:$B$15,MATCH($B446,'Parametri Modello'!$A$12:$A$15,0)))),0),"")</f>
        <v>1</v>
      </c>
      <c r="H446" s="24">
        <f>IFERROR(ROUND((IF($V446&lt;=INDEX('Parametri Modello'!$C$57:$C$60,MATCH($B446,'Parametri Modello'!$A$57:$A$60,0)),IF(INDEX('Parametri Modello'!$E$57:$E$60,MATCH($B446,'Parametri Modello'!$A$57:$A$60,0))=0,0,($O446/INDEX('Parametri Modello'!$E$57:$E$60,MATCH($B446,'Parametri Modello'!$A$57:$A$60,0)))*(INDEX('Parametri Modello'!$D$57:$D$60,MATCH($B446,'Parametri Modello'!$A$57:$A$60,0))*(INDEX('Parametri Modello'!$B$50:$B$53,MATCH($B446,'Parametri Modello'!$A$50:$A$53,0))*'Parametri Modello'!$B$44))),IF(INDEX('Parametri Modello'!$F$57:$F$60,MATCH($B446,'Parametri Modello'!$A$57:$A$60,0))=0,0,($O446/INDEX('Parametri Modello'!$F$57:$F$60,MATCH($B446,'Parametri Modello'!$A$57:$A$60,0)))*((1-INDEX('Parametri Modello'!$D$57:$D$60,MATCH($B446,'Parametri Modello'!$A$57:$A$60,0)))*(INDEX('Parametri Modello'!$B$50:$B$53,MATCH($B446,'Parametri Modello'!$A$50:$A$53,0))*'Parametri Modello'!$B$44))))*(1+IF(IF($B446="D",'Info Lega'!$B$25,IF($B446="C",'Info Lega'!$B$26,"No"))="Si",'Parametri Modello'!$B$5,0))*(1+MAX(-0.25,MIN(0.25,IF(OR($T446="",$I446="",$I446=0,INDEX('Parametri Modello'!$B$19:$B$22,MATCH($B446,'Parametri Modello'!$A$19:$A$22,0))="",INDEX('Parametri Modello'!$B$19:$B$22,MATCH($B446,'Parametri Modello'!$A$19:$A$22,0))=0),0,(($T446-INDEX('Parametri Modello'!$B$19:$B$22,MATCH($B446,'Parametri Modello'!$A$19:$A$22,0)))/INDEX('Parametri Modello'!$B$19:$B$22,MATCH($B446,'Parametri Modello'!$A$19:$A$22,0)))*'Parametri Modello'!$B$9))))*(1+IF('Parametri Modello'!$B$27="Si",MAX(-'Parametri Modello'!$B$28,MIN('Parametri Modello'!$B$28*1.5,IF(OR(INDEX('Parametri Modello'!$F$32:$F$35,MATCH($B446,'Parametri Modello'!$A$32:$A$35,0))="",INDEX('Parametri Modello'!$F$32:$F$35,MATCH($B446,'Parametri Modello'!$A$32:$A$35,0))=0),0,(1/INDEX('Parametri Modello'!$F$32:$F$35,MATCH($B446,'Parametri Modello'!$A$32:$A$35,0))-1)*'Parametri Modello'!$B$28))),0)))*(1+INDEX('Parametri Modello'!$B$12:$B$15,MATCH($B446,'Parametri Modello'!$A$12:$A$15,0))),0),"")</f>
        <v>0</v>
      </c>
      <c r="I446" s="23">
        <f>IFERROR(INDEX('Input Statistiche 2025_26'!$F$3:$F$665,MATCH($A446,'Input Statistiche 2025_26'!$A$3:$A$665,0)),"")</f>
        <v>0</v>
      </c>
      <c r="J446" s="23">
        <f t="shared" si="54"/>
        <v>38</v>
      </c>
      <c r="K446" s="23">
        <f>IFERROR(INDEX('Input Statistiche 2025_26'!$I$3:$I$665,MATCH($A446,'Input Statistiche 2025_26'!$A$3:$A$665,0)),"")</f>
        <v>0</v>
      </c>
      <c r="L446" s="23">
        <f>IFERROR(INDEX('Input Statistiche 2025_26'!$O$3:$O$665,MATCH($A446,'Input Statistiche 2025_26'!$A$3:$A$665,0)),"")</f>
        <v>0</v>
      </c>
      <c r="M446" s="25"/>
      <c r="N446" s="24">
        <f>IFERROR(INDEX('Input Giocatori 2026_27'!$E$3:$E$493,MATCH($A446,'Input Giocatori 2026_27'!$A$3:$A$493,0)),"")</f>
        <v>1</v>
      </c>
      <c r="O446" s="24">
        <f>IFERROR(INDEX('Input Giocatori 2026_27'!$G$3:$G$493,MATCH($A446,'Input Giocatori 2026_27'!$A$3:$A$493,0)),"")</f>
        <v>1</v>
      </c>
      <c r="P446" s="23" t="str">
        <f>IFERROR(IF($O446="","",IF((1-(COUNTIFS($B$2:$B$492,$B446,$O$2:$O$492,"&gt;"&amp;$O446)+1-1)/COUNTIF($B$2:$B$492,$B446))&gt;='Parametri Modello'!$B$63,"Top",IF((1-(COUNTIFS($B$2:$B$492,$B446,$O$2:$O$492,"&gt;"&amp;$O446)+1-1)/COUNTIF($B$2:$B$492,$B446))&gt;='Parametri Modello'!$B$64,"Buono",IF((1-(COUNTIFS($B$2:$B$492,$B446,$O$2:$O$492,"&gt;"&amp;$O446)+1-1)/COUNTIF($B$2:$B$492,$B446))&gt;='Parametri Modello'!$B$65,"Nella Media","Scommessa/Riserva")))),"")</f>
        <v>Nella Media</v>
      </c>
      <c r="Q446" s="26" t="str">
        <f>IF(AND($D446="",$N446&gt;1),SUMPRODUCT(($D$2:$D446="")*($N$2:$N446&gt;1)),"")</f>
        <v/>
      </c>
      <c r="R446" s="26" t="str">
        <f>IF($D446='Info Lega'!$B$28,COUNTIFS($D$2:$D446,'Info Lega'!$B$28),"")</f>
        <v/>
      </c>
      <c r="S446" s="27">
        <f>IFERROR(INDEX('Input Statistiche 2025_26'!$G$3:$G$665,MATCH($A446,'Input Statistiche 2025_26'!$A$3:$A$665,0)),"")</f>
        <v>0</v>
      </c>
      <c r="T446" s="27">
        <f>IFERROR(INDEX('Input Statistiche 2025_26'!$H$3:$H$665,MATCH($A446,'Input Statistiche 2025_26'!$A$3:$A$665,0)),"")</f>
        <v>0</v>
      </c>
      <c r="U446" s="23" t="str">
        <f>IF(OR('La Mia Rosa'!$O$12="",$D446&lt;&gt;""),"",IF($F446&lt;='La Mia Rosa'!$O$12*'Parametri Modello'!$B$24,"OK",IF($F446&lt;='La Mia Rosa'!$O$12*'Parametri Modello'!$B$25,"Attenzione","Rischio Alto")))</f>
        <v>OK</v>
      </c>
      <c r="V446" s="23">
        <f t="shared" si="55"/>
        <v>26</v>
      </c>
      <c r="W446" s="18">
        <f>'Info Lega'!$B$4-SUMIFS($M$2:$M$492,$D$2:$D$492,'Info Lega'!$B$28)</f>
        <v>1000</v>
      </c>
      <c r="X446" s="18">
        <f>('Info Lega'!$B$5-COUNTIFS($D$2:$D$492,'Info Lega'!$B$28,$B$2:$B$492,"P"))+('Info Lega'!$B$6-COUNTIFS($D$2:$D$492,'Info Lega'!$B$28,$B$2:$B$492,"D"))+('Info Lega'!$B$7-COUNTIFS($D$2:$D$492,'Info Lega'!$B$28,$B$2:$B$492,"C"))+('Info Lega'!$B$8-COUNTIFS($D$2:$D$492,'Info Lega'!$B$28,$B$2:$B$492,"A"))</f>
        <v>25</v>
      </c>
      <c r="Y446" s="18">
        <f>X446*'Parametri Modello'!$B$30</f>
        <v>25</v>
      </c>
      <c r="Z446" s="18">
        <f t="shared" si="56"/>
        <v>975</v>
      </c>
      <c r="AA446" s="18">
        <f t="shared" si="57"/>
        <v>0</v>
      </c>
      <c r="AB446" s="18"/>
      <c r="AC446" s="18" t="str">
        <f>IF($AB446="","",IF($AB446&gt;$AA446,"PASS",IF($AB446&lt;=$AA446*(1-'Parametri Modello'!$B$68),"BID","ATTENZIONE")))</f>
        <v/>
      </c>
      <c r="AD446" s="28">
        <f t="shared" si="58"/>
        <v>0</v>
      </c>
      <c r="AE446" s="5" t="str">
        <f>IFERROR(INDEX('Stato Asta'!$G$9:$G$12,MATCH($B446,'Stato Asta'!$A$9:$A$12,0)),"")</f>
        <v>🔴 Non aspettare</v>
      </c>
      <c r="AF446" t="str">
        <f>IFERROR(IF($V446&lt;=INDEX('Parametri Modello'!$C$57:$C$60,MATCH($B446,'Parametri Modello'!$A$57:$A$60,0)),"Titolare","Riserva"),"")</f>
        <v>Riserva</v>
      </c>
      <c r="AG446" t="str">
        <f>IFERROR(INDEX('Pressione Competitiva'!$F$3:$F$6,MATCH($B446,'Pressione Competitiva'!$B$3:$B$6,0)),"")</f>
        <v>🔴 Molto Alta</v>
      </c>
      <c r="AH446" t="str">
        <f t="shared" si="59"/>
        <v/>
      </c>
      <c r="AI446" t="str">
        <f>IFERROR(IF($AH446="","",IF($AH446&gt;=$AA446*'Parametri Modello'!$B$68,"🟢 Opportunita'",IF($AH446&lt;=$AA446*'Parametri Modello'!$B$69,"🔴 Sovrapprezzo","🟡 Prezzo Corretto"))),"")</f>
        <v/>
      </c>
      <c r="AJ446" t="str">
        <f t="shared" si="60"/>
        <v/>
      </c>
      <c r="AK446" t="str">
        <f t="shared" si="61"/>
        <v/>
      </c>
      <c r="AL446" t="str">
        <f t="shared" si="62"/>
        <v/>
      </c>
    </row>
    <row r="447" spans="1:38" ht="14.25" customHeight="1" x14ac:dyDescent="0.25">
      <c r="A447" s="18">
        <v>7301</v>
      </c>
      <c r="B447" s="18" t="s">
        <v>15</v>
      </c>
      <c r="C447" s="18" t="s">
        <v>586</v>
      </c>
      <c r="E447" s="23" t="str">
        <f>IF(COUNTIF('Info Strategia'!$D$2:$D$51,$C447)&gt;0,"SI","NO")</f>
        <v>NO</v>
      </c>
      <c r="F447" s="24">
        <f>IFERROR(ROUND(($G447+($H447-$G447)*'Info Strategia'!$B$6)*(1+IF($E447="SI",'Parametri Modello'!$B$7*'Info Strategia'!$B$6,0)),0),"")</f>
        <v>0</v>
      </c>
      <c r="G447" s="24">
        <f>IFERROR(ROUND(MAX(1,(IF($V447&lt;=INDEX('Parametri Modello'!$C$57:$C$60,MATCH($B447,'Parametri Modello'!$A$57:$A$60,0)),IF(INDEX('Parametri Modello'!$E$57:$E$60,MATCH($B447,'Parametri Modello'!$A$57:$A$60,0))=0,0,($O447/INDEX('Parametri Modello'!$E$57:$E$60,MATCH($B447,'Parametri Modello'!$A$57:$A$60,0)))*(INDEX('Parametri Modello'!$D$57:$D$60,MATCH($B447,'Parametri Modello'!$A$57:$A$60,0))*(INDEX('Parametri Modello'!$B$50:$B$53,MATCH($B447,'Parametri Modello'!$A$50:$A$53,0))*'Parametri Modello'!$B$44))),IF(INDEX('Parametri Modello'!$F$57:$F$60,MATCH($B447,'Parametri Modello'!$A$57:$A$60,0))=0,0,($O447/INDEX('Parametri Modello'!$F$57:$F$60,MATCH($B447,'Parametri Modello'!$A$57:$A$60,0)))*((1-INDEX('Parametri Modello'!$D$57:$D$60,MATCH($B447,'Parametri Modello'!$A$57:$A$60,0)))*(INDEX('Parametri Modello'!$B$50:$B$53,MATCH($B447,'Parametri Modello'!$A$50:$A$53,0))*'Parametri Modello'!$B$44))))*(1+IF(IF($B447="D",'Info Lega'!$B$25,IF($B447="C",'Info Lega'!$B$26,"No"))="Si",'Parametri Modello'!$B$5,0))*(1+MAX(-0.25,MIN(0.25,IF(OR($T447="",$I447="",$I447=0,INDEX('Parametri Modello'!$B$19:$B$22,MATCH($B447,'Parametri Modello'!$A$19:$A$22,0))="",INDEX('Parametri Modello'!$B$19:$B$22,MATCH($B447,'Parametri Modello'!$A$19:$A$22,0))=0),0,(($T447-INDEX('Parametri Modello'!$B$19:$B$22,MATCH($B447,'Parametri Modello'!$A$19:$A$22,0)))/INDEX('Parametri Modello'!$B$19:$B$22,MATCH($B447,'Parametri Modello'!$A$19:$A$22,0)))*'Parametri Modello'!$B$9))))*(1+IF('Parametri Modello'!$B$27="Si",MAX(-'Parametri Modello'!$B$28,MIN('Parametri Modello'!$B$28*1.5,IF(OR(INDEX('Parametri Modello'!$F$32:$F$35,MATCH($B447,'Parametri Modello'!$A$32:$A$35,0))="",INDEX('Parametri Modello'!$F$32:$F$35,MATCH($B447,'Parametri Modello'!$A$32:$A$35,0))=0),0,(1/INDEX('Parametri Modello'!$F$32:$F$35,MATCH($B447,'Parametri Modello'!$A$32:$A$35,0))-1)*'Parametri Modello'!$B$28))),0)))*(1-INDEX('Parametri Modello'!$B$12:$B$15,MATCH($B447,'Parametri Modello'!$A$12:$A$15,0)))),0),"")</f>
        <v>1</v>
      </c>
      <c r="H447" s="24">
        <f>IFERROR(ROUND((IF($V447&lt;=INDEX('Parametri Modello'!$C$57:$C$60,MATCH($B447,'Parametri Modello'!$A$57:$A$60,0)),IF(INDEX('Parametri Modello'!$E$57:$E$60,MATCH($B447,'Parametri Modello'!$A$57:$A$60,0))=0,0,($O447/INDEX('Parametri Modello'!$E$57:$E$60,MATCH($B447,'Parametri Modello'!$A$57:$A$60,0)))*(INDEX('Parametri Modello'!$D$57:$D$60,MATCH($B447,'Parametri Modello'!$A$57:$A$60,0))*(INDEX('Parametri Modello'!$B$50:$B$53,MATCH($B447,'Parametri Modello'!$A$50:$A$53,0))*'Parametri Modello'!$B$44))),IF(INDEX('Parametri Modello'!$F$57:$F$60,MATCH($B447,'Parametri Modello'!$A$57:$A$60,0))=0,0,($O447/INDEX('Parametri Modello'!$F$57:$F$60,MATCH($B447,'Parametri Modello'!$A$57:$A$60,0)))*((1-INDEX('Parametri Modello'!$D$57:$D$60,MATCH($B447,'Parametri Modello'!$A$57:$A$60,0)))*(INDEX('Parametri Modello'!$B$50:$B$53,MATCH($B447,'Parametri Modello'!$A$50:$A$53,0))*'Parametri Modello'!$B$44))))*(1+IF(IF($B447="D",'Info Lega'!$B$25,IF($B447="C",'Info Lega'!$B$26,"No"))="Si",'Parametri Modello'!$B$5,0))*(1+MAX(-0.25,MIN(0.25,IF(OR($T447="",$I447="",$I447=0,INDEX('Parametri Modello'!$B$19:$B$22,MATCH($B447,'Parametri Modello'!$A$19:$A$22,0))="",INDEX('Parametri Modello'!$B$19:$B$22,MATCH($B447,'Parametri Modello'!$A$19:$A$22,0))=0),0,(($T447-INDEX('Parametri Modello'!$B$19:$B$22,MATCH($B447,'Parametri Modello'!$A$19:$A$22,0)))/INDEX('Parametri Modello'!$B$19:$B$22,MATCH($B447,'Parametri Modello'!$A$19:$A$22,0)))*'Parametri Modello'!$B$9))))*(1+IF('Parametri Modello'!$B$27="Si",MAX(-'Parametri Modello'!$B$28,MIN('Parametri Modello'!$B$28*1.5,IF(OR(INDEX('Parametri Modello'!$F$32:$F$35,MATCH($B447,'Parametri Modello'!$A$32:$A$35,0))="",INDEX('Parametri Modello'!$F$32:$F$35,MATCH($B447,'Parametri Modello'!$A$32:$A$35,0))=0),0,(1/INDEX('Parametri Modello'!$F$32:$F$35,MATCH($B447,'Parametri Modello'!$A$32:$A$35,0))-1)*'Parametri Modello'!$B$28))),0)))*(1+INDEX('Parametri Modello'!$B$12:$B$15,MATCH($B447,'Parametri Modello'!$A$12:$A$15,0))),0),"")</f>
        <v>0</v>
      </c>
      <c r="I447" s="23">
        <f>IFERROR(INDEX('Input Statistiche 2025_26'!$F$3:$F$665,MATCH($A447,'Input Statistiche 2025_26'!$A$3:$A$665,0)),"")</f>
        <v>0</v>
      </c>
      <c r="J447" s="23">
        <f t="shared" si="54"/>
        <v>38</v>
      </c>
      <c r="K447" s="23">
        <f>IFERROR(INDEX('Input Statistiche 2025_26'!$I$3:$I$665,MATCH($A447,'Input Statistiche 2025_26'!$A$3:$A$665,0)),"")</f>
        <v>0</v>
      </c>
      <c r="L447" s="23">
        <f>IFERROR(INDEX('Input Statistiche 2025_26'!$O$3:$O$665,MATCH($A447,'Input Statistiche 2025_26'!$A$3:$A$665,0)),"")</f>
        <v>0</v>
      </c>
      <c r="M447" s="25"/>
      <c r="N447" s="24">
        <f>IFERROR(INDEX('Input Giocatori 2026_27'!$E$3:$E$493,MATCH($A447,'Input Giocatori 2026_27'!$A$3:$A$493,0)),"")</f>
        <v>1</v>
      </c>
      <c r="O447" s="24">
        <f>IFERROR(INDEX('Input Giocatori 2026_27'!$G$3:$G$493,MATCH($A447,'Input Giocatori 2026_27'!$A$3:$A$493,0)),"")</f>
        <v>1</v>
      </c>
      <c r="P447" s="23" t="str">
        <f>IFERROR(IF($O447="","",IF((1-(COUNTIFS($B$2:$B$492,$B447,$O$2:$O$492,"&gt;"&amp;$O447)+1-1)/COUNTIF($B$2:$B$492,$B447))&gt;='Parametri Modello'!$B$63,"Top",IF((1-(COUNTIFS($B$2:$B$492,$B447,$O$2:$O$492,"&gt;"&amp;$O447)+1-1)/COUNTIF($B$2:$B$492,$B447))&gt;='Parametri Modello'!$B$64,"Buono",IF((1-(COUNTIFS($B$2:$B$492,$B447,$O$2:$O$492,"&gt;"&amp;$O447)+1-1)/COUNTIF($B$2:$B$492,$B447))&gt;='Parametri Modello'!$B$65,"Nella Media","Scommessa/Riserva")))),"")</f>
        <v>Nella Media</v>
      </c>
      <c r="Q447" s="26" t="str">
        <f>IF(AND($D447="",$N447&gt;1),SUMPRODUCT(($D$2:$D447="")*($N$2:$N447&gt;1)),"")</f>
        <v/>
      </c>
      <c r="R447" s="26" t="str">
        <f>IF($D447='Info Lega'!$B$28,COUNTIFS($D$2:$D447,'Info Lega'!$B$28),"")</f>
        <v/>
      </c>
      <c r="S447" s="27">
        <f>IFERROR(INDEX('Input Statistiche 2025_26'!$G$3:$G$665,MATCH($A447,'Input Statistiche 2025_26'!$A$3:$A$665,0)),"")</f>
        <v>0</v>
      </c>
      <c r="T447" s="27">
        <f>IFERROR(INDEX('Input Statistiche 2025_26'!$H$3:$H$665,MATCH($A447,'Input Statistiche 2025_26'!$A$3:$A$665,0)),"")</f>
        <v>0</v>
      </c>
      <c r="U447" s="23" t="str">
        <f>IF(OR('La Mia Rosa'!$O$12="",$D447&lt;&gt;""),"",IF($F447&lt;='La Mia Rosa'!$O$12*'Parametri Modello'!$B$24,"OK",IF($F447&lt;='La Mia Rosa'!$O$12*'Parametri Modello'!$B$25,"Attenzione","Rischio Alto")))</f>
        <v>OK</v>
      </c>
      <c r="V447" s="23">
        <f t="shared" si="55"/>
        <v>26</v>
      </c>
      <c r="W447" s="18">
        <f>'Info Lega'!$B$4-SUMIFS($M$2:$M$492,$D$2:$D$492,'Info Lega'!$B$28)</f>
        <v>1000</v>
      </c>
      <c r="X447" s="18">
        <f>('Info Lega'!$B$5-COUNTIFS($D$2:$D$492,'Info Lega'!$B$28,$B$2:$B$492,"P"))+('Info Lega'!$B$6-COUNTIFS($D$2:$D$492,'Info Lega'!$B$28,$B$2:$B$492,"D"))+('Info Lega'!$B$7-COUNTIFS($D$2:$D$492,'Info Lega'!$B$28,$B$2:$B$492,"C"))+('Info Lega'!$B$8-COUNTIFS($D$2:$D$492,'Info Lega'!$B$28,$B$2:$B$492,"A"))</f>
        <v>25</v>
      </c>
      <c r="Y447" s="18">
        <f>X447*'Parametri Modello'!$B$30</f>
        <v>25</v>
      </c>
      <c r="Z447" s="18">
        <f t="shared" si="56"/>
        <v>975</v>
      </c>
      <c r="AA447" s="18">
        <f t="shared" si="57"/>
        <v>0</v>
      </c>
      <c r="AB447" s="18"/>
      <c r="AC447" s="18" t="str">
        <f>IF($AB447="","",IF($AB447&gt;$AA447,"PASS",IF($AB447&lt;=$AA447*(1-'Parametri Modello'!$B$68),"BID","ATTENZIONE")))</f>
        <v/>
      </c>
      <c r="AD447" s="28">
        <f t="shared" si="58"/>
        <v>0</v>
      </c>
      <c r="AE447" s="5" t="str">
        <f>IFERROR(INDEX('Stato Asta'!$G$9:$G$12,MATCH($B447,'Stato Asta'!$A$9:$A$12,0)),"")</f>
        <v>🔴 Non aspettare</v>
      </c>
      <c r="AF447" t="str">
        <f>IFERROR(IF($V447&lt;=INDEX('Parametri Modello'!$C$57:$C$60,MATCH($B447,'Parametri Modello'!$A$57:$A$60,0)),"Titolare","Riserva"),"")</f>
        <v>Riserva</v>
      </c>
      <c r="AG447" t="str">
        <f>IFERROR(INDEX('Pressione Competitiva'!$F$3:$F$6,MATCH($B447,'Pressione Competitiva'!$B$3:$B$6,0)),"")</f>
        <v>🔴 Molto Alta</v>
      </c>
      <c r="AH447" t="str">
        <f t="shared" si="59"/>
        <v/>
      </c>
      <c r="AI447" t="str">
        <f>IFERROR(IF($AH447="","",IF($AH447&gt;=$AA447*'Parametri Modello'!$B$68,"🟢 Opportunita'",IF($AH447&lt;=$AA447*'Parametri Modello'!$B$69,"🔴 Sovrapprezzo","🟡 Prezzo Corretto"))),"")</f>
        <v/>
      </c>
      <c r="AJ447" t="str">
        <f t="shared" si="60"/>
        <v/>
      </c>
      <c r="AK447" t="str">
        <f t="shared" si="61"/>
        <v/>
      </c>
      <c r="AL447" t="str">
        <f t="shared" si="62"/>
        <v/>
      </c>
    </row>
    <row r="448" spans="1:38" ht="14.25" customHeight="1" x14ac:dyDescent="0.25">
      <c r="A448" s="18">
        <v>2809</v>
      </c>
      <c r="B448" s="18" t="s">
        <v>15</v>
      </c>
      <c r="C448" s="18" t="s">
        <v>587</v>
      </c>
      <c r="E448" s="23" t="str">
        <f>IF(COUNTIF('Info Strategia'!$D$2:$D$51,$C448)&gt;0,"SI","NO")</f>
        <v>NO</v>
      </c>
      <c r="F448" s="24">
        <f>IFERROR(ROUND(($G448+($H448-$G448)*'Info Strategia'!$B$6)*(1+IF($E448="SI",'Parametri Modello'!$B$7*'Info Strategia'!$B$6,0)),0),"")</f>
        <v>0</v>
      </c>
      <c r="G448" s="24">
        <f>IFERROR(ROUND(MAX(1,(IF($V448&lt;=INDEX('Parametri Modello'!$C$57:$C$60,MATCH($B448,'Parametri Modello'!$A$57:$A$60,0)),IF(INDEX('Parametri Modello'!$E$57:$E$60,MATCH($B448,'Parametri Modello'!$A$57:$A$60,0))=0,0,($O448/INDEX('Parametri Modello'!$E$57:$E$60,MATCH($B448,'Parametri Modello'!$A$57:$A$60,0)))*(INDEX('Parametri Modello'!$D$57:$D$60,MATCH($B448,'Parametri Modello'!$A$57:$A$60,0))*(INDEX('Parametri Modello'!$B$50:$B$53,MATCH($B448,'Parametri Modello'!$A$50:$A$53,0))*'Parametri Modello'!$B$44))),IF(INDEX('Parametri Modello'!$F$57:$F$60,MATCH($B448,'Parametri Modello'!$A$57:$A$60,0))=0,0,($O448/INDEX('Parametri Modello'!$F$57:$F$60,MATCH($B448,'Parametri Modello'!$A$57:$A$60,0)))*((1-INDEX('Parametri Modello'!$D$57:$D$60,MATCH($B448,'Parametri Modello'!$A$57:$A$60,0)))*(INDEX('Parametri Modello'!$B$50:$B$53,MATCH($B448,'Parametri Modello'!$A$50:$A$53,0))*'Parametri Modello'!$B$44))))*(1+IF(IF($B448="D",'Info Lega'!$B$25,IF($B448="C",'Info Lega'!$B$26,"No"))="Si",'Parametri Modello'!$B$5,0))*(1+MAX(-0.25,MIN(0.25,IF(OR($T448="",$I448="",$I448=0,INDEX('Parametri Modello'!$B$19:$B$22,MATCH($B448,'Parametri Modello'!$A$19:$A$22,0))="",INDEX('Parametri Modello'!$B$19:$B$22,MATCH($B448,'Parametri Modello'!$A$19:$A$22,0))=0),0,(($T448-INDEX('Parametri Modello'!$B$19:$B$22,MATCH($B448,'Parametri Modello'!$A$19:$A$22,0)))/INDEX('Parametri Modello'!$B$19:$B$22,MATCH($B448,'Parametri Modello'!$A$19:$A$22,0)))*'Parametri Modello'!$B$9))))*(1+IF('Parametri Modello'!$B$27="Si",MAX(-'Parametri Modello'!$B$28,MIN('Parametri Modello'!$B$28*1.5,IF(OR(INDEX('Parametri Modello'!$F$32:$F$35,MATCH($B448,'Parametri Modello'!$A$32:$A$35,0))="",INDEX('Parametri Modello'!$F$32:$F$35,MATCH($B448,'Parametri Modello'!$A$32:$A$35,0))=0),0,(1/INDEX('Parametri Modello'!$F$32:$F$35,MATCH($B448,'Parametri Modello'!$A$32:$A$35,0))-1)*'Parametri Modello'!$B$28))),0)))*(1-INDEX('Parametri Modello'!$B$12:$B$15,MATCH($B448,'Parametri Modello'!$A$12:$A$15,0)))),0),"")</f>
        <v>1</v>
      </c>
      <c r="H448" s="24">
        <f>IFERROR(ROUND((IF($V448&lt;=INDEX('Parametri Modello'!$C$57:$C$60,MATCH($B448,'Parametri Modello'!$A$57:$A$60,0)),IF(INDEX('Parametri Modello'!$E$57:$E$60,MATCH($B448,'Parametri Modello'!$A$57:$A$60,0))=0,0,($O448/INDEX('Parametri Modello'!$E$57:$E$60,MATCH($B448,'Parametri Modello'!$A$57:$A$60,0)))*(INDEX('Parametri Modello'!$D$57:$D$60,MATCH($B448,'Parametri Modello'!$A$57:$A$60,0))*(INDEX('Parametri Modello'!$B$50:$B$53,MATCH($B448,'Parametri Modello'!$A$50:$A$53,0))*'Parametri Modello'!$B$44))),IF(INDEX('Parametri Modello'!$F$57:$F$60,MATCH($B448,'Parametri Modello'!$A$57:$A$60,0))=0,0,($O448/INDEX('Parametri Modello'!$F$57:$F$60,MATCH($B448,'Parametri Modello'!$A$57:$A$60,0)))*((1-INDEX('Parametri Modello'!$D$57:$D$60,MATCH($B448,'Parametri Modello'!$A$57:$A$60,0)))*(INDEX('Parametri Modello'!$B$50:$B$53,MATCH($B448,'Parametri Modello'!$A$50:$A$53,0))*'Parametri Modello'!$B$44))))*(1+IF(IF($B448="D",'Info Lega'!$B$25,IF($B448="C",'Info Lega'!$B$26,"No"))="Si",'Parametri Modello'!$B$5,0))*(1+MAX(-0.25,MIN(0.25,IF(OR($T448="",$I448="",$I448=0,INDEX('Parametri Modello'!$B$19:$B$22,MATCH($B448,'Parametri Modello'!$A$19:$A$22,0))="",INDEX('Parametri Modello'!$B$19:$B$22,MATCH($B448,'Parametri Modello'!$A$19:$A$22,0))=0),0,(($T448-INDEX('Parametri Modello'!$B$19:$B$22,MATCH($B448,'Parametri Modello'!$A$19:$A$22,0)))/INDEX('Parametri Modello'!$B$19:$B$22,MATCH($B448,'Parametri Modello'!$A$19:$A$22,0)))*'Parametri Modello'!$B$9))))*(1+IF('Parametri Modello'!$B$27="Si",MAX(-'Parametri Modello'!$B$28,MIN('Parametri Modello'!$B$28*1.5,IF(OR(INDEX('Parametri Modello'!$F$32:$F$35,MATCH($B448,'Parametri Modello'!$A$32:$A$35,0))="",INDEX('Parametri Modello'!$F$32:$F$35,MATCH($B448,'Parametri Modello'!$A$32:$A$35,0))=0),0,(1/INDEX('Parametri Modello'!$F$32:$F$35,MATCH($B448,'Parametri Modello'!$A$32:$A$35,0))-1)*'Parametri Modello'!$B$28))),0)))*(1+INDEX('Parametri Modello'!$B$12:$B$15,MATCH($B448,'Parametri Modello'!$A$12:$A$15,0))),0),"")</f>
        <v>0</v>
      </c>
      <c r="I448" s="23">
        <f>IFERROR(INDEX('Input Statistiche 2025_26'!$F$3:$F$665,MATCH($A448,'Input Statistiche 2025_26'!$A$3:$A$665,0)),"")</f>
        <v>0</v>
      </c>
      <c r="J448" s="23">
        <f t="shared" si="54"/>
        <v>38</v>
      </c>
      <c r="K448" s="23">
        <f>IFERROR(INDEX('Input Statistiche 2025_26'!$I$3:$I$665,MATCH($A448,'Input Statistiche 2025_26'!$A$3:$A$665,0)),"")</f>
        <v>0</v>
      </c>
      <c r="L448" s="23">
        <f>IFERROR(INDEX('Input Statistiche 2025_26'!$O$3:$O$665,MATCH($A448,'Input Statistiche 2025_26'!$A$3:$A$665,0)),"")</f>
        <v>0</v>
      </c>
      <c r="M448" s="25"/>
      <c r="N448" s="24">
        <f>IFERROR(INDEX('Input Giocatori 2026_27'!$E$3:$E$493,MATCH($A448,'Input Giocatori 2026_27'!$A$3:$A$493,0)),"")</f>
        <v>1</v>
      </c>
      <c r="O448" s="24">
        <f>IFERROR(INDEX('Input Giocatori 2026_27'!$G$3:$G$493,MATCH($A448,'Input Giocatori 2026_27'!$A$3:$A$493,0)),"")</f>
        <v>1</v>
      </c>
      <c r="P448" s="23" t="str">
        <f>IFERROR(IF($O448="","",IF((1-(COUNTIFS($B$2:$B$492,$B448,$O$2:$O$492,"&gt;"&amp;$O448)+1-1)/COUNTIF($B$2:$B$492,$B448))&gt;='Parametri Modello'!$B$63,"Top",IF((1-(COUNTIFS($B$2:$B$492,$B448,$O$2:$O$492,"&gt;"&amp;$O448)+1-1)/COUNTIF($B$2:$B$492,$B448))&gt;='Parametri Modello'!$B$64,"Buono",IF((1-(COUNTIFS($B$2:$B$492,$B448,$O$2:$O$492,"&gt;"&amp;$O448)+1-1)/COUNTIF($B$2:$B$492,$B448))&gt;='Parametri Modello'!$B$65,"Nella Media","Scommessa/Riserva")))),"")</f>
        <v>Nella Media</v>
      </c>
      <c r="Q448" s="26" t="str">
        <f>IF(AND($D448="",$N448&gt;1),SUMPRODUCT(($D$2:$D448="")*($N$2:$N448&gt;1)),"")</f>
        <v/>
      </c>
      <c r="R448" s="26" t="str">
        <f>IF($D448='Info Lega'!$B$28,COUNTIFS($D$2:$D448,'Info Lega'!$B$28),"")</f>
        <v/>
      </c>
      <c r="S448" s="27">
        <f>IFERROR(INDEX('Input Statistiche 2025_26'!$G$3:$G$665,MATCH($A448,'Input Statistiche 2025_26'!$A$3:$A$665,0)),"")</f>
        <v>0</v>
      </c>
      <c r="T448" s="27">
        <f>IFERROR(INDEX('Input Statistiche 2025_26'!$H$3:$H$665,MATCH($A448,'Input Statistiche 2025_26'!$A$3:$A$665,0)),"")</f>
        <v>0</v>
      </c>
      <c r="U448" s="23" t="str">
        <f>IF(OR('La Mia Rosa'!$O$12="",$D448&lt;&gt;""),"",IF($F448&lt;='La Mia Rosa'!$O$12*'Parametri Modello'!$B$24,"OK",IF($F448&lt;='La Mia Rosa'!$O$12*'Parametri Modello'!$B$25,"Attenzione","Rischio Alto")))</f>
        <v>OK</v>
      </c>
      <c r="V448" s="23">
        <f t="shared" si="55"/>
        <v>26</v>
      </c>
      <c r="W448" s="18">
        <f>'Info Lega'!$B$4-SUMIFS($M$2:$M$492,$D$2:$D$492,'Info Lega'!$B$28)</f>
        <v>1000</v>
      </c>
      <c r="X448" s="18">
        <f>('Info Lega'!$B$5-COUNTIFS($D$2:$D$492,'Info Lega'!$B$28,$B$2:$B$492,"P"))+('Info Lega'!$B$6-COUNTIFS($D$2:$D$492,'Info Lega'!$B$28,$B$2:$B$492,"D"))+('Info Lega'!$B$7-COUNTIFS($D$2:$D$492,'Info Lega'!$B$28,$B$2:$B$492,"C"))+('Info Lega'!$B$8-COUNTIFS($D$2:$D$492,'Info Lega'!$B$28,$B$2:$B$492,"A"))</f>
        <v>25</v>
      </c>
      <c r="Y448" s="18">
        <f>X448*'Parametri Modello'!$B$30</f>
        <v>25</v>
      </c>
      <c r="Z448" s="18">
        <f t="shared" si="56"/>
        <v>975</v>
      </c>
      <c r="AA448" s="18">
        <f t="shared" si="57"/>
        <v>0</v>
      </c>
      <c r="AB448" s="18"/>
      <c r="AC448" s="18" t="str">
        <f>IF($AB448="","",IF($AB448&gt;$AA448,"PASS",IF($AB448&lt;=$AA448*(1-'Parametri Modello'!$B$68),"BID","ATTENZIONE")))</f>
        <v/>
      </c>
      <c r="AD448" s="28">
        <f t="shared" si="58"/>
        <v>0</v>
      </c>
      <c r="AE448" s="5" t="str">
        <f>IFERROR(INDEX('Stato Asta'!$G$9:$G$12,MATCH($B448,'Stato Asta'!$A$9:$A$12,0)),"")</f>
        <v>🔴 Non aspettare</v>
      </c>
      <c r="AF448" t="str">
        <f>IFERROR(IF($V448&lt;=INDEX('Parametri Modello'!$C$57:$C$60,MATCH($B448,'Parametri Modello'!$A$57:$A$60,0)),"Titolare","Riserva"),"")</f>
        <v>Riserva</v>
      </c>
      <c r="AG448" t="str">
        <f>IFERROR(INDEX('Pressione Competitiva'!$F$3:$F$6,MATCH($B448,'Pressione Competitiva'!$B$3:$B$6,0)),"")</f>
        <v>🔴 Molto Alta</v>
      </c>
      <c r="AH448" t="str">
        <f t="shared" si="59"/>
        <v/>
      </c>
      <c r="AI448" t="str">
        <f>IFERROR(IF($AH448="","",IF($AH448&gt;=$AA448*'Parametri Modello'!$B$68,"🟢 Opportunita'",IF($AH448&lt;=$AA448*'Parametri Modello'!$B$69,"🔴 Sovrapprezzo","🟡 Prezzo Corretto"))),"")</f>
        <v/>
      </c>
      <c r="AJ448" t="str">
        <f t="shared" si="60"/>
        <v/>
      </c>
      <c r="AK448" t="str">
        <f t="shared" si="61"/>
        <v/>
      </c>
      <c r="AL448" t="str">
        <f t="shared" si="62"/>
        <v/>
      </c>
    </row>
    <row r="449" spans="1:38" ht="14.25" customHeight="1" x14ac:dyDescent="0.25">
      <c r="A449" s="18">
        <v>6403</v>
      </c>
      <c r="B449" s="18" t="s">
        <v>15</v>
      </c>
      <c r="C449" s="18" t="s">
        <v>588</v>
      </c>
      <c r="E449" s="23" t="str">
        <f>IF(COUNTIF('Info Strategia'!$D$2:$D$51,$C449)&gt;0,"SI","NO")</f>
        <v>NO</v>
      </c>
      <c r="F449" s="24">
        <f>IFERROR(ROUND(($G449+($H449-$G449)*'Info Strategia'!$B$6)*(1+IF($E449="SI",'Parametri Modello'!$B$7*'Info Strategia'!$B$6,0)),0),"")</f>
        <v>0</v>
      </c>
      <c r="G449" s="24">
        <f>IFERROR(ROUND(MAX(1,(IF($V449&lt;=INDEX('Parametri Modello'!$C$57:$C$60,MATCH($B449,'Parametri Modello'!$A$57:$A$60,0)),IF(INDEX('Parametri Modello'!$E$57:$E$60,MATCH($B449,'Parametri Modello'!$A$57:$A$60,0))=0,0,($O449/INDEX('Parametri Modello'!$E$57:$E$60,MATCH($B449,'Parametri Modello'!$A$57:$A$60,0)))*(INDEX('Parametri Modello'!$D$57:$D$60,MATCH($B449,'Parametri Modello'!$A$57:$A$60,0))*(INDEX('Parametri Modello'!$B$50:$B$53,MATCH($B449,'Parametri Modello'!$A$50:$A$53,0))*'Parametri Modello'!$B$44))),IF(INDEX('Parametri Modello'!$F$57:$F$60,MATCH($B449,'Parametri Modello'!$A$57:$A$60,0))=0,0,($O449/INDEX('Parametri Modello'!$F$57:$F$60,MATCH($B449,'Parametri Modello'!$A$57:$A$60,0)))*((1-INDEX('Parametri Modello'!$D$57:$D$60,MATCH($B449,'Parametri Modello'!$A$57:$A$60,0)))*(INDEX('Parametri Modello'!$B$50:$B$53,MATCH($B449,'Parametri Modello'!$A$50:$A$53,0))*'Parametri Modello'!$B$44))))*(1+IF(IF($B449="D",'Info Lega'!$B$25,IF($B449="C",'Info Lega'!$B$26,"No"))="Si",'Parametri Modello'!$B$5,0))*(1+MAX(-0.25,MIN(0.25,IF(OR($T449="",$I449="",$I449=0,INDEX('Parametri Modello'!$B$19:$B$22,MATCH($B449,'Parametri Modello'!$A$19:$A$22,0))="",INDEX('Parametri Modello'!$B$19:$B$22,MATCH($B449,'Parametri Modello'!$A$19:$A$22,0))=0),0,(($T449-INDEX('Parametri Modello'!$B$19:$B$22,MATCH($B449,'Parametri Modello'!$A$19:$A$22,0)))/INDEX('Parametri Modello'!$B$19:$B$22,MATCH($B449,'Parametri Modello'!$A$19:$A$22,0)))*'Parametri Modello'!$B$9))))*(1+IF('Parametri Modello'!$B$27="Si",MAX(-'Parametri Modello'!$B$28,MIN('Parametri Modello'!$B$28*1.5,IF(OR(INDEX('Parametri Modello'!$F$32:$F$35,MATCH($B449,'Parametri Modello'!$A$32:$A$35,0))="",INDEX('Parametri Modello'!$F$32:$F$35,MATCH($B449,'Parametri Modello'!$A$32:$A$35,0))=0),0,(1/INDEX('Parametri Modello'!$F$32:$F$35,MATCH($B449,'Parametri Modello'!$A$32:$A$35,0))-1)*'Parametri Modello'!$B$28))),0)))*(1-INDEX('Parametri Modello'!$B$12:$B$15,MATCH($B449,'Parametri Modello'!$A$12:$A$15,0)))),0),"")</f>
        <v>1</v>
      </c>
      <c r="H449" s="24">
        <f>IFERROR(ROUND((IF($V449&lt;=INDEX('Parametri Modello'!$C$57:$C$60,MATCH($B449,'Parametri Modello'!$A$57:$A$60,0)),IF(INDEX('Parametri Modello'!$E$57:$E$60,MATCH($B449,'Parametri Modello'!$A$57:$A$60,0))=0,0,($O449/INDEX('Parametri Modello'!$E$57:$E$60,MATCH($B449,'Parametri Modello'!$A$57:$A$60,0)))*(INDEX('Parametri Modello'!$D$57:$D$60,MATCH($B449,'Parametri Modello'!$A$57:$A$60,0))*(INDEX('Parametri Modello'!$B$50:$B$53,MATCH($B449,'Parametri Modello'!$A$50:$A$53,0))*'Parametri Modello'!$B$44))),IF(INDEX('Parametri Modello'!$F$57:$F$60,MATCH($B449,'Parametri Modello'!$A$57:$A$60,0))=0,0,($O449/INDEX('Parametri Modello'!$F$57:$F$60,MATCH($B449,'Parametri Modello'!$A$57:$A$60,0)))*((1-INDEX('Parametri Modello'!$D$57:$D$60,MATCH($B449,'Parametri Modello'!$A$57:$A$60,0)))*(INDEX('Parametri Modello'!$B$50:$B$53,MATCH($B449,'Parametri Modello'!$A$50:$A$53,0))*'Parametri Modello'!$B$44))))*(1+IF(IF($B449="D",'Info Lega'!$B$25,IF($B449="C",'Info Lega'!$B$26,"No"))="Si",'Parametri Modello'!$B$5,0))*(1+MAX(-0.25,MIN(0.25,IF(OR($T449="",$I449="",$I449=0,INDEX('Parametri Modello'!$B$19:$B$22,MATCH($B449,'Parametri Modello'!$A$19:$A$22,0))="",INDEX('Parametri Modello'!$B$19:$B$22,MATCH($B449,'Parametri Modello'!$A$19:$A$22,0))=0),0,(($T449-INDEX('Parametri Modello'!$B$19:$B$22,MATCH($B449,'Parametri Modello'!$A$19:$A$22,0)))/INDEX('Parametri Modello'!$B$19:$B$22,MATCH($B449,'Parametri Modello'!$A$19:$A$22,0)))*'Parametri Modello'!$B$9))))*(1+IF('Parametri Modello'!$B$27="Si",MAX(-'Parametri Modello'!$B$28,MIN('Parametri Modello'!$B$28*1.5,IF(OR(INDEX('Parametri Modello'!$F$32:$F$35,MATCH($B449,'Parametri Modello'!$A$32:$A$35,0))="",INDEX('Parametri Modello'!$F$32:$F$35,MATCH($B449,'Parametri Modello'!$A$32:$A$35,0))=0),0,(1/INDEX('Parametri Modello'!$F$32:$F$35,MATCH($B449,'Parametri Modello'!$A$32:$A$35,0))-1)*'Parametri Modello'!$B$28))),0)))*(1+INDEX('Parametri Modello'!$B$12:$B$15,MATCH($B449,'Parametri Modello'!$A$12:$A$15,0))),0),"")</f>
        <v>0</v>
      </c>
      <c r="I449" s="23">
        <f>IFERROR(INDEX('Input Statistiche 2025_26'!$F$3:$F$665,MATCH($A449,'Input Statistiche 2025_26'!$A$3:$A$665,0)),"")</f>
        <v>1</v>
      </c>
      <c r="J449" s="23">
        <f t="shared" si="54"/>
        <v>37</v>
      </c>
      <c r="K449" s="23">
        <f>IFERROR(INDEX('Input Statistiche 2025_26'!$I$3:$I$665,MATCH($A449,'Input Statistiche 2025_26'!$A$3:$A$665,0)),"")</f>
        <v>0</v>
      </c>
      <c r="L449" s="23">
        <f>IFERROR(INDEX('Input Statistiche 2025_26'!$O$3:$O$665,MATCH($A449,'Input Statistiche 2025_26'!$A$3:$A$665,0)),"")</f>
        <v>0</v>
      </c>
      <c r="M449" s="25"/>
      <c r="N449" s="24">
        <f>IFERROR(INDEX('Input Giocatori 2026_27'!$E$3:$E$493,MATCH($A449,'Input Giocatori 2026_27'!$A$3:$A$493,0)),"")</f>
        <v>1</v>
      </c>
      <c r="O449" s="24">
        <f>IFERROR(INDEX('Input Giocatori 2026_27'!$G$3:$G$493,MATCH($A449,'Input Giocatori 2026_27'!$A$3:$A$493,0)),"")</f>
        <v>1</v>
      </c>
      <c r="P449" s="23" t="str">
        <f>IFERROR(IF($O449="","",IF((1-(COUNTIFS($B$2:$B$492,$B449,$O$2:$O$492,"&gt;"&amp;$O449)+1-1)/COUNTIF($B$2:$B$492,$B449))&gt;='Parametri Modello'!$B$63,"Top",IF((1-(COUNTIFS($B$2:$B$492,$B449,$O$2:$O$492,"&gt;"&amp;$O449)+1-1)/COUNTIF($B$2:$B$492,$B449))&gt;='Parametri Modello'!$B$64,"Buono",IF((1-(COUNTIFS($B$2:$B$492,$B449,$O$2:$O$492,"&gt;"&amp;$O449)+1-1)/COUNTIF($B$2:$B$492,$B449))&gt;='Parametri Modello'!$B$65,"Nella Media","Scommessa/Riserva")))),"")</f>
        <v>Nella Media</v>
      </c>
      <c r="Q449" s="26" t="str">
        <f>IF(AND($D449="",$N449&gt;1),SUMPRODUCT(($D$2:$D449="")*($N$2:$N449&gt;1)),"")</f>
        <v/>
      </c>
      <c r="R449" s="26" t="str">
        <f>IF($D449='Info Lega'!$B$28,COUNTIFS($D$2:$D449,'Info Lega'!$B$28),"")</f>
        <v/>
      </c>
      <c r="S449" s="27">
        <f>IFERROR(INDEX('Input Statistiche 2025_26'!$G$3:$G$665,MATCH($A449,'Input Statistiche 2025_26'!$A$3:$A$665,0)),"")</f>
        <v>7.5</v>
      </c>
      <c r="T449" s="27">
        <f>IFERROR(INDEX('Input Statistiche 2025_26'!$H$3:$H$665,MATCH($A449,'Input Statistiche 2025_26'!$A$3:$A$665,0)),"")</f>
        <v>6.5</v>
      </c>
      <c r="U449" s="23" t="str">
        <f>IF(OR('La Mia Rosa'!$O$12="",$D449&lt;&gt;""),"",IF($F449&lt;='La Mia Rosa'!$O$12*'Parametri Modello'!$B$24,"OK",IF($F449&lt;='La Mia Rosa'!$O$12*'Parametri Modello'!$B$25,"Attenzione","Rischio Alto")))</f>
        <v>OK</v>
      </c>
      <c r="V449" s="23">
        <f t="shared" si="55"/>
        <v>26</v>
      </c>
      <c r="W449" s="18">
        <f>'Info Lega'!$B$4-SUMIFS($M$2:$M$492,$D$2:$D$492,'Info Lega'!$B$28)</f>
        <v>1000</v>
      </c>
      <c r="X449" s="18">
        <f>('Info Lega'!$B$5-COUNTIFS($D$2:$D$492,'Info Lega'!$B$28,$B$2:$B$492,"P"))+('Info Lega'!$B$6-COUNTIFS($D$2:$D$492,'Info Lega'!$B$28,$B$2:$B$492,"D"))+('Info Lega'!$B$7-COUNTIFS($D$2:$D$492,'Info Lega'!$B$28,$B$2:$B$492,"C"))+('Info Lega'!$B$8-COUNTIFS($D$2:$D$492,'Info Lega'!$B$28,$B$2:$B$492,"A"))</f>
        <v>25</v>
      </c>
      <c r="Y449" s="18">
        <f>X449*'Parametri Modello'!$B$30</f>
        <v>25</v>
      </c>
      <c r="Z449" s="18">
        <f t="shared" si="56"/>
        <v>975</v>
      </c>
      <c r="AA449" s="18">
        <f t="shared" si="57"/>
        <v>0</v>
      </c>
      <c r="AB449" s="18"/>
      <c r="AC449" s="18" t="str">
        <f>IF($AB449="","",IF($AB449&gt;$AA449,"PASS",IF($AB449&lt;=$AA449*(1-'Parametri Modello'!$B$68),"BID","ATTENZIONE")))</f>
        <v/>
      </c>
      <c r="AD449" s="28">
        <f t="shared" si="58"/>
        <v>3</v>
      </c>
      <c r="AE449" s="5" t="str">
        <f>IFERROR(INDEX('Stato Asta'!$G$9:$G$12,MATCH($B449,'Stato Asta'!$A$9:$A$12,0)),"")</f>
        <v>🔴 Non aspettare</v>
      </c>
      <c r="AF449" t="str">
        <f>IFERROR(IF($V449&lt;=INDEX('Parametri Modello'!$C$57:$C$60,MATCH($B449,'Parametri Modello'!$A$57:$A$60,0)),"Titolare","Riserva"),"")</f>
        <v>Riserva</v>
      </c>
      <c r="AG449" t="str">
        <f>IFERROR(INDEX('Pressione Competitiva'!$F$3:$F$6,MATCH($B449,'Pressione Competitiva'!$B$3:$B$6,0)),"")</f>
        <v>🔴 Molto Alta</v>
      </c>
      <c r="AH449" t="str">
        <f t="shared" si="59"/>
        <v/>
      </c>
      <c r="AI449" t="str">
        <f>IFERROR(IF($AH449="","",IF($AH449&gt;=$AA449*'Parametri Modello'!$B$68,"🟢 Opportunita'",IF($AH449&lt;=$AA449*'Parametri Modello'!$B$69,"🔴 Sovrapprezzo","🟡 Prezzo Corretto"))),"")</f>
        <v/>
      </c>
      <c r="AJ449" t="str">
        <f t="shared" si="60"/>
        <v/>
      </c>
      <c r="AK449" t="str">
        <f t="shared" si="61"/>
        <v/>
      </c>
      <c r="AL449" t="str">
        <f t="shared" si="62"/>
        <v/>
      </c>
    </row>
    <row r="450" spans="1:38" ht="14.25" customHeight="1" x14ac:dyDescent="0.25">
      <c r="A450" s="18">
        <v>158</v>
      </c>
      <c r="B450" s="18" t="s">
        <v>15</v>
      </c>
      <c r="C450" s="18" t="s">
        <v>589</v>
      </c>
      <c r="E450" s="23" t="str">
        <f>IF(COUNTIF('Info Strategia'!$D$2:$D$51,$C450)&gt;0,"SI","NO")</f>
        <v>NO</v>
      </c>
      <c r="F450" s="24">
        <f>IFERROR(ROUND(($G450+($H450-$G450)*'Info Strategia'!$B$6)*(1+IF($E450="SI",'Parametri Modello'!$B$7*'Info Strategia'!$B$6,0)),0),"")</f>
        <v>0</v>
      </c>
      <c r="G450" s="24">
        <f>IFERROR(ROUND(MAX(1,(IF($V450&lt;=INDEX('Parametri Modello'!$C$57:$C$60,MATCH($B450,'Parametri Modello'!$A$57:$A$60,0)),IF(INDEX('Parametri Modello'!$E$57:$E$60,MATCH($B450,'Parametri Modello'!$A$57:$A$60,0))=0,0,($O450/INDEX('Parametri Modello'!$E$57:$E$60,MATCH($B450,'Parametri Modello'!$A$57:$A$60,0)))*(INDEX('Parametri Modello'!$D$57:$D$60,MATCH($B450,'Parametri Modello'!$A$57:$A$60,0))*(INDEX('Parametri Modello'!$B$50:$B$53,MATCH($B450,'Parametri Modello'!$A$50:$A$53,0))*'Parametri Modello'!$B$44))),IF(INDEX('Parametri Modello'!$F$57:$F$60,MATCH($B450,'Parametri Modello'!$A$57:$A$60,0))=0,0,($O450/INDEX('Parametri Modello'!$F$57:$F$60,MATCH($B450,'Parametri Modello'!$A$57:$A$60,0)))*((1-INDEX('Parametri Modello'!$D$57:$D$60,MATCH($B450,'Parametri Modello'!$A$57:$A$60,0)))*(INDEX('Parametri Modello'!$B$50:$B$53,MATCH($B450,'Parametri Modello'!$A$50:$A$53,0))*'Parametri Modello'!$B$44))))*(1+IF(IF($B450="D",'Info Lega'!$B$25,IF($B450="C",'Info Lega'!$B$26,"No"))="Si",'Parametri Modello'!$B$5,0))*(1+MAX(-0.25,MIN(0.25,IF(OR($T450="",$I450="",$I450=0,INDEX('Parametri Modello'!$B$19:$B$22,MATCH($B450,'Parametri Modello'!$A$19:$A$22,0))="",INDEX('Parametri Modello'!$B$19:$B$22,MATCH($B450,'Parametri Modello'!$A$19:$A$22,0))=0),0,(($T450-INDEX('Parametri Modello'!$B$19:$B$22,MATCH($B450,'Parametri Modello'!$A$19:$A$22,0)))/INDEX('Parametri Modello'!$B$19:$B$22,MATCH($B450,'Parametri Modello'!$A$19:$A$22,0)))*'Parametri Modello'!$B$9))))*(1+IF('Parametri Modello'!$B$27="Si",MAX(-'Parametri Modello'!$B$28,MIN('Parametri Modello'!$B$28*1.5,IF(OR(INDEX('Parametri Modello'!$F$32:$F$35,MATCH($B450,'Parametri Modello'!$A$32:$A$35,0))="",INDEX('Parametri Modello'!$F$32:$F$35,MATCH($B450,'Parametri Modello'!$A$32:$A$35,0))=0),0,(1/INDEX('Parametri Modello'!$F$32:$F$35,MATCH($B450,'Parametri Modello'!$A$32:$A$35,0))-1)*'Parametri Modello'!$B$28))),0)))*(1-INDEX('Parametri Modello'!$B$12:$B$15,MATCH($B450,'Parametri Modello'!$A$12:$A$15,0)))),0),"")</f>
        <v>1</v>
      </c>
      <c r="H450" s="24">
        <f>IFERROR(ROUND((IF($V450&lt;=INDEX('Parametri Modello'!$C$57:$C$60,MATCH($B450,'Parametri Modello'!$A$57:$A$60,0)),IF(INDEX('Parametri Modello'!$E$57:$E$60,MATCH($B450,'Parametri Modello'!$A$57:$A$60,0))=0,0,($O450/INDEX('Parametri Modello'!$E$57:$E$60,MATCH($B450,'Parametri Modello'!$A$57:$A$60,0)))*(INDEX('Parametri Modello'!$D$57:$D$60,MATCH($B450,'Parametri Modello'!$A$57:$A$60,0))*(INDEX('Parametri Modello'!$B$50:$B$53,MATCH($B450,'Parametri Modello'!$A$50:$A$53,0))*'Parametri Modello'!$B$44))),IF(INDEX('Parametri Modello'!$F$57:$F$60,MATCH($B450,'Parametri Modello'!$A$57:$A$60,0))=0,0,($O450/INDEX('Parametri Modello'!$F$57:$F$60,MATCH($B450,'Parametri Modello'!$A$57:$A$60,0)))*((1-INDEX('Parametri Modello'!$D$57:$D$60,MATCH($B450,'Parametri Modello'!$A$57:$A$60,0)))*(INDEX('Parametri Modello'!$B$50:$B$53,MATCH($B450,'Parametri Modello'!$A$50:$A$53,0))*'Parametri Modello'!$B$44))))*(1+IF(IF($B450="D",'Info Lega'!$B$25,IF($B450="C",'Info Lega'!$B$26,"No"))="Si",'Parametri Modello'!$B$5,0))*(1+MAX(-0.25,MIN(0.25,IF(OR($T450="",$I450="",$I450=0,INDEX('Parametri Modello'!$B$19:$B$22,MATCH($B450,'Parametri Modello'!$A$19:$A$22,0))="",INDEX('Parametri Modello'!$B$19:$B$22,MATCH($B450,'Parametri Modello'!$A$19:$A$22,0))=0),0,(($T450-INDEX('Parametri Modello'!$B$19:$B$22,MATCH($B450,'Parametri Modello'!$A$19:$A$22,0)))/INDEX('Parametri Modello'!$B$19:$B$22,MATCH($B450,'Parametri Modello'!$A$19:$A$22,0)))*'Parametri Modello'!$B$9))))*(1+IF('Parametri Modello'!$B$27="Si",MAX(-'Parametri Modello'!$B$28,MIN('Parametri Modello'!$B$28*1.5,IF(OR(INDEX('Parametri Modello'!$F$32:$F$35,MATCH($B450,'Parametri Modello'!$A$32:$A$35,0))="",INDEX('Parametri Modello'!$F$32:$F$35,MATCH($B450,'Parametri Modello'!$A$32:$A$35,0))=0),0,(1/INDEX('Parametri Modello'!$F$32:$F$35,MATCH($B450,'Parametri Modello'!$A$32:$A$35,0))-1)*'Parametri Modello'!$B$28))),0)))*(1+INDEX('Parametri Modello'!$B$12:$B$15,MATCH($B450,'Parametri Modello'!$A$12:$A$15,0))),0),"")</f>
        <v>0</v>
      </c>
      <c r="I450" s="23">
        <f>IFERROR(INDEX('Input Statistiche 2025_26'!$F$3:$F$665,MATCH($A450,'Input Statistiche 2025_26'!$A$3:$A$665,0)),"")</f>
        <v>0</v>
      </c>
      <c r="J450" s="23">
        <f t="shared" ref="J450:J492" si="63">IFERROR(IF($I450="","",MAX(0,38-$I450)),"")</f>
        <v>38</v>
      </c>
      <c r="K450" s="23">
        <f>IFERROR(INDEX('Input Statistiche 2025_26'!$I$3:$I$665,MATCH($A450,'Input Statistiche 2025_26'!$A$3:$A$665,0)),"")</f>
        <v>0</v>
      </c>
      <c r="L450" s="23">
        <f>IFERROR(INDEX('Input Statistiche 2025_26'!$O$3:$O$665,MATCH($A450,'Input Statistiche 2025_26'!$A$3:$A$665,0)),"")</f>
        <v>0</v>
      </c>
      <c r="M450" s="25"/>
      <c r="N450" s="24">
        <f>IFERROR(INDEX('Input Giocatori 2026_27'!$E$3:$E$493,MATCH($A450,'Input Giocatori 2026_27'!$A$3:$A$493,0)),"")</f>
        <v>1</v>
      </c>
      <c r="O450" s="24">
        <f>IFERROR(INDEX('Input Giocatori 2026_27'!$G$3:$G$493,MATCH($A450,'Input Giocatori 2026_27'!$A$3:$A$493,0)),"")</f>
        <v>1</v>
      </c>
      <c r="P450" s="23" t="str">
        <f>IFERROR(IF($O450="","",IF((1-(COUNTIFS($B$2:$B$492,$B450,$O$2:$O$492,"&gt;"&amp;$O450)+1-1)/COUNTIF($B$2:$B$492,$B450))&gt;='Parametri Modello'!$B$63,"Top",IF((1-(COUNTIFS($B$2:$B$492,$B450,$O$2:$O$492,"&gt;"&amp;$O450)+1-1)/COUNTIF($B$2:$B$492,$B450))&gt;='Parametri Modello'!$B$64,"Buono",IF((1-(COUNTIFS($B$2:$B$492,$B450,$O$2:$O$492,"&gt;"&amp;$O450)+1-1)/COUNTIF($B$2:$B$492,$B450))&gt;='Parametri Modello'!$B$65,"Nella Media","Scommessa/Riserva")))),"")</f>
        <v>Nella Media</v>
      </c>
      <c r="Q450" s="26" t="str">
        <f>IF(AND($D450="",$N450&gt;1),SUMPRODUCT(($D$2:$D450="")*($N$2:$N450&gt;1)),"")</f>
        <v/>
      </c>
      <c r="R450" s="26" t="str">
        <f>IF($D450='Info Lega'!$B$28,COUNTIFS($D$2:$D450,'Info Lega'!$B$28),"")</f>
        <v/>
      </c>
      <c r="S450" s="27">
        <f>IFERROR(INDEX('Input Statistiche 2025_26'!$G$3:$G$665,MATCH($A450,'Input Statistiche 2025_26'!$A$3:$A$665,0)),"")</f>
        <v>0</v>
      </c>
      <c r="T450" s="27">
        <f>IFERROR(INDEX('Input Statistiche 2025_26'!$H$3:$H$665,MATCH($A450,'Input Statistiche 2025_26'!$A$3:$A$665,0)),"")</f>
        <v>0</v>
      </c>
      <c r="U450" s="23" t="str">
        <f>IF(OR('La Mia Rosa'!$O$12="",$D450&lt;&gt;""),"",IF($F450&lt;='La Mia Rosa'!$O$12*'Parametri Modello'!$B$24,"OK",IF($F450&lt;='La Mia Rosa'!$O$12*'Parametri Modello'!$B$25,"Attenzione","Rischio Alto")))</f>
        <v>OK</v>
      </c>
      <c r="V450" s="23">
        <f t="shared" ref="V450:V492" si="64">IFERROR(COUNTIFS($B$2:$B$492,$B450,$O$2:$O$492,"&gt;"&amp;$O450)+1,"")</f>
        <v>26</v>
      </c>
      <c r="W450" s="18">
        <f>'Info Lega'!$B$4-SUMIFS($M$2:$M$492,$D$2:$D$492,'Info Lega'!$B$28)</f>
        <v>1000</v>
      </c>
      <c r="X450" s="18">
        <f>('Info Lega'!$B$5-COUNTIFS($D$2:$D$492,'Info Lega'!$B$28,$B$2:$B$492,"P"))+('Info Lega'!$B$6-COUNTIFS($D$2:$D$492,'Info Lega'!$B$28,$B$2:$B$492,"D"))+('Info Lega'!$B$7-COUNTIFS($D$2:$D$492,'Info Lega'!$B$28,$B$2:$B$492,"C"))+('Info Lega'!$B$8-COUNTIFS($D$2:$D$492,'Info Lega'!$B$28,$B$2:$B$492,"A"))</f>
        <v>25</v>
      </c>
      <c r="Y450" s="18">
        <f>X450*'Parametri Modello'!$B$30</f>
        <v>25</v>
      </c>
      <c r="Z450" s="18">
        <f t="shared" ref="Z450:Z492" si="65">MAX(0,W450-Y450)</f>
        <v>975</v>
      </c>
      <c r="AA450" s="18">
        <f t="shared" ref="AA450:AA492" si="66">MIN(F450,Z450)</f>
        <v>0</v>
      </c>
      <c r="AB450" s="18"/>
      <c r="AC450" s="18" t="str">
        <f>IF($AB450="","",IF($AB450&gt;$AA450,"PASS",IF($AB450&lt;=$AA450*(1-'Parametri Modello'!$B$68),"BID","ATTENZIONE")))</f>
        <v/>
      </c>
      <c r="AD450" s="28">
        <f t="shared" ref="AD450:AD492" si="67">IF(I450="","",ROUND(100*(1-EXP(-I450/30)),0))</f>
        <v>0</v>
      </c>
      <c r="AE450" s="5" t="str">
        <f>IFERROR(INDEX('Stato Asta'!$G$9:$G$12,MATCH($B450,'Stato Asta'!$A$9:$A$12,0)),"")</f>
        <v>🔴 Non aspettare</v>
      </c>
      <c r="AF450" t="str">
        <f>IFERROR(IF($V450&lt;=INDEX('Parametri Modello'!$C$57:$C$60,MATCH($B450,'Parametri Modello'!$A$57:$A$60,0)),"Titolare","Riserva"),"")</f>
        <v>Riserva</v>
      </c>
      <c r="AG450" t="str">
        <f>IFERROR(INDEX('Pressione Competitiva'!$F$3:$F$6,MATCH($B450,'Pressione Competitiva'!$B$3:$B$6,0)),"")</f>
        <v>🔴 Molto Alta</v>
      </c>
      <c r="AH450" t="str">
        <f t="shared" ref="AH450:AH492" si="68">IF($AB450="","",$AA450-$AB450)</f>
        <v/>
      </c>
      <c r="AI450" t="str">
        <f>IFERROR(IF($AH450="","",IF($AH450&gt;=$AA450*'Parametri Modello'!$B$68,"🟢 Opportunita'",IF($AH450&lt;=$AA450*'Parametri Modello'!$B$69,"🔴 Sovrapprezzo","🟡 Prezzo Corretto"))),"")</f>
        <v/>
      </c>
      <c r="AJ450" t="str">
        <f t="shared" ref="AJ450:AJ492" si="69">IF($AB450="","",IF($AC450="PASS","Prezzo sopra la tua Offerta Max Dinamica ("&amp;$AA450&amp;" cr).",IF($AC450="BID","Margine ampio sul tuo tetto (+"&amp;($AA450-$AB450)&amp;" cr).","Margine ridotto: sei vicino al tuo tetto ("&amp;($AA450-$AB450)&amp;" cr residui).")))</f>
        <v/>
      </c>
      <c r="AK450" t="str">
        <f t="shared" ref="AK450:AK492" si="70">IF(AND($D450="",$N450&gt;1),COUNTIFS($B$2:$B$492,$B450,$P$2:$P$492,$P450,$D$2:$D$492,"",$N$2:$N$492,"&gt;1",$O$2:$O$492,"&gt;"&amp;$O450)+1,"")</f>
        <v/>
      </c>
      <c r="AL450" t="str">
        <f t="shared" ref="AL450:AL492" si="71">IF($AK450="","",$B450&amp;"|"&amp;$P450&amp;"|"&amp;$AK450)</f>
        <v/>
      </c>
    </row>
    <row r="451" spans="1:38" ht="14.25" customHeight="1" x14ac:dyDescent="0.25">
      <c r="A451" s="18">
        <v>7466</v>
      </c>
      <c r="B451" s="18" t="s">
        <v>15</v>
      </c>
      <c r="C451" s="18" t="s">
        <v>590</v>
      </c>
      <c r="E451" s="23" t="str">
        <f>IF(COUNTIF('Info Strategia'!$D$2:$D$51,$C451)&gt;0,"SI","NO")</f>
        <v>NO</v>
      </c>
      <c r="F451" s="24">
        <f>IFERROR(ROUND(($G451+($H451-$G451)*'Info Strategia'!$B$6)*(1+IF($E451="SI",'Parametri Modello'!$B$7*'Info Strategia'!$B$6,0)),0),"")</f>
        <v>0</v>
      </c>
      <c r="G451" s="24">
        <f>IFERROR(ROUND(MAX(1,(IF($V451&lt;=INDEX('Parametri Modello'!$C$57:$C$60,MATCH($B451,'Parametri Modello'!$A$57:$A$60,0)),IF(INDEX('Parametri Modello'!$E$57:$E$60,MATCH($B451,'Parametri Modello'!$A$57:$A$60,0))=0,0,($O451/INDEX('Parametri Modello'!$E$57:$E$60,MATCH($B451,'Parametri Modello'!$A$57:$A$60,0)))*(INDEX('Parametri Modello'!$D$57:$D$60,MATCH($B451,'Parametri Modello'!$A$57:$A$60,0))*(INDEX('Parametri Modello'!$B$50:$B$53,MATCH($B451,'Parametri Modello'!$A$50:$A$53,0))*'Parametri Modello'!$B$44))),IF(INDEX('Parametri Modello'!$F$57:$F$60,MATCH($B451,'Parametri Modello'!$A$57:$A$60,0))=0,0,($O451/INDEX('Parametri Modello'!$F$57:$F$60,MATCH($B451,'Parametri Modello'!$A$57:$A$60,0)))*((1-INDEX('Parametri Modello'!$D$57:$D$60,MATCH($B451,'Parametri Modello'!$A$57:$A$60,0)))*(INDEX('Parametri Modello'!$B$50:$B$53,MATCH($B451,'Parametri Modello'!$A$50:$A$53,0))*'Parametri Modello'!$B$44))))*(1+IF(IF($B451="D",'Info Lega'!$B$25,IF($B451="C",'Info Lega'!$B$26,"No"))="Si",'Parametri Modello'!$B$5,0))*(1+MAX(-0.25,MIN(0.25,IF(OR($T451="",$I451="",$I451=0,INDEX('Parametri Modello'!$B$19:$B$22,MATCH($B451,'Parametri Modello'!$A$19:$A$22,0))="",INDEX('Parametri Modello'!$B$19:$B$22,MATCH($B451,'Parametri Modello'!$A$19:$A$22,0))=0),0,(($T451-INDEX('Parametri Modello'!$B$19:$B$22,MATCH($B451,'Parametri Modello'!$A$19:$A$22,0)))/INDEX('Parametri Modello'!$B$19:$B$22,MATCH($B451,'Parametri Modello'!$A$19:$A$22,0)))*'Parametri Modello'!$B$9))))*(1+IF('Parametri Modello'!$B$27="Si",MAX(-'Parametri Modello'!$B$28,MIN('Parametri Modello'!$B$28*1.5,IF(OR(INDEX('Parametri Modello'!$F$32:$F$35,MATCH($B451,'Parametri Modello'!$A$32:$A$35,0))="",INDEX('Parametri Modello'!$F$32:$F$35,MATCH($B451,'Parametri Modello'!$A$32:$A$35,0))=0),0,(1/INDEX('Parametri Modello'!$F$32:$F$35,MATCH($B451,'Parametri Modello'!$A$32:$A$35,0))-1)*'Parametri Modello'!$B$28))),0)))*(1-INDEX('Parametri Modello'!$B$12:$B$15,MATCH($B451,'Parametri Modello'!$A$12:$A$15,0)))),0),"")</f>
        <v>1</v>
      </c>
      <c r="H451" s="24">
        <f>IFERROR(ROUND((IF($V451&lt;=INDEX('Parametri Modello'!$C$57:$C$60,MATCH($B451,'Parametri Modello'!$A$57:$A$60,0)),IF(INDEX('Parametri Modello'!$E$57:$E$60,MATCH($B451,'Parametri Modello'!$A$57:$A$60,0))=0,0,($O451/INDEX('Parametri Modello'!$E$57:$E$60,MATCH($B451,'Parametri Modello'!$A$57:$A$60,0)))*(INDEX('Parametri Modello'!$D$57:$D$60,MATCH($B451,'Parametri Modello'!$A$57:$A$60,0))*(INDEX('Parametri Modello'!$B$50:$B$53,MATCH($B451,'Parametri Modello'!$A$50:$A$53,0))*'Parametri Modello'!$B$44))),IF(INDEX('Parametri Modello'!$F$57:$F$60,MATCH($B451,'Parametri Modello'!$A$57:$A$60,0))=0,0,($O451/INDEX('Parametri Modello'!$F$57:$F$60,MATCH($B451,'Parametri Modello'!$A$57:$A$60,0)))*((1-INDEX('Parametri Modello'!$D$57:$D$60,MATCH($B451,'Parametri Modello'!$A$57:$A$60,0)))*(INDEX('Parametri Modello'!$B$50:$B$53,MATCH($B451,'Parametri Modello'!$A$50:$A$53,0))*'Parametri Modello'!$B$44))))*(1+IF(IF($B451="D",'Info Lega'!$B$25,IF($B451="C",'Info Lega'!$B$26,"No"))="Si",'Parametri Modello'!$B$5,0))*(1+MAX(-0.25,MIN(0.25,IF(OR($T451="",$I451="",$I451=0,INDEX('Parametri Modello'!$B$19:$B$22,MATCH($B451,'Parametri Modello'!$A$19:$A$22,0))="",INDEX('Parametri Modello'!$B$19:$B$22,MATCH($B451,'Parametri Modello'!$A$19:$A$22,0))=0),0,(($T451-INDEX('Parametri Modello'!$B$19:$B$22,MATCH($B451,'Parametri Modello'!$A$19:$A$22,0)))/INDEX('Parametri Modello'!$B$19:$B$22,MATCH($B451,'Parametri Modello'!$A$19:$A$22,0)))*'Parametri Modello'!$B$9))))*(1+IF('Parametri Modello'!$B$27="Si",MAX(-'Parametri Modello'!$B$28,MIN('Parametri Modello'!$B$28*1.5,IF(OR(INDEX('Parametri Modello'!$F$32:$F$35,MATCH($B451,'Parametri Modello'!$A$32:$A$35,0))="",INDEX('Parametri Modello'!$F$32:$F$35,MATCH($B451,'Parametri Modello'!$A$32:$A$35,0))=0),0,(1/INDEX('Parametri Modello'!$F$32:$F$35,MATCH($B451,'Parametri Modello'!$A$32:$A$35,0))-1)*'Parametri Modello'!$B$28))),0)))*(1+INDEX('Parametri Modello'!$B$12:$B$15,MATCH($B451,'Parametri Modello'!$A$12:$A$15,0))),0),"")</f>
        <v>0</v>
      </c>
      <c r="I451" s="23" t="str">
        <f>IFERROR(INDEX('Input Statistiche 2025_26'!$F$3:$F$665,MATCH($A451,'Input Statistiche 2025_26'!$A$3:$A$665,0)),"")</f>
        <v/>
      </c>
      <c r="J451" s="23" t="str">
        <f t="shared" si="63"/>
        <v/>
      </c>
      <c r="K451" s="23" t="str">
        <f>IFERROR(INDEX('Input Statistiche 2025_26'!$I$3:$I$665,MATCH($A451,'Input Statistiche 2025_26'!$A$3:$A$665,0)),"")</f>
        <v/>
      </c>
      <c r="L451" s="23" t="str">
        <f>IFERROR(INDEX('Input Statistiche 2025_26'!$O$3:$O$665,MATCH($A451,'Input Statistiche 2025_26'!$A$3:$A$665,0)),"")</f>
        <v/>
      </c>
      <c r="M451" s="25"/>
      <c r="N451" s="24">
        <f>IFERROR(INDEX('Input Giocatori 2026_27'!$E$3:$E$493,MATCH($A451,'Input Giocatori 2026_27'!$A$3:$A$493,0)),"")</f>
        <v>1</v>
      </c>
      <c r="O451" s="24">
        <f>IFERROR(INDEX('Input Giocatori 2026_27'!$G$3:$G$493,MATCH($A451,'Input Giocatori 2026_27'!$A$3:$A$493,0)),"")</f>
        <v>1</v>
      </c>
      <c r="P451" s="23" t="str">
        <f>IFERROR(IF($O451="","",IF((1-(COUNTIFS($B$2:$B$492,$B451,$O$2:$O$492,"&gt;"&amp;$O451)+1-1)/COUNTIF($B$2:$B$492,$B451))&gt;='Parametri Modello'!$B$63,"Top",IF((1-(COUNTIFS($B$2:$B$492,$B451,$O$2:$O$492,"&gt;"&amp;$O451)+1-1)/COUNTIF($B$2:$B$492,$B451))&gt;='Parametri Modello'!$B$64,"Buono",IF((1-(COUNTIFS($B$2:$B$492,$B451,$O$2:$O$492,"&gt;"&amp;$O451)+1-1)/COUNTIF($B$2:$B$492,$B451))&gt;='Parametri Modello'!$B$65,"Nella Media","Scommessa/Riserva")))),"")</f>
        <v>Nella Media</v>
      </c>
      <c r="Q451" s="26" t="str">
        <f>IF(AND($D451="",$N451&gt;1),SUMPRODUCT(($D$2:$D451="")*($N$2:$N451&gt;1)),"")</f>
        <v/>
      </c>
      <c r="R451" s="26" t="str">
        <f>IF($D451='Info Lega'!$B$28,COUNTIFS($D$2:$D451,'Info Lega'!$B$28),"")</f>
        <v/>
      </c>
      <c r="S451" s="27" t="str">
        <f>IFERROR(INDEX('Input Statistiche 2025_26'!$G$3:$G$665,MATCH($A451,'Input Statistiche 2025_26'!$A$3:$A$665,0)),"")</f>
        <v/>
      </c>
      <c r="T451" s="27" t="str">
        <f>IFERROR(INDEX('Input Statistiche 2025_26'!$H$3:$H$665,MATCH($A451,'Input Statistiche 2025_26'!$A$3:$A$665,0)),"")</f>
        <v/>
      </c>
      <c r="U451" s="23" t="str">
        <f>IF(OR('La Mia Rosa'!$O$12="",$D451&lt;&gt;""),"",IF($F451&lt;='La Mia Rosa'!$O$12*'Parametri Modello'!$B$24,"OK",IF($F451&lt;='La Mia Rosa'!$O$12*'Parametri Modello'!$B$25,"Attenzione","Rischio Alto")))</f>
        <v>OK</v>
      </c>
      <c r="V451" s="23">
        <f t="shared" si="64"/>
        <v>26</v>
      </c>
      <c r="W451" s="18">
        <f>'Info Lega'!$B$4-SUMIFS($M$2:$M$492,$D$2:$D$492,'Info Lega'!$B$28)</f>
        <v>1000</v>
      </c>
      <c r="X451" s="18">
        <f>('Info Lega'!$B$5-COUNTIFS($D$2:$D$492,'Info Lega'!$B$28,$B$2:$B$492,"P"))+('Info Lega'!$B$6-COUNTIFS($D$2:$D$492,'Info Lega'!$B$28,$B$2:$B$492,"D"))+('Info Lega'!$B$7-COUNTIFS($D$2:$D$492,'Info Lega'!$B$28,$B$2:$B$492,"C"))+('Info Lega'!$B$8-COUNTIFS($D$2:$D$492,'Info Lega'!$B$28,$B$2:$B$492,"A"))</f>
        <v>25</v>
      </c>
      <c r="Y451" s="18">
        <f>X451*'Parametri Modello'!$B$30</f>
        <v>25</v>
      </c>
      <c r="Z451" s="18">
        <f t="shared" si="65"/>
        <v>975</v>
      </c>
      <c r="AA451" s="18">
        <f t="shared" si="66"/>
        <v>0</v>
      </c>
      <c r="AB451" s="18"/>
      <c r="AC451" s="18" t="str">
        <f>IF($AB451="","",IF($AB451&gt;$AA451,"PASS",IF($AB451&lt;=$AA451*(1-'Parametri Modello'!$B$68),"BID","ATTENZIONE")))</f>
        <v/>
      </c>
      <c r="AD451" s="28" t="str">
        <f t="shared" si="67"/>
        <v/>
      </c>
      <c r="AE451" s="5" t="str">
        <f>IFERROR(INDEX('Stato Asta'!$G$9:$G$12,MATCH($B451,'Stato Asta'!$A$9:$A$12,0)),"")</f>
        <v>🔴 Non aspettare</v>
      </c>
      <c r="AF451" t="str">
        <f>IFERROR(IF($V451&lt;=INDEX('Parametri Modello'!$C$57:$C$60,MATCH($B451,'Parametri Modello'!$A$57:$A$60,0)),"Titolare","Riserva"),"")</f>
        <v>Riserva</v>
      </c>
      <c r="AG451" t="str">
        <f>IFERROR(INDEX('Pressione Competitiva'!$F$3:$F$6,MATCH($B451,'Pressione Competitiva'!$B$3:$B$6,0)),"")</f>
        <v>🔴 Molto Alta</v>
      </c>
      <c r="AH451" t="str">
        <f t="shared" si="68"/>
        <v/>
      </c>
      <c r="AI451" t="str">
        <f>IFERROR(IF($AH451="","",IF($AH451&gt;=$AA451*'Parametri Modello'!$B$68,"🟢 Opportunita'",IF($AH451&lt;=$AA451*'Parametri Modello'!$B$69,"🔴 Sovrapprezzo","🟡 Prezzo Corretto"))),"")</f>
        <v/>
      </c>
      <c r="AJ451" t="str">
        <f t="shared" si="69"/>
        <v/>
      </c>
      <c r="AK451" t="str">
        <f t="shared" si="70"/>
        <v/>
      </c>
      <c r="AL451" t="str">
        <f t="shared" si="71"/>
        <v/>
      </c>
    </row>
    <row r="452" spans="1:38" ht="14.25" customHeight="1" x14ac:dyDescent="0.25">
      <c r="A452" s="18">
        <v>219</v>
      </c>
      <c r="B452" s="18" t="s">
        <v>15</v>
      </c>
      <c r="C452" s="18" t="s">
        <v>591</v>
      </c>
      <c r="E452" s="23" t="str">
        <f>IF(COUNTIF('Info Strategia'!$D$2:$D$51,$C452)&gt;0,"SI","NO")</f>
        <v>NO</v>
      </c>
      <c r="F452" s="24">
        <f>IFERROR(ROUND(($G452+($H452-$G452)*'Info Strategia'!$B$6)*(1+IF($E452="SI",'Parametri Modello'!$B$7*'Info Strategia'!$B$6,0)),0),"")</f>
        <v>0</v>
      </c>
      <c r="G452" s="24">
        <f>IFERROR(ROUND(MAX(1,(IF($V452&lt;=INDEX('Parametri Modello'!$C$57:$C$60,MATCH($B452,'Parametri Modello'!$A$57:$A$60,0)),IF(INDEX('Parametri Modello'!$E$57:$E$60,MATCH($B452,'Parametri Modello'!$A$57:$A$60,0))=0,0,($O452/INDEX('Parametri Modello'!$E$57:$E$60,MATCH($B452,'Parametri Modello'!$A$57:$A$60,0)))*(INDEX('Parametri Modello'!$D$57:$D$60,MATCH($B452,'Parametri Modello'!$A$57:$A$60,0))*(INDEX('Parametri Modello'!$B$50:$B$53,MATCH($B452,'Parametri Modello'!$A$50:$A$53,0))*'Parametri Modello'!$B$44))),IF(INDEX('Parametri Modello'!$F$57:$F$60,MATCH($B452,'Parametri Modello'!$A$57:$A$60,0))=0,0,($O452/INDEX('Parametri Modello'!$F$57:$F$60,MATCH($B452,'Parametri Modello'!$A$57:$A$60,0)))*((1-INDEX('Parametri Modello'!$D$57:$D$60,MATCH($B452,'Parametri Modello'!$A$57:$A$60,0)))*(INDEX('Parametri Modello'!$B$50:$B$53,MATCH($B452,'Parametri Modello'!$A$50:$A$53,0))*'Parametri Modello'!$B$44))))*(1+IF(IF($B452="D",'Info Lega'!$B$25,IF($B452="C",'Info Lega'!$B$26,"No"))="Si",'Parametri Modello'!$B$5,0))*(1+MAX(-0.25,MIN(0.25,IF(OR($T452="",$I452="",$I452=0,INDEX('Parametri Modello'!$B$19:$B$22,MATCH($B452,'Parametri Modello'!$A$19:$A$22,0))="",INDEX('Parametri Modello'!$B$19:$B$22,MATCH($B452,'Parametri Modello'!$A$19:$A$22,0))=0),0,(($T452-INDEX('Parametri Modello'!$B$19:$B$22,MATCH($B452,'Parametri Modello'!$A$19:$A$22,0)))/INDEX('Parametri Modello'!$B$19:$B$22,MATCH($B452,'Parametri Modello'!$A$19:$A$22,0)))*'Parametri Modello'!$B$9))))*(1+IF('Parametri Modello'!$B$27="Si",MAX(-'Parametri Modello'!$B$28,MIN('Parametri Modello'!$B$28*1.5,IF(OR(INDEX('Parametri Modello'!$F$32:$F$35,MATCH($B452,'Parametri Modello'!$A$32:$A$35,0))="",INDEX('Parametri Modello'!$F$32:$F$35,MATCH($B452,'Parametri Modello'!$A$32:$A$35,0))=0),0,(1/INDEX('Parametri Modello'!$F$32:$F$35,MATCH($B452,'Parametri Modello'!$A$32:$A$35,0))-1)*'Parametri Modello'!$B$28))),0)))*(1-INDEX('Parametri Modello'!$B$12:$B$15,MATCH($B452,'Parametri Modello'!$A$12:$A$15,0)))),0),"")</f>
        <v>1</v>
      </c>
      <c r="H452" s="24">
        <f>IFERROR(ROUND((IF($V452&lt;=INDEX('Parametri Modello'!$C$57:$C$60,MATCH($B452,'Parametri Modello'!$A$57:$A$60,0)),IF(INDEX('Parametri Modello'!$E$57:$E$60,MATCH($B452,'Parametri Modello'!$A$57:$A$60,0))=0,0,($O452/INDEX('Parametri Modello'!$E$57:$E$60,MATCH($B452,'Parametri Modello'!$A$57:$A$60,0)))*(INDEX('Parametri Modello'!$D$57:$D$60,MATCH($B452,'Parametri Modello'!$A$57:$A$60,0))*(INDEX('Parametri Modello'!$B$50:$B$53,MATCH($B452,'Parametri Modello'!$A$50:$A$53,0))*'Parametri Modello'!$B$44))),IF(INDEX('Parametri Modello'!$F$57:$F$60,MATCH($B452,'Parametri Modello'!$A$57:$A$60,0))=0,0,($O452/INDEX('Parametri Modello'!$F$57:$F$60,MATCH($B452,'Parametri Modello'!$A$57:$A$60,0)))*((1-INDEX('Parametri Modello'!$D$57:$D$60,MATCH($B452,'Parametri Modello'!$A$57:$A$60,0)))*(INDEX('Parametri Modello'!$B$50:$B$53,MATCH($B452,'Parametri Modello'!$A$50:$A$53,0))*'Parametri Modello'!$B$44))))*(1+IF(IF($B452="D",'Info Lega'!$B$25,IF($B452="C",'Info Lega'!$B$26,"No"))="Si",'Parametri Modello'!$B$5,0))*(1+MAX(-0.25,MIN(0.25,IF(OR($T452="",$I452="",$I452=0,INDEX('Parametri Modello'!$B$19:$B$22,MATCH($B452,'Parametri Modello'!$A$19:$A$22,0))="",INDEX('Parametri Modello'!$B$19:$B$22,MATCH($B452,'Parametri Modello'!$A$19:$A$22,0))=0),0,(($T452-INDEX('Parametri Modello'!$B$19:$B$22,MATCH($B452,'Parametri Modello'!$A$19:$A$22,0)))/INDEX('Parametri Modello'!$B$19:$B$22,MATCH($B452,'Parametri Modello'!$A$19:$A$22,0)))*'Parametri Modello'!$B$9))))*(1+IF('Parametri Modello'!$B$27="Si",MAX(-'Parametri Modello'!$B$28,MIN('Parametri Modello'!$B$28*1.5,IF(OR(INDEX('Parametri Modello'!$F$32:$F$35,MATCH($B452,'Parametri Modello'!$A$32:$A$35,0))="",INDEX('Parametri Modello'!$F$32:$F$35,MATCH($B452,'Parametri Modello'!$A$32:$A$35,0))=0),0,(1/INDEX('Parametri Modello'!$F$32:$F$35,MATCH($B452,'Parametri Modello'!$A$32:$A$35,0))-1)*'Parametri Modello'!$B$28))),0)))*(1+INDEX('Parametri Modello'!$B$12:$B$15,MATCH($B452,'Parametri Modello'!$A$12:$A$15,0))),0),"")</f>
        <v>0</v>
      </c>
      <c r="I452" s="23">
        <f>IFERROR(INDEX('Input Statistiche 2025_26'!$F$3:$F$665,MATCH($A452,'Input Statistiche 2025_26'!$A$3:$A$665,0)),"")</f>
        <v>2</v>
      </c>
      <c r="J452" s="23">
        <f t="shared" si="63"/>
        <v>36</v>
      </c>
      <c r="K452" s="23">
        <f>IFERROR(INDEX('Input Statistiche 2025_26'!$I$3:$I$665,MATCH($A452,'Input Statistiche 2025_26'!$A$3:$A$665,0)),"")</f>
        <v>0</v>
      </c>
      <c r="L452" s="23">
        <f>IFERROR(INDEX('Input Statistiche 2025_26'!$O$3:$O$665,MATCH($A452,'Input Statistiche 2025_26'!$A$3:$A$665,0)),"")</f>
        <v>0</v>
      </c>
      <c r="M452" s="25"/>
      <c r="N452" s="24">
        <f>IFERROR(INDEX('Input Giocatori 2026_27'!$E$3:$E$493,MATCH($A452,'Input Giocatori 2026_27'!$A$3:$A$493,0)),"")</f>
        <v>1</v>
      </c>
      <c r="O452" s="24">
        <f>IFERROR(INDEX('Input Giocatori 2026_27'!$G$3:$G$493,MATCH($A452,'Input Giocatori 2026_27'!$A$3:$A$493,0)),"")</f>
        <v>1</v>
      </c>
      <c r="P452" s="23" t="str">
        <f>IFERROR(IF($O452="","",IF((1-(COUNTIFS($B$2:$B$492,$B452,$O$2:$O$492,"&gt;"&amp;$O452)+1-1)/COUNTIF($B$2:$B$492,$B452))&gt;='Parametri Modello'!$B$63,"Top",IF((1-(COUNTIFS($B$2:$B$492,$B452,$O$2:$O$492,"&gt;"&amp;$O452)+1-1)/COUNTIF($B$2:$B$492,$B452))&gt;='Parametri Modello'!$B$64,"Buono",IF((1-(COUNTIFS($B$2:$B$492,$B452,$O$2:$O$492,"&gt;"&amp;$O452)+1-1)/COUNTIF($B$2:$B$492,$B452))&gt;='Parametri Modello'!$B$65,"Nella Media","Scommessa/Riserva")))),"")</f>
        <v>Nella Media</v>
      </c>
      <c r="Q452" s="26" t="str">
        <f>IF(AND($D452="",$N452&gt;1),SUMPRODUCT(($D$2:$D452="")*($N$2:$N452&gt;1)),"")</f>
        <v/>
      </c>
      <c r="R452" s="26" t="str">
        <f>IF($D452='Info Lega'!$B$28,COUNTIFS($D$2:$D452,'Info Lega'!$B$28),"")</f>
        <v/>
      </c>
      <c r="S452" s="27">
        <f>IFERROR(INDEX('Input Statistiche 2025_26'!$G$3:$G$665,MATCH($A452,'Input Statistiche 2025_26'!$A$3:$A$665,0)),"")</f>
        <v>5.75</v>
      </c>
      <c r="T452" s="27">
        <f>IFERROR(INDEX('Input Statistiche 2025_26'!$H$3:$H$665,MATCH($A452,'Input Statistiche 2025_26'!$A$3:$A$665,0)),"")</f>
        <v>3.75</v>
      </c>
      <c r="U452" s="23" t="str">
        <f>IF(OR('La Mia Rosa'!$O$12="",$D452&lt;&gt;""),"",IF($F452&lt;='La Mia Rosa'!$O$12*'Parametri Modello'!$B$24,"OK",IF($F452&lt;='La Mia Rosa'!$O$12*'Parametri Modello'!$B$25,"Attenzione","Rischio Alto")))</f>
        <v>OK</v>
      </c>
      <c r="V452" s="23">
        <f t="shared" si="64"/>
        <v>26</v>
      </c>
      <c r="W452" s="18">
        <f>'Info Lega'!$B$4-SUMIFS($M$2:$M$492,$D$2:$D$492,'Info Lega'!$B$28)</f>
        <v>1000</v>
      </c>
      <c r="X452" s="18">
        <f>('Info Lega'!$B$5-COUNTIFS($D$2:$D$492,'Info Lega'!$B$28,$B$2:$B$492,"P"))+('Info Lega'!$B$6-COUNTIFS($D$2:$D$492,'Info Lega'!$B$28,$B$2:$B$492,"D"))+('Info Lega'!$B$7-COUNTIFS($D$2:$D$492,'Info Lega'!$B$28,$B$2:$B$492,"C"))+('Info Lega'!$B$8-COUNTIFS($D$2:$D$492,'Info Lega'!$B$28,$B$2:$B$492,"A"))</f>
        <v>25</v>
      </c>
      <c r="Y452" s="18">
        <f>X452*'Parametri Modello'!$B$30</f>
        <v>25</v>
      </c>
      <c r="Z452" s="18">
        <f t="shared" si="65"/>
        <v>975</v>
      </c>
      <c r="AA452" s="18">
        <f t="shared" si="66"/>
        <v>0</v>
      </c>
      <c r="AB452" s="18"/>
      <c r="AC452" s="18" t="str">
        <f>IF($AB452="","",IF($AB452&gt;$AA452,"PASS",IF($AB452&lt;=$AA452*(1-'Parametri Modello'!$B$68),"BID","ATTENZIONE")))</f>
        <v/>
      </c>
      <c r="AD452" s="28">
        <f t="shared" si="67"/>
        <v>6</v>
      </c>
      <c r="AE452" s="5" t="str">
        <f>IFERROR(INDEX('Stato Asta'!$G$9:$G$12,MATCH($B452,'Stato Asta'!$A$9:$A$12,0)),"")</f>
        <v>🔴 Non aspettare</v>
      </c>
      <c r="AF452" t="str">
        <f>IFERROR(IF($V452&lt;=INDEX('Parametri Modello'!$C$57:$C$60,MATCH($B452,'Parametri Modello'!$A$57:$A$60,0)),"Titolare","Riserva"),"")</f>
        <v>Riserva</v>
      </c>
      <c r="AG452" t="str">
        <f>IFERROR(INDEX('Pressione Competitiva'!$F$3:$F$6,MATCH($B452,'Pressione Competitiva'!$B$3:$B$6,0)),"")</f>
        <v>🔴 Molto Alta</v>
      </c>
      <c r="AH452" t="str">
        <f t="shared" si="68"/>
        <v/>
      </c>
      <c r="AI452" t="str">
        <f>IFERROR(IF($AH452="","",IF($AH452&gt;=$AA452*'Parametri Modello'!$B$68,"🟢 Opportunita'",IF($AH452&lt;=$AA452*'Parametri Modello'!$B$69,"🔴 Sovrapprezzo","🟡 Prezzo Corretto"))),"")</f>
        <v/>
      </c>
      <c r="AJ452" t="str">
        <f t="shared" si="69"/>
        <v/>
      </c>
      <c r="AK452" t="str">
        <f t="shared" si="70"/>
        <v/>
      </c>
      <c r="AL452" t="str">
        <f t="shared" si="71"/>
        <v/>
      </c>
    </row>
    <row r="453" spans="1:38" ht="14.25" customHeight="1" x14ac:dyDescent="0.25">
      <c r="A453" s="18">
        <v>6569</v>
      </c>
      <c r="B453" s="18" t="s">
        <v>15</v>
      </c>
      <c r="C453" s="18" t="s">
        <v>592</v>
      </c>
      <c r="E453" s="23" t="str">
        <f>IF(COUNTIF('Info Strategia'!$D$2:$D$51,$C453)&gt;0,"SI","NO")</f>
        <v>NO</v>
      </c>
      <c r="F453" s="24">
        <f>IFERROR(ROUND(($G453+($H453-$G453)*'Info Strategia'!$B$6)*(1+IF($E453="SI",'Parametri Modello'!$B$7*'Info Strategia'!$B$6,0)),0),"")</f>
        <v>0</v>
      </c>
      <c r="G453" s="24">
        <f>IFERROR(ROUND(MAX(1,(IF($V453&lt;=INDEX('Parametri Modello'!$C$57:$C$60,MATCH($B453,'Parametri Modello'!$A$57:$A$60,0)),IF(INDEX('Parametri Modello'!$E$57:$E$60,MATCH($B453,'Parametri Modello'!$A$57:$A$60,0))=0,0,($O453/INDEX('Parametri Modello'!$E$57:$E$60,MATCH($B453,'Parametri Modello'!$A$57:$A$60,0)))*(INDEX('Parametri Modello'!$D$57:$D$60,MATCH($B453,'Parametri Modello'!$A$57:$A$60,0))*(INDEX('Parametri Modello'!$B$50:$B$53,MATCH($B453,'Parametri Modello'!$A$50:$A$53,0))*'Parametri Modello'!$B$44))),IF(INDEX('Parametri Modello'!$F$57:$F$60,MATCH($B453,'Parametri Modello'!$A$57:$A$60,0))=0,0,($O453/INDEX('Parametri Modello'!$F$57:$F$60,MATCH($B453,'Parametri Modello'!$A$57:$A$60,0)))*((1-INDEX('Parametri Modello'!$D$57:$D$60,MATCH($B453,'Parametri Modello'!$A$57:$A$60,0)))*(INDEX('Parametri Modello'!$B$50:$B$53,MATCH($B453,'Parametri Modello'!$A$50:$A$53,0))*'Parametri Modello'!$B$44))))*(1+IF(IF($B453="D",'Info Lega'!$B$25,IF($B453="C",'Info Lega'!$B$26,"No"))="Si",'Parametri Modello'!$B$5,0))*(1+MAX(-0.25,MIN(0.25,IF(OR($T453="",$I453="",$I453=0,INDEX('Parametri Modello'!$B$19:$B$22,MATCH($B453,'Parametri Modello'!$A$19:$A$22,0))="",INDEX('Parametri Modello'!$B$19:$B$22,MATCH($B453,'Parametri Modello'!$A$19:$A$22,0))=0),0,(($T453-INDEX('Parametri Modello'!$B$19:$B$22,MATCH($B453,'Parametri Modello'!$A$19:$A$22,0)))/INDEX('Parametri Modello'!$B$19:$B$22,MATCH($B453,'Parametri Modello'!$A$19:$A$22,0)))*'Parametri Modello'!$B$9))))*(1+IF('Parametri Modello'!$B$27="Si",MAX(-'Parametri Modello'!$B$28,MIN('Parametri Modello'!$B$28*1.5,IF(OR(INDEX('Parametri Modello'!$F$32:$F$35,MATCH($B453,'Parametri Modello'!$A$32:$A$35,0))="",INDEX('Parametri Modello'!$F$32:$F$35,MATCH($B453,'Parametri Modello'!$A$32:$A$35,0))=0),0,(1/INDEX('Parametri Modello'!$F$32:$F$35,MATCH($B453,'Parametri Modello'!$A$32:$A$35,0))-1)*'Parametri Modello'!$B$28))),0)))*(1-INDEX('Parametri Modello'!$B$12:$B$15,MATCH($B453,'Parametri Modello'!$A$12:$A$15,0)))),0),"")</f>
        <v>1</v>
      </c>
      <c r="H453" s="24">
        <f>IFERROR(ROUND((IF($V453&lt;=INDEX('Parametri Modello'!$C$57:$C$60,MATCH($B453,'Parametri Modello'!$A$57:$A$60,0)),IF(INDEX('Parametri Modello'!$E$57:$E$60,MATCH($B453,'Parametri Modello'!$A$57:$A$60,0))=0,0,($O453/INDEX('Parametri Modello'!$E$57:$E$60,MATCH($B453,'Parametri Modello'!$A$57:$A$60,0)))*(INDEX('Parametri Modello'!$D$57:$D$60,MATCH($B453,'Parametri Modello'!$A$57:$A$60,0))*(INDEX('Parametri Modello'!$B$50:$B$53,MATCH($B453,'Parametri Modello'!$A$50:$A$53,0))*'Parametri Modello'!$B$44))),IF(INDEX('Parametri Modello'!$F$57:$F$60,MATCH($B453,'Parametri Modello'!$A$57:$A$60,0))=0,0,($O453/INDEX('Parametri Modello'!$F$57:$F$60,MATCH($B453,'Parametri Modello'!$A$57:$A$60,0)))*((1-INDEX('Parametri Modello'!$D$57:$D$60,MATCH($B453,'Parametri Modello'!$A$57:$A$60,0)))*(INDEX('Parametri Modello'!$B$50:$B$53,MATCH($B453,'Parametri Modello'!$A$50:$A$53,0))*'Parametri Modello'!$B$44))))*(1+IF(IF($B453="D",'Info Lega'!$B$25,IF($B453="C",'Info Lega'!$B$26,"No"))="Si",'Parametri Modello'!$B$5,0))*(1+MAX(-0.25,MIN(0.25,IF(OR($T453="",$I453="",$I453=0,INDEX('Parametri Modello'!$B$19:$B$22,MATCH($B453,'Parametri Modello'!$A$19:$A$22,0))="",INDEX('Parametri Modello'!$B$19:$B$22,MATCH($B453,'Parametri Modello'!$A$19:$A$22,0))=0),0,(($T453-INDEX('Parametri Modello'!$B$19:$B$22,MATCH($B453,'Parametri Modello'!$A$19:$A$22,0)))/INDEX('Parametri Modello'!$B$19:$B$22,MATCH($B453,'Parametri Modello'!$A$19:$A$22,0)))*'Parametri Modello'!$B$9))))*(1+IF('Parametri Modello'!$B$27="Si",MAX(-'Parametri Modello'!$B$28,MIN('Parametri Modello'!$B$28*1.5,IF(OR(INDEX('Parametri Modello'!$F$32:$F$35,MATCH($B453,'Parametri Modello'!$A$32:$A$35,0))="",INDEX('Parametri Modello'!$F$32:$F$35,MATCH($B453,'Parametri Modello'!$A$32:$A$35,0))=0),0,(1/INDEX('Parametri Modello'!$F$32:$F$35,MATCH($B453,'Parametri Modello'!$A$32:$A$35,0))-1)*'Parametri Modello'!$B$28))),0)))*(1+INDEX('Parametri Modello'!$B$12:$B$15,MATCH($B453,'Parametri Modello'!$A$12:$A$15,0))),0),"")</f>
        <v>0</v>
      </c>
      <c r="I453" s="23" t="str">
        <f>IFERROR(INDEX('Input Statistiche 2025_26'!$F$3:$F$665,MATCH($A453,'Input Statistiche 2025_26'!$A$3:$A$665,0)),"")</f>
        <v/>
      </c>
      <c r="J453" s="23" t="str">
        <f t="shared" si="63"/>
        <v/>
      </c>
      <c r="K453" s="23" t="str">
        <f>IFERROR(INDEX('Input Statistiche 2025_26'!$I$3:$I$665,MATCH($A453,'Input Statistiche 2025_26'!$A$3:$A$665,0)),"")</f>
        <v/>
      </c>
      <c r="L453" s="23" t="str">
        <f>IFERROR(INDEX('Input Statistiche 2025_26'!$O$3:$O$665,MATCH($A453,'Input Statistiche 2025_26'!$A$3:$A$665,0)),"")</f>
        <v/>
      </c>
      <c r="M453" s="25"/>
      <c r="N453" s="24">
        <f>IFERROR(INDEX('Input Giocatori 2026_27'!$E$3:$E$493,MATCH($A453,'Input Giocatori 2026_27'!$A$3:$A$493,0)),"")</f>
        <v>1</v>
      </c>
      <c r="O453" s="24">
        <f>IFERROR(INDEX('Input Giocatori 2026_27'!$G$3:$G$493,MATCH($A453,'Input Giocatori 2026_27'!$A$3:$A$493,0)),"")</f>
        <v>1</v>
      </c>
      <c r="P453" s="23" t="str">
        <f>IFERROR(IF($O453="","",IF((1-(COUNTIFS($B$2:$B$492,$B453,$O$2:$O$492,"&gt;"&amp;$O453)+1-1)/COUNTIF($B$2:$B$492,$B453))&gt;='Parametri Modello'!$B$63,"Top",IF((1-(COUNTIFS($B$2:$B$492,$B453,$O$2:$O$492,"&gt;"&amp;$O453)+1-1)/COUNTIF($B$2:$B$492,$B453))&gt;='Parametri Modello'!$B$64,"Buono",IF((1-(COUNTIFS($B$2:$B$492,$B453,$O$2:$O$492,"&gt;"&amp;$O453)+1-1)/COUNTIF($B$2:$B$492,$B453))&gt;='Parametri Modello'!$B$65,"Nella Media","Scommessa/Riserva")))),"")</f>
        <v>Nella Media</v>
      </c>
      <c r="Q453" s="26" t="str">
        <f>IF(AND($D453="",$N453&gt;1),SUMPRODUCT(($D$2:$D453="")*($N$2:$N453&gt;1)),"")</f>
        <v/>
      </c>
      <c r="R453" s="26" t="str">
        <f>IF($D453='Info Lega'!$B$28,COUNTIFS($D$2:$D453,'Info Lega'!$B$28),"")</f>
        <v/>
      </c>
      <c r="S453" s="27" t="str">
        <f>IFERROR(INDEX('Input Statistiche 2025_26'!$G$3:$G$665,MATCH($A453,'Input Statistiche 2025_26'!$A$3:$A$665,0)),"")</f>
        <v/>
      </c>
      <c r="T453" s="27" t="str">
        <f>IFERROR(INDEX('Input Statistiche 2025_26'!$H$3:$H$665,MATCH($A453,'Input Statistiche 2025_26'!$A$3:$A$665,0)),"")</f>
        <v/>
      </c>
      <c r="U453" s="23" t="str">
        <f>IF(OR('La Mia Rosa'!$O$12="",$D453&lt;&gt;""),"",IF($F453&lt;='La Mia Rosa'!$O$12*'Parametri Modello'!$B$24,"OK",IF($F453&lt;='La Mia Rosa'!$O$12*'Parametri Modello'!$B$25,"Attenzione","Rischio Alto")))</f>
        <v>OK</v>
      </c>
      <c r="V453" s="23">
        <f t="shared" si="64"/>
        <v>26</v>
      </c>
      <c r="W453" s="18">
        <f>'Info Lega'!$B$4-SUMIFS($M$2:$M$492,$D$2:$D$492,'Info Lega'!$B$28)</f>
        <v>1000</v>
      </c>
      <c r="X453" s="18">
        <f>('Info Lega'!$B$5-COUNTIFS($D$2:$D$492,'Info Lega'!$B$28,$B$2:$B$492,"P"))+('Info Lega'!$B$6-COUNTIFS($D$2:$D$492,'Info Lega'!$B$28,$B$2:$B$492,"D"))+('Info Lega'!$B$7-COUNTIFS($D$2:$D$492,'Info Lega'!$B$28,$B$2:$B$492,"C"))+('Info Lega'!$B$8-COUNTIFS($D$2:$D$492,'Info Lega'!$B$28,$B$2:$B$492,"A"))</f>
        <v>25</v>
      </c>
      <c r="Y453" s="18">
        <f>X453*'Parametri Modello'!$B$30</f>
        <v>25</v>
      </c>
      <c r="Z453" s="18">
        <f t="shared" si="65"/>
        <v>975</v>
      </c>
      <c r="AA453" s="18">
        <f t="shared" si="66"/>
        <v>0</v>
      </c>
      <c r="AB453" s="18"/>
      <c r="AC453" s="18" t="str">
        <f>IF($AB453="","",IF($AB453&gt;$AA453,"PASS",IF($AB453&lt;=$AA453*(1-'Parametri Modello'!$B$68),"BID","ATTENZIONE")))</f>
        <v/>
      </c>
      <c r="AD453" s="28" t="str">
        <f t="shared" si="67"/>
        <v/>
      </c>
      <c r="AE453" s="5" t="str">
        <f>IFERROR(INDEX('Stato Asta'!$G$9:$G$12,MATCH($B453,'Stato Asta'!$A$9:$A$12,0)),"")</f>
        <v>🔴 Non aspettare</v>
      </c>
      <c r="AF453" t="str">
        <f>IFERROR(IF($V453&lt;=INDEX('Parametri Modello'!$C$57:$C$60,MATCH($B453,'Parametri Modello'!$A$57:$A$60,0)),"Titolare","Riserva"),"")</f>
        <v>Riserva</v>
      </c>
      <c r="AG453" t="str">
        <f>IFERROR(INDEX('Pressione Competitiva'!$F$3:$F$6,MATCH($B453,'Pressione Competitiva'!$B$3:$B$6,0)),"")</f>
        <v>🔴 Molto Alta</v>
      </c>
      <c r="AH453" t="str">
        <f t="shared" si="68"/>
        <v/>
      </c>
      <c r="AI453" t="str">
        <f>IFERROR(IF($AH453="","",IF($AH453&gt;=$AA453*'Parametri Modello'!$B$68,"🟢 Opportunita'",IF($AH453&lt;=$AA453*'Parametri Modello'!$B$69,"🔴 Sovrapprezzo","🟡 Prezzo Corretto"))),"")</f>
        <v/>
      </c>
      <c r="AJ453" t="str">
        <f t="shared" si="69"/>
        <v/>
      </c>
      <c r="AK453" t="str">
        <f t="shared" si="70"/>
        <v/>
      </c>
      <c r="AL453" t="str">
        <f t="shared" si="71"/>
        <v/>
      </c>
    </row>
    <row r="454" spans="1:38" ht="14.25" customHeight="1" x14ac:dyDescent="0.25">
      <c r="A454" s="18">
        <v>1926</v>
      </c>
      <c r="B454" s="18" t="s">
        <v>15</v>
      </c>
      <c r="C454" s="18" t="s">
        <v>593</v>
      </c>
      <c r="E454" s="23" t="str">
        <f>IF(COUNTIF('Info Strategia'!$D$2:$D$51,$C454)&gt;0,"SI","NO")</f>
        <v>NO</v>
      </c>
      <c r="F454" s="24">
        <f>IFERROR(ROUND(($G454+($H454-$G454)*'Info Strategia'!$B$6)*(1+IF($E454="SI",'Parametri Modello'!$B$7*'Info Strategia'!$B$6,0)),0),"")</f>
        <v>0</v>
      </c>
      <c r="G454" s="24">
        <f>IFERROR(ROUND(MAX(1,(IF($V454&lt;=INDEX('Parametri Modello'!$C$57:$C$60,MATCH($B454,'Parametri Modello'!$A$57:$A$60,0)),IF(INDEX('Parametri Modello'!$E$57:$E$60,MATCH($B454,'Parametri Modello'!$A$57:$A$60,0))=0,0,($O454/INDEX('Parametri Modello'!$E$57:$E$60,MATCH($B454,'Parametri Modello'!$A$57:$A$60,0)))*(INDEX('Parametri Modello'!$D$57:$D$60,MATCH($B454,'Parametri Modello'!$A$57:$A$60,0))*(INDEX('Parametri Modello'!$B$50:$B$53,MATCH($B454,'Parametri Modello'!$A$50:$A$53,0))*'Parametri Modello'!$B$44))),IF(INDEX('Parametri Modello'!$F$57:$F$60,MATCH($B454,'Parametri Modello'!$A$57:$A$60,0))=0,0,($O454/INDEX('Parametri Modello'!$F$57:$F$60,MATCH($B454,'Parametri Modello'!$A$57:$A$60,0)))*((1-INDEX('Parametri Modello'!$D$57:$D$60,MATCH($B454,'Parametri Modello'!$A$57:$A$60,0)))*(INDEX('Parametri Modello'!$B$50:$B$53,MATCH($B454,'Parametri Modello'!$A$50:$A$53,0))*'Parametri Modello'!$B$44))))*(1+IF(IF($B454="D",'Info Lega'!$B$25,IF($B454="C",'Info Lega'!$B$26,"No"))="Si",'Parametri Modello'!$B$5,0))*(1+MAX(-0.25,MIN(0.25,IF(OR($T454="",$I454="",$I454=0,INDEX('Parametri Modello'!$B$19:$B$22,MATCH($B454,'Parametri Modello'!$A$19:$A$22,0))="",INDEX('Parametri Modello'!$B$19:$B$22,MATCH($B454,'Parametri Modello'!$A$19:$A$22,0))=0),0,(($T454-INDEX('Parametri Modello'!$B$19:$B$22,MATCH($B454,'Parametri Modello'!$A$19:$A$22,0)))/INDEX('Parametri Modello'!$B$19:$B$22,MATCH($B454,'Parametri Modello'!$A$19:$A$22,0)))*'Parametri Modello'!$B$9))))*(1+IF('Parametri Modello'!$B$27="Si",MAX(-'Parametri Modello'!$B$28,MIN('Parametri Modello'!$B$28*1.5,IF(OR(INDEX('Parametri Modello'!$F$32:$F$35,MATCH($B454,'Parametri Modello'!$A$32:$A$35,0))="",INDEX('Parametri Modello'!$F$32:$F$35,MATCH($B454,'Parametri Modello'!$A$32:$A$35,0))=0),0,(1/INDEX('Parametri Modello'!$F$32:$F$35,MATCH($B454,'Parametri Modello'!$A$32:$A$35,0))-1)*'Parametri Modello'!$B$28))),0)))*(1-INDEX('Parametri Modello'!$B$12:$B$15,MATCH($B454,'Parametri Modello'!$A$12:$A$15,0)))),0),"")</f>
        <v>1</v>
      </c>
      <c r="H454" s="24">
        <f>IFERROR(ROUND((IF($V454&lt;=INDEX('Parametri Modello'!$C$57:$C$60,MATCH($B454,'Parametri Modello'!$A$57:$A$60,0)),IF(INDEX('Parametri Modello'!$E$57:$E$60,MATCH($B454,'Parametri Modello'!$A$57:$A$60,0))=0,0,($O454/INDEX('Parametri Modello'!$E$57:$E$60,MATCH($B454,'Parametri Modello'!$A$57:$A$60,0)))*(INDEX('Parametri Modello'!$D$57:$D$60,MATCH($B454,'Parametri Modello'!$A$57:$A$60,0))*(INDEX('Parametri Modello'!$B$50:$B$53,MATCH($B454,'Parametri Modello'!$A$50:$A$53,0))*'Parametri Modello'!$B$44))),IF(INDEX('Parametri Modello'!$F$57:$F$60,MATCH($B454,'Parametri Modello'!$A$57:$A$60,0))=0,0,($O454/INDEX('Parametri Modello'!$F$57:$F$60,MATCH($B454,'Parametri Modello'!$A$57:$A$60,0)))*((1-INDEX('Parametri Modello'!$D$57:$D$60,MATCH($B454,'Parametri Modello'!$A$57:$A$60,0)))*(INDEX('Parametri Modello'!$B$50:$B$53,MATCH($B454,'Parametri Modello'!$A$50:$A$53,0))*'Parametri Modello'!$B$44))))*(1+IF(IF($B454="D",'Info Lega'!$B$25,IF($B454="C",'Info Lega'!$B$26,"No"))="Si",'Parametri Modello'!$B$5,0))*(1+MAX(-0.25,MIN(0.25,IF(OR($T454="",$I454="",$I454=0,INDEX('Parametri Modello'!$B$19:$B$22,MATCH($B454,'Parametri Modello'!$A$19:$A$22,0))="",INDEX('Parametri Modello'!$B$19:$B$22,MATCH($B454,'Parametri Modello'!$A$19:$A$22,0))=0),0,(($T454-INDEX('Parametri Modello'!$B$19:$B$22,MATCH($B454,'Parametri Modello'!$A$19:$A$22,0)))/INDEX('Parametri Modello'!$B$19:$B$22,MATCH($B454,'Parametri Modello'!$A$19:$A$22,0)))*'Parametri Modello'!$B$9))))*(1+IF('Parametri Modello'!$B$27="Si",MAX(-'Parametri Modello'!$B$28,MIN('Parametri Modello'!$B$28*1.5,IF(OR(INDEX('Parametri Modello'!$F$32:$F$35,MATCH($B454,'Parametri Modello'!$A$32:$A$35,0))="",INDEX('Parametri Modello'!$F$32:$F$35,MATCH($B454,'Parametri Modello'!$A$32:$A$35,0))=0),0,(1/INDEX('Parametri Modello'!$F$32:$F$35,MATCH($B454,'Parametri Modello'!$A$32:$A$35,0))-1)*'Parametri Modello'!$B$28))),0)))*(1+INDEX('Parametri Modello'!$B$12:$B$15,MATCH($B454,'Parametri Modello'!$A$12:$A$15,0))),0),"")</f>
        <v>0</v>
      </c>
      <c r="I454" s="23">
        <f>IFERROR(INDEX('Input Statistiche 2025_26'!$F$3:$F$665,MATCH($A454,'Input Statistiche 2025_26'!$A$3:$A$665,0)),"")</f>
        <v>1</v>
      </c>
      <c r="J454" s="23">
        <f t="shared" si="63"/>
        <v>37</v>
      </c>
      <c r="K454" s="23">
        <f>IFERROR(INDEX('Input Statistiche 2025_26'!$I$3:$I$665,MATCH($A454,'Input Statistiche 2025_26'!$A$3:$A$665,0)),"")</f>
        <v>0</v>
      </c>
      <c r="L454" s="23">
        <f>IFERROR(INDEX('Input Statistiche 2025_26'!$O$3:$O$665,MATCH($A454,'Input Statistiche 2025_26'!$A$3:$A$665,0)),"")</f>
        <v>0</v>
      </c>
      <c r="M454" s="25"/>
      <c r="N454" s="24">
        <f>IFERROR(INDEX('Input Giocatori 2026_27'!$E$3:$E$493,MATCH($A454,'Input Giocatori 2026_27'!$A$3:$A$493,0)),"")</f>
        <v>1</v>
      </c>
      <c r="O454" s="24">
        <f>IFERROR(INDEX('Input Giocatori 2026_27'!$G$3:$G$493,MATCH($A454,'Input Giocatori 2026_27'!$A$3:$A$493,0)),"")</f>
        <v>1</v>
      </c>
      <c r="P454" s="23" t="str">
        <f>IFERROR(IF($O454="","",IF((1-(COUNTIFS($B$2:$B$492,$B454,$O$2:$O$492,"&gt;"&amp;$O454)+1-1)/COUNTIF($B$2:$B$492,$B454))&gt;='Parametri Modello'!$B$63,"Top",IF((1-(COUNTIFS($B$2:$B$492,$B454,$O$2:$O$492,"&gt;"&amp;$O454)+1-1)/COUNTIF($B$2:$B$492,$B454))&gt;='Parametri Modello'!$B$64,"Buono",IF((1-(COUNTIFS($B$2:$B$492,$B454,$O$2:$O$492,"&gt;"&amp;$O454)+1-1)/COUNTIF($B$2:$B$492,$B454))&gt;='Parametri Modello'!$B$65,"Nella Media","Scommessa/Riserva")))),"")</f>
        <v>Nella Media</v>
      </c>
      <c r="Q454" s="26" t="str">
        <f>IF(AND($D454="",$N454&gt;1),SUMPRODUCT(($D$2:$D454="")*($N$2:$N454&gt;1)),"")</f>
        <v/>
      </c>
      <c r="R454" s="26" t="str">
        <f>IF($D454='Info Lega'!$B$28,COUNTIFS($D$2:$D454,'Info Lega'!$B$28),"")</f>
        <v/>
      </c>
      <c r="S454" s="27">
        <f>IFERROR(INDEX('Input Statistiche 2025_26'!$G$3:$G$665,MATCH($A454,'Input Statistiche 2025_26'!$A$3:$A$665,0)),"")</f>
        <v>6</v>
      </c>
      <c r="T454" s="27">
        <f>IFERROR(INDEX('Input Statistiche 2025_26'!$H$3:$H$665,MATCH($A454,'Input Statistiche 2025_26'!$A$3:$A$665,0)),"")</f>
        <v>5</v>
      </c>
      <c r="U454" s="23" t="str">
        <f>IF(OR('La Mia Rosa'!$O$12="",$D454&lt;&gt;""),"",IF($F454&lt;='La Mia Rosa'!$O$12*'Parametri Modello'!$B$24,"OK",IF($F454&lt;='La Mia Rosa'!$O$12*'Parametri Modello'!$B$25,"Attenzione","Rischio Alto")))</f>
        <v>OK</v>
      </c>
      <c r="V454" s="23">
        <f t="shared" si="64"/>
        <v>26</v>
      </c>
      <c r="W454" s="18">
        <f>'Info Lega'!$B$4-SUMIFS($M$2:$M$492,$D$2:$D$492,'Info Lega'!$B$28)</f>
        <v>1000</v>
      </c>
      <c r="X454" s="18">
        <f>('Info Lega'!$B$5-COUNTIFS($D$2:$D$492,'Info Lega'!$B$28,$B$2:$B$492,"P"))+('Info Lega'!$B$6-COUNTIFS($D$2:$D$492,'Info Lega'!$B$28,$B$2:$B$492,"D"))+('Info Lega'!$B$7-COUNTIFS($D$2:$D$492,'Info Lega'!$B$28,$B$2:$B$492,"C"))+('Info Lega'!$B$8-COUNTIFS($D$2:$D$492,'Info Lega'!$B$28,$B$2:$B$492,"A"))</f>
        <v>25</v>
      </c>
      <c r="Y454" s="18">
        <f>X454*'Parametri Modello'!$B$30</f>
        <v>25</v>
      </c>
      <c r="Z454" s="18">
        <f t="shared" si="65"/>
        <v>975</v>
      </c>
      <c r="AA454" s="18">
        <f t="shared" si="66"/>
        <v>0</v>
      </c>
      <c r="AB454" s="18"/>
      <c r="AC454" s="18" t="str">
        <f>IF($AB454="","",IF($AB454&gt;$AA454,"PASS",IF($AB454&lt;=$AA454*(1-'Parametri Modello'!$B$68),"BID","ATTENZIONE")))</f>
        <v/>
      </c>
      <c r="AD454" s="28">
        <f t="shared" si="67"/>
        <v>3</v>
      </c>
      <c r="AE454" s="5" t="str">
        <f>IFERROR(INDEX('Stato Asta'!$G$9:$G$12,MATCH($B454,'Stato Asta'!$A$9:$A$12,0)),"")</f>
        <v>🔴 Non aspettare</v>
      </c>
      <c r="AF454" t="str">
        <f>IFERROR(IF($V454&lt;=INDEX('Parametri Modello'!$C$57:$C$60,MATCH($B454,'Parametri Modello'!$A$57:$A$60,0)),"Titolare","Riserva"),"")</f>
        <v>Riserva</v>
      </c>
      <c r="AG454" t="str">
        <f>IFERROR(INDEX('Pressione Competitiva'!$F$3:$F$6,MATCH($B454,'Pressione Competitiva'!$B$3:$B$6,0)),"")</f>
        <v>🔴 Molto Alta</v>
      </c>
      <c r="AH454" t="str">
        <f t="shared" si="68"/>
        <v/>
      </c>
      <c r="AI454" t="str">
        <f>IFERROR(IF($AH454="","",IF($AH454&gt;=$AA454*'Parametri Modello'!$B$68,"🟢 Opportunita'",IF($AH454&lt;=$AA454*'Parametri Modello'!$B$69,"🔴 Sovrapprezzo","🟡 Prezzo Corretto"))),"")</f>
        <v/>
      </c>
      <c r="AJ454" t="str">
        <f t="shared" si="69"/>
        <v/>
      </c>
      <c r="AK454" t="str">
        <f t="shared" si="70"/>
        <v/>
      </c>
      <c r="AL454" t="str">
        <f t="shared" si="71"/>
        <v/>
      </c>
    </row>
    <row r="455" spans="1:38" ht="14.25" customHeight="1" x14ac:dyDescent="0.25">
      <c r="A455" s="18">
        <v>1930</v>
      </c>
      <c r="B455" s="18" t="s">
        <v>15</v>
      </c>
      <c r="C455" s="18" t="s">
        <v>594</v>
      </c>
      <c r="E455" s="23" t="str">
        <f>IF(COUNTIF('Info Strategia'!$D$2:$D$51,$C455)&gt;0,"SI","NO")</f>
        <v>NO</v>
      </c>
      <c r="F455" s="24">
        <f>IFERROR(ROUND(($G455+($H455-$G455)*'Info Strategia'!$B$6)*(1+IF($E455="SI",'Parametri Modello'!$B$7*'Info Strategia'!$B$6,0)),0),"")</f>
        <v>0</v>
      </c>
      <c r="G455" s="24">
        <f>IFERROR(ROUND(MAX(1,(IF($V455&lt;=INDEX('Parametri Modello'!$C$57:$C$60,MATCH($B455,'Parametri Modello'!$A$57:$A$60,0)),IF(INDEX('Parametri Modello'!$E$57:$E$60,MATCH($B455,'Parametri Modello'!$A$57:$A$60,0))=0,0,($O455/INDEX('Parametri Modello'!$E$57:$E$60,MATCH($B455,'Parametri Modello'!$A$57:$A$60,0)))*(INDEX('Parametri Modello'!$D$57:$D$60,MATCH($B455,'Parametri Modello'!$A$57:$A$60,0))*(INDEX('Parametri Modello'!$B$50:$B$53,MATCH($B455,'Parametri Modello'!$A$50:$A$53,0))*'Parametri Modello'!$B$44))),IF(INDEX('Parametri Modello'!$F$57:$F$60,MATCH($B455,'Parametri Modello'!$A$57:$A$60,0))=0,0,($O455/INDEX('Parametri Modello'!$F$57:$F$60,MATCH($B455,'Parametri Modello'!$A$57:$A$60,0)))*((1-INDEX('Parametri Modello'!$D$57:$D$60,MATCH($B455,'Parametri Modello'!$A$57:$A$60,0)))*(INDEX('Parametri Modello'!$B$50:$B$53,MATCH($B455,'Parametri Modello'!$A$50:$A$53,0))*'Parametri Modello'!$B$44))))*(1+IF(IF($B455="D",'Info Lega'!$B$25,IF($B455="C",'Info Lega'!$B$26,"No"))="Si",'Parametri Modello'!$B$5,0))*(1+MAX(-0.25,MIN(0.25,IF(OR($T455="",$I455="",$I455=0,INDEX('Parametri Modello'!$B$19:$B$22,MATCH($B455,'Parametri Modello'!$A$19:$A$22,0))="",INDEX('Parametri Modello'!$B$19:$B$22,MATCH($B455,'Parametri Modello'!$A$19:$A$22,0))=0),0,(($T455-INDEX('Parametri Modello'!$B$19:$B$22,MATCH($B455,'Parametri Modello'!$A$19:$A$22,0)))/INDEX('Parametri Modello'!$B$19:$B$22,MATCH($B455,'Parametri Modello'!$A$19:$A$22,0)))*'Parametri Modello'!$B$9))))*(1+IF('Parametri Modello'!$B$27="Si",MAX(-'Parametri Modello'!$B$28,MIN('Parametri Modello'!$B$28*1.5,IF(OR(INDEX('Parametri Modello'!$F$32:$F$35,MATCH($B455,'Parametri Modello'!$A$32:$A$35,0))="",INDEX('Parametri Modello'!$F$32:$F$35,MATCH($B455,'Parametri Modello'!$A$32:$A$35,0))=0),0,(1/INDEX('Parametri Modello'!$F$32:$F$35,MATCH($B455,'Parametri Modello'!$A$32:$A$35,0))-1)*'Parametri Modello'!$B$28))),0)))*(1-INDEX('Parametri Modello'!$B$12:$B$15,MATCH($B455,'Parametri Modello'!$A$12:$A$15,0)))),0),"")</f>
        <v>1</v>
      </c>
      <c r="H455" s="24">
        <f>IFERROR(ROUND((IF($V455&lt;=INDEX('Parametri Modello'!$C$57:$C$60,MATCH($B455,'Parametri Modello'!$A$57:$A$60,0)),IF(INDEX('Parametri Modello'!$E$57:$E$60,MATCH($B455,'Parametri Modello'!$A$57:$A$60,0))=0,0,($O455/INDEX('Parametri Modello'!$E$57:$E$60,MATCH($B455,'Parametri Modello'!$A$57:$A$60,0)))*(INDEX('Parametri Modello'!$D$57:$D$60,MATCH($B455,'Parametri Modello'!$A$57:$A$60,0))*(INDEX('Parametri Modello'!$B$50:$B$53,MATCH($B455,'Parametri Modello'!$A$50:$A$53,0))*'Parametri Modello'!$B$44))),IF(INDEX('Parametri Modello'!$F$57:$F$60,MATCH($B455,'Parametri Modello'!$A$57:$A$60,0))=0,0,($O455/INDEX('Parametri Modello'!$F$57:$F$60,MATCH($B455,'Parametri Modello'!$A$57:$A$60,0)))*((1-INDEX('Parametri Modello'!$D$57:$D$60,MATCH($B455,'Parametri Modello'!$A$57:$A$60,0)))*(INDEX('Parametri Modello'!$B$50:$B$53,MATCH($B455,'Parametri Modello'!$A$50:$A$53,0))*'Parametri Modello'!$B$44))))*(1+IF(IF($B455="D",'Info Lega'!$B$25,IF($B455="C",'Info Lega'!$B$26,"No"))="Si",'Parametri Modello'!$B$5,0))*(1+MAX(-0.25,MIN(0.25,IF(OR($T455="",$I455="",$I455=0,INDEX('Parametri Modello'!$B$19:$B$22,MATCH($B455,'Parametri Modello'!$A$19:$A$22,0))="",INDEX('Parametri Modello'!$B$19:$B$22,MATCH($B455,'Parametri Modello'!$A$19:$A$22,0))=0),0,(($T455-INDEX('Parametri Modello'!$B$19:$B$22,MATCH($B455,'Parametri Modello'!$A$19:$A$22,0)))/INDEX('Parametri Modello'!$B$19:$B$22,MATCH($B455,'Parametri Modello'!$A$19:$A$22,0)))*'Parametri Modello'!$B$9))))*(1+IF('Parametri Modello'!$B$27="Si",MAX(-'Parametri Modello'!$B$28,MIN('Parametri Modello'!$B$28*1.5,IF(OR(INDEX('Parametri Modello'!$F$32:$F$35,MATCH($B455,'Parametri Modello'!$A$32:$A$35,0))="",INDEX('Parametri Modello'!$F$32:$F$35,MATCH($B455,'Parametri Modello'!$A$32:$A$35,0))=0),0,(1/INDEX('Parametri Modello'!$F$32:$F$35,MATCH($B455,'Parametri Modello'!$A$32:$A$35,0))-1)*'Parametri Modello'!$B$28))),0)))*(1+INDEX('Parametri Modello'!$B$12:$B$15,MATCH($B455,'Parametri Modello'!$A$12:$A$15,0))),0),"")</f>
        <v>0</v>
      </c>
      <c r="I455" s="23">
        <f>IFERROR(INDEX('Input Statistiche 2025_26'!$F$3:$F$665,MATCH($A455,'Input Statistiche 2025_26'!$A$3:$A$665,0)),"")</f>
        <v>0</v>
      </c>
      <c r="J455" s="23">
        <f t="shared" si="63"/>
        <v>38</v>
      </c>
      <c r="K455" s="23">
        <f>IFERROR(INDEX('Input Statistiche 2025_26'!$I$3:$I$665,MATCH($A455,'Input Statistiche 2025_26'!$A$3:$A$665,0)),"")</f>
        <v>0</v>
      </c>
      <c r="L455" s="23">
        <f>IFERROR(INDEX('Input Statistiche 2025_26'!$O$3:$O$665,MATCH($A455,'Input Statistiche 2025_26'!$A$3:$A$665,0)),"")</f>
        <v>0</v>
      </c>
      <c r="M455" s="25"/>
      <c r="N455" s="24">
        <f>IFERROR(INDEX('Input Giocatori 2026_27'!$E$3:$E$493,MATCH($A455,'Input Giocatori 2026_27'!$A$3:$A$493,0)),"")</f>
        <v>1</v>
      </c>
      <c r="O455" s="24">
        <f>IFERROR(INDEX('Input Giocatori 2026_27'!$G$3:$G$493,MATCH($A455,'Input Giocatori 2026_27'!$A$3:$A$493,0)),"")</f>
        <v>1</v>
      </c>
      <c r="P455" s="23" t="str">
        <f>IFERROR(IF($O455="","",IF((1-(COUNTIFS($B$2:$B$492,$B455,$O$2:$O$492,"&gt;"&amp;$O455)+1-1)/COUNTIF($B$2:$B$492,$B455))&gt;='Parametri Modello'!$B$63,"Top",IF((1-(COUNTIFS($B$2:$B$492,$B455,$O$2:$O$492,"&gt;"&amp;$O455)+1-1)/COUNTIF($B$2:$B$492,$B455))&gt;='Parametri Modello'!$B$64,"Buono",IF((1-(COUNTIFS($B$2:$B$492,$B455,$O$2:$O$492,"&gt;"&amp;$O455)+1-1)/COUNTIF($B$2:$B$492,$B455))&gt;='Parametri Modello'!$B$65,"Nella Media","Scommessa/Riserva")))),"")</f>
        <v>Nella Media</v>
      </c>
      <c r="Q455" s="26" t="str">
        <f>IF(AND($D455="",$N455&gt;1),SUMPRODUCT(($D$2:$D455="")*($N$2:$N455&gt;1)),"")</f>
        <v/>
      </c>
      <c r="R455" s="26" t="str">
        <f>IF($D455='Info Lega'!$B$28,COUNTIFS($D$2:$D455,'Info Lega'!$B$28),"")</f>
        <v/>
      </c>
      <c r="S455" s="27">
        <f>IFERROR(INDEX('Input Statistiche 2025_26'!$G$3:$G$665,MATCH($A455,'Input Statistiche 2025_26'!$A$3:$A$665,0)),"")</f>
        <v>0</v>
      </c>
      <c r="T455" s="27">
        <f>IFERROR(INDEX('Input Statistiche 2025_26'!$H$3:$H$665,MATCH($A455,'Input Statistiche 2025_26'!$A$3:$A$665,0)),"")</f>
        <v>0</v>
      </c>
      <c r="U455" s="23" t="str">
        <f>IF(OR('La Mia Rosa'!$O$12="",$D455&lt;&gt;""),"",IF($F455&lt;='La Mia Rosa'!$O$12*'Parametri Modello'!$B$24,"OK",IF($F455&lt;='La Mia Rosa'!$O$12*'Parametri Modello'!$B$25,"Attenzione","Rischio Alto")))</f>
        <v>OK</v>
      </c>
      <c r="V455" s="23">
        <f t="shared" si="64"/>
        <v>26</v>
      </c>
      <c r="W455" s="18">
        <f>'Info Lega'!$B$4-SUMIFS($M$2:$M$492,$D$2:$D$492,'Info Lega'!$B$28)</f>
        <v>1000</v>
      </c>
      <c r="X455" s="18">
        <f>('Info Lega'!$B$5-COUNTIFS($D$2:$D$492,'Info Lega'!$B$28,$B$2:$B$492,"P"))+('Info Lega'!$B$6-COUNTIFS($D$2:$D$492,'Info Lega'!$B$28,$B$2:$B$492,"D"))+('Info Lega'!$B$7-COUNTIFS($D$2:$D$492,'Info Lega'!$B$28,$B$2:$B$492,"C"))+('Info Lega'!$B$8-COUNTIFS($D$2:$D$492,'Info Lega'!$B$28,$B$2:$B$492,"A"))</f>
        <v>25</v>
      </c>
      <c r="Y455" s="18">
        <f>X455*'Parametri Modello'!$B$30</f>
        <v>25</v>
      </c>
      <c r="Z455" s="18">
        <f t="shared" si="65"/>
        <v>975</v>
      </c>
      <c r="AA455" s="18">
        <f t="shared" si="66"/>
        <v>0</v>
      </c>
      <c r="AB455" s="18"/>
      <c r="AC455" s="18" t="str">
        <f>IF($AB455="","",IF($AB455&gt;$AA455,"PASS",IF($AB455&lt;=$AA455*(1-'Parametri Modello'!$B$68),"BID","ATTENZIONE")))</f>
        <v/>
      </c>
      <c r="AD455" s="28">
        <f t="shared" si="67"/>
        <v>0</v>
      </c>
      <c r="AE455" s="5" t="str">
        <f>IFERROR(INDEX('Stato Asta'!$G$9:$G$12,MATCH($B455,'Stato Asta'!$A$9:$A$12,0)),"")</f>
        <v>🔴 Non aspettare</v>
      </c>
      <c r="AF455" t="str">
        <f>IFERROR(IF($V455&lt;=INDEX('Parametri Modello'!$C$57:$C$60,MATCH($B455,'Parametri Modello'!$A$57:$A$60,0)),"Titolare","Riserva"),"")</f>
        <v>Riserva</v>
      </c>
      <c r="AG455" t="str">
        <f>IFERROR(INDEX('Pressione Competitiva'!$F$3:$F$6,MATCH($B455,'Pressione Competitiva'!$B$3:$B$6,0)),"")</f>
        <v>🔴 Molto Alta</v>
      </c>
      <c r="AH455" t="str">
        <f t="shared" si="68"/>
        <v/>
      </c>
      <c r="AI455" t="str">
        <f>IFERROR(IF($AH455="","",IF($AH455&gt;=$AA455*'Parametri Modello'!$B$68,"🟢 Opportunita'",IF($AH455&lt;=$AA455*'Parametri Modello'!$B$69,"🔴 Sovrapprezzo","🟡 Prezzo Corretto"))),"")</f>
        <v/>
      </c>
      <c r="AJ455" t="str">
        <f t="shared" si="69"/>
        <v/>
      </c>
      <c r="AK455" t="str">
        <f t="shared" si="70"/>
        <v/>
      </c>
      <c r="AL455" t="str">
        <f t="shared" si="71"/>
        <v/>
      </c>
    </row>
    <row r="456" spans="1:38" ht="14.25" customHeight="1" x14ac:dyDescent="0.25">
      <c r="A456" s="18">
        <v>7337</v>
      </c>
      <c r="B456" s="18" t="s">
        <v>15</v>
      </c>
      <c r="C456" s="18" t="s">
        <v>595</v>
      </c>
      <c r="E456" s="23" t="str">
        <f>IF(COUNTIF('Info Strategia'!$D$2:$D$51,$C456)&gt;0,"SI","NO")</f>
        <v>NO</v>
      </c>
      <c r="F456" s="24">
        <f>IFERROR(ROUND(($G456+($H456-$G456)*'Info Strategia'!$B$6)*(1+IF($E456="SI",'Parametri Modello'!$B$7*'Info Strategia'!$B$6,0)),0),"")</f>
        <v>0</v>
      </c>
      <c r="G456" s="24">
        <f>IFERROR(ROUND(MAX(1,(IF($V456&lt;=INDEX('Parametri Modello'!$C$57:$C$60,MATCH($B456,'Parametri Modello'!$A$57:$A$60,0)),IF(INDEX('Parametri Modello'!$E$57:$E$60,MATCH($B456,'Parametri Modello'!$A$57:$A$60,0))=0,0,($O456/INDEX('Parametri Modello'!$E$57:$E$60,MATCH($B456,'Parametri Modello'!$A$57:$A$60,0)))*(INDEX('Parametri Modello'!$D$57:$D$60,MATCH($B456,'Parametri Modello'!$A$57:$A$60,0))*(INDEX('Parametri Modello'!$B$50:$B$53,MATCH($B456,'Parametri Modello'!$A$50:$A$53,0))*'Parametri Modello'!$B$44))),IF(INDEX('Parametri Modello'!$F$57:$F$60,MATCH($B456,'Parametri Modello'!$A$57:$A$60,0))=0,0,($O456/INDEX('Parametri Modello'!$F$57:$F$60,MATCH($B456,'Parametri Modello'!$A$57:$A$60,0)))*((1-INDEX('Parametri Modello'!$D$57:$D$60,MATCH($B456,'Parametri Modello'!$A$57:$A$60,0)))*(INDEX('Parametri Modello'!$B$50:$B$53,MATCH($B456,'Parametri Modello'!$A$50:$A$53,0))*'Parametri Modello'!$B$44))))*(1+IF(IF($B456="D",'Info Lega'!$B$25,IF($B456="C",'Info Lega'!$B$26,"No"))="Si",'Parametri Modello'!$B$5,0))*(1+MAX(-0.25,MIN(0.25,IF(OR($T456="",$I456="",$I456=0,INDEX('Parametri Modello'!$B$19:$B$22,MATCH($B456,'Parametri Modello'!$A$19:$A$22,0))="",INDEX('Parametri Modello'!$B$19:$B$22,MATCH($B456,'Parametri Modello'!$A$19:$A$22,0))=0),0,(($T456-INDEX('Parametri Modello'!$B$19:$B$22,MATCH($B456,'Parametri Modello'!$A$19:$A$22,0)))/INDEX('Parametri Modello'!$B$19:$B$22,MATCH($B456,'Parametri Modello'!$A$19:$A$22,0)))*'Parametri Modello'!$B$9))))*(1+IF('Parametri Modello'!$B$27="Si",MAX(-'Parametri Modello'!$B$28,MIN('Parametri Modello'!$B$28*1.5,IF(OR(INDEX('Parametri Modello'!$F$32:$F$35,MATCH($B456,'Parametri Modello'!$A$32:$A$35,0))="",INDEX('Parametri Modello'!$F$32:$F$35,MATCH($B456,'Parametri Modello'!$A$32:$A$35,0))=0),0,(1/INDEX('Parametri Modello'!$F$32:$F$35,MATCH($B456,'Parametri Modello'!$A$32:$A$35,0))-1)*'Parametri Modello'!$B$28))),0)))*(1-INDEX('Parametri Modello'!$B$12:$B$15,MATCH($B456,'Parametri Modello'!$A$12:$A$15,0)))),0),"")</f>
        <v>1</v>
      </c>
      <c r="H456" s="24">
        <f>IFERROR(ROUND((IF($V456&lt;=INDEX('Parametri Modello'!$C$57:$C$60,MATCH($B456,'Parametri Modello'!$A$57:$A$60,0)),IF(INDEX('Parametri Modello'!$E$57:$E$60,MATCH($B456,'Parametri Modello'!$A$57:$A$60,0))=0,0,($O456/INDEX('Parametri Modello'!$E$57:$E$60,MATCH($B456,'Parametri Modello'!$A$57:$A$60,0)))*(INDEX('Parametri Modello'!$D$57:$D$60,MATCH($B456,'Parametri Modello'!$A$57:$A$60,0))*(INDEX('Parametri Modello'!$B$50:$B$53,MATCH($B456,'Parametri Modello'!$A$50:$A$53,0))*'Parametri Modello'!$B$44))),IF(INDEX('Parametri Modello'!$F$57:$F$60,MATCH($B456,'Parametri Modello'!$A$57:$A$60,0))=0,0,($O456/INDEX('Parametri Modello'!$F$57:$F$60,MATCH($B456,'Parametri Modello'!$A$57:$A$60,0)))*((1-INDEX('Parametri Modello'!$D$57:$D$60,MATCH($B456,'Parametri Modello'!$A$57:$A$60,0)))*(INDEX('Parametri Modello'!$B$50:$B$53,MATCH($B456,'Parametri Modello'!$A$50:$A$53,0))*'Parametri Modello'!$B$44))))*(1+IF(IF($B456="D",'Info Lega'!$B$25,IF($B456="C",'Info Lega'!$B$26,"No"))="Si",'Parametri Modello'!$B$5,0))*(1+MAX(-0.25,MIN(0.25,IF(OR($T456="",$I456="",$I456=0,INDEX('Parametri Modello'!$B$19:$B$22,MATCH($B456,'Parametri Modello'!$A$19:$A$22,0))="",INDEX('Parametri Modello'!$B$19:$B$22,MATCH($B456,'Parametri Modello'!$A$19:$A$22,0))=0),0,(($T456-INDEX('Parametri Modello'!$B$19:$B$22,MATCH($B456,'Parametri Modello'!$A$19:$A$22,0)))/INDEX('Parametri Modello'!$B$19:$B$22,MATCH($B456,'Parametri Modello'!$A$19:$A$22,0)))*'Parametri Modello'!$B$9))))*(1+IF('Parametri Modello'!$B$27="Si",MAX(-'Parametri Modello'!$B$28,MIN('Parametri Modello'!$B$28*1.5,IF(OR(INDEX('Parametri Modello'!$F$32:$F$35,MATCH($B456,'Parametri Modello'!$A$32:$A$35,0))="",INDEX('Parametri Modello'!$F$32:$F$35,MATCH($B456,'Parametri Modello'!$A$32:$A$35,0))=0),0,(1/INDEX('Parametri Modello'!$F$32:$F$35,MATCH($B456,'Parametri Modello'!$A$32:$A$35,0))-1)*'Parametri Modello'!$B$28))),0)))*(1+INDEX('Parametri Modello'!$B$12:$B$15,MATCH($B456,'Parametri Modello'!$A$12:$A$15,0))),0),"")</f>
        <v>0</v>
      </c>
      <c r="I456" s="23">
        <f>IFERROR(INDEX('Input Statistiche 2025_26'!$F$3:$F$665,MATCH($A456,'Input Statistiche 2025_26'!$A$3:$A$665,0)),"")</f>
        <v>9</v>
      </c>
      <c r="J456" s="23">
        <f t="shared" si="63"/>
        <v>29</v>
      </c>
      <c r="K456" s="23">
        <f>IFERROR(INDEX('Input Statistiche 2025_26'!$I$3:$I$665,MATCH($A456,'Input Statistiche 2025_26'!$A$3:$A$665,0)),"")</f>
        <v>0</v>
      </c>
      <c r="L456" s="23">
        <f>IFERROR(INDEX('Input Statistiche 2025_26'!$O$3:$O$665,MATCH($A456,'Input Statistiche 2025_26'!$A$3:$A$665,0)),"")</f>
        <v>0</v>
      </c>
      <c r="M456" s="25"/>
      <c r="N456" s="24">
        <f>IFERROR(INDEX('Input Giocatori 2026_27'!$E$3:$E$493,MATCH($A456,'Input Giocatori 2026_27'!$A$3:$A$493,0)),"")</f>
        <v>1</v>
      </c>
      <c r="O456" s="24">
        <f>IFERROR(INDEX('Input Giocatori 2026_27'!$G$3:$G$493,MATCH($A456,'Input Giocatori 2026_27'!$A$3:$A$493,0)),"")</f>
        <v>1</v>
      </c>
      <c r="P456" s="23" t="str">
        <f>IFERROR(IF($O456="","",IF((1-(COUNTIFS($B$2:$B$492,$B456,$O$2:$O$492,"&gt;"&amp;$O456)+1-1)/COUNTIF($B$2:$B$492,$B456))&gt;='Parametri Modello'!$B$63,"Top",IF((1-(COUNTIFS($B$2:$B$492,$B456,$O$2:$O$492,"&gt;"&amp;$O456)+1-1)/COUNTIF($B$2:$B$492,$B456))&gt;='Parametri Modello'!$B$64,"Buono",IF((1-(COUNTIFS($B$2:$B$492,$B456,$O$2:$O$492,"&gt;"&amp;$O456)+1-1)/COUNTIF($B$2:$B$492,$B456))&gt;='Parametri Modello'!$B$65,"Nella Media","Scommessa/Riserva")))),"")</f>
        <v>Nella Media</v>
      </c>
      <c r="Q456" s="26" t="str">
        <f>IF(AND($D456="",$N456&gt;1),SUMPRODUCT(($D$2:$D456="")*($N$2:$N456&gt;1)),"")</f>
        <v/>
      </c>
      <c r="R456" s="26" t="str">
        <f>IF($D456='Info Lega'!$B$28,COUNTIFS($D$2:$D456,'Info Lega'!$B$28),"")</f>
        <v/>
      </c>
      <c r="S456" s="27">
        <f>IFERROR(INDEX('Input Statistiche 2025_26'!$G$3:$G$665,MATCH($A456,'Input Statistiche 2025_26'!$A$3:$A$665,0)),"")</f>
        <v>6</v>
      </c>
      <c r="T456" s="27">
        <f>IFERROR(INDEX('Input Statistiche 2025_26'!$H$3:$H$665,MATCH($A456,'Input Statistiche 2025_26'!$A$3:$A$665,0)),"")</f>
        <v>5.17</v>
      </c>
      <c r="U456" s="23" t="str">
        <f>IF(OR('La Mia Rosa'!$O$12="",$D456&lt;&gt;""),"",IF($F456&lt;='La Mia Rosa'!$O$12*'Parametri Modello'!$B$24,"OK",IF($F456&lt;='La Mia Rosa'!$O$12*'Parametri Modello'!$B$25,"Attenzione","Rischio Alto")))</f>
        <v>OK</v>
      </c>
      <c r="V456" s="23">
        <f t="shared" si="64"/>
        <v>26</v>
      </c>
      <c r="W456" s="18">
        <f>'Info Lega'!$B$4-SUMIFS($M$2:$M$492,$D$2:$D$492,'Info Lega'!$B$28)</f>
        <v>1000</v>
      </c>
      <c r="X456" s="18">
        <f>('Info Lega'!$B$5-COUNTIFS($D$2:$D$492,'Info Lega'!$B$28,$B$2:$B$492,"P"))+('Info Lega'!$B$6-COUNTIFS($D$2:$D$492,'Info Lega'!$B$28,$B$2:$B$492,"D"))+('Info Lega'!$B$7-COUNTIFS($D$2:$D$492,'Info Lega'!$B$28,$B$2:$B$492,"C"))+('Info Lega'!$B$8-COUNTIFS($D$2:$D$492,'Info Lega'!$B$28,$B$2:$B$492,"A"))</f>
        <v>25</v>
      </c>
      <c r="Y456" s="18">
        <f>X456*'Parametri Modello'!$B$30</f>
        <v>25</v>
      </c>
      <c r="Z456" s="18">
        <f t="shared" si="65"/>
        <v>975</v>
      </c>
      <c r="AA456" s="18">
        <f t="shared" si="66"/>
        <v>0</v>
      </c>
      <c r="AB456" s="18"/>
      <c r="AC456" s="18" t="str">
        <f>IF($AB456="","",IF($AB456&gt;$AA456,"PASS",IF($AB456&lt;=$AA456*(1-'Parametri Modello'!$B$68),"BID","ATTENZIONE")))</f>
        <v/>
      </c>
      <c r="AD456" s="28">
        <f t="shared" si="67"/>
        <v>26</v>
      </c>
      <c r="AE456" s="5" t="str">
        <f>IFERROR(INDEX('Stato Asta'!$G$9:$G$12,MATCH($B456,'Stato Asta'!$A$9:$A$12,0)),"")</f>
        <v>🔴 Non aspettare</v>
      </c>
      <c r="AF456" t="str">
        <f>IFERROR(IF($V456&lt;=INDEX('Parametri Modello'!$C$57:$C$60,MATCH($B456,'Parametri Modello'!$A$57:$A$60,0)),"Titolare","Riserva"),"")</f>
        <v>Riserva</v>
      </c>
      <c r="AG456" t="str">
        <f>IFERROR(INDEX('Pressione Competitiva'!$F$3:$F$6,MATCH($B456,'Pressione Competitiva'!$B$3:$B$6,0)),"")</f>
        <v>🔴 Molto Alta</v>
      </c>
      <c r="AH456" t="str">
        <f t="shared" si="68"/>
        <v/>
      </c>
      <c r="AI456" t="str">
        <f>IFERROR(IF($AH456="","",IF($AH456&gt;=$AA456*'Parametri Modello'!$B$68,"🟢 Opportunita'",IF($AH456&lt;=$AA456*'Parametri Modello'!$B$69,"🔴 Sovrapprezzo","🟡 Prezzo Corretto"))),"")</f>
        <v/>
      </c>
      <c r="AJ456" t="str">
        <f t="shared" si="69"/>
        <v/>
      </c>
      <c r="AK456" t="str">
        <f t="shared" si="70"/>
        <v/>
      </c>
      <c r="AL456" t="str">
        <f t="shared" si="71"/>
        <v/>
      </c>
    </row>
    <row r="457" spans="1:38" ht="14.25" customHeight="1" x14ac:dyDescent="0.25">
      <c r="A457" s="18">
        <v>7534</v>
      </c>
      <c r="B457" s="18" t="s">
        <v>15</v>
      </c>
      <c r="C457" s="18" t="s">
        <v>596</v>
      </c>
      <c r="E457" s="23" t="str">
        <f>IF(COUNTIF('Info Strategia'!$D$2:$D$51,$C457)&gt;0,"SI","NO")</f>
        <v>NO</v>
      </c>
      <c r="F457" s="24">
        <f>IFERROR(ROUND(($G457+($H457-$G457)*'Info Strategia'!$B$6)*(1+IF($E457="SI",'Parametri Modello'!$B$7*'Info Strategia'!$B$6,0)),0),"")</f>
        <v>0</v>
      </c>
      <c r="G457" s="24">
        <f>IFERROR(ROUND(MAX(1,(IF($V457&lt;=INDEX('Parametri Modello'!$C$57:$C$60,MATCH($B457,'Parametri Modello'!$A$57:$A$60,0)),IF(INDEX('Parametri Modello'!$E$57:$E$60,MATCH($B457,'Parametri Modello'!$A$57:$A$60,0))=0,0,($O457/INDEX('Parametri Modello'!$E$57:$E$60,MATCH($B457,'Parametri Modello'!$A$57:$A$60,0)))*(INDEX('Parametri Modello'!$D$57:$D$60,MATCH($B457,'Parametri Modello'!$A$57:$A$60,0))*(INDEX('Parametri Modello'!$B$50:$B$53,MATCH($B457,'Parametri Modello'!$A$50:$A$53,0))*'Parametri Modello'!$B$44))),IF(INDEX('Parametri Modello'!$F$57:$F$60,MATCH($B457,'Parametri Modello'!$A$57:$A$60,0))=0,0,($O457/INDEX('Parametri Modello'!$F$57:$F$60,MATCH($B457,'Parametri Modello'!$A$57:$A$60,0)))*((1-INDEX('Parametri Modello'!$D$57:$D$60,MATCH($B457,'Parametri Modello'!$A$57:$A$60,0)))*(INDEX('Parametri Modello'!$B$50:$B$53,MATCH($B457,'Parametri Modello'!$A$50:$A$53,0))*'Parametri Modello'!$B$44))))*(1+IF(IF($B457="D",'Info Lega'!$B$25,IF($B457="C",'Info Lega'!$B$26,"No"))="Si",'Parametri Modello'!$B$5,0))*(1+MAX(-0.25,MIN(0.25,IF(OR($T457="",$I457="",$I457=0,INDEX('Parametri Modello'!$B$19:$B$22,MATCH($B457,'Parametri Modello'!$A$19:$A$22,0))="",INDEX('Parametri Modello'!$B$19:$B$22,MATCH($B457,'Parametri Modello'!$A$19:$A$22,0))=0),0,(($T457-INDEX('Parametri Modello'!$B$19:$B$22,MATCH($B457,'Parametri Modello'!$A$19:$A$22,0)))/INDEX('Parametri Modello'!$B$19:$B$22,MATCH($B457,'Parametri Modello'!$A$19:$A$22,0)))*'Parametri Modello'!$B$9))))*(1+IF('Parametri Modello'!$B$27="Si",MAX(-'Parametri Modello'!$B$28,MIN('Parametri Modello'!$B$28*1.5,IF(OR(INDEX('Parametri Modello'!$F$32:$F$35,MATCH($B457,'Parametri Modello'!$A$32:$A$35,0))="",INDEX('Parametri Modello'!$F$32:$F$35,MATCH($B457,'Parametri Modello'!$A$32:$A$35,0))=0),0,(1/INDEX('Parametri Modello'!$F$32:$F$35,MATCH($B457,'Parametri Modello'!$A$32:$A$35,0))-1)*'Parametri Modello'!$B$28))),0)))*(1-INDEX('Parametri Modello'!$B$12:$B$15,MATCH($B457,'Parametri Modello'!$A$12:$A$15,0)))),0),"")</f>
        <v>1</v>
      </c>
      <c r="H457" s="24">
        <f>IFERROR(ROUND((IF($V457&lt;=INDEX('Parametri Modello'!$C$57:$C$60,MATCH($B457,'Parametri Modello'!$A$57:$A$60,0)),IF(INDEX('Parametri Modello'!$E$57:$E$60,MATCH($B457,'Parametri Modello'!$A$57:$A$60,0))=0,0,($O457/INDEX('Parametri Modello'!$E$57:$E$60,MATCH($B457,'Parametri Modello'!$A$57:$A$60,0)))*(INDEX('Parametri Modello'!$D$57:$D$60,MATCH($B457,'Parametri Modello'!$A$57:$A$60,0))*(INDEX('Parametri Modello'!$B$50:$B$53,MATCH($B457,'Parametri Modello'!$A$50:$A$53,0))*'Parametri Modello'!$B$44))),IF(INDEX('Parametri Modello'!$F$57:$F$60,MATCH($B457,'Parametri Modello'!$A$57:$A$60,0))=0,0,($O457/INDEX('Parametri Modello'!$F$57:$F$60,MATCH($B457,'Parametri Modello'!$A$57:$A$60,0)))*((1-INDEX('Parametri Modello'!$D$57:$D$60,MATCH($B457,'Parametri Modello'!$A$57:$A$60,0)))*(INDEX('Parametri Modello'!$B$50:$B$53,MATCH($B457,'Parametri Modello'!$A$50:$A$53,0))*'Parametri Modello'!$B$44))))*(1+IF(IF($B457="D",'Info Lega'!$B$25,IF($B457="C",'Info Lega'!$B$26,"No"))="Si",'Parametri Modello'!$B$5,0))*(1+MAX(-0.25,MIN(0.25,IF(OR($T457="",$I457="",$I457=0,INDEX('Parametri Modello'!$B$19:$B$22,MATCH($B457,'Parametri Modello'!$A$19:$A$22,0))="",INDEX('Parametri Modello'!$B$19:$B$22,MATCH($B457,'Parametri Modello'!$A$19:$A$22,0))=0),0,(($T457-INDEX('Parametri Modello'!$B$19:$B$22,MATCH($B457,'Parametri Modello'!$A$19:$A$22,0)))/INDEX('Parametri Modello'!$B$19:$B$22,MATCH($B457,'Parametri Modello'!$A$19:$A$22,0)))*'Parametri Modello'!$B$9))))*(1+IF('Parametri Modello'!$B$27="Si",MAX(-'Parametri Modello'!$B$28,MIN('Parametri Modello'!$B$28*1.5,IF(OR(INDEX('Parametri Modello'!$F$32:$F$35,MATCH($B457,'Parametri Modello'!$A$32:$A$35,0))="",INDEX('Parametri Modello'!$F$32:$F$35,MATCH($B457,'Parametri Modello'!$A$32:$A$35,0))=0),0,(1/INDEX('Parametri Modello'!$F$32:$F$35,MATCH($B457,'Parametri Modello'!$A$32:$A$35,0))-1)*'Parametri Modello'!$B$28))),0)))*(1+INDEX('Parametri Modello'!$B$12:$B$15,MATCH($B457,'Parametri Modello'!$A$12:$A$15,0))),0),"")</f>
        <v>0</v>
      </c>
      <c r="I457" s="23" t="str">
        <f>IFERROR(INDEX('Input Statistiche 2025_26'!$F$3:$F$665,MATCH($A457,'Input Statistiche 2025_26'!$A$3:$A$665,0)),"")</f>
        <v/>
      </c>
      <c r="J457" s="23" t="str">
        <f t="shared" si="63"/>
        <v/>
      </c>
      <c r="K457" s="23" t="str">
        <f>IFERROR(INDEX('Input Statistiche 2025_26'!$I$3:$I$665,MATCH($A457,'Input Statistiche 2025_26'!$A$3:$A$665,0)),"")</f>
        <v/>
      </c>
      <c r="L457" s="23" t="str">
        <f>IFERROR(INDEX('Input Statistiche 2025_26'!$O$3:$O$665,MATCH($A457,'Input Statistiche 2025_26'!$A$3:$A$665,0)),"")</f>
        <v/>
      </c>
      <c r="M457" s="25"/>
      <c r="N457" s="24">
        <f>IFERROR(INDEX('Input Giocatori 2026_27'!$E$3:$E$493,MATCH($A457,'Input Giocatori 2026_27'!$A$3:$A$493,0)),"")</f>
        <v>1</v>
      </c>
      <c r="O457" s="24">
        <f>IFERROR(INDEX('Input Giocatori 2026_27'!$G$3:$G$493,MATCH($A457,'Input Giocatori 2026_27'!$A$3:$A$493,0)),"")</f>
        <v>1</v>
      </c>
      <c r="P457" s="23" t="str">
        <f>IFERROR(IF($O457="","",IF((1-(COUNTIFS($B$2:$B$492,$B457,$O$2:$O$492,"&gt;"&amp;$O457)+1-1)/COUNTIF($B$2:$B$492,$B457))&gt;='Parametri Modello'!$B$63,"Top",IF((1-(COUNTIFS($B$2:$B$492,$B457,$O$2:$O$492,"&gt;"&amp;$O457)+1-1)/COUNTIF($B$2:$B$492,$B457))&gt;='Parametri Modello'!$B$64,"Buono",IF((1-(COUNTIFS($B$2:$B$492,$B457,$O$2:$O$492,"&gt;"&amp;$O457)+1-1)/COUNTIF($B$2:$B$492,$B457))&gt;='Parametri Modello'!$B$65,"Nella Media","Scommessa/Riserva")))),"")</f>
        <v>Nella Media</v>
      </c>
      <c r="Q457" s="26" t="str">
        <f>IF(AND($D457="",$N457&gt;1),SUMPRODUCT(($D$2:$D457="")*($N$2:$N457&gt;1)),"")</f>
        <v/>
      </c>
      <c r="R457" s="26" t="str">
        <f>IF($D457='Info Lega'!$B$28,COUNTIFS($D$2:$D457,'Info Lega'!$B$28),"")</f>
        <v/>
      </c>
      <c r="S457" s="27" t="str">
        <f>IFERROR(INDEX('Input Statistiche 2025_26'!$G$3:$G$665,MATCH($A457,'Input Statistiche 2025_26'!$A$3:$A$665,0)),"")</f>
        <v/>
      </c>
      <c r="T457" s="27" t="str">
        <f>IFERROR(INDEX('Input Statistiche 2025_26'!$H$3:$H$665,MATCH($A457,'Input Statistiche 2025_26'!$A$3:$A$665,0)),"")</f>
        <v/>
      </c>
      <c r="U457" s="23" t="str">
        <f>IF(OR('La Mia Rosa'!$O$12="",$D457&lt;&gt;""),"",IF($F457&lt;='La Mia Rosa'!$O$12*'Parametri Modello'!$B$24,"OK",IF($F457&lt;='La Mia Rosa'!$O$12*'Parametri Modello'!$B$25,"Attenzione","Rischio Alto")))</f>
        <v>OK</v>
      </c>
      <c r="V457" s="23">
        <f t="shared" si="64"/>
        <v>26</v>
      </c>
      <c r="W457" s="18">
        <f>'Info Lega'!$B$4-SUMIFS($M$2:$M$492,$D$2:$D$492,'Info Lega'!$B$28)</f>
        <v>1000</v>
      </c>
      <c r="X457" s="18">
        <f>('Info Lega'!$B$5-COUNTIFS($D$2:$D$492,'Info Lega'!$B$28,$B$2:$B$492,"P"))+('Info Lega'!$B$6-COUNTIFS($D$2:$D$492,'Info Lega'!$B$28,$B$2:$B$492,"D"))+('Info Lega'!$B$7-COUNTIFS($D$2:$D$492,'Info Lega'!$B$28,$B$2:$B$492,"C"))+('Info Lega'!$B$8-COUNTIFS($D$2:$D$492,'Info Lega'!$B$28,$B$2:$B$492,"A"))</f>
        <v>25</v>
      </c>
      <c r="Y457" s="18">
        <f>X457*'Parametri Modello'!$B$30</f>
        <v>25</v>
      </c>
      <c r="Z457" s="18">
        <f t="shared" si="65"/>
        <v>975</v>
      </c>
      <c r="AA457" s="18">
        <f t="shared" si="66"/>
        <v>0</v>
      </c>
      <c r="AB457" s="18"/>
      <c r="AC457" s="18" t="str">
        <f>IF($AB457="","",IF($AB457&gt;$AA457,"PASS",IF($AB457&lt;=$AA457*(1-'Parametri Modello'!$B$68),"BID","ATTENZIONE")))</f>
        <v/>
      </c>
      <c r="AD457" s="28" t="str">
        <f t="shared" si="67"/>
        <v/>
      </c>
      <c r="AE457" s="5" t="str">
        <f>IFERROR(INDEX('Stato Asta'!$G$9:$G$12,MATCH($B457,'Stato Asta'!$A$9:$A$12,0)),"")</f>
        <v>🔴 Non aspettare</v>
      </c>
      <c r="AF457" t="str">
        <f>IFERROR(IF($V457&lt;=INDEX('Parametri Modello'!$C$57:$C$60,MATCH($B457,'Parametri Modello'!$A$57:$A$60,0)),"Titolare","Riserva"),"")</f>
        <v>Riserva</v>
      </c>
      <c r="AG457" t="str">
        <f>IFERROR(INDEX('Pressione Competitiva'!$F$3:$F$6,MATCH($B457,'Pressione Competitiva'!$B$3:$B$6,0)),"")</f>
        <v>🔴 Molto Alta</v>
      </c>
      <c r="AH457" t="str">
        <f t="shared" si="68"/>
        <v/>
      </c>
      <c r="AI457" t="str">
        <f>IFERROR(IF($AH457="","",IF($AH457&gt;=$AA457*'Parametri Modello'!$B$68,"🟢 Opportunita'",IF($AH457&lt;=$AA457*'Parametri Modello'!$B$69,"🔴 Sovrapprezzo","🟡 Prezzo Corretto"))),"")</f>
        <v/>
      </c>
      <c r="AJ457" t="str">
        <f t="shared" si="69"/>
        <v/>
      </c>
      <c r="AK457" t="str">
        <f t="shared" si="70"/>
        <v/>
      </c>
      <c r="AL457" t="str">
        <f t="shared" si="71"/>
        <v/>
      </c>
    </row>
    <row r="458" spans="1:38" ht="14.25" customHeight="1" x14ac:dyDescent="0.25">
      <c r="A458" s="18">
        <v>6523</v>
      </c>
      <c r="B458" s="18" t="s">
        <v>15</v>
      </c>
      <c r="C458" s="18" t="s">
        <v>597</v>
      </c>
      <c r="E458" s="23" t="str">
        <f>IF(COUNTIF('Info Strategia'!$D$2:$D$51,$C458)&gt;0,"SI","NO")</f>
        <v>NO</v>
      </c>
      <c r="F458" s="24">
        <f>IFERROR(ROUND(($G458+($H458-$G458)*'Info Strategia'!$B$6)*(1+IF($E458="SI",'Parametri Modello'!$B$7*'Info Strategia'!$B$6,0)),0),"")</f>
        <v>0</v>
      </c>
      <c r="G458" s="24">
        <f>IFERROR(ROUND(MAX(1,(IF($V458&lt;=INDEX('Parametri Modello'!$C$57:$C$60,MATCH($B458,'Parametri Modello'!$A$57:$A$60,0)),IF(INDEX('Parametri Modello'!$E$57:$E$60,MATCH($B458,'Parametri Modello'!$A$57:$A$60,0))=0,0,($O458/INDEX('Parametri Modello'!$E$57:$E$60,MATCH($B458,'Parametri Modello'!$A$57:$A$60,0)))*(INDEX('Parametri Modello'!$D$57:$D$60,MATCH($B458,'Parametri Modello'!$A$57:$A$60,0))*(INDEX('Parametri Modello'!$B$50:$B$53,MATCH($B458,'Parametri Modello'!$A$50:$A$53,0))*'Parametri Modello'!$B$44))),IF(INDEX('Parametri Modello'!$F$57:$F$60,MATCH($B458,'Parametri Modello'!$A$57:$A$60,0))=0,0,($O458/INDEX('Parametri Modello'!$F$57:$F$60,MATCH($B458,'Parametri Modello'!$A$57:$A$60,0)))*((1-INDEX('Parametri Modello'!$D$57:$D$60,MATCH($B458,'Parametri Modello'!$A$57:$A$60,0)))*(INDEX('Parametri Modello'!$B$50:$B$53,MATCH($B458,'Parametri Modello'!$A$50:$A$53,0))*'Parametri Modello'!$B$44))))*(1+IF(IF($B458="D",'Info Lega'!$B$25,IF($B458="C",'Info Lega'!$B$26,"No"))="Si",'Parametri Modello'!$B$5,0))*(1+MAX(-0.25,MIN(0.25,IF(OR($T458="",$I458="",$I458=0,INDEX('Parametri Modello'!$B$19:$B$22,MATCH($B458,'Parametri Modello'!$A$19:$A$22,0))="",INDEX('Parametri Modello'!$B$19:$B$22,MATCH($B458,'Parametri Modello'!$A$19:$A$22,0))=0),0,(($T458-INDEX('Parametri Modello'!$B$19:$B$22,MATCH($B458,'Parametri Modello'!$A$19:$A$22,0)))/INDEX('Parametri Modello'!$B$19:$B$22,MATCH($B458,'Parametri Modello'!$A$19:$A$22,0)))*'Parametri Modello'!$B$9))))*(1+IF('Parametri Modello'!$B$27="Si",MAX(-'Parametri Modello'!$B$28,MIN('Parametri Modello'!$B$28*1.5,IF(OR(INDEX('Parametri Modello'!$F$32:$F$35,MATCH($B458,'Parametri Modello'!$A$32:$A$35,0))="",INDEX('Parametri Modello'!$F$32:$F$35,MATCH($B458,'Parametri Modello'!$A$32:$A$35,0))=0),0,(1/INDEX('Parametri Modello'!$F$32:$F$35,MATCH($B458,'Parametri Modello'!$A$32:$A$35,0))-1)*'Parametri Modello'!$B$28))),0)))*(1-INDEX('Parametri Modello'!$B$12:$B$15,MATCH($B458,'Parametri Modello'!$A$12:$A$15,0)))),0),"")</f>
        <v>1</v>
      </c>
      <c r="H458" s="24">
        <f>IFERROR(ROUND((IF($V458&lt;=INDEX('Parametri Modello'!$C$57:$C$60,MATCH($B458,'Parametri Modello'!$A$57:$A$60,0)),IF(INDEX('Parametri Modello'!$E$57:$E$60,MATCH($B458,'Parametri Modello'!$A$57:$A$60,0))=0,0,($O458/INDEX('Parametri Modello'!$E$57:$E$60,MATCH($B458,'Parametri Modello'!$A$57:$A$60,0)))*(INDEX('Parametri Modello'!$D$57:$D$60,MATCH($B458,'Parametri Modello'!$A$57:$A$60,0))*(INDEX('Parametri Modello'!$B$50:$B$53,MATCH($B458,'Parametri Modello'!$A$50:$A$53,0))*'Parametri Modello'!$B$44))),IF(INDEX('Parametri Modello'!$F$57:$F$60,MATCH($B458,'Parametri Modello'!$A$57:$A$60,0))=0,0,($O458/INDEX('Parametri Modello'!$F$57:$F$60,MATCH($B458,'Parametri Modello'!$A$57:$A$60,0)))*((1-INDEX('Parametri Modello'!$D$57:$D$60,MATCH($B458,'Parametri Modello'!$A$57:$A$60,0)))*(INDEX('Parametri Modello'!$B$50:$B$53,MATCH($B458,'Parametri Modello'!$A$50:$A$53,0))*'Parametri Modello'!$B$44))))*(1+IF(IF($B458="D",'Info Lega'!$B$25,IF($B458="C",'Info Lega'!$B$26,"No"))="Si",'Parametri Modello'!$B$5,0))*(1+MAX(-0.25,MIN(0.25,IF(OR($T458="",$I458="",$I458=0,INDEX('Parametri Modello'!$B$19:$B$22,MATCH($B458,'Parametri Modello'!$A$19:$A$22,0))="",INDEX('Parametri Modello'!$B$19:$B$22,MATCH($B458,'Parametri Modello'!$A$19:$A$22,0))=0),0,(($T458-INDEX('Parametri Modello'!$B$19:$B$22,MATCH($B458,'Parametri Modello'!$A$19:$A$22,0)))/INDEX('Parametri Modello'!$B$19:$B$22,MATCH($B458,'Parametri Modello'!$A$19:$A$22,0)))*'Parametri Modello'!$B$9))))*(1+IF('Parametri Modello'!$B$27="Si",MAX(-'Parametri Modello'!$B$28,MIN('Parametri Modello'!$B$28*1.5,IF(OR(INDEX('Parametri Modello'!$F$32:$F$35,MATCH($B458,'Parametri Modello'!$A$32:$A$35,0))="",INDEX('Parametri Modello'!$F$32:$F$35,MATCH($B458,'Parametri Modello'!$A$32:$A$35,0))=0),0,(1/INDEX('Parametri Modello'!$F$32:$F$35,MATCH($B458,'Parametri Modello'!$A$32:$A$35,0))-1)*'Parametri Modello'!$B$28))),0)))*(1+INDEX('Parametri Modello'!$B$12:$B$15,MATCH($B458,'Parametri Modello'!$A$12:$A$15,0))),0),"")</f>
        <v>0</v>
      </c>
      <c r="I458" s="23">
        <f>IFERROR(INDEX('Input Statistiche 2025_26'!$F$3:$F$665,MATCH($A458,'Input Statistiche 2025_26'!$A$3:$A$665,0)),"")</f>
        <v>0</v>
      </c>
      <c r="J458" s="23">
        <f t="shared" si="63"/>
        <v>38</v>
      </c>
      <c r="K458" s="23">
        <f>IFERROR(INDEX('Input Statistiche 2025_26'!$I$3:$I$665,MATCH($A458,'Input Statistiche 2025_26'!$A$3:$A$665,0)),"")</f>
        <v>0</v>
      </c>
      <c r="L458" s="23">
        <f>IFERROR(INDEX('Input Statistiche 2025_26'!$O$3:$O$665,MATCH($A458,'Input Statistiche 2025_26'!$A$3:$A$665,0)),"")</f>
        <v>0</v>
      </c>
      <c r="M458" s="25"/>
      <c r="N458" s="24">
        <f>IFERROR(INDEX('Input Giocatori 2026_27'!$E$3:$E$493,MATCH($A458,'Input Giocatori 2026_27'!$A$3:$A$493,0)),"")</f>
        <v>1</v>
      </c>
      <c r="O458" s="24">
        <f>IFERROR(INDEX('Input Giocatori 2026_27'!$G$3:$G$493,MATCH($A458,'Input Giocatori 2026_27'!$A$3:$A$493,0)),"")</f>
        <v>1</v>
      </c>
      <c r="P458" s="23" t="str">
        <f>IFERROR(IF($O458="","",IF((1-(COUNTIFS($B$2:$B$492,$B458,$O$2:$O$492,"&gt;"&amp;$O458)+1-1)/COUNTIF($B$2:$B$492,$B458))&gt;='Parametri Modello'!$B$63,"Top",IF((1-(COUNTIFS($B$2:$B$492,$B458,$O$2:$O$492,"&gt;"&amp;$O458)+1-1)/COUNTIF($B$2:$B$492,$B458))&gt;='Parametri Modello'!$B$64,"Buono",IF((1-(COUNTIFS($B$2:$B$492,$B458,$O$2:$O$492,"&gt;"&amp;$O458)+1-1)/COUNTIF($B$2:$B$492,$B458))&gt;='Parametri Modello'!$B$65,"Nella Media","Scommessa/Riserva")))),"")</f>
        <v>Nella Media</v>
      </c>
      <c r="Q458" s="26" t="str">
        <f>IF(AND($D458="",$N458&gt;1),SUMPRODUCT(($D$2:$D458="")*($N$2:$N458&gt;1)),"")</f>
        <v/>
      </c>
      <c r="R458" s="26" t="str">
        <f>IF($D458='Info Lega'!$B$28,COUNTIFS($D$2:$D458,'Info Lega'!$B$28),"")</f>
        <v/>
      </c>
      <c r="S458" s="27">
        <f>IFERROR(INDEX('Input Statistiche 2025_26'!$G$3:$G$665,MATCH($A458,'Input Statistiche 2025_26'!$A$3:$A$665,0)),"")</f>
        <v>0</v>
      </c>
      <c r="T458" s="27">
        <f>IFERROR(INDEX('Input Statistiche 2025_26'!$H$3:$H$665,MATCH($A458,'Input Statistiche 2025_26'!$A$3:$A$665,0)),"")</f>
        <v>0</v>
      </c>
      <c r="U458" s="23" t="str">
        <f>IF(OR('La Mia Rosa'!$O$12="",$D458&lt;&gt;""),"",IF($F458&lt;='La Mia Rosa'!$O$12*'Parametri Modello'!$B$24,"OK",IF($F458&lt;='La Mia Rosa'!$O$12*'Parametri Modello'!$B$25,"Attenzione","Rischio Alto")))</f>
        <v>OK</v>
      </c>
      <c r="V458" s="23">
        <f t="shared" si="64"/>
        <v>26</v>
      </c>
      <c r="W458" s="18">
        <f>'Info Lega'!$B$4-SUMIFS($M$2:$M$492,$D$2:$D$492,'Info Lega'!$B$28)</f>
        <v>1000</v>
      </c>
      <c r="X458" s="18">
        <f>('Info Lega'!$B$5-COUNTIFS($D$2:$D$492,'Info Lega'!$B$28,$B$2:$B$492,"P"))+('Info Lega'!$B$6-COUNTIFS($D$2:$D$492,'Info Lega'!$B$28,$B$2:$B$492,"D"))+('Info Lega'!$B$7-COUNTIFS($D$2:$D$492,'Info Lega'!$B$28,$B$2:$B$492,"C"))+('Info Lega'!$B$8-COUNTIFS($D$2:$D$492,'Info Lega'!$B$28,$B$2:$B$492,"A"))</f>
        <v>25</v>
      </c>
      <c r="Y458" s="18">
        <f>X458*'Parametri Modello'!$B$30</f>
        <v>25</v>
      </c>
      <c r="Z458" s="18">
        <f t="shared" si="65"/>
        <v>975</v>
      </c>
      <c r="AA458" s="18">
        <f t="shared" si="66"/>
        <v>0</v>
      </c>
      <c r="AB458" s="18"/>
      <c r="AC458" s="18" t="str">
        <f>IF($AB458="","",IF($AB458&gt;$AA458,"PASS",IF($AB458&lt;=$AA458*(1-'Parametri Modello'!$B$68),"BID","ATTENZIONE")))</f>
        <v/>
      </c>
      <c r="AD458" s="28">
        <f t="shared" si="67"/>
        <v>0</v>
      </c>
      <c r="AE458" s="5" t="str">
        <f>IFERROR(INDEX('Stato Asta'!$G$9:$G$12,MATCH($B458,'Stato Asta'!$A$9:$A$12,0)),"")</f>
        <v>🔴 Non aspettare</v>
      </c>
      <c r="AF458" t="str">
        <f>IFERROR(IF($V458&lt;=INDEX('Parametri Modello'!$C$57:$C$60,MATCH($B458,'Parametri Modello'!$A$57:$A$60,0)),"Titolare","Riserva"),"")</f>
        <v>Riserva</v>
      </c>
      <c r="AG458" t="str">
        <f>IFERROR(INDEX('Pressione Competitiva'!$F$3:$F$6,MATCH($B458,'Pressione Competitiva'!$B$3:$B$6,0)),"")</f>
        <v>🔴 Molto Alta</v>
      </c>
      <c r="AH458" t="str">
        <f t="shared" si="68"/>
        <v/>
      </c>
      <c r="AI458" t="str">
        <f>IFERROR(IF($AH458="","",IF($AH458&gt;=$AA458*'Parametri Modello'!$B$68,"🟢 Opportunita'",IF($AH458&lt;=$AA458*'Parametri Modello'!$B$69,"🔴 Sovrapprezzo","🟡 Prezzo Corretto"))),"")</f>
        <v/>
      </c>
      <c r="AJ458" t="str">
        <f t="shared" si="69"/>
        <v/>
      </c>
      <c r="AK458" t="str">
        <f t="shared" si="70"/>
        <v/>
      </c>
      <c r="AL458" t="str">
        <f t="shared" si="71"/>
        <v/>
      </c>
    </row>
    <row r="459" spans="1:38" ht="14.25" customHeight="1" x14ac:dyDescent="0.25">
      <c r="A459" s="18">
        <v>2815</v>
      </c>
      <c r="B459" s="18" t="s">
        <v>15</v>
      </c>
      <c r="C459" s="18" t="s">
        <v>598</v>
      </c>
      <c r="E459" s="23" t="str">
        <f>IF(COUNTIF('Info Strategia'!$D$2:$D$51,$C459)&gt;0,"SI","NO")</f>
        <v>NO</v>
      </c>
      <c r="F459" s="24">
        <f>IFERROR(ROUND(($G459+($H459-$G459)*'Info Strategia'!$B$6)*(1+IF($E459="SI",'Parametri Modello'!$B$7*'Info Strategia'!$B$6,0)),0),"")</f>
        <v>0</v>
      </c>
      <c r="G459" s="24">
        <f>IFERROR(ROUND(MAX(1,(IF($V459&lt;=INDEX('Parametri Modello'!$C$57:$C$60,MATCH($B459,'Parametri Modello'!$A$57:$A$60,0)),IF(INDEX('Parametri Modello'!$E$57:$E$60,MATCH($B459,'Parametri Modello'!$A$57:$A$60,0))=0,0,($O459/INDEX('Parametri Modello'!$E$57:$E$60,MATCH($B459,'Parametri Modello'!$A$57:$A$60,0)))*(INDEX('Parametri Modello'!$D$57:$D$60,MATCH($B459,'Parametri Modello'!$A$57:$A$60,0))*(INDEX('Parametri Modello'!$B$50:$B$53,MATCH($B459,'Parametri Modello'!$A$50:$A$53,0))*'Parametri Modello'!$B$44))),IF(INDEX('Parametri Modello'!$F$57:$F$60,MATCH($B459,'Parametri Modello'!$A$57:$A$60,0))=0,0,($O459/INDEX('Parametri Modello'!$F$57:$F$60,MATCH($B459,'Parametri Modello'!$A$57:$A$60,0)))*((1-INDEX('Parametri Modello'!$D$57:$D$60,MATCH($B459,'Parametri Modello'!$A$57:$A$60,0)))*(INDEX('Parametri Modello'!$B$50:$B$53,MATCH($B459,'Parametri Modello'!$A$50:$A$53,0))*'Parametri Modello'!$B$44))))*(1+IF(IF($B459="D",'Info Lega'!$B$25,IF($B459="C",'Info Lega'!$B$26,"No"))="Si",'Parametri Modello'!$B$5,0))*(1+MAX(-0.25,MIN(0.25,IF(OR($T459="",$I459="",$I459=0,INDEX('Parametri Modello'!$B$19:$B$22,MATCH($B459,'Parametri Modello'!$A$19:$A$22,0))="",INDEX('Parametri Modello'!$B$19:$B$22,MATCH($B459,'Parametri Modello'!$A$19:$A$22,0))=0),0,(($T459-INDEX('Parametri Modello'!$B$19:$B$22,MATCH($B459,'Parametri Modello'!$A$19:$A$22,0)))/INDEX('Parametri Modello'!$B$19:$B$22,MATCH($B459,'Parametri Modello'!$A$19:$A$22,0)))*'Parametri Modello'!$B$9))))*(1+IF('Parametri Modello'!$B$27="Si",MAX(-'Parametri Modello'!$B$28,MIN('Parametri Modello'!$B$28*1.5,IF(OR(INDEX('Parametri Modello'!$F$32:$F$35,MATCH($B459,'Parametri Modello'!$A$32:$A$35,0))="",INDEX('Parametri Modello'!$F$32:$F$35,MATCH($B459,'Parametri Modello'!$A$32:$A$35,0))=0),0,(1/INDEX('Parametri Modello'!$F$32:$F$35,MATCH($B459,'Parametri Modello'!$A$32:$A$35,0))-1)*'Parametri Modello'!$B$28))),0)))*(1-INDEX('Parametri Modello'!$B$12:$B$15,MATCH($B459,'Parametri Modello'!$A$12:$A$15,0)))),0),"")</f>
        <v>1</v>
      </c>
      <c r="H459" s="24">
        <f>IFERROR(ROUND((IF($V459&lt;=INDEX('Parametri Modello'!$C$57:$C$60,MATCH($B459,'Parametri Modello'!$A$57:$A$60,0)),IF(INDEX('Parametri Modello'!$E$57:$E$60,MATCH($B459,'Parametri Modello'!$A$57:$A$60,0))=0,0,($O459/INDEX('Parametri Modello'!$E$57:$E$60,MATCH($B459,'Parametri Modello'!$A$57:$A$60,0)))*(INDEX('Parametri Modello'!$D$57:$D$60,MATCH($B459,'Parametri Modello'!$A$57:$A$60,0))*(INDEX('Parametri Modello'!$B$50:$B$53,MATCH($B459,'Parametri Modello'!$A$50:$A$53,0))*'Parametri Modello'!$B$44))),IF(INDEX('Parametri Modello'!$F$57:$F$60,MATCH($B459,'Parametri Modello'!$A$57:$A$60,0))=0,0,($O459/INDEX('Parametri Modello'!$F$57:$F$60,MATCH($B459,'Parametri Modello'!$A$57:$A$60,0)))*((1-INDEX('Parametri Modello'!$D$57:$D$60,MATCH($B459,'Parametri Modello'!$A$57:$A$60,0)))*(INDEX('Parametri Modello'!$B$50:$B$53,MATCH($B459,'Parametri Modello'!$A$50:$A$53,0))*'Parametri Modello'!$B$44))))*(1+IF(IF($B459="D",'Info Lega'!$B$25,IF($B459="C",'Info Lega'!$B$26,"No"))="Si",'Parametri Modello'!$B$5,0))*(1+MAX(-0.25,MIN(0.25,IF(OR($T459="",$I459="",$I459=0,INDEX('Parametri Modello'!$B$19:$B$22,MATCH($B459,'Parametri Modello'!$A$19:$A$22,0))="",INDEX('Parametri Modello'!$B$19:$B$22,MATCH($B459,'Parametri Modello'!$A$19:$A$22,0))=0),0,(($T459-INDEX('Parametri Modello'!$B$19:$B$22,MATCH($B459,'Parametri Modello'!$A$19:$A$22,0)))/INDEX('Parametri Modello'!$B$19:$B$22,MATCH($B459,'Parametri Modello'!$A$19:$A$22,0)))*'Parametri Modello'!$B$9))))*(1+IF('Parametri Modello'!$B$27="Si",MAX(-'Parametri Modello'!$B$28,MIN('Parametri Modello'!$B$28*1.5,IF(OR(INDEX('Parametri Modello'!$F$32:$F$35,MATCH($B459,'Parametri Modello'!$A$32:$A$35,0))="",INDEX('Parametri Modello'!$F$32:$F$35,MATCH($B459,'Parametri Modello'!$A$32:$A$35,0))=0),0,(1/INDEX('Parametri Modello'!$F$32:$F$35,MATCH($B459,'Parametri Modello'!$A$32:$A$35,0))-1)*'Parametri Modello'!$B$28))),0)))*(1+INDEX('Parametri Modello'!$B$12:$B$15,MATCH($B459,'Parametri Modello'!$A$12:$A$15,0))),0),"")</f>
        <v>0</v>
      </c>
      <c r="I459" s="23">
        <f>IFERROR(INDEX('Input Statistiche 2025_26'!$F$3:$F$665,MATCH($A459,'Input Statistiche 2025_26'!$A$3:$A$665,0)),"")</f>
        <v>2</v>
      </c>
      <c r="J459" s="23">
        <f t="shared" si="63"/>
        <v>36</v>
      </c>
      <c r="K459" s="23">
        <f>IFERROR(INDEX('Input Statistiche 2025_26'!$I$3:$I$665,MATCH($A459,'Input Statistiche 2025_26'!$A$3:$A$665,0)),"")</f>
        <v>0</v>
      </c>
      <c r="L459" s="23">
        <f>IFERROR(INDEX('Input Statistiche 2025_26'!$O$3:$O$665,MATCH($A459,'Input Statistiche 2025_26'!$A$3:$A$665,0)),"")</f>
        <v>0</v>
      </c>
      <c r="M459" s="25"/>
      <c r="N459" s="24">
        <f>IFERROR(INDEX('Input Giocatori 2026_27'!$E$3:$E$493,MATCH($A459,'Input Giocatori 2026_27'!$A$3:$A$493,0)),"")</f>
        <v>1</v>
      </c>
      <c r="O459" s="24">
        <f>IFERROR(INDEX('Input Giocatori 2026_27'!$G$3:$G$493,MATCH($A459,'Input Giocatori 2026_27'!$A$3:$A$493,0)),"")</f>
        <v>1</v>
      </c>
      <c r="P459" s="23" t="str">
        <f>IFERROR(IF($O459="","",IF((1-(COUNTIFS($B$2:$B$492,$B459,$O$2:$O$492,"&gt;"&amp;$O459)+1-1)/COUNTIF($B$2:$B$492,$B459))&gt;='Parametri Modello'!$B$63,"Top",IF((1-(COUNTIFS($B$2:$B$492,$B459,$O$2:$O$492,"&gt;"&amp;$O459)+1-1)/COUNTIF($B$2:$B$492,$B459))&gt;='Parametri Modello'!$B$64,"Buono",IF((1-(COUNTIFS($B$2:$B$492,$B459,$O$2:$O$492,"&gt;"&amp;$O459)+1-1)/COUNTIF($B$2:$B$492,$B459))&gt;='Parametri Modello'!$B$65,"Nella Media","Scommessa/Riserva")))),"")</f>
        <v>Nella Media</v>
      </c>
      <c r="Q459" s="26" t="str">
        <f>IF(AND($D459="",$N459&gt;1),SUMPRODUCT(($D$2:$D459="")*($N$2:$N459&gt;1)),"")</f>
        <v/>
      </c>
      <c r="R459" s="26" t="str">
        <f>IF($D459='Info Lega'!$B$28,COUNTIFS($D$2:$D459,'Info Lega'!$B$28),"")</f>
        <v/>
      </c>
      <c r="S459" s="27">
        <f>IFERROR(INDEX('Input Statistiche 2025_26'!$G$3:$G$665,MATCH($A459,'Input Statistiche 2025_26'!$A$3:$A$665,0)),"")</f>
        <v>6</v>
      </c>
      <c r="T459" s="27">
        <f>IFERROR(INDEX('Input Statistiche 2025_26'!$H$3:$H$665,MATCH($A459,'Input Statistiche 2025_26'!$A$3:$A$665,0)),"")</f>
        <v>6</v>
      </c>
      <c r="U459" s="23" t="str">
        <f>IF(OR('La Mia Rosa'!$O$12="",$D459&lt;&gt;""),"",IF($F459&lt;='La Mia Rosa'!$O$12*'Parametri Modello'!$B$24,"OK",IF($F459&lt;='La Mia Rosa'!$O$12*'Parametri Modello'!$B$25,"Attenzione","Rischio Alto")))</f>
        <v>OK</v>
      </c>
      <c r="V459" s="23">
        <f t="shared" si="64"/>
        <v>26</v>
      </c>
      <c r="W459" s="18">
        <f>'Info Lega'!$B$4-SUMIFS($M$2:$M$492,$D$2:$D$492,'Info Lega'!$B$28)</f>
        <v>1000</v>
      </c>
      <c r="X459" s="18">
        <f>('Info Lega'!$B$5-COUNTIFS($D$2:$D$492,'Info Lega'!$B$28,$B$2:$B$492,"P"))+('Info Lega'!$B$6-COUNTIFS($D$2:$D$492,'Info Lega'!$B$28,$B$2:$B$492,"D"))+('Info Lega'!$B$7-COUNTIFS($D$2:$D$492,'Info Lega'!$B$28,$B$2:$B$492,"C"))+('Info Lega'!$B$8-COUNTIFS($D$2:$D$492,'Info Lega'!$B$28,$B$2:$B$492,"A"))</f>
        <v>25</v>
      </c>
      <c r="Y459" s="18">
        <f>X459*'Parametri Modello'!$B$30</f>
        <v>25</v>
      </c>
      <c r="Z459" s="18">
        <f t="shared" si="65"/>
        <v>975</v>
      </c>
      <c r="AA459" s="18">
        <f t="shared" si="66"/>
        <v>0</v>
      </c>
      <c r="AB459" s="18"/>
      <c r="AC459" s="18" t="str">
        <f>IF($AB459="","",IF($AB459&gt;$AA459,"PASS",IF($AB459&lt;=$AA459*(1-'Parametri Modello'!$B$68),"BID","ATTENZIONE")))</f>
        <v/>
      </c>
      <c r="AD459" s="28">
        <f t="shared" si="67"/>
        <v>6</v>
      </c>
      <c r="AE459" s="5" t="str">
        <f>IFERROR(INDEX('Stato Asta'!$G$9:$G$12,MATCH($B459,'Stato Asta'!$A$9:$A$12,0)),"")</f>
        <v>🔴 Non aspettare</v>
      </c>
      <c r="AF459" t="str">
        <f>IFERROR(IF($V459&lt;=INDEX('Parametri Modello'!$C$57:$C$60,MATCH($B459,'Parametri Modello'!$A$57:$A$60,0)),"Titolare","Riserva"),"")</f>
        <v>Riserva</v>
      </c>
      <c r="AG459" t="str">
        <f>IFERROR(INDEX('Pressione Competitiva'!$F$3:$F$6,MATCH($B459,'Pressione Competitiva'!$B$3:$B$6,0)),"")</f>
        <v>🔴 Molto Alta</v>
      </c>
      <c r="AH459" t="str">
        <f t="shared" si="68"/>
        <v/>
      </c>
      <c r="AI459" t="str">
        <f>IFERROR(IF($AH459="","",IF($AH459&gt;=$AA459*'Parametri Modello'!$B$68,"🟢 Opportunita'",IF($AH459&lt;=$AA459*'Parametri Modello'!$B$69,"🔴 Sovrapprezzo","🟡 Prezzo Corretto"))),"")</f>
        <v/>
      </c>
      <c r="AJ459" t="str">
        <f t="shared" si="69"/>
        <v/>
      </c>
      <c r="AK459" t="str">
        <f t="shared" si="70"/>
        <v/>
      </c>
      <c r="AL459" t="str">
        <f t="shared" si="71"/>
        <v/>
      </c>
    </row>
    <row r="460" spans="1:38" ht="14.25" customHeight="1" x14ac:dyDescent="0.25">
      <c r="A460" s="18">
        <v>6813</v>
      </c>
      <c r="B460" s="18" t="s">
        <v>15</v>
      </c>
      <c r="C460" s="18" t="s">
        <v>599</v>
      </c>
      <c r="E460" s="23" t="str">
        <f>IF(COUNTIF('Info Strategia'!$D$2:$D$51,$C460)&gt;0,"SI","NO")</f>
        <v>NO</v>
      </c>
      <c r="F460" s="24">
        <f>IFERROR(ROUND(($G460+($H460-$G460)*'Info Strategia'!$B$6)*(1+IF($E460="SI",'Parametri Modello'!$B$7*'Info Strategia'!$B$6,0)),0),"")</f>
        <v>0</v>
      </c>
      <c r="G460" s="24">
        <f>IFERROR(ROUND(MAX(1,(IF($V460&lt;=INDEX('Parametri Modello'!$C$57:$C$60,MATCH($B460,'Parametri Modello'!$A$57:$A$60,0)),IF(INDEX('Parametri Modello'!$E$57:$E$60,MATCH($B460,'Parametri Modello'!$A$57:$A$60,0))=0,0,($O460/INDEX('Parametri Modello'!$E$57:$E$60,MATCH($B460,'Parametri Modello'!$A$57:$A$60,0)))*(INDEX('Parametri Modello'!$D$57:$D$60,MATCH($B460,'Parametri Modello'!$A$57:$A$60,0))*(INDEX('Parametri Modello'!$B$50:$B$53,MATCH($B460,'Parametri Modello'!$A$50:$A$53,0))*'Parametri Modello'!$B$44))),IF(INDEX('Parametri Modello'!$F$57:$F$60,MATCH($B460,'Parametri Modello'!$A$57:$A$60,0))=0,0,($O460/INDEX('Parametri Modello'!$F$57:$F$60,MATCH($B460,'Parametri Modello'!$A$57:$A$60,0)))*((1-INDEX('Parametri Modello'!$D$57:$D$60,MATCH($B460,'Parametri Modello'!$A$57:$A$60,0)))*(INDEX('Parametri Modello'!$B$50:$B$53,MATCH($B460,'Parametri Modello'!$A$50:$A$53,0))*'Parametri Modello'!$B$44))))*(1+IF(IF($B460="D",'Info Lega'!$B$25,IF($B460="C",'Info Lega'!$B$26,"No"))="Si",'Parametri Modello'!$B$5,0))*(1+MAX(-0.25,MIN(0.25,IF(OR($T460="",$I460="",$I460=0,INDEX('Parametri Modello'!$B$19:$B$22,MATCH($B460,'Parametri Modello'!$A$19:$A$22,0))="",INDEX('Parametri Modello'!$B$19:$B$22,MATCH($B460,'Parametri Modello'!$A$19:$A$22,0))=0),0,(($T460-INDEX('Parametri Modello'!$B$19:$B$22,MATCH($B460,'Parametri Modello'!$A$19:$A$22,0)))/INDEX('Parametri Modello'!$B$19:$B$22,MATCH($B460,'Parametri Modello'!$A$19:$A$22,0)))*'Parametri Modello'!$B$9))))*(1+IF('Parametri Modello'!$B$27="Si",MAX(-'Parametri Modello'!$B$28,MIN('Parametri Modello'!$B$28*1.5,IF(OR(INDEX('Parametri Modello'!$F$32:$F$35,MATCH($B460,'Parametri Modello'!$A$32:$A$35,0))="",INDEX('Parametri Modello'!$F$32:$F$35,MATCH($B460,'Parametri Modello'!$A$32:$A$35,0))=0),0,(1/INDEX('Parametri Modello'!$F$32:$F$35,MATCH($B460,'Parametri Modello'!$A$32:$A$35,0))-1)*'Parametri Modello'!$B$28))),0)))*(1-INDEX('Parametri Modello'!$B$12:$B$15,MATCH($B460,'Parametri Modello'!$A$12:$A$15,0)))),0),"")</f>
        <v>1</v>
      </c>
      <c r="H460" s="24">
        <f>IFERROR(ROUND((IF($V460&lt;=INDEX('Parametri Modello'!$C$57:$C$60,MATCH($B460,'Parametri Modello'!$A$57:$A$60,0)),IF(INDEX('Parametri Modello'!$E$57:$E$60,MATCH($B460,'Parametri Modello'!$A$57:$A$60,0))=0,0,($O460/INDEX('Parametri Modello'!$E$57:$E$60,MATCH($B460,'Parametri Modello'!$A$57:$A$60,0)))*(INDEX('Parametri Modello'!$D$57:$D$60,MATCH($B460,'Parametri Modello'!$A$57:$A$60,0))*(INDEX('Parametri Modello'!$B$50:$B$53,MATCH($B460,'Parametri Modello'!$A$50:$A$53,0))*'Parametri Modello'!$B$44))),IF(INDEX('Parametri Modello'!$F$57:$F$60,MATCH($B460,'Parametri Modello'!$A$57:$A$60,0))=0,0,($O460/INDEX('Parametri Modello'!$F$57:$F$60,MATCH($B460,'Parametri Modello'!$A$57:$A$60,0)))*((1-INDEX('Parametri Modello'!$D$57:$D$60,MATCH($B460,'Parametri Modello'!$A$57:$A$60,0)))*(INDEX('Parametri Modello'!$B$50:$B$53,MATCH($B460,'Parametri Modello'!$A$50:$A$53,0))*'Parametri Modello'!$B$44))))*(1+IF(IF($B460="D",'Info Lega'!$B$25,IF($B460="C",'Info Lega'!$B$26,"No"))="Si",'Parametri Modello'!$B$5,0))*(1+MAX(-0.25,MIN(0.25,IF(OR($T460="",$I460="",$I460=0,INDEX('Parametri Modello'!$B$19:$B$22,MATCH($B460,'Parametri Modello'!$A$19:$A$22,0))="",INDEX('Parametri Modello'!$B$19:$B$22,MATCH($B460,'Parametri Modello'!$A$19:$A$22,0))=0),0,(($T460-INDEX('Parametri Modello'!$B$19:$B$22,MATCH($B460,'Parametri Modello'!$A$19:$A$22,0)))/INDEX('Parametri Modello'!$B$19:$B$22,MATCH($B460,'Parametri Modello'!$A$19:$A$22,0)))*'Parametri Modello'!$B$9))))*(1+IF('Parametri Modello'!$B$27="Si",MAX(-'Parametri Modello'!$B$28,MIN('Parametri Modello'!$B$28*1.5,IF(OR(INDEX('Parametri Modello'!$F$32:$F$35,MATCH($B460,'Parametri Modello'!$A$32:$A$35,0))="",INDEX('Parametri Modello'!$F$32:$F$35,MATCH($B460,'Parametri Modello'!$A$32:$A$35,0))=0),0,(1/INDEX('Parametri Modello'!$F$32:$F$35,MATCH($B460,'Parametri Modello'!$A$32:$A$35,0))-1)*'Parametri Modello'!$B$28))),0)))*(1+INDEX('Parametri Modello'!$B$12:$B$15,MATCH($B460,'Parametri Modello'!$A$12:$A$15,0))),0),"")</f>
        <v>0</v>
      </c>
      <c r="I460" s="23">
        <f>IFERROR(INDEX('Input Statistiche 2025_26'!$F$3:$F$665,MATCH($A460,'Input Statistiche 2025_26'!$A$3:$A$665,0)),"")</f>
        <v>0</v>
      </c>
      <c r="J460" s="23">
        <f t="shared" si="63"/>
        <v>38</v>
      </c>
      <c r="K460" s="23">
        <f>IFERROR(INDEX('Input Statistiche 2025_26'!$I$3:$I$665,MATCH($A460,'Input Statistiche 2025_26'!$A$3:$A$665,0)),"")</f>
        <v>0</v>
      </c>
      <c r="L460" s="23">
        <f>IFERROR(INDEX('Input Statistiche 2025_26'!$O$3:$O$665,MATCH($A460,'Input Statistiche 2025_26'!$A$3:$A$665,0)),"")</f>
        <v>0</v>
      </c>
      <c r="M460" s="25"/>
      <c r="N460" s="24">
        <f>IFERROR(INDEX('Input Giocatori 2026_27'!$E$3:$E$493,MATCH($A460,'Input Giocatori 2026_27'!$A$3:$A$493,0)),"")</f>
        <v>1</v>
      </c>
      <c r="O460" s="24">
        <f>IFERROR(INDEX('Input Giocatori 2026_27'!$G$3:$G$493,MATCH($A460,'Input Giocatori 2026_27'!$A$3:$A$493,0)),"")</f>
        <v>1</v>
      </c>
      <c r="P460" s="23" t="str">
        <f>IFERROR(IF($O460="","",IF((1-(COUNTIFS($B$2:$B$492,$B460,$O$2:$O$492,"&gt;"&amp;$O460)+1-1)/COUNTIF($B$2:$B$492,$B460))&gt;='Parametri Modello'!$B$63,"Top",IF((1-(COUNTIFS($B$2:$B$492,$B460,$O$2:$O$492,"&gt;"&amp;$O460)+1-1)/COUNTIF($B$2:$B$492,$B460))&gt;='Parametri Modello'!$B$64,"Buono",IF((1-(COUNTIFS($B$2:$B$492,$B460,$O$2:$O$492,"&gt;"&amp;$O460)+1-1)/COUNTIF($B$2:$B$492,$B460))&gt;='Parametri Modello'!$B$65,"Nella Media","Scommessa/Riserva")))),"")</f>
        <v>Nella Media</v>
      </c>
      <c r="Q460" s="26" t="str">
        <f>IF(AND($D460="",$N460&gt;1),SUMPRODUCT(($D$2:$D460="")*($N$2:$N460&gt;1)),"")</f>
        <v/>
      </c>
      <c r="R460" s="26" t="str">
        <f>IF($D460='Info Lega'!$B$28,COUNTIFS($D$2:$D460,'Info Lega'!$B$28),"")</f>
        <v/>
      </c>
      <c r="S460" s="27">
        <f>IFERROR(INDEX('Input Statistiche 2025_26'!$G$3:$G$665,MATCH($A460,'Input Statistiche 2025_26'!$A$3:$A$665,0)),"")</f>
        <v>0</v>
      </c>
      <c r="T460" s="27">
        <f>IFERROR(INDEX('Input Statistiche 2025_26'!$H$3:$H$665,MATCH($A460,'Input Statistiche 2025_26'!$A$3:$A$665,0)),"")</f>
        <v>0</v>
      </c>
      <c r="U460" s="23" t="str">
        <f>IF(OR('La Mia Rosa'!$O$12="",$D460&lt;&gt;""),"",IF($F460&lt;='La Mia Rosa'!$O$12*'Parametri Modello'!$B$24,"OK",IF($F460&lt;='La Mia Rosa'!$O$12*'Parametri Modello'!$B$25,"Attenzione","Rischio Alto")))</f>
        <v>OK</v>
      </c>
      <c r="V460" s="23">
        <f t="shared" si="64"/>
        <v>26</v>
      </c>
      <c r="W460" s="18">
        <f>'Info Lega'!$B$4-SUMIFS($M$2:$M$492,$D$2:$D$492,'Info Lega'!$B$28)</f>
        <v>1000</v>
      </c>
      <c r="X460" s="18">
        <f>('Info Lega'!$B$5-COUNTIFS($D$2:$D$492,'Info Lega'!$B$28,$B$2:$B$492,"P"))+('Info Lega'!$B$6-COUNTIFS($D$2:$D$492,'Info Lega'!$B$28,$B$2:$B$492,"D"))+('Info Lega'!$B$7-COUNTIFS($D$2:$D$492,'Info Lega'!$B$28,$B$2:$B$492,"C"))+('Info Lega'!$B$8-COUNTIFS($D$2:$D$492,'Info Lega'!$B$28,$B$2:$B$492,"A"))</f>
        <v>25</v>
      </c>
      <c r="Y460" s="18">
        <f>X460*'Parametri Modello'!$B$30</f>
        <v>25</v>
      </c>
      <c r="Z460" s="18">
        <f t="shared" si="65"/>
        <v>975</v>
      </c>
      <c r="AA460" s="18">
        <f t="shared" si="66"/>
        <v>0</v>
      </c>
      <c r="AB460" s="18"/>
      <c r="AC460" s="18" t="str">
        <f>IF($AB460="","",IF($AB460&gt;$AA460,"PASS",IF($AB460&lt;=$AA460*(1-'Parametri Modello'!$B$68),"BID","ATTENZIONE")))</f>
        <v/>
      </c>
      <c r="AD460" s="28">
        <f t="shared" si="67"/>
        <v>0</v>
      </c>
      <c r="AE460" s="5" t="str">
        <f>IFERROR(INDEX('Stato Asta'!$G$9:$G$12,MATCH($B460,'Stato Asta'!$A$9:$A$12,0)),"")</f>
        <v>🔴 Non aspettare</v>
      </c>
      <c r="AF460" t="str">
        <f>IFERROR(IF($V460&lt;=INDEX('Parametri Modello'!$C$57:$C$60,MATCH($B460,'Parametri Modello'!$A$57:$A$60,0)),"Titolare","Riserva"),"")</f>
        <v>Riserva</v>
      </c>
      <c r="AG460" t="str">
        <f>IFERROR(INDEX('Pressione Competitiva'!$F$3:$F$6,MATCH($B460,'Pressione Competitiva'!$B$3:$B$6,0)),"")</f>
        <v>🔴 Molto Alta</v>
      </c>
      <c r="AH460" t="str">
        <f t="shared" si="68"/>
        <v/>
      </c>
      <c r="AI460" t="str">
        <f>IFERROR(IF($AH460="","",IF($AH460&gt;=$AA460*'Parametri Modello'!$B$68,"🟢 Opportunita'",IF($AH460&lt;=$AA460*'Parametri Modello'!$B$69,"🔴 Sovrapprezzo","🟡 Prezzo Corretto"))),"")</f>
        <v/>
      </c>
      <c r="AJ460" t="str">
        <f t="shared" si="69"/>
        <v/>
      </c>
      <c r="AK460" t="str">
        <f t="shared" si="70"/>
        <v/>
      </c>
      <c r="AL460" t="str">
        <f t="shared" si="71"/>
        <v/>
      </c>
    </row>
    <row r="461" spans="1:38" ht="14.25" customHeight="1" x14ac:dyDescent="0.25">
      <c r="A461" s="18">
        <v>6682</v>
      </c>
      <c r="B461" s="18" t="s">
        <v>15</v>
      </c>
      <c r="C461" s="18" t="s">
        <v>600</v>
      </c>
      <c r="E461" s="23" t="str">
        <f>IF(COUNTIF('Info Strategia'!$D$2:$D$51,$C461)&gt;0,"SI","NO")</f>
        <v>NO</v>
      </c>
      <c r="F461" s="24">
        <f>IFERROR(ROUND(($G461+($H461-$G461)*'Info Strategia'!$B$6)*(1+IF($E461="SI",'Parametri Modello'!$B$7*'Info Strategia'!$B$6,0)),0),"")</f>
        <v>0</v>
      </c>
      <c r="G461" s="24">
        <f>IFERROR(ROUND(MAX(1,(IF($V461&lt;=INDEX('Parametri Modello'!$C$57:$C$60,MATCH($B461,'Parametri Modello'!$A$57:$A$60,0)),IF(INDEX('Parametri Modello'!$E$57:$E$60,MATCH($B461,'Parametri Modello'!$A$57:$A$60,0))=0,0,($O461/INDEX('Parametri Modello'!$E$57:$E$60,MATCH($B461,'Parametri Modello'!$A$57:$A$60,0)))*(INDEX('Parametri Modello'!$D$57:$D$60,MATCH($B461,'Parametri Modello'!$A$57:$A$60,0))*(INDEX('Parametri Modello'!$B$50:$B$53,MATCH($B461,'Parametri Modello'!$A$50:$A$53,0))*'Parametri Modello'!$B$44))),IF(INDEX('Parametri Modello'!$F$57:$F$60,MATCH($B461,'Parametri Modello'!$A$57:$A$60,0))=0,0,($O461/INDEX('Parametri Modello'!$F$57:$F$60,MATCH($B461,'Parametri Modello'!$A$57:$A$60,0)))*((1-INDEX('Parametri Modello'!$D$57:$D$60,MATCH($B461,'Parametri Modello'!$A$57:$A$60,0)))*(INDEX('Parametri Modello'!$B$50:$B$53,MATCH($B461,'Parametri Modello'!$A$50:$A$53,0))*'Parametri Modello'!$B$44))))*(1+IF(IF($B461="D",'Info Lega'!$B$25,IF($B461="C",'Info Lega'!$B$26,"No"))="Si",'Parametri Modello'!$B$5,0))*(1+MAX(-0.25,MIN(0.25,IF(OR($T461="",$I461="",$I461=0,INDEX('Parametri Modello'!$B$19:$B$22,MATCH($B461,'Parametri Modello'!$A$19:$A$22,0))="",INDEX('Parametri Modello'!$B$19:$B$22,MATCH($B461,'Parametri Modello'!$A$19:$A$22,0))=0),0,(($T461-INDEX('Parametri Modello'!$B$19:$B$22,MATCH($B461,'Parametri Modello'!$A$19:$A$22,0)))/INDEX('Parametri Modello'!$B$19:$B$22,MATCH($B461,'Parametri Modello'!$A$19:$A$22,0)))*'Parametri Modello'!$B$9))))*(1+IF('Parametri Modello'!$B$27="Si",MAX(-'Parametri Modello'!$B$28,MIN('Parametri Modello'!$B$28*1.5,IF(OR(INDEX('Parametri Modello'!$F$32:$F$35,MATCH($B461,'Parametri Modello'!$A$32:$A$35,0))="",INDEX('Parametri Modello'!$F$32:$F$35,MATCH($B461,'Parametri Modello'!$A$32:$A$35,0))=0),0,(1/INDEX('Parametri Modello'!$F$32:$F$35,MATCH($B461,'Parametri Modello'!$A$32:$A$35,0))-1)*'Parametri Modello'!$B$28))),0)))*(1-INDEX('Parametri Modello'!$B$12:$B$15,MATCH($B461,'Parametri Modello'!$A$12:$A$15,0)))),0),"")</f>
        <v>1</v>
      </c>
      <c r="H461" s="24">
        <f>IFERROR(ROUND((IF($V461&lt;=INDEX('Parametri Modello'!$C$57:$C$60,MATCH($B461,'Parametri Modello'!$A$57:$A$60,0)),IF(INDEX('Parametri Modello'!$E$57:$E$60,MATCH($B461,'Parametri Modello'!$A$57:$A$60,0))=0,0,($O461/INDEX('Parametri Modello'!$E$57:$E$60,MATCH($B461,'Parametri Modello'!$A$57:$A$60,0)))*(INDEX('Parametri Modello'!$D$57:$D$60,MATCH($B461,'Parametri Modello'!$A$57:$A$60,0))*(INDEX('Parametri Modello'!$B$50:$B$53,MATCH($B461,'Parametri Modello'!$A$50:$A$53,0))*'Parametri Modello'!$B$44))),IF(INDEX('Parametri Modello'!$F$57:$F$60,MATCH($B461,'Parametri Modello'!$A$57:$A$60,0))=0,0,($O461/INDEX('Parametri Modello'!$F$57:$F$60,MATCH($B461,'Parametri Modello'!$A$57:$A$60,0)))*((1-INDEX('Parametri Modello'!$D$57:$D$60,MATCH($B461,'Parametri Modello'!$A$57:$A$60,0)))*(INDEX('Parametri Modello'!$B$50:$B$53,MATCH($B461,'Parametri Modello'!$A$50:$A$53,0))*'Parametri Modello'!$B$44))))*(1+IF(IF($B461="D",'Info Lega'!$B$25,IF($B461="C",'Info Lega'!$B$26,"No"))="Si",'Parametri Modello'!$B$5,0))*(1+MAX(-0.25,MIN(0.25,IF(OR($T461="",$I461="",$I461=0,INDEX('Parametri Modello'!$B$19:$B$22,MATCH($B461,'Parametri Modello'!$A$19:$A$22,0))="",INDEX('Parametri Modello'!$B$19:$B$22,MATCH($B461,'Parametri Modello'!$A$19:$A$22,0))=0),0,(($T461-INDEX('Parametri Modello'!$B$19:$B$22,MATCH($B461,'Parametri Modello'!$A$19:$A$22,0)))/INDEX('Parametri Modello'!$B$19:$B$22,MATCH($B461,'Parametri Modello'!$A$19:$A$22,0)))*'Parametri Modello'!$B$9))))*(1+IF('Parametri Modello'!$B$27="Si",MAX(-'Parametri Modello'!$B$28,MIN('Parametri Modello'!$B$28*1.5,IF(OR(INDEX('Parametri Modello'!$F$32:$F$35,MATCH($B461,'Parametri Modello'!$A$32:$A$35,0))="",INDEX('Parametri Modello'!$F$32:$F$35,MATCH($B461,'Parametri Modello'!$A$32:$A$35,0))=0),0,(1/INDEX('Parametri Modello'!$F$32:$F$35,MATCH($B461,'Parametri Modello'!$A$32:$A$35,0))-1)*'Parametri Modello'!$B$28))),0)))*(1+INDEX('Parametri Modello'!$B$12:$B$15,MATCH($B461,'Parametri Modello'!$A$12:$A$15,0))),0),"")</f>
        <v>0</v>
      </c>
      <c r="I461" s="23" t="str">
        <f>IFERROR(INDEX('Input Statistiche 2025_26'!$F$3:$F$665,MATCH($A461,'Input Statistiche 2025_26'!$A$3:$A$665,0)),"")</f>
        <v/>
      </c>
      <c r="J461" s="23" t="str">
        <f t="shared" si="63"/>
        <v/>
      </c>
      <c r="K461" s="23" t="str">
        <f>IFERROR(INDEX('Input Statistiche 2025_26'!$I$3:$I$665,MATCH($A461,'Input Statistiche 2025_26'!$A$3:$A$665,0)),"")</f>
        <v/>
      </c>
      <c r="L461" s="23" t="str">
        <f>IFERROR(INDEX('Input Statistiche 2025_26'!$O$3:$O$665,MATCH($A461,'Input Statistiche 2025_26'!$A$3:$A$665,0)),"")</f>
        <v/>
      </c>
      <c r="M461" s="25"/>
      <c r="N461" s="24">
        <f>IFERROR(INDEX('Input Giocatori 2026_27'!$E$3:$E$493,MATCH($A461,'Input Giocatori 2026_27'!$A$3:$A$493,0)),"")</f>
        <v>1</v>
      </c>
      <c r="O461" s="24">
        <f>IFERROR(INDEX('Input Giocatori 2026_27'!$G$3:$G$493,MATCH($A461,'Input Giocatori 2026_27'!$A$3:$A$493,0)),"")</f>
        <v>1</v>
      </c>
      <c r="P461" s="23" t="str">
        <f>IFERROR(IF($O461="","",IF((1-(COUNTIFS($B$2:$B$492,$B461,$O$2:$O$492,"&gt;"&amp;$O461)+1-1)/COUNTIF($B$2:$B$492,$B461))&gt;='Parametri Modello'!$B$63,"Top",IF((1-(COUNTIFS($B$2:$B$492,$B461,$O$2:$O$492,"&gt;"&amp;$O461)+1-1)/COUNTIF($B$2:$B$492,$B461))&gt;='Parametri Modello'!$B$64,"Buono",IF((1-(COUNTIFS($B$2:$B$492,$B461,$O$2:$O$492,"&gt;"&amp;$O461)+1-1)/COUNTIF($B$2:$B$492,$B461))&gt;='Parametri Modello'!$B$65,"Nella Media","Scommessa/Riserva")))),"")</f>
        <v>Nella Media</v>
      </c>
      <c r="Q461" s="26" t="str">
        <f>IF(AND($D461="",$N461&gt;1),SUMPRODUCT(($D$2:$D461="")*($N$2:$N461&gt;1)),"")</f>
        <v/>
      </c>
      <c r="R461" s="26" t="str">
        <f>IF($D461='Info Lega'!$B$28,COUNTIFS($D$2:$D461,'Info Lega'!$B$28),"")</f>
        <v/>
      </c>
      <c r="S461" s="27" t="str">
        <f>IFERROR(INDEX('Input Statistiche 2025_26'!$G$3:$G$665,MATCH($A461,'Input Statistiche 2025_26'!$A$3:$A$665,0)),"")</f>
        <v/>
      </c>
      <c r="T461" s="27" t="str">
        <f>IFERROR(INDEX('Input Statistiche 2025_26'!$H$3:$H$665,MATCH($A461,'Input Statistiche 2025_26'!$A$3:$A$665,0)),"")</f>
        <v/>
      </c>
      <c r="U461" s="23" t="str">
        <f>IF(OR('La Mia Rosa'!$O$12="",$D461&lt;&gt;""),"",IF($F461&lt;='La Mia Rosa'!$O$12*'Parametri Modello'!$B$24,"OK",IF($F461&lt;='La Mia Rosa'!$O$12*'Parametri Modello'!$B$25,"Attenzione","Rischio Alto")))</f>
        <v>OK</v>
      </c>
      <c r="V461" s="23">
        <f t="shared" si="64"/>
        <v>26</v>
      </c>
      <c r="W461" s="18">
        <f>'Info Lega'!$B$4-SUMIFS($M$2:$M$492,$D$2:$D$492,'Info Lega'!$B$28)</f>
        <v>1000</v>
      </c>
      <c r="X461" s="18">
        <f>('Info Lega'!$B$5-COUNTIFS($D$2:$D$492,'Info Lega'!$B$28,$B$2:$B$492,"P"))+('Info Lega'!$B$6-COUNTIFS($D$2:$D$492,'Info Lega'!$B$28,$B$2:$B$492,"D"))+('Info Lega'!$B$7-COUNTIFS($D$2:$D$492,'Info Lega'!$B$28,$B$2:$B$492,"C"))+('Info Lega'!$B$8-COUNTIFS($D$2:$D$492,'Info Lega'!$B$28,$B$2:$B$492,"A"))</f>
        <v>25</v>
      </c>
      <c r="Y461" s="18">
        <f>X461*'Parametri Modello'!$B$30</f>
        <v>25</v>
      </c>
      <c r="Z461" s="18">
        <f t="shared" si="65"/>
        <v>975</v>
      </c>
      <c r="AA461" s="18">
        <f t="shared" si="66"/>
        <v>0</v>
      </c>
      <c r="AB461" s="18"/>
      <c r="AC461" s="18" t="str">
        <f>IF($AB461="","",IF($AB461&gt;$AA461,"PASS",IF($AB461&lt;=$AA461*(1-'Parametri Modello'!$B$68),"BID","ATTENZIONE")))</f>
        <v/>
      </c>
      <c r="AD461" s="28" t="str">
        <f t="shared" si="67"/>
        <v/>
      </c>
      <c r="AE461" s="5" t="str">
        <f>IFERROR(INDEX('Stato Asta'!$G$9:$G$12,MATCH($B461,'Stato Asta'!$A$9:$A$12,0)),"")</f>
        <v>🔴 Non aspettare</v>
      </c>
      <c r="AF461" t="str">
        <f>IFERROR(IF($V461&lt;=INDEX('Parametri Modello'!$C$57:$C$60,MATCH($B461,'Parametri Modello'!$A$57:$A$60,0)),"Titolare","Riserva"),"")</f>
        <v>Riserva</v>
      </c>
      <c r="AG461" t="str">
        <f>IFERROR(INDEX('Pressione Competitiva'!$F$3:$F$6,MATCH($B461,'Pressione Competitiva'!$B$3:$B$6,0)),"")</f>
        <v>🔴 Molto Alta</v>
      </c>
      <c r="AH461" t="str">
        <f t="shared" si="68"/>
        <v/>
      </c>
      <c r="AI461" t="str">
        <f>IFERROR(IF($AH461="","",IF($AH461&gt;=$AA461*'Parametri Modello'!$B$68,"🟢 Opportunita'",IF($AH461&lt;=$AA461*'Parametri Modello'!$B$69,"🔴 Sovrapprezzo","🟡 Prezzo Corretto"))),"")</f>
        <v/>
      </c>
      <c r="AJ461" t="str">
        <f t="shared" si="69"/>
        <v/>
      </c>
      <c r="AK461" t="str">
        <f t="shared" si="70"/>
        <v/>
      </c>
      <c r="AL461" t="str">
        <f t="shared" si="71"/>
        <v/>
      </c>
    </row>
    <row r="462" spans="1:38" ht="14.25" customHeight="1" x14ac:dyDescent="0.25">
      <c r="A462" s="18">
        <v>7475</v>
      </c>
      <c r="B462" s="18" t="s">
        <v>15</v>
      </c>
      <c r="C462" s="18" t="s">
        <v>601</v>
      </c>
      <c r="E462" s="23" t="str">
        <f>IF(COUNTIF('Info Strategia'!$D$2:$D$51,$C462)&gt;0,"SI","NO")</f>
        <v>NO</v>
      </c>
      <c r="F462" s="24">
        <f>IFERROR(ROUND(($G462+($H462-$G462)*'Info Strategia'!$B$6)*(1+IF($E462="SI",'Parametri Modello'!$B$7*'Info Strategia'!$B$6,0)),0),"")</f>
        <v>0</v>
      </c>
      <c r="G462" s="24">
        <f>IFERROR(ROUND(MAX(1,(IF($V462&lt;=INDEX('Parametri Modello'!$C$57:$C$60,MATCH($B462,'Parametri Modello'!$A$57:$A$60,0)),IF(INDEX('Parametri Modello'!$E$57:$E$60,MATCH($B462,'Parametri Modello'!$A$57:$A$60,0))=0,0,($O462/INDEX('Parametri Modello'!$E$57:$E$60,MATCH($B462,'Parametri Modello'!$A$57:$A$60,0)))*(INDEX('Parametri Modello'!$D$57:$D$60,MATCH($B462,'Parametri Modello'!$A$57:$A$60,0))*(INDEX('Parametri Modello'!$B$50:$B$53,MATCH($B462,'Parametri Modello'!$A$50:$A$53,0))*'Parametri Modello'!$B$44))),IF(INDEX('Parametri Modello'!$F$57:$F$60,MATCH($B462,'Parametri Modello'!$A$57:$A$60,0))=0,0,($O462/INDEX('Parametri Modello'!$F$57:$F$60,MATCH($B462,'Parametri Modello'!$A$57:$A$60,0)))*((1-INDEX('Parametri Modello'!$D$57:$D$60,MATCH($B462,'Parametri Modello'!$A$57:$A$60,0)))*(INDEX('Parametri Modello'!$B$50:$B$53,MATCH($B462,'Parametri Modello'!$A$50:$A$53,0))*'Parametri Modello'!$B$44))))*(1+IF(IF($B462="D",'Info Lega'!$B$25,IF($B462="C",'Info Lega'!$B$26,"No"))="Si",'Parametri Modello'!$B$5,0))*(1+MAX(-0.25,MIN(0.25,IF(OR($T462="",$I462="",$I462=0,INDEX('Parametri Modello'!$B$19:$B$22,MATCH($B462,'Parametri Modello'!$A$19:$A$22,0))="",INDEX('Parametri Modello'!$B$19:$B$22,MATCH($B462,'Parametri Modello'!$A$19:$A$22,0))=0),0,(($T462-INDEX('Parametri Modello'!$B$19:$B$22,MATCH($B462,'Parametri Modello'!$A$19:$A$22,0)))/INDEX('Parametri Modello'!$B$19:$B$22,MATCH($B462,'Parametri Modello'!$A$19:$A$22,0)))*'Parametri Modello'!$B$9))))*(1+IF('Parametri Modello'!$B$27="Si",MAX(-'Parametri Modello'!$B$28,MIN('Parametri Modello'!$B$28*1.5,IF(OR(INDEX('Parametri Modello'!$F$32:$F$35,MATCH($B462,'Parametri Modello'!$A$32:$A$35,0))="",INDEX('Parametri Modello'!$F$32:$F$35,MATCH($B462,'Parametri Modello'!$A$32:$A$35,0))=0),0,(1/INDEX('Parametri Modello'!$F$32:$F$35,MATCH($B462,'Parametri Modello'!$A$32:$A$35,0))-1)*'Parametri Modello'!$B$28))),0)))*(1-INDEX('Parametri Modello'!$B$12:$B$15,MATCH($B462,'Parametri Modello'!$A$12:$A$15,0)))),0),"")</f>
        <v>1</v>
      </c>
      <c r="H462" s="24">
        <f>IFERROR(ROUND((IF($V462&lt;=INDEX('Parametri Modello'!$C$57:$C$60,MATCH($B462,'Parametri Modello'!$A$57:$A$60,0)),IF(INDEX('Parametri Modello'!$E$57:$E$60,MATCH($B462,'Parametri Modello'!$A$57:$A$60,0))=0,0,($O462/INDEX('Parametri Modello'!$E$57:$E$60,MATCH($B462,'Parametri Modello'!$A$57:$A$60,0)))*(INDEX('Parametri Modello'!$D$57:$D$60,MATCH($B462,'Parametri Modello'!$A$57:$A$60,0))*(INDEX('Parametri Modello'!$B$50:$B$53,MATCH($B462,'Parametri Modello'!$A$50:$A$53,0))*'Parametri Modello'!$B$44))),IF(INDEX('Parametri Modello'!$F$57:$F$60,MATCH($B462,'Parametri Modello'!$A$57:$A$60,0))=0,0,($O462/INDEX('Parametri Modello'!$F$57:$F$60,MATCH($B462,'Parametri Modello'!$A$57:$A$60,0)))*((1-INDEX('Parametri Modello'!$D$57:$D$60,MATCH($B462,'Parametri Modello'!$A$57:$A$60,0)))*(INDEX('Parametri Modello'!$B$50:$B$53,MATCH($B462,'Parametri Modello'!$A$50:$A$53,0))*'Parametri Modello'!$B$44))))*(1+IF(IF($B462="D",'Info Lega'!$B$25,IF($B462="C",'Info Lega'!$B$26,"No"))="Si",'Parametri Modello'!$B$5,0))*(1+MAX(-0.25,MIN(0.25,IF(OR($T462="",$I462="",$I462=0,INDEX('Parametri Modello'!$B$19:$B$22,MATCH($B462,'Parametri Modello'!$A$19:$A$22,0))="",INDEX('Parametri Modello'!$B$19:$B$22,MATCH($B462,'Parametri Modello'!$A$19:$A$22,0))=0),0,(($T462-INDEX('Parametri Modello'!$B$19:$B$22,MATCH($B462,'Parametri Modello'!$A$19:$A$22,0)))/INDEX('Parametri Modello'!$B$19:$B$22,MATCH($B462,'Parametri Modello'!$A$19:$A$22,0)))*'Parametri Modello'!$B$9))))*(1+IF('Parametri Modello'!$B$27="Si",MAX(-'Parametri Modello'!$B$28,MIN('Parametri Modello'!$B$28*1.5,IF(OR(INDEX('Parametri Modello'!$F$32:$F$35,MATCH($B462,'Parametri Modello'!$A$32:$A$35,0))="",INDEX('Parametri Modello'!$F$32:$F$35,MATCH($B462,'Parametri Modello'!$A$32:$A$35,0))=0),0,(1/INDEX('Parametri Modello'!$F$32:$F$35,MATCH($B462,'Parametri Modello'!$A$32:$A$35,0))-1)*'Parametri Modello'!$B$28))),0)))*(1+INDEX('Parametri Modello'!$B$12:$B$15,MATCH($B462,'Parametri Modello'!$A$12:$A$15,0))),0),"")</f>
        <v>0</v>
      </c>
      <c r="I462" s="23" t="str">
        <f>IFERROR(INDEX('Input Statistiche 2025_26'!$F$3:$F$665,MATCH($A462,'Input Statistiche 2025_26'!$A$3:$A$665,0)),"")</f>
        <v/>
      </c>
      <c r="J462" s="23" t="str">
        <f t="shared" si="63"/>
        <v/>
      </c>
      <c r="K462" s="23" t="str">
        <f>IFERROR(INDEX('Input Statistiche 2025_26'!$I$3:$I$665,MATCH($A462,'Input Statistiche 2025_26'!$A$3:$A$665,0)),"")</f>
        <v/>
      </c>
      <c r="L462" s="23" t="str">
        <f>IFERROR(INDEX('Input Statistiche 2025_26'!$O$3:$O$665,MATCH($A462,'Input Statistiche 2025_26'!$A$3:$A$665,0)),"")</f>
        <v/>
      </c>
      <c r="M462" s="25"/>
      <c r="N462" s="24">
        <f>IFERROR(INDEX('Input Giocatori 2026_27'!$E$3:$E$493,MATCH($A462,'Input Giocatori 2026_27'!$A$3:$A$493,0)),"")</f>
        <v>1</v>
      </c>
      <c r="O462" s="24">
        <f>IFERROR(INDEX('Input Giocatori 2026_27'!$G$3:$G$493,MATCH($A462,'Input Giocatori 2026_27'!$A$3:$A$493,0)),"")</f>
        <v>1</v>
      </c>
      <c r="P462" s="23" t="str">
        <f>IFERROR(IF($O462="","",IF((1-(COUNTIFS($B$2:$B$492,$B462,$O$2:$O$492,"&gt;"&amp;$O462)+1-1)/COUNTIF($B$2:$B$492,$B462))&gt;='Parametri Modello'!$B$63,"Top",IF((1-(COUNTIFS($B$2:$B$492,$B462,$O$2:$O$492,"&gt;"&amp;$O462)+1-1)/COUNTIF($B$2:$B$492,$B462))&gt;='Parametri Modello'!$B$64,"Buono",IF((1-(COUNTIFS($B$2:$B$492,$B462,$O$2:$O$492,"&gt;"&amp;$O462)+1-1)/COUNTIF($B$2:$B$492,$B462))&gt;='Parametri Modello'!$B$65,"Nella Media","Scommessa/Riserva")))),"")</f>
        <v>Nella Media</v>
      </c>
      <c r="Q462" s="26" t="str">
        <f>IF(AND($D462="",$N462&gt;1),SUMPRODUCT(($D$2:$D462="")*($N$2:$N462&gt;1)),"")</f>
        <v/>
      </c>
      <c r="R462" s="26" t="str">
        <f>IF($D462='Info Lega'!$B$28,COUNTIFS($D$2:$D462,'Info Lega'!$B$28),"")</f>
        <v/>
      </c>
      <c r="S462" s="27" t="str">
        <f>IFERROR(INDEX('Input Statistiche 2025_26'!$G$3:$G$665,MATCH($A462,'Input Statistiche 2025_26'!$A$3:$A$665,0)),"")</f>
        <v/>
      </c>
      <c r="T462" s="27" t="str">
        <f>IFERROR(INDEX('Input Statistiche 2025_26'!$H$3:$H$665,MATCH($A462,'Input Statistiche 2025_26'!$A$3:$A$665,0)),"")</f>
        <v/>
      </c>
      <c r="U462" s="23" t="str">
        <f>IF(OR('La Mia Rosa'!$O$12="",$D462&lt;&gt;""),"",IF($F462&lt;='La Mia Rosa'!$O$12*'Parametri Modello'!$B$24,"OK",IF($F462&lt;='La Mia Rosa'!$O$12*'Parametri Modello'!$B$25,"Attenzione","Rischio Alto")))</f>
        <v>OK</v>
      </c>
      <c r="V462" s="23">
        <f t="shared" si="64"/>
        <v>26</v>
      </c>
      <c r="W462" s="18">
        <f>'Info Lega'!$B$4-SUMIFS($M$2:$M$492,$D$2:$D$492,'Info Lega'!$B$28)</f>
        <v>1000</v>
      </c>
      <c r="X462" s="18">
        <f>('Info Lega'!$B$5-COUNTIFS($D$2:$D$492,'Info Lega'!$B$28,$B$2:$B$492,"P"))+('Info Lega'!$B$6-COUNTIFS($D$2:$D$492,'Info Lega'!$B$28,$B$2:$B$492,"D"))+('Info Lega'!$B$7-COUNTIFS($D$2:$D$492,'Info Lega'!$B$28,$B$2:$B$492,"C"))+('Info Lega'!$B$8-COUNTIFS($D$2:$D$492,'Info Lega'!$B$28,$B$2:$B$492,"A"))</f>
        <v>25</v>
      </c>
      <c r="Y462" s="18">
        <f>X462*'Parametri Modello'!$B$30</f>
        <v>25</v>
      </c>
      <c r="Z462" s="18">
        <f t="shared" si="65"/>
        <v>975</v>
      </c>
      <c r="AA462" s="18">
        <f t="shared" si="66"/>
        <v>0</v>
      </c>
      <c r="AB462" s="18"/>
      <c r="AC462" s="18" t="str">
        <f>IF($AB462="","",IF($AB462&gt;$AA462,"PASS",IF($AB462&lt;=$AA462*(1-'Parametri Modello'!$B$68),"BID","ATTENZIONE")))</f>
        <v/>
      </c>
      <c r="AD462" s="28" t="str">
        <f t="shared" si="67"/>
        <v/>
      </c>
      <c r="AE462" s="5" t="str">
        <f>IFERROR(INDEX('Stato Asta'!$G$9:$G$12,MATCH($B462,'Stato Asta'!$A$9:$A$12,0)),"")</f>
        <v>🔴 Non aspettare</v>
      </c>
      <c r="AF462" t="str">
        <f>IFERROR(IF($V462&lt;=INDEX('Parametri Modello'!$C$57:$C$60,MATCH($B462,'Parametri Modello'!$A$57:$A$60,0)),"Titolare","Riserva"),"")</f>
        <v>Riserva</v>
      </c>
      <c r="AG462" t="str">
        <f>IFERROR(INDEX('Pressione Competitiva'!$F$3:$F$6,MATCH($B462,'Pressione Competitiva'!$B$3:$B$6,0)),"")</f>
        <v>🔴 Molto Alta</v>
      </c>
      <c r="AH462" t="str">
        <f t="shared" si="68"/>
        <v/>
      </c>
      <c r="AI462" t="str">
        <f>IFERROR(IF($AH462="","",IF($AH462&gt;=$AA462*'Parametri Modello'!$B$68,"🟢 Opportunita'",IF($AH462&lt;=$AA462*'Parametri Modello'!$B$69,"🔴 Sovrapprezzo","🟡 Prezzo Corretto"))),"")</f>
        <v/>
      </c>
      <c r="AJ462" t="str">
        <f t="shared" si="69"/>
        <v/>
      </c>
      <c r="AK462" t="str">
        <f t="shared" si="70"/>
        <v/>
      </c>
      <c r="AL462" t="str">
        <f t="shared" si="71"/>
        <v/>
      </c>
    </row>
    <row r="463" spans="1:38" ht="14.25" customHeight="1" x14ac:dyDescent="0.25">
      <c r="A463" s="18">
        <v>2845</v>
      </c>
      <c r="B463" s="18" t="s">
        <v>15</v>
      </c>
      <c r="C463" s="18" t="s">
        <v>602</v>
      </c>
      <c r="E463" s="23" t="str">
        <f>IF(COUNTIF('Info Strategia'!$D$2:$D$51,$C463)&gt;0,"SI","NO")</f>
        <v>NO</v>
      </c>
      <c r="F463" s="24">
        <f>IFERROR(ROUND(($G463+($H463-$G463)*'Info Strategia'!$B$6)*(1+IF($E463="SI",'Parametri Modello'!$B$7*'Info Strategia'!$B$6,0)),0),"")</f>
        <v>0</v>
      </c>
      <c r="G463" s="24">
        <f>IFERROR(ROUND(MAX(1,(IF($V463&lt;=INDEX('Parametri Modello'!$C$57:$C$60,MATCH($B463,'Parametri Modello'!$A$57:$A$60,0)),IF(INDEX('Parametri Modello'!$E$57:$E$60,MATCH($B463,'Parametri Modello'!$A$57:$A$60,0))=0,0,($O463/INDEX('Parametri Modello'!$E$57:$E$60,MATCH($B463,'Parametri Modello'!$A$57:$A$60,0)))*(INDEX('Parametri Modello'!$D$57:$D$60,MATCH($B463,'Parametri Modello'!$A$57:$A$60,0))*(INDEX('Parametri Modello'!$B$50:$B$53,MATCH($B463,'Parametri Modello'!$A$50:$A$53,0))*'Parametri Modello'!$B$44))),IF(INDEX('Parametri Modello'!$F$57:$F$60,MATCH($B463,'Parametri Modello'!$A$57:$A$60,0))=0,0,($O463/INDEX('Parametri Modello'!$F$57:$F$60,MATCH($B463,'Parametri Modello'!$A$57:$A$60,0)))*((1-INDEX('Parametri Modello'!$D$57:$D$60,MATCH($B463,'Parametri Modello'!$A$57:$A$60,0)))*(INDEX('Parametri Modello'!$B$50:$B$53,MATCH($B463,'Parametri Modello'!$A$50:$A$53,0))*'Parametri Modello'!$B$44))))*(1+IF(IF($B463="D",'Info Lega'!$B$25,IF($B463="C",'Info Lega'!$B$26,"No"))="Si",'Parametri Modello'!$B$5,0))*(1+MAX(-0.25,MIN(0.25,IF(OR($T463="",$I463="",$I463=0,INDEX('Parametri Modello'!$B$19:$B$22,MATCH($B463,'Parametri Modello'!$A$19:$A$22,0))="",INDEX('Parametri Modello'!$B$19:$B$22,MATCH($B463,'Parametri Modello'!$A$19:$A$22,0))=0),0,(($T463-INDEX('Parametri Modello'!$B$19:$B$22,MATCH($B463,'Parametri Modello'!$A$19:$A$22,0)))/INDEX('Parametri Modello'!$B$19:$B$22,MATCH($B463,'Parametri Modello'!$A$19:$A$22,0)))*'Parametri Modello'!$B$9))))*(1+IF('Parametri Modello'!$B$27="Si",MAX(-'Parametri Modello'!$B$28,MIN('Parametri Modello'!$B$28*1.5,IF(OR(INDEX('Parametri Modello'!$F$32:$F$35,MATCH($B463,'Parametri Modello'!$A$32:$A$35,0))="",INDEX('Parametri Modello'!$F$32:$F$35,MATCH($B463,'Parametri Modello'!$A$32:$A$35,0))=0),0,(1/INDEX('Parametri Modello'!$F$32:$F$35,MATCH($B463,'Parametri Modello'!$A$32:$A$35,0))-1)*'Parametri Modello'!$B$28))),0)))*(1-INDEX('Parametri Modello'!$B$12:$B$15,MATCH($B463,'Parametri Modello'!$A$12:$A$15,0)))),0),"")</f>
        <v>1</v>
      </c>
      <c r="H463" s="24">
        <f>IFERROR(ROUND((IF($V463&lt;=INDEX('Parametri Modello'!$C$57:$C$60,MATCH($B463,'Parametri Modello'!$A$57:$A$60,0)),IF(INDEX('Parametri Modello'!$E$57:$E$60,MATCH($B463,'Parametri Modello'!$A$57:$A$60,0))=0,0,($O463/INDEX('Parametri Modello'!$E$57:$E$60,MATCH($B463,'Parametri Modello'!$A$57:$A$60,0)))*(INDEX('Parametri Modello'!$D$57:$D$60,MATCH($B463,'Parametri Modello'!$A$57:$A$60,0))*(INDEX('Parametri Modello'!$B$50:$B$53,MATCH($B463,'Parametri Modello'!$A$50:$A$53,0))*'Parametri Modello'!$B$44))),IF(INDEX('Parametri Modello'!$F$57:$F$60,MATCH($B463,'Parametri Modello'!$A$57:$A$60,0))=0,0,($O463/INDEX('Parametri Modello'!$F$57:$F$60,MATCH($B463,'Parametri Modello'!$A$57:$A$60,0)))*((1-INDEX('Parametri Modello'!$D$57:$D$60,MATCH($B463,'Parametri Modello'!$A$57:$A$60,0)))*(INDEX('Parametri Modello'!$B$50:$B$53,MATCH($B463,'Parametri Modello'!$A$50:$A$53,0))*'Parametri Modello'!$B$44))))*(1+IF(IF($B463="D",'Info Lega'!$B$25,IF($B463="C",'Info Lega'!$B$26,"No"))="Si",'Parametri Modello'!$B$5,0))*(1+MAX(-0.25,MIN(0.25,IF(OR($T463="",$I463="",$I463=0,INDEX('Parametri Modello'!$B$19:$B$22,MATCH($B463,'Parametri Modello'!$A$19:$A$22,0))="",INDEX('Parametri Modello'!$B$19:$B$22,MATCH($B463,'Parametri Modello'!$A$19:$A$22,0))=0),0,(($T463-INDEX('Parametri Modello'!$B$19:$B$22,MATCH($B463,'Parametri Modello'!$A$19:$A$22,0)))/INDEX('Parametri Modello'!$B$19:$B$22,MATCH($B463,'Parametri Modello'!$A$19:$A$22,0)))*'Parametri Modello'!$B$9))))*(1+IF('Parametri Modello'!$B$27="Si",MAX(-'Parametri Modello'!$B$28,MIN('Parametri Modello'!$B$28*1.5,IF(OR(INDEX('Parametri Modello'!$F$32:$F$35,MATCH($B463,'Parametri Modello'!$A$32:$A$35,0))="",INDEX('Parametri Modello'!$F$32:$F$35,MATCH($B463,'Parametri Modello'!$A$32:$A$35,0))=0),0,(1/INDEX('Parametri Modello'!$F$32:$F$35,MATCH($B463,'Parametri Modello'!$A$32:$A$35,0))-1)*'Parametri Modello'!$B$28))),0)))*(1+INDEX('Parametri Modello'!$B$12:$B$15,MATCH($B463,'Parametri Modello'!$A$12:$A$15,0))),0),"")</f>
        <v>0</v>
      </c>
      <c r="I463" s="23">
        <f>IFERROR(INDEX('Input Statistiche 2025_26'!$F$3:$F$665,MATCH($A463,'Input Statistiche 2025_26'!$A$3:$A$665,0)),"")</f>
        <v>0</v>
      </c>
      <c r="J463" s="23">
        <f t="shared" si="63"/>
        <v>38</v>
      </c>
      <c r="K463" s="23">
        <f>IFERROR(INDEX('Input Statistiche 2025_26'!$I$3:$I$665,MATCH($A463,'Input Statistiche 2025_26'!$A$3:$A$665,0)),"")</f>
        <v>0</v>
      </c>
      <c r="L463" s="23">
        <f>IFERROR(INDEX('Input Statistiche 2025_26'!$O$3:$O$665,MATCH($A463,'Input Statistiche 2025_26'!$A$3:$A$665,0)),"")</f>
        <v>0</v>
      </c>
      <c r="M463" s="25"/>
      <c r="N463" s="24">
        <f>IFERROR(INDEX('Input Giocatori 2026_27'!$E$3:$E$493,MATCH($A463,'Input Giocatori 2026_27'!$A$3:$A$493,0)),"")</f>
        <v>1</v>
      </c>
      <c r="O463" s="24">
        <f>IFERROR(INDEX('Input Giocatori 2026_27'!$G$3:$G$493,MATCH($A463,'Input Giocatori 2026_27'!$A$3:$A$493,0)),"")</f>
        <v>1</v>
      </c>
      <c r="P463" s="23" t="str">
        <f>IFERROR(IF($O463="","",IF((1-(COUNTIFS($B$2:$B$492,$B463,$O$2:$O$492,"&gt;"&amp;$O463)+1-1)/COUNTIF($B$2:$B$492,$B463))&gt;='Parametri Modello'!$B$63,"Top",IF((1-(COUNTIFS($B$2:$B$492,$B463,$O$2:$O$492,"&gt;"&amp;$O463)+1-1)/COUNTIF($B$2:$B$492,$B463))&gt;='Parametri Modello'!$B$64,"Buono",IF((1-(COUNTIFS($B$2:$B$492,$B463,$O$2:$O$492,"&gt;"&amp;$O463)+1-1)/COUNTIF($B$2:$B$492,$B463))&gt;='Parametri Modello'!$B$65,"Nella Media","Scommessa/Riserva")))),"")</f>
        <v>Nella Media</v>
      </c>
      <c r="Q463" s="26" t="str">
        <f>IF(AND($D463="",$N463&gt;1),SUMPRODUCT(($D$2:$D463="")*($N$2:$N463&gt;1)),"")</f>
        <v/>
      </c>
      <c r="R463" s="26" t="str">
        <f>IF($D463='Info Lega'!$B$28,COUNTIFS($D$2:$D463,'Info Lega'!$B$28),"")</f>
        <v/>
      </c>
      <c r="S463" s="27">
        <f>IFERROR(INDEX('Input Statistiche 2025_26'!$G$3:$G$665,MATCH($A463,'Input Statistiche 2025_26'!$A$3:$A$665,0)),"")</f>
        <v>0</v>
      </c>
      <c r="T463" s="27">
        <f>IFERROR(INDEX('Input Statistiche 2025_26'!$H$3:$H$665,MATCH($A463,'Input Statistiche 2025_26'!$A$3:$A$665,0)),"")</f>
        <v>0</v>
      </c>
      <c r="U463" s="23" t="str">
        <f>IF(OR('La Mia Rosa'!$O$12="",$D463&lt;&gt;""),"",IF($F463&lt;='La Mia Rosa'!$O$12*'Parametri Modello'!$B$24,"OK",IF($F463&lt;='La Mia Rosa'!$O$12*'Parametri Modello'!$B$25,"Attenzione","Rischio Alto")))</f>
        <v>OK</v>
      </c>
      <c r="V463" s="23">
        <f t="shared" si="64"/>
        <v>26</v>
      </c>
      <c r="W463" s="18">
        <f>'Info Lega'!$B$4-SUMIFS($M$2:$M$492,$D$2:$D$492,'Info Lega'!$B$28)</f>
        <v>1000</v>
      </c>
      <c r="X463" s="18">
        <f>('Info Lega'!$B$5-COUNTIFS($D$2:$D$492,'Info Lega'!$B$28,$B$2:$B$492,"P"))+('Info Lega'!$B$6-COUNTIFS($D$2:$D$492,'Info Lega'!$B$28,$B$2:$B$492,"D"))+('Info Lega'!$B$7-COUNTIFS($D$2:$D$492,'Info Lega'!$B$28,$B$2:$B$492,"C"))+('Info Lega'!$B$8-COUNTIFS($D$2:$D$492,'Info Lega'!$B$28,$B$2:$B$492,"A"))</f>
        <v>25</v>
      </c>
      <c r="Y463" s="18">
        <f>X463*'Parametri Modello'!$B$30</f>
        <v>25</v>
      </c>
      <c r="Z463" s="18">
        <f t="shared" si="65"/>
        <v>975</v>
      </c>
      <c r="AA463" s="18">
        <f t="shared" si="66"/>
        <v>0</v>
      </c>
      <c r="AB463" s="18"/>
      <c r="AC463" s="18" t="str">
        <f>IF($AB463="","",IF($AB463&gt;$AA463,"PASS",IF($AB463&lt;=$AA463*(1-'Parametri Modello'!$B$68),"BID","ATTENZIONE")))</f>
        <v/>
      </c>
      <c r="AD463" s="28">
        <f t="shared" si="67"/>
        <v>0</v>
      </c>
      <c r="AE463" s="5" t="str">
        <f>IFERROR(INDEX('Stato Asta'!$G$9:$G$12,MATCH($B463,'Stato Asta'!$A$9:$A$12,0)),"")</f>
        <v>🔴 Non aspettare</v>
      </c>
      <c r="AF463" t="str">
        <f>IFERROR(IF($V463&lt;=INDEX('Parametri Modello'!$C$57:$C$60,MATCH($B463,'Parametri Modello'!$A$57:$A$60,0)),"Titolare","Riserva"),"")</f>
        <v>Riserva</v>
      </c>
      <c r="AG463" t="str">
        <f>IFERROR(INDEX('Pressione Competitiva'!$F$3:$F$6,MATCH($B463,'Pressione Competitiva'!$B$3:$B$6,0)),"")</f>
        <v>🔴 Molto Alta</v>
      </c>
      <c r="AH463" t="str">
        <f t="shared" si="68"/>
        <v/>
      </c>
      <c r="AI463" t="str">
        <f>IFERROR(IF($AH463="","",IF($AH463&gt;=$AA463*'Parametri Modello'!$B$68,"🟢 Opportunita'",IF($AH463&lt;=$AA463*'Parametri Modello'!$B$69,"🔴 Sovrapprezzo","🟡 Prezzo Corretto"))),"")</f>
        <v/>
      </c>
      <c r="AJ463" t="str">
        <f t="shared" si="69"/>
        <v/>
      </c>
      <c r="AK463" t="str">
        <f t="shared" si="70"/>
        <v/>
      </c>
      <c r="AL463" t="str">
        <f t="shared" si="71"/>
        <v/>
      </c>
    </row>
    <row r="464" spans="1:38" ht="14.25" customHeight="1" x14ac:dyDescent="0.25">
      <c r="A464" s="18">
        <v>6662</v>
      </c>
      <c r="B464" s="18" t="s">
        <v>15</v>
      </c>
      <c r="C464" s="18" t="s">
        <v>603</v>
      </c>
      <c r="E464" s="23" t="str">
        <f>IF(COUNTIF('Info Strategia'!$D$2:$D$51,$C464)&gt;0,"SI","NO")</f>
        <v>NO</v>
      </c>
      <c r="F464" s="24">
        <f>IFERROR(ROUND(($G464+($H464-$G464)*'Info Strategia'!$B$6)*(1+IF($E464="SI",'Parametri Modello'!$B$7*'Info Strategia'!$B$6,0)),0),"")</f>
        <v>0</v>
      </c>
      <c r="G464" s="24">
        <f>IFERROR(ROUND(MAX(1,(IF($V464&lt;=INDEX('Parametri Modello'!$C$57:$C$60,MATCH($B464,'Parametri Modello'!$A$57:$A$60,0)),IF(INDEX('Parametri Modello'!$E$57:$E$60,MATCH($B464,'Parametri Modello'!$A$57:$A$60,0))=0,0,($O464/INDEX('Parametri Modello'!$E$57:$E$60,MATCH($B464,'Parametri Modello'!$A$57:$A$60,0)))*(INDEX('Parametri Modello'!$D$57:$D$60,MATCH($B464,'Parametri Modello'!$A$57:$A$60,0))*(INDEX('Parametri Modello'!$B$50:$B$53,MATCH($B464,'Parametri Modello'!$A$50:$A$53,0))*'Parametri Modello'!$B$44))),IF(INDEX('Parametri Modello'!$F$57:$F$60,MATCH($B464,'Parametri Modello'!$A$57:$A$60,0))=0,0,($O464/INDEX('Parametri Modello'!$F$57:$F$60,MATCH($B464,'Parametri Modello'!$A$57:$A$60,0)))*((1-INDEX('Parametri Modello'!$D$57:$D$60,MATCH($B464,'Parametri Modello'!$A$57:$A$60,0)))*(INDEX('Parametri Modello'!$B$50:$B$53,MATCH($B464,'Parametri Modello'!$A$50:$A$53,0))*'Parametri Modello'!$B$44))))*(1+IF(IF($B464="D",'Info Lega'!$B$25,IF($B464="C",'Info Lega'!$B$26,"No"))="Si",'Parametri Modello'!$B$5,0))*(1+MAX(-0.25,MIN(0.25,IF(OR($T464="",$I464="",$I464=0,INDEX('Parametri Modello'!$B$19:$B$22,MATCH($B464,'Parametri Modello'!$A$19:$A$22,0))="",INDEX('Parametri Modello'!$B$19:$B$22,MATCH($B464,'Parametri Modello'!$A$19:$A$22,0))=0),0,(($T464-INDEX('Parametri Modello'!$B$19:$B$22,MATCH($B464,'Parametri Modello'!$A$19:$A$22,0)))/INDEX('Parametri Modello'!$B$19:$B$22,MATCH($B464,'Parametri Modello'!$A$19:$A$22,0)))*'Parametri Modello'!$B$9))))*(1+IF('Parametri Modello'!$B$27="Si",MAX(-'Parametri Modello'!$B$28,MIN('Parametri Modello'!$B$28*1.5,IF(OR(INDEX('Parametri Modello'!$F$32:$F$35,MATCH($B464,'Parametri Modello'!$A$32:$A$35,0))="",INDEX('Parametri Modello'!$F$32:$F$35,MATCH($B464,'Parametri Modello'!$A$32:$A$35,0))=0),0,(1/INDEX('Parametri Modello'!$F$32:$F$35,MATCH($B464,'Parametri Modello'!$A$32:$A$35,0))-1)*'Parametri Modello'!$B$28))),0)))*(1-INDEX('Parametri Modello'!$B$12:$B$15,MATCH($B464,'Parametri Modello'!$A$12:$A$15,0)))),0),"")</f>
        <v>1</v>
      </c>
      <c r="H464" s="24">
        <f>IFERROR(ROUND((IF($V464&lt;=INDEX('Parametri Modello'!$C$57:$C$60,MATCH($B464,'Parametri Modello'!$A$57:$A$60,0)),IF(INDEX('Parametri Modello'!$E$57:$E$60,MATCH($B464,'Parametri Modello'!$A$57:$A$60,0))=0,0,($O464/INDEX('Parametri Modello'!$E$57:$E$60,MATCH($B464,'Parametri Modello'!$A$57:$A$60,0)))*(INDEX('Parametri Modello'!$D$57:$D$60,MATCH($B464,'Parametri Modello'!$A$57:$A$60,0))*(INDEX('Parametri Modello'!$B$50:$B$53,MATCH($B464,'Parametri Modello'!$A$50:$A$53,0))*'Parametri Modello'!$B$44))),IF(INDEX('Parametri Modello'!$F$57:$F$60,MATCH($B464,'Parametri Modello'!$A$57:$A$60,0))=0,0,($O464/INDEX('Parametri Modello'!$F$57:$F$60,MATCH($B464,'Parametri Modello'!$A$57:$A$60,0)))*((1-INDEX('Parametri Modello'!$D$57:$D$60,MATCH($B464,'Parametri Modello'!$A$57:$A$60,0)))*(INDEX('Parametri Modello'!$B$50:$B$53,MATCH($B464,'Parametri Modello'!$A$50:$A$53,0))*'Parametri Modello'!$B$44))))*(1+IF(IF($B464="D",'Info Lega'!$B$25,IF($B464="C",'Info Lega'!$B$26,"No"))="Si",'Parametri Modello'!$B$5,0))*(1+MAX(-0.25,MIN(0.25,IF(OR($T464="",$I464="",$I464=0,INDEX('Parametri Modello'!$B$19:$B$22,MATCH($B464,'Parametri Modello'!$A$19:$A$22,0))="",INDEX('Parametri Modello'!$B$19:$B$22,MATCH($B464,'Parametri Modello'!$A$19:$A$22,0))=0),0,(($T464-INDEX('Parametri Modello'!$B$19:$B$22,MATCH($B464,'Parametri Modello'!$A$19:$A$22,0)))/INDEX('Parametri Modello'!$B$19:$B$22,MATCH($B464,'Parametri Modello'!$A$19:$A$22,0)))*'Parametri Modello'!$B$9))))*(1+IF('Parametri Modello'!$B$27="Si",MAX(-'Parametri Modello'!$B$28,MIN('Parametri Modello'!$B$28*1.5,IF(OR(INDEX('Parametri Modello'!$F$32:$F$35,MATCH($B464,'Parametri Modello'!$A$32:$A$35,0))="",INDEX('Parametri Modello'!$F$32:$F$35,MATCH($B464,'Parametri Modello'!$A$32:$A$35,0))=0),0,(1/INDEX('Parametri Modello'!$F$32:$F$35,MATCH($B464,'Parametri Modello'!$A$32:$A$35,0))-1)*'Parametri Modello'!$B$28))),0)))*(1+INDEX('Parametri Modello'!$B$12:$B$15,MATCH($B464,'Parametri Modello'!$A$12:$A$15,0))),0),"")</f>
        <v>0</v>
      </c>
      <c r="I464" s="23">
        <f>IFERROR(INDEX('Input Statistiche 2025_26'!$F$3:$F$665,MATCH($A464,'Input Statistiche 2025_26'!$A$3:$A$665,0)),"")</f>
        <v>17</v>
      </c>
      <c r="J464" s="23">
        <f t="shared" si="63"/>
        <v>21</v>
      </c>
      <c r="K464" s="23">
        <f>IFERROR(INDEX('Input Statistiche 2025_26'!$I$3:$I$665,MATCH($A464,'Input Statistiche 2025_26'!$A$3:$A$665,0)),"")</f>
        <v>0</v>
      </c>
      <c r="L464" s="23">
        <f>IFERROR(INDEX('Input Statistiche 2025_26'!$O$3:$O$665,MATCH($A464,'Input Statistiche 2025_26'!$A$3:$A$665,0)),"")</f>
        <v>0</v>
      </c>
      <c r="M464" s="25"/>
      <c r="N464" s="24">
        <f>IFERROR(INDEX('Input Giocatori 2026_27'!$E$3:$E$493,MATCH($A464,'Input Giocatori 2026_27'!$A$3:$A$493,0)),"")</f>
        <v>1</v>
      </c>
      <c r="O464" s="24">
        <f>IFERROR(INDEX('Input Giocatori 2026_27'!$G$3:$G$493,MATCH($A464,'Input Giocatori 2026_27'!$A$3:$A$493,0)),"")</f>
        <v>1</v>
      </c>
      <c r="P464" s="23" t="str">
        <f>IFERROR(IF($O464="","",IF((1-(COUNTIFS($B$2:$B$492,$B464,$O$2:$O$492,"&gt;"&amp;$O464)+1-1)/COUNTIF($B$2:$B$492,$B464))&gt;='Parametri Modello'!$B$63,"Top",IF((1-(COUNTIFS($B$2:$B$492,$B464,$O$2:$O$492,"&gt;"&amp;$O464)+1-1)/COUNTIF($B$2:$B$492,$B464))&gt;='Parametri Modello'!$B$64,"Buono",IF((1-(COUNTIFS($B$2:$B$492,$B464,$O$2:$O$492,"&gt;"&amp;$O464)+1-1)/COUNTIF($B$2:$B$492,$B464))&gt;='Parametri Modello'!$B$65,"Nella Media","Scommessa/Riserva")))),"")</f>
        <v>Nella Media</v>
      </c>
      <c r="Q464" s="26" t="str">
        <f>IF(AND($D464="",$N464&gt;1),SUMPRODUCT(($D$2:$D464="")*($N$2:$N464&gt;1)),"")</f>
        <v/>
      </c>
      <c r="R464" s="26" t="str">
        <f>IF($D464='Info Lega'!$B$28,COUNTIFS($D$2:$D464,'Info Lega'!$B$28),"")</f>
        <v/>
      </c>
      <c r="S464" s="27">
        <f>IFERROR(INDEX('Input Statistiche 2025_26'!$G$3:$G$665,MATCH($A464,'Input Statistiche 2025_26'!$A$3:$A$665,0)),"")</f>
        <v>6.18</v>
      </c>
      <c r="T464" s="27">
        <f>IFERROR(INDEX('Input Statistiche 2025_26'!$H$3:$H$665,MATCH($A464,'Input Statistiche 2025_26'!$A$3:$A$665,0)),"")</f>
        <v>5.09</v>
      </c>
      <c r="U464" s="23" t="str">
        <f>IF(OR('La Mia Rosa'!$O$12="",$D464&lt;&gt;""),"",IF($F464&lt;='La Mia Rosa'!$O$12*'Parametri Modello'!$B$24,"OK",IF($F464&lt;='La Mia Rosa'!$O$12*'Parametri Modello'!$B$25,"Attenzione","Rischio Alto")))</f>
        <v>OK</v>
      </c>
      <c r="V464" s="23">
        <f t="shared" si="64"/>
        <v>26</v>
      </c>
      <c r="W464" s="18">
        <f>'Info Lega'!$B$4-SUMIFS($M$2:$M$492,$D$2:$D$492,'Info Lega'!$B$28)</f>
        <v>1000</v>
      </c>
      <c r="X464" s="18">
        <f>('Info Lega'!$B$5-COUNTIFS($D$2:$D$492,'Info Lega'!$B$28,$B$2:$B$492,"P"))+('Info Lega'!$B$6-COUNTIFS($D$2:$D$492,'Info Lega'!$B$28,$B$2:$B$492,"D"))+('Info Lega'!$B$7-COUNTIFS($D$2:$D$492,'Info Lega'!$B$28,$B$2:$B$492,"C"))+('Info Lega'!$B$8-COUNTIFS($D$2:$D$492,'Info Lega'!$B$28,$B$2:$B$492,"A"))</f>
        <v>25</v>
      </c>
      <c r="Y464" s="18">
        <f>X464*'Parametri Modello'!$B$30</f>
        <v>25</v>
      </c>
      <c r="Z464" s="18">
        <f t="shared" si="65"/>
        <v>975</v>
      </c>
      <c r="AA464" s="18">
        <f t="shared" si="66"/>
        <v>0</v>
      </c>
      <c r="AB464" s="18"/>
      <c r="AC464" s="18" t="str">
        <f>IF($AB464="","",IF($AB464&gt;$AA464,"PASS",IF($AB464&lt;=$AA464*(1-'Parametri Modello'!$B$68),"BID","ATTENZIONE")))</f>
        <v/>
      </c>
      <c r="AD464" s="28">
        <f t="shared" si="67"/>
        <v>43</v>
      </c>
      <c r="AE464" s="5" t="str">
        <f>IFERROR(INDEX('Stato Asta'!$G$9:$G$12,MATCH($B464,'Stato Asta'!$A$9:$A$12,0)),"")</f>
        <v>🔴 Non aspettare</v>
      </c>
      <c r="AF464" t="str">
        <f>IFERROR(IF($V464&lt;=INDEX('Parametri Modello'!$C$57:$C$60,MATCH($B464,'Parametri Modello'!$A$57:$A$60,0)),"Titolare","Riserva"),"")</f>
        <v>Riserva</v>
      </c>
      <c r="AG464" t="str">
        <f>IFERROR(INDEX('Pressione Competitiva'!$F$3:$F$6,MATCH($B464,'Pressione Competitiva'!$B$3:$B$6,0)),"")</f>
        <v>🔴 Molto Alta</v>
      </c>
      <c r="AH464" t="str">
        <f t="shared" si="68"/>
        <v/>
      </c>
      <c r="AI464" t="str">
        <f>IFERROR(IF($AH464="","",IF($AH464&gt;=$AA464*'Parametri Modello'!$B$68,"🟢 Opportunita'",IF($AH464&lt;=$AA464*'Parametri Modello'!$B$69,"🔴 Sovrapprezzo","🟡 Prezzo Corretto"))),"")</f>
        <v/>
      </c>
      <c r="AJ464" t="str">
        <f t="shared" si="69"/>
        <v/>
      </c>
      <c r="AK464" t="str">
        <f t="shared" si="70"/>
        <v/>
      </c>
      <c r="AL464" t="str">
        <f t="shared" si="71"/>
        <v/>
      </c>
    </row>
    <row r="465" spans="1:38" ht="14.25" customHeight="1" x14ac:dyDescent="0.25">
      <c r="A465" s="18">
        <v>7048</v>
      </c>
      <c r="B465" s="18" t="s">
        <v>15</v>
      </c>
      <c r="C465" s="18" t="s">
        <v>604</v>
      </c>
      <c r="E465" s="23" t="str">
        <f>IF(COUNTIF('Info Strategia'!$D$2:$D$51,$C465)&gt;0,"SI","NO")</f>
        <v>NO</v>
      </c>
      <c r="F465" s="24">
        <f>IFERROR(ROUND(($G465+($H465-$G465)*'Info Strategia'!$B$6)*(1+IF($E465="SI",'Parametri Modello'!$B$7*'Info Strategia'!$B$6,0)),0),"")</f>
        <v>0</v>
      </c>
      <c r="G465" s="24">
        <f>IFERROR(ROUND(MAX(1,(IF($V465&lt;=INDEX('Parametri Modello'!$C$57:$C$60,MATCH($B465,'Parametri Modello'!$A$57:$A$60,0)),IF(INDEX('Parametri Modello'!$E$57:$E$60,MATCH($B465,'Parametri Modello'!$A$57:$A$60,0))=0,0,($O465/INDEX('Parametri Modello'!$E$57:$E$60,MATCH($B465,'Parametri Modello'!$A$57:$A$60,0)))*(INDEX('Parametri Modello'!$D$57:$D$60,MATCH($B465,'Parametri Modello'!$A$57:$A$60,0))*(INDEX('Parametri Modello'!$B$50:$B$53,MATCH($B465,'Parametri Modello'!$A$50:$A$53,0))*'Parametri Modello'!$B$44))),IF(INDEX('Parametri Modello'!$F$57:$F$60,MATCH($B465,'Parametri Modello'!$A$57:$A$60,0))=0,0,($O465/INDEX('Parametri Modello'!$F$57:$F$60,MATCH($B465,'Parametri Modello'!$A$57:$A$60,0)))*((1-INDEX('Parametri Modello'!$D$57:$D$60,MATCH($B465,'Parametri Modello'!$A$57:$A$60,0)))*(INDEX('Parametri Modello'!$B$50:$B$53,MATCH($B465,'Parametri Modello'!$A$50:$A$53,0))*'Parametri Modello'!$B$44))))*(1+IF(IF($B465="D",'Info Lega'!$B$25,IF($B465="C",'Info Lega'!$B$26,"No"))="Si",'Parametri Modello'!$B$5,0))*(1+MAX(-0.25,MIN(0.25,IF(OR($T465="",$I465="",$I465=0,INDEX('Parametri Modello'!$B$19:$B$22,MATCH($B465,'Parametri Modello'!$A$19:$A$22,0))="",INDEX('Parametri Modello'!$B$19:$B$22,MATCH($B465,'Parametri Modello'!$A$19:$A$22,0))=0),0,(($T465-INDEX('Parametri Modello'!$B$19:$B$22,MATCH($B465,'Parametri Modello'!$A$19:$A$22,0)))/INDEX('Parametri Modello'!$B$19:$B$22,MATCH($B465,'Parametri Modello'!$A$19:$A$22,0)))*'Parametri Modello'!$B$9))))*(1+IF('Parametri Modello'!$B$27="Si",MAX(-'Parametri Modello'!$B$28,MIN('Parametri Modello'!$B$28*1.5,IF(OR(INDEX('Parametri Modello'!$F$32:$F$35,MATCH($B465,'Parametri Modello'!$A$32:$A$35,0))="",INDEX('Parametri Modello'!$F$32:$F$35,MATCH($B465,'Parametri Modello'!$A$32:$A$35,0))=0),0,(1/INDEX('Parametri Modello'!$F$32:$F$35,MATCH($B465,'Parametri Modello'!$A$32:$A$35,0))-1)*'Parametri Modello'!$B$28))),0)))*(1-INDEX('Parametri Modello'!$B$12:$B$15,MATCH($B465,'Parametri Modello'!$A$12:$A$15,0)))),0),"")</f>
        <v>1</v>
      </c>
      <c r="H465" s="24">
        <f>IFERROR(ROUND((IF($V465&lt;=INDEX('Parametri Modello'!$C$57:$C$60,MATCH($B465,'Parametri Modello'!$A$57:$A$60,0)),IF(INDEX('Parametri Modello'!$E$57:$E$60,MATCH($B465,'Parametri Modello'!$A$57:$A$60,0))=0,0,($O465/INDEX('Parametri Modello'!$E$57:$E$60,MATCH($B465,'Parametri Modello'!$A$57:$A$60,0)))*(INDEX('Parametri Modello'!$D$57:$D$60,MATCH($B465,'Parametri Modello'!$A$57:$A$60,0))*(INDEX('Parametri Modello'!$B$50:$B$53,MATCH($B465,'Parametri Modello'!$A$50:$A$53,0))*'Parametri Modello'!$B$44))),IF(INDEX('Parametri Modello'!$F$57:$F$60,MATCH($B465,'Parametri Modello'!$A$57:$A$60,0))=0,0,($O465/INDEX('Parametri Modello'!$F$57:$F$60,MATCH($B465,'Parametri Modello'!$A$57:$A$60,0)))*((1-INDEX('Parametri Modello'!$D$57:$D$60,MATCH($B465,'Parametri Modello'!$A$57:$A$60,0)))*(INDEX('Parametri Modello'!$B$50:$B$53,MATCH($B465,'Parametri Modello'!$A$50:$A$53,0))*'Parametri Modello'!$B$44))))*(1+IF(IF($B465="D",'Info Lega'!$B$25,IF($B465="C",'Info Lega'!$B$26,"No"))="Si",'Parametri Modello'!$B$5,0))*(1+MAX(-0.25,MIN(0.25,IF(OR($T465="",$I465="",$I465=0,INDEX('Parametri Modello'!$B$19:$B$22,MATCH($B465,'Parametri Modello'!$A$19:$A$22,0))="",INDEX('Parametri Modello'!$B$19:$B$22,MATCH($B465,'Parametri Modello'!$A$19:$A$22,0))=0),0,(($T465-INDEX('Parametri Modello'!$B$19:$B$22,MATCH($B465,'Parametri Modello'!$A$19:$A$22,0)))/INDEX('Parametri Modello'!$B$19:$B$22,MATCH($B465,'Parametri Modello'!$A$19:$A$22,0)))*'Parametri Modello'!$B$9))))*(1+IF('Parametri Modello'!$B$27="Si",MAX(-'Parametri Modello'!$B$28,MIN('Parametri Modello'!$B$28*1.5,IF(OR(INDEX('Parametri Modello'!$F$32:$F$35,MATCH($B465,'Parametri Modello'!$A$32:$A$35,0))="",INDEX('Parametri Modello'!$F$32:$F$35,MATCH($B465,'Parametri Modello'!$A$32:$A$35,0))=0),0,(1/INDEX('Parametri Modello'!$F$32:$F$35,MATCH($B465,'Parametri Modello'!$A$32:$A$35,0))-1)*'Parametri Modello'!$B$28))),0)))*(1+INDEX('Parametri Modello'!$B$12:$B$15,MATCH($B465,'Parametri Modello'!$A$12:$A$15,0))),0),"")</f>
        <v>0</v>
      </c>
      <c r="I465" s="23" t="str">
        <f>IFERROR(INDEX('Input Statistiche 2025_26'!$F$3:$F$665,MATCH($A465,'Input Statistiche 2025_26'!$A$3:$A$665,0)),"")</f>
        <v/>
      </c>
      <c r="J465" s="23" t="str">
        <f t="shared" si="63"/>
        <v/>
      </c>
      <c r="K465" s="23" t="str">
        <f>IFERROR(INDEX('Input Statistiche 2025_26'!$I$3:$I$665,MATCH($A465,'Input Statistiche 2025_26'!$A$3:$A$665,0)),"")</f>
        <v/>
      </c>
      <c r="L465" s="23" t="str">
        <f>IFERROR(INDEX('Input Statistiche 2025_26'!$O$3:$O$665,MATCH($A465,'Input Statistiche 2025_26'!$A$3:$A$665,0)),"")</f>
        <v/>
      </c>
      <c r="M465" s="25"/>
      <c r="N465" s="24">
        <f>IFERROR(INDEX('Input Giocatori 2026_27'!$E$3:$E$493,MATCH($A465,'Input Giocatori 2026_27'!$A$3:$A$493,0)),"")</f>
        <v>1</v>
      </c>
      <c r="O465" s="24">
        <f>IFERROR(INDEX('Input Giocatori 2026_27'!$G$3:$G$493,MATCH($A465,'Input Giocatori 2026_27'!$A$3:$A$493,0)),"")</f>
        <v>1</v>
      </c>
      <c r="P465" s="23" t="str">
        <f>IFERROR(IF($O465="","",IF((1-(COUNTIFS($B$2:$B$492,$B465,$O$2:$O$492,"&gt;"&amp;$O465)+1-1)/COUNTIF($B$2:$B$492,$B465))&gt;='Parametri Modello'!$B$63,"Top",IF((1-(COUNTIFS($B$2:$B$492,$B465,$O$2:$O$492,"&gt;"&amp;$O465)+1-1)/COUNTIF($B$2:$B$492,$B465))&gt;='Parametri Modello'!$B$64,"Buono",IF((1-(COUNTIFS($B$2:$B$492,$B465,$O$2:$O$492,"&gt;"&amp;$O465)+1-1)/COUNTIF($B$2:$B$492,$B465))&gt;='Parametri Modello'!$B$65,"Nella Media","Scommessa/Riserva")))),"")</f>
        <v>Nella Media</v>
      </c>
      <c r="Q465" s="26" t="str">
        <f>IF(AND($D465="",$N465&gt;1),SUMPRODUCT(($D$2:$D465="")*($N$2:$N465&gt;1)),"")</f>
        <v/>
      </c>
      <c r="R465" s="26" t="str">
        <f>IF($D465='Info Lega'!$B$28,COUNTIFS($D$2:$D465,'Info Lega'!$B$28),"")</f>
        <v/>
      </c>
      <c r="S465" s="27" t="str">
        <f>IFERROR(INDEX('Input Statistiche 2025_26'!$G$3:$G$665,MATCH($A465,'Input Statistiche 2025_26'!$A$3:$A$665,0)),"")</f>
        <v/>
      </c>
      <c r="T465" s="27" t="str">
        <f>IFERROR(INDEX('Input Statistiche 2025_26'!$H$3:$H$665,MATCH($A465,'Input Statistiche 2025_26'!$A$3:$A$665,0)),"")</f>
        <v/>
      </c>
      <c r="U465" s="23" t="str">
        <f>IF(OR('La Mia Rosa'!$O$12="",$D465&lt;&gt;""),"",IF($F465&lt;='La Mia Rosa'!$O$12*'Parametri Modello'!$B$24,"OK",IF($F465&lt;='La Mia Rosa'!$O$12*'Parametri Modello'!$B$25,"Attenzione","Rischio Alto")))</f>
        <v>OK</v>
      </c>
      <c r="V465" s="23">
        <f t="shared" si="64"/>
        <v>26</v>
      </c>
      <c r="W465" s="18">
        <f>'Info Lega'!$B$4-SUMIFS($M$2:$M$492,$D$2:$D$492,'Info Lega'!$B$28)</f>
        <v>1000</v>
      </c>
      <c r="X465" s="18">
        <f>('Info Lega'!$B$5-COUNTIFS($D$2:$D$492,'Info Lega'!$B$28,$B$2:$B$492,"P"))+('Info Lega'!$B$6-COUNTIFS($D$2:$D$492,'Info Lega'!$B$28,$B$2:$B$492,"D"))+('Info Lega'!$B$7-COUNTIFS($D$2:$D$492,'Info Lega'!$B$28,$B$2:$B$492,"C"))+('Info Lega'!$B$8-COUNTIFS($D$2:$D$492,'Info Lega'!$B$28,$B$2:$B$492,"A"))</f>
        <v>25</v>
      </c>
      <c r="Y465" s="18">
        <f>X465*'Parametri Modello'!$B$30</f>
        <v>25</v>
      </c>
      <c r="Z465" s="18">
        <f t="shared" si="65"/>
        <v>975</v>
      </c>
      <c r="AA465" s="18">
        <f t="shared" si="66"/>
        <v>0</v>
      </c>
      <c r="AB465" s="18"/>
      <c r="AC465" s="18" t="str">
        <f>IF($AB465="","",IF($AB465&gt;$AA465,"PASS",IF($AB465&lt;=$AA465*(1-'Parametri Modello'!$B$68),"BID","ATTENZIONE")))</f>
        <v/>
      </c>
      <c r="AD465" s="28" t="str">
        <f t="shared" si="67"/>
        <v/>
      </c>
      <c r="AE465" s="5" t="str">
        <f>IFERROR(INDEX('Stato Asta'!$G$9:$G$12,MATCH($B465,'Stato Asta'!$A$9:$A$12,0)),"")</f>
        <v>🔴 Non aspettare</v>
      </c>
      <c r="AF465" t="str">
        <f>IFERROR(IF($V465&lt;=INDEX('Parametri Modello'!$C$57:$C$60,MATCH($B465,'Parametri Modello'!$A$57:$A$60,0)),"Titolare","Riserva"),"")</f>
        <v>Riserva</v>
      </c>
      <c r="AG465" t="str">
        <f>IFERROR(INDEX('Pressione Competitiva'!$F$3:$F$6,MATCH($B465,'Pressione Competitiva'!$B$3:$B$6,0)),"")</f>
        <v>🔴 Molto Alta</v>
      </c>
      <c r="AH465" t="str">
        <f t="shared" si="68"/>
        <v/>
      </c>
      <c r="AI465" t="str">
        <f>IFERROR(IF($AH465="","",IF($AH465&gt;=$AA465*'Parametri Modello'!$B$68,"🟢 Opportunita'",IF($AH465&lt;=$AA465*'Parametri Modello'!$B$69,"🔴 Sovrapprezzo","🟡 Prezzo Corretto"))),"")</f>
        <v/>
      </c>
      <c r="AJ465" t="str">
        <f t="shared" si="69"/>
        <v/>
      </c>
      <c r="AK465" t="str">
        <f t="shared" si="70"/>
        <v/>
      </c>
      <c r="AL465" t="str">
        <f t="shared" si="71"/>
        <v/>
      </c>
    </row>
    <row r="466" spans="1:38" ht="14.25" customHeight="1" x14ac:dyDescent="0.25">
      <c r="A466" s="18">
        <v>610</v>
      </c>
      <c r="B466" s="18" t="s">
        <v>15</v>
      </c>
      <c r="C466" s="18" t="s">
        <v>605</v>
      </c>
      <c r="E466" s="23" t="str">
        <f>IF(COUNTIF('Info Strategia'!$D$2:$D$51,$C466)&gt;0,"SI","NO")</f>
        <v>NO</v>
      </c>
      <c r="F466" s="24">
        <f>IFERROR(ROUND(($G466+($H466-$G466)*'Info Strategia'!$B$6)*(1+IF($E466="SI",'Parametri Modello'!$B$7*'Info Strategia'!$B$6,0)),0),"")</f>
        <v>0</v>
      </c>
      <c r="G466" s="24">
        <f>IFERROR(ROUND(MAX(1,(IF($V466&lt;=INDEX('Parametri Modello'!$C$57:$C$60,MATCH($B466,'Parametri Modello'!$A$57:$A$60,0)),IF(INDEX('Parametri Modello'!$E$57:$E$60,MATCH($B466,'Parametri Modello'!$A$57:$A$60,0))=0,0,($O466/INDEX('Parametri Modello'!$E$57:$E$60,MATCH($B466,'Parametri Modello'!$A$57:$A$60,0)))*(INDEX('Parametri Modello'!$D$57:$D$60,MATCH($B466,'Parametri Modello'!$A$57:$A$60,0))*(INDEX('Parametri Modello'!$B$50:$B$53,MATCH($B466,'Parametri Modello'!$A$50:$A$53,0))*'Parametri Modello'!$B$44))),IF(INDEX('Parametri Modello'!$F$57:$F$60,MATCH($B466,'Parametri Modello'!$A$57:$A$60,0))=0,0,($O466/INDEX('Parametri Modello'!$F$57:$F$60,MATCH($B466,'Parametri Modello'!$A$57:$A$60,0)))*((1-INDEX('Parametri Modello'!$D$57:$D$60,MATCH($B466,'Parametri Modello'!$A$57:$A$60,0)))*(INDEX('Parametri Modello'!$B$50:$B$53,MATCH($B466,'Parametri Modello'!$A$50:$A$53,0))*'Parametri Modello'!$B$44))))*(1+IF(IF($B466="D",'Info Lega'!$B$25,IF($B466="C",'Info Lega'!$B$26,"No"))="Si",'Parametri Modello'!$B$5,0))*(1+MAX(-0.25,MIN(0.25,IF(OR($T466="",$I466="",$I466=0,INDEX('Parametri Modello'!$B$19:$B$22,MATCH($B466,'Parametri Modello'!$A$19:$A$22,0))="",INDEX('Parametri Modello'!$B$19:$B$22,MATCH($B466,'Parametri Modello'!$A$19:$A$22,0))=0),0,(($T466-INDEX('Parametri Modello'!$B$19:$B$22,MATCH($B466,'Parametri Modello'!$A$19:$A$22,0)))/INDEX('Parametri Modello'!$B$19:$B$22,MATCH($B466,'Parametri Modello'!$A$19:$A$22,0)))*'Parametri Modello'!$B$9))))*(1+IF('Parametri Modello'!$B$27="Si",MAX(-'Parametri Modello'!$B$28,MIN('Parametri Modello'!$B$28*1.5,IF(OR(INDEX('Parametri Modello'!$F$32:$F$35,MATCH($B466,'Parametri Modello'!$A$32:$A$35,0))="",INDEX('Parametri Modello'!$F$32:$F$35,MATCH($B466,'Parametri Modello'!$A$32:$A$35,0))=0),0,(1/INDEX('Parametri Modello'!$F$32:$F$35,MATCH($B466,'Parametri Modello'!$A$32:$A$35,0))-1)*'Parametri Modello'!$B$28))),0)))*(1-INDEX('Parametri Modello'!$B$12:$B$15,MATCH($B466,'Parametri Modello'!$A$12:$A$15,0)))),0),"")</f>
        <v>1</v>
      </c>
      <c r="H466" s="24">
        <f>IFERROR(ROUND((IF($V466&lt;=INDEX('Parametri Modello'!$C$57:$C$60,MATCH($B466,'Parametri Modello'!$A$57:$A$60,0)),IF(INDEX('Parametri Modello'!$E$57:$E$60,MATCH($B466,'Parametri Modello'!$A$57:$A$60,0))=0,0,($O466/INDEX('Parametri Modello'!$E$57:$E$60,MATCH($B466,'Parametri Modello'!$A$57:$A$60,0)))*(INDEX('Parametri Modello'!$D$57:$D$60,MATCH($B466,'Parametri Modello'!$A$57:$A$60,0))*(INDEX('Parametri Modello'!$B$50:$B$53,MATCH($B466,'Parametri Modello'!$A$50:$A$53,0))*'Parametri Modello'!$B$44))),IF(INDEX('Parametri Modello'!$F$57:$F$60,MATCH($B466,'Parametri Modello'!$A$57:$A$60,0))=0,0,($O466/INDEX('Parametri Modello'!$F$57:$F$60,MATCH($B466,'Parametri Modello'!$A$57:$A$60,0)))*((1-INDEX('Parametri Modello'!$D$57:$D$60,MATCH($B466,'Parametri Modello'!$A$57:$A$60,0)))*(INDEX('Parametri Modello'!$B$50:$B$53,MATCH($B466,'Parametri Modello'!$A$50:$A$53,0))*'Parametri Modello'!$B$44))))*(1+IF(IF($B466="D",'Info Lega'!$B$25,IF($B466="C",'Info Lega'!$B$26,"No"))="Si",'Parametri Modello'!$B$5,0))*(1+MAX(-0.25,MIN(0.25,IF(OR($T466="",$I466="",$I466=0,INDEX('Parametri Modello'!$B$19:$B$22,MATCH($B466,'Parametri Modello'!$A$19:$A$22,0))="",INDEX('Parametri Modello'!$B$19:$B$22,MATCH($B466,'Parametri Modello'!$A$19:$A$22,0))=0),0,(($T466-INDEX('Parametri Modello'!$B$19:$B$22,MATCH($B466,'Parametri Modello'!$A$19:$A$22,0)))/INDEX('Parametri Modello'!$B$19:$B$22,MATCH($B466,'Parametri Modello'!$A$19:$A$22,0)))*'Parametri Modello'!$B$9))))*(1+IF('Parametri Modello'!$B$27="Si",MAX(-'Parametri Modello'!$B$28,MIN('Parametri Modello'!$B$28*1.5,IF(OR(INDEX('Parametri Modello'!$F$32:$F$35,MATCH($B466,'Parametri Modello'!$A$32:$A$35,0))="",INDEX('Parametri Modello'!$F$32:$F$35,MATCH($B466,'Parametri Modello'!$A$32:$A$35,0))=0),0,(1/INDEX('Parametri Modello'!$F$32:$F$35,MATCH($B466,'Parametri Modello'!$A$32:$A$35,0))-1)*'Parametri Modello'!$B$28))),0)))*(1+INDEX('Parametri Modello'!$B$12:$B$15,MATCH($B466,'Parametri Modello'!$A$12:$A$15,0))),0),"")</f>
        <v>0</v>
      </c>
      <c r="I466" s="23">
        <f>IFERROR(INDEX('Input Statistiche 2025_26'!$F$3:$F$665,MATCH($A466,'Input Statistiche 2025_26'!$A$3:$A$665,0)),"")</f>
        <v>0</v>
      </c>
      <c r="J466" s="23">
        <f t="shared" si="63"/>
        <v>38</v>
      </c>
      <c r="K466" s="23">
        <f>IFERROR(INDEX('Input Statistiche 2025_26'!$I$3:$I$665,MATCH($A466,'Input Statistiche 2025_26'!$A$3:$A$665,0)),"")</f>
        <v>0</v>
      </c>
      <c r="L466" s="23">
        <f>IFERROR(INDEX('Input Statistiche 2025_26'!$O$3:$O$665,MATCH($A466,'Input Statistiche 2025_26'!$A$3:$A$665,0)),"")</f>
        <v>0</v>
      </c>
      <c r="M466" s="25"/>
      <c r="N466" s="24">
        <f>IFERROR(INDEX('Input Giocatori 2026_27'!$E$3:$E$493,MATCH($A466,'Input Giocatori 2026_27'!$A$3:$A$493,0)),"")</f>
        <v>1</v>
      </c>
      <c r="O466" s="24">
        <f>IFERROR(INDEX('Input Giocatori 2026_27'!$G$3:$G$493,MATCH($A466,'Input Giocatori 2026_27'!$A$3:$A$493,0)),"")</f>
        <v>1</v>
      </c>
      <c r="P466" s="23" t="str">
        <f>IFERROR(IF($O466="","",IF((1-(COUNTIFS($B$2:$B$492,$B466,$O$2:$O$492,"&gt;"&amp;$O466)+1-1)/COUNTIF($B$2:$B$492,$B466))&gt;='Parametri Modello'!$B$63,"Top",IF((1-(COUNTIFS($B$2:$B$492,$B466,$O$2:$O$492,"&gt;"&amp;$O466)+1-1)/COUNTIF($B$2:$B$492,$B466))&gt;='Parametri Modello'!$B$64,"Buono",IF((1-(COUNTIFS($B$2:$B$492,$B466,$O$2:$O$492,"&gt;"&amp;$O466)+1-1)/COUNTIF($B$2:$B$492,$B466))&gt;='Parametri Modello'!$B$65,"Nella Media","Scommessa/Riserva")))),"")</f>
        <v>Nella Media</v>
      </c>
      <c r="Q466" s="26" t="str">
        <f>IF(AND($D466="",$N466&gt;1),SUMPRODUCT(($D$2:$D466="")*($N$2:$N466&gt;1)),"")</f>
        <v/>
      </c>
      <c r="R466" s="26" t="str">
        <f>IF($D466='Info Lega'!$B$28,COUNTIFS($D$2:$D466,'Info Lega'!$B$28),"")</f>
        <v/>
      </c>
      <c r="S466" s="27">
        <f>IFERROR(INDEX('Input Statistiche 2025_26'!$G$3:$G$665,MATCH($A466,'Input Statistiche 2025_26'!$A$3:$A$665,0)),"")</f>
        <v>0</v>
      </c>
      <c r="T466" s="27">
        <f>IFERROR(INDEX('Input Statistiche 2025_26'!$H$3:$H$665,MATCH($A466,'Input Statistiche 2025_26'!$A$3:$A$665,0)),"")</f>
        <v>0</v>
      </c>
      <c r="U466" s="23" t="str">
        <f>IF(OR('La Mia Rosa'!$O$12="",$D466&lt;&gt;""),"",IF($F466&lt;='La Mia Rosa'!$O$12*'Parametri Modello'!$B$24,"OK",IF($F466&lt;='La Mia Rosa'!$O$12*'Parametri Modello'!$B$25,"Attenzione","Rischio Alto")))</f>
        <v>OK</v>
      </c>
      <c r="V466" s="23">
        <f t="shared" si="64"/>
        <v>26</v>
      </c>
      <c r="W466" s="18">
        <f>'Info Lega'!$B$4-SUMIFS($M$2:$M$492,$D$2:$D$492,'Info Lega'!$B$28)</f>
        <v>1000</v>
      </c>
      <c r="X466" s="18">
        <f>('Info Lega'!$B$5-COUNTIFS($D$2:$D$492,'Info Lega'!$B$28,$B$2:$B$492,"P"))+('Info Lega'!$B$6-COUNTIFS($D$2:$D$492,'Info Lega'!$B$28,$B$2:$B$492,"D"))+('Info Lega'!$B$7-COUNTIFS($D$2:$D$492,'Info Lega'!$B$28,$B$2:$B$492,"C"))+('Info Lega'!$B$8-COUNTIFS($D$2:$D$492,'Info Lega'!$B$28,$B$2:$B$492,"A"))</f>
        <v>25</v>
      </c>
      <c r="Y466" s="18">
        <f>X466*'Parametri Modello'!$B$30</f>
        <v>25</v>
      </c>
      <c r="Z466" s="18">
        <f t="shared" si="65"/>
        <v>975</v>
      </c>
      <c r="AA466" s="18">
        <f t="shared" si="66"/>
        <v>0</v>
      </c>
      <c r="AB466" s="18"/>
      <c r="AC466" s="18" t="str">
        <f>IF($AB466="","",IF($AB466&gt;$AA466,"PASS",IF($AB466&lt;=$AA466*(1-'Parametri Modello'!$B$68),"BID","ATTENZIONE")))</f>
        <v/>
      </c>
      <c r="AD466" s="28">
        <f t="shared" si="67"/>
        <v>0</v>
      </c>
      <c r="AE466" s="5" t="str">
        <f>IFERROR(INDEX('Stato Asta'!$G$9:$G$12,MATCH($B466,'Stato Asta'!$A$9:$A$12,0)),"")</f>
        <v>🔴 Non aspettare</v>
      </c>
      <c r="AF466" t="str">
        <f>IFERROR(IF($V466&lt;=INDEX('Parametri Modello'!$C$57:$C$60,MATCH($B466,'Parametri Modello'!$A$57:$A$60,0)),"Titolare","Riserva"),"")</f>
        <v>Riserva</v>
      </c>
      <c r="AG466" t="str">
        <f>IFERROR(INDEX('Pressione Competitiva'!$F$3:$F$6,MATCH($B466,'Pressione Competitiva'!$B$3:$B$6,0)),"")</f>
        <v>🔴 Molto Alta</v>
      </c>
      <c r="AH466" t="str">
        <f t="shared" si="68"/>
        <v/>
      </c>
      <c r="AI466" t="str">
        <f>IFERROR(IF($AH466="","",IF($AH466&gt;=$AA466*'Parametri Modello'!$B$68,"🟢 Opportunita'",IF($AH466&lt;=$AA466*'Parametri Modello'!$B$69,"🔴 Sovrapprezzo","🟡 Prezzo Corretto"))),"")</f>
        <v/>
      </c>
      <c r="AJ466" t="str">
        <f t="shared" si="69"/>
        <v/>
      </c>
      <c r="AK466" t="str">
        <f t="shared" si="70"/>
        <v/>
      </c>
      <c r="AL466" t="str">
        <f t="shared" si="71"/>
        <v/>
      </c>
    </row>
    <row r="467" spans="1:38" ht="14.25" customHeight="1" x14ac:dyDescent="0.25">
      <c r="A467" s="18">
        <v>4518</v>
      </c>
      <c r="B467" s="18" t="s">
        <v>15</v>
      </c>
      <c r="C467" s="18" t="s">
        <v>606</v>
      </c>
      <c r="E467" s="23" t="str">
        <f>IF(COUNTIF('Info Strategia'!$D$2:$D$51,$C467)&gt;0,"SI","NO")</f>
        <v>NO</v>
      </c>
      <c r="F467" s="24">
        <f>IFERROR(ROUND(($G467+($H467-$G467)*'Info Strategia'!$B$6)*(1+IF($E467="SI",'Parametri Modello'!$B$7*'Info Strategia'!$B$6,0)),0),"")</f>
        <v>0</v>
      </c>
      <c r="G467" s="24">
        <f>IFERROR(ROUND(MAX(1,(IF($V467&lt;=INDEX('Parametri Modello'!$C$57:$C$60,MATCH($B467,'Parametri Modello'!$A$57:$A$60,0)),IF(INDEX('Parametri Modello'!$E$57:$E$60,MATCH($B467,'Parametri Modello'!$A$57:$A$60,0))=0,0,($O467/INDEX('Parametri Modello'!$E$57:$E$60,MATCH($B467,'Parametri Modello'!$A$57:$A$60,0)))*(INDEX('Parametri Modello'!$D$57:$D$60,MATCH($B467,'Parametri Modello'!$A$57:$A$60,0))*(INDEX('Parametri Modello'!$B$50:$B$53,MATCH($B467,'Parametri Modello'!$A$50:$A$53,0))*'Parametri Modello'!$B$44))),IF(INDEX('Parametri Modello'!$F$57:$F$60,MATCH($B467,'Parametri Modello'!$A$57:$A$60,0))=0,0,($O467/INDEX('Parametri Modello'!$F$57:$F$60,MATCH($B467,'Parametri Modello'!$A$57:$A$60,0)))*((1-INDEX('Parametri Modello'!$D$57:$D$60,MATCH($B467,'Parametri Modello'!$A$57:$A$60,0)))*(INDEX('Parametri Modello'!$B$50:$B$53,MATCH($B467,'Parametri Modello'!$A$50:$A$53,0))*'Parametri Modello'!$B$44))))*(1+IF(IF($B467="D",'Info Lega'!$B$25,IF($B467="C",'Info Lega'!$B$26,"No"))="Si",'Parametri Modello'!$B$5,0))*(1+MAX(-0.25,MIN(0.25,IF(OR($T467="",$I467="",$I467=0,INDEX('Parametri Modello'!$B$19:$B$22,MATCH($B467,'Parametri Modello'!$A$19:$A$22,0))="",INDEX('Parametri Modello'!$B$19:$B$22,MATCH($B467,'Parametri Modello'!$A$19:$A$22,0))=0),0,(($T467-INDEX('Parametri Modello'!$B$19:$B$22,MATCH($B467,'Parametri Modello'!$A$19:$A$22,0)))/INDEX('Parametri Modello'!$B$19:$B$22,MATCH($B467,'Parametri Modello'!$A$19:$A$22,0)))*'Parametri Modello'!$B$9))))*(1+IF('Parametri Modello'!$B$27="Si",MAX(-'Parametri Modello'!$B$28,MIN('Parametri Modello'!$B$28*1.5,IF(OR(INDEX('Parametri Modello'!$F$32:$F$35,MATCH($B467,'Parametri Modello'!$A$32:$A$35,0))="",INDEX('Parametri Modello'!$F$32:$F$35,MATCH($B467,'Parametri Modello'!$A$32:$A$35,0))=0),0,(1/INDEX('Parametri Modello'!$F$32:$F$35,MATCH($B467,'Parametri Modello'!$A$32:$A$35,0))-1)*'Parametri Modello'!$B$28))),0)))*(1-INDEX('Parametri Modello'!$B$12:$B$15,MATCH($B467,'Parametri Modello'!$A$12:$A$15,0)))),0),"")</f>
        <v>1</v>
      </c>
      <c r="H467" s="24">
        <f>IFERROR(ROUND((IF($V467&lt;=INDEX('Parametri Modello'!$C$57:$C$60,MATCH($B467,'Parametri Modello'!$A$57:$A$60,0)),IF(INDEX('Parametri Modello'!$E$57:$E$60,MATCH($B467,'Parametri Modello'!$A$57:$A$60,0))=0,0,($O467/INDEX('Parametri Modello'!$E$57:$E$60,MATCH($B467,'Parametri Modello'!$A$57:$A$60,0)))*(INDEX('Parametri Modello'!$D$57:$D$60,MATCH($B467,'Parametri Modello'!$A$57:$A$60,0))*(INDEX('Parametri Modello'!$B$50:$B$53,MATCH($B467,'Parametri Modello'!$A$50:$A$53,0))*'Parametri Modello'!$B$44))),IF(INDEX('Parametri Modello'!$F$57:$F$60,MATCH($B467,'Parametri Modello'!$A$57:$A$60,0))=0,0,($O467/INDEX('Parametri Modello'!$F$57:$F$60,MATCH($B467,'Parametri Modello'!$A$57:$A$60,0)))*((1-INDEX('Parametri Modello'!$D$57:$D$60,MATCH($B467,'Parametri Modello'!$A$57:$A$60,0)))*(INDEX('Parametri Modello'!$B$50:$B$53,MATCH($B467,'Parametri Modello'!$A$50:$A$53,0))*'Parametri Modello'!$B$44))))*(1+IF(IF($B467="D",'Info Lega'!$B$25,IF($B467="C",'Info Lega'!$B$26,"No"))="Si",'Parametri Modello'!$B$5,0))*(1+MAX(-0.25,MIN(0.25,IF(OR($T467="",$I467="",$I467=0,INDEX('Parametri Modello'!$B$19:$B$22,MATCH($B467,'Parametri Modello'!$A$19:$A$22,0))="",INDEX('Parametri Modello'!$B$19:$B$22,MATCH($B467,'Parametri Modello'!$A$19:$A$22,0))=0),0,(($T467-INDEX('Parametri Modello'!$B$19:$B$22,MATCH($B467,'Parametri Modello'!$A$19:$A$22,0)))/INDEX('Parametri Modello'!$B$19:$B$22,MATCH($B467,'Parametri Modello'!$A$19:$A$22,0)))*'Parametri Modello'!$B$9))))*(1+IF('Parametri Modello'!$B$27="Si",MAX(-'Parametri Modello'!$B$28,MIN('Parametri Modello'!$B$28*1.5,IF(OR(INDEX('Parametri Modello'!$F$32:$F$35,MATCH($B467,'Parametri Modello'!$A$32:$A$35,0))="",INDEX('Parametri Modello'!$F$32:$F$35,MATCH($B467,'Parametri Modello'!$A$32:$A$35,0))=0),0,(1/INDEX('Parametri Modello'!$F$32:$F$35,MATCH($B467,'Parametri Modello'!$A$32:$A$35,0))-1)*'Parametri Modello'!$B$28))),0)))*(1+INDEX('Parametri Modello'!$B$12:$B$15,MATCH($B467,'Parametri Modello'!$A$12:$A$15,0))),0),"")</f>
        <v>0</v>
      </c>
      <c r="I467" s="23">
        <f>IFERROR(INDEX('Input Statistiche 2025_26'!$F$3:$F$665,MATCH($A467,'Input Statistiche 2025_26'!$A$3:$A$665,0)),"")</f>
        <v>0</v>
      </c>
      <c r="J467" s="23">
        <f t="shared" si="63"/>
        <v>38</v>
      </c>
      <c r="K467" s="23">
        <f>IFERROR(INDEX('Input Statistiche 2025_26'!$I$3:$I$665,MATCH($A467,'Input Statistiche 2025_26'!$A$3:$A$665,0)),"")</f>
        <v>0</v>
      </c>
      <c r="L467" s="23">
        <f>IFERROR(INDEX('Input Statistiche 2025_26'!$O$3:$O$665,MATCH($A467,'Input Statistiche 2025_26'!$A$3:$A$665,0)),"")</f>
        <v>0</v>
      </c>
      <c r="M467" s="25"/>
      <c r="N467" s="24">
        <f>IFERROR(INDEX('Input Giocatori 2026_27'!$E$3:$E$493,MATCH($A467,'Input Giocatori 2026_27'!$A$3:$A$493,0)),"")</f>
        <v>1</v>
      </c>
      <c r="O467" s="24">
        <f>IFERROR(INDEX('Input Giocatori 2026_27'!$G$3:$G$493,MATCH($A467,'Input Giocatori 2026_27'!$A$3:$A$493,0)),"")</f>
        <v>1</v>
      </c>
      <c r="P467" s="23" t="str">
        <f>IFERROR(IF($O467="","",IF((1-(COUNTIFS($B$2:$B$492,$B467,$O$2:$O$492,"&gt;"&amp;$O467)+1-1)/COUNTIF($B$2:$B$492,$B467))&gt;='Parametri Modello'!$B$63,"Top",IF((1-(COUNTIFS($B$2:$B$492,$B467,$O$2:$O$492,"&gt;"&amp;$O467)+1-1)/COUNTIF($B$2:$B$492,$B467))&gt;='Parametri Modello'!$B$64,"Buono",IF((1-(COUNTIFS($B$2:$B$492,$B467,$O$2:$O$492,"&gt;"&amp;$O467)+1-1)/COUNTIF($B$2:$B$492,$B467))&gt;='Parametri Modello'!$B$65,"Nella Media","Scommessa/Riserva")))),"")</f>
        <v>Nella Media</v>
      </c>
      <c r="Q467" s="26" t="str">
        <f>IF(AND($D467="",$N467&gt;1),SUMPRODUCT(($D$2:$D467="")*($N$2:$N467&gt;1)),"")</f>
        <v/>
      </c>
      <c r="R467" s="26" t="str">
        <f>IF($D467='Info Lega'!$B$28,COUNTIFS($D$2:$D467,'Info Lega'!$B$28),"")</f>
        <v/>
      </c>
      <c r="S467" s="27">
        <f>IFERROR(INDEX('Input Statistiche 2025_26'!$G$3:$G$665,MATCH($A467,'Input Statistiche 2025_26'!$A$3:$A$665,0)),"")</f>
        <v>0</v>
      </c>
      <c r="T467" s="27">
        <f>IFERROR(INDEX('Input Statistiche 2025_26'!$H$3:$H$665,MATCH($A467,'Input Statistiche 2025_26'!$A$3:$A$665,0)),"")</f>
        <v>0</v>
      </c>
      <c r="U467" s="23" t="str">
        <f>IF(OR('La Mia Rosa'!$O$12="",$D467&lt;&gt;""),"",IF($F467&lt;='La Mia Rosa'!$O$12*'Parametri Modello'!$B$24,"OK",IF($F467&lt;='La Mia Rosa'!$O$12*'Parametri Modello'!$B$25,"Attenzione","Rischio Alto")))</f>
        <v>OK</v>
      </c>
      <c r="V467" s="23">
        <f t="shared" si="64"/>
        <v>26</v>
      </c>
      <c r="W467" s="18">
        <f>'Info Lega'!$B$4-SUMIFS($M$2:$M$492,$D$2:$D$492,'Info Lega'!$B$28)</f>
        <v>1000</v>
      </c>
      <c r="X467" s="18">
        <f>('Info Lega'!$B$5-COUNTIFS($D$2:$D$492,'Info Lega'!$B$28,$B$2:$B$492,"P"))+('Info Lega'!$B$6-COUNTIFS($D$2:$D$492,'Info Lega'!$B$28,$B$2:$B$492,"D"))+('Info Lega'!$B$7-COUNTIFS($D$2:$D$492,'Info Lega'!$B$28,$B$2:$B$492,"C"))+('Info Lega'!$B$8-COUNTIFS($D$2:$D$492,'Info Lega'!$B$28,$B$2:$B$492,"A"))</f>
        <v>25</v>
      </c>
      <c r="Y467" s="18">
        <f>X467*'Parametri Modello'!$B$30</f>
        <v>25</v>
      </c>
      <c r="Z467" s="18">
        <f t="shared" si="65"/>
        <v>975</v>
      </c>
      <c r="AA467" s="18">
        <f t="shared" si="66"/>
        <v>0</v>
      </c>
      <c r="AB467" s="18"/>
      <c r="AC467" s="18" t="str">
        <f>IF($AB467="","",IF($AB467&gt;$AA467,"PASS",IF($AB467&lt;=$AA467*(1-'Parametri Modello'!$B$68),"BID","ATTENZIONE")))</f>
        <v/>
      </c>
      <c r="AD467" s="28">
        <f t="shared" si="67"/>
        <v>0</v>
      </c>
      <c r="AE467" s="5" t="str">
        <f>IFERROR(INDEX('Stato Asta'!$G$9:$G$12,MATCH($B467,'Stato Asta'!$A$9:$A$12,0)),"")</f>
        <v>🔴 Non aspettare</v>
      </c>
      <c r="AF467" t="str">
        <f>IFERROR(IF($V467&lt;=INDEX('Parametri Modello'!$C$57:$C$60,MATCH($B467,'Parametri Modello'!$A$57:$A$60,0)),"Titolare","Riserva"),"")</f>
        <v>Riserva</v>
      </c>
      <c r="AG467" t="str">
        <f>IFERROR(INDEX('Pressione Competitiva'!$F$3:$F$6,MATCH($B467,'Pressione Competitiva'!$B$3:$B$6,0)),"")</f>
        <v>🔴 Molto Alta</v>
      </c>
      <c r="AH467" t="str">
        <f t="shared" si="68"/>
        <v/>
      </c>
      <c r="AI467" t="str">
        <f>IFERROR(IF($AH467="","",IF($AH467&gt;=$AA467*'Parametri Modello'!$B$68,"🟢 Opportunita'",IF($AH467&lt;=$AA467*'Parametri Modello'!$B$69,"🔴 Sovrapprezzo","🟡 Prezzo Corretto"))),"")</f>
        <v/>
      </c>
      <c r="AJ467" t="str">
        <f t="shared" si="69"/>
        <v/>
      </c>
      <c r="AK467" t="str">
        <f t="shared" si="70"/>
        <v/>
      </c>
      <c r="AL467" t="str">
        <f t="shared" si="71"/>
        <v/>
      </c>
    </row>
    <row r="468" spans="1:38" ht="14.25" customHeight="1" x14ac:dyDescent="0.25">
      <c r="A468" s="18">
        <v>7457</v>
      </c>
      <c r="B468" s="18" t="s">
        <v>15</v>
      </c>
      <c r="C468" s="18" t="s">
        <v>607</v>
      </c>
      <c r="E468" s="23" t="str">
        <f>IF(COUNTIF('Info Strategia'!$D$2:$D$51,$C468)&gt;0,"SI","NO")</f>
        <v>NO</v>
      </c>
      <c r="F468" s="24">
        <f>IFERROR(ROUND(($G468+($H468-$G468)*'Info Strategia'!$B$6)*(1+IF($E468="SI",'Parametri Modello'!$B$7*'Info Strategia'!$B$6,0)),0),"")</f>
        <v>0</v>
      </c>
      <c r="G468" s="24">
        <f>IFERROR(ROUND(MAX(1,(IF($V468&lt;=INDEX('Parametri Modello'!$C$57:$C$60,MATCH($B468,'Parametri Modello'!$A$57:$A$60,0)),IF(INDEX('Parametri Modello'!$E$57:$E$60,MATCH($B468,'Parametri Modello'!$A$57:$A$60,0))=0,0,($O468/INDEX('Parametri Modello'!$E$57:$E$60,MATCH($B468,'Parametri Modello'!$A$57:$A$60,0)))*(INDEX('Parametri Modello'!$D$57:$D$60,MATCH($B468,'Parametri Modello'!$A$57:$A$60,0))*(INDEX('Parametri Modello'!$B$50:$B$53,MATCH($B468,'Parametri Modello'!$A$50:$A$53,0))*'Parametri Modello'!$B$44))),IF(INDEX('Parametri Modello'!$F$57:$F$60,MATCH($B468,'Parametri Modello'!$A$57:$A$60,0))=0,0,($O468/INDEX('Parametri Modello'!$F$57:$F$60,MATCH($B468,'Parametri Modello'!$A$57:$A$60,0)))*((1-INDEX('Parametri Modello'!$D$57:$D$60,MATCH($B468,'Parametri Modello'!$A$57:$A$60,0)))*(INDEX('Parametri Modello'!$B$50:$B$53,MATCH($B468,'Parametri Modello'!$A$50:$A$53,0))*'Parametri Modello'!$B$44))))*(1+IF(IF($B468="D",'Info Lega'!$B$25,IF($B468="C",'Info Lega'!$B$26,"No"))="Si",'Parametri Modello'!$B$5,0))*(1+MAX(-0.25,MIN(0.25,IF(OR($T468="",$I468="",$I468=0,INDEX('Parametri Modello'!$B$19:$B$22,MATCH($B468,'Parametri Modello'!$A$19:$A$22,0))="",INDEX('Parametri Modello'!$B$19:$B$22,MATCH($B468,'Parametri Modello'!$A$19:$A$22,0))=0),0,(($T468-INDEX('Parametri Modello'!$B$19:$B$22,MATCH($B468,'Parametri Modello'!$A$19:$A$22,0)))/INDEX('Parametri Modello'!$B$19:$B$22,MATCH($B468,'Parametri Modello'!$A$19:$A$22,0)))*'Parametri Modello'!$B$9))))*(1+IF('Parametri Modello'!$B$27="Si",MAX(-'Parametri Modello'!$B$28,MIN('Parametri Modello'!$B$28*1.5,IF(OR(INDEX('Parametri Modello'!$F$32:$F$35,MATCH($B468,'Parametri Modello'!$A$32:$A$35,0))="",INDEX('Parametri Modello'!$F$32:$F$35,MATCH($B468,'Parametri Modello'!$A$32:$A$35,0))=0),0,(1/INDEX('Parametri Modello'!$F$32:$F$35,MATCH($B468,'Parametri Modello'!$A$32:$A$35,0))-1)*'Parametri Modello'!$B$28))),0)))*(1-INDEX('Parametri Modello'!$B$12:$B$15,MATCH($B468,'Parametri Modello'!$A$12:$A$15,0)))),0),"")</f>
        <v>1</v>
      </c>
      <c r="H468" s="24">
        <f>IFERROR(ROUND((IF($V468&lt;=INDEX('Parametri Modello'!$C$57:$C$60,MATCH($B468,'Parametri Modello'!$A$57:$A$60,0)),IF(INDEX('Parametri Modello'!$E$57:$E$60,MATCH($B468,'Parametri Modello'!$A$57:$A$60,0))=0,0,($O468/INDEX('Parametri Modello'!$E$57:$E$60,MATCH($B468,'Parametri Modello'!$A$57:$A$60,0)))*(INDEX('Parametri Modello'!$D$57:$D$60,MATCH($B468,'Parametri Modello'!$A$57:$A$60,0))*(INDEX('Parametri Modello'!$B$50:$B$53,MATCH($B468,'Parametri Modello'!$A$50:$A$53,0))*'Parametri Modello'!$B$44))),IF(INDEX('Parametri Modello'!$F$57:$F$60,MATCH($B468,'Parametri Modello'!$A$57:$A$60,0))=0,0,($O468/INDEX('Parametri Modello'!$F$57:$F$60,MATCH($B468,'Parametri Modello'!$A$57:$A$60,0)))*((1-INDEX('Parametri Modello'!$D$57:$D$60,MATCH($B468,'Parametri Modello'!$A$57:$A$60,0)))*(INDEX('Parametri Modello'!$B$50:$B$53,MATCH($B468,'Parametri Modello'!$A$50:$A$53,0))*'Parametri Modello'!$B$44))))*(1+IF(IF($B468="D",'Info Lega'!$B$25,IF($B468="C",'Info Lega'!$B$26,"No"))="Si",'Parametri Modello'!$B$5,0))*(1+MAX(-0.25,MIN(0.25,IF(OR($T468="",$I468="",$I468=0,INDEX('Parametri Modello'!$B$19:$B$22,MATCH($B468,'Parametri Modello'!$A$19:$A$22,0))="",INDEX('Parametri Modello'!$B$19:$B$22,MATCH($B468,'Parametri Modello'!$A$19:$A$22,0))=0),0,(($T468-INDEX('Parametri Modello'!$B$19:$B$22,MATCH($B468,'Parametri Modello'!$A$19:$A$22,0)))/INDEX('Parametri Modello'!$B$19:$B$22,MATCH($B468,'Parametri Modello'!$A$19:$A$22,0)))*'Parametri Modello'!$B$9))))*(1+IF('Parametri Modello'!$B$27="Si",MAX(-'Parametri Modello'!$B$28,MIN('Parametri Modello'!$B$28*1.5,IF(OR(INDEX('Parametri Modello'!$F$32:$F$35,MATCH($B468,'Parametri Modello'!$A$32:$A$35,0))="",INDEX('Parametri Modello'!$F$32:$F$35,MATCH($B468,'Parametri Modello'!$A$32:$A$35,0))=0),0,(1/INDEX('Parametri Modello'!$F$32:$F$35,MATCH($B468,'Parametri Modello'!$A$32:$A$35,0))-1)*'Parametri Modello'!$B$28))),0)))*(1+INDEX('Parametri Modello'!$B$12:$B$15,MATCH($B468,'Parametri Modello'!$A$12:$A$15,0))),0),"")</f>
        <v>0</v>
      </c>
      <c r="I468" s="23" t="str">
        <f>IFERROR(INDEX('Input Statistiche 2025_26'!$F$3:$F$665,MATCH($A468,'Input Statistiche 2025_26'!$A$3:$A$665,0)),"")</f>
        <v/>
      </c>
      <c r="J468" s="23" t="str">
        <f t="shared" si="63"/>
        <v/>
      </c>
      <c r="K468" s="23" t="str">
        <f>IFERROR(INDEX('Input Statistiche 2025_26'!$I$3:$I$665,MATCH($A468,'Input Statistiche 2025_26'!$A$3:$A$665,0)),"")</f>
        <v/>
      </c>
      <c r="L468" s="23" t="str">
        <f>IFERROR(INDEX('Input Statistiche 2025_26'!$O$3:$O$665,MATCH($A468,'Input Statistiche 2025_26'!$A$3:$A$665,0)),"")</f>
        <v/>
      </c>
      <c r="M468" s="25"/>
      <c r="N468" s="24">
        <f>IFERROR(INDEX('Input Giocatori 2026_27'!$E$3:$E$493,MATCH($A468,'Input Giocatori 2026_27'!$A$3:$A$493,0)),"")</f>
        <v>1</v>
      </c>
      <c r="O468" s="24">
        <f>IFERROR(INDEX('Input Giocatori 2026_27'!$G$3:$G$493,MATCH($A468,'Input Giocatori 2026_27'!$A$3:$A$493,0)),"")</f>
        <v>1</v>
      </c>
      <c r="P468" s="23" t="str">
        <f>IFERROR(IF($O468="","",IF((1-(COUNTIFS($B$2:$B$492,$B468,$O$2:$O$492,"&gt;"&amp;$O468)+1-1)/COUNTIF($B$2:$B$492,$B468))&gt;='Parametri Modello'!$B$63,"Top",IF((1-(COUNTIFS($B$2:$B$492,$B468,$O$2:$O$492,"&gt;"&amp;$O468)+1-1)/COUNTIF($B$2:$B$492,$B468))&gt;='Parametri Modello'!$B$64,"Buono",IF((1-(COUNTIFS($B$2:$B$492,$B468,$O$2:$O$492,"&gt;"&amp;$O468)+1-1)/COUNTIF($B$2:$B$492,$B468))&gt;='Parametri Modello'!$B$65,"Nella Media","Scommessa/Riserva")))),"")</f>
        <v>Nella Media</v>
      </c>
      <c r="Q468" s="26" t="str">
        <f>IF(AND($D468="",$N468&gt;1),SUMPRODUCT(($D$2:$D468="")*($N$2:$N468&gt;1)),"")</f>
        <v/>
      </c>
      <c r="R468" s="26" t="str">
        <f>IF($D468='Info Lega'!$B$28,COUNTIFS($D$2:$D468,'Info Lega'!$B$28),"")</f>
        <v/>
      </c>
      <c r="S468" s="27" t="str">
        <f>IFERROR(INDEX('Input Statistiche 2025_26'!$G$3:$G$665,MATCH($A468,'Input Statistiche 2025_26'!$A$3:$A$665,0)),"")</f>
        <v/>
      </c>
      <c r="T468" s="27" t="str">
        <f>IFERROR(INDEX('Input Statistiche 2025_26'!$H$3:$H$665,MATCH($A468,'Input Statistiche 2025_26'!$A$3:$A$665,0)),"")</f>
        <v/>
      </c>
      <c r="U468" s="23" t="str">
        <f>IF(OR('La Mia Rosa'!$O$12="",$D468&lt;&gt;""),"",IF($F468&lt;='La Mia Rosa'!$O$12*'Parametri Modello'!$B$24,"OK",IF($F468&lt;='La Mia Rosa'!$O$12*'Parametri Modello'!$B$25,"Attenzione","Rischio Alto")))</f>
        <v>OK</v>
      </c>
      <c r="V468" s="23">
        <f t="shared" si="64"/>
        <v>26</v>
      </c>
      <c r="W468" s="18">
        <f>'Info Lega'!$B$4-SUMIFS($M$2:$M$492,$D$2:$D$492,'Info Lega'!$B$28)</f>
        <v>1000</v>
      </c>
      <c r="X468" s="18">
        <f>('Info Lega'!$B$5-COUNTIFS($D$2:$D$492,'Info Lega'!$B$28,$B$2:$B$492,"P"))+('Info Lega'!$B$6-COUNTIFS($D$2:$D$492,'Info Lega'!$B$28,$B$2:$B$492,"D"))+('Info Lega'!$B$7-COUNTIFS($D$2:$D$492,'Info Lega'!$B$28,$B$2:$B$492,"C"))+('Info Lega'!$B$8-COUNTIFS($D$2:$D$492,'Info Lega'!$B$28,$B$2:$B$492,"A"))</f>
        <v>25</v>
      </c>
      <c r="Y468" s="18">
        <f>X468*'Parametri Modello'!$B$30</f>
        <v>25</v>
      </c>
      <c r="Z468" s="18">
        <f t="shared" si="65"/>
        <v>975</v>
      </c>
      <c r="AA468" s="18">
        <f t="shared" si="66"/>
        <v>0</v>
      </c>
      <c r="AB468" s="18"/>
      <c r="AC468" s="18" t="str">
        <f>IF($AB468="","",IF($AB468&gt;$AA468,"PASS",IF($AB468&lt;=$AA468*(1-'Parametri Modello'!$B$68),"BID","ATTENZIONE")))</f>
        <v/>
      </c>
      <c r="AD468" s="28" t="str">
        <f t="shared" si="67"/>
        <v/>
      </c>
      <c r="AE468" s="5" t="str">
        <f>IFERROR(INDEX('Stato Asta'!$G$9:$G$12,MATCH($B468,'Stato Asta'!$A$9:$A$12,0)),"")</f>
        <v>🔴 Non aspettare</v>
      </c>
      <c r="AF468" t="str">
        <f>IFERROR(IF($V468&lt;=INDEX('Parametri Modello'!$C$57:$C$60,MATCH($B468,'Parametri Modello'!$A$57:$A$60,0)),"Titolare","Riserva"),"")</f>
        <v>Riserva</v>
      </c>
      <c r="AG468" t="str">
        <f>IFERROR(INDEX('Pressione Competitiva'!$F$3:$F$6,MATCH($B468,'Pressione Competitiva'!$B$3:$B$6,0)),"")</f>
        <v>🔴 Molto Alta</v>
      </c>
      <c r="AH468" t="str">
        <f t="shared" si="68"/>
        <v/>
      </c>
      <c r="AI468" t="str">
        <f>IFERROR(IF($AH468="","",IF($AH468&gt;=$AA468*'Parametri Modello'!$B$68,"🟢 Opportunita'",IF($AH468&lt;=$AA468*'Parametri Modello'!$B$69,"🔴 Sovrapprezzo","🟡 Prezzo Corretto"))),"")</f>
        <v/>
      </c>
      <c r="AJ468" t="str">
        <f t="shared" si="69"/>
        <v/>
      </c>
      <c r="AK468" t="str">
        <f t="shared" si="70"/>
        <v/>
      </c>
      <c r="AL468" t="str">
        <f t="shared" si="71"/>
        <v/>
      </c>
    </row>
    <row r="469" spans="1:38" ht="14.25" customHeight="1" x14ac:dyDescent="0.25">
      <c r="A469" s="18">
        <v>5320</v>
      </c>
      <c r="B469" s="18" t="s">
        <v>15</v>
      </c>
      <c r="C469" s="18" t="s">
        <v>608</v>
      </c>
      <c r="E469" s="23" t="str">
        <f>IF(COUNTIF('Info Strategia'!$D$2:$D$51,$C469)&gt;0,"SI","NO")</f>
        <v>NO</v>
      </c>
      <c r="F469" s="24">
        <f>IFERROR(ROUND(($G469+($H469-$G469)*'Info Strategia'!$B$6)*(1+IF($E469="SI",'Parametri Modello'!$B$7*'Info Strategia'!$B$6,0)),0),"")</f>
        <v>0</v>
      </c>
      <c r="G469" s="24">
        <f>IFERROR(ROUND(MAX(1,(IF($V469&lt;=INDEX('Parametri Modello'!$C$57:$C$60,MATCH($B469,'Parametri Modello'!$A$57:$A$60,0)),IF(INDEX('Parametri Modello'!$E$57:$E$60,MATCH($B469,'Parametri Modello'!$A$57:$A$60,0))=0,0,($O469/INDEX('Parametri Modello'!$E$57:$E$60,MATCH($B469,'Parametri Modello'!$A$57:$A$60,0)))*(INDEX('Parametri Modello'!$D$57:$D$60,MATCH($B469,'Parametri Modello'!$A$57:$A$60,0))*(INDEX('Parametri Modello'!$B$50:$B$53,MATCH($B469,'Parametri Modello'!$A$50:$A$53,0))*'Parametri Modello'!$B$44))),IF(INDEX('Parametri Modello'!$F$57:$F$60,MATCH($B469,'Parametri Modello'!$A$57:$A$60,0))=0,0,($O469/INDEX('Parametri Modello'!$F$57:$F$60,MATCH($B469,'Parametri Modello'!$A$57:$A$60,0)))*((1-INDEX('Parametri Modello'!$D$57:$D$60,MATCH($B469,'Parametri Modello'!$A$57:$A$60,0)))*(INDEX('Parametri Modello'!$B$50:$B$53,MATCH($B469,'Parametri Modello'!$A$50:$A$53,0))*'Parametri Modello'!$B$44))))*(1+IF(IF($B469="D",'Info Lega'!$B$25,IF($B469="C",'Info Lega'!$B$26,"No"))="Si",'Parametri Modello'!$B$5,0))*(1+MAX(-0.25,MIN(0.25,IF(OR($T469="",$I469="",$I469=0,INDEX('Parametri Modello'!$B$19:$B$22,MATCH($B469,'Parametri Modello'!$A$19:$A$22,0))="",INDEX('Parametri Modello'!$B$19:$B$22,MATCH($B469,'Parametri Modello'!$A$19:$A$22,0))=0),0,(($T469-INDEX('Parametri Modello'!$B$19:$B$22,MATCH($B469,'Parametri Modello'!$A$19:$A$22,0)))/INDEX('Parametri Modello'!$B$19:$B$22,MATCH($B469,'Parametri Modello'!$A$19:$A$22,0)))*'Parametri Modello'!$B$9))))*(1+IF('Parametri Modello'!$B$27="Si",MAX(-'Parametri Modello'!$B$28,MIN('Parametri Modello'!$B$28*1.5,IF(OR(INDEX('Parametri Modello'!$F$32:$F$35,MATCH($B469,'Parametri Modello'!$A$32:$A$35,0))="",INDEX('Parametri Modello'!$F$32:$F$35,MATCH($B469,'Parametri Modello'!$A$32:$A$35,0))=0),0,(1/INDEX('Parametri Modello'!$F$32:$F$35,MATCH($B469,'Parametri Modello'!$A$32:$A$35,0))-1)*'Parametri Modello'!$B$28))),0)))*(1-INDEX('Parametri Modello'!$B$12:$B$15,MATCH($B469,'Parametri Modello'!$A$12:$A$15,0)))),0),"")</f>
        <v>1</v>
      </c>
      <c r="H469" s="24">
        <f>IFERROR(ROUND((IF($V469&lt;=INDEX('Parametri Modello'!$C$57:$C$60,MATCH($B469,'Parametri Modello'!$A$57:$A$60,0)),IF(INDEX('Parametri Modello'!$E$57:$E$60,MATCH($B469,'Parametri Modello'!$A$57:$A$60,0))=0,0,($O469/INDEX('Parametri Modello'!$E$57:$E$60,MATCH($B469,'Parametri Modello'!$A$57:$A$60,0)))*(INDEX('Parametri Modello'!$D$57:$D$60,MATCH($B469,'Parametri Modello'!$A$57:$A$60,0))*(INDEX('Parametri Modello'!$B$50:$B$53,MATCH($B469,'Parametri Modello'!$A$50:$A$53,0))*'Parametri Modello'!$B$44))),IF(INDEX('Parametri Modello'!$F$57:$F$60,MATCH($B469,'Parametri Modello'!$A$57:$A$60,0))=0,0,($O469/INDEX('Parametri Modello'!$F$57:$F$60,MATCH($B469,'Parametri Modello'!$A$57:$A$60,0)))*((1-INDEX('Parametri Modello'!$D$57:$D$60,MATCH($B469,'Parametri Modello'!$A$57:$A$60,0)))*(INDEX('Parametri Modello'!$B$50:$B$53,MATCH($B469,'Parametri Modello'!$A$50:$A$53,0))*'Parametri Modello'!$B$44))))*(1+IF(IF($B469="D",'Info Lega'!$B$25,IF($B469="C",'Info Lega'!$B$26,"No"))="Si",'Parametri Modello'!$B$5,0))*(1+MAX(-0.25,MIN(0.25,IF(OR($T469="",$I469="",$I469=0,INDEX('Parametri Modello'!$B$19:$B$22,MATCH($B469,'Parametri Modello'!$A$19:$A$22,0))="",INDEX('Parametri Modello'!$B$19:$B$22,MATCH($B469,'Parametri Modello'!$A$19:$A$22,0))=0),0,(($T469-INDEX('Parametri Modello'!$B$19:$B$22,MATCH($B469,'Parametri Modello'!$A$19:$A$22,0)))/INDEX('Parametri Modello'!$B$19:$B$22,MATCH($B469,'Parametri Modello'!$A$19:$A$22,0)))*'Parametri Modello'!$B$9))))*(1+IF('Parametri Modello'!$B$27="Si",MAX(-'Parametri Modello'!$B$28,MIN('Parametri Modello'!$B$28*1.5,IF(OR(INDEX('Parametri Modello'!$F$32:$F$35,MATCH($B469,'Parametri Modello'!$A$32:$A$35,0))="",INDEX('Parametri Modello'!$F$32:$F$35,MATCH($B469,'Parametri Modello'!$A$32:$A$35,0))=0),0,(1/INDEX('Parametri Modello'!$F$32:$F$35,MATCH($B469,'Parametri Modello'!$A$32:$A$35,0))-1)*'Parametri Modello'!$B$28))),0)))*(1+INDEX('Parametri Modello'!$B$12:$B$15,MATCH($B469,'Parametri Modello'!$A$12:$A$15,0))),0),"")</f>
        <v>0</v>
      </c>
      <c r="I469" s="23">
        <f>IFERROR(INDEX('Input Statistiche 2025_26'!$F$3:$F$665,MATCH($A469,'Input Statistiche 2025_26'!$A$3:$A$665,0)),"")</f>
        <v>29</v>
      </c>
      <c r="J469" s="23">
        <f t="shared" si="63"/>
        <v>9</v>
      </c>
      <c r="K469" s="23">
        <f>IFERROR(INDEX('Input Statistiche 2025_26'!$I$3:$I$665,MATCH($A469,'Input Statistiche 2025_26'!$A$3:$A$665,0)),"")</f>
        <v>0</v>
      </c>
      <c r="L469" s="23">
        <f>IFERROR(INDEX('Input Statistiche 2025_26'!$O$3:$O$665,MATCH($A469,'Input Statistiche 2025_26'!$A$3:$A$665,0)),"")</f>
        <v>0</v>
      </c>
      <c r="M469" s="25"/>
      <c r="N469" s="24">
        <f>IFERROR(INDEX('Input Giocatori 2026_27'!$E$3:$E$493,MATCH($A469,'Input Giocatori 2026_27'!$A$3:$A$493,0)),"")</f>
        <v>1</v>
      </c>
      <c r="O469" s="24">
        <f>IFERROR(INDEX('Input Giocatori 2026_27'!$G$3:$G$493,MATCH($A469,'Input Giocatori 2026_27'!$A$3:$A$493,0)),"")</f>
        <v>1</v>
      </c>
      <c r="P469" s="23" t="str">
        <f>IFERROR(IF($O469="","",IF((1-(COUNTIFS($B$2:$B$492,$B469,$O$2:$O$492,"&gt;"&amp;$O469)+1-1)/COUNTIF($B$2:$B$492,$B469))&gt;='Parametri Modello'!$B$63,"Top",IF((1-(COUNTIFS($B$2:$B$492,$B469,$O$2:$O$492,"&gt;"&amp;$O469)+1-1)/COUNTIF($B$2:$B$492,$B469))&gt;='Parametri Modello'!$B$64,"Buono",IF((1-(COUNTIFS($B$2:$B$492,$B469,$O$2:$O$492,"&gt;"&amp;$O469)+1-1)/COUNTIF($B$2:$B$492,$B469))&gt;='Parametri Modello'!$B$65,"Nella Media","Scommessa/Riserva")))),"")</f>
        <v>Nella Media</v>
      </c>
      <c r="Q469" s="26" t="str">
        <f>IF(AND($D469="",$N469&gt;1),SUMPRODUCT(($D$2:$D469="")*($N$2:$N469&gt;1)),"")</f>
        <v/>
      </c>
      <c r="R469" s="26" t="str">
        <f>IF($D469='Info Lega'!$B$28,COUNTIFS($D$2:$D469,'Info Lega'!$B$28),"")</f>
        <v/>
      </c>
      <c r="S469" s="27">
        <f>IFERROR(INDEX('Input Statistiche 2025_26'!$G$3:$G$665,MATCH($A469,'Input Statistiche 2025_26'!$A$3:$A$665,0)),"")</f>
        <v>6.09</v>
      </c>
      <c r="T469" s="27">
        <f>IFERROR(INDEX('Input Statistiche 2025_26'!$H$3:$H$665,MATCH($A469,'Input Statistiche 2025_26'!$A$3:$A$665,0)),"")</f>
        <v>4.5199999999999996</v>
      </c>
      <c r="U469" s="23" t="str">
        <f>IF(OR('La Mia Rosa'!$O$12="",$D469&lt;&gt;""),"",IF($F469&lt;='La Mia Rosa'!$O$12*'Parametri Modello'!$B$24,"OK",IF($F469&lt;='La Mia Rosa'!$O$12*'Parametri Modello'!$B$25,"Attenzione","Rischio Alto")))</f>
        <v>OK</v>
      </c>
      <c r="V469" s="23">
        <f t="shared" si="64"/>
        <v>26</v>
      </c>
      <c r="W469" s="18">
        <f>'Info Lega'!$B$4-SUMIFS($M$2:$M$492,$D$2:$D$492,'Info Lega'!$B$28)</f>
        <v>1000</v>
      </c>
      <c r="X469" s="18">
        <f>('Info Lega'!$B$5-COUNTIFS($D$2:$D$492,'Info Lega'!$B$28,$B$2:$B$492,"P"))+('Info Lega'!$B$6-COUNTIFS($D$2:$D$492,'Info Lega'!$B$28,$B$2:$B$492,"D"))+('Info Lega'!$B$7-COUNTIFS($D$2:$D$492,'Info Lega'!$B$28,$B$2:$B$492,"C"))+('Info Lega'!$B$8-COUNTIFS($D$2:$D$492,'Info Lega'!$B$28,$B$2:$B$492,"A"))</f>
        <v>25</v>
      </c>
      <c r="Y469" s="18">
        <f>X469*'Parametri Modello'!$B$30</f>
        <v>25</v>
      </c>
      <c r="Z469" s="18">
        <f t="shared" si="65"/>
        <v>975</v>
      </c>
      <c r="AA469" s="18">
        <f t="shared" si="66"/>
        <v>0</v>
      </c>
      <c r="AB469" s="18"/>
      <c r="AC469" s="18" t="str">
        <f>IF($AB469="","",IF($AB469&gt;$AA469,"PASS",IF($AB469&lt;=$AA469*(1-'Parametri Modello'!$B$68),"BID","ATTENZIONE")))</f>
        <v/>
      </c>
      <c r="AD469" s="28">
        <f t="shared" si="67"/>
        <v>62</v>
      </c>
      <c r="AE469" s="5" t="str">
        <f>IFERROR(INDEX('Stato Asta'!$G$9:$G$12,MATCH($B469,'Stato Asta'!$A$9:$A$12,0)),"")</f>
        <v>🔴 Non aspettare</v>
      </c>
      <c r="AF469" t="str">
        <f>IFERROR(IF($V469&lt;=INDEX('Parametri Modello'!$C$57:$C$60,MATCH($B469,'Parametri Modello'!$A$57:$A$60,0)),"Titolare","Riserva"),"")</f>
        <v>Riserva</v>
      </c>
      <c r="AG469" t="str">
        <f>IFERROR(INDEX('Pressione Competitiva'!$F$3:$F$6,MATCH($B469,'Pressione Competitiva'!$B$3:$B$6,0)),"")</f>
        <v>🔴 Molto Alta</v>
      </c>
      <c r="AH469" t="str">
        <f t="shared" si="68"/>
        <v/>
      </c>
      <c r="AI469" t="str">
        <f>IFERROR(IF($AH469="","",IF($AH469&gt;=$AA469*'Parametri Modello'!$B$68,"🟢 Opportunita'",IF($AH469&lt;=$AA469*'Parametri Modello'!$B$69,"🔴 Sovrapprezzo","🟡 Prezzo Corretto"))),"")</f>
        <v/>
      </c>
      <c r="AJ469" t="str">
        <f t="shared" si="69"/>
        <v/>
      </c>
      <c r="AK469" t="str">
        <f t="shared" si="70"/>
        <v/>
      </c>
      <c r="AL469" t="str">
        <f t="shared" si="71"/>
        <v/>
      </c>
    </row>
    <row r="470" spans="1:38" ht="14.25" customHeight="1" x14ac:dyDescent="0.25">
      <c r="A470" s="18">
        <v>7363</v>
      </c>
      <c r="B470" s="18" t="s">
        <v>15</v>
      </c>
      <c r="C470" s="18" t="s">
        <v>609</v>
      </c>
      <c r="E470" s="23" t="str">
        <f>IF(COUNTIF('Info Strategia'!$D$2:$D$51,$C470)&gt;0,"SI","NO")</f>
        <v>NO</v>
      </c>
      <c r="F470" s="24">
        <f>IFERROR(ROUND(($G470+($H470-$G470)*'Info Strategia'!$B$6)*(1+IF($E470="SI",'Parametri Modello'!$B$7*'Info Strategia'!$B$6,0)),0),"")</f>
        <v>0</v>
      </c>
      <c r="G470" s="24">
        <f>IFERROR(ROUND(MAX(1,(IF($V470&lt;=INDEX('Parametri Modello'!$C$57:$C$60,MATCH($B470,'Parametri Modello'!$A$57:$A$60,0)),IF(INDEX('Parametri Modello'!$E$57:$E$60,MATCH($B470,'Parametri Modello'!$A$57:$A$60,0))=0,0,($O470/INDEX('Parametri Modello'!$E$57:$E$60,MATCH($B470,'Parametri Modello'!$A$57:$A$60,0)))*(INDEX('Parametri Modello'!$D$57:$D$60,MATCH($B470,'Parametri Modello'!$A$57:$A$60,0))*(INDEX('Parametri Modello'!$B$50:$B$53,MATCH($B470,'Parametri Modello'!$A$50:$A$53,0))*'Parametri Modello'!$B$44))),IF(INDEX('Parametri Modello'!$F$57:$F$60,MATCH($B470,'Parametri Modello'!$A$57:$A$60,0))=0,0,($O470/INDEX('Parametri Modello'!$F$57:$F$60,MATCH($B470,'Parametri Modello'!$A$57:$A$60,0)))*((1-INDEX('Parametri Modello'!$D$57:$D$60,MATCH($B470,'Parametri Modello'!$A$57:$A$60,0)))*(INDEX('Parametri Modello'!$B$50:$B$53,MATCH($B470,'Parametri Modello'!$A$50:$A$53,0))*'Parametri Modello'!$B$44))))*(1+IF(IF($B470="D",'Info Lega'!$B$25,IF($B470="C",'Info Lega'!$B$26,"No"))="Si",'Parametri Modello'!$B$5,0))*(1+MAX(-0.25,MIN(0.25,IF(OR($T470="",$I470="",$I470=0,INDEX('Parametri Modello'!$B$19:$B$22,MATCH($B470,'Parametri Modello'!$A$19:$A$22,0))="",INDEX('Parametri Modello'!$B$19:$B$22,MATCH($B470,'Parametri Modello'!$A$19:$A$22,0))=0),0,(($T470-INDEX('Parametri Modello'!$B$19:$B$22,MATCH($B470,'Parametri Modello'!$A$19:$A$22,0)))/INDEX('Parametri Modello'!$B$19:$B$22,MATCH($B470,'Parametri Modello'!$A$19:$A$22,0)))*'Parametri Modello'!$B$9))))*(1+IF('Parametri Modello'!$B$27="Si",MAX(-'Parametri Modello'!$B$28,MIN('Parametri Modello'!$B$28*1.5,IF(OR(INDEX('Parametri Modello'!$F$32:$F$35,MATCH($B470,'Parametri Modello'!$A$32:$A$35,0))="",INDEX('Parametri Modello'!$F$32:$F$35,MATCH($B470,'Parametri Modello'!$A$32:$A$35,0))=0),0,(1/INDEX('Parametri Modello'!$F$32:$F$35,MATCH($B470,'Parametri Modello'!$A$32:$A$35,0))-1)*'Parametri Modello'!$B$28))),0)))*(1-INDEX('Parametri Modello'!$B$12:$B$15,MATCH($B470,'Parametri Modello'!$A$12:$A$15,0)))),0),"")</f>
        <v>1</v>
      </c>
      <c r="H470" s="24">
        <f>IFERROR(ROUND((IF($V470&lt;=INDEX('Parametri Modello'!$C$57:$C$60,MATCH($B470,'Parametri Modello'!$A$57:$A$60,0)),IF(INDEX('Parametri Modello'!$E$57:$E$60,MATCH($B470,'Parametri Modello'!$A$57:$A$60,0))=0,0,($O470/INDEX('Parametri Modello'!$E$57:$E$60,MATCH($B470,'Parametri Modello'!$A$57:$A$60,0)))*(INDEX('Parametri Modello'!$D$57:$D$60,MATCH($B470,'Parametri Modello'!$A$57:$A$60,0))*(INDEX('Parametri Modello'!$B$50:$B$53,MATCH($B470,'Parametri Modello'!$A$50:$A$53,0))*'Parametri Modello'!$B$44))),IF(INDEX('Parametri Modello'!$F$57:$F$60,MATCH($B470,'Parametri Modello'!$A$57:$A$60,0))=0,0,($O470/INDEX('Parametri Modello'!$F$57:$F$60,MATCH($B470,'Parametri Modello'!$A$57:$A$60,0)))*((1-INDEX('Parametri Modello'!$D$57:$D$60,MATCH($B470,'Parametri Modello'!$A$57:$A$60,0)))*(INDEX('Parametri Modello'!$B$50:$B$53,MATCH($B470,'Parametri Modello'!$A$50:$A$53,0))*'Parametri Modello'!$B$44))))*(1+IF(IF($B470="D",'Info Lega'!$B$25,IF($B470="C",'Info Lega'!$B$26,"No"))="Si",'Parametri Modello'!$B$5,0))*(1+MAX(-0.25,MIN(0.25,IF(OR($T470="",$I470="",$I470=0,INDEX('Parametri Modello'!$B$19:$B$22,MATCH($B470,'Parametri Modello'!$A$19:$A$22,0))="",INDEX('Parametri Modello'!$B$19:$B$22,MATCH($B470,'Parametri Modello'!$A$19:$A$22,0))=0),0,(($T470-INDEX('Parametri Modello'!$B$19:$B$22,MATCH($B470,'Parametri Modello'!$A$19:$A$22,0)))/INDEX('Parametri Modello'!$B$19:$B$22,MATCH($B470,'Parametri Modello'!$A$19:$A$22,0)))*'Parametri Modello'!$B$9))))*(1+IF('Parametri Modello'!$B$27="Si",MAX(-'Parametri Modello'!$B$28,MIN('Parametri Modello'!$B$28*1.5,IF(OR(INDEX('Parametri Modello'!$F$32:$F$35,MATCH($B470,'Parametri Modello'!$A$32:$A$35,0))="",INDEX('Parametri Modello'!$F$32:$F$35,MATCH($B470,'Parametri Modello'!$A$32:$A$35,0))=0),0,(1/INDEX('Parametri Modello'!$F$32:$F$35,MATCH($B470,'Parametri Modello'!$A$32:$A$35,0))-1)*'Parametri Modello'!$B$28))),0)))*(1+INDEX('Parametri Modello'!$B$12:$B$15,MATCH($B470,'Parametri Modello'!$A$12:$A$15,0))),0),"")</f>
        <v>0</v>
      </c>
      <c r="I470" s="23">
        <f>IFERROR(INDEX('Input Statistiche 2025_26'!$F$3:$F$665,MATCH($A470,'Input Statistiche 2025_26'!$A$3:$A$665,0)),"")</f>
        <v>0</v>
      </c>
      <c r="J470" s="23">
        <f t="shared" si="63"/>
        <v>38</v>
      </c>
      <c r="K470" s="23">
        <f>IFERROR(INDEX('Input Statistiche 2025_26'!$I$3:$I$665,MATCH($A470,'Input Statistiche 2025_26'!$A$3:$A$665,0)),"")</f>
        <v>0</v>
      </c>
      <c r="L470" s="23">
        <f>IFERROR(INDEX('Input Statistiche 2025_26'!$O$3:$O$665,MATCH($A470,'Input Statistiche 2025_26'!$A$3:$A$665,0)),"")</f>
        <v>0</v>
      </c>
      <c r="M470" s="25"/>
      <c r="N470" s="24">
        <f>IFERROR(INDEX('Input Giocatori 2026_27'!$E$3:$E$493,MATCH($A470,'Input Giocatori 2026_27'!$A$3:$A$493,0)),"")</f>
        <v>1</v>
      </c>
      <c r="O470" s="24">
        <f>IFERROR(INDEX('Input Giocatori 2026_27'!$G$3:$G$493,MATCH($A470,'Input Giocatori 2026_27'!$A$3:$A$493,0)),"")</f>
        <v>1</v>
      </c>
      <c r="P470" s="23" t="str">
        <f>IFERROR(IF($O470="","",IF((1-(COUNTIFS($B$2:$B$492,$B470,$O$2:$O$492,"&gt;"&amp;$O470)+1-1)/COUNTIF($B$2:$B$492,$B470))&gt;='Parametri Modello'!$B$63,"Top",IF((1-(COUNTIFS($B$2:$B$492,$B470,$O$2:$O$492,"&gt;"&amp;$O470)+1-1)/COUNTIF($B$2:$B$492,$B470))&gt;='Parametri Modello'!$B$64,"Buono",IF((1-(COUNTIFS($B$2:$B$492,$B470,$O$2:$O$492,"&gt;"&amp;$O470)+1-1)/COUNTIF($B$2:$B$492,$B470))&gt;='Parametri Modello'!$B$65,"Nella Media","Scommessa/Riserva")))),"")</f>
        <v>Nella Media</v>
      </c>
      <c r="Q470" s="26" t="str">
        <f>IF(AND($D470="",$N470&gt;1),SUMPRODUCT(($D$2:$D470="")*($N$2:$N470&gt;1)),"")</f>
        <v/>
      </c>
      <c r="R470" s="26" t="str">
        <f>IF($D470='Info Lega'!$B$28,COUNTIFS($D$2:$D470,'Info Lega'!$B$28),"")</f>
        <v/>
      </c>
      <c r="S470" s="27">
        <f>IFERROR(INDEX('Input Statistiche 2025_26'!$G$3:$G$665,MATCH($A470,'Input Statistiche 2025_26'!$A$3:$A$665,0)),"")</f>
        <v>0</v>
      </c>
      <c r="T470" s="27">
        <f>IFERROR(INDEX('Input Statistiche 2025_26'!$H$3:$H$665,MATCH($A470,'Input Statistiche 2025_26'!$A$3:$A$665,0)),"")</f>
        <v>0</v>
      </c>
      <c r="U470" s="23" t="str">
        <f>IF(OR('La Mia Rosa'!$O$12="",$D470&lt;&gt;""),"",IF($F470&lt;='La Mia Rosa'!$O$12*'Parametri Modello'!$B$24,"OK",IF($F470&lt;='La Mia Rosa'!$O$12*'Parametri Modello'!$B$25,"Attenzione","Rischio Alto")))</f>
        <v>OK</v>
      </c>
      <c r="V470" s="23">
        <f t="shared" si="64"/>
        <v>26</v>
      </c>
      <c r="W470" s="18">
        <f>'Info Lega'!$B$4-SUMIFS($M$2:$M$492,$D$2:$D$492,'Info Lega'!$B$28)</f>
        <v>1000</v>
      </c>
      <c r="X470" s="18">
        <f>('Info Lega'!$B$5-COUNTIFS($D$2:$D$492,'Info Lega'!$B$28,$B$2:$B$492,"P"))+('Info Lega'!$B$6-COUNTIFS($D$2:$D$492,'Info Lega'!$B$28,$B$2:$B$492,"D"))+('Info Lega'!$B$7-COUNTIFS($D$2:$D$492,'Info Lega'!$B$28,$B$2:$B$492,"C"))+('Info Lega'!$B$8-COUNTIFS($D$2:$D$492,'Info Lega'!$B$28,$B$2:$B$492,"A"))</f>
        <v>25</v>
      </c>
      <c r="Y470" s="18">
        <f>X470*'Parametri Modello'!$B$30</f>
        <v>25</v>
      </c>
      <c r="Z470" s="18">
        <f t="shared" si="65"/>
        <v>975</v>
      </c>
      <c r="AA470" s="18">
        <f t="shared" si="66"/>
        <v>0</v>
      </c>
      <c r="AB470" s="18"/>
      <c r="AC470" s="18" t="str">
        <f>IF($AB470="","",IF($AB470&gt;$AA470,"PASS",IF($AB470&lt;=$AA470*(1-'Parametri Modello'!$B$68),"BID","ATTENZIONE")))</f>
        <v/>
      </c>
      <c r="AD470" s="28">
        <f t="shared" si="67"/>
        <v>0</v>
      </c>
      <c r="AE470" s="5" t="str">
        <f>IFERROR(INDEX('Stato Asta'!$G$9:$G$12,MATCH($B470,'Stato Asta'!$A$9:$A$12,0)),"")</f>
        <v>🔴 Non aspettare</v>
      </c>
      <c r="AF470" t="str">
        <f>IFERROR(IF($V470&lt;=INDEX('Parametri Modello'!$C$57:$C$60,MATCH($B470,'Parametri Modello'!$A$57:$A$60,0)),"Titolare","Riserva"),"")</f>
        <v>Riserva</v>
      </c>
      <c r="AG470" t="str">
        <f>IFERROR(INDEX('Pressione Competitiva'!$F$3:$F$6,MATCH($B470,'Pressione Competitiva'!$B$3:$B$6,0)),"")</f>
        <v>🔴 Molto Alta</v>
      </c>
      <c r="AH470" t="str">
        <f t="shared" si="68"/>
        <v/>
      </c>
      <c r="AI470" t="str">
        <f>IFERROR(IF($AH470="","",IF($AH470&gt;=$AA470*'Parametri Modello'!$B$68,"🟢 Opportunita'",IF($AH470&lt;=$AA470*'Parametri Modello'!$B$69,"🔴 Sovrapprezzo","🟡 Prezzo Corretto"))),"")</f>
        <v/>
      </c>
      <c r="AJ470" t="str">
        <f t="shared" si="69"/>
        <v/>
      </c>
      <c r="AK470" t="str">
        <f t="shared" si="70"/>
        <v/>
      </c>
      <c r="AL470" t="str">
        <f t="shared" si="71"/>
        <v/>
      </c>
    </row>
    <row r="471" spans="1:38" ht="14.25" customHeight="1" x14ac:dyDescent="0.25">
      <c r="A471" s="18">
        <v>543</v>
      </c>
      <c r="B471" s="18" t="s">
        <v>15</v>
      </c>
      <c r="C471" s="18" t="s">
        <v>610</v>
      </c>
      <c r="E471" s="23" t="str">
        <f>IF(COUNTIF('Info Strategia'!$D$2:$D$51,$C471)&gt;0,"SI","NO")</f>
        <v>NO</v>
      </c>
      <c r="F471" s="24">
        <f>IFERROR(ROUND(($G471+($H471-$G471)*'Info Strategia'!$B$6)*(1+IF($E471="SI",'Parametri Modello'!$B$7*'Info Strategia'!$B$6,0)),0),"")</f>
        <v>0</v>
      </c>
      <c r="G471" s="24">
        <f>IFERROR(ROUND(MAX(1,(IF($V471&lt;=INDEX('Parametri Modello'!$C$57:$C$60,MATCH($B471,'Parametri Modello'!$A$57:$A$60,0)),IF(INDEX('Parametri Modello'!$E$57:$E$60,MATCH($B471,'Parametri Modello'!$A$57:$A$60,0))=0,0,($O471/INDEX('Parametri Modello'!$E$57:$E$60,MATCH($B471,'Parametri Modello'!$A$57:$A$60,0)))*(INDEX('Parametri Modello'!$D$57:$D$60,MATCH($B471,'Parametri Modello'!$A$57:$A$60,0))*(INDEX('Parametri Modello'!$B$50:$B$53,MATCH($B471,'Parametri Modello'!$A$50:$A$53,0))*'Parametri Modello'!$B$44))),IF(INDEX('Parametri Modello'!$F$57:$F$60,MATCH($B471,'Parametri Modello'!$A$57:$A$60,0))=0,0,($O471/INDEX('Parametri Modello'!$F$57:$F$60,MATCH($B471,'Parametri Modello'!$A$57:$A$60,0)))*((1-INDEX('Parametri Modello'!$D$57:$D$60,MATCH($B471,'Parametri Modello'!$A$57:$A$60,0)))*(INDEX('Parametri Modello'!$B$50:$B$53,MATCH($B471,'Parametri Modello'!$A$50:$A$53,0))*'Parametri Modello'!$B$44))))*(1+IF(IF($B471="D",'Info Lega'!$B$25,IF($B471="C",'Info Lega'!$B$26,"No"))="Si",'Parametri Modello'!$B$5,0))*(1+MAX(-0.25,MIN(0.25,IF(OR($T471="",$I471="",$I471=0,INDEX('Parametri Modello'!$B$19:$B$22,MATCH($B471,'Parametri Modello'!$A$19:$A$22,0))="",INDEX('Parametri Modello'!$B$19:$B$22,MATCH($B471,'Parametri Modello'!$A$19:$A$22,0))=0),0,(($T471-INDEX('Parametri Modello'!$B$19:$B$22,MATCH($B471,'Parametri Modello'!$A$19:$A$22,0)))/INDEX('Parametri Modello'!$B$19:$B$22,MATCH($B471,'Parametri Modello'!$A$19:$A$22,0)))*'Parametri Modello'!$B$9))))*(1+IF('Parametri Modello'!$B$27="Si",MAX(-'Parametri Modello'!$B$28,MIN('Parametri Modello'!$B$28*1.5,IF(OR(INDEX('Parametri Modello'!$F$32:$F$35,MATCH($B471,'Parametri Modello'!$A$32:$A$35,0))="",INDEX('Parametri Modello'!$F$32:$F$35,MATCH($B471,'Parametri Modello'!$A$32:$A$35,0))=0),0,(1/INDEX('Parametri Modello'!$F$32:$F$35,MATCH($B471,'Parametri Modello'!$A$32:$A$35,0))-1)*'Parametri Modello'!$B$28))),0)))*(1-INDEX('Parametri Modello'!$B$12:$B$15,MATCH($B471,'Parametri Modello'!$A$12:$A$15,0)))),0),"")</f>
        <v>1</v>
      </c>
      <c r="H471" s="24">
        <f>IFERROR(ROUND((IF($V471&lt;=INDEX('Parametri Modello'!$C$57:$C$60,MATCH($B471,'Parametri Modello'!$A$57:$A$60,0)),IF(INDEX('Parametri Modello'!$E$57:$E$60,MATCH($B471,'Parametri Modello'!$A$57:$A$60,0))=0,0,($O471/INDEX('Parametri Modello'!$E$57:$E$60,MATCH($B471,'Parametri Modello'!$A$57:$A$60,0)))*(INDEX('Parametri Modello'!$D$57:$D$60,MATCH($B471,'Parametri Modello'!$A$57:$A$60,0))*(INDEX('Parametri Modello'!$B$50:$B$53,MATCH($B471,'Parametri Modello'!$A$50:$A$53,0))*'Parametri Modello'!$B$44))),IF(INDEX('Parametri Modello'!$F$57:$F$60,MATCH($B471,'Parametri Modello'!$A$57:$A$60,0))=0,0,($O471/INDEX('Parametri Modello'!$F$57:$F$60,MATCH($B471,'Parametri Modello'!$A$57:$A$60,0)))*((1-INDEX('Parametri Modello'!$D$57:$D$60,MATCH($B471,'Parametri Modello'!$A$57:$A$60,0)))*(INDEX('Parametri Modello'!$B$50:$B$53,MATCH($B471,'Parametri Modello'!$A$50:$A$53,0))*'Parametri Modello'!$B$44))))*(1+IF(IF($B471="D",'Info Lega'!$B$25,IF($B471="C",'Info Lega'!$B$26,"No"))="Si",'Parametri Modello'!$B$5,0))*(1+MAX(-0.25,MIN(0.25,IF(OR($T471="",$I471="",$I471=0,INDEX('Parametri Modello'!$B$19:$B$22,MATCH($B471,'Parametri Modello'!$A$19:$A$22,0))="",INDEX('Parametri Modello'!$B$19:$B$22,MATCH($B471,'Parametri Modello'!$A$19:$A$22,0))=0),0,(($T471-INDEX('Parametri Modello'!$B$19:$B$22,MATCH($B471,'Parametri Modello'!$A$19:$A$22,0)))/INDEX('Parametri Modello'!$B$19:$B$22,MATCH($B471,'Parametri Modello'!$A$19:$A$22,0)))*'Parametri Modello'!$B$9))))*(1+IF('Parametri Modello'!$B$27="Si",MAX(-'Parametri Modello'!$B$28,MIN('Parametri Modello'!$B$28*1.5,IF(OR(INDEX('Parametri Modello'!$F$32:$F$35,MATCH($B471,'Parametri Modello'!$A$32:$A$35,0))="",INDEX('Parametri Modello'!$F$32:$F$35,MATCH($B471,'Parametri Modello'!$A$32:$A$35,0))=0),0,(1/INDEX('Parametri Modello'!$F$32:$F$35,MATCH($B471,'Parametri Modello'!$A$32:$A$35,0))-1)*'Parametri Modello'!$B$28))),0)))*(1+INDEX('Parametri Modello'!$B$12:$B$15,MATCH($B471,'Parametri Modello'!$A$12:$A$15,0))),0),"")</f>
        <v>0</v>
      </c>
      <c r="I471" s="23">
        <f>IFERROR(INDEX('Input Statistiche 2025_26'!$F$3:$F$665,MATCH($A471,'Input Statistiche 2025_26'!$A$3:$A$665,0)),"")</f>
        <v>2</v>
      </c>
      <c r="J471" s="23">
        <f t="shared" si="63"/>
        <v>36</v>
      </c>
      <c r="K471" s="23">
        <f>IFERROR(INDEX('Input Statistiche 2025_26'!$I$3:$I$665,MATCH($A471,'Input Statistiche 2025_26'!$A$3:$A$665,0)),"")</f>
        <v>0</v>
      </c>
      <c r="L471" s="23">
        <f>IFERROR(INDEX('Input Statistiche 2025_26'!$O$3:$O$665,MATCH($A471,'Input Statistiche 2025_26'!$A$3:$A$665,0)),"")</f>
        <v>0</v>
      </c>
      <c r="M471" s="25"/>
      <c r="N471" s="24">
        <f>IFERROR(INDEX('Input Giocatori 2026_27'!$E$3:$E$493,MATCH($A471,'Input Giocatori 2026_27'!$A$3:$A$493,0)),"")</f>
        <v>1</v>
      </c>
      <c r="O471" s="24">
        <f>IFERROR(INDEX('Input Giocatori 2026_27'!$G$3:$G$493,MATCH($A471,'Input Giocatori 2026_27'!$A$3:$A$493,0)),"")</f>
        <v>1</v>
      </c>
      <c r="P471" s="23" t="str">
        <f>IFERROR(IF($O471="","",IF((1-(COUNTIFS($B$2:$B$492,$B471,$O$2:$O$492,"&gt;"&amp;$O471)+1-1)/COUNTIF($B$2:$B$492,$B471))&gt;='Parametri Modello'!$B$63,"Top",IF((1-(COUNTIFS($B$2:$B$492,$B471,$O$2:$O$492,"&gt;"&amp;$O471)+1-1)/COUNTIF($B$2:$B$492,$B471))&gt;='Parametri Modello'!$B$64,"Buono",IF((1-(COUNTIFS($B$2:$B$492,$B471,$O$2:$O$492,"&gt;"&amp;$O471)+1-1)/COUNTIF($B$2:$B$492,$B471))&gt;='Parametri Modello'!$B$65,"Nella Media","Scommessa/Riserva")))),"")</f>
        <v>Nella Media</v>
      </c>
      <c r="Q471" s="26" t="str">
        <f>IF(AND($D471="",$N471&gt;1),SUMPRODUCT(($D$2:$D471="")*($N$2:$N471&gt;1)),"")</f>
        <v/>
      </c>
      <c r="R471" s="26" t="str">
        <f>IF($D471='Info Lega'!$B$28,COUNTIFS($D$2:$D471,'Info Lega'!$B$28),"")</f>
        <v/>
      </c>
      <c r="S471" s="27">
        <f>IFERROR(INDEX('Input Statistiche 2025_26'!$G$3:$G$665,MATCH($A471,'Input Statistiche 2025_26'!$A$3:$A$665,0)),"")</f>
        <v>6.25</v>
      </c>
      <c r="T471" s="27">
        <f>IFERROR(INDEX('Input Statistiche 2025_26'!$H$3:$H$665,MATCH($A471,'Input Statistiche 2025_26'!$A$3:$A$665,0)),"")</f>
        <v>5.25</v>
      </c>
      <c r="U471" s="23" t="str">
        <f>IF(OR('La Mia Rosa'!$O$12="",$D471&lt;&gt;""),"",IF($F471&lt;='La Mia Rosa'!$O$12*'Parametri Modello'!$B$24,"OK",IF($F471&lt;='La Mia Rosa'!$O$12*'Parametri Modello'!$B$25,"Attenzione","Rischio Alto")))</f>
        <v>OK</v>
      </c>
      <c r="V471" s="23">
        <f t="shared" si="64"/>
        <v>26</v>
      </c>
      <c r="W471" s="18">
        <f>'Info Lega'!$B$4-SUMIFS($M$2:$M$492,$D$2:$D$492,'Info Lega'!$B$28)</f>
        <v>1000</v>
      </c>
      <c r="X471" s="18">
        <f>('Info Lega'!$B$5-COUNTIFS($D$2:$D$492,'Info Lega'!$B$28,$B$2:$B$492,"P"))+('Info Lega'!$B$6-COUNTIFS($D$2:$D$492,'Info Lega'!$B$28,$B$2:$B$492,"D"))+('Info Lega'!$B$7-COUNTIFS($D$2:$D$492,'Info Lega'!$B$28,$B$2:$B$492,"C"))+('Info Lega'!$B$8-COUNTIFS($D$2:$D$492,'Info Lega'!$B$28,$B$2:$B$492,"A"))</f>
        <v>25</v>
      </c>
      <c r="Y471" s="18">
        <f>X471*'Parametri Modello'!$B$30</f>
        <v>25</v>
      </c>
      <c r="Z471" s="18">
        <f t="shared" si="65"/>
        <v>975</v>
      </c>
      <c r="AA471" s="18">
        <f t="shared" si="66"/>
        <v>0</v>
      </c>
      <c r="AB471" s="18"/>
      <c r="AC471" s="18" t="str">
        <f>IF($AB471="","",IF($AB471&gt;$AA471,"PASS",IF($AB471&lt;=$AA471*(1-'Parametri Modello'!$B$68),"BID","ATTENZIONE")))</f>
        <v/>
      </c>
      <c r="AD471" s="28">
        <f t="shared" si="67"/>
        <v>6</v>
      </c>
      <c r="AE471" s="5" t="str">
        <f>IFERROR(INDEX('Stato Asta'!$G$9:$G$12,MATCH($B471,'Stato Asta'!$A$9:$A$12,0)),"")</f>
        <v>🔴 Non aspettare</v>
      </c>
      <c r="AF471" t="str">
        <f>IFERROR(IF($V471&lt;=INDEX('Parametri Modello'!$C$57:$C$60,MATCH($B471,'Parametri Modello'!$A$57:$A$60,0)),"Titolare","Riserva"),"")</f>
        <v>Riserva</v>
      </c>
      <c r="AG471" t="str">
        <f>IFERROR(INDEX('Pressione Competitiva'!$F$3:$F$6,MATCH($B471,'Pressione Competitiva'!$B$3:$B$6,0)),"")</f>
        <v>🔴 Molto Alta</v>
      </c>
      <c r="AH471" t="str">
        <f t="shared" si="68"/>
        <v/>
      </c>
      <c r="AI471" t="str">
        <f>IFERROR(IF($AH471="","",IF($AH471&gt;=$AA471*'Parametri Modello'!$B$68,"🟢 Opportunita'",IF($AH471&lt;=$AA471*'Parametri Modello'!$B$69,"🔴 Sovrapprezzo","🟡 Prezzo Corretto"))),"")</f>
        <v/>
      </c>
      <c r="AJ471" t="str">
        <f t="shared" si="69"/>
        <v/>
      </c>
      <c r="AK471" t="str">
        <f t="shared" si="70"/>
        <v/>
      </c>
      <c r="AL471" t="str">
        <f t="shared" si="71"/>
        <v/>
      </c>
    </row>
    <row r="472" spans="1:38" ht="14.25" customHeight="1" x14ac:dyDescent="0.25">
      <c r="A472" s="18">
        <v>5707</v>
      </c>
      <c r="B472" s="18" t="s">
        <v>15</v>
      </c>
      <c r="C472" s="18" t="s">
        <v>611</v>
      </c>
      <c r="E472" s="23" t="str">
        <f>IF(COUNTIF('Info Strategia'!$D$2:$D$51,$C472)&gt;0,"SI","NO")</f>
        <v>NO</v>
      </c>
      <c r="F472" s="24">
        <f>IFERROR(ROUND(($G472+($H472-$G472)*'Info Strategia'!$B$6)*(1+IF($E472="SI",'Parametri Modello'!$B$7*'Info Strategia'!$B$6,0)),0),"")</f>
        <v>0</v>
      </c>
      <c r="G472" s="24">
        <f>IFERROR(ROUND(MAX(1,(IF($V472&lt;=INDEX('Parametri Modello'!$C$57:$C$60,MATCH($B472,'Parametri Modello'!$A$57:$A$60,0)),IF(INDEX('Parametri Modello'!$E$57:$E$60,MATCH($B472,'Parametri Modello'!$A$57:$A$60,0))=0,0,($O472/INDEX('Parametri Modello'!$E$57:$E$60,MATCH($B472,'Parametri Modello'!$A$57:$A$60,0)))*(INDEX('Parametri Modello'!$D$57:$D$60,MATCH($B472,'Parametri Modello'!$A$57:$A$60,0))*(INDEX('Parametri Modello'!$B$50:$B$53,MATCH($B472,'Parametri Modello'!$A$50:$A$53,0))*'Parametri Modello'!$B$44))),IF(INDEX('Parametri Modello'!$F$57:$F$60,MATCH($B472,'Parametri Modello'!$A$57:$A$60,0))=0,0,($O472/INDEX('Parametri Modello'!$F$57:$F$60,MATCH($B472,'Parametri Modello'!$A$57:$A$60,0)))*((1-INDEX('Parametri Modello'!$D$57:$D$60,MATCH($B472,'Parametri Modello'!$A$57:$A$60,0)))*(INDEX('Parametri Modello'!$B$50:$B$53,MATCH($B472,'Parametri Modello'!$A$50:$A$53,0))*'Parametri Modello'!$B$44))))*(1+IF(IF($B472="D",'Info Lega'!$B$25,IF($B472="C",'Info Lega'!$B$26,"No"))="Si",'Parametri Modello'!$B$5,0))*(1+MAX(-0.25,MIN(0.25,IF(OR($T472="",$I472="",$I472=0,INDEX('Parametri Modello'!$B$19:$B$22,MATCH($B472,'Parametri Modello'!$A$19:$A$22,0))="",INDEX('Parametri Modello'!$B$19:$B$22,MATCH($B472,'Parametri Modello'!$A$19:$A$22,0))=0),0,(($T472-INDEX('Parametri Modello'!$B$19:$B$22,MATCH($B472,'Parametri Modello'!$A$19:$A$22,0)))/INDEX('Parametri Modello'!$B$19:$B$22,MATCH($B472,'Parametri Modello'!$A$19:$A$22,0)))*'Parametri Modello'!$B$9))))*(1+IF('Parametri Modello'!$B$27="Si",MAX(-'Parametri Modello'!$B$28,MIN('Parametri Modello'!$B$28*1.5,IF(OR(INDEX('Parametri Modello'!$F$32:$F$35,MATCH($B472,'Parametri Modello'!$A$32:$A$35,0))="",INDEX('Parametri Modello'!$F$32:$F$35,MATCH($B472,'Parametri Modello'!$A$32:$A$35,0))=0),0,(1/INDEX('Parametri Modello'!$F$32:$F$35,MATCH($B472,'Parametri Modello'!$A$32:$A$35,0))-1)*'Parametri Modello'!$B$28))),0)))*(1-INDEX('Parametri Modello'!$B$12:$B$15,MATCH($B472,'Parametri Modello'!$A$12:$A$15,0)))),0),"")</f>
        <v>1</v>
      </c>
      <c r="H472" s="24">
        <f>IFERROR(ROUND((IF($V472&lt;=INDEX('Parametri Modello'!$C$57:$C$60,MATCH($B472,'Parametri Modello'!$A$57:$A$60,0)),IF(INDEX('Parametri Modello'!$E$57:$E$60,MATCH($B472,'Parametri Modello'!$A$57:$A$60,0))=0,0,($O472/INDEX('Parametri Modello'!$E$57:$E$60,MATCH($B472,'Parametri Modello'!$A$57:$A$60,0)))*(INDEX('Parametri Modello'!$D$57:$D$60,MATCH($B472,'Parametri Modello'!$A$57:$A$60,0))*(INDEX('Parametri Modello'!$B$50:$B$53,MATCH($B472,'Parametri Modello'!$A$50:$A$53,0))*'Parametri Modello'!$B$44))),IF(INDEX('Parametri Modello'!$F$57:$F$60,MATCH($B472,'Parametri Modello'!$A$57:$A$60,0))=0,0,($O472/INDEX('Parametri Modello'!$F$57:$F$60,MATCH($B472,'Parametri Modello'!$A$57:$A$60,0)))*((1-INDEX('Parametri Modello'!$D$57:$D$60,MATCH($B472,'Parametri Modello'!$A$57:$A$60,0)))*(INDEX('Parametri Modello'!$B$50:$B$53,MATCH($B472,'Parametri Modello'!$A$50:$A$53,0))*'Parametri Modello'!$B$44))))*(1+IF(IF($B472="D",'Info Lega'!$B$25,IF($B472="C",'Info Lega'!$B$26,"No"))="Si",'Parametri Modello'!$B$5,0))*(1+MAX(-0.25,MIN(0.25,IF(OR($T472="",$I472="",$I472=0,INDEX('Parametri Modello'!$B$19:$B$22,MATCH($B472,'Parametri Modello'!$A$19:$A$22,0))="",INDEX('Parametri Modello'!$B$19:$B$22,MATCH($B472,'Parametri Modello'!$A$19:$A$22,0))=0),0,(($T472-INDEX('Parametri Modello'!$B$19:$B$22,MATCH($B472,'Parametri Modello'!$A$19:$A$22,0)))/INDEX('Parametri Modello'!$B$19:$B$22,MATCH($B472,'Parametri Modello'!$A$19:$A$22,0)))*'Parametri Modello'!$B$9))))*(1+IF('Parametri Modello'!$B$27="Si",MAX(-'Parametri Modello'!$B$28,MIN('Parametri Modello'!$B$28*1.5,IF(OR(INDEX('Parametri Modello'!$F$32:$F$35,MATCH($B472,'Parametri Modello'!$A$32:$A$35,0))="",INDEX('Parametri Modello'!$F$32:$F$35,MATCH($B472,'Parametri Modello'!$A$32:$A$35,0))=0),0,(1/INDEX('Parametri Modello'!$F$32:$F$35,MATCH($B472,'Parametri Modello'!$A$32:$A$35,0))-1)*'Parametri Modello'!$B$28))),0)))*(1+INDEX('Parametri Modello'!$B$12:$B$15,MATCH($B472,'Parametri Modello'!$A$12:$A$15,0))),0),"")</f>
        <v>0</v>
      </c>
      <c r="I472" s="23" t="str">
        <f>IFERROR(INDEX('Input Statistiche 2025_26'!$F$3:$F$665,MATCH($A472,'Input Statistiche 2025_26'!$A$3:$A$665,0)),"")</f>
        <v/>
      </c>
      <c r="J472" s="23" t="str">
        <f t="shared" si="63"/>
        <v/>
      </c>
      <c r="K472" s="23" t="str">
        <f>IFERROR(INDEX('Input Statistiche 2025_26'!$I$3:$I$665,MATCH($A472,'Input Statistiche 2025_26'!$A$3:$A$665,0)),"")</f>
        <v/>
      </c>
      <c r="L472" s="23" t="str">
        <f>IFERROR(INDEX('Input Statistiche 2025_26'!$O$3:$O$665,MATCH($A472,'Input Statistiche 2025_26'!$A$3:$A$665,0)),"")</f>
        <v/>
      </c>
      <c r="M472" s="25"/>
      <c r="N472" s="24">
        <f>IFERROR(INDEX('Input Giocatori 2026_27'!$E$3:$E$493,MATCH($A472,'Input Giocatori 2026_27'!$A$3:$A$493,0)),"")</f>
        <v>1</v>
      </c>
      <c r="O472" s="24">
        <f>IFERROR(INDEX('Input Giocatori 2026_27'!$G$3:$G$493,MATCH($A472,'Input Giocatori 2026_27'!$A$3:$A$493,0)),"")</f>
        <v>1</v>
      </c>
      <c r="P472" s="23" t="str">
        <f>IFERROR(IF($O472="","",IF((1-(COUNTIFS($B$2:$B$492,$B472,$O$2:$O$492,"&gt;"&amp;$O472)+1-1)/COUNTIF($B$2:$B$492,$B472))&gt;='Parametri Modello'!$B$63,"Top",IF((1-(COUNTIFS($B$2:$B$492,$B472,$O$2:$O$492,"&gt;"&amp;$O472)+1-1)/COUNTIF($B$2:$B$492,$B472))&gt;='Parametri Modello'!$B$64,"Buono",IF((1-(COUNTIFS($B$2:$B$492,$B472,$O$2:$O$492,"&gt;"&amp;$O472)+1-1)/COUNTIF($B$2:$B$492,$B472))&gt;='Parametri Modello'!$B$65,"Nella Media","Scommessa/Riserva")))),"")</f>
        <v>Nella Media</v>
      </c>
      <c r="Q472" s="26" t="str">
        <f>IF(AND($D472="",$N472&gt;1),SUMPRODUCT(($D$2:$D472="")*($N$2:$N472&gt;1)),"")</f>
        <v/>
      </c>
      <c r="R472" s="26" t="str">
        <f>IF($D472='Info Lega'!$B$28,COUNTIFS($D$2:$D472,'Info Lega'!$B$28),"")</f>
        <v/>
      </c>
      <c r="S472" s="27" t="str">
        <f>IFERROR(INDEX('Input Statistiche 2025_26'!$G$3:$G$665,MATCH($A472,'Input Statistiche 2025_26'!$A$3:$A$665,0)),"")</f>
        <v/>
      </c>
      <c r="T472" s="27" t="str">
        <f>IFERROR(INDEX('Input Statistiche 2025_26'!$H$3:$H$665,MATCH($A472,'Input Statistiche 2025_26'!$A$3:$A$665,0)),"")</f>
        <v/>
      </c>
      <c r="U472" s="23" t="str">
        <f>IF(OR('La Mia Rosa'!$O$12="",$D472&lt;&gt;""),"",IF($F472&lt;='La Mia Rosa'!$O$12*'Parametri Modello'!$B$24,"OK",IF($F472&lt;='La Mia Rosa'!$O$12*'Parametri Modello'!$B$25,"Attenzione","Rischio Alto")))</f>
        <v>OK</v>
      </c>
      <c r="V472" s="23">
        <f t="shared" si="64"/>
        <v>26</v>
      </c>
      <c r="W472" s="18">
        <f>'Info Lega'!$B$4-SUMIFS($M$2:$M$492,$D$2:$D$492,'Info Lega'!$B$28)</f>
        <v>1000</v>
      </c>
      <c r="X472" s="18">
        <f>('Info Lega'!$B$5-COUNTIFS($D$2:$D$492,'Info Lega'!$B$28,$B$2:$B$492,"P"))+('Info Lega'!$B$6-COUNTIFS($D$2:$D$492,'Info Lega'!$B$28,$B$2:$B$492,"D"))+('Info Lega'!$B$7-COUNTIFS($D$2:$D$492,'Info Lega'!$B$28,$B$2:$B$492,"C"))+('Info Lega'!$B$8-COUNTIFS($D$2:$D$492,'Info Lega'!$B$28,$B$2:$B$492,"A"))</f>
        <v>25</v>
      </c>
      <c r="Y472" s="18">
        <f>X472*'Parametri Modello'!$B$30</f>
        <v>25</v>
      </c>
      <c r="Z472" s="18">
        <f t="shared" si="65"/>
        <v>975</v>
      </c>
      <c r="AA472" s="18">
        <f t="shared" si="66"/>
        <v>0</v>
      </c>
      <c r="AB472" s="18"/>
      <c r="AC472" s="18" t="str">
        <f>IF($AB472="","",IF($AB472&gt;$AA472,"PASS",IF($AB472&lt;=$AA472*(1-'Parametri Modello'!$B$68),"BID","ATTENZIONE")))</f>
        <v/>
      </c>
      <c r="AD472" s="28" t="str">
        <f t="shared" si="67"/>
        <v/>
      </c>
      <c r="AE472" s="5" t="str">
        <f>IFERROR(INDEX('Stato Asta'!$G$9:$G$12,MATCH($B472,'Stato Asta'!$A$9:$A$12,0)),"")</f>
        <v>🔴 Non aspettare</v>
      </c>
      <c r="AF472" t="str">
        <f>IFERROR(IF($V472&lt;=INDEX('Parametri Modello'!$C$57:$C$60,MATCH($B472,'Parametri Modello'!$A$57:$A$60,0)),"Titolare","Riserva"),"")</f>
        <v>Riserva</v>
      </c>
      <c r="AG472" t="str">
        <f>IFERROR(INDEX('Pressione Competitiva'!$F$3:$F$6,MATCH($B472,'Pressione Competitiva'!$B$3:$B$6,0)),"")</f>
        <v>🔴 Molto Alta</v>
      </c>
      <c r="AH472" t="str">
        <f t="shared" si="68"/>
        <v/>
      </c>
      <c r="AI472" t="str">
        <f>IFERROR(IF($AH472="","",IF($AH472&gt;=$AA472*'Parametri Modello'!$B$68,"🟢 Opportunita'",IF($AH472&lt;=$AA472*'Parametri Modello'!$B$69,"🔴 Sovrapprezzo","🟡 Prezzo Corretto"))),"")</f>
        <v/>
      </c>
      <c r="AJ472" t="str">
        <f t="shared" si="69"/>
        <v/>
      </c>
      <c r="AK472" t="str">
        <f t="shared" si="70"/>
        <v/>
      </c>
      <c r="AL472" t="str">
        <f t="shared" si="71"/>
        <v/>
      </c>
    </row>
    <row r="473" spans="1:38" ht="14.25" customHeight="1" x14ac:dyDescent="0.25">
      <c r="A473" s="18">
        <v>6671</v>
      </c>
      <c r="B473" s="18" t="s">
        <v>15</v>
      </c>
      <c r="C473" s="18" t="s">
        <v>612</v>
      </c>
      <c r="E473" s="23" t="str">
        <f>IF(COUNTIF('Info Strategia'!$D$2:$D$51,$C473)&gt;0,"SI","NO")</f>
        <v>NO</v>
      </c>
      <c r="F473" s="24">
        <f>IFERROR(ROUND(($G473+($H473-$G473)*'Info Strategia'!$B$6)*(1+IF($E473="SI",'Parametri Modello'!$B$7*'Info Strategia'!$B$6,0)),0),"")</f>
        <v>0</v>
      </c>
      <c r="G473" s="24">
        <f>IFERROR(ROUND(MAX(1,(IF($V473&lt;=INDEX('Parametri Modello'!$C$57:$C$60,MATCH($B473,'Parametri Modello'!$A$57:$A$60,0)),IF(INDEX('Parametri Modello'!$E$57:$E$60,MATCH($B473,'Parametri Modello'!$A$57:$A$60,0))=0,0,($O473/INDEX('Parametri Modello'!$E$57:$E$60,MATCH($B473,'Parametri Modello'!$A$57:$A$60,0)))*(INDEX('Parametri Modello'!$D$57:$D$60,MATCH($B473,'Parametri Modello'!$A$57:$A$60,0))*(INDEX('Parametri Modello'!$B$50:$B$53,MATCH($B473,'Parametri Modello'!$A$50:$A$53,0))*'Parametri Modello'!$B$44))),IF(INDEX('Parametri Modello'!$F$57:$F$60,MATCH($B473,'Parametri Modello'!$A$57:$A$60,0))=0,0,($O473/INDEX('Parametri Modello'!$F$57:$F$60,MATCH($B473,'Parametri Modello'!$A$57:$A$60,0)))*((1-INDEX('Parametri Modello'!$D$57:$D$60,MATCH($B473,'Parametri Modello'!$A$57:$A$60,0)))*(INDEX('Parametri Modello'!$B$50:$B$53,MATCH($B473,'Parametri Modello'!$A$50:$A$53,0))*'Parametri Modello'!$B$44))))*(1+IF(IF($B473="D",'Info Lega'!$B$25,IF($B473="C",'Info Lega'!$B$26,"No"))="Si",'Parametri Modello'!$B$5,0))*(1+MAX(-0.25,MIN(0.25,IF(OR($T473="",$I473="",$I473=0,INDEX('Parametri Modello'!$B$19:$B$22,MATCH($B473,'Parametri Modello'!$A$19:$A$22,0))="",INDEX('Parametri Modello'!$B$19:$B$22,MATCH($B473,'Parametri Modello'!$A$19:$A$22,0))=0),0,(($T473-INDEX('Parametri Modello'!$B$19:$B$22,MATCH($B473,'Parametri Modello'!$A$19:$A$22,0)))/INDEX('Parametri Modello'!$B$19:$B$22,MATCH($B473,'Parametri Modello'!$A$19:$A$22,0)))*'Parametri Modello'!$B$9))))*(1+IF('Parametri Modello'!$B$27="Si",MAX(-'Parametri Modello'!$B$28,MIN('Parametri Modello'!$B$28*1.5,IF(OR(INDEX('Parametri Modello'!$F$32:$F$35,MATCH($B473,'Parametri Modello'!$A$32:$A$35,0))="",INDEX('Parametri Modello'!$F$32:$F$35,MATCH($B473,'Parametri Modello'!$A$32:$A$35,0))=0),0,(1/INDEX('Parametri Modello'!$F$32:$F$35,MATCH($B473,'Parametri Modello'!$A$32:$A$35,0))-1)*'Parametri Modello'!$B$28))),0)))*(1-INDEX('Parametri Modello'!$B$12:$B$15,MATCH($B473,'Parametri Modello'!$A$12:$A$15,0)))),0),"")</f>
        <v>1</v>
      </c>
      <c r="H473" s="24">
        <f>IFERROR(ROUND((IF($V473&lt;=INDEX('Parametri Modello'!$C$57:$C$60,MATCH($B473,'Parametri Modello'!$A$57:$A$60,0)),IF(INDEX('Parametri Modello'!$E$57:$E$60,MATCH($B473,'Parametri Modello'!$A$57:$A$60,0))=0,0,($O473/INDEX('Parametri Modello'!$E$57:$E$60,MATCH($B473,'Parametri Modello'!$A$57:$A$60,0)))*(INDEX('Parametri Modello'!$D$57:$D$60,MATCH($B473,'Parametri Modello'!$A$57:$A$60,0))*(INDEX('Parametri Modello'!$B$50:$B$53,MATCH($B473,'Parametri Modello'!$A$50:$A$53,0))*'Parametri Modello'!$B$44))),IF(INDEX('Parametri Modello'!$F$57:$F$60,MATCH($B473,'Parametri Modello'!$A$57:$A$60,0))=0,0,($O473/INDEX('Parametri Modello'!$F$57:$F$60,MATCH($B473,'Parametri Modello'!$A$57:$A$60,0)))*((1-INDEX('Parametri Modello'!$D$57:$D$60,MATCH($B473,'Parametri Modello'!$A$57:$A$60,0)))*(INDEX('Parametri Modello'!$B$50:$B$53,MATCH($B473,'Parametri Modello'!$A$50:$A$53,0))*'Parametri Modello'!$B$44))))*(1+IF(IF($B473="D",'Info Lega'!$B$25,IF($B473="C",'Info Lega'!$B$26,"No"))="Si",'Parametri Modello'!$B$5,0))*(1+MAX(-0.25,MIN(0.25,IF(OR($T473="",$I473="",$I473=0,INDEX('Parametri Modello'!$B$19:$B$22,MATCH($B473,'Parametri Modello'!$A$19:$A$22,0))="",INDEX('Parametri Modello'!$B$19:$B$22,MATCH($B473,'Parametri Modello'!$A$19:$A$22,0))=0),0,(($T473-INDEX('Parametri Modello'!$B$19:$B$22,MATCH($B473,'Parametri Modello'!$A$19:$A$22,0)))/INDEX('Parametri Modello'!$B$19:$B$22,MATCH($B473,'Parametri Modello'!$A$19:$A$22,0)))*'Parametri Modello'!$B$9))))*(1+IF('Parametri Modello'!$B$27="Si",MAX(-'Parametri Modello'!$B$28,MIN('Parametri Modello'!$B$28*1.5,IF(OR(INDEX('Parametri Modello'!$F$32:$F$35,MATCH($B473,'Parametri Modello'!$A$32:$A$35,0))="",INDEX('Parametri Modello'!$F$32:$F$35,MATCH($B473,'Parametri Modello'!$A$32:$A$35,0))=0),0,(1/INDEX('Parametri Modello'!$F$32:$F$35,MATCH($B473,'Parametri Modello'!$A$32:$A$35,0))-1)*'Parametri Modello'!$B$28))),0)))*(1+INDEX('Parametri Modello'!$B$12:$B$15,MATCH($B473,'Parametri Modello'!$A$12:$A$15,0))),0),"")</f>
        <v>0</v>
      </c>
      <c r="I473" s="23" t="str">
        <f>IFERROR(INDEX('Input Statistiche 2025_26'!$F$3:$F$665,MATCH($A473,'Input Statistiche 2025_26'!$A$3:$A$665,0)),"")</f>
        <v/>
      </c>
      <c r="J473" s="23" t="str">
        <f t="shared" si="63"/>
        <v/>
      </c>
      <c r="K473" s="23" t="str">
        <f>IFERROR(INDEX('Input Statistiche 2025_26'!$I$3:$I$665,MATCH($A473,'Input Statistiche 2025_26'!$A$3:$A$665,0)),"")</f>
        <v/>
      </c>
      <c r="L473" s="23" t="str">
        <f>IFERROR(INDEX('Input Statistiche 2025_26'!$O$3:$O$665,MATCH($A473,'Input Statistiche 2025_26'!$A$3:$A$665,0)),"")</f>
        <v/>
      </c>
      <c r="M473" s="25"/>
      <c r="N473" s="24">
        <f>IFERROR(INDEX('Input Giocatori 2026_27'!$E$3:$E$493,MATCH($A473,'Input Giocatori 2026_27'!$A$3:$A$493,0)),"")</f>
        <v>1</v>
      </c>
      <c r="O473" s="24">
        <f>IFERROR(INDEX('Input Giocatori 2026_27'!$G$3:$G$493,MATCH($A473,'Input Giocatori 2026_27'!$A$3:$A$493,0)),"")</f>
        <v>1</v>
      </c>
      <c r="P473" s="23" t="str">
        <f>IFERROR(IF($O473="","",IF((1-(COUNTIFS($B$2:$B$492,$B473,$O$2:$O$492,"&gt;"&amp;$O473)+1-1)/COUNTIF($B$2:$B$492,$B473))&gt;='Parametri Modello'!$B$63,"Top",IF((1-(COUNTIFS($B$2:$B$492,$B473,$O$2:$O$492,"&gt;"&amp;$O473)+1-1)/COUNTIF($B$2:$B$492,$B473))&gt;='Parametri Modello'!$B$64,"Buono",IF((1-(COUNTIFS($B$2:$B$492,$B473,$O$2:$O$492,"&gt;"&amp;$O473)+1-1)/COUNTIF($B$2:$B$492,$B473))&gt;='Parametri Modello'!$B$65,"Nella Media","Scommessa/Riserva")))),"")</f>
        <v>Nella Media</v>
      </c>
      <c r="Q473" s="26" t="str">
        <f>IF(AND($D473="",$N473&gt;1),SUMPRODUCT(($D$2:$D473="")*($N$2:$N473&gt;1)),"")</f>
        <v/>
      </c>
      <c r="R473" s="26" t="str">
        <f>IF($D473='Info Lega'!$B$28,COUNTIFS($D$2:$D473,'Info Lega'!$B$28),"")</f>
        <v/>
      </c>
      <c r="S473" s="27" t="str">
        <f>IFERROR(INDEX('Input Statistiche 2025_26'!$G$3:$G$665,MATCH($A473,'Input Statistiche 2025_26'!$A$3:$A$665,0)),"")</f>
        <v/>
      </c>
      <c r="T473" s="27" t="str">
        <f>IFERROR(INDEX('Input Statistiche 2025_26'!$H$3:$H$665,MATCH($A473,'Input Statistiche 2025_26'!$A$3:$A$665,0)),"")</f>
        <v/>
      </c>
      <c r="U473" s="23" t="str">
        <f>IF(OR('La Mia Rosa'!$O$12="",$D473&lt;&gt;""),"",IF($F473&lt;='La Mia Rosa'!$O$12*'Parametri Modello'!$B$24,"OK",IF($F473&lt;='La Mia Rosa'!$O$12*'Parametri Modello'!$B$25,"Attenzione","Rischio Alto")))</f>
        <v>OK</v>
      </c>
      <c r="V473" s="23">
        <f t="shared" si="64"/>
        <v>26</v>
      </c>
      <c r="W473" s="18">
        <f>'Info Lega'!$B$4-SUMIFS($M$2:$M$492,$D$2:$D$492,'Info Lega'!$B$28)</f>
        <v>1000</v>
      </c>
      <c r="X473" s="18">
        <f>('Info Lega'!$B$5-COUNTIFS($D$2:$D$492,'Info Lega'!$B$28,$B$2:$B$492,"P"))+('Info Lega'!$B$6-COUNTIFS($D$2:$D$492,'Info Lega'!$B$28,$B$2:$B$492,"D"))+('Info Lega'!$B$7-COUNTIFS($D$2:$D$492,'Info Lega'!$B$28,$B$2:$B$492,"C"))+('Info Lega'!$B$8-COUNTIFS($D$2:$D$492,'Info Lega'!$B$28,$B$2:$B$492,"A"))</f>
        <v>25</v>
      </c>
      <c r="Y473" s="18">
        <f>X473*'Parametri Modello'!$B$30</f>
        <v>25</v>
      </c>
      <c r="Z473" s="18">
        <f t="shared" si="65"/>
        <v>975</v>
      </c>
      <c r="AA473" s="18">
        <f t="shared" si="66"/>
        <v>0</v>
      </c>
      <c r="AB473" s="18"/>
      <c r="AC473" s="18" t="str">
        <f>IF($AB473="","",IF($AB473&gt;$AA473,"PASS",IF($AB473&lt;=$AA473*(1-'Parametri Modello'!$B$68),"BID","ATTENZIONE")))</f>
        <v/>
      </c>
      <c r="AD473" s="28" t="str">
        <f t="shared" si="67"/>
        <v/>
      </c>
      <c r="AE473" s="5" t="str">
        <f>IFERROR(INDEX('Stato Asta'!$G$9:$G$12,MATCH($B473,'Stato Asta'!$A$9:$A$12,0)),"")</f>
        <v>🔴 Non aspettare</v>
      </c>
      <c r="AF473" t="str">
        <f>IFERROR(IF($V473&lt;=INDEX('Parametri Modello'!$C$57:$C$60,MATCH($B473,'Parametri Modello'!$A$57:$A$60,0)),"Titolare","Riserva"),"")</f>
        <v>Riserva</v>
      </c>
      <c r="AG473" t="str">
        <f>IFERROR(INDEX('Pressione Competitiva'!$F$3:$F$6,MATCH($B473,'Pressione Competitiva'!$B$3:$B$6,0)),"")</f>
        <v>🔴 Molto Alta</v>
      </c>
      <c r="AH473" t="str">
        <f t="shared" si="68"/>
        <v/>
      </c>
      <c r="AI473" t="str">
        <f>IFERROR(IF($AH473="","",IF($AH473&gt;=$AA473*'Parametri Modello'!$B$68,"🟢 Opportunita'",IF($AH473&lt;=$AA473*'Parametri Modello'!$B$69,"🔴 Sovrapprezzo","🟡 Prezzo Corretto"))),"")</f>
        <v/>
      </c>
      <c r="AJ473" t="str">
        <f t="shared" si="69"/>
        <v/>
      </c>
      <c r="AK473" t="str">
        <f t="shared" si="70"/>
        <v/>
      </c>
      <c r="AL473" t="str">
        <f t="shared" si="71"/>
        <v/>
      </c>
    </row>
    <row r="474" spans="1:38" ht="14.25" customHeight="1" x14ac:dyDescent="0.25">
      <c r="A474" s="18">
        <v>7531</v>
      </c>
      <c r="B474" s="18" t="s">
        <v>15</v>
      </c>
      <c r="C474" s="18" t="s">
        <v>613</v>
      </c>
      <c r="E474" s="23" t="str">
        <f>IF(COUNTIF('Info Strategia'!$D$2:$D$51,$C474)&gt;0,"SI","NO")</f>
        <v>NO</v>
      </c>
      <c r="F474" s="24">
        <f>IFERROR(ROUND(($G474+($H474-$G474)*'Info Strategia'!$B$6)*(1+IF($E474="SI",'Parametri Modello'!$B$7*'Info Strategia'!$B$6,0)),0),"")</f>
        <v>0</v>
      </c>
      <c r="G474" s="24">
        <f>IFERROR(ROUND(MAX(1,(IF($V474&lt;=INDEX('Parametri Modello'!$C$57:$C$60,MATCH($B474,'Parametri Modello'!$A$57:$A$60,0)),IF(INDEX('Parametri Modello'!$E$57:$E$60,MATCH($B474,'Parametri Modello'!$A$57:$A$60,0))=0,0,($O474/INDEX('Parametri Modello'!$E$57:$E$60,MATCH($B474,'Parametri Modello'!$A$57:$A$60,0)))*(INDEX('Parametri Modello'!$D$57:$D$60,MATCH($B474,'Parametri Modello'!$A$57:$A$60,0))*(INDEX('Parametri Modello'!$B$50:$B$53,MATCH($B474,'Parametri Modello'!$A$50:$A$53,0))*'Parametri Modello'!$B$44))),IF(INDEX('Parametri Modello'!$F$57:$F$60,MATCH($B474,'Parametri Modello'!$A$57:$A$60,0))=0,0,($O474/INDEX('Parametri Modello'!$F$57:$F$60,MATCH($B474,'Parametri Modello'!$A$57:$A$60,0)))*((1-INDEX('Parametri Modello'!$D$57:$D$60,MATCH($B474,'Parametri Modello'!$A$57:$A$60,0)))*(INDEX('Parametri Modello'!$B$50:$B$53,MATCH($B474,'Parametri Modello'!$A$50:$A$53,0))*'Parametri Modello'!$B$44))))*(1+IF(IF($B474="D",'Info Lega'!$B$25,IF($B474="C",'Info Lega'!$B$26,"No"))="Si",'Parametri Modello'!$B$5,0))*(1+MAX(-0.25,MIN(0.25,IF(OR($T474="",$I474="",$I474=0,INDEX('Parametri Modello'!$B$19:$B$22,MATCH($B474,'Parametri Modello'!$A$19:$A$22,0))="",INDEX('Parametri Modello'!$B$19:$B$22,MATCH($B474,'Parametri Modello'!$A$19:$A$22,0))=0),0,(($T474-INDEX('Parametri Modello'!$B$19:$B$22,MATCH($B474,'Parametri Modello'!$A$19:$A$22,0)))/INDEX('Parametri Modello'!$B$19:$B$22,MATCH($B474,'Parametri Modello'!$A$19:$A$22,0)))*'Parametri Modello'!$B$9))))*(1+IF('Parametri Modello'!$B$27="Si",MAX(-'Parametri Modello'!$B$28,MIN('Parametri Modello'!$B$28*1.5,IF(OR(INDEX('Parametri Modello'!$F$32:$F$35,MATCH($B474,'Parametri Modello'!$A$32:$A$35,0))="",INDEX('Parametri Modello'!$F$32:$F$35,MATCH($B474,'Parametri Modello'!$A$32:$A$35,0))=0),0,(1/INDEX('Parametri Modello'!$F$32:$F$35,MATCH($B474,'Parametri Modello'!$A$32:$A$35,0))-1)*'Parametri Modello'!$B$28))),0)))*(1-INDEX('Parametri Modello'!$B$12:$B$15,MATCH($B474,'Parametri Modello'!$A$12:$A$15,0)))),0),"")</f>
        <v>1</v>
      </c>
      <c r="H474" s="24">
        <f>IFERROR(ROUND((IF($V474&lt;=INDEX('Parametri Modello'!$C$57:$C$60,MATCH($B474,'Parametri Modello'!$A$57:$A$60,0)),IF(INDEX('Parametri Modello'!$E$57:$E$60,MATCH($B474,'Parametri Modello'!$A$57:$A$60,0))=0,0,($O474/INDEX('Parametri Modello'!$E$57:$E$60,MATCH($B474,'Parametri Modello'!$A$57:$A$60,0)))*(INDEX('Parametri Modello'!$D$57:$D$60,MATCH($B474,'Parametri Modello'!$A$57:$A$60,0))*(INDEX('Parametri Modello'!$B$50:$B$53,MATCH($B474,'Parametri Modello'!$A$50:$A$53,0))*'Parametri Modello'!$B$44))),IF(INDEX('Parametri Modello'!$F$57:$F$60,MATCH($B474,'Parametri Modello'!$A$57:$A$60,0))=0,0,($O474/INDEX('Parametri Modello'!$F$57:$F$60,MATCH($B474,'Parametri Modello'!$A$57:$A$60,0)))*((1-INDEX('Parametri Modello'!$D$57:$D$60,MATCH($B474,'Parametri Modello'!$A$57:$A$60,0)))*(INDEX('Parametri Modello'!$B$50:$B$53,MATCH($B474,'Parametri Modello'!$A$50:$A$53,0))*'Parametri Modello'!$B$44))))*(1+IF(IF($B474="D",'Info Lega'!$B$25,IF($B474="C",'Info Lega'!$B$26,"No"))="Si",'Parametri Modello'!$B$5,0))*(1+MAX(-0.25,MIN(0.25,IF(OR($T474="",$I474="",$I474=0,INDEX('Parametri Modello'!$B$19:$B$22,MATCH($B474,'Parametri Modello'!$A$19:$A$22,0))="",INDEX('Parametri Modello'!$B$19:$B$22,MATCH($B474,'Parametri Modello'!$A$19:$A$22,0))=0),0,(($T474-INDEX('Parametri Modello'!$B$19:$B$22,MATCH($B474,'Parametri Modello'!$A$19:$A$22,0)))/INDEX('Parametri Modello'!$B$19:$B$22,MATCH($B474,'Parametri Modello'!$A$19:$A$22,0)))*'Parametri Modello'!$B$9))))*(1+IF('Parametri Modello'!$B$27="Si",MAX(-'Parametri Modello'!$B$28,MIN('Parametri Modello'!$B$28*1.5,IF(OR(INDEX('Parametri Modello'!$F$32:$F$35,MATCH($B474,'Parametri Modello'!$A$32:$A$35,0))="",INDEX('Parametri Modello'!$F$32:$F$35,MATCH($B474,'Parametri Modello'!$A$32:$A$35,0))=0),0,(1/INDEX('Parametri Modello'!$F$32:$F$35,MATCH($B474,'Parametri Modello'!$A$32:$A$35,0))-1)*'Parametri Modello'!$B$28))),0)))*(1+INDEX('Parametri Modello'!$B$12:$B$15,MATCH($B474,'Parametri Modello'!$A$12:$A$15,0))),0),"")</f>
        <v>0</v>
      </c>
      <c r="I474" s="23" t="str">
        <f>IFERROR(INDEX('Input Statistiche 2025_26'!$F$3:$F$665,MATCH($A474,'Input Statistiche 2025_26'!$A$3:$A$665,0)),"")</f>
        <v/>
      </c>
      <c r="J474" s="23" t="str">
        <f t="shared" si="63"/>
        <v/>
      </c>
      <c r="K474" s="23" t="str">
        <f>IFERROR(INDEX('Input Statistiche 2025_26'!$I$3:$I$665,MATCH($A474,'Input Statistiche 2025_26'!$A$3:$A$665,0)),"")</f>
        <v/>
      </c>
      <c r="L474" s="23" t="str">
        <f>IFERROR(INDEX('Input Statistiche 2025_26'!$O$3:$O$665,MATCH($A474,'Input Statistiche 2025_26'!$A$3:$A$665,0)),"")</f>
        <v/>
      </c>
      <c r="M474" s="25"/>
      <c r="N474" s="24">
        <f>IFERROR(INDEX('Input Giocatori 2026_27'!$E$3:$E$493,MATCH($A474,'Input Giocatori 2026_27'!$A$3:$A$493,0)),"")</f>
        <v>1</v>
      </c>
      <c r="O474" s="24">
        <f>IFERROR(INDEX('Input Giocatori 2026_27'!$G$3:$G$493,MATCH($A474,'Input Giocatori 2026_27'!$A$3:$A$493,0)),"")</f>
        <v>1</v>
      </c>
      <c r="P474" s="23" t="str">
        <f>IFERROR(IF($O474="","",IF((1-(COUNTIFS($B$2:$B$492,$B474,$O$2:$O$492,"&gt;"&amp;$O474)+1-1)/COUNTIF($B$2:$B$492,$B474))&gt;='Parametri Modello'!$B$63,"Top",IF((1-(COUNTIFS($B$2:$B$492,$B474,$O$2:$O$492,"&gt;"&amp;$O474)+1-1)/COUNTIF($B$2:$B$492,$B474))&gt;='Parametri Modello'!$B$64,"Buono",IF((1-(COUNTIFS($B$2:$B$492,$B474,$O$2:$O$492,"&gt;"&amp;$O474)+1-1)/COUNTIF($B$2:$B$492,$B474))&gt;='Parametri Modello'!$B$65,"Nella Media","Scommessa/Riserva")))),"")</f>
        <v>Nella Media</v>
      </c>
      <c r="Q474" s="26" t="str">
        <f>IF(AND($D474="",$N474&gt;1),SUMPRODUCT(($D$2:$D474="")*($N$2:$N474&gt;1)),"")</f>
        <v/>
      </c>
      <c r="R474" s="26" t="str">
        <f>IF($D474='Info Lega'!$B$28,COUNTIFS($D$2:$D474,'Info Lega'!$B$28),"")</f>
        <v/>
      </c>
      <c r="S474" s="27" t="str">
        <f>IFERROR(INDEX('Input Statistiche 2025_26'!$G$3:$G$665,MATCH($A474,'Input Statistiche 2025_26'!$A$3:$A$665,0)),"")</f>
        <v/>
      </c>
      <c r="T474" s="27" t="str">
        <f>IFERROR(INDEX('Input Statistiche 2025_26'!$H$3:$H$665,MATCH($A474,'Input Statistiche 2025_26'!$A$3:$A$665,0)),"")</f>
        <v/>
      </c>
      <c r="U474" s="23" t="str">
        <f>IF(OR('La Mia Rosa'!$O$12="",$D474&lt;&gt;""),"",IF($F474&lt;='La Mia Rosa'!$O$12*'Parametri Modello'!$B$24,"OK",IF($F474&lt;='La Mia Rosa'!$O$12*'Parametri Modello'!$B$25,"Attenzione","Rischio Alto")))</f>
        <v>OK</v>
      </c>
      <c r="V474" s="23">
        <f t="shared" si="64"/>
        <v>26</v>
      </c>
      <c r="W474" s="18">
        <f>'Info Lega'!$B$4-SUMIFS($M$2:$M$492,$D$2:$D$492,'Info Lega'!$B$28)</f>
        <v>1000</v>
      </c>
      <c r="X474" s="18">
        <f>('Info Lega'!$B$5-COUNTIFS($D$2:$D$492,'Info Lega'!$B$28,$B$2:$B$492,"P"))+('Info Lega'!$B$6-COUNTIFS($D$2:$D$492,'Info Lega'!$B$28,$B$2:$B$492,"D"))+('Info Lega'!$B$7-COUNTIFS($D$2:$D$492,'Info Lega'!$B$28,$B$2:$B$492,"C"))+('Info Lega'!$B$8-COUNTIFS($D$2:$D$492,'Info Lega'!$B$28,$B$2:$B$492,"A"))</f>
        <v>25</v>
      </c>
      <c r="Y474" s="18">
        <f>X474*'Parametri Modello'!$B$30</f>
        <v>25</v>
      </c>
      <c r="Z474" s="18">
        <f t="shared" si="65"/>
        <v>975</v>
      </c>
      <c r="AA474" s="18">
        <f t="shared" si="66"/>
        <v>0</v>
      </c>
      <c r="AB474" s="18"/>
      <c r="AC474" s="18" t="str">
        <f>IF($AB474="","",IF($AB474&gt;$AA474,"PASS",IF($AB474&lt;=$AA474*(1-'Parametri Modello'!$B$68),"BID","ATTENZIONE")))</f>
        <v/>
      </c>
      <c r="AD474" s="28" t="str">
        <f t="shared" si="67"/>
        <v/>
      </c>
      <c r="AE474" s="5" t="str">
        <f>IFERROR(INDEX('Stato Asta'!$G$9:$G$12,MATCH($B474,'Stato Asta'!$A$9:$A$12,0)),"")</f>
        <v>🔴 Non aspettare</v>
      </c>
      <c r="AF474" t="str">
        <f>IFERROR(IF($V474&lt;=INDEX('Parametri Modello'!$C$57:$C$60,MATCH($B474,'Parametri Modello'!$A$57:$A$60,0)),"Titolare","Riserva"),"")</f>
        <v>Riserva</v>
      </c>
      <c r="AG474" t="str">
        <f>IFERROR(INDEX('Pressione Competitiva'!$F$3:$F$6,MATCH($B474,'Pressione Competitiva'!$B$3:$B$6,0)),"")</f>
        <v>🔴 Molto Alta</v>
      </c>
      <c r="AH474" t="str">
        <f t="shared" si="68"/>
        <v/>
      </c>
      <c r="AI474" t="str">
        <f>IFERROR(IF($AH474="","",IF($AH474&gt;=$AA474*'Parametri Modello'!$B$68,"🟢 Opportunita'",IF($AH474&lt;=$AA474*'Parametri Modello'!$B$69,"🔴 Sovrapprezzo","🟡 Prezzo Corretto"))),"")</f>
        <v/>
      </c>
      <c r="AJ474" t="str">
        <f t="shared" si="69"/>
        <v/>
      </c>
      <c r="AK474" t="str">
        <f t="shared" si="70"/>
        <v/>
      </c>
      <c r="AL474" t="str">
        <f t="shared" si="71"/>
        <v/>
      </c>
    </row>
    <row r="475" spans="1:38" ht="14.25" customHeight="1" x14ac:dyDescent="0.25">
      <c r="A475" s="18">
        <v>6672</v>
      </c>
      <c r="B475" s="18" t="s">
        <v>16</v>
      </c>
      <c r="C475" s="18" t="s">
        <v>614</v>
      </c>
      <c r="E475" s="23" t="str">
        <f>IF(COUNTIF('Info Strategia'!$D$2:$D$51,$C475)&gt;0,"SI","NO")</f>
        <v>NO</v>
      </c>
      <c r="F475" s="24">
        <f>IFERROR(ROUND(($G475+($H475-$G475)*'Info Strategia'!$B$6)*(1+IF($E475="SI",'Parametri Modello'!$B$7*'Info Strategia'!$B$6,0)),0),"")</f>
        <v>0</v>
      </c>
      <c r="G475" s="24">
        <f>IFERROR(ROUND(MAX(1,(IF($V475&lt;=INDEX('Parametri Modello'!$C$57:$C$60,MATCH($B475,'Parametri Modello'!$A$57:$A$60,0)),IF(INDEX('Parametri Modello'!$E$57:$E$60,MATCH($B475,'Parametri Modello'!$A$57:$A$60,0))=0,0,($O475/INDEX('Parametri Modello'!$E$57:$E$60,MATCH($B475,'Parametri Modello'!$A$57:$A$60,0)))*(INDEX('Parametri Modello'!$D$57:$D$60,MATCH($B475,'Parametri Modello'!$A$57:$A$60,0))*(INDEX('Parametri Modello'!$B$50:$B$53,MATCH($B475,'Parametri Modello'!$A$50:$A$53,0))*'Parametri Modello'!$B$44))),IF(INDEX('Parametri Modello'!$F$57:$F$60,MATCH($B475,'Parametri Modello'!$A$57:$A$60,0))=0,0,($O475/INDEX('Parametri Modello'!$F$57:$F$60,MATCH($B475,'Parametri Modello'!$A$57:$A$60,0)))*((1-INDEX('Parametri Modello'!$D$57:$D$60,MATCH($B475,'Parametri Modello'!$A$57:$A$60,0)))*(INDEX('Parametri Modello'!$B$50:$B$53,MATCH($B475,'Parametri Modello'!$A$50:$A$53,0))*'Parametri Modello'!$B$44))))*(1+IF(IF($B475="D",'Info Lega'!$B$25,IF($B475="C",'Info Lega'!$B$26,"No"))="Si",'Parametri Modello'!$B$5,0))*(1+MAX(-0.25,MIN(0.25,IF(OR($T475="",$I475="",$I475=0,INDEX('Parametri Modello'!$B$19:$B$22,MATCH($B475,'Parametri Modello'!$A$19:$A$22,0))="",INDEX('Parametri Modello'!$B$19:$B$22,MATCH($B475,'Parametri Modello'!$A$19:$A$22,0))=0),0,(($T475-INDEX('Parametri Modello'!$B$19:$B$22,MATCH($B475,'Parametri Modello'!$A$19:$A$22,0)))/INDEX('Parametri Modello'!$B$19:$B$22,MATCH($B475,'Parametri Modello'!$A$19:$A$22,0)))*'Parametri Modello'!$B$9))))*(1+IF('Parametri Modello'!$B$27="Si",MAX(-'Parametri Modello'!$B$28,MIN('Parametri Modello'!$B$28*1.5,IF(OR(INDEX('Parametri Modello'!$F$32:$F$35,MATCH($B475,'Parametri Modello'!$A$32:$A$35,0))="",INDEX('Parametri Modello'!$F$32:$F$35,MATCH($B475,'Parametri Modello'!$A$32:$A$35,0))=0),0,(1/INDEX('Parametri Modello'!$F$32:$F$35,MATCH($B475,'Parametri Modello'!$A$32:$A$35,0))-1)*'Parametri Modello'!$B$28))),0)))*(1-INDEX('Parametri Modello'!$B$12:$B$15,MATCH($B475,'Parametri Modello'!$A$12:$A$15,0)))),0),"")</f>
        <v>1</v>
      </c>
      <c r="H475" s="24">
        <f>IFERROR(ROUND((IF($V475&lt;=INDEX('Parametri Modello'!$C$57:$C$60,MATCH($B475,'Parametri Modello'!$A$57:$A$60,0)),IF(INDEX('Parametri Modello'!$E$57:$E$60,MATCH($B475,'Parametri Modello'!$A$57:$A$60,0))=0,0,($O475/INDEX('Parametri Modello'!$E$57:$E$60,MATCH($B475,'Parametri Modello'!$A$57:$A$60,0)))*(INDEX('Parametri Modello'!$D$57:$D$60,MATCH($B475,'Parametri Modello'!$A$57:$A$60,0))*(INDEX('Parametri Modello'!$B$50:$B$53,MATCH($B475,'Parametri Modello'!$A$50:$A$53,0))*'Parametri Modello'!$B$44))),IF(INDEX('Parametri Modello'!$F$57:$F$60,MATCH($B475,'Parametri Modello'!$A$57:$A$60,0))=0,0,($O475/INDEX('Parametri Modello'!$F$57:$F$60,MATCH($B475,'Parametri Modello'!$A$57:$A$60,0)))*((1-INDEX('Parametri Modello'!$D$57:$D$60,MATCH($B475,'Parametri Modello'!$A$57:$A$60,0)))*(INDEX('Parametri Modello'!$B$50:$B$53,MATCH($B475,'Parametri Modello'!$A$50:$A$53,0))*'Parametri Modello'!$B$44))))*(1+IF(IF($B475="D",'Info Lega'!$B$25,IF($B475="C",'Info Lega'!$B$26,"No"))="Si",'Parametri Modello'!$B$5,0))*(1+MAX(-0.25,MIN(0.25,IF(OR($T475="",$I475="",$I475=0,INDEX('Parametri Modello'!$B$19:$B$22,MATCH($B475,'Parametri Modello'!$A$19:$A$22,0))="",INDEX('Parametri Modello'!$B$19:$B$22,MATCH($B475,'Parametri Modello'!$A$19:$A$22,0))=0),0,(($T475-INDEX('Parametri Modello'!$B$19:$B$22,MATCH($B475,'Parametri Modello'!$A$19:$A$22,0)))/INDEX('Parametri Modello'!$B$19:$B$22,MATCH($B475,'Parametri Modello'!$A$19:$A$22,0)))*'Parametri Modello'!$B$9))))*(1+IF('Parametri Modello'!$B$27="Si",MAX(-'Parametri Modello'!$B$28,MIN('Parametri Modello'!$B$28*1.5,IF(OR(INDEX('Parametri Modello'!$F$32:$F$35,MATCH($B475,'Parametri Modello'!$A$32:$A$35,0))="",INDEX('Parametri Modello'!$F$32:$F$35,MATCH($B475,'Parametri Modello'!$A$32:$A$35,0))=0),0,(1/INDEX('Parametri Modello'!$F$32:$F$35,MATCH($B475,'Parametri Modello'!$A$32:$A$35,0))-1)*'Parametri Modello'!$B$28))),0)))*(1+INDEX('Parametri Modello'!$B$12:$B$15,MATCH($B475,'Parametri Modello'!$A$12:$A$15,0))),0),"")</f>
        <v>0</v>
      </c>
      <c r="I475" s="23">
        <f>IFERROR(INDEX('Input Statistiche 2025_26'!$F$3:$F$665,MATCH($A475,'Input Statistiche 2025_26'!$A$3:$A$665,0)),"")</f>
        <v>35</v>
      </c>
      <c r="J475" s="23">
        <f t="shared" si="63"/>
        <v>3</v>
      </c>
      <c r="K475" s="23">
        <f>IFERROR(INDEX('Input Statistiche 2025_26'!$I$3:$I$665,MATCH($A475,'Input Statistiche 2025_26'!$A$3:$A$665,0)),"")</f>
        <v>0</v>
      </c>
      <c r="L475" s="23">
        <f>IFERROR(INDEX('Input Statistiche 2025_26'!$O$3:$O$665,MATCH($A475,'Input Statistiche 2025_26'!$A$3:$A$665,0)),"")</f>
        <v>0</v>
      </c>
      <c r="M475" s="25"/>
      <c r="N475" s="24">
        <f>IFERROR(INDEX('Input Giocatori 2026_27'!$E$3:$E$493,MATCH($A475,'Input Giocatori 2026_27'!$A$3:$A$493,0)),"")</f>
        <v>7</v>
      </c>
      <c r="O475" s="24">
        <f>IFERROR(INDEX('Input Giocatori 2026_27'!$G$3:$G$493,MATCH($A475,'Input Giocatori 2026_27'!$A$3:$A$493,0)),"")</f>
        <v>1</v>
      </c>
      <c r="P475" s="23" t="str">
        <f>IFERROR(IF($O475="","",IF((1-(COUNTIFS($B$2:$B$492,$B475,$O$2:$O$492,"&gt;"&amp;$O475)+1-1)/COUNTIF($B$2:$B$492,$B475))&gt;='Parametri Modello'!$B$63,"Top",IF((1-(COUNTIFS($B$2:$B$492,$B475,$O$2:$O$492,"&gt;"&amp;$O475)+1-1)/COUNTIF($B$2:$B$492,$B475))&gt;='Parametri Modello'!$B$64,"Buono",IF((1-(COUNTIFS($B$2:$B$492,$B475,$O$2:$O$492,"&gt;"&amp;$O475)+1-1)/COUNTIF($B$2:$B$492,$B475))&gt;='Parametri Modello'!$B$65,"Nella Media","Scommessa/Riserva")))),"")</f>
        <v>Scommessa/Riserva</v>
      </c>
      <c r="Q475" s="26">
        <f>IF(AND($D475="",$N475&gt;1),SUMPRODUCT(($D$2:$D475="")*($N$2:$N475&gt;1)),"")</f>
        <v>404</v>
      </c>
      <c r="R475" s="26" t="str">
        <f>IF($D475='Info Lega'!$B$28,COUNTIFS($D$2:$D475,'Info Lega'!$B$28),"")</f>
        <v/>
      </c>
      <c r="S475" s="27">
        <f>IFERROR(INDEX('Input Statistiche 2025_26'!$G$3:$G$665,MATCH($A475,'Input Statistiche 2025_26'!$A$3:$A$665,0)),"")</f>
        <v>5.94</v>
      </c>
      <c r="T475" s="27">
        <f>IFERROR(INDEX('Input Statistiche 2025_26'!$H$3:$H$665,MATCH($A475,'Input Statistiche 2025_26'!$A$3:$A$665,0)),"")</f>
        <v>5.9</v>
      </c>
      <c r="U475" s="23" t="str">
        <f>IF(OR('La Mia Rosa'!$O$12="",$D475&lt;&gt;""),"",IF($F475&lt;='La Mia Rosa'!$O$12*'Parametri Modello'!$B$24,"OK",IF($F475&lt;='La Mia Rosa'!$O$12*'Parametri Modello'!$B$25,"Attenzione","Rischio Alto")))</f>
        <v>OK</v>
      </c>
      <c r="V475" s="23">
        <f t="shared" si="64"/>
        <v>168</v>
      </c>
      <c r="W475" s="18">
        <f>'Info Lega'!$B$4-SUMIFS($M$2:$M$492,$D$2:$D$492,'Info Lega'!$B$28)</f>
        <v>1000</v>
      </c>
      <c r="X475" s="18">
        <f>('Info Lega'!$B$5-COUNTIFS($D$2:$D$492,'Info Lega'!$B$28,$B$2:$B$492,"P"))+('Info Lega'!$B$6-COUNTIFS($D$2:$D$492,'Info Lega'!$B$28,$B$2:$B$492,"D"))+('Info Lega'!$B$7-COUNTIFS($D$2:$D$492,'Info Lega'!$B$28,$B$2:$B$492,"C"))+('Info Lega'!$B$8-COUNTIFS($D$2:$D$492,'Info Lega'!$B$28,$B$2:$B$492,"A"))</f>
        <v>25</v>
      </c>
      <c r="Y475" s="18">
        <f>X475*'Parametri Modello'!$B$30</f>
        <v>25</v>
      </c>
      <c r="Z475" s="18">
        <f t="shared" si="65"/>
        <v>975</v>
      </c>
      <c r="AA475" s="18">
        <f t="shared" si="66"/>
        <v>0</v>
      </c>
      <c r="AB475" s="18"/>
      <c r="AC475" s="18" t="str">
        <f>IF($AB475="","",IF($AB475&gt;$AA475,"PASS",IF($AB475&lt;=$AA475*(1-'Parametri Modello'!$B$68),"BID","ATTENZIONE")))</f>
        <v/>
      </c>
      <c r="AD475" s="28">
        <f t="shared" si="67"/>
        <v>69</v>
      </c>
      <c r="AE475" s="5" t="str">
        <f>IFERROR(INDEX('Stato Asta'!$G$9:$G$12,MATCH($B475,'Stato Asta'!$A$9:$A$12,0)),"")</f>
        <v>🔴 Non aspettare</v>
      </c>
      <c r="AF475" t="str">
        <f>IFERROR(IF($V475&lt;=INDEX('Parametri Modello'!$C$57:$C$60,MATCH($B475,'Parametri Modello'!$A$57:$A$60,0)),"Titolare","Riserva"),"")</f>
        <v>Riserva</v>
      </c>
      <c r="AG475" t="str">
        <f>IFERROR(INDEX('Pressione Competitiva'!$F$3:$F$6,MATCH($B475,'Pressione Competitiva'!$B$3:$B$6,0)),"")</f>
        <v>🔴 Molto Alta</v>
      </c>
      <c r="AH475" t="str">
        <f t="shared" si="68"/>
        <v/>
      </c>
      <c r="AI475" t="str">
        <f>IFERROR(IF($AH475="","",IF($AH475&gt;=$AA475*'Parametri Modello'!$B$68,"🟢 Opportunita'",IF($AH475&lt;=$AA475*'Parametri Modello'!$B$69,"🔴 Sovrapprezzo","🟡 Prezzo Corretto"))),"")</f>
        <v/>
      </c>
      <c r="AJ475" t="str">
        <f t="shared" si="69"/>
        <v/>
      </c>
      <c r="AK475">
        <f t="shared" si="70"/>
        <v>37</v>
      </c>
      <c r="AL475" t="str">
        <f t="shared" si="71"/>
        <v>D|Scommessa/Riserva|37</v>
      </c>
    </row>
    <row r="476" spans="1:38" ht="14.25" customHeight="1" x14ac:dyDescent="0.25">
      <c r="A476" s="18">
        <v>7346</v>
      </c>
      <c r="B476" s="18" t="s">
        <v>16</v>
      </c>
      <c r="C476" s="18" t="s">
        <v>615</v>
      </c>
      <c r="E476" s="23" t="str">
        <f>IF(COUNTIF('Info Strategia'!$D$2:$D$51,$C476)&gt;0,"SI","NO")</f>
        <v>NO</v>
      </c>
      <c r="F476" s="24">
        <f>IFERROR(ROUND(($G476+($H476-$G476)*'Info Strategia'!$B$6)*(1+IF($E476="SI",'Parametri Modello'!$B$7*'Info Strategia'!$B$6,0)),0),"")</f>
        <v>0</v>
      </c>
      <c r="G476" s="24">
        <f>IFERROR(ROUND(MAX(1,(IF($V476&lt;=INDEX('Parametri Modello'!$C$57:$C$60,MATCH($B476,'Parametri Modello'!$A$57:$A$60,0)),IF(INDEX('Parametri Modello'!$E$57:$E$60,MATCH($B476,'Parametri Modello'!$A$57:$A$60,0))=0,0,($O476/INDEX('Parametri Modello'!$E$57:$E$60,MATCH($B476,'Parametri Modello'!$A$57:$A$60,0)))*(INDEX('Parametri Modello'!$D$57:$D$60,MATCH($B476,'Parametri Modello'!$A$57:$A$60,0))*(INDEX('Parametri Modello'!$B$50:$B$53,MATCH($B476,'Parametri Modello'!$A$50:$A$53,0))*'Parametri Modello'!$B$44))),IF(INDEX('Parametri Modello'!$F$57:$F$60,MATCH($B476,'Parametri Modello'!$A$57:$A$60,0))=0,0,($O476/INDEX('Parametri Modello'!$F$57:$F$60,MATCH($B476,'Parametri Modello'!$A$57:$A$60,0)))*((1-INDEX('Parametri Modello'!$D$57:$D$60,MATCH($B476,'Parametri Modello'!$A$57:$A$60,0)))*(INDEX('Parametri Modello'!$B$50:$B$53,MATCH($B476,'Parametri Modello'!$A$50:$A$53,0))*'Parametri Modello'!$B$44))))*(1+IF(IF($B476="D",'Info Lega'!$B$25,IF($B476="C",'Info Lega'!$B$26,"No"))="Si",'Parametri Modello'!$B$5,0))*(1+MAX(-0.25,MIN(0.25,IF(OR($T476="",$I476="",$I476=0,INDEX('Parametri Modello'!$B$19:$B$22,MATCH($B476,'Parametri Modello'!$A$19:$A$22,0))="",INDEX('Parametri Modello'!$B$19:$B$22,MATCH($B476,'Parametri Modello'!$A$19:$A$22,0))=0),0,(($T476-INDEX('Parametri Modello'!$B$19:$B$22,MATCH($B476,'Parametri Modello'!$A$19:$A$22,0)))/INDEX('Parametri Modello'!$B$19:$B$22,MATCH($B476,'Parametri Modello'!$A$19:$A$22,0)))*'Parametri Modello'!$B$9))))*(1+IF('Parametri Modello'!$B$27="Si",MAX(-'Parametri Modello'!$B$28,MIN('Parametri Modello'!$B$28*1.5,IF(OR(INDEX('Parametri Modello'!$F$32:$F$35,MATCH($B476,'Parametri Modello'!$A$32:$A$35,0))="",INDEX('Parametri Modello'!$F$32:$F$35,MATCH($B476,'Parametri Modello'!$A$32:$A$35,0))=0),0,(1/INDEX('Parametri Modello'!$F$32:$F$35,MATCH($B476,'Parametri Modello'!$A$32:$A$35,0))-1)*'Parametri Modello'!$B$28))),0)))*(1-INDEX('Parametri Modello'!$B$12:$B$15,MATCH($B476,'Parametri Modello'!$A$12:$A$15,0)))),0),"")</f>
        <v>1</v>
      </c>
      <c r="H476" s="24">
        <f>IFERROR(ROUND((IF($V476&lt;=INDEX('Parametri Modello'!$C$57:$C$60,MATCH($B476,'Parametri Modello'!$A$57:$A$60,0)),IF(INDEX('Parametri Modello'!$E$57:$E$60,MATCH($B476,'Parametri Modello'!$A$57:$A$60,0))=0,0,($O476/INDEX('Parametri Modello'!$E$57:$E$60,MATCH($B476,'Parametri Modello'!$A$57:$A$60,0)))*(INDEX('Parametri Modello'!$D$57:$D$60,MATCH($B476,'Parametri Modello'!$A$57:$A$60,0))*(INDEX('Parametri Modello'!$B$50:$B$53,MATCH($B476,'Parametri Modello'!$A$50:$A$53,0))*'Parametri Modello'!$B$44))),IF(INDEX('Parametri Modello'!$F$57:$F$60,MATCH($B476,'Parametri Modello'!$A$57:$A$60,0))=0,0,($O476/INDEX('Parametri Modello'!$F$57:$F$60,MATCH($B476,'Parametri Modello'!$A$57:$A$60,0)))*((1-INDEX('Parametri Modello'!$D$57:$D$60,MATCH($B476,'Parametri Modello'!$A$57:$A$60,0)))*(INDEX('Parametri Modello'!$B$50:$B$53,MATCH($B476,'Parametri Modello'!$A$50:$A$53,0))*'Parametri Modello'!$B$44))))*(1+IF(IF($B476="D",'Info Lega'!$B$25,IF($B476="C",'Info Lega'!$B$26,"No"))="Si",'Parametri Modello'!$B$5,0))*(1+MAX(-0.25,MIN(0.25,IF(OR($T476="",$I476="",$I476=0,INDEX('Parametri Modello'!$B$19:$B$22,MATCH($B476,'Parametri Modello'!$A$19:$A$22,0))="",INDEX('Parametri Modello'!$B$19:$B$22,MATCH($B476,'Parametri Modello'!$A$19:$A$22,0))=0),0,(($T476-INDEX('Parametri Modello'!$B$19:$B$22,MATCH($B476,'Parametri Modello'!$A$19:$A$22,0)))/INDEX('Parametri Modello'!$B$19:$B$22,MATCH($B476,'Parametri Modello'!$A$19:$A$22,0)))*'Parametri Modello'!$B$9))))*(1+IF('Parametri Modello'!$B$27="Si",MAX(-'Parametri Modello'!$B$28,MIN('Parametri Modello'!$B$28*1.5,IF(OR(INDEX('Parametri Modello'!$F$32:$F$35,MATCH($B476,'Parametri Modello'!$A$32:$A$35,0))="",INDEX('Parametri Modello'!$F$32:$F$35,MATCH($B476,'Parametri Modello'!$A$32:$A$35,0))=0),0,(1/INDEX('Parametri Modello'!$F$32:$F$35,MATCH($B476,'Parametri Modello'!$A$32:$A$35,0))-1)*'Parametri Modello'!$B$28))),0)))*(1+INDEX('Parametri Modello'!$B$12:$B$15,MATCH($B476,'Parametri Modello'!$A$12:$A$15,0))),0),"")</f>
        <v>0</v>
      </c>
      <c r="I476" s="23">
        <f>IFERROR(INDEX('Input Statistiche 2025_26'!$F$3:$F$665,MATCH($A476,'Input Statistiche 2025_26'!$A$3:$A$665,0)),"")</f>
        <v>0</v>
      </c>
      <c r="J476" s="23">
        <f t="shared" si="63"/>
        <v>38</v>
      </c>
      <c r="K476" s="23">
        <f>IFERROR(INDEX('Input Statistiche 2025_26'!$I$3:$I$665,MATCH($A476,'Input Statistiche 2025_26'!$A$3:$A$665,0)),"")</f>
        <v>0</v>
      </c>
      <c r="L476" s="23">
        <f>IFERROR(INDEX('Input Statistiche 2025_26'!$O$3:$O$665,MATCH($A476,'Input Statistiche 2025_26'!$A$3:$A$665,0)),"")</f>
        <v>0</v>
      </c>
      <c r="M476" s="25"/>
      <c r="N476" s="24">
        <f>IFERROR(INDEX('Input Giocatori 2026_27'!$E$3:$E$493,MATCH($A476,'Input Giocatori 2026_27'!$A$3:$A$493,0)),"")</f>
        <v>1</v>
      </c>
      <c r="O476" s="24">
        <f>IFERROR(INDEX('Input Giocatori 2026_27'!$G$3:$G$493,MATCH($A476,'Input Giocatori 2026_27'!$A$3:$A$493,0)),"")</f>
        <v>1</v>
      </c>
      <c r="P476" s="23" t="str">
        <f>IFERROR(IF($O476="","",IF((1-(COUNTIFS($B$2:$B$492,$B476,$O$2:$O$492,"&gt;"&amp;$O476)+1-1)/COUNTIF($B$2:$B$492,$B476))&gt;='Parametri Modello'!$B$63,"Top",IF((1-(COUNTIFS($B$2:$B$492,$B476,$O$2:$O$492,"&gt;"&amp;$O476)+1-1)/COUNTIF($B$2:$B$492,$B476))&gt;='Parametri Modello'!$B$64,"Buono",IF((1-(COUNTIFS($B$2:$B$492,$B476,$O$2:$O$492,"&gt;"&amp;$O476)+1-1)/COUNTIF($B$2:$B$492,$B476))&gt;='Parametri Modello'!$B$65,"Nella Media","Scommessa/Riserva")))),"")</f>
        <v>Scommessa/Riserva</v>
      </c>
      <c r="Q476" s="26" t="str">
        <f>IF(AND($D476="",$N476&gt;1),SUMPRODUCT(($D$2:$D476="")*($N$2:$N476&gt;1)),"")</f>
        <v/>
      </c>
      <c r="R476" s="26" t="str">
        <f>IF($D476='Info Lega'!$B$28,COUNTIFS($D$2:$D476,'Info Lega'!$B$28),"")</f>
        <v/>
      </c>
      <c r="S476" s="27">
        <f>IFERROR(INDEX('Input Statistiche 2025_26'!$G$3:$G$665,MATCH($A476,'Input Statistiche 2025_26'!$A$3:$A$665,0)),"")</f>
        <v>0</v>
      </c>
      <c r="T476" s="27">
        <f>IFERROR(INDEX('Input Statistiche 2025_26'!$H$3:$H$665,MATCH($A476,'Input Statistiche 2025_26'!$A$3:$A$665,0)),"")</f>
        <v>0</v>
      </c>
      <c r="U476" s="23" t="str">
        <f>IF(OR('La Mia Rosa'!$O$12="",$D476&lt;&gt;""),"",IF($F476&lt;='La Mia Rosa'!$O$12*'Parametri Modello'!$B$24,"OK",IF($F476&lt;='La Mia Rosa'!$O$12*'Parametri Modello'!$B$25,"Attenzione","Rischio Alto")))</f>
        <v>OK</v>
      </c>
      <c r="V476" s="23">
        <f t="shared" si="64"/>
        <v>168</v>
      </c>
      <c r="W476" s="18">
        <f>'Info Lega'!$B$4-SUMIFS($M$2:$M$492,$D$2:$D$492,'Info Lega'!$B$28)</f>
        <v>1000</v>
      </c>
      <c r="X476" s="18">
        <f>('Info Lega'!$B$5-COUNTIFS($D$2:$D$492,'Info Lega'!$B$28,$B$2:$B$492,"P"))+('Info Lega'!$B$6-COUNTIFS($D$2:$D$492,'Info Lega'!$B$28,$B$2:$B$492,"D"))+('Info Lega'!$B$7-COUNTIFS($D$2:$D$492,'Info Lega'!$B$28,$B$2:$B$492,"C"))+('Info Lega'!$B$8-COUNTIFS($D$2:$D$492,'Info Lega'!$B$28,$B$2:$B$492,"A"))</f>
        <v>25</v>
      </c>
      <c r="Y476" s="18">
        <f>X476*'Parametri Modello'!$B$30</f>
        <v>25</v>
      </c>
      <c r="Z476" s="18">
        <f t="shared" si="65"/>
        <v>975</v>
      </c>
      <c r="AA476" s="18">
        <f t="shared" si="66"/>
        <v>0</v>
      </c>
      <c r="AB476" s="18"/>
      <c r="AC476" s="18" t="str">
        <f>IF($AB476="","",IF($AB476&gt;$AA476,"PASS",IF($AB476&lt;=$AA476*(1-'Parametri Modello'!$B$68),"BID","ATTENZIONE")))</f>
        <v/>
      </c>
      <c r="AD476" s="28">
        <f t="shared" si="67"/>
        <v>0</v>
      </c>
      <c r="AE476" s="5" t="str">
        <f>IFERROR(INDEX('Stato Asta'!$G$9:$G$12,MATCH($B476,'Stato Asta'!$A$9:$A$12,0)),"")</f>
        <v>🔴 Non aspettare</v>
      </c>
      <c r="AF476" t="str">
        <f>IFERROR(IF($V476&lt;=INDEX('Parametri Modello'!$C$57:$C$60,MATCH($B476,'Parametri Modello'!$A$57:$A$60,0)),"Titolare","Riserva"),"")</f>
        <v>Riserva</v>
      </c>
      <c r="AG476" t="str">
        <f>IFERROR(INDEX('Pressione Competitiva'!$F$3:$F$6,MATCH($B476,'Pressione Competitiva'!$B$3:$B$6,0)),"")</f>
        <v>🔴 Molto Alta</v>
      </c>
      <c r="AH476" t="str">
        <f t="shared" si="68"/>
        <v/>
      </c>
      <c r="AI476" t="str">
        <f>IFERROR(IF($AH476="","",IF($AH476&gt;=$AA476*'Parametri Modello'!$B$68,"🟢 Opportunita'",IF($AH476&lt;=$AA476*'Parametri Modello'!$B$69,"🔴 Sovrapprezzo","🟡 Prezzo Corretto"))),"")</f>
        <v/>
      </c>
      <c r="AJ476" t="str">
        <f t="shared" si="69"/>
        <v/>
      </c>
      <c r="AK476" t="str">
        <f t="shared" si="70"/>
        <v/>
      </c>
      <c r="AL476" t="str">
        <f t="shared" si="71"/>
        <v/>
      </c>
    </row>
    <row r="477" spans="1:38" ht="14.25" customHeight="1" x14ac:dyDescent="0.25">
      <c r="A477" s="18">
        <v>418</v>
      </c>
      <c r="B477" s="18" t="s">
        <v>16</v>
      </c>
      <c r="C477" s="18" t="s">
        <v>616</v>
      </c>
      <c r="E477" s="23" t="str">
        <f>IF(COUNTIF('Info Strategia'!$D$2:$D$51,$C477)&gt;0,"SI","NO")</f>
        <v>NO</v>
      </c>
      <c r="F477" s="24">
        <f>IFERROR(ROUND(($G477+($H477-$G477)*'Info Strategia'!$B$6)*(1+IF($E477="SI",'Parametri Modello'!$B$7*'Info Strategia'!$B$6,0)),0),"")</f>
        <v>0</v>
      </c>
      <c r="G477" s="24">
        <f>IFERROR(ROUND(MAX(1,(IF($V477&lt;=INDEX('Parametri Modello'!$C$57:$C$60,MATCH($B477,'Parametri Modello'!$A$57:$A$60,0)),IF(INDEX('Parametri Modello'!$E$57:$E$60,MATCH($B477,'Parametri Modello'!$A$57:$A$60,0))=0,0,($O477/INDEX('Parametri Modello'!$E$57:$E$60,MATCH($B477,'Parametri Modello'!$A$57:$A$60,0)))*(INDEX('Parametri Modello'!$D$57:$D$60,MATCH($B477,'Parametri Modello'!$A$57:$A$60,0))*(INDEX('Parametri Modello'!$B$50:$B$53,MATCH($B477,'Parametri Modello'!$A$50:$A$53,0))*'Parametri Modello'!$B$44))),IF(INDEX('Parametri Modello'!$F$57:$F$60,MATCH($B477,'Parametri Modello'!$A$57:$A$60,0))=0,0,($O477/INDEX('Parametri Modello'!$F$57:$F$60,MATCH($B477,'Parametri Modello'!$A$57:$A$60,0)))*((1-INDEX('Parametri Modello'!$D$57:$D$60,MATCH($B477,'Parametri Modello'!$A$57:$A$60,0)))*(INDEX('Parametri Modello'!$B$50:$B$53,MATCH($B477,'Parametri Modello'!$A$50:$A$53,0))*'Parametri Modello'!$B$44))))*(1+IF(IF($B477="D",'Info Lega'!$B$25,IF($B477="C",'Info Lega'!$B$26,"No"))="Si",'Parametri Modello'!$B$5,0))*(1+MAX(-0.25,MIN(0.25,IF(OR($T477="",$I477="",$I477=0,INDEX('Parametri Modello'!$B$19:$B$22,MATCH($B477,'Parametri Modello'!$A$19:$A$22,0))="",INDEX('Parametri Modello'!$B$19:$B$22,MATCH($B477,'Parametri Modello'!$A$19:$A$22,0))=0),0,(($T477-INDEX('Parametri Modello'!$B$19:$B$22,MATCH($B477,'Parametri Modello'!$A$19:$A$22,0)))/INDEX('Parametri Modello'!$B$19:$B$22,MATCH($B477,'Parametri Modello'!$A$19:$A$22,0)))*'Parametri Modello'!$B$9))))*(1+IF('Parametri Modello'!$B$27="Si",MAX(-'Parametri Modello'!$B$28,MIN('Parametri Modello'!$B$28*1.5,IF(OR(INDEX('Parametri Modello'!$F$32:$F$35,MATCH($B477,'Parametri Modello'!$A$32:$A$35,0))="",INDEX('Parametri Modello'!$F$32:$F$35,MATCH($B477,'Parametri Modello'!$A$32:$A$35,0))=0),0,(1/INDEX('Parametri Modello'!$F$32:$F$35,MATCH($B477,'Parametri Modello'!$A$32:$A$35,0))-1)*'Parametri Modello'!$B$28))),0)))*(1-INDEX('Parametri Modello'!$B$12:$B$15,MATCH($B477,'Parametri Modello'!$A$12:$A$15,0)))),0),"")</f>
        <v>1</v>
      </c>
      <c r="H477" s="24">
        <f>IFERROR(ROUND((IF($V477&lt;=INDEX('Parametri Modello'!$C$57:$C$60,MATCH($B477,'Parametri Modello'!$A$57:$A$60,0)),IF(INDEX('Parametri Modello'!$E$57:$E$60,MATCH($B477,'Parametri Modello'!$A$57:$A$60,0))=0,0,($O477/INDEX('Parametri Modello'!$E$57:$E$60,MATCH($B477,'Parametri Modello'!$A$57:$A$60,0)))*(INDEX('Parametri Modello'!$D$57:$D$60,MATCH($B477,'Parametri Modello'!$A$57:$A$60,0))*(INDEX('Parametri Modello'!$B$50:$B$53,MATCH($B477,'Parametri Modello'!$A$50:$A$53,0))*'Parametri Modello'!$B$44))),IF(INDEX('Parametri Modello'!$F$57:$F$60,MATCH($B477,'Parametri Modello'!$A$57:$A$60,0))=0,0,($O477/INDEX('Parametri Modello'!$F$57:$F$60,MATCH($B477,'Parametri Modello'!$A$57:$A$60,0)))*((1-INDEX('Parametri Modello'!$D$57:$D$60,MATCH($B477,'Parametri Modello'!$A$57:$A$60,0)))*(INDEX('Parametri Modello'!$B$50:$B$53,MATCH($B477,'Parametri Modello'!$A$50:$A$53,0))*'Parametri Modello'!$B$44))))*(1+IF(IF($B477="D",'Info Lega'!$B$25,IF($B477="C",'Info Lega'!$B$26,"No"))="Si",'Parametri Modello'!$B$5,0))*(1+MAX(-0.25,MIN(0.25,IF(OR($T477="",$I477="",$I477=0,INDEX('Parametri Modello'!$B$19:$B$22,MATCH($B477,'Parametri Modello'!$A$19:$A$22,0))="",INDEX('Parametri Modello'!$B$19:$B$22,MATCH($B477,'Parametri Modello'!$A$19:$A$22,0))=0),0,(($T477-INDEX('Parametri Modello'!$B$19:$B$22,MATCH($B477,'Parametri Modello'!$A$19:$A$22,0)))/INDEX('Parametri Modello'!$B$19:$B$22,MATCH($B477,'Parametri Modello'!$A$19:$A$22,0)))*'Parametri Modello'!$B$9))))*(1+IF('Parametri Modello'!$B$27="Si",MAX(-'Parametri Modello'!$B$28,MIN('Parametri Modello'!$B$28*1.5,IF(OR(INDEX('Parametri Modello'!$F$32:$F$35,MATCH($B477,'Parametri Modello'!$A$32:$A$35,0))="",INDEX('Parametri Modello'!$F$32:$F$35,MATCH($B477,'Parametri Modello'!$A$32:$A$35,0))=0),0,(1/INDEX('Parametri Modello'!$F$32:$F$35,MATCH($B477,'Parametri Modello'!$A$32:$A$35,0))-1)*'Parametri Modello'!$B$28))),0)))*(1+INDEX('Parametri Modello'!$B$12:$B$15,MATCH($B477,'Parametri Modello'!$A$12:$A$15,0))),0),"")</f>
        <v>0</v>
      </c>
      <c r="I477" s="23">
        <f>IFERROR(INDEX('Input Statistiche 2025_26'!$F$3:$F$665,MATCH($A477,'Input Statistiche 2025_26'!$A$3:$A$665,0)),"")</f>
        <v>0</v>
      </c>
      <c r="J477" s="23">
        <f t="shared" si="63"/>
        <v>38</v>
      </c>
      <c r="K477" s="23">
        <f>IFERROR(INDEX('Input Statistiche 2025_26'!$I$3:$I$665,MATCH($A477,'Input Statistiche 2025_26'!$A$3:$A$665,0)),"")</f>
        <v>0</v>
      </c>
      <c r="L477" s="23">
        <f>IFERROR(INDEX('Input Statistiche 2025_26'!$O$3:$O$665,MATCH($A477,'Input Statistiche 2025_26'!$A$3:$A$665,0)),"")</f>
        <v>0</v>
      </c>
      <c r="M477" s="25"/>
      <c r="N477" s="24">
        <f>IFERROR(INDEX('Input Giocatori 2026_27'!$E$3:$E$493,MATCH($A477,'Input Giocatori 2026_27'!$A$3:$A$493,0)),"")</f>
        <v>1</v>
      </c>
      <c r="O477" s="24">
        <f>IFERROR(INDEX('Input Giocatori 2026_27'!$G$3:$G$493,MATCH($A477,'Input Giocatori 2026_27'!$A$3:$A$493,0)),"")</f>
        <v>1</v>
      </c>
      <c r="P477" s="23" t="str">
        <f>IFERROR(IF($O477="","",IF((1-(COUNTIFS($B$2:$B$492,$B477,$O$2:$O$492,"&gt;"&amp;$O477)+1-1)/COUNTIF($B$2:$B$492,$B477))&gt;='Parametri Modello'!$B$63,"Top",IF((1-(COUNTIFS($B$2:$B$492,$B477,$O$2:$O$492,"&gt;"&amp;$O477)+1-1)/COUNTIF($B$2:$B$492,$B477))&gt;='Parametri Modello'!$B$64,"Buono",IF((1-(COUNTIFS($B$2:$B$492,$B477,$O$2:$O$492,"&gt;"&amp;$O477)+1-1)/COUNTIF($B$2:$B$492,$B477))&gt;='Parametri Modello'!$B$65,"Nella Media","Scommessa/Riserva")))),"")</f>
        <v>Scommessa/Riserva</v>
      </c>
      <c r="Q477" s="26" t="str">
        <f>IF(AND($D477="",$N477&gt;1),SUMPRODUCT(($D$2:$D477="")*($N$2:$N477&gt;1)),"")</f>
        <v/>
      </c>
      <c r="R477" s="26" t="str">
        <f>IF($D477='Info Lega'!$B$28,COUNTIFS($D$2:$D477,'Info Lega'!$B$28),"")</f>
        <v/>
      </c>
      <c r="S477" s="27">
        <f>IFERROR(INDEX('Input Statistiche 2025_26'!$G$3:$G$665,MATCH($A477,'Input Statistiche 2025_26'!$A$3:$A$665,0)),"")</f>
        <v>0</v>
      </c>
      <c r="T477" s="27">
        <f>IFERROR(INDEX('Input Statistiche 2025_26'!$H$3:$H$665,MATCH($A477,'Input Statistiche 2025_26'!$A$3:$A$665,0)),"")</f>
        <v>0</v>
      </c>
      <c r="U477" s="23" t="str">
        <f>IF(OR('La Mia Rosa'!$O$12="",$D477&lt;&gt;""),"",IF($F477&lt;='La Mia Rosa'!$O$12*'Parametri Modello'!$B$24,"OK",IF($F477&lt;='La Mia Rosa'!$O$12*'Parametri Modello'!$B$25,"Attenzione","Rischio Alto")))</f>
        <v>OK</v>
      </c>
      <c r="V477" s="23">
        <f t="shared" si="64"/>
        <v>168</v>
      </c>
      <c r="W477" s="18">
        <f>'Info Lega'!$B$4-SUMIFS($M$2:$M$492,$D$2:$D$492,'Info Lega'!$B$28)</f>
        <v>1000</v>
      </c>
      <c r="X477" s="18">
        <f>('Info Lega'!$B$5-COUNTIFS($D$2:$D$492,'Info Lega'!$B$28,$B$2:$B$492,"P"))+('Info Lega'!$B$6-COUNTIFS($D$2:$D$492,'Info Lega'!$B$28,$B$2:$B$492,"D"))+('Info Lega'!$B$7-COUNTIFS($D$2:$D$492,'Info Lega'!$B$28,$B$2:$B$492,"C"))+('Info Lega'!$B$8-COUNTIFS($D$2:$D$492,'Info Lega'!$B$28,$B$2:$B$492,"A"))</f>
        <v>25</v>
      </c>
      <c r="Y477" s="18">
        <f>X477*'Parametri Modello'!$B$30</f>
        <v>25</v>
      </c>
      <c r="Z477" s="18">
        <f t="shared" si="65"/>
        <v>975</v>
      </c>
      <c r="AA477" s="18">
        <f t="shared" si="66"/>
        <v>0</v>
      </c>
      <c r="AB477" s="18"/>
      <c r="AC477" s="18" t="str">
        <f>IF($AB477="","",IF($AB477&gt;$AA477,"PASS",IF($AB477&lt;=$AA477*(1-'Parametri Modello'!$B$68),"BID","ATTENZIONE")))</f>
        <v/>
      </c>
      <c r="AD477" s="28">
        <f t="shared" si="67"/>
        <v>0</v>
      </c>
      <c r="AE477" s="5" t="str">
        <f>IFERROR(INDEX('Stato Asta'!$G$9:$G$12,MATCH($B477,'Stato Asta'!$A$9:$A$12,0)),"")</f>
        <v>🔴 Non aspettare</v>
      </c>
      <c r="AF477" t="str">
        <f>IFERROR(IF($V477&lt;=INDEX('Parametri Modello'!$C$57:$C$60,MATCH($B477,'Parametri Modello'!$A$57:$A$60,0)),"Titolare","Riserva"),"")</f>
        <v>Riserva</v>
      </c>
      <c r="AG477" t="str">
        <f>IFERROR(INDEX('Pressione Competitiva'!$F$3:$F$6,MATCH($B477,'Pressione Competitiva'!$B$3:$B$6,0)),"")</f>
        <v>🔴 Molto Alta</v>
      </c>
      <c r="AH477" t="str">
        <f t="shared" si="68"/>
        <v/>
      </c>
      <c r="AI477" t="str">
        <f>IFERROR(IF($AH477="","",IF($AH477&gt;=$AA477*'Parametri Modello'!$B$68,"🟢 Opportunita'",IF($AH477&lt;=$AA477*'Parametri Modello'!$B$69,"🔴 Sovrapprezzo","🟡 Prezzo Corretto"))),"")</f>
        <v/>
      </c>
      <c r="AJ477" t="str">
        <f t="shared" si="69"/>
        <v/>
      </c>
      <c r="AK477" t="str">
        <f t="shared" si="70"/>
        <v/>
      </c>
      <c r="AL477" t="str">
        <f t="shared" si="71"/>
        <v/>
      </c>
    </row>
    <row r="478" spans="1:38" ht="14.25" customHeight="1" x14ac:dyDescent="0.25">
      <c r="A478" s="18">
        <v>5424</v>
      </c>
      <c r="B478" s="18" t="s">
        <v>16</v>
      </c>
      <c r="C478" s="18" t="s">
        <v>617</v>
      </c>
      <c r="E478" s="23" t="str">
        <f>IF(COUNTIF('Info Strategia'!$D$2:$D$51,$C478)&gt;0,"SI","NO")</f>
        <v>NO</v>
      </c>
      <c r="F478" s="24">
        <f>IFERROR(ROUND(($G478+($H478-$G478)*'Info Strategia'!$B$6)*(1+IF($E478="SI",'Parametri Modello'!$B$7*'Info Strategia'!$B$6,0)),0),"")</f>
        <v>0</v>
      </c>
      <c r="G478" s="24">
        <f>IFERROR(ROUND(MAX(1,(IF($V478&lt;=INDEX('Parametri Modello'!$C$57:$C$60,MATCH($B478,'Parametri Modello'!$A$57:$A$60,0)),IF(INDEX('Parametri Modello'!$E$57:$E$60,MATCH($B478,'Parametri Modello'!$A$57:$A$60,0))=0,0,($O478/INDEX('Parametri Modello'!$E$57:$E$60,MATCH($B478,'Parametri Modello'!$A$57:$A$60,0)))*(INDEX('Parametri Modello'!$D$57:$D$60,MATCH($B478,'Parametri Modello'!$A$57:$A$60,0))*(INDEX('Parametri Modello'!$B$50:$B$53,MATCH($B478,'Parametri Modello'!$A$50:$A$53,0))*'Parametri Modello'!$B$44))),IF(INDEX('Parametri Modello'!$F$57:$F$60,MATCH($B478,'Parametri Modello'!$A$57:$A$60,0))=0,0,($O478/INDEX('Parametri Modello'!$F$57:$F$60,MATCH($B478,'Parametri Modello'!$A$57:$A$60,0)))*((1-INDEX('Parametri Modello'!$D$57:$D$60,MATCH($B478,'Parametri Modello'!$A$57:$A$60,0)))*(INDEX('Parametri Modello'!$B$50:$B$53,MATCH($B478,'Parametri Modello'!$A$50:$A$53,0))*'Parametri Modello'!$B$44))))*(1+IF(IF($B478="D",'Info Lega'!$B$25,IF($B478="C",'Info Lega'!$B$26,"No"))="Si",'Parametri Modello'!$B$5,0))*(1+MAX(-0.25,MIN(0.25,IF(OR($T478="",$I478="",$I478=0,INDEX('Parametri Modello'!$B$19:$B$22,MATCH($B478,'Parametri Modello'!$A$19:$A$22,0))="",INDEX('Parametri Modello'!$B$19:$B$22,MATCH($B478,'Parametri Modello'!$A$19:$A$22,0))=0),0,(($T478-INDEX('Parametri Modello'!$B$19:$B$22,MATCH($B478,'Parametri Modello'!$A$19:$A$22,0)))/INDEX('Parametri Modello'!$B$19:$B$22,MATCH($B478,'Parametri Modello'!$A$19:$A$22,0)))*'Parametri Modello'!$B$9))))*(1+IF('Parametri Modello'!$B$27="Si",MAX(-'Parametri Modello'!$B$28,MIN('Parametri Modello'!$B$28*1.5,IF(OR(INDEX('Parametri Modello'!$F$32:$F$35,MATCH($B478,'Parametri Modello'!$A$32:$A$35,0))="",INDEX('Parametri Modello'!$F$32:$F$35,MATCH($B478,'Parametri Modello'!$A$32:$A$35,0))=0),0,(1/INDEX('Parametri Modello'!$F$32:$F$35,MATCH($B478,'Parametri Modello'!$A$32:$A$35,0))-1)*'Parametri Modello'!$B$28))),0)))*(1-INDEX('Parametri Modello'!$B$12:$B$15,MATCH($B478,'Parametri Modello'!$A$12:$A$15,0)))),0),"")</f>
        <v>1</v>
      </c>
      <c r="H478" s="24">
        <f>IFERROR(ROUND((IF($V478&lt;=INDEX('Parametri Modello'!$C$57:$C$60,MATCH($B478,'Parametri Modello'!$A$57:$A$60,0)),IF(INDEX('Parametri Modello'!$E$57:$E$60,MATCH($B478,'Parametri Modello'!$A$57:$A$60,0))=0,0,($O478/INDEX('Parametri Modello'!$E$57:$E$60,MATCH($B478,'Parametri Modello'!$A$57:$A$60,0)))*(INDEX('Parametri Modello'!$D$57:$D$60,MATCH($B478,'Parametri Modello'!$A$57:$A$60,0))*(INDEX('Parametri Modello'!$B$50:$B$53,MATCH($B478,'Parametri Modello'!$A$50:$A$53,0))*'Parametri Modello'!$B$44))),IF(INDEX('Parametri Modello'!$F$57:$F$60,MATCH($B478,'Parametri Modello'!$A$57:$A$60,0))=0,0,($O478/INDEX('Parametri Modello'!$F$57:$F$60,MATCH($B478,'Parametri Modello'!$A$57:$A$60,0)))*((1-INDEX('Parametri Modello'!$D$57:$D$60,MATCH($B478,'Parametri Modello'!$A$57:$A$60,0)))*(INDEX('Parametri Modello'!$B$50:$B$53,MATCH($B478,'Parametri Modello'!$A$50:$A$53,0))*'Parametri Modello'!$B$44))))*(1+IF(IF($B478="D",'Info Lega'!$B$25,IF($B478="C",'Info Lega'!$B$26,"No"))="Si",'Parametri Modello'!$B$5,0))*(1+MAX(-0.25,MIN(0.25,IF(OR($T478="",$I478="",$I478=0,INDEX('Parametri Modello'!$B$19:$B$22,MATCH($B478,'Parametri Modello'!$A$19:$A$22,0))="",INDEX('Parametri Modello'!$B$19:$B$22,MATCH($B478,'Parametri Modello'!$A$19:$A$22,0))=0),0,(($T478-INDEX('Parametri Modello'!$B$19:$B$22,MATCH($B478,'Parametri Modello'!$A$19:$A$22,0)))/INDEX('Parametri Modello'!$B$19:$B$22,MATCH($B478,'Parametri Modello'!$A$19:$A$22,0)))*'Parametri Modello'!$B$9))))*(1+IF('Parametri Modello'!$B$27="Si",MAX(-'Parametri Modello'!$B$28,MIN('Parametri Modello'!$B$28*1.5,IF(OR(INDEX('Parametri Modello'!$F$32:$F$35,MATCH($B478,'Parametri Modello'!$A$32:$A$35,0))="",INDEX('Parametri Modello'!$F$32:$F$35,MATCH($B478,'Parametri Modello'!$A$32:$A$35,0))=0),0,(1/INDEX('Parametri Modello'!$F$32:$F$35,MATCH($B478,'Parametri Modello'!$A$32:$A$35,0))-1)*'Parametri Modello'!$B$28))),0)))*(1+INDEX('Parametri Modello'!$B$12:$B$15,MATCH($B478,'Parametri Modello'!$A$12:$A$15,0))),0),"")</f>
        <v>0</v>
      </c>
      <c r="I478" s="23" t="str">
        <f>IFERROR(INDEX('Input Statistiche 2025_26'!$F$3:$F$665,MATCH($A478,'Input Statistiche 2025_26'!$A$3:$A$665,0)),"")</f>
        <v/>
      </c>
      <c r="J478" s="23" t="str">
        <f t="shared" si="63"/>
        <v/>
      </c>
      <c r="K478" s="23" t="str">
        <f>IFERROR(INDEX('Input Statistiche 2025_26'!$I$3:$I$665,MATCH($A478,'Input Statistiche 2025_26'!$A$3:$A$665,0)),"")</f>
        <v/>
      </c>
      <c r="L478" s="23" t="str">
        <f>IFERROR(INDEX('Input Statistiche 2025_26'!$O$3:$O$665,MATCH($A478,'Input Statistiche 2025_26'!$A$3:$A$665,0)),"")</f>
        <v/>
      </c>
      <c r="M478" s="25"/>
      <c r="N478" s="24">
        <f>IFERROR(INDEX('Input Giocatori 2026_27'!$E$3:$E$493,MATCH($A478,'Input Giocatori 2026_27'!$A$3:$A$493,0)),"")</f>
        <v>1</v>
      </c>
      <c r="O478" s="24">
        <f>IFERROR(INDEX('Input Giocatori 2026_27'!$G$3:$G$493,MATCH($A478,'Input Giocatori 2026_27'!$A$3:$A$493,0)),"")</f>
        <v>1</v>
      </c>
      <c r="P478" s="23" t="str">
        <f>IFERROR(IF($O478="","",IF((1-(COUNTIFS($B$2:$B$492,$B478,$O$2:$O$492,"&gt;"&amp;$O478)+1-1)/COUNTIF($B$2:$B$492,$B478))&gt;='Parametri Modello'!$B$63,"Top",IF((1-(COUNTIFS($B$2:$B$492,$B478,$O$2:$O$492,"&gt;"&amp;$O478)+1-1)/COUNTIF($B$2:$B$492,$B478))&gt;='Parametri Modello'!$B$64,"Buono",IF((1-(COUNTIFS($B$2:$B$492,$B478,$O$2:$O$492,"&gt;"&amp;$O478)+1-1)/COUNTIF($B$2:$B$492,$B478))&gt;='Parametri Modello'!$B$65,"Nella Media","Scommessa/Riserva")))),"")</f>
        <v>Scommessa/Riserva</v>
      </c>
      <c r="Q478" s="26" t="str">
        <f>IF(AND($D478="",$N478&gt;1),SUMPRODUCT(($D$2:$D478="")*($N$2:$N478&gt;1)),"")</f>
        <v/>
      </c>
      <c r="R478" s="26" t="str">
        <f>IF($D478='Info Lega'!$B$28,COUNTIFS($D$2:$D478,'Info Lega'!$B$28),"")</f>
        <v/>
      </c>
      <c r="S478" s="27" t="str">
        <f>IFERROR(INDEX('Input Statistiche 2025_26'!$G$3:$G$665,MATCH($A478,'Input Statistiche 2025_26'!$A$3:$A$665,0)),"")</f>
        <v/>
      </c>
      <c r="T478" s="27" t="str">
        <f>IFERROR(INDEX('Input Statistiche 2025_26'!$H$3:$H$665,MATCH($A478,'Input Statistiche 2025_26'!$A$3:$A$665,0)),"")</f>
        <v/>
      </c>
      <c r="U478" s="23" t="str">
        <f>IF(OR('La Mia Rosa'!$O$12="",$D478&lt;&gt;""),"",IF($F478&lt;='La Mia Rosa'!$O$12*'Parametri Modello'!$B$24,"OK",IF($F478&lt;='La Mia Rosa'!$O$12*'Parametri Modello'!$B$25,"Attenzione","Rischio Alto")))</f>
        <v>OK</v>
      </c>
      <c r="V478" s="23">
        <f t="shared" si="64"/>
        <v>168</v>
      </c>
      <c r="W478" s="18">
        <f>'Info Lega'!$B$4-SUMIFS($M$2:$M$492,$D$2:$D$492,'Info Lega'!$B$28)</f>
        <v>1000</v>
      </c>
      <c r="X478" s="18">
        <f>('Info Lega'!$B$5-COUNTIFS($D$2:$D$492,'Info Lega'!$B$28,$B$2:$B$492,"P"))+('Info Lega'!$B$6-COUNTIFS($D$2:$D$492,'Info Lega'!$B$28,$B$2:$B$492,"D"))+('Info Lega'!$B$7-COUNTIFS($D$2:$D$492,'Info Lega'!$B$28,$B$2:$B$492,"C"))+('Info Lega'!$B$8-COUNTIFS($D$2:$D$492,'Info Lega'!$B$28,$B$2:$B$492,"A"))</f>
        <v>25</v>
      </c>
      <c r="Y478" s="18">
        <f>X478*'Parametri Modello'!$B$30</f>
        <v>25</v>
      </c>
      <c r="Z478" s="18">
        <f t="shared" si="65"/>
        <v>975</v>
      </c>
      <c r="AA478" s="18">
        <f t="shared" si="66"/>
        <v>0</v>
      </c>
      <c r="AB478" s="18"/>
      <c r="AC478" s="18" t="str">
        <f>IF($AB478="","",IF($AB478&gt;$AA478,"PASS",IF($AB478&lt;=$AA478*(1-'Parametri Modello'!$B$68),"BID","ATTENZIONE")))</f>
        <v/>
      </c>
      <c r="AD478" s="28" t="str">
        <f t="shared" si="67"/>
        <v/>
      </c>
      <c r="AE478" s="5" t="str">
        <f>IFERROR(INDEX('Stato Asta'!$G$9:$G$12,MATCH($B478,'Stato Asta'!$A$9:$A$12,0)),"")</f>
        <v>🔴 Non aspettare</v>
      </c>
      <c r="AF478" t="str">
        <f>IFERROR(IF($V478&lt;=INDEX('Parametri Modello'!$C$57:$C$60,MATCH($B478,'Parametri Modello'!$A$57:$A$60,0)),"Titolare","Riserva"),"")</f>
        <v>Riserva</v>
      </c>
      <c r="AG478" t="str">
        <f>IFERROR(INDEX('Pressione Competitiva'!$F$3:$F$6,MATCH($B478,'Pressione Competitiva'!$B$3:$B$6,0)),"")</f>
        <v>🔴 Molto Alta</v>
      </c>
      <c r="AH478" t="str">
        <f t="shared" si="68"/>
        <v/>
      </c>
      <c r="AI478" t="str">
        <f>IFERROR(IF($AH478="","",IF($AH478&gt;=$AA478*'Parametri Modello'!$B$68,"🟢 Opportunita'",IF($AH478&lt;=$AA478*'Parametri Modello'!$B$69,"🔴 Sovrapprezzo","🟡 Prezzo Corretto"))),"")</f>
        <v/>
      </c>
      <c r="AJ478" t="str">
        <f t="shared" si="69"/>
        <v/>
      </c>
      <c r="AK478" t="str">
        <f t="shared" si="70"/>
        <v/>
      </c>
      <c r="AL478" t="str">
        <f t="shared" si="71"/>
        <v/>
      </c>
    </row>
    <row r="479" spans="1:38" ht="14.25" customHeight="1" x14ac:dyDescent="0.25">
      <c r="A479" s="18">
        <v>7468</v>
      </c>
      <c r="B479" s="18" t="s">
        <v>16</v>
      </c>
      <c r="C479" s="18" t="s">
        <v>618</v>
      </c>
      <c r="E479" s="23" t="str">
        <f>IF(COUNTIF('Info Strategia'!$D$2:$D$51,$C479)&gt;0,"SI","NO")</f>
        <v>NO</v>
      </c>
      <c r="F479" s="24">
        <f>IFERROR(ROUND(($G479+($H479-$G479)*'Info Strategia'!$B$6)*(1+IF($E479="SI",'Parametri Modello'!$B$7*'Info Strategia'!$B$6,0)),0),"")</f>
        <v>0</v>
      </c>
      <c r="G479" s="24">
        <f>IFERROR(ROUND(MAX(1,(IF($V479&lt;=INDEX('Parametri Modello'!$C$57:$C$60,MATCH($B479,'Parametri Modello'!$A$57:$A$60,0)),IF(INDEX('Parametri Modello'!$E$57:$E$60,MATCH($B479,'Parametri Modello'!$A$57:$A$60,0))=0,0,($O479/INDEX('Parametri Modello'!$E$57:$E$60,MATCH($B479,'Parametri Modello'!$A$57:$A$60,0)))*(INDEX('Parametri Modello'!$D$57:$D$60,MATCH($B479,'Parametri Modello'!$A$57:$A$60,0))*(INDEX('Parametri Modello'!$B$50:$B$53,MATCH($B479,'Parametri Modello'!$A$50:$A$53,0))*'Parametri Modello'!$B$44))),IF(INDEX('Parametri Modello'!$F$57:$F$60,MATCH($B479,'Parametri Modello'!$A$57:$A$60,0))=0,0,($O479/INDEX('Parametri Modello'!$F$57:$F$60,MATCH($B479,'Parametri Modello'!$A$57:$A$60,0)))*((1-INDEX('Parametri Modello'!$D$57:$D$60,MATCH($B479,'Parametri Modello'!$A$57:$A$60,0)))*(INDEX('Parametri Modello'!$B$50:$B$53,MATCH($B479,'Parametri Modello'!$A$50:$A$53,0))*'Parametri Modello'!$B$44))))*(1+IF(IF($B479="D",'Info Lega'!$B$25,IF($B479="C",'Info Lega'!$B$26,"No"))="Si",'Parametri Modello'!$B$5,0))*(1+MAX(-0.25,MIN(0.25,IF(OR($T479="",$I479="",$I479=0,INDEX('Parametri Modello'!$B$19:$B$22,MATCH($B479,'Parametri Modello'!$A$19:$A$22,0))="",INDEX('Parametri Modello'!$B$19:$B$22,MATCH($B479,'Parametri Modello'!$A$19:$A$22,0))=0),0,(($T479-INDEX('Parametri Modello'!$B$19:$B$22,MATCH($B479,'Parametri Modello'!$A$19:$A$22,0)))/INDEX('Parametri Modello'!$B$19:$B$22,MATCH($B479,'Parametri Modello'!$A$19:$A$22,0)))*'Parametri Modello'!$B$9))))*(1+IF('Parametri Modello'!$B$27="Si",MAX(-'Parametri Modello'!$B$28,MIN('Parametri Modello'!$B$28*1.5,IF(OR(INDEX('Parametri Modello'!$F$32:$F$35,MATCH($B479,'Parametri Modello'!$A$32:$A$35,0))="",INDEX('Parametri Modello'!$F$32:$F$35,MATCH($B479,'Parametri Modello'!$A$32:$A$35,0))=0),0,(1/INDEX('Parametri Modello'!$F$32:$F$35,MATCH($B479,'Parametri Modello'!$A$32:$A$35,0))-1)*'Parametri Modello'!$B$28))),0)))*(1-INDEX('Parametri Modello'!$B$12:$B$15,MATCH($B479,'Parametri Modello'!$A$12:$A$15,0)))),0),"")</f>
        <v>1</v>
      </c>
      <c r="H479" s="24">
        <f>IFERROR(ROUND((IF($V479&lt;=INDEX('Parametri Modello'!$C$57:$C$60,MATCH($B479,'Parametri Modello'!$A$57:$A$60,0)),IF(INDEX('Parametri Modello'!$E$57:$E$60,MATCH($B479,'Parametri Modello'!$A$57:$A$60,0))=0,0,($O479/INDEX('Parametri Modello'!$E$57:$E$60,MATCH($B479,'Parametri Modello'!$A$57:$A$60,0)))*(INDEX('Parametri Modello'!$D$57:$D$60,MATCH($B479,'Parametri Modello'!$A$57:$A$60,0))*(INDEX('Parametri Modello'!$B$50:$B$53,MATCH($B479,'Parametri Modello'!$A$50:$A$53,0))*'Parametri Modello'!$B$44))),IF(INDEX('Parametri Modello'!$F$57:$F$60,MATCH($B479,'Parametri Modello'!$A$57:$A$60,0))=0,0,($O479/INDEX('Parametri Modello'!$F$57:$F$60,MATCH($B479,'Parametri Modello'!$A$57:$A$60,0)))*((1-INDEX('Parametri Modello'!$D$57:$D$60,MATCH($B479,'Parametri Modello'!$A$57:$A$60,0)))*(INDEX('Parametri Modello'!$B$50:$B$53,MATCH($B479,'Parametri Modello'!$A$50:$A$53,0))*'Parametri Modello'!$B$44))))*(1+IF(IF($B479="D",'Info Lega'!$B$25,IF($B479="C",'Info Lega'!$B$26,"No"))="Si",'Parametri Modello'!$B$5,0))*(1+MAX(-0.25,MIN(0.25,IF(OR($T479="",$I479="",$I479=0,INDEX('Parametri Modello'!$B$19:$B$22,MATCH($B479,'Parametri Modello'!$A$19:$A$22,0))="",INDEX('Parametri Modello'!$B$19:$B$22,MATCH($B479,'Parametri Modello'!$A$19:$A$22,0))=0),0,(($T479-INDEX('Parametri Modello'!$B$19:$B$22,MATCH($B479,'Parametri Modello'!$A$19:$A$22,0)))/INDEX('Parametri Modello'!$B$19:$B$22,MATCH($B479,'Parametri Modello'!$A$19:$A$22,0)))*'Parametri Modello'!$B$9))))*(1+IF('Parametri Modello'!$B$27="Si",MAX(-'Parametri Modello'!$B$28,MIN('Parametri Modello'!$B$28*1.5,IF(OR(INDEX('Parametri Modello'!$F$32:$F$35,MATCH($B479,'Parametri Modello'!$A$32:$A$35,0))="",INDEX('Parametri Modello'!$F$32:$F$35,MATCH($B479,'Parametri Modello'!$A$32:$A$35,0))=0),0,(1/INDEX('Parametri Modello'!$F$32:$F$35,MATCH($B479,'Parametri Modello'!$A$32:$A$35,0))-1)*'Parametri Modello'!$B$28))),0)))*(1+INDEX('Parametri Modello'!$B$12:$B$15,MATCH($B479,'Parametri Modello'!$A$12:$A$15,0))),0),"")</f>
        <v>0</v>
      </c>
      <c r="I479" s="23" t="str">
        <f>IFERROR(INDEX('Input Statistiche 2025_26'!$F$3:$F$665,MATCH($A479,'Input Statistiche 2025_26'!$A$3:$A$665,0)),"")</f>
        <v/>
      </c>
      <c r="J479" s="23" t="str">
        <f t="shared" si="63"/>
        <v/>
      </c>
      <c r="K479" s="23" t="str">
        <f>IFERROR(INDEX('Input Statistiche 2025_26'!$I$3:$I$665,MATCH($A479,'Input Statistiche 2025_26'!$A$3:$A$665,0)),"")</f>
        <v/>
      </c>
      <c r="L479" s="23" t="str">
        <f>IFERROR(INDEX('Input Statistiche 2025_26'!$O$3:$O$665,MATCH($A479,'Input Statistiche 2025_26'!$A$3:$A$665,0)),"")</f>
        <v/>
      </c>
      <c r="M479" s="25"/>
      <c r="N479" s="24">
        <f>IFERROR(INDEX('Input Giocatori 2026_27'!$E$3:$E$493,MATCH($A479,'Input Giocatori 2026_27'!$A$3:$A$493,0)),"")</f>
        <v>1</v>
      </c>
      <c r="O479" s="24">
        <f>IFERROR(INDEX('Input Giocatori 2026_27'!$G$3:$G$493,MATCH($A479,'Input Giocatori 2026_27'!$A$3:$A$493,0)),"")</f>
        <v>1</v>
      </c>
      <c r="P479" s="23" t="str">
        <f>IFERROR(IF($O479="","",IF((1-(COUNTIFS($B$2:$B$492,$B479,$O$2:$O$492,"&gt;"&amp;$O479)+1-1)/COUNTIF($B$2:$B$492,$B479))&gt;='Parametri Modello'!$B$63,"Top",IF((1-(COUNTIFS($B$2:$B$492,$B479,$O$2:$O$492,"&gt;"&amp;$O479)+1-1)/COUNTIF($B$2:$B$492,$B479))&gt;='Parametri Modello'!$B$64,"Buono",IF((1-(COUNTIFS($B$2:$B$492,$B479,$O$2:$O$492,"&gt;"&amp;$O479)+1-1)/COUNTIF($B$2:$B$492,$B479))&gt;='Parametri Modello'!$B$65,"Nella Media","Scommessa/Riserva")))),"")</f>
        <v>Scommessa/Riserva</v>
      </c>
      <c r="Q479" s="26" t="str">
        <f>IF(AND($D479="",$N479&gt;1),SUMPRODUCT(($D$2:$D479="")*($N$2:$N479&gt;1)),"")</f>
        <v/>
      </c>
      <c r="R479" s="26" t="str">
        <f>IF($D479='Info Lega'!$B$28,COUNTIFS($D$2:$D479,'Info Lega'!$B$28),"")</f>
        <v/>
      </c>
      <c r="S479" s="27" t="str">
        <f>IFERROR(INDEX('Input Statistiche 2025_26'!$G$3:$G$665,MATCH($A479,'Input Statistiche 2025_26'!$A$3:$A$665,0)),"")</f>
        <v/>
      </c>
      <c r="T479" s="27" t="str">
        <f>IFERROR(INDEX('Input Statistiche 2025_26'!$H$3:$H$665,MATCH($A479,'Input Statistiche 2025_26'!$A$3:$A$665,0)),"")</f>
        <v/>
      </c>
      <c r="U479" s="23" t="str">
        <f>IF(OR('La Mia Rosa'!$O$12="",$D479&lt;&gt;""),"",IF($F479&lt;='La Mia Rosa'!$O$12*'Parametri Modello'!$B$24,"OK",IF($F479&lt;='La Mia Rosa'!$O$12*'Parametri Modello'!$B$25,"Attenzione","Rischio Alto")))</f>
        <v>OK</v>
      </c>
      <c r="V479" s="23">
        <f t="shared" si="64"/>
        <v>168</v>
      </c>
      <c r="W479" s="18">
        <f>'Info Lega'!$B$4-SUMIFS($M$2:$M$492,$D$2:$D$492,'Info Lega'!$B$28)</f>
        <v>1000</v>
      </c>
      <c r="X479" s="18">
        <f>('Info Lega'!$B$5-COUNTIFS($D$2:$D$492,'Info Lega'!$B$28,$B$2:$B$492,"P"))+('Info Lega'!$B$6-COUNTIFS($D$2:$D$492,'Info Lega'!$B$28,$B$2:$B$492,"D"))+('Info Lega'!$B$7-COUNTIFS($D$2:$D$492,'Info Lega'!$B$28,$B$2:$B$492,"C"))+('Info Lega'!$B$8-COUNTIFS($D$2:$D$492,'Info Lega'!$B$28,$B$2:$B$492,"A"))</f>
        <v>25</v>
      </c>
      <c r="Y479" s="18">
        <f>X479*'Parametri Modello'!$B$30</f>
        <v>25</v>
      </c>
      <c r="Z479" s="18">
        <f t="shared" si="65"/>
        <v>975</v>
      </c>
      <c r="AA479" s="18">
        <f t="shared" si="66"/>
        <v>0</v>
      </c>
      <c r="AB479" s="18"/>
      <c r="AC479" s="18" t="str">
        <f>IF($AB479="","",IF($AB479&gt;$AA479,"PASS",IF($AB479&lt;=$AA479*(1-'Parametri Modello'!$B$68),"BID","ATTENZIONE")))</f>
        <v/>
      </c>
      <c r="AD479" s="28" t="str">
        <f t="shared" si="67"/>
        <v/>
      </c>
      <c r="AE479" s="5" t="str">
        <f>IFERROR(INDEX('Stato Asta'!$G$9:$G$12,MATCH($B479,'Stato Asta'!$A$9:$A$12,0)),"")</f>
        <v>🔴 Non aspettare</v>
      </c>
      <c r="AF479" t="str">
        <f>IFERROR(IF($V479&lt;=INDEX('Parametri Modello'!$C$57:$C$60,MATCH($B479,'Parametri Modello'!$A$57:$A$60,0)),"Titolare","Riserva"),"")</f>
        <v>Riserva</v>
      </c>
      <c r="AG479" t="str">
        <f>IFERROR(INDEX('Pressione Competitiva'!$F$3:$F$6,MATCH($B479,'Pressione Competitiva'!$B$3:$B$6,0)),"")</f>
        <v>🔴 Molto Alta</v>
      </c>
      <c r="AH479" t="str">
        <f t="shared" si="68"/>
        <v/>
      </c>
      <c r="AI479" t="str">
        <f>IFERROR(IF($AH479="","",IF($AH479&gt;=$AA479*'Parametri Modello'!$B$68,"🟢 Opportunita'",IF($AH479&lt;=$AA479*'Parametri Modello'!$B$69,"🔴 Sovrapprezzo","🟡 Prezzo Corretto"))),"")</f>
        <v/>
      </c>
      <c r="AJ479" t="str">
        <f t="shared" si="69"/>
        <v/>
      </c>
      <c r="AK479" t="str">
        <f t="shared" si="70"/>
        <v/>
      </c>
      <c r="AL479" t="str">
        <f t="shared" si="71"/>
        <v/>
      </c>
    </row>
    <row r="480" spans="1:38" ht="14.25" customHeight="1" x14ac:dyDescent="0.25">
      <c r="A480" s="18">
        <v>7164</v>
      </c>
      <c r="B480" s="18" t="s">
        <v>16</v>
      </c>
      <c r="C480" s="18" t="s">
        <v>619</v>
      </c>
      <c r="E480" s="23" t="str">
        <f>IF(COUNTIF('Info Strategia'!$D$2:$D$51,$C480)&gt;0,"SI","NO")</f>
        <v>NO</v>
      </c>
      <c r="F480" s="24">
        <f>IFERROR(ROUND(($G480+($H480-$G480)*'Info Strategia'!$B$6)*(1+IF($E480="SI",'Parametri Modello'!$B$7*'Info Strategia'!$B$6,0)),0),"")</f>
        <v>0</v>
      </c>
      <c r="G480" s="24">
        <f>IFERROR(ROUND(MAX(1,(IF($V480&lt;=INDEX('Parametri Modello'!$C$57:$C$60,MATCH($B480,'Parametri Modello'!$A$57:$A$60,0)),IF(INDEX('Parametri Modello'!$E$57:$E$60,MATCH($B480,'Parametri Modello'!$A$57:$A$60,0))=0,0,($O480/INDEX('Parametri Modello'!$E$57:$E$60,MATCH($B480,'Parametri Modello'!$A$57:$A$60,0)))*(INDEX('Parametri Modello'!$D$57:$D$60,MATCH($B480,'Parametri Modello'!$A$57:$A$60,0))*(INDEX('Parametri Modello'!$B$50:$B$53,MATCH($B480,'Parametri Modello'!$A$50:$A$53,0))*'Parametri Modello'!$B$44))),IF(INDEX('Parametri Modello'!$F$57:$F$60,MATCH($B480,'Parametri Modello'!$A$57:$A$60,0))=0,0,($O480/INDEX('Parametri Modello'!$F$57:$F$60,MATCH($B480,'Parametri Modello'!$A$57:$A$60,0)))*((1-INDEX('Parametri Modello'!$D$57:$D$60,MATCH($B480,'Parametri Modello'!$A$57:$A$60,0)))*(INDEX('Parametri Modello'!$B$50:$B$53,MATCH($B480,'Parametri Modello'!$A$50:$A$53,0))*'Parametri Modello'!$B$44))))*(1+IF(IF($B480="D",'Info Lega'!$B$25,IF($B480="C",'Info Lega'!$B$26,"No"))="Si",'Parametri Modello'!$B$5,0))*(1+MAX(-0.25,MIN(0.25,IF(OR($T480="",$I480="",$I480=0,INDEX('Parametri Modello'!$B$19:$B$22,MATCH($B480,'Parametri Modello'!$A$19:$A$22,0))="",INDEX('Parametri Modello'!$B$19:$B$22,MATCH($B480,'Parametri Modello'!$A$19:$A$22,0))=0),0,(($T480-INDEX('Parametri Modello'!$B$19:$B$22,MATCH($B480,'Parametri Modello'!$A$19:$A$22,0)))/INDEX('Parametri Modello'!$B$19:$B$22,MATCH($B480,'Parametri Modello'!$A$19:$A$22,0)))*'Parametri Modello'!$B$9))))*(1+IF('Parametri Modello'!$B$27="Si",MAX(-'Parametri Modello'!$B$28,MIN('Parametri Modello'!$B$28*1.5,IF(OR(INDEX('Parametri Modello'!$F$32:$F$35,MATCH($B480,'Parametri Modello'!$A$32:$A$35,0))="",INDEX('Parametri Modello'!$F$32:$F$35,MATCH($B480,'Parametri Modello'!$A$32:$A$35,0))=0),0,(1/INDEX('Parametri Modello'!$F$32:$F$35,MATCH($B480,'Parametri Modello'!$A$32:$A$35,0))-1)*'Parametri Modello'!$B$28))),0)))*(1-INDEX('Parametri Modello'!$B$12:$B$15,MATCH($B480,'Parametri Modello'!$A$12:$A$15,0)))),0),"")</f>
        <v>1</v>
      </c>
      <c r="H480" s="24">
        <f>IFERROR(ROUND((IF($V480&lt;=INDEX('Parametri Modello'!$C$57:$C$60,MATCH($B480,'Parametri Modello'!$A$57:$A$60,0)),IF(INDEX('Parametri Modello'!$E$57:$E$60,MATCH($B480,'Parametri Modello'!$A$57:$A$60,0))=0,0,($O480/INDEX('Parametri Modello'!$E$57:$E$60,MATCH($B480,'Parametri Modello'!$A$57:$A$60,0)))*(INDEX('Parametri Modello'!$D$57:$D$60,MATCH($B480,'Parametri Modello'!$A$57:$A$60,0))*(INDEX('Parametri Modello'!$B$50:$B$53,MATCH($B480,'Parametri Modello'!$A$50:$A$53,0))*'Parametri Modello'!$B$44))),IF(INDEX('Parametri Modello'!$F$57:$F$60,MATCH($B480,'Parametri Modello'!$A$57:$A$60,0))=0,0,($O480/INDEX('Parametri Modello'!$F$57:$F$60,MATCH($B480,'Parametri Modello'!$A$57:$A$60,0)))*((1-INDEX('Parametri Modello'!$D$57:$D$60,MATCH($B480,'Parametri Modello'!$A$57:$A$60,0)))*(INDEX('Parametri Modello'!$B$50:$B$53,MATCH($B480,'Parametri Modello'!$A$50:$A$53,0))*'Parametri Modello'!$B$44))))*(1+IF(IF($B480="D",'Info Lega'!$B$25,IF($B480="C",'Info Lega'!$B$26,"No"))="Si",'Parametri Modello'!$B$5,0))*(1+MAX(-0.25,MIN(0.25,IF(OR($T480="",$I480="",$I480=0,INDEX('Parametri Modello'!$B$19:$B$22,MATCH($B480,'Parametri Modello'!$A$19:$A$22,0))="",INDEX('Parametri Modello'!$B$19:$B$22,MATCH($B480,'Parametri Modello'!$A$19:$A$22,0))=0),0,(($T480-INDEX('Parametri Modello'!$B$19:$B$22,MATCH($B480,'Parametri Modello'!$A$19:$A$22,0)))/INDEX('Parametri Modello'!$B$19:$B$22,MATCH($B480,'Parametri Modello'!$A$19:$A$22,0)))*'Parametri Modello'!$B$9))))*(1+IF('Parametri Modello'!$B$27="Si",MAX(-'Parametri Modello'!$B$28,MIN('Parametri Modello'!$B$28*1.5,IF(OR(INDEX('Parametri Modello'!$F$32:$F$35,MATCH($B480,'Parametri Modello'!$A$32:$A$35,0))="",INDEX('Parametri Modello'!$F$32:$F$35,MATCH($B480,'Parametri Modello'!$A$32:$A$35,0))=0),0,(1/INDEX('Parametri Modello'!$F$32:$F$35,MATCH($B480,'Parametri Modello'!$A$32:$A$35,0))-1)*'Parametri Modello'!$B$28))),0)))*(1+INDEX('Parametri Modello'!$B$12:$B$15,MATCH($B480,'Parametri Modello'!$A$12:$A$15,0))),0),"")</f>
        <v>0</v>
      </c>
      <c r="I480" s="23">
        <f>IFERROR(INDEX('Input Statistiche 2025_26'!$F$3:$F$665,MATCH($A480,'Input Statistiche 2025_26'!$A$3:$A$665,0)),"")</f>
        <v>1</v>
      </c>
      <c r="J480" s="23">
        <f t="shared" si="63"/>
        <v>37</v>
      </c>
      <c r="K480" s="23">
        <f>IFERROR(INDEX('Input Statistiche 2025_26'!$I$3:$I$665,MATCH($A480,'Input Statistiche 2025_26'!$A$3:$A$665,0)),"")</f>
        <v>0</v>
      </c>
      <c r="L480" s="23">
        <f>IFERROR(INDEX('Input Statistiche 2025_26'!$O$3:$O$665,MATCH($A480,'Input Statistiche 2025_26'!$A$3:$A$665,0)),"")</f>
        <v>0</v>
      </c>
      <c r="M480" s="25"/>
      <c r="N480" s="24">
        <f>IFERROR(INDEX('Input Giocatori 2026_27'!$E$3:$E$493,MATCH($A480,'Input Giocatori 2026_27'!$A$3:$A$493,0)),"")</f>
        <v>1</v>
      </c>
      <c r="O480" s="24">
        <f>IFERROR(INDEX('Input Giocatori 2026_27'!$G$3:$G$493,MATCH($A480,'Input Giocatori 2026_27'!$A$3:$A$493,0)),"")</f>
        <v>1</v>
      </c>
      <c r="P480" s="23" t="str">
        <f>IFERROR(IF($O480="","",IF((1-(COUNTIFS($B$2:$B$492,$B480,$O$2:$O$492,"&gt;"&amp;$O480)+1-1)/COUNTIF($B$2:$B$492,$B480))&gt;='Parametri Modello'!$B$63,"Top",IF((1-(COUNTIFS($B$2:$B$492,$B480,$O$2:$O$492,"&gt;"&amp;$O480)+1-1)/COUNTIF($B$2:$B$492,$B480))&gt;='Parametri Modello'!$B$64,"Buono",IF((1-(COUNTIFS($B$2:$B$492,$B480,$O$2:$O$492,"&gt;"&amp;$O480)+1-1)/COUNTIF($B$2:$B$492,$B480))&gt;='Parametri Modello'!$B$65,"Nella Media","Scommessa/Riserva")))),"")</f>
        <v>Scommessa/Riserva</v>
      </c>
      <c r="Q480" s="26" t="str">
        <f>IF(AND($D480="",$N480&gt;1),SUMPRODUCT(($D$2:$D480="")*($N$2:$N480&gt;1)),"")</f>
        <v/>
      </c>
      <c r="R480" s="26" t="str">
        <f>IF($D480='Info Lega'!$B$28,COUNTIFS($D$2:$D480,'Info Lega'!$B$28),"")</f>
        <v/>
      </c>
      <c r="S480" s="27">
        <f>IFERROR(INDEX('Input Statistiche 2025_26'!$G$3:$G$665,MATCH($A480,'Input Statistiche 2025_26'!$A$3:$A$665,0)),"")</f>
        <v>5</v>
      </c>
      <c r="T480" s="27">
        <f>IFERROR(INDEX('Input Statistiche 2025_26'!$H$3:$H$665,MATCH($A480,'Input Statistiche 2025_26'!$A$3:$A$665,0)),"")</f>
        <v>5</v>
      </c>
      <c r="U480" s="23" t="str">
        <f>IF(OR('La Mia Rosa'!$O$12="",$D480&lt;&gt;""),"",IF($F480&lt;='La Mia Rosa'!$O$12*'Parametri Modello'!$B$24,"OK",IF($F480&lt;='La Mia Rosa'!$O$12*'Parametri Modello'!$B$25,"Attenzione","Rischio Alto")))</f>
        <v>OK</v>
      </c>
      <c r="V480" s="23">
        <f t="shared" si="64"/>
        <v>168</v>
      </c>
      <c r="W480" s="18">
        <f>'Info Lega'!$B$4-SUMIFS($M$2:$M$492,$D$2:$D$492,'Info Lega'!$B$28)</f>
        <v>1000</v>
      </c>
      <c r="X480" s="18">
        <f>('Info Lega'!$B$5-COUNTIFS($D$2:$D$492,'Info Lega'!$B$28,$B$2:$B$492,"P"))+('Info Lega'!$B$6-COUNTIFS($D$2:$D$492,'Info Lega'!$B$28,$B$2:$B$492,"D"))+('Info Lega'!$B$7-COUNTIFS($D$2:$D$492,'Info Lega'!$B$28,$B$2:$B$492,"C"))+('Info Lega'!$B$8-COUNTIFS($D$2:$D$492,'Info Lega'!$B$28,$B$2:$B$492,"A"))</f>
        <v>25</v>
      </c>
      <c r="Y480" s="18">
        <f>X480*'Parametri Modello'!$B$30</f>
        <v>25</v>
      </c>
      <c r="Z480" s="18">
        <f t="shared" si="65"/>
        <v>975</v>
      </c>
      <c r="AA480" s="18">
        <f t="shared" si="66"/>
        <v>0</v>
      </c>
      <c r="AB480" s="18"/>
      <c r="AC480" s="18" t="str">
        <f>IF($AB480="","",IF($AB480&gt;$AA480,"PASS",IF($AB480&lt;=$AA480*(1-'Parametri Modello'!$B$68),"BID","ATTENZIONE")))</f>
        <v/>
      </c>
      <c r="AD480" s="28">
        <f t="shared" si="67"/>
        <v>3</v>
      </c>
      <c r="AE480" s="5" t="str">
        <f>IFERROR(INDEX('Stato Asta'!$G$9:$G$12,MATCH($B480,'Stato Asta'!$A$9:$A$12,0)),"")</f>
        <v>🔴 Non aspettare</v>
      </c>
      <c r="AF480" t="str">
        <f>IFERROR(IF($V480&lt;=INDEX('Parametri Modello'!$C$57:$C$60,MATCH($B480,'Parametri Modello'!$A$57:$A$60,0)),"Titolare","Riserva"),"")</f>
        <v>Riserva</v>
      </c>
      <c r="AG480" t="str">
        <f>IFERROR(INDEX('Pressione Competitiva'!$F$3:$F$6,MATCH($B480,'Pressione Competitiva'!$B$3:$B$6,0)),"")</f>
        <v>🔴 Molto Alta</v>
      </c>
      <c r="AH480" t="str">
        <f t="shared" si="68"/>
        <v/>
      </c>
      <c r="AI480" t="str">
        <f>IFERROR(IF($AH480="","",IF($AH480&gt;=$AA480*'Parametri Modello'!$B$68,"🟢 Opportunita'",IF($AH480&lt;=$AA480*'Parametri Modello'!$B$69,"🔴 Sovrapprezzo","🟡 Prezzo Corretto"))),"")</f>
        <v/>
      </c>
      <c r="AJ480" t="str">
        <f t="shared" si="69"/>
        <v/>
      </c>
      <c r="AK480" t="str">
        <f t="shared" si="70"/>
        <v/>
      </c>
      <c r="AL480" t="str">
        <f t="shared" si="71"/>
        <v/>
      </c>
    </row>
    <row r="481" spans="1:38" ht="14.25" customHeight="1" x14ac:dyDescent="0.25">
      <c r="A481" s="18">
        <v>7156</v>
      </c>
      <c r="B481" s="18" t="s">
        <v>16</v>
      </c>
      <c r="C481" s="18" t="s">
        <v>620</v>
      </c>
      <c r="E481" s="23" t="str">
        <f>IF(COUNTIF('Info Strategia'!$D$2:$D$51,$C481)&gt;0,"SI","NO")</f>
        <v>NO</v>
      </c>
      <c r="F481" s="24">
        <f>IFERROR(ROUND(($G481+($H481-$G481)*'Info Strategia'!$B$6)*(1+IF($E481="SI",'Parametri Modello'!$B$7*'Info Strategia'!$B$6,0)),0),"")</f>
        <v>0</v>
      </c>
      <c r="G481" s="24">
        <f>IFERROR(ROUND(MAX(1,(IF($V481&lt;=INDEX('Parametri Modello'!$C$57:$C$60,MATCH($B481,'Parametri Modello'!$A$57:$A$60,0)),IF(INDEX('Parametri Modello'!$E$57:$E$60,MATCH($B481,'Parametri Modello'!$A$57:$A$60,0))=0,0,($O481/INDEX('Parametri Modello'!$E$57:$E$60,MATCH($B481,'Parametri Modello'!$A$57:$A$60,0)))*(INDEX('Parametri Modello'!$D$57:$D$60,MATCH($B481,'Parametri Modello'!$A$57:$A$60,0))*(INDEX('Parametri Modello'!$B$50:$B$53,MATCH($B481,'Parametri Modello'!$A$50:$A$53,0))*'Parametri Modello'!$B$44))),IF(INDEX('Parametri Modello'!$F$57:$F$60,MATCH($B481,'Parametri Modello'!$A$57:$A$60,0))=0,0,($O481/INDEX('Parametri Modello'!$F$57:$F$60,MATCH($B481,'Parametri Modello'!$A$57:$A$60,0)))*((1-INDEX('Parametri Modello'!$D$57:$D$60,MATCH($B481,'Parametri Modello'!$A$57:$A$60,0)))*(INDEX('Parametri Modello'!$B$50:$B$53,MATCH($B481,'Parametri Modello'!$A$50:$A$53,0))*'Parametri Modello'!$B$44))))*(1+IF(IF($B481="D",'Info Lega'!$B$25,IF($B481="C",'Info Lega'!$B$26,"No"))="Si",'Parametri Modello'!$B$5,0))*(1+MAX(-0.25,MIN(0.25,IF(OR($T481="",$I481="",$I481=0,INDEX('Parametri Modello'!$B$19:$B$22,MATCH($B481,'Parametri Modello'!$A$19:$A$22,0))="",INDEX('Parametri Modello'!$B$19:$B$22,MATCH($B481,'Parametri Modello'!$A$19:$A$22,0))=0),0,(($T481-INDEX('Parametri Modello'!$B$19:$B$22,MATCH($B481,'Parametri Modello'!$A$19:$A$22,0)))/INDEX('Parametri Modello'!$B$19:$B$22,MATCH($B481,'Parametri Modello'!$A$19:$A$22,0)))*'Parametri Modello'!$B$9))))*(1+IF('Parametri Modello'!$B$27="Si",MAX(-'Parametri Modello'!$B$28,MIN('Parametri Modello'!$B$28*1.5,IF(OR(INDEX('Parametri Modello'!$F$32:$F$35,MATCH($B481,'Parametri Modello'!$A$32:$A$35,0))="",INDEX('Parametri Modello'!$F$32:$F$35,MATCH($B481,'Parametri Modello'!$A$32:$A$35,0))=0),0,(1/INDEX('Parametri Modello'!$F$32:$F$35,MATCH($B481,'Parametri Modello'!$A$32:$A$35,0))-1)*'Parametri Modello'!$B$28))),0)))*(1-INDEX('Parametri Modello'!$B$12:$B$15,MATCH($B481,'Parametri Modello'!$A$12:$A$15,0)))),0),"")</f>
        <v>1</v>
      </c>
      <c r="H481" s="24">
        <f>IFERROR(ROUND((IF($V481&lt;=INDEX('Parametri Modello'!$C$57:$C$60,MATCH($B481,'Parametri Modello'!$A$57:$A$60,0)),IF(INDEX('Parametri Modello'!$E$57:$E$60,MATCH($B481,'Parametri Modello'!$A$57:$A$60,0))=0,0,($O481/INDEX('Parametri Modello'!$E$57:$E$60,MATCH($B481,'Parametri Modello'!$A$57:$A$60,0)))*(INDEX('Parametri Modello'!$D$57:$D$60,MATCH($B481,'Parametri Modello'!$A$57:$A$60,0))*(INDEX('Parametri Modello'!$B$50:$B$53,MATCH($B481,'Parametri Modello'!$A$50:$A$53,0))*'Parametri Modello'!$B$44))),IF(INDEX('Parametri Modello'!$F$57:$F$60,MATCH($B481,'Parametri Modello'!$A$57:$A$60,0))=0,0,($O481/INDEX('Parametri Modello'!$F$57:$F$60,MATCH($B481,'Parametri Modello'!$A$57:$A$60,0)))*((1-INDEX('Parametri Modello'!$D$57:$D$60,MATCH($B481,'Parametri Modello'!$A$57:$A$60,0)))*(INDEX('Parametri Modello'!$B$50:$B$53,MATCH($B481,'Parametri Modello'!$A$50:$A$53,0))*'Parametri Modello'!$B$44))))*(1+IF(IF($B481="D",'Info Lega'!$B$25,IF($B481="C",'Info Lega'!$B$26,"No"))="Si",'Parametri Modello'!$B$5,0))*(1+MAX(-0.25,MIN(0.25,IF(OR($T481="",$I481="",$I481=0,INDEX('Parametri Modello'!$B$19:$B$22,MATCH($B481,'Parametri Modello'!$A$19:$A$22,0))="",INDEX('Parametri Modello'!$B$19:$B$22,MATCH($B481,'Parametri Modello'!$A$19:$A$22,0))=0),0,(($T481-INDEX('Parametri Modello'!$B$19:$B$22,MATCH($B481,'Parametri Modello'!$A$19:$A$22,0)))/INDEX('Parametri Modello'!$B$19:$B$22,MATCH($B481,'Parametri Modello'!$A$19:$A$22,0)))*'Parametri Modello'!$B$9))))*(1+IF('Parametri Modello'!$B$27="Si",MAX(-'Parametri Modello'!$B$28,MIN('Parametri Modello'!$B$28*1.5,IF(OR(INDEX('Parametri Modello'!$F$32:$F$35,MATCH($B481,'Parametri Modello'!$A$32:$A$35,0))="",INDEX('Parametri Modello'!$F$32:$F$35,MATCH($B481,'Parametri Modello'!$A$32:$A$35,0))=0),0,(1/INDEX('Parametri Modello'!$F$32:$F$35,MATCH($B481,'Parametri Modello'!$A$32:$A$35,0))-1)*'Parametri Modello'!$B$28))),0)))*(1+INDEX('Parametri Modello'!$B$12:$B$15,MATCH($B481,'Parametri Modello'!$A$12:$A$15,0))),0),"")</f>
        <v>0</v>
      </c>
      <c r="I481" s="23">
        <f>IFERROR(INDEX('Input Statistiche 2025_26'!$F$3:$F$665,MATCH($A481,'Input Statistiche 2025_26'!$A$3:$A$665,0)),"")</f>
        <v>0</v>
      </c>
      <c r="J481" s="23">
        <f t="shared" si="63"/>
        <v>38</v>
      </c>
      <c r="K481" s="23">
        <f>IFERROR(INDEX('Input Statistiche 2025_26'!$I$3:$I$665,MATCH($A481,'Input Statistiche 2025_26'!$A$3:$A$665,0)),"")</f>
        <v>0</v>
      </c>
      <c r="L481" s="23">
        <f>IFERROR(INDEX('Input Statistiche 2025_26'!$O$3:$O$665,MATCH($A481,'Input Statistiche 2025_26'!$A$3:$A$665,0)),"")</f>
        <v>0</v>
      </c>
      <c r="M481" s="25"/>
      <c r="N481" s="24">
        <f>IFERROR(INDEX('Input Giocatori 2026_27'!$E$3:$E$493,MATCH($A481,'Input Giocatori 2026_27'!$A$3:$A$493,0)),"")</f>
        <v>1</v>
      </c>
      <c r="O481" s="24">
        <f>IFERROR(INDEX('Input Giocatori 2026_27'!$G$3:$G$493,MATCH($A481,'Input Giocatori 2026_27'!$A$3:$A$493,0)),"")</f>
        <v>1</v>
      </c>
      <c r="P481" s="23" t="str">
        <f>IFERROR(IF($O481="","",IF((1-(COUNTIFS($B$2:$B$492,$B481,$O$2:$O$492,"&gt;"&amp;$O481)+1-1)/COUNTIF($B$2:$B$492,$B481))&gt;='Parametri Modello'!$B$63,"Top",IF((1-(COUNTIFS($B$2:$B$492,$B481,$O$2:$O$492,"&gt;"&amp;$O481)+1-1)/COUNTIF($B$2:$B$492,$B481))&gt;='Parametri Modello'!$B$64,"Buono",IF((1-(COUNTIFS($B$2:$B$492,$B481,$O$2:$O$492,"&gt;"&amp;$O481)+1-1)/COUNTIF($B$2:$B$492,$B481))&gt;='Parametri Modello'!$B$65,"Nella Media","Scommessa/Riserva")))),"")</f>
        <v>Scommessa/Riserva</v>
      </c>
      <c r="Q481" s="26" t="str">
        <f>IF(AND($D481="",$N481&gt;1),SUMPRODUCT(($D$2:$D481="")*($N$2:$N481&gt;1)),"")</f>
        <v/>
      </c>
      <c r="R481" s="26" t="str">
        <f>IF($D481='Info Lega'!$B$28,COUNTIFS($D$2:$D481,'Info Lega'!$B$28),"")</f>
        <v/>
      </c>
      <c r="S481" s="27">
        <f>IFERROR(INDEX('Input Statistiche 2025_26'!$G$3:$G$665,MATCH($A481,'Input Statistiche 2025_26'!$A$3:$A$665,0)),"")</f>
        <v>0</v>
      </c>
      <c r="T481" s="27">
        <f>IFERROR(INDEX('Input Statistiche 2025_26'!$H$3:$H$665,MATCH($A481,'Input Statistiche 2025_26'!$A$3:$A$665,0)),"")</f>
        <v>0</v>
      </c>
      <c r="U481" s="23" t="str">
        <f>IF(OR('La Mia Rosa'!$O$12="",$D481&lt;&gt;""),"",IF($F481&lt;='La Mia Rosa'!$O$12*'Parametri Modello'!$B$24,"OK",IF($F481&lt;='La Mia Rosa'!$O$12*'Parametri Modello'!$B$25,"Attenzione","Rischio Alto")))</f>
        <v>OK</v>
      </c>
      <c r="V481" s="23">
        <f t="shared" si="64"/>
        <v>168</v>
      </c>
      <c r="W481" s="18">
        <f>'Info Lega'!$B$4-SUMIFS($M$2:$M$492,$D$2:$D$492,'Info Lega'!$B$28)</f>
        <v>1000</v>
      </c>
      <c r="X481" s="18">
        <f>('Info Lega'!$B$5-COUNTIFS($D$2:$D$492,'Info Lega'!$B$28,$B$2:$B$492,"P"))+('Info Lega'!$B$6-COUNTIFS($D$2:$D$492,'Info Lega'!$B$28,$B$2:$B$492,"D"))+('Info Lega'!$B$7-COUNTIFS($D$2:$D$492,'Info Lega'!$B$28,$B$2:$B$492,"C"))+('Info Lega'!$B$8-COUNTIFS($D$2:$D$492,'Info Lega'!$B$28,$B$2:$B$492,"A"))</f>
        <v>25</v>
      </c>
      <c r="Y481" s="18">
        <f>X481*'Parametri Modello'!$B$30</f>
        <v>25</v>
      </c>
      <c r="Z481" s="18">
        <f t="shared" si="65"/>
        <v>975</v>
      </c>
      <c r="AA481" s="18">
        <f t="shared" si="66"/>
        <v>0</v>
      </c>
      <c r="AB481" s="18"/>
      <c r="AC481" s="18" t="str">
        <f>IF($AB481="","",IF($AB481&gt;$AA481,"PASS",IF($AB481&lt;=$AA481*(1-'Parametri Modello'!$B$68),"BID","ATTENZIONE")))</f>
        <v/>
      </c>
      <c r="AD481" s="28">
        <f t="shared" si="67"/>
        <v>0</v>
      </c>
      <c r="AE481" s="5" t="str">
        <f>IFERROR(INDEX('Stato Asta'!$G$9:$G$12,MATCH($B481,'Stato Asta'!$A$9:$A$12,0)),"")</f>
        <v>🔴 Non aspettare</v>
      </c>
      <c r="AF481" t="str">
        <f>IFERROR(IF($V481&lt;=INDEX('Parametri Modello'!$C$57:$C$60,MATCH($B481,'Parametri Modello'!$A$57:$A$60,0)),"Titolare","Riserva"),"")</f>
        <v>Riserva</v>
      </c>
      <c r="AG481" t="str">
        <f>IFERROR(INDEX('Pressione Competitiva'!$F$3:$F$6,MATCH($B481,'Pressione Competitiva'!$B$3:$B$6,0)),"")</f>
        <v>🔴 Molto Alta</v>
      </c>
      <c r="AH481" t="str">
        <f t="shared" si="68"/>
        <v/>
      </c>
      <c r="AI481" t="str">
        <f>IFERROR(IF($AH481="","",IF($AH481&gt;=$AA481*'Parametri Modello'!$B$68,"🟢 Opportunita'",IF($AH481&lt;=$AA481*'Parametri Modello'!$B$69,"🔴 Sovrapprezzo","🟡 Prezzo Corretto"))),"")</f>
        <v/>
      </c>
      <c r="AJ481" t="str">
        <f t="shared" si="69"/>
        <v/>
      </c>
      <c r="AK481" t="str">
        <f t="shared" si="70"/>
        <v/>
      </c>
      <c r="AL481" t="str">
        <f t="shared" si="71"/>
        <v/>
      </c>
    </row>
    <row r="482" spans="1:38" ht="14.25" customHeight="1" x14ac:dyDescent="0.25">
      <c r="A482" s="18">
        <v>7454</v>
      </c>
      <c r="B482" s="18" t="s">
        <v>16</v>
      </c>
      <c r="C482" s="18" t="s">
        <v>621</v>
      </c>
      <c r="E482" s="23" t="str">
        <f>IF(COUNTIF('Info Strategia'!$D$2:$D$51,$C482)&gt;0,"SI","NO")</f>
        <v>NO</v>
      </c>
      <c r="F482" s="24">
        <f>IFERROR(ROUND(($G482+($H482-$G482)*'Info Strategia'!$B$6)*(1+IF($E482="SI",'Parametri Modello'!$B$7*'Info Strategia'!$B$6,0)),0),"")</f>
        <v>0</v>
      </c>
      <c r="G482" s="24">
        <f>IFERROR(ROUND(MAX(1,(IF($V482&lt;=INDEX('Parametri Modello'!$C$57:$C$60,MATCH($B482,'Parametri Modello'!$A$57:$A$60,0)),IF(INDEX('Parametri Modello'!$E$57:$E$60,MATCH($B482,'Parametri Modello'!$A$57:$A$60,0))=0,0,($O482/INDEX('Parametri Modello'!$E$57:$E$60,MATCH($B482,'Parametri Modello'!$A$57:$A$60,0)))*(INDEX('Parametri Modello'!$D$57:$D$60,MATCH($B482,'Parametri Modello'!$A$57:$A$60,0))*(INDEX('Parametri Modello'!$B$50:$B$53,MATCH($B482,'Parametri Modello'!$A$50:$A$53,0))*'Parametri Modello'!$B$44))),IF(INDEX('Parametri Modello'!$F$57:$F$60,MATCH($B482,'Parametri Modello'!$A$57:$A$60,0))=0,0,($O482/INDEX('Parametri Modello'!$F$57:$F$60,MATCH($B482,'Parametri Modello'!$A$57:$A$60,0)))*((1-INDEX('Parametri Modello'!$D$57:$D$60,MATCH($B482,'Parametri Modello'!$A$57:$A$60,0)))*(INDEX('Parametri Modello'!$B$50:$B$53,MATCH($B482,'Parametri Modello'!$A$50:$A$53,0))*'Parametri Modello'!$B$44))))*(1+IF(IF($B482="D",'Info Lega'!$B$25,IF($B482="C",'Info Lega'!$B$26,"No"))="Si",'Parametri Modello'!$B$5,0))*(1+MAX(-0.25,MIN(0.25,IF(OR($T482="",$I482="",$I482=0,INDEX('Parametri Modello'!$B$19:$B$22,MATCH($B482,'Parametri Modello'!$A$19:$A$22,0))="",INDEX('Parametri Modello'!$B$19:$B$22,MATCH($B482,'Parametri Modello'!$A$19:$A$22,0))=0),0,(($T482-INDEX('Parametri Modello'!$B$19:$B$22,MATCH($B482,'Parametri Modello'!$A$19:$A$22,0)))/INDEX('Parametri Modello'!$B$19:$B$22,MATCH($B482,'Parametri Modello'!$A$19:$A$22,0)))*'Parametri Modello'!$B$9))))*(1+IF('Parametri Modello'!$B$27="Si",MAX(-'Parametri Modello'!$B$28,MIN('Parametri Modello'!$B$28*1.5,IF(OR(INDEX('Parametri Modello'!$F$32:$F$35,MATCH($B482,'Parametri Modello'!$A$32:$A$35,0))="",INDEX('Parametri Modello'!$F$32:$F$35,MATCH($B482,'Parametri Modello'!$A$32:$A$35,0))=0),0,(1/INDEX('Parametri Modello'!$F$32:$F$35,MATCH($B482,'Parametri Modello'!$A$32:$A$35,0))-1)*'Parametri Modello'!$B$28))),0)))*(1-INDEX('Parametri Modello'!$B$12:$B$15,MATCH($B482,'Parametri Modello'!$A$12:$A$15,0)))),0),"")</f>
        <v>1</v>
      </c>
      <c r="H482" s="24">
        <f>IFERROR(ROUND((IF($V482&lt;=INDEX('Parametri Modello'!$C$57:$C$60,MATCH($B482,'Parametri Modello'!$A$57:$A$60,0)),IF(INDEX('Parametri Modello'!$E$57:$E$60,MATCH($B482,'Parametri Modello'!$A$57:$A$60,0))=0,0,($O482/INDEX('Parametri Modello'!$E$57:$E$60,MATCH($B482,'Parametri Modello'!$A$57:$A$60,0)))*(INDEX('Parametri Modello'!$D$57:$D$60,MATCH($B482,'Parametri Modello'!$A$57:$A$60,0))*(INDEX('Parametri Modello'!$B$50:$B$53,MATCH($B482,'Parametri Modello'!$A$50:$A$53,0))*'Parametri Modello'!$B$44))),IF(INDEX('Parametri Modello'!$F$57:$F$60,MATCH($B482,'Parametri Modello'!$A$57:$A$60,0))=0,0,($O482/INDEX('Parametri Modello'!$F$57:$F$60,MATCH($B482,'Parametri Modello'!$A$57:$A$60,0)))*((1-INDEX('Parametri Modello'!$D$57:$D$60,MATCH($B482,'Parametri Modello'!$A$57:$A$60,0)))*(INDEX('Parametri Modello'!$B$50:$B$53,MATCH($B482,'Parametri Modello'!$A$50:$A$53,0))*'Parametri Modello'!$B$44))))*(1+IF(IF($B482="D",'Info Lega'!$B$25,IF($B482="C",'Info Lega'!$B$26,"No"))="Si",'Parametri Modello'!$B$5,0))*(1+MAX(-0.25,MIN(0.25,IF(OR($T482="",$I482="",$I482=0,INDEX('Parametri Modello'!$B$19:$B$22,MATCH($B482,'Parametri Modello'!$A$19:$A$22,0))="",INDEX('Parametri Modello'!$B$19:$B$22,MATCH($B482,'Parametri Modello'!$A$19:$A$22,0))=0),0,(($T482-INDEX('Parametri Modello'!$B$19:$B$22,MATCH($B482,'Parametri Modello'!$A$19:$A$22,0)))/INDEX('Parametri Modello'!$B$19:$B$22,MATCH($B482,'Parametri Modello'!$A$19:$A$22,0)))*'Parametri Modello'!$B$9))))*(1+IF('Parametri Modello'!$B$27="Si",MAX(-'Parametri Modello'!$B$28,MIN('Parametri Modello'!$B$28*1.5,IF(OR(INDEX('Parametri Modello'!$F$32:$F$35,MATCH($B482,'Parametri Modello'!$A$32:$A$35,0))="",INDEX('Parametri Modello'!$F$32:$F$35,MATCH($B482,'Parametri Modello'!$A$32:$A$35,0))=0),0,(1/INDEX('Parametri Modello'!$F$32:$F$35,MATCH($B482,'Parametri Modello'!$A$32:$A$35,0))-1)*'Parametri Modello'!$B$28))),0)))*(1+INDEX('Parametri Modello'!$B$12:$B$15,MATCH($B482,'Parametri Modello'!$A$12:$A$15,0))),0),"")</f>
        <v>0</v>
      </c>
      <c r="I482" s="23" t="str">
        <f>IFERROR(INDEX('Input Statistiche 2025_26'!$F$3:$F$665,MATCH($A482,'Input Statistiche 2025_26'!$A$3:$A$665,0)),"")</f>
        <v/>
      </c>
      <c r="J482" s="23" t="str">
        <f t="shared" si="63"/>
        <v/>
      </c>
      <c r="K482" s="23" t="str">
        <f>IFERROR(INDEX('Input Statistiche 2025_26'!$I$3:$I$665,MATCH($A482,'Input Statistiche 2025_26'!$A$3:$A$665,0)),"")</f>
        <v/>
      </c>
      <c r="L482" s="23" t="str">
        <f>IFERROR(INDEX('Input Statistiche 2025_26'!$O$3:$O$665,MATCH($A482,'Input Statistiche 2025_26'!$A$3:$A$665,0)),"")</f>
        <v/>
      </c>
      <c r="M482" s="25"/>
      <c r="N482" s="24">
        <f>IFERROR(INDEX('Input Giocatori 2026_27'!$E$3:$E$493,MATCH($A482,'Input Giocatori 2026_27'!$A$3:$A$493,0)),"")</f>
        <v>1</v>
      </c>
      <c r="O482" s="24">
        <f>IFERROR(INDEX('Input Giocatori 2026_27'!$G$3:$G$493,MATCH($A482,'Input Giocatori 2026_27'!$A$3:$A$493,0)),"")</f>
        <v>1</v>
      </c>
      <c r="P482" s="23" t="str">
        <f>IFERROR(IF($O482="","",IF((1-(COUNTIFS($B$2:$B$492,$B482,$O$2:$O$492,"&gt;"&amp;$O482)+1-1)/COUNTIF($B$2:$B$492,$B482))&gt;='Parametri Modello'!$B$63,"Top",IF((1-(COUNTIFS($B$2:$B$492,$B482,$O$2:$O$492,"&gt;"&amp;$O482)+1-1)/COUNTIF($B$2:$B$492,$B482))&gt;='Parametri Modello'!$B$64,"Buono",IF((1-(COUNTIFS($B$2:$B$492,$B482,$O$2:$O$492,"&gt;"&amp;$O482)+1-1)/COUNTIF($B$2:$B$492,$B482))&gt;='Parametri Modello'!$B$65,"Nella Media","Scommessa/Riserva")))),"")</f>
        <v>Scommessa/Riserva</v>
      </c>
      <c r="Q482" s="26" t="str">
        <f>IF(AND($D482="",$N482&gt;1),SUMPRODUCT(($D$2:$D482="")*($N$2:$N482&gt;1)),"")</f>
        <v/>
      </c>
      <c r="R482" s="26" t="str">
        <f>IF($D482='Info Lega'!$B$28,COUNTIFS($D$2:$D482,'Info Lega'!$B$28),"")</f>
        <v/>
      </c>
      <c r="S482" s="27" t="str">
        <f>IFERROR(INDEX('Input Statistiche 2025_26'!$G$3:$G$665,MATCH($A482,'Input Statistiche 2025_26'!$A$3:$A$665,0)),"")</f>
        <v/>
      </c>
      <c r="T482" s="27" t="str">
        <f>IFERROR(INDEX('Input Statistiche 2025_26'!$H$3:$H$665,MATCH($A482,'Input Statistiche 2025_26'!$A$3:$A$665,0)),"")</f>
        <v/>
      </c>
      <c r="U482" s="23" t="str">
        <f>IF(OR('La Mia Rosa'!$O$12="",$D482&lt;&gt;""),"",IF($F482&lt;='La Mia Rosa'!$O$12*'Parametri Modello'!$B$24,"OK",IF($F482&lt;='La Mia Rosa'!$O$12*'Parametri Modello'!$B$25,"Attenzione","Rischio Alto")))</f>
        <v>OK</v>
      </c>
      <c r="V482" s="23">
        <f t="shared" si="64"/>
        <v>168</v>
      </c>
      <c r="W482" s="18">
        <f>'Info Lega'!$B$4-SUMIFS($M$2:$M$492,$D$2:$D$492,'Info Lega'!$B$28)</f>
        <v>1000</v>
      </c>
      <c r="X482" s="18">
        <f>('Info Lega'!$B$5-COUNTIFS($D$2:$D$492,'Info Lega'!$B$28,$B$2:$B$492,"P"))+('Info Lega'!$B$6-COUNTIFS($D$2:$D$492,'Info Lega'!$B$28,$B$2:$B$492,"D"))+('Info Lega'!$B$7-COUNTIFS($D$2:$D$492,'Info Lega'!$B$28,$B$2:$B$492,"C"))+('Info Lega'!$B$8-COUNTIFS($D$2:$D$492,'Info Lega'!$B$28,$B$2:$B$492,"A"))</f>
        <v>25</v>
      </c>
      <c r="Y482" s="18">
        <f>X482*'Parametri Modello'!$B$30</f>
        <v>25</v>
      </c>
      <c r="Z482" s="18">
        <f t="shared" si="65"/>
        <v>975</v>
      </c>
      <c r="AA482" s="18">
        <f t="shared" si="66"/>
        <v>0</v>
      </c>
      <c r="AB482" s="18"/>
      <c r="AC482" s="18" t="str">
        <f>IF($AB482="","",IF($AB482&gt;$AA482,"PASS",IF($AB482&lt;=$AA482*(1-'Parametri Modello'!$B$68),"BID","ATTENZIONE")))</f>
        <v/>
      </c>
      <c r="AD482" s="28" t="str">
        <f t="shared" si="67"/>
        <v/>
      </c>
      <c r="AE482" s="5" t="str">
        <f>IFERROR(INDEX('Stato Asta'!$G$9:$G$12,MATCH($B482,'Stato Asta'!$A$9:$A$12,0)),"")</f>
        <v>🔴 Non aspettare</v>
      </c>
      <c r="AF482" t="str">
        <f>IFERROR(IF($V482&lt;=INDEX('Parametri Modello'!$C$57:$C$60,MATCH($B482,'Parametri Modello'!$A$57:$A$60,0)),"Titolare","Riserva"),"")</f>
        <v>Riserva</v>
      </c>
      <c r="AG482" t="str">
        <f>IFERROR(INDEX('Pressione Competitiva'!$F$3:$F$6,MATCH($B482,'Pressione Competitiva'!$B$3:$B$6,0)),"")</f>
        <v>🔴 Molto Alta</v>
      </c>
      <c r="AH482" t="str">
        <f t="shared" si="68"/>
        <v/>
      </c>
      <c r="AI482" t="str">
        <f>IFERROR(IF($AH482="","",IF($AH482&gt;=$AA482*'Parametri Modello'!$B$68,"🟢 Opportunita'",IF($AH482&lt;=$AA482*'Parametri Modello'!$B$69,"🔴 Sovrapprezzo","🟡 Prezzo Corretto"))),"")</f>
        <v/>
      </c>
      <c r="AJ482" t="str">
        <f t="shared" si="69"/>
        <v/>
      </c>
      <c r="AK482" t="str">
        <f t="shared" si="70"/>
        <v/>
      </c>
      <c r="AL482" t="str">
        <f t="shared" si="71"/>
        <v/>
      </c>
    </row>
    <row r="483" spans="1:38" ht="14.25" customHeight="1" x14ac:dyDescent="0.25">
      <c r="A483" s="18">
        <v>7165</v>
      </c>
      <c r="B483" s="18" t="s">
        <v>17</v>
      </c>
      <c r="C483" s="18" t="s">
        <v>622</v>
      </c>
      <c r="E483" s="23" t="str">
        <f>IF(COUNTIF('Info Strategia'!$D$2:$D$51,$C483)&gt;0,"SI","NO")</f>
        <v>NO</v>
      </c>
      <c r="F483" s="24">
        <f>IFERROR(ROUND(($G483+($H483-$G483)*'Info Strategia'!$B$6)*(1+IF($E483="SI",'Parametri Modello'!$B$7*'Info Strategia'!$B$6,0)),0),"")</f>
        <v>0</v>
      </c>
      <c r="G483" s="24">
        <f>IFERROR(ROUND(MAX(1,(IF($V483&lt;=INDEX('Parametri Modello'!$C$57:$C$60,MATCH($B483,'Parametri Modello'!$A$57:$A$60,0)),IF(INDEX('Parametri Modello'!$E$57:$E$60,MATCH($B483,'Parametri Modello'!$A$57:$A$60,0))=0,0,($O483/INDEX('Parametri Modello'!$E$57:$E$60,MATCH($B483,'Parametri Modello'!$A$57:$A$60,0)))*(INDEX('Parametri Modello'!$D$57:$D$60,MATCH($B483,'Parametri Modello'!$A$57:$A$60,0))*(INDEX('Parametri Modello'!$B$50:$B$53,MATCH($B483,'Parametri Modello'!$A$50:$A$53,0))*'Parametri Modello'!$B$44))),IF(INDEX('Parametri Modello'!$F$57:$F$60,MATCH($B483,'Parametri Modello'!$A$57:$A$60,0))=0,0,($O483/INDEX('Parametri Modello'!$F$57:$F$60,MATCH($B483,'Parametri Modello'!$A$57:$A$60,0)))*((1-INDEX('Parametri Modello'!$D$57:$D$60,MATCH($B483,'Parametri Modello'!$A$57:$A$60,0)))*(INDEX('Parametri Modello'!$B$50:$B$53,MATCH($B483,'Parametri Modello'!$A$50:$A$53,0))*'Parametri Modello'!$B$44))))*(1+IF(IF($B483="D",'Info Lega'!$B$25,IF($B483="C",'Info Lega'!$B$26,"No"))="Si",'Parametri Modello'!$B$5,0))*(1+MAX(-0.25,MIN(0.25,IF(OR($T483="",$I483="",$I483=0,INDEX('Parametri Modello'!$B$19:$B$22,MATCH($B483,'Parametri Modello'!$A$19:$A$22,0))="",INDEX('Parametri Modello'!$B$19:$B$22,MATCH($B483,'Parametri Modello'!$A$19:$A$22,0))=0),0,(($T483-INDEX('Parametri Modello'!$B$19:$B$22,MATCH($B483,'Parametri Modello'!$A$19:$A$22,0)))/INDEX('Parametri Modello'!$B$19:$B$22,MATCH($B483,'Parametri Modello'!$A$19:$A$22,0)))*'Parametri Modello'!$B$9))))*(1+IF('Parametri Modello'!$B$27="Si",MAX(-'Parametri Modello'!$B$28,MIN('Parametri Modello'!$B$28*1.5,IF(OR(INDEX('Parametri Modello'!$F$32:$F$35,MATCH($B483,'Parametri Modello'!$A$32:$A$35,0))="",INDEX('Parametri Modello'!$F$32:$F$35,MATCH($B483,'Parametri Modello'!$A$32:$A$35,0))=0),0,(1/INDEX('Parametri Modello'!$F$32:$F$35,MATCH($B483,'Parametri Modello'!$A$32:$A$35,0))-1)*'Parametri Modello'!$B$28))),0)))*(1-INDEX('Parametri Modello'!$B$12:$B$15,MATCH($B483,'Parametri Modello'!$A$12:$A$15,0)))),0),"")</f>
        <v>1</v>
      </c>
      <c r="H483" s="24">
        <f>IFERROR(ROUND((IF($V483&lt;=INDEX('Parametri Modello'!$C$57:$C$60,MATCH($B483,'Parametri Modello'!$A$57:$A$60,0)),IF(INDEX('Parametri Modello'!$E$57:$E$60,MATCH($B483,'Parametri Modello'!$A$57:$A$60,0))=0,0,($O483/INDEX('Parametri Modello'!$E$57:$E$60,MATCH($B483,'Parametri Modello'!$A$57:$A$60,0)))*(INDEX('Parametri Modello'!$D$57:$D$60,MATCH($B483,'Parametri Modello'!$A$57:$A$60,0))*(INDEX('Parametri Modello'!$B$50:$B$53,MATCH($B483,'Parametri Modello'!$A$50:$A$53,0))*'Parametri Modello'!$B$44))),IF(INDEX('Parametri Modello'!$F$57:$F$60,MATCH($B483,'Parametri Modello'!$A$57:$A$60,0))=0,0,($O483/INDEX('Parametri Modello'!$F$57:$F$60,MATCH($B483,'Parametri Modello'!$A$57:$A$60,0)))*((1-INDEX('Parametri Modello'!$D$57:$D$60,MATCH($B483,'Parametri Modello'!$A$57:$A$60,0)))*(INDEX('Parametri Modello'!$B$50:$B$53,MATCH($B483,'Parametri Modello'!$A$50:$A$53,0))*'Parametri Modello'!$B$44))))*(1+IF(IF($B483="D",'Info Lega'!$B$25,IF($B483="C",'Info Lega'!$B$26,"No"))="Si",'Parametri Modello'!$B$5,0))*(1+MAX(-0.25,MIN(0.25,IF(OR($T483="",$I483="",$I483=0,INDEX('Parametri Modello'!$B$19:$B$22,MATCH($B483,'Parametri Modello'!$A$19:$A$22,0))="",INDEX('Parametri Modello'!$B$19:$B$22,MATCH($B483,'Parametri Modello'!$A$19:$A$22,0))=0),0,(($T483-INDEX('Parametri Modello'!$B$19:$B$22,MATCH($B483,'Parametri Modello'!$A$19:$A$22,0)))/INDEX('Parametri Modello'!$B$19:$B$22,MATCH($B483,'Parametri Modello'!$A$19:$A$22,0)))*'Parametri Modello'!$B$9))))*(1+IF('Parametri Modello'!$B$27="Si",MAX(-'Parametri Modello'!$B$28,MIN('Parametri Modello'!$B$28*1.5,IF(OR(INDEX('Parametri Modello'!$F$32:$F$35,MATCH($B483,'Parametri Modello'!$A$32:$A$35,0))="",INDEX('Parametri Modello'!$F$32:$F$35,MATCH($B483,'Parametri Modello'!$A$32:$A$35,0))=0),0,(1/INDEX('Parametri Modello'!$F$32:$F$35,MATCH($B483,'Parametri Modello'!$A$32:$A$35,0))-1)*'Parametri Modello'!$B$28))),0)))*(1+INDEX('Parametri Modello'!$B$12:$B$15,MATCH($B483,'Parametri Modello'!$A$12:$A$15,0))),0),"")</f>
        <v>0</v>
      </c>
      <c r="I483" s="23">
        <f>IFERROR(INDEX('Input Statistiche 2025_26'!$F$3:$F$665,MATCH($A483,'Input Statistiche 2025_26'!$A$3:$A$665,0)),"")</f>
        <v>4</v>
      </c>
      <c r="J483" s="23">
        <f t="shared" si="63"/>
        <v>34</v>
      </c>
      <c r="K483" s="23">
        <f>IFERROR(INDEX('Input Statistiche 2025_26'!$I$3:$I$665,MATCH($A483,'Input Statistiche 2025_26'!$A$3:$A$665,0)),"")</f>
        <v>0</v>
      </c>
      <c r="L483" s="23">
        <f>IFERROR(INDEX('Input Statistiche 2025_26'!$O$3:$O$665,MATCH($A483,'Input Statistiche 2025_26'!$A$3:$A$665,0)),"")</f>
        <v>0</v>
      </c>
      <c r="M483" s="25"/>
      <c r="N483" s="24">
        <f>IFERROR(INDEX('Input Giocatori 2026_27'!$E$3:$E$493,MATCH($A483,'Input Giocatori 2026_27'!$A$3:$A$493,0)),"")</f>
        <v>1</v>
      </c>
      <c r="O483" s="24">
        <f>IFERROR(INDEX('Input Giocatori 2026_27'!$G$3:$G$493,MATCH($A483,'Input Giocatori 2026_27'!$A$3:$A$493,0)),"")</f>
        <v>1</v>
      </c>
      <c r="P483" s="23" t="str">
        <f>IFERROR(IF($O483="","",IF((1-(COUNTIFS($B$2:$B$492,$B483,$O$2:$O$492,"&gt;"&amp;$O483)+1-1)/COUNTIF($B$2:$B$492,$B483))&gt;='Parametri Modello'!$B$63,"Top",IF((1-(COUNTIFS($B$2:$B$492,$B483,$O$2:$O$492,"&gt;"&amp;$O483)+1-1)/COUNTIF($B$2:$B$492,$B483))&gt;='Parametri Modello'!$B$64,"Buono",IF((1-(COUNTIFS($B$2:$B$492,$B483,$O$2:$O$492,"&gt;"&amp;$O483)+1-1)/COUNTIF($B$2:$B$492,$B483))&gt;='Parametri Modello'!$B$65,"Nella Media","Scommessa/Riserva")))),"")</f>
        <v>Scommessa/Riserva</v>
      </c>
      <c r="Q483" s="26" t="str">
        <f>IF(AND($D483="",$N483&gt;1),SUMPRODUCT(($D$2:$D483="")*($N$2:$N483&gt;1)),"")</f>
        <v/>
      </c>
      <c r="R483" s="26" t="str">
        <f>IF($D483='Info Lega'!$B$28,COUNTIFS($D$2:$D483,'Info Lega'!$B$28),"")</f>
        <v/>
      </c>
      <c r="S483" s="27">
        <f>IFERROR(INDEX('Input Statistiche 2025_26'!$G$3:$G$665,MATCH($A483,'Input Statistiche 2025_26'!$A$3:$A$665,0)),"")</f>
        <v>5.75</v>
      </c>
      <c r="T483" s="27">
        <f>IFERROR(INDEX('Input Statistiche 2025_26'!$H$3:$H$665,MATCH($A483,'Input Statistiche 2025_26'!$A$3:$A$665,0)),"")</f>
        <v>5.75</v>
      </c>
      <c r="U483" s="23" t="str">
        <f>IF(OR('La Mia Rosa'!$O$12="",$D483&lt;&gt;""),"",IF($F483&lt;='La Mia Rosa'!$O$12*'Parametri Modello'!$B$24,"OK",IF($F483&lt;='La Mia Rosa'!$O$12*'Parametri Modello'!$B$25,"Attenzione","Rischio Alto")))</f>
        <v>OK</v>
      </c>
      <c r="V483" s="23">
        <f t="shared" si="64"/>
        <v>168</v>
      </c>
      <c r="W483" s="18">
        <f>'Info Lega'!$B$4-SUMIFS($M$2:$M$492,$D$2:$D$492,'Info Lega'!$B$28)</f>
        <v>1000</v>
      </c>
      <c r="X483" s="18">
        <f>('Info Lega'!$B$5-COUNTIFS($D$2:$D$492,'Info Lega'!$B$28,$B$2:$B$492,"P"))+('Info Lega'!$B$6-COUNTIFS($D$2:$D$492,'Info Lega'!$B$28,$B$2:$B$492,"D"))+('Info Lega'!$B$7-COUNTIFS($D$2:$D$492,'Info Lega'!$B$28,$B$2:$B$492,"C"))+('Info Lega'!$B$8-COUNTIFS($D$2:$D$492,'Info Lega'!$B$28,$B$2:$B$492,"A"))</f>
        <v>25</v>
      </c>
      <c r="Y483" s="18">
        <f>X483*'Parametri Modello'!$B$30</f>
        <v>25</v>
      </c>
      <c r="Z483" s="18">
        <f t="shared" si="65"/>
        <v>975</v>
      </c>
      <c r="AA483" s="18">
        <f t="shared" si="66"/>
        <v>0</v>
      </c>
      <c r="AB483" s="18"/>
      <c r="AC483" s="18" t="str">
        <f>IF($AB483="","",IF($AB483&gt;$AA483,"PASS",IF($AB483&lt;=$AA483*(1-'Parametri Modello'!$B$68),"BID","ATTENZIONE")))</f>
        <v/>
      </c>
      <c r="AD483" s="28">
        <f t="shared" si="67"/>
        <v>12</v>
      </c>
      <c r="AE483" s="5" t="str">
        <f>IFERROR(INDEX('Stato Asta'!$G$9:$G$12,MATCH($B483,'Stato Asta'!$A$9:$A$12,0)),"")</f>
        <v>🔴 Non aspettare</v>
      </c>
      <c r="AF483" t="str">
        <f>IFERROR(IF($V483&lt;=INDEX('Parametri Modello'!$C$57:$C$60,MATCH($B483,'Parametri Modello'!$A$57:$A$60,0)),"Titolare","Riserva"),"")</f>
        <v>Riserva</v>
      </c>
      <c r="AG483" t="str">
        <f>IFERROR(INDEX('Pressione Competitiva'!$F$3:$F$6,MATCH($B483,'Pressione Competitiva'!$B$3:$B$6,0)),"")</f>
        <v>🔴 Molto Alta</v>
      </c>
      <c r="AH483" t="str">
        <f t="shared" si="68"/>
        <v/>
      </c>
      <c r="AI483" t="str">
        <f>IFERROR(IF($AH483="","",IF($AH483&gt;=$AA483*'Parametri Modello'!$B$68,"🟢 Opportunita'",IF($AH483&lt;=$AA483*'Parametri Modello'!$B$69,"🔴 Sovrapprezzo","🟡 Prezzo Corretto"))),"")</f>
        <v/>
      </c>
      <c r="AJ483" t="str">
        <f t="shared" si="69"/>
        <v/>
      </c>
      <c r="AK483" t="str">
        <f t="shared" si="70"/>
        <v/>
      </c>
      <c r="AL483" t="str">
        <f t="shared" si="71"/>
        <v/>
      </c>
    </row>
    <row r="484" spans="1:38" ht="14.25" customHeight="1" x14ac:dyDescent="0.25">
      <c r="A484" s="18">
        <v>7357</v>
      </c>
      <c r="B484" s="18" t="s">
        <v>17</v>
      </c>
      <c r="C484" s="18" t="s">
        <v>623</v>
      </c>
      <c r="E484" s="23" t="str">
        <f>IF(COUNTIF('Info Strategia'!$D$2:$D$51,$C484)&gt;0,"SI","NO")</f>
        <v>NO</v>
      </c>
      <c r="F484" s="24">
        <f>IFERROR(ROUND(($G484+($H484-$G484)*'Info Strategia'!$B$6)*(1+IF($E484="SI",'Parametri Modello'!$B$7*'Info Strategia'!$B$6,0)),0),"")</f>
        <v>0</v>
      </c>
      <c r="G484" s="24">
        <f>IFERROR(ROUND(MAX(1,(IF($V484&lt;=INDEX('Parametri Modello'!$C$57:$C$60,MATCH($B484,'Parametri Modello'!$A$57:$A$60,0)),IF(INDEX('Parametri Modello'!$E$57:$E$60,MATCH($B484,'Parametri Modello'!$A$57:$A$60,0))=0,0,($O484/INDEX('Parametri Modello'!$E$57:$E$60,MATCH($B484,'Parametri Modello'!$A$57:$A$60,0)))*(INDEX('Parametri Modello'!$D$57:$D$60,MATCH($B484,'Parametri Modello'!$A$57:$A$60,0))*(INDEX('Parametri Modello'!$B$50:$B$53,MATCH($B484,'Parametri Modello'!$A$50:$A$53,0))*'Parametri Modello'!$B$44))),IF(INDEX('Parametri Modello'!$F$57:$F$60,MATCH($B484,'Parametri Modello'!$A$57:$A$60,0))=0,0,($O484/INDEX('Parametri Modello'!$F$57:$F$60,MATCH($B484,'Parametri Modello'!$A$57:$A$60,0)))*((1-INDEX('Parametri Modello'!$D$57:$D$60,MATCH($B484,'Parametri Modello'!$A$57:$A$60,0)))*(INDEX('Parametri Modello'!$B$50:$B$53,MATCH($B484,'Parametri Modello'!$A$50:$A$53,0))*'Parametri Modello'!$B$44))))*(1+IF(IF($B484="D",'Info Lega'!$B$25,IF($B484="C",'Info Lega'!$B$26,"No"))="Si",'Parametri Modello'!$B$5,0))*(1+MAX(-0.25,MIN(0.25,IF(OR($T484="",$I484="",$I484=0,INDEX('Parametri Modello'!$B$19:$B$22,MATCH($B484,'Parametri Modello'!$A$19:$A$22,0))="",INDEX('Parametri Modello'!$B$19:$B$22,MATCH($B484,'Parametri Modello'!$A$19:$A$22,0))=0),0,(($T484-INDEX('Parametri Modello'!$B$19:$B$22,MATCH($B484,'Parametri Modello'!$A$19:$A$22,0)))/INDEX('Parametri Modello'!$B$19:$B$22,MATCH($B484,'Parametri Modello'!$A$19:$A$22,0)))*'Parametri Modello'!$B$9))))*(1+IF('Parametri Modello'!$B$27="Si",MAX(-'Parametri Modello'!$B$28,MIN('Parametri Modello'!$B$28*1.5,IF(OR(INDEX('Parametri Modello'!$F$32:$F$35,MATCH($B484,'Parametri Modello'!$A$32:$A$35,0))="",INDEX('Parametri Modello'!$F$32:$F$35,MATCH($B484,'Parametri Modello'!$A$32:$A$35,0))=0),0,(1/INDEX('Parametri Modello'!$F$32:$F$35,MATCH($B484,'Parametri Modello'!$A$32:$A$35,0))-1)*'Parametri Modello'!$B$28))),0)))*(1-INDEX('Parametri Modello'!$B$12:$B$15,MATCH($B484,'Parametri Modello'!$A$12:$A$15,0)))),0),"")</f>
        <v>1</v>
      </c>
      <c r="H484" s="24">
        <f>IFERROR(ROUND((IF($V484&lt;=INDEX('Parametri Modello'!$C$57:$C$60,MATCH($B484,'Parametri Modello'!$A$57:$A$60,0)),IF(INDEX('Parametri Modello'!$E$57:$E$60,MATCH($B484,'Parametri Modello'!$A$57:$A$60,0))=0,0,($O484/INDEX('Parametri Modello'!$E$57:$E$60,MATCH($B484,'Parametri Modello'!$A$57:$A$60,0)))*(INDEX('Parametri Modello'!$D$57:$D$60,MATCH($B484,'Parametri Modello'!$A$57:$A$60,0))*(INDEX('Parametri Modello'!$B$50:$B$53,MATCH($B484,'Parametri Modello'!$A$50:$A$53,0))*'Parametri Modello'!$B$44))),IF(INDEX('Parametri Modello'!$F$57:$F$60,MATCH($B484,'Parametri Modello'!$A$57:$A$60,0))=0,0,($O484/INDEX('Parametri Modello'!$F$57:$F$60,MATCH($B484,'Parametri Modello'!$A$57:$A$60,0)))*((1-INDEX('Parametri Modello'!$D$57:$D$60,MATCH($B484,'Parametri Modello'!$A$57:$A$60,0)))*(INDEX('Parametri Modello'!$B$50:$B$53,MATCH($B484,'Parametri Modello'!$A$50:$A$53,0))*'Parametri Modello'!$B$44))))*(1+IF(IF($B484="D",'Info Lega'!$B$25,IF($B484="C",'Info Lega'!$B$26,"No"))="Si",'Parametri Modello'!$B$5,0))*(1+MAX(-0.25,MIN(0.25,IF(OR($T484="",$I484="",$I484=0,INDEX('Parametri Modello'!$B$19:$B$22,MATCH($B484,'Parametri Modello'!$A$19:$A$22,0))="",INDEX('Parametri Modello'!$B$19:$B$22,MATCH($B484,'Parametri Modello'!$A$19:$A$22,0))=0),0,(($T484-INDEX('Parametri Modello'!$B$19:$B$22,MATCH($B484,'Parametri Modello'!$A$19:$A$22,0)))/INDEX('Parametri Modello'!$B$19:$B$22,MATCH($B484,'Parametri Modello'!$A$19:$A$22,0)))*'Parametri Modello'!$B$9))))*(1+IF('Parametri Modello'!$B$27="Si",MAX(-'Parametri Modello'!$B$28,MIN('Parametri Modello'!$B$28*1.5,IF(OR(INDEX('Parametri Modello'!$F$32:$F$35,MATCH($B484,'Parametri Modello'!$A$32:$A$35,0))="",INDEX('Parametri Modello'!$F$32:$F$35,MATCH($B484,'Parametri Modello'!$A$32:$A$35,0))=0),0,(1/INDEX('Parametri Modello'!$F$32:$F$35,MATCH($B484,'Parametri Modello'!$A$32:$A$35,0))-1)*'Parametri Modello'!$B$28))),0)))*(1+INDEX('Parametri Modello'!$B$12:$B$15,MATCH($B484,'Parametri Modello'!$A$12:$A$15,0))),0),"")</f>
        <v>0</v>
      </c>
      <c r="I484" s="23">
        <f>IFERROR(INDEX('Input Statistiche 2025_26'!$F$3:$F$665,MATCH($A484,'Input Statistiche 2025_26'!$A$3:$A$665,0)),"")</f>
        <v>0</v>
      </c>
      <c r="J484" s="23">
        <f t="shared" si="63"/>
        <v>38</v>
      </c>
      <c r="K484" s="23">
        <f>IFERROR(INDEX('Input Statistiche 2025_26'!$I$3:$I$665,MATCH($A484,'Input Statistiche 2025_26'!$A$3:$A$665,0)),"")</f>
        <v>0</v>
      </c>
      <c r="L484" s="23">
        <f>IFERROR(INDEX('Input Statistiche 2025_26'!$O$3:$O$665,MATCH($A484,'Input Statistiche 2025_26'!$A$3:$A$665,0)),"")</f>
        <v>0</v>
      </c>
      <c r="M484" s="25"/>
      <c r="N484" s="24">
        <f>IFERROR(INDEX('Input Giocatori 2026_27'!$E$3:$E$493,MATCH($A484,'Input Giocatori 2026_27'!$A$3:$A$493,0)),"")</f>
        <v>1</v>
      </c>
      <c r="O484" s="24">
        <f>IFERROR(INDEX('Input Giocatori 2026_27'!$G$3:$G$493,MATCH($A484,'Input Giocatori 2026_27'!$A$3:$A$493,0)),"")</f>
        <v>1</v>
      </c>
      <c r="P484" s="23" t="str">
        <f>IFERROR(IF($O484="","",IF((1-(COUNTIFS($B$2:$B$492,$B484,$O$2:$O$492,"&gt;"&amp;$O484)+1-1)/COUNTIF($B$2:$B$492,$B484))&gt;='Parametri Modello'!$B$63,"Top",IF((1-(COUNTIFS($B$2:$B$492,$B484,$O$2:$O$492,"&gt;"&amp;$O484)+1-1)/COUNTIF($B$2:$B$492,$B484))&gt;='Parametri Modello'!$B$64,"Buono",IF((1-(COUNTIFS($B$2:$B$492,$B484,$O$2:$O$492,"&gt;"&amp;$O484)+1-1)/COUNTIF($B$2:$B$492,$B484))&gt;='Parametri Modello'!$B$65,"Nella Media","Scommessa/Riserva")))),"")</f>
        <v>Scommessa/Riserva</v>
      </c>
      <c r="Q484" s="26" t="str">
        <f>IF(AND($D484="",$N484&gt;1),SUMPRODUCT(($D$2:$D484="")*($N$2:$N484&gt;1)),"")</f>
        <v/>
      </c>
      <c r="R484" s="26" t="str">
        <f>IF($D484='Info Lega'!$B$28,COUNTIFS($D$2:$D484,'Info Lega'!$B$28),"")</f>
        <v/>
      </c>
      <c r="S484" s="27">
        <f>IFERROR(INDEX('Input Statistiche 2025_26'!$G$3:$G$665,MATCH($A484,'Input Statistiche 2025_26'!$A$3:$A$665,0)),"")</f>
        <v>0</v>
      </c>
      <c r="T484" s="27">
        <f>IFERROR(INDEX('Input Statistiche 2025_26'!$H$3:$H$665,MATCH($A484,'Input Statistiche 2025_26'!$A$3:$A$665,0)),"")</f>
        <v>0</v>
      </c>
      <c r="U484" s="23" t="str">
        <f>IF(OR('La Mia Rosa'!$O$12="",$D484&lt;&gt;""),"",IF($F484&lt;='La Mia Rosa'!$O$12*'Parametri Modello'!$B$24,"OK",IF($F484&lt;='La Mia Rosa'!$O$12*'Parametri Modello'!$B$25,"Attenzione","Rischio Alto")))</f>
        <v>OK</v>
      </c>
      <c r="V484" s="23">
        <f t="shared" si="64"/>
        <v>168</v>
      </c>
      <c r="W484" s="18">
        <f>'Info Lega'!$B$4-SUMIFS($M$2:$M$492,$D$2:$D$492,'Info Lega'!$B$28)</f>
        <v>1000</v>
      </c>
      <c r="X484" s="18">
        <f>('Info Lega'!$B$5-COUNTIFS($D$2:$D$492,'Info Lega'!$B$28,$B$2:$B$492,"P"))+('Info Lega'!$B$6-COUNTIFS($D$2:$D$492,'Info Lega'!$B$28,$B$2:$B$492,"D"))+('Info Lega'!$B$7-COUNTIFS($D$2:$D$492,'Info Lega'!$B$28,$B$2:$B$492,"C"))+('Info Lega'!$B$8-COUNTIFS($D$2:$D$492,'Info Lega'!$B$28,$B$2:$B$492,"A"))</f>
        <v>25</v>
      </c>
      <c r="Y484" s="18">
        <f>X484*'Parametri Modello'!$B$30</f>
        <v>25</v>
      </c>
      <c r="Z484" s="18">
        <f t="shared" si="65"/>
        <v>975</v>
      </c>
      <c r="AA484" s="18">
        <f t="shared" si="66"/>
        <v>0</v>
      </c>
      <c r="AB484" s="18"/>
      <c r="AC484" s="18" t="str">
        <f>IF($AB484="","",IF($AB484&gt;$AA484,"PASS",IF($AB484&lt;=$AA484*(1-'Parametri Modello'!$B$68),"BID","ATTENZIONE")))</f>
        <v/>
      </c>
      <c r="AD484" s="28">
        <f t="shared" si="67"/>
        <v>0</v>
      </c>
      <c r="AE484" s="5" t="str">
        <f>IFERROR(INDEX('Stato Asta'!$G$9:$G$12,MATCH($B484,'Stato Asta'!$A$9:$A$12,0)),"")</f>
        <v>🔴 Non aspettare</v>
      </c>
      <c r="AF484" t="str">
        <f>IFERROR(IF($V484&lt;=INDEX('Parametri Modello'!$C$57:$C$60,MATCH($B484,'Parametri Modello'!$A$57:$A$60,0)),"Titolare","Riserva"),"")</f>
        <v>Riserva</v>
      </c>
      <c r="AG484" t="str">
        <f>IFERROR(INDEX('Pressione Competitiva'!$F$3:$F$6,MATCH($B484,'Pressione Competitiva'!$B$3:$B$6,0)),"")</f>
        <v>🔴 Molto Alta</v>
      </c>
      <c r="AH484" t="str">
        <f t="shared" si="68"/>
        <v/>
      </c>
      <c r="AI484" t="str">
        <f>IFERROR(IF($AH484="","",IF($AH484&gt;=$AA484*'Parametri Modello'!$B$68,"🟢 Opportunita'",IF($AH484&lt;=$AA484*'Parametri Modello'!$B$69,"🔴 Sovrapprezzo","🟡 Prezzo Corretto"))),"")</f>
        <v/>
      </c>
      <c r="AJ484" t="str">
        <f t="shared" si="69"/>
        <v/>
      </c>
      <c r="AK484" t="str">
        <f t="shared" si="70"/>
        <v/>
      </c>
      <c r="AL484" t="str">
        <f t="shared" si="71"/>
        <v/>
      </c>
    </row>
    <row r="485" spans="1:38" ht="14.25" customHeight="1" x14ac:dyDescent="0.25">
      <c r="A485" s="18">
        <v>7319</v>
      </c>
      <c r="B485" s="18" t="s">
        <v>17</v>
      </c>
      <c r="C485" s="18" t="s">
        <v>624</v>
      </c>
      <c r="E485" s="23" t="str">
        <f>IF(COUNTIF('Info Strategia'!$D$2:$D$51,$C485)&gt;0,"SI","NO")</f>
        <v>NO</v>
      </c>
      <c r="F485" s="24">
        <f>IFERROR(ROUND(($G485+($H485-$G485)*'Info Strategia'!$B$6)*(1+IF($E485="SI",'Parametri Modello'!$B$7*'Info Strategia'!$B$6,0)),0),"")</f>
        <v>0</v>
      </c>
      <c r="G485" s="24">
        <f>IFERROR(ROUND(MAX(1,(IF($V485&lt;=INDEX('Parametri Modello'!$C$57:$C$60,MATCH($B485,'Parametri Modello'!$A$57:$A$60,0)),IF(INDEX('Parametri Modello'!$E$57:$E$60,MATCH($B485,'Parametri Modello'!$A$57:$A$60,0))=0,0,($O485/INDEX('Parametri Modello'!$E$57:$E$60,MATCH($B485,'Parametri Modello'!$A$57:$A$60,0)))*(INDEX('Parametri Modello'!$D$57:$D$60,MATCH($B485,'Parametri Modello'!$A$57:$A$60,0))*(INDEX('Parametri Modello'!$B$50:$B$53,MATCH($B485,'Parametri Modello'!$A$50:$A$53,0))*'Parametri Modello'!$B$44))),IF(INDEX('Parametri Modello'!$F$57:$F$60,MATCH($B485,'Parametri Modello'!$A$57:$A$60,0))=0,0,($O485/INDEX('Parametri Modello'!$F$57:$F$60,MATCH($B485,'Parametri Modello'!$A$57:$A$60,0)))*((1-INDEX('Parametri Modello'!$D$57:$D$60,MATCH($B485,'Parametri Modello'!$A$57:$A$60,0)))*(INDEX('Parametri Modello'!$B$50:$B$53,MATCH($B485,'Parametri Modello'!$A$50:$A$53,0))*'Parametri Modello'!$B$44))))*(1+IF(IF($B485="D",'Info Lega'!$B$25,IF($B485="C",'Info Lega'!$B$26,"No"))="Si",'Parametri Modello'!$B$5,0))*(1+MAX(-0.25,MIN(0.25,IF(OR($T485="",$I485="",$I485=0,INDEX('Parametri Modello'!$B$19:$B$22,MATCH($B485,'Parametri Modello'!$A$19:$A$22,0))="",INDEX('Parametri Modello'!$B$19:$B$22,MATCH($B485,'Parametri Modello'!$A$19:$A$22,0))=0),0,(($T485-INDEX('Parametri Modello'!$B$19:$B$22,MATCH($B485,'Parametri Modello'!$A$19:$A$22,0)))/INDEX('Parametri Modello'!$B$19:$B$22,MATCH($B485,'Parametri Modello'!$A$19:$A$22,0)))*'Parametri Modello'!$B$9))))*(1+IF('Parametri Modello'!$B$27="Si",MAX(-'Parametri Modello'!$B$28,MIN('Parametri Modello'!$B$28*1.5,IF(OR(INDEX('Parametri Modello'!$F$32:$F$35,MATCH($B485,'Parametri Modello'!$A$32:$A$35,0))="",INDEX('Parametri Modello'!$F$32:$F$35,MATCH($B485,'Parametri Modello'!$A$32:$A$35,0))=0),0,(1/INDEX('Parametri Modello'!$F$32:$F$35,MATCH($B485,'Parametri Modello'!$A$32:$A$35,0))-1)*'Parametri Modello'!$B$28))),0)))*(1-INDEX('Parametri Modello'!$B$12:$B$15,MATCH($B485,'Parametri Modello'!$A$12:$A$15,0)))),0),"")</f>
        <v>1</v>
      </c>
      <c r="H485" s="24">
        <f>IFERROR(ROUND((IF($V485&lt;=INDEX('Parametri Modello'!$C$57:$C$60,MATCH($B485,'Parametri Modello'!$A$57:$A$60,0)),IF(INDEX('Parametri Modello'!$E$57:$E$60,MATCH($B485,'Parametri Modello'!$A$57:$A$60,0))=0,0,($O485/INDEX('Parametri Modello'!$E$57:$E$60,MATCH($B485,'Parametri Modello'!$A$57:$A$60,0)))*(INDEX('Parametri Modello'!$D$57:$D$60,MATCH($B485,'Parametri Modello'!$A$57:$A$60,0))*(INDEX('Parametri Modello'!$B$50:$B$53,MATCH($B485,'Parametri Modello'!$A$50:$A$53,0))*'Parametri Modello'!$B$44))),IF(INDEX('Parametri Modello'!$F$57:$F$60,MATCH($B485,'Parametri Modello'!$A$57:$A$60,0))=0,0,($O485/INDEX('Parametri Modello'!$F$57:$F$60,MATCH($B485,'Parametri Modello'!$A$57:$A$60,0)))*((1-INDEX('Parametri Modello'!$D$57:$D$60,MATCH($B485,'Parametri Modello'!$A$57:$A$60,0)))*(INDEX('Parametri Modello'!$B$50:$B$53,MATCH($B485,'Parametri Modello'!$A$50:$A$53,0))*'Parametri Modello'!$B$44))))*(1+IF(IF($B485="D",'Info Lega'!$B$25,IF($B485="C",'Info Lega'!$B$26,"No"))="Si",'Parametri Modello'!$B$5,0))*(1+MAX(-0.25,MIN(0.25,IF(OR($T485="",$I485="",$I485=0,INDEX('Parametri Modello'!$B$19:$B$22,MATCH($B485,'Parametri Modello'!$A$19:$A$22,0))="",INDEX('Parametri Modello'!$B$19:$B$22,MATCH($B485,'Parametri Modello'!$A$19:$A$22,0))=0),0,(($T485-INDEX('Parametri Modello'!$B$19:$B$22,MATCH($B485,'Parametri Modello'!$A$19:$A$22,0)))/INDEX('Parametri Modello'!$B$19:$B$22,MATCH($B485,'Parametri Modello'!$A$19:$A$22,0)))*'Parametri Modello'!$B$9))))*(1+IF('Parametri Modello'!$B$27="Si",MAX(-'Parametri Modello'!$B$28,MIN('Parametri Modello'!$B$28*1.5,IF(OR(INDEX('Parametri Modello'!$F$32:$F$35,MATCH($B485,'Parametri Modello'!$A$32:$A$35,0))="",INDEX('Parametri Modello'!$F$32:$F$35,MATCH($B485,'Parametri Modello'!$A$32:$A$35,0))=0),0,(1/INDEX('Parametri Modello'!$F$32:$F$35,MATCH($B485,'Parametri Modello'!$A$32:$A$35,0))-1)*'Parametri Modello'!$B$28))),0)))*(1+INDEX('Parametri Modello'!$B$12:$B$15,MATCH($B485,'Parametri Modello'!$A$12:$A$15,0))),0),"")</f>
        <v>0</v>
      </c>
      <c r="I485" s="23">
        <f>IFERROR(INDEX('Input Statistiche 2025_26'!$F$3:$F$665,MATCH($A485,'Input Statistiche 2025_26'!$A$3:$A$665,0)),"")</f>
        <v>2</v>
      </c>
      <c r="J485" s="23">
        <f t="shared" si="63"/>
        <v>36</v>
      </c>
      <c r="K485" s="23">
        <f>IFERROR(INDEX('Input Statistiche 2025_26'!$I$3:$I$665,MATCH($A485,'Input Statistiche 2025_26'!$A$3:$A$665,0)),"")</f>
        <v>0</v>
      </c>
      <c r="L485" s="23">
        <f>IFERROR(INDEX('Input Statistiche 2025_26'!$O$3:$O$665,MATCH($A485,'Input Statistiche 2025_26'!$A$3:$A$665,0)),"")</f>
        <v>0</v>
      </c>
      <c r="M485" s="25"/>
      <c r="N485" s="24">
        <f>IFERROR(INDEX('Input Giocatori 2026_27'!$E$3:$E$493,MATCH($A485,'Input Giocatori 2026_27'!$A$3:$A$493,0)),"")</f>
        <v>1</v>
      </c>
      <c r="O485" s="24">
        <f>IFERROR(INDEX('Input Giocatori 2026_27'!$G$3:$G$493,MATCH($A485,'Input Giocatori 2026_27'!$A$3:$A$493,0)),"")</f>
        <v>1</v>
      </c>
      <c r="P485" s="23" t="str">
        <f>IFERROR(IF($O485="","",IF((1-(COUNTIFS($B$2:$B$492,$B485,$O$2:$O$492,"&gt;"&amp;$O485)+1-1)/COUNTIF($B$2:$B$492,$B485))&gt;='Parametri Modello'!$B$63,"Top",IF((1-(COUNTIFS($B$2:$B$492,$B485,$O$2:$O$492,"&gt;"&amp;$O485)+1-1)/COUNTIF($B$2:$B$492,$B485))&gt;='Parametri Modello'!$B$64,"Buono",IF((1-(COUNTIFS($B$2:$B$492,$B485,$O$2:$O$492,"&gt;"&amp;$O485)+1-1)/COUNTIF($B$2:$B$492,$B485))&gt;='Parametri Modello'!$B$65,"Nella Media","Scommessa/Riserva")))),"")</f>
        <v>Scommessa/Riserva</v>
      </c>
      <c r="Q485" s="26" t="str">
        <f>IF(AND($D485="",$N485&gt;1),SUMPRODUCT(($D$2:$D485="")*($N$2:$N485&gt;1)),"")</f>
        <v/>
      </c>
      <c r="R485" s="26" t="str">
        <f>IF($D485='Info Lega'!$B$28,COUNTIFS($D$2:$D485,'Info Lega'!$B$28),"")</f>
        <v/>
      </c>
      <c r="S485" s="27">
        <f>IFERROR(INDEX('Input Statistiche 2025_26'!$G$3:$G$665,MATCH($A485,'Input Statistiche 2025_26'!$A$3:$A$665,0)),"")</f>
        <v>5.5</v>
      </c>
      <c r="T485" s="27">
        <f>IFERROR(INDEX('Input Statistiche 2025_26'!$H$3:$H$665,MATCH($A485,'Input Statistiche 2025_26'!$A$3:$A$665,0)),"")</f>
        <v>5.5</v>
      </c>
      <c r="U485" s="23" t="str">
        <f>IF(OR('La Mia Rosa'!$O$12="",$D485&lt;&gt;""),"",IF($F485&lt;='La Mia Rosa'!$O$12*'Parametri Modello'!$B$24,"OK",IF($F485&lt;='La Mia Rosa'!$O$12*'Parametri Modello'!$B$25,"Attenzione","Rischio Alto")))</f>
        <v>OK</v>
      </c>
      <c r="V485" s="23">
        <f t="shared" si="64"/>
        <v>168</v>
      </c>
      <c r="W485" s="18">
        <f>'Info Lega'!$B$4-SUMIFS($M$2:$M$492,$D$2:$D$492,'Info Lega'!$B$28)</f>
        <v>1000</v>
      </c>
      <c r="X485" s="18">
        <f>('Info Lega'!$B$5-COUNTIFS($D$2:$D$492,'Info Lega'!$B$28,$B$2:$B$492,"P"))+('Info Lega'!$B$6-COUNTIFS($D$2:$D$492,'Info Lega'!$B$28,$B$2:$B$492,"D"))+('Info Lega'!$B$7-COUNTIFS($D$2:$D$492,'Info Lega'!$B$28,$B$2:$B$492,"C"))+('Info Lega'!$B$8-COUNTIFS($D$2:$D$492,'Info Lega'!$B$28,$B$2:$B$492,"A"))</f>
        <v>25</v>
      </c>
      <c r="Y485" s="18">
        <f>X485*'Parametri Modello'!$B$30</f>
        <v>25</v>
      </c>
      <c r="Z485" s="18">
        <f t="shared" si="65"/>
        <v>975</v>
      </c>
      <c r="AA485" s="18">
        <f t="shared" si="66"/>
        <v>0</v>
      </c>
      <c r="AB485" s="18"/>
      <c r="AC485" s="18" t="str">
        <f>IF($AB485="","",IF($AB485&gt;$AA485,"PASS",IF($AB485&lt;=$AA485*(1-'Parametri Modello'!$B$68),"BID","ATTENZIONE")))</f>
        <v/>
      </c>
      <c r="AD485" s="28">
        <f t="shared" si="67"/>
        <v>6</v>
      </c>
      <c r="AE485" s="5" t="str">
        <f>IFERROR(INDEX('Stato Asta'!$G$9:$G$12,MATCH($B485,'Stato Asta'!$A$9:$A$12,0)),"")</f>
        <v>🔴 Non aspettare</v>
      </c>
      <c r="AF485" t="str">
        <f>IFERROR(IF($V485&lt;=INDEX('Parametri Modello'!$C$57:$C$60,MATCH($B485,'Parametri Modello'!$A$57:$A$60,0)),"Titolare","Riserva"),"")</f>
        <v>Riserva</v>
      </c>
      <c r="AG485" t="str">
        <f>IFERROR(INDEX('Pressione Competitiva'!$F$3:$F$6,MATCH($B485,'Pressione Competitiva'!$B$3:$B$6,0)),"")</f>
        <v>🔴 Molto Alta</v>
      </c>
      <c r="AH485" t="str">
        <f t="shared" si="68"/>
        <v/>
      </c>
      <c r="AI485" t="str">
        <f>IFERROR(IF($AH485="","",IF($AH485&gt;=$AA485*'Parametri Modello'!$B$68,"🟢 Opportunita'",IF($AH485&lt;=$AA485*'Parametri Modello'!$B$69,"🔴 Sovrapprezzo","🟡 Prezzo Corretto"))),"")</f>
        <v/>
      </c>
      <c r="AJ485" t="str">
        <f t="shared" si="69"/>
        <v/>
      </c>
      <c r="AK485" t="str">
        <f t="shared" si="70"/>
        <v/>
      </c>
      <c r="AL485" t="str">
        <f t="shared" si="71"/>
        <v/>
      </c>
    </row>
    <row r="486" spans="1:38" ht="14.25" customHeight="1" x14ac:dyDescent="0.25">
      <c r="A486" s="18">
        <v>7157</v>
      </c>
      <c r="B486" s="18" t="s">
        <v>17</v>
      </c>
      <c r="C486" s="18" t="s">
        <v>625</v>
      </c>
      <c r="E486" s="23" t="str">
        <f>IF(COUNTIF('Info Strategia'!$D$2:$D$51,$C486)&gt;0,"SI","NO")</f>
        <v>NO</v>
      </c>
      <c r="F486" s="24">
        <f>IFERROR(ROUND(($G486+($H486-$G486)*'Info Strategia'!$B$6)*(1+IF($E486="SI",'Parametri Modello'!$B$7*'Info Strategia'!$B$6,0)),0),"")</f>
        <v>0</v>
      </c>
      <c r="G486" s="24">
        <f>IFERROR(ROUND(MAX(1,(IF($V486&lt;=INDEX('Parametri Modello'!$C$57:$C$60,MATCH($B486,'Parametri Modello'!$A$57:$A$60,0)),IF(INDEX('Parametri Modello'!$E$57:$E$60,MATCH($B486,'Parametri Modello'!$A$57:$A$60,0))=0,0,($O486/INDEX('Parametri Modello'!$E$57:$E$60,MATCH($B486,'Parametri Modello'!$A$57:$A$60,0)))*(INDEX('Parametri Modello'!$D$57:$D$60,MATCH($B486,'Parametri Modello'!$A$57:$A$60,0))*(INDEX('Parametri Modello'!$B$50:$B$53,MATCH($B486,'Parametri Modello'!$A$50:$A$53,0))*'Parametri Modello'!$B$44))),IF(INDEX('Parametri Modello'!$F$57:$F$60,MATCH($B486,'Parametri Modello'!$A$57:$A$60,0))=0,0,($O486/INDEX('Parametri Modello'!$F$57:$F$60,MATCH($B486,'Parametri Modello'!$A$57:$A$60,0)))*((1-INDEX('Parametri Modello'!$D$57:$D$60,MATCH($B486,'Parametri Modello'!$A$57:$A$60,0)))*(INDEX('Parametri Modello'!$B$50:$B$53,MATCH($B486,'Parametri Modello'!$A$50:$A$53,0))*'Parametri Modello'!$B$44))))*(1+IF(IF($B486="D",'Info Lega'!$B$25,IF($B486="C",'Info Lega'!$B$26,"No"))="Si",'Parametri Modello'!$B$5,0))*(1+MAX(-0.25,MIN(0.25,IF(OR($T486="",$I486="",$I486=0,INDEX('Parametri Modello'!$B$19:$B$22,MATCH($B486,'Parametri Modello'!$A$19:$A$22,0))="",INDEX('Parametri Modello'!$B$19:$B$22,MATCH($B486,'Parametri Modello'!$A$19:$A$22,0))=0),0,(($T486-INDEX('Parametri Modello'!$B$19:$B$22,MATCH($B486,'Parametri Modello'!$A$19:$A$22,0)))/INDEX('Parametri Modello'!$B$19:$B$22,MATCH($B486,'Parametri Modello'!$A$19:$A$22,0)))*'Parametri Modello'!$B$9))))*(1+IF('Parametri Modello'!$B$27="Si",MAX(-'Parametri Modello'!$B$28,MIN('Parametri Modello'!$B$28*1.5,IF(OR(INDEX('Parametri Modello'!$F$32:$F$35,MATCH($B486,'Parametri Modello'!$A$32:$A$35,0))="",INDEX('Parametri Modello'!$F$32:$F$35,MATCH($B486,'Parametri Modello'!$A$32:$A$35,0))=0),0,(1/INDEX('Parametri Modello'!$F$32:$F$35,MATCH($B486,'Parametri Modello'!$A$32:$A$35,0))-1)*'Parametri Modello'!$B$28))),0)))*(1-INDEX('Parametri Modello'!$B$12:$B$15,MATCH($B486,'Parametri Modello'!$A$12:$A$15,0)))),0),"")</f>
        <v>1</v>
      </c>
      <c r="H486" s="24">
        <f>IFERROR(ROUND((IF($V486&lt;=INDEX('Parametri Modello'!$C$57:$C$60,MATCH($B486,'Parametri Modello'!$A$57:$A$60,0)),IF(INDEX('Parametri Modello'!$E$57:$E$60,MATCH($B486,'Parametri Modello'!$A$57:$A$60,0))=0,0,($O486/INDEX('Parametri Modello'!$E$57:$E$60,MATCH($B486,'Parametri Modello'!$A$57:$A$60,0)))*(INDEX('Parametri Modello'!$D$57:$D$60,MATCH($B486,'Parametri Modello'!$A$57:$A$60,0))*(INDEX('Parametri Modello'!$B$50:$B$53,MATCH($B486,'Parametri Modello'!$A$50:$A$53,0))*'Parametri Modello'!$B$44))),IF(INDEX('Parametri Modello'!$F$57:$F$60,MATCH($B486,'Parametri Modello'!$A$57:$A$60,0))=0,0,($O486/INDEX('Parametri Modello'!$F$57:$F$60,MATCH($B486,'Parametri Modello'!$A$57:$A$60,0)))*((1-INDEX('Parametri Modello'!$D$57:$D$60,MATCH($B486,'Parametri Modello'!$A$57:$A$60,0)))*(INDEX('Parametri Modello'!$B$50:$B$53,MATCH($B486,'Parametri Modello'!$A$50:$A$53,0))*'Parametri Modello'!$B$44))))*(1+IF(IF($B486="D",'Info Lega'!$B$25,IF($B486="C",'Info Lega'!$B$26,"No"))="Si",'Parametri Modello'!$B$5,0))*(1+MAX(-0.25,MIN(0.25,IF(OR($T486="",$I486="",$I486=0,INDEX('Parametri Modello'!$B$19:$B$22,MATCH($B486,'Parametri Modello'!$A$19:$A$22,0))="",INDEX('Parametri Modello'!$B$19:$B$22,MATCH($B486,'Parametri Modello'!$A$19:$A$22,0))=0),0,(($T486-INDEX('Parametri Modello'!$B$19:$B$22,MATCH($B486,'Parametri Modello'!$A$19:$A$22,0)))/INDEX('Parametri Modello'!$B$19:$B$22,MATCH($B486,'Parametri Modello'!$A$19:$A$22,0)))*'Parametri Modello'!$B$9))))*(1+IF('Parametri Modello'!$B$27="Si",MAX(-'Parametri Modello'!$B$28,MIN('Parametri Modello'!$B$28*1.5,IF(OR(INDEX('Parametri Modello'!$F$32:$F$35,MATCH($B486,'Parametri Modello'!$A$32:$A$35,0))="",INDEX('Parametri Modello'!$F$32:$F$35,MATCH($B486,'Parametri Modello'!$A$32:$A$35,0))=0),0,(1/INDEX('Parametri Modello'!$F$32:$F$35,MATCH($B486,'Parametri Modello'!$A$32:$A$35,0))-1)*'Parametri Modello'!$B$28))),0)))*(1+INDEX('Parametri Modello'!$B$12:$B$15,MATCH($B486,'Parametri Modello'!$A$12:$A$15,0))),0),"")</f>
        <v>0</v>
      </c>
      <c r="I486" s="23">
        <f>IFERROR(INDEX('Input Statistiche 2025_26'!$F$3:$F$665,MATCH($A486,'Input Statistiche 2025_26'!$A$3:$A$665,0)),"")</f>
        <v>5</v>
      </c>
      <c r="J486" s="23">
        <f t="shared" si="63"/>
        <v>33</v>
      </c>
      <c r="K486" s="23">
        <f>IFERROR(INDEX('Input Statistiche 2025_26'!$I$3:$I$665,MATCH($A486,'Input Statistiche 2025_26'!$A$3:$A$665,0)),"")</f>
        <v>1</v>
      </c>
      <c r="L486" s="23">
        <f>IFERROR(INDEX('Input Statistiche 2025_26'!$O$3:$O$665,MATCH($A486,'Input Statistiche 2025_26'!$A$3:$A$665,0)),"")</f>
        <v>0</v>
      </c>
      <c r="M486" s="25"/>
      <c r="N486" s="24">
        <f>IFERROR(INDEX('Input Giocatori 2026_27'!$E$3:$E$493,MATCH($A486,'Input Giocatori 2026_27'!$A$3:$A$493,0)),"")</f>
        <v>1</v>
      </c>
      <c r="O486" s="24">
        <f>IFERROR(INDEX('Input Giocatori 2026_27'!$G$3:$G$493,MATCH($A486,'Input Giocatori 2026_27'!$A$3:$A$493,0)),"")</f>
        <v>1</v>
      </c>
      <c r="P486" s="23" t="str">
        <f>IFERROR(IF($O486="","",IF((1-(COUNTIFS($B$2:$B$492,$B486,$O$2:$O$492,"&gt;"&amp;$O486)+1-1)/COUNTIF($B$2:$B$492,$B486))&gt;='Parametri Modello'!$B$63,"Top",IF((1-(COUNTIFS($B$2:$B$492,$B486,$O$2:$O$492,"&gt;"&amp;$O486)+1-1)/COUNTIF($B$2:$B$492,$B486))&gt;='Parametri Modello'!$B$64,"Buono",IF((1-(COUNTIFS($B$2:$B$492,$B486,$O$2:$O$492,"&gt;"&amp;$O486)+1-1)/COUNTIF($B$2:$B$492,$B486))&gt;='Parametri Modello'!$B$65,"Nella Media","Scommessa/Riserva")))),"")</f>
        <v>Scommessa/Riserva</v>
      </c>
      <c r="Q486" s="26" t="str">
        <f>IF(AND($D486="",$N486&gt;1),SUMPRODUCT(($D$2:$D486="")*($N$2:$N486&gt;1)),"")</f>
        <v/>
      </c>
      <c r="R486" s="26" t="str">
        <f>IF($D486='Info Lega'!$B$28,COUNTIFS($D$2:$D486,'Info Lega'!$B$28),"")</f>
        <v/>
      </c>
      <c r="S486" s="27">
        <f>IFERROR(INDEX('Input Statistiche 2025_26'!$G$3:$G$665,MATCH($A486,'Input Statistiche 2025_26'!$A$3:$A$665,0)),"")</f>
        <v>6</v>
      </c>
      <c r="T486" s="27">
        <f>IFERROR(INDEX('Input Statistiche 2025_26'!$H$3:$H$665,MATCH($A486,'Input Statistiche 2025_26'!$A$3:$A$665,0)),"")</f>
        <v>6.5</v>
      </c>
      <c r="U486" s="23" t="str">
        <f>IF(OR('La Mia Rosa'!$O$12="",$D486&lt;&gt;""),"",IF($F486&lt;='La Mia Rosa'!$O$12*'Parametri Modello'!$B$24,"OK",IF($F486&lt;='La Mia Rosa'!$O$12*'Parametri Modello'!$B$25,"Attenzione","Rischio Alto")))</f>
        <v>OK</v>
      </c>
      <c r="V486" s="23">
        <f t="shared" si="64"/>
        <v>168</v>
      </c>
      <c r="W486" s="18">
        <f>'Info Lega'!$B$4-SUMIFS($M$2:$M$492,$D$2:$D$492,'Info Lega'!$B$28)</f>
        <v>1000</v>
      </c>
      <c r="X486" s="18">
        <f>('Info Lega'!$B$5-COUNTIFS($D$2:$D$492,'Info Lega'!$B$28,$B$2:$B$492,"P"))+('Info Lega'!$B$6-COUNTIFS($D$2:$D$492,'Info Lega'!$B$28,$B$2:$B$492,"D"))+('Info Lega'!$B$7-COUNTIFS($D$2:$D$492,'Info Lega'!$B$28,$B$2:$B$492,"C"))+('Info Lega'!$B$8-COUNTIFS($D$2:$D$492,'Info Lega'!$B$28,$B$2:$B$492,"A"))</f>
        <v>25</v>
      </c>
      <c r="Y486" s="18">
        <f>X486*'Parametri Modello'!$B$30</f>
        <v>25</v>
      </c>
      <c r="Z486" s="18">
        <f t="shared" si="65"/>
        <v>975</v>
      </c>
      <c r="AA486" s="18">
        <f t="shared" si="66"/>
        <v>0</v>
      </c>
      <c r="AB486" s="18"/>
      <c r="AC486" s="18" t="str">
        <f>IF($AB486="","",IF($AB486&gt;$AA486,"PASS",IF($AB486&lt;=$AA486*(1-'Parametri Modello'!$B$68),"BID","ATTENZIONE")))</f>
        <v/>
      </c>
      <c r="AD486" s="28">
        <f t="shared" si="67"/>
        <v>15</v>
      </c>
      <c r="AE486" s="5" t="str">
        <f>IFERROR(INDEX('Stato Asta'!$G$9:$G$12,MATCH($B486,'Stato Asta'!$A$9:$A$12,0)),"")</f>
        <v>🔴 Non aspettare</v>
      </c>
      <c r="AF486" t="str">
        <f>IFERROR(IF($V486&lt;=INDEX('Parametri Modello'!$C$57:$C$60,MATCH($B486,'Parametri Modello'!$A$57:$A$60,0)),"Titolare","Riserva"),"")</f>
        <v>Riserva</v>
      </c>
      <c r="AG486" t="str">
        <f>IFERROR(INDEX('Pressione Competitiva'!$F$3:$F$6,MATCH($B486,'Pressione Competitiva'!$B$3:$B$6,0)),"")</f>
        <v>🔴 Molto Alta</v>
      </c>
      <c r="AH486" t="str">
        <f t="shared" si="68"/>
        <v/>
      </c>
      <c r="AI486" t="str">
        <f>IFERROR(IF($AH486="","",IF($AH486&gt;=$AA486*'Parametri Modello'!$B$68,"🟢 Opportunita'",IF($AH486&lt;=$AA486*'Parametri Modello'!$B$69,"🔴 Sovrapprezzo","🟡 Prezzo Corretto"))),"")</f>
        <v/>
      </c>
      <c r="AJ486" t="str">
        <f t="shared" si="69"/>
        <v/>
      </c>
      <c r="AK486" t="str">
        <f t="shared" si="70"/>
        <v/>
      </c>
      <c r="AL486" t="str">
        <f t="shared" si="71"/>
        <v/>
      </c>
    </row>
    <row r="487" spans="1:38" ht="14.25" customHeight="1" x14ac:dyDescent="0.25">
      <c r="A487" s="18">
        <v>7481</v>
      </c>
      <c r="B487" s="18" t="s">
        <v>17</v>
      </c>
      <c r="C487" s="18" t="s">
        <v>626</v>
      </c>
      <c r="E487" s="23" t="str">
        <f>IF(COUNTIF('Info Strategia'!$D$2:$D$51,$C487)&gt;0,"SI","NO")</f>
        <v>NO</v>
      </c>
      <c r="F487" s="24">
        <f>IFERROR(ROUND(($G487+($H487-$G487)*'Info Strategia'!$B$6)*(1+IF($E487="SI",'Parametri Modello'!$B$7*'Info Strategia'!$B$6,0)),0),"")</f>
        <v>0</v>
      </c>
      <c r="G487" s="24">
        <f>IFERROR(ROUND(MAX(1,(IF($V487&lt;=INDEX('Parametri Modello'!$C$57:$C$60,MATCH($B487,'Parametri Modello'!$A$57:$A$60,0)),IF(INDEX('Parametri Modello'!$E$57:$E$60,MATCH($B487,'Parametri Modello'!$A$57:$A$60,0))=0,0,($O487/INDEX('Parametri Modello'!$E$57:$E$60,MATCH($B487,'Parametri Modello'!$A$57:$A$60,0)))*(INDEX('Parametri Modello'!$D$57:$D$60,MATCH($B487,'Parametri Modello'!$A$57:$A$60,0))*(INDEX('Parametri Modello'!$B$50:$B$53,MATCH($B487,'Parametri Modello'!$A$50:$A$53,0))*'Parametri Modello'!$B$44))),IF(INDEX('Parametri Modello'!$F$57:$F$60,MATCH($B487,'Parametri Modello'!$A$57:$A$60,0))=0,0,($O487/INDEX('Parametri Modello'!$F$57:$F$60,MATCH($B487,'Parametri Modello'!$A$57:$A$60,0)))*((1-INDEX('Parametri Modello'!$D$57:$D$60,MATCH($B487,'Parametri Modello'!$A$57:$A$60,0)))*(INDEX('Parametri Modello'!$B$50:$B$53,MATCH($B487,'Parametri Modello'!$A$50:$A$53,0))*'Parametri Modello'!$B$44))))*(1+IF(IF($B487="D",'Info Lega'!$B$25,IF($B487="C",'Info Lega'!$B$26,"No"))="Si",'Parametri Modello'!$B$5,0))*(1+MAX(-0.25,MIN(0.25,IF(OR($T487="",$I487="",$I487=0,INDEX('Parametri Modello'!$B$19:$B$22,MATCH($B487,'Parametri Modello'!$A$19:$A$22,0))="",INDEX('Parametri Modello'!$B$19:$B$22,MATCH($B487,'Parametri Modello'!$A$19:$A$22,0))=0),0,(($T487-INDEX('Parametri Modello'!$B$19:$B$22,MATCH($B487,'Parametri Modello'!$A$19:$A$22,0)))/INDEX('Parametri Modello'!$B$19:$B$22,MATCH($B487,'Parametri Modello'!$A$19:$A$22,0)))*'Parametri Modello'!$B$9))))*(1+IF('Parametri Modello'!$B$27="Si",MAX(-'Parametri Modello'!$B$28,MIN('Parametri Modello'!$B$28*1.5,IF(OR(INDEX('Parametri Modello'!$F$32:$F$35,MATCH($B487,'Parametri Modello'!$A$32:$A$35,0))="",INDEX('Parametri Modello'!$F$32:$F$35,MATCH($B487,'Parametri Modello'!$A$32:$A$35,0))=0),0,(1/INDEX('Parametri Modello'!$F$32:$F$35,MATCH($B487,'Parametri Modello'!$A$32:$A$35,0))-1)*'Parametri Modello'!$B$28))),0)))*(1-INDEX('Parametri Modello'!$B$12:$B$15,MATCH($B487,'Parametri Modello'!$A$12:$A$15,0)))),0),"")</f>
        <v>1</v>
      </c>
      <c r="H487" s="24">
        <f>IFERROR(ROUND((IF($V487&lt;=INDEX('Parametri Modello'!$C$57:$C$60,MATCH($B487,'Parametri Modello'!$A$57:$A$60,0)),IF(INDEX('Parametri Modello'!$E$57:$E$60,MATCH($B487,'Parametri Modello'!$A$57:$A$60,0))=0,0,($O487/INDEX('Parametri Modello'!$E$57:$E$60,MATCH($B487,'Parametri Modello'!$A$57:$A$60,0)))*(INDEX('Parametri Modello'!$D$57:$D$60,MATCH($B487,'Parametri Modello'!$A$57:$A$60,0))*(INDEX('Parametri Modello'!$B$50:$B$53,MATCH($B487,'Parametri Modello'!$A$50:$A$53,0))*'Parametri Modello'!$B$44))),IF(INDEX('Parametri Modello'!$F$57:$F$60,MATCH($B487,'Parametri Modello'!$A$57:$A$60,0))=0,0,($O487/INDEX('Parametri Modello'!$F$57:$F$60,MATCH($B487,'Parametri Modello'!$A$57:$A$60,0)))*((1-INDEX('Parametri Modello'!$D$57:$D$60,MATCH($B487,'Parametri Modello'!$A$57:$A$60,0)))*(INDEX('Parametri Modello'!$B$50:$B$53,MATCH($B487,'Parametri Modello'!$A$50:$A$53,0))*'Parametri Modello'!$B$44))))*(1+IF(IF($B487="D",'Info Lega'!$B$25,IF($B487="C",'Info Lega'!$B$26,"No"))="Si",'Parametri Modello'!$B$5,0))*(1+MAX(-0.25,MIN(0.25,IF(OR($T487="",$I487="",$I487=0,INDEX('Parametri Modello'!$B$19:$B$22,MATCH($B487,'Parametri Modello'!$A$19:$A$22,0))="",INDEX('Parametri Modello'!$B$19:$B$22,MATCH($B487,'Parametri Modello'!$A$19:$A$22,0))=0),0,(($T487-INDEX('Parametri Modello'!$B$19:$B$22,MATCH($B487,'Parametri Modello'!$A$19:$A$22,0)))/INDEX('Parametri Modello'!$B$19:$B$22,MATCH($B487,'Parametri Modello'!$A$19:$A$22,0)))*'Parametri Modello'!$B$9))))*(1+IF('Parametri Modello'!$B$27="Si",MAX(-'Parametri Modello'!$B$28,MIN('Parametri Modello'!$B$28*1.5,IF(OR(INDEX('Parametri Modello'!$F$32:$F$35,MATCH($B487,'Parametri Modello'!$A$32:$A$35,0))="",INDEX('Parametri Modello'!$F$32:$F$35,MATCH($B487,'Parametri Modello'!$A$32:$A$35,0))=0),0,(1/INDEX('Parametri Modello'!$F$32:$F$35,MATCH($B487,'Parametri Modello'!$A$32:$A$35,0))-1)*'Parametri Modello'!$B$28))),0)))*(1+INDEX('Parametri Modello'!$B$12:$B$15,MATCH($B487,'Parametri Modello'!$A$12:$A$15,0))),0),"")</f>
        <v>0</v>
      </c>
      <c r="I487" s="23" t="str">
        <f>IFERROR(INDEX('Input Statistiche 2025_26'!$F$3:$F$665,MATCH($A487,'Input Statistiche 2025_26'!$A$3:$A$665,0)),"")</f>
        <v/>
      </c>
      <c r="J487" s="23" t="str">
        <f t="shared" si="63"/>
        <v/>
      </c>
      <c r="K487" s="23" t="str">
        <f>IFERROR(INDEX('Input Statistiche 2025_26'!$I$3:$I$665,MATCH($A487,'Input Statistiche 2025_26'!$A$3:$A$665,0)),"")</f>
        <v/>
      </c>
      <c r="L487" s="23" t="str">
        <f>IFERROR(INDEX('Input Statistiche 2025_26'!$O$3:$O$665,MATCH($A487,'Input Statistiche 2025_26'!$A$3:$A$665,0)),"")</f>
        <v/>
      </c>
      <c r="M487" s="25"/>
      <c r="N487" s="24">
        <f>IFERROR(INDEX('Input Giocatori 2026_27'!$E$3:$E$493,MATCH($A487,'Input Giocatori 2026_27'!$A$3:$A$493,0)),"")</f>
        <v>1</v>
      </c>
      <c r="O487" s="24">
        <f>IFERROR(INDEX('Input Giocatori 2026_27'!$G$3:$G$493,MATCH($A487,'Input Giocatori 2026_27'!$A$3:$A$493,0)),"")</f>
        <v>1</v>
      </c>
      <c r="P487" s="23" t="str">
        <f>IFERROR(IF($O487="","",IF((1-(COUNTIFS($B$2:$B$492,$B487,$O$2:$O$492,"&gt;"&amp;$O487)+1-1)/COUNTIF($B$2:$B$492,$B487))&gt;='Parametri Modello'!$B$63,"Top",IF((1-(COUNTIFS($B$2:$B$492,$B487,$O$2:$O$492,"&gt;"&amp;$O487)+1-1)/COUNTIF($B$2:$B$492,$B487))&gt;='Parametri Modello'!$B$64,"Buono",IF((1-(COUNTIFS($B$2:$B$492,$B487,$O$2:$O$492,"&gt;"&amp;$O487)+1-1)/COUNTIF($B$2:$B$492,$B487))&gt;='Parametri Modello'!$B$65,"Nella Media","Scommessa/Riserva")))),"")</f>
        <v>Scommessa/Riserva</v>
      </c>
      <c r="Q487" s="26" t="str">
        <f>IF(AND($D487="",$N487&gt;1),SUMPRODUCT(($D$2:$D487="")*($N$2:$N487&gt;1)),"")</f>
        <v/>
      </c>
      <c r="R487" s="26" t="str">
        <f>IF($D487='Info Lega'!$B$28,COUNTIFS($D$2:$D487,'Info Lega'!$B$28),"")</f>
        <v/>
      </c>
      <c r="S487" s="27" t="str">
        <f>IFERROR(INDEX('Input Statistiche 2025_26'!$G$3:$G$665,MATCH($A487,'Input Statistiche 2025_26'!$A$3:$A$665,0)),"")</f>
        <v/>
      </c>
      <c r="T487" s="27" t="str">
        <f>IFERROR(INDEX('Input Statistiche 2025_26'!$H$3:$H$665,MATCH($A487,'Input Statistiche 2025_26'!$A$3:$A$665,0)),"")</f>
        <v/>
      </c>
      <c r="U487" s="23" t="str">
        <f>IF(OR('La Mia Rosa'!$O$12="",$D487&lt;&gt;""),"",IF($F487&lt;='La Mia Rosa'!$O$12*'Parametri Modello'!$B$24,"OK",IF($F487&lt;='La Mia Rosa'!$O$12*'Parametri Modello'!$B$25,"Attenzione","Rischio Alto")))</f>
        <v>OK</v>
      </c>
      <c r="V487" s="23">
        <f t="shared" si="64"/>
        <v>168</v>
      </c>
      <c r="W487" s="18">
        <f>'Info Lega'!$B$4-SUMIFS($M$2:$M$492,$D$2:$D$492,'Info Lega'!$B$28)</f>
        <v>1000</v>
      </c>
      <c r="X487" s="18">
        <f>('Info Lega'!$B$5-COUNTIFS($D$2:$D$492,'Info Lega'!$B$28,$B$2:$B$492,"P"))+('Info Lega'!$B$6-COUNTIFS($D$2:$D$492,'Info Lega'!$B$28,$B$2:$B$492,"D"))+('Info Lega'!$B$7-COUNTIFS($D$2:$D$492,'Info Lega'!$B$28,$B$2:$B$492,"C"))+('Info Lega'!$B$8-COUNTIFS($D$2:$D$492,'Info Lega'!$B$28,$B$2:$B$492,"A"))</f>
        <v>25</v>
      </c>
      <c r="Y487" s="18">
        <f>X487*'Parametri Modello'!$B$30</f>
        <v>25</v>
      </c>
      <c r="Z487" s="18">
        <f t="shared" si="65"/>
        <v>975</v>
      </c>
      <c r="AA487" s="18">
        <f t="shared" si="66"/>
        <v>0</v>
      </c>
      <c r="AB487" s="18"/>
      <c r="AC487" s="18" t="str">
        <f>IF($AB487="","",IF($AB487&gt;$AA487,"PASS",IF($AB487&lt;=$AA487*(1-'Parametri Modello'!$B$68),"BID","ATTENZIONE")))</f>
        <v/>
      </c>
      <c r="AD487" s="28" t="str">
        <f t="shared" si="67"/>
        <v/>
      </c>
      <c r="AE487" s="5" t="str">
        <f>IFERROR(INDEX('Stato Asta'!$G$9:$G$12,MATCH($B487,'Stato Asta'!$A$9:$A$12,0)),"")</f>
        <v>🔴 Non aspettare</v>
      </c>
      <c r="AF487" t="str">
        <f>IFERROR(IF($V487&lt;=INDEX('Parametri Modello'!$C$57:$C$60,MATCH($B487,'Parametri Modello'!$A$57:$A$60,0)),"Titolare","Riserva"),"")</f>
        <v>Riserva</v>
      </c>
      <c r="AG487" t="str">
        <f>IFERROR(INDEX('Pressione Competitiva'!$F$3:$F$6,MATCH($B487,'Pressione Competitiva'!$B$3:$B$6,0)),"")</f>
        <v>🔴 Molto Alta</v>
      </c>
      <c r="AH487" t="str">
        <f t="shared" si="68"/>
        <v/>
      </c>
      <c r="AI487" t="str">
        <f>IFERROR(IF($AH487="","",IF($AH487&gt;=$AA487*'Parametri Modello'!$B$68,"🟢 Opportunita'",IF($AH487&lt;=$AA487*'Parametri Modello'!$B$69,"🔴 Sovrapprezzo","🟡 Prezzo Corretto"))),"")</f>
        <v/>
      </c>
      <c r="AJ487" t="str">
        <f t="shared" si="69"/>
        <v/>
      </c>
      <c r="AK487" t="str">
        <f t="shared" si="70"/>
        <v/>
      </c>
      <c r="AL487" t="str">
        <f t="shared" si="71"/>
        <v/>
      </c>
    </row>
    <row r="488" spans="1:38" ht="14.25" customHeight="1" x14ac:dyDescent="0.25">
      <c r="A488" s="18">
        <v>7338</v>
      </c>
      <c r="B488" s="18" t="s">
        <v>18</v>
      </c>
      <c r="C488" s="18" t="s">
        <v>627</v>
      </c>
      <c r="E488" s="23" t="str">
        <f>IF(COUNTIF('Info Strategia'!$D$2:$D$51,$C488)&gt;0,"SI","NO")</f>
        <v>NO</v>
      </c>
      <c r="F488" s="24">
        <f>IFERROR(ROUND(($G488+($H488-$G488)*'Info Strategia'!$B$6)*(1+IF($E488="SI",'Parametri Modello'!$B$7*'Info Strategia'!$B$6,0)),0),"")</f>
        <v>0</v>
      </c>
      <c r="G488" s="24">
        <f>IFERROR(ROUND(MAX(1,(IF($V488&lt;=INDEX('Parametri Modello'!$C$57:$C$60,MATCH($B488,'Parametri Modello'!$A$57:$A$60,0)),IF(INDEX('Parametri Modello'!$E$57:$E$60,MATCH($B488,'Parametri Modello'!$A$57:$A$60,0))=0,0,($O488/INDEX('Parametri Modello'!$E$57:$E$60,MATCH($B488,'Parametri Modello'!$A$57:$A$60,0)))*(INDEX('Parametri Modello'!$D$57:$D$60,MATCH($B488,'Parametri Modello'!$A$57:$A$60,0))*(INDEX('Parametri Modello'!$B$50:$B$53,MATCH($B488,'Parametri Modello'!$A$50:$A$53,0))*'Parametri Modello'!$B$44))),IF(INDEX('Parametri Modello'!$F$57:$F$60,MATCH($B488,'Parametri Modello'!$A$57:$A$60,0))=0,0,($O488/INDEX('Parametri Modello'!$F$57:$F$60,MATCH($B488,'Parametri Modello'!$A$57:$A$60,0)))*((1-INDEX('Parametri Modello'!$D$57:$D$60,MATCH($B488,'Parametri Modello'!$A$57:$A$60,0)))*(INDEX('Parametri Modello'!$B$50:$B$53,MATCH($B488,'Parametri Modello'!$A$50:$A$53,0))*'Parametri Modello'!$B$44))))*(1+IF(IF($B488="D",'Info Lega'!$B$25,IF($B488="C",'Info Lega'!$B$26,"No"))="Si",'Parametri Modello'!$B$5,0))*(1+MAX(-0.25,MIN(0.25,IF(OR($T488="",$I488="",$I488=0,INDEX('Parametri Modello'!$B$19:$B$22,MATCH($B488,'Parametri Modello'!$A$19:$A$22,0))="",INDEX('Parametri Modello'!$B$19:$B$22,MATCH($B488,'Parametri Modello'!$A$19:$A$22,0))=0),0,(($T488-INDEX('Parametri Modello'!$B$19:$B$22,MATCH($B488,'Parametri Modello'!$A$19:$A$22,0)))/INDEX('Parametri Modello'!$B$19:$B$22,MATCH($B488,'Parametri Modello'!$A$19:$A$22,0)))*'Parametri Modello'!$B$9))))*(1+IF('Parametri Modello'!$B$27="Si",MAX(-'Parametri Modello'!$B$28,MIN('Parametri Modello'!$B$28*1.5,IF(OR(INDEX('Parametri Modello'!$F$32:$F$35,MATCH($B488,'Parametri Modello'!$A$32:$A$35,0))="",INDEX('Parametri Modello'!$F$32:$F$35,MATCH($B488,'Parametri Modello'!$A$32:$A$35,0))=0),0,(1/INDEX('Parametri Modello'!$F$32:$F$35,MATCH($B488,'Parametri Modello'!$A$32:$A$35,0))-1)*'Parametri Modello'!$B$28))),0)))*(1-INDEX('Parametri Modello'!$B$12:$B$15,MATCH($B488,'Parametri Modello'!$A$12:$A$15,0)))),0),"")</f>
        <v>1</v>
      </c>
      <c r="H488" s="24">
        <f>IFERROR(ROUND((IF($V488&lt;=INDEX('Parametri Modello'!$C$57:$C$60,MATCH($B488,'Parametri Modello'!$A$57:$A$60,0)),IF(INDEX('Parametri Modello'!$E$57:$E$60,MATCH($B488,'Parametri Modello'!$A$57:$A$60,0))=0,0,($O488/INDEX('Parametri Modello'!$E$57:$E$60,MATCH($B488,'Parametri Modello'!$A$57:$A$60,0)))*(INDEX('Parametri Modello'!$D$57:$D$60,MATCH($B488,'Parametri Modello'!$A$57:$A$60,0))*(INDEX('Parametri Modello'!$B$50:$B$53,MATCH($B488,'Parametri Modello'!$A$50:$A$53,0))*'Parametri Modello'!$B$44))),IF(INDEX('Parametri Modello'!$F$57:$F$60,MATCH($B488,'Parametri Modello'!$A$57:$A$60,0))=0,0,($O488/INDEX('Parametri Modello'!$F$57:$F$60,MATCH($B488,'Parametri Modello'!$A$57:$A$60,0)))*((1-INDEX('Parametri Modello'!$D$57:$D$60,MATCH($B488,'Parametri Modello'!$A$57:$A$60,0)))*(INDEX('Parametri Modello'!$B$50:$B$53,MATCH($B488,'Parametri Modello'!$A$50:$A$53,0))*'Parametri Modello'!$B$44))))*(1+IF(IF($B488="D",'Info Lega'!$B$25,IF($B488="C",'Info Lega'!$B$26,"No"))="Si",'Parametri Modello'!$B$5,0))*(1+MAX(-0.25,MIN(0.25,IF(OR($T488="",$I488="",$I488=0,INDEX('Parametri Modello'!$B$19:$B$22,MATCH($B488,'Parametri Modello'!$A$19:$A$22,0))="",INDEX('Parametri Modello'!$B$19:$B$22,MATCH($B488,'Parametri Modello'!$A$19:$A$22,0))=0),0,(($T488-INDEX('Parametri Modello'!$B$19:$B$22,MATCH($B488,'Parametri Modello'!$A$19:$A$22,0)))/INDEX('Parametri Modello'!$B$19:$B$22,MATCH($B488,'Parametri Modello'!$A$19:$A$22,0)))*'Parametri Modello'!$B$9))))*(1+IF('Parametri Modello'!$B$27="Si",MAX(-'Parametri Modello'!$B$28,MIN('Parametri Modello'!$B$28*1.5,IF(OR(INDEX('Parametri Modello'!$F$32:$F$35,MATCH($B488,'Parametri Modello'!$A$32:$A$35,0))="",INDEX('Parametri Modello'!$F$32:$F$35,MATCH($B488,'Parametri Modello'!$A$32:$A$35,0))=0),0,(1/INDEX('Parametri Modello'!$F$32:$F$35,MATCH($B488,'Parametri Modello'!$A$32:$A$35,0))-1)*'Parametri Modello'!$B$28))),0)))*(1+INDEX('Parametri Modello'!$B$12:$B$15,MATCH($B488,'Parametri Modello'!$A$12:$A$15,0))),0),"")</f>
        <v>0</v>
      </c>
      <c r="I488" s="23">
        <f>IFERROR(INDEX('Input Statistiche 2025_26'!$F$3:$F$665,MATCH($A488,'Input Statistiche 2025_26'!$A$3:$A$665,0)),"")</f>
        <v>2</v>
      </c>
      <c r="J488" s="23">
        <f t="shared" si="63"/>
        <v>36</v>
      </c>
      <c r="K488" s="23">
        <f>IFERROR(INDEX('Input Statistiche 2025_26'!$I$3:$I$665,MATCH($A488,'Input Statistiche 2025_26'!$A$3:$A$665,0)),"")</f>
        <v>0</v>
      </c>
      <c r="L488" s="23">
        <f>IFERROR(INDEX('Input Statistiche 2025_26'!$O$3:$O$665,MATCH($A488,'Input Statistiche 2025_26'!$A$3:$A$665,0)),"")</f>
        <v>0</v>
      </c>
      <c r="M488" s="25"/>
      <c r="N488" s="24">
        <f>IFERROR(INDEX('Input Giocatori 2026_27'!$E$3:$E$493,MATCH($A488,'Input Giocatori 2026_27'!$A$3:$A$493,0)),"")</f>
        <v>1</v>
      </c>
      <c r="O488" s="24">
        <f>IFERROR(INDEX('Input Giocatori 2026_27'!$G$3:$G$493,MATCH($A488,'Input Giocatori 2026_27'!$A$3:$A$493,0)),"")</f>
        <v>1</v>
      </c>
      <c r="P488" s="23" t="str">
        <f>IFERROR(IF($O488="","",IF((1-(COUNTIFS($B$2:$B$492,$B488,$O$2:$O$492,"&gt;"&amp;$O488)+1-1)/COUNTIF($B$2:$B$492,$B488))&gt;='Parametri Modello'!$B$63,"Top",IF((1-(COUNTIFS($B$2:$B$492,$B488,$O$2:$O$492,"&gt;"&amp;$O488)+1-1)/COUNTIF($B$2:$B$492,$B488))&gt;='Parametri Modello'!$B$64,"Buono",IF((1-(COUNTIFS($B$2:$B$492,$B488,$O$2:$O$492,"&gt;"&amp;$O488)+1-1)/COUNTIF($B$2:$B$492,$B488))&gt;='Parametri Modello'!$B$65,"Nella Media","Scommessa/Riserva")))),"")</f>
        <v>Scommessa/Riserva</v>
      </c>
      <c r="Q488" s="26" t="str">
        <f>IF(AND($D488="",$N488&gt;1),SUMPRODUCT(($D$2:$D488="")*($N$2:$N488&gt;1)),"")</f>
        <v/>
      </c>
      <c r="R488" s="26" t="str">
        <f>IF($D488='Info Lega'!$B$28,COUNTIFS($D$2:$D488,'Info Lega'!$B$28),"")</f>
        <v/>
      </c>
      <c r="S488" s="27">
        <f>IFERROR(INDEX('Input Statistiche 2025_26'!$G$3:$G$665,MATCH($A488,'Input Statistiche 2025_26'!$A$3:$A$665,0)),"")</f>
        <v>6</v>
      </c>
      <c r="T488" s="27">
        <f>IFERROR(INDEX('Input Statistiche 2025_26'!$H$3:$H$665,MATCH($A488,'Input Statistiche 2025_26'!$A$3:$A$665,0)),"")</f>
        <v>6</v>
      </c>
      <c r="U488" s="23" t="str">
        <f>IF(OR('La Mia Rosa'!$O$12="",$D488&lt;&gt;""),"",IF($F488&lt;='La Mia Rosa'!$O$12*'Parametri Modello'!$B$24,"OK",IF($F488&lt;='La Mia Rosa'!$O$12*'Parametri Modello'!$B$25,"Attenzione","Rischio Alto")))</f>
        <v>OK</v>
      </c>
      <c r="V488" s="23">
        <f t="shared" si="64"/>
        <v>81</v>
      </c>
      <c r="W488" s="18">
        <f>'Info Lega'!$B$4-SUMIFS($M$2:$M$492,$D$2:$D$492,'Info Lega'!$B$28)</f>
        <v>1000</v>
      </c>
      <c r="X488" s="18">
        <f>('Info Lega'!$B$5-COUNTIFS($D$2:$D$492,'Info Lega'!$B$28,$B$2:$B$492,"P"))+('Info Lega'!$B$6-COUNTIFS($D$2:$D$492,'Info Lega'!$B$28,$B$2:$B$492,"D"))+('Info Lega'!$B$7-COUNTIFS($D$2:$D$492,'Info Lega'!$B$28,$B$2:$B$492,"C"))+('Info Lega'!$B$8-COUNTIFS($D$2:$D$492,'Info Lega'!$B$28,$B$2:$B$492,"A"))</f>
        <v>25</v>
      </c>
      <c r="Y488" s="18">
        <f>X488*'Parametri Modello'!$B$30</f>
        <v>25</v>
      </c>
      <c r="Z488" s="18">
        <f t="shared" si="65"/>
        <v>975</v>
      </c>
      <c r="AA488" s="18">
        <f t="shared" si="66"/>
        <v>0</v>
      </c>
      <c r="AB488" s="18"/>
      <c r="AC488" s="18" t="str">
        <f>IF($AB488="","",IF($AB488&gt;$AA488,"PASS",IF($AB488&lt;=$AA488*(1-'Parametri Modello'!$B$68),"BID","ATTENZIONE")))</f>
        <v/>
      </c>
      <c r="AD488" s="28">
        <f t="shared" si="67"/>
        <v>6</v>
      </c>
      <c r="AE488" s="5" t="str">
        <f>IFERROR(INDEX('Stato Asta'!$G$9:$G$12,MATCH($B488,'Stato Asta'!$A$9:$A$12,0)),"")</f>
        <v>🔴 Non aspettare</v>
      </c>
      <c r="AF488" t="str">
        <f>IFERROR(IF($V488&lt;=INDEX('Parametri Modello'!$C$57:$C$60,MATCH($B488,'Parametri Modello'!$A$57:$A$60,0)),"Titolare","Riserva"),"")</f>
        <v>Riserva</v>
      </c>
      <c r="AG488" t="str">
        <f>IFERROR(INDEX('Pressione Competitiva'!$F$3:$F$6,MATCH($B488,'Pressione Competitiva'!$B$3:$B$6,0)),"")</f>
        <v>🔴 Molto Alta</v>
      </c>
      <c r="AH488" t="str">
        <f t="shared" si="68"/>
        <v/>
      </c>
      <c r="AI488" t="str">
        <f>IFERROR(IF($AH488="","",IF($AH488&gt;=$AA488*'Parametri Modello'!$B$68,"🟢 Opportunita'",IF($AH488&lt;=$AA488*'Parametri Modello'!$B$69,"🔴 Sovrapprezzo","🟡 Prezzo Corretto"))),"")</f>
        <v/>
      </c>
      <c r="AJ488" t="str">
        <f t="shared" si="69"/>
        <v/>
      </c>
      <c r="AK488" t="str">
        <f t="shared" si="70"/>
        <v/>
      </c>
      <c r="AL488" t="str">
        <f t="shared" si="71"/>
        <v/>
      </c>
    </row>
    <row r="489" spans="1:38" ht="14.25" customHeight="1" x14ac:dyDescent="0.25">
      <c r="A489" s="18">
        <v>7027</v>
      </c>
      <c r="B489" s="18" t="s">
        <v>18</v>
      </c>
      <c r="C489" s="18" t="s">
        <v>628</v>
      </c>
      <c r="E489" s="23" t="str">
        <f>IF(COUNTIF('Info Strategia'!$D$2:$D$51,$C489)&gt;0,"SI","NO")</f>
        <v>NO</v>
      </c>
      <c r="F489" s="24">
        <f>IFERROR(ROUND(($G489+($H489-$G489)*'Info Strategia'!$B$6)*(1+IF($E489="SI",'Parametri Modello'!$B$7*'Info Strategia'!$B$6,0)),0),"")</f>
        <v>0</v>
      </c>
      <c r="G489" s="24">
        <f>IFERROR(ROUND(MAX(1,(IF($V489&lt;=INDEX('Parametri Modello'!$C$57:$C$60,MATCH($B489,'Parametri Modello'!$A$57:$A$60,0)),IF(INDEX('Parametri Modello'!$E$57:$E$60,MATCH($B489,'Parametri Modello'!$A$57:$A$60,0))=0,0,($O489/INDEX('Parametri Modello'!$E$57:$E$60,MATCH($B489,'Parametri Modello'!$A$57:$A$60,0)))*(INDEX('Parametri Modello'!$D$57:$D$60,MATCH($B489,'Parametri Modello'!$A$57:$A$60,0))*(INDEX('Parametri Modello'!$B$50:$B$53,MATCH($B489,'Parametri Modello'!$A$50:$A$53,0))*'Parametri Modello'!$B$44))),IF(INDEX('Parametri Modello'!$F$57:$F$60,MATCH($B489,'Parametri Modello'!$A$57:$A$60,0))=0,0,($O489/INDEX('Parametri Modello'!$F$57:$F$60,MATCH($B489,'Parametri Modello'!$A$57:$A$60,0)))*((1-INDEX('Parametri Modello'!$D$57:$D$60,MATCH($B489,'Parametri Modello'!$A$57:$A$60,0)))*(INDEX('Parametri Modello'!$B$50:$B$53,MATCH($B489,'Parametri Modello'!$A$50:$A$53,0))*'Parametri Modello'!$B$44))))*(1+IF(IF($B489="D",'Info Lega'!$B$25,IF($B489="C",'Info Lega'!$B$26,"No"))="Si",'Parametri Modello'!$B$5,0))*(1+MAX(-0.25,MIN(0.25,IF(OR($T489="",$I489="",$I489=0,INDEX('Parametri Modello'!$B$19:$B$22,MATCH($B489,'Parametri Modello'!$A$19:$A$22,0))="",INDEX('Parametri Modello'!$B$19:$B$22,MATCH($B489,'Parametri Modello'!$A$19:$A$22,0))=0),0,(($T489-INDEX('Parametri Modello'!$B$19:$B$22,MATCH($B489,'Parametri Modello'!$A$19:$A$22,0)))/INDEX('Parametri Modello'!$B$19:$B$22,MATCH($B489,'Parametri Modello'!$A$19:$A$22,0)))*'Parametri Modello'!$B$9))))*(1+IF('Parametri Modello'!$B$27="Si",MAX(-'Parametri Modello'!$B$28,MIN('Parametri Modello'!$B$28*1.5,IF(OR(INDEX('Parametri Modello'!$F$32:$F$35,MATCH($B489,'Parametri Modello'!$A$32:$A$35,0))="",INDEX('Parametri Modello'!$F$32:$F$35,MATCH($B489,'Parametri Modello'!$A$32:$A$35,0))=0),0,(1/INDEX('Parametri Modello'!$F$32:$F$35,MATCH($B489,'Parametri Modello'!$A$32:$A$35,0))-1)*'Parametri Modello'!$B$28))),0)))*(1-INDEX('Parametri Modello'!$B$12:$B$15,MATCH($B489,'Parametri Modello'!$A$12:$A$15,0)))),0),"")</f>
        <v>1</v>
      </c>
      <c r="H489" s="24">
        <f>IFERROR(ROUND((IF($V489&lt;=INDEX('Parametri Modello'!$C$57:$C$60,MATCH($B489,'Parametri Modello'!$A$57:$A$60,0)),IF(INDEX('Parametri Modello'!$E$57:$E$60,MATCH($B489,'Parametri Modello'!$A$57:$A$60,0))=0,0,($O489/INDEX('Parametri Modello'!$E$57:$E$60,MATCH($B489,'Parametri Modello'!$A$57:$A$60,0)))*(INDEX('Parametri Modello'!$D$57:$D$60,MATCH($B489,'Parametri Modello'!$A$57:$A$60,0))*(INDEX('Parametri Modello'!$B$50:$B$53,MATCH($B489,'Parametri Modello'!$A$50:$A$53,0))*'Parametri Modello'!$B$44))),IF(INDEX('Parametri Modello'!$F$57:$F$60,MATCH($B489,'Parametri Modello'!$A$57:$A$60,0))=0,0,($O489/INDEX('Parametri Modello'!$F$57:$F$60,MATCH($B489,'Parametri Modello'!$A$57:$A$60,0)))*((1-INDEX('Parametri Modello'!$D$57:$D$60,MATCH($B489,'Parametri Modello'!$A$57:$A$60,0)))*(INDEX('Parametri Modello'!$B$50:$B$53,MATCH($B489,'Parametri Modello'!$A$50:$A$53,0))*'Parametri Modello'!$B$44))))*(1+IF(IF($B489="D",'Info Lega'!$B$25,IF($B489="C",'Info Lega'!$B$26,"No"))="Si",'Parametri Modello'!$B$5,0))*(1+MAX(-0.25,MIN(0.25,IF(OR($T489="",$I489="",$I489=0,INDEX('Parametri Modello'!$B$19:$B$22,MATCH($B489,'Parametri Modello'!$A$19:$A$22,0))="",INDEX('Parametri Modello'!$B$19:$B$22,MATCH($B489,'Parametri Modello'!$A$19:$A$22,0))=0),0,(($T489-INDEX('Parametri Modello'!$B$19:$B$22,MATCH($B489,'Parametri Modello'!$A$19:$A$22,0)))/INDEX('Parametri Modello'!$B$19:$B$22,MATCH($B489,'Parametri Modello'!$A$19:$A$22,0)))*'Parametri Modello'!$B$9))))*(1+IF('Parametri Modello'!$B$27="Si",MAX(-'Parametri Modello'!$B$28,MIN('Parametri Modello'!$B$28*1.5,IF(OR(INDEX('Parametri Modello'!$F$32:$F$35,MATCH($B489,'Parametri Modello'!$A$32:$A$35,0))="",INDEX('Parametri Modello'!$F$32:$F$35,MATCH($B489,'Parametri Modello'!$A$32:$A$35,0))=0),0,(1/INDEX('Parametri Modello'!$F$32:$F$35,MATCH($B489,'Parametri Modello'!$A$32:$A$35,0))-1)*'Parametri Modello'!$B$28))),0)))*(1+INDEX('Parametri Modello'!$B$12:$B$15,MATCH($B489,'Parametri Modello'!$A$12:$A$15,0))),0),"")</f>
        <v>0</v>
      </c>
      <c r="I489" s="23">
        <f>IFERROR(INDEX('Input Statistiche 2025_26'!$F$3:$F$665,MATCH($A489,'Input Statistiche 2025_26'!$A$3:$A$665,0)),"")</f>
        <v>0</v>
      </c>
      <c r="J489" s="23">
        <f t="shared" si="63"/>
        <v>38</v>
      </c>
      <c r="K489" s="23">
        <f>IFERROR(INDEX('Input Statistiche 2025_26'!$I$3:$I$665,MATCH($A489,'Input Statistiche 2025_26'!$A$3:$A$665,0)),"")</f>
        <v>0</v>
      </c>
      <c r="L489" s="23">
        <f>IFERROR(INDEX('Input Statistiche 2025_26'!$O$3:$O$665,MATCH($A489,'Input Statistiche 2025_26'!$A$3:$A$665,0)),"")</f>
        <v>0</v>
      </c>
      <c r="M489" s="25"/>
      <c r="N489" s="24">
        <f>IFERROR(INDEX('Input Giocatori 2026_27'!$E$3:$E$493,MATCH($A489,'Input Giocatori 2026_27'!$A$3:$A$493,0)),"")</f>
        <v>1</v>
      </c>
      <c r="O489" s="24">
        <f>IFERROR(INDEX('Input Giocatori 2026_27'!$G$3:$G$493,MATCH($A489,'Input Giocatori 2026_27'!$A$3:$A$493,0)),"")</f>
        <v>1</v>
      </c>
      <c r="P489" s="23" t="str">
        <f>IFERROR(IF($O489="","",IF((1-(COUNTIFS($B$2:$B$492,$B489,$O$2:$O$492,"&gt;"&amp;$O489)+1-1)/COUNTIF($B$2:$B$492,$B489))&gt;='Parametri Modello'!$B$63,"Top",IF((1-(COUNTIFS($B$2:$B$492,$B489,$O$2:$O$492,"&gt;"&amp;$O489)+1-1)/COUNTIF($B$2:$B$492,$B489))&gt;='Parametri Modello'!$B$64,"Buono",IF((1-(COUNTIFS($B$2:$B$492,$B489,$O$2:$O$492,"&gt;"&amp;$O489)+1-1)/COUNTIF($B$2:$B$492,$B489))&gt;='Parametri Modello'!$B$65,"Nella Media","Scommessa/Riserva")))),"")</f>
        <v>Scommessa/Riserva</v>
      </c>
      <c r="Q489" s="26" t="str">
        <f>IF(AND($D489="",$N489&gt;1),SUMPRODUCT(($D$2:$D489="")*($N$2:$N489&gt;1)),"")</f>
        <v/>
      </c>
      <c r="R489" s="26" t="str">
        <f>IF($D489='Info Lega'!$B$28,COUNTIFS($D$2:$D489,'Info Lega'!$B$28),"")</f>
        <v/>
      </c>
      <c r="S489" s="27">
        <f>IFERROR(INDEX('Input Statistiche 2025_26'!$G$3:$G$665,MATCH($A489,'Input Statistiche 2025_26'!$A$3:$A$665,0)),"")</f>
        <v>0</v>
      </c>
      <c r="T489" s="27">
        <f>IFERROR(INDEX('Input Statistiche 2025_26'!$H$3:$H$665,MATCH($A489,'Input Statistiche 2025_26'!$A$3:$A$665,0)),"")</f>
        <v>0</v>
      </c>
      <c r="U489" s="23" t="str">
        <f>IF(OR('La Mia Rosa'!$O$12="",$D489&lt;&gt;""),"",IF($F489&lt;='La Mia Rosa'!$O$12*'Parametri Modello'!$B$24,"OK",IF($F489&lt;='La Mia Rosa'!$O$12*'Parametri Modello'!$B$25,"Attenzione","Rischio Alto")))</f>
        <v>OK</v>
      </c>
      <c r="V489" s="23">
        <f t="shared" si="64"/>
        <v>81</v>
      </c>
      <c r="W489" s="18">
        <f>'Info Lega'!$B$4-SUMIFS($M$2:$M$492,$D$2:$D$492,'Info Lega'!$B$28)</f>
        <v>1000</v>
      </c>
      <c r="X489" s="18">
        <f>('Info Lega'!$B$5-COUNTIFS($D$2:$D$492,'Info Lega'!$B$28,$B$2:$B$492,"P"))+('Info Lega'!$B$6-COUNTIFS($D$2:$D$492,'Info Lega'!$B$28,$B$2:$B$492,"D"))+('Info Lega'!$B$7-COUNTIFS($D$2:$D$492,'Info Lega'!$B$28,$B$2:$B$492,"C"))+('Info Lega'!$B$8-COUNTIFS($D$2:$D$492,'Info Lega'!$B$28,$B$2:$B$492,"A"))</f>
        <v>25</v>
      </c>
      <c r="Y489" s="18">
        <f>X489*'Parametri Modello'!$B$30</f>
        <v>25</v>
      </c>
      <c r="Z489" s="18">
        <f t="shared" si="65"/>
        <v>975</v>
      </c>
      <c r="AA489" s="18">
        <f t="shared" si="66"/>
        <v>0</v>
      </c>
      <c r="AB489" s="18"/>
      <c r="AC489" s="18" t="str">
        <f>IF($AB489="","",IF($AB489&gt;$AA489,"PASS",IF($AB489&lt;=$AA489*(1-'Parametri Modello'!$B$68),"BID","ATTENZIONE")))</f>
        <v/>
      </c>
      <c r="AD489" s="28">
        <f t="shared" si="67"/>
        <v>0</v>
      </c>
      <c r="AE489" s="5" t="str">
        <f>IFERROR(INDEX('Stato Asta'!$G$9:$G$12,MATCH($B489,'Stato Asta'!$A$9:$A$12,0)),"")</f>
        <v>🔴 Non aspettare</v>
      </c>
      <c r="AF489" t="str">
        <f>IFERROR(IF($V489&lt;=INDEX('Parametri Modello'!$C$57:$C$60,MATCH($B489,'Parametri Modello'!$A$57:$A$60,0)),"Titolare","Riserva"),"")</f>
        <v>Riserva</v>
      </c>
      <c r="AG489" t="str">
        <f>IFERROR(INDEX('Pressione Competitiva'!$F$3:$F$6,MATCH($B489,'Pressione Competitiva'!$B$3:$B$6,0)),"")</f>
        <v>🔴 Molto Alta</v>
      </c>
      <c r="AH489" t="str">
        <f t="shared" si="68"/>
        <v/>
      </c>
      <c r="AI489" t="str">
        <f>IFERROR(IF($AH489="","",IF($AH489&gt;=$AA489*'Parametri Modello'!$B$68,"🟢 Opportunita'",IF($AH489&lt;=$AA489*'Parametri Modello'!$B$69,"🔴 Sovrapprezzo","🟡 Prezzo Corretto"))),"")</f>
        <v/>
      </c>
      <c r="AJ489" t="str">
        <f t="shared" si="69"/>
        <v/>
      </c>
      <c r="AK489" t="str">
        <f t="shared" si="70"/>
        <v/>
      </c>
      <c r="AL489" t="str">
        <f t="shared" si="71"/>
        <v/>
      </c>
    </row>
    <row r="490" spans="1:38" ht="14.25" customHeight="1" x14ac:dyDescent="0.25">
      <c r="A490" s="18">
        <v>7158</v>
      </c>
      <c r="B490" s="18" t="s">
        <v>18</v>
      </c>
      <c r="C490" s="18" t="s">
        <v>629</v>
      </c>
      <c r="E490" s="23" t="str">
        <f>IF(COUNTIF('Info Strategia'!$D$2:$D$51,$C490)&gt;0,"SI","NO")</f>
        <v>NO</v>
      </c>
      <c r="F490" s="24">
        <f>IFERROR(ROUND(($G490+($H490-$G490)*'Info Strategia'!$B$6)*(1+IF($E490="SI",'Parametri Modello'!$B$7*'Info Strategia'!$B$6,0)),0),"")</f>
        <v>0</v>
      </c>
      <c r="G490" s="24">
        <f>IFERROR(ROUND(MAX(1,(IF($V490&lt;=INDEX('Parametri Modello'!$C$57:$C$60,MATCH($B490,'Parametri Modello'!$A$57:$A$60,0)),IF(INDEX('Parametri Modello'!$E$57:$E$60,MATCH($B490,'Parametri Modello'!$A$57:$A$60,0))=0,0,($O490/INDEX('Parametri Modello'!$E$57:$E$60,MATCH($B490,'Parametri Modello'!$A$57:$A$60,0)))*(INDEX('Parametri Modello'!$D$57:$D$60,MATCH($B490,'Parametri Modello'!$A$57:$A$60,0))*(INDEX('Parametri Modello'!$B$50:$B$53,MATCH($B490,'Parametri Modello'!$A$50:$A$53,0))*'Parametri Modello'!$B$44))),IF(INDEX('Parametri Modello'!$F$57:$F$60,MATCH($B490,'Parametri Modello'!$A$57:$A$60,0))=0,0,($O490/INDEX('Parametri Modello'!$F$57:$F$60,MATCH($B490,'Parametri Modello'!$A$57:$A$60,0)))*((1-INDEX('Parametri Modello'!$D$57:$D$60,MATCH($B490,'Parametri Modello'!$A$57:$A$60,0)))*(INDEX('Parametri Modello'!$B$50:$B$53,MATCH($B490,'Parametri Modello'!$A$50:$A$53,0))*'Parametri Modello'!$B$44))))*(1+IF(IF($B490="D",'Info Lega'!$B$25,IF($B490="C",'Info Lega'!$B$26,"No"))="Si",'Parametri Modello'!$B$5,0))*(1+MAX(-0.25,MIN(0.25,IF(OR($T490="",$I490="",$I490=0,INDEX('Parametri Modello'!$B$19:$B$22,MATCH($B490,'Parametri Modello'!$A$19:$A$22,0))="",INDEX('Parametri Modello'!$B$19:$B$22,MATCH($B490,'Parametri Modello'!$A$19:$A$22,0))=0),0,(($T490-INDEX('Parametri Modello'!$B$19:$B$22,MATCH($B490,'Parametri Modello'!$A$19:$A$22,0)))/INDEX('Parametri Modello'!$B$19:$B$22,MATCH($B490,'Parametri Modello'!$A$19:$A$22,0)))*'Parametri Modello'!$B$9))))*(1+IF('Parametri Modello'!$B$27="Si",MAX(-'Parametri Modello'!$B$28,MIN('Parametri Modello'!$B$28*1.5,IF(OR(INDEX('Parametri Modello'!$F$32:$F$35,MATCH($B490,'Parametri Modello'!$A$32:$A$35,0))="",INDEX('Parametri Modello'!$F$32:$F$35,MATCH($B490,'Parametri Modello'!$A$32:$A$35,0))=0),0,(1/INDEX('Parametri Modello'!$F$32:$F$35,MATCH($B490,'Parametri Modello'!$A$32:$A$35,0))-1)*'Parametri Modello'!$B$28))),0)))*(1-INDEX('Parametri Modello'!$B$12:$B$15,MATCH($B490,'Parametri Modello'!$A$12:$A$15,0)))),0),"")</f>
        <v>1</v>
      </c>
      <c r="H490" s="24">
        <f>IFERROR(ROUND((IF($V490&lt;=INDEX('Parametri Modello'!$C$57:$C$60,MATCH($B490,'Parametri Modello'!$A$57:$A$60,0)),IF(INDEX('Parametri Modello'!$E$57:$E$60,MATCH($B490,'Parametri Modello'!$A$57:$A$60,0))=0,0,($O490/INDEX('Parametri Modello'!$E$57:$E$60,MATCH($B490,'Parametri Modello'!$A$57:$A$60,0)))*(INDEX('Parametri Modello'!$D$57:$D$60,MATCH($B490,'Parametri Modello'!$A$57:$A$60,0))*(INDEX('Parametri Modello'!$B$50:$B$53,MATCH($B490,'Parametri Modello'!$A$50:$A$53,0))*'Parametri Modello'!$B$44))),IF(INDEX('Parametri Modello'!$F$57:$F$60,MATCH($B490,'Parametri Modello'!$A$57:$A$60,0))=0,0,($O490/INDEX('Parametri Modello'!$F$57:$F$60,MATCH($B490,'Parametri Modello'!$A$57:$A$60,0)))*((1-INDEX('Parametri Modello'!$D$57:$D$60,MATCH($B490,'Parametri Modello'!$A$57:$A$60,0)))*(INDEX('Parametri Modello'!$B$50:$B$53,MATCH($B490,'Parametri Modello'!$A$50:$A$53,0))*'Parametri Modello'!$B$44))))*(1+IF(IF($B490="D",'Info Lega'!$B$25,IF($B490="C",'Info Lega'!$B$26,"No"))="Si",'Parametri Modello'!$B$5,0))*(1+MAX(-0.25,MIN(0.25,IF(OR($T490="",$I490="",$I490=0,INDEX('Parametri Modello'!$B$19:$B$22,MATCH($B490,'Parametri Modello'!$A$19:$A$22,0))="",INDEX('Parametri Modello'!$B$19:$B$22,MATCH($B490,'Parametri Modello'!$A$19:$A$22,0))=0),0,(($T490-INDEX('Parametri Modello'!$B$19:$B$22,MATCH($B490,'Parametri Modello'!$A$19:$A$22,0)))/INDEX('Parametri Modello'!$B$19:$B$22,MATCH($B490,'Parametri Modello'!$A$19:$A$22,0)))*'Parametri Modello'!$B$9))))*(1+IF('Parametri Modello'!$B$27="Si",MAX(-'Parametri Modello'!$B$28,MIN('Parametri Modello'!$B$28*1.5,IF(OR(INDEX('Parametri Modello'!$F$32:$F$35,MATCH($B490,'Parametri Modello'!$A$32:$A$35,0))="",INDEX('Parametri Modello'!$F$32:$F$35,MATCH($B490,'Parametri Modello'!$A$32:$A$35,0))=0),0,(1/INDEX('Parametri Modello'!$F$32:$F$35,MATCH($B490,'Parametri Modello'!$A$32:$A$35,0))-1)*'Parametri Modello'!$B$28))),0)))*(1+INDEX('Parametri Modello'!$B$12:$B$15,MATCH($B490,'Parametri Modello'!$A$12:$A$15,0))),0),"")</f>
        <v>0</v>
      </c>
      <c r="I490" s="23">
        <f>IFERROR(INDEX('Input Statistiche 2025_26'!$F$3:$F$665,MATCH($A490,'Input Statistiche 2025_26'!$A$3:$A$665,0)),"")</f>
        <v>6</v>
      </c>
      <c r="J490" s="23">
        <f t="shared" si="63"/>
        <v>32</v>
      </c>
      <c r="K490" s="23">
        <f>IFERROR(INDEX('Input Statistiche 2025_26'!$I$3:$I$665,MATCH($A490,'Input Statistiche 2025_26'!$A$3:$A$665,0)),"")</f>
        <v>0</v>
      </c>
      <c r="L490" s="23">
        <f>IFERROR(INDEX('Input Statistiche 2025_26'!$O$3:$O$665,MATCH($A490,'Input Statistiche 2025_26'!$A$3:$A$665,0)),"")</f>
        <v>0</v>
      </c>
      <c r="M490" s="25"/>
      <c r="N490" s="24">
        <f>IFERROR(INDEX('Input Giocatori 2026_27'!$E$3:$E$493,MATCH($A490,'Input Giocatori 2026_27'!$A$3:$A$493,0)),"")</f>
        <v>1</v>
      </c>
      <c r="O490" s="24">
        <f>IFERROR(INDEX('Input Giocatori 2026_27'!$G$3:$G$493,MATCH($A490,'Input Giocatori 2026_27'!$A$3:$A$493,0)),"")</f>
        <v>1</v>
      </c>
      <c r="P490" s="23" t="str">
        <f>IFERROR(IF($O490="","",IF((1-(COUNTIFS($B$2:$B$492,$B490,$O$2:$O$492,"&gt;"&amp;$O490)+1-1)/COUNTIF($B$2:$B$492,$B490))&gt;='Parametri Modello'!$B$63,"Top",IF((1-(COUNTIFS($B$2:$B$492,$B490,$O$2:$O$492,"&gt;"&amp;$O490)+1-1)/COUNTIF($B$2:$B$492,$B490))&gt;='Parametri Modello'!$B$64,"Buono",IF((1-(COUNTIFS($B$2:$B$492,$B490,$O$2:$O$492,"&gt;"&amp;$O490)+1-1)/COUNTIF($B$2:$B$492,$B490))&gt;='Parametri Modello'!$B$65,"Nella Media","Scommessa/Riserva")))),"")</f>
        <v>Scommessa/Riserva</v>
      </c>
      <c r="Q490" s="26" t="str">
        <f>IF(AND($D490="",$N490&gt;1),SUMPRODUCT(($D$2:$D490="")*($N$2:$N490&gt;1)),"")</f>
        <v/>
      </c>
      <c r="R490" s="26" t="str">
        <f>IF($D490='Info Lega'!$B$28,COUNTIFS($D$2:$D490,'Info Lega'!$B$28),"")</f>
        <v/>
      </c>
      <c r="S490" s="27">
        <f>IFERROR(INDEX('Input Statistiche 2025_26'!$G$3:$G$665,MATCH($A490,'Input Statistiche 2025_26'!$A$3:$A$665,0)),"")</f>
        <v>5.58</v>
      </c>
      <c r="T490" s="27">
        <f>IFERROR(INDEX('Input Statistiche 2025_26'!$H$3:$H$665,MATCH($A490,'Input Statistiche 2025_26'!$A$3:$A$665,0)),"")</f>
        <v>5.5</v>
      </c>
      <c r="U490" s="23" t="str">
        <f>IF(OR('La Mia Rosa'!$O$12="",$D490&lt;&gt;""),"",IF($F490&lt;='La Mia Rosa'!$O$12*'Parametri Modello'!$B$24,"OK",IF($F490&lt;='La Mia Rosa'!$O$12*'Parametri Modello'!$B$25,"Attenzione","Rischio Alto")))</f>
        <v>OK</v>
      </c>
      <c r="V490" s="23">
        <f t="shared" si="64"/>
        <v>81</v>
      </c>
      <c r="W490" s="18">
        <f>'Info Lega'!$B$4-SUMIFS($M$2:$M$492,$D$2:$D$492,'Info Lega'!$B$28)</f>
        <v>1000</v>
      </c>
      <c r="X490" s="18">
        <f>('Info Lega'!$B$5-COUNTIFS($D$2:$D$492,'Info Lega'!$B$28,$B$2:$B$492,"P"))+('Info Lega'!$B$6-COUNTIFS($D$2:$D$492,'Info Lega'!$B$28,$B$2:$B$492,"D"))+('Info Lega'!$B$7-COUNTIFS($D$2:$D$492,'Info Lega'!$B$28,$B$2:$B$492,"C"))+('Info Lega'!$B$8-COUNTIFS($D$2:$D$492,'Info Lega'!$B$28,$B$2:$B$492,"A"))</f>
        <v>25</v>
      </c>
      <c r="Y490" s="18">
        <f>X490*'Parametri Modello'!$B$30</f>
        <v>25</v>
      </c>
      <c r="Z490" s="18">
        <f t="shared" si="65"/>
        <v>975</v>
      </c>
      <c r="AA490" s="18">
        <f t="shared" si="66"/>
        <v>0</v>
      </c>
      <c r="AB490" s="18"/>
      <c r="AC490" s="18" t="str">
        <f>IF($AB490="","",IF($AB490&gt;$AA490,"PASS",IF($AB490&lt;=$AA490*(1-'Parametri Modello'!$B$68),"BID","ATTENZIONE")))</f>
        <v/>
      </c>
      <c r="AD490" s="28">
        <f t="shared" si="67"/>
        <v>18</v>
      </c>
      <c r="AE490" s="5" t="str">
        <f>IFERROR(INDEX('Stato Asta'!$G$9:$G$12,MATCH($B490,'Stato Asta'!$A$9:$A$12,0)),"")</f>
        <v>🔴 Non aspettare</v>
      </c>
      <c r="AF490" t="str">
        <f>IFERROR(IF($V490&lt;=INDEX('Parametri Modello'!$C$57:$C$60,MATCH($B490,'Parametri Modello'!$A$57:$A$60,0)),"Titolare","Riserva"),"")</f>
        <v>Riserva</v>
      </c>
      <c r="AG490" t="str">
        <f>IFERROR(INDEX('Pressione Competitiva'!$F$3:$F$6,MATCH($B490,'Pressione Competitiva'!$B$3:$B$6,0)),"")</f>
        <v>🔴 Molto Alta</v>
      </c>
      <c r="AH490" t="str">
        <f t="shared" si="68"/>
        <v/>
      </c>
      <c r="AI490" t="str">
        <f>IFERROR(IF($AH490="","",IF($AH490&gt;=$AA490*'Parametri Modello'!$B$68,"🟢 Opportunita'",IF($AH490&lt;=$AA490*'Parametri Modello'!$B$69,"🔴 Sovrapprezzo","🟡 Prezzo Corretto"))),"")</f>
        <v/>
      </c>
      <c r="AJ490" t="str">
        <f t="shared" si="69"/>
        <v/>
      </c>
      <c r="AK490" t="str">
        <f t="shared" si="70"/>
        <v/>
      </c>
      <c r="AL490" t="str">
        <f t="shared" si="71"/>
        <v/>
      </c>
    </row>
    <row r="491" spans="1:38" ht="14.25" customHeight="1" x14ac:dyDescent="0.25">
      <c r="A491" s="18">
        <v>7408</v>
      </c>
      <c r="B491" s="18" t="s">
        <v>18</v>
      </c>
      <c r="C491" s="18" t="s">
        <v>630</v>
      </c>
      <c r="E491" s="23" t="str">
        <f>IF(COUNTIF('Info Strategia'!$D$2:$D$51,$C491)&gt;0,"SI","NO")</f>
        <v>NO</v>
      </c>
      <c r="F491" s="24">
        <f>IFERROR(ROUND(($G491+($H491-$G491)*'Info Strategia'!$B$6)*(1+IF($E491="SI",'Parametri Modello'!$B$7*'Info Strategia'!$B$6,0)),0),"")</f>
        <v>0</v>
      </c>
      <c r="G491" s="24">
        <f>IFERROR(ROUND(MAX(1,(IF($V491&lt;=INDEX('Parametri Modello'!$C$57:$C$60,MATCH($B491,'Parametri Modello'!$A$57:$A$60,0)),IF(INDEX('Parametri Modello'!$E$57:$E$60,MATCH($B491,'Parametri Modello'!$A$57:$A$60,0))=0,0,($O491/INDEX('Parametri Modello'!$E$57:$E$60,MATCH($B491,'Parametri Modello'!$A$57:$A$60,0)))*(INDEX('Parametri Modello'!$D$57:$D$60,MATCH($B491,'Parametri Modello'!$A$57:$A$60,0))*(INDEX('Parametri Modello'!$B$50:$B$53,MATCH($B491,'Parametri Modello'!$A$50:$A$53,0))*'Parametri Modello'!$B$44))),IF(INDEX('Parametri Modello'!$F$57:$F$60,MATCH($B491,'Parametri Modello'!$A$57:$A$60,0))=0,0,($O491/INDEX('Parametri Modello'!$F$57:$F$60,MATCH($B491,'Parametri Modello'!$A$57:$A$60,0)))*((1-INDEX('Parametri Modello'!$D$57:$D$60,MATCH($B491,'Parametri Modello'!$A$57:$A$60,0)))*(INDEX('Parametri Modello'!$B$50:$B$53,MATCH($B491,'Parametri Modello'!$A$50:$A$53,0))*'Parametri Modello'!$B$44))))*(1+IF(IF($B491="D",'Info Lega'!$B$25,IF($B491="C",'Info Lega'!$B$26,"No"))="Si",'Parametri Modello'!$B$5,0))*(1+MAX(-0.25,MIN(0.25,IF(OR($T491="",$I491="",$I491=0,INDEX('Parametri Modello'!$B$19:$B$22,MATCH($B491,'Parametri Modello'!$A$19:$A$22,0))="",INDEX('Parametri Modello'!$B$19:$B$22,MATCH($B491,'Parametri Modello'!$A$19:$A$22,0))=0),0,(($T491-INDEX('Parametri Modello'!$B$19:$B$22,MATCH($B491,'Parametri Modello'!$A$19:$A$22,0)))/INDEX('Parametri Modello'!$B$19:$B$22,MATCH($B491,'Parametri Modello'!$A$19:$A$22,0)))*'Parametri Modello'!$B$9))))*(1+IF('Parametri Modello'!$B$27="Si",MAX(-'Parametri Modello'!$B$28,MIN('Parametri Modello'!$B$28*1.5,IF(OR(INDEX('Parametri Modello'!$F$32:$F$35,MATCH($B491,'Parametri Modello'!$A$32:$A$35,0))="",INDEX('Parametri Modello'!$F$32:$F$35,MATCH($B491,'Parametri Modello'!$A$32:$A$35,0))=0),0,(1/INDEX('Parametri Modello'!$F$32:$F$35,MATCH($B491,'Parametri Modello'!$A$32:$A$35,0))-1)*'Parametri Modello'!$B$28))),0)))*(1-INDEX('Parametri Modello'!$B$12:$B$15,MATCH($B491,'Parametri Modello'!$A$12:$A$15,0)))),0),"")</f>
        <v>1</v>
      </c>
      <c r="H491" s="24">
        <f>IFERROR(ROUND((IF($V491&lt;=INDEX('Parametri Modello'!$C$57:$C$60,MATCH($B491,'Parametri Modello'!$A$57:$A$60,0)),IF(INDEX('Parametri Modello'!$E$57:$E$60,MATCH($B491,'Parametri Modello'!$A$57:$A$60,0))=0,0,($O491/INDEX('Parametri Modello'!$E$57:$E$60,MATCH($B491,'Parametri Modello'!$A$57:$A$60,0)))*(INDEX('Parametri Modello'!$D$57:$D$60,MATCH($B491,'Parametri Modello'!$A$57:$A$60,0))*(INDEX('Parametri Modello'!$B$50:$B$53,MATCH($B491,'Parametri Modello'!$A$50:$A$53,0))*'Parametri Modello'!$B$44))),IF(INDEX('Parametri Modello'!$F$57:$F$60,MATCH($B491,'Parametri Modello'!$A$57:$A$60,0))=0,0,($O491/INDEX('Parametri Modello'!$F$57:$F$60,MATCH($B491,'Parametri Modello'!$A$57:$A$60,0)))*((1-INDEX('Parametri Modello'!$D$57:$D$60,MATCH($B491,'Parametri Modello'!$A$57:$A$60,0)))*(INDEX('Parametri Modello'!$B$50:$B$53,MATCH($B491,'Parametri Modello'!$A$50:$A$53,0))*'Parametri Modello'!$B$44))))*(1+IF(IF($B491="D",'Info Lega'!$B$25,IF($B491="C",'Info Lega'!$B$26,"No"))="Si",'Parametri Modello'!$B$5,0))*(1+MAX(-0.25,MIN(0.25,IF(OR($T491="",$I491="",$I491=0,INDEX('Parametri Modello'!$B$19:$B$22,MATCH($B491,'Parametri Modello'!$A$19:$A$22,0))="",INDEX('Parametri Modello'!$B$19:$B$22,MATCH($B491,'Parametri Modello'!$A$19:$A$22,0))=0),0,(($T491-INDEX('Parametri Modello'!$B$19:$B$22,MATCH($B491,'Parametri Modello'!$A$19:$A$22,0)))/INDEX('Parametri Modello'!$B$19:$B$22,MATCH($B491,'Parametri Modello'!$A$19:$A$22,0)))*'Parametri Modello'!$B$9))))*(1+IF('Parametri Modello'!$B$27="Si",MAX(-'Parametri Modello'!$B$28,MIN('Parametri Modello'!$B$28*1.5,IF(OR(INDEX('Parametri Modello'!$F$32:$F$35,MATCH($B491,'Parametri Modello'!$A$32:$A$35,0))="",INDEX('Parametri Modello'!$F$32:$F$35,MATCH($B491,'Parametri Modello'!$A$32:$A$35,0))=0),0,(1/INDEX('Parametri Modello'!$F$32:$F$35,MATCH($B491,'Parametri Modello'!$A$32:$A$35,0))-1)*'Parametri Modello'!$B$28))),0)))*(1+INDEX('Parametri Modello'!$B$12:$B$15,MATCH($B491,'Parametri Modello'!$A$12:$A$15,0))),0),"")</f>
        <v>0</v>
      </c>
      <c r="I491" s="23" t="str">
        <f>IFERROR(INDEX('Input Statistiche 2025_26'!$F$3:$F$665,MATCH($A491,'Input Statistiche 2025_26'!$A$3:$A$665,0)),"")</f>
        <v/>
      </c>
      <c r="J491" s="23" t="str">
        <f t="shared" si="63"/>
        <v/>
      </c>
      <c r="K491" s="23" t="str">
        <f>IFERROR(INDEX('Input Statistiche 2025_26'!$I$3:$I$665,MATCH($A491,'Input Statistiche 2025_26'!$A$3:$A$665,0)),"")</f>
        <v/>
      </c>
      <c r="L491" s="23" t="str">
        <f>IFERROR(INDEX('Input Statistiche 2025_26'!$O$3:$O$665,MATCH($A491,'Input Statistiche 2025_26'!$A$3:$A$665,0)),"")</f>
        <v/>
      </c>
      <c r="M491" s="25"/>
      <c r="N491" s="24">
        <f>IFERROR(INDEX('Input Giocatori 2026_27'!$E$3:$E$493,MATCH($A491,'Input Giocatori 2026_27'!$A$3:$A$493,0)),"")</f>
        <v>1</v>
      </c>
      <c r="O491" s="24">
        <f>IFERROR(INDEX('Input Giocatori 2026_27'!$G$3:$G$493,MATCH($A491,'Input Giocatori 2026_27'!$A$3:$A$493,0)),"")</f>
        <v>1</v>
      </c>
      <c r="P491" s="23" t="str">
        <f>IFERROR(IF($O491="","",IF((1-(COUNTIFS($B$2:$B$492,$B491,$O$2:$O$492,"&gt;"&amp;$O491)+1-1)/COUNTIF($B$2:$B$492,$B491))&gt;='Parametri Modello'!$B$63,"Top",IF((1-(COUNTIFS($B$2:$B$492,$B491,$O$2:$O$492,"&gt;"&amp;$O491)+1-1)/COUNTIF($B$2:$B$492,$B491))&gt;='Parametri Modello'!$B$64,"Buono",IF((1-(COUNTIFS($B$2:$B$492,$B491,$O$2:$O$492,"&gt;"&amp;$O491)+1-1)/COUNTIF($B$2:$B$492,$B491))&gt;='Parametri Modello'!$B$65,"Nella Media","Scommessa/Riserva")))),"")</f>
        <v>Scommessa/Riserva</v>
      </c>
      <c r="Q491" s="26" t="str">
        <f>IF(AND($D491="",$N491&gt;1),SUMPRODUCT(($D$2:$D491="")*($N$2:$N491&gt;1)),"")</f>
        <v/>
      </c>
      <c r="R491" s="26" t="str">
        <f>IF($D491='Info Lega'!$B$28,COUNTIFS($D$2:$D491,'Info Lega'!$B$28),"")</f>
        <v/>
      </c>
      <c r="S491" s="27" t="str">
        <f>IFERROR(INDEX('Input Statistiche 2025_26'!$G$3:$G$665,MATCH($A491,'Input Statistiche 2025_26'!$A$3:$A$665,0)),"")</f>
        <v/>
      </c>
      <c r="T491" s="27" t="str">
        <f>IFERROR(INDEX('Input Statistiche 2025_26'!$H$3:$H$665,MATCH($A491,'Input Statistiche 2025_26'!$A$3:$A$665,0)),"")</f>
        <v/>
      </c>
      <c r="U491" s="23" t="str">
        <f>IF(OR('La Mia Rosa'!$O$12="",$D491&lt;&gt;""),"",IF($F491&lt;='La Mia Rosa'!$O$12*'Parametri Modello'!$B$24,"OK",IF($F491&lt;='La Mia Rosa'!$O$12*'Parametri Modello'!$B$25,"Attenzione","Rischio Alto")))</f>
        <v>OK</v>
      </c>
      <c r="V491" s="23">
        <f t="shared" si="64"/>
        <v>81</v>
      </c>
      <c r="W491" s="18">
        <f>'Info Lega'!$B$4-SUMIFS($M$2:$M$492,$D$2:$D$492,'Info Lega'!$B$28)</f>
        <v>1000</v>
      </c>
      <c r="X491" s="18">
        <f>('Info Lega'!$B$5-COUNTIFS($D$2:$D$492,'Info Lega'!$B$28,$B$2:$B$492,"P"))+('Info Lega'!$B$6-COUNTIFS($D$2:$D$492,'Info Lega'!$B$28,$B$2:$B$492,"D"))+('Info Lega'!$B$7-COUNTIFS($D$2:$D$492,'Info Lega'!$B$28,$B$2:$B$492,"C"))+('Info Lega'!$B$8-COUNTIFS($D$2:$D$492,'Info Lega'!$B$28,$B$2:$B$492,"A"))</f>
        <v>25</v>
      </c>
      <c r="Y491" s="18">
        <f>X491*'Parametri Modello'!$B$30</f>
        <v>25</v>
      </c>
      <c r="Z491" s="18">
        <f t="shared" si="65"/>
        <v>975</v>
      </c>
      <c r="AA491" s="18">
        <f t="shared" si="66"/>
        <v>0</v>
      </c>
      <c r="AB491" s="18"/>
      <c r="AC491" s="18" t="str">
        <f>IF($AB491="","",IF($AB491&gt;$AA491,"PASS",IF($AB491&lt;=$AA491*(1-'Parametri Modello'!$B$68),"BID","ATTENZIONE")))</f>
        <v/>
      </c>
      <c r="AD491" s="28" t="str">
        <f t="shared" si="67"/>
        <v/>
      </c>
      <c r="AE491" s="5" t="str">
        <f>IFERROR(INDEX('Stato Asta'!$G$9:$G$12,MATCH($B491,'Stato Asta'!$A$9:$A$12,0)),"")</f>
        <v>🔴 Non aspettare</v>
      </c>
      <c r="AF491" t="str">
        <f>IFERROR(IF($V491&lt;=INDEX('Parametri Modello'!$C$57:$C$60,MATCH($B491,'Parametri Modello'!$A$57:$A$60,0)),"Titolare","Riserva"),"")</f>
        <v>Riserva</v>
      </c>
      <c r="AG491" t="str">
        <f>IFERROR(INDEX('Pressione Competitiva'!$F$3:$F$6,MATCH($B491,'Pressione Competitiva'!$B$3:$B$6,0)),"")</f>
        <v>🔴 Molto Alta</v>
      </c>
      <c r="AH491" t="str">
        <f t="shared" si="68"/>
        <v/>
      </c>
      <c r="AI491" t="str">
        <f>IFERROR(IF($AH491="","",IF($AH491&gt;=$AA491*'Parametri Modello'!$B$68,"🟢 Opportunita'",IF($AH491&lt;=$AA491*'Parametri Modello'!$B$69,"🔴 Sovrapprezzo","🟡 Prezzo Corretto"))),"")</f>
        <v/>
      </c>
      <c r="AJ491" t="str">
        <f t="shared" si="69"/>
        <v/>
      </c>
      <c r="AK491" t="str">
        <f t="shared" si="70"/>
        <v/>
      </c>
      <c r="AL491" t="str">
        <f t="shared" si="71"/>
        <v/>
      </c>
    </row>
    <row r="492" spans="1:38" ht="14.25" customHeight="1" x14ac:dyDescent="0.25">
      <c r="A492" s="18">
        <v>7482</v>
      </c>
      <c r="B492" s="18" t="s">
        <v>18</v>
      </c>
      <c r="C492" s="18" t="s">
        <v>631</v>
      </c>
      <c r="E492" s="23" t="str">
        <f>IF(COUNTIF('Info Strategia'!$D$2:$D$51,$C492)&gt;0,"SI","NO")</f>
        <v>NO</v>
      </c>
      <c r="F492" s="24">
        <f>IFERROR(ROUND(($G492+($H492-$G492)*'Info Strategia'!$B$6)*(1+IF($E492="SI",'Parametri Modello'!$B$7*'Info Strategia'!$B$6,0)),0),"")</f>
        <v>0</v>
      </c>
      <c r="G492" s="24">
        <f>IFERROR(ROUND(MAX(1,(IF($V492&lt;=INDEX('Parametri Modello'!$C$57:$C$60,MATCH($B492,'Parametri Modello'!$A$57:$A$60,0)),IF(INDEX('Parametri Modello'!$E$57:$E$60,MATCH($B492,'Parametri Modello'!$A$57:$A$60,0))=0,0,($O492/INDEX('Parametri Modello'!$E$57:$E$60,MATCH($B492,'Parametri Modello'!$A$57:$A$60,0)))*(INDEX('Parametri Modello'!$D$57:$D$60,MATCH($B492,'Parametri Modello'!$A$57:$A$60,0))*(INDEX('Parametri Modello'!$B$50:$B$53,MATCH($B492,'Parametri Modello'!$A$50:$A$53,0))*'Parametri Modello'!$B$44))),IF(INDEX('Parametri Modello'!$F$57:$F$60,MATCH($B492,'Parametri Modello'!$A$57:$A$60,0))=0,0,($O492/INDEX('Parametri Modello'!$F$57:$F$60,MATCH($B492,'Parametri Modello'!$A$57:$A$60,0)))*((1-INDEX('Parametri Modello'!$D$57:$D$60,MATCH($B492,'Parametri Modello'!$A$57:$A$60,0)))*(INDEX('Parametri Modello'!$B$50:$B$53,MATCH($B492,'Parametri Modello'!$A$50:$A$53,0))*'Parametri Modello'!$B$44))))*(1+IF(IF($B492="D",'Info Lega'!$B$25,IF($B492="C",'Info Lega'!$B$26,"No"))="Si",'Parametri Modello'!$B$5,0))*(1+MAX(-0.25,MIN(0.25,IF(OR($T492="",$I492="",$I492=0,INDEX('Parametri Modello'!$B$19:$B$22,MATCH($B492,'Parametri Modello'!$A$19:$A$22,0))="",INDEX('Parametri Modello'!$B$19:$B$22,MATCH($B492,'Parametri Modello'!$A$19:$A$22,0))=0),0,(($T492-INDEX('Parametri Modello'!$B$19:$B$22,MATCH($B492,'Parametri Modello'!$A$19:$A$22,0)))/INDEX('Parametri Modello'!$B$19:$B$22,MATCH($B492,'Parametri Modello'!$A$19:$A$22,0)))*'Parametri Modello'!$B$9))))*(1+IF('Parametri Modello'!$B$27="Si",MAX(-'Parametri Modello'!$B$28,MIN('Parametri Modello'!$B$28*1.5,IF(OR(INDEX('Parametri Modello'!$F$32:$F$35,MATCH($B492,'Parametri Modello'!$A$32:$A$35,0))="",INDEX('Parametri Modello'!$F$32:$F$35,MATCH($B492,'Parametri Modello'!$A$32:$A$35,0))=0),0,(1/INDEX('Parametri Modello'!$F$32:$F$35,MATCH($B492,'Parametri Modello'!$A$32:$A$35,0))-1)*'Parametri Modello'!$B$28))),0)))*(1-INDEX('Parametri Modello'!$B$12:$B$15,MATCH($B492,'Parametri Modello'!$A$12:$A$15,0)))),0),"")</f>
        <v>1</v>
      </c>
      <c r="H492" s="24">
        <f>IFERROR(ROUND((IF($V492&lt;=INDEX('Parametri Modello'!$C$57:$C$60,MATCH($B492,'Parametri Modello'!$A$57:$A$60,0)),IF(INDEX('Parametri Modello'!$E$57:$E$60,MATCH($B492,'Parametri Modello'!$A$57:$A$60,0))=0,0,($O492/INDEX('Parametri Modello'!$E$57:$E$60,MATCH($B492,'Parametri Modello'!$A$57:$A$60,0)))*(INDEX('Parametri Modello'!$D$57:$D$60,MATCH($B492,'Parametri Modello'!$A$57:$A$60,0))*(INDEX('Parametri Modello'!$B$50:$B$53,MATCH($B492,'Parametri Modello'!$A$50:$A$53,0))*'Parametri Modello'!$B$44))),IF(INDEX('Parametri Modello'!$F$57:$F$60,MATCH($B492,'Parametri Modello'!$A$57:$A$60,0))=0,0,($O492/INDEX('Parametri Modello'!$F$57:$F$60,MATCH($B492,'Parametri Modello'!$A$57:$A$60,0)))*((1-INDEX('Parametri Modello'!$D$57:$D$60,MATCH($B492,'Parametri Modello'!$A$57:$A$60,0)))*(INDEX('Parametri Modello'!$B$50:$B$53,MATCH($B492,'Parametri Modello'!$A$50:$A$53,0))*'Parametri Modello'!$B$44))))*(1+IF(IF($B492="D",'Info Lega'!$B$25,IF($B492="C",'Info Lega'!$B$26,"No"))="Si",'Parametri Modello'!$B$5,0))*(1+MAX(-0.25,MIN(0.25,IF(OR($T492="",$I492="",$I492=0,INDEX('Parametri Modello'!$B$19:$B$22,MATCH($B492,'Parametri Modello'!$A$19:$A$22,0))="",INDEX('Parametri Modello'!$B$19:$B$22,MATCH($B492,'Parametri Modello'!$A$19:$A$22,0))=0),0,(($T492-INDEX('Parametri Modello'!$B$19:$B$22,MATCH($B492,'Parametri Modello'!$A$19:$A$22,0)))/INDEX('Parametri Modello'!$B$19:$B$22,MATCH($B492,'Parametri Modello'!$A$19:$A$22,0)))*'Parametri Modello'!$B$9))))*(1+IF('Parametri Modello'!$B$27="Si",MAX(-'Parametri Modello'!$B$28,MIN('Parametri Modello'!$B$28*1.5,IF(OR(INDEX('Parametri Modello'!$F$32:$F$35,MATCH($B492,'Parametri Modello'!$A$32:$A$35,0))="",INDEX('Parametri Modello'!$F$32:$F$35,MATCH($B492,'Parametri Modello'!$A$32:$A$35,0))=0),0,(1/INDEX('Parametri Modello'!$F$32:$F$35,MATCH($B492,'Parametri Modello'!$A$32:$A$35,0))-1)*'Parametri Modello'!$B$28))),0)))*(1+INDEX('Parametri Modello'!$B$12:$B$15,MATCH($B492,'Parametri Modello'!$A$12:$A$15,0))),0),"")</f>
        <v>0</v>
      </c>
      <c r="I492" s="23" t="str">
        <f>IFERROR(INDEX('Input Statistiche 2025_26'!$F$3:$F$665,MATCH($A492,'Input Statistiche 2025_26'!$A$3:$A$665,0)),"")</f>
        <v/>
      </c>
      <c r="J492" s="23" t="str">
        <f t="shared" si="63"/>
        <v/>
      </c>
      <c r="K492" s="23" t="str">
        <f>IFERROR(INDEX('Input Statistiche 2025_26'!$I$3:$I$665,MATCH($A492,'Input Statistiche 2025_26'!$A$3:$A$665,0)),"")</f>
        <v/>
      </c>
      <c r="L492" s="23" t="str">
        <f>IFERROR(INDEX('Input Statistiche 2025_26'!$O$3:$O$665,MATCH($A492,'Input Statistiche 2025_26'!$A$3:$A$665,0)),"")</f>
        <v/>
      </c>
      <c r="M492" s="25"/>
      <c r="N492" s="24">
        <f>IFERROR(INDEX('Input Giocatori 2026_27'!$E$3:$E$493,MATCH($A492,'Input Giocatori 2026_27'!$A$3:$A$493,0)),"")</f>
        <v>1</v>
      </c>
      <c r="O492" s="24">
        <f>IFERROR(INDEX('Input Giocatori 2026_27'!$G$3:$G$493,MATCH($A492,'Input Giocatori 2026_27'!$A$3:$A$493,0)),"")</f>
        <v>1</v>
      </c>
      <c r="P492" s="23" t="str">
        <f>IFERROR(IF($O492="","",IF((1-(COUNTIFS($B$2:$B$492,$B492,$O$2:$O$492,"&gt;"&amp;$O492)+1-1)/COUNTIF($B$2:$B$492,$B492))&gt;='Parametri Modello'!$B$63,"Top",IF((1-(COUNTIFS($B$2:$B$492,$B492,$O$2:$O$492,"&gt;"&amp;$O492)+1-1)/COUNTIF($B$2:$B$492,$B492))&gt;='Parametri Modello'!$B$64,"Buono",IF((1-(COUNTIFS($B$2:$B$492,$B492,$O$2:$O$492,"&gt;"&amp;$O492)+1-1)/COUNTIF($B$2:$B$492,$B492))&gt;='Parametri Modello'!$B$65,"Nella Media","Scommessa/Riserva")))),"")</f>
        <v>Scommessa/Riserva</v>
      </c>
      <c r="Q492" s="26" t="str">
        <f>IF(AND($D492="",$N492&gt;1),SUMPRODUCT(($D$2:$D492="")*($N$2:$N492&gt;1)),"")</f>
        <v/>
      </c>
      <c r="R492" s="26" t="str">
        <f>IF($D492='Info Lega'!$B$28,COUNTIFS($D$2:$D492,'Info Lega'!$B$28),"")</f>
        <v/>
      </c>
      <c r="S492" s="27" t="str">
        <f>IFERROR(INDEX('Input Statistiche 2025_26'!$G$3:$G$665,MATCH($A492,'Input Statistiche 2025_26'!$A$3:$A$665,0)),"")</f>
        <v/>
      </c>
      <c r="T492" s="27" t="str">
        <f>IFERROR(INDEX('Input Statistiche 2025_26'!$H$3:$H$665,MATCH($A492,'Input Statistiche 2025_26'!$A$3:$A$665,0)),"")</f>
        <v/>
      </c>
      <c r="U492" s="23" t="str">
        <f>IF(OR('La Mia Rosa'!$O$12="",$D492&lt;&gt;""),"",IF($F492&lt;='La Mia Rosa'!$O$12*'Parametri Modello'!$B$24,"OK",IF($F492&lt;='La Mia Rosa'!$O$12*'Parametri Modello'!$B$25,"Attenzione","Rischio Alto")))</f>
        <v>OK</v>
      </c>
      <c r="V492" s="23">
        <f t="shared" si="64"/>
        <v>81</v>
      </c>
      <c r="W492" s="18">
        <f>'Info Lega'!$B$4-SUMIFS($M$2:$M$492,$D$2:$D$492,'Info Lega'!$B$28)</f>
        <v>1000</v>
      </c>
      <c r="X492" s="18">
        <f>('Info Lega'!$B$5-COUNTIFS($D$2:$D$492,'Info Lega'!$B$28,$B$2:$B$492,"P"))+('Info Lega'!$B$6-COUNTIFS($D$2:$D$492,'Info Lega'!$B$28,$B$2:$B$492,"D"))+('Info Lega'!$B$7-COUNTIFS($D$2:$D$492,'Info Lega'!$B$28,$B$2:$B$492,"C"))+('Info Lega'!$B$8-COUNTIFS($D$2:$D$492,'Info Lega'!$B$28,$B$2:$B$492,"A"))</f>
        <v>25</v>
      </c>
      <c r="Y492" s="18">
        <f>X492*'Parametri Modello'!$B$30</f>
        <v>25</v>
      </c>
      <c r="Z492" s="18">
        <f t="shared" si="65"/>
        <v>975</v>
      </c>
      <c r="AA492" s="18">
        <f t="shared" si="66"/>
        <v>0</v>
      </c>
      <c r="AB492" s="18"/>
      <c r="AC492" s="18" t="str">
        <f>IF($AB492="","",IF($AB492&gt;$AA492,"PASS",IF($AB492&lt;=$AA492*(1-'Parametri Modello'!$B$68),"BID","ATTENZIONE")))</f>
        <v/>
      </c>
      <c r="AD492" s="28" t="str">
        <f t="shared" si="67"/>
        <v/>
      </c>
      <c r="AE492" s="5" t="str">
        <f>IFERROR(INDEX('Stato Asta'!$G$9:$G$12,MATCH($B492,'Stato Asta'!$A$9:$A$12,0)),"")</f>
        <v>🔴 Non aspettare</v>
      </c>
      <c r="AF492" t="str">
        <f>IFERROR(IF($V492&lt;=INDEX('Parametri Modello'!$C$57:$C$60,MATCH($B492,'Parametri Modello'!$A$57:$A$60,0)),"Titolare","Riserva"),"")</f>
        <v>Riserva</v>
      </c>
      <c r="AG492" t="str">
        <f>IFERROR(INDEX('Pressione Competitiva'!$F$3:$F$6,MATCH($B492,'Pressione Competitiva'!$B$3:$B$6,0)),"")</f>
        <v>🔴 Molto Alta</v>
      </c>
      <c r="AH492" t="str">
        <f t="shared" si="68"/>
        <v/>
      </c>
      <c r="AI492" t="str">
        <f>IFERROR(IF($AH492="","",IF($AH492&gt;=$AA492*'Parametri Modello'!$B$68,"🟢 Opportunita'",IF($AH492&lt;=$AA492*'Parametri Modello'!$B$69,"🔴 Sovrapprezzo","🟡 Prezzo Corretto"))),"")</f>
        <v/>
      </c>
      <c r="AJ492" t="str">
        <f t="shared" si="69"/>
        <v/>
      </c>
      <c r="AK492" t="str">
        <f t="shared" si="70"/>
        <v/>
      </c>
      <c r="AL492" t="str">
        <f t="shared" si="71"/>
        <v/>
      </c>
    </row>
  </sheetData>
  <autoFilter ref="A1:R492" xr:uid="{00000000-0009-0000-0000-000003000000}">
    <sortState xmlns:xlrd2="http://schemas.microsoft.com/office/spreadsheetml/2017/richdata2" ref="A2:R492">
      <sortCondition descending="1" ref="A2:A492"/>
    </sortState>
  </autoFilter>
  <pageMargins left="0.7" right="0.7" top="0.75" bottom="0.75" header="0.511811023622047" footer="0.511811023622047"/>
  <pageSetup paperSize="9" orientation="portrait" horizontalDpi="300" verticalDpi="300"/>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15"/>
  <sheetViews>
    <sheetView showGridLines="0" zoomScaleNormal="100" workbookViewId="0"/>
  </sheetViews>
  <sheetFormatPr defaultColWidth="8.7109375" defaultRowHeight="15" x14ac:dyDescent="0.25"/>
  <cols>
    <col min="1" max="1" width="6" customWidth="1"/>
    <col min="2" max="2" width="11" customWidth="1"/>
    <col min="3" max="3" width="12" customWidth="1"/>
    <col min="4" max="4" width="14" customWidth="1"/>
    <col min="5" max="5" width="20" customWidth="1"/>
    <col min="6" max="6" width="14" customWidth="1"/>
    <col min="7" max="7" width="20" customWidth="1"/>
    <col min="8" max="8" width="16" customWidth="1"/>
  </cols>
  <sheetData>
    <row r="1" spans="1:12" ht="24" customHeight="1" x14ac:dyDescent="0.25">
      <c r="A1" s="67" t="s">
        <v>632</v>
      </c>
      <c r="B1" s="62"/>
      <c r="C1" s="62"/>
      <c r="D1" s="62"/>
      <c r="E1" s="62"/>
      <c r="F1" s="62"/>
      <c r="G1" s="62"/>
      <c r="H1" s="62"/>
    </row>
    <row r="3" spans="1:12" ht="15" customHeight="1" x14ac:dyDescent="0.25">
      <c r="A3" s="5" t="s">
        <v>633</v>
      </c>
      <c r="C3" s="6" t="str">
        <f>COUNTIFS('Output Utente'!$D$2:$D$492,"&lt;&gt;")&amp;" / "&amp;COUNTA('Output Utente'!$A$2:$A$492)</f>
        <v>0 / 491</v>
      </c>
    </row>
    <row r="4" spans="1:12" ht="15" customHeight="1" x14ac:dyDescent="0.25">
      <c r="A4" s="5" t="s">
        <v>2</v>
      </c>
      <c r="C4" s="7">
        <f>COUNTIFS('Output Utente'!$D$2:$D$492,"&lt;&gt;")/COUNTA('Output Utente'!$A$2:$A$492)</f>
        <v>0</v>
      </c>
    </row>
    <row r="5" spans="1:12" ht="15" customHeight="1" x14ac:dyDescent="0.25">
      <c r="A5" s="5" t="s">
        <v>4</v>
      </c>
      <c r="C5" s="8">
        <f t="array" ref="C5">AVERAGE(IF('Info Lega'!$D$9:$D$24="Si",'Info Lega'!$B$4-SUMIF('Output Utente'!$D$2:$D$492,'Info Lega'!$B$9:$B$24,'Output Utente'!$M$2:$M$492)))</f>
        <v>1000</v>
      </c>
    </row>
    <row r="6" spans="1:12" ht="15" customHeight="1" x14ac:dyDescent="0.25">
      <c r="A6" s="5" t="s">
        <v>634</v>
      </c>
      <c r="C6" s="9" t="str">
        <f>IFERROR(AVERAGEIF('Output Utente'!$D$2:$D$492,"&lt;&gt;",'Output Utente'!$M$2:$M$492),"")</f>
        <v/>
      </c>
    </row>
    <row r="8" spans="1:12" ht="30" customHeight="1" x14ac:dyDescent="0.25">
      <c r="A8" s="10" t="s">
        <v>5</v>
      </c>
      <c r="B8" s="10" t="s">
        <v>635</v>
      </c>
      <c r="C8" s="10" t="s">
        <v>636</v>
      </c>
      <c r="D8" s="10" t="s">
        <v>637</v>
      </c>
      <c r="E8" s="10" t="s">
        <v>638</v>
      </c>
      <c r="F8" s="10" t="s">
        <v>639</v>
      </c>
      <c r="G8" s="10" t="s">
        <v>640</v>
      </c>
      <c r="H8" s="10" t="s">
        <v>641</v>
      </c>
      <c r="I8" s="45" t="s">
        <v>642</v>
      </c>
      <c r="J8" s="45" t="s">
        <v>643</v>
      </c>
      <c r="K8" s="45" t="s">
        <v>644</v>
      </c>
      <c r="L8" s="45" t="s">
        <v>645</v>
      </c>
    </row>
    <row r="9" spans="1:12" ht="15" customHeight="1" x14ac:dyDescent="0.25">
      <c r="A9" s="5" t="s">
        <v>15</v>
      </c>
      <c r="B9" s="5">
        <f>COUNTIFS('Output Utente'!$B$2:$B$492,"P",'Output Utente'!$P$2:$P$492,"Top",'Output Utente'!$D$2:$D$492,"",'Output Utente'!$N$2:$N$492,"&gt;1")</f>
        <v>7</v>
      </c>
      <c r="C9" s="5">
        <f>COUNTIFS('Output Utente'!$B$2:$B$492,"P",'Output Utente'!$P$2:$P$492,"Buono",'Output Utente'!$D$2:$D$492,"",'Output Utente'!$N$2:$N$492,"&gt;1")</f>
        <v>11</v>
      </c>
      <c r="D9" s="5">
        <f>$B9+$C9</f>
        <v>18</v>
      </c>
      <c r="E9" s="5">
        <f>'Parametri Modello'!$D$32</f>
        <v>24</v>
      </c>
      <c r="F9" s="11">
        <f>IFERROR($D9/$E9,"")</f>
        <v>0.75</v>
      </c>
      <c r="G9" s="6" t="str">
        <f>IF($E9=0,"— (ruolo esaurito)",IF($F9&gt;='Parametri Modello'!$B$46,"🟢 Puoi aspettare",IF($F9&gt;='Parametri Modello'!$B$47,"🟡 Attesa rischiosa","🔴 Non aspettare")))</f>
        <v>🔴 Non aspettare</v>
      </c>
      <c r="H9" s="12" t="str">
        <f>IFERROR(AVERAGEIFS('Output Utente'!$M$2:$M$492,'Output Utente'!$B$2:$B$492,"P",'Output Utente'!$D$2:$D$492,"&lt;&gt;"),"")</f>
        <v/>
      </c>
      <c r="I9">
        <f>COUNTIFS('Output Utente'!$B$2:$B$492,"P",'Output Utente'!$P$2:$P$492,"Nella Media",'Output Utente'!$D$2:$D$492,"",'Output Utente'!$N$2:$N$492,"&gt;1")</f>
        <v>6</v>
      </c>
      <c r="J9">
        <f>COUNTIFS('Output Utente'!$B$2:$B$492,"P",'Output Utente'!$P$2:$P$492,"Scommessa/Riserva",'Output Utente'!$D$2:$D$492,"",'Output Utente'!$N$2:$N$492,"&gt;1")</f>
        <v>0</v>
      </c>
      <c r="K9">
        <f>B9+C9+I9+J9</f>
        <v>24</v>
      </c>
      <c r="L9" s="46">
        <f>IFERROR($D9/$K9,"")</f>
        <v>0.75</v>
      </c>
    </row>
    <row r="10" spans="1:12" ht="15" customHeight="1" x14ac:dyDescent="0.25">
      <c r="A10" s="5" t="s">
        <v>16</v>
      </c>
      <c r="B10" s="5">
        <f>COUNTIFS('Output Utente'!$B$2:$B$492,"D",'Output Utente'!$P$2:$P$492,"Top",'Output Utente'!$D$2:$D$492,"",'Output Utente'!$N$2:$N$492,"&gt;1")</f>
        <v>18</v>
      </c>
      <c r="C10" s="5">
        <f>COUNTIFS('Output Utente'!$B$2:$B$492,"D",'Output Utente'!$P$2:$P$492,"Buono",'Output Utente'!$D$2:$D$492,"",'Output Utente'!$N$2:$N$492,"&gt;1")</f>
        <v>37</v>
      </c>
      <c r="D10" s="5">
        <f>$B10+$C10</f>
        <v>55</v>
      </c>
      <c r="E10" s="5">
        <f>'Parametri Modello'!$D$33</f>
        <v>64</v>
      </c>
      <c r="F10" s="11">
        <f>IFERROR($D10/$E10,"")</f>
        <v>0.859375</v>
      </c>
      <c r="G10" s="6" t="str">
        <f>IF($E10=0,"— (ruolo esaurito)",IF($F10&gt;='Parametri Modello'!$B$46,"🟢 Puoi aspettare",IF($F10&gt;='Parametri Modello'!$B$47,"🟡 Attesa rischiosa","🔴 Non aspettare")))</f>
        <v>🔴 Non aspettare</v>
      </c>
      <c r="H10" s="12" t="str">
        <f>IFERROR(AVERAGEIFS('Output Utente'!$M$2:$M$492,'Output Utente'!$B$2:$B$492,"D",'Output Utente'!$D$2:$D$492,"&lt;&gt;"),"")</f>
        <v/>
      </c>
      <c r="I10">
        <f>COUNTIFS('Output Utente'!$B$2:$B$492,"D",'Output Utente'!$P$2:$P$492,"Nella Media",'Output Utente'!$D$2:$D$492,"",'Output Utente'!$N$2:$N$492,"&gt;1")</f>
        <v>56</v>
      </c>
      <c r="J10">
        <f>COUNTIFS('Output Utente'!$B$2:$B$492,"D",'Output Utente'!$P$2:$P$492,"Scommessa/Riserva",'Output Utente'!$D$2:$D$492,"",'Output Utente'!$N$2:$N$492,"&gt;1")</f>
        <v>37</v>
      </c>
      <c r="K10">
        <f>B10+C10+I10+J10</f>
        <v>148</v>
      </c>
      <c r="L10" s="46">
        <f>IFERROR($D10/$K10,"")</f>
        <v>0.3716216216216216</v>
      </c>
    </row>
    <row r="11" spans="1:12" ht="15" customHeight="1" x14ac:dyDescent="0.25">
      <c r="A11" s="5" t="s">
        <v>17</v>
      </c>
      <c r="B11" s="5">
        <f>COUNTIFS('Output Utente'!$B$2:$B$492,"C",'Output Utente'!$P$2:$P$492,"Top",'Output Utente'!$D$2:$D$492,"",'Output Utente'!$N$2:$N$492,"&gt;1")</f>
        <v>18</v>
      </c>
      <c r="C11" s="5">
        <f>COUNTIFS('Output Utente'!$B$2:$B$492,"C",'Output Utente'!$P$2:$P$492,"Buono",'Output Utente'!$D$2:$D$492,"",'Output Utente'!$N$2:$N$492,"&gt;1")</f>
        <v>37</v>
      </c>
      <c r="D11" s="5">
        <f>$B11+$C11</f>
        <v>55</v>
      </c>
      <c r="E11" s="5">
        <f>'Parametri Modello'!$D$34</f>
        <v>64</v>
      </c>
      <c r="F11" s="11">
        <f>IFERROR($D11/$E11,"")</f>
        <v>0.859375</v>
      </c>
      <c r="G11" s="6" t="str">
        <f>IF($E11=0,"— (ruolo esaurito)",IF($F11&gt;='Parametri Modello'!$B$46,"🟢 Puoi aspettare",IF($F11&gt;='Parametri Modello'!$B$47,"🟡 Attesa rischiosa","🔴 Non aspettare")))</f>
        <v>🔴 Non aspettare</v>
      </c>
      <c r="H11" s="12" t="str">
        <f>IFERROR(AVERAGEIFS('Output Utente'!$M$2:$M$492,'Output Utente'!$B$2:$B$492,"C",'Output Utente'!$D$2:$D$492,"&lt;&gt;"),"")</f>
        <v/>
      </c>
      <c r="I11">
        <f>COUNTIFS('Output Utente'!$B$2:$B$492,"C",'Output Utente'!$P$2:$P$492,"Nella Media",'Output Utente'!$D$2:$D$492,"",'Output Utente'!$N$2:$N$492,"&gt;1")</f>
        <v>49</v>
      </c>
      <c r="J11">
        <f>COUNTIFS('Output Utente'!$B$2:$B$492,"C",'Output Utente'!$P$2:$P$492,"Scommessa/Riserva",'Output Utente'!$D$2:$D$492,"",'Output Utente'!$N$2:$N$492,"&gt;1")</f>
        <v>51</v>
      </c>
      <c r="K11">
        <f>B11+C11+I11+J11</f>
        <v>155</v>
      </c>
      <c r="L11" s="46">
        <f>IFERROR($D11/$K11,"")</f>
        <v>0.35483870967741937</v>
      </c>
    </row>
    <row r="12" spans="1:12" ht="15" customHeight="1" x14ac:dyDescent="0.25">
      <c r="A12" s="5" t="s">
        <v>18</v>
      </c>
      <c r="B12" s="5">
        <f>COUNTIFS('Output Utente'!$B$2:$B$492,"A",'Output Utente'!$P$2:$P$492,"Top",'Output Utente'!$D$2:$D$492,"",'Output Utente'!$N$2:$N$492,"&gt;1")</f>
        <v>9</v>
      </c>
      <c r="C12" s="5">
        <f>COUNTIFS('Output Utente'!$B$2:$B$492,"A",'Output Utente'!$P$2:$P$492,"Buono",'Output Utente'!$D$2:$D$492,"",'Output Utente'!$N$2:$N$492,"&gt;1")</f>
        <v>17</v>
      </c>
      <c r="D12" s="5">
        <f>$B12+$C12</f>
        <v>26</v>
      </c>
      <c r="E12" s="5">
        <f>'Parametri Modello'!$D$35</f>
        <v>48</v>
      </c>
      <c r="F12" s="11">
        <f>IFERROR($D12/$E12,"")</f>
        <v>0.54166666666666663</v>
      </c>
      <c r="G12" s="6" t="str">
        <f>IF($E12=0,"— (ruolo esaurito)",IF($F12&gt;='Parametri Modello'!$B$46,"🟢 Puoi aspettare",IF($F12&gt;='Parametri Modello'!$B$47,"🟡 Attesa rischiosa","🔴 Non aspettare")))</f>
        <v>🔴 Non aspettare</v>
      </c>
      <c r="H12" s="12" t="str">
        <f>IFERROR(AVERAGEIFS('Output Utente'!$M$2:$M$492,'Output Utente'!$B$2:$B$492,"A",'Output Utente'!$D$2:$D$492,"&lt;&gt;"),"")</f>
        <v/>
      </c>
      <c r="I12">
        <f>COUNTIFS('Output Utente'!$B$2:$B$492,"A",'Output Utente'!$P$2:$P$492,"Nella Media",'Output Utente'!$D$2:$D$492,"",'Output Utente'!$N$2:$N$492,"&gt;1")</f>
        <v>28</v>
      </c>
      <c r="J12">
        <f>COUNTIFS('Output Utente'!$B$2:$B$492,"A",'Output Utente'!$P$2:$P$492,"Scommessa/Riserva",'Output Utente'!$D$2:$D$492,"",'Output Utente'!$N$2:$N$492,"&gt;1")</f>
        <v>23</v>
      </c>
      <c r="K12">
        <f>B12+C12+I12+J12</f>
        <v>77</v>
      </c>
      <c r="L12" s="46">
        <f>IFERROR($D12/$K12,"")</f>
        <v>0.33766233766233766</v>
      </c>
    </row>
    <row r="15" spans="1:12" ht="21.75" customHeight="1" x14ac:dyDescent="0.25">
      <c r="A15" s="68" t="s">
        <v>646</v>
      </c>
      <c r="B15" s="62"/>
      <c r="C15" s="62"/>
      <c r="D15" s="62"/>
      <c r="E15" s="62"/>
      <c r="F15" s="62"/>
      <c r="G15" s="62"/>
      <c r="H15" s="62"/>
    </row>
  </sheetData>
  <mergeCells count="2">
    <mergeCell ref="A1:H1"/>
    <mergeCell ref="A15:H15"/>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D28"/>
  <sheetViews>
    <sheetView zoomScaleNormal="100" workbookViewId="0">
      <selection activeCell="B9" sqref="B9"/>
    </sheetView>
  </sheetViews>
  <sheetFormatPr defaultColWidth="8.5703125" defaultRowHeight="15" x14ac:dyDescent="0.25"/>
  <cols>
    <col min="1" max="1" width="23.5703125" customWidth="1"/>
    <col min="2" max="2" width="16" style="14" customWidth="1"/>
  </cols>
  <sheetData>
    <row r="2" spans="1:4" ht="14.25" customHeight="1" x14ac:dyDescent="0.25">
      <c r="A2" t="s">
        <v>647</v>
      </c>
      <c r="B2" s="14" t="s">
        <v>648</v>
      </c>
      <c r="C2" t="s">
        <v>649</v>
      </c>
    </row>
    <row r="3" spans="1:4" ht="14.25" customHeight="1" x14ac:dyDescent="0.25">
      <c r="A3" t="s">
        <v>650</v>
      </c>
      <c r="B3" s="14">
        <v>8</v>
      </c>
    </row>
    <row r="4" spans="1:4" ht="14.25" customHeight="1" x14ac:dyDescent="0.25">
      <c r="A4" t="s">
        <v>651</v>
      </c>
      <c r="B4" s="14">
        <v>1000</v>
      </c>
    </row>
    <row r="5" spans="1:4" ht="14.25" customHeight="1" x14ac:dyDescent="0.25">
      <c r="A5" t="s">
        <v>652</v>
      </c>
      <c r="B5" s="14">
        <v>3</v>
      </c>
    </row>
    <row r="6" spans="1:4" ht="14.25" customHeight="1" x14ac:dyDescent="0.25">
      <c r="A6" t="s">
        <v>653</v>
      </c>
      <c r="B6" s="14">
        <v>8</v>
      </c>
    </row>
    <row r="7" spans="1:4" ht="14.25" customHeight="1" x14ac:dyDescent="0.25">
      <c r="A7" t="s">
        <v>654</v>
      </c>
      <c r="B7" s="14">
        <v>8</v>
      </c>
    </row>
    <row r="8" spans="1:4" ht="14.25" customHeight="1" x14ac:dyDescent="0.25">
      <c r="A8" t="s">
        <v>655</v>
      </c>
      <c r="B8" s="14">
        <v>6</v>
      </c>
      <c r="D8" s="6" t="s">
        <v>656</v>
      </c>
    </row>
    <row r="9" spans="1:4" ht="14.25" customHeight="1" x14ac:dyDescent="0.25">
      <c r="A9" t="s">
        <v>657</v>
      </c>
      <c r="B9" s="14" t="s">
        <v>658</v>
      </c>
      <c r="D9" s="5" t="str">
        <f t="shared" ref="D9:D24" si="0">IF(ROW()-8&lt;=$B$3,"Si","No")</f>
        <v>Si</v>
      </c>
    </row>
    <row r="10" spans="1:4" ht="14.25" customHeight="1" x14ac:dyDescent="0.25">
      <c r="A10" t="s">
        <v>659</v>
      </c>
      <c r="B10" s="14" t="s">
        <v>660</v>
      </c>
      <c r="D10" s="5" t="str">
        <f t="shared" si="0"/>
        <v>Si</v>
      </c>
    </row>
    <row r="11" spans="1:4" ht="14.25" customHeight="1" x14ac:dyDescent="0.25">
      <c r="A11" t="s">
        <v>661</v>
      </c>
      <c r="B11" s="14" t="s">
        <v>662</v>
      </c>
      <c r="D11" s="5" t="str">
        <f t="shared" si="0"/>
        <v>Si</v>
      </c>
    </row>
    <row r="12" spans="1:4" ht="14.25" customHeight="1" x14ac:dyDescent="0.25">
      <c r="A12" t="s">
        <v>663</v>
      </c>
      <c r="B12" s="14" t="s">
        <v>664</v>
      </c>
      <c r="D12" s="5" t="str">
        <f t="shared" si="0"/>
        <v>Si</v>
      </c>
    </row>
    <row r="13" spans="1:4" ht="14.25" customHeight="1" x14ac:dyDescent="0.25">
      <c r="A13" t="s">
        <v>665</v>
      </c>
      <c r="B13" s="14" t="s">
        <v>666</v>
      </c>
      <c r="D13" s="5" t="str">
        <f t="shared" si="0"/>
        <v>Si</v>
      </c>
    </row>
    <row r="14" spans="1:4" ht="14.25" customHeight="1" x14ac:dyDescent="0.25">
      <c r="A14" t="s">
        <v>667</v>
      </c>
      <c r="B14" s="14" t="s">
        <v>668</v>
      </c>
      <c r="D14" s="5" t="str">
        <f t="shared" si="0"/>
        <v>Si</v>
      </c>
    </row>
    <row r="15" spans="1:4" ht="14.25" customHeight="1" x14ac:dyDescent="0.25">
      <c r="A15" t="s">
        <v>669</v>
      </c>
      <c r="B15" s="14" t="s">
        <v>670</v>
      </c>
      <c r="D15" s="5" t="str">
        <f t="shared" si="0"/>
        <v>Si</v>
      </c>
    </row>
    <row r="16" spans="1:4" ht="14.25" customHeight="1" x14ac:dyDescent="0.25">
      <c r="A16" t="s">
        <v>671</v>
      </c>
      <c r="B16" s="14" t="s">
        <v>672</v>
      </c>
      <c r="D16" s="5" t="str">
        <f t="shared" si="0"/>
        <v>Si</v>
      </c>
    </row>
    <row r="17" spans="1:4" ht="14.25" customHeight="1" x14ac:dyDescent="0.25">
      <c r="A17" t="s">
        <v>673</v>
      </c>
      <c r="B17" s="14" t="s">
        <v>674</v>
      </c>
      <c r="D17" s="5" t="str">
        <f t="shared" si="0"/>
        <v>No</v>
      </c>
    </row>
    <row r="18" spans="1:4" ht="14.25" customHeight="1" x14ac:dyDescent="0.25">
      <c r="A18" t="s">
        <v>675</v>
      </c>
      <c r="B18" s="14" t="s">
        <v>676</v>
      </c>
      <c r="D18" s="5" t="str">
        <f t="shared" si="0"/>
        <v>No</v>
      </c>
    </row>
    <row r="19" spans="1:4" ht="14.25" customHeight="1" x14ac:dyDescent="0.25">
      <c r="A19" t="s">
        <v>677</v>
      </c>
      <c r="B19" s="14" t="s">
        <v>678</v>
      </c>
      <c r="D19" s="5" t="str">
        <f t="shared" si="0"/>
        <v>No</v>
      </c>
    </row>
    <row r="20" spans="1:4" ht="14.25" customHeight="1" x14ac:dyDescent="0.25">
      <c r="A20" t="s">
        <v>679</v>
      </c>
      <c r="B20" s="14" t="s">
        <v>680</v>
      </c>
      <c r="D20" s="5" t="str">
        <f t="shared" si="0"/>
        <v>No</v>
      </c>
    </row>
    <row r="21" spans="1:4" ht="14.25" customHeight="1" x14ac:dyDescent="0.25">
      <c r="A21" t="s">
        <v>681</v>
      </c>
      <c r="B21" s="14" t="s">
        <v>682</v>
      </c>
      <c r="D21" s="5" t="str">
        <f t="shared" si="0"/>
        <v>No</v>
      </c>
    </row>
    <row r="22" spans="1:4" ht="14.25" customHeight="1" x14ac:dyDescent="0.25">
      <c r="A22" t="s">
        <v>683</v>
      </c>
      <c r="B22" s="14" t="s">
        <v>684</v>
      </c>
      <c r="D22" s="5" t="str">
        <f t="shared" si="0"/>
        <v>No</v>
      </c>
    </row>
    <row r="23" spans="1:4" ht="14.25" customHeight="1" x14ac:dyDescent="0.25">
      <c r="A23" t="s">
        <v>685</v>
      </c>
      <c r="B23" s="14" t="s">
        <v>686</v>
      </c>
      <c r="D23" s="5" t="str">
        <f t="shared" si="0"/>
        <v>No</v>
      </c>
    </row>
    <row r="24" spans="1:4" ht="14.25" customHeight="1" x14ac:dyDescent="0.25">
      <c r="A24" t="s">
        <v>687</v>
      </c>
      <c r="B24" s="14" t="s">
        <v>688</v>
      </c>
      <c r="D24" s="5" t="str">
        <f t="shared" si="0"/>
        <v>No</v>
      </c>
    </row>
    <row r="25" spans="1:4" ht="14.25" customHeight="1" x14ac:dyDescent="0.25">
      <c r="A25" t="s">
        <v>689</v>
      </c>
      <c r="B25" s="14" t="s">
        <v>690</v>
      </c>
    </row>
    <row r="26" spans="1:4" ht="14.25" customHeight="1" x14ac:dyDescent="0.25">
      <c r="A26" t="s">
        <v>691</v>
      </c>
      <c r="B26" s="14" t="s">
        <v>692</v>
      </c>
    </row>
    <row r="27" spans="1:4" ht="14.25" customHeight="1" x14ac:dyDescent="0.25">
      <c r="A27" t="s">
        <v>693</v>
      </c>
      <c r="B27" s="14" t="s">
        <v>694</v>
      </c>
    </row>
    <row r="28" spans="1:4" ht="14.25" customHeight="1" x14ac:dyDescent="0.25">
      <c r="A28" t="s">
        <v>695</v>
      </c>
      <c r="B28" s="15" t="s">
        <v>658</v>
      </c>
      <c r="C28" t="s">
        <v>696</v>
      </c>
    </row>
  </sheetData>
  <dataValidations count="1">
    <dataValidation type="list" allowBlank="1" sqref="B28" xr:uid="{00000000-0002-0000-0500-000000000000}">
      <formula1>$B$9:$B$24</formula1>
      <formula2>0</formula2>
    </dataValidation>
  </dataValidations>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51"/>
  <sheetViews>
    <sheetView zoomScaleNormal="100" workbookViewId="0">
      <selection activeCell="D2" sqref="D2"/>
    </sheetView>
  </sheetViews>
  <sheetFormatPr defaultColWidth="8.5703125" defaultRowHeight="15" x14ac:dyDescent="0.25"/>
  <cols>
    <col min="1" max="1" width="15.5703125" customWidth="1"/>
    <col min="2" max="2" width="8.7109375" style="16" customWidth="1"/>
    <col min="4" max="4" width="28" customWidth="1"/>
  </cols>
  <sheetData>
    <row r="1" spans="1:4" ht="27.75" customHeight="1" x14ac:dyDescent="0.25">
      <c r="A1" t="s">
        <v>697</v>
      </c>
      <c r="B1" s="16" t="s">
        <v>698</v>
      </c>
      <c r="D1" s="17" t="s">
        <v>699</v>
      </c>
    </row>
    <row r="2" spans="1:4" ht="14.25" customHeight="1" x14ac:dyDescent="0.25">
      <c r="A2" t="s">
        <v>16</v>
      </c>
      <c r="B2" s="16" t="str">
        <f>MID(B1,1,1)</f>
        <v>3</v>
      </c>
      <c r="D2" s="15"/>
    </row>
    <row r="3" spans="1:4" ht="14.25" customHeight="1" x14ac:dyDescent="0.25">
      <c r="A3" t="s">
        <v>17</v>
      </c>
      <c r="B3" s="16" t="str">
        <f>MID(B1,3,1)</f>
        <v>4</v>
      </c>
      <c r="D3" s="15"/>
    </row>
    <row r="4" spans="1:4" ht="14.25" customHeight="1" x14ac:dyDescent="0.25">
      <c r="A4" t="s">
        <v>18</v>
      </c>
      <c r="B4" s="16" t="str">
        <f>MID(B1,5,1)</f>
        <v>3</v>
      </c>
      <c r="D4" s="15"/>
    </row>
    <row r="5" spans="1:4" ht="14.25" customHeight="1" x14ac:dyDescent="0.25">
      <c r="A5" t="s">
        <v>700</v>
      </c>
      <c r="D5" s="15"/>
    </row>
    <row r="6" spans="1:4" ht="14.25" customHeight="1" x14ac:dyDescent="0.25">
      <c r="A6" t="s">
        <v>701</v>
      </c>
      <c r="B6" s="16">
        <v>0.7</v>
      </c>
      <c r="D6" s="15"/>
    </row>
    <row r="7" spans="1:4" ht="14.25" customHeight="1" x14ac:dyDescent="0.25">
      <c r="D7" s="15"/>
    </row>
    <row r="8" spans="1:4" ht="14.25" customHeight="1" x14ac:dyDescent="0.25">
      <c r="D8" s="15"/>
    </row>
    <row r="9" spans="1:4" ht="14.25" customHeight="1" x14ac:dyDescent="0.25">
      <c r="D9" s="15"/>
    </row>
    <row r="10" spans="1:4" ht="14.25" customHeight="1" x14ac:dyDescent="0.25">
      <c r="D10" s="15"/>
    </row>
    <row r="11" spans="1:4" ht="14.25" customHeight="1" x14ac:dyDescent="0.25">
      <c r="D11" s="15"/>
    </row>
    <row r="12" spans="1:4" ht="14.25" customHeight="1" x14ac:dyDescent="0.25">
      <c r="D12" s="15"/>
    </row>
    <row r="13" spans="1:4" ht="14.25" customHeight="1" x14ac:dyDescent="0.25">
      <c r="D13" s="15"/>
    </row>
    <row r="14" spans="1:4" ht="14.25" customHeight="1" x14ac:dyDescent="0.25">
      <c r="D14" s="15"/>
    </row>
    <row r="15" spans="1:4" ht="14.25" customHeight="1" x14ac:dyDescent="0.25">
      <c r="D15" s="15"/>
    </row>
    <row r="16" spans="1:4" ht="14.25" customHeight="1" x14ac:dyDescent="0.25">
      <c r="D16" s="15"/>
    </row>
    <row r="17" spans="4:4" ht="14.25" customHeight="1" x14ac:dyDescent="0.25">
      <c r="D17" s="15"/>
    </row>
    <row r="18" spans="4:4" ht="14.25" customHeight="1" x14ac:dyDescent="0.25">
      <c r="D18" s="15"/>
    </row>
    <row r="19" spans="4:4" ht="14.25" customHeight="1" x14ac:dyDescent="0.25">
      <c r="D19" s="15"/>
    </row>
    <row r="20" spans="4:4" ht="14.25" customHeight="1" x14ac:dyDescent="0.25">
      <c r="D20" s="15"/>
    </row>
    <row r="21" spans="4:4" ht="14.25" customHeight="1" x14ac:dyDescent="0.25">
      <c r="D21" s="15"/>
    </row>
    <row r="22" spans="4:4" ht="14.25" customHeight="1" x14ac:dyDescent="0.25">
      <c r="D22" s="15"/>
    </row>
    <row r="23" spans="4:4" ht="14.25" customHeight="1" x14ac:dyDescent="0.25">
      <c r="D23" s="15"/>
    </row>
    <row r="24" spans="4:4" ht="14.25" customHeight="1" x14ac:dyDescent="0.25">
      <c r="D24" s="15"/>
    </row>
    <row r="25" spans="4:4" ht="14.25" customHeight="1" x14ac:dyDescent="0.25">
      <c r="D25" s="15"/>
    </row>
    <row r="26" spans="4:4" ht="14.25" customHeight="1" x14ac:dyDescent="0.25">
      <c r="D26" s="15"/>
    </row>
    <row r="27" spans="4:4" ht="14.25" customHeight="1" x14ac:dyDescent="0.25">
      <c r="D27" s="15"/>
    </row>
    <row r="28" spans="4:4" ht="14.25" customHeight="1" x14ac:dyDescent="0.25">
      <c r="D28" s="15"/>
    </row>
    <row r="29" spans="4:4" ht="14.25" customHeight="1" x14ac:dyDescent="0.25">
      <c r="D29" s="15"/>
    </row>
    <row r="30" spans="4:4" ht="14.25" customHeight="1" x14ac:dyDescent="0.25">
      <c r="D30" s="15"/>
    </row>
    <row r="31" spans="4:4" ht="14.25" customHeight="1" x14ac:dyDescent="0.25">
      <c r="D31" s="15"/>
    </row>
    <row r="32" spans="4:4" ht="14.25" customHeight="1" x14ac:dyDescent="0.25">
      <c r="D32" s="15"/>
    </row>
    <row r="33" spans="4:4" ht="14.25" customHeight="1" x14ac:dyDescent="0.25">
      <c r="D33" s="15"/>
    </row>
    <row r="34" spans="4:4" ht="14.25" customHeight="1" x14ac:dyDescent="0.25">
      <c r="D34" s="15"/>
    </row>
    <row r="35" spans="4:4" ht="14.25" customHeight="1" x14ac:dyDescent="0.25">
      <c r="D35" s="15"/>
    </row>
    <row r="36" spans="4:4" ht="14.25" customHeight="1" x14ac:dyDescent="0.25">
      <c r="D36" s="15"/>
    </row>
    <row r="37" spans="4:4" ht="14.25" customHeight="1" x14ac:dyDescent="0.25">
      <c r="D37" s="15"/>
    </row>
    <row r="38" spans="4:4" ht="14.25" customHeight="1" x14ac:dyDescent="0.25">
      <c r="D38" s="15"/>
    </row>
    <row r="39" spans="4:4" ht="14.25" customHeight="1" x14ac:dyDescent="0.25">
      <c r="D39" s="15"/>
    </row>
    <row r="40" spans="4:4" ht="14.25" customHeight="1" x14ac:dyDescent="0.25">
      <c r="D40" s="15"/>
    </row>
    <row r="41" spans="4:4" ht="14.25" customHeight="1" x14ac:dyDescent="0.25">
      <c r="D41" s="15"/>
    </row>
    <row r="42" spans="4:4" ht="14.25" customHeight="1" x14ac:dyDescent="0.25">
      <c r="D42" s="15"/>
    </row>
    <row r="43" spans="4:4" ht="14.25" customHeight="1" x14ac:dyDescent="0.25">
      <c r="D43" s="15"/>
    </row>
    <row r="44" spans="4:4" ht="14.25" customHeight="1" x14ac:dyDescent="0.25">
      <c r="D44" s="15"/>
    </row>
    <row r="45" spans="4:4" ht="14.25" customHeight="1" x14ac:dyDescent="0.25">
      <c r="D45" s="15"/>
    </row>
    <row r="46" spans="4:4" ht="14.25" customHeight="1" x14ac:dyDescent="0.25">
      <c r="D46" s="15"/>
    </row>
    <row r="47" spans="4:4" ht="14.25" customHeight="1" x14ac:dyDescent="0.25">
      <c r="D47" s="15"/>
    </row>
    <row r="48" spans="4:4" ht="14.25" customHeight="1" x14ac:dyDescent="0.25">
      <c r="D48" s="15"/>
    </row>
    <row r="49" spans="4:4" ht="14.25" customHeight="1" x14ac:dyDescent="0.25">
      <c r="D49" s="15"/>
    </row>
    <row r="50" spans="4:4" ht="14.25" customHeight="1" x14ac:dyDescent="0.25">
      <c r="D50" s="15"/>
    </row>
    <row r="51" spans="4:4" ht="14.25" customHeight="1" x14ac:dyDescent="0.25">
      <c r="D51" s="15"/>
    </row>
  </sheetData>
  <pageMargins left="0.7" right="0.7" top="0.75" bottom="0.75" header="0.511811023622047" footer="0.511811023622047"/>
  <pageSetup paperSize="9" orientation="portrait" horizontalDpi="300" verticalDpi="300"/>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81"/>
  <sheetViews>
    <sheetView showGridLines="0" zoomScaleNormal="100" workbookViewId="0"/>
  </sheetViews>
  <sheetFormatPr defaultColWidth="8.5703125" defaultRowHeight="15" x14ac:dyDescent="0.25"/>
  <cols>
    <col min="1" max="1" width="42" customWidth="1"/>
    <col min="2" max="2" width="12" customWidth="1"/>
    <col min="3" max="3" width="45" customWidth="1"/>
  </cols>
  <sheetData>
    <row r="1" spans="1:3" ht="15.75" customHeight="1" x14ac:dyDescent="0.25">
      <c r="A1" s="31" t="s">
        <v>702</v>
      </c>
    </row>
    <row r="3" spans="1:3" ht="32.25" customHeight="1" x14ac:dyDescent="0.25">
      <c r="A3" s="23" t="s">
        <v>703</v>
      </c>
      <c r="B3" s="32">
        <v>500</v>
      </c>
      <c r="C3" s="33" t="s">
        <v>704</v>
      </c>
    </row>
    <row r="5" spans="1:3" ht="32.25" customHeight="1" x14ac:dyDescent="0.25">
      <c r="A5" s="23" t="s">
        <v>705</v>
      </c>
      <c r="B5" s="34">
        <v>0.15</v>
      </c>
      <c r="C5" s="33" t="s">
        <v>706</v>
      </c>
    </row>
    <row r="7" spans="1:3" ht="21.75" customHeight="1" x14ac:dyDescent="0.25">
      <c r="A7" s="23" t="s">
        <v>707</v>
      </c>
      <c r="B7" s="34">
        <v>0.15</v>
      </c>
      <c r="C7" s="33" t="s">
        <v>708</v>
      </c>
    </row>
    <row r="9" spans="1:3" ht="42.75" customHeight="1" x14ac:dyDescent="0.25">
      <c r="A9" s="23" t="s">
        <v>709</v>
      </c>
      <c r="B9" s="34">
        <v>0.2</v>
      </c>
      <c r="C9" s="33" t="s">
        <v>710</v>
      </c>
    </row>
    <row r="10" spans="1:3" ht="15" customHeight="1" x14ac:dyDescent="0.25">
      <c r="A10" s="35" t="s">
        <v>711</v>
      </c>
    </row>
    <row r="11" spans="1:3" ht="15" customHeight="1" x14ac:dyDescent="0.25">
      <c r="A11" s="22" t="s">
        <v>5</v>
      </c>
      <c r="B11" s="22" t="s">
        <v>712</v>
      </c>
    </row>
    <row r="12" spans="1:3" ht="15" customHeight="1" x14ac:dyDescent="0.25">
      <c r="A12" s="23" t="s">
        <v>15</v>
      </c>
      <c r="B12" s="34">
        <v>0.15</v>
      </c>
    </row>
    <row r="13" spans="1:3" ht="15" customHeight="1" x14ac:dyDescent="0.25">
      <c r="A13" s="23" t="s">
        <v>16</v>
      </c>
      <c r="B13" s="34">
        <v>0.2</v>
      </c>
    </row>
    <row r="14" spans="1:3" ht="15" customHeight="1" x14ac:dyDescent="0.25">
      <c r="A14" s="23" t="s">
        <v>17</v>
      </c>
      <c r="B14" s="34">
        <v>0.25</v>
      </c>
    </row>
    <row r="15" spans="1:3" ht="15" customHeight="1" x14ac:dyDescent="0.25">
      <c r="A15" s="23" t="s">
        <v>18</v>
      </c>
      <c r="B15" s="34">
        <v>0.3</v>
      </c>
    </row>
    <row r="16" spans="1:3" ht="15" customHeight="1" x14ac:dyDescent="0.25">
      <c r="C16" s="36" t="s">
        <v>713</v>
      </c>
    </row>
    <row r="17" spans="1:6" ht="15" customHeight="1" x14ac:dyDescent="0.25">
      <c r="A17" s="35" t="s">
        <v>714</v>
      </c>
      <c r="C17" s="18" t="s">
        <v>715</v>
      </c>
    </row>
    <row r="18" spans="1:6" ht="15" customHeight="1" x14ac:dyDescent="0.25">
      <c r="A18" s="22" t="s">
        <v>5</v>
      </c>
      <c r="B18" s="22" t="s">
        <v>716</v>
      </c>
    </row>
    <row r="19" spans="1:6" ht="15" customHeight="1" x14ac:dyDescent="0.25">
      <c r="A19" s="23" t="s">
        <v>15</v>
      </c>
      <c r="B19" s="27">
        <f>IFERROR(AVERAGEIFS('Output Utente'!$T$2:$T$492,'Output Utente'!$B$2:$B$492,"P",'Output Utente'!$T$2:$T$492,"&lt;&gt;",'Output Utente'!$I$2:$I$492,"&gt;="&amp;$B$23),"")</f>
        <v>5.1494444444444438</v>
      </c>
    </row>
    <row r="20" spans="1:6" ht="15" customHeight="1" x14ac:dyDescent="0.25">
      <c r="A20" s="23" t="s">
        <v>16</v>
      </c>
      <c r="B20" s="27">
        <f>IFERROR(AVERAGEIFS('Output Utente'!$T$2:$T$492,'Output Utente'!$B$2:$B$492,"D",'Output Utente'!$T$2:$T$492,"&lt;&gt;",'Output Utente'!$I$2:$I$492,"&gt;="&amp;$B$23),"")</f>
        <v>6.0221100917431221</v>
      </c>
    </row>
    <row r="21" spans="1:6" ht="15" customHeight="1" x14ac:dyDescent="0.25">
      <c r="A21" s="23" t="s">
        <v>17</v>
      </c>
      <c r="B21" s="27">
        <f>IFERROR(AVERAGEIFS('Output Utente'!$T$2:$T$492,'Output Utente'!$B$2:$B$492,"C",'Output Utente'!$T$2:$T$492,"&lt;&gt;",'Output Utente'!$I$2:$I$492,"&gt;="&amp;$B$23),"")</f>
        <v>6.28050420168067</v>
      </c>
    </row>
    <row r="22" spans="1:6" ht="15" customHeight="1" x14ac:dyDescent="0.25">
      <c r="A22" s="23" t="s">
        <v>18</v>
      </c>
      <c r="B22" s="27">
        <f>IFERROR(AVERAGEIFS('Output Utente'!$T$2:$T$492,'Output Utente'!$B$2:$B$492,"A",'Output Utente'!$T$2:$T$492,"&lt;&gt;",'Output Utente'!$I$2:$I$492,"&gt;="&amp;$B$23),"")</f>
        <v>6.6667857142857105</v>
      </c>
    </row>
    <row r="23" spans="1:6" ht="14.25" customHeight="1" x14ac:dyDescent="0.25">
      <c r="A23" s="23" t="s">
        <v>717</v>
      </c>
      <c r="B23" s="32">
        <v>10</v>
      </c>
      <c r="C23" s="32" t="s">
        <v>718</v>
      </c>
    </row>
    <row r="24" spans="1:6" ht="42.75" customHeight="1" x14ac:dyDescent="0.25">
      <c r="A24" s="23" t="s">
        <v>719</v>
      </c>
      <c r="B24" s="37">
        <v>1.5</v>
      </c>
      <c r="C24" s="33" t="s">
        <v>720</v>
      </c>
    </row>
    <row r="25" spans="1:6" ht="15" customHeight="1" x14ac:dyDescent="0.25">
      <c r="A25" s="23" t="s">
        <v>721</v>
      </c>
      <c r="B25" s="37">
        <v>3</v>
      </c>
    </row>
    <row r="27" spans="1:6" ht="74.25" customHeight="1" x14ac:dyDescent="0.25">
      <c r="A27" s="23" t="s">
        <v>722</v>
      </c>
      <c r="B27" s="32" t="s">
        <v>690</v>
      </c>
      <c r="C27" s="33" t="s">
        <v>723</v>
      </c>
    </row>
    <row r="28" spans="1:6" ht="15" customHeight="1" x14ac:dyDescent="0.25">
      <c r="A28" s="23" t="s">
        <v>724</v>
      </c>
      <c r="B28" s="34">
        <v>0.3</v>
      </c>
    </row>
    <row r="29" spans="1:6" ht="14.25" customHeight="1" x14ac:dyDescent="0.25">
      <c r="A29" s="23" t="s">
        <v>725</v>
      </c>
      <c r="B29" s="32" t="s">
        <v>690</v>
      </c>
      <c r="C29" s="32" t="s">
        <v>726</v>
      </c>
    </row>
    <row r="30" spans="1:6" ht="15" customHeight="1" x14ac:dyDescent="0.25">
      <c r="A30" s="35" t="s">
        <v>727</v>
      </c>
      <c r="B30" s="18">
        <v>1</v>
      </c>
      <c r="C30" s="18" t="s">
        <v>728</v>
      </c>
    </row>
    <row r="31" spans="1:6" ht="15" customHeight="1" x14ac:dyDescent="0.25">
      <c r="A31" s="35" t="s">
        <v>729</v>
      </c>
      <c r="B31" s="35" t="s">
        <v>730</v>
      </c>
      <c r="C31" s="35" t="s">
        <v>731</v>
      </c>
      <c r="D31" s="35" t="s">
        <v>732</v>
      </c>
      <c r="E31" s="35" t="s">
        <v>733</v>
      </c>
      <c r="F31" s="35" t="s">
        <v>734</v>
      </c>
    </row>
    <row r="32" spans="1:6" ht="15" customHeight="1" x14ac:dyDescent="0.25">
      <c r="A32" s="23" t="s">
        <v>15</v>
      </c>
      <c r="B32" s="23">
        <f>'Info Lega'!$B$3*'Info Lega'!$B$5</f>
        <v>24</v>
      </c>
      <c r="C32" s="23">
        <f>COUNTIFS('Output Utente'!$B$2:$B$492,"P",'Output Utente'!$D$2:$D$492,"&lt;&gt;")</f>
        <v>0</v>
      </c>
      <c r="D32" s="23">
        <f>$B32-$C32</f>
        <v>24</v>
      </c>
      <c r="E32" s="23">
        <f>IF($B$29="Si",COUNTIFS('Output Utente'!$B$2:$B$492,"P",'Output Utente'!$D$2:$D$492,"",'Output Utente'!$N$2:$N$492,"&gt;1"),COUNTIFS('Output Utente'!$B$2:$B$492,"P",'Output Utente'!$D$2:$D$492,""))</f>
        <v>24</v>
      </c>
      <c r="F32" s="27">
        <f>IFERROR($E32/$D32,"")</f>
        <v>1</v>
      </c>
    </row>
    <row r="33" spans="1:6" ht="15" customHeight="1" x14ac:dyDescent="0.25">
      <c r="A33" s="23" t="s">
        <v>16</v>
      </c>
      <c r="B33" s="23">
        <f>'Info Lega'!$B$3*'Info Lega'!$B$6</f>
        <v>64</v>
      </c>
      <c r="C33" s="23">
        <f>COUNTIFS('Output Utente'!$B$2:$B$492,"D",'Output Utente'!$D$2:$D$492,"&lt;&gt;")</f>
        <v>0</v>
      </c>
      <c r="D33" s="23">
        <f>$B33-$C33</f>
        <v>64</v>
      </c>
      <c r="E33" s="23">
        <f>IF($B$29="Si",COUNTIFS('Output Utente'!$B$2:$B$492,"D",'Output Utente'!$D$2:$D$492,"",'Output Utente'!$N$2:$N$492,"&gt;1"),COUNTIFS('Output Utente'!$B$2:$B$492,"D",'Output Utente'!$D$2:$D$492,""))</f>
        <v>148</v>
      </c>
      <c r="F33" s="27">
        <f>IFERROR($E33/$D33,"")</f>
        <v>2.3125</v>
      </c>
    </row>
    <row r="34" spans="1:6" ht="15" customHeight="1" x14ac:dyDescent="0.25">
      <c r="A34" s="23" t="s">
        <v>17</v>
      </c>
      <c r="B34" s="23">
        <f>'Info Lega'!$B$3*'Info Lega'!$B$7</f>
        <v>64</v>
      </c>
      <c r="C34" s="23">
        <f>COUNTIFS('Output Utente'!$B$2:$B$492,"C",'Output Utente'!$D$2:$D$492,"&lt;&gt;")</f>
        <v>0</v>
      </c>
      <c r="D34" s="23">
        <f>$B34-$C34</f>
        <v>64</v>
      </c>
      <c r="E34" s="23">
        <f>IF($B$29="Si",COUNTIFS('Output Utente'!$B$2:$B$492,"C",'Output Utente'!$D$2:$D$492,"",'Output Utente'!$N$2:$N$492,"&gt;1"),COUNTIFS('Output Utente'!$B$2:$B$492,"C",'Output Utente'!$D$2:$D$492,""))</f>
        <v>155</v>
      </c>
      <c r="F34" s="27">
        <f>IFERROR($E34/$D34,"")</f>
        <v>2.421875</v>
      </c>
    </row>
    <row r="35" spans="1:6" ht="15" customHeight="1" x14ac:dyDescent="0.25">
      <c r="A35" s="23" t="s">
        <v>18</v>
      </c>
      <c r="B35" s="23">
        <f>'Info Lega'!$B$3*'Info Lega'!$B$8</f>
        <v>48</v>
      </c>
      <c r="C35" s="23">
        <f>COUNTIFS('Output Utente'!$B$2:$B$492,"A",'Output Utente'!$D$2:$D$492,"&lt;&gt;")</f>
        <v>0</v>
      </c>
      <c r="D35" s="23">
        <f>$B35-$C35</f>
        <v>48</v>
      </c>
      <c r="E35" s="23">
        <f>IF($B$29="Si",COUNTIFS('Output Utente'!$B$2:$B$492,"A",'Output Utente'!$D$2:$D$492,"",'Output Utente'!$N$2:$N$492,"&gt;1"),COUNTIFS('Output Utente'!$B$2:$B$492,"A",'Output Utente'!$D$2:$D$492,""))</f>
        <v>77</v>
      </c>
      <c r="F35" s="27">
        <f>IFERROR($E35/$D35,"")</f>
        <v>1.6041666666666667</v>
      </c>
    </row>
    <row r="37" spans="1:6" ht="53.25" customHeight="1" x14ac:dyDescent="0.25">
      <c r="A37" s="35" t="s">
        <v>735</v>
      </c>
      <c r="C37" s="33" t="s">
        <v>736</v>
      </c>
    </row>
    <row r="38" spans="1:6" ht="15" customHeight="1" x14ac:dyDescent="0.25">
      <c r="A38" s="22" t="s">
        <v>5</v>
      </c>
      <c r="B38" s="22" t="s">
        <v>737</v>
      </c>
      <c r="C38" s="22" t="s">
        <v>738</v>
      </c>
    </row>
    <row r="39" spans="1:6" ht="15" customHeight="1" x14ac:dyDescent="0.25">
      <c r="A39" s="23" t="s">
        <v>15</v>
      </c>
      <c r="B39" s="23">
        <f>$B$32</f>
        <v>24</v>
      </c>
      <c r="C39" s="23">
        <f>SUMIFS('Output Utente'!$O$2:$O$492,'Output Utente'!$B$2:$B$492,"P",'Output Utente'!$V$2:$V$492,"&lt;="&amp;$B39)</f>
        <v>689</v>
      </c>
    </row>
    <row r="40" spans="1:6" ht="15" customHeight="1" x14ac:dyDescent="0.25">
      <c r="A40" s="23" t="s">
        <v>16</v>
      </c>
      <c r="B40" s="23">
        <f>$B$33</f>
        <v>64</v>
      </c>
      <c r="C40" s="23">
        <f>SUMIFS('Output Utente'!$O$2:$O$492,'Output Utente'!$B$2:$B$492,"D",'Output Utente'!$V$2:$V$492,"&lt;="&amp;$B40)</f>
        <v>1998</v>
      </c>
    </row>
    <row r="41" spans="1:6" ht="15" customHeight="1" x14ac:dyDescent="0.25">
      <c r="A41" s="23" t="s">
        <v>17</v>
      </c>
      <c r="B41" s="23">
        <f>$B$34</f>
        <v>64</v>
      </c>
      <c r="C41" s="23">
        <f>SUMIFS('Output Utente'!$O$2:$O$492,'Output Utente'!$B$2:$B$492,"C",'Output Utente'!$V$2:$V$492,"&lt;="&amp;$B41)</f>
        <v>3678</v>
      </c>
    </row>
    <row r="42" spans="1:6" ht="15" customHeight="1" x14ac:dyDescent="0.25">
      <c r="A42" s="23" t="s">
        <v>18</v>
      </c>
      <c r="B42" s="23">
        <f>$B$35</f>
        <v>48</v>
      </c>
      <c r="C42" s="23">
        <f>SUMIFS('Output Utente'!$O$2:$O$492,'Output Utente'!$B$2:$B$492,"A",'Output Utente'!$V$2:$V$492,"&lt;="&amp;$B42)</f>
        <v>4604</v>
      </c>
    </row>
    <row r="43" spans="1:6" ht="35.25" customHeight="1" x14ac:dyDescent="0.25">
      <c r="A43" s="35" t="s">
        <v>739</v>
      </c>
      <c r="B43" s="35">
        <f>SUM($C$39:$C$42)</f>
        <v>10969</v>
      </c>
      <c r="C43" s="38" t="s">
        <v>740</v>
      </c>
    </row>
    <row r="44" spans="1:6" ht="15" customHeight="1" x14ac:dyDescent="0.25">
      <c r="A44" s="23" t="s">
        <v>741</v>
      </c>
      <c r="B44" s="35">
        <f>'Info Lega'!$B$3*'Info Lega'!$B$4</f>
        <v>8000</v>
      </c>
    </row>
    <row r="46" spans="1:6" ht="32.25" customHeight="1" x14ac:dyDescent="0.25">
      <c r="A46" s="5" t="s">
        <v>742</v>
      </c>
      <c r="B46" s="39">
        <v>2</v>
      </c>
      <c r="C46" s="13" t="s">
        <v>743</v>
      </c>
    </row>
    <row r="47" spans="1:6" ht="14.25" customHeight="1" x14ac:dyDescent="0.25">
      <c r="A47" s="5" t="s">
        <v>744</v>
      </c>
      <c r="B47" s="39">
        <v>1</v>
      </c>
    </row>
    <row r="48" spans="1:6" ht="42.75" customHeight="1" x14ac:dyDescent="0.25">
      <c r="A48" s="6" t="s">
        <v>745</v>
      </c>
      <c r="C48" s="13" t="s">
        <v>746</v>
      </c>
    </row>
    <row r="49" spans="1:6" ht="14.25" customHeight="1" x14ac:dyDescent="0.25">
      <c r="A49" s="10" t="s">
        <v>5</v>
      </c>
      <c r="B49" s="10" t="s">
        <v>747</v>
      </c>
    </row>
    <row r="50" spans="1:6" ht="14.25" customHeight="1" x14ac:dyDescent="0.25">
      <c r="A50" s="5" t="s">
        <v>15</v>
      </c>
      <c r="B50" s="40">
        <v>9.2999999999999999E-2</v>
      </c>
    </row>
    <row r="51" spans="1:6" ht="14.25" customHeight="1" x14ac:dyDescent="0.25">
      <c r="A51" s="5" t="s">
        <v>16</v>
      </c>
      <c r="B51" s="40">
        <v>0.11600000000000001</v>
      </c>
    </row>
    <row r="52" spans="1:6" ht="14.25" customHeight="1" x14ac:dyDescent="0.25">
      <c r="A52" s="5" t="s">
        <v>17</v>
      </c>
      <c r="B52" s="40">
        <v>0.27800000000000002</v>
      </c>
    </row>
    <row r="53" spans="1:6" ht="14.25" customHeight="1" x14ac:dyDescent="0.25">
      <c r="A53" s="5" t="s">
        <v>18</v>
      </c>
      <c r="B53" s="40">
        <v>0.51500000000000001</v>
      </c>
    </row>
    <row r="55" spans="1:6" ht="42.75" customHeight="1" x14ac:dyDescent="0.25">
      <c r="A55" s="6" t="s">
        <v>748</v>
      </c>
      <c r="C55" s="13" t="s">
        <v>749</v>
      </c>
    </row>
    <row r="56" spans="1:6" ht="30" customHeight="1" x14ac:dyDescent="0.25">
      <c r="A56" s="10" t="s">
        <v>5</v>
      </c>
      <c r="B56" s="10" t="s">
        <v>750</v>
      </c>
      <c r="C56" s="10" t="s">
        <v>751</v>
      </c>
      <c r="D56" s="10" t="s">
        <v>752</v>
      </c>
      <c r="E56" s="10" t="s">
        <v>753</v>
      </c>
      <c r="F56" s="10" t="s">
        <v>754</v>
      </c>
    </row>
    <row r="57" spans="1:6" ht="14.25" customHeight="1" x14ac:dyDescent="0.25">
      <c r="A57" s="5" t="s">
        <v>15</v>
      </c>
      <c r="B57" s="5">
        <f>1</f>
        <v>1</v>
      </c>
      <c r="C57" s="5">
        <f>'Info Lega'!$B$3*$B57</f>
        <v>8</v>
      </c>
      <c r="D57" s="40">
        <v>0.88</v>
      </c>
      <c r="E57" s="5">
        <f>SUMIFS('Output Utente'!$O$2:$O$492,'Output Utente'!$B$2:$B$492,"P",'Output Utente'!$V$2:$V$492,"&lt;="&amp;$C57)</f>
        <v>416</v>
      </c>
      <c r="F57" s="5">
        <f>$C$39-$E57</f>
        <v>273</v>
      </c>
    </row>
    <row r="58" spans="1:6" ht="14.25" customHeight="1" x14ac:dyDescent="0.25">
      <c r="A58" s="5" t="s">
        <v>16</v>
      </c>
      <c r="B58" s="5" t="str">
        <f>'Info Strategia'!$B$2</f>
        <v>3</v>
      </c>
      <c r="C58" s="5">
        <f>'Info Lega'!$B$3*$B58</f>
        <v>24</v>
      </c>
      <c r="D58" s="40">
        <v>0.85</v>
      </c>
      <c r="E58" s="5">
        <f>SUMIFS('Output Utente'!$O$2:$O$492,'Output Utente'!$B$2:$B$492,"D",'Output Utente'!$V$2:$V$492,"&lt;="&amp;$C58)</f>
        <v>1196</v>
      </c>
      <c r="F58" s="5">
        <f>$C$40-$E58</f>
        <v>802</v>
      </c>
    </row>
    <row r="59" spans="1:6" ht="14.25" customHeight="1" x14ac:dyDescent="0.25">
      <c r="A59" s="5" t="s">
        <v>17</v>
      </c>
      <c r="B59" s="5" t="str">
        <f>'Info Strategia'!$B$3</f>
        <v>4</v>
      </c>
      <c r="C59" s="5">
        <f>'Info Lega'!$B$3*$B59</f>
        <v>32</v>
      </c>
      <c r="D59" s="40">
        <v>0.95</v>
      </c>
      <c r="E59" s="5">
        <f>SUMIFS('Output Utente'!$O$2:$O$492,'Output Utente'!$B$2:$B$492,"C",'Output Utente'!$V$2:$V$492,"&lt;="&amp;$C59)</f>
        <v>2897</v>
      </c>
      <c r="F59" s="5">
        <f>$C$41-$E59</f>
        <v>781</v>
      </c>
    </row>
    <row r="60" spans="1:6" ht="14.25" customHeight="1" x14ac:dyDescent="0.25">
      <c r="A60" s="5" t="s">
        <v>18</v>
      </c>
      <c r="B60" s="5" t="str">
        <f>'Info Strategia'!$B$4</f>
        <v>3</v>
      </c>
      <c r="C60" s="5">
        <f>'Info Lega'!$B$3*$B60</f>
        <v>24</v>
      </c>
      <c r="D60" s="40">
        <v>0.93</v>
      </c>
      <c r="E60" s="5">
        <f>SUMIFS('Output Utente'!$O$2:$O$492,'Output Utente'!$B$2:$B$492,"A",'Output Utente'!$V$2:$V$492,"&lt;="&amp;$C60)</f>
        <v>3713</v>
      </c>
      <c r="F60" s="5">
        <f>$C$42-$E60</f>
        <v>891</v>
      </c>
    </row>
    <row r="62" spans="1:6" x14ac:dyDescent="0.25">
      <c r="A62" t="s">
        <v>755</v>
      </c>
      <c r="C62" t="s">
        <v>756</v>
      </c>
    </row>
    <row r="63" spans="1:6" x14ac:dyDescent="0.25">
      <c r="A63" t="s">
        <v>757</v>
      </c>
      <c r="B63">
        <v>0.9</v>
      </c>
      <c r="C63" t="s">
        <v>758</v>
      </c>
    </row>
    <row r="64" spans="1:6" x14ac:dyDescent="0.25">
      <c r="A64" t="s">
        <v>759</v>
      </c>
      <c r="B64">
        <v>0.7</v>
      </c>
      <c r="C64" t="s">
        <v>760</v>
      </c>
    </row>
    <row r="65" spans="1:3" x14ac:dyDescent="0.25">
      <c r="A65" t="s">
        <v>761</v>
      </c>
      <c r="B65">
        <v>0.4</v>
      </c>
      <c r="C65" t="s">
        <v>762</v>
      </c>
    </row>
    <row r="67" spans="1:3" x14ac:dyDescent="0.25">
      <c r="A67" t="s">
        <v>763</v>
      </c>
      <c r="C67" t="s">
        <v>764</v>
      </c>
    </row>
    <row r="68" spans="1:3" x14ac:dyDescent="0.25">
      <c r="A68" t="s">
        <v>765</v>
      </c>
      <c r="B68">
        <v>0.15</v>
      </c>
      <c r="C68" t="s">
        <v>766</v>
      </c>
    </row>
    <row r="69" spans="1:3" x14ac:dyDescent="0.25">
      <c r="A69" t="s">
        <v>767</v>
      </c>
      <c r="B69">
        <v>0</v>
      </c>
      <c r="C69" t="s">
        <v>768</v>
      </c>
    </row>
    <row r="71" spans="1:3" x14ac:dyDescent="0.25">
      <c r="A71" t="s">
        <v>769</v>
      </c>
      <c r="C71" t="s">
        <v>770</v>
      </c>
    </row>
    <row r="72" spans="1:3" x14ac:dyDescent="0.25">
      <c r="A72" t="s">
        <v>5</v>
      </c>
      <c r="B72" t="s">
        <v>771</v>
      </c>
    </row>
    <row r="73" spans="1:3" x14ac:dyDescent="0.25">
      <c r="A73" t="s">
        <v>15</v>
      </c>
      <c r="B73">
        <v>1</v>
      </c>
      <c r="C73" t="s">
        <v>772</v>
      </c>
    </row>
    <row r="74" spans="1:3" x14ac:dyDescent="0.25">
      <c r="A74" t="s">
        <v>16</v>
      </c>
      <c r="B74" t="str">
        <f>'Info Strategia'!$B$2</f>
        <v>3</v>
      </c>
      <c r="C74" t="s">
        <v>773</v>
      </c>
    </row>
    <row r="75" spans="1:3" x14ac:dyDescent="0.25">
      <c r="A75" t="s">
        <v>17</v>
      </c>
      <c r="B75" t="str">
        <f>'Info Strategia'!$B$3</f>
        <v>4</v>
      </c>
    </row>
    <row r="76" spans="1:3" x14ac:dyDescent="0.25">
      <c r="A76" t="s">
        <v>18</v>
      </c>
      <c r="B76" t="str">
        <f>'Info Strategia'!$B$4</f>
        <v>3</v>
      </c>
    </row>
    <row r="78" spans="1:3" x14ac:dyDescent="0.25">
      <c r="A78" t="s">
        <v>774</v>
      </c>
      <c r="B78">
        <v>2</v>
      </c>
      <c r="C78" t="s">
        <v>775</v>
      </c>
    </row>
    <row r="79" spans="1:3" x14ac:dyDescent="0.25">
      <c r="A79" t="s">
        <v>776</v>
      </c>
      <c r="B79">
        <v>150</v>
      </c>
      <c r="C79" t="s">
        <v>777</v>
      </c>
    </row>
    <row r="81" spans="1:3" x14ac:dyDescent="0.25">
      <c r="A81" t="s">
        <v>778</v>
      </c>
      <c r="B81" t="s">
        <v>60</v>
      </c>
      <c r="C81" t="s">
        <v>779</v>
      </c>
    </row>
  </sheetData>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6"/>
  <sheetViews>
    <sheetView showGridLines="0" workbookViewId="0">
      <selection sqref="A1:G1"/>
    </sheetView>
  </sheetViews>
  <sheetFormatPr defaultRowHeight="15" x14ac:dyDescent="0.25"/>
  <cols>
    <col min="1" max="1" width="4" customWidth="1"/>
    <col min="2" max="2" width="8" customWidth="1"/>
    <col min="3" max="6" width="20" customWidth="1"/>
    <col min="7" max="7" width="55" customWidth="1"/>
  </cols>
  <sheetData>
    <row r="1" spans="1:7" ht="16.5" customHeight="1" x14ac:dyDescent="0.25">
      <c r="A1" s="65" t="s">
        <v>780</v>
      </c>
      <c r="B1" s="62"/>
      <c r="C1" s="62"/>
      <c r="D1" s="62"/>
      <c r="E1" s="62"/>
      <c r="F1" s="62"/>
      <c r="G1" s="62"/>
    </row>
    <row r="2" spans="1:7" ht="25.5" customHeight="1" x14ac:dyDescent="0.25">
      <c r="B2" s="45" t="s">
        <v>5</v>
      </c>
      <c r="C2" s="45" t="s">
        <v>781</v>
      </c>
      <c r="D2" s="45" t="s">
        <v>782</v>
      </c>
      <c r="E2" s="45" t="s">
        <v>783</v>
      </c>
      <c r="F2" s="45" t="s">
        <v>14</v>
      </c>
      <c r="G2" s="45" t="s">
        <v>101</v>
      </c>
    </row>
    <row r="3" spans="1:7" x14ac:dyDescent="0.25">
      <c r="B3" t="s">
        <v>15</v>
      </c>
      <c r="C3">
        <f>SUMPRODUCT((TeamDetail!$D$2:$D$17="Si")*(TeamDetail!$C$2:$C$17&lt;&gt;'Info Lega'!$B$28)*(TeamDetail!$F$2:$F$17&gt;0))</f>
        <v>7</v>
      </c>
      <c r="D3">
        <f>ROUND(SUMPRODUCT((TeamDetail!$D$2:$D$17="Si")*(TeamDetail!$C$2:$C$17&lt;&gt;'Info Lega'!$B$28)*(TeamDetail!$F$2:$F$17&gt;0)*TeamDetail!$E$2:$E$17),0)</f>
        <v>7000</v>
      </c>
      <c r="E3">
        <f>IFERROR(ROUND($D3/$C3,0),"")</f>
        <v>1000</v>
      </c>
      <c r="F3" t="str">
        <f>IF($C3=0,"🟢 Bassa",IF(AND($C3&gt;='Parametri Modello'!$B$78,$D3/MAX(1,$C3)&gt;='Parametri Modello'!$B$79),"🔴 Molto Alta",IF($C3&gt;='Parametri Modello'!$B$78,"🟠 Alta","🟡 Media")))</f>
        <v>🔴 Molto Alta</v>
      </c>
      <c r="G3" t="str">
        <f>IF($C3=0,"Nessuna avversaria (attiva) sembra ancora a caccia di un titolare "&amp;$B3&amp;".",$C3&amp;" squadr"&amp;IF($C3=1,"a","e")&amp;" cerca"&amp;IF($C3=1,"","no")&amp;" ancora un titolare "&amp;$B3&amp;", con "&amp;$D3&amp;" crediti disponibili in totale (media "&amp;$E3&amp;"/squadra).")</f>
        <v>7 squadre cercano ancora un titolare P, con 7000 crediti disponibili in totale (media 1000/squadra).</v>
      </c>
    </row>
    <row r="4" spans="1:7" x14ac:dyDescent="0.25">
      <c r="B4" t="s">
        <v>16</v>
      </c>
      <c r="C4">
        <f>SUMPRODUCT((TeamDetail!$D$2:$D$17="Si")*(TeamDetail!$C$2:$C$17&lt;&gt;'Info Lega'!$B$28)*(TeamDetail!$G$2:$G$17&gt;0))</f>
        <v>7</v>
      </c>
      <c r="D4">
        <f>ROUND(SUMPRODUCT((TeamDetail!$D$2:$D$17="Si")*(TeamDetail!$C$2:$C$17&lt;&gt;'Info Lega'!$B$28)*(TeamDetail!$G$2:$G$17&gt;0)*TeamDetail!$E$2:$E$17),0)</f>
        <v>7000</v>
      </c>
      <c r="E4">
        <f>IFERROR(ROUND($D4/$C4,0),"")</f>
        <v>1000</v>
      </c>
      <c r="F4" t="str">
        <f>IF($C4=0,"🟢 Bassa",IF(AND($C4&gt;='Parametri Modello'!$B$78,$D4/MAX(1,$C4)&gt;='Parametri Modello'!$B$79),"🔴 Molto Alta",IF($C4&gt;='Parametri Modello'!$B$78,"🟠 Alta","🟡 Media")))</f>
        <v>🔴 Molto Alta</v>
      </c>
      <c r="G4" t="str">
        <f>IF($C4=0,"Nessuna avversaria (attiva) sembra ancora a caccia di un titolare "&amp;$B4&amp;".",$C4&amp;" squadr"&amp;IF($C4=1,"a","e")&amp;" cerca"&amp;IF($C4=1,"","no")&amp;" ancora un titolare "&amp;$B4&amp;", con "&amp;$D4&amp;" crediti disponibili in totale (media "&amp;$E4&amp;"/squadra).")</f>
        <v>7 squadre cercano ancora un titolare D, con 7000 crediti disponibili in totale (media 1000/squadra).</v>
      </c>
    </row>
    <row r="5" spans="1:7" x14ac:dyDescent="0.25">
      <c r="B5" t="s">
        <v>17</v>
      </c>
      <c r="C5">
        <f>SUMPRODUCT((TeamDetail!$D$2:$D$17="Si")*(TeamDetail!$C$2:$C$17&lt;&gt;'Info Lega'!$B$28)*(TeamDetail!$H$2:$H$17&gt;0))</f>
        <v>7</v>
      </c>
      <c r="D5">
        <f>ROUND(SUMPRODUCT((TeamDetail!$D$2:$D$17="Si")*(TeamDetail!$C$2:$C$17&lt;&gt;'Info Lega'!$B$28)*(TeamDetail!$H$2:$H$17&gt;0)*TeamDetail!$E$2:$E$17),0)</f>
        <v>7000</v>
      </c>
      <c r="E5">
        <f>IFERROR(ROUND($D5/$C5,0),"")</f>
        <v>1000</v>
      </c>
      <c r="F5" t="str">
        <f>IF($C5=0,"🟢 Bassa",IF(AND($C5&gt;='Parametri Modello'!$B$78,$D5/MAX(1,$C5)&gt;='Parametri Modello'!$B$79),"🔴 Molto Alta",IF($C5&gt;='Parametri Modello'!$B$78,"🟠 Alta","🟡 Media")))</f>
        <v>🔴 Molto Alta</v>
      </c>
      <c r="G5" t="str">
        <f>IF($C5=0,"Nessuna avversaria (attiva) sembra ancora a caccia di un titolare "&amp;$B5&amp;".",$C5&amp;" squadr"&amp;IF($C5=1,"a","e")&amp;" cerca"&amp;IF($C5=1,"","no")&amp;" ancora un titolare "&amp;$B5&amp;", con "&amp;$D5&amp;" crediti disponibili in totale (media "&amp;$E5&amp;"/squadra).")</f>
        <v>7 squadre cercano ancora un titolare C, con 7000 crediti disponibili in totale (media 1000/squadra).</v>
      </c>
    </row>
    <row r="6" spans="1:7" x14ac:dyDescent="0.25">
      <c r="B6" t="s">
        <v>18</v>
      </c>
      <c r="C6">
        <f>SUMPRODUCT((TeamDetail!$D$2:$D$17="Si")*(TeamDetail!$C$2:$C$17&lt;&gt;'Info Lega'!$B$28)*(TeamDetail!$I$2:$I$17&gt;0))</f>
        <v>7</v>
      </c>
      <c r="D6">
        <f>ROUND(SUMPRODUCT((TeamDetail!$D$2:$D$17="Si")*(TeamDetail!$C$2:$C$17&lt;&gt;'Info Lega'!$B$28)*(TeamDetail!$I$2:$I$17&gt;0)*TeamDetail!$E$2:$E$17),0)</f>
        <v>7000</v>
      </c>
      <c r="E6">
        <f>IFERROR(ROUND($D6/$C6,0),"")</f>
        <v>1000</v>
      </c>
      <c r="F6" t="str">
        <f>IF($C6=0,"🟢 Bassa",IF(AND($C6&gt;='Parametri Modello'!$B$78,$D6/MAX(1,$C6)&gt;='Parametri Modello'!$B$79),"🔴 Molto Alta",IF($C6&gt;='Parametri Modello'!$B$78,"🟠 Alta","🟡 Media")))</f>
        <v>🔴 Molto Alta</v>
      </c>
      <c r="G6" t="str">
        <f>IF($C6=0,"Nessuna avversaria (attiva) sembra ancora a caccia di un titolare "&amp;$B6&amp;".",$C6&amp;" squadr"&amp;IF($C6=1,"a","e")&amp;" cerca"&amp;IF($C6=1,"","no")&amp;" ancora un titolare "&amp;$B6&amp;", con "&amp;$D6&amp;" crediti disponibili in totale (media "&amp;$E6&amp;"/squadra).")</f>
        <v>7 squadre cercano ancora un titolare A, con 7000 crediti disponibili in totale (media 1000/squadra).</v>
      </c>
    </row>
  </sheetData>
  <mergeCells count="1">
    <mergeCell ref="A1:G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17"/>
  <sheetViews>
    <sheetView showGridLines="0" workbookViewId="0"/>
  </sheetViews>
  <sheetFormatPr defaultRowHeight="15" x14ac:dyDescent="0.25"/>
  <cols>
    <col min="1" max="1" width="10" customWidth="1"/>
    <col min="2" max="2" width="15.28515625" customWidth="1"/>
    <col min="3" max="3" width="10.85546875" customWidth="1"/>
    <col min="4" max="4" width="10" customWidth="1"/>
    <col min="5" max="5" width="12.5703125" customWidth="1"/>
    <col min="6" max="9" width="18.85546875" customWidth="1"/>
  </cols>
  <sheetData>
    <row r="1" spans="1:9" ht="25.5" customHeight="1" x14ac:dyDescent="0.25">
      <c r="A1" s="45" t="s">
        <v>784</v>
      </c>
      <c r="B1" s="45" t="s">
        <v>785</v>
      </c>
      <c r="C1" s="45" t="s">
        <v>786</v>
      </c>
      <c r="D1" s="45" t="s">
        <v>656</v>
      </c>
      <c r="E1" s="45" t="s">
        <v>20</v>
      </c>
      <c r="F1" s="45" t="s">
        <v>787</v>
      </c>
      <c r="G1" s="45" t="s">
        <v>788</v>
      </c>
      <c r="H1" s="45" t="s">
        <v>789</v>
      </c>
      <c r="I1" s="45" t="s">
        <v>790</v>
      </c>
    </row>
    <row r="2" spans="1:9" x14ac:dyDescent="0.25">
      <c r="A2">
        <v>1</v>
      </c>
      <c r="B2">
        <f>('Info Lega'!$B$5-COUNTIFS('Output Utente'!$D$2:$D$492,$C2,'Output Utente'!$B$2:$B$492,"P"))+('Info Lega'!$B$6-COUNTIFS('Output Utente'!$D$2:$D$492,$C2,'Output Utente'!$B$2:$B$492,"D"))+('Info Lega'!$B$7-COUNTIFS('Output Utente'!$D$2:$D$492,$C2,'Output Utente'!$B$2:$B$492,"C"))+('Info Lega'!$B$8-COUNTIFS('Output Utente'!$D$2:$D$492,$C2,'Output Utente'!$B$2:$B$492,"A"))</f>
        <v>25</v>
      </c>
      <c r="C2" t="str">
        <f>'Info Lega'!$B$9</f>
        <v>xxx1</v>
      </c>
      <c r="D2" t="str">
        <f>'Info Lega'!$D$9</f>
        <v>Si</v>
      </c>
      <c r="E2">
        <f>'Info Lega'!$B$4-SUMIFS('Output Utente'!$M$2:$M$492,'Output Utente'!$D$2:$D$492,$C2)</f>
        <v>1000</v>
      </c>
      <c r="F2">
        <f>MAX(0,'Parametri Modello'!$B$73-COUNTIFS('Output Utente'!$D$2:$D$492,$C2,'Output Utente'!$B$2:$B$492,"P",'Output Utente'!$AF$2:$AF$492,"Titolare"))</f>
        <v>1</v>
      </c>
      <c r="G2">
        <f>MAX(0,'Parametri Modello'!$B$74-COUNTIFS('Output Utente'!$D$2:$D$492,$C2,'Output Utente'!$B$2:$B$492,"D",'Output Utente'!$AF$2:$AF$492,"Titolare"))</f>
        <v>3</v>
      </c>
      <c r="H2">
        <f>MAX(0,'Parametri Modello'!$B$75-COUNTIFS('Output Utente'!$D$2:$D$492,$C2,'Output Utente'!$B$2:$B$492,"C",'Output Utente'!$AF$2:$AF$492,"Titolare"))</f>
        <v>4</v>
      </c>
      <c r="I2">
        <f>MAX(0,'Parametri Modello'!$B$76-COUNTIFS('Output Utente'!$D$2:$D$492,$C2,'Output Utente'!$B$2:$B$492,"A",'Output Utente'!$AF$2:$AF$492,"Titolare"))</f>
        <v>3</v>
      </c>
    </row>
    <row r="3" spans="1:9" x14ac:dyDescent="0.25">
      <c r="A3">
        <v>2</v>
      </c>
      <c r="B3">
        <f>('Info Lega'!$B$5-COUNTIFS('Output Utente'!$D$2:$D$492,$C3,'Output Utente'!$B$2:$B$492,"P"))+('Info Lega'!$B$6-COUNTIFS('Output Utente'!$D$2:$D$492,$C3,'Output Utente'!$B$2:$B$492,"D"))+('Info Lega'!$B$7-COUNTIFS('Output Utente'!$D$2:$D$492,$C3,'Output Utente'!$B$2:$B$492,"C"))+('Info Lega'!$B$8-COUNTIFS('Output Utente'!$D$2:$D$492,$C3,'Output Utente'!$B$2:$B$492,"A"))</f>
        <v>25</v>
      </c>
      <c r="C3" t="str">
        <f>'Info Lega'!$B$10</f>
        <v>xxx2</v>
      </c>
      <c r="D3" t="str">
        <f>'Info Lega'!$D$10</f>
        <v>Si</v>
      </c>
      <c r="E3">
        <f>'Info Lega'!$B$4-SUMIFS('Output Utente'!$M$2:$M$492,'Output Utente'!$D$2:$D$492,$C3)</f>
        <v>1000</v>
      </c>
      <c r="F3">
        <f>MAX(0,'Parametri Modello'!$B$73-COUNTIFS('Output Utente'!$D$2:$D$492,$C3,'Output Utente'!$B$2:$B$492,"P",'Output Utente'!$AF$2:$AF$492,"Titolare"))</f>
        <v>1</v>
      </c>
      <c r="G3">
        <f>MAX(0,'Parametri Modello'!$B$74-COUNTIFS('Output Utente'!$D$2:$D$492,$C3,'Output Utente'!$B$2:$B$492,"D",'Output Utente'!$AF$2:$AF$492,"Titolare"))</f>
        <v>3</v>
      </c>
      <c r="H3">
        <f>MAX(0,'Parametri Modello'!$B$75-COUNTIFS('Output Utente'!$D$2:$D$492,$C3,'Output Utente'!$B$2:$B$492,"C",'Output Utente'!$AF$2:$AF$492,"Titolare"))</f>
        <v>4</v>
      </c>
      <c r="I3">
        <f>MAX(0,'Parametri Modello'!$B$76-COUNTIFS('Output Utente'!$D$2:$D$492,$C3,'Output Utente'!$B$2:$B$492,"A",'Output Utente'!$AF$2:$AF$492,"Titolare"))</f>
        <v>3</v>
      </c>
    </row>
    <row r="4" spans="1:9" x14ac:dyDescent="0.25">
      <c r="A4">
        <v>3</v>
      </c>
      <c r="B4">
        <f>('Info Lega'!$B$5-COUNTIFS('Output Utente'!$D$2:$D$492,$C4,'Output Utente'!$B$2:$B$492,"P"))+('Info Lega'!$B$6-COUNTIFS('Output Utente'!$D$2:$D$492,$C4,'Output Utente'!$B$2:$B$492,"D"))+('Info Lega'!$B$7-COUNTIFS('Output Utente'!$D$2:$D$492,$C4,'Output Utente'!$B$2:$B$492,"C"))+('Info Lega'!$B$8-COUNTIFS('Output Utente'!$D$2:$D$492,$C4,'Output Utente'!$B$2:$B$492,"A"))</f>
        <v>25</v>
      </c>
      <c r="C4" t="str">
        <f>'Info Lega'!$B$11</f>
        <v>xxx3</v>
      </c>
      <c r="D4" t="str">
        <f>'Info Lega'!$D$11</f>
        <v>Si</v>
      </c>
      <c r="E4">
        <f>'Info Lega'!$B$4-SUMIFS('Output Utente'!$M$2:$M$492,'Output Utente'!$D$2:$D$492,$C4)</f>
        <v>1000</v>
      </c>
      <c r="F4">
        <f>MAX(0,'Parametri Modello'!$B$73-COUNTIFS('Output Utente'!$D$2:$D$492,$C4,'Output Utente'!$B$2:$B$492,"P",'Output Utente'!$AF$2:$AF$492,"Titolare"))</f>
        <v>1</v>
      </c>
      <c r="G4">
        <f>MAX(0,'Parametri Modello'!$B$74-COUNTIFS('Output Utente'!$D$2:$D$492,$C4,'Output Utente'!$B$2:$B$492,"D",'Output Utente'!$AF$2:$AF$492,"Titolare"))</f>
        <v>3</v>
      </c>
      <c r="H4">
        <f>MAX(0,'Parametri Modello'!$B$75-COUNTIFS('Output Utente'!$D$2:$D$492,$C4,'Output Utente'!$B$2:$B$492,"C",'Output Utente'!$AF$2:$AF$492,"Titolare"))</f>
        <v>4</v>
      </c>
      <c r="I4">
        <f>MAX(0,'Parametri Modello'!$B$76-COUNTIFS('Output Utente'!$D$2:$D$492,$C4,'Output Utente'!$B$2:$B$492,"A",'Output Utente'!$AF$2:$AF$492,"Titolare"))</f>
        <v>3</v>
      </c>
    </row>
    <row r="5" spans="1:9" x14ac:dyDescent="0.25">
      <c r="A5">
        <v>4</v>
      </c>
      <c r="B5">
        <f>('Info Lega'!$B$5-COUNTIFS('Output Utente'!$D$2:$D$492,$C5,'Output Utente'!$B$2:$B$492,"P"))+('Info Lega'!$B$6-COUNTIFS('Output Utente'!$D$2:$D$492,$C5,'Output Utente'!$B$2:$B$492,"D"))+('Info Lega'!$B$7-COUNTIFS('Output Utente'!$D$2:$D$492,$C5,'Output Utente'!$B$2:$B$492,"C"))+('Info Lega'!$B$8-COUNTIFS('Output Utente'!$D$2:$D$492,$C5,'Output Utente'!$B$2:$B$492,"A"))</f>
        <v>25</v>
      </c>
      <c r="C5" t="str">
        <f>'Info Lega'!$B$12</f>
        <v>xxx4</v>
      </c>
      <c r="D5" t="str">
        <f>'Info Lega'!$D$12</f>
        <v>Si</v>
      </c>
      <c r="E5">
        <f>'Info Lega'!$B$4-SUMIFS('Output Utente'!$M$2:$M$492,'Output Utente'!$D$2:$D$492,$C5)</f>
        <v>1000</v>
      </c>
      <c r="F5">
        <f>MAX(0,'Parametri Modello'!$B$73-COUNTIFS('Output Utente'!$D$2:$D$492,$C5,'Output Utente'!$B$2:$B$492,"P",'Output Utente'!$AF$2:$AF$492,"Titolare"))</f>
        <v>1</v>
      </c>
      <c r="G5">
        <f>MAX(0,'Parametri Modello'!$B$74-COUNTIFS('Output Utente'!$D$2:$D$492,$C5,'Output Utente'!$B$2:$B$492,"D",'Output Utente'!$AF$2:$AF$492,"Titolare"))</f>
        <v>3</v>
      </c>
      <c r="H5">
        <f>MAX(0,'Parametri Modello'!$B$75-COUNTIFS('Output Utente'!$D$2:$D$492,$C5,'Output Utente'!$B$2:$B$492,"C",'Output Utente'!$AF$2:$AF$492,"Titolare"))</f>
        <v>4</v>
      </c>
      <c r="I5">
        <f>MAX(0,'Parametri Modello'!$B$76-COUNTIFS('Output Utente'!$D$2:$D$492,$C5,'Output Utente'!$B$2:$B$492,"A",'Output Utente'!$AF$2:$AF$492,"Titolare"))</f>
        <v>3</v>
      </c>
    </row>
    <row r="6" spans="1:9" x14ac:dyDescent="0.25">
      <c r="A6">
        <v>5</v>
      </c>
      <c r="B6">
        <f>('Info Lega'!$B$5-COUNTIFS('Output Utente'!$D$2:$D$492,$C6,'Output Utente'!$B$2:$B$492,"P"))+('Info Lega'!$B$6-COUNTIFS('Output Utente'!$D$2:$D$492,$C6,'Output Utente'!$B$2:$B$492,"D"))+('Info Lega'!$B$7-COUNTIFS('Output Utente'!$D$2:$D$492,$C6,'Output Utente'!$B$2:$B$492,"C"))+('Info Lega'!$B$8-COUNTIFS('Output Utente'!$D$2:$D$492,$C6,'Output Utente'!$B$2:$B$492,"A"))</f>
        <v>25</v>
      </c>
      <c r="C6" t="str">
        <f>'Info Lega'!$B$13</f>
        <v>xxx5</v>
      </c>
      <c r="D6" t="str">
        <f>'Info Lega'!$D$13</f>
        <v>Si</v>
      </c>
      <c r="E6">
        <f>'Info Lega'!$B$4-SUMIFS('Output Utente'!$M$2:$M$492,'Output Utente'!$D$2:$D$492,$C6)</f>
        <v>1000</v>
      </c>
      <c r="F6">
        <f>MAX(0,'Parametri Modello'!$B$73-COUNTIFS('Output Utente'!$D$2:$D$492,$C6,'Output Utente'!$B$2:$B$492,"P",'Output Utente'!$AF$2:$AF$492,"Titolare"))</f>
        <v>1</v>
      </c>
      <c r="G6">
        <f>MAX(0,'Parametri Modello'!$B$74-COUNTIFS('Output Utente'!$D$2:$D$492,$C6,'Output Utente'!$B$2:$B$492,"D",'Output Utente'!$AF$2:$AF$492,"Titolare"))</f>
        <v>3</v>
      </c>
      <c r="H6">
        <f>MAX(0,'Parametri Modello'!$B$75-COUNTIFS('Output Utente'!$D$2:$D$492,$C6,'Output Utente'!$B$2:$B$492,"C",'Output Utente'!$AF$2:$AF$492,"Titolare"))</f>
        <v>4</v>
      </c>
      <c r="I6">
        <f>MAX(0,'Parametri Modello'!$B$76-COUNTIFS('Output Utente'!$D$2:$D$492,$C6,'Output Utente'!$B$2:$B$492,"A",'Output Utente'!$AF$2:$AF$492,"Titolare"))</f>
        <v>3</v>
      </c>
    </row>
    <row r="7" spans="1:9" x14ac:dyDescent="0.25">
      <c r="A7">
        <v>6</v>
      </c>
      <c r="B7">
        <f>('Info Lega'!$B$5-COUNTIFS('Output Utente'!$D$2:$D$492,$C7,'Output Utente'!$B$2:$B$492,"P"))+('Info Lega'!$B$6-COUNTIFS('Output Utente'!$D$2:$D$492,$C7,'Output Utente'!$B$2:$B$492,"D"))+('Info Lega'!$B$7-COUNTIFS('Output Utente'!$D$2:$D$492,$C7,'Output Utente'!$B$2:$B$492,"C"))+('Info Lega'!$B$8-COUNTIFS('Output Utente'!$D$2:$D$492,$C7,'Output Utente'!$B$2:$B$492,"A"))</f>
        <v>25</v>
      </c>
      <c r="C7" t="str">
        <f>'Info Lega'!$B$14</f>
        <v>xxx6</v>
      </c>
      <c r="D7" t="str">
        <f>'Info Lega'!$D$14</f>
        <v>Si</v>
      </c>
      <c r="E7">
        <f>'Info Lega'!$B$4-SUMIFS('Output Utente'!$M$2:$M$492,'Output Utente'!$D$2:$D$492,$C7)</f>
        <v>1000</v>
      </c>
      <c r="F7">
        <f>MAX(0,'Parametri Modello'!$B$73-COUNTIFS('Output Utente'!$D$2:$D$492,$C7,'Output Utente'!$B$2:$B$492,"P",'Output Utente'!$AF$2:$AF$492,"Titolare"))</f>
        <v>1</v>
      </c>
      <c r="G7">
        <f>MAX(0,'Parametri Modello'!$B$74-COUNTIFS('Output Utente'!$D$2:$D$492,$C7,'Output Utente'!$B$2:$B$492,"D",'Output Utente'!$AF$2:$AF$492,"Titolare"))</f>
        <v>3</v>
      </c>
      <c r="H7">
        <f>MAX(0,'Parametri Modello'!$B$75-COUNTIFS('Output Utente'!$D$2:$D$492,$C7,'Output Utente'!$B$2:$B$492,"C",'Output Utente'!$AF$2:$AF$492,"Titolare"))</f>
        <v>4</v>
      </c>
      <c r="I7">
        <f>MAX(0,'Parametri Modello'!$B$76-COUNTIFS('Output Utente'!$D$2:$D$492,$C7,'Output Utente'!$B$2:$B$492,"A",'Output Utente'!$AF$2:$AF$492,"Titolare"))</f>
        <v>3</v>
      </c>
    </row>
    <row r="8" spans="1:9" x14ac:dyDescent="0.25">
      <c r="A8">
        <v>7</v>
      </c>
      <c r="B8">
        <f>('Info Lega'!$B$5-COUNTIFS('Output Utente'!$D$2:$D$492,$C8,'Output Utente'!$B$2:$B$492,"P"))+('Info Lega'!$B$6-COUNTIFS('Output Utente'!$D$2:$D$492,$C8,'Output Utente'!$B$2:$B$492,"D"))+('Info Lega'!$B$7-COUNTIFS('Output Utente'!$D$2:$D$492,$C8,'Output Utente'!$B$2:$B$492,"C"))+('Info Lega'!$B$8-COUNTIFS('Output Utente'!$D$2:$D$492,$C8,'Output Utente'!$B$2:$B$492,"A"))</f>
        <v>25</v>
      </c>
      <c r="C8" t="str">
        <f>'Info Lega'!$B$15</f>
        <v>xxx7</v>
      </c>
      <c r="D8" t="str">
        <f>'Info Lega'!$D$15</f>
        <v>Si</v>
      </c>
      <c r="E8">
        <f>'Info Lega'!$B$4-SUMIFS('Output Utente'!$M$2:$M$492,'Output Utente'!$D$2:$D$492,$C8)</f>
        <v>1000</v>
      </c>
      <c r="F8">
        <f>MAX(0,'Parametri Modello'!$B$73-COUNTIFS('Output Utente'!$D$2:$D$492,$C8,'Output Utente'!$B$2:$B$492,"P",'Output Utente'!$AF$2:$AF$492,"Titolare"))</f>
        <v>1</v>
      </c>
      <c r="G8">
        <f>MAX(0,'Parametri Modello'!$B$74-COUNTIFS('Output Utente'!$D$2:$D$492,$C8,'Output Utente'!$B$2:$B$492,"D",'Output Utente'!$AF$2:$AF$492,"Titolare"))</f>
        <v>3</v>
      </c>
      <c r="H8">
        <f>MAX(0,'Parametri Modello'!$B$75-COUNTIFS('Output Utente'!$D$2:$D$492,$C8,'Output Utente'!$B$2:$B$492,"C",'Output Utente'!$AF$2:$AF$492,"Titolare"))</f>
        <v>4</v>
      </c>
      <c r="I8">
        <f>MAX(0,'Parametri Modello'!$B$76-COUNTIFS('Output Utente'!$D$2:$D$492,$C8,'Output Utente'!$B$2:$B$492,"A",'Output Utente'!$AF$2:$AF$492,"Titolare"))</f>
        <v>3</v>
      </c>
    </row>
    <row r="9" spans="1:9" x14ac:dyDescent="0.25">
      <c r="A9">
        <v>8</v>
      </c>
      <c r="B9">
        <f>('Info Lega'!$B$5-COUNTIFS('Output Utente'!$D$2:$D$492,$C9,'Output Utente'!$B$2:$B$492,"P"))+('Info Lega'!$B$6-COUNTIFS('Output Utente'!$D$2:$D$492,$C9,'Output Utente'!$B$2:$B$492,"D"))+('Info Lega'!$B$7-COUNTIFS('Output Utente'!$D$2:$D$492,$C9,'Output Utente'!$B$2:$B$492,"C"))+('Info Lega'!$B$8-COUNTIFS('Output Utente'!$D$2:$D$492,$C9,'Output Utente'!$B$2:$B$492,"A"))</f>
        <v>25</v>
      </c>
      <c r="C9" t="str">
        <f>'Info Lega'!$B$16</f>
        <v>xxx8</v>
      </c>
      <c r="D9" t="str">
        <f>'Info Lega'!$D$16</f>
        <v>Si</v>
      </c>
      <c r="E9">
        <f>'Info Lega'!$B$4-SUMIFS('Output Utente'!$M$2:$M$492,'Output Utente'!$D$2:$D$492,$C9)</f>
        <v>1000</v>
      </c>
      <c r="F9">
        <f>MAX(0,'Parametri Modello'!$B$73-COUNTIFS('Output Utente'!$D$2:$D$492,$C9,'Output Utente'!$B$2:$B$492,"P",'Output Utente'!$AF$2:$AF$492,"Titolare"))</f>
        <v>1</v>
      </c>
      <c r="G9">
        <f>MAX(0,'Parametri Modello'!$B$74-COUNTIFS('Output Utente'!$D$2:$D$492,$C9,'Output Utente'!$B$2:$B$492,"D",'Output Utente'!$AF$2:$AF$492,"Titolare"))</f>
        <v>3</v>
      </c>
      <c r="H9">
        <f>MAX(0,'Parametri Modello'!$B$75-COUNTIFS('Output Utente'!$D$2:$D$492,$C9,'Output Utente'!$B$2:$B$492,"C",'Output Utente'!$AF$2:$AF$492,"Titolare"))</f>
        <v>4</v>
      </c>
      <c r="I9">
        <f>MAX(0,'Parametri Modello'!$B$76-COUNTIFS('Output Utente'!$D$2:$D$492,$C9,'Output Utente'!$B$2:$B$492,"A",'Output Utente'!$AF$2:$AF$492,"Titolare"))</f>
        <v>3</v>
      </c>
    </row>
    <row r="10" spans="1:9" x14ac:dyDescent="0.25">
      <c r="A10">
        <v>9</v>
      </c>
      <c r="B10">
        <f>('Info Lega'!$B$5-COUNTIFS('Output Utente'!$D$2:$D$492,$C10,'Output Utente'!$B$2:$B$492,"P"))+('Info Lega'!$B$6-COUNTIFS('Output Utente'!$D$2:$D$492,$C10,'Output Utente'!$B$2:$B$492,"D"))+('Info Lega'!$B$7-COUNTIFS('Output Utente'!$D$2:$D$492,$C10,'Output Utente'!$B$2:$B$492,"C"))+('Info Lega'!$B$8-COUNTIFS('Output Utente'!$D$2:$D$492,$C10,'Output Utente'!$B$2:$B$492,"A"))</f>
        <v>25</v>
      </c>
      <c r="C10" t="str">
        <f>'Info Lega'!$B$17</f>
        <v>xxx9</v>
      </c>
      <c r="D10" t="str">
        <f>'Info Lega'!$D$17</f>
        <v>No</v>
      </c>
      <c r="E10">
        <f>'Info Lega'!$B$4-SUMIFS('Output Utente'!$M$2:$M$492,'Output Utente'!$D$2:$D$492,$C10)</f>
        <v>1000</v>
      </c>
      <c r="F10">
        <f>MAX(0,'Parametri Modello'!$B$73-COUNTIFS('Output Utente'!$D$2:$D$492,$C10,'Output Utente'!$B$2:$B$492,"P",'Output Utente'!$AF$2:$AF$492,"Titolare"))</f>
        <v>1</v>
      </c>
      <c r="G10">
        <f>MAX(0,'Parametri Modello'!$B$74-COUNTIFS('Output Utente'!$D$2:$D$492,$C10,'Output Utente'!$B$2:$B$492,"D",'Output Utente'!$AF$2:$AF$492,"Titolare"))</f>
        <v>3</v>
      </c>
      <c r="H10">
        <f>MAX(0,'Parametri Modello'!$B$75-COUNTIFS('Output Utente'!$D$2:$D$492,$C10,'Output Utente'!$B$2:$B$492,"C",'Output Utente'!$AF$2:$AF$492,"Titolare"))</f>
        <v>4</v>
      </c>
      <c r="I10">
        <f>MAX(0,'Parametri Modello'!$B$76-COUNTIFS('Output Utente'!$D$2:$D$492,$C10,'Output Utente'!$B$2:$B$492,"A",'Output Utente'!$AF$2:$AF$492,"Titolare"))</f>
        <v>3</v>
      </c>
    </row>
    <row r="11" spans="1:9" x14ac:dyDescent="0.25">
      <c r="A11">
        <v>10</v>
      </c>
      <c r="B11">
        <f>('Info Lega'!$B$5-COUNTIFS('Output Utente'!$D$2:$D$492,$C11,'Output Utente'!$B$2:$B$492,"P"))+('Info Lega'!$B$6-COUNTIFS('Output Utente'!$D$2:$D$492,$C11,'Output Utente'!$B$2:$B$492,"D"))+('Info Lega'!$B$7-COUNTIFS('Output Utente'!$D$2:$D$492,$C11,'Output Utente'!$B$2:$B$492,"C"))+('Info Lega'!$B$8-COUNTIFS('Output Utente'!$D$2:$D$492,$C11,'Output Utente'!$B$2:$B$492,"A"))</f>
        <v>25</v>
      </c>
      <c r="C11" t="str">
        <f>'Info Lega'!$B$18</f>
        <v>xxx10</v>
      </c>
      <c r="D11" t="str">
        <f>'Info Lega'!$D$18</f>
        <v>No</v>
      </c>
      <c r="E11">
        <f>'Info Lega'!$B$4-SUMIFS('Output Utente'!$M$2:$M$492,'Output Utente'!$D$2:$D$492,$C11)</f>
        <v>1000</v>
      </c>
      <c r="F11">
        <f>MAX(0,'Parametri Modello'!$B$73-COUNTIFS('Output Utente'!$D$2:$D$492,$C11,'Output Utente'!$B$2:$B$492,"P",'Output Utente'!$AF$2:$AF$492,"Titolare"))</f>
        <v>1</v>
      </c>
      <c r="G11">
        <f>MAX(0,'Parametri Modello'!$B$74-COUNTIFS('Output Utente'!$D$2:$D$492,$C11,'Output Utente'!$B$2:$B$492,"D",'Output Utente'!$AF$2:$AF$492,"Titolare"))</f>
        <v>3</v>
      </c>
      <c r="H11">
        <f>MAX(0,'Parametri Modello'!$B$75-COUNTIFS('Output Utente'!$D$2:$D$492,$C11,'Output Utente'!$B$2:$B$492,"C",'Output Utente'!$AF$2:$AF$492,"Titolare"))</f>
        <v>4</v>
      </c>
      <c r="I11">
        <f>MAX(0,'Parametri Modello'!$B$76-COUNTIFS('Output Utente'!$D$2:$D$492,$C11,'Output Utente'!$B$2:$B$492,"A",'Output Utente'!$AF$2:$AF$492,"Titolare"))</f>
        <v>3</v>
      </c>
    </row>
    <row r="12" spans="1:9" x14ac:dyDescent="0.25">
      <c r="A12">
        <v>11</v>
      </c>
      <c r="B12">
        <f>('Info Lega'!$B$5-COUNTIFS('Output Utente'!$D$2:$D$492,$C12,'Output Utente'!$B$2:$B$492,"P"))+('Info Lega'!$B$6-COUNTIFS('Output Utente'!$D$2:$D$492,$C12,'Output Utente'!$B$2:$B$492,"D"))+('Info Lega'!$B$7-COUNTIFS('Output Utente'!$D$2:$D$492,$C12,'Output Utente'!$B$2:$B$492,"C"))+('Info Lega'!$B$8-COUNTIFS('Output Utente'!$D$2:$D$492,$C12,'Output Utente'!$B$2:$B$492,"A"))</f>
        <v>25</v>
      </c>
      <c r="C12" t="str">
        <f>'Info Lega'!$B$19</f>
        <v>xxx11</v>
      </c>
      <c r="D12" t="str">
        <f>'Info Lega'!$D$19</f>
        <v>No</v>
      </c>
      <c r="E12">
        <f>'Info Lega'!$B$4-SUMIFS('Output Utente'!$M$2:$M$492,'Output Utente'!$D$2:$D$492,$C12)</f>
        <v>1000</v>
      </c>
      <c r="F12">
        <f>MAX(0,'Parametri Modello'!$B$73-COUNTIFS('Output Utente'!$D$2:$D$492,$C12,'Output Utente'!$B$2:$B$492,"P",'Output Utente'!$AF$2:$AF$492,"Titolare"))</f>
        <v>1</v>
      </c>
      <c r="G12">
        <f>MAX(0,'Parametri Modello'!$B$74-COUNTIFS('Output Utente'!$D$2:$D$492,$C12,'Output Utente'!$B$2:$B$492,"D",'Output Utente'!$AF$2:$AF$492,"Titolare"))</f>
        <v>3</v>
      </c>
      <c r="H12">
        <f>MAX(0,'Parametri Modello'!$B$75-COUNTIFS('Output Utente'!$D$2:$D$492,$C12,'Output Utente'!$B$2:$B$492,"C",'Output Utente'!$AF$2:$AF$492,"Titolare"))</f>
        <v>4</v>
      </c>
      <c r="I12">
        <f>MAX(0,'Parametri Modello'!$B$76-COUNTIFS('Output Utente'!$D$2:$D$492,$C12,'Output Utente'!$B$2:$B$492,"A",'Output Utente'!$AF$2:$AF$492,"Titolare"))</f>
        <v>3</v>
      </c>
    </row>
    <row r="13" spans="1:9" x14ac:dyDescent="0.25">
      <c r="A13">
        <v>12</v>
      </c>
      <c r="B13">
        <f>('Info Lega'!$B$5-COUNTIFS('Output Utente'!$D$2:$D$492,$C13,'Output Utente'!$B$2:$B$492,"P"))+('Info Lega'!$B$6-COUNTIFS('Output Utente'!$D$2:$D$492,$C13,'Output Utente'!$B$2:$B$492,"D"))+('Info Lega'!$B$7-COUNTIFS('Output Utente'!$D$2:$D$492,$C13,'Output Utente'!$B$2:$B$492,"C"))+('Info Lega'!$B$8-COUNTIFS('Output Utente'!$D$2:$D$492,$C13,'Output Utente'!$B$2:$B$492,"A"))</f>
        <v>25</v>
      </c>
      <c r="C13" t="str">
        <f>'Info Lega'!$B$20</f>
        <v>xxx12</v>
      </c>
      <c r="D13" t="str">
        <f>'Info Lega'!$D$20</f>
        <v>No</v>
      </c>
      <c r="E13">
        <f>'Info Lega'!$B$4-SUMIFS('Output Utente'!$M$2:$M$492,'Output Utente'!$D$2:$D$492,$C13)</f>
        <v>1000</v>
      </c>
      <c r="F13">
        <f>MAX(0,'Parametri Modello'!$B$73-COUNTIFS('Output Utente'!$D$2:$D$492,$C13,'Output Utente'!$B$2:$B$492,"P",'Output Utente'!$AF$2:$AF$492,"Titolare"))</f>
        <v>1</v>
      </c>
      <c r="G13">
        <f>MAX(0,'Parametri Modello'!$B$74-COUNTIFS('Output Utente'!$D$2:$D$492,$C13,'Output Utente'!$B$2:$B$492,"D",'Output Utente'!$AF$2:$AF$492,"Titolare"))</f>
        <v>3</v>
      </c>
      <c r="H13">
        <f>MAX(0,'Parametri Modello'!$B$75-COUNTIFS('Output Utente'!$D$2:$D$492,$C13,'Output Utente'!$B$2:$B$492,"C",'Output Utente'!$AF$2:$AF$492,"Titolare"))</f>
        <v>4</v>
      </c>
      <c r="I13">
        <f>MAX(0,'Parametri Modello'!$B$76-COUNTIFS('Output Utente'!$D$2:$D$492,$C13,'Output Utente'!$B$2:$B$492,"A",'Output Utente'!$AF$2:$AF$492,"Titolare"))</f>
        <v>3</v>
      </c>
    </row>
    <row r="14" spans="1:9" x14ac:dyDescent="0.25">
      <c r="A14">
        <v>13</v>
      </c>
      <c r="B14">
        <f>('Info Lega'!$B$5-COUNTIFS('Output Utente'!$D$2:$D$492,$C14,'Output Utente'!$B$2:$B$492,"P"))+('Info Lega'!$B$6-COUNTIFS('Output Utente'!$D$2:$D$492,$C14,'Output Utente'!$B$2:$B$492,"D"))+('Info Lega'!$B$7-COUNTIFS('Output Utente'!$D$2:$D$492,$C14,'Output Utente'!$B$2:$B$492,"C"))+('Info Lega'!$B$8-COUNTIFS('Output Utente'!$D$2:$D$492,$C14,'Output Utente'!$B$2:$B$492,"A"))</f>
        <v>25</v>
      </c>
      <c r="C14" t="str">
        <f>'Info Lega'!$B$21</f>
        <v>xxx13</v>
      </c>
      <c r="D14" t="str">
        <f>'Info Lega'!$D$21</f>
        <v>No</v>
      </c>
      <c r="E14">
        <f>'Info Lega'!$B$4-SUMIFS('Output Utente'!$M$2:$M$492,'Output Utente'!$D$2:$D$492,$C14)</f>
        <v>1000</v>
      </c>
      <c r="F14">
        <f>MAX(0,'Parametri Modello'!$B$73-COUNTIFS('Output Utente'!$D$2:$D$492,$C14,'Output Utente'!$B$2:$B$492,"P",'Output Utente'!$AF$2:$AF$492,"Titolare"))</f>
        <v>1</v>
      </c>
      <c r="G14">
        <f>MAX(0,'Parametri Modello'!$B$74-COUNTIFS('Output Utente'!$D$2:$D$492,$C14,'Output Utente'!$B$2:$B$492,"D",'Output Utente'!$AF$2:$AF$492,"Titolare"))</f>
        <v>3</v>
      </c>
      <c r="H14">
        <f>MAX(0,'Parametri Modello'!$B$75-COUNTIFS('Output Utente'!$D$2:$D$492,$C14,'Output Utente'!$B$2:$B$492,"C",'Output Utente'!$AF$2:$AF$492,"Titolare"))</f>
        <v>4</v>
      </c>
      <c r="I14">
        <f>MAX(0,'Parametri Modello'!$B$76-COUNTIFS('Output Utente'!$D$2:$D$492,$C14,'Output Utente'!$B$2:$B$492,"A",'Output Utente'!$AF$2:$AF$492,"Titolare"))</f>
        <v>3</v>
      </c>
    </row>
    <row r="15" spans="1:9" x14ac:dyDescent="0.25">
      <c r="A15">
        <v>14</v>
      </c>
      <c r="B15">
        <f>('Info Lega'!$B$5-COUNTIFS('Output Utente'!$D$2:$D$492,$C15,'Output Utente'!$B$2:$B$492,"P"))+('Info Lega'!$B$6-COUNTIFS('Output Utente'!$D$2:$D$492,$C15,'Output Utente'!$B$2:$B$492,"D"))+('Info Lega'!$B$7-COUNTIFS('Output Utente'!$D$2:$D$492,$C15,'Output Utente'!$B$2:$B$492,"C"))+('Info Lega'!$B$8-COUNTIFS('Output Utente'!$D$2:$D$492,$C15,'Output Utente'!$B$2:$B$492,"A"))</f>
        <v>25</v>
      </c>
      <c r="C15" t="str">
        <f>'Info Lega'!$B$22</f>
        <v>xxx14</v>
      </c>
      <c r="D15" t="str">
        <f>'Info Lega'!$D$22</f>
        <v>No</v>
      </c>
      <c r="E15">
        <f>'Info Lega'!$B$4-SUMIFS('Output Utente'!$M$2:$M$492,'Output Utente'!$D$2:$D$492,$C15)</f>
        <v>1000</v>
      </c>
      <c r="F15">
        <f>MAX(0,'Parametri Modello'!$B$73-COUNTIFS('Output Utente'!$D$2:$D$492,$C15,'Output Utente'!$B$2:$B$492,"P",'Output Utente'!$AF$2:$AF$492,"Titolare"))</f>
        <v>1</v>
      </c>
      <c r="G15">
        <f>MAX(0,'Parametri Modello'!$B$74-COUNTIFS('Output Utente'!$D$2:$D$492,$C15,'Output Utente'!$B$2:$B$492,"D",'Output Utente'!$AF$2:$AF$492,"Titolare"))</f>
        <v>3</v>
      </c>
      <c r="H15">
        <f>MAX(0,'Parametri Modello'!$B$75-COUNTIFS('Output Utente'!$D$2:$D$492,$C15,'Output Utente'!$B$2:$B$492,"C",'Output Utente'!$AF$2:$AF$492,"Titolare"))</f>
        <v>4</v>
      </c>
      <c r="I15">
        <f>MAX(0,'Parametri Modello'!$B$76-COUNTIFS('Output Utente'!$D$2:$D$492,$C15,'Output Utente'!$B$2:$B$492,"A",'Output Utente'!$AF$2:$AF$492,"Titolare"))</f>
        <v>3</v>
      </c>
    </row>
    <row r="16" spans="1:9" x14ac:dyDescent="0.25">
      <c r="A16">
        <v>15</v>
      </c>
      <c r="B16">
        <f>('Info Lega'!$B$5-COUNTIFS('Output Utente'!$D$2:$D$492,$C16,'Output Utente'!$B$2:$B$492,"P"))+('Info Lega'!$B$6-COUNTIFS('Output Utente'!$D$2:$D$492,$C16,'Output Utente'!$B$2:$B$492,"D"))+('Info Lega'!$B$7-COUNTIFS('Output Utente'!$D$2:$D$492,$C16,'Output Utente'!$B$2:$B$492,"C"))+('Info Lega'!$B$8-COUNTIFS('Output Utente'!$D$2:$D$492,$C16,'Output Utente'!$B$2:$B$492,"A"))</f>
        <v>25</v>
      </c>
      <c r="C16" t="str">
        <f>'Info Lega'!$B$23</f>
        <v>xxx15</v>
      </c>
      <c r="D16" t="str">
        <f>'Info Lega'!$D$23</f>
        <v>No</v>
      </c>
      <c r="E16">
        <f>'Info Lega'!$B$4-SUMIFS('Output Utente'!$M$2:$M$492,'Output Utente'!$D$2:$D$492,$C16)</f>
        <v>1000</v>
      </c>
      <c r="F16">
        <f>MAX(0,'Parametri Modello'!$B$73-COUNTIFS('Output Utente'!$D$2:$D$492,$C16,'Output Utente'!$B$2:$B$492,"P",'Output Utente'!$AF$2:$AF$492,"Titolare"))</f>
        <v>1</v>
      </c>
      <c r="G16">
        <f>MAX(0,'Parametri Modello'!$B$74-COUNTIFS('Output Utente'!$D$2:$D$492,$C16,'Output Utente'!$B$2:$B$492,"D",'Output Utente'!$AF$2:$AF$492,"Titolare"))</f>
        <v>3</v>
      </c>
      <c r="H16">
        <f>MAX(0,'Parametri Modello'!$B$75-COUNTIFS('Output Utente'!$D$2:$D$492,$C16,'Output Utente'!$B$2:$B$492,"C",'Output Utente'!$AF$2:$AF$492,"Titolare"))</f>
        <v>4</v>
      </c>
      <c r="I16">
        <f>MAX(0,'Parametri Modello'!$B$76-COUNTIFS('Output Utente'!$D$2:$D$492,$C16,'Output Utente'!$B$2:$B$492,"A",'Output Utente'!$AF$2:$AF$492,"Titolare"))</f>
        <v>3</v>
      </c>
    </row>
    <row r="17" spans="1:9" x14ac:dyDescent="0.25">
      <c r="A17">
        <v>16</v>
      </c>
      <c r="B17">
        <f>('Info Lega'!$B$5-COUNTIFS('Output Utente'!$D$2:$D$492,$C17,'Output Utente'!$B$2:$B$492,"P"))+('Info Lega'!$B$6-COUNTIFS('Output Utente'!$D$2:$D$492,$C17,'Output Utente'!$B$2:$B$492,"D"))+('Info Lega'!$B$7-COUNTIFS('Output Utente'!$D$2:$D$492,$C17,'Output Utente'!$B$2:$B$492,"C"))+('Info Lega'!$B$8-COUNTIFS('Output Utente'!$D$2:$D$492,$C17,'Output Utente'!$B$2:$B$492,"A"))</f>
        <v>25</v>
      </c>
      <c r="C17" t="str">
        <f>'Info Lega'!$B$24</f>
        <v>xxx16</v>
      </c>
      <c r="D17" t="str">
        <f>'Info Lega'!$D$24</f>
        <v>No</v>
      </c>
      <c r="E17">
        <f>'Info Lega'!$B$4-SUMIFS('Output Utente'!$M$2:$M$492,'Output Utente'!$D$2:$D$492,$C17)</f>
        <v>1000</v>
      </c>
      <c r="F17">
        <f>MAX(0,'Parametri Modello'!$B$73-COUNTIFS('Output Utente'!$D$2:$D$492,$C17,'Output Utente'!$B$2:$B$492,"P",'Output Utente'!$AF$2:$AF$492,"Titolare"))</f>
        <v>1</v>
      </c>
      <c r="G17">
        <f>MAX(0,'Parametri Modello'!$B$74-COUNTIFS('Output Utente'!$D$2:$D$492,$C17,'Output Utente'!$B$2:$B$492,"D",'Output Utente'!$AF$2:$AF$492,"Titolare"))</f>
        <v>3</v>
      </c>
      <c r="H17">
        <f>MAX(0,'Parametri Modello'!$B$75-COUNTIFS('Output Utente'!$D$2:$D$492,$C17,'Output Utente'!$B$2:$B$492,"C",'Output Utente'!$AF$2:$AF$492,"Titolare"))</f>
        <v>4</v>
      </c>
      <c r="I17">
        <f>MAX(0,'Parametri Modello'!$B$76-COUNTIFS('Output Utente'!$D$2:$D$492,$C17,'Output Utente'!$B$2:$B$492,"A",'Output Utente'!$AF$2:$AF$492,"Titolare"))</f>
        <v>3</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74"/>
  <sheetViews>
    <sheetView showGridLines="0" workbookViewId="0">
      <selection sqref="A1:E1"/>
    </sheetView>
  </sheetViews>
  <sheetFormatPr defaultRowHeight="15" x14ac:dyDescent="0.25"/>
  <cols>
    <col min="1" max="1" width="4" customWidth="1"/>
    <col min="2" max="5" width="22" customWidth="1"/>
  </cols>
  <sheetData>
    <row r="1" spans="1:5" ht="20.25" customHeight="1" x14ac:dyDescent="0.3">
      <c r="A1" s="61" t="s">
        <v>791</v>
      </c>
      <c r="B1" s="62"/>
      <c r="C1" s="62"/>
      <c r="D1" s="62"/>
      <c r="E1" s="62"/>
    </row>
    <row r="2" spans="1:5" x14ac:dyDescent="0.25">
      <c r="A2" s="66" t="s">
        <v>792</v>
      </c>
      <c r="B2" s="62"/>
      <c r="C2" s="62"/>
      <c r="D2" s="62"/>
      <c r="E2" s="62"/>
    </row>
    <row r="4" spans="1:5" ht="15.75" customHeight="1" x14ac:dyDescent="0.25">
      <c r="A4" s="69" t="s">
        <v>6</v>
      </c>
      <c r="B4" s="62"/>
      <c r="C4" s="62"/>
      <c r="D4" s="62"/>
      <c r="E4" s="62"/>
    </row>
    <row r="5" spans="1:5" x14ac:dyDescent="0.25">
      <c r="B5" s="45" t="s">
        <v>793</v>
      </c>
      <c r="C5" s="45" t="s">
        <v>794</v>
      </c>
      <c r="D5" s="45" t="s">
        <v>795</v>
      </c>
      <c r="E5" s="45" t="s">
        <v>796</v>
      </c>
    </row>
    <row r="6" spans="1:5" x14ac:dyDescent="0.25">
      <c r="A6">
        <v>1</v>
      </c>
      <c r="B6" t="str">
        <f>IFERROR(INDEX('Output Utente'!$C$2:$C$492,MATCH("P|Top|1",'Output Utente'!$AL$2:$AL$492,0)),"")</f>
        <v>Svilar</v>
      </c>
      <c r="C6" t="str">
        <f>IFERROR(INDEX('Output Utente'!$C$2:$C$492,MATCH("D|Top|1",'Output Utente'!$AL$2:$AL$492,0)),"")</f>
        <v>Dimarco</v>
      </c>
      <c r="D6" t="str">
        <f>IFERROR(INDEX('Output Utente'!$C$2:$C$492,MATCH("C|Top|1",'Output Utente'!$AL$2:$AL$492,0)),"")</f>
        <v>Paz N.</v>
      </c>
      <c r="E6" t="str">
        <f>IFERROR(INDEX('Output Utente'!$C$2:$C$492,MATCH("A|Top|1",'Output Utente'!$AL$2:$AL$492,0)),"")</f>
        <v>Martinez L.</v>
      </c>
    </row>
    <row r="7" spans="1:5" x14ac:dyDescent="0.25">
      <c r="A7">
        <v>2</v>
      </c>
      <c r="B7" t="str">
        <f>IFERROR(INDEX('Output Utente'!$C$2:$C$492,MATCH("P|Top|2",'Output Utente'!$AL$2:$AL$492,0)),"")</f>
        <v>Martinez Jo.</v>
      </c>
      <c r="C7" t="str">
        <f>IFERROR(INDEX('Output Utente'!$C$2:$C$492,MATCH("D|Top|2",'Output Utente'!$AL$2:$AL$492,0)),"")</f>
        <v>Wesley</v>
      </c>
      <c r="D7" t="str">
        <f>IFERROR(INDEX('Output Utente'!$C$2:$C$492,MATCH("C|Top|2",'Output Utente'!$AL$2:$AL$492,0)),"")</f>
        <v>McTominay</v>
      </c>
      <c r="E7" t="str">
        <f>IFERROR(INDEX('Output Utente'!$C$2:$C$492,MATCH("A|Top|2",'Output Utente'!$AL$2:$AL$492,0)),"")</f>
        <v>Malen</v>
      </c>
    </row>
    <row r="8" spans="1:5" x14ac:dyDescent="0.25">
      <c r="A8">
        <v>3</v>
      </c>
      <c r="B8" t="str">
        <f>IFERROR(INDEX('Output Utente'!$C$2:$C$492,MATCH("P|Top|3",'Output Utente'!$AL$2:$AL$492,0)),"")</f>
        <v>Butez</v>
      </c>
      <c r="C8" t="str">
        <f>IFERROR(INDEX('Output Utente'!$C$2:$C$492,MATCH("D|Top|3",'Output Utente'!$AL$2:$AL$492,0)),"")</f>
        <v>Akanji</v>
      </c>
      <c r="D8" t="str">
        <f>IFERROR(INDEX('Output Utente'!$C$2:$C$492,MATCH("C|Top|3",'Output Utente'!$AL$2:$AL$492,0)),"")</f>
        <v>Calhanoglu</v>
      </c>
      <c r="E8" t="str">
        <f>IFERROR(INDEX('Output Utente'!$C$2:$C$492,MATCH("A|Top|3",'Output Utente'!$AL$2:$AL$492,0)),"")</f>
        <v>Thuram</v>
      </c>
    </row>
    <row r="9" spans="1:5" x14ac:dyDescent="0.25">
      <c r="A9">
        <v>4</v>
      </c>
      <c r="B9" t="str">
        <f>IFERROR(INDEX('Output Utente'!$C$2:$C$492,MATCH("P|Top|4",'Output Utente'!$AL$2:$AL$492,0)),"")</f>
        <v>Carnesecchi</v>
      </c>
      <c r="C9" t="str">
        <f>IFERROR(INDEX('Output Utente'!$C$2:$C$492,MATCH("D|Top|4",'Output Utente'!$AL$2:$AL$492,0)),"")</f>
        <v>Bremer</v>
      </c>
      <c r="D9" t="str">
        <f>IFERROR(INDEX('Output Utente'!$C$2:$C$492,MATCH("C|Top|4",'Output Utente'!$AL$2:$AL$492,0)),"")</f>
        <v>Orsolini</v>
      </c>
      <c r="E9" t="str">
        <f>IFERROR(INDEX('Output Utente'!$C$2:$C$492,MATCH("A|Top|4",'Output Utente'!$AL$2:$AL$492,0)),"")</f>
        <v>Hojlund</v>
      </c>
    </row>
    <row r="10" spans="1:5" x14ac:dyDescent="0.25">
      <c r="A10">
        <v>5</v>
      </c>
      <c r="B10" t="str">
        <f>IFERROR(INDEX('Output Utente'!$C$2:$C$492,MATCH("P|Top|5",'Output Utente'!$AL$2:$AL$492,0)),"")</f>
        <v>Maignan</v>
      </c>
      <c r="C10" t="str">
        <f>IFERROR(INDEX('Output Utente'!$C$2:$C$492,MATCH("D|Top|5",'Output Utente'!$AL$2:$AL$492,0)),"")</f>
        <v>Mancini</v>
      </c>
      <c r="D10" t="str">
        <f>IFERROR(INDEX('Output Utente'!$C$2:$C$492,MATCH("C|Top|5",'Output Utente'!$AL$2:$AL$492,0)),"")</f>
        <v>Pulisic</v>
      </c>
      <c r="E10" t="str">
        <f>IFERROR(INDEX('Output Utente'!$C$2:$C$492,MATCH("A|Top|5",'Output Utente'!$AL$2:$AL$492,0)),"")</f>
        <v>Ramos G.</v>
      </c>
    </row>
    <row r="11" spans="1:5" x14ac:dyDescent="0.25">
      <c r="A11">
        <v>6</v>
      </c>
      <c r="B11" t="str">
        <f>IFERROR(INDEX('Output Utente'!$C$2:$C$492,MATCH("P|Top|6",'Output Utente'!$AL$2:$AL$492,0)),"")</f>
        <v>De Gea</v>
      </c>
      <c r="C11" t="str">
        <f>IFERROR(INDEX('Output Utente'!$C$2:$C$492,MATCH("D|Top|6",'Output Utente'!$AL$2:$AL$492,0)),"")</f>
        <v>Pavlovic</v>
      </c>
      <c r="D11" t="str">
        <f>IFERROR(INDEX('Output Utente'!$C$2:$C$492,MATCH("C|Top|6",'Output Utente'!$AL$2:$AL$492,0)),"")</f>
        <v>Rabiot</v>
      </c>
      <c r="E11" t="str">
        <f>IFERROR(INDEX('Output Utente'!$C$2:$C$492,MATCH("A|Top|6",'Output Utente'!$AL$2:$AL$492,0)),"")</f>
        <v>Kolo Muani</v>
      </c>
    </row>
    <row r="12" spans="1:5" x14ac:dyDescent="0.25">
      <c r="A12">
        <v>7</v>
      </c>
      <c r="B12" t="str">
        <f>IFERROR(INDEX('Output Utente'!$C$2:$C$492,MATCH("P|Top|7",'Output Utente'!$AL$2:$AL$492,0)),"")</f>
        <v/>
      </c>
      <c r="C12" t="str">
        <f>IFERROR(INDEX('Output Utente'!$C$2:$C$492,MATCH("D|Top|7",'Output Utente'!$AL$2:$AL$492,0)),"")</f>
        <v>Rrahmani</v>
      </c>
      <c r="D12" t="str">
        <f>IFERROR(INDEX('Output Utente'!$C$2:$C$492,MATCH("C|Top|7",'Output Utente'!$AL$2:$AL$492,0)),"")</f>
        <v>Baturina</v>
      </c>
      <c r="E12" t="str">
        <f>IFERROR(INDEX('Output Utente'!$C$2:$C$492,MATCH("A|Top|7",'Output Utente'!$AL$2:$AL$492,0)),"")</f>
        <v>Kean</v>
      </c>
    </row>
    <row r="13" spans="1:5" x14ac:dyDescent="0.25">
      <c r="A13">
        <v>8</v>
      </c>
      <c r="B13" t="str">
        <f>IFERROR(INDEX('Output Utente'!$C$2:$C$492,MATCH("P|Top|8",'Output Utente'!$AL$2:$AL$492,0)),"")</f>
        <v/>
      </c>
      <c r="C13" t="str">
        <f>IFERROR(INDEX('Output Utente'!$C$2:$C$492,MATCH("D|Top|8",'Output Utente'!$AL$2:$AL$492,0)),"")</f>
        <v>Kalulu</v>
      </c>
      <c r="D13" t="str">
        <f>IFERROR(INDEX('Output Utente'!$C$2:$C$492,MATCH("C|Top|8",'Output Utente'!$AL$2:$AL$492,0)),"")</f>
        <v>De Bruyne</v>
      </c>
      <c r="E13" t="str">
        <f>IFERROR(INDEX('Output Utente'!$C$2:$C$492,MATCH("A|Top|8",'Output Utente'!$AL$2:$AL$492,0)),"")</f>
        <v>Yildiz</v>
      </c>
    </row>
    <row r="14" spans="1:5" x14ac:dyDescent="0.25">
      <c r="A14">
        <v>9</v>
      </c>
      <c r="B14" t="str">
        <f>IFERROR(INDEX('Output Utente'!$C$2:$C$492,MATCH("P|Top|9",'Output Utente'!$AL$2:$AL$492,0)),"")</f>
        <v/>
      </c>
      <c r="C14" t="str">
        <f>IFERROR(INDEX('Output Utente'!$C$2:$C$492,MATCH("D|Top|9",'Output Utente'!$AL$2:$AL$492,0)),"")</f>
        <v/>
      </c>
      <c r="D14" t="str">
        <f>IFERROR(INDEX('Output Utente'!$C$2:$C$492,MATCH("C|Top|9",'Output Utente'!$AL$2:$AL$492,0)),"")</f>
        <v>Zaccagni</v>
      </c>
      <c r="E14" t="str">
        <f>IFERROR(INDEX('Output Utente'!$C$2:$C$492,MATCH("A|Top|9",'Output Utente'!$AL$2:$AL$492,0)),"")</f>
        <v>Douvikas</v>
      </c>
    </row>
    <row r="15" spans="1:5" x14ac:dyDescent="0.25">
      <c r="A15">
        <v>10</v>
      </c>
      <c r="B15" t="str">
        <f>IFERROR(INDEX('Output Utente'!$C$2:$C$492,MATCH("P|Top|10",'Output Utente'!$AL$2:$AL$492,0)),"")</f>
        <v/>
      </c>
      <c r="C15" t="str">
        <f>IFERROR(INDEX('Output Utente'!$C$2:$C$492,MATCH("D|Top|10",'Output Utente'!$AL$2:$AL$492,0)),"")</f>
        <v>Bastoni</v>
      </c>
      <c r="D15" t="str">
        <f>IFERROR(INDEX('Output Utente'!$C$2:$C$492,MATCH("C|Top|10",'Output Utente'!$AL$2:$AL$492,0)),"")</f>
        <v>Da Cunha</v>
      </c>
      <c r="E15" t="str">
        <f>IFERROR(INDEX('Output Utente'!$C$2:$C$492,MATCH("A|Top|10",'Output Utente'!$AL$2:$AL$492,0)),"")</f>
        <v/>
      </c>
    </row>
    <row r="16" spans="1:5" x14ac:dyDescent="0.25">
      <c r="A16">
        <v>11</v>
      </c>
      <c r="B16" t="str">
        <f>IFERROR(INDEX('Output Utente'!$C$2:$C$492,MATCH("P|Top|11",'Output Utente'!$AL$2:$AL$492,0)),"")</f>
        <v/>
      </c>
      <c r="C16" t="str">
        <f>IFERROR(INDEX('Output Utente'!$C$2:$C$492,MATCH("D|Top|11",'Output Utente'!$AL$2:$AL$492,0)),"")</f>
        <v/>
      </c>
      <c r="D16" t="str">
        <f>IFERROR(INDEX('Output Utente'!$C$2:$C$492,MATCH("C|Top|11",'Output Utente'!$AL$2:$AL$492,0)),"")</f>
        <v/>
      </c>
      <c r="E16" t="str">
        <f>IFERROR(INDEX('Output Utente'!$C$2:$C$492,MATCH("A|Top|11",'Output Utente'!$AL$2:$AL$492,0)),"")</f>
        <v/>
      </c>
    </row>
    <row r="17" spans="1:5" x14ac:dyDescent="0.25">
      <c r="A17">
        <v>12</v>
      </c>
      <c r="B17" t="str">
        <f>IFERROR(INDEX('Output Utente'!$C$2:$C$492,MATCH("P|Top|12",'Output Utente'!$AL$2:$AL$492,0)),"")</f>
        <v/>
      </c>
      <c r="C17" t="str">
        <f>IFERROR(INDEX('Output Utente'!$C$2:$C$492,MATCH("D|Top|12",'Output Utente'!$AL$2:$AL$492,0)),"")</f>
        <v>Di Lorenzo</v>
      </c>
      <c r="D17" t="str">
        <f>IFERROR(INDEX('Output Utente'!$C$2:$C$492,MATCH("C|Top|12",'Output Utente'!$AL$2:$AL$492,0)),"")</f>
        <v>Atta</v>
      </c>
      <c r="E17" t="str">
        <f>IFERROR(INDEX('Output Utente'!$C$2:$C$492,MATCH("A|Top|12",'Output Utente'!$AL$2:$AL$492,0)),"")</f>
        <v/>
      </c>
    </row>
    <row r="18" spans="1:5" x14ac:dyDescent="0.25">
      <c r="A18">
        <v>13</v>
      </c>
      <c r="B18" t="str">
        <f>IFERROR(INDEX('Output Utente'!$C$2:$C$492,MATCH("P|Top|13",'Output Utente'!$AL$2:$AL$492,0)),"")</f>
        <v/>
      </c>
      <c r="C18" t="str">
        <f>IFERROR(INDEX('Output Utente'!$C$2:$C$492,MATCH("D|Top|13",'Output Utente'!$AL$2:$AL$492,0)),"")</f>
        <v/>
      </c>
      <c r="D18" t="str">
        <f>IFERROR(INDEX('Output Utente'!$C$2:$C$492,MATCH("C|Top|13",'Output Utente'!$AL$2:$AL$492,0)),"")</f>
        <v>Barella</v>
      </c>
      <c r="E18" t="str">
        <f>IFERROR(INDEX('Output Utente'!$C$2:$C$492,MATCH("A|Top|13",'Output Utente'!$AL$2:$AL$492,0)),"")</f>
        <v/>
      </c>
    </row>
    <row r="19" spans="1:5" x14ac:dyDescent="0.25">
      <c r="A19">
        <v>14</v>
      </c>
      <c r="B19" t="str">
        <f>IFERROR(INDEX('Output Utente'!$C$2:$C$492,MATCH("P|Top|14",'Output Utente'!$AL$2:$AL$492,0)),"")</f>
        <v/>
      </c>
      <c r="C19" t="str">
        <f>IFERROR(INDEX('Output Utente'!$C$2:$C$492,MATCH("D|Top|14",'Output Utente'!$AL$2:$AL$492,0)),"")</f>
        <v>Stones</v>
      </c>
      <c r="D19" t="str">
        <f>IFERROR(INDEX('Output Utente'!$C$2:$C$492,MATCH("C|Top|14",'Output Utente'!$AL$2:$AL$492,0)),"")</f>
        <v>Vlasic</v>
      </c>
      <c r="E19" t="str">
        <f>IFERROR(INDEX('Output Utente'!$C$2:$C$492,MATCH("A|Top|14",'Output Utente'!$AL$2:$AL$492,0)),"")</f>
        <v/>
      </c>
    </row>
    <row r="20" spans="1:5" x14ac:dyDescent="0.25">
      <c r="A20">
        <v>15</v>
      </c>
      <c r="B20" t="str">
        <f>IFERROR(INDEX('Output Utente'!$C$2:$C$492,MATCH("P|Top|15",'Output Utente'!$AL$2:$AL$492,0)),"")</f>
        <v/>
      </c>
      <c r="C20" t="str">
        <f>IFERROR(INDEX('Output Utente'!$C$2:$C$492,MATCH("D|Top|15",'Output Utente'!$AL$2:$AL$492,0)),"")</f>
        <v>Bisseck</v>
      </c>
      <c r="D20" t="str">
        <f>IFERROR(INDEX('Output Utente'!$C$2:$C$492,MATCH("C|Top|15",'Output Utente'!$AL$2:$AL$492,0)),"")</f>
        <v>McKennie</v>
      </c>
      <c r="E20" t="str">
        <f>IFERROR(INDEX('Output Utente'!$C$2:$C$492,MATCH("A|Top|15",'Output Utente'!$AL$2:$AL$492,0)),"")</f>
        <v/>
      </c>
    </row>
    <row r="22" spans="1:5" ht="15.75" customHeight="1" x14ac:dyDescent="0.25">
      <c r="A22" s="69" t="s">
        <v>7</v>
      </c>
      <c r="B22" s="62"/>
      <c r="C22" s="62"/>
      <c r="D22" s="62"/>
      <c r="E22" s="62"/>
    </row>
    <row r="23" spans="1:5" x14ac:dyDescent="0.25">
      <c r="B23" s="45" t="s">
        <v>793</v>
      </c>
      <c r="C23" s="45" t="s">
        <v>794</v>
      </c>
      <c r="D23" s="45" t="s">
        <v>795</v>
      </c>
      <c r="E23" s="45" t="s">
        <v>796</v>
      </c>
    </row>
    <row r="24" spans="1:5" x14ac:dyDescent="0.25">
      <c r="A24">
        <v>1</v>
      </c>
      <c r="B24" t="str">
        <f>IFERROR(INDEX('Output Utente'!$C$2:$C$492,MATCH("P|Buono|1",'Output Utente'!$AL$2:$AL$492,0)),"")</f>
        <v>Di Gregorio</v>
      </c>
      <c r="C24" t="str">
        <f>IFERROR(INDEX('Output Utente'!$C$2:$C$492,MATCH("D|Buono|1",'Output Utente'!$AL$2:$AL$492,0)),"")</f>
        <v>Dodò</v>
      </c>
      <c r="D24" t="str">
        <f>IFERROR(INDEX('Output Utente'!$C$2:$C$492,MATCH("C|Buono|1",'Output Utente'!$AL$2:$AL$492,0)),"")</f>
        <v>Alajbegovic</v>
      </c>
      <c r="E24" t="str">
        <f>IFERROR(INDEX('Output Utente'!$C$2:$C$492,MATCH("A|Buono|1",'Output Utente'!$AL$2:$AL$492,0)),"")</f>
        <v>Scamacca</v>
      </c>
    </row>
    <row r="25" spans="1:5" x14ac:dyDescent="0.25">
      <c r="A25">
        <v>2</v>
      </c>
      <c r="B25" t="str">
        <f>IFERROR(INDEX('Output Utente'!$C$2:$C$492,MATCH("P|Buono|2",'Output Utente'!$AL$2:$AL$492,0)),"")</f>
        <v>Skorupski</v>
      </c>
      <c r="C25" t="str">
        <f>IFERROR(INDEX('Output Utente'!$C$2:$C$492,MATCH("D|Buono|2",'Output Utente'!$AL$2:$AL$492,0)),"")</f>
        <v>Scalvini</v>
      </c>
      <c r="D25" t="str">
        <f>IFERROR(INDEX('Output Utente'!$C$2:$C$492,MATCH("C|Buono|2",'Output Utente'!$AL$2:$AL$492,0)),"")</f>
        <v>Zambo Anguissa</v>
      </c>
      <c r="E25" t="str">
        <f>IFERROR(INDEX('Output Utente'!$C$2:$C$492,MATCH("A|Buono|2",'Output Utente'!$AL$2:$AL$492,0)),"")</f>
        <v>Davis K.</v>
      </c>
    </row>
    <row r="26" spans="1:5" x14ac:dyDescent="0.25">
      <c r="A26">
        <v>3</v>
      </c>
      <c r="B26" t="str">
        <f>IFERROR(INDEX('Output Utente'!$C$2:$C$492,MATCH("P|Buono|3",'Output Utente'!$AL$2:$AL$492,0)),"")</f>
        <v>Mandas</v>
      </c>
      <c r="C26" t="str">
        <f>IFERROR(INDEX('Output Utente'!$C$2:$C$492,MATCH("D|Buono|3",'Output Utente'!$AL$2:$AL$492,0)),"")</f>
        <v>Cambiaso</v>
      </c>
      <c r="D26" t="str">
        <f>IFERROR(INDEX('Output Utente'!$C$2:$C$492,MATCH("C|Buono|3",'Output Utente'!$AL$2:$AL$492,0)),"")</f>
        <v>Modric</v>
      </c>
      <c r="E26" t="str">
        <f>IFERROR(INDEX('Output Utente'!$C$2:$C$492,MATCH("A|Buono|3",'Output Utente'!$AL$2:$AL$492,0)),"")</f>
        <v>Leao</v>
      </c>
    </row>
    <row r="27" spans="1:5" x14ac:dyDescent="0.25">
      <c r="A27">
        <v>4</v>
      </c>
      <c r="B27" t="str">
        <f>IFERROR(INDEX('Output Utente'!$C$2:$C$492,MATCH("P|Buono|4",'Output Utente'!$AL$2:$AL$492,0)),"")</f>
        <v>Okoye</v>
      </c>
      <c r="C27" t="str">
        <f>IFERROR(INDEX('Output Utente'!$C$2:$C$492,MATCH("D|Buono|4",'Output Utente'!$AL$2:$AL$492,0)),"")</f>
        <v/>
      </c>
      <c r="D27" t="str">
        <f>IFERROR(INDEX('Output Utente'!$C$2:$C$492,MATCH("C|Buono|4",'Output Utente'!$AL$2:$AL$492,0)),"")</f>
        <v>Politano</v>
      </c>
      <c r="E27" t="str">
        <f>IFERROR(INDEX('Output Utente'!$C$2:$C$492,MATCH("A|Buono|4",'Output Utente'!$AL$2:$AL$492,0)),"")</f>
        <v>Berardi</v>
      </c>
    </row>
    <row r="28" spans="1:5" x14ac:dyDescent="0.25">
      <c r="A28">
        <v>5</v>
      </c>
      <c r="B28" t="str">
        <f>IFERROR(INDEX('Output Utente'!$C$2:$C$492,MATCH("P|Buono|5",'Output Utente'!$AL$2:$AL$492,0)),"")</f>
        <v>Caprile</v>
      </c>
      <c r="C28" t="str">
        <f>IFERROR(INDEX('Output Utente'!$C$2:$C$492,MATCH("D|Buono|5",'Output Utente'!$AL$2:$AL$492,0)),"")</f>
        <v/>
      </c>
      <c r="D28" t="str">
        <f>IFERROR(INDEX('Output Utente'!$C$2:$C$492,MATCH("C|Buono|5",'Output Utente'!$AL$2:$AL$492,0)),"")</f>
        <v>Ederson D.S.</v>
      </c>
      <c r="E28" t="str">
        <f>IFERROR(INDEX('Output Utente'!$C$2:$C$492,MATCH("A|Buono|5",'Output Utente'!$AL$2:$AL$492,0)),"")</f>
        <v>De Ketelaere</v>
      </c>
    </row>
    <row r="29" spans="1:5" x14ac:dyDescent="0.25">
      <c r="A29">
        <v>6</v>
      </c>
      <c r="B29" t="str">
        <f>IFERROR(INDEX('Output Utente'!$C$2:$C$492,MATCH("P|Buono|6",'Output Utente'!$AL$2:$AL$492,0)),"")</f>
        <v>Falcone</v>
      </c>
      <c r="C29" t="str">
        <f>IFERROR(INDEX('Output Utente'!$C$2:$C$492,MATCH("D|Buono|6",'Output Utente'!$AL$2:$AL$492,0)),"")</f>
        <v>Hermoso</v>
      </c>
      <c r="D29" t="str">
        <f>IFERROR(INDEX('Output Utente'!$C$2:$C$492,MATCH("C|Buono|6",'Output Utente'!$AL$2:$AL$492,0)),"")</f>
        <v>Saelemaekers</v>
      </c>
      <c r="E29" t="str">
        <f>IFERROR(INDEX('Output Utente'!$C$2:$C$492,MATCH("A|Buono|6",'Output Utente'!$AL$2:$AL$492,0)),"")</f>
        <v>Krstovic</v>
      </c>
    </row>
    <row r="30" spans="1:5" x14ac:dyDescent="0.25">
      <c r="A30">
        <v>7</v>
      </c>
      <c r="B30" t="str">
        <f>IFERROR(INDEX('Output Utente'!$C$2:$C$492,MATCH("P|Buono|7",'Output Utente'!$AL$2:$AL$492,0)),"")</f>
        <v>Suzuki</v>
      </c>
      <c r="C30" t="str">
        <f>IFERROR(INDEX('Output Utente'!$C$2:$C$492,MATCH("D|Buono|7",'Output Utente'!$AL$2:$AL$492,0)),"")</f>
        <v>Bartesaghi</v>
      </c>
      <c r="D30" t="str">
        <f>IFERROR(INDEX('Output Utente'!$C$2:$C$492,MATCH("C|Buono|7",'Output Utente'!$AL$2:$AL$492,0)),"")</f>
        <v>Samardzic</v>
      </c>
      <c r="E30" t="str">
        <f>IFERROR(INDEX('Output Utente'!$C$2:$C$492,MATCH("A|Buono|7",'Output Utente'!$AL$2:$AL$492,0)),"")</f>
        <v>Esposito F.P.</v>
      </c>
    </row>
    <row r="31" spans="1:5" x14ac:dyDescent="0.25">
      <c r="A31">
        <v>8</v>
      </c>
      <c r="B31" t="str">
        <f>IFERROR(INDEX('Output Utente'!$C$2:$C$492,MATCH("P|Buono|8",'Output Utente'!$AL$2:$AL$492,0)),"")</f>
        <v>Bijlow</v>
      </c>
      <c r="C31" t="str">
        <f>IFERROR(INDEX('Output Utente'!$C$2:$C$492,MATCH("D|Buono|8",'Output Utente'!$AL$2:$AL$492,0)),"")</f>
        <v>Zappacosta</v>
      </c>
      <c r="D31" t="str">
        <f>IFERROR(INDEX('Output Utente'!$C$2:$C$492,MATCH("C|Buono|8",'Output Utente'!$AL$2:$AL$492,0)),"")</f>
        <v/>
      </c>
      <c r="E31" t="str">
        <f>IFERROR(INDEX('Output Utente'!$C$2:$C$492,MATCH("A|Buono|8",'Output Utente'!$AL$2:$AL$492,0)),"")</f>
        <v>Laurientè</v>
      </c>
    </row>
    <row r="32" spans="1:5" x14ac:dyDescent="0.25">
      <c r="A32">
        <v>9</v>
      </c>
      <c r="B32" t="str">
        <f>IFERROR(INDEX('Output Utente'!$C$2:$C$492,MATCH("P|Buono|9",'Output Utente'!$AL$2:$AL$492,0)),"")</f>
        <v>Muric</v>
      </c>
      <c r="C32" t="str">
        <f>IFERROR(INDEX('Output Utente'!$C$2:$C$492,MATCH("D|Buono|9",'Output Utente'!$AL$2:$AL$492,0)),"")</f>
        <v/>
      </c>
      <c r="D32" t="str">
        <f>IFERROR(INDEX('Output Utente'!$C$2:$C$492,MATCH("C|Buono|9",'Output Utente'!$AL$2:$AL$492,0)),"")</f>
        <v>Zielinski</v>
      </c>
      <c r="E32" t="str">
        <f>IFERROR(INDEX('Output Utente'!$C$2:$C$492,MATCH("A|Buono|9",'Output Utente'!$AL$2:$AL$492,0)),"")</f>
        <v>Dovbyk</v>
      </c>
    </row>
    <row r="33" spans="1:5" x14ac:dyDescent="0.25">
      <c r="A33">
        <v>10</v>
      </c>
      <c r="B33" t="str">
        <f>IFERROR(INDEX('Output Utente'!$C$2:$C$492,MATCH("P|Buono|10",'Output Utente'!$AL$2:$AL$492,0)),"")</f>
        <v>Stankovic F.</v>
      </c>
      <c r="C33" t="str">
        <f>IFERROR(INDEX('Output Utente'!$C$2:$C$492,MATCH("D|Buono|10",'Output Utente'!$AL$2:$AL$492,0)),"")</f>
        <v/>
      </c>
      <c r="D33" t="str">
        <f>IFERROR(INDEX('Output Utente'!$C$2:$C$492,MATCH("C|Buono|10",'Output Utente'!$AL$2:$AL$492,0)),"")</f>
        <v/>
      </c>
      <c r="E33" t="str">
        <f>IFERROR(INDEX('Output Utente'!$C$2:$C$492,MATCH("A|Buono|10",'Output Utente'!$AL$2:$AL$492,0)),"")</f>
        <v>Castro S.</v>
      </c>
    </row>
    <row r="34" spans="1:5" x14ac:dyDescent="0.25">
      <c r="A34">
        <v>11</v>
      </c>
      <c r="B34" t="str">
        <f>IFERROR(INDEX('Output Utente'!$C$2:$C$492,MATCH("P|Buono|11",'Output Utente'!$AL$2:$AL$492,0)),"")</f>
        <v>Thiam</v>
      </c>
      <c r="C34" t="str">
        <f>IFERROR(INDEX('Output Utente'!$C$2:$C$492,MATCH("D|Buono|11",'Output Utente'!$AL$2:$AL$492,0)),"")</f>
        <v/>
      </c>
      <c r="D34" t="str">
        <f>IFERROR(INDEX('Output Utente'!$C$2:$C$492,MATCH("C|Buono|11",'Output Utente'!$AL$2:$AL$492,0)),"")</f>
        <v/>
      </c>
      <c r="E34" t="str">
        <f>IFERROR(INDEX('Output Utente'!$C$2:$C$492,MATCH("A|Buono|11",'Output Utente'!$AL$2:$AL$492,0)),"")</f>
        <v>Simeone</v>
      </c>
    </row>
    <row r="35" spans="1:5" x14ac:dyDescent="0.25">
      <c r="A35">
        <v>12</v>
      </c>
      <c r="B35" t="str">
        <f>IFERROR(INDEX('Output Utente'!$C$2:$C$492,MATCH("P|Buono|12",'Output Utente'!$AL$2:$AL$492,0)),"")</f>
        <v/>
      </c>
      <c r="C35" t="str">
        <f>IFERROR(INDEX('Output Utente'!$C$2:$C$492,MATCH("D|Buono|12",'Output Utente'!$AL$2:$AL$492,0)),"")</f>
        <v/>
      </c>
      <c r="D35" t="str">
        <f>IFERROR(INDEX('Output Utente'!$C$2:$C$492,MATCH("C|Buono|12",'Output Utente'!$AL$2:$AL$492,0)),"")</f>
        <v/>
      </c>
      <c r="E35" t="str">
        <f>IFERROR(INDEX('Output Utente'!$C$2:$C$492,MATCH("A|Buono|12",'Output Utente'!$AL$2:$AL$492,0)),"")</f>
        <v>Pellegrino M.</v>
      </c>
    </row>
    <row r="36" spans="1:5" x14ac:dyDescent="0.25">
      <c r="A36">
        <v>13</v>
      </c>
      <c r="B36" t="str">
        <f>IFERROR(INDEX('Output Utente'!$C$2:$C$492,MATCH("P|Buono|13",'Output Utente'!$AL$2:$AL$492,0)),"")</f>
        <v/>
      </c>
      <c r="C36" t="str">
        <f>IFERROR(INDEX('Output Utente'!$C$2:$C$492,MATCH("D|Buono|13",'Output Utente'!$AL$2:$AL$492,0)),"")</f>
        <v>Jimenez A.</v>
      </c>
      <c r="D36" t="str">
        <f>IFERROR(INDEX('Output Utente'!$C$2:$C$492,MATCH("C|Buono|13",'Output Utente'!$AL$2:$AL$492,0)),"")</f>
        <v>Perrone</v>
      </c>
      <c r="E36" t="str">
        <f>IFERROR(INDEX('Output Utente'!$C$2:$C$492,MATCH("A|Buono|13",'Output Utente'!$AL$2:$AL$492,0)),"")</f>
        <v>Dybala</v>
      </c>
    </row>
    <row r="37" spans="1:5" x14ac:dyDescent="0.25">
      <c r="A37">
        <v>14</v>
      </c>
      <c r="B37" t="str">
        <f>IFERROR(INDEX('Output Utente'!$C$2:$C$492,MATCH("P|Buono|14",'Output Utente'!$AL$2:$AL$492,0)),"")</f>
        <v/>
      </c>
      <c r="C37" t="str">
        <f>IFERROR(INDEX('Output Utente'!$C$2:$C$492,MATCH("D|Buono|14",'Output Utente'!$AL$2:$AL$492,0)),"")</f>
        <v/>
      </c>
      <c r="D37" t="str">
        <f>IFERROR(INDEX('Output Utente'!$C$2:$C$492,MATCH("C|Buono|14",'Output Utente'!$AL$2:$AL$492,0)),"")</f>
        <v>Rowe</v>
      </c>
      <c r="E37" t="str">
        <f>IFERROR(INDEX('Output Utente'!$C$2:$C$492,MATCH("A|Buono|14",'Output Utente'!$AL$2:$AL$492,0)),"")</f>
        <v>Colombo</v>
      </c>
    </row>
    <row r="38" spans="1:5" x14ac:dyDescent="0.25">
      <c r="A38">
        <v>15</v>
      </c>
      <c r="B38" t="str">
        <f>IFERROR(INDEX('Output Utente'!$C$2:$C$492,MATCH("P|Buono|15",'Output Utente'!$AL$2:$AL$492,0)),"")</f>
        <v/>
      </c>
      <c r="C38" t="str">
        <f>IFERROR(INDEX('Output Utente'!$C$2:$C$492,MATCH("D|Buono|15",'Output Utente'!$AL$2:$AL$492,0)),"")</f>
        <v/>
      </c>
      <c r="D38" t="str">
        <f>IFERROR(INDEX('Output Utente'!$C$2:$C$492,MATCH("C|Buono|15",'Output Utente'!$AL$2:$AL$492,0)),"")</f>
        <v/>
      </c>
      <c r="E38" t="str">
        <f>IFERROR(INDEX('Output Utente'!$C$2:$C$492,MATCH("A|Buono|15",'Output Utente'!$AL$2:$AL$492,0)),"")</f>
        <v>Raspadori</v>
      </c>
    </row>
    <row r="40" spans="1:5" ht="15.75" customHeight="1" x14ac:dyDescent="0.25">
      <c r="A40" s="69" t="s">
        <v>8</v>
      </c>
      <c r="B40" s="62"/>
      <c r="C40" s="62"/>
      <c r="D40" s="62"/>
      <c r="E40" s="62"/>
    </row>
    <row r="41" spans="1:5" x14ac:dyDescent="0.25">
      <c r="B41" s="45" t="s">
        <v>793</v>
      </c>
      <c r="C41" s="45" t="s">
        <v>794</v>
      </c>
      <c r="D41" s="45" t="s">
        <v>795</v>
      </c>
      <c r="E41" s="45" t="s">
        <v>796</v>
      </c>
    </row>
    <row r="42" spans="1:5" x14ac:dyDescent="0.25">
      <c r="A42">
        <v>1</v>
      </c>
      <c r="B42" t="str">
        <f>IFERROR(INDEX('Output Utente'!$C$2:$C$492,MATCH("P|Nella Media|1",'Output Utente'!$AL$2:$AL$492,0)),"")</f>
        <v>Perin</v>
      </c>
      <c r="C42" t="str">
        <f>IFERROR(INDEX('Output Utente'!$C$2:$C$492,MATCH("D|Nella Media|1",'Output Utente'!$AL$2:$AL$492,0)),"")</f>
        <v>Hien</v>
      </c>
      <c r="D42" t="str">
        <f>IFERROR(INDEX('Output Utente'!$C$2:$C$492,MATCH("C|Nella Media|1",'Output Utente'!$AL$2:$AL$492,0)),"")</f>
        <v>Odgaard</v>
      </c>
      <c r="E42" t="str">
        <f>IFERROR(INDEX('Output Utente'!$C$2:$C$492,MATCH("A|Nella Media|1",'Output Utente'!$AL$2:$AL$492,0)),"")</f>
        <v>Soulè</v>
      </c>
    </row>
    <row r="43" spans="1:5" x14ac:dyDescent="0.25">
      <c r="A43">
        <v>2</v>
      </c>
      <c r="B43" t="str">
        <f>IFERROR(INDEX('Output Utente'!$C$2:$C$492,MATCH("P|Nella Media|2",'Output Utente'!$AL$2:$AL$492,0)),"")</f>
        <v/>
      </c>
      <c r="C43" t="str">
        <f>IFERROR(INDEX('Output Utente'!$C$2:$C$492,MATCH("D|Nella Media|2",'Output Utente'!$AL$2:$AL$492,0)),"")</f>
        <v/>
      </c>
      <c r="D43" t="str">
        <f>IFERROR(INDEX('Output Utente'!$C$2:$C$492,MATCH("C|Nella Media|2",'Output Utente'!$AL$2:$AL$492,0)),"")</f>
        <v/>
      </c>
      <c r="E43" t="str">
        <f>IFERROR(INDEX('Output Utente'!$C$2:$C$492,MATCH("A|Nella Media|2",'Output Utente'!$AL$2:$AL$492,0)),"")</f>
        <v>Nkunku</v>
      </c>
    </row>
    <row r="44" spans="1:5" x14ac:dyDescent="0.25">
      <c r="A44">
        <v>3</v>
      </c>
      <c r="B44" t="str">
        <f>IFERROR(INDEX('Output Utente'!$C$2:$C$492,MATCH("P|Nella Media|3",'Output Utente'!$AL$2:$AL$492,0)),"")</f>
        <v>Palmisani</v>
      </c>
      <c r="C44" t="str">
        <f>IFERROR(INDEX('Output Utente'!$C$2:$C$492,MATCH("D|Nella Media|3",'Output Utente'!$AL$2:$AL$492,0)),"")</f>
        <v/>
      </c>
      <c r="D44" t="str">
        <f>IFERROR(INDEX('Output Utente'!$C$2:$C$492,MATCH("C|Nella Media|3",'Output Utente'!$AL$2:$AL$492,0)),"")</f>
        <v>Bernardeschi</v>
      </c>
      <c r="E44" t="str">
        <f>IFERROR(INDEX('Output Utente'!$C$2:$C$492,MATCH("A|Nella Media|3",'Output Utente'!$AL$2:$AL$492,0)),"")</f>
        <v/>
      </c>
    </row>
    <row r="45" spans="1:5" x14ac:dyDescent="0.25">
      <c r="A45">
        <v>4</v>
      </c>
      <c r="B45" t="str">
        <f>IFERROR(INDEX('Output Utente'!$C$2:$C$492,MATCH("P|Nella Media|4",'Output Utente'!$AL$2:$AL$492,0)),"")</f>
        <v/>
      </c>
      <c r="C45" t="str">
        <f>IFERROR(INDEX('Output Utente'!$C$2:$C$492,MATCH("D|Nella Media|4",'Output Utente'!$AL$2:$AL$492,0)),"")</f>
        <v/>
      </c>
      <c r="D45" t="str">
        <f>IFERROR(INDEX('Output Utente'!$C$2:$C$492,MATCH("C|Nella Media|4",'Output Utente'!$AL$2:$AL$492,0)),"")</f>
        <v/>
      </c>
      <c r="E45" t="str">
        <f>IFERROR(INDEX('Output Utente'!$C$2:$C$492,MATCH("A|Nella Media|4",'Output Utente'!$AL$2:$AL$492,0)),"")</f>
        <v>Esposito Se.</v>
      </c>
    </row>
    <row r="46" spans="1:5" x14ac:dyDescent="0.25">
      <c r="A46">
        <v>5</v>
      </c>
      <c r="B46" t="str">
        <f>IFERROR(INDEX('Output Utente'!$C$2:$C$492,MATCH("P|Nella Media|5",'Output Utente'!$AL$2:$AL$492,0)),"")</f>
        <v>Daffara</v>
      </c>
      <c r="C46" t="str">
        <f>IFERROR(INDEX('Output Utente'!$C$2:$C$492,MATCH("D|Nella Media|5",'Output Utente'!$AL$2:$AL$492,0)),"")</f>
        <v/>
      </c>
      <c r="D46" t="str">
        <f>IFERROR(INDEX('Output Utente'!$C$2:$C$492,MATCH("C|Nella Media|5",'Output Utente'!$AL$2:$AL$492,0)),"")</f>
        <v>Konè I.</v>
      </c>
      <c r="E46" t="str">
        <f>IFERROR(INDEX('Output Utente'!$C$2:$C$492,MATCH("A|Nella Media|5",'Output Utente'!$AL$2:$AL$492,0)),"")</f>
        <v/>
      </c>
    </row>
    <row r="47" spans="1:5" x14ac:dyDescent="0.25">
      <c r="A47">
        <v>6</v>
      </c>
      <c r="B47" t="str">
        <f>IFERROR(INDEX('Output Utente'!$C$2:$C$492,MATCH("P|Nella Media|6",'Output Utente'!$AL$2:$AL$492,0)),"")</f>
        <v/>
      </c>
      <c r="C47" t="str">
        <f>IFERROR(INDEX('Output Utente'!$C$2:$C$492,MATCH("D|Nella Media|6",'Output Utente'!$AL$2:$AL$492,0)),"")</f>
        <v>Kristensen T.</v>
      </c>
      <c r="D47" t="str">
        <f>IFERROR(INDEX('Output Utente'!$C$2:$C$492,MATCH("C|Nella Media|6",'Output Utente'!$AL$2:$AL$492,0)),"")</f>
        <v/>
      </c>
      <c r="E47" t="str">
        <f>IFERROR(INDEX('Output Utente'!$C$2:$C$492,MATCH("A|Nella Media|6",'Output Utente'!$AL$2:$AL$492,0)),"")</f>
        <v>Lukaku</v>
      </c>
    </row>
    <row r="48" spans="1:5" x14ac:dyDescent="0.25">
      <c r="A48">
        <v>7</v>
      </c>
      <c r="B48" t="str">
        <f>IFERROR(INDEX('Output Utente'!$C$2:$C$492,MATCH("P|Nella Media|7",'Output Utente'!$AL$2:$AL$492,0)),"")</f>
        <v/>
      </c>
      <c r="C48" t="str">
        <f>IFERROR(INDEX('Output Utente'!$C$2:$C$492,MATCH("D|Nella Media|7",'Output Utente'!$AL$2:$AL$492,0)),"")</f>
        <v/>
      </c>
      <c r="D48" t="str">
        <f>IFERROR(INDEX('Output Utente'!$C$2:$C$492,MATCH("C|Nella Media|7",'Output Utente'!$AL$2:$AL$492,0)),"")</f>
        <v/>
      </c>
      <c r="E48" t="str">
        <f>IFERROR(INDEX('Output Utente'!$C$2:$C$492,MATCH("A|Nella Media|7",'Output Utente'!$AL$2:$AL$492,0)),"")</f>
        <v>David</v>
      </c>
    </row>
    <row r="49" spans="1:5" x14ac:dyDescent="0.25">
      <c r="A49">
        <v>8</v>
      </c>
      <c r="B49" t="str">
        <f>IFERROR(INDEX('Output Utente'!$C$2:$C$492,MATCH("P|Nella Media|8",'Output Utente'!$AL$2:$AL$492,0)),"")</f>
        <v/>
      </c>
      <c r="C49" t="str">
        <f>IFERROR(INDEX('Output Utente'!$C$2:$C$492,MATCH("D|Nella Media|8",'Output Utente'!$AL$2:$AL$492,0)),"")</f>
        <v/>
      </c>
      <c r="D49" t="str">
        <f>IFERROR(INDEX('Output Utente'!$C$2:$C$492,MATCH("C|Nella Media|8",'Output Utente'!$AL$2:$AL$492,0)),"")</f>
        <v/>
      </c>
      <c r="E49" t="str">
        <f>IFERROR(INDEX('Output Utente'!$C$2:$C$492,MATCH("A|Nella Media|8",'Output Utente'!$AL$2:$AL$492,0)),"")</f>
        <v>Bowie</v>
      </c>
    </row>
    <row r="50" spans="1:5" x14ac:dyDescent="0.25">
      <c r="A50">
        <v>9</v>
      </c>
      <c r="B50" t="str">
        <f>IFERROR(INDEX('Output Utente'!$C$2:$C$492,MATCH("P|Nella Media|9",'Output Utente'!$AL$2:$AL$492,0)),"")</f>
        <v/>
      </c>
      <c r="C50" t="str">
        <f>IFERROR(INDEX('Output Utente'!$C$2:$C$492,MATCH("D|Nella Media|9",'Output Utente'!$AL$2:$AL$492,0)),"")</f>
        <v/>
      </c>
      <c r="D50" t="str">
        <f>IFERROR(INDEX('Output Utente'!$C$2:$C$492,MATCH("C|Nella Media|9",'Output Utente'!$AL$2:$AL$492,0)),"")</f>
        <v/>
      </c>
      <c r="E50" t="str">
        <f>IFERROR(INDEX('Output Utente'!$C$2:$C$492,MATCH("A|Nella Media|9",'Output Utente'!$AL$2:$AL$492,0)),"")</f>
        <v>Cutrone</v>
      </c>
    </row>
    <row r="51" spans="1:5" x14ac:dyDescent="0.25">
      <c r="A51">
        <v>10</v>
      </c>
      <c r="B51" t="str">
        <f>IFERROR(INDEX('Output Utente'!$C$2:$C$492,MATCH("P|Nella Media|10",'Output Utente'!$AL$2:$AL$492,0)),"")</f>
        <v/>
      </c>
      <c r="C51" t="str">
        <f>IFERROR(INDEX('Output Utente'!$C$2:$C$492,MATCH("D|Nella Media|10",'Output Utente'!$AL$2:$AL$492,0)),"")</f>
        <v/>
      </c>
      <c r="D51" t="str">
        <f>IFERROR(INDEX('Output Utente'!$C$2:$C$492,MATCH("C|Nella Media|10",'Output Utente'!$AL$2:$AL$492,0)),"")</f>
        <v/>
      </c>
      <c r="E51" t="str">
        <f>IFERROR(INDEX('Output Utente'!$C$2:$C$492,MATCH("A|Nella Media|10",'Output Utente'!$AL$2:$AL$492,0)),"")</f>
        <v>Ratkov</v>
      </c>
    </row>
    <row r="52" spans="1:5" x14ac:dyDescent="0.25">
      <c r="A52">
        <v>11</v>
      </c>
      <c r="B52" t="str">
        <f>IFERROR(INDEX('Output Utente'!$C$2:$C$492,MATCH("P|Nella Media|11",'Output Utente'!$AL$2:$AL$492,0)),"")</f>
        <v/>
      </c>
      <c r="C52" t="str">
        <f>IFERROR(INDEX('Output Utente'!$C$2:$C$492,MATCH("D|Nella Media|11",'Output Utente'!$AL$2:$AL$492,0)),"")</f>
        <v/>
      </c>
      <c r="D52" t="str">
        <f>IFERROR(INDEX('Output Utente'!$C$2:$C$492,MATCH("C|Nella Media|11",'Output Utente'!$AL$2:$AL$492,0)),"")</f>
        <v>Fazzini</v>
      </c>
      <c r="E52" t="str">
        <f>IFERROR(INDEX('Output Utente'!$C$2:$C$492,MATCH("A|Nella Media|11",'Output Utente'!$AL$2:$AL$492,0)),"")</f>
        <v/>
      </c>
    </row>
    <row r="53" spans="1:5" x14ac:dyDescent="0.25">
      <c r="A53">
        <v>12</v>
      </c>
      <c r="B53" t="str">
        <f>IFERROR(INDEX('Output Utente'!$C$2:$C$492,MATCH("P|Nella Media|12",'Output Utente'!$AL$2:$AL$492,0)),"")</f>
        <v/>
      </c>
      <c r="C53" t="str">
        <f>IFERROR(INDEX('Output Utente'!$C$2:$C$492,MATCH("D|Nella Media|12",'Output Utente'!$AL$2:$AL$492,0)),"")</f>
        <v>Obert</v>
      </c>
      <c r="D53" t="str">
        <f>IFERROR(INDEX('Output Utente'!$C$2:$C$492,MATCH("C|Nella Media|12",'Output Utente'!$AL$2:$AL$492,0)),"")</f>
        <v/>
      </c>
      <c r="E53" t="str">
        <f>IFERROR(INDEX('Output Utente'!$C$2:$C$492,MATCH("A|Nella Media|12",'Output Utente'!$AL$2:$AL$492,0)),"")</f>
        <v>Dia</v>
      </c>
    </row>
    <row r="54" spans="1:5" x14ac:dyDescent="0.25">
      <c r="A54">
        <v>13</v>
      </c>
      <c r="B54" t="str">
        <f>IFERROR(INDEX('Output Utente'!$C$2:$C$492,MATCH("P|Nella Media|13",'Output Utente'!$AL$2:$AL$492,0)),"")</f>
        <v/>
      </c>
      <c r="C54" t="str">
        <f>IFERROR(INDEX('Output Utente'!$C$2:$C$492,MATCH("D|Nella Media|13",'Output Utente'!$AL$2:$AL$492,0)),"")</f>
        <v/>
      </c>
      <c r="D54" t="str">
        <f>IFERROR(INDEX('Output Utente'!$C$2:$C$492,MATCH("C|Nella Media|13",'Output Utente'!$AL$2:$AL$492,0)),"")</f>
        <v/>
      </c>
      <c r="E54" t="str">
        <f>IFERROR(INDEX('Output Utente'!$C$2:$C$492,MATCH("A|Nella Media|13",'Output Utente'!$AL$2:$AL$492,0)),"")</f>
        <v>Ghedjemis</v>
      </c>
    </row>
    <row r="55" spans="1:5" x14ac:dyDescent="0.25">
      <c r="A55">
        <v>14</v>
      </c>
      <c r="B55" t="str">
        <f>IFERROR(INDEX('Output Utente'!$C$2:$C$492,MATCH("P|Nella Media|14",'Output Utente'!$AL$2:$AL$492,0)),"")</f>
        <v/>
      </c>
      <c r="C55" t="str">
        <f>IFERROR(INDEX('Output Utente'!$C$2:$C$492,MATCH("D|Nella Media|14",'Output Utente'!$AL$2:$AL$492,0)),"")</f>
        <v>Marcandalli</v>
      </c>
      <c r="D55" t="str">
        <f>IFERROR(INDEX('Output Utente'!$C$2:$C$492,MATCH("C|Nella Media|14",'Output Utente'!$AL$2:$AL$492,0)),"")</f>
        <v/>
      </c>
      <c r="E55" t="str">
        <f>IFERROR(INDEX('Output Utente'!$C$2:$C$492,MATCH("A|Nella Media|14",'Output Utente'!$AL$2:$AL$492,0)),"")</f>
        <v>Yeboah J.</v>
      </c>
    </row>
    <row r="56" spans="1:5" x14ac:dyDescent="0.25">
      <c r="A56">
        <v>15</v>
      </c>
      <c r="B56" t="str">
        <f>IFERROR(INDEX('Output Utente'!$C$2:$C$492,MATCH("P|Nella Media|15",'Output Utente'!$AL$2:$AL$492,0)),"")</f>
        <v/>
      </c>
      <c r="C56" t="str">
        <f>IFERROR(INDEX('Output Utente'!$C$2:$C$492,MATCH("D|Nella Media|15",'Output Utente'!$AL$2:$AL$492,0)),"")</f>
        <v/>
      </c>
      <c r="D56" t="str">
        <f>IFERROR(INDEX('Output Utente'!$C$2:$C$492,MATCH("C|Nella Media|15",'Output Utente'!$AL$2:$AL$492,0)),"")</f>
        <v/>
      </c>
      <c r="E56" t="str">
        <f>IFERROR(INDEX('Output Utente'!$C$2:$C$492,MATCH("A|Nella Media|15",'Output Utente'!$AL$2:$AL$492,0)),"")</f>
        <v>Geubbels</v>
      </c>
    </row>
    <row r="58" spans="1:5" ht="15.75" customHeight="1" x14ac:dyDescent="0.25">
      <c r="A58" s="69" t="s">
        <v>9</v>
      </c>
      <c r="B58" s="62"/>
      <c r="C58" s="62"/>
      <c r="D58" s="62"/>
      <c r="E58" s="62"/>
    </row>
    <row r="59" spans="1:5" x14ac:dyDescent="0.25">
      <c r="B59" s="45" t="s">
        <v>793</v>
      </c>
      <c r="C59" s="45" t="s">
        <v>794</v>
      </c>
      <c r="D59" s="45" t="s">
        <v>795</v>
      </c>
      <c r="E59" s="45" t="s">
        <v>796</v>
      </c>
    </row>
    <row r="60" spans="1:5" x14ac:dyDescent="0.25">
      <c r="A60">
        <v>1</v>
      </c>
      <c r="B60" t="str">
        <f>IFERROR(INDEX('Output Utente'!$C$2:$C$492,MATCH("P|Scommessa/Riserva|1",'Output Utente'!$AL$2:$AL$492,0)),"")</f>
        <v/>
      </c>
      <c r="C60" t="str">
        <f>IFERROR(INDEX('Output Utente'!$C$2:$C$492,MATCH("D|Scommessa/Riserva|1",'Output Utente'!$AL$2:$AL$492,0)),"")</f>
        <v>Zappa</v>
      </c>
      <c r="D60" t="str">
        <f>IFERROR(INDEX('Output Utente'!$C$2:$C$492,MATCH("C|Scommessa/Riserva|1",'Output Utente'!$AL$2:$AL$492,0)),"")</f>
        <v>Amondarain</v>
      </c>
      <c r="E60" t="str">
        <f>IFERROR(INDEX('Output Utente'!$C$2:$C$492,MATCH("A|Scommessa/Riserva|1",'Output Utente'!$AL$2:$AL$492,0)),"")</f>
        <v>Noslin</v>
      </c>
    </row>
    <row r="61" spans="1:5" x14ac:dyDescent="0.25">
      <c r="A61">
        <v>2</v>
      </c>
      <c r="B61" t="str">
        <f>IFERROR(INDEX('Output Utente'!$C$2:$C$492,MATCH("P|Scommessa/Riserva|2",'Output Utente'!$AL$2:$AL$492,0)),"")</f>
        <v/>
      </c>
      <c r="C61" t="str">
        <f>IFERROR(INDEX('Output Utente'!$C$2:$C$492,MATCH("D|Scommessa/Riserva|2",'Output Utente'!$AL$2:$AL$492,0)),"")</f>
        <v/>
      </c>
      <c r="D61" t="str">
        <f>IFERROR(INDEX('Output Utente'!$C$2:$C$492,MATCH("C|Scommessa/Riserva|2",'Output Utente'!$AL$2:$AL$492,0)),"")</f>
        <v/>
      </c>
      <c r="E61" t="str">
        <f>IFERROR(INDEX('Output Utente'!$C$2:$C$492,MATCH("A|Scommessa/Riserva|2",'Output Utente'!$AL$2:$AL$492,0)),"")</f>
        <v>Sulemana K.</v>
      </c>
    </row>
    <row r="62" spans="1:5" x14ac:dyDescent="0.25">
      <c r="A62">
        <v>3</v>
      </c>
      <c r="B62" t="str">
        <f>IFERROR(INDEX('Output Utente'!$C$2:$C$492,MATCH("P|Scommessa/Riserva|3",'Output Utente'!$AL$2:$AL$492,0)),"")</f>
        <v/>
      </c>
      <c r="C62" t="str">
        <f>IFERROR(INDEX('Output Utente'!$C$2:$C$492,MATCH("D|Scommessa/Riserva|3",'Output Utente'!$AL$2:$AL$492,0)),"")</f>
        <v/>
      </c>
      <c r="D62" t="str">
        <f>IFERROR(INDEX('Output Utente'!$C$2:$C$492,MATCH("C|Scommessa/Riserva|3",'Output Utente'!$AL$2:$AL$492,0)),"")</f>
        <v/>
      </c>
      <c r="E62" t="str">
        <f>IFERROR(INDEX('Output Utente'!$C$2:$C$492,MATCH("A|Scommessa/Riserva|3",'Output Utente'!$AL$2:$AL$492,0)),"")</f>
        <v>Kvernadze</v>
      </c>
    </row>
    <row r="63" spans="1:5" x14ac:dyDescent="0.25">
      <c r="A63">
        <v>4</v>
      </c>
      <c r="B63" t="str">
        <f>IFERROR(INDEX('Output Utente'!$C$2:$C$492,MATCH("P|Scommessa/Riserva|4",'Output Utente'!$AL$2:$AL$492,0)),"")</f>
        <v/>
      </c>
      <c r="C63" t="str">
        <f>IFERROR(INDEX('Output Utente'!$C$2:$C$492,MATCH("D|Scommessa/Riserva|4",'Output Utente'!$AL$2:$AL$492,0)),"")</f>
        <v/>
      </c>
      <c r="D63" t="str">
        <f>IFERROR(INDEX('Output Utente'!$C$2:$C$492,MATCH("C|Scommessa/Riserva|4",'Output Utente'!$AL$2:$AL$492,0)),"")</f>
        <v/>
      </c>
      <c r="E63" t="str">
        <f>IFERROR(INDEX('Output Utente'!$C$2:$C$492,MATCH("A|Scommessa/Riserva|4",'Output Utente'!$AL$2:$AL$492,0)),"")</f>
        <v>Gimenez</v>
      </c>
    </row>
    <row r="64" spans="1:5" x14ac:dyDescent="0.25">
      <c r="A64">
        <v>5</v>
      </c>
      <c r="B64" t="str">
        <f>IFERROR(INDEX('Output Utente'!$C$2:$C$492,MATCH("P|Scommessa/Riserva|5",'Output Utente'!$AL$2:$AL$492,0)),"")</f>
        <v/>
      </c>
      <c r="C64" t="str">
        <f>IFERROR(INDEX('Output Utente'!$C$2:$C$492,MATCH("D|Scommessa/Riserva|5",'Output Utente'!$AL$2:$AL$492,0)),"")</f>
        <v/>
      </c>
      <c r="D64" t="str">
        <f>IFERROR(INDEX('Output Utente'!$C$2:$C$492,MATCH("C|Scommessa/Riserva|5",'Output Utente'!$AL$2:$AL$492,0)),"")</f>
        <v/>
      </c>
      <c r="E64" t="str">
        <f>IFERROR(INDEX('Output Utente'!$C$2:$C$492,MATCH("A|Scommessa/Riserva|5",'Output Utente'!$AL$2:$AL$492,0)),"")</f>
        <v/>
      </c>
    </row>
    <row r="65" spans="1:5" x14ac:dyDescent="0.25">
      <c r="A65">
        <v>6</v>
      </c>
      <c r="B65" t="str">
        <f>IFERROR(INDEX('Output Utente'!$C$2:$C$492,MATCH("P|Scommessa/Riserva|6",'Output Utente'!$AL$2:$AL$492,0)),"")</f>
        <v/>
      </c>
      <c r="C65" t="str">
        <f>IFERROR(INDEX('Output Utente'!$C$2:$C$492,MATCH("D|Scommessa/Riserva|6",'Output Utente'!$AL$2:$AL$492,0)),"")</f>
        <v/>
      </c>
      <c r="D65" t="str">
        <f>IFERROR(INDEX('Output Utente'!$C$2:$C$492,MATCH("C|Scommessa/Riserva|6",'Output Utente'!$AL$2:$AL$492,0)),"")</f>
        <v/>
      </c>
      <c r="E65" t="str">
        <f>IFERROR(INDEX('Output Utente'!$C$2:$C$492,MATCH("A|Scommessa/Riserva|6",'Output Utente'!$AL$2:$AL$492,0)),"")</f>
        <v/>
      </c>
    </row>
    <row r="66" spans="1:5" x14ac:dyDescent="0.25">
      <c r="A66">
        <v>7</v>
      </c>
      <c r="B66" t="str">
        <f>IFERROR(INDEX('Output Utente'!$C$2:$C$492,MATCH("P|Scommessa/Riserva|7",'Output Utente'!$AL$2:$AL$492,0)),"")</f>
        <v/>
      </c>
      <c r="C66" t="str">
        <f>IFERROR(INDEX('Output Utente'!$C$2:$C$492,MATCH("D|Scommessa/Riserva|7",'Output Utente'!$AL$2:$AL$492,0)),"")</f>
        <v>Pongracic</v>
      </c>
      <c r="D66" t="str">
        <f>IFERROR(INDEX('Output Utente'!$C$2:$C$492,MATCH("C|Scommessa/Riserva|7",'Output Utente'!$AL$2:$AL$492,0)),"")</f>
        <v/>
      </c>
      <c r="E66" t="str">
        <f>IFERROR(INDEX('Output Utente'!$C$2:$C$492,MATCH("A|Scommessa/Riserva|7",'Output Utente'!$AL$2:$AL$492,0)),"")</f>
        <v>Frigan</v>
      </c>
    </row>
    <row r="67" spans="1:5" x14ac:dyDescent="0.25">
      <c r="A67">
        <v>8</v>
      </c>
      <c r="B67" t="str">
        <f>IFERROR(INDEX('Output Utente'!$C$2:$C$492,MATCH("P|Scommessa/Riserva|8",'Output Utente'!$AL$2:$AL$492,0)),"")</f>
        <v/>
      </c>
      <c r="C67" t="str">
        <f>IFERROR(INDEX('Output Utente'!$C$2:$C$492,MATCH("D|Scommessa/Riserva|8",'Output Utente'!$AL$2:$AL$492,0)),"")</f>
        <v/>
      </c>
      <c r="D67" t="str">
        <f>IFERROR(INDEX('Output Utente'!$C$2:$C$492,MATCH("C|Scommessa/Riserva|8",'Output Utente'!$AL$2:$AL$492,0)),"")</f>
        <v/>
      </c>
      <c r="E67" t="str">
        <f>IFERROR(INDEX('Output Utente'!$C$2:$C$492,MATCH("A|Scommessa/Riserva|8",'Output Utente'!$AL$2:$AL$492,0)),"")</f>
        <v>Elphege</v>
      </c>
    </row>
    <row r="68" spans="1:5" x14ac:dyDescent="0.25">
      <c r="A68">
        <v>9</v>
      </c>
      <c r="B68" t="str">
        <f>IFERROR(INDEX('Output Utente'!$C$2:$C$492,MATCH("P|Scommessa/Riserva|9",'Output Utente'!$AL$2:$AL$492,0)),"")</f>
        <v/>
      </c>
      <c r="C68" t="str">
        <f>IFERROR(INDEX('Output Utente'!$C$2:$C$492,MATCH("D|Scommessa/Riserva|9",'Output Utente'!$AL$2:$AL$492,0)),"")</f>
        <v/>
      </c>
      <c r="D68" t="str">
        <f>IFERROR(INDEX('Output Utente'!$C$2:$C$492,MATCH("C|Scommessa/Riserva|9",'Output Utente'!$AL$2:$AL$492,0)),"")</f>
        <v/>
      </c>
      <c r="E68" t="str">
        <f>IFERROR(INDEX('Output Utente'!$C$2:$C$492,MATCH("A|Scommessa/Riserva|9",'Output Utente'!$AL$2:$AL$492,0)),"")</f>
        <v>Morata</v>
      </c>
    </row>
    <row r="69" spans="1:5" x14ac:dyDescent="0.25">
      <c r="A69">
        <v>10</v>
      </c>
      <c r="B69" t="str">
        <f>IFERROR(INDEX('Output Utente'!$C$2:$C$492,MATCH("P|Scommessa/Riserva|10",'Output Utente'!$AL$2:$AL$492,0)),"")</f>
        <v/>
      </c>
      <c r="C69" t="str">
        <f>IFERROR(INDEX('Output Utente'!$C$2:$C$492,MATCH("D|Scommessa/Riserva|10",'Output Utente'!$AL$2:$AL$492,0)),"")</f>
        <v/>
      </c>
      <c r="D69" t="str">
        <f>IFERROR(INDEX('Output Utente'!$C$2:$C$492,MATCH("C|Scommessa/Riserva|10",'Output Utente'!$AL$2:$AL$492,0)),"")</f>
        <v/>
      </c>
      <c r="E69" t="str">
        <f>IFERROR(INDEX('Output Utente'!$C$2:$C$492,MATCH("A|Scommessa/Riserva|10",'Output Utente'!$AL$2:$AL$492,0)),"")</f>
        <v/>
      </c>
    </row>
    <row r="70" spans="1:5" x14ac:dyDescent="0.25">
      <c r="A70">
        <v>11</v>
      </c>
      <c r="B70" t="str">
        <f>IFERROR(INDEX('Output Utente'!$C$2:$C$492,MATCH("P|Scommessa/Riserva|11",'Output Utente'!$AL$2:$AL$492,0)),"")</f>
        <v/>
      </c>
      <c r="C70" t="str">
        <f>IFERROR(INDEX('Output Utente'!$C$2:$C$492,MATCH("D|Scommessa/Riserva|11",'Output Utente'!$AL$2:$AL$492,0)),"")</f>
        <v/>
      </c>
      <c r="D70" t="str">
        <f>IFERROR(INDEX('Output Utente'!$C$2:$C$492,MATCH("C|Scommessa/Riserva|11",'Output Utente'!$AL$2:$AL$492,0)),"")</f>
        <v>Chukwueze</v>
      </c>
      <c r="E70" t="str">
        <f>IFERROR(INDEX('Output Utente'!$C$2:$C$492,MATCH("A|Scommessa/Riserva|11",'Output Utente'!$AL$2:$AL$492,0)),"")</f>
        <v/>
      </c>
    </row>
    <row r="71" spans="1:5" x14ac:dyDescent="0.25">
      <c r="A71">
        <v>12</v>
      </c>
      <c r="B71" t="str">
        <f>IFERROR(INDEX('Output Utente'!$C$2:$C$492,MATCH("P|Scommessa/Riserva|12",'Output Utente'!$AL$2:$AL$492,0)),"")</f>
        <v/>
      </c>
      <c r="C71" t="str">
        <f>IFERROR(INDEX('Output Utente'!$C$2:$C$492,MATCH("D|Scommessa/Riserva|12",'Output Utente'!$AL$2:$AL$492,0)),"")</f>
        <v/>
      </c>
      <c r="D71" t="str">
        <f>IFERROR(INDEX('Output Utente'!$C$2:$C$492,MATCH("C|Scommessa/Riserva|12",'Output Utente'!$AL$2:$AL$492,0)),"")</f>
        <v/>
      </c>
      <c r="E71" t="str">
        <f>IFERROR(INDEX('Output Utente'!$C$2:$C$492,MATCH("A|Scommessa/Riserva|12",'Output Utente'!$AL$2:$AL$492,0)),"")</f>
        <v/>
      </c>
    </row>
    <row r="72" spans="1:5" x14ac:dyDescent="0.25">
      <c r="A72">
        <v>13</v>
      </c>
      <c r="B72" t="str">
        <f>IFERROR(INDEX('Output Utente'!$C$2:$C$492,MATCH("P|Scommessa/Riserva|13",'Output Utente'!$AL$2:$AL$492,0)),"")</f>
        <v/>
      </c>
      <c r="C72" t="str">
        <f>IFERROR(INDEX('Output Utente'!$C$2:$C$492,MATCH("D|Scommessa/Riserva|13",'Output Utente'!$AL$2:$AL$492,0)),"")</f>
        <v>Kossounou</v>
      </c>
      <c r="D72" t="str">
        <f>IFERROR(INDEX('Output Utente'!$C$2:$C$492,MATCH("C|Scommessa/Riserva|13",'Output Utente'!$AL$2:$AL$492,0)),"")</f>
        <v/>
      </c>
      <c r="E72" t="str">
        <f>IFERROR(INDEX('Output Utente'!$C$2:$C$492,MATCH("A|Scommessa/Riserva|13",'Output Utente'!$AL$2:$AL$492,0)),"")</f>
        <v/>
      </c>
    </row>
    <row r="73" spans="1:5" x14ac:dyDescent="0.25">
      <c r="A73">
        <v>14</v>
      </c>
      <c r="B73" t="str">
        <f>IFERROR(INDEX('Output Utente'!$C$2:$C$492,MATCH("P|Scommessa/Riserva|14",'Output Utente'!$AL$2:$AL$492,0)),"")</f>
        <v/>
      </c>
      <c r="C73" t="str">
        <f>IFERROR(INDEX('Output Utente'!$C$2:$C$492,MATCH("D|Scommessa/Riserva|14",'Output Utente'!$AL$2:$AL$492,0)),"")</f>
        <v/>
      </c>
      <c r="D73" t="str">
        <f>IFERROR(INDEX('Output Utente'!$C$2:$C$492,MATCH("C|Scommessa/Riserva|14",'Output Utente'!$AL$2:$AL$492,0)),"")</f>
        <v/>
      </c>
      <c r="E73" t="str">
        <f>IFERROR(INDEX('Output Utente'!$C$2:$C$492,MATCH("A|Scommessa/Riserva|14",'Output Utente'!$AL$2:$AL$492,0)),"")</f>
        <v>Borrelli</v>
      </c>
    </row>
    <row r="74" spans="1:5" x14ac:dyDescent="0.25">
      <c r="A74">
        <v>15</v>
      </c>
      <c r="B74" t="str">
        <f>IFERROR(INDEX('Output Utente'!$C$2:$C$492,MATCH("P|Scommessa/Riserva|15",'Output Utente'!$AL$2:$AL$492,0)),"")</f>
        <v/>
      </c>
      <c r="C74" t="str">
        <f>IFERROR(INDEX('Output Utente'!$C$2:$C$492,MATCH("D|Scommessa/Riserva|15",'Output Utente'!$AL$2:$AL$492,0)),"")</f>
        <v/>
      </c>
      <c r="D74" t="str">
        <f>IFERROR(INDEX('Output Utente'!$C$2:$C$492,MATCH("C|Scommessa/Riserva|15",'Output Utente'!$AL$2:$AL$492,0)),"")</f>
        <v/>
      </c>
      <c r="E74" t="str">
        <f>IFERROR(INDEX('Output Utente'!$C$2:$C$492,MATCH("A|Scommessa/Riserva|15",'Output Utente'!$AL$2:$AL$492,0)),"")</f>
        <v/>
      </c>
    </row>
  </sheetData>
  <mergeCells count="6">
    <mergeCell ref="A4:E4"/>
    <mergeCell ref="A2:E2"/>
    <mergeCell ref="A1:E1"/>
    <mergeCell ref="A58:E58"/>
    <mergeCell ref="A22:E22"/>
    <mergeCell ref="A40:E40"/>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N494"/>
  <sheetViews>
    <sheetView showGridLines="0" zoomScaleNormal="100" workbookViewId="0">
      <pane ySplit="3" topLeftCell="A4" activePane="bottomLeft" state="frozen"/>
      <selection pane="bottomLeft" sqref="A1:K1"/>
    </sheetView>
  </sheetViews>
  <sheetFormatPr defaultColWidth="8.5703125" defaultRowHeight="15" x14ac:dyDescent="0.25"/>
  <cols>
    <col min="1" max="1" width="4" customWidth="1"/>
    <col min="2" max="2" width="7" customWidth="1"/>
    <col min="3" max="3" width="4" customWidth="1"/>
    <col min="4" max="4" width="20" customWidth="1"/>
    <col min="5" max="5" width="16" customWidth="1"/>
    <col min="6" max="6" width="7" customWidth="1"/>
    <col min="7" max="7" width="9" customWidth="1"/>
    <col min="8" max="8" width="16" customWidth="1"/>
    <col min="9" max="9" width="11" customWidth="1"/>
    <col min="10" max="11" width="13" customWidth="1"/>
    <col min="12" max="12" width="10" customWidth="1"/>
    <col min="13" max="13" width="14" customWidth="1"/>
    <col min="14" max="14" width="18" customWidth="1"/>
  </cols>
  <sheetData>
    <row r="1" spans="1:14" ht="21.75" customHeight="1" x14ac:dyDescent="0.25">
      <c r="A1" s="70" t="s">
        <v>797</v>
      </c>
      <c r="B1" s="62"/>
      <c r="C1" s="62"/>
      <c r="D1" s="62"/>
      <c r="E1" s="62"/>
      <c r="F1" s="62"/>
      <c r="G1" s="62"/>
      <c r="H1" s="62"/>
      <c r="I1" s="62"/>
      <c r="J1" s="62"/>
      <c r="K1" s="62"/>
    </row>
    <row r="3" spans="1:14" ht="15" customHeight="1" x14ac:dyDescent="0.25">
      <c r="A3" s="10" t="s">
        <v>784</v>
      </c>
      <c r="B3" s="10" t="s">
        <v>107</v>
      </c>
      <c r="C3" s="10" t="s">
        <v>108</v>
      </c>
      <c r="D3" s="10" t="s">
        <v>109</v>
      </c>
      <c r="E3" s="10" t="s">
        <v>798</v>
      </c>
      <c r="F3" s="10" t="s">
        <v>120</v>
      </c>
      <c r="G3" s="10" t="s">
        <v>121</v>
      </c>
      <c r="H3" s="10" t="s">
        <v>50</v>
      </c>
      <c r="I3" s="10" t="s">
        <v>112</v>
      </c>
      <c r="J3" s="10" t="s">
        <v>113</v>
      </c>
      <c r="K3" s="10" t="s">
        <v>114</v>
      </c>
      <c r="L3" s="10" t="s">
        <v>111</v>
      </c>
      <c r="M3" s="10" t="s">
        <v>799</v>
      </c>
      <c r="N3" s="10" t="s">
        <v>134</v>
      </c>
    </row>
    <row r="4" spans="1:14" ht="15" customHeight="1" x14ac:dyDescent="0.25">
      <c r="A4" s="41">
        <v>1</v>
      </c>
      <c r="B4" s="5">
        <f>IFERROR(INDEX('Output Utente'!$A$2:$A$492,MATCH(1,'Output Utente'!$Q$2:$Q$492,0)),"")</f>
        <v>2764</v>
      </c>
      <c r="C4" s="5" t="str">
        <f>IFERROR(INDEX('Output Utente'!$B$2:$B$492,MATCH(1,'Output Utente'!$Q$2:$Q$492,0)),"")</f>
        <v>A</v>
      </c>
      <c r="D4" s="5" t="str">
        <f>IFERROR(INDEX('Output Utente'!$C$2:$C$492,MATCH(1,'Output Utente'!$Q$2:$Q$492,0)),"")</f>
        <v>Martinez L.</v>
      </c>
      <c r="E4" s="5" t="str">
        <f>IFERROR(INDEX('Input Giocatori 2026_27'!$D$3:$D$493,MATCH($B4,'Input Giocatori 2026_27'!$A$3:$A$493,0)),"")</f>
        <v>Inter</v>
      </c>
      <c r="F4" s="42">
        <f>IFERROR(INDEX('Output Utente'!$N$2:$N$492,MATCH(1,'Output Utente'!$Q$2:$Q$492,0)),"")</f>
        <v>35</v>
      </c>
      <c r="G4" s="42">
        <f>IFERROR(INDEX('Output Utente'!$O$2:$O$492,MATCH(1,'Output Utente'!$Q$2:$Q$492,0)),"")</f>
        <v>370</v>
      </c>
      <c r="H4" s="5" t="str">
        <f>IFERROR(INDEX('Output Utente'!$P$2:$P$492,MATCH(1,'Output Utente'!$Q$2:$Q$492,0)),"")</f>
        <v>Top</v>
      </c>
      <c r="I4" s="42">
        <f>IFERROR(INDEX('Output Utente'!$F$2:$F$492,MATCH(1,'Output Utente'!$Q$2:$Q$492,0)),"")</f>
        <v>397</v>
      </c>
      <c r="J4" s="42">
        <f>IFERROR(INDEX('Output Utente'!$G$2:$G$492,MATCH(1,'Output Utente'!$Q$2:$Q$492,0)),"")</f>
        <v>248</v>
      </c>
      <c r="K4" s="42">
        <f>IFERROR(INDEX('Output Utente'!$H$2:$H$492,MATCH(1,'Output Utente'!$Q$2:$Q$492,0)),"")</f>
        <v>461</v>
      </c>
      <c r="L4" s="5" t="str">
        <f>IFERROR(INDEX('Output Utente'!$E$2:$E$492,MATCH(1,'Output Utente'!$Q$2:$Q$492,0)),"")</f>
        <v>NO</v>
      </c>
      <c r="M4" s="5" t="str">
        <f>IFERROR(INDEX('Output Utente'!$U$2:$U$492,MATCH(1,'Output Utente'!$Q$2:$Q$492,0)),"")</f>
        <v>Rischio Alto</v>
      </c>
      <c r="N4" s="5" t="str">
        <f>IFERROR(INDEX('Output Utente'!$AE$2:$AE$492,MATCH(1,'Output Utente'!$Q$2:$Q$492,0)),"")</f>
        <v>🔴 Non aspettare</v>
      </c>
    </row>
    <row r="5" spans="1:14" ht="15" customHeight="1" x14ac:dyDescent="0.25">
      <c r="A5" s="41">
        <v>2</v>
      </c>
      <c r="B5" s="5">
        <f>IFERROR(INDEX('Output Utente'!$A$2:$A$492,MATCH(2,'Output Utente'!$Q$2:$Q$492,0)),"")</f>
        <v>5585</v>
      </c>
      <c r="C5" s="5" t="str">
        <f>IFERROR(INDEX('Output Utente'!$B$2:$B$492,MATCH(2,'Output Utente'!$Q$2:$Q$492,0)),"")</f>
        <v>A</v>
      </c>
      <c r="D5" s="5" t="str">
        <f>IFERROR(INDEX('Output Utente'!$C$2:$C$492,MATCH(2,'Output Utente'!$Q$2:$Q$492,0)),"")</f>
        <v>Malen</v>
      </c>
      <c r="E5" s="5" t="str">
        <f>IFERROR(INDEX('Input Giocatori 2026_27'!$D$3:$D$493,MATCH($B5,'Input Giocatori 2026_27'!$A$3:$A$493,0)),"")</f>
        <v>Roma</v>
      </c>
      <c r="F5" s="42">
        <f>IFERROR(INDEX('Output Utente'!$N$2:$N$492,MATCH(2,'Output Utente'!$Q$2:$Q$492,0)),"")</f>
        <v>34</v>
      </c>
      <c r="G5" s="42">
        <f>IFERROR(INDEX('Output Utente'!$O$2:$O$492,MATCH(2,'Output Utente'!$Q$2:$Q$492,0)),"")</f>
        <v>365</v>
      </c>
      <c r="H5" s="5" t="str">
        <f>IFERROR(INDEX('Output Utente'!$P$2:$P$492,MATCH(2,'Output Utente'!$Q$2:$Q$492,0)),"")</f>
        <v>Top</v>
      </c>
      <c r="I5" s="42">
        <f>IFERROR(INDEX('Output Utente'!$F$2:$F$492,MATCH(2,'Output Utente'!$Q$2:$Q$492,0)),"")</f>
        <v>400</v>
      </c>
      <c r="J5" s="42">
        <f>IFERROR(INDEX('Output Utente'!$G$2:$G$492,MATCH(2,'Output Utente'!$Q$2:$Q$492,0)),"")</f>
        <v>250</v>
      </c>
      <c r="K5" s="42">
        <f>IFERROR(INDEX('Output Utente'!$H$2:$H$492,MATCH(2,'Output Utente'!$Q$2:$Q$492,0)),"")</f>
        <v>464</v>
      </c>
      <c r="L5" s="5" t="str">
        <f>IFERROR(INDEX('Output Utente'!$E$2:$E$492,MATCH(2,'Output Utente'!$Q$2:$Q$492,0)),"")</f>
        <v>NO</v>
      </c>
      <c r="M5" s="5" t="str">
        <f>IFERROR(INDEX('Output Utente'!$U$2:$U$492,MATCH(2,'Output Utente'!$Q$2:$Q$492,0)),"")</f>
        <v>Rischio Alto</v>
      </c>
      <c r="N5" s="5" t="str">
        <f>IFERROR(INDEX('Output Utente'!$AE$2:$AE$492,MATCH(2,'Output Utente'!$Q$2:$Q$492,0)),"")</f>
        <v>🔴 Non aspettare</v>
      </c>
    </row>
    <row r="6" spans="1:14" ht="15" customHeight="1" x14ac:dyDescent="0.25">
      <c r="A6" s="41">
        <v>3</v>
      </c>
      <c r="B6" s="5">
        <f>IFERROR(INDEX('Output Utente'!$A$2:$A$492,MATCH(3,'Output Utente'!$Q$2:$Q$492,0)),"")</f>
        <v>4871</v>
      </c>
      <c r="C6" s="5" t="str">
        <f>IFERROR(INDEX('Output Utente'!$B$2:$B$492,MATCH(3,'Output Utente'!$Q$2:$Q$492,0)),"")</f>
        <v>A</v>
      </c>
      <c r="D6" s="5" t="str">
        <f>IFERROR(INDEX('Output Utente'!$C$2:$C$492,MATCH(3,'Output Utente'!$Q$2:$Q$492,0)),"")</f>
        <v>Thuram</v>
      </c>
      <c r="E6" s="5" t="str">
        <f>IFERROR(INDEX('Input Giocatori 2026_27'!$D$3:$D$493,MATCH($B6,'Input Giocatori 2026_27'!$A$3:$A$493,0)),"")</f>
        <v>Inter</v>
      </c>
      <c r="F6" s="42">
        <f>IFERROR(INDEX('Output Utente'!$N$2:$N$492,MATCH(3,'Output Utente'!$Q$2:$Q$492,0)),"")</f>
        <v>29</v>
      </c>
      <c r="G6" s="42">
        <f>IFERROR(INDEX('Output Utente'!$O$2:$O$492,MATCH(3,'Output Utente'!$Q$2:$Q$492,0)),"")</f>
        <v>280</v>
      </c>
      <c r="H6" s="5" t="str">
        <f>IFERROR(INDEX('Output Utente'!$P$2:$P$492,MATCH(3,'Output Utente'!$Q$2:$Q$492,0)),"")</f>
        <v>Top</v>
      </c>
      <c r="I6" s="42">
        <f>IFERROR(INDEX('Output Utente'!$F$2:$F$492,MATCH(3,'Output Utente'!$Q$2:$Q$492,0)),"")</f>
        <v>298</v>
      </c>
      <c r="J6" s="42">
        <f>IFERROR(INDEX('Output Utente'!$G$2:$G$492,MATCH(3,'Output Utente'!$Q$2:$Q$492,0)),"")</f>
        <v>186</v>
      </c>
      <c r="K6" s="42">
        <f>IFERROR(INDEX('Output Utente'!$H$2:$H$492,MATCH(3,'Output Utente'!$Q$2:$Q$492,0)),"")</f>
        <v>346</v>
      </c>
      <c r="L6" s="5" t="str">
        <f>IFERROR(INDEX('Output Utente'!$E$2:$E$492,MATCH(3,'Output Utente'!$Q$2:$Q$492,0)),"")</f>
        <v>NO</v>
      </c>
      <c r="M6" s="5" t="str">
        <f>IFERROR(INDEX('Output Utente'!$U$2:$U$492,MATCH(3,'Output Utente'!$Q$2:$Q$492,0)),"")</f>
        <v>Rischio Alto</v>
      </c>
      <c r="N6" s="5" t="str">
        <f>IFERROR(INDEX('Output Utente'!$AE$2:$AE$492,MATCH(3,'Output Utente'!$Q$2:$Q$492,0)),"")</f>
        <v>🔴 Non aspettare</v>
      </c>
    </row>
    <row r="7" spans="1:14" ht="15" customHeight="1" x14ac:dyDescent="0.25">
      <c r="A7" s="41">
        <v>4</v>
      </c>
      <c r="B7" s="5">
        <f>IFERROR(INDEX('Output Utente'!$A$2:$A$492,MATCH(4,'Output Utente'!$Q$2:$Q$492,0)),"")</f>
        <v>6052</v>
      </c>
      <c r="C7" s="5" t="str">
        <f>IFERROR(INDEX('Output Utente'!$B$2:$B$492,MATCH(4,'Output Utente'!$Q$2:$Q$492,0)),"")</f>
        <v>A</v>
      </c>
      <c r="D7" s="5" t="str">
        <f>IFERROR(INDEX('Output Utente'!$C$2:$C$492,MATCH(4,'Output Utente'!$Q$2:$Q$492,0)),"")</f>
        <v>Hojlund</v>
      </c>
      <c r="E7" s="5" t="str">
        <f>IFERROR(INDEX('Input Giocatori 2026_27'!$D$3:$D$493,MATCH($B7,'Input Giocatori 2026_27'!$A$3:$A$493,0)),"")</f>
        <v>Napoli</v>
      </c>
      <c r="F7" s="42">
        <f>IFERROR(INDEX('Output Utente'!$N$2:$N$492,MATCH(4,'Output Utente'!$Q$2:$Q$492,0)),"")</f>
        <v>28</v>
      </c>
      <c r="G7" s="42">
        <f>IFERROR(INDEX('Output Utente'!$O$2:$O$492,MATCH(4,'Output Utente'!$Q$2:$Q$492,0)),"")</f>
        <v>271</v>
      </c>
      <c r="H7" s="5" t="str">
        <f>IFERROR(INDEX('Output Utente'!$P$2:$P$492,MATCH(4,'Output Utente'!$Q$2:$Q$492,0)),"")</f>
        <v>Top</v>
      </c>
      <c r="I7" s="42">
        <f>IFERROR(INDEX('Output Utente'!$F$2:$F$492,MATCH(4,'Output Utente'!$Q$2:$Q$492,0)),"")</f>
        <v>284</v>
      </c>
      <c r="J7" s="42">
        <f>IFERROR(INDEX('Output Utente'!$G$2:$G$492,MATCH(4,'Output Utente'!$Q$2:$Q$492,0)),"")</f>
        <v>178</v>
      </c>
      <c r="K7" s="42">
        <f>IFERROR(INDEX('Output Utente'!$H$2:$H$492,MATCH(4,'Output Utente'!$Q$2:$Q$492,0)),"")</f>
        <v>330</v>
      </c>
      <c r="L7" s="5" t="str">
        <f>IFERROR(INDEX('Output Utente'!$E$2:$E$492,MATCH(4,'Output Utente'!$Q$2:$Q$492,0)),"")</f>
        <v>NO</v>
      </c>
      <c r="M7" s="5" t="str">
        <f>IFERROR(INDEX('Output Utente'!$U$2:$U$492,MATCH(4,'Output Utente'!$Q$2:$Q$492,0)),"")</f>
        <v>Rischio Alto</v>
      </c>
      <c r="N7" s="5" t="str">
        <f>IFERROR(INDEX('Output Utente'!$AE$2:$AE$492,MATCH(4,'Output Utente'!$Q$2:$Q$492,0)),"")</f>
        <v>🔴 Non aspettare</v>
      </c>
    </row>
    <row r="8" spans="1:14" ht="15" customHeight="1" x14ac:dyDescent="0.25">
      <c r="A8" s="41">
        <v>5</v>
      </c>
      <c r="B8" s="5">
        <f>IFERROR(INDEX('Output Utente'!$A$2:$A$492,MATCH(5,'Output Utente'!$Q$2:$Q$492,0)),"")</f>
        <v>254</v>
      </c>
      <c r="C8" s="5" t="str">
        <f>IFERROR(INDEX('Output Utente'!$B$2:$B$492,MATCH(5,'Output Utente'!$Q$2:$Q$492,0)),"")</f>
        <v>D</v>
      </c>
      <c r="D8" s="5" t="str">
        <f>IFERROR(INDEX('Output Utente'!$C$2:$C$492,MATCH(5,'Output Utente'!$Q$2:$Q$492,0)),"")</f>
        <v>Dimarco</v>
      </c>
      <c r="E8" s="5" t="str">
        <f>IFERROR(INDEX('Input Giocatori 2026_27'!$D$3:$D$493,MATCH($B8,'Input Giocatori 2026_27'!$A$3:$A$493,0)),"")</f>
        <v>Inter</v>
      </c>
      <c r="F8" s="42">
        <f>IFERROR(INDEX('Output Utente'!$N$2:$N$492,MATCH(5,'Output Utente'!$Q$2:$Q$492,0)),"")</f>
        <v>32</v>
      </c>
      <c r="G8" s="42">
        <f>IFERROR(INDEX('Output Utente'!$O$2:$O$492,MATCH(5,'Output Utente'!$Q$2:$Q$492,0)),"")</f>
        <v>265</v>
      </c>
      <c r="H8" s="5" t="str">
        <f>IFERROR(INDEX('Output Utente'!$P$2:$P$492,MATCH(5,'Output Utente'!$Q$2:$Q$492,0)),"")</f>
        <v>Top</v>
      </c>
      <c r="I8" s="42">
        <f>IFERROR(INDEX('Output Utente'!$F$2:$F$492,MATCH(5,'Output Utente'!$Q$2:$Q$492,0)),"")</f>
        <v>190</v>
      </c>
      <c r="J8" s="42">
        <f>IFERROR(INDEX('Output Utente'!$G$2:$G$492,MATCH(5,'Output Utente'!$Q$2:$Q$492,0)),"")</f>
        <v>141</v>
      </c>
      <c r="K8" s="42">
        <f>IFERROR(INDEX('Output Utente'!$H$2:$H$492,MATCH(5,'Output Utente'!$Q$2:$Q$492,0)),"")</f>
        <v>211</v>
      </c>
      <c r="L8" s="5" t="str">
        <f>IFERROR(INDEX('Output Utente'!$E$2:$E$492,MATCH(5,'Output Utente'!$Q$2:$Q$492,0)),"")</f>
        <v>NO</v>
      </c>
      <c r="M8" s="5" t="str">
        <f>IFERROR(INDEX('Output Utente'!$U$2:$U$492,MATCH(5,'Output Utente'!$Q$2:$Q$492,0)),"")</f>
        <v>Rischio Alto</v>
      </c>
      <c r="N8" s="5" t="str">
        <f>IFERROR(INDEX('Output Utente'!$AE$2:$AE$492,MATCH(5,'Output Utente'!$Q$2:$Q$492,0)),"")</f>
        <v>🔴 Non aspettare</v>
      </c>
    </row>
    <row r="9" spans="1:14" ht="15" customHeight="1" x14ac:dyDescent="0.25">
      <c r="A9" s="41">
        <v>6</v>
      </c>
      <c r="B9" s="5">
        <f>IFERROR(INDEX('Output Utente'!$A$2:$A$492,MATCH(6,'Output Utente'!$Q$2:$Q$492,0)),"")</f>
        <v>6875</v>
      </c>
      <c r="C9" s="5" t="str">
        <f>IFERROR(INDEX('Output Utente'!$B$2:$B$492,MATCH(6,'Output Utente'!$Q$2:$Q$492,0)),"")</f>
        <v>C</v>
      </c>
      <c r="D9" s="5" t="str">
        <f>IFERROR(INDEX('Output Utente'!$C$2:$C$492,MATCH(6,'Output Utente'!$Q$2:$Q$492,0)),"")</f>
        <v>Paz N.</v>
      </c>
      <c r="E9" s="5" t="str">
        <f>IFERROR(INDEX('Input Giocatori 2026_27'!$D$3:$D$493,MATCH($B9,'Input Giocatori 2026_27'!$A$3:$A$493,0)),"")</f>
        <v>Como</v>
      </c>
      <c r="F9" s="42">
        <f>IFERROR(INDEX('Output Utente'!$N$2:$N$492,MATCH(6,'Output Utente'!$Q$2:$Q$492,0)),"")</f>
        <v>30</v>
      </c>
      <c r="G9" s="42">
        <f>IFERROR(INDEX('Output Utente'!$O$2:$O$492,MATCH(6,'Output Utente'!$Q$2:$Q$492,0)),"")</f>
        <v>250</v>
      </c>
      <c r="H9" s="5" t="str">
        <f>IFERROR(INDEX('Output Utente'!$P$2:$P$492,MATCH(6,'Output Utente'!$Q$2:$Q$492,0)),"")</f>
        <v>Top</v>
      </c>
      <c r="I9" s="42">
        <f>IFERROR(INDEX('Output Utente'!$F$2:$F$492,MATCH(6,'Output Utente'!$Q$2:$Q$492,0)),"")</f>
        <v>171</v>
      </c>
      <c r="J9" s="42">
        <f>IFERROR(INDEX('Output Utente'!$G$2:$G$492,MATCH(6,'Output Utente'!$Q$2:$Q$492,0)),"")</f>
        <v>116</v>
      </c>
      <c r="K9" s="42">
        <f>IFERROR(INDEX('Output Utente'!$H$2:$H$492,MATCH(6,'Output Utente'!$Q$2:$Q$492,0)),"")</f>
        <v>194</v>
      </c>
      <c r="L9" s="5" t="str">
        <f>IFERROR(INDEX('Output Utente'!$E$2:$E$492,MATCH(6,'Output Utente'!$Q$2:$Q$492,0)),"")</f>
        <v>NO</v>
      </c>
      <c r="M9" s="5" t="str">
        <f>IFERROR(INDEX('Output Utente'!$U$2:$U$492,MATCH(6,'Output Utente'!$Q$2:$Q$492,0)),"")</f>
        <v>Rischio Alto</v>
      </c>
      <c r="N9" s="5" t="str">
        <f>IFERROR(INDEX('Output Utente'!$AE$2:$AE$492,MATCH(6,'Output Utente'!$Q$2:$Q$492,0)),"")</f>
        <v>🔴 Non aspettare</v>
      </c>
    </row>
    <row r="10" spans="1:14" ht="15" customHeight="1" x14ac:dyDescent="0.25">
      <c r="A10" s="41">
        <v>7</v>
      </c>
      <c r="B10" s="5">
        <f>IFERROR(INDEX('Output Utente'!$A$2:$A$492,MATCH(7,'Output Utente'!$Q$2:$Q$492,0)),"")</f>
        <v>4777</v>
      </c>
      <c r="C10" s="5" t="str">
        <f>IFERROR(INDEX('Output Utente'!$B$2:$B$492,MATCH(7,'Output Utente'!$Q$2:$Q$492,0)),"")</f>
        <v>C</v>
      </c>
      <c r="D10" s="5" t="str">
        <f>IFERROR(INDEX('Output Utente'!$C$2:$C$492,MATCH(7,'Output Utente'!$Q$2:$Q$492,0)),"")</f>
        <v>McTominay</v>
      </c>
      <c r="E10" s="5" t="str">
        <f>IFERROR(INDEX('Input Giocatori 2026_27'!$D$3:$D$493,MATCH($B10,'Input Giocatori 2026_27'!$A$3:$A$493,0)),"")</f>
        <v>Napoli</v>
      </c>
      <c r="F10" s="42">
        <f>IFERROR(INDEX('Output Utente'!$N$2:$N$492,MATCH(7,'Output Utente'!$Q$2:$Q$492,0)),"")</f>
        <v>28</v>
      </c>
      <c r="G10" s="42">
        <f>IFERROR(INDEX('Output Utente'!$O$2:$O$492,MATCH(7,'Output Utente'!$Q$2:$Q$492,0)),"")</f>
        <v>240</v>
      </c>
      <c r="H10" s="5" t="str">
        <f>IFERROR(INDEX('Output Utente'!$P$2:$P$492,MATCH(7,'Output Utente'!$Q$2:$Q$492,0)),"")</f>
        <v>Top</v>
      </c>
      <c r="I10" s="42">
        <f>IFERROR(INDEX('Output Utente'!$F$2:$F$492,MATCH(7,'Output Utente'!$Q$2:$Q$492,0)),"")</f>
        <v>164</v>
      </c>
      <c r="J10" s="42">
        <f>IFERROR(INDEX('Output Utente'!$G$2:$G$492,MATCH(7,'Output Utente'!$Q$2:$Q$492,0)),"")</f>
        <v>112</v>
      </c>
      <c r="K10" s="42">
        <f>IFERROR(INDEX('Output Utente'!$H$2:$H$492,MATCH(7,'Output Utente'!$Q$2:$Q$492,0)),"")</f>
        <v>186</v>
      </c>
      <c r="L10" s="5" t="str">
        <f>IFERROR(INDEX('Output Utente'!$E$2:$E$492,MATCH(7,'Output Utente'!$Q$2:$Q$492,0)),"")</f>
        <v>NO</v>
      </c>
      <c r="M10" s="5" t="str">
        <f>IFERROR(INDEX('Output Utente'!$U$2:$U$492,MATCH(7,'Output Utente'!$Q$2:$Q$492,0)),"")</f>
        <v>Rischio Alto</v>
      </c>
      <c r="N10" s="5" t="str">
        <f>IFERROR(INDEX('Output Utente'!$AE$2:$AE$492,MATCH(7,'Output Utente'!$Q$2:$Q$492,0)),"")</f>
        <v>🔴 Non aspettare</v>
      </c>
    </row>
    <row r="11" spans="1:14" ht="15" customHeight="1" x14ac:dyDescent="0.25">
      <c r="A11" s="41">
        <v>8</v>
      </c>
      <c r="B11" s="5">
        <f>IFERROR(INDEX('Output Utente'!$A$2:$A$492,MATCH(8,'Output Utente'!$Q$2:$Q$492,0)),"")</f>
        <v>6397</v>
      </c>
      <c r="C11" s="5" t="str">
        <f>IFERROR(INDEX('Output Utente'!$B$2:$B$492,MATCH(8,'Output Utente'!$Q$2:$Q$492,0)),"")</f>
        <v>A</v>
      </c>
      <c r="D11" s="5" t="str">
        <f>IFERROR(INDEX('Output Utente'!$C$2:$C$492,MATCH(8,'Output Utente'!$Q$2:$Q$492,0)),"")</f>
        <v>Ramos G.</v>
      </c>
      <c r="E11" s="5" t="str">
        <f>IFERROR(INDEX('Input Giocatori 2026_27'!$D$3:$D$493,MATCH($B11,'Input Giocatori 2026_27'!$A$3:$A$493,0)),"")</f>
        <v>Milan</v>
      </c>
      <c r="F11" s="42">
        <f>IFERROR(INDEX('Output Utente'!$N$2:$N$492,MATCH(8,'Output Utente'!$Q$2:$Q$492,0)),"")</f>
        <v>27</v>
      </c>
      <c r="G11" s="42">
        <f>IFERROR(INDEX('Output Utente'!$O$2:$O$492,MATCH(8,'Output Utente'!$Q$2:$Q$492,0)),"")</f>
        <v>240</v>
      </c>
      <c r="H11" s="5" t="str">
        <f>IFERROR(INDEX('Output Utente'!$P$2:$P$492,MATCH(8,'Output Utente'!$Q$2:$Q$492,0)),"")</f>
        <v>Top</v>
      </c>
      <c r="I11" s="42">
        <f>IFERROR(INDEX('Output Utente'!$F$2:$F$492,MATCH(8,'Output Utente'!$Q$2:$Q$492,0)),"")</f>
        <v>246</v>
      </c>
      <c r="J11" s="42">
        <f>IFERROR(INDEX('Output Utente'!$G$2:$G$492,MATCH(8,'Output Utente'!$Q$2:$Q$492,0)),"")</f>
        <v>154</v>
      </c>
      <c r="K11" s="42">
        <f>IFERROR(INDEX('Output Utente'!$H$2:$H$492,MATCH(8,'Output Utente'!$Q$2:$Q$492,0)),"")</f>
        <v>286</v>
      </c>
      <c r="L11" s="5" t="str">
        <f>IFERROR(INDEX('Output Utente'!$E$2:$E$492,MATCH(8,'Output Utente'!$Q$2:$Q$492,0)),"")</f>
        <v>NO</v>
      </c>
      <c r="M11" s="5" t="str">
        <f>IFERROR(INDEX('Output Utente'!$U$2:$U$492,MATCH(8,'Output Utente'!$Q$2:$Q$492,0)),"")</f>
        <v>Rischio Alto</v>
      </c>
      <c r="N11" s="5" t="str">
        <f>IFERROR(INDEX('Output Utente'!$AE$2:$AE$492,MATCH(8,'Output Utente'!$Q$2:$Q$492,0)),"")</f>
        <v>🔴 Non aspettare</v>
      </c>
    </row>
    <row r="12" spans="1:14" ht="15" customHeight="1" x14ac:dyDescent="0.25">
      <c r="A12" s="41">
        <v>9</v>
      </c>
      <c r="B12" s="5">
        <f>IFERROR(INDEX('Output Utente'!$A$2:$A$492,MATCH(9,'Output Utente'!$Q$2:$Q$492,0)),"")</f>
        <v>2194</v>
      </c>
      <c r="C12" s="5" t="str">
        <f>IFERROR(INDEX('Output Utente'!$B$2:$B$492,MATCH(9,'Output Utente'!$Q$2:$Q$492,0)),"")</f>
        <v>C</v>
      </c>
      <c r="D12" s="5" t="str">
        <f>IFERROR(INDEX('Output Utente'!$C$2:$C$492,MATCH(9,'Output Utente'!$Q$2:$Q$492,0)),"")</f>
        <v>Calhanoglu</v>
      </c>
      <c r="E12" s="5" t="str">
        <f>IFERROR(INDEX('Input Giocatori 2026_27'!$D$3:$D$493,MATCH($B12,'Input Giocatori 2026_27'!$A$3:$A$493,0)),"")</f>
        <v>Inter</v>
      </c>
      <c r="F12" s="42">
        <f>IFERROR(INDEX('Output Utente'!$N$2:$N$492,MATCH(9,'Output Utente'!$Q$2:$Q$492,0)),"")</f>
        <v>27</v>
      </c>
      <c r="G12" s="42">
        <f>IFERROR(INDEX('Output Utente'!$O$2:$O$492,MATCH(9,'Output Utente'!$Q$2:$Q$492,0)),"")</f>
        <v>230</v>
      </c>
      <c r="H12" s="5" t="str">
        <f>IFERROR(INDEX('Output Utente'!$P$2:$P$492,MATCH(9,'Output Utente'!$Q$2:$Q$492,0)),"")</f>
        <v>Top</v>
      </c>
      <c r="I12" s="42">
        <f>IFERROR(INDEX('Output Utente'!$F$2:$F$492,MATCH(9,'Output Utente'!$Q$2:$Q$492,0)),"")</f>
        <v>158</v>
      </c>
      <c r="J12" s="42">
        <f>IFERROR(INDEX('Output Utente'!$G$2:$G$492,MATCH(9,'Output Utente'!$Q$2:$Q$492,0)),"")</f>
        <v>108</v>
      </c>
      <c r="K12" s="42">
        <f>IFERROR(INDEX('Output Utente'!$H$2:$H$492,MATCH(9,'Output Utente'!$Q$2:$Q$492,0)),"")</f>
        <v>180</v>
      </c>
      <c r="L12" s="5" t="str">
        <f>IFERROR(INDEX('Output Utente'!$E$2:$E$492,MATCH(9,'Output Utente'!$Q$2:$Q$492,0)),"")</f>
        <v>NO</v>
      </c>
      <c r="M12" s="5" t="str">
        <f>IFERROR(INDEX('Output Utente'!$U$2:$U$492,MATCH(9,'Output Utente'!$Q$2:$Q$492,0)),"")</f>
        <v>Rischio Alto</v>
      </c>
      <c r="N12" s="5" t="str">
        <f>IFERROR(INDEX('Output Utente'!$AE$2:$AE$492,MATCH(9,'Output Utente'!$Q$2:$Q$492,0)),"")</f>
        <v>🔴 Non aspettare</v>
      </c>
    </row>
    <row r="13" spans="1:14" ht="15" customHeight="1" x14ac:dyDescent="0.25">
      <c r="A13" s="41">
        <v>10</v>
      </c>
      <c r="B13" s="5">
        <f>IFERROR(INDEX('Output Utente'!$A$2:$A$492,MATCH(10,'Output Utente'!$Q$2:$Q$492,0)),"")</f>
        <v>5951</v>
      </c>
      <c r="C13" s="5" t="str">
        <f>IFERROR(INDEX('Output Utente'!$B$2:$B$492,MATCH(10,'Output Utente'!$Q$2:$Q$492,0)),"")</f>
        <v>A</v>
      </c>
      <c r="D13" s="5" t="str">
        <f>IFERROR(INDEX('Output Utente'!$C$2:$C$492,MATCH(10,'Output Utente'!$Q$2:$Q$492,0)),"")</f>
        <v>Kolo Muani</v>
      </c>
      <c r="E13" s="5" t="str">
        <f>IFERROR(INDEX('Input Giocatori 2026_27'!$D$3:$D$493,MATCH($B13,'Input Giocatori 2026_27'!$A$3:$A$493,0)),"")</f>
        <v>Juventus</v>
      </c>
      <c r="F13" s="42">
        <f>IFERROR(INDEX('Output Utente'!$N$2:$N$492,MATCH(10,'Output Utente'!$Q$2:$Q$492,0)),"")</f>
        <v>26</v>
      </c>
      <c r="G13" s="42">
        <f>IFERROR(INDEX('Output Utente'!$O$2:$O$492,MATCH(10,'Output Utente'!$Q$2:$Q$492,0)),"")</f>
        <v>225</v>
      </c>
      <c r="H13" s="5" t="str">
        <f>IFERROR(INDEX('Output Utente'!$P$2:$P$492,MATCH(10,'Output Utente'!$Q$2:$Q$492,0)),"")</f>
        <v>Top</v>
      </c>
      <c r="I13" s="42">
        <f>IFERROR(INDEX('Output Utente'!$F$2:$F$492,MATCH(10,'Output Utente'!$Q$2:$Q$492,0)),"")</f>
        <v>231</v>
      </c>
      <c r="J13" s="42">
        <f>IFERROR(INDEX('Output Utente'!$G$2:$G$492,MATCH(10,'Output Utente'!$Q$2:$Q$492,0)),"")</f>
        <v>144</v>
      </c>
      <c r="K13" s="42">
        <f>IFERROR(INDEX('Output Utente'!$H$2:$H$492,MATCH(10,'Output Utente'!$Q$2:$Q$492,0)),"")</f>
        <v>268</v>
      </c>
      <c r="L13" s="5" t="str">
        <f>IFERROR(INDEX('Output Utente'!$E$2:$E$492,MATCH(10,'Output Utente'!$Q$2:$Q$492,0)),"")</f>
        <v>NO</v>
      </c>
      <c r="M13" s="5" t="str">
        <f>IFERROR(INDEX('Output Utente'!$U$2:$U$492,MATCH(10,'Output Utente'!$Q$2:$Q$492,0)),"")</f>
        <v>Rischio Alto</v>
      </c>
      <c r="N13" s="5" t="str">
        <f>IFERROR(INDEX('Output Utente'!$AE$2:$AE$492,MATCH(10,'Output Utente'!$Q$2:$Q$492,0)),"")</f>
        <v>🔴 Non aspettare</v>
      </c>
    </row>
    <row r="14" spans="1:14" ht="15" customHeight="1" x14ac:dyDescent="0.25">
      <c r="A14" s="41">
        <v>11</v>
      </c>
      <c r="B14" s="5">
        <f>IFERROR(INDEX('Output Utente'!$A$2:$A$492,MATCH(11,'Output Utente'!$Q$2:$Q$492,0)),"")</f>
        <v>2097</v>
      </c>
      <c r="C14" s="5" t="str">
        <f>IFERROR(INDEX('Output Utente'!$B$2:$B$492,MATCH(11,'Output Utente'!$Q$2:$Q$492,0)),"")</f>
        <v>A</v>
      </c>
      <c r="D14" s="5" t="str">
        <f>IFERROR(INDEX('Output Utente'!$C$2:$C$492,MATCH(11,'Output Utente'!$Q$2:$Q$492,0)),"")</f>
        <v>Kean</v>
      </c>
      <c r="E14" s="5" t="str">
        <f>IFERROR(INDEX('Input Giocatori 2026_27'!$D$3:$D$493,MATCH($B14,'Input Giocatori 2026_27'!$A$3:$A$493,0)),"")</f>
        <v>Fiorentina</v>
      </c>
      <c r="F14" s="42">
        <f>IFERROR(INDEX('Output Utente'!$N$2:$N$492,MATCH(11,'Output Utente'!$Q$2:$Q$492,0)),"")</f>
        <v>25</v>
      </c>
      <c r="G14" s="42">
        <f>IFERROR(INDEX('Output Utente'!$O$2:$O$492,MATCH(11,'Output Utente'!$Q$2:$Q$492,0)),"")</f>
        <v>212</v>
      </c>
      <c r="H14" s="5" t="str">
        <f>IFERROR(INDEX('Output Utente'!$P$2:$P$492,MATCH(11,'Output Utente'!$Q$2:$Q$492,0)),"")</f>
        <v>Top</v>
      </c>
      <c r="I14" s="42">
        <f>IFERROR(INDEX('Output Utente'!$F$2:$F$492,MATCH(11,'Output Utente'!$Q$2:$Q$492,0)),"")</f>
        <v>218</v>
      </c>
      <c r="J14" s="42">
        <f>IFERROR(INDEX('Output Utente'!$G$2:$G$492,MATCH(11,'Output Utente'!$Q$2:$Q$492,0)),"")</f>
        <v>136</v>
      </c>
      <c r="K14" s="42">
        <f>IFERROR(INDEX('Output Utente'!$H$2:$H$492,MATCH(11,'Output Utente'!$Q$2:$Q$492,0)),"")</f>
        <v>253</v>
      </c>
      <c r="L14" s="5" t="str">
        <f>IFERROR(INDEX('Output Utente'!$E$2:$E$492,MATCH(11,'Output Utente'!$Q$2:$Q$492,0)),"")</f>
        <v>NO</v>
      </c>
      <c r="M14" s="5" t="str">
        <f>IFERROR(INDEX('Output Utente'!$U$2:$U$492,MATCH(11,'Output Utente'!$Q$2:$Q$492,0)),"")</f>
        <v>Rischio Alto</v>
      </c>
      <c r="N14" s="5" t="str">
        <f>IFERROR(INDEX('Output Utente'!$AE$2:$AE$492,MATCH(11,'Output Utente'!$Q$2:$Q$492,0)),"")</f>
        <v>🔴 Non aspettare</v>
      </c>
    </row>
    <row r="15" spans="1:14" ht="15" customHeight="1" x14ac:dyDescent="0.25">
      <c r="A15" s="41">
        <v>12</v>
      </c>
      <c r="B15" s="5">
        <f>IFERROR(INDEX('Output Utente'!$A$2:$A$492,MATCH(12,'Output Utente'!$Q$2:$Q$492,0)),"")</f>
        <v>2167</v>
      </c>
      <c r="C15" s="5" t="str">
        <f>IFERROR(INDEX('Output Utente'!$B$2:$B$492,MATCH(12,'Output Utente'!$Q$2:$Q$492,0)),"")</f>
        <v>C</v>
      </c>
      <c r="D15" s="5" t="str">
        <f>IFERROR(INDEX('Output Utente'!$C$2:$C$492,MATCH(12,'Output Utente'!$Q$2:$Q$492,0)),"")</f>
        <v>Orsolini</v>
      </c>
      <c r="E15" s="5" t="str">
        <f>IFERROR(INDEX('Input Giocatori 2026_27'!$D$3:$D$493,MATCH($B15,'Input Giocatori 2026_27'!$A$3:$A$493,0)),"")</f>
        <v>Bologna</v>
      </c>
      <c r="F15" s="42">
        <f>IFERROR(INDEX('Output Utente'!$N$2:$N$492,MATCH(12,'Output Utente'!$Q$2:$Q$492,0)),"")</f>
        <v>26</v>
      </c>
      <c r="G15" s="42">
        <f>IFERROR(INDEX('Output Utente'!$O$2:$O$492,MATCH(12,'Output Utente'!$Q$2:$Q$492,0)),"")</f>
        <v>200</v>
      </c>
      <c r="H15" s="5" t="str">
        <f>IFERROR(INDEX('Output Utente'!$P$2:$P$492,MATCH(12,'Output Utente'!$Q$2:$Q$492,0)),"")</f>
        <v>Top</v>
      </c>
      <c r="I15" s="42">
        <f>IFERROR(INDEX('Output Utente'!$F$2:$F$492,MATCH(12,'Output Utente'!$Q$2:$Q$492,0)),"")</f>
        <v>135</v>
      </c>
      <c r="J15" s="42">
        <f>IFERROR(INDEX('Output Utente'!$G$2:$G$492,MATCH(12,'Output Utente'!$Q$2:$Q$492,0)),"")</f>
        <v>92</v>
      </c>
      <c r="K15" s="42">
        <f>IFERROR(INDEX('Output Utente'!$H$2:$H$492,MATCH(12,'Output Utente'!$Q$2:$Q$492,0)),"")</f>
        <v>153</v>
      </c>
      <c r="L15" s="5" t="str">
        <f>IFERROR(INDEX('Output Utente'!$E$2:$E$492,MATCH(12,'Output Utente'!$Q$2:$Q$492,0)),"")</f>
        <v>NO</v>
      </c>
      <c r="M15" s="5" t="str">
        <f>IFERROR(INDEX('Output Utente'!$U$2:$U$492,MATCH(12,'Output Utente'!$Q$2:$Q$492,0)),"")</f>
        <v>Rischio Alto</v>
      </c>
      <c r="N15" s="5" t="str">
        <f>IFERROR(INDEX('Output Utente'!$AE$2:$AE$492,MATCH(12,'Output Utente'!$Q$2:$Q$492,0)),"")</f>
        <v>🔴 Non aspettare</v>
      </c>
    </row>
    <row r="16" spans="1:14" ht="15" customHeight="1" x14ac:dyDescent="0.25">
      <c r="A16" s="41">
        <v>13</v>
      </c>
      <c r="B16" s="5">
        <f>IFERROR(INDEX('Output Utente'!$A$2:$A$492,MATCH(13,'Output Utente'!$Q$2:$Q$492,0)),"")</f>
        <v>6434</v>
      </c>
      <c r="C16" s="5" t="str">
        <f>IFERROR(INDEX('Output Utente'!$B$2:$B$492,MATCH(13,'Output Utente'!$Q$2:$Q$492,0)),"")</f>
        <v>A</v>
      </c>
      <c r="D16" s="5" t="str">
        <f>IFERROR(INDEX('Output Utente'!$C$2:$C$492,MATCH(13,'Output Utente'!$Q$2:$Q$492,0)),"")</f>
        <v>Yildiz</v>
      </c>
      <c r="E16" s="5" t="str">
        <f>IFERROR(INDEX('Input Giocatori 2026_27'!$D$3:$D$493,MATCH($B16,'Input Giocatori 2026_27'!$A$3:$A$493,0)),"")</f>
        <v>Juventus</v>
      </c>
      <c r="F16" s="42">
        <f>IFERROR(INDEX('Output Utente'!$N$2:$N$492,MATCH(13,'Output Utente'!$Q$2:$Q$492,0)),"")</f>
        <v>23</v>
      </c>
      <c r="G16" s="42">
        <f>IFERROR(INDEX('Output Utente'!$O$2:$O$492,MATCH(13,'Output Utente'!$Q$2:$Q$492,0)),"")</f>
        <v>200</v>
      </c>
      <c r="H16" s="5" t="str">
        <f>IFERROR(INDEX('Output Utente'!$P$2:$P$492,MATCH(13,'Output Utente'!$Q$2:$Q$492,0)),"")</f>
        <v>Top</v>
      </c>
      <c r="I16" s="42">
        <f>IFERROR(INDEX('Output Utente'!$F$2:$F$492,MATCH(13,'Output Utente'!$Q$2:$Q$492,0)),"")</f>
        <v>209</v>
      </c>
      <c r="J16" s="42">
        <f>IFERROR(INDEX('Output Utente'!$G$2:$G$492,MATCH(13,'Output Utente'!$Q$2:$Q$492,0)),"")</f>
        <v>131</v>
      </c>
      <c r="K16" s="42">
        <f>IFERROR(INDEX('Output Utente'!$H$2:$H$492,MATCH(13,'Output Utente'!$Q$2:$Q$492,0)),"")</f>
        <v>243</v>
      </c>
      <c r="L16" s="5" t="str">
        <f>IFERROR(INDEX('Output Utente'!$E$2:$E$492,MATCH(13,'Output Utente'!$Q$2:$Q$492,0)),"")</f>
        <v>NO</v>
      </c>
      <c r="M16" s="5" t="str">
        <f>IFERROR(INDEX('Output Utente'!$U$2:$U$492,MATCH(13,'Output Utente'!$Q$2:$Q$492,0)),"")</f>
        <v>Rischio Alto</v>
      </c>
      <c r="N16" s="5" t="str">
        <f>IFERROR(INDEX('Output Utente'!$AE$2:$AE$492,MATCH(13,'Output Utente'!$Q$2:$Q$492,0)),"")</f>
        <v>🔴 Non aspettare</v>
      </c>
    </row>
    <row r="17" spans="1:14" ht="15" customHeight="1" x14ac:dyDescent="0.25">
      <c r="A17" s="41">
        <v>14</v>
      </c>
      <c r="B17" s="5">
        <f>IFERROR(INDEX('Output Utente'!$A$2:$A$492,MATCH(14,'Output Utente'!$Q$2:$Q$492,0)),"")</f>
        <v>2423</v>
      </c>
      <c r="C17" s="5" t="str">
        <f>IFERROR(INDEX('Output Utente'!$B$2:$B$492,MATCH(14,'Output Utente'!$Q$2:$Q$492,0)),"")</f>
        <v>C</v>
      </c>
      <c r="D17" s="5" t="str">
        <f>IFERROR(INDEX('Output Utente'!$C$2:$C$492,MATCH(14,'Output Utente'!$Q$2:$Q$492,0)),"")</f>
        <v>Pulisic</v>
      </c>
      <c r="E17" s="5" t="str">
        <f>IFERROR(INDEX('Input Giocatori 2026_27'!$D$3:$D$493,MATCH($B17,'Input Giocatori 2026_27'!$A$3:$A$493,0)),"")</f>
        <v>Milan</v>
      </c>
      <c r="F17" s="42">
        <f>IFERROR(INDEX('Output Utente'!$N$2:$N$492,MATCH(14,'Output Utente'!$Q$2:$Q$492,0)),"")</f>
        <v>25</v>
      </c>
      <c r="G17" s="42">
        <f>IFERROR(INDEX('Output Utente'!$O$2:$O$492,MATCH(14,'Output Utente'!$Q$2:$Q$492,0)),"")</f>
        <v>180</v>
      </c>
      <c r="H17" s="5" t="str">
        <f>IFERROR(INDEX('Output Utente'!$P$2:$P$492,MATCH(14,'Output Utente'!$Q$2:$Q$492,0)),"")</f>
        <v>Top</v>
      </c>
      <c r="I17" s="42">
        <f>IFERROR(INDEX('Output Utente'!$F$2:$F$492,MATCH(14,'Output Utente'!$Q$2:$Q$492,0)),"")</f>
        <v>122</v>
      </c>
      <c r="J17" s="42">
        <f>IFERROR(INDEX('Output Utente'!$G$2:$G$492,MATCH(14,'Output Utente'!$Q$2:$Q$492,0)),"")</f>
        <v>83</v>
      </c>
      <c r="K17" s="42">
        <f>IFERROR(INDEX('Output Utente'!$H$2:$H$492,MATCH(14,'Output Utente'!$Q$2:$Q$492,0)),"")</f>
        <v>139</v>
      </c>
      <c r="L17" s="5" t="str">
        <f>IFERROR(INDEX('Output Utente'!$E$2:$E$492,MATCH(14,'Output Utente'!$Q$2:$Q$492,0)),"")</f>
        <v>NO</v>
      </c>
      <c r="M17" s="5" t="str">
        <f>IFERROR(INDEX('Output Utente'!$U$2:$U$492,MATCH(14,'Output Utente'!$Q$2:$Q$492,0)),"")</f>
        <v>Rischio Alto</v>
      </c>
      <c r="N17" s="5" t="str">
        <f>IFERROR(INDEX('Output Utente'!$AE$2:$AE$492,MATCH(14,'Output Utente'!$Q$2:$Q$492,0)),"")</f>
        <v>🔴 Non aspettare</v>
      </c>
    </row>
    <row r="18" spans="1:14" ht="15" customHeight="1" x14ac:dyDescent="0.25">
      <c r="A18" s="41">
        <v>15</v>
      </c>
      <c r="B18" s="5">
        <f>IFERROR(INDEX('Output Utente'!$A$2:$A$492,MATCH(15,'Output Utente'!$Q$2:$Q$492,0)),"")</f>
        <v>7017</v>
      </c>
      <c r="C18" s="5" t="str">
        <f>IFERROR(INDEX('Output Utente'!$B$2:$B$492,MATCH(15,'Output Utente'!$Q$2:$Q$492,0)),"")</f>
        <v>A</v>
      </c>
      <c r="D18" s="5" t="str">
        <f>IFERROR(INDEX('Output Utente'!$C$2:$C$492,MATCH(15,'Output Utente'!$Q$2:$Q$492,0)),"")</f>
        <v>Douvikas</v>
      </c>
      <c r="E18" s="5" t="str">
        <f>IFERROR(INDEX('Input Giocatori 2026_27'!$D$3:$D$493,MATCH($B18,'Input Giocatori 2026_27'!$A$3:$A$493,0)),"")</f>
        <v>Como</v>
      </c>
      <c r="F18" s="42">
        <f>IFERROR(INDEX('Output Utente'!$N$2:$N$492,MATCH(15,'Output Utente'!$Q$2:$Q$492,0)),"")</f>
        <v>20</v>
      </c>
      <c r="G18" s="42">
        <f>IFERROR(INDEX('Output Utente'!$O$2:$O$492,MATCH(15,'Output Utente'!$Q$2:$Q$492,0)),"")</f>
        <v>157</v>
      </c>
      <c r="H18" s="5" t="str">
        <f>IFERROR(INDEX('Output Utente'!$P$2:$P$492,MATCH(15,'Output Utente'!$Q$2:$Q$492,0)),"")</f>
        <v>Top</v>
      </c>
      <c r="I18" s="42">
        <f>IFERROR(INDEX('Output Utente'!$F$2:$F$492,MATCH(15,'Output Utente'!$Q$2:$Q$492,0)),"")</f>
        <v>165</v>
      </c>
      <c r="J18" s="42">
        <f>IFERROR(INDEX('Output Utente'!$G$2:$G$492,MATCH(15,'Output Utente'!$Q$2:$Q$492,0)),"")</f>
        <v>103</v>
      </c>
      <c r="K18" s="42">
        <f>IFERROR(INDEX('Output Utente'!$H$2:$H$492,MATCH(15,'Output Utente'!$Q$2:$Q$492,0)),"")</f>
        <v>191</v>
      </c>
      <c r="L18" s="5" t="str">
        <f>IFERROR(INDEX('Output Utente'!$E$2:$E$492,MATCH(15,'Output Utente'!$Q$2:$Q$492,0)),"")</f>
        <v>NO</v>
      </c>
      <c r="M18" s="5" t="str">
        <f>IFERROR(INDEX('Output Utente'!$U$2:$U$492,MATCH(15,'Output Utente'!$Q$2:$Q$492,0)),"")</f>
        <v>Rischio Alto</v>
      </c>
      <c r="N18" s="5" t="str">
        <f>IFERROR(INDEX('Output Utente'!$AE$2:$AE$492,MATCH(15,'Output Utente'!$Q$2:$Q$492,0)),"")</f>
        <v>🔴 Non aspettare</v>
      </c>
    </row>
    <row r="19" spans="1:14" ht="15" customHeight="1" x14ac:dyDescent="0.25">
      <c r="A19" s="41">
        <v>16</v>
      </c>
      <c r="B19" s="5">
        <f>IFERROR(INDEX('Output Utente'!$A$2:$A$492,MATCH(16,'Output Utente'!$Q$2:$Q$492,0)),"")</f>
        <v>2379</v>
      </c>
      <c r="C19" s="5" t="str">
        <f>IFERROR(INDEX('Output Utente'!$B$2:$B$492,MATCH(16,'Output Utente'!$Q$2:$Q$492,0)),"")</f>
        <v>C</v>
      </c>
      <c r="D19" s="5" t="str">
        <f>IFERROR(INDEX('Output Utente'!$C$2:$C$492,MATCH(16,'Output Utente'!$Q$2:$Q$492,0)),"")</f>
        <v>Rabiot</v>
      </c>
      <c r="E19" s="5" t="str">
        <f>IFERROR(INDEX('Input Giocatori 2026_27'!$D$3:$D$493,MATCH($B19,'Input Giocatori 2026_27'!$A$3:$A$493,0)),"")</f>
        <v>Milan</v>
      </c>
      <c r="F19" s="42">
        <f>IFERROR(INDEX('Output Utente'!$N$2:$N$492,MATCH(16,'Output Utente'!$Q$2:$Q$492,0)),"")</f>
        <v>22</v>
      </c>
      <c r="G19" s="42">
        <f>IFERROR(INDEX('Output Utente'!$O$2:$O$492,MATCH(16,'Output Utente'!$Q$2:$Q$492,0)),"")</f>
        <v>128</v>
      </c>
      <c r="H19" s="5" t="str">
        <f>IFERROR(INDEX('Output Utente'!$P$2:$P$492,MATCH(16,'Output Utente'!$Q$2:$Q$492,0)),"")</f>
        <v>Top</v>
      </c>
      <c r="I19" s="42">
        <f>IFERROR(INDEX('Output Utente'!$F$2:$F$492,MATCH(16,'Output Utente'!$Q$2:$Q$492,0)),"")</f>
        <v>86</v>
      </c>
      <c r="J19" s="42">
        <f>IFERROR(INDEX('Output Utente'!$G$2:$G$492,MATCH(16,'Output Utente'!$Q$2:$Q$492,0)),"")</f>
        <v>59</v>
      </c>
      <c r="K19" s="42">
        <f>IFERROR(INDEX('Output Utente'!$H$2:$H$492,MATCH(16,'Output Utente'!$Q$2:$Q$492,0)),"")</f>
        <v>98</v>
      </c>
      <c r="L19" s="5" t="str">
        <f>IFERROR(INDEX('Output Utente'!$E$2:$E$492,MATCH(16,'Output Utente'!$Q$2:$Q$492,0)),"")</f>
        <v>NO</v>
      </c>
      <c r="M19" s="5" t="str">
        <f>IFERROR(INDEX('Output Utente'!$U$2:$U$492,MATCH(16,'Output Utente'!$Q$2:$Q$492,0)),"")</f>
        <v>Attenzione</v>
      </c>
      <c r="N19" s="5" t="str">
        <f>IFERROR(INDEX('Output Utente'!$AE$2:$AE$492,MATCH(16,'Output Utente'!$Q$2:$Q$492,0)),"")</f>
        <v>🔴 Non aspettare</v>
      </c>
    </row>
    <row r="20" spans="1:14" ht="15" customHeight="1" x14ac:dyDescent="0.25">
      <c r="A20" s="41">
        <v>17</v>
      </c>
      <c r="B20" s="5">
        <f>IFERROR(INDEX('Output Utente'!$A$2:$A$492,MATCH(17,'Output Utente'!$Q$2:$Q$492,0)),"")</f>
        <v>2137</v>
      </c>
      <c r="C20" s="5" t="str">
        <f>IFERROR(INDEX('Output Utente'!$B$2:$B$492,MATCH(17,'Output Utente'!$Q$2:$Q$492,0)),"")</f>
        <v>A</v>
      </c>
      <c r="D20" s="5" t="str">
        <f>IFERROR(INDEX('Output Utente'!$C$2:$C$492,MATCH(17,'Output Utente'!$Q$2:$Q$492,0)),"")</f>
        <v>Scamacca</v>
      </c>
      <c r="E20" s="5" t="str">
        <f>IFERROR(INDEX('Input Giocatori 2026_27'!$D$3:$D$493,MATCH($B20,'Input Giocatori 2026_27'!$A$3:$A$493,0)),"")</f>
        <v>Atalanta</v>
      </c>
      <c r="F20" s="42">
        <f>IFERROR(INDEX('Output Utente'!$N$2:$N$492,MATCH(17,'Output Utente'!$Q$2:$Q$492,0)),"")</f>
        <v>19</v>
      </c>
      <c r="G20" s="42">
        <f>IFERROR(INDEX('Output Utente'!$O$2:$O$492,MATCH(17,'Output Utente'!$Q$2:$Q$492,0)),"")</f>
        <v>128</v>
      </c>
      <c r="H20" s="5" t="str">
        <f>IFERROR(INDEX('Output Utente'!$P$2:$P$492,MATCH(17,'Output Utente'!$Q$2:$Q$492,0)),"")</f>
        <v>Buono</v>
      </c>
      <c r="I20" s="42">
        <f>IFERROR(INDEX('Output Utente'!$F$2:$F$492,MATCH(17,'Output Utente'!$Q$2:$Q$492,0)),"")</f>
        <v>134</v>
      </c>
      <c r="J20" s="42">
        <f>IFERROR(INDEX('Output Utente'!$G$2:$G$492,MATCH(17,'Output Utente'!$Q$2:$Q$492,0)),"")</f>
        <v>84</v>
      </c>
      <c r="K20" s="42">
        <f>IFERROR(INDEX('Output Utente'!$H$2:$H$492,MATCH(17,'Output Utente'!$Q$2:$Q$492,0)),"")</f>
        <v>156</v>
      </c>
      <c r="L20" s="5" t="str">
        <f>IFERROR(INDEX('Output Utente'!$E$2:$E$492,MATCH(17,'Output Utente'!$Q$2:$Q$492,0)),"")</f>
        <v>NO</v>
      </c>
      <c r="M20" s="5" t="str">
        <f>IFERROR(INDEX('Output Utente'!$U$2:$U$492,MATCH(17,'Output Utente'!$Q$2:$Q$492,0)),"")</f>
        <v>Rischio Alto</v>
      </c>
      <c r="N20" s="5" t="str">
        <f>IFERROR(INDEX('Output Utente'!$AE$2:$AE$492,MATCH(17,'Output Utente'!$Q$2:$Q$492,0)),"")</f>
        <v>🔴 Non aspettare</v>
      </c>
    </row>
    <row r="21" spans="1:14" ht="15" customHeight="1" x14ac:dyDescent="0.25">
      <c r="A21" s="41">
        <v>18</v>
      </c>
      <c r="B21" s="5">
        <f>IFERROR(INDEX('Output Utente'!$A$2:$A$492,MATCH(18,'Output Utente'!$Q$2:$Q$492,0)),"")</f>
        <v>5637</v>
      </c>
      <c r="C21" s="5" t="str">
        <f>IFERROR(INDEX('Output Utente'!$B$2:$B$492,MATCH(18,'Output Utente'!$Q$2:$Q$492,0)),"")</f>
        <v>A</v>
      </c>
      <c r="D21" s="5" t="str">
        <f>IFERROR(INDEX('Output Utente'!$C$2:$C$492,MATCH(18,'Output Utente'!$Q$2:$Q$492,0)),"")</f>
        <v>Davis K.</v>
      </c>
      <c r="E21" s="5" t="str">
        <f>IFERROR(INDEX('Input Giocatori 2026_27'!$D$3:$D$493,MATCH($B21,'Input Giocatori 2026_27'!$A$3:$A$493,0)),"")</f>
        <v>Udinese</v>
      </c>
      <c r="F21" s="42">
        <f>IFERROR(INDEX('Output Utente'!$N$2:$N$492,MATCH(18,'Output Utente'!$Q$2:$Q$492,0)),"")</f>
        <v>19</v>
      </c>
      <c r="G21" s="42">
        <f>IFERROR(INDEX('Output Utente'!$O$2:$O$492,MATCH(18,'Output Utente'!$Q$2:$Q$492,0)),"")</f>
        <v>121</v>
      </c>
      <c r="H21" s="5" t="str">
        <f>IFERROR(INDEX('Output Utente'!$P$2:$P$492,MATCH(18,'Output Utente'!$Q$2:$Q$492,0)),"")</f>
        <v>Buono</v>
      </c>
      <c r="I21" s="42">
        <f>IFERROR(INDEX('Output Utente'!$F$2:$F$492,MATCH(18,'Output Utente'!$Q$2:$Q$492,0)),"")</f>
        <v>127</v>
      </c>
      <c r="J21" s="42">
        <f>IFERROR(INDEX('Output Utente'!$G$2:$G$492,MATCH(18,'Output Utente'!$Q$2:$Q$492,0)),"")</f>
        <v>79</v>
      </c>
      <c r="K21" s="42">
        <f>IFERROR(INDEX('Output Utente'!$H$2:$H$492,MATCH(18,'Output Utente'!$Q$2:$Q$492,0)),"")</f>
        <v>147</v>
      </c>
      <c r="L21" s="5" t="str">
        <f>IFERROR(INDEX('Output Utente'!$E$2:$E$492,MATCH(18,'Output Utente'!$Q$2:$Q$492,0)),"")</f>
        <v>NO</v>
      </c>
      <c r="M21" s="5" t="str">
        <f>IFERROR(INDEX('Output Utente'!$U$2:$U$492,MATCH(18,'Output Utente'!$Q$2:$Q$492,0)),"")</f>
        <v>Rischio Alto</v>
      </c>
      <c r="N21" s="5" t="str">
        <f>IFERROR(INDEX('Output Utente'!$AE$2:$AE$492,MATCH(18,'Output Utente'!$Q$2:$Q$492,0)),"")</f>
        <v>🔴 Non aspettare</v>
      </c>
    </row>
    <row r="22" spans="1:14" ht="15" customHeight="1" x14ac:dyDescent="0.25">
      <c r="A22" s="41">
        <v>19</v>
      </c>
      <c r="B22" s="5">
        <f>IFERROR(INDEX('Output Utente'!$A$2:$A$492,MATCH(19,'Output Utente'!$Q$2:$Q$492,0)),"")</f>
        <v>4510</v>
      </c>
      <c r="C22" s="5" t="str">
        <f>IFERROR(INDEX('Output Utente'!$B$2:$B$492,MATCH(19,'Output Utente'!$Q$2:$Q$492,0)),"")</f>
        <v>A</v>
      </c>
      <c r="D22" s="5" t="str">
        <f>IFERROR(INDEX('Output Utente'!$C$2:$C$492,MATCH(19,'Output Utente'!$Q$2:$Q$492,0)),"")</f>
        <v>Leao</v>
      </c>
      <c r="E22" s="5" t="str">
        <f>IFERROR(INDEX('Input Giocatori 2026_27'!$D$3:$D$493,MATCH($B22,'Input Giocatori 2026_27'!$A$3:$A$493,0)),"")</f>
        <v>Milan</v>
      </c>
      <c r="F22" s="42">
        <f>IFERROR(INDEX('Output Utente'!$N$2:$N$492,MATCH(19,'Output Utente'!$Q$2:$Q$492,0)),"")</f>
        <v>18</v>
      </c>
      <c r="G22" s="42">
        <f>IFERROR(INDEX('Output Utente'!$O$2:$O$492,MATCH(19,'Output Utente'!$Q$2:$Q$492,0)),"")</f>
        <v>120</v>
      </c>
      <c r="H22" s="5" t="str">
        <f>IFERROR(INDEX('Output Utente'!$P$2:$P$492,MATCH(19,'Output Utente'!$Q$2:$Q$492,0)),"")</f>
        <v>Buono</v>
      </c>
      <c r="I22" s="42">
        <f>IFERROR(INDEX('Output Utente'!$F$2:$F$492,MATCH(19,'Output Utente'!$Q$2:$Q$492,0)),"")</f>
        <v>124</v>
      </c>
      <c r="J22" s="42">
        <f>IFERROR(INDEX('Output Utente'!$G$2:$G$492,MATCH(19,'Output Utente'!$Q$2:$Q$492,0)),"")</f>
        <v>77</v>
      </c>
      <c r="K22" s="42">
        <f>IFERROR(INDEX('Output Utente'!$H$2:$H$492,MATCH(19,'Output Utente'!$Q$2:$Q$492,0)),"")</f>
        <v>144</v>
      </c>
      <c r="L22" s="5" t="str">
        <f>IFERROR(INDEX('Output Utente'!$E$2:$E$492,MATCH(19,'Output Utente'!$Q$2:$Q$492,0)),"")</f>
        <v>NO</v>
      </c>
      <c r="M22" s="5" t="str">
        <f>IFERROR(INDEX('Output Utente'!$U$2:$U$492,MATCH(19,'Output Utente'!$Q$2:$Q$492,0)),"")</f>
        <v>Rischio Alto</v>
      </c>
      <c r="N22" s="5" t="str">
        <f>IFERROR(INDEX('Output Utente'!$AE$2:$AE$492,MATCH(19,'Output Utente'!$Q$2:$Q$492,0)),"")</f>
        <v>🔴 Non aspettare</v>
      </c>
    </row>
    <row r="23" spans="1:14" ht="15" customHeight="1" x14ac:dyDescent="0.25">
      <c r="A23" s="41">
        <v>20</v>
      </c>
      <c r="B23" s="5">
        <f>IFERROR(INDEX('Output Utente'!$A$2:$A$492,MATCH(20,'Output Utente'!$Q$2:$Q$492,0)),"")</f>
        <v>531</v>
      </c>
      <c r="C23" s="5" t="str">
        <f>IFERROR(INDEX('Output Utente'!$B$2:$B$492,MATCH(20,'Output Utente'!$Q$2:$Q$492,0)),"")</f>
        <v>A</v>
      </c>
      <c r="D23" s="5" t="str">
        <f>IFERROR(INDEX('Output Utente'!$C$2:$C$492,MATCH(20,'Output Utente'!$Q$2:$Q$492,0)),"")</f>
        <v>Berardi</v>
      </c>
      <c r="E23" s="5" t="str">
        <f>IFERROR(INDEX('Input Giocatori 2026_27'!$D$3:$D$493,MATCH($B23,'Input Giocatori 2026_27'!$A$3:$A$493,0)),"")</f>
        <v>Sassuolo</v>
      </c>
      <c r="F23" s="42">
        <f>IFERROR(INDEX('Output Utente'!$N$2:$N$492,MATCH(20,'Output Utente'!$Q$2:$Q$492,0)),"")</f>
        <v>18</v>
      </c>
      <c r="G23" s="42">
        <f>IFERROR(INDEX('Output Utente'!$O$2:$O$492,MATCH(20,'Output Utente'!$Q$2:$Q$492,0)),"")</f>
        <v>115</v>
      </c>
      <c r="H23" s="5" t="str">
        <f>IFERROR(INDEX('Output Utente'!$P$2:$P$492,MATCH(20,'Output Utente'!$Q$2:$Q$492,0)),"")</f>
        <v>Buono</v>
      </c>
      <c r="I23" s="42">
        <f>IFERROR(INDEX('Output Utente'!$F$2:$F$492,MATCH(20,'Output Utente'!$Q$2:$Q$492,0)),"")</f>
        <v>120</v>
      </c>
      <c r="J23" s="42">
        <f>IFERROR(INDEX('Output Utente'!$G$2:$G$492,MATCH(20,'Output Utente'!$Q$2:$Q$492,0)),"")</f>
        <v>75</v>
      </c>
      <c r="K23" s="42">
        <f>IFERROR(INDEX('Output Utente'!$H$2:$H$492,MATCH(20,'Output Utente'!$Q$2:$Q$492,0)),"")</f>
        <v>139</v>
      </c>
      <c r="L23" s="5" t="str">
        <f>IFERROR(INDEX('Output Utente'!$E$2:$E$492,MATCH(20,'Output Utente'!$Q$2:$Q$492,0)),"")</f>
        <v>NO</v>
      </c>
      <c r="M23" s="5" t="str">
        <f>IFERROR(INDEX('Output Utente'!$U$2:$U$492,MATCH(20,'Output Utente'!$Q$2:$Q$492,0)),"")</f>
        <v>Attenzione</v>
      </c>
      <c r="N23" s="5" t="str">
        <f>IFERROR(INDEX('Output Utente'!$AE$2:$AE$492,MATCH(20,'Output Utente'!$Q$2:$Q$492,0)),"")</f>
        <v>🔴 Non aspettare</v>
      </c>
    </row>
    <row r="24" spans="1:14" ht="15" customHeight="1" x14ac:dyDescent="0.25">
      <c r="A24" s="41">
        <v>21</v>
      </c>
      <c r="B24" s="5">
        <f>IFERROR(INDEX('Output Utente'!$A$2:$A$492,MATCH(21,'Output Utente'!$Q$2:$Q$492,0)),"")</f>
        <v>5995</v>
      </c>
      <c r="C24" s="5" t="str">
        <f>IFERROR(INDEX('Output Utente'!$B$2:$B$492,MATCH(21,'Output Utente'!$Q$2:$Q$492,0)),"")</f>
        <v>A</v>
      </c>
      <c r="D24" s="5" t="str">
        <f>IFERROR(INDEX('Output Utente'!$C$2:$C$492,MATCH(21,'Output Utente'!$Q$2:$Q$492,0)),"")</f>
        <v>De Ketelaere</v>
      </c>
      <c r="E24" s="5" t="str">
        <f>IFERROR(INDEX('Input Giocatori 2026_27'!$D$3:$D$493,MATCH($B24,'Input Giocatori 2026_27'!$A$3:$A$493,0)),"")</f>
        <v>Atalanta</v>
      </c>
      <c r="F24" s="42">
        <f>IFERROR(INDEX('Output Utente'!$N$2:$N$492,MATCH(21,'Output Utente'!$Q$2:$Q$492,0)),"")</f>
        <v>17</v>
      </c>
      <c r="G24" s="42">
        <f>IFERROR(INDEX('Output Utente'!$O$2:$O$492,MATCH(21,'Output Utente'!$Q$2:$Q$492,0)),"")</f>
        <v>106</v>
      </c>
      <c r="H24" s="5" t="str">
        <f>IFERROR(INDEX('Output Utente'!$P$2:$P$492,MATCH(21,'Output Utente'!$Q$2:$Q$492,0)),"")</f>
        <v>Buono</v>
      </c>
      <c r="I24" s="42">
        <f>IFERROR(INDEX('Output Utente'!$F$2:$F$492,MATCH(21,'Output Utente'!$Q$2:$Q$492,0)),"")</f>
        <v>109</v>
      </c>
      <c r="J24" s="42">
        <f>IFERROR(INDEX('Output Utente'!$G$2:$G$492,MATCH(21,'Output Utente'!$Q$2:$Q$492,0)),"")</f>
        <v>68</v>
      </c>
      <c r="K24" s="42">
        <f>IFERROR(INDEX('Output Utente'!$H$2:$H$492,MATCH(21,'Output Utente'!$Q$2:$Q$492,0)),"")</f>
        <v>126</v>
      </c>
      <c r="L24" s="5" t="str">
        <f>IFERROR(INDEX('Output Utente'!$E$2:$E$492,MATCH(21,'Output Utente'!$Q$2:$Q$492,0)),"")</f>
        <v>NO</v>
      </c>
      <c r="M24" s="5" t="str">
        <f>IFERROR(INDEX('Output Utente'!$U$2:$U$492,MATCH(21,'Output Utente'!$Q$2:$Q$492,0)),"")</f>
        <v>Attenzione</v>
      </c>
      <c r="N24" s="5" t="str">
        <f>IFERROR(INDEX('Output Utente'!$AE$2:$AE$492,MATCH(21,'Output Utente'!$Q$2:$Q$492,0)),"")</f>
        <v>🔴 Non aspettare</v>
      </c>
    </row>
    <row r="25" spans="1:14" ht="15" customHeight="1" x14ac:dyDescent="0.25">
      <c r="A25" s="41">
        <v>22</v>
      </c>
      <c r="B25" s="5">
        <f>IFERROR(INDEX('Output Utente'!$A$2:$A$492,MATCH(22,'Output Utente'!$Q$2:$Q$492,0)),"")</f>
        <v>7126</v>
      </c>
      <c r="C25" s="5" t="str">
        <f>IFERROR(INDEX('Output Utente'!$B$2:$B$492,MATCH(22,'Output Utente'!$Q$2:$Q$492,0)),"")</f>
        <v>C</v>
      </c>
      <c r="D25" s="5" t="str">
        <f>IFERROR(INDEX('Output Utente'!$C$2:$C$492,MATCH(22,'Output Utente'!$Q$2:$Q$492,0)),"")</f>
        <v>Baturina</v>
      </c>
      <c r="E25" s="5" t="str">
        <f>IFERROR(INDEX('Input Giocatori 2026_27'!$D$3:$D$493,MATCH($B25,'Input Giocatori 2026_27'!$A$3:$A$493,0)),"")</f>
        <v>Como</v>
      </c>
      <c r="F25" s="42">
        <f>IFERROR(INDEX('Output Utente'!$N$2:$N$492,MATCH(22,'Output Utente'!$Q$2:$Q$492,0)),"")</f>
        <v>19</v>
      </c>
      <c r="G25" s="42">
        <f>IFERROR(INDEX('Output Utente'!$O$2:$O$492,MATCH(22,'Output Utente'!$Q$2:$Q$492,0)),"")</f>
        <v>102</v>
      </c>
      <c r="H25" s="5" t="str">
        <f>IFERROR(INDEX('Output Utente'!$P$2:$P$492,MATCH(22,'Output Utente'!$Q$2:$Q$492,0)),"")</f>
        <v>Top</v>
      </c>
      <c r="I25" s="42">
        <f>IFERROR(INDEX('Output Utente'!$F$2:$F$492,MATCH(22,'Output Utente'!$Q$2:$Q$492,0)),"")</f>
        <v>69</v>
      </c>
      <c r="J25" s="42">
        <f>IFERROR(INDEX('Output Utente'!$G$2:$G$492,MATCH(22,'Output Utente'!$Q$2:$Q$492,0)),"")</f>
        <v>47</v>
      </c>
      <c r="K25" s="42">
        <f>IFERROR(INDEX('Output Utente'!$H$2:$H$492,MATCH(22,'Output Utente'!$Q$2:$Q$492,0)),"")</f>
        <v>79</v>
      </c>
      <c r="L25" s="5" t="str">
        <f>IFERROR(INDEX('Output Utente'!$E$2:$E$492,MATCH(22,'Output Utente'!$Q$2:$Q$492,0)),"")</f>
        <v>NO</v>
      </c>
      <c r="M25" s="5" t="str">
        <f>IFERROR(INDEX('Output Utente'!$U$2:$U$492,MATCH(22,'Output Utente'!$Q$2:$Q$492,0)),"")</f>
        <v>Attenzione</v>
      </c>
      <c r="N25" s="5" t="str">
        <f>IFERROR(INDEX('Output Utente'!$AE$2:$AE$492,MATCH(22,'Output Utente'!$Q$2:$Q$492,0)),"")</f>
        <v>🔴 Non aspettare</v>
      </c>
    </row>
    <row r="26" spans="1:14" ht="15" customHeight="1" x14ac:dyDescent="0.25">
      <c r="A26" s="41">
        <v>23</v>
      </c>
      <c r="B26" s="5">
        <f>IFERROR(INDEX('Output Utente'!$A$2:$A$492,MATCH(23,'Output Utente'!$Q$2:$Q$492,0)),"")</f>
        <v>2517</v>
      </c>
      <c r="C26" s="5" t="str">
        <f>IFERROR(INDEX('Output Utente'!$B$2:$B$492,MATCH(23,'Output Utente'!$Q$2:$Q$492,0)),"")</f>
        <v>C</v>
      </c>
      <c r="D26" s="5" t="str">
        <f>IFERROR(INDEX('Output Utente'!$C$2:$C$492,MATCH(23,'Output Utente'!$Q$2:$Q$492,0)),"")</f>
        <v>De Bruyne</v>
      </c>
      <c r="E26" s="5" t="str">
        <f>IFERROR(INDEX('Input Giocatori 2026_27'!$D$3:$D$493,MATCH($B26,'Input Giocatori 2026_27'!$A$3:$A$493,0)),"")</f>
        <v>Napoli</v>
      </c>
      <c r="F26" s="42">
        <f>IFERROR(INDEX('Output Utente'!$N$2:$N$492,MATCH(23,'Output Utente'!$Q$2:$Q$492,0)),"")</f>
        <v>15</v>
      </c>
      <c r="G26" s="42">
        <f>IFERROR(INDEX('Output Utente'!$O$2:$O$492,MATCH(23,'Output Utente'!$Q$2:$Q$492,0)),"")</f>
        <v>100</v>
      </c>
      <c r="H26" s="5" t="str">
        <f>IFERROR(INDEX('Output Utente'!$P$2:$P$492,MATCH(23,'Output Utente'!$Q$2:$Q$492,0)),"")</f>
        <v>Top</v>
      </c>
      <c r="I26" s="42">
        <f>IFERROR(INDEX('Output Utente'!$F$2:$F$492,MATCH(23,'Output Utente'!$Q$2:$Q$492,0)),"")</f>
        <v>68</v>
      </c>
      <c r="J26" s="42">
        <f>IFERROR(INDEX('Output Utente'!$G$2:$G$492,MATCH(23,'Output Utente'!$Q$2:$Q$492,0)),"")</f>
        <v>46</v>
      </c>
      <c r="K26" s="42">
        <f>IFERROR(INDEX('Output Utente'!$H$2:$H$492,MATCH(23,'Output Utente'!$Q$2:$Q$492,0)),"")</f>
        <v>77</v>
      </c>
      <c r="L26" s="5" t="str">
        <f>IFERROR(INDEX('Output Utente'!$E$2:$E$492,MATCH(23,'Output Utente'!$Q$2:$Q$492,0)),"")</f>
        <v>NO</v>
      </c>
      <c r="M26" s="5" t="str">
        <f>IFERROR(INDEX('Output Utente'!$U$2:$U$492,MATCH(23,'Output Utente'!$Q$2:$Q$492,0)),"")</f>
        <v>Attenzione</v>
      </c>
      <c r="N26" s="5" t="str">
        <f>IFERROR(INDEX('Output Utente'!$AE$2:$AE$492,MATCH(23,'Output Utente'!$Q$2:$Q$492,0)),"")</f>
        <v>🔴 Non aspettare</v>
      </c>
    </row>
    <row r="27" spans="1:14" ht="15" customHeight="1" x14ac:dyDescent="0.25">
      <c r="A27" s="41">
        <v>24</v>
      </c>
      <c r="B27" s="5">
        <f>IFERROR(INDEX('Output Utente'!$A$2:$A$492,MATCH(24,'Output Utente'!$Q$2:$Q$492,0)),"")</f>
        <v>6435</v>
      </c>
      <c r="C27" s="5" t="str">
        <f>IFERROR(INDEX('Output Utente'!$B$2:$B$492,MATCH(24,'Output Utente'!$Q$2:$Q$492,0)),"")</f>
        <v>A</v>
      </c>
      <c r="D27" s="5" t="str">
        <f>IFERROR(INDEX('Output Utente'!$C$2:$C$492,MATCH(24,'Output Utente'!$Q$2:$Q$492,0)),"")</f>
        <v>Krstovic</v>
      </c>
      <c r="E27" s="5" t="str">
        <f>IFERROR(INDEX('Input Giocatori 2026_27'!$D$3:$D$493,MATCH($B27,'Input Giocatori 2026_27'!$A$3:$A$493,0)),"")</f>
        <v>Atalanta</v>
      </c>
      <c r="F27" s="42">
        <f>IFERROR(INDEX('Output Utente'!$N$2:$N$492,MATCH(24,'Output Utente'!$Q$2:$Q$492,0)),"")</f>
        <v>18</v>
      </c>
      <c r="G27" s="42">
        <f>IFERROR(INDEX('Output Utente'!$O$2:$O$492,MATCH(24,'Output Utente'!$Q$2:$Q$492,0)),"")</f>
        <v>100</v>
      </c>
      <c r="H27" s="5" t="str">
        <f>IFERROR(INDEX('Output Utente'!$P$2:$P$492,MATCH(24,'Output Utente'!$Q$2:$Q$492,0)),"")</f>
        <v>Buono</v>
      </c>
      <c r="I27" s="42">
        <f>IFERROR(INDEX('Output Utente'!$F$2:$F$492,MATCH(24,'Output Utente'!$Q$2:$Q$492,0)),"")</f>
        <v>104</v>
      </c>
      <c r="J27" s="42">
        <f>IFERROR(INDEX('Output Utente'!$G$2:$G$492,MATCH(24,'Output Utente'!$Q$2:$Q$492,0)),"")</f>
        <v>65</v>
      </c>
      <c r="K27" s="42">
        <f>IFERROR(INDEX('Output Utente'!$H$2:$H$492,MATCH(24,'Output Utente'!$Q$2:$Q$492,0)),"")</f>
        <v>121</v>
      </c>
      <c r="L27" s="5" t="str">
        <f>IFERROR(INDEX('Output Utente'!$E$2:$E$492,MATCH(24,'Output Utente'!$Q$2:$Q$492,0)),"")</f>
        <v>NO</v>
      </c>
      <c r="M27" s="5" t="str">
        <f>IFERROR(INDEX('Output Utente'!$U$2:$U$492,MATCH(24,'Output Utente'!$Q$2:$Q$492,0)),"")</f>
        <v>Attenzione</v>
      </c>
      <c r="N27" s="5" t="str">
        <f>IFERROR(INDEX('Output Utente'!$AE$2:$AE$492,MATCH(24,'Output Utente'!$Q$2:$Q$492,0)),"")</f>
        <v>🔴 Non aspettare</v>
      </c>
    </row>
    <row r="28" spans="1:14" ht="15" customHeight="1" x14ac:dyDescent="0.25">
      <c r="A28" s="41">
        <v>25</v>
      </c>
      <c r="B28" s="5">
        <f>IFERROR(INDEX('Output Utente'!$A$2:$A$492,MATCH(25,'Output Utente'!$Q$2:$Q$492,0)),"")</f>
        <v>7071</v>
      </c>
      <c r="C28" s="5" t="str">
        <f>IFERROR(INDEX('Output Utente'!$B$2:$B$492,MATCH(25,'Output Utente'!$Q$2:$Q$492,0)),"")</f>
        <v>A</v>
      </c>
      <c r="D28" s="5" t="str">
        <f>IFERROR(INDEX('Output Utente'!$C$2:$C$492,MATCH(25,'Output Utente'!$Q$2:$Q$492,0)),"")</f>
        <v>Esposito F.P.</v>
      </c>
      <c r="E28" s="5" t="str">
        <f>IFERROR(INDEX('Input Giocatori 2026_27'!$D$3:$D$493,MATCH($B28,'Input Giocatori 2026_27'!$A$3:$A$493,0)),"")</f>
        <v>Inter</v>
      </c>
      <c r="F28" s="42">
        <f>IFERROR(INDEX('Output Utente'!$N$2:$N$492,MATCH(25,'Output Utente'!$Q$2:$Q$492,0)),"")</f>
        <v>16</v>
      </c>
      <c r="G28" s="42">
        <f>IFERROR(INDEX('Output Utente'!$O$2:$O$492,MATCH(25,'Output Utente'!$Q$2:$Q$492,0)),"")</f>
        <v>93</v>
      </c>
      <c r="H28" s="5" t="str">
        <f>IFERROR(INDEX('Output Utente'!$P$2:$P$492,MATCH(25,'Output Utente'!$Q$2:$Q$492,0)),"")</f>
        <v>Buono</v>
      </c>
      <c r="I28" s="42">
        <f>IFERROR(INDEX('Output Utente'!$F$2:$F$492,MATCH(25,'Output Utente'!$Q$2:$Q$492,0)),"")</f>
        <v>96</v>
      </c>
      <c r="J28" s="42">
        <f>IFERROR(INDEX('Output Utente'!$G$2:$G$492,MATCH(25,'Output Utente'!$Q$2:$Q$492,0)),"")</f>
        <v>60</v>
      </c>
      <c r="K28" s="42">
        <f>IFERROR(INDEX('Output Utente'!$H$2:$H$492,MATCH(25,'Output Utente'!$Q$2:$Q$492,0)),"")</f>
        <v>112</v>
      </c>
      <c r="L28" s="5" t="str">
        <f>IFERROR(INDEX('Output Utente'!$E$2:$E$492,MATCH(25,'Output Utente'!$Q$2:$Q$492,0)),"")</f>
        <v>NO</v>
      </c>
      <c r="M28" s="5" t="str">
        <f>IFERROR(INDEX('Output Utente'!$U$2:$U$492,MATCH(25,'Output Utente'!$Q$2:$Q$492,0)),"")</f>
        <v>Attenzione</v>
      </c>
      <c r="N28" s="5" t="str">
        <f>IFERROR(INDEX('Output Utente'!$AE$2:$AE$492,MATCH(25,'Output Utente'!$Q$2:$Q$492,0)),"")</f>
        <v>🔴 Non aspettare</v>
      </c>
    </row>
    <row r="29" spans="1:14" ht="15" customHeight="1" x14ac:dyDescent="0.25">
      <c r="A29" s="41">
        <v>26</v>
      </c>
      <c r="B29" s="5">
        <f>IFERROR(INDEX('Output Utente'!$A$2:$A$492,MATCH(26,'Output Utente'!$Q$2:$Q$492,0)),"")</f>
        <v>632</v>
      </c>
      <c r="C29" s="5" t="str">
        <f>IFERROR(INDEX('Output Utente'!$B$2:$B$492,MATCH(26,'Output Utente'!$Q$2:$Q$492,0)),"")</f>
        <v>C</v>
      </c>
      <c r="D29" s="5" t="str">
        <f>IFERROR(INDEX('Output Utente'!$C$2:$C$492,MATCH(26,'Output Utente'!$Q$2:$Q$492,0)),"")</f>
        <v>Zaccagni</v>
      </c>
      <c r="E29" s="5" t="str">
        <f>IFERROR(INDEX('Input Giocatori 2026_27'!$D$3:$D$493,MATCH($B29,'Input Giocatori 2026_27'!$A$3:$A$493,0)),"")</f>
        <v>Lazio</v>
      </c>
      <c r="F29" s="42">
        <f>IFERROR(INDEX('Output Utente'!$N$2:$N$492,MATCH(26,'Output Utente'!$Q$2:$Q$492,0)),"")</f>
        <v>16</v>
      </c>
      <c r="G29" s="42">
        <f>IFERROR(INDEX('Output Utente'!$O$2:$O$492,MATCH(26,'Output Utente'!$Q$2:$Q$492,0)),"")</f>
        <v>91</v>
      </c>
      <c r="H29" s="5" t="str">
        <f>IFERROR(INDEX('Output Utente'!$P$2:$P$492,MATCH(26,'Output Utente'!$Q$2:$Q$492,0)),"")</f>
        <v>Top</v>
      </c>
      <c r="I29" s="42">
        <f>IFERROR(INDEX('Output Utente'!$F$2:$F$492,MATCH(26,'Output Utente'!$Q$2:$Q$492,0)),"")</f>
        <v>60</v>
      </c>
      <c r="J29" s="42">
        <f>IFERROR(INDEX('Output Utente'!$G$2:$G$492,MATCH(26,'Output Utente'!$Q$2:$Q$492,0)),"")</f>
        <v>41</v>
      </c>
      <c r="K29" s="42">
        <f>IFERROR(INDEX('Output Utente'!$H$2:$H$492,MATCH(26,'Output Utente'!$Q$2:$Q$492,0)),"")</f>
        <v>68</v>
      </c>
      <c r="L29" s="5" t="str">
        <f>IFERROR(INDEX('Output Utente'!$E$2:$E$492,MATCH(26,'Output Utente'!$Q$2:$Q$492,0)),"")</f>
        <v>NO</v>
      </c>
      <c r="M29" s="5" t="str">
        <f>IFERROR(INDEX('Output Utente'!$U$2:$U$492,MATCH(26,'Output Utente'!$Q$2:$Q$492,0)),"")</f>
        <v>OK</v>
      </c>
      <c r="N29" s="5" t="str">
        <f>IFERROR(INDEX('Output Utente'!$AE$2:$AE$492,MATCH(26,'Output Utente'!$Q$2:$Q$492,0)),"")</f>
        <v>🔴 Non aspettare</v>
      </c>
    </row>
    <row r="30" spans="1:14" ht="15" customHeight="1" x14ac:dyDescent="0.25">
      <c r="A30" s="41">
        <v>27</v>
      </c>
      <c r="B30" s="5">
        <f>IFERROR(INDEX('Output Utente'!$A$2:$A$492,MATCH(27,'Output Utente'!$Q$2:$Q$492,0)),"")</f>
        <v>7181</v>
      </c>
      <c r="C30" s="5" t="str">
        <f>IFERROR(INDEX('Output Utente'!$B$2:$B$492,MATCH(27,'Output Utente'!$Q$2:$Q$492,0)),"")</f>
        <v>D</v>
      </c>
      <c r="D30" s="5" t="str">
        <f>IFERROR(INDEX('Output Utente'!$C$2:$C$492,MATCH(27,'Output Utente'!$Q$2:$Q$492,0)),"")</f>
        <v>Wesley</v>
      </c>
      <c r="E30" s="5" t="str">
        <f>IFERROR(INDEX('Input Giocatori 2026_27'!$D$3:$D$493,MATCH($B30,'Input Giocatori 2026_27'!$A$3:$A$493,0)),"")</f>
        <v>Roma</v>
      </c>
      <c r="F30" s="42">
        <f>IFERROR(INDEX('Output Utente'!$N$2:$N$492,MATCH(27,'Output Utente'!$Q$2:$Q$492,0)),"")</f>
        <v>17</v>
      </c>
      <c r="G30" s="42">
        <f>IFERROR(INDEX('Output Utente'!$O$2:$O$492,MATCH(27,'Output Utente'!$Q$2:$Q$492,0)),"")</f>
        <v>90</v>
      </c>
      <c r="H30" s="5" t="str">
        <f>IFERROR(INDEX('Output Utente'!$P$2:$P$492,MATCH(27,'Output Utente'!$Q$2:$Q$492,0)),"")</f>
        <v>Top</v>
      </c>
      <c r="I30" s="42">
        <f>IFERROR(INDEX('Output Utente'!$F$2:$F$492,MATCH(27,'Output Utente'!$Q$2:$Q$492,0)),"")</f>
        <v>62</v>
      </c>
      <c r="J30" s="42">
        <f>IFERROR(INDEX('Output Utente'!$G$2:$G$492,MATCH(27,'Output Utente'!$Q$2:$Q$492,0)),"")</f>
        <v>46</v>
      </c>
      <c r="K30" s="42">
        <f>IFERROR(INDEX('Output Utente'!$H$2:$H$492,MATCH(27,'Output Utente'!$Q$2:$Q$492,0)),"")</f>
        <v>69</v>
      </c>
      <c r="L30" s="5" t="str">
        <f>IFERROR(INDEX('Output Utente'!$E$2:$E$492,MATCH(27,'Output Utente'!$Q$2:$Q$492,0)),"")</f>
        <v>NO</v>
      </c>
      <c r="M30" s="5" t="str">
        <f>IFERROR(INDEX('Output Utente'!$U$2:$U$492,MATCH(27,'Output Utente'!$Q$2:$Q$492,0)),"")</f>
        <v>Attenzione</v>
      </c>
      <c r="N30" s="5" t="str">
        <f>IFERROR(INDEX('Output Utente'!$AE$2:$AE$492,MATCH(27,'Output Utente'!$Q$2:$Q$492,0)),"")</f>
        <v>🔴 Non aspettare</v>
      </c>
    </row>
    <row r="31" spans="1:14" ht="15" customHeight="1" x14ac:dyDescent="0.25">
      <c r="A31" s="41">
        <v>28</v>
      </c>
      <c r="B31" s="5">
        <f>IFERROR(INDEX('Output Utente'!$A$2:$A$492,MATCH(28,'Output Utente'!$Q$2:$Q$492,0)),"")</f>
        <v>5559</v>
      </c>
      <c r="C31" s="5" t="str">
        <f>IFERROR(INDEX('Output Utente'!$B$2:$B$492,MATCH(28,'Output Utente'!$Q$2:$Q$492,0)),"")</f>
        <v>C</v>
      </c>
      <c r="D31" s="5" t="str">
        <f>IFERROR(INDEX('Output Utente'!$C$2:$C$492,MATCH(28,'Output Utente'!$Q$2:$Q$492,0)),"")</f>
        <v>Da Cunha</v>
      </c>
      <c r="E31" s="5" t="str">
        <f>IFERROR(INDEX('Input Giocatori 2026_27'!$D$3:$D$493,MATCH($B31,'Input Giocatori 2026_27'!$A$3:$A$493,0)),"")</f>
        <v>Como</v>
      </c>
      <c r="F31" s="42">
        <f>IFERROR(INDEX('Output Utente'!$N$2:$N$492,MATCH(28,'Output Utente'!$Q$2:$Q$492,0)),"")</f>
        <v>18</v>
      </c>
      <c r="G31" s="42">
        <f>IFERROR(INDEX('Output Utente'!$O$2:$O$492,MATCH(28,'Output Utente'!$Q$2:$Q$492,0)),"")</f>
        <v>90</v>
      </c>
      <c r="H31" s="5" t="str">
        <f>IFERROR(INDEX('Output Utente'!$P$2:$P$492,MATCH(28,'Output Utente'!$Q$2:$Q$492,0)),"")</f>
        <v>Top</v>
      </c>
      <c r="I31" s="42">
        <f>IFERROR(INDEX('Output Utente'!$F$2:$F$492,MATCH(28,'Output Utente'!$Q$2:$Q$492,0)),"")</f>
        <v>61</v>
      </c>
      <c r="J31" s="42">
        <f>IFERROR(INDEX('Output Utente'!$G$2:$G$492,MATCH(28,'Output Utente'!$Q$2:$Q$492,0)),"")</f>
        <v>41</v>
      </c>
      <c r="K31" s="42">
        <f>IFERROR(INDEX('Output Utente'!$H$2:$H$492,MATCH(28,'Output Utente'!$Q$2:$Q$492,0)),"")</f>
        <v>69</v>
      </c>
      <c r="L31" s="5" t="str">
        <f>IFERROR(INDEX('Output Utente'!$E$2:$E$492,MATCH(28,'Output Utente'!$Q$2:$Q$492,0)),"")</f>
        <v>NO</v>
      </c>
      <c r="M31" s="5" t="str">
        <f>IFERROR(INDEX('Output Utente'!$U$2:$U$492,MATCH(28,'Output Utente'!$Q$2:$Q$492,0)),"")</f>
        <v>Attenzione</v>
      </c>
      <c r="N31" s="5" t="str">
        <f>IFERROR(INDEX('Output Utente'!$AE$2:$AE$492,MATCH(28,'Output Utente'!$Q$2:$Q$492,0)),"")</f>
        <v>🔴 Non aspettare</v>
      </c>
    </row>
    <row r="32" spans="1:14" ht="15" customHeight="1" x14ac:dyDescent="0.25">
      <c r="A32" s="41">
        <v>29</v>
      </c>
      <c r="B32" s="5">
        <f>IFERROR(INDEX('Output Utente'!$A$2:$A$492,MATCH(29,'Output Utente'!$Q$2:$Q$492,0)),"")</f>
        <v>2766</v>
      </c>
      <c r="C32" s="5" t="str">
        <f>IFERROR(INDEX('Output Utente'!$B$2:$B$492,MATCH(29,'Output Utente'!$Q$2:$Q$492,0)),"")</f>
        <v>C</v>
      </c>
      <c r="D32" s="5" t="str">
        <f>IFERROR(INDEX('Output Utente'!$C$2:$C$492,MATCH(29,'Output Utente'!$Q$2:$Q$492,0)),"")</f>
        <v>Zaniolo</v>
      </c>
      <c r="E32" s="5" t="str">
        <f>IFERROR(INDEX('Input Giocatori 2026_27'!$D$3:$D$493,MATCH($B32,'Input Giocatori 2026_27'!$A$3:$A$493,0)),"")</f>
        <v>Udinese</v>
      </c>
      <c r="F32" s="42">
        <f>IFERROR(INDEX('Output Utente'!$N$2:$N$492,MATCH(29,'Output Utente'!$Q$2:$Q$492,0)),"")</f>
        <v>18</v>
      </c>
      <c r="G32" s="42">
        <f>IFERROR(INDEX('Output Utente'!$O$2:$O$492,MATCH(29,'Output Utente'!$Q$2:$Q$492,0)),"")</f>
        <v>90</v>
      </c>
      <c r="H32" s="5" t="str">
        <f>IFERROR(INDEX('Output Utente'!$P$2:$P$492,MATCH(29,'Output Utente'!$Q$2:$Q$492,0)),"")</f>
        <v>Top</v>
      </c>
      <c r="I32" s="42">
        <f>IFERROR(INDEX('Output Utente'!$F$2:$F$492,MATCH(29,'Output Utente'!$Q$2:$Q$492,0)),"")</f>
        <v>61</v>
      </c>
      <c r="J32" s="42">
        <f>IFERROR(INDEX('Output Utente'!$G$2:$G$492,MATCH(29,'Output Utente'!$Q$2:$Q$492,0)),"")</f>
        <v>41</v>
      </c>
      <c r="K32" s="42">
        <f>IFERROR(INDEX('Output Utente'!$H$2:$H$492,MATCH(29,'Output Utente'!$Q$2:$Q$492,0)),"")</f>
        <v>69</v>
      </c>
      <c r="L32" s="5" t="str">
        <f>IFERROR(INDEX('Output Utente'!$E$2:$E$492,MATCH(29,'Output Utente'!$Q$2:$Q$492,0)),"")</f>
        <v>NO</v>
      </c>
      <c r="M32" s="5" t="str">
        <f>IFERROR(INDEX('Output Utente'!$U$2:$U$492,MATCH(29,'Output Utente'!$Q$2:$Q$492,0)),"")</f>
        <v>Attenzione</v>
      </c>
      <c r="N32" s="5" t="str">
        <f>IFERROR(INDEX('Output Utente'!$AE$2:$AE$492,MATCH(29,'Output Utente'!$Q$2:$Q$492,0)),"")</f>
        <v>🔴 Non aspettare</v>
      </c>
    </row>
    <row r="33" spans="1:14" ht="15" customHeight="1" x14ac:dyDescent="0.25">
      <c r="A33" s="41">
        <v>30</v>
      </c>
      <c r="B33" s="5">
        <f>IFERROR(INDEX('Output Utente'!$A$2:$A$492,MATCH(30,'Output Utente'!$Q$2:$Q$492,0)),"")</f>
        <v>6060</v>
      </c>
      <c r="C33" s="5" t="str">
        <f>IFERROR(INDEX('Output Utente'!$B$2:$B$492,MATCH(30,'Output Utente'!$Q$2:$Q$492,0)),"")</f>
        <v>A</v>
      </c>
      <c r="D33" s="5" t="str">
        <f>IFERROR(INDEX('Output Utente'!$C$2:$C$492,MATCH(30,'Output Utente'!$Q$2:$Q$492,0)),"")</f>
        <v>Laurientè</v>
      </c>
      <c r="E33" s="5" t="str">
        <f>IFERROR(INDEX('Input Giocatori 2026_27'!$D$3:$D$493,MATCH($B33,'Input Giocatori 2026_27'!$A$3:$A$493,0)),"")</f>
        <v>Sassuolo</v>
      </c>
      <c r="F33" s="42">
        <f>IFERROR(INDEX('Output Utente'!$N$2:$N$492,MATCH(30,'Output Utente'!$Q$2:$Q$492,0)),"")</f>
        <v>15</v>
      </c>
      <c r="G33" s="42">
        <f>IFERROR(INDEX('Output Utente'!$O$2:$O$492,MATCH(30,'Output Utente'!$Q$2:$Q$492,0)),"")</f>
        <v>88</v>
      </c>
      <c r="H33" s="5" t="str">
        <f>IFERROR(INDEX('Output Utente'!$P$2:$P$492,MATCH(30,'Output Utente'!$Q$2:$Q$492,0)),"")</f>
        <v>Buono</v>
      </c>
      <c r="I33" s="42">
        <f>IFERROR(INDEX('Output Utente'!$F$2:$F$492,MATCH(30,'Output Utente'!$Q$2:$Q$492,0)),"")</f>
        <v>91</v>
      </c>
      <c r="J33" s="42">
        <f>IFERROR(INDEX('Output Utente'!$G$2:$G$492,MATCH(30,'Output Utente'!$Q$2:$Q$492,0)),"")</f>
        <v>57</v>
      </c>
      <c r="K33" s="42">
        <f>IFERROR(INDEX('Output Utente'!$H$2:$H$492,MATCH(30,'Output Utente'!$Q$2:$Q$492,0)),"")</f>
        <v>106</v>
      </c>
      <c r="L33" s="5" t="str">
        <f>IFERROR(INDEX('Output Utente'!$E$2:$E$492,MATCH(30,'Output Utente'!$Q$2:$Q$492,0)),"")</f>
        <v>NO</v>
      </c>
      <c r="M33" s="5" t="str">
        <f>IFERROR(INDEX('Output Utente'!$U$2:$U$492,MATCH(30,'Output Utente'!$Q$2:$Q$492,0)),"")</f>
        <v>Attenzione</v>
      </c>
      <c r="N33" s="5" t="str">
        <f>IFERROR(INDEX('Output Utente'!$AE$2:$AE$492,MATCH(30,'Output Utente'!$Q$2:$Q$492,0)),"")</f>
        <v>🔴 Non aspettare</v>
      </c>
    </row>
    <row r="34" spans="1:14" ht="15" customHeight="1" x14ac:dyDescent="0.25">
      <c r="A34" s="41">
        <v>31</v>
      </c>
      <c r="B34" s="5">
        <f>IFERROR(INDEX('Output Utente'!$A$2:$A$492,MATCH(31,'Output Utente'!$Q$2:$Q$492,0)),"")</f>
        <v>6908</v>
      </c>
      <c r="C34" s="5" t="str">
        <f>IFERROR(INDEX('Output Utente'!$B$2:$B$492,MATCH(31,'Output Utente'!$Q$2:$Q$492,0)),"")</f>
        <v>C</v>
      </c>
      <c r="D34" s="5" t="str">
        <f>IFERROR(INDEX('Output Utente'!$C$2:$C$492,MATCH(31,'Output Utente'!$Q$2:$Q$492,0)),"")</f>
        <v>Atta</v>
      </c>
      <c r="E34" s="5" t="str">
        <f>IFERROR(INDEX('Input Giocatori 2026_27'!$D$3:$D$493,MATCH($B34,'Input Giocatori 2026_27'!$A$3:$A$493,0)),"")</f>
        <v>Fiorentina</v>
      </c>
      <c r="F34" s="42">
        <f>IFERROR(INDEX('Output Utente'!$N$2:$N$492,MATCH(31,'Output Utente'!$Q$2:$Q$492,0)),"")</f>
        <v>17</v>
      </c>
      <c r="G34" s="42">
        <f>IFERROR(INDEX('Output Utente'!$O$2:$O$492,MATCH(31,'Output Utente'!$Q$2:$Q$492,0)),"")</f>
        <v>87</v>
      </c>
      <c r="H34" s="5" t="str">
        <f>IFERROR(INDEX('Output Utente'!$P$2:$P$492,MATCH(31,'Output Utente'!$Q$2:$Q$492,0)),"")</f>
        <v>Top</v>
      </c>
      <c r="I34" s="42">
        <f>IFERROR(INDEX('Output Utente'!$F$2:$F$492,MATCH(31,'Output Utente'!$Q$2:$Q$492,0)),"")</f>
        <v>59</v>
      </c>
      <c r="J34" s="42">
        <f>IFERROR(INDEX('Output Utente'!$G$2:$G$492,MATCH(31,'Output Utente'!$Q$2:$Q$492,0)),"")</f>
        <v>40</v>
      </c>
      <c r="K34" s="42">
        <f>IFERROR(INDEX('Output Utente'!$H$2:$H$492,MATCH(31,'Output Utente'!$Q$2:$Q$492,0)),"")</f>
        <v>67</v>
      </c>
      <c r="L34" s="5" t="str">
        <f>IFERROR(INDEX('Output Utente'!$E$2:$E$492,MATCH(31,'Output Utente'!$Q$2:$Q$492,0)),"")</f>
        <v>NO</v>
      </c>
      <c r="M34" s="5" t="str">
        <f>IFERROR(INDEX('Output Utente'!$U$2:$U$492,MATCH(31,'Output Utente'!$Q$2:$Q$492,0)),"")</f>
        <v>OK</v>
      </c>
      <c r="N34" s="5" t="str">
        <f>IFERROR(INDEX('Output Utente'!$AE$2:$AE$492,MATCH(31,'Output Utente'!$Q$2:$Q$492,0)),"")</f>
        <v>🔴 Non aspettare</v>
      </c>
    </row>
    <row r="35" spans="1:14" ht="15" customHeight="1" x14ac:dyDescent="0.25">
      <c r="A35" s="41">
        <v>32</v>
      </c>
      <c r="B35" s="5">
        <f>IFERROR(INDEX('Output Utente'!$A$2:$A$492,MATCH(32,'Output Utente'!$Q$2:$Q$492,0)),"")</f>
        <v>6675</v>
      </c>
      <c r="C35" s="5" t="str">
        <f>IFERROR(INDEX('Output Utente'!$B$2:$B$492,MATCH(32,'Output Utente'!$Q$2:$Q$492,0)),"")</f>
        <v>A</v>
      </c>
      <c r="D35" s="5" t="str">
        <f>IFERROR(INDEX('Output Utente'!$C$2:$C$492,MATCH(32,'Output Utente'!$Q$2:$Q$492,0)),"")</f>
        <v>Dovbyk</v>
      </c>
      <c r="E35" s="5" t="str">
        <f>IFERROR(INDEX('Input Giocatori 2026_27'!$D$3:$D$493,MATCH($B35,'Input Giocatori 2026_27'!$A$3:$A$493,0)),"")</f>
        <v>Bologna</v>
      </c>
      <c r="F35" s="42">
        <f>IFERROR(INDEX('Output Utente'!$N$2:$N$492,MATCH(32,'Output Utente'!$Q$2:$Q$492,0)),"")</f>
        <v>16</v>
      </c>
      <c r="G35" s="42">
        <f>IFERROR(INDEX('Output Utente'!$O$2:$O$492,MATCH(32,'Output Utente'!$Q$2:$Q$492,0)),"")</f>
        <v>84</v>
      </c>
      <c r="H35" s="5" t="str">
        <f>IFERROR(INDEX('Output Utente'!$P$2:$P$492,MATCH(32,'Output Utente'!$Q$2:$Q$492,0)),"")</f>
        <v>Buono</v>
      </c>
      <c r="I35" s="42">
        <f>IFERROR(INDEX('Output Utente'!$F$2:$F$492,MATCH(32,'Output Utente'!$Q$2:$Q$492,0)),"")</f>
        <v>86</v>
      </c>
      <c r="J35" s="42">
        <f>IFERROR(INDEX('Output Utente'!$G$2:$G$492,MATCH(32,'Output Utente'!$Q$2:$Q$492,0)),"")</f>
        <v>54</v>
      </c>
      <c r="K35" s="42">
        <f>IFERROR(INDEX('Output Utente'!$H$2:$H$492,MATCH(32,'Output Utente'!$Q$2:$Q$492,0)),"")</f>
        <v>100</v>
      </c>
      <c r="L35" s="5" t="str">
        <f>IFERROR(INDEX('Output Utente'!$E$2:$E$492,MATCH(32,'Output Utente'!$Q$2:$Q$492,0)),"")</f>
        <v>NO</v>
      </c>
      <c r="M35" s="5" t="str">
        <f>IFERROR(INDEX('Output Utente'!$U$2:$U$492,MATCH(32,'Output Utente'!$Q$2:$Q$492,0)),"")</f>
        <v>Attenzione</v>
      </c>
      <c r="N35" s="5" t="str">
        <f>IFERROR(INDEX('Output Utente'!$AE$2:$AE$492,MATCH(32,'Output Utente'!$Q$2:$Q$492,0)),"")</f>
        <v>🔴 Non aspettare</v>
      </c>
    </row>
    <row r="36" spans="1:14" ht="15" customHeight="1" x14ac:dyDescent="0.25">
      <c r="A36" s="41">
        <v>33</v>
      </c>
      <c r="B36" s="5">
        <f>IFERROR(INDEX('Output Utente'!$A$2:$A$492,MATCH(33,'Output Utente'!$Q$2:$Q$492,0)),"")</f>
        <v>6572</v>
      </c>
      <c r="C36" s="5" t="str">
        <f>IFERROR(INDEX('Output Utente'!$B$2:$B$492,MATCH(33,'Output Utente'!$Q$2:$Q$492,0)),"")</f>
        <v>A</v>
      </c>
      <c r="D36" s="5" t="str">
        <f>IFERROR(INDEX('Output Utente'!$C$2:$C$492,MATCH(33,'Output Utente'!$Q$2:$Q$492,0)),"")</f>
        <v>Castro S.</v>
      </c>
      <c r="E36" s="5" t="str">
        <f>IFERROR(INDEX('Input Giocatori 2026_27'!$D$3:$D$493,MATCH($B36,'Input Giocatori 2026_27'!$A$3:$A$493,0)),"")</f>
        <v>Roma</v>
      </c>
      <c r="F36" s="42">
        <f>IFERROR(INDEX('Output Utente'!$N$2:$N$492,MATCH(33,'Output Utente'!$Q$2:$Q$492,0)),"")</f>
        <v>14</v>
      </c>
      <c r="G36" s="42">
        <f>IFERROR(INDEX('Output Utente'!$O$2:$O$492,MATCH(33,'Output Utente'!$Q$2:$Q$492,0)),"")</f>
        <v>83</v>
      </c>
      <c r="H36" s="5" t="str">
        <f>IFERROR(INDEX('Output Utente'!$P$2:$P$492,MATCH(33,'Output Utente'!$Q$2:$Q$492,0)),"")</f>
        <v>Buono</v>
      </c>
      <c r="I36" s="42">
        <f>IFERROR(INDEX('Output Utente'!$F$2:$F$492,MATCH(33,'Output Utente'!$Q$2:$Q$492,0)),"")</f>
        <v>85</v>
      </c>
      <c r="J36" s="42">
        <f>IFERROR(INDEX('Output Utente'!$G$2:$G$492,MATCH(33,'Output Utente'!$Q$2:$Q$492,0)),"")</f>
        <v>53</v>
      </c>
      <c r="K36" s="42">
        <f>IFERROR(INDEX('Output Utente'!$H$2:$H$492,MATCH(33,'Output Utente'!$Q$2:$Q$492,0)),"")</f>
        <v>98</v>
      </c>
      <c r="L36" s="5" t="str">
        <f>IFERROR(INDEX('Output Utente'!$E$2:$E$492,MATCH(33,'Output Utente'!$Q$2:$Q$492,0)),"")</f>
        <v>NO</v>
      </c>
      <c r="M36" s="5" t="str">
        <f>IFERROR(INDEX('Output Utente'!$U$2:$U$492,MATCH(33,'Output Utente'!$Q$2:$Q$492,0)),"")</f>
        <v>Attenzione</v>
      </c>
      <c r="N36" s="5" t="str">
        <f>IFERROR(INDEX('Output Utente'!$AE$2:$AE$492,MATCH(33,'Output Utente'!$Q$2:$Q$492,0)),"")</f>
        <v>🔴 Non aspettare</v>
      </c>
    </row>
    <row r="37" spans="1:14" ht="15" customHeight="1" x14ac:dyDescent="0.25">
      <c r="A37" s="41">
        <v>34</v>
      </c>
      <c r="B37" s="5">
        <f>IFERROR(INDEX('Output Utente'!$A$2:$A$492,MATCH(34,'Output Utente'!$Q$2:$Q$492,0)),"")</f>
        <v>1870</v>
      </c>
      <c r="C37" s="5" t="str">
        <f>IFERROR(INDEX('Output Utente'!$B$2:$B$492,MATCH(34,'Output Utente'!$Q$2:$Q$492,0)),"")</f>
        <v>C</v>
      </c>
      <c r="D37" s="5" t="str">
        <f>IFERROR(INDEX('Output Utente'!$C$2:$C$492,MATCH(34,'Output Utente'!$Q$2:$Q$492,0)),"")</f>
        <v>Barella</v>
      </c>
      <c r="E37" s="5" t="str">
        <f>IFERROR(INDEX('Input Giocatori 2026_27'!$D$3:$D$493,MATCH($B37,'Input Giocatori 2026_27'!$A$3:$A$493,0)),"")</f>
        <v>Inter</v>
      </c>
      <c r="F37" s="42">
        <f>IFERROR(INDEX('Output Utente'!$N$2:$N$492,MATCH(34,'Output Utente'!$Q$2:$Q$492,0)),"")</f>
        <v>17</v>
      </c>
      <c r="G37" s="42">
        <f>IFERROR(INDEX('Output Utente'!$O$2:$O$492,MATCH(34,'Output Utente'!$Q$2:$Q$492,0)),"")</f>
        <v>82</v>
      </c>
      <c r="H37" s="5" t="str">
        <f>IFERROR(INDEX('Output Utente'!$P$2:$P$492,MATCH(34,'Output Utente'!$Q$2:$Q$492,0)),"")</f>
        <v>Top</v>
      </c>
      <c r="I37" s="42">
        <f>IFERROR(INDEX('Output Utente'!$F$2:$F$492,MATCH(34,'Output Utente'!$Q$2:$Q$492,0)),"")</f>
        <v>55</v>
      </c>
      <c r="J37" s="42">
        <f>IFERROR(INDEX('Output Utente'!$G$2:$G$492,MATCH(34,'Output Utente'!$Q$2:$Q$492,0)),"")</f>
        <v>37</v>
      </c>
      <c r="K37" s="42">
        <f>IFERROR(INDEX('Output Utente'!$H$2:$H$492,MATCH(34,'Output Utente'!$Q$2:$Q$492,0)),"")</f>
        <v>62</v>
      </c>
      <c r="L37" s="5" t="str">
        <f>IFERROR(INDEX('Output Utente'!$E$2:$E$492,MATCH(34,'Output Utente'!$Q$2:$Q$492,0)),"")</f>
        <v>NO</v>
      </c>
      <c r="M37" s="5" t="str">
        <f>IFERROR(INDEX('Output Utente'!$U$2:$U$492,MATCH(34,'Output Utente'!$Q$2:$Q$492,0)),"")</f>
        <v>OK</v>
      </c>
      <c r="N37" s="5" t="str">
        <f>IFERROR(INDEX('Output Utente'!$AE$2:$AE$492,MATCH(34,'Output Utente'!$Q$2:$Q$492,0)),"")</f>
        <v>🔴 Non aspettare</v>
      </c>
    </row>
    <row r="38" spans="1:14" ht="15" customHeight="1" x14ac:dyDescent="0.25">
      <c r="A38" s="41">
        <v>35</v>
      </c>
      <c r="B38" s="5">
        <f>IFERROR(INDEX('Output Utente'!$A$2:$A$492,MATCH(35,'Output Utente'!$Q$2:$Q$492,0)),"")</f>
        <v>2061</v>
      </c>
      <c r="C38" s="5" t="str">
        <f>IFERROR(INDEX('Output Utente'!$B$2:$B$492,MATCH(35,'Output Utente'!$Q$2:$Q$492,0)),"")</f>
        <v>A</v>
      </c>
      <c r="D38" s="5" t="str">
        <f>IFERROR(INDEX('Output Utente'!$C$2:$C$492,MATCH(35,'Output Utente'!$Q$2:$Q$492,0)),"")</f>
        <v>Simeone</v>
      </c>
      <c r="E38" s="5" t="str">
        <f>IFERROR(INDEX('Input Giocatori 2026_27'!$D$3:$D$493,MATCH($B38,'Input Giocatori 2026_27'!$A$3:$A$493,0)),"")</f>
        <v>Torino</v>
      </c>
      <c r="F38" s="42">
        <f>IFERROR(INDEX('Output Utente'!$N$2:$N$492,MATCH(35,'Output Utente'!$Q$2:$Q$492,0)),"")</f>
        <v>15</v>
      </c>
      <c r="G38" s="42">
        <f>IFERROR(INDEX('Output Utente'!$O$2:$O$492,MATCH(35,'Output Utente'!$Q$2:$Q$492,0)),"")</f>
        <v>82</v>
      </c>
      <c r="H38" s="5" t="str">
        <f>IFERROR(INDEX('Output Utente'!$P$2:$P$492,MATCH(35,'Output Utente'!$Q$2:$Q$492,0)),"")</f>
        <v>Buono</v>
      </c>
      <c r="I38" s="42">
        <f>IFERROR(INDEX('Output Utente'!$F$2:$F$492,MATCH(35,'Output Utente'!$Q$2:$Q$492,0)),"")</f>
        <v>85</v>
      </c>
      <c r="J38" s="42">
        <f>IFERROR(INDEX('Output Utente'!$G$2:$G$492,MATCH(35,'Output Utente'!$Q$2:$Q$492,0)),"")</f>
        <v>53</v>
      </c>
      <c r="K38" s="42">
        <f>IFERROR(INDEX('Output Utente'!$H$2:$H$492,MATCH(35,'Output Utente'!$Q$2:$Q$492,0)),"")</f>
        <v>99</v>
      </c>
      <c r="L38" s="5" t="str">
        <f>IFERROR(INDEX('Output Utente'!$E$2:$E$492,MATCH(35,'Output Utente'!$Q$2:$Q$492,0)),"")</f>
        <v>NO</v>
      </c>
      <c r="M38" s="5" t="str">
        <f>IFERROR(INDEX('Output Utente'!$U$2:$U$492,MATCH(35,'Output Utente'!$Q$2:$Q$492,0)),"")</f>
        <v>Attenzione</v>
      </c>
      <c r="N38" s="5" t="str">
        <f>IFERROR(INDEX('Output Utente'!$AE$2:$AE$492,MATCH(35,'Output Utente'!$Q$2:$Q$492,0)),"")</f>
        <v>🔴 Non aspettare</v>
      </c>
    </row>
    <row r="39" spans="1:14" ht="15" customHeight="1" x14ac:dyDescent="0.25">
      <c r="A39" s="41">
        <v>36</v>
      </c>
      <c r="B39" s="5">
        <f>IFERROR(INDEX('Output Utente'!$A$2:$A$492,MATCH(36,'Output Utente'!$Q$2:$Q$492,0)),"")</f>
        <v>7023</v>
      </c>
      <c r="C39" s="5" t="str">
        <f>IFERROR(INDEX('Output Utente'!$B$2:$B$492,MATCH(36,'Output Utente'!$Q$2:$Q$492,0)),"")</f>
        <v>A</v>
      </c>
      <c r="D39" s="5" t="str">
        <f>IFERROR(INDEX('Output Utente'!$C$2:$C$492,MATCH(36,'Output Utente'!$Q$2:$Q$492,0)),"")</f>
        <v>Pellegrino M.</v>
      </c>
      <c r="E39" s="5" t="str">
        <f>IFERROR(INDEX('Input Giocatori 2026_27'!$D$3:$D$493,MATCH($B39,'Input Giocatori 2026_27'!$A$3:$A$493,0)),"")</f>
        <v>Parma</v>
      </c>
      <c r="F39" s="42">
        <f>IFERROR(INDEX('Output Utente'!$N$2:$N$492,MATCH(36,'Output Utente'!$Q$2:$Q$492,0)),"")</f>
        <v>15</v>
      </c>
      <c r="G39" s="42">
        <f>IFERROR(INDEX('Output Utente'!$O$2:$O$492,MATCH(36,'Output Utente'!$Q$2:$Q$492,0)),"")</f>
        <v>81</v>
      </c>
      <c r="H39" s="5" t="str">
        <f>IFERROR(INDEX('Output Utente'!$P$2:$P$492,MATCH(36,'Output Utente'!$Q$2:$Q$492,0)),"")</f>
        <v>Buono</v>
      </c>
      <c r="I39" s="42">
        <f>IFERROR(INDEX('Output Utente'!$F$2:$F$492,MATCH(36,'Output Utente'!$Q$2:$Q$492,0)),"")</f>
        <v>83</v>
      </c>
      <c r="J39" s="42">
        <f>IFERROR(INDEX('Output Utente'!$G$2:$G$492,MATCH(36,'Output Utente'!$Q$2:$Q$492,0)),"")</f>
        <v>52</v>
      </c>
      <c r="K39" s="42">
        <f>IFERROR(INDEX('Output Utente'!$H$2:$H$492,MATCH(36,'Output Utente'!$Q$2:$Q$492,0)),"")</f>
        <v>96</v>
      </c>
      <c r="L39" s="5" t="str">
        <f>IFERROR(INDEX('Output Utente'!$E$2:$E$492,MATCH(36,'Output Utente'!$Q$2:$Q$492,0)),"")</f>
        <v>NO</v>
      </c>
      <c r="M39" s="5" t="str">
        <f>IFERROR(INDEX('Output Utente'!$U$2:$U$492,MATCH(36,'Output Utente'!$Q$2:$Q$492,0)),"")</f>
        <v>Attenzione</v>
      </c>
      <c r="N39" s="5" t="str">
        <f>IFERROR(INDEX('Output Utente'!$AE$2:$AE$492,MATCH(36,'Output Utente'!$Q$2:$Q$492,0)),"")</f>
        <v>🔴 Non aspettare</v>
      </c>
    </row>
    <row r="40" spans="1:14" ht="15" customHeight="1" x14ac:dyDescent="0.25">
      <c r="A40" s="41">
        <v>37</v>
      </c>
      <c r="B40" s="5">
        <f>IFERROR(INDEX('Output Utente'!$A$2:$A$492,MATCH(37,'Output Utente'!$Q$2:$Q$492,0)),"")</f>
        <v>5687</v>
      </c>
      <c r="C40" s="5" t="str">
        <f>IFERROR(INDEX('Output Utente'!$B$2:$B$492,MATCH(37,'Output Utente'!$Q$2:$Q$492,0)),"")</f>
        <v>C</v>
      </c>
      <c r="D40" s="5" t="str">
        <f>IFERROR(INDEX('Output Utente'!$C$2:$C$492,MATCH(37,'Output Utente'!$Q$2:$Q$492,0)),"")</f>
        <v>Vlasic</v>
      </c>
      <c r="E40" s="5" t="str">
        <f>IFERROR(INDEX('Input Giocatori 2026_27'!$D$3:$D$493,MATCH($B40,'Input Giocatori 2026_27'!$A$3:$A$493,0)),"")</f>
        <v>Torino</v>
      </c>
      <c r="F40" s="42">
        <f>IFERROR(INDEX('Output Utente'!$N$2:$N$492,MATCH(37,'Output Utente'!$Q$2:$Q$492,0)),"")</f>
        <v>14</v>
      </c>
      <c r="G40" s="42">
        <f>IFERROR(INDEX('Output Utente'!$O$2:$O$492,MATCH(37,'Output Utente'!$Q$2:$Q$492,0)),"")</f>
        <v>80</v>
      </c>
      <c r="H40" s="5" t="str">
        <f>IFERROR(INDEX('Output Utente'!$P$2:$P$492,MATCH(37,'Output Utente'!$Q$2:$Q$492,0)),"")</f>
        <v>Top</v>
      </c>
      <c r="I40" s="42">
        <f>IFERROR(INDEX('Output Utente'!$F$2:$F$492,MATCH(37,'Output Utente'!$Q$2:$Q$492,0)),"")</f>
        <v>54</v>
      </c>
      <c r="J40" s="42">
        <f>IFERROR(INDEX('Output Utente'!$G$2:$G$492,MATCH(37,'Output Utente'!$Q$2:$Q$492,0)),"")</f>
        <v>36</v>
      </c>
      <c r="K40" s="42">
        <f>IFERROR(INDEX('Output Utente'!$H$2:$H$492,MATCH(37,'Output Utente'!$Q$2:$Q$492,0)),"")</f>
        <v>61</v>
      </c>
      <c r="L40" s="5" t="str">
        <f>IFERROR(INDEX('Output Utente'!$E$2:$E$492,MATCH(37,'Output Utente'!$Q$2:$Q$492,0)),"")</f>
        <v>NO</v>
      </c>
      <c r="M40" s="5" t="str">
        <f>IFERROR(INDEX('Output Utente'!$U$2:$U$492,MATCH(37,'Output Utente'!$Q$2:$Q$492,0)),"")</f>
        <v>OK</v>
      </c>
      <c r="N40" s="5" t="str">
        <f>IFERROR(INDEX('Output Utente'!$AE$2:$AE$492,MATCH(37,'Output Utente'!$Q$2:$Q$492,0)),"")</f>
        <v>🔴 Non aspettare</v>
      </c>
    </row>
    <row r="41" spans="1:14" ht="15" customHeight="1" x14ac:dyDescent="0.25">
      <c r="A41" s="41">
        <v>38</v>
      </c>
      <c r="B41" s="5">
        <f>IFERROR(INDEX('Output Utente'!$A$2:$A$492,MATCH(38,'Output Utente'!$Q$2:$Q$492,0)),"")</f>
        <v>4973</v>
      </c>
      <c r="C41" s="5" t="str">
        <f>IFERROR(INDEX('Output Utente'!$B$2:$B$492,MATCH(38,'Output Utente'!$Q$2:$Q$492,0)),"")</f>
        <v>C</v>
      </c>
      <c r="D41" s="5" t="str">
        <f>IFERROR(INDEX('Output Utente'!$C$2:$C$492,MATCH(38,'Output Utente'!$Q$2:$Q$492,0)),"")</f>
        <v>McKennie</v>
      </c>
      <c r="E41" s="5" t="str">
        <f>IFERROR(INDEX('Input Giocatori 2026_27'!$D$3:$D$493,MATCH($B41,'Input Giocatori 2026_27'!$A$3:$A$493,0)),"")</f>
        <v>Juventus</v>
      </c>
      <c r="F41" s="42">
        <f>IFERROR(INDEX('Output Utente'!$N$2:$N$492,MATCH(38,'Output Utente'!$Q$2:$Q$492,0)),"")</f>
        <v>17</v>
      </c>
      <c r="G41" s="42">
        <f>IFERROR(INDEX('Output Utente'!$O$2:$O$492,MATCH(38,'Output Utente'!$Q$2:$Q$492,0)),"")</f>
        <v>68</v>
      </c>
      <c r="H41" s="5" t="str">
        <f>IFERROR(INDEX('Output Utente'!$P$2:$P$492,MATCH(38,'Output Utente'!$Q$2:$Q$492,0)),"")</f>
        <v>Top</v>
      </c>
      <c r="I41" s="42">
        <f>IFERROR(INDEX('Output Utente'!$F$2:$F$492,MATCH(38,'Output Utente'!$Q$2:$Q$492,0)),"")</f>
        <v>46</v>
      </c>
      <c r="J41" s="42">
        <f>IFERROR(INDEX('Output Utente'!$G$2:$G$492,MATCH(38,'Output Utente'!$Q$2:$Q$492,0)),"")</f>
        <v>31</v>
      </c>
      <c r="K41" s="42">
        <f>IFERROR(INDEX('Output Utente'!$H$2:$H$492,MATCH(38,'Output Utente'!$Q$2:$Q$492,0)),"")</f>
        <v>52</v>
      </c>
      <c r="L41" s="5" t="str">
        <f>IFERROR(INDEX('Output Utente'!$E$2:$E$492,MATCH(38,'Output Utente'!$Q$2:$Q$492,0)),"")</f>
        <v>NO</v>
      </c>
      <c r="M41" s="5" t="str">
        <f>IFERROR(INDEX('Output Utente'!$U$2:$U$492,MATCH(38,'Output Utente'!$Q$2:$Q$492,0)),"")</f>
        <v>OK</v>
      </c>
      <c r="N41" s="5" t="str">
        <f>IFERROR(INDEX('Output Utente'!$AE$2:$AE$492,MATCH(38,'Output Utente'!$Q$2:$Q$492,0)),"")</f>
        <v>🔴 Non aspettare</v>
      </c>
    </row>
    <row r="42" spans="1:14" ht="15" customHeight="1" x14ac:dyDescent="0.25">
      <c r="A42" s="41">
        <v>39</v>
      </c>
      <c r="B42" s="5">
        <f>IFERROR(INDEX('Output Utente'!$A$2:$A$492,MATCH(39,'Output Utente'!$Q$2:$Q$492,0)),"")</f>
        <v>309</v>
      </c>
      <c r="C42" s="5" t="str">
        <f>IFERROR(INDEX('Output Utente'!$B$2:$B$492,MATCH(39,'Output Utente'!$Q$2:$Q$492,0)),"")</f>
        <v>A</v>
      </c>
      <c r="D42" s="5" t="str">
        <f>IFERROR(INDEX('Output Utente'!$C$2:$C$492,MATCH(39,'Output Utente'!$Q$2:$Q$492,0)),"")</f>
        <v>Dybala</v>
      </c>
      <c r="E42" s="5" t="str">
        <f>IFERROR(INDEX('Input Giocatori 2026_27'!$D$3:$D$493,MATCH($B42,'Input Giocatori 2026_27'!$A$3:$A$493,0)),"")</f>
        <v>Roma</v>
      </c>
      <c r="F42" s="42">
        <f>IFERROR(INDEX('Output Utente'!$N$2:$N$492,MATCH(39,'Output Utente'!$Q$2:$Q$492,0)),"")</f>
        <v>14</v>
      </c>
      <c r="G42" s="42">
        <f>IFERROR(INDEX('Output Utente'!$O$2:$O$492,MATCH(39,'Output Utente'!$Q$2:$Q$492,0)),"")</f>
        <v>67</v>
      </c>
      <c r="H42" s="5" t="str">
        <f>IFERROR(INDEX('Output Utente'!$P$2:$P$492,MATCH(39,'Output Utente'!$Q$2:$Q$492,0)),"")</f>
        <v>Buono</v>
      </c>
      <c r="I42" s="42">
        <f>IFERROR(INDEX('Output Utente'!$F$2:$F$492,MATCH(39,'Output Utente'!$Q$2:$Q$492,0)),"")</f>
        <v>69</v>
      </c>
      <c r="J42" s="42">
        <f>IFERROR(INDEX('Output Utente'!$G$2:$G$492,MATCH(39,'Output Utente'!$Q$2:$Q$492,0)),"")</f>
        <v>43</v>
      </c>
      <c r="K42" s="42">
        <f>IFERROR(INDEX('Output Utente'!$H$2:$H$492,MATCH(39,'Output Utente'!$Q$2:$Q$492,0)),"")</f>
        <v>80</v>
      </c>
      <c r="L42" s="5" t="str">
        <f>IFERROR(INDEX('Output Utente'!$E$2:$E$492,MATCH(39,'Output Utente'!$Q$2:$Q$492,0)),"")</f>
        <v>NO</v>
      </c>
      <c r="M42" s="5" t="str">
        <f>IFERROR(INDEX('Output Utente'!$U$2:$U$492,MATCH(39,'Output Utente'!$Q$2:$Q$492,0)),"")</f>
        <v>Attenzione</v>
      </c>
      <c r="N42" s="5" t="str">
        <f>IFERROR(INDEX('Output Utente'!$AE$2:$AE$492,MATCH(39,'Output Utente'!$Q$2:$Q$492,0)),"")</f>
        <v>🔴 Non aspettare</v>
      </c>
    </row>
    <row r="43" spans="1:14" ht="15" customHeight="1" x14ac:dyDescent="0.25">
      <c r="A43" s="41">
        <v>40</v>
      </c>
      <c r="B43" s="5">
        <f>IFERROR(INDEX('Output Utente'!$A$2:$A$492,MATCH(40,'Output Utente'!$Q$2:$Q$492,0)),"")</f>
        <v>5841</v>
      </c>
      <c r="C43" s="5" t="str">
        <f>IFERROR(INDEX('Output Utente'!$B$2:$B$492,MATCH(40,'Output Utente'!$Q$2:$Q$492,0)),"")</f>
        <v>P</v>
      </c>
      <c r="D43" s="5" t="str">
        <f>IFERROR(INDEX('Output Utente'!$C$2:$C$492,MATCH(40,'Output Utente'!$Q$2:$Q$492,0)),"")</f>
        <v>Svilar</v>
      </c>
      <c r="E43" s="5" t="str">
        <f>IFERROR(INDEX('Input Giocatori 2026_27'!$D$3:$D$493,MATCH($B43,'Input Giocatori 2026_27'!$A$3:$A$493,0)),"")</f>
        <v>Roma</v>
      </c>
      <c r="F43" s="42">
        <f>IFERROR(INDEX('Output Utente'!$N$2:$N$492,MATCH(40,'Output Utente'!$Q$2:$Q$492,0)),"")</f>
        <v>18</v>
      </c>
      <c r="G43" s="42">
        <f>IFERROR(INDEX('Output Utente'!$O$2:$O$492,MATCH(40,'Output Utente'!$Q$2:$Q$492,0)),"")</f>
        <v>65</v>
      </c>
      <c r="H43" s="5" t="str">
        <f>IFERROR(INDEX('Output Utente'!$P$2:$P$492,MATCH(40,'Output Utente'!$Q$2:$Q$492,0)),"")</f>
        <v>Top</v>
      </c>
      <c r="I43" s="42">
        <f>IFERROR(INDEX('Output Utente'!$F$2:$F$492,MATCH(40,'Output Utente'!$Q$2:$Q$492,0)),"")</f>
        <v>110</v>
      </c>
      <c r="J43" s="42">
        <f>IFERROR(INDEX('Output Utente'!$G$2:$G$492,MATCH(40,'Output Utente'!$Q$2:$Q$492,0)),"")</f>
        <v>88</v>
      </c>
      <c r="K43" s="42">
        <f>IFERROR(INDEX('Output Utente'!$H$2:$H$492,MATCH(40,'Output Utente'!$Q$2:$Q$492,0)),"")</f>
        <v>119</v>
      </c>
      <c r="L43" s="5" t="str">
        <f>IFERROR(INDEX('Output Utente'!$E$2:$E$492,MATCH(40,'Output Utente'!$Q$2:$Q$492,0)),"")</f>
        <v>NO</v>
      </c>
      <c r="M43" s="5" t="str">
        <f>IFERROR(INDEX('Output Utente'!$U$2:$U$492,MATCH(40,'Output Utente'!$Q$2:$Q$492,0)),"")</f>
        <v>Attenzione</v>
      </c>
      <c r="N43" s="5" t="str">
        <f>IFERROR(INDEX('Output Utente'!$AE$2:$AE$492,MATCH(40,'Output Utente'!$Q$2:$Q$492,0)),"")</f>
        <v>🔴 Non aspettare</v>
      </c>
    </row>
    <row r="44" spans="1:14" ht="15" customHeight="1" x14ac:dyDescent="0.25">
      <c r="A44" s="41">
        <v>41</v>
      </c>
      <c r="B44" s="5">
        <f>IFERROR(INDEX('Output Utente'!$A$2:$A$492,MATCH(41,'Output Utente'!$Q$2:$Q$492,0)),"")</f>
        <v>7314</v>
      </c>
      <c r="C44" s="5" t="str">
        <f>IFERROR(INDEX('Output Utente'!$B$2:$B$492,MATCH(41,'Output Utente'!$Q$2:$Q$492,0)),"")</f>
        <v>C</v>
      </c>
      <c r="D44" s="5" t="str">
        <f>IFERROR(INDEX('Output Utente'!$C$2:$C$492,MATCH(41,'Output Utente'!$Q$2:$Q$492,0)),"")</f>
        <v>Taylor K.</v>
      </c>
      <c r="E44" s="5" t="str">
        <f>IFERROR(INDEX('Input Giocatori 2026_27'!$D$3:$D$493,MATCH($B44,'Input Giocatori 2026_27'!$A$3:$A$493,0)),"")</f>
        <v>Lazio</v>
      </c>
      <c r="F44" s="42">
        <f>IFERROR(INDEX('Output Utente'!$N$2:$N$492,MATCH(41,'Output Utente'!$Q$2:$Q$492,0)),"")</f>
        <v>13</v>
      </c>
      <c r="G44" s="42">
        <f>IFERROR(INDEX('Output Utente'!$O$2:$O$492,MATCH(41,'Output Utente'!$Q$2:$Q$492,0)),"")</f>
        <v>64</v>
      </c>
      <c r="H44" s="5" t="str">
        <f>IFERROR(INDEX('Output Utente'!$P$2:$P$492,MATCH(41,'Output Utente'!$Q$2:$Q$492,0)),"")</f>
        <v>Top</v>
      </c>
      <c r="I44" s="42">
        <f>IFERROR(INDEX('Output Utente'!$F$2:$F$492,MATCH(41,'Output Utente'!$Q$2:$Q$492,0)),"")</f>
        <v>42</v>
      </c>
      <c r="J44" s="42">
        <f>IFERROR(INDEX('Output Utente'!$G$2:$G$492,MATCH(41,'Output Utente'!$Q$2:$Q$492,0)),"")</f>
        <v>29</v>
      </c>
      <c r="K44" s="42">
        <f>IFERROR(INDEX('Output Utente'!$H$2:$H$492,MATCH(41,'Output Utente'!$Q$2:$Q$492,0)),"")</f>
        <v>48</v>
      </c>
      <c r="L44" s="5" t="str">
        <f>IFERROR(INDEX('Output Utente'!$E$2:$E$492,MATCH(41,'Output Utente'!$Q$2:$Q$492,0)),"")</f>
        <v>NO</v>
      </c>
      <c r="M44" s="5" t="str">
        <f>IFERROR(INDEX('Output Utente'!$U$2:$U$492,MATCH(41,'Output Utente'!$Q$2:$Q$492,0)),"")</f>
        <v>OK</v>
      </c>
      <c r="N44" s="5" t="str">
        <f>IFERROR(INDEX('Output Utente'!$AE$2:$AE$492,MATCH(41,'Output Utente'!$Q$2:$Q$492,0)),"")</f>
        <v>🔴 Non aspettare</v>
      </c>
    </row>
    <row r="45" spans="1:14" ht="15" customHeight="1" x14ac:dyDescent="0.25">
      <c r="A45" s="41">
        <v>42</v>
      </c>
      <c r="B45" s="5">
        <f>IFERROR(INDEX('Output Utente'!$A$2:$A$492,MATCH(42,'Output Utente'!$Q$2:$Q$492,0)),"")</f>
        <v>5116</v>
      </c>
      <c r="C45" s="5" t="str">
        <f>IFERROR(INDEX('Output Utente'!$B$2:$B$492,MATCH(42,'Output Utente'!$Q$2:$Q$492,0)),"")</f>
        <v>P</v>
      </c>
      <c r="D45" s="5" t="str">
        <f>IFERROR(INDEX('Output Utente'!$C$2:$C$492,MATCH(42,'Output Utente'!$Q$2:$Q$492,0)),"")</f>
        <v>Martinez Jo.</v>
      </c>
      <c r="E45" s="5" t="str">
        <f>IFERROR(INDEX('Input Giocatori 2026_27'!$D$3:$D$493,MATCH($B45,'Input Giocatori 2026_27'!$A$3:$A$493,0)),"")</f>
        <v>Inter</v>
      </c>
      <c r="F45" s="42">
        <f>IFERROR(INDEX('Output Utente'!$N$2:$N$492,MATCH(42,'Output Utente'!$Q$2:$Q$492,0)),"")</f>
        <v>17</v>
      </c>
      <c r="G45" s="42">
        <f>IFERROR(INDEX('Output Utente'!$O$2:$O$492,MATCH(42,'Output Utente'!$Q$2:$Q$492,0)),"")</f>
        <v>63</v>
      </c>
      <c r="H45" s="5" t="str">
        <f>IFERROR(INDEX('Output Utente'!$P$2:$P$492,MATCH(42,'Output Utente'!$Q$2:$Q$492,0)),"")</f>
        <v>Top</v>
      </c>
      <c r="I45" s="42">
        <f>IFERROR(INDEX('Output Utente'!$F$2:$F$492,MATCH(42,'Output Utente'!$Q$2:$Q$492,0)),"")</f>
        <v>105</v>
      </c>
      <c r="J45" s="42">
        <f>IFERROR(INDEX('Output Utente'!$G$2:$G$492,MATCH(42,'Output Utente'!$Q$2:$Q$492,0)),"")</f>
        <v>84</v>
      </c>
      <c r="K45" s="42">
        <f>IFERROR(INDEX('Output Utente'!$H$2:$H$492,MATCH(42,'Output Utente'!$Q$2:$Q$492,0)),"")</f>
        <v>114</v>
      </c>
      <c r="L45" s="5" t="str">
        <f>IFERROR(INDEX('Output Utente'!$E$2:$E$492,MATCH(42,'Output Utente'!$Q$2:$Q$492,0)),"")</f>
        <v>NO</v>
      </c>
      <c r="M45" s="5" t="str">
        <f>IFERROR(INDEX('Output Utente'!$U$2:$U$492,MATCH(42,'Output Utente'!$Q$2:$Q$492,0)),"")</f>
        <v>Attenzione</v>
      </c>
      <c r="N45" s="5" t="str">
        <f>IFERROR(INDEX('Output Utente'!$AE$2:$AE$492,MATCH(42,'Output Utente'!$Q$2:$Q$492,0)),"")</f>
        <v>🔴 Non aspettare</v>
      </c>
    </row>
    <row r="46" spans="1:14" ht="15" customHeight="1" x14ac:dyDescent="0.25">
      <c r="A46" s="41">
        <v>43</v>
      </c>
      <c r="B46" s="5">
        <f>IFERROR(INDEX('Output Utente'!$A$2:$A$492,MATCH(43,'Output Utente'!$Q$2:$Q$492,0)),"")</f>
        <v>4923</v>
      </c>
      <c r="C46" s="5" t="str">
        <f>IFERROR(INDEX('Output Utente'!$B$2:$B$492,MATCH(43,'Output Utente'!$Q$2:$Q$492,0)),"")</f>
        <v>A</v>
      </c>
      <c r="D46" s="5" t="str">
        <f>IFERROR(INDEX('Output Utente'!$C$2:$C$492,MATCH(43,'Output Utente'!$Q$2:$Q$492,0)),"")</f>
        <v>Colombo</v>
      </c>
      <c r="E46" s="5" t="str">
        <f>IFERROR(INDEX('Input Giocatori 2026_27'!$D$3:$D$493,MATCH($B46,'Input Giocatori 2026_27'!$A$3:$A$493,0)),"")</f>
        <v>Genoa</v>
      </c>
      <c r="F46" s="42">
        <f>IFERROR(INDEX('Output Utente'!$N$2:$N$492,MATCH(43,'Output Utente'!$Q$2:$Q$492,0)),"")</f>
        <v>11</v>
      </c>
      <c r="G46" s="42">
        <f>IFERROR(INDEX('Output Utente'!$O$2:$O$492,MATCH(43,'Output Utente'!$Q$2:$Q$492,0)),"")</f>
        <v>63</v>
      </c>
      <c r="H46" s="5" t="str">
        <f>IFERROR(INDEX('Output Utente'!$P$2:$P$492,MATCH(43,'Output Utente'!$Q$2:$Q$492,0)),"")</f>
        <v>Buono</v>
      </c>
      <c r="I46" s="42">
        <f>IFERROR(INDEX('Output Utente'!$F$2:$F$492,MATCH(43,'Output Utente'!$Q$2:$Q$492,0)),"")</f>
        <v>64</v>
      </c>
      <c r="J46" s="42">
        <f>IFERROR(INDEX('Output Utente'!$G$2:$G$492,MATCH(43,'Output Utente'!$Q$2:$Q$492,0)),"")</f>
        <v>40</v>
      </c>
      <c r="K46" s="42">
        <f>IFERROR(INDEX('Output Utente'!$H$2:$H$492,MATCH(43,'Output Utente'!$Q$2:$Q$492,0)),"")</f>
        <v>74</v>
      </c>
      <c r="L46" s="5" t="str">
        <f>IFERROR(INDEX('Output Utente'!$E$2:$E$492,MATCH(43,'Output Utente'!$Q$2:$Q$492,0)),"")</f>
        <v>NO</v>
      </c>
      <c r="M46" s="5" t="str">
        <f>IFERROR(INDEX('Output Utente'!$U$2:$U$492,MATCH(43,'Output Utente'!$Q$2:$Q$492,0)),"")</f>
        <v>Attenzione</v>
      </c>
      <c r="N46" s="5" t="str">
        <f>IFERROR(INDEX('Output Utente'!$AE$2:$AE$492,MATCH(43,'Output Utente'!$Q$2:$Q$492,0)),"")</f>
        <v>🔴 Non aspettare</v>
      </c>
    </row>
    <row r="47" spans="1:14" ht="15" customHeight="1" x14ac:dyDescent="0.25">
      <c r="A47" s="41">
        <v>44</v>
      </c>
      <c r="B47" s="5">
        <f>IFERROR(INDEX('Output Utente'!$A$2:$A$492,MATCH(44,'Output Utente'!$Q$2:$Q$492,0)),"")</f>
        <v>4371</v>
      </c>
      <c r="C47" s="5" t="str">
        <f>IFERROR(INDEX('Output Utente'!$B$2:$B$492,MATCH(44,'Output Utente'!$Q$2:$Q$492,0)),"")</f>
        <v>A</v>
      </c>
      <c r="D47" s="5" t="str">
        <f>IFERROR(INDEX('Output Utente'!$C$2:$C$492,MATCH(44,'Output Utente'!$Q$2:$Q$492,0)),"")</f>
        <v>Raspadori</v>
      </c>
      <c r="E47" s="5" t="str">
        <f>IFERROR(INDEX('Input Giocatori 2026_27'!$D$3:$D$493,MATCH($B47,'Input Giocatori 2026_27'!$A$3:$A$493,0)),"")</f>
        <v>Atalanta</v>
      </c>
      <c r="F47" s="42">
        <f>IFERROR(INDEX('Output Utente'!$N$2:$N$492,MATCH(44,'Output Utente'!$Q$2:$Q$492,0)),"")</f>
        <v>13</v>
      </c>
      <c r="G47" s="42">
        <f>IFERROR(INDEX('Output Utente'!$O$2:$O$492,MATCH(44,'Output Utente'!$Q$2:$Q$492,0)),"")</f>
        <v>62</v>
      </c>
      <c r="H47" s="5" t="str">
        <f>IFERROR(INDEX('Output Utente'!$P$2:$P$492,MATCH(44,'Output Utente'!$Q$2:$Q$492,0)),"")</f>
        <v>Buono</v>
      </c>
      <c r="I47" s="42">
        <f>IFERROR(INDEX('Output Utente'!$F$2:$F$492,MATCH(44,'Output Utente'!$Q$2:$Q$492,0)),"")</f>
        <v>64</v>
      </c>
      <c r="J47" s="42">
        <f>IFERROR(INDEX('Output Utente'!$G$2:$G$492,MATCH(44,'Output Utente'!$Q$2:$Q$492,0)),"")</f>
        <v>40</v>
      </c>
      <c r="K47" s="42">
        <f>IFERROR(INDEX('Output Utente'!$H$2:$H$492,MATCH(44,'Output Utente'!$Q$2:$Q$492,0)),"")</f>
        <v>74</v>
      </c>
      <c r="L47" s="5" t="str">
        <f>IFERROR(INDEX('Output Utente'!$E$2:$E$492,MATCH(44,'Output Utente'!$Q$2:$Q$492,0)),"")</f>
        <v>NO</v>
      </c>
      <c r="M47" s="5" t="str">
        <f>IFERROR(INDEX('Output Utente'!$U$2:$U$492,MATCH(44,'Output Utente'!$Q$2:$Q$492,0)),"")</f>
        <v>Attenzione</v>
      </c>
      <c r="N47" s="5" t="str">
        <f>IFERROR(INDEX('Output Utente'!$AE$2:$AE$492,MATCH(44,'Output Utente'!$Q$2:$Q$492,0)),"")</f>
        <v>🔴 Non aspettare</v>
      </c>
    </row>
    <row r="48" spans="1:14" ht="15" customHeight="1" x14ac:dyDescent="0.25">
      <c r="A48" s="41">
        <v>45</v>
      </c>
      <c r="B48" s="5">
        <f>IFERROR(INDEX('Output Utente'!$A$2:$A$492,MATCH(45,'Output Utente'!$Q$2:$Q$492,0)),"")</f>
        <v>5800</v>
      </c>
      <c r="C48" s="5" t="str">
        <f>IFERROR(INDEX('Output Utente'!$B$2:$B$492,MATCH(45,'Output Utente'!$Q$2:$Q$492,0)),"")</f>
        <v>C</v>
      </c>
      <c r="D48" s="5" t="str">
        <f>IFERROR(INDEX('Output Utente'!$C$2:$C$492,MATCH(45,'Output Utente'!$Q$2:$Q$492,0)),"")</f>
        <v>Gudmundsson A.</v>
      </c>
      <c r="E48" s="5" t="str">
        <f>IFERROR(INDEX('Input Giocatori 2026_27'!$D$3:$D$493,MATCH($B48,'Input Giocatori 2026_27'!$A$3:$A$493,0)),"")</f>
        <v>Fiorentina</v>
      </c>
      <c r="F48" s="42">
        <f>IFERROR(INDEX('Output Utente'!$N$2:$N$492,MATCH(45,'Output Utente'!$Q$2:$Q$492,0)),"")</f>
        <v>13</v>
      </c>
      <c r="G48" s="42">
        <f>IFERROR(INDEX('Output Utente'!$O$2:$O$492,MATCH(45,'Output Utente'!$Q$2:$Q$492,0)),"")</f>
        <v>61</v>
      </c>
      <c r="H48" s="5" t="str">
        <f>IFERROR(INDEX('Output Utente'!$P$2:$P$492,MATCH(45,'Output Utente'!$Q$2:$Q$492,0)),"")</f>
        <v>Top</v>
      </c>
      <c r="I48" s="42">
        <f>IFERROR(INDEX('Output Utente'!$F$2:$F$492,MATCH(45,'Output Utente'!$Q$2:$Q$492,0)),"")</f>
        <v>41</v>
      </c>
      <c r="J48" s="42">
        <f>IFERROR(INDEX('Output Utente'!$G$2:$G$492,MATCH(45,'Output Utente'!$Q$2:$Q$492,0)),"")</f>
        <v>28</v>
      </c>
      <c r="K48" s="42">
        <f>IFERROR(INDEX('Output Utente'!$H$2:$H$492,MATCH(45,'Output Utente'!$Q$2:$Q$492,0)),"")</f>
        <v>46</v>
      </c>
      <c r="L48" s="5" t="str">
        <f>IFERROR(INDEX('Output Utente'!$E$2:$E$492,MATCH(45,'Output Utente'!$Q$2:$Q$492,0)),"")</f>
        <v>NO</v>
      </c>
      <c r="M48" s="5" t="str">
        <f>IFERROR(INDEX('Output Utente'!$U$2:$U$492,MATCH(45,'Output Utente'!$Q$2:$Q$492,0)),"")</f>
        <v>OK</v>
      </c>
      <c r="N48" s="5" t="str">
        <f>IFERROR(INDEX('Output Utente'!$AE$2:$AE$492,MATCH(45,'Output Utente'!$Q$2:$Q$492,0)),"")</f>
        <v>🔴 Non aspettare</v>
      </c>
    </row>
    <row r="49" spans="1:14" ht="15" customHeight="1" x14ac:dyDescent="0.25">
      <c r="A49" s="41">
        <v>46</v>
      </c>
      <c r="B49" s="5">
        <f>IFERROR(INDEX('Output Utente'!$A$2:$A$492,MATCH(46,'Output Utente'!$Q$2:$Q$492,0)),"")</f>
        <v>6884</v>
      </c>
      <c r="C49" s="5" t="str">
        <f>IFERROR(INDEX('Output Utente'!$B$2:$B$492,MATCH(46,'Output Utente'!$Q$2:$Q$492,0)),"")</f>
        <v>C</v>
      </c>
      <c r="D49" s="5" t="str">
        <f>IFERROR(INDEX('Output Utente'!$C$2:$C$492,MATCH(46,'Output Utente'!$Q$2:$Q$492,0)),"")</f>
        <v>Conceicao</v>
      </c>
      <c r="E49" s="5" t="str">
        <f>IFERROR(INDEX('Input Giocatori 2026_27'!$D$3:$D$493,MATCH($B49,'Input Giocatori 2026_27'!$A$3:$A$493,0)),"")</f>
        <v>Juventus</v>
      </c>
      <c r="F49" s="42">
        <f>IFERROR(INDEX('Output Utente'!$N$2:$N$492,MATCH(46,'Output Utente'!$Q$2:$Q$492,0)),"")</f>
        <v>12</v>
      </c>
      <c r="G49" s="42">
        <f>IFERROR(INDEX('Output Utente'!$O$2:$O$492,MATCH(46,'Output Utente'!$Q$2:$Q$492,0)),"")</f>
        <v>60</v>
      </c>
      <c r="H49" s="5" t="str">
        <f>IFERROR(INDEX('Output Utente'!$P$2:$P$492,MATCH(46,'Output Utente'!$Q$2:$Q$492,0)),"")</f>
        <v>Top</v>
      </c>
      <c r="I49" s="42">
        <f>IFERROR(INDEX('Output Utente'!$F$2:$F$492,MATCH(46,'Output Utente'!$Q$2:$Q$492,0)),"")</f>
        <v>40</v>
      </c>
      <c r="J49" s="42">
        <f>IFERROR(INDEX('Output Utente'!$G$2:$G$492,MATCH(46,'Output Utente'!$Q$2:$Q$492,0)),"")</f>
        <v>27</v>
      </c>
      <c r="K49" s="42">
        <f>IFERROR(INDEX('Output Utente'!$H$2:$H$492,MATCH(46,'Output Utente'!$Q$2:$Q$492,0)),"")</f>
        <v>46</v>
      </c>
      <c r="L49" s="5" t="str">
        <f>IFERROR(INDEX('Output Utente'!$E$2:$E$492,MATCH(46,'Output Utente'!$Q$2:$Q$492,0)),"")</f>
        <v>NO</v>
      </c>
      <c r="M49" s="5" t="str">
        <f>IFERROR(INDEX('Output Utente'!$U$2:$U$492,MATCH(46,'Output Utente'!$Q$2:$Q$492,0)),"")</f>
        <v>OK</v>
      </c>
      <c r="N49" s="5" t="str">
        <f>IFERROR(INDEX('Output Utente'!$AE$2:$AE$492,MATCH(46,'Output Utente'!$Q$2:$Q$492,0)),"")</f>
        <v>🔴 Non aspettare</v>
      </c>
    </row>
    <row r="50" spans="1:14" ht="15" customHeight="1" x14ac:dyDescent="0.25">
      <c r="A50" s="41">
        <v>47</v>
      </c>
      <c r="B50" s="5">
        <f>IFERROR(INDEX('Output Utente'!$A$2:$A$492,MATCH(47,'Output Utente'!$Q$2:$Q$492,0)),"")</f>
        <v>7351</v>
      </c>
      <c r="C50" s="5" t="str">
        <f>IFERROR(INDEX('Output Utente'!$B$2:$B$492,MATCH(47,'Output Utente'!$Q$2:$Q$492,0)),"")</f>
        <v>A</v>
      </c>
      <c r="D50" s="5" t="str">
        <f>IFERROR(INDEX('Output Utente'!$C$2:$C$492,MATCH(47,'Output Utente'!$Q$2:$Q$492,0)),"")</f>
        <v>Santos A.</v>
      </c>
      <c r="E50" s="5" t="str">
        <f>IFERROR(INDEX('Input Giocatori 2026_27'!$D$3:$D$493,MATCH($B50,'Input Giocatori 2026_27'!$A$3:$A$493,0)),"")</f>
        <v>Napoli</v>
      </c>
      <c r="F50" s="42">
        <f>IFERROR(INDEX('Output Utente'!$N$2:$N$492,MATCH(47,'Output Utente'!$Q$2:$Q$492,0)),"")</f>
        <v>14</v>
      </c>
      <c r="G50" s="42">
        <f>IFERROR(INDEX('Output Utente'!$O$2:$O$492,MATCH(47,'Output Utente'!$Q$2:$Q$492,0)),"")</f>
        <v>60</v>
      </c>
      <c r="H50" s="5" t="str">
        <f>IFERROR(INDEX('Output Utente'!$P$2:$P$492,MATCH(47,'Output Utente'!$Q$2:$Q$492,0)),"")</f>
        <v>Buono</v>
      </c>
      <c r="I50" s="42">
        <f>IFERROR(INDEX('Output Utente'!$F$2:$F$492,MATCH(47,'Output Utente'!$Q$2:$Q$492,0)),"")</f>
        <v>20</v>
      </c>
      <c r="J50" s="42">
        <f>IFERROR(INDEX('Output Utente'!$G$2:$G$492,MATCH(47,'Output Utente'!$Q$2:$Q$492,0)),"")</f>
        <v>12</v>
      </c>
      <c r="K50" s="42">
        <f>IFERROR(INDEX('Output Utente'!$H$2:$H$492,MATCH(47,'Output Utente'!$Q$2:$Q$492,0)),"")</f>
        <v>23</v>
      </c>
      <c r="L50" s="5" t="str">
        <f>IFERROR(INDEX('Output Utente'!$E$2:$E$492,MATCH(47,'Output Utente'!$Q$2:$Q$492,0)),"")</f>
        <v>NO</v>
      </c>
      <c r="M50" s="5" t="str">
        <f>IFERROR(INDEX('Output Utente'!$U$2:$U$492,MATCH(47,'Output Utente'!$Q$2:$Q$492,0)),"")</f>
        <v>OK</v>
      </c>
      <c r="N50" s="5" t="str">
        <f>IFERROR(INDEX('Output Utente'!$AE$2:$AE$492,MATCH(47,'Output Utente'!$Q$2:$Q$492,0)),"")</f>
        <v>🔴 Non aspettare</v>
      </c>
    </row>
    <row r="51" spans="1:14" ht="15" customHeight="1" x14ac:dyDescent="0.25">
      <c r="A51" s="41">
        <v>48</v>
      </c>
      <c r="B51" s="5">
        <f>IFERROR(INDEX('Output Utente'!$A$2:$A$492,MATCH(48,'Output Utente'!$Q$2:$Q$492,0)),"")</f>
        <v>2038</v>
      </c>
      <c r="C51" s="5" t="str">
        <f>IFERROR(INDEX('Output Utente'!$B$2:$B$492,MATCH(48,'Output Utente'!$Q$2:$Q$492,0)),"")</f>
        <v>A</v>
      </c>
      <c r="D51" s="5" t="str">
        <f>IFERROR(INDEX('Output Utente'!$C$2:$C$492,MATCH(48,'Output Utente'!$Q$2:$Q$492,0)),"")</f>
        <v>Pinamonti</v>
      </c>
      <c r="E51" s="5" t="str">
        <f>IFERROR(INDEX('Input Giocatori 2026_27'!$D$3:$D$493,MATCH($B51,'Input Giocatori 2026_27'!$A$3:$A$493,0)),"")</f>
        <v>Sassuolo</v>
      </c>
      <c r="F51" s="42">
        <f>IFERROR(INDEX('Output Utente'!$N$2:$N$492,MATCH(48,'Output Utente'!$Q$2:$Q$492,0)),"")</f>
        <v>13</v>
      </c>
      <c r="G51" s="42">
        <f>IFERROR(INDEX('Output Utente'!$O$2:$O$492,MATCH(48,'Output Utente'!$Q$2:$Q$492,0)),"")</f>
        <v>58</v>
      </c>
      <c r="H51" s="5" t="str">
        <f>IFERROR(INDEX('Output Utente'!$P$2:$P$492,MATCH(48,'Output Utente'!$Q$2:$Q$492,0)),"")</f>
        <v>Buono</v>
      </c>
      <c r="I51" s="42">
        <f>IFERROR(INDEX('Output Utente'!$F$2:$F$492,MATCH(48,'Output Utente'!$Q$2:$Q$492,0)),"")</f>
        <v>19</v>
      </c>
      <c r="J51" s="42">
        <f>IFERROR(INDEX('Output Utente'!$G$2:$G$492,MATCH(48,'Output Utente'!$Q$2:$Q$492,0)),"")</f>
        <v>12</v>
      </c>
      <c r="K51" s="42">
        <f>IFERROR(INDEX('Output Utente'!$H$2:$H$492,MATCH(48,'Output Utente'!$Q$2:$Q$492,0)),"")</f>
        <v>22</v>
      </c>
      <c r="L51" s="5" t="str">
        <f>IFERROR(INDEX('Output Utente'!$E$2:$E$492,MATCH(48,'Output Utente'!$Q$2:$Q$492,0)),"")</f>
        <v>NO</v>
      </c>
      <c r="M51" s="5" t="str">
        <f>IFERROR(INDEX('Output Utente'!$U$2:$U$492,MATCH(48,'Output Utente'!$Q$2:$Q$492,0)),"")</f>
        <v>OK</v>
      </c>
      <c r="N51" s="5" t="str">
        <f>IFERROR(INDEX('Output Utente'!$AE$2:$AE$492,MATCH(48,'Output Utente'!$Q$2:$Q$492,0)),"")</f>
        <v>🔴 Non aspettare</v>
      </c>
    </row>
    <row r="52" spans="1:14" ht="15" customHeight="1" x14ac:dyDescent="0.25">
      <c r="A52" s="41">
        <v>49</v>
      </c>
      <c r="B52" s="5">
        <f>IFERROR(INDEX('Output Utente'!$A$2:$A$492,MATCH(49,'Output Utente'!$Q$2:$Q$492,0)),"")</f>
        <v>7436</v>
      </c>
      <c r="C52" s="5" t="str">
        <f>IFERROR(INDEX('Output Utente'!$B$2:$B$492,MATCH(49,'Output Utente'!$Q$2:$Q$492,0)),"")</f>
        <v>C</v>
      </c>
      <c r="D52" s="5" t="str">
        <f>IFERROR(INDEX('Output Utente'!$C$2:$C$492,MATCH(49,'Output Utente'!$Q$2:$Q$492,0)),"")</f>
        <v>Alajbegovic</v>
      </c>
      <c r="E52" s="5" t="str">
        <f>IFERROR(INDEX('Input Giocatori 2026_27'!$D$3:$D$493,MATCH($B52,'Input Giocatori 2026_27'!$A$3:$A$493,0)),"")</f>
        <v>Juventus</v>
      </c>
      <c r="F52" s="42">
        <f>IFERROR(INDEX('Output Utente'!$N$2:$N$492,MATCH(49,'Output Utente'!$Q$2:$Q$492,0)),"")</f>
        <v>12</v>
      </c>
      <c r="G52" s="42">
        <f>IFERROR(INDEX('Output Utente'!$O$2:$O$492,MATCH(49,'Output Utente'!$Q$2:$Q$492,0)),"")</f>
        <v>57</v>
      </c>
      <c r="H52" s="5" t="str">
        <f>IFERROR(INDEX('Output Utente'!$P$2:$P$492,MATCH(49,'Output Utente'!$Q$2:$Q$492,0)),"")</f>
        <v>Buono</v>
      </c>
      <c r="I52" s="42">
        <f>IFERROR(INDEX('Output Utente'!$F$2:$F$492,MATCH(49,'Output Utente'!$Q$2:$Q$492,0)),"")</f>
        <v>38</v>
      </c>
      <c r="J52" s="42">
        <f>IFERROR(INDEX('Output Utente'!$G$2:$G$492,MATCH(49,'Output Utente'!$Q$2:$Q$492,0)),"")</f>
        <v>26</v>
      </c>
      <c r="K52" s="42">
        <f>IFERROR(INDEX('Output Utente'!$H$2:$H$492,MATCH(49,'Output Utente'!$Q$2:$Q$492,0)),"")</f>
        <v>43</v>
      </c>
      <c r="L52" s="5" t="str">
        <f>IFERROR(INDEX('Output Utente'!$E$2:$E$492,MATCH(49,'Output Utente'!$Q$2:$Q$492,0)),"")</f>
        <v>NO</v>
      </c>
      <c r="M52" s="5" t="str">
        <f>IFERROR(INDEX('Output Utente'!$U$2:$U$492,MATCH(49,'Output Utente'!$Q$2:$Q$492,0)),"")</f>
        <v>OK</v>
      </c>
      <c r="N52" s="5" t="str">
        <f>IFERROR(INDEX('Output Utente'!$AE$2:$AE$492,MATCH(49,'Output Utente'!$Q$2:$Q$492,0)),"")</f>
        <v>🔴 Non aspettare</v>
      </c>
    </row>
    <row r="53" spans="1:14" ht="15" customHeight="1" x14ac:dyDescent="0.25">
      <c r="A53" s="41">
        <v>50</v>
      </c>
      <c r="B53" s="5">
        <f>IFERROR(INDEX('Output Utente'!$A$2:$A$492,MATCH(50,'Output Utente'!$Q$2:$Q$492,0)),"")</f>
        <v>6966</v>
      </c>
      <c r="C53" s="5" t="str">
        <f>IFERROR(INDEX('Output Utente'!$B$2:$B$492,MATCH(50,'Output Utente'!$Q$2:$Q$492,0)),"")</f>
        <v>P</v>
      </c>
      <c r="D53" s="5" t="str">
        <f>IFERROR(INDEX('Output Utente'!$C$2:$C$492,MATCH(50,'Output Utente'!$Q$2:$Q$492,0)),"")</f>
        <v>Butez</v>
      </c>
      <c r="E53" s="5" t="str">
        <f>IFERROR(INDEX('Input Giocatori 2026_27'!$D$3:$D$493,MATCH($B53,'Input Giocatori 2026_27'!$A$3:$A$493,0)),"")</f>
        <v>Como</v>
      </c>
      <c r="F53" s="42">
        <f>IFERROR(INDEX('Output Utente'!$N$2:$N$492,MATCH(50,'Output Utente'!$Q$2:$Q$492,0)),"")</f>
        <v>16</v>
      </c>
      <c r="G53" s="42">
        <f>IFERROR(INDEX('Output Utente'!$O$2:$O$492,MATCH(50,'Output Utente'!$Q$2:$Q$492,0)),"")</f>
        <v>56</v>
      </c>
      <c r="H53" s="5" t="str">
        <f>IFERROR(INDEX('Output Utente'!$P$2:$P$492,MATCH(50,'Output Utente'!$Q$2:$Q$492,0)),"")</f>
        <v>Top</v>
      </c>
      <c r="I53" s="42">
        <f>IFERROR(INDEX('Output Utente'!$F$2:$F$492,MATCH(50,'Output Utente'!$Q$2:$Q$492,0)),"")</f>
        <v>94</v>
      </c>
      <c r="J53" s="42">
        <f>IFERROR(INDEX('Output Utente'!$G$2:$G$492,MATCH(50,'Output Utente'!$Q$2:$Q$492,0)),"")</f>
        <v>76</v>
      </c>
      <c r="K53" s="42">
        <f>IFERROR(INDEX('Output Utente'!$H$2:$H$492,MATCH(50,'Output Utente'!$Q$2:$Q$492,0)),"")</f>
        <v>102</v>
      </c>
      <c r="L53" s="5" t="str">
        <f>IFERROR(INDEX('Output Utente'!$E$2:$E$492,MATCH(50,'Output Utente'!$Q$2:$Q$492,0)),"")</f>
        <v>NO</v>
      </c>
      <c r="M53" s="5" t="str">
        <f>IFERROR(INDEX('Output Utente'!$U$2:$U$492,MATCH(50,'Output Utente'!$Q$2:$Q$492,0)),"")</f>
        <v>Attenzione</v>
      </c>
      <c r="N53" s="5" t="str">
        <f>IFERROR(INDEX('Output Utente'!$AE$2:$AE$492,MATCH(50,'Output Utente'!$Q$2:$Q$492,0)),"")</f>
        <v>🔴 Non aspettare</v>
      </c>
    </row>
    <row r="54" spans="1:14" ht="15" customHeight="1" x14ac:dyDescent="0.25">
      <c r="A54" s="41">
        <v>51</v>
      </c>
      <c r="B54" s="5">
        <f>IFERROR(INDEX('Output Utente'!$A$2:$A$492,MATCH(51,'Output Utente'!$Q$2:$Q$492,0)),"")</f>
        <v>4159</v>
      </c>
      <c r="C54" s="5" t="str">
        <f>IFERROR(INDEX('Output Utente'!$B$2:$B$492,MATCH(51,'Output Utente'!$Q$2:$Q$492,0)),"")</f>
        <v>D</v>
      </c>
      <c r="D54" s="5" t="str">
        <f>IFERROR(INDEX('Output Utente'!$C$2:$C$492,MATCH(51,'Output Utente'!$Q$2:$Q$492,0)),"")</f>
        <v>Akanji</v>
      </c>
      <c r="E54" s="5" t="str">
        <f>IFERROR(INDEX('Input Giocatori 2026_27'!$D$3:$D$493,MATCH($B54,'Input Giocatori 2026_27'!$A$3:$A$493,0)),"")</f>
        <v>Inter</v>
      </c>
      <c r="F54" s="42">
        <f>IFERROR(INDEX('Output Utente'!$N$2:$N$492,MATCH(51,'Output Utente'!$Q$2:$Q$492,0)),"")</f>
        <v>16</v>
      </c>
      <c r="G54" s="42">
        <f>IFERROR(INDEX('Output Utente'!$O$2:$O$492,MATCH(51,'Output Utente'!$Q$2:$Q$492,0)),"")</f>
        <v>55</v>
      </c>
      <c r="H54" s="5" t="str">
        <f>IFERROR(INDEX('Output Utente'!$P$2:$P$492,MATCH(51,'Output Utente'!$Q$2:$Q$492,0)),"")</f>
        <v>Top</v>
      </c>
      <c r="I54" s="42">
        <f>IFERROR(INDEX('Output Utente'!$F$2:$F$492,MATCH(51,'Output Utente'!$Q$2:$Q$492,0)),"")</f>
        <v>38</v>
      </c>
      <c r="J54" s="42">
        <f>IFERROR(INDEX('Output Utente'!$G$2:$G$492,MATCH(51,'Output Utente'!$Q$2:$Q$492,0)),"")</f>
        <v>28</v>
      </c>
      <c r="K54" s="42">
        <f>IFERROR(INDEX('Output Utente'!$H$2:$H$492,MATCH(51,'Output Utente'!$Q$2:$Q$492,0)),"")</f>
        <v>42</v>
      </c>
      <c r="L54" s="5" t="str">
        <f>IFERROR(INDEX('Output Utente'!$E$2:$E$492,MATCH(51,'Output Utente'!$Q$2:$Q$492,0)),"")</f>
        <v>NO</v>
      </c>
      <c r="M54" s="5" t="str">
        <f>IFERROR(INDEX('Output Utente'!$U$2:$U$492,MATCH(51,'Output Utente'!$Q$2:$Q$492,0)),"")</f>
        <v>OK</v>
      </c>
      <c r="N54" s="5" t="str">
        <f>IFERROR(INDEX('Output Utente'!$AE$2:$AE$492,MATCH(51,'Output Utente'!$Q$2:$Q$492,0)),"")</f>
        <v>🔴 Non aspettare</v>
      </c>
    </row>
    <row r="55" spans="1:14" ht="15" customHeight="1" x14ac:dyDescent="0.25">
      <c r="A55" s="41">
        <v>52</v>
      </c>
      <c r="B55" s="5">
        <f>IFERROR(INDEX('Output Utente'!$A$2:$A$492,MATCH(52,'Output Utente'!$Q$2:$Q$492,0)),"")</f>
        <v>4220</v>
      </c>
      <c r="C55" s="5" t="str">
        <f>IFERROR(INDEX('Output Utente'!$B$2:$B$492,MATCH(52,'Output Utente'!$Q$2:$Q$492,0)),"")</f>
        <v>C</v>
      </c>
      <c r="D55" s="5" t="str">
        <f>IFERROR(INDEX('Output Utente'!$C$2:$C$492,MATCH(52,'Output Utente'!$Q$2:$Q$492,0)),"")</f>
        <v>Zambo Anguissa</v>
      </c>
      <c r="E55" s="5" t="str">
        <f>IFERROR(INDEX('Input Giocatori 2026_27'!$D$3:$D$493,MATCH($B55,'Input Giocatori 2026_27'!$A$3:$A$493,0)),"")</f>
        <v>Napoli</v>
      </c>
      <c r="F55" s="42">
        <f>IFERROR(INDEX('Output Utente'!$N$2:$N$492,MATCH(52,'Output Utente'!$Q$2:$Q$492,0)),"")</f>
        <v>11</v>
      </c>
      <c r="G55" s="42">
        <f>IFERROR(INDEX('Output Utente'!$O$2:$O$492,MATCH(52,'Output Utente'!$Q$2:$Q$492,0)),"")</f>
        <v>55</v>
      </c>
      <c r="H55" s="5" t="str">
        <f>IFERROR(INDEX('Output Utente'!$P$2:$P$492,MATCH(52,'Output Utente'!$Q$2:$Q$492,0)),"")</f>
        <v>Buono</v>
      </c>
      <c r="I55" s="42">
        <f>IFERROR(INDEX('Output Utente'!$F$2:$F$492,MATCH(52,'Output Utente'!$Q$2:$Q$492,0)),"")</f>
        <v>37</v>
      </c>
      <c r="J55" s="42">
        <f>IFERROR(INDEX('Output Utente'!$G$2:$G$492,MATCH(52,'Output Utente'!$Q$2:$Q$492,0)),"")</f>
        <v>25</v>
      </c>
      <c r="K55" s="42">
        <f>IFERROR(INDEX('Output Utente'!$H$2:$H$492,MATCH(52,'Output Utente'!$Q$2:$Q$492,0)),"")</f>
        <v>42</v>
      </c>
      <c r="L55" s="5" t="str">
        <f>IFERROR(INDEX('Output Utente'!$E$2:$E$492,MATCH(52,'Output Utente'!$Q$2:$Q$492,0)),"")</f>
        <v>NO</v>
      </c>
      <c r="M55" s="5" t="str">
        <f>IFERROR(INDEX('Output Utente'!$U$2:$U$492,MATCH(52,'Output Utente'!$Q$2:$Q$492,0)),"")</f>
        <v>OK</v>
      </c>
      <c r="N55" s="5" t="str">
        <f>IFERROR(INDEX('Output Utente'!$AE$2:$AE$492,MATCH(52,'Output Utente'!$Q$2:$Q$492,0)),"")</f>
        <v>🔴 Non aspettare</v>
      </c>
    </row>
    <row r="56" spans="1:14" ht="15" customHeight="1" x14ac:dyDescent="0.25">
      <c r="A56" s="41">
        <v>53</v>
      </c>
      <c r="B56" s="5">
        <f>IFERROR(INDEX('Output Utente'!$A$2:$A$492,MATCH(53,'Output Utente'!$Q$2:$Q$492,0)),"")</f>
        <v>5734</v>
      </c>
      <c r="C56" s="5" t="str">
        <f>IFERROR(INDEX('Output Utente'!$B$2:$B$492,MATCH(53,'Output Utente'!$Q$2:$Q$492,0)),"")</f>
        <v>A</v>
      </c>
      <c r="D56" s="5" t="str">
        <f>IFERROR(INDEX('Output Utente'!$C$2:$C$492,MATCH(53,'Output Utente'!$Q$2:$Q$492,0)),"")</f>
        <v>Soulè</v>
      </c>
      <c r="E56" s="5" t="str">
        <f>IFERROR(INDEX('Input Giocatori 2026_27'!$D$3:$D$493,MATCH($B56,'Input Giocatori 2026_27'!$A$3:$A$493,0)),"")</f>
        <v>Roma</v>
      </c>
      <c r="F56" s="42">
        <f>IFERROR(INDEX('Output Utente'!$N$2:$N$492,MATCH(53,'Output Utente'!$Q$2:$Q$492,0)),"")</f>
        <v>12</v>
      </c>
      <c r="G56" s="42">
        <f>IFERROR(INDEX('Output Utente'!$O$2:$O$492,MATCH(53,'Output Utente'!$Q$2:$Q$492,0)),"")</f>
        <v>55</v>
      </c>
      <c r="H56" s="5" t="str">
        <f>IFERROR(INDEX('Output Utente'!$P$2:$P$492,MATCH(53,'Output Utente'!$Q$2:$Q$492,0)),"")</f>
        <v>Nella Media</v>
      </c>
      <c r="I56" s="42">
        <f>IFERROR(INDEX('Output Utente'!$F$2:$F$492,MATCH(53,'Output Utente'!$Q$2:$Q$492,0)),"")</f>
        <v>18</v>
      </c>
      <c r="J56" s="42">
        <f>IFERROR(INDEX('Output Utente'!$G$2:$G$492,MATCH(53,'Output Utente'!$Q$2:$Q$492,0)),"")</f>
        <v>11</v>
      </c>
      <c r="K56" s="42">
        <f>IFERROR(INDEX('Output Utente'!$H$2:$H$492,MATCH(53,'Output Utente'!$Q$2:$Q$492,0)),"")</f>
        <v>21</v>
      </c>
      <c r="L56" s="5" t="str">
        <f>IFERROR(INDEX('Output Utente'!$E$2:$E$492,MATCH(53,'Output Utente'!$Q$2:$Q$492,0)),"")</f>
        <v>NO</v>
      </c>
      <c r="M56" s="5" t="str">
        <f>IFERROR(INDEX('Output Utente'!$U$2:$U$492,MATCH(53,'Output Utente'!$Q$2:$Q$492,0)),"")</f>
        <v>OK</v>
      </c>
      <c r="N56" s="5" t="str">
        <f>IFERROR(INDEX('Output Utente'!$AE$2:$AE$492,MATCH(53,'Output Utente'!$Q$2:$Q$492,0)),"")</f>
        <v>🔴 Non aspettare</v>
      </c>
    </row>
    <row r="57" spans="1:14" ht="15" customHeight="1" x14ac:dyDescent="0.25">
      <c r="A57" s="41">
        <v>54</v>
      </c>
      <c r="B57" s="5">
        <f>IFERROR(INDEX('Output Utente'!$A$2:$A$492,MATCH(54,'Output Utente'!$Q$2:$Q$492,0)),"")</f>
        <v>4431</v>
      </c>
      <c r="C57" s="5" t="str">
        <f>IFERROR(INDEX('Output Utente'!$B$2:$B$492,MATCH(54,'Output Utente'!$Q$2:$Q$492,0)),"")</f>
        <v>P</v>
      </c>
      <c r="D57" s="5" t="str">
        <f>IFERROR(INDEX('Output Utente'!$C$2:$C$492,MATCH(54,'Output Utente'!$Q$2:$Q$492,0)),"")</f>
        <v>Carnesecchi</v>
      </c>
      <c r="E57" s="5" t="str">
        <f>IFERROR(INDEX('Input Giocatori 2026_27'!$D$3:$D$493,MATCH($B57,'Input Giocatori 2026_27'!$A$3:$A$493,0)),"")</f>
        <v>Atalanta</v>
      </c>
      <c r="F57" s="42">
        <f>IFERROR(INDEX('Output Utente'!$N$2:$N$492,MATCH(54,'Output Utente'!$Q$2:$Q$492,0)),"")</f>
        <v>16</v>
      </c>
      <c r="G57" s="42">
        <f>IFERROR(INDEX('Output Utente'!$O$2:$O$492,MATCH(54,'Output Utente'!$Q$2:$Q$492,0)),"")</f>
        <v>52</v>
      </c>
      <c r="H57" s="5" t="str">
        <f>IFERROR(INDEX('Output Utente'!$P$2:$P$492,MATCH(54,'Output Utente'!$Q$2:$Q$492,0)),"")</f>
        <v>Top</v>
      </c>
      <c r="I57" s="42">
        <f>IFERROR(INDEX('Output Utente'!$F$2:$F$492,MATCH(54,'Output Utente'!$Q$2:$Q$492,0)),"")</f>
        <v>89</v>
      </c>
      <c r="J57" s="42">
        <f>IFERROR(INDEX('Output Utente'!$G$2:$G$492,MATCH(54,'Output Utente'!$Q$2:$Q$492,0)),"")</f>
        <v>71</v>
      </c>
      <c r="K57" s="42">
        <f>IFERROR(INDEX('Output Utente'!$H$2:$H$492,MATCH(54,'Output Utente'!$Q$2:$Q$492,0)),"")</f>
        <v>96</v>
      </c>
      <c r="L57" s="5" t="str">
        <f>IFERROR(INDEX('Output Utente'!$E$2:$E$492,MATCH(54,'Output Utente'!$Q$2:$Q$492,0)),"")</f>
        <v>NO</v>
      </c>
      <c r="M57" s="5" t="str">
        <f>IFERROR(INDEX('Output Utente'!$U$2:$U$492,MATCH(54,'Output Utente'!$Q$2:$Q$492,0)),"")</f>
        <v>Attenzione</v>
      </c>
      <c r="N57" s="5" t="str">
        <f>IFERROR(INDEX('Output Utente'!$AE$2:$AE$492,MATCH(54,'Output Utente'!$Q$2:$Q$492,0)),"")</f>
        <v>🔴 Non aspettare</v>
      </c>
    </row>
    <row r="58" spans="1:14" ht="15" customHeight="1" x14ac:dyDescent="0.25">
      <c r="A58" s="41">
        <v>55</v>
      </c>
      <c r="B58" s="5">
        <f>IFERROR(INDEX('Output Utente'!$A$2:$A$492,MATCH(55,'Output Utente'!$Q$2:$Q$492,0)),"")</f>
        <v>4728</v>
      </c>
      <c r="C58" s="5" t="str">
        <f>IFERROR(INDEX('Output Utente'!$B$2:$B$492,MATCH(55,'Output Utente'!$Q$2:$Q$492,0)),"")</f>
        <v>A</v>
      </c>
      <c r="D58" s="5" t="str">
        <f>IFERROR(INDEX('Output Utente'!$C$2:$C$492,MATCH(55,'Output Utente'!$Q$2:$Q$492,0)),"")</f>
        <v>Nkunku</v>
      </c>
      <c r="E58" s="5" t="str">
        <f>IFERROR(INDEX('Input Giocatori 2026_27'!$D$3:$D$493,MATCH($B58,'Input Giocatori 2026_27'!$A$3:$A$493,0)),"")</f>
        <v>Milan</v>
      </c>
      <c r="F58" s="42">
        <f>IFERROR(INDEX('Output Utente'!$N$2:$N$492,MATCH(55,'Output Utente'!$Q$2:$Q$492,0)),"")</f>
        <v>13</v>
      </c>
      <c r="G58" s="42">
        <f>IFERROR(INDEX('Output Utente'!$O$2:$O$492,MATCH(55,'Output Utente'!$Q$2:$Q$492,0)),"")</f>
        <v>52</v>
      </c>
      <c r="H58" s="5" t="str">
        <f>IFERROR(INDEX('Output Utente'!$P$2:$P$492,MATCH(55,'Output Utente'!$Q$2:$Q$492,0)),"")</f>
        <v>Nella Media</v>
      </c>
      <c r="I58" s="42">
        <f>IFERROR(INDEX('Output Utente'!$F$2:$F$492,MATCH(55,'Output Utente'!$Q$2:$Q$492,0)),"")</f>
        <v>17</v>
      </c>
      <c r="J58" s="42">
        <f>IFERROR(INDEX('Output Utente'!$G$2:$G$492,MATCH(55,'Output Utente'!$Q$2:$Q$492,0)),"")</f>
        <v>11</v>
      </c>
      <c r="K58" s="42">
        <f>IFERROR(INDEX('Output Utente'!$H$2:$H$492,MATCH(55,'Output Utente'!$Q$2:$Q$492,0)),"")</f>
        <v>20</v>
      </c>
      <c r="L58" s="5" t="str">
        <f>IFERROR(INDEX('Output Utente'!$E$2:$E$492,MATCH(55,'Output Utente'!$Q$2:$Q$492,0)),"")</f>
        <v>NO</v>
      </c>
      <c r="M58" s="5" t="str">
        <f>IFERROR(INDEX('Output Utente'!$U$2:$U$492,MATCH(55,'Output Utente'!$Q$2:$Q$492,0)),"")</f>
        <v>OK</v>
      </c>
      <c r="N58" s="5" t="str">
        <f>IFERROR(INDEX('Output Utente'!$AE$2:$AE$492,MATCH(55,'Output Utente'!$Q$2:$Q$492,0)),"")</f>
        <v>🔴 Non aspettare</v>
      </c>
    </row>
    <row r="59" spans="1:14" ht="15" customHeight="1" x14ac:dyDescent="0.25">
      <c r="A59" s="41">
        <v>56</v>
      </c>
      <c r="B59" s="5">
        <f>IFERROR(INDEX('Output Utente'!$A$2:$A$492,MATCH(56,'Output Utente'!$Q$2:$Q$492,0)),"")</f>
        <v>7484</v>
      </c>
      <c r="C59" s="5" t="str">
        <f>IFERROR(INDEX('Output Utente'!$B$2:$B$492,MATCH(56,'Output Utente'!$Q$2:$Q$492,0)),"")</f>
        <v>A</v>
      </c>
      <c r="D59" s="5" t="str">
        <f>IFERROR(INDEX('Output Utente'!$C$2:$C$492,MATCH(56,'Output Utente'!$Q$2:$Q$492,0)),"")</f>
        <v>Adams A.</v>
      </c>
      <c r="E59" s="5" t="str">
        <f>IFERROR(INDEX('Input Giocatori 2026_27'!$D$3:$D$493,MATCH($B59,'Input Giocatori 2026_27'!$A$3:$A$493,0)),"")</f>
        <v>Venezia</v>
      </c>
      <c r="F59" s="42">
        <f>IFERROR(INDEX('Output Utente'!$N$2:$N$492,MATCH(56,'Output Utente'!$Q$2:$Q$492,0)),"")</f>
        <v>12</v>
      </c>
      <c r="G59" s="42">
        <f>IFERROR(INDEX('Output Utente'!$O$2:$O$492,MATCH(56,'Output Utente'!$Q$2:$Q$492,0)),"")</f>
        <v>52</v>
      </c>
      <c r="H59" s="5" t="str">
        <f>IFERROR(INDEX('Output Utente'!$P$2:$P$492,MATCH(56,'Output Utente'!$Q$2:$Q$492,0)),"")</f>
        <v>Nella Media</v>
      </c>
      <c r="I59" s="42">
        <f>IFERROR(INDEX('Output Utente'!$F$2:$F$492,MATCH(56,'Output Utente'!$Q$2:$Q$492,0)),"")</f>
        <v>16</v>
      </c>
      <c r="J59" s="42">
        <f>IFERROR(INDEX('Output Utente'!$G$2:$G$492,MATCH(56,'Output Utente'!$Q$2:$Q$492,0)),"")</f>
        <v>10</v>
      </c>
      <c r="K59" s="42">
        <f>IFERROR(INDEX('Output Utente'!$H$2:$H$492,MATCH(56,'Output Utente'!$Q$2:$Q$492,0)),"")</f>
        <v>19</v>
      </c>
      <c r="L59" s="5" t="str">
        <f>IFERROR(INDEX('Output Utente'!$E$2:$E$492,MATCH(56,'Output Utente'!$Q$2:$Q$492,0)),"")</f>
        <v>NO</v>
      </c>
      <c r="M59" s="5" t="str">
        <f>IFERROR(INDEX('Output Utente'!$U$2:$U$492,MATCH(56,'Output Utente'!$Q$2:$Q$492,0)),"")</f>
        <v>OK</v>
      </c>
      <c r="N59" s="5" t="str">
        <f>IFERROR(INDEX('Output Utente'!$AE$2:$AE$492,MATCH(56,'Output Utente'!$Q$2:$Q$492,0)),"")</f>
        <v>🔴 Non aspettare</v>
      </c>
    </row>
    <row r="60" spans="1:14" ht="15" customHeight="1" x14ac:dyDescent="0.25">
      <c r="A60" s="41">
        <v>57</v>
      </c>
      <c r="B60" s="5">
        <f>IFERROR(INDEX('Output Utente'!$A$2:$A$492,MATCH(57,'Output Utente'!$Q$2:$Q$492,0)),"")</f>
        <v>4312</v>
      </c>
      <c r="C60" s="5" t="str">
        <f>IFERROR(INDEX('Output Utente'!$B$2:$B$492,MATCH(57,'Output Utente'!$Q$2:$Q$492,0)),"")</f>
        <v>P</v>
      </c>
      <c r="D60" s="5" t="str">
        <f>IFERROR(INDEX('Output Utente'!$C$2:$C$492,MATCH(57,'Output Utente'!$Q$2:$Q$492,0)),"")</f>
        <v>Maignan</v>
      </c>
      <c r="E60" s="5" t="str">
        <f>IFERROR(INDEX('Input Giocatori 2026_27'!$D$3:$D$493,MATCH($B60,'Input Giocatori 2026_27'!$A$3:$A$493,0)),"")</f>
        <v>Milan</v>
      </c>
      <c r="F60" s="42">
        <f>IFERROR(INDEX('Output Utente'!$N$2:$N$492,MATCH(57,'Output Utente'!$Q$2:$Q$492,0)),"")</f>
        <v>15</v>
      </c>
      <c r="G60" s="42">
        <f>IFERROR(INDEX('Output Utente'!$O$2:$O$492,MATCH(57,'Output Utente'!$Q$2:$Q$492,0)),"")</f>
        <v>50</v>
      </c>
      <c r="H60" s="5" t="str">
        <f>IFERROR(INDEX('Output Utente'!$P$2:$P$492,MATCH(57,'Output Utente'!$Q$2:$Q$492,0)),"")</f>
        <v>Top</v>
      </c>
      <c r="I60" s="42">
        <f>IFERROR(INDEX('Output Utente'!$F$2:$F$492,MATCH(57,'Output Utente'!$Q$2:$Q$492,0)),"")</f>
        <v>84</v>
      </c>
      <c r="J60" s="42">
        <f>IFERROR(INDEX('Output Utente'!$G$2:$G$492,MATCH(57,'Output Utente'!$Q$2:$Q$492,0)),"")</f>
        <v>68</v>
      </c>
      <c r="K60" s="42">
        <f>IFERROR(INDEX('Output Utente'!$H$2:$H$492,MATCH(57,'Output Utente'!$Q$2:$Q$492,0)),"")</f>
        <v>91</v>
      </c>
      <c r="L60" s="5" t="str">
        <f>IFERROR(INDEX('Output Utente'!$E$2:$E$492,MATCH(57,'Output Utente'!$Q$2:$Q$492,0)),"")</f>
        <v>NO</v>
      </c>
      <c r="M60" s="5" t="str">
        <f>IFERROR(INDEX('Output Utente'!$U$2:$U$492,MATCH(57,'Output Utente'!$Q$2:$Q$492,0)),"")</f>
        <v>Attenzione</v>
      </c>
      <c r="N60" s="5" t="str">
        <f>IFERROR(INDEX('Output Utente'!$AE$2:$AE$492,MATCH(57,'Output Utente'!$Q$2:$Q$492,0)),"")</f>
        <v>🔴 Non aspettare</v>
      </c>
    </row>
    <row r="61" spans="1:14" ht="15" customHeight="1" x14ac:dyDescent="0.25">
      <c r="A61" s="41">
        <v>58</v>
      </c>
      <c r="B61" s="5">
        <f>IFERROR(INDEX('Output Utente'!$A$2:$A$492,MATCH(58,'Output Utente'!$Q$2:$Q$492,0)),"")</f>
        <v>2788</v>
      </c>
      <c r="C61" s="5" t="str">
        <f>IFERROR(INDEX('Output Utente'!$B$2:$B$492,MATCH(58,'Output Utente'!$Q$2:$Q$492,0)),"")</f>
        <v>D</v>
      </c>
      <c r="D61" s="5" t="str">
        <f>IFERROR(INDEX('Output Utente'!$C$2:$C$492,MATCH(58,'Output Utente'!$Q$2:$Q$492,0)),"")</f>
        <v>Bremer</v>
      </c>
      <c r="E61" s="5" t="str">
        <f>IFERROR(INDEX('Input Giocatori 2026_27'!$D$3:$D$493,MATCH($B61,'Input Giocatori 2026_27'!$A$3:$A$493,0)),"")</f>
        <v>Juventus</v>
      </c>
      <c r="F61" s="42">
        <f>IFERROR(INDEX('Output Utente'!$N$2:$N$492,MATCH(58,'Output Utente'!$Q$2:$Q$492,0)),"")</f>
        <v>15</v>
      </c>
      <c r="G61" s="42">
        <f>IFERROR(INDEX('Output Utente'!$O$2:$O$492,MATCH(58,'Output Utente'!$Q$2:$Q$492,0)),"")</f>
        <v>50</v>
      </c>
      <c r="H61" s="5" t="str">
        <f>IFERROR(INDEX('Output Utente'!$P$2:$P$492,MATCH(58,'Output Utente'!$Q$2:$Q$492,0)),"")</f>
        <v>Top</v>
      </c>
      <c r="I61" s="42">
        <f>IFERROR(INDEX('Output Utente'!$F$2:$F$492,MATCH(58,'Output Utente'!$Q$2:$Q$492,0)),"")</f>
        <v>35</v>
      </c>
      <c r="J61" s="42">
        <f>IFERROR(INDEX('Output Utente'!$G$2:$G$492,MATCH(58,'Output Utente'!$Q$2:$Q$492,0)),"")</f>
        <v>26</v>
      </c>
      <c r="K61" s="42">
        <f>IFERROR(INDEX('Output Utente'!$H$2:$H$492,MATCH(58,'Output Utente'!$Q$2:$Q$492,0)),"")</f>
        <v>39</v>
      </c>
      <c r="L61" s="5" t="str">
        <f>IFERROR(INDEX('Output Utente'!$E$2:$E$492,MATCH(58,'Output Utente'!$Q$2:$Q$492,0)),"")</f>
        <v>NO</v>
      </c>
      <c r="M61" s="5" t="str">
        <f>IFERROR(INDEX('Output Utente'!$U$2:$U$492,MATCH(58,'Output Utente'!$Q$2:$Q$492,0)),"")</f>
        <v>OK</v>
      </c>
      <c r="N61" s="5" t="str">
        <f>IFERROR(INDEX('Output Utente'!$AE$2:$AE$492,MATCH(58,'Output Utente'!$Q$2:$Q$492,0)),"")</f>
        <v>🔴 Non aspettare</v>
      </c>
    </row>
    <row r="62" spans="1:14" ht="15" customHeight="1" x14ac:dyDescent="0.25">
      <c r="A62" s="41">
        <v>59</v>
      </c>
      <c r="B62" s="5">
        <f>IFERROR(INDEX('Output Utente'!$A$2:$A$492,MATCH(59,'Output Utente'!$Q$2:$Q$492,0)),"")</f>
        <v>2606</v>
      </c>
      <c r="C62" s="5" t="str">
        <f>IFERROR(INDEX('Output Utente'!$B$2:$B$492,MATCH(59,'Output Utente'!$Q$2:$Q$492,0)),"")</f>
        <v>C</v>
      </c>
      <c r="D62" s="5" t="str">
        <f>IFERROR(INDEX('Output Utente'!$C$2:$C$492,MATCH(59,'Output Utente'!$Q$2:$Q$492,0)),"")</f>
        <v>Modric</v>
      </c>
      <c r="E62" s="5" t="str">
        <f>IFERROR(INDEX('Input Giocatori 2026_27'!$D$3:$D$493,MATCH($B62,'Input Giocatori 2026_27'!$A$3:$A$493,0)),"")</f>
        <v>Milan</v>
      </c>
      <c r="F62" s="42">
        <f>IFERROR(INDEX('Output Utente'!$N$2:$N$492,MATCH(59,'Output Utente'!$Q$2:$Q$492,0)),"")</f>
        <v>12</v>
      </c>
      <c r="G62" s="42">
        <f>IFERROR(INDEX('Output Utente'!$O$2:$O$492,MATCH(59,'Output Utente'!$Q$2:$Q$492,0)),"")</f>
        <v>50</v>
      </c>
      <c r="H62" s="5" t="str">
        <f>IFERROR(INDEX('Output Utente'!$P$2:$P$492,MATCH(59,'Output Utente'!$Q$2:$Q$492,0)),"")</f>
        <v>Buono</v>
      </c>
      <c r="I62" s="42">
        <f>IFERROR(INDEX('Output Utente'!$F$2:$F$492,MATCH(59,'Output Utente'!$Q$2:$Q$492,0)),"")</f>
        <v>34</v>
      </c>
      <c r="J62" s="42">
        <f>IFERROR(INDEX('Output Utente'!$G$2:$G$492,MATCH(59,'Output Utente'!$Q$2:$Q$492,0)),"")</f>
        <v>23</v>
      </c>
      <c r="K62" s="42">
        <f>IFERROR(INDEX('Output Utente'!$H$2:$H$492,MATCH(59,'Output Utente'!$Q$2:$Q$492,0)),"")</f>
        <v>38</v>
      </c>
      <c r="L62" s="5" t="str">
        <f>IFERROR(INDEX('Output Utente'!$E$2:$E$492,MATCH(59,'Output Utente'!$Q$2:$Q$492,0)),"")</f>
        <v>NO</v>
      </c>
      <c r="M62" s="5" t="str">
        <f>IFERROR(INDEX('Output Utente'!$U$2:$U$492,MATCH(59,'Output Utente'!$Q$2:$Q$492,0)),"")</f>
        <v>OK</v>
      </c>
      <c r="N62" s="5" t="str">
        <f>IFERROR(INDEX('Output Utente'!$AE$2:$AE$492,MATCH(59,'Output Utente'!$Q$2:$Q$492,0)),"")</f>
        <v>🔴 Non aspettare</v>
      </c>
    </row>
    <row r="63" spans="1:14" ht="15" customHeight="1" x14ac:dyDescent="0.25">
      <c r="A63" s="41">
        <v>60</v>
      </c>
      <c r="B63" s="5">
        <f>IFERROR(INDEX('Output Utente'!$A$2:$A$492,MATCH(60,'Output Utente'!$Q$2:$Q$492,0)),"")</f>
        <v>4463</v>
      </c>
      <c r="C63" s="5" t="str">
        <f>IFERROR(INDEX('Output Utente'!$B$2:$B$492,MATCH(60,'Output Utente'!$Q$2:$Q$492,0)),"")</f>
        <v>A</v>
      </c>
      <c r="D63" s="5" t="str">
        <f>IFERROR(INDEX('Output Utente'!$C$2:$C$492,MATCH(60,'Output Utente'!$Q$2:$Q$492,0)),"")</f>
        <v>Esposito Se.</v>
      </c>
      <c r="E63" s="5" t="str">
        <f>IFERROR(INDEX('Input Giocatori 2026_27'!$D$3:$D$493,MATCH($B63,'Input Giocatori 2026_27'!$A$3:$A$493,0)),"")</f>
        <v>Cagliari</v>
      </c>
      <c r="F63" s="42">
        <f>IFERROR(INDEX('Output Utente'!$N$2:$N$492,MATCH(60,'Output Utente'!$Q$2:$Q$492,0)),"")</f>
        <v>13</v>
      </c>
      <c r="G63" s="42">
        <f>IFERROR(INDEX('Output Utente'!$O$2:$O$492,MATCH(60,'Output Utente'!$Q$2:$Q$492,0)),"")</f>
        <v>50</v>
      </c>
      <c r="H63" s="5" t="str">
        <f>IFERROR(INDEX('Output Utente'!$P$2:$P$492,MATCH(60,'Output Utente'!$Q$2:$Q$492,0)),"")</f>
        <v>Nella Media</v>
      </c>
      <c r="I63" s="42">
        <f>IFERROR(INDEX('Output Utente'!$F$2:$F$492,MATCH(60,'Output Utente'!$Q$2:$Q$492,0)),"")</f>
        <v>16</v>
      </c>
      <c r="J63" s="42">
        <f>IFERROR(INDEX('Output Utente'!$G$2:$G$492,MATCH(60,'Output Utente'!$Q$2:$Q$492,0)),"")</f>
        <v>10</v>
      </c>
      <c r="K63" s="42">
        <f>IFERROR(INDEX('Output Utente'!$H$2:$H$492,MATCH(60,'Output Utente'!$Q$2:$Q$492,0)),"")</f>
        <v>19</v>
      </c>
      <c r="L63" s="5" t="str">
        <f>IFERROR(INDEX('Output Utente'!$E$2:$E$492,MATCH(60,'Output Utente'!$Q$2:$Q$492,0)),"")</f>
        <v>NO</v>
      </c>
      <c r="M63" s="5" t="str">
        <f>IFERROR(INDEX('Output Utente'!$U$2:$U$492,MATCH(60,'Output Utente'!$Q$2:$Q$492,0)),"")</f>
        <v>OK</v>
      </c>
      <c r="N63" s="5" t="str">
        <f>IFERROR(INDEX('Output Utente'!$AE$2:$AE$492,MATCH(60,'Output Utente'!$Q$2:$Q$492,0)),"")</f>
        <v>🔴 Non aspettare</v>
      </c>
    </row>
    <row r="64" spans="1:14" ht="15" customHeight="1" x14ac:dyDescent="0.25">
      <c r="A64" s="41">
        <v>61</v>
      </c>
      <c r="B64" s="5">
        <f>IFERROR(INDEX('Output Utente'!$A$2:$A$492,MATCH(61,'Output Utente'!$Q$2:$Q$492,0)),"")</f>
        <v>6967</v>
      </c>
      <c r="C64" s="5" t="str">
        <f>IFERROR(INDEX('Output Utente'!$B$2:$B$492,MATCH(61,'Output Utente'!$Q$2:$Q$492,0)),"")</f>
        <v>A</v>
      </c>
      <c r="D64" s="5" t="str">
        <f>IFERROR(INDEX('Output Utente'!$C$2:$C$492,MATCH(61,'Output Utente'!$Q$2:$Q$492,0)),"")</f>
        <v>Diao</v>
      </c>
      <c r="E64" s="5" t="str">
        <f>IFERROR(INDEX('Input Giocatori 2026_27'!$D$3:$D$493,MATCH($B64,'Input Giocatori 2026_27'!$A$3:$A$493,0)),"")</f>
        <v>Como</v>
      </c>
      <c r="F64" s="42">
        <f>IFERROR(INDEX('Output Utente'!$N$2:$N$492,MATCH(61,'Output Utente'!$Q$2:$Q$492,0)),"")</f>
        <v>11</v>
      </c>
      <c r="G64" s="42">
        <f>IFERROR(INDEX('Output Utente'!$O$2:$O$492,MATCH(61,'Output Utente'!$Q$2:$Q$492,0)),"")</f>
        <v>50</v>
      </c>
      <c r="H64" s="5" t="str">
        <f>IFERROR(INDEX('Output Utente'!$P$2:$P$492,MATCH(61,'Output Utente'!$Q$2:$Q$492,0)),"")</f>
        <v>Nella Media</v>
      </c>
      <c r="I64" s="42">
        <f>IFERROR(INDEX('Output Utente'!$F$2:$F$492,MATCH(61,'Output Utente'!$Q$2:$Q$492,0)),"")</f>
        <v>16</v>
      </c>
      <c r="J64" s="42">
        <f>IFERROR(INDEX('Output Utente'!$G$2:$G$492,MATCH(61,'Output Utente'!$Q$2:$Q$492,0)),"")</f>
        <v>10</v>
      </c>
      <c r="K64" s="42">
        <f>IFERROR(INDEX('Output Utente'!$H$2:$H$492,MATCH(61,'Output Utente'!$Q$2:$Q$492,0)),"")</f>
        <v>19</v>
      </c>
      <c r="L64" s="5" t="str">
        <f>IFERROR(INDEX('Output Utente'!$E$2:$E$492,MATCH(61,'Output Utente'!$Q$2:$Q$492,0)),"")</f>
        <v>NO</v>
      </c>
      <c r="M64" s="5" t="str">
        <f>IFERROR(INDEX('Output Utente'!$U$2:$U$492,MATCH(61,'Output Utente'!$Q$2:$Q$492,0)),"")</f>
        <v>OK</v>
      </c>
      <c r="N64" s="5" t="str">
        <f>IFERROR(INDEX('Output Utente'!$AE$2:$AE$492,MATCH(61,'Output Utente'!$Q$2:$Q$492,0)),"")</f>
        <v>🔴 Non aspettare</v>
      </c>
    </row>
    <row r="65" spans="1:14" ht="15" customHeight="1" x14ac:dyDescent="0.25">
      <c r="A65" s="41">
        <v>62</v>
      </c>
      <c r="B65" s="5">
        <f>IFERROR(INDEX('Output Utente'!$A$2:$A$492,MATCH(62,'Output Utente'!$Q$2:$Q$492,0)),"")</f>
        <v>2296</v>
      </c>
      <c r="C65" s="5" t="str">
        <f>IFERROR(INDEX('Output Utente'!$B$2:$B$492,MATCH(62,'Output Utente'!$Q$2:$Q$492,0)),"")</f>
        <v>D</v>
      </c>
      <c r="D65" s="5" t="str">
        <f>IFERROR(INDEX('Output Utente'!$C$2:$C$492,MATCH(62,'Output Utente'!$Q$2:$Q$492,0)),"")</f>
        <v>Mancini</v>
      </c>
      <c r="E65" s="5" t="str">
        <f>IFERROR(INDEX('Input Giocatori 2026_27'!$D$3:$D$493,MATCH($B65,'Input Giocatori 2026_27'!$A$3:$A$493,0)),"")</f>
        <v>Roma</v>
      </c>
      <c r="F65" s="42">
        <f>IFERROR(INDEX('Output Utente'!$N$2:$N$492,MATCH(62,'Output Utente'!$Q$2:$Q$492,0)),"")</f>
        <v>15</v>
      </c>
      <c r="G65" s="42">
        <f>IFERROR(INDEX('Output Utente'!$O$2:$O$492,MATCH(62,'Output Utente'!$Q$2:$Q$492,0)),"")</f>
        <v>49</v>
      </c>
      <c r="H65" s="5" t="str">
        <f>IFERROR(INDEX('Output Utente'!$P$2:$P$492,MATCH(62,'Output Utente'!$Q$2:$Q$492,0)),"")</f>
        <v>Top</v>
      </c>
      <c r="I65" s="42">
        <f>IFERROR(INDEX('Output Utente'!$F$2:$F$492,MATCH(62,'Output Utente'!$Q$2:$Q$492,0)),"")</f>
        <v>34</v>
      </c>
      <c r="J65" s="42">
        <f>IFERROR(INDEX('Output Utente'!$G$2:$G$492,MATCH(62,'Output Utente'!$Q$2:$Q$492,0)),"")</f>
        <v>25</v>
      </c>
      <c r="K65" s="42">
        <f>IFERROR(INDEX('Output Utente'!$H$2:$H$492,MATCH(62,'Output Utente'!$Q$2:$Q$492,0)),"")</f>
        <v>38</v>
      </c>
      <c r="L65" s="5" t="str">
        <f>IFERROR(INDEX('Output Utente'!$E$2:$E$492,MATCH(62,'Output Utente'!$Q$2:$Q$492,0)),"")</f>
        <v>NO</v>
      </c>
      <c r="M65" s="5" t="str">
        <f>IFERROR(INDEX('Output Utente'!$U$2:$U$492,MATCH(62,'Output Utente'!$Q$2:$Q$492,0)),"")</f>
        <v>OK</v>
      </c>
      <c r="N65" s="5" t="str">
        <f>IFERROR(INDEX('Output Utente'!$AE$2:$AE$492,MATCH(62,'Output Utente'!$Q$2:$Q$492,0)),"")</f>
        <v>🔴 Non aspettare</v>
      </c>
    </row>
    <row r="66" spans="1:14" ht="15" customHeight="1" x14ac:dyDescent="0.25">
      <c r="A66" s="41">
        <v>63</v>
      </c>
      <c r="B66" s="5">
        <f>IFERROR(INDEX('Output Utente'!$A$2:$A$492,MATCH(63,'Output Utente'!$Q$2:$Q$492,0)),"")</f>
        <v>5022</v>
      </c>
      <c r="C66" s="5" t="str">
        <f>IFERROR(INDEX('Output Utente'!$B$2:$B$492,MATCH(63,'Output Utente'!$Q$2:$Q$492,0)),"")</f>
        <v>D</v>
      </c>
      <c r="D66" s="5" t="str">
        <f>IFERROR(INDEX('Output Utente'!$C$2:$C$492,MATCH(63,'Output Utente'!$Q$2:$Q$492,0)),"")</f>
        <v>Pavlovic</v>
      </c>
      <c r="E66" s="5" t="str">
        <f>IFERROR(INDEX('Input Giocatori 2026_27'!$D$3:$D$493,MATCH($B66,'Input Giocatori 2026_27'!$A$3:$A$493,0)),"")</f>
        <v>Milan</v>
      </c>
      <c r="F66" s="42">
        <f>IFERROR(INDEX('Output Utente'!$N$2:$N$492,MATCH(63,'Output Utente'!$Q$2:$Q$492,0)),"")</f>
        <v>14</v>
      </c>
      <c r="G66" s="42">
        <f>IFERROR(INDEX('Output Utente'!$O$2:$O$492,MATCH(63,'Output Utente'!$Q$2:$Q$492,0)),"")</f>
        <v>48</v>
      </c>
      <c r="H66" s="5" t="str">
        <f>IFERROR(INDEX('Output Utente'!$P$2:$P$492,MATCH(63,'Output Utente'!$Q$2:$Q$492,0)),"")</f>
        <v>Top</v>
      </c>
      <c r="I66" s="42">
        <f>IFERROR(INDEX('Output Utente'!$F$2:$F$492,MATCH(63,'Output Utente'!$Q$2:$Q$492,0)),"")</f>
        <v>33</v>
      </c>
      <c r="J66" s="42">
        <f>IFERROR(INDEX('Output Utente'!$G$2:$G$492,MATCH(63,'Output Utente'!$Q$2:$Q$492,0)),"")</f>
        <v>25</v>
      </c>
      <c r="K66" s="42">
        <f>IFERROR(INDEX('Output Utente'!$H$2:$H$492,MATCH(63,'Output Utente'!$Q$2:$Q$492,0)),"")</f>
        <v>37</v>
      </c>
      <c r="L66" s="5" t="str">
        <f>IFERROR(INDEX('Output Utente'!$E$2:$E$492,MATCH(63,'Output Utente'!$Q$2:$Q$492,0)),"")</f>
        <v>NO</v>
      </c>
      <c r="M66" s="5" t="str">
        <f>IFERROR(INDEX('Output Utente'!$U$2:$U$492,MATCH(63,'Output Utente'!$Q$2:$Q$492,0)),"")</f>
        <v>OK</v>
      </c>
      <c r="N66" s="5" t="str">
        <f>IFERROR(INDEX('Output Utente'!$AE$2:$AE$492,MATCH(63,'Output Utente'!$Q$2:$Q$492,0)),"")</f>
        <v>🔴 Non aspettare</v>
      </c>
    </row>
    <row r="67" spans="1:14" ht="15" customHeight="1" x14ac:dyDescent="0.25">
      <c r="A67" s="41">
        <v>64</v>
      </c>
      <c r="B67" s="5">
        <f>IFERROR(INDEX('Output Utente'!$A$2:$A$492,MATCH(64,'Output Utente'!$Q$2:$Q$492,0)),"")</f>
        <v>4409</v>
      </c>
      <c r="C67" s="5" t="str">
        <f>IFERROR(INDEX('Output Utente'!$B$2:$B$492,MATCH(64,'Output Utente'!$Q$2:$Q$492,0)),"")</f>
        <v>D</v>
      </c>
      <c r="D67" s="5" t="str">
        <f>IFERROR(INDEX('Output Utente'!$C$2:$C$492,MATCH(64,'Output Utente'!$Q$2:$Q$492,0)),"")</f>
        <v>Rrahmani</v>
      </c>
      <c r="E67" s="5" t="str">
        <f>IFERROR(INDEX('Input Giocatori 2026_27'!$D$3:$D$493,MATCH($B67,'Input Giocatori 2026_27'!$A$3:$A$493,0)),"")</f>
        <v>Napoli</v>
      </c>
      <c r="F67" s="42">
        <f>IFERROR(INDEX('Output Utente'!$N$2:$N$492,MATCH(64,'Output Utente'!$Q$2:$Q$492,0)),"")</f>
        <v>14</v>
      </c>
      <c r="G67" s="42">
        <f>IFERROR(INDEX('Output Utente'!$O$2:$O$492,MATCH(64,'Output Utente'!$Q$2:$Q$492,0)),"")</f>
        <v>47</v>
      </c>
      <c r="H67" s="5" t="str">
        <f>IFERROR(INDEX('Output Utente'!$P$2:$P$492,MATCH(64,'Output Utente'!$Q$2:$Q$492,0)),"")</f>
        <v>Top</v>
      </c>
      <c r="I67" s="42">
        <f>IFERROR(INDEX('Output Utente'!$F$2:$F$492,MATCH(64,'Output Utente'!$Q$2:$Q$492,0)),"")</f>
        <v>32</v>
      </c>
      <c r="J67" s="42">
        <f>IFERROR(INDEX('Output Utente'!$G$2:$G$492,MATCH(64,'Output Utente'!$Q$2:$Q$492,0)),"")</f>
        <v>24</v>
      </c>
      <c r="K67" s="42">
        <f>IFERROR(INDEX('Output Utente'!$H$2:$H$492,MATCH(64,'Output Utente'!$Q$2:$Q$492,0)),"")</f>
        <v>36</v>
      </c>
      <c r="L67" s="5" t="str">
        <f>IFERROR(INDEX('Output Utente'!$E$2:$E$492,MATCH(64,'Output Utente'!$Q$2:$Q$492,0)),"")</f>
        <v>NO</v>
      </c>
      <c r="M67" s="5" t="str">
        <f>IFERROR(INDEX('Output Utente'!$U$2:$U$492,MATCH(64,'Output Utente'!$Q$2:$Q$492,0)),"")</f>
        <v>OK</v>
      </c>
      <c r="N67" s="5" t="str">
        <f>IFERROR(INDEX('Output Utente'!$AE$2:$AE$492,MATCH(64,'Output Utente'!$Q$2:$Q$492,0)),"")</f>
        <v>🔴 Non aspettare</v>
      </c>
    </row>
    <row r="68" spans="1:14" ht="15" customHeight="1" x14ac:dyDescent="0.25">
      <c r="A68" s="41">
        <v>65</v>
      </c>
      <c r="B68" s="5">
        <f>IFERROR(INDEX('Output Utente'!$A$2:$A$492,MATCH(65,'Output Utente'!$Q$2:$Q$492,0)),"")</f>
        <v>536</v>
      </c>
      <c r="C68" s="5" t="str">
        <f>IFERROR(INDEX('Output Utente'!$B$2:$B$492,MATCH(65,'Output Utente'!$Q$2:$Q$492,0)),"")</f>
        <v>C</v>
      </c>
      <c r="D68" s="5" t="str">
        <f>IFERROR(INDEX('Output Utente'!$C$2:$C$492,MATCH(65,'Output Utente'!$Q$2:$Q$492,0)),"")</f>
        <v>Politano</v>
      </c>
      <c r="E68" s="5" t="str">
        <f>IFERROR(INDEX('Input Giocatori 2026_27'!$D$3:$D$493,MATCH($B68,'Input Giocatori 2026_27'!$A$3:$A$493,0)),"")</f>
        <v>Napoli</v>
      </c>
      <c r="F68" s="42">
        <f>IFERROR(INDEX('Output Utente'!$N$2:$N$492,MATCH(65,'Output Utente'!$Q$2:$Q$492,0)),"")</f>
        <v>10</v>
      </c>
      <c r="G68" s="42">
        <f>IFERROR(INDEX('Output Utente'!$O$2:$O$492,MATCH(65,'Output Utente'!$Q$2:$Q$492,0)),"")</f>
        <v>47</v>
      </c>
      <c r="H68" s="5" t="str">
        <f>IFERROR(INDEX('Output Utente'!$P$2:$P$492,MATCH(65,'Output Utente'!$Q$2:$Q$492,0)),"")</f>
        <v>Buono</v>
      </c>
      <c r="I68" s="42">
        <f>IFERROR(INDEX('Output Utente'!$F$2:$F$492,MATCH(65,'Output Utente'!$Q$2:$Q$492,0)),"")</f>
        <v>31</v>
      </c>
      <c r="J68" s="42">
        <f>IFERROR(INDEX('Output Utente'!$G$2:$G$492,MATCH(65,'Output Utente'!$Q$2:$Q$492,0)),"")</f>
        <v>21</v>
      </c>
      <c r="K68" s="42">
        <f>IFERROR(INDEX('Output Utente'!$H$2:$H$492,MATCH(65,'Output Utente'!$Q$2:$Q$492,0)),"")</f>
        <v>35</v>
      </c>
      <c r="L68" s="5" t="str">
        <f>IFERROR(INDEX('Output Utente'!$E$2:$E$492,MATCH(65,'Output Utente'!$Q$2:$Q$492,0)),"")</f>
        <v>NO</v>
      </c>
      <c r="M68" s="5" t="str">
        <f>IFERROR(INDEX('Output Utente'!$U$2:$U$492,MATCH(65,'Output Utente'!$Q$2:$Q$492,0)),"")</f>
        <v>OK</v>
      </c>
      <c r="N68" s="5" t="str">
        <f>IFERROR(INDEX('Output Utente'!$AE$2:$AE$492,MATCH(65,'Output Utente'!$Q$2:$Q$492,0)),"")</f>
        <v>🔴 Non aspettare</v>
      </c>
    </row>
    <row r="69" spans="1:14" ht="15" customHeight="1" x14ac:dyDescent="0.25">
      <c r="A69" s="41">
        <v>66</v>
      </c>
      <c r="B69" s="5">
        <f>IFERROR(INDEX('Output Utente'!$A$2:$A$492,MATCH(66,'Output Utente'!$Q$2:$Q$492,0)),"")</f>
        <v>4976</v>
      </c>
      <c r="C69" s="5" t="str">
        <f>IFERROR(INDEX('Output Utente'!$B$2:$B$492,MATCH(66,'Output Utente'!$Q$2:$Q$492,0)),"")</f>
        <v>D</v>
      </c>
      <c r="D69" s="5" t="str">
        <f>IFERROR(INDEX('Output Utente'!$C$2:$C$492,MATCH(66,'Output Utente'!$Q$2:$Q$492,0)),"")</f>
        <v>Kalulu</v>
      </c>
      <c r="E69" s="5" t="str">
        <f>IFERROR(INDEX('Input Giocatori 2026_27'!$D$3:$D$493,MATCH($B69,'Input Giocatori 2026_27'!$A$3:$A$493,0)),"")</f>
        <v>Juventus</v>
      </c>
      <c r="F69" s="42">
        <f>IFERROR(INDEX('Output Utente'!$N$2:$N$492,MATCH(66,'Output Utente'!$Q$2:$Q$492,0)),"")</f>
        <v>13</v>
      </c>
      <c r="G69" s="42">
        <f>IFERROR(INDEX('Output Utente'!$O$2:$O$492,MATCH(66,'Output Utente'!$Q$2:$Q$492,0)),"")</f>
        <v>46</v>
      </c>
      <c r="H69" s="5" t="str">
        <f>IFERROR(INDEX('Output Utente'!$P$2:$P$492,MATCH(66,'Output Utente'!$Q$2:$Q$492,0)),"")</f>
        <v>Top</v>
      </c>
      <c r="I69" s="42">
        <f>IFERROR(INDEX('Output Utente'!$F$2:$F$492,MATCH(66,'Output Utente'!$Q$2:$Q$492,0)),"")</f>
        <v>31</v>
      </c>
      <c r="J69" s="42">
        <f>IFERROR(INDEX('Output Utente'!$G$2:$G$492,MATCH(66,'Output Utente'!$Q$2:$Q$492,0)),"")</f>
        <v>23</v>
      </c>
      <c r="K69" s="42">
        <f>IFERROR(INDEX('Output Utente'!$H$2:$H$492,MATCH(66,'Output Utente'!$Q$2:$Q$492,0)),"")</f>
        <v>35</v>
      </c>
      <c r="L69" s="5" t="str">
        <f>IFERROR(INDEX('Output Utente'!$E$2:$E$492,MATCH(66,'Output Utente'!$Q$2:$Q$492,0)),"")</f>
        <v>NO</v>
      </c>
      <c r="M69" s="5" t="str">
        <f>IFERROR(INDEX('Output Utente'!$U$2:$U$492,MATCH(66,'Output Utente'!$Q$2:$Q$492,0)),"")</f>
        <v>OK</v>
      </c>
      <c r="N69" s="5" t="str">
        <f>IFERROR(INDEX('Output Utente'!$AE$2:$AE$492,MATCH(66,'Output Utente'!$Q$2:$Q$492,0)),"")</f>
        <v>🔴 Non aspettare</v>
      </c>
    </row>
    <row r="70" spans="1:14" ht="15" customHeight="1" x14ac:dyDescent="0.25">
      <c r="A70" s="41">
        <v>67</v>
      </c>
      <c r="B70" s="5">
        <f>IFERROR(INDEX('Output Utente'!$A$2:$A$492,MATCH(67,'Output Utente'!$Q$2:$Q$492,0)),"")</f>
        <v>6956</v>
      </c>
      <c r="C70" s="5" t="str">
        <f>IFERROR(INDEX('Output Utente'!$B$2:$B$492,MATCH(67,'Output Utente'!$Q$2:$Q$492,0)),"")</f>
        <v>D</v>
      </c>
      <c r="D70" s="5" t="str">
        <f>IFERROR(INDEX('Output Utente'!$C$2:$C$492,MATCH(67,'Output Utente'!$Q$2:$Q$492,0)),"")</f>
        <v>Solet</v>
      </c>
      <c r="E70" s="5" t="str">
        <f>IFERROR(INDEX('Input Giocatori 2026_27'!$D$3:$D$493,MATCH($B70,'Input Giocatori 2026_27'!$A$3:$A$493,0)),"")</f>
        <v>Udinese</v>
      </c>
      <c r="F70" s="42">
        <f>IFERROR(INDEX('Output Utente'!$N$2:$N$492,MATCH(67,'Output Utente'!$Q$2:$Q$492,0)),"")</f>
        <v>13</v>
      </c>
      <c r="G70" s="42">
        <f>IFERROR(INDEX('Output Utente'!$O$2:$O$492,MATCH(67,'Output Utente'!$Q$2:$Q$492,0)),"")</f>
        <v>46</v>
      </c>
      <c r="H70" s="5" t="str">
        <f>IFERROR(INDEX('Output Utente'!$P$2:$P$492,MATCH(67,'Output Utente'!$Q$2:$Q$492,0)),"")</f>
        <v>Top</v>
      </c>
      <c r="I70" s="42">
        <f>IFERROR(INDEX('Output Utente'!$F$2:$F$492,MATCH(67,'Output Utente'!$Q$2:$Q$492,0)),"")</f>
        <v>31</v>
      </c>
      <c r="J70" s="42">
        <f>IFERROR(INDEX('Output Utente'!$G$2:$G$492,MATCH(67,'Output Utente'!$Q$2:$Q$492,0)),"")</f>
        <v>23</v>
      </c>
      <c r="K70" s="42">
        <f>IFERROR(INDEX('Output Utente'!$H$2:$H$492,MATCH(67,'Output Utente'!$Q$2:$Q$492,0)),"")</f>
        <v>35</v>
      </c>
      <c r="L70" s="5" t="str">
        <f>IFERROR(INDEX('Output Utente'!$E$2:$E$492,MATCH(67,'Output Utente'!$Q$2:$Q$492,0)),"")</f>
        <v>NO</v>
      </c>
      <c r="M70" s="5" t="str">
        <f>IFERROR(INDEX('Output Utente'!$U$2:$U$492,MATCH(67,'Output Utente'!$Q$2:$Q$492,0)),"")</f>
        <v>OK</v>
      </c>
      <c r="N70" s="5" t="str">
        <f>IFERROR(INDEX('Output Utente'!$AE$2:$AE$492,MATCH(67,'Output Utente'!$Q$2:$Q$492,0)),"")</f>
        <v>🔴 Non aspettare</v>
      </c>
    </row>
    <row r="71" spans="1:14" ht="15" customHeight="1" x14ac:dyDescent="0.25">
      <c r="A71" s="41">
        <v>68</v>
      </c>
      <c r="B71" s="5">
        <f>IFERROR(INDEX('Output Utente'!$A$2:$A$492,MATCH(68,'Output Utente'!$Q$2:$Q$492,0)),"")</f>
        <v>2521</v>
      </c>
      <c r="C71" s="5" t="str">
        <f>IFERROR(INDEX('Output Utente'!$B$2:$B$492,MATCH(68,'Output Utente'!$Q$2:$Q$492,0)),"")</f>
        <v>P</v>
      </c>
      <c r="D71" s="5" t="str">
        <f>IFERROR(INDEX('Output Utente'!$C$2:$C$492,MATCH(68,'Output Utente'!$Q$2:$Q$492,0)),"")</f>
        <v>De Gea</v>
      </c>
      <c r="E71" s="5" t="str">
        <f>IFERROR(INDEX('Input Giocatori 2026_27'!$D$3:$D$493,MATCH($B71,'Input Giocatori 2026_27'!$A$3:$A$493,0)),"")</f>
        <v>Fiorentina</v>
      </c>
      <c r="F71" s="42">
        <f>IFERROR(INDEX('Output Utente'!$N$2:$N$492,MATCH(68,'Output Utente'!$Q$2:$Q$492,0)),"")</f>
        <v>13</v>
      </c>
      <c r="G71" s="42">
        <f>IFERROR(INDEX('Output Utente'!$O$2:$O$492,MATCH(68,'Output Utente'!$Q$2:$Q$492,0)),"")</f>
        <v>45</v>
      </c>
      <c r="H71" s="5" t="str">
        <f>IFERROR(INDEX('Output Utente'!$P$2:$P$492,MATCH(68,'Output Utente'!$Q$2:$Q$492,0)),"")</f>
        <v>Top</v>
      </c>
      <c r="I71" s="42">
        <f>IFERROR(INDEX('Output Utente'!$F$2:$F$492,MATCH(68,'Output Utente'!$Q$2:$Q$492,0)),"")</f>
        <v>75</v>
      </c>
      <c r="J71" s="42">
        <f>IFERROR(INDEX('Output Utente'!$G$2:$G$492,MATCH(68,'Output Utente'!$Q$2:$Q$492,0)),"")</f>
        <v>60</v>
      </c>
      <c r="K71" s="42">
        <f>IFERROR(INDEX('Output Utente'!$H$2:$H$492,MATCH(68,'Output Utente'!$Q$2:$Q$492,0)),"")</f>
        <v>81</v>
      </c>
      <c r="L71" s="5" t="str">
        <f>IFERROR(INDEX('Output Utente'!$E$2:$E$492,MATCH(68,'Output Utente'!$Q$2:$Q$492,0)),"")</f>
        <v>NO</v>
      </c>
      <c r="M71" s="5" t="str">
        <f>IFERROR(INDEX('Output Utente'!$U$2:$U$492,MATCH(68,'Output Utente'!$Q$2:$Q$492,0)),"")</f>
        <v>Attenzione</v>
      </c>
      <c r="N71" s="5" t="str">
        <f>IFERROR(INDEX('Output Utente'!$AE$2:$AE$492,MATCH(68,'Output Utente'!$Q$2:$Q$492,0)),"")</f>
        <v>🔴 Non aspettare</v>
      </c>
    </row>
    <row r="72" spans="1:14" ht="15" customHeight="1" x14ac:dyDescent="0.25">
      <c r="A72" s="41">
        <v>69</v>
      </c>
      <c r="B72" s="5">
        <f>IFERROR(INDEX('Output Utente'!$A$2:$A$492,MATCH(69,'Output Utente'!$Q$2:$Q$492,0)),"")</f>
        <v>572</v>
      </c>
      <c r="C72" s="5" t="str">
        <f>IFERROR(INDEX('Output Utente'!$B$2:$B$492,MATCH(69,'Output Utente'!$Q$2:$Q$492,0)),"")</f>
        <v>P</v>
      </c>
      <c r="D72" s="5" t="str">
        <f>IFERROR(INDEX('Output Utente'!$C$2:$C$492,MATCH(69,'Output Utente'!$Q$2:$Q$492,0)),"")</f>
        <v>Meret</v>
      </c>
      <c r="E72" s="5" t="str">
        <f>IFERROR(INDEX('Input Giocatori 2026_27'!$D$3:$D$493,MATCH($B72,'Input Giocatori 2026_27'!$A$3:$A$493,0)),"")</f>
        <v>Napoli</v>
      </c>
      <c r="F72" s="42">
        <f>IFERROR(INDEX('Output Utente'!$N$2:$N$492,MATCH(69,'Output Utente'!$Q$2:$Q$492,0)),"")</f>
        <v>11</v>
      </c>
      <c r="G72" s="42">
        <f>IFERROR(INDEX('Output Utente'!$O$2:$O$492,MATCH(69,'Output Utente'!$Q$2:$Q$492,0)),"")</f>
        <v>45</v>
      </c>
      <c r="H72" s="5" t="str">
        <f>IFERROR(INDEX('Output Utente'!$P$2:$P$492,MATCH(69,'Output Utente'!$Q$2:$Q$492,0)),"")</f>
        <v>Top</v>
      </c>
      <c r="I72" s="42">
        <f>IFERROR(INDEX('Output Utente'!$F$2:$F$492,MATCH(69,'Output Utente'!$Q$2:$Q$492,0)),"")</f>
        <v>75</v>
      </c>
      <c r="J72" s="42">
        <f>IFERROR(INDEX('Output Utente'!$G$2:$G$492,MATCH(69,'Output Utente'!$Q$2:$Q$492,0)),"")</f>
        <v>60</v>
      </c>
      <c r="K72" s="42">
        <f>IFERROR(INDEX('Output Utente'!$H$2:$H$492,MATCH(69,'Output Utente'!$Q$2:$Q$492,0)),"")</f>
        <v>82</v>
      </c>
      <c r="L72" s="5" t="str">
        <f>IFERROR(INDEX('Output Utente'!$E$2:$E$492,MATCH(69,'Output Utente'!$Q$2:$Q$492,0)),"")</f>
        <v>NO</v>
      </c>
      <c r="M72" s="5" t="str">
        <f>IFERROR(INDEX('Output Utente'!$U$2:$U$492,MATCH(69,'Output Utente'!$Q$2:$Q$492,0)),"")</f>
        <v>Attenzione</v>
      </c>
      <c r="N72" s="5" t="str">
        <f>IFERROR(INDEX('Output Utente'!$AE$2:$AE$492,MATCH(69,'Output Utente'!$Q$2:$Q$492,0)),"")</f>
        <v>🔴 Non aspettare</v>
      </c>
    </row>
    <row r="73" spans="1:14" ht="15" customHeight="1" x14ac:dyDescent="0.25">
      <c r="A73" s="41">
        <v>70</v>
      </c>
      <c r="B73" s="5">
        <f>IFERROR(INDEX('Output Utente'!$A$2:$A$492,MATCH(70,'Output Utente'!$Q$2:$Q$492,0)),"")</f>
        <v>5792</v>
      </c>
      <c r="C73" s="5" t="str">
        <f>IFERROR(INDEX('Output Utente'!$B$2:$B$492,MATCH(70,'Output Utente'!$Q$2:$Q$492,0)),"")</f>
        <v>C</v>
      </c>
      <c r="D73" s="5" t="str">
        <f>IFERROR(INDEX('Output Utente'!$C$2:$C$492,MATCH(70,'Output Utente'!$Q$2:$Q$492,0)),"")</f>
        <v>Ederson D.S.</v>
      </c>
      <c r="E73" s="5" t="str">
        <f>IFERROR(INDEX('Input Giocatori 2026_27'!$D$3:$D$493,MATCH($B73,'Input Giocatori 2026_27'!$A$3:$A$493,0)),"")</f>
        <v>Atalanta</v>
      </c>
      <c r="F73" s="42">
        <f>IFERROR(INDEX('Output Utente'!$N$2:$N$492,MATCH(70,'Output Utente'!$Q$2:$Q$492,0)),"")</f>
        <v>12</v>
      </c>
      <c r="G73" s="42">
        <f>IFERROR(INDEX('Output Utente'!$O$2:$O$492,MATCH(70,'Output Utente'!$Q$2:$Q$492,0)),"")</f>
        <v>45</v>
      </c>
      <c r="H73" s="5" t="str">
        <f>IFERROR(INDEX('Output Utente'!$P$2:$P$492,MATCH(70,'Output Utente'!$Q$2:$Q$492,0)),"")</f>
        <v>Buono</v>
      </c>
      <c r="I73" s="42">
        <f>IFERROR(INDEX('Output Utente'!$F$2:$F$492,MATCH(70,'Output Utente'!$Q$2:$Q$492,0)),"")</f>
        <v>30</v>
      </c>
      <c r="J73" s="42">
        <f>IFERROR(INDEX('Output Utente'!$G$2:$G$492,MATCH(70,'Output Utente'!$Q$2:$Q$492,0)),"")</f>
        <v>20</v>
      </c>
      <c r="K73" s="42">
        <f>IFERROR(INDEX('Output Utente'!$H$2:$H$492,MATCH(70,'Output Utente'!$Q$2:$Q$492,0)),"")</f>
        <v>34</v>
      </c>
      <c r="L73" s="5" t="str">
        <f>IFERROR(INDEX('Output Utente'!$E$2:$E$492,MATCH(70,'Output Utente'!$Q$2:$Q$492,0)),"")</f>
        <v>NO</v>
      </c>
      <c r="M73" s="5" t="str">
        <f>IFERROR(INDEX('Output Utente'!$U$2:$U$492,MATCH(70,'Output Utente'!$Q$2:$Q$492,0)),"")</f>
        <v>OK</v>
      </c>
      <c r="N73" s="5" t="str">
        <f>IFERROR(INDEX('Output Utente'!$AE$2:$AE$492,MATCH(70,'Output Utente'!$Q$2:$Q$492,0)),"")</f>
        <v>🔴 Non aspettare</v>
      </c>
    </row>
    <row r="74" spans="1:14" ht="15" customHeight="1" x14ac:dyDescent="0.25">
      <c r="A74" s="41">
        <v>71</v>
      </c>
      <c r="B74" s="5">
        <f>IFERROR(INDEX('Output Utente'!$A$2:$A$492,MATCH(71,'Output Utente'!$Q$2:$Q$492,0)),"")</f>
        <v>2531</v>
      </c>
      <c r="C74" s="5" t="str">
        <f>IFERROR(INDEX('Output Utente'!$B$2:$B$492,MATCH(71,'Output Utente'!$Q$2:$Q$492,0)),"")</f>
        <v>A</v>
      </c>
      <c r="D74" s="5" t="str">
        <f>IFERROR(INDEX('Output Utente'!$C$2:$C$492,MATCH(71,'Output Utente'!$Q$2:$Q$492,0)),"")</f>
        <v>Lukaku</v>
      </c>
      <c r="E74" s="5" t="str">
        <f>IFERROR(INDEX('Input Giocatori 2026_27'!$D$3:$D$493,MATCH($B74,'Input Giocatori 2026_27'!$A$3:$A$493,0)),"")</f>
        <v>Napoli</v>
      </c>
      <c r="F74" s="42">
        <f>IFERROR(INDEX('Output Utente'!$N$2:$N$492,MATCH(71,'Output Utente'!$Q$2:$Q$492,0)),"")</f>
        <v>10</v>
      </c>
      <c r="G74" s="42">
        <f>IFERROR(INDEX('Output Utente'!$O$2:$O$492,MATCH(71,'Output Utente'!$Q$2:$Q$492,0)),"")</f>
        <v>45</v>
      </c>
      <c r="H74" s="5" t="str">
        <f>IFERROR(INDEX('Output Utente'!$P$2:$P$492,MATCH(71,'Output Utente'!$Q$2:$Q$492,0)),"")</f>
        <v>Nella Media</v>
      </c>
      <c r="I74" s="42">
        <f>IFERROR(INDEX('Output Utente'!$F$2:$F$492,MATCH(71,'Output Utente'!$Q$2:$Q$492,0)),"")</f>
        <v>16</v>
      </c>
      <c r="J74" s="42">
        <f>IFERROR(INDEX('Output Utente'!$G$2:$G$492,MATCH(71,'Output Utente'!$Q$2:$Q$492,0)),"")</f>
        <v>10</v>
      </c>
      <c r="K74" s="42">
        <f>IFERROR(INDEX('Output Utente'!$H$2:$H$492,MATCH(71,'Output Utente'!$Q$2:$Q$492,0)),"")</f>
        <v>18</v>
      </c>
      <c r="L74" s="5" t="str">
        <f>IFERROR(INDEX('Output Utente'!$E$2:$E$492,MATCH(71,'Output Utente'!$Q$2:$Q$492,0)),"")</f>
        <v>NO</v>
      </c>
      <c r="M74" s="5" t="str">
        <f>IFERROR(INDEX('Output Utente'!$U$2:$U$492,MATCH(71,'Output Utente'!$Q$2:$Q$492,0)),"")</f>
        <v>OK</v>
      </c>
      <c r="N74" s="5" t="str">
        <f>IFERROR(INDEX('Output Utente'!$AE$2:$AE$492,MATCH(71,'Output Utente'!$Q$2:$Q$492,0)),"")</f>
        <v>🔴 Non aspettare</v>
      </c>
    </row>
    <row r="75" spans="1:14" ht="15" customHeight="1" x14ac:dyDescent="0.25">
      <c r="A75" s="41">
        <v>72</v>
      </c>
      <c r="B75" s="5">
        <f>IFERROR(INDEX('Output Utente'!$A$2:$A$492,MATCH(72,'Output Utente'!$Q$2:$Q$492,0)),"")</f>
        <v>2120</v>
      </c>
      <c r="C75" s="5" t="str">
        <f>IFERROR(INDEX('Output Utente'!$B$2:$B$492,MATCH(72,'Output Utente'!$Q$2:$Q$492,0)),"")</f>
        <v>D</v>
      </c>
      <c r="D75" s="5" t="str">
        <f>IFERROR(INDEX('Output Utente'!$C$2:$C$492,MATCH(72,'Output Utente'!$Q$2:$Q$492,0)),"")</f>
        <v>Bastoni</v>
      </c>
      <c r="E75" s="5" t="str">
        <f>IFERROR(INDEX('Input Giocatori 2026_27'!$D$3:$D$493,MATCH($B75,'Input Giocatori 2026_27'!$A$3:$A$493,0)),"")</f>
        <v>Inter</v>
      </c>
      <c r="F75" s="42">
        <f>IFERROR(INDEX('Output Utente'!$N$2:$N$492,MATCH(72,'Output Utente'!$Q$2:$Q$492,0)),"")</f>
        <v>14</v>
      </c>
      <c r="G75" s="42">
        <f>IFERROR(INDEX('Output Utente'!$O$2:$O$492,MATCH(72,'Output Utente'!$Q$2:$Q$492,0)),"")</f>
        <v>44</v>
      </c>
      <c r="H75" s="5" t="str">
        <f>IFERROR(INDEX('Output Utente'!$P$2:$P$492,MATCH(72,'Output Utente'!$Q$2:$Q$492,0)),"")</f>
        <v>Top</v>
      </c>
      <c r="I75" s="42">
        <f>IFERROR(INDEX('Output Utente'!$F$2:$F$492,MATCH(72,'Output Utente'!$Q$2:$Q$492,0)),"")</f>
        <v>30</v>
      </c>
      <c r="J75" s="42">
        <f>IFERROR(INDEX('Output Utente'!$G$2:$G$492,MATCH(72,'Output Utente'!$Q$2:$Q$492,0)),"")</f>
        <v>22</v>
      </c>
      <c r="K75" s="42">
        <f>IFERROR(INDEX('Output Utente'!$H$2:$H$492,MATCH(72,'Output Utente'!$Q$2:$Q$492,0)),"")</f>
        <v>34</v>
      </c>
      <c r="L75" s="5" t="str">
        <f>IFERROR(INDEX('Output Utente'!$E$2:$E$492,MATCH(72,'Output Utente'!$Q$2:$Q$492,0)),"")</f>
        <v>NO</v>
      </c>
      <c r="M75" s="5" t="str">
        <f>IFERROR(INDEX('Output Utente'!$U$2:$U$492,MATCH(72,'Output Utente'!$Q$2:$Q$492,0)),"")</f>
        <v>OK</v>
      </c>
      <c r="N75" s="5" t="str">
        <f>IFERROR(INDEX('Output Utente'!$AE$2:$AE$492,MATCH(72,'Output Utente'!$Q$2:$Q$492,0)),"")</f>
        <v>🔴 Non aspettare</v>
      </c>
    </row>
    <row r="76" spans="1:14" ht="15" customHeight="1" x14ac:dyDescent="0.25">
      <c r="A76" s="41">
        <v>73</v>
      </c>
      <c r="B76" s="5">
        <f>IFERROR(INDEX('Output Utente'!$A$2:$A$492,MATCH(73,'Output Utente'!$Q$2:$Q$492,0)),"")</f>
        <v>4317</v>
      </c>
      <c r="C76" s="5" t="str">
        <f>IFERROR(INDEX('Output Utente'!$B$2:$B$492,MATCH(73,'Output Utente'!$Q$2:$Q$492,0)),"")</f>
        <v>D</v>
      </c>
      <c r="D76" s="5" t="str">
        <f>IFERROR(INDEX('Output Utente'!$C$2:$C$492,MATCH(73,'Output Utente'!$Q$2:$Q$492,0)),"")</f>
        <v>N'Dicka</v>
      </c>
      <c r="E76" s="5" t="str">
        <f>IFERROR(INDEX('Input Giocatori 2026_27'!$D$3:$D$493,MATCH($B76,'Input Giocatori 2026_27'!$A$3:$A$493,0)),"")</f>
        <v>Roma</v>
      </c>
      <c r="F76" s="42">
        <f>IFERROR(INDEX('Output Utente'!$N$2:$N$492,MATCH(73,'Output Utente'!$Q$2:$Q$492,0)),"")</f>
        <v>13</v>
      </c>
      <c r="G76" s="42">
        <f>IFERROR(INDEX('Output Utente'!$O$2:$O$492,MATCH(73,'Output Utente'!$Q$2:$Q$492,0)),"")</f>
        <v>44</v>
      </c>
      <c r="H76" s="5" t="str">
        <f>IFERROR(INDEX('Output Utente'!$P$2:$P$492,MATCH(73,'Output Utente'!$Q$2:$Q$492,0)),"")</f>
        <v>Top</v>
      </c>
      <c r="I76" s="42">
        <f>IFERROR(INDEX('Output Utente'!$F$2:$F$492,MATCH(73,'Output Utente'!$Q$2:$Q$492,0)),"")</f>
        <v>30</v>
      </c>
      <c r="J76" s="42">
        <f>IFERROR(INDEX('Output Utente'!$G$2:$G$492,MATCH(73,'Output Utente'!$Q$2:$Q$492,0)),"")</f>
        <v>22</v>
      </c>
      <c r="K76" s="42">
        <f>IFERROR(INDEX('Output Utente'!$H$2:$H$492,MATCH(73,'Output Utente'!$Q$2:$Q$492,0)),"")</f>
        <v>34</v>
      </c>
      <c r="L76" s="5" t="str">
        <f>IFERROR(INDEX('Output Utente'!$E$2:$E$492,MATCH(73,'Output Utente'!$Q$2:$Q$492,0)),"")</f>
        <v>NO</v>
      </c>
      <c r="M76" s="5" t="str">
        <f>IFERROR(INDEX('Output Utente'!$U$2:$U$492,MATCH(73,'Output Utente'!$Q$2:$Q$492,0)),"")</f>
        <v>OK</v>
      </c>
      <c r="N76" s="5" t="str">
        <f>IFERROR(INDEX('Output Utente'!$AE$2:$AE$492,MATCH(73,'Output Utente'!$Q$2:$Q$492,0)),"")</f>
        <v>🔴 Non aspettare</v>
      </c>
    </row>
    <row r="77" spans="1:14" ht="15" customHeight="1" x14ac:dyDescent="0.25">
      <c r="A77" s="41">
        <v>74</v>
      </c>
      <c r="B77" s="5">
        <f>IFERROR(INDEX('Output Utente'!$A$2:$A$492,MATCH(74,'Output Utente'!$Q$2:$Q$492,0)),"")</f>
        <v>4892</v>
      </c>
      <c r="C77" s="5" t="str">
        <f>IFERROR(INDEX('Output Utente'!$B$2:$B$492,MATCH(74,'Output Utente'!$Q$2:$Q$492,0)),"")</f>
        <v>C</v>
      </c>
      <c r="D77" s="5" t="str">
        <f>IFERROR(INDEX('Output Utente'!$C$2:$C$492,MATCH(74,'Output Utente'!$Q$2:$Q$492,0)),"")</f>
        <v>Saelemaekers</v>
      </c>
      <c r="E77" s="5" t="str">
        <f>IFERROR(INDEX('Input Giocatori 2026_27'!$D$3:$D$493,MATCH($B77,'Input Giocatori 2026_27'!$A$3:$A$493,0)),"")</f>
        <v>Milan</v>
      </c>
      <c r="F77" s="42">
        <f>IFERROR(INDEX('Output Utente'!$N$2:$N$492,MATCH(74,'Output Utente'!$Q$2:$Q$492,0)),"")</f>
        <v>10</v>
      </c>
      <c r="G77" s="42">
        <f>IFERROR(INDEX('Output Utente'!$O$2:$O$492,MATCH(74,'Output Utente'!$Q$2:$Q$492,0)),"")</f>
        <v>43</v>
      </c>
      <c r="H77" s="5" t="str">
        <f>IFERROR(INDEX('Output Utente'!$P$2:$P$492,MATCH(74,'Output Utente'!$Q$2:$Q$492,0)),"")</f>
        <v>Buono</v>
      </c>
      <c r="I77" s="42">
        <f>IFERROR(INDEX('Output Utente'!$F$2:$F$492,MATCH(74,'Output Utente'!$Q$2:$Q$492,0)),"")</f>
        <v>28</v>
      </c>
      <c r="J77" s="42">
        <f>IFERROR(INDEX('Output Utente'!$G$2:$G$492,MATCH(74,'Output Utente'!$Q$2:$Q$492,0)),"")</f>
        <v>19</v>
      </c>
      <c r="K77" s="42">
        <f>IFERROR(INDEX('Output Utente'!$H$2:$H$492,MATCH(74,'Output Utente'!$Q$2:$Q$492,0)),"")</f>
        <v>32</v>
      </c>
      <c r="L77" s="5" t="str">
        <f>IFERROR(INDEX('Output Utente'!$E$2:$E$492,MATCH(74,'Output Utente'!$Q$2:$Q$492,0)),"")</f>
        <v>NO</v>
      </c>
      <c r="M77" s="5" t="str">
        <f>IFERROR(INDEX('Output Utente'!$U$2:$U$492,MATCH(74,'Output Utente'!$Q$2:$Q$492,0)),"")</f>
        <v>OK</v>
      </c>
      <c r="N77" s="5" t="str">
        <f>IFERROR(INDEX('Output Utente'!$AE$2:$AE$492,MATCH(74,'Output Utente'!$Q$2:$Q$492,0)),"")</f>
        <v>🔴 Non aspettare</v>
      </c>
    </row>
    <row r="78" spans="1:14" ht="15" customHeight="1" x14ac:dyDescent="0.25">
      <c r="A78" s="41">
        <v>75</v>
      </c>
      <c r="B78" s="5">
        <f>IFERROR(INDEX('Output Utente'!$A$2:$A$492,MATCH(75,'Output Utente'!$Q$2:$Q$492,0)),"")</f>
        <v>5119</v>
      </c>
      <c r="C78" s="5" t="str">
        <f>IFERROR(INDEX('Output Utente'!$B$2:$B$492,MATCH(75,'Output Utente'!$Q$2:$Q$492,0)),"")</f>
        <v>C</v>
      </c>
      <c r="D78" s="5" t="str">
        <f>IFERROR(INDEX('Output Utente'!$C$2:$C$492,MATCH(75,'Output Utente'!$Q$2:$Q$492,0)),"")</f>
        <v>Samardzic</v>
      </c>
      <c r="E78" s="5" t="str">
        <f>IFERROR(INDEX('Input Giocatori 2026_27'!$D$3:$D$493,MATCH($B78,'Input Giocatori 2026_27'!$A$3:$A$493,0)),"")</f>
        <v>Atalanta</v>
      </c>
      <c r="F78" s="42">
        <f>IFERROR(INDEX('Output Utente'!$N$2:$N$492,MATCH(75,'Output Utente'!$Q$2:$Q$492,0)),"")</f>
        <v>12</v>
      </c>
      <c r="G78" s="42">
        <f>IFERROR(INDEX('Output Utente'!$O$2:$O$492,MATCH(75,'Output Utente'!$Q$2:$Q$492,0)),"")</f>
        <v>42</v>
      </c>
      <c r="H78" s="5" t="str">
        <f>IFERROR(INDEX('Output Utente'!$P$2:$P$492,MATCH(75,'Output Utente'!$Q$2:$Q$492,0)),"")</f>
        <v>Buono</v>
      </c>
      <c r="I78" s="42">
        <f>IFERROR(INDEX('Output Utente'!$F$2:$F$492,MATCH(75,'Output Utente'!$Q$2:$Q$492,0)),"")</f>
        <v>28</v>
      </c>
      <c r="J78" s="42">
        <f>IFERROR(INDEX('Output Utente'!$G$2:$G$492,MATCH(75,'Output Utente'!$Q$2:$Q$492,0)),"")</f>
        <v>19</v>
      </c>
      <c r="K78" s="42">
        <f>IFERROR(INDEX('Output Utente'!$H$2:$H$492,MATCH(75,'Output Utente'!$Q$2:$Q$492,0)),"")</f>
        <v>32</v>
      </c>
      <c r="L78" s="5" t="str">
        <f>IFERROR(INDEX('Output Utente'!$E$2:$E$492,MATCH(75,'Output Utente'!$Q$2:$Q$492,0)),"")</f>
        <v>NO</v>
      </c>
      <c r="M78" s="5" t="str">
        <f>IFERROR(INDEX('Output Utente'!$U$2:$U$492,MATCH(75,'Output Utente'!$Q$2:$Q$492,0)),"")</f>
        <v>OK</v>
      </c>
      <c r="N78" s="5" t="str">
        <f>IFERROR(INDEX('Output Utente'!$AE$2:$AE$492,MATCH(75,'Output Utente'!$Q$2:$Q$492,0)),"")</f>
        <v>🔴 Non aspettare</v>
      </c>
    </row>
    <row r="79" spans="1:14" ht="15" customHeight="1" x14ac:dyDescent="0.25">
      <c r="A79" s="41">
        <v>76</v>
      </c>
      <c r="B79" s="5">
        <f>IFERROR(INDEX('Output Utente'!$A$2:$A$492,MATCH(76,'Output Utente'!$Q$2:$Q$492,0)),"")</f>
        <v>5589</v>
      </c>
      <c r="C79" s="5" t="str">
        <f>IFERROR(INDEX('Output Utente'!$B$2:$B$492,MATCH(76,'Output Utente'!$Q$2:$Q$492,0)),"")</f>
        <v>C</v>
      </c>
      <c r="D79" s="5" t="str">
        <f>IFERROR(INDEX('Output Utente'!$C$2:$C$492,MATCH(76,'Output Utente'!$Q$2:$Q$492,0)),"")</f>
        <v>Konè M.</v>
      </c>
      <c r="E79" s="5" t="str">
        <f>IFERROR(INDEX('Input Giocatori 2026_27'!$D$3:$D$493,MATCH($B79,'Input Giocatori 2026_27'!$A$3:$A$493,0)),"")</f>
        <v>Roma</v>
      </c>
      <c r="F79" s="42">
        <f>IFERROR(INDEX('Output Utente'!$N$2:$N$492,MATCH(76,'Output Utente'!$Q$2:$Q$492,0)),"")</f>
        <v>10</v>
      </c>
      <c r="G79" s="42">
        <f>IFERROR(INDEX('Output Utente'!$O$2:$O$492,MATCH(76,'Output Utente'!$Q$2:$Q$492,0)),"")</f>
        <v>42</v>
      </c>
      <c r="H79" s="5" t="str">
        <f>IFERROR(INDEX('Output Utente'!$P$2:$P$492,MATCH(76,'Output Utente'!$Q$2:$Q$492,0)),"")</f>
        <v>Buono</v>
      </c>
      <c r="I79" s="42">
        <f>IFERROR(INDEX('Output Utente'!$F$2:$F$492,MATCH(76,'Output Utente'!$Q$2:$Q$492,0)),"")</f>
        <v>28</v>
      </c>
      <c r="J79" s="42">
        <f>IFERROR(INDEX('Output Utente'!$G$2:$G$492,MATCH(76,'Output Utente'!$Q$2:$Q$492,0)),"")</f>
        <v>19</v>
      </c>
      <c r="K79" s="42">
        <f>IFERROR(INDEX('Output Utente'!$H$2:$H$492,MATCH(76,'Output Utente'!$Q$2:$Q$492,0)),"")</f>
        <v>32</v>
      </c>
      <c r="L79" s="5" t="str">
        <f>IFERROR(INDEX('Output Utente'!$E$2:$E$492,MATCH(76,'Output Utente'!$Q$2:$Q$492,0)),"")</f>
        <v>NO</v>
      </c>
      <c r="M79" s="5" t="str">
        <f>IFERROR(INDEX('Output Utente'!$U$2:$U$492,MATCH(76,'Output Utente'!$Q$2:$Q$492,0)),"")</f>
        <v>OK</v>
      </c>
      <c r="N79" s="5" t="str">
        <f>IFERROR(INDEX('Output Utente'!$AE$2:$AE$492,MATCH(76,'Output Utente'!$Q$2:$Q$492,0)),"")</f>
        <v>🔴 Non aspettare</v>
      </c>
    </row>
    <row r="80" spans="1:14" ht="15" customHeight="1" x14ac:dyDescent="0.25">
      <c r="A80" s="41">
        <v>77</v>
      </c>
      <c r="B80" s="5">
        <f>IFERROR(INDEX('Output Utente'!$A$2:$A$492,MATCH(77,'Output Utente'!$Q$2:$Q$492,0)),"")</f>
        <v>152</v>
      </c>
      <c r="C80" s="5" t="str">
        <f>IFERROR(INDEX('Output Utente'!$B$2:$B$492,MATCH(77,'Output Utente'!$Q$2:$Q$492,0)),"")</f>
        <v>C</v>
      </c>
      <c r="D80" s="5" t="str">
        <f>IFERROR(INDEX('Output Utente'!$C$2:$C$492,MATCH(77,'Output Utente'!$Q$2:$Q$492,0)),"")</f>
        <v>Zielinski</v>
      </c>
      <c r="E80" s="5" t="str">
        <f>IFERROR(INDEX('Input Giocatori 2026_27'!$D$3:$D$493,MATCH($B80,'Input Giocatori 2026_27'!$A$3:$A$493,0)),"")</f>
        <v>Inter</v>
      </c>
      <c r="F80" s="42">
        <f>IFERROR(INDEX('Output Utente'!$N$2:$N$492,MATCH(77,'Output Utente'!$Q$2:$Q$492,0)),"")</f>
        <v>10</v>
      </c>
      <c r="G80" s="42">
        <f>IFERROR(INDEX('Output Utente'!$O$2:$O$492,MATCH(77,'Output Utente'!$Q$2:$Q$492,0)),"")</f>
        <v>41</v>
      </c>
      <c r="H80" s="5" t="str">
        <f>IFERROR(INDEX('Output Utente'!$P$2:$P$492,MATCH(77,'Output Utente'!$Q$2:$Q$492,0)),"")</f>
        <v>Buono</v>
      </c>
      <c r="I80" s="42">
        <f>IFERROR(INDEX('Output Utente'!$F$2:$F$492,MATCH(77,'Output Utente'!$Q$2:$Q$492,0)),"")</f>
        <v>27</v>
      </c>
      <c r="J80" s="42">
        <f>IFERROR(INDEX('Output Utente'!$G$2:$G$492,MATCH(77,'Output Utente'!$Q$2:$Q$492,0)),"")</f>
        <v>19</v>
      </c>
      <c r="K80" s="42">
        <f>IFERROR(INDEX('Output Utente'!$H$2:$H$492,MATCH(77,'Output Utente'!$Q$2:$Q$492,0)),"")</f>
        <v>31</v>
      </c>
      <c r="L80" s="5" t="str">
        <f>IFERROR(INDEX('Output Utente'!$E$2:$E$492,MATCH(77,'Output Utente'!$Q$2:$Q$492,0)),"")</f>
        <v>NO</v>
      </c>
      <c r="M80" s="5" t="str">
        <f>IFERROR(INDEX('Output Utente'!$U$2:$U$492,MATCH(77,'Output Utente'!$Q$2:$Q$492,0)),"")</f>
        <v>OK</v>
      </c>
      <c r="N80" s="5" t="str">
        <f>IFERROR(INDEX('Output Utente'!$AE$2:$AE$492,MATCH(77,'Output Utente'!$Q$2:$Q$492,0)),"")</f>
        <v>🔴 Non aspettare</v>
      </c>
    </row>
    <row r="81" spans="1:14" ht="15" customHeight="1" x14ac:dyDescent="0.25">
      <c r="A81" s="41">
        <v>78</v>
      </c>
      <c r="B81" s="5">
        <f>IFERROR(INDEX('Output Utente'!$A$2:$A$492,MATCH(78,'Output Utente'!$Q$2:$Q$492,0)),"")</f>
        <v>5562</v>
      </c>
      <c r="C81" s="5" t="str">
        <f>IFERROR(INDEX('Output Utente'!$B$2:$B$492,MATCH(78,'Output Utente'!$Q$2:$Q$492,0)),"")</f>
        <v>C</v>
      </c>
      <c r="D81" s="5" t="str">
        <f>IFERROR(INDEX('Output Utente'!$C$2:$C$492,MATCH(78,'Output Utente'!$Q$2:$Q$492,0)),"")</f>
        <v>Thuram K.</v>
      </c>
      <c r="E81" s="5" t="str">
        <f>IFERROR(INDEX('Input Giocatori 2026_27'!$D$3:$D$493,MATCH($B81,'Input Giocatori 2026_27'!$A$3:$A$493,0)),"")</f>
        <v>Juventus</v>
      </c>
      <c r="F81" s="42">
        <f>IFERROR(INDEX('Output Utente'!$N$2:$N$492,MATCH(78,'Output Utente'!$Q$2:$Q$492,0)),"")</f>
        <v>10</v>
      </c>
      <c r="G81" s="42">
        <f>IFERROR(INDEX('Output Utente'!$O$2:$O$492,MATCH(78,'Output Utente'!$Q$2:$Q$492,0)),"")</f>
        <v>41</v>
      </c>
      <c r="H81" s="5" t="str">
        <f>IFERROR(INDEX('Output Utente'!$P$2:$P$492,MATCH(78,'Output Utente'!$Q$2:$Q$492,0)),"")</f>
        <v>Buono</v>
      </c>
      <c r="I81" s="42">
        <f>IFERROR(INDEX('Output Utente'!$F$2:$F$492,MATCH(78,'Output Utente'!$Q$2:$Q$492,0)),"")</f>
        <v>27</v>
      </c>
      <c r="J81" s="42">
        <f>IFERROR(INDEX('Output Utente'!$G$2:$G$492,MATCH(78,'Output Utente'!$Q$2:$Q$492,0)),"")</f>
        <v>19</v>
      </c>
      <c r="K81" s="42">
        <f>IFERROR(INDEX('Output Utente'!$H$2:$H$492,MATCH(78,'Output Utente'!$Q$2:$Q$492,0)),"")</f>
        <v>31</v>
      </c>
      <c r="L81" s="5" t="str">
        <f>IFERROR(INDEX('Output Utente'!$E$2:$E$492,MATCH(78,'Output Utente'!$Q$2:$Q$492,0)),"")</f>
        <v>NO</v>
      </c>
      <c r="M81" s="5" t="str">
        <f>IFERROR(INDEX('Output Utente'!$U$2:$U$492,MATCH(78,'Output Utente'!$Q$2:$Q$492,0)),"")</f>
        <v>OK</v>
      </c>
      <c r="N81" s="5" t="str">
        <f>IFERROR(INDEX('Output Utente'!$AE$2:$AE$492,MATCH(78,'Output Utente'!$Q$2:$Q$492,0)),"")</f>
        <v>🔴 Non aspettare</v>
      </c>
    </row>
    <row r="82" spans="1:14" ht="15" customHeight="1" x14ac:dyDescent="0.25">
      <c r="A82" s="41">
        <v>79</v>
      </c>
      <c r="B82" s="5">
        <f>IFERROR(INDEX('Output Utente'!$A$2:$A$492,MATCH(79,'Output Utente'!$Q$2:$Q$492,0)),"")</f>
        <v>5844</v>
      </c>
      <c r="C82" s="5" t="str">
        <f>IFERROR(INDEX('Output Utente'!$B$2:$B$492,MATCH(79,'Output Utente'!$Q$2:$Q$492,0)),"")</f>
        <v>C</v>
      </c>
      <c r="D82" s="5" t="str">
        <f>IFERROR(INDEX('Output Utente'!$C$2:$C$492,MATCH(79,'Output Utente'!$Q$2:$Q$492,0)),"")</f>
        <v>Thorstvedt</v>
      </c>
      <c r="E82" s="5" t="str">
        <f>IFERROR(INDEX('Input Giocatori 2026_27'!$D$3:$D$493,MATCH($B82,'Input Giocatori 2026_27'!$A$3:$A$493,0)),"")</f>
        <v>Sassuolo</v>
      </c>
      <c r="F82" s="42">
        <f>IFERROR(INDEX('Output Utente'!$N$2:$N$492,MATCH(79,'Output Utente'!$Q$2:$Q$492,0)),"")</f>
        <v>10</v>
      </c>
      <c r="G82" s="42">
        <f>IFERROR(INDEX('Output Utente'!$O$2:$O$492,MATCH(79,'Output Utente'!$Q$2:$Q$492,0)),"")</f>
        <v>41</v>
      </c>
      <c r="H82" s="5" t="str">
        <f>IFERROR(INDEX('Output Utente'!$P$2:$P$492,MATCH(79,'Output Utente'!$Q$2:$Q$492,0)),"")</f>
        <v>Buono</v>
      </c>
      <c r="I82" s="42">
        <f>IFERROR(INDEX('Output Utente'!$F$2:$F$492,MATCH(79,'Output Utente'!$Q$2:$Q$492,0)),"")</f>
        <v>27</v>
      </c>
      <c r="J82" s="42">
        <f>IFERROR(INDEX('Output Utente'!$G$2:$G$492,MATCH(79,'Output Utente'!$Q$2:$Q$492,0)),"")</f>
        <v>19</v>
      </c>
      <c r="K82" s="42">
        <f>IFERROR(INDEX('Output Utente'!$H$2:$H$492,MATCH(79,'Output Utente'!$Q$2:$Q$492,0)),"")</f>
        <v>31</v>
      </c>
      <c r="L82" s="5" t="str">
        <f>IFERROR(INDEX('Output Utente'!$E$2:$E$492,MATCH(79,'Output Utente'!$Q$2:$Q$492,0)),"")</f>
        <v>NO</v>
      </c>
      <c r="M82" s="5" t="str">
        <f>IFERROR(INDEX('Output Utente'!$U$2:$U$492,MATCH(79,'Output Utente'!$Q$2:$Q$492,0)),"")</f>
        <v>OK</v>
      </c>
      <c r="N82" s="5" t="str">
        <f>IFERROR(INDEX('Output Utente'!$AE$2:$AE$492,MATCH(79,'Output Utente'!$Q$2:$Q$492,0)),"")</f>
        <v>🔴 Non aspettare</v>
      </c>
    </row>
    <row r="83" spans="1:14" ht="15" customHeight="1" x14ac:dyDescent="0.25">
      <c r="A83" s="41">
        <v>80</v>
      </c>
      <c r="B83" s="5">
        <f>IFERROR(INDEX('Output Utente'!$A$2:$A$492,MATCH(80,'Output Utente'!$Q$2:$Q$492,0)),"")</f>
        <v>6684</v>
      </c>
      <c r="C83" s="5" t="str">
        <f>IFERROR(INDEX('Output Utente'!$B$2:$B$492,MATCH(80,'Output Utente'!$Q$2:$Q$492,0)),"")</f>
        <v>C</v>
      </c>
      <c r="D83" s="5" t="str">
        <f>IFERROR(INDEX('Output Utente'!$C$2:$C$492,MATCH(80,'Output Utente'!$Q$2:$Q$492,0)),"")</f>
        <v>Ekkelenkamp</v>
      </c>
      <c r="E83" s="5" t="str">
        <f>IFERROR(INDEX('Input Giocatori 2026_27'!$D$3:$D$493,MATCH($B83,'Input Giocatori 2026_27'!$A$3:$A$493,0)),"")</f>
        <v>Udinese</v>
      </c>
      <c r="F83" s="42">
        <f>IFERROR(INDEX('Output Utente'!$N$2:$N$492,MATCH(80,'Output Utente'!$Q$2:$Q$492,0)),"")</f>
        <v>10</v>
      </c>
      <c r="G83" s="42">
        <f>IFERROR(INDEX('Output Utente'!$O$2:$O$492,MATCH(80,'Output Utente'!$Q$2:$Q$492,0)),"")</f>
        <v>41</v>
      </c>
      <c r="H83" s="5" t="str">
        <f>IFERROR(INDEX('Output Utente'!$P$2:$P$492,MATCH(80,'Output Utente'!$Q$2:$Q$492,0)),"")</f>
        <v>Buono</v>
      </c>
      <c r="I83" s="42">
        <f>IFERROR(INDEX('Output Utente'!$F$2:$F$492,MATCH(80,'Output Utente'!$Q$2:$Q$492,0)),"")</f>
        <v>27</v>
      </c>
      <c r="J83" s="42">
        <f>IFERROR(INDEX('Output Utente'!$G$2:$G$492,MATCH(80,'Output Utente'!$Q$2:$Q$492,0)),"")</f>
        <v>19</v>
      </c>
      <c r="K83" s="42">
        <f>IFERROR(INDEX('Output Utente'!$H$2:$H$492,MATCH(80,'Output Utente'!$Q$2:$Q$492,0)),"")</f>
        <v>31</v>
      </c>
      <c r="L83" s="5" t="str">
        <f>IFERROR(INDEX('Output Utente'!$E$2:$E$492,MATCH(80,'Output Utente'!$Q$2:$Q$492,0)),"")</f>
        <v>NO</v>
      </c>
      <c r="M83" s="5" t="str">
        <f>IFERROR(INDEX('Output Utente'!$U$2:$U$492,MATCH(80,'Output Utente'!$Q$2:$Q$492,0)),"")</f>
        <v>OK</v>
      </c>
      <c r="N83" s="5" t="str">
        <f>IFERROR(INDEX('Output Utente'!$AE$2:$AE$492,MATCH(80,'Output Utente'!$Q$2:$Q$492,0)),"")</f>
        <v>🔴 Non aspettare</v>
      </c>
    </row>
    <row r="84" spans="1:14" ht="15" customHeight="1" x14ac:dyDescent="0.25">
      <c r="A84" s="41">
        <v>81</v>
      </c>
      <c r="B84" s="5">
        <f>IFERROR(INDEX('Output Utente'!$A$2:$A$492,MATCH(81,'Output Utente'!$Q$2:$Q$492,0)),"")</f>
        <v>5876</v>
      </c>
      <c r="C84" s="5" t="str">
        <f>IFERROR(INDEX('Output Utente'!$B$2:$B$492,MATCH(81,'Output Utente'!$Q$2:$Q$492,0)),"")</f>
        <v>P</v>
      </c>
      <c r="D84" s="5" t="str">
        <f>IFERROR(INDEX('Output Utente'!$C$2:$C$492,MATCH(81,'Output Utente'!$Q$2:$Q$492,0)),"")</f>
        <v>Di Gregorio</v>
      </c>
      <c r="E84" s="5" t="str">
        <f>IFERROR(INDEX('Input Giocatori 2026_27'!$D$3:$D$493,MATCH($B84,'Input Giocatori 2026_27'!$A$3:$A$493,0)),"")</f>
        <v>Juventus</v>
      </c>
      <c r="F84" s="42">
        <f>IFERROR(INDEX('Output Utente'!$N$2:$N$492,MATCH(81,'Output Utente'!$Q$2:$Q$492,0)),"")</f>
        <v>9</v>
      </c>
      <c r="G84" s="42">
        <f>IFERROR(INDEX('Output Utente'!$O$2:$O$492,MATCH(81,'Output Utente'!$Q$2:$Q$492,0)),"")</f>
        <v>40</v>
      </c>
      <c r="H84" s="5" t="str">
        <f>IFERROR(INDEX('Output Utente'!$P$2:$P$492,MATCH(81,'Output Utente'!$Q$2:$Q$492,0)),"")</f>
        <v>Buono</v>
      </c>
      <c r="I84" s="42">
        <f>IFERROR(INDEX('Output Utente'!$F$2:$F$492,MATCH(81,'Output Utente'!$Q$2:$Q$492,0)),"")</f>
        <v>67</v>
      </c>
      <c r="J84" s="42">
        <f>IFERROR(INDEX('Output Utente'!$G$2:$G$492,MATCH(81,'Output Utente'!$Q$2:$Q$492,0)),"")</f>
        <v>54</v>
      </c>
      <c r="K84" s="42">
        <f>IFERROR(INDEX('Output Utente'!$H$2:$H$492,MATCH(81,'Output Utente'!$Q$2:$Q$492,0)),"")</f>
        <v>73</v>
      </c>
      <c r="L84" s="5" t="str">
        <f>IFERROR(INDEX('Output Utente'!$E$2:$E$492,MATCH(81,'Output Utente'!$Q$2:$Q$492,0)),"")</f>
        <v>NO</v>
      </c>
      <c r="M84" s="5" t="str">
        <f>IFERROR(INDEX('Output Utente'!$U$2:$U$492,MATCH(81,'Output Utente'!$Q$2:$Q$492,0)),"")</f>
        <v>Attenzione</v>
      </c>
      <c r="N84" s="5" t="str">
        <f>IFERROR(INDEX('Output Utente'!$AE$2:$AE$492,MATCH(81,'Output Utente'!$Q$2:$Q$492,0)),"")</f>
        <v>🔴 Non aspettare</v>
      </c>
    </row>
    <row r="85" spans="1:14" ht="15" customHeight="1" x14ac:dyDescent="0.25">
      <c r="A85" s="41">
        <v>82</v>
      </c>
      <c r="B85" s="5">
        <f>IFERROR(INDEX('Output Utente'!$A$2:$A$492,MATCH(82,'Output Utente'!$Q$2:$Q$492,0)),"")</f>
        <v>2816</v>
      </c>
      <c r="C85" s="5" t="str">
        <f>IFERROR(INDEX('Output Utente'!$B$2:$B$492,MATCH(82,'Output Utente'!$Q$2:$Q$492,0)),"")</f>
        <v>D</v>
      </c>
      <c r="D85" s="5" t="str">
        <f>IFERROR(INDEX('Output Utente'!$C$2:$C$492,MATCH(82,'Output Utente'!$Q$2:$Q$492,0)),"")</f>
        <v>Di Lorenzo</v>
      </c>
      <c r="E85" s="5" t="str">
        <f>IFERROR(INDEX('Input Giocatori 2026_27'!$D$3:$D$493,MATCH($B85,'Input Giocatori 2026_27'!$A$3:$A$493,0)),"")</f>
        <v>Napoli</v>
      </c>
      <c r="F85" s="42">
        <f>IFERROR(INDEX('Output Utente'!$N$2:$N$492,MATCH(82,'Output Utente'!$Q$2:$Q$492,0)),"")</f>
        <v>12</v>
      </c>
      <c r="G85" s="42">
        <f>IFERROR(INDEX('Output Utente'!$O$2:$O$492,MATCH(82,'Output Utente'!$Q$2:$Q$492,0)),"")</f>
        <v>40</v>
      </c>
      <c r="H85" s="5" t="str">
        <f>IFERROR(INDEX('Output Utente'!$P$2:$P$492,MATCH(82,'Output Utente'!$Q$2:$Q$492,0)),"")</f>
        <v>Top</v>
      </c>
      <c r="I85" s="42">
        <f>IFERROR(INDEX('Output Utente'!$F$2:$F$492,MATCH(82,'Output Utente'!$Q$2:$Q$492,0)),"")</f>
        <v>28</v>
      </c>
      <c r="J85" s="42">
        <f>IFERROR(INDEX('Output Utente'!$G$2:$G$492,MATCH(82,'Output Utente'!$Q$2:$Q$492,0)),"")</f>
        <v>20</v>
      </c>
      <c r="K85" s="42">
        <f>IFERROR(INDEX('Output Utente'!$H$2:$H$492,MATCH(82,'Output Utente'!$Q$2:$Q$492,0)),"")</f>
        <v>31</v>
      </c>
      <c r="L85" s="5" t="str">
        <f>IFERROR(INDEX('Output Utente'!$E$2:$E$492,MATCH(82,'Output Utente'!$Q$2:$Q$492,0)),"")</f>
        <v>NO</v>
      </c>
      <c r="M85" s="5" t="str">
        <f>IFERROR(INDEX('Output Utente'!$U$2:$U$492,MATCH(82,'Output Utente'!$Q$2:$Q$492,0)),"")</f>
        <v>OK</v>
      </c>
      <c r="N85" s="5" t="str">
        <f>IFERROR(INDEX('Output Utente'!$AE$2:$AE$492,MATCH(82,'Output Utente'!$Q$2:$Q$492,0)),"")</f>
        <v>🔴 Non aspettare</v>
      </c>
    </row>
    <row r="86" spans="1:14" ht="15" customHeight="1" x14ac:dyDescent="0.25">
      <c r="A86" s="41">
        <v>83</v>
      </c>
      <c r="B86" s="5">
        <f>IFERROR(INDEX('Output Utente'!$A$2:$A$492,MATCH(83,'Output Utente'!$Q$2:$Q$492,0)),"")</f>
        <v>5750</v>
      </c>
      <c r="C86" s="5" t="str">
        <f>IFERROR(INDEX('Output Utente'!$B$2:$B$492,MATCH(83,'Output Utente'!$Q$2:$Q$492,0)),"")</f>
        <v>D</v>
      </c>
      <c r="D86" s="5" t="str">
        <f>IFERROR(INDEX('Output Utente'!$C$2:$C$492,MATCH(83,'Output Utente'!$Q$2:$Q$492,0)),"")</f>
        <v>Ostigard</v>
      </c>
      <c r="E86" s="5" t="str">
        <f>IFERROR(INDEX('Input Giocatori 2026_27'!$D$3:$D$493,MATCH($B86,'Input Giocatori 2026_27'!$A$3:$A$493,0)),"")</f>
        <v>Genoa</v>
      </c>
      <c r="F86" s="42">
        <f>IFERROR(INDEX('Output Utente'!$N$2:$N$492,MATCH(83,'Output Utente'!$Q$2:$Q$492,0)),"")</f>
        <v>11</v>
      </c>
      <c r="G86" s="42">
        <f>IFERROR(INDEX('Output Utente'!$O$2:$O$492,MATCH(83,'Output Utente'!$Q$2:$Q$492,0)),"")</f>
        <v>40</v>
      </c>
      <c r="H86" s="5" t="str">
        <f>IFERROR(INDEX('Output Utente'!$P$2:$P$492,MATCH(83,'Output Utente'!$Q$2:$Q$492,0)),"")</f>
        <v>Top</v>
      </c>
      <c r="I86" s="42">
        <f>IFERROR(INDEX('Output Utente'!$F$2:$F$492,MATCH(83,'Output Utente'!$Q$2:$Q$492,0)),"")</f>
        <v>28</v>
      </c>
      <c r="J86" s="42">
        <f>IFERROR(INDEX('Output Utente'!$G$2:$G$492,MATCH(83,'Output Utente'!$Q$2:$Q$492,0)),"")</f>
        <v>20</v>
      </c>
      <c r="K86" s="42">
        <f>IFERROR(INDEX('Output Utente'!$H$2:$H$492,MATCH(83,'Output Utente'!$Q$2:$Q$492,0)),"")</f>
        <v>31</v>
      </c>
      <c r="L86" s="5" t="str">
        <f>IFERROR(INDEX('Output Utente'!$E$2:$E$492,MATCH(83,'Output Utente'!$Q$2:$Q$492,0)),"")</f>
        <v>NO</v>
      </c>
      <c r="M86" s="5" t="str">
        <f>IFERROR(INDEX('Output Utente'!$U$2:$U$492,MATCH(83,'Output Utente'!$Q$2:$Q$492,0)),"")</f>
        <v>OK</v>
      </c>
      <c r="N86" s="5" t="str">
        <f>IFERROR(INDEX('Output Utente'!$AE$2:$AE$492,MATCH(83,'Output Utente'!$Q$2:$Q$492,0)),"")</f>
        <v>🔴 Non aspettare</v>
      </c>
    </row>
    <row r="87" spans="1:14" ht="15" customHeight="1" x14ac:dyDescent="0.25">
      <c r="A87" s="41">
        <v>84</v>
      </c>
      <c r="B87" s="5">
        <f>IFERROR(INDEX('Output Utente'!$A$2:$A$492,MATCH(84,'Output Utente'!$Q$2:$Q$492,0)),"")</f>
        <v>5544</v>
      </c>
      <c r="C87" s="5" t="str">
        <f>IFERROR(INDEX('Output Utente'!$B$2:$B$492,MATCH(84,'Output Utente'!$Q$2:$Q$492,0)),"")</f>
        <v>A</v>
      </c>
      <c r="D87" s="5" t="str">
        <f>IFERROR(INDEX('Output Utente'!$C$2:$C$492,MATCH(84,'Output Utente'!$Q$2:$Q$492,0)),"")</f>
        <v>David</v>
      </c>
      <c r="E87" s="5" t="str">
        <f>IFERROR(INDEX('Input Giocatori 2026_27'!$D$3:$D$493,MATCH($B87,'Input Giocatori 2026_27'!$A$3:$A$493,0)),"")</f>
        <v>Juventus</v>
      </c>
      <c r="F87" s="42">
        <f>IFERROR(INDEX('Output Utente'!$N$2:$N$492,MATCH(84,'Output Utente'!$Q$2:$Q$492,0)),"")</f>
        <v>9</v>
      </c>
      <c r="G87" s="42">
        <f>IFERROR(INDEX('Output Utente'!$O$2:$O$492,MATCH(84,'Output Utente'!$Q$2:$Q$492,0)),"")</f>
        <v>40</v>
      </c>
      <c r="H87" s="5" t="str">
        <f>IFERROR(INDEX('Output Utente'!$P$2:$P$492,MATCH(84,'Output Utente'!$Q$2:$Q$492,0)),"")</f>
        <v>Nella Media</v>
      </c>
      <c r="I87" s="42">
        <f>IFERROR(INDEX('Output Utente'!$F$2:$F$492,MATCH(84,'Output Utente'!$Q$2:$Q$492,0)),"")</f>
        <v>13</v>
      </c>
      <c r="J87" s="42">
        <f>IFERROR(INDEX('Output Utente'!$G$2:$G$492,MATCH(84,'Output Utente'!$Q$2:$Q$492,0)),"")</f>
        <v>8</v>
      </c>
      <c r="K87" s="42">
        <f>IFERROR(INDEX('Output Utente'!$H$2:$H$492,MATCH(84,'Output Utente'!$Q$2:$Q$492,0)),"")</f>
        <v>15</v>
      </c>
      <c r="L87" s="5" t="str">
        <f>IFERROR(INDEX('Output Utente'!$E$2:$E$492,MATCH(84,'Output Utente'!$Q$2:$Q$492,0)),"")</f>
        <v>NO</v>
      </c>
      <c r="M87" s="5" t="str">
        <f>IFERROR(INDEX('Output Utente'!$U$2:$U$492,MATCH(84,'Output Utente'!$Q$2:$Q$492,0)),"")</f>
        <v>OK</v>
      </c>
      <c r="N87" s="5" t="str">
        <f>IFERROR(INDEX('Output Utente'!$AE$2:$AE$492,MATCH(84,'Output Utente'!$Q$2:$Q$492,0)),"")</f>
        <v>🔴 Non aspettare</v>
      </c>
    </row>
    <row r="88" spans="1:14" ht="15" customHeight="1" x14ac:dyDescent="0.25">
      <c r="A88" s="41">
        <v>85</v>
      </c>
      <c r="B88" s="5">
        <f>IFERROR(INDEX('Output Utente'!$A$2:$A$492,MATCH(85,'Output Utente'!$Q$2:$Q$492,0)),"")</f>
        <v>7347</v>
      </c>
      <c r="C88" s="5" t="str">
        <f>IFERROR(INDEX('Output Utente'!$B$2:$B$492,MATCH(85,'Output Utente'!$Q$2:$Q$492,0)),"")</f>
        <v>A</v>
      </c>
      <c r="D88" s="5" t="str">
        <f>IFERROR(INDEX('Output Utente'!$C$2:$C$492,MATCH(85,'Output Utente'!$Q$2:$Q$492,0)),"")</f>
        <v>Bowie</v>
      </c>
      <c r="E88" s="5" t="str">
        <f>IFERROR(INDEX('Input Giocatori 2026_27'!$D$3:$D$493,MATCH($B88,'Input Giocatori 2026_27'!$A$3:$A$493,0)),"")</f>
        <v>Sassuolo</v>
      </c>
      <c r="F88" s="42">
        <f>IFERROR(INDEX('Output Utente'!$N$2:$N$492,MATCH(85,'Output Utente'!$Q$2:$Q$492,0)),"")</f>
        <v>10</v>
      </c>
      <c r="G88" s="42">
        <f>IFERROR(INDEX('Output Utente'!$O$2:$O$492,MATCH(85,'Output Utente'!$Q$2:$Q$492,0)),"")</f>
        <v>39</v>
      </c>
      <c r="H88" s="5" t="str">
        <f>IFERROR(INDEX('Output Utente'!$P$2:$P$492,MATCH(85,'Output Utente'!$Q$2:$Q$492,0)),"")</f>
        <v>Nella Media</v>
      </c>
      <c r="I88" s="42">
        <f>IFERROR(INDEX('Output Utente'!$F$2:$F$492,MATCH(85,'Output Utente'!$Q$2:$Q$492,0)),"")</f>
        <v>13</v>
      </c>
      <c r="J88" s="42">
        <f>IFERROR(INDEX('Output Utente'!$G$2:$G$492,MATCH(85,'Output Utente'!$Q$2:$Q$492,0)),"")</f>
        <v>8</v>
      </c>
      <c r="K88" s="42">
        <f>IFERROR(INDEX('Output Utente'!$H$2:$H$492,MATCH(85,'Output Utente'!$Q$2:$Q$492,0)),"")</f>
        <v>15</v>
      </c>
      <c r="L88" s="5" t="str">
        <f>IFERROR(INDEX('Output Utente'!$E$2:$E$492,MATCH(85,'Output Utente'!$Q$2:$Q$492,0)),"")</f>
        <v>NO</v>
      </c>
      <c r="M88" s="5" t="str">
        <f>IFERROR(INDEX('Output Utente'!$U$2:$U$492,MATCH(85,'Output Utente'!$Q$2:$Q$492,0)),"")</f>
        <v>OK</v>
      </c>
      <c r="N88" s="5" t="str">
        <f>IFERROR(INDEX('Output Utente'!$AE$2:$AE$492,MATCH(85,'Output Utente'!$Q$2:$Q$492,0)),"")</f>
        <v>🔴 Non aspettare</v>
      </c>
    </row>
    <row r="89" spans="1:14" ht="15" customHeight="1" x14ac:dyDescent="0.25">
      <c r="A89" s="41">
        <v>86</v>
      </c>
      <c r="B89" s="5">
        <f>IFERROR(INDEX('Output Utente'!$A$2:$A$492,MATCH(86,'Output Utente'!$Q$2:$Q$492,0)),"")</f>
        <v>2514</v>
      </c>
      <c r="C89" s="5" t="str">
        <f>IFERROR(INDEX('Output Utente'!$B$2:$B$492,MATCH(86,'Output Utente'!$Q$2:$Q$492,0)),"")</f>
        <v>D</v>
      </c>
      <c r="D89" s="5" t="str">
        <f>IFERROR(INDEX('Output Utente'!$C$2:$C$492,MATCH(86,'Output Utente'!$Q$2:$Q$492,0)),"")</f>
        <v>Stones</v>
      </c>
      <c r="E89" s="5" t="str">
        <f>IFERROR(INDEX('Input Giocatori 2026_27'!$D$3:$D$493,MATCH($B89,'Input Giocatori 2026_27'!$A$3:$A$493,0)),"")</f>
        <v>Inter</v>
      </c>
      <c r="F89" s="42">
        <f>IFERROR(INDEX('Output Utente'!$N$2:$N$492,MATCH(86,'Output Utente'!$Q$2:$Q$492,0)),"")</f>
        <v>12</v>
      </c>
      <c r="G89" s="42">
        <f>IFERROR(INDEX('Output Utente'!$O$2:$O$492,MATCH(86,'Output Utente'!$Q$2:$Q$492,0)),"")</f>
        <v>38</v>
      </c>
      <c r="H89" s="5" t="str">
        <f>IFERROR(INDEX('Output Utente'!$P$2:$P$492,MATCH(86,'Output Utente'!$Q$2:$Q$492,0)),"")</f>
        <v>Top</v>
      </c>
      <c r="I89" s="42">
        <f>IFERROR(INDEX('Output Utente'!$F$2:$F$492,MATCH(86,'Output Utente'!$Q$2:$Q$492,0)),"")</f>
        <v>26</v>
      </c>
      <c r="J89" s="42">
        <f>IFERROR(INDEX('Output Utente'!$G$2:$G$492,MATCH(86,'Output Utente'!$Q$2:$Q$492,0)),"")</f>
        <v>19</v>
      </c>
      <c r="K89" s="42">
        <f>IFERROR(INDEX('Output Utente'!$H$2:$H$492,MATCH(86,'Output Utente'!$Q$2:$Q$492,0)),"")</f>
        <v>29</v>
      </c>
      <c r="L89" s="5" t="str">
        <f>IFERROR(INDEX('Output Utente'!$E$2:$E$492,MATCH(86,'Output Utente'!$Q$2:$Q$492,0)),"")</f>
        <v>NO</v>
      </c>
      <c r="M89" s="5" t="str">
        <f>IFERROR(INDEX('Output Utente'!$U$2:$U$492,MATCH(86,'Output Utente'!$Q$2:$Q$492,0)),"")</f>
        <v>OK</v>
      </c>
      <c r="N89" s="5" t="str">
        <f>IFERROR(INDEX('Output Utente'!$AE$2:$AE$492,MATCH(86,'Output Utente'!$Q$2:$Q$492,0)),"")</f>
        <v>🔴 Non aspettare</v>
      </c>
    </row>
    <row r="90" spans="1:14" ht="15" customHeight="1" x14ac:dyDescent="0.25">
      <c r="A90" s="41">
        <v>87</v>
      </c>
      <c r="B90" s="5">
        <f>IFERROR(INDEX('Output Utente'!$A$2:$A$492,MATCH(87,'Output Utente'!$Q$2:$Q$492,0)),"")</f>
        <v>6151</v>
      </c>
      <c r="C90" s="5" t="str">
        <f>IFERROR(INDEX('Output Utente'!$B$2:$B$492,MATCH(87,'Output Utente'!$Q$2:$Q$492,0)),"")</f>
        <v>C</v>
      </c>
      <c r="D90" s="5" t="str">
        <f>IFERROR(INDEX('Output Utente'!$C$2:$C$492,MATCH(87,'Output Utente'!$Q$2:$Q$492,0)),"")</f>
        <v>Perrone</v>
      </c>
      <c r="E90" s="5" t="str">
        <f>IFERROR(INDEX('Input Giocatori 2026_27'!$D$3:$D$493,MATCH($B90,'Input Giocatori 2026_27'!$A$3:$A$493,0)),"")</f>
        <v>Como</v>
      </c>
      <c r="F90" s="42">
        <f>IFERROR(INDEX('Output Utente'!$N$2:$N$492,MATCH(87,'Output Utente'!$Q$2:$Q$492,0)),"")</f>
        <v>10</v>
      </c>
      <c r="G90" s="42">
        <f>IFERROR(INDEX('Output Utente'!$O$2:$O$492,MATCH(87,'Output Utente'!$Q$2:$Q$492,0)),"")</f>
        <v>38</v>
      </c>
      <c r="H90" s="5" t="str">
        <f>IFERROR(INDEX('Output Utente'!$P$2:$P$492,MATCH(87,'Output Utente'!$Q$2:$Q$492,0)),"")</f>
        <v>Buono</v>
      </c>
      <c r="I90" s="42">
        <f>IFERROR(INDEX('Output Utente'!$F$2:$F$492,MATCH(87,'Output Utente'!$Q$2:$Q$492,0)),"")</f>
        <v>25</v>
      </c>
      <c r="J90" s="42">
        <f>IFERROR(INDEX('Output Utente'!$G$2:$G$492,MATCH(87,'Output Utente'!$Q$2:$Q$492,0)),"")</f>
        <v>17</v>
      </c>
      <c r="K90" s="42">
        <f>IFERROR(INDEX('Output Utente'!$H$2:$H$492,MATCH(87,'Output Utente'!$Q$2:$Q$492,0)),"")</f>
        <v>29</v>
      </c>
      <c r="L90" s="5" t="str">
        <f>IFERROR(INDEX('Output Utente'!$E$2:$E$492,MATCH(87,'Output Utente'!$Q$2:$Q$492,0)),"")</f>
        <v>NO</v>
      </c>
      <c r="M90" s="5" t="str">
        <f>IFERROR(INDEX('Output Utente'!$U$2:$U$492,MATCH(87,'Output Utente'!$Q$2:$Q$492,0)),"")</f>
        <v>OK</v>
      </c>
      <c r="N90" s="5" t="str">
        <f>IFERROR(INDEX('Output Utente'!$AE$2:$AE$492,MATCH(87,'Output Utente'!$Q$2:$Q$492,0)),"")</f>
        <v>🔴 Non aspettare</v>
      </c>
    </row>
    <row r="91" spans="1:14" ht="15" customHeight="1" x14ac:dyDescent="0.25">
      <c r="A91" s="41">
        <v>88</v>
      </c>
      <c r="B91" s="5">
        <f>IFERROR(INDEX('Output Utente'!$A$2:$A$492,MATCH(88,'Output Utente'!$Q$2:$Q$492,0)),"")</f>
        <v>133</v>
      </c>
      <c r="C91" s="5" t="str">
        <f>IFERROR(INDEX('Output Utente'!$B$2:$B$492,MATCH(88,'Output Utente'!$Q$2:$Q$492,0)),"")</f>
        <v>P</v>
      </c>
      <c r="D91" s="5" t="str">
        <f>IFERROR(INDEX('Output Utente'!$C$2:$C$492,MATCH(88,'Output Utente'!$Q$2:$Q$492,0)),"")</f>
        <v>Skorupski</v>
      </c>
      <c r="E91" s="5" t="str">
        <f>IFERROR(INDEX('Input Giocatori 2026_27'!$D$3:$D$493,MATCH($B91,'Input Giocatori 2026_27'!$A$3:$A$493,0)),"")</f>
        <v>Bologna</v>
      </c>
      <c r="F91" s="42">
        <f>IFERROR(INDEX('Output Utente'!$N$2:$N$492,MATCH(88,'Output Utente'!$Q$2:$Q$492,0)),"")</f>
        <v>10</v>
      </c>
      <c r="G91" s="42">
        <f>IFERROR(INDEX('Output Utente'!$O$2:$O$492,MATCH(88,'Output Utente'!$Q$2:$Q$492,0)),"")</f>
        <v>37</v>
      </c>
      <c r="H91" s="5" t="str">
        <f>IFERROR(INDEX('Output Utente'!$P$2:$P$492,MATCH(88,'Output Utente'!$Q$2:$Q$492,0)),"")</f>
        <v>Buono</v>
      </c>
      <c r="I91" s="42">
        <f>IFERROR(INDEX('Output Utente'!$F$2:$F$492,MATCH(88,'Output Utente'!$Q$2:$Q$492,0)),"")</f>
        <v>13</v>
      </c>
      <c r="J91" s="42">
        <f>IFERROR(INDEX('Output Utente'!$G$2:$G$492,MATCH(88,'Output Utente'!$Q$2:$Q$492,0)),"")</f>
        <v>10</v>
      </c>
      <c r="K91" s="42">
        <f>IFERROR(INDEX('Output Utente'!$H$2:$H$492,MATCH(88,'Output Utente'!$Q$2:$Q$492,0)),"")</f>
        <v>14</v>
      </c>
      <c r="L91" s="5" t="str">
        <f>IFERROR(INDEX('Output Utente'!$E$2:$E$492,MATCH(88,'Output Utente'!$Q$2:$Q$492,0)),"")</f>
        <v>NO</v>
      </c>
      <c r="M91" s="5" t="str">
        <f>IFERROR(INDEX('Output Utente'!$U$2:$U$492,MATCH(88,'Output Utente'!$Q$2:$Q$492,0)),"")</f>
        <v>OK</v>
      </c>
      <c r="N91" s="5" t="str">
        <f>IFERROR(INDEX('Output Utente'!$AE$2:$AE$492,MATCH(88,'Output Utente'!$Q$2:$Q$492,0)),"")</f>
        <v>🔴 Non aspettare</v>
      </c>
    </row>
    <row r="92" spans="1:14" ht="15" customHeight="1" x14ac:dyDescent="0.25">
      <c r="A92" s="41">
        <v>89</v>
      </c>
      <c r="B92" s="5">
        <f>IFERROR(INDEX('Output Utente'!$A$2:$A$492,MATCH(89,'Output Utente'!$Q$2:$Q$492,0)),"")</f>
        <v>6844</v>
      </c>
      <c r="C92" s="5" t="str">
        <f>IFERROR(INDEX('Output Utente'!$B$2:$B$492,MATCH(89,'Output Utente'!$Q$2:$Q$492,0)),"")</f>
        <v>C</v>
      </c>
      <c r="D92" s="5" t="str">
        <f>IFERROR(INDEX('Output Utente'!$C$2:$C$492,MATCH(89,'Output Utente'!$Q$2:$Q$492,0)),"")</f>
        <v>Rowe</v>
      </c>
      <c r="E92" s="5" t="str">
        <f>IFERROR(INDEX('Input Giocatori 2026_27'!$D$3:$D$493,MATCH($B92,'Input Giocatori 2026_27'!$A$3:$A$493,0)),"")</f>
        <v>Bologna</v>
      </c>
      <c r="F92" s="42">
        <f>IFERROR(INDEX('Output Utente'!$N$2:$N$492,MATCH(89,'Output Utente'!$Q$2:$Q$492,0)),"")</f>
        <v>11</v>
      </c>
      <c r="G92" s="42">
        <f>IFERROR(INDEX('Output Utente'!$O$2:$O$492,MATCH(89,'Output Utente'!$Q$2:$Q$492,0)),"")</f>
        <v>37</v>
      </c>
      <c r="H92" s="5" t="str">
        <f>IFERROR(INDEX('Output Utente'!$P$2:$P$492,MATCH(89,'Output Utente'!$Q$2:$Q$492,0)),"")</f>
        <v>Buono</v>
      </c>
      <c r="I92" s="42">
        <f>IFERROR(INDEX('Output Utente'!$F$2:$F$492,MATCH(89,'Output Utente'!$Q$2:$Q$492,0)),"")</f>
        <v>25</v>
      </c>
      <c r="J92" s="42">
        <f>IFERROR(INDEX('Output Utente'!$G$2:$G$492,MATCH(89,'Output Utente'!$Q$2:$Q$492,0)),"")</f>
        <v>17</v>
      </c>
      <c r="K92" s="42">
        <f>IFERROR(INDEX('Output Utente'!$H$2:$H$492,MATCH(89,'Output Utente'!$Q$2:$Q$492,0)),"")</f>
        <v>28</v>
      </c>
      <c r="L92" s="5" t="str">
        <f>IFERROR(INDEX('Output Utente'!$E$2:$E$492,MATCH(89,'Output Utente'!$Q$2:$Q$492,0)),"")</f>
        <v>NO</v>
      </c>
      <c r="M92" s="5" t="str">
        <f>IFERROR(INDEX('Output Utente'!$U$2:$U$492,MATCH(89,'Output Utente'!$Q$2:$Q$492,0)),"")</f>
        <v>OK</v>
      </c>
      <c r="N92" s="5" t="str">
        <f>IFERROR(INDEX('Output Utente'!$AE$2:$AE$492,MATCH(89,'Output Utente'!$Q$2:$Q$492,0)),"")</f>
        <v>🔴 Non aspettare</v>
      </c>
    </row>
    <row r="93" spans="1:14" ht="15" customHeight="1" x14ac:dyDescent="0.25">
      <c r="A93" s="41">
        <v>90</v>
      </c>
      <c r="B93" s="5">
        <f>IFERROR(INDEX('Output Utente'!$A$2:$A$492,MATCH(90,'Output Utente'!$Q$2:$Q$492,0)),"")</f>
        <v>5888</v>
      </c>
      <c r="C93" s="5" t="str">
        <f>IFERROR(INDEX('Output Utente'!$B$2:$B$492,MATCH(90,'Output Utente'!$Q$2:$Q$492,0)),"")</f>
        <v>C</v>
      </c>
      <c r="D93" s="5" t="str">
        <f>IFERROR(INDEX('Output Utente'!$C$2:$C$492,MATCH(90,'Output Utente'!$Q$2:$Q$492,0)),"")</f>
        <v>Casadei</v>
      </c>
      <c r="E93" s="5" t="str">
        <f>IFERROR(INDEX('Input Giocatori 2026_27'!$D$3:$D$493,MATCH($B93,'Input Giocatori 2026_27'!$A$3:$A$493,0)),"")</f>
        <v>Torino</v>
      </c>
      <c r="F93" s="42">
        <f>IFERROR(INDEX('Output Utente'!$N$2:$N$492,MATCH(90,'Output Utente'!$Q$2:$Q$492,0)),"")</f>
        <v>10</v>
      </c>
      <c r="G93" s="42">
        <f>IFERROR(INDEX('Output Utente'!$O$2:$O$492,MATCH(90,'Output Utente'!$Q$2:$Q$492,0)),"")</f>
        <v>37</v>
      </c>
      <c r="H93" s="5" t="str">
        <f>IFERROR(INDEX('Output Utente'!$P$2:$P$492,MATCH(90,'Output Utente'!$Q$2:$Q$492,0)),"")</f>
        <v>Buono</v>
      </c>
      <c r="I93" s="42">
        <f>IFERROR(INDEX('Output Utente'!$F$2:$F$492,MATCH(90,'Output Utente'!$Q$2:$Q$492,0)),"")</f>
        <v>25</v>
      </c>
      <c r="J93" s="42">
        <f>IFERROR(INDEX('Output Utente'!$G$2:$G$492,MATCH(90,'Output Utente'!$Q$2:$Q$492,0)),"")</f>
        <v>17</v>
      </c>
      <c r="K93" s="42">
        <f>IFERROR(INDEX('Output Utente'!$H$2:$H$492,MATCH(90,'Output Utente'!$Q$2:$Q$492,0)),"")</f>
        <v>28</v>
      </c>
      <c r="L93" s="5" t="str">
        <f>IFERROR(INDEX('Output Utente'!$E$2:$E$492,MATCH(90,'Output Utente'!$Q$2:$Q$492,0)),"")</f>
        <v>NO</v>
      </c>
      <c r="M93" s="5" t="str">
        <f>IFERROR(INDEX('Output Utente'!$U$2:$U$492,MATCH(90,'Output Utente'!$Q$2:$Q$492,0)),"")</f>
        <v>OK</v>
      </c>
      <c r="N93" s="5" t="str">
        <f>IFERROR(INDEX('Output Utente'!$AE$2:$AE$492,MATCH(90,'Output Utente'!$Q$2:$Q$492,0)),"")</f>
        <v>🔴 Non aspettare</v>
      </c>
    </row>
    <row r="94" spans="1:14" ht="15" customHeight="1" x14ac:dyDescent="0.25">
      <c r="A94" s="41">
        <v>91</v>
      </c>
      <c r="B94" s="5">
        <f>IFERROR(INDEX('Output Utente'!$A$2:$A$492,MATCH(91,'Output Utente'!$Q$2:$Q$492,0)),"")</f>
        <v>6274</v>
      </c>
      <c r="C94" s="5" t="str">
        <f>IFERROR(INDEX('Output Utente'!$B$2:$B$492,MATCH(91,'Output Utente'!$Q$2:$Q$492,0)),"")</f>
        <v>C</v>
      </c>
      <c r="D94" s="5" t="str">
        <f>IFERROR(INDEX('Output Utente'!$C$2:$C$492,MATCH(91,'Output Utente'!$Q$2:$Q$492,0)),"")</f>
        <v>Diouf</v>
      </c>
      <c r="E94" s="5" t="str">
        <f>IFERROR(INDEX('Input Giocatori 2026_27'!$D$3:$D$493,MATCH($B94,'Input Giocatori 2026_27'!$A$3:$A$493,0)),"")</f>
        <v>Inter</v>
      </c>
      <c r="F94" s="42">
        <f>IFERROR(INDEX('Output Utente'!$N$2:$N$492,MATCH(91,'Output Utente'!$Q$2:$Q$492,0)),"")</f>
        <v>8</v>
      </c>
      <c r="G94" s="42">
        <f>IFERROR(INDEX('Output Utente'!$O$2:$O$492,MATCH(91,'Output Utente'!$Q$2:$Q$492,0)),"")</f>
        <v>37</v>
      </c>
      <c r="H94" s="5" t="str">
        <f>IFERROR(INDEX('Output Utente'!$P$2:$P$492,MATCH(91,'Output Utente'!$Q$2:$Q$492,0)),"")</f>
        <v>Buono</v>
      </c>
      <c r="I94" s="42">
        <f>IFERROR(INDEX('Output Utente'!$F$2:$F$492,MATCH(91,'Output Utente'!$Q$2:$Q$492,0)),"")</f>
        <v>25</v>
      </c>
      <c r="J94" s="42">
        <f>IFERROR(INDEX('Output Utente'!$G$2:$G$492,MATCH(91,'Output Utente'!$Q$2:$Q$492,0)),"")</f>
        <v>17</v>
      </c>
      <c r="K94" s="42">
        <f>IFERROR(INDEX('Output Utente'!$H$2:$H$492,MATCH(91,'Output Utente'!$Q$2:$Q$492,0)),"")</f>
        <v>28</v>
      </c>
      <c r="L94" s="5" t="str">
        <f>IFERROR(INDEX('Output Utente'!$E$2:$E$492,MATCH(91,'Output Utente'!$Q$2:$Q$492,0)),"")</f>
        <v>NO</v>
      </c>
      <c r="M94" s="5" t="str">
        <f>IFERROR(INDEX('Output Utente'!$U$2:$U$492,MATCH(91,'Output Utente'!$Q$2:$Q$492,0)),"")</f>
        <v>OK</v>
      </c>
      <c r="N94" s="5" t="str">
        <f>IFERROR(INDEX('Output Utente'!$AE$2:$AE$492,MATCH(91,'Output Utente'!$Q$2:$Q$492,0)),"")</f>
        <v>🔴 Non aspettare</v>
      </c>
    </row>
    <row r="95" spans="1:14" ht="15" customHeight="1" x14ac:dyDescent="0.25">
      <c r="A95" s="41">
        <v>92</v>
      </c>
      <c r="B95" s="5">
        <f>IFERROR(INDEX('Output Utente'!$A$2:$A$492,MATCH(92,'Output Utente'!$Q$2:$Q$492,0)),"")</f>
        <v>6666</v>
      </c>
      <c r="C95" s="5" t="str">
        <f>IFERROR(INDEX('Output Utente'!$B$2:$B$492,MATCH(92,'Output Utente'!$Q$2:$Q$492,0)),"")</f>
        <v>C</v>
      </c>
      <c r="D95" s="5" t="str">
        <f>IFERROR(INDEX('Output Utente'!$C$2:$C$492,MATCH(92,'Output Utente'!$Q$2:$Q$492,0)),"")</f>
        <v>Bernabè</v>
      </c>
      <c r="E95" s="5" t="str">
        <f>IFERROR(INDEX('Input Giocatori 2026_27'!$D$3:$D$493,MATCH($B95,'Input Giocatori 2026_27'!$A$3:$A$493,0)),"")</f>
        <v>Parma</v>
      </c>
      <c r="F95" s="42">
        <f>IFERROR(INDEX('Output Utente'!$N$2:$N$492,MATCH(92,'Output Utente'!$Q$2:$Q$492,0)),"")</f>
        <v>7</v>
      </c>
      <c r="G95" s="42">
        <f>IFERROR(INDEX('Output Utente'!$O$2:$O$492,MATCH(92,'Output Utente'!$Q$2:$Q$492,0)),"")</f>
        <v>36</v>
      </c>
      <c r="H95" s="5" t="str">
        <f>IFERROR(INDEX('Output Utente'!$P$2:$P$492,MATCH(92,'Output Utente'!$Q$2:$Q$492,0)),"")</f>
        <v>Buono</v>
      </c>
      <c r="I95" s="42">
        <f>IFERROR(INDEX('Output Utente'!$F$2:$F$492,MATCH(92,'Output Utente'!$Q$2:$Q$492,0)),"")</f>
        <v>4</v>
      </c>
      <c r="J95" s="42">
        <f>IFERROR(INDEX('Output Utente'!$G$2:$G$492,MATCH(92,'Output Utente'!$Q$2:$Q$492,0)),"")</f>
        <v>3</v>
      </c>
      <c r="K95" s="42">
        <f>IFERROR(INDEX('Output Utente'!$H$2:$H$492,MATCH(92,'Output Utente'!$Q$2:$Q$492,0)),"")</f>
        <v>5</v>
      </c>
      <c r="L95" s="5" t="str">
        <f>IFERROR(INDEX('Output Utente'!$E$2:$E$492,MATCH(92,'Output Utente'!$Q$2:$Q$492,0)),"")</f>
        <v>NO</v>
      </c>
      <c r="M95" s="5" t="str">
        <f>IFERROR(INDEX('Output Utente'!$U$2:$U$492,MATCH(92,'Output Utente'!$Q$2:$Q$492,0)),"")</f>
        <v>OK</v>
      </c>
      <c r="N95" s="5" t="str">
        <f>IFERROR(INDEX('Output Utente'!$AE$2:$AE$492,MATCH(92,'Output Utente'!$Q$2:$Q$492,0)),"")</f>
        <v>🔴 Non aspettare</v>
      </c>
    </row>
    <row r="96" spans="1:14" ht="15" customHeight="1" x14ac:dyDescent="0.25">
      <c r="A96" s="41">
        <v>93</v>
      </c>
      <c r="B96" s="5">
        <f>IFERROR(INDEX('Output Utente'!$A$2:$A$492,MATCH(93,'Output Utente'!$Q$2:$Q$492,0)),"")</f>
        <v>7223</v>
      </c>
      <c r="C96" s="5" t="str">
        <f>IFERROR(INDEX('Output Utente'!$B$2:$B$492,MATCH(93,'Output Utente'!$Q$2:$Q$492,0)),"")</f>
        <v>C</v>
      </c>
      <c r="D96" s="5" t="str">
        <f>IFERROR(INDEX('Output Utente'!$C$2:$C$492,MATCH(93,'Output Utente'!$Q$2:$Q$492,0)),"")</f>
        <v>Vergara</v>
      </c>
      <c r="E96" s="5" t="str">
        <f>IFERROR(INDEX('Input Giocatori 2026_27'!$D$3:$D$493,MATCH($B96,'Input Giocatori 2026_27'!$A$3:$A$493,0)),"")</f>
        <v>Napoli</v>
      </c>
      <c r="F96" s="42">
        <f>IFERROR(INDEX('Output Utente'!$N$2:$N$492,MATCH(93,'Output Utente'!$Q$2:$Q$492,0)),"")</f>
        <v>8</v>
      </c>
      <c r="G96" s="42">
        <f>IFERROR(INDEX('Output Utente'!$O$2:$O$492,MATCH(93,'Output Utente'!$Q$2:$Q$492,0)),"")</f>
        <v>34</v>
      </c>
      <c r="H96" s="5" t="str">
        <f>IFERROR(INDEX('Output Utente'!$P$2:$P$492,MATCH(93,'Output Utente'!$Q$2:$Q$492,0)),"")</f>
        <v>Buono</v>
      </c>
      <c r="I96" s="42">
        <f>IFERROR(INDEX('Output Utente'!$F$2:$F$492,MATCH(93,'Output Utente'!$Q$2:$Q$492,0)),"")</f>
        <v>4</v>
      </c>
      <c r="J96" s="42">
        <f>IFERROR(INDEX('Output Utente'!$G$2:$G$492,MATCH(93,'Output Utente'!$Q$2:$Q$492,0)),"")</f>
        <v>3</v>
      </c>
      <c r="K96" s="42">
        <f>IFERROR(INDEX('Output Utente'!$H$2:$H$492,MATCH(93,'Output Utente'!$Q$2:$Q$492,0)),"")</f>
        <v>5</v>
      </c>
      <c r="L96" s="5" t="str">
        <f>IFERROR(INDEX('Output Utente'!$E$2:$E$492,MATCH(93,'Output Utente'!$Q$2:$Q$492,0)),"")</f>
        <v>NO</v>
      </c>
      <c r="M96" s="5" t="str">
        <f>IFERROR(INDEX('Output Utente'!$U$2:$U$492,MATCH(93,'Output Utente'!$Q$2:$Q$492,0)),"")</f>
        <v>OK</v>
      </c>
      <c r="N96" s="5" t="str">
        <f>IFERROR(INDEX('Output Utente'!$AE$2:$AE$492,MATCH(93,'Output Utente'!$Q$2:$Q$492,0)),"")</f>
        <v>🔴 Non aspettare</v>
      </c>
    </row>
    <row r="97" spans="1:14" ht="15" customHeight="1" x14ac:dyDescent="0.25">
      <c r="A97" s="41">
        <v>94</v>
      </c>
      <c r="B97" s="5">
        <f>IFERROR(INDEX('Output Utente'!$A$2:$A$492,MATCH(94,'Output Utente'!$Q$2:$Q$492,0)),"")</f>
        <v>6217</v>
      </c>
      <c r="C97" s="5" t="str">
        <f>IFERROR(INDEX('Output Utente'!$B$2:$B$492,MATCH(94,'Output Utente'!$Q$2:$Q$492,0)),"")</f>
        <v>D</v>
      </c>
      <c r="D97" s="5" t="str">
        <f>IFERROR(INDEX('Output Utente'!$C$2:$C$492,MATCH(94,'Output Utente'!$Q$2:$Q$492,0)),"")</f>
        <v>Bisseck</v>
      </c>
      <c r="E97" s="5" t="str">
        <f>IFERROR(INDEX('Input Giocatori 2026_27'!$D$3:$D$493,MATCH($B97,'Input Giocatori 2026_27'!$A$3:$A$493,0)),"")</f>
        <v>Inter</v>
      </c>
      <c r="F97" s="42">
        <f>IFERROR(INDEX('Output Utente'!$N$2:$N$492,MATCH(94,'Output Utente'!$Q$2:$Q$492,0)),"")</f>
        <v>11</v>
      </c>
      <c r="G97" s="42">
        <f>IFERROR(INDEX('Output Utente'!$O$2:$O$492,MATCH(94,'Output Utente'!$Q$2:$Q$492,0)),"")</f>
        <v>33</v>
      </c>
      <c r="H97" s="5" t="str">
        <f>IFERROR(INDEX('Output Utente'!$P$2:$P$492,MATCH(94,'Output Utente'!$Q$2:$Q$492,0)),"")</f>
        <v>Top</v>
      </c>
      <c r="I97" s="42">
        <f>IFERROR(INDEX('Output Utente'!$F$2:$F$492,MATCH(94,'Output Utente'!$Q$2:$Q$492,0)),"")</f>
        <v>23</v>
      </c>
      <c r="J97" s="42">
        <f>IFERROR(INDEX('Output Utente'!$G$2:$G$492,MATCH(94,'Output Utente'!$Q$2:$Q$492,0)),"")</f>
        <v>17</v>
      </c>
      <c r="K97" s="42">
        <f>IFERROR(INDEX('Output Utente'!$H$2:$H$492,MATCH(94,'Output Utente'!$Q$2:$Q$492,0)),"")</f>
        <v>25</v>
      </c>
      <c r="L97" s="5" t="str">
        <f>IFERROR(INDEX('Output Utente'!$E$2:$E$492,MATCH(94,'Output Utente'!$Q$2:$Q$492,0)),"")</f>
        <v>NO</v>
      </c>
      <c r="M97" s="5" t="str">
        <f>IFERROR(INDEX('Output Utente'!$U$2:$U$492,MATCH(94,'Output Utente'!$Q$2:$Q$492,0)),"")</f>
        <v>OK</v>
      </c>
      <c r="N97" s="5" t="str">
        <f>IFERROR(INDEX('Output Utente'!$AE$2:$AE$492,MATCH(94,'Output Utente'!$Q$2:$Q$492,0)),"")</f>
        <v>🔴 Non aspettare</v>
      </c>
    </row>
    <row r="98" spans="1:14" ht="15" customHeight="1" x14ac:dyDescent="0.25">
      <c r="A98" s="41">
        <v>95</v>
      </c>
      <c r="B98" s="5">
        <f>IFERROR(INDEX('Output Utente'!$A$2:$A$492,MATCH(95,'Output Utente'!$Q$2:$Q$492,0)),"")</f>
        <v>5514</v>
      </c>
      <c r="C98" s="5" t="str">
        <f>IFERROR(INDEX('Output Utente'!$B$2:$B$492,MATCH(95,'Output Utente'!$Q$2:$Q$492,0)),"")</f>
        <v>D</v>
      </c>
      <c r="D98" s="5" t="str">
        <f>IFERROR(INDEX('Output Utente'!$C$2:$C$492,MATCH(95,'Output Utente'!$Q$2:$Q$492,0)),"")</f>
        <v>Vasquez</v>
      </c>
      <c r="E98" s="5" t="str">
        <f>IFERROR(INDEX('Input Giocatori 2026_27'!$D$3:$D$493,MATCH($B98,'Input Giocatori 2026_27'!$A$3:$A$493,0)),"")</f>
        <v>Genoa</v>
      </c>
      <c r="F98" s="42">
        <f>IFERROR(INDEX('Output Utente'!$N$2:$N$492,MATCH(95,'Output Utente'!$Q$2:$Q$492,0)),"")</f>
        <v>9</v>
      </c>
      <c r="G98" s="42">
        <f>IFERROR(INDEX('Output Utente'!$O$2:$O$492,MATCH(95,'Output Utente'!$Q$2:$Q$492,0)),"")</f>
        <v>33</v>
      </c>
      <c r="H98" s="5" t="str">
        <f>IFERROR(INDEX('Output Utente'!$P$2:$P$492,MATCH(95,'Output Utente'!$Q$2:$Q$492,0)),"")</f>
        <v>Top</v>
      </c>
      <c r="I98" s="42">
        <f>IFERROR(INDEX('Output Utente'!$F$2:$F$492,MATCH(95,'Output Utente'!$Q$2:$Q$492,0)),"")</f>
        <v>23</v>
      </c>
      <c r="J98" s="42">
        <f>IFERROR(INDEX('Output Utente'!$G$2:$G$492,MATCH(95,'Output Utente'!$Q$2:$Q$492,0)),"")</f>
        <v>17</v>
      </c>
      <c r="K98" s="42">
        <f>IFERROR(INDEX('Output Utente'!$H$2:$H$492,MATCH(95,'Output Utente'!$Q$2:$Q$492,0)),"")</f>
        <v>25</v>
      </c>
      <c r="L98" s="5" t="str">
        <f>IFERROR(INDEX('Output Utente'!$E$2:$E$492,MATCH(95,'Output Utente'!$Q$2:$Q$492,0)),"")</f>
        <v>NO</v>
      </c>
      <c r="M98" s="5" t="str">
        <f>IFERROR(INDEX('Output Utente'!$U$2:$U$492,MATCH(95,'Output Utente'!$Q$2:$Q$492,0)),"")</f>
        <v>OK</v>
      </c>
      <c r="N98" s="5" t="str">
        <f>IFERROR(INDEX('Output Utente'!$AE$2:$AE$492,MATCH(95,'Output Utente'!$Q$2:$Q$492,0)),"")</f>
        <v>🔴 Non aspettare</v>
      </c>
    </row>
    <row r="99" spans="1:14" ht="15" customHeight="1" x14ac:dyDescent="0.25">
      <c r="A99" s="41">
        <v>96</v>
      </c>
      <c r="B99" s="5">
        <f>IFERROR(INDEX('Output Utente'!$A$2:$A$492,MATCH(96,'Output Utente'!$Q$2:$Q$492,0)),"")</f>
        <v>2155</v>
      </c>
      <c r="C99" s="5" t="str">
        <f>IFERROR(INDEX('Output Utente'!$B$2:$B$492,MATCH(96,'Output Utente'!$Q$2:$Q$492,0)),"")</f>
        <v>A</v>
      </c>
      <c r="D99" s="5" t="str">
        <f>IFERROR(INDEX('Output Utente'!$C$2:$C$492,MATCH(96,'Output Utente'!$Q$2:$Q$492,0)),"")</f>
        <v>Cutrone</v>
      </c>
      <c r="E99" s="5" t="str">
        <f>IFERROR(INDEX('Input Giocatori 2026_27'!$D$3:$D$493,MATCH($B99,'Input Giocatori 2026_27'!$A$3:$A$493,0)),"")</f>
        <v>Monza</v>
      </c>
      <c r="F99" s="42">
        <f>IFERROR(INDEX('Output Utente'!$N$2:$N$492,MATCH(96,'Output Utente'!$Q$2:$Q$492,0)),"")</f>
        <v>9</v>
      </c>
      <c r="G99" s="42">
        <f>IFERROR(INDEX('Output Utente'!$O$2:$O$492,MATCH(96,'Output Utente'!$Q$2:$Q$492,0)),"")</f>
        <v>33</v>
      </c>
      <c r="H99" s="5" t="str">
        <f>IFERROR(INDEX('Output Utente'!$P$2:$P$492,MATCH(96,'Output Utente'!$Q$2:$Q$492,0)),"")</f>
        <v>Nella Media</v>
      </c>
      <c r="I99" s="42">
        <f>IFERROR(INDEX('Output Utente'!$F$2:$F$492,MATCH(96,'Output Utente'!$Q$2:$Q$492,0)),"")</f>
        <v>10</v>
      </c>
      <c r="J99" s="42">
        <f>IFERROR(INDEX('Output Utente'!$G$2:$G$492,MATCH(96,'Output Utente'!$Q$2:$Q$492,0)),"")</f>
        <v>6</v>
      </c>
      <c r="K99" s="42">
        <f>IFERROR(INDEX('Output Utente'!$H$2:$H$492,MATCH(96,'Output Utente'!$Q$2:$Q$492,0)),"")</f>
        <v>12</v>
      </c>
      <c r="L99" s="5" t="str">
        <f>IFERROR(INDEX('Output Utente'!$E$2:$E$492,MATCH(96,'Output Utente'!$Q$2:$Q$492,0)),"")</f>
        <v>NO</v>
      </c>
      <c r="M99" s="5" t="str">
        <f>IFERROR(INDEX('Output Utente'!$U$2:$U$492,MATCH(96,'Output Utente'!$Q$2:$Q$492,0)),"")</f>
        <v>OK</v>
      </c>
      <c r="N99" s="5" t="str">
        <f>IFERROR(INDEX('Output Utente'!$AE$2:$AE$492,MATCH(96,'Output Utente'!$Q$2:$Q$492,0)),"")</f>
        <v>🔴 Non aspettare</v>
      </c>
    </row>
    <row r="100" spans="1:14" ht="15" customHeight="1" x14ac:dyDescent="0.25">
      <c r="A100" s="41">
        <v>97</v>
      </c>
      <c r="B100" s="5">
        <f>IFERROR(INDEX('Output Utente'!$A$2:$A$492,MATCH(97,'Output Utente'!$Q$2:$Q$492,0)),"")</f>
        <v>6869</v>
      </c>
      <c r="C100" s="5" t="str">
        <f>IFERROR(INDEX('Output Utente'!$B$2:$B$492,MATCH(97,'Output Utente'!$Q$2:$Q$492,0)),"")</f>
        <v>D</v>
      </c>
      <c r="D100" s="5" t="str">
        <f>IFERROR(INDEX('Output Utente'!$C$2:$C$492,MATCH(97,'Output Utente'!$Q$2:$Q$492,0)),"")</f>
        <v>Ramon</v>
      </c>
      <c r="E100" s="5" t="str">
        <f>IFERROR(INDEX('Input Giocatori 2026_27'!$D$3:$D$493,MATCH($B100,'Input Giocatori 2026_27'!$A$3:$A$493,0)),"")</f>
        <v>Como</v>
      </c>
      <c r="F100" s="42">
        <f>IFERROR(INDEX('Output Utente'!$N$2:$N$492,MATCH(97,'Output Utente'!$Q$2:$Q$492,0)),"")</f>
        <v>10</v>
      </c>
      <c r="G100" s="42">
        <f>IFERROR(INDEX('Output Utente'!$O$2:$O$492,MATCH(97,'Output Utente'!$Q$2:$Q$492,0)),"")</f>
        <v>32</v>
      </c>
      <c r="H100" s="5" t="str">
        <f>IFERROR(INDEX('Output Utente'!$P$2:$P$492,MATCH(97,'Output Utente'!$Q$2:$Q$492,0)),"")</f>
        <v>Top</v>
      </c>
      <c r="I100" s="42">
        <f>IFERROR(INDEX('Output Utente'!$F$2:$F$492,MATCH(97,'Output Utente'!$Q$2:$Q$492,0)),"")</f>
        <v>22</v>
      </c>
      <c r="J100" s="42">
        <f>IFERROR(INDEX('Output Utente'!$G$2:$G$492,MATCH(97,'Output Utente'!$Q$2:$Q$492,0)),"")</f>
        <v>16</v>
      </c>
      <c r="K100" s="42">
        <f>IFERROR(INDEX('Output Utente'!$H$2:$H$492,MATCH(97,'Output Utente'!$Q$2:$Q$492,0)),"")</f>
        <v>24</v>
      </c>
      <c r="L100" s="5" t="str">
        <f>IFERROR(INDEX('Output Utente'!$E$2:$E$492,MATCH(97,'Output Utente'!$Q$2:$Q$492,0)),"")</f>
        <v>NO</v>
      </c>
      <c r="M100" s="5" t="str">
        <f>IFERROR(INDEX('Output Utente'!$U$2:$U$492,MATCH(97,'Output Utente'!$Q$2:$Q$492,0)),"")</f>
        <v>OK</v>
      </c>
      <c r="N100" s="5" t="str">
        <f>IFERROR(INDEX('Output Utente'!$AE$2:$AE$492,MATCH(97,'Output Utente'!$Q$2:$Q$492,0)),"")</f>
        <v>🔴 Non aspettare</v>
      </c>
    </row>
    <row r="101" spans="1:14" ht="15" customHeight="1" x14ac:dyDescent="0.25">
      <c r="A101" s="41">
        <v>98</v>
      </c>
      <c r="B101" s="5">
        <f>IFERROR(INDEX('Output Utente'!$A$2:$A$492,MATCH(98,'Output Utente'!$Q$2:$Q$492,0)),"")</f>
        <v>7129</v>
      </c>
      <c r="C101" s="5" t="str">
        <f>IFERROR(INDEX('Output Utente'!$B$2:$B$492,MATCH(98,'Output Utente'!$Q$2:$Q$492,0)),"")</f>
        <v>C</v>
      </c>
      <c r="D101" s="5" t="str">
        <f>IFERROR(INDEX('Output Utente'!$C$2:$C$492,MATCH(98,'Output Utente'!$Q$2:$Q$492,0)),"")</f>
        <v>Rodriguez Je.</v>
      </c>
      <c r="E101" s="5" t="str">
        <f>IFERROR(INDEX('Input Giocatori 2026_27'!$D$3:$D$493,MATCH($B101,'Input Giocatori 2026_27'!$A$3:$A$493,0)),"")</f>
        <v>Como</v>
      </c>
      <c r="F101" s="42">
        <f>IFERROR(INDEX('Output Utente'!$N$2:$N$492,MATCH(98,'Output Utente'!$Q$2:$Q$492,0)),"")</f>
        <v>12</v>
      </c>
      <c r="G101" s="42">
        <f>IFERROR(INDEX('Output Utente'!$O$2:$O$492,MATCH(98,'Output Utente'!$Q$2:$Q$492,0)),"")</f>
        <v>32</v>
      </c>
      <c r="H101" s="5" t="str">
        <f>IFERROR(INDEX('Output Utente'!$P$2:$P$492,MATCH(98,'Output Utente'!$Q$2:$Q$492,0)),"")</f>
        <v>Buono</v>
      </c>
      <c r="I101" s="42">
        <f>IFERROR(INDEX('Output Utente'!$F$2:$F$492,MATCH(98,'Output Utente'!$Q$2:$Q$492,0)),"")</f>
        <v>4</v>
      </c>
      <c r="J101" s="42">
        <f>IFERROR(INDEX('Output Utente'!$G$2:$G$492,MATCH(98,'Output Utente'!$Q$2:$Q$492,0)),"")</f>
        <v>3</v>
      </c>
      <c r="K101" s="42">
        <f>IFERROR(INDEX('Output Utente'!$H$2:$H$492,MATCH(98,'Output Utente'!$Q$2:$Q$492,0)),"")</f>
        <v>5</v>
      </c>
      <c r="L101" s="5" t="str">
        <f>IFERROR(INDEX('Output Utente'!$E$2:$E$492,MATCH(98,'Output Utente'!$Q$2:$Q$492,0)),"")</f>
        <v>NO</v>
      </c>
      <c r="M101" s="5" t="str">
        <f>IFERROR(INDEX('Output Utente'!$U$2:$U$492,MATCH(98,'Output Utente'!$Q$2:$Q$492,0)),"")</f>
        <v>OK</v>
      </c>
      <c r="N101" s="5" t="str">
        <f>IFERROR(INDEX('Output Utente'!$AE$2:$AE$492,MATCH(98,'Output Utente'!$Q$2:$Q$492,0)),"")</f>
        <v>🔴 Non aspettare</v>
      </c>
    </row>
    <row r="102" spans="1:14" ht="15" customHeight="1" x14ac:dyDescent="0.25">
      <c r="A102" s="41">
        <v>99</v>
      </c>
      <c r="B102" s="5">
        <f>IFERROR(INDEX('Output Utente'!$A$2:$A$492,MATCH(99,'Output Utente'!$Q$2:$Q$492,0)),"")</f>
        <v>2077</v>
      </c>
      <c r="C102" s="5" t="str">
        <f>IFERROR(INDEX('Output Utente'!$B$2:$B$492,MATCH(99,'Output Utente'!$Q$2:$Q$492,0)),"")</f>
        <v>C</v>
      </c>
      <c r="D102" s="5" t="str">
        <f>IFERROR(INDEX('Output Utente'!$C$2:$C$492,MATCH(99,'Output Utente'!$Q$2:$Q$492,0)),"")</f>
        <v>Pasalic</v>
      </c>
      <c r="E102" s="5" t="str">
        <f>IFERROR(INDEX('Input Giocatori 2026_27'!$D$3:$D$493,MATCH($B102,'Input Giocatori 2026_27'!$A$3:$A$493,0)),"")</f>
        <v>Atalanta</v>
      </c>
      <c r="F102" s="42">
        <f>IFERROR(INDEX('Output Utente'!$N$2:$N$492,MATCH(99,'Output Utente'!$Q$2:$Q$492,0)),"")</f>
        <v>9</v>
      </c>
      <c r="G102" s="42">
        <f>IFERROR(INDEX('Output Utente'!$O$2:$O$492,MATCH(99,'Output Utente'!$Q$2:$Q$492,0)),"")</f>
        <v>32</v>
      </c>
      <c r="H102" s="5" t="str">
        <f>IFERROR(INDEX('Output Utente'!$P$2:$P$492,MATCH(99,'Output Utente'!$Q$2:$Q$492,0)),"")</f>
        <v>Buono</v>
      </c>
      <c r="I102" s="42">
        <f>IFERROR(INDEX('Output Utente'!$F$2:$F$492,MATCH(99,'Output Utente'!$Q$2:$Q$492,0)),"")</f>
        <v>4</v>
      </c>
      <c r="J102" s="42">
        <f>IFERROR(INDEX('Output Utente'!$G$2:$G$492,MATCH(99,'Output Utente'!$Q$2:$Q$492,0)),"")</f>
        <v>3</v>
      </c>
      <c r="K102" s="42">
        <f>IFERROR(INDEX('Output Utente'!$H$2:$H$492,MATCH(99,'Output Utente'!$Q$2:$Q$492,0)),"")</f>
        <v>5</v>
      </c>
      <c r="L102" s="5" t="str">
        <f>IFERROR(INDEX('Output Utente'!$E$2:$E$492,MATCH(99,'Output Utente'!$Q$2:$Q$492,0)),"")</f>
        <v>NO</v>
      </c>
      <c r="M102" s="5" t="str">
        <f>IFERROR(INDEX('Output Utente'!$U$2:$U$492,MATCH(99,'Output Utente'!$Q$2:$Q$492,0)),"")</f>
        <v>OK</v>
      </c>
      <c r="N102" s="5" t="str">
        <f>IFERROR(INDEX('Output Utente'!$AE$2:$AE$492,MATCH(99,'Output Utente'!$Q$2:$Q$492,0)),"")</f>
        <v>🔴 Non aspettare</v>
      </c>
    </row>
    <row r="103" spans="1:14" ht="15" customHeight="1" x14ac:dyDescent="0.25">
      <c r="A103" s="41">
        <v>100</v>
      </c>
      <c r="B103" s="5">
        <f>IFERROR(INDEX('Output Utente'!$A$2:$A$492,MATCH(100,'Output Utente'!$Q$2:$Q$492,0)),"")</f>
        <v>827</v>
      </c>
      <c r="C103" s="5" t="str">
        <f>IFERROR(INDEX('Output Utente'!$B$2:$B$492,MATCH(100,'Output Utente'!$Q$2:$Q$492,0)),"")</f>
        <v>C</v>
      </c>
      <c r="D103" s="5" t="str">
        <f>IFERROR(INDEX('Output Utente'!$C$2:$C$492,MATCH(100,'Output Utente'!$Q$2:$Q$492,0)),"")</f>
        <v>Locatelli</v>
      </c>
      <c r="E103" s="5" t="str">
        <f>IFERROR(INDEX('Input Giocatori 2026_27'!$D$3:$D$493,MATCH($B103,'Input Giocatori 2026_27'!$A$3:$A$493,0)),"")</f>
        <v>Juventus</v>
      </c>
      <c r="F103" s="42">
        <f>IFERROR(INDEX('Output Utente'!$N$2:$N$492,MATCH(100,'Output Utente'!$Q$2:$Q$492,0)),"")</f>
        <v>8</v>
      </c>
      <c r="G103" s="42">
        <f>IFERROR(INDEX('Output Utente'!$O$2:$O$492,MATCH(100,'Output Utente'!$Q$2:$Q$492,0)),"")</f>
        <v>32</v>
      </c>
      <c r="H103" s="5" t="str">
        <f>IFERROR(INDEX('Output Utente'!$P$2:$P$492,MATCH(100,'Output Utente'!$Q$2:$Q$492,0)),"")</f>
        <v>Buono</v>
      </c>
      <c r="I103" s="42">
        <f>IFERROR(INDEX('Output Utente'!$F$2:$F$492,MATCH(100,'Output Utente'!$Q$2:$Q$492,0)),"")</f>
        <v>4</v>
      </c>
      <c r="J103" s="42">
        <f>IFERROR(INDEX('Output Utente'!$G$2:$G$492,MATCH(100,'Output Utente'!$Q$2:$Q$492,0)),"")</f>
        <v>3</v>
      </c>
      <c r="K103" s="42">
        <f>IFERROR(INDEX('Output Utente'!$H$2:$H$492,MATCH(100,'Output Utente'!$Q$2:$Q$492,0)),"")</f>
        <v>5</v>
      </c>
      <c r="L103" s="5" t="str">
        <f>IFERROR(INDEX('Output Utente'!$E$2:$E$492,MATCH(100,'Output Utente'!$Q$2:$Q$492,0)),"")</f>
        <v>NO</v>
      </c>
      <c r="M103" s="5" t="str">
        <f>IFERROR(INDEX('Output Utente'!$U$2:$U$492,MATCH(100,'Output Utente'!$Q$2:$Q$492,0)),"")</f>
        <v>OK</v>
      </c>
      <c r="N103" s="5" t="str">
        <f>IFERROR(INDEX('Output Utente'!$AE$2:$AE$492,MATCH(100,'Output Utente'!$Q$2:$Q$492,0)),"")</f>
        <v>🔴 Non aspettare</v>
      </c>
    </row>
    <row r="104" spans="1:14" ht="15" customHeight="1" x14ac:dyDescent="0.25">
      <c r="A104" s="41">
        <v>101</v>
      </c>
      <c r="B104" s="5">
        <f>IFERROR(INDEX('Output Utente'!$A$2:$A$492,MATCH(101,'Output Utente'!$Q$2:$Q$492,0)),"")</f>
        <v>7313</v>
      </c>
      <c r="C104" s="5" t="str">
        <f>IFERROR(INDEX('Output Utente'!$B$2:$B$492,MATCH(101,'Output Utente'!$Q$2:$Q$492,0)),"")</f>
        <v>A</v>
      </c>
      <c r="D104" s="5" t="str">
        <f>IFERROR(INDEX('Output Utente'!$C$2:$C$492,MATCH(101,'Output Utente'!$Q$2:$Q$492,0)),"")</f>
        <v>Ratkov</v>
      </c>
      <c r="E104" s="5" t="str">
        <f>IFERROR(INDEX('Input Giocatori 2026_27'!$D$3:$D$493,MATCH($B104,'Input Giocatori 2026_27'!$A$3:$A$493,0)),"")</f>
        <v>Lazio</v>
      </c>
      <c r="F104" s="42">
        <f>IFERROR(INDEX('Output Utente'!$N$2:$N$492,MATCH(101,'Output Utente'!$Q$2:$Q$492,0)),"")</f>
        <v>10</v>
      </c>
      <c r="G104" s="42">
        <f>IFERROR(INDEX('Output Utente'!$O$2:$O$492,MATCH(101,'Output Utente'!$Q$2:$Q$492,0)),"")</f>
        <v>32</v>
      </c>
      <c r="H104" s="5" t="str">
        <f>IFERROR(INDEX('Output Utente'!$P$2:$P$492,MATCH(101,'Output Utente'!$Q$2:$Q$492,0)),"")</f>
        <v>Nella Media</v>
      </c>
      <c r="I104" s="42">
        <f>IFERROR(INDEX('Output Utente'!$F$2:$F$492,MATCH(101,'Output Utente'!$Q$2:$Q$492,0)),"")</f>
        <v>10</v>
      </c>
      <c r="J104" s="42">
        <f>IFERROR(INDEX('Output Utente'!$G$2:$G$492,MATCH(101,'Output Utente'!$Q$2:$Q$492,0)),"")</f>
        <v>6</v>
      </c>
      <c r="K104" s="42">
        <f>IFERROR(INDEX('Output Utente'!$H$2:$H$492,MATCH(101,'Output Utente'!$Q$2:$Q$492,0)),"")</f>
        <v>12</v>
      </c>
      <c r="L104" s="5" t="str">
        <f>IFERROR(INDEX('Output Utente'!$E$2:$E$492,MATCH(101,'Output Utente'!$Q$2:$Q$492,0)),"")</f>
        <v>NO</v>
      </c>
      <c r="M104" s="5" t="str">
        <f>IFERROR(INDEX('Output Utente'!$U$2:$U$492,MATCH(101,'Output Utente'!$Q$2:$Q$492,0)),"")</f>
        <v>OK</v>
      </c>
      <c r="N104" s="5" t="str">
        <f>IFERROR(INDEX('Output Utente'!$AE$2:$AE$492,MATCH(101,'Output Utente'!$Q$2:$Q$492,0)),"")</f>
        <v>🔴 Non aspettare</v>
      </c>
    </row>
    <row r="105" spans="1:14" ht="15" customHeight="1" x14ac:dyDescent="0.25">
      <c r="A105" s="41">
        <v>102</v>
      </c>
      <c r="B105" s="5">
        <f>IFERROR(INDEX('Output Utente'!$A$2:$A$492,MATCH(102,'Output Utente'!$Q$2:$Q$492,0)),"")</f>
        <v>6646</v>
      </c>
      <c r="C105" s="5" t="str">
        <f>IFERROR(INDEX('Output Utente'!$B$2:$B$492,MATCH(102,'Output Utente'!$Q$2:$Q$492,0)),"")</f>
        <v>A</v>
      </c>
      <c r="D105" s="5" t="str">
        <f>IFERROR(INDEX('Output Utente'!$C$2:$C$492,MATCH(102,'Output Utente'!$Q$2:$Q$492,0)),"")</f>
        <v>Adams C.</v>
      </c>
      <c r="E105" s="5" t="str">
        <f>IFERROR(INDEX('Input Giocatori 2026_27'!$D$3:$D$493,MATCH($B105,'Input Giocatori 2026_27'!$A$3:$A$493,0)),"")</f>
        <v>Torino</v>
      </c>
      <c r="F105" s="42">
        <f>IFERROR(INDEX('Output Utente'!$N$2:$N$492,MATCH(102,'Output Utente'!$Q$2:$Q$492,0)),"")</f>
        <v>9</v>
      </c>
      <c r="G105" s="42">
        <f>IFERROR(INDEX('Output Utente'!$O$2:$O$492,MATCH(102,'Output Utente'!$Q$2:$Q$492,0)),"")</f>
        <v>32</v>
      </c>
      <c r="H105" s="5" t="str">
        <f>IFERROR(INDEX('Output Utente'!$P$2:$P$492,MATCH(102,'Output Utente'!$Q$2:$Q$492,0)),"")</f>
        <v>Nella Media</v>
      </c>
      <c r="I105" s="42">
        <f>IFERROR(INDEX('Output Utente'!$F$2:$F$492,MATCH(102,'Output Utente'!$Q$2:$Q$492,0)),"")</f>
        <v>10</v>
      </c>
      <c r="J105" s="42">
        <f>IFERROR(INDEX('Output Utente'!$G$2:$G$492,MATCH(102,'Output Utente'!$Q$2:$Q$492,0)),"")</f>
        <v>6</v>
      </c>
      <c r="K105" s="42">
        <f>IFERROR(INDEX('Output Utente'!$H$2:$H$492,MATCH(102,'Output Utente'!$Q$2:$Q$492,0)),"")</f>
        <v>12</v>
      </c>
      <c r="L105" s="5" t="str">
        <f>IFERROR(INDEX('Output Utente'!$E$2:$E$492,MATCH(102,'Output Utente'!$Q$2:$Q$492,0)),"")</f>
        <v>NO</v>
      </c>
      <c r="M105" s="5" t="str">
        <f>IFERROR(INDEX('Output Utente'!$U$2:$U$492,MATCH(102,'Output Utente'!$Q$2:$Q$492,0)),"")</f>
        <v>OK</v>
      </c>
      <c r="N105" s="5" t="str">
        <f>IFERROR(INDEX('Output Utente'!$AE$2:$AE$492,MATCH(102,'Output Utente'!$Q$2:$Q$492,0)),"")</f>
        <v>🔴 Non aspettare</v>
      </c>
    </row>
    <row r="106" spans="1:14" ht="15" customHeight="1" x14ac:dyDescent="0.25">
      <c r="A106" s="41">
        <v>103</v>
      </c>
      <c r="B106" s="5">
        <f>IFERROR(INDEX('Output Utente'!$A$2:$A$492,MATCH(103,'Output Utente'!$Q$2:$Q$492,0)),"")</f>
        <v>5833</v>
      </c>
      <c r="C106" s="5" t="str">
        <f>IFERROR(INDEX('Output Utente'!$B$2:$B$492,MATCH(103,'Output Utente'!$Q$2:$Q$492,0)),"")</f>
        <v>D</v>
      </c>
      <c r="D106" s="5" t="str">
        <f>IFERROR(INDEX('Output Utente'!$C$2:$C$492,MATCH(103,'Output Utente'!$Q$2:$Q$492,0)),"")</f>
        <v>Gila</v>
      </c>
      <c r="E106" s="5" t="str">
        <f>IFERROR(INDEX('Input Giocatori 2026_27'!$D$3:$D$493,MATCH($B106,'Input Giocatori 2026_27'!$A$3:$A$493,0)),"")</f>
        <v>Milan</v>
      </c>
      <c r="F106" s="42">
        <f>IFERROR(INDEX('Output Utente'!$N$2:$N$492,MATCH(103,'Output Utente'!$Q$2:$Q$492,0)),"")</f>
        <v>12</v>
      </c>
      <c r="G106" s="42">
        <f>IFERROR(INDEX('Output Utente'!$O$2:$O$492,MATCH(103,'Output Utente'!$Q$2:$Q$492,0)),"")</f>
        <v>31</v>
      </c>
      <c r="H106" s="5" t="str">
        <f>IFERROR(INDEX('Output Utente'!$P$2:$P$492,MATCH(103,'Output Utente'!$Q$2:$Q$492,0)),"")</f>
        <v>Top</v>
      </c>
      <c r="I106" s="42">
        <f>IFERROR(INDEX('Output Utente'!$F$2:$F$492,MATCH(103,'Output Utente'!$Q$2:$Q$492,0)),"")</f>
        <v>21</v>
      </c>
      <c r="J106" s="42">
        <f>IFERROR(INDEX('Output Utente'!$G$2:$G$492,MATCH(103,'Output Utente'!$Q$2:$Q$492,0)),"")</f>
        <v>16</v>
      </c>
      <c r="K106" s="42">
        <f>IFERROR(INDEX('Output Utente'!$H$2:$H$492,MATCH(103,'Output Utente'!$Q$2:$Q$492,0)),"")</f>
        <v>23</v>
      </c>
      <c r="L106" s="5" t="str">
        <f>IFERROR(INDEX('Output Utente'!$E$2:$E$492,MATCH(103,'Output Utente'!$Q$2:$Q$492,0)),"")</f>
        <v>NO</v>
      </c>
      <c r="M106" s="5" t="str">
        <f>IFERROR(INDEX('Output Utente'!$U$2:$U$492,MATCH(103,'Output Utente'!$Q$2:$Q$492,0)),"")</f>
        <v>OK</v>
      </c>
      <c r="N106" s="5" t="str">
        <f>IFERROR(INDEX('Output Utente'!$AE$2:$AE$492,MATCH(103,'Output Utente'!$Q$2:$Q$492,0)),"")</f>
        <v>🔴 Non aspettare</v>
      </c>
    </row>
    <row r="107" spans="1:14" ht="15" customHeight="1" x14ac:dyDescent="0.25">
      <c r="A107" s="41">
        <v>104</v>
      </c>
      <c r="B107" s="5">
        <f>IFERROR(INDEX('Output Utente'!$A$2:$A$492,MATCH(104,'Output Utente'!$Q$2:$Q$492,0)),"")</f>
        <v>5672</v>
      </c>
      <c r="C107" s="5" t="str">
        <f>IFERROR(INDEX('Output Utente'!$B$2:$B$492,MATCH(104,'Output Utente'!$Q$2:$Q$492,0)),"")</f>
        <v>A</v>
      </c>
      <c r="D107" s="5" t="str">
        <f>IFERROR(INDEX('Output Utente'!$C$2:$C$492,MATCH(104,'Output Utente'!$Q$2:$Q$492,0)),"")</f>
        <v>Dia</v>
      </c>
      <c r="E107" s="5" t="str">
        <f>IFERROR(INDEX('Input Giocatori 2026_27'!$D$3:$D$493,MATCH($B107,'Input Giocatori 2026_27'!$A$3:$A$493,0)),"")</f>
        <v>Lazio</v>
      </c>
      <c r="F107" s="42">
        <f>IFERROR(INDEX('Output Utente'!$N$2:$N$492,MATCH(104,'Output Utente'!$Q$2:$Q$492,0)),"")</f>
        <v>10</v>
      </c>
      <c r="G107" s="42">
        <f>IFERROR(INDEX('Output Utente'!$O$2:$O$492,MATCH(104,'Output Utente'!$Q$2:$Q$492,0)),"")</f>
        <v>31</v>
      </c>
      <c r="H107" s="5" t="str">
        <f>IFERROR(INDEX('Output Utente'!$P$2:$P$492,MATCH(104,'Output Utente'!$Q$2:$Q$492,0)),"")</f>
        <v>Nella Media</v>
      </c>
      <c r="I107" s="42">
        <f>IFERROR(INDEX('Output Utente'!$F$2:$F$492,MATCH(104,'Output Utente'!$Q$2:$Q$492,0)),"")</f>
        <v>10</v>
      </c>
      <c r="J107" s="42">
        <f>IFERROR(INDEX('Output Utente'!$G$2:$G$492,MATCH(104,'Output Utente'!$Q$2:$Q$492,0)),"")</f>
        <v>6</v>
      </c>
      <c r="K107" s="42">
        <f>IFERROR(INDEX('Output Utente'!$H$2:$H$492,MATCH(104,'Output Utente'!$Q$2:$Q$492,0)),"")</f>
        <v>11</v>
      </c>
      <c r="L107" s="5" t="str">
        <f>IFERROR(INDEX('Output Utente'!$E$2:$E$492,MATCH(104,'Output Utente'!$Q$2:$Q$492,0)),"")</f>
        <v>NO</v>
      </c>
      <c r="M107" s="5" t="str">
        <f>IFERROR(INDEX('Output Utente'!$U$2:$U$492,MATCH(104,'Output Utente'!$Q$2:$Q$492,0)),"")</f>
        <v>OK</v>
      </c>
      <c r="N107" s="5" t="str">
        <f>IFERROR(INDEX('Output Utente'!$AE$2:$AE$492,MATCH(104,'Output Utente'!$Q$2:$Q$492,0)),"")</f>
        <v>🔴 Non aspettare</v>
      </c>
    </row>
    <row r="108" spans="1:14" ht="15" customHeight="1" x14ac:dyDescent="0.25">
      <c r="A108" s="41">
        <v>105</v>
      </c>
      <c r="B108" s="5">
        <f>IFERROR(INDEX('Output Utente'!$A$2:$A$492,MATCH(105,'Output Utente'!$Q$2:$Q$492,0)),"")</f>
        <v>6482</v>
      </c>
      <c r="C108" s="5" t="str">
        <f>IFERROR(INDEX('Output Utente'!$B$2:$B$492,MATCH(105,'Output Utente'!$Q$2:$Q$492,0)),"")</f>
        <v>P</v>
      </c>
      <c r="D108" s="5" t="str">
        <f>IFERROR(INDEX('Output Utente'!$C$2:$C$492,MATCH(105,'Output Utente'!$Q$2:$Q$492,0)),"")</f>
        <v>Mandas</v>
      </c>
      <c r="E108" s="5" t="str">
        <f>IFERROR(INDEX('Input Giocatori 2026_27'!$D$3:$D$493,MATCH($B108,'Input Giocatori 2026_27'!$A$3:$A$493,0)),"")</f>
        <v>Lazio</v>
      </c>
      <c r="F108" s="42">
        <f>IFERROR(INDEX('Output Utente'!$N$2:$N$492,MATCH(105,'Output Utente'!$Q$2:$Q$492,0)),"")</f>
        <v>9</v>
      </c>
      <c r="G108" s="42">
        <f>IFERROR(INDEX('Output Utente'!$O$2:$O$492,MATCH(105,'Output Utente'!$Q$2:$Q$492,0)),"")</f>
        <v>30</v>
      </c>
      <c r="H108" s="5" t="str">
        <f>IFERROR(INDEX('Output Utente'!$P$2:$P$492,MATCH(105,'Output Utente'!$Q$2:$Q$492,0)),"")</f>
        <v>Buono</v>
      </c>
      <c r="I108" s="42">
        <f>IFERROR(INDEX('Output Utente'!$F$2:$F$492,MATCH(105,'Output Utente'!$Q$2:$Q$492,0)),"")</f>
        <v>10</v>
      </c>
      <c r="J108" s="42">
        <f>IFERROR(INDEX('Output Utente'!$G$2:$G$492,MATCH(105,'Output Utente'!$Q$2:$Q$492,0)),"")</f>
        <v>8</v>
      </c>
      <c r="K108" s="42">
        <f>IFERROR(INDEX('Output Utente'!$H$2:$H$492,MATCH(105,'Output Utente'!$Q$2:$Q$492,0)),"")</f>
        <v>11</v>
      </c>
      <c r="L108" s="5" t="str">
        <f>IFERROR(INDEX('Output Utente'!$E$2:$E$492,MATCH(105,'Output Utente'!$Q$2:$Q$492,0)),"")</f>
        <v>NO</v>
      </c>
      <c r="M108" s="5" t="str">
        <f>IFERROR(INDEX('Output Utente'!$U$2:$U$492,MATCH(105,'Output Utente'!$Q$2:$Q$492,0)),"")</f>
        <v>OK</v>
      </c>
      <c r="N108" s="5" t="str">
        <f>IFERROR(INDEX('Output Utente'!$AE$2:$AE$492,MATCH(105,'Output Utente'!$Q$2:$Q$492,0)),"")</f>
        <v>🔴 Non aspettare</v>
      </c>
    </row>
    <row r="109" spans="1:14" ht="15" customHeight="1" x14ac:dyDescent="0.25">
      <c r="A109" s="41">
        <v>106</v>
      </c>
      <c r="B109" s="5">
        <f>IFERROR(INDEX('Output Utente'!$A$2:$A$492,MATCH(106,'Output Utente'!$Q$2:$Q$492,0)),"")</f>
        <v>5885</v>
      </c>
      <c r="C109" s="5" t="str">
        <f>IFERROR(INDEX('Output Utente'!$B$2:$B$492,MATCH(106,'Output Utente'!$Q$2:$Q$492,0)),"")</f>
        <v>D</v>
      </c>
      <c r="D109" s="5" t="str">
        <f>IFERROR(INDEX('Output Utente'!$C$2:$C$492,MATCH(106,'Output Utente'!$Q$2:$Q$492,0)),"")</f>
        <v>Dodò</v>
      </c>
      <c r="E109" s="5" t="str">
        <f>IFERROR(INDEX('Input Giocatori 2026_27'!$D$3:$D$493,MATCH($B109,'Input Giocatori 2026_27'!$A$3:$A$493,0)),"")</f>
        <v>Fiorentina</v>
      </c>
      <c r="F109" s="42">
        <f>IFERROR(INDEX('Output Utente'!$N$2:$N$492,MATCH(106,'Output Utente'!$Q$2:$Q$492,0)),"")</f>
        <v>10</v>
      </c>
      <c r="G109" s="42">
        <f>IFERROR(INDEX('Output Utente'!$O$2:$O$492,MATCH(106,'Output Utente'!$Q$2:$Q$492,0)),"")</f>
        <v>30</v>
      </c>
      <c r="H109" s="5" t="str">
        <f>IFERROR(INDEX('Output Utente'!$P$2:$P$492,MATCH(106,'Output Utente'!$Q$2:$Q$492,0)),"")</f>
        <v>Buono</v>
      </c>
      <c r="I109" s="42">
        <f>IFERROR(INDEX('Output Utente'!$F$2:$F$492,MATCH(106,'Output Utente'!$Q$2:$Q$492,0)),"")</f>
        <v>21</v>
      </c>
      <c r="J109" s="42">
        <f>IFERROR(INDEX('Output Utente'!$G$2:$G$492,MATCH(106,'Output Utente'!$Q$2:$Q$492,0)),"")</f>
        <v>15</v>
      </c>
      <c r="K109" s="42">
        <f>IFERROR(INDEX('Output Utente'!$H$2:$H$492,MATCH(106,'Output Utente'!$Q$2:$Q$492,0)),"")</f>
        <v>23</v>
      </c>
      <c r="L109" s="5" t="str">
        <f>IFERROR(INDEX('Output Utente'!$E$2:$E$492,MATCH(106,'Output Utente'!$Q$2:$Q$492,0)),"")</f>
        <v>NO</v>
      </c>
      <c r="M109" s="5" t="str">
        <f>IFERROR(INDEX('Output Utente'!$U$2:$U$492,MATCH(106,'Output Utente'!$Q$2:$Q$492,0)),"")</f>
        <v>OK</v>
      </c>
      <c r="N109" s="5" t="str">
        <f>IFERROR(INDEX('Output Utente'!$AE$2:$AE$492,MATCH(106,'Output Utente'!$Q$2:$Q$492,0)),"")</f>
        <v>🔴 Non aspettare</v>
      </c>
    </row>
    <row r="110" spans="1:14" ht="15" customHeight="1" x14ac:dyDescent="0.25">
      <c r="A110" s="41">
        <v>107</v>
      </c>
      <c r="B110" s="5">
        <f>IFERROR(INDEX('Output Utente'!$A$2:$A$492,MATCH(107,'Output Utente'!$Q$2:$Q$492,0)),"")</f>
        <v>5823</v>
      </c>
      <c r="C110" s="5" t="str">
        <f>IFERROR(INDEX('Output Utente'!$B$2:$B$492,MATCH(107,'Output Utente'!$Q$2:$Q$492,0)),"")</f>
        <v>C</v>
      </c>
      <c r="D110" s="5" t="str">
        <f>IFERROR(INDEX('Output Utente'!$C$2:$C$492,MATCH(107,'Output Utente'!$Q$2:$Q$492,0)),"")</f>
        <v>Baldanzi</v>
      </c>
      <c r="E110" s="5" t="str">
        <f>IFERROR(INDEX('Input Giocatori 2026_27'!$D$3:$D$493,MATCH($B110,'Input Giocatori 2026_27'!$A$3:$A$493,0)),"")</f>
        <v>Genoa</v>
      </c>
      <c r="F110" s="42">
        <f>IFERROR(INDEX('Output Utente'!$N$2:$N$492,MATCH(107,'Output Utente'!$Q$2:$Q$492,0)),"")</f>
        <v>11</v>
      </c>
      <c r="G110" s="42">
        <f>IFERROR(INDEX('Output Utente'!$O$2:$O$492,MATCH(107,'Output Utente'!$Q$2:$Q$492,0)),"")</f>
        <v>30</v>
      </c>
      <c r="H110" s="5" t="str">
        <f>IFERROR(INDEX('Output Utente'!$P$2:$P$492,MATCH(107,'Output Utente'!$Q$2:$Q$492,0)),"")</f>
        <v>Buono</v>
      </c>
      <c r="I110" s="42">
        <f>IFERROR(INDEX('Output Utente'!$F$2:$F$492,MATCH(107,'Output Utente'!$Q$2:$Q$492,0)),"")</f>
        <v>4</v>
      </c>
      <c r="J110" s="42">
        <f>IFERROR(INDEX('Output Utente'!$G$2:$G$492,MATCH(107,'Output Utente'!$Q$2:$Q$492,0)),"")</f>
        <v>3</v>
      </c>
      <c r="K110" s="42">
        <f>IFERROR(INDEX('Output Utente'!$H$2:$H$492,MATCH(107,'Output Utente'!$Q$2:$Q$492,0)),"")</f>
        <v>4</v>
      </c>
      <c r="L110" s="5" t="str">
        <f>IFERROR(INDEX('Output Utente'!$E$2:$E$492,MATCH(107,'Output Utente'!$Q$2:$Q$492,0)),"")</f>
        <v>NO</v>
      </c>
      <c r="M110" s="5" t="str">
        <f>IFERROR(INDEX('Output Utente'!$U$2:$U$492,MATCH(107,'Output Utente'!$Q$2:$Q$492,0)),"")</f>
        <v>OK</v>
      </c>
      <c r="N110" s="5" t="str">
        <f>IFERROR(INDEX('Output Utente'!$AE$2:$AE$492,MATCH(107,'Output Utente'!$Q$2:$Q$492,0)),"")</f>
        <v>🔴 Non aspettare</v>
      </c>
    </row>
    <row r="111" spans="1:14" ht="15" customHeight="1" x14ac:dyDescent="0.25">
      <c r="A111" s="41">
        <v>108</v>
      </c>
      <c r="B111" s="5">
        <f>IFERROR(INDEX('Output Utente'!$A$2:$A$492,MATCH(108,'Output Utente'!$Q$2:$Q$492,0)),"")</f>
        <v>6530</v>
      </c>
      <c r="C111" s="5" t="str">
        <f>IFERROR(INDEX('Output Utente'!$B$2:$B$492,MATCH(108,'Output Utente'!$Q$2:$Q$492,0)),"")</f>
        <v>A</v>
      </c>
      <c r="D111" s="5" t="str">
        <f>IFERROR(INDEX('Output Utente'!$C$2:$C$492,MATCH(108,'Output Utente'!$Q$2:$Q$492,0)),"")</f>
        <v>Ghedjemis</v>
      </c>
      <c r="E111" s="5" t="str">
        <f>IFERROR(INDEX('Input Giocatori 2026_27'!$D$3:$D$493,MATCH($B111,'Input Giocatori 2026_27'!$A$3:$A$493,0)),"")</f>
        <v>Frosinone</v>
      </c>
      <c r="F111" s="42">
        <f>IFERROR(INDEX('Output Utente'!$N$2:$N$492,MATCH(108,'Output Utente'!$Q$2:$Q$492,0)),"")</f>
        <v>9</v>
      </c>
      <c r="G111" s="42">
        <f>IFERROR(INDEX('Output Utente'!$O$2:$O$492,MATCH(108,'Output Utente'!$Q$2:$Q$492,0)),"")</f>
        <v>30</v>
      </c>
      <c r="H111" s="5" t="str">
        <f>IFERROR(INDEX('Output Utente'!$P$2:$P$492,MATCH(108,'Output Utente'!$Q$2:$Q$492,0)),"")</f>
        <v>Nella Media</v>
      </c>
      <c r="I111" s="42">
        <f>IFERROR(INDEX('Output Utente'!$F$2:$F$492,MATCH(108,'Output Utente'!$Q$2:$Q$492,0)),"")</f>
        <v>10</v>
      </c>
      <c r="J111" s="42">
        <f>IFERROR(INDEX('Output Utente'!$G$2:$G$492,MATCH(108,'Output Utente'!$Q$2:$Q$492,0)),"")</f>
        <v>6</v>
      </c>
      <c r="K111" s="42">
        <f>IFERROR(INDEX('Output Utente'!$H$2:$H$492,MATCH(108,'Output Utente'!$Q$2:$Q$492,0)),"")</f>
        <v>11</v>
      </c>
      <c r="L111" s="5" t="str">
        <f>IFERROR(INDEX('Output Utente'!$E$2:$E$492,MATCH(108,'Output Utente'!$Q$2:$Q$492,0)),"")</f>
        <v>NO</v>
      </c>
      <c r="M111" s="5" t="str">
        <f>IFERROR(INDEX('Output Utente'!$U$2:$U$492,MATCH(108,'Output Utente'!$Q$2:$Q$492,0)),"")</f>
        <v>OK</v>
      </c>
      <c r="N111" s="5" t="str">
        <f>IFERROR(INDEX('Output Utente'!$AE$2:$AE$492,MATCH(108,'Output Utente'!$Q$2:$Q$492,0)),"")</f>
        <v>🔴 Non aspettare</v>
      </c>
    </row>
    <row r="112" spans="1:14" ht="15" customHeight="1" x14ac:dyDescent="0.25">
      <c r="A112" s="41">
        <v>109</v>
      </c>
      <c r="B112" s="5">
        <f>IFERROR(INDEX('Output Utente'!$A$2:$A$492,MATCH(109,'Output Utente'!$Q$2:$Q$492,0)),"")</f>
        <v>6462</v>
      </c>
      <c r="C112" s="5" t="str">
        <f>IFERROR(INDEX('Output Utente'!$B$2:$B$492,MATCH(109,'Output Utente'!$Q$2:$Q$492,0)),"")</f>
        <v>P</v>
      </c>
      <c r="D112" s="5" t="str">
        <f>IFERROR(INDEX('Output Utente'!$C$2:$C$492,MATCH(109,'Output Utente'!$Q$2:$Q$492,0)),"")</f>
        <v>Okoye</v>
      </c>
      <c r="E112" s="5" t="str">
        <f>IFERROR(INDEX('Input Giocatori 2026_27'!$D$3:$D$493,MATCH($B112,'Input Giocatori 2026_27'!$A$3:$A$493,0)),"")</f>
        <v>Udinese</v>
      </c>
      <c r="F112" s="42">
        <f>IFERROR(INDEX('Output Utente'!$N$2:$N$492,MATCH(109,'Output Utente'!$Q$2:$Q$492,0)),"")</f>
        <v>9</v>
      </c>
      <c r="G112" s="42">
        <f>IFERROR(INDEX('Output Utente'!$O$2:$O$492,MATCH(109,'Output Utente'!$Q$2:$Q$492,0)),"")</f>
        <v>29</v>
      </c>
      <c r="H112" s="5" t="str">
        <f>IFERROR(INDEX('Output Utente'!$P$2:$P$492,MATCH(109,'Output Utente'!$Q$2:$Q$492,0)),"")</f>
        <v>Buono</v>
      </c>
      <c r="I112" s="42">
        <f>IFERROR(INDEX('Output Utente'!$F$2:$F$492,MATCH(109,'Output Utente'!$Q$2:$Q$492,0)),"")</f>
        <v>10</v>
      </c>
      <c r="J112" s="42">
        <f>IFERROR(INDEX('Output Utente'!$G$2:$G$492,MATCH(109,'Output Utente'!$Q$2:$Q$492,0)),"")</f>
        <v>8</v>
      </c>
      <c r="K112" s="42">
        <f>IFERROR(INDEX('Output Utente'!$H$2:$H$492,MATCH(109,'Output Utente'!$Q$2:$Q$492,0)),"")</f>
        <v>11</v>
      </c>
      <c r="L112" s="5" t="str">
        <f>IFERROR(INDEX('Output Utente'!$E$2:$E$492,MATCH(109,'Output Utente'!$Q$2:$Q$492,0)),"")</f>
        <v>NO</v>
      </c>
      <c r="M112" s="5" t="str">
        <f>IFERROR(INDEX('Output Utente'!$U$2:$U$492,MATCH(109,'Output Utente'!$Q$2:$Q$492,0)),"")</f>
        <v>OK</v>
      </c>
      <c r="N112" s="5" t="str">
        <f>IFERROR(INDEX('Output Utente'!$AE$2:$AE$492,MATCH(109,'Output Utente'!$Q$2:$Q$492,0)),"")</f>
        <v>🔴 Non aspettare</v>
      </c>
    </row>
    <row r="113" spans="1:14" ht="15" customHeight="1" x14ac:dyDescent="0.25">
      <c r="A113" s="41">
        <v>110</v>
      </c>
      <c r="B113" s="5">
        <f>IFERROR(INDEX('Output Utente'!$A$2:$A$492,MATCH(110,'Output Utente'!$Q$2:$Q$492,0)),"")</f>
        <v>779</v>
      </c>
      <c r="C113" s="5" t="str">
        <f>IFERROR(INDEX('Output Utente'!$B$2:$B$492,MATCH(110,'Output Utente'!$Q$2:$Q$492,0)),"")</f>
        <v>C</v>
      </c>
      <c r="D113" s="5" t="str">
        <f>IFERROR(INDEX('Output Utente'!$C$2:$C$492,MATCH(110,'Output Utente'!$Q$2:$Q$492,0)),"")</f>
        <v>Cristante</v>
      </c>
      <c r="E113" s="5" t="str">
        <f>IFERROR(INDEX('Input Giocatori 2026_27'!$D$3:$D$493,MATCH($B113,'Input Giocatori 2026_27'!$A$3:$A$493,0)),"")</f>
        <v>Roma</v>
      </c>
      <c r="F113" s="42">
        <f>IFERROR(INDEX('Output Utente'!$N$2:$N$492,MATCH(110,'Output Utente'!$Q$2:$Q$492,0)),"")</f>
        <v>8</v>
      </c>
      <c r="G113" s="42">
        <f>IFERROR(INDEX('Output Utente'!$O$2:$O$492,MATCH(110,'Output Utente'!$Q$2:$Q$492,0)),"")</f>
        <v>29</v>
      </c>
      <c r="H113" s="5" t="str">
        <f>IFERROR(INDEX('Output Utente'!$P$2:$P$492,MATCH(110,'Output Utente'!$Q$2:$Q$492,0)),"")</f>
        <v>Buono</v>
      </c>
      <c r="I113" s="42">
        <f>IFERROR(INDEX('Output Utente'!$F$2:$F$492,MATCH(110,'Output Utente'!$Q$2:$Q$492,0)),"")</f>
        <v>4</v>
      </c>
      <c r="J113" s="42">
        <f>IFERROR(INDEX('Output Utente'!$G$2:$G$492,MATCH(110,'Output Utente'!$Q$2:$Q$492,0)),"")</f>
        <v>3</v>
      </c>
      <c r="K113" s="42">
        <f>IFERROR(INDEX('Output Utente'!$H$2:$H$492,MATCH(110,'Output Utente'!$Q$2:$Q$492,0)),"")</f>
        <v>4</v>
      </c>
      <c r="L113" s="5" t="str">
        <f>IFERROR(INDEX('Output Utente'!$E$2:$E$492,MATCH(110,'Output Utente'!$Q$2:$Q$492,0)),"")</f>
        <v>NO</v>
      </c>
      <c r="M113" s="5" t="str">
        <f>IFERROR(INDEX('Output Utente'!$U$2:$U$492,MATCH(110,'Output Utente'!$Q$2:$Q$492,0)),"")</f>
        <v>OK</v>
      </c>
      <c r="N113" s="5" t="str">
        <f>IFERROR(INDEX('Output Utente'!$AE$2:$AE$492,MATCH(110,'Output Utente'!$Q$2:$Q$492,0)),"")</f>
        <v>🔴 Non aspettare</v>
      </c>
    </row>
    <row r="114" spans="1:14" ht="15" customHeight="1" x14ac:dyDescent="0.25">
      <c r="A114" s="41">
        <v>111</v>
      </c>
      <c r="B114" s="5">
        <f>IFERROR(INDEX('Output Utente'!$A$2:$A$492,MATCH(111,'Output Utente'!$Q$2:$Q$492,0)),"")</f>
        <v>5526</v>
      </c>
      <c r="C114" s="5" t="str">
        <f>IFERROR(INDEX('Output Utente'!$B$2:$B$492,MATCH(111,'Output Utente'!$Q$2:$Q$492,0)),"")</f>
        <v>D</v>
      </c>
      <c r="D114" s="5" t="str">
        <f>IFERROR(INDEX('Output Utente'!$C$2:$C$492,MATCH(111,'Output Utente'!$Q$2:$Q$492,0)),"")</f>
        <v>Scalvini</v>
      </c>
      <c r="E114" s="5" t="str">
        <f>IFERROR(INDEX('Input Giocatori 2026_27'!$D$3:$D$493,MATCH($B114,'Input Giocatori 2026_27'!$A$3:$A$493,0)),"")</f>
        <v>Atalanta</v>
      </c>
      <c r="F114" s="42">
        <f>IFERROR(INDEX('Output Utente'!$N$2:$N$492,MATCH(111,'Output Utente'!$Q$2:$Q$492,0)),"")</f>
        <v>10</v>
      </c>
      <c r="G114" s="42">
        <f>IFERROR(INDEX('Output Utente'!$O$2:$O$492,MATCH(111,'Output Utente'!$Q$2:$Q$492,0)),"")</f>
        <v>28</v>
      </c>
      <c r="H114" s="5" t="str">
        <f>IFERROR(INDEX('Output Utente'!$P$2:$P$492,MATCH(111,'Output Utente'!$Q$2:$Q$492,0)),"")</f>
        <v>Buono</v>
      </c>
      <c r="I114" s="42">
        <f>IFERROR(INDEX('Output Utente'!$F$2:$F$492,MATCH(111,'Output Utente'!$Q$2:$Q$492,0)),"")</f>
        <v>19</v>
      </c>
      <c r="J114" s="42">
        <f>IFERROR(INDEX('Output Utente'!$G$2:$G$492,MATCH(111,'Output Utente'!$Q$2:$Q$492,0)),"")</f>
        <v>14</v>
      </c>
      <c r="K114" s="42">
        <f>IFERROR(INDEX('Output Utente'!$H$2:$H$492,MATCH(111,'Output Utente'!$Q$2:$Q$492,0)),"")</f>
        <v>21</v>
      </c>
      <c r="L114" s="5" t="str">
        <f>IFERROR(INDEX('Output Utente'!$E$2:$E$492,MATCH(111,'Output Utente'!$Q$2:$Q$492,0)),"")</f>
        <v>NO</v>
      </c>
      <c r="M114" s="5" t="str">
        <f>IFERROR(INDEX('Output Utente'!$U$2:$U$492,MATCH(111,'Output Utente'!$Q$2:$Q$492,0)),"")</f>
        <v>OK</v>
      </c>
      <c r="N114" s="5" t="str">
        <f>IFERROR(INDEX('Output Utente'!$AE$2:$AE$492,MATCH(111,'Output Utente'!$Q$2:$Q$492,0)),"")</f>
        <v>🔴 Non aspettare</v>
      </c>
    </row>
    <row r="115" spans="1:14" ht="15" customHeight="1" x14ac:dyDescent="0.25">
      <c r="A115" s="41">
        <v>112</v>
      </c>
      <c r="B115" s="5">
        <f>IFERROR(INDEX('Output Utente'!$A$2:$A$492,MATCH(112,'Output Utente'!$Q$2:$Q$492,0)),"")</f>
        <v>1933</v>
      </c>
      <c r="C115" s="5" t="str">
        <f>IFERROR(INDEX('Output Utente'!$B$2:$B$492,MATCH(112,'Output Utente'!$Q$2:$Q$492,0)),"")</f>
        <v>C</v>
      </c>
      <c r="D115" s="5" t="str">
        <f>IFERROR(INDEX('Output Utente'!$C$2:$C$492,MATCH(112,'Output Utente'!$Q$2:$Q$492,0)),"")</f>
        <v>Mandragora</v>
      </c>
      <c r="E115" s="5" t="str">
        <f>IFERROR(INDEX('Input Giocatori 2026_27'!$D$3:$D$493,MATCH($B115,'Input Giocatori 2026_27'!$A$3:$A$493,0)),"")</f>
        <v>Fiorentina</v>
      </c>
      <c r="F115" s="42">
        <f>IFERROR(INDEX('Output Utente'!$N$2:$N$492,MATCH(112,'Output Utente'!$Q$2:$Q$492,0)),"")</f>
        <v>9</v>
      </c>
      <c r="G115" s="42">
        <f>IFERROR(INDEX('Output Utente'!$O$2:$O$492,MATCH(112,'Output Utente'!$Q$2:$Q$492,0)),"")</f>
        <v>28</v>
      </c>
      <c r="H115" s="5" t="str">
        <f>IFERROR(INDEX('Output Utente'!$P$2:$P$492,MATCH(112,'Output Utente'!$Q$2:$Q$492,0)),"")</f>
        <v>Buono</v>
      </c>
      <c r="I115" s="42">
        <f>IFERROR(INDEX('Output Utente'!$F$2:$F$492,MATCH(112,'Output Utente'!$Q$2:$Q$492,0)),"")</f>
        <v>3</v>
      </c>
      <c r="J115" s="42">
        <f>IFERROR(INDEX('Output Utente'!$G$2:$G$492,MATCH(112,'Output Utente'!$Q$2:$Q$492,0)),"")</f>
        <v>2</v>
      </c>
      <c r="K115" s="42">
        <f>IFERROR(INDEX('Output Utente'!$H$2:$H$492,MATCH(112,'Output Utente'!$Q$2:$Q$492,0)),"")</f>
        <v>4</v>
      </c>
      <c r="L115" s="5" t="str">
        <f>IFERROR(INDEX('Output Utente'!$E$2:$E$492,MATCH(112,'Output Utente'!$Q$2:$Q$492,0)),"")</f>
        <v>NO</v>
      </c>
      <c r="M115" s="5" t="str">
        <f>IFERROR(INDEX('Output Utente'!$U$2:$U$492,MATCH(112,'Output Utente'!$Q$2:$Q$492,0)),"")</f>
        <v>OK</v>
      </c>
      <c r="N115" s="5" t="str">
        <f>IFERROR(INDEX('Output Utente'!$AE$2:$AE$492,MATCH(112,'Output Utente'!$Q$2:$Q$492,0)),"")</f>
        <v>🔴 Non aspettare</v>
      </c>
    </row>
    <row r="116" spans="1:14" ht="15" customHeight="1" x14ac:dyDescent="0.25">
      <c r="A116" s="41">
        <v>113</v>
      </c>
      <c r="B116" s="5">
        <f>IFERROR(INDEX('Output Utente'!$A$2:$A$492,MATCH(113,'Output Utente'!$Q$2:$Q$492,0)),"")</f>
        <v>5500</v>
      </c>
      <c r="C116" s="5" t="str">
        <f>IFERROR(INDEX('Output Utente'!$B$2:$B$492,MATCH(113,'Output Utente'!$Q$2:$Q$492,0)),"")</f>
        <v>C</v>
      </c>
      <c r="D116" s="5" t="str">
        <f>IFERROR(INDEX('Output Utente'!$C$2:$C$492,MATCH(113,'Output Utente'!$Q$2:$Q$492,0)),"")</f>
        <v>Cancellieri</v>
      </c>
      <c r="E116" s="5" t="str">
        <f>IFERROR(INDEX('Input Giocatori 2026_27'!$D$3:$D$493,MATCH($B116,'Input Giocatori 2026_27'!$A$3:$A$493,0)),"")</f>
        <v>Lazio</v>
      </c>
      <c r="F116" s="42">
        <f>IFERROR(INDEX('Output Utente'!$N$2:$N$492,MATCH(113,'Output Utente'!$Q$2:$Q$492,0)),"")</f>
        <v>9</v>
      </c>
      <c r="G116" s="42">
        <f>IFERROR(INDEX('Output Utente'!$O$2:$O$492,MATCH(113,'Output Utente'!$Q$2:$Q$492,0)),"")</f>
        <v>28</v>
      </c>
      <c r="H116" s="5" t="str">
        <f>IFERROR(INDEX('Output Utente'!$P$2:$P$492,MATCH(113,'Output Utente'!$Q$2:$Q$492,0)),"")</f>
        <v>Buono</v>
      </c>
      <c r="I116" s="42">
        <f>IFERROR(INDEX('Output Utente'!$F$2:$F$492,MATCH(113,'Output Utente'!$Q$2:$Q$492,0)),"")</f>
        <v>3</v>
      </c>
      <c r="J116" s="42">
        <f>IFERROR(INDEX('Output Utente'!$G$2:$G$492,MATCH(113,'Output Utente'!$Q$2:$Q$492,0)),"")</f>
        <v>2</v>
      </c>
      <c r="K116" s="42">
        <f>IFERROR(INDEX('Output Utente'!$H$2:$H$492,MATCH(113,'Output Utente'!$Q$2:$Q$492,0)),"")</f>
        <v>4</v>
      </c>
      <c r="L116" s="5" t="str">
        <f>IFERROR(INDEX('Output Utente'!$E$2:$E$492,MATCH(113,'Output Utente'!$Q$2:$Q$492,0)),"")</f>
        <v>NO</v>
      </c>
      <c r="M116" s="5" t="str">
        <f>IFERROR(INDEX('Output Utente'!$U$2:$U$492,MATCH(113,'Output Utente'!$Q$2:$Q$492,0)),"")</f>
        <v>OK</v>
      </c>
      <c r="N116" s="5" t="str">
        <f>IFERROR(INDEX('Output Utente'!$AE$2:$AE$492,MATCH(113,'Output Utente'!$Q$2:$Q$492,0)),"")</f>
        <v>🔴 Non aspettare</v>
      </c>
    </row>
    <row r="117" spans="1:14" ht="15" customHeight="1" x14ac:dyDescent="0.25">
      <c r="A117" s="41">
        <v>114</v>
      </c>
      <c r="B117" s="5">
        <f>IFERROR(INDEX('Output Utente'!$A$2:$A$492,MATCH(114,'Output Utente'!$Q$2:$Q$492,0)),"")</f>
        <v>6904</v>
      </c>
      <c r="C117" s="5" t="str">
        <f>IFERROR(INDEX('Output Utente'!$B$2:$B$492,MATCH(114,'Output Utente'!$Q$2:$Q$492,0)),"")</f>
        <v>A</v>
      </c>
      <c r="D117" s="5" t="str">
        <f>IFERROR(INDEX('Output Utente'!$C$2:$C$492,MATCH(114,'Output Utente'!$Q$2:$Q$492,0)),"")</f>
        <v>Yeboah J.</v>
      </c>
      <c r="E117" s="5" t="str">
        <f>IFERROR(INDEX('Input Giocatori 2026_27'!$D$3:$D$493,MATCH($B117,'Input Giocatori 2026_27'!$A$3:$A$493,0)),"")</f>
        <v>Venezia</v>
      </c>
      <c r="F117" s="42">
        <f>IFERROR(INDEX('Output Utente'!$N$2:$N$492,MATCH(114,'Output Utente'!$Q$2:$Q$492,0)),"")</f>
        <v>8</v>
      </c>
      <c r="G117" s="42">
        <f>IFERROR(INDEX('Output Utente'!$O$2:$O$492,MATCH(114,'Output Utente'!$Q$2:$Q$492,0)),"")</f>
        <v>28</v>
      </c>
      <c r="H117" s="5" t="str">
        <f>IFERROR(INDEX('Output Utente'!$P$2:$P$492,MATCH(114,'Output Utente'!$Q$2:$Q$492,0)),"")</f>
        <v>Nella Media</v>
      </c>
      <c r="I117" s="42">
        <f>IFERROR(INDEX('Output Utente'!$F$2:$F$492,MATCH(114,'Output Utente'!$Q$2:$Q$492,0)),"")</f>
        <v>9</v>
      </c>
      <c r="J117" s="42">
        <f>IFERROR(INDEX('Output Utente'!$G$2:$G$492,MATCH(114,'Output Utente'!$Q$2:$Q$492,0)),"")</f>
        <v>6</v>
      </c>
      <c r="K117" s="42">
        <f>IFERROR(INDEX('Output Utente'!$H$2:$H$492,MATCH(114,'Output Utente'!$Q$2:$Q$492,0)),"")</f>
        <v>10</v>
      </c>
      <c r="L117" s="5" t="str">
        <f>IFERROR(INDEX('Output Utente'!$E$2:$E$492,MATCH(114,'Output Utente'!$Q$2:$Q$492,0)),"")</f>
        <v>NO</v>
      </c>
      <c r="M117" s="5" t="str">
        <f>IFERROR(INDEX('Output Utente'!$U$2:$U$492,MATCH(114,'Output Utente'!$Q$2:$Q$492,0)),"")</f>
        <v>OK</v>
      </c>
      <c r="N117" s="5" t="str">
        <f>IFERROR(INDEX('Output Utente'!$AE$2:$AE$492,MATCH(114,'Output Utente'!$Q$2:$Q$492,0)),"")</f>
        <v>🔴 Non aspettare</v>
      </c>
    </row>
    <row r="118" spans="1:14" ht="15" customHeight="1" x14ac:dyDescent="0.25">
      <c r="A118" s="41">
        <v>115</v>
      </c>
      <c r="B118" s="5">
        <f>IFERROR(INDEX('Output Utente'!$A$2:$A$492,MATCH(115,'Output Utente'!$Q$2:$Q$492,0)),"")</f>
        <v>4360</v>
      </c>
      <c r="C118" s="5" t="str">
        <f>IFERROR(INDEX('Output Utente'!$B$2:$B$492,MATCH(115,'Output Utente'!$Q$2:$Q$492,0)),"")</f>
        <v>P</v>
      </c>
      <c r="D118" s="5" t="str">
        <f>IFERROR(INDEX('Output Utente'!$C$2:$C$492,MATCH(115,'Output Utente'!$Q$2:$Q$492,0)),"")</f>
        <v>Caprile</v>
      </c>
      <c r="E118" s="5" t="str">
        <f>IFERROR(INDEX('Input Giocatori 2026_27'!$D$3:$D$493,MATCH($B118,'Input Giocatori 2026_27'!$A$3:$A$493,0)),"")</f>
        <v>Cagliari</v>
      </c>
      <c r="F118" s="42">
        <f>IFERROR(INDEX('Output Utente'!$N$2:$N$492,MATCH(115,'Output Utente'!$Q$2:$Q$492,0)),"")</f>
        <v>9</v>
      </c>
      <c r="G118" s="42">
        <f>IFERROR(INDEX('Output Utente'!$O$2:$O$492,MATCH(115,'Output Utente'!$Q$2:$Q$492,0)),"")</f>
        <v>27</v>
      </c>
      <c r="H118" s="5" t="str">
        <f>IFERROR(INDEX('Output Utente'!$P$2:$P$492,MATCH(115,'Output Utente'!$Q$2:$Q$492,0)),"")</f>
        <v>Buono</v>
      </c>
      <c r="I118" s="42">
        <f>IFERROR(INDEX('Output Utente'!$F$2:$F$492,MATCH(115,'Output Utente'!$Q$2:$Q$492,0)),"")</f>
        <v>9</v>
      </c>
      <c r="J118" s="42">
        <f>IFERROR(INDEX('Output Utente'!$G$2:$G$492,MATCH(115,'Output Utente'!$Q$2:$Q$492,0)),"")</f>
        <v>7</v>
      </c>
      <c r="K118" s="42">
        <f>IFERROR(INDEX('Output Utente'!$H$2:$H$492,MATCH(115,'Output Utente'!$Q$2:$Q$492,0)),"")</f>
        <v>10</v>
      </c>
      <c r="L118" s="5" t="str">
        <f>IFERROR(INDEX('Output Utente'!$E$2:$E$492,MATCH(115,'Output Utente'!$Q$2:$Q$492,0)),"")</f>
        <v>NO</v>
      </c>
      <c r="M118" s="5" t="str">
        <f>IFERROR(INDEX('Output Utente'!$U$2:$U$492,MATCH(115,'Output Utente'!$Q$2:$Q$492,0)),"")</f>
        <v>OK</v>
      </c>
      <c r="N118" s="5" t="str">
        <f>IFERROR(INDEX('Output Utente'!$AE$2:$AE$492,MATCH(115,'Output Utente'!$Q$2:$Q$492,0)),"")</f>
        <v>🔴 Non aspettare</v>
      </c>
    </row>
    <row r="119" spans="1:14" ht="15" customHeight="1" x14ac:dyDescent="0.25">
      <c r="A119" s="41">
        <v>116</v>
      </c>
      <c r="B119" s="5">
        <f>IFERROR(INDEX('Output Utente'!$A$2:$A$492,MATCH(116,'Output Utente'!$Q$2:$Q$492,0)),"")</f>
        <v>5520</v>
      </c>
      <c r="C119" s="5" t="str">
        <f>IFERROR(INDEX('Output Utente'!$B$2:$B$492,MATCH(116,'Output Utente'!$Q$2:$Q$492,0)),"")</f>
        <v>D</v>
      </c>
      <c r="D119" s="5" t="str">
        <f>IFERROR(INDEX('Output Utente'!$C$2:$C$492,MATCH(116,'Output Utente'!$Q$2:$Q$492,0)),"")</f>
        <v>Cambiaso</v>
      </c>
      <c r="E119" s="5" t="str">
        <f>IFERROR(INDEX('Input Giocatori 2026_27'!$D$3:$D$493,MATCH($B119,'Input Giocatori 2026_27'!$A$3:$A$493,0)),"")</f>
        <v>Juventus</v>
      </c>
      <c r="F119" s="42">
        <f>IFERROR(INDEX('Output Utente'!$N$2:$N$492,MATCH(116,'Output Utente'!$Q$2:$Q$492,0)),"")</f>
        <v>9</v>
      </c>
      <c r="G119" s="42">
        <f>IFERROR(INDEX('Output Utente'!$O$2:$O$492,MATCH(116,'Output Utente'!$Q$2:$Q$492,0)),"")</f>
        <v>27</v>
      </c>
      <c r="H119" s="5" t="str">
        <f>IFERROR(INDEX('Output Utente'!$P$2:$P$492,MATCH(116,'Output Utente'!$Q$2:$Q$492,0)),"")</f>
        <v>Buono</v>
      </c>
      <c r="I119" s="42">
        <f>IFERROR(INDEX('Output Utente'!$F$2:$F$492,MATCH(116,'Output Utente'!$Q$2:$Q$492,0)),"")</f>
        <v>18</v>
      </c>
      <c r="J119" s="42">
        <f>IFERROR(INDEX('Output Utente'!$G$2:$G$492,MATCH(116,'Output Utente'!$Q$2:$Q$492,0)),"")</f>
        <v>14</v>
      </c>
      <c r="K119" s="42">
        <f>IFERROR(INDEX('Output Utente'!$H$2:$H$492,MATCH(116,'Output Utente'!$Q$2:$Q$492,0)),"")</f>
        <v>20</v>
      </c>
      <c r="L119" s="5" t="str">
        <f>IFERROR(INDEX('Output Utente'!$E$2:$E$492,MATCH(116,'Output Utente'!$Q$2:$Q$492,0)),"")</f>
        <v>NO</v>
      </c>
      <c r="M119" s="5" t="str">
        <f>IFERROR(INDEX('Output Utente'!$U$2:$U$492,MATCH(116,'Output Utente'!$Q$2:$Q$492,0)),"")</f>
        <v>OK</v>
      </c>
      <c r="N119" s="5" t="str">
        <f>IFERROR(INDEX('Output Utente'!$AE$2:$AE$492,MATCH(116,'Output Utente'!$Q$2:$Q$492,0)),"")</f>
        <v>🔴 Non aspettare</v>
      </c>
    </row>
    <row r="120" spans="1:14" ht="15" customHeight="1" x14ac:dyDescent="0.25">
      <c r="A120" s="41">
        <v>117</v>
      </c>
      <c r="B120" s="5">
        <f>IFERROR(INDEX('Output Utente'!$A$2:$A$492,MATCH(117,'Output Utente'!$Q$2:$Q$492,0)),"")</f>
        <v>5365</v>
      </c>
      <c r="C120" s="5" t="str">
        <f>IFERROR(INDEX('Output Utente'!$B$2:$B$492,MATCH(117,'Output Utente'!$Q$2:$Q$492,0)),"")</f>
        <v>D</v>
      </c>
      <c r="D120" s="5" t="str">
        <f>IFERROR(INDEX('Output Utente'!$C$2:$C$492,MATCH(117,'Output Utente'!$Q$2:$Q$492,0)),"")</f>
        <v>Dragusin</v>
      </c>
      <c r="E120" s="5" t="str">
        <f>IFERROR(INDEX('Input Giocatori 2026_27'!$D$3:$D$493,MATCH($B120,'Input Giocatori 2026_27'!$A$3:$A$493,0)),"")</f>
        <v>Fiorentina</v>
      </c>
      <c r="F120" s="42">
        <f>IFERROR(INDEX('Output Utente'!$N$2:$N$492,MATCH(117,'Output Utente'!$Q$2:$Q$492,0)),"")</f>
        <v>8</v>
      </c>
      <c r="G120" s="42">
        <f>IFERROR(INDEX('Output Utente'!$O$2:$O$492,MATCH(117,'Output Utente'!$Q$2:$Q$492,0)),"")</f>
        <v>27</v>
      </c>
      <c r="H120" s="5" t="str">
        <f>IFERROR(INDEX('Output Utente'!$P$2:$P$492,MATCH(117,'Output Utente'!$Q$2:$Q$492,0)),"")</f>
        <v>Buono</v>
      </c>
      <c r="I120" s="42">
        <f>IFERROR(INDEX('Output Utente'!$F$2:$F$492,MATCH(117,'Output Utente'!$Q$2:$Q$492,0)),"")</f>
        <v>18</v>
      </c>
      <c r="J120" s="42">
        <f>IFERROR(INDEX('Output Utente'!$G$2:$G$492,MATCH(117,'Output Utente'!$Q$2:$Q$492,0)),"")</f>
        <v>14</v>
      </c>
      <c r="K120" s="42">
        <f>IFERROR(INDEX('Output Utente'!$H$2:$H$492,MATCH(117,'Output Utente'!$Q$2:$Q$492,0)),"")</f>
        <v>20</v>
      </c>
      <c r="L120" s="5" t="str">
        <f>IFERROR(INDEX('Output Utente'!$E$2:$E$492,MATCH(117,'Output Utente'!$Q$2:$Q$492,0)),"")</f>
        <v>NO</v>
      </c>
      <c r="M120" s="5" t="str">
        <f>IFERROR(INDEX('Output Utente'!$U$2:$U$492,MATCH(117,'Output Utente'!$Q$2:$Q$492,0)),"")</f>
        <v>OK</v>
      </c>
      <c r="N120" s="5" t="str">
        <f>IFERROR(INDEX('Output Utente'!$AE$2:$AE$492,MATCH(117,'Output Utente'!$Q$2:$Q$492,0)),"")</f>
        <v>🔴 Non aspettare</v>
      </c>
    </row>
    <row r="121" spans="1:14" ht="15" customHeight="1" x14ac:dyDescent="0.25">
      <c r="A121" s="41">
        <v>118</v>
      </c>
      <c r="B121" s="5">
        <f>IFERROR(INDEX('Output Utente'!$A$2:$A$492,MATCH(118,'Output Utente'!$Q$2:$Q$492,0)),"")</f>
        <v>5877</v>
      </c>
      <c r="C121" s="5" t="str">
        <f>IFERROR(INDEX('Output Utente'!$B$2:$B$492,MATCH(118,'Output Utente'!$Q$2:$Q$492,0)),"")</f>
        <v>D</v>
      </c>
      <c r="D121" s="5" t="str">
        <f>IFERROR(INDEX('Output Utente'!$C$2:$C$492,MATCH(118,'Output Utente'!$Q$2:$Q$492,0)),"")</f>
        <v>Carlos Augusto</v>
      </c>
      <c r="E121" s="5" t="str">
        <f>IFERROR(INDEX('Input Giocatori 2026_27'!$D$3:$D$493,MATCH($B121,'Input Giocatori 2026_27'!$A$3:$A$493,0)),"")</f>
        <v>Inter</v>
      </c>
      <c r="F121" s="42">
        <f>IFERROR(INDEX('Output Utente'!$N$2:$N$492,MATCH(118,'Output Utente'!$Q$2:$Q$492,0)),"")</f>
        <v>7</v>
      </c>
      <c r="G121" s="42">
        <f>IFERROR(INDEX('Output Utente'!$O$2:$O$492,MATCH(118,'Output Utente'!$Q$2:$Q$492,0)),"")</f>
        <v>27</v>
      </c>
      <c r="H121" s="5" t="str">
        <f>IFERROR(INDEX('Output Utente'!$P$2:$P$492,MATCH(118,'Output Utente'!$Q$2:$Q$492,0)),"")</f>
        <v>Buono</v>
      </c>
      <c r="I121" s="42">
        <f>IFERROR(INDEX('Output Utente'!$F$2:$F$492,MATCH(118,'Output Utente'!$Q$2:$Q$492,0)),"")</f>
        <v>18</v>
      </c>
      <c r="J121" s="42">
        <f>IFERROR(INDEX('Output Utente'!$G$2:$G$492,MATCH(118,'Output Utente'!$Q$2:$Q$492,0)),"")</f>
        <v>14</v>
      </c>
      <c r="K121" s="42">
        <f>IFERROR(INDEX('Output Utente'!$H$2:$H$492,MATCH(118,'Output Utente'!$Q$2:$Q$492,0)),"")</f>
        <v>20</v>
      </c>
      <c r="L121" s="5" t="str">
        <f>IFERROR(INDEX('Output Utente'!$E$2:$E$492,MATCH(118,'Output Utente'!$Q$2:$Q$492,0)),"")</f>
        <v>NO</v>
      </c>
      <c r="M121" s="5" t="str">
        <f>IFERROR(INDEX('Output Utente'!$U$2:$U$492,MATCH(118,'Output Utente'!$Q$2:$Q$492,0)),"")</f>
        <v>OK</v>
      </c>
      <c r="N121" s="5" t="str">
        <f>IFERROR(INDEX('Output Utente'!$AE$2:$AE$492,MATCH(118,'Output Utente'!$Q$2:$Q$492,0)),"")</f>
        <v>🔴 Non aspettare</v>
      </c>
    </row>
    <row r="122" spans="1:14" ht="15" customHeight="1" x14ac:dyDescent="0.25">
      <c r="A122" s="41">
        <v>119</v>
      </c>
      <c r="B122" s="5">
        <f>IFERROR(INDEX('Output Utente'!$A$2:$A$492,MATCH(119,'Output Utente'!$Q$2:$Q$492,0)),"")</f>
        <v>6218</v>
      </c>
      <c r="C122" s="5" t="str">
        <f>IFERROR(INDEX('Output Utente'!$B$2:$B$492,MATCH(119,'Output Utente'!$Q$2:$Q$492,0)),"")</f>
        <v>C</v>
      </c>
      <c r="D122" s="5" t="str">
        <f>IFERROR(INDEX('Output Utente'!$C$2:$C$492,MATCH(119,'Output Utente'!$Q$2:$Q$492,0)),"")</f>
        <v>Oristanio</v>
      </c>
      <c r="E122" s="5" t="str">
        <f>IFERROR(INDEX('Input Giocatori 2026_27'!$D$3:$D$493,MATCH($B122,'Input Giocatori 2026_27'!$A$3:$A$493,0)),"")</f>
        <v>Torino</v>
      </c>
      <c r="F122" s="42">
        <f>IFERROR(INDEX('Output Utente'!$N$2:$N$492,MATCH(119,'Output Utente'!$Q$2:$Q$492,0)),"")</f>
        <v>7</v>
      </c>
      <c r="G122" s="42">
        <f>IFERROR(INDEX('Output Utente'!$O$2:$O$492,MATCH(119,'Output Utente'!$Q$2:$Q$492,0)),"")</f>
        <v>27</v>
      </c>
      <c r="H122" s="5" t="str">
        <f>IFERROR(INDEX('Output Utente'!$P$2:$P$492,MATCH(119,'Output Utente'!$Q$2:$Q$492,0)),"")</f>
        <v>Buono</v>
      </c>
      <c r="I122" s="42">
        <f>IFERROR(INDEX('Output Utente'!$F$2:$F$492,MATCH(119,'Output Utente'!$Q$2:$Q$492,0)),"")</f>
        <v>3</v>
      </c>
      <c r="J122" s="42">
        <f>IFERROR(INDEX('Output Utente'!$G$2:$G$492,MATCH(119,'Output Utente'!$Q$2:$Q$492,0)),"")</f>
        <v>2</v>
      </c>
      <c r="K122" s="42">
        <f>IFERROR(INDEX('Output Utente'!$H$2:$H$492,MATCH(119,'Output Utente'!$Q$2:$Q$492,0)),"")</f>
        <v>4</v>
      </c>
      <c r="L122" s="5" t="str">
        <f>IFERROR(INDEX('Output Utente'!$E$2:$E$492,MATCH(119,'Output Utente'!$Q$2:$Q$492,0)),"")</f>
        <v>NO</v>
      </c>
      <c r="M122" s="5" t="str">
        <f>IFERROR(INDEX('Output Utente'!$U$2:$U$492,MATCH(119,'Output Utente'!$Q$2:$Q$492,0)),"")</f>
        <v>OK</v>
      </c>
      <c r="N122" s="5" t="str">
        <f>IFERROR(INDEX('Output Utente'!$AE$2:$AE$492,MATCH(119,'Output Utente'!$Q$2:$Q$492,0)),"")</f>
        <v>🔴 Non aspettare</v>
      </c>
    </row>
    <row r="123" spans="1:14" ht="15" customHeight="1" x14ac:dyDescent="0.25">
      <c r="A123" s="41">
        <v>120</v>
      </c>
      <c r="B123" s="5">
        <f>IFERROR(INDEX('Output Utente'!$A$2:$A$492,MATCH(120,'Output Utente'!$Q$2:$Q$492,0)),"")</f>
        <v>4807</v>
      </c>
      <c r="C123" s="5" t="str">
        <f>IFERROR(INDEX('Output Utente'!$B$2:$B$492,MATCH(120,'Output Utente'!$Q$2:$Q$492,0)),"")</f>
        <v>D</v>
      </c>
      <c r="D123" s="5" t="str">
        <f>IFERROR(INDEX('Output Utente'!$C$2:$C$492,MATCH(120,'Output Utente'!$Q$2:$Q$492,0)),"")</f>
        <v>Hermoso</v>
      </c>
      <c r="E123" s="5" t="str">
        <f>IFERROR(INDEX('Input Giocatori 2026_27'!$D$3:$D$493,MATCH($B123,'Input Giocatori 2026_27'!$A$3:$A$493,0)),"")</f>
        <v>Roma</v>
      </c>
      <c r="F123" s="42">
        <f>IFERROR(INDEX('Output Utente'!$N$2:$N$492,MATCH(120,'Output Utente'!$Q$2:$Q$492,0)),"")</f>
        <v>10</v>
      </c>
      <c r="G123" s="42">
        <f>IFERROR(INDEX('Output Utente'!$O$2:$O$492,MATCH(120,'Output Utente'!$Q$2:$Q$492,0)),"")</f>
        <v>26</v>
      </c>
      <c r="H123" s="5" t="str">
        <f>IFERROR(INDEX('Output Utente'!$P$2:$P$492,MATCH(120,'Output Utente'!$Q$2:$Q$492,0)),"")</f>
        <v>Buono</v>
      </c>
      <c r="I123" s="42">
        <f>IFERROR(INDEX('Output Utente'!$F$2:$F$492,MATCH(120,'Output Utente'!$Q$2:$Q$492,0)),"")</f>
        <v>18</v>
      </c>
      <c r="J123" s="42">
        <f>IFERROR(INDEX('Output Utente'!$G$2:$G$492,MATCH(120,'Output Utente'!$Q$2:$Q$492,0)),"")</f>
        <v>13</v>
      </c>
      <c r="K123" s="42">
        <f>IFERROR(INDEX('Output Utente'!$H$2:$H$492,MATCH(120,'Output Utente'!$Q$2:$Q$492,0)),"")</f>
        <v>20</v>
      </c>
      <c r="L123" s="5" t="str">
        <f>IFERROR(INDEX('Output Utente'!$E$2:$E$492,MATCH(120,'Output Utente'!$Q$2:$Q$492,0)),"")</f>
        <v>NO</v>
      </c>
      <c r="M123" s="5" t="str">
        <f>IFERROR(INDEX('Output Utente'!$U$2:$U$492,MATCH(120,'Output Utente'!$Q$2:$Q$492,0)),"")</f>
        <v>OK</v>
      </c>
      <c r="N123" s="5" t="str">
        <f>IFERROR(INDEX('Output Utente'!$AE$2:$AE$492,MATCH(120,'Output Utente'!$Q$2:$Q$492,0)),"")</f>
        <v>🔴 Non aspettare</v>
      </c>
    </row>
    <row r="124" spans="1:14" ht="15" customHeight="1" x14ac:dyDescent="0.25">
      <c r="A124" s="41">
        <v>121</v>
      </c>
      <c r="B124" s="5">
        <f>IFERROR(INDEX('Output Utente'!$A$2:$A$492,MATCH(121,'Output Utente'!$Q$2:$Q$492,0)),"")</f>
        <v>7070</v>
      </c>
      <c r="C124" s="5" t="str">
        <f>IFERROR(INDEX('Output Utente'!$B$2:$B$492,MATCH(121,'Output Utente'!$Q$2:$Q$492,0)),"")</f>
        <v>C</v>
      </c>
      <c r="D124" s="5" t="str">
        <f>IFERROR(INDEX('Output Utente'!$C$2:$C$492,MATCH(121,'Output Utente'!$Q$2:$Q$492,0)),"")</f>
        <v>Sucic P.</v>
      </c>
      <c r="E124" s="5" t="str">
        <f>IFERROR(INDEX('Input Giocatori 2026_27'!$D$3:$D$493,MATCH($B124,'Input Giocatori 2026_27'!$A$3:$A$493,0)),"")</f>
        <v>Inter</v>
      </c>
      <c r="F124" s="42">
        <f>IFERROR(INDEX('Output Utente'!$N$2:$N$492,MATCH(121,'Output Utente'!$Q$2:$Q$492,0)),"")</f>
        <v>8</v>
      </c>
      <c r="G124" s="42">
        <f>IFERROR(INDEX('Output Utente'!$O$2:$O$492,MATCH(121,'Output Utente'!$Q$2:$Q$492,0)),"")</f>
        <v>26</v>
      </c>
      <c r="H124" s="5" t="str">
        <f>IFERROR(INDEX('Output Utente'!$P$2:$P$492,MATCH(121,'Output Utente'!$Q$2:$Q$492,0)),"")</f>
        <v>Buono</v>
      </c>
      <c r="I124" s="42">
        <f>IFERROR(INDEX('Output Utente'!$F$2:$F$492,MATCH(121,'Output Utente'!$Q$2:$Q$492,0)),"")</f>
        <v>3</v>
      </c>
      <c r="J124" s="42">
        <f>IFERROR(INDEX('Output Utente'!$G$2:$G$492,MATCH(121,'Output Utente'!$Q$2:$Q$492,0)),"")</f>
        <v>2</v>
      </c>
      <c r="K124" s="42">
        <f>IFERROR(INDEX('Output Utente'!$H$2:$H$492,MATCH(121,'Output Utente'!$Q$2:$Q$492,0)),"")</f>
        <v>4</v>
      </c>
      <c r="L124" s="5" t="str">
        <f>IFERROR(INDEX('Output Utente'!$E$2:$E$492,MATCH(121,'Output Utente'!$Q$2:$Q$492,0)),"")</f>
        <v>NO</v>
      </c>
      <c r="M124" s="5" t="str">
        <f>IFERROR(INDEX('Output Utente'!$U$2:$U$492,MATCH(121,'Output Utente'!$Q$2:$Q$492,0)),"")</f>
        <v>OK</v>
      </c>
      <c r="N124" s="5" t="str">
        <f>IFERROR(INDEX('Output Utente'!$AE$2:$AE$492,MATCH(121,'Output Utente'!$Q$2:$Q$492,0)),"")</f>
        <v>🔴 Non aspettare</v>
      </c>
    </row>
    <row r="125" spans="1:14" ht="15" customHeight="1" x14ac:dyDescent="0.25">
      <c r="A125" s="41">
        <v>122</v>
      </c>
      <c r="B125" s="5">
        <f>IFERROR(INDEX('Output Utente'!$A$2:$A$492,MATCH(122,'Output Utente'!$Q$2:$Q$492,0)),"")</f>
        <v>2134</v>
      </c>
      <c r="C125" s="5" t="str">
        <f>IFERROR(INDEX('Output Utente'!$B$2:$B$492,MATCH(122,'Output Utente'!$Q$2:$Q$492,0)),"")</f>
        <v>P</v>
      </c>
      <c r="D125" s="5" t="str">
        <f>IFERROR(INDEX('Output Utente'!$C$2:$C$492,MATCH(122,'Output Utente'!$Q$2:$Q$492,0)),"")</f>
        <v>Falcone</v>
      </c>
      <c r="E125" s="5" t="str">
        <f>IFERROR(INDEX('Input Giocatori 2026_27'!$D$3:$D$493,MATCH($B125,'Input Giocatori 2026_27'!$A$3:$A$493,0)),"")</f>
        <v>Lecce</v>
      </c>
      <c r="F125" s="42">
        <f>IFERROR(INDEX('Output Utente'!$N$2:$N$492,MATCH(122,'Output Utente'!$Q$2:$Q$492,0)),"")</f>
        <v>8</v>
      </c>
      <c r="G125" s="42">
        <f>IFERROR(INDEX('Output Utente'!$O$2:$O$492,MATCH(122,'Output Utente'!$Q$2:$Q$492,0)),"")</f>
        <v>25</v>
      </c>
      <c r="H125" s="5" t="str">
        <f>IFERROR(INDEX('Output Utente'!$P$2:$P$492,MATCH(122,'Output Utente'!$Q$2:$Q$492,0)),"")</f>
        <v>Buono</v>
      </c>
      <c r="I125" s="42">
        <f>IFERROR(INDEX('Output Utente'!$F$2:$F$492,MATCH(122,'Output Utente'!$Q$2:$Q$492,0)),"")</f>
        <v>8</v>
      </c>
      <c r="J125" s="42">
        <f>IFERROR(INDEX('Output Utente'!$G$2:$G$492,MATCH(122,'Output Utente'!$Q$2:$Q$492,0)),"")</f>
        <v>7</v>
      </c>
      <c r="K125" s="42">
        <f>IFERROR(INDEX('Output Utente'!$H$2:$H$492,MATCH(122,'Output Utente'!$Q$2:$Q$492,0)),"")</f>
        <v>9</v>
      </c>
      <c r="L125" s="5" t="str">
        <f>IFERROR(INDEX('Output Utente'!$E$2:$E$492,MATCH(122,'Output Utente'!$Q$2:$Q$492,0)),"")</f>
        <v>NO</v>
      </c>
      <c r="M125" s="5" t="str">
        <f>IFERROR(INDEX('Output Utente'!$U$2:$U$492,MATCH(122,'Output Utente'!$Q$2:$Q$492,0)),"")</f>
        <v>OK</v>
      </c>
      <c r="N125" s="5" t="str">
        <f>IFERROR(INDEX('Output Utente'!$AE$2:$AE$492,MATCH(122,'Output Utente'!$Q$2:$Q$492,0)),"")</f>
        <v>🔴 Non aspettare</v>
      </c>
    </row>
    <row r="126" spans="1:14" ht="15" customHeight="1" x14ac:dyDescent="0.25">
      <c r="A126" s="41">
        <v>123</v>
      </c>
      <c r="B126" s="5">
        <f>IFERROR(INDEX('Output Utente'!$A$2:$A$492,MATCH(123,'Output Utente'!$Q$2:$Q$492,0)),"")</f>
        <v>6496</v>
      </c>
      <c r="C126" s="5" t="str">
        <f>IFERROR(INDEX('Output Utente'!$B$2:$B$492,MATCH(123,'Output Utente'!$Q$2:$Q$492,0)),"")</f>
        <v>D</v>
      </c>
      <c r="D126" s="5" t="str">
        <f>IFERROR(INDEX('Output Utente'!$C$2:$C$492,MATCH(123,'Output Utente'!$Q$2:$Q$492,0)),"")</f>
        <v>Bartesaghi</v>
      </c>
      <c r="E126" s="5" t="str">
        <f>IFERROR(INDEX('Input Giocatori 2026_27'!$D$3:$D$493,MATCH($B126,'Input Giocatori 2026_27'!$A$3:$A$493,0)),"")</f>
        <v>Milan</v>
      </c>
      <c r="F126" s="42">
        <f>IFERROR(INDEX('Output Utente'!$N$2:$N$492,MATCH(123,'Output Utente'!$Q$2:$Q$492,0)),"")</f>
        <v>8</v>
      </c>
      <c r="G126" s="42">
        <f>IFERROR(INDEX('Output Utente'!$O$2:$O$492,MATCH(123,'Output Utente'!$Q$2:$Q$492,0)),"")</f>
        <v>25</v>
      </c>
      <c r="H126" s="5" t="str">
        <f>IFERROR(INDEX('Output Utente'!$P$2:$P$492,MATCH(123,'Output Utente'!$Q$2:$Q$492,0)),"")</f>
        <v>Buono</v>
      </c>
      <c r="I126" s="42">
        <f>IFERROR(INDEX('Output Utente'!$F$2:$F$492,MATCH(123,'Output Utente'!$Q$2:$Q$492,0)),"")</f>
        <v>4</v>
      </c>
      <c r="J126" s="42">
        <f>IFERROR(INDEX('Output Utente'!$G$2:$G$492,MATCH(123,'Output Utente'!$Q$2:$Q$492,0)),"")</f>
        <v>3</v>
      </c>
      <c r="K126" s="42">
        <f>IFERROR(INDEX('Output Utente'!$H$2:$H$492,MATCH(123,'Output Utente'!$Q$2:$Q$492,0)),"")</f>
        <v>5</v>
      </c>
      <c r="L126" s="5" t="str">
        <f>IFERROR(INDEX('Output Utente'!$E$2:$E$492,MATCH(123,'Output Utente'!$Q$2:$Q$492,0)),"")</f>
        <v>NO</v>
      </c>
      <c r="M126" s="5" t="str">
        <f>IFERROR(INDEX('Output Utente'!$U$2:$U$492,MATCH(123,'Output Utente'!$Q$2:$Q$492,0)),"")</f>
        <v>OK</v>
      </c>
      <c r="N126" s="5" t="str">
        <f>IFERROR(INDEX('Output Utente'!$AE$2:$AE$492,MATCH(123,'Output Utente'!$Q$2:$Q$492,0)),"")</f>
        <v>🔴 Non aspettare</v>
      </c>
    </row>
    <row r="127" spans="1:14" ht="15" customHeight="1" x14ac:dyDescent="0.25">
      <c r="A127" s="41">
        <v>124</v>
      </c>
      <c r="B127" s="5">
        <f>IFERROR(INDEX('Output Utente'!$A$2:$A$492,MATCH(124,'Output Utente'!$Q$2:$Q$492,0)),"")</f>
        <v>6398</v>
      </c>
      <c r="C127" s="5" t="str">
        <f>IFERROR(INDEX('Output Utente'!$B$2:$B$492,MATCH(124,'Output Utente'!$Q$2:$Q$492,0)),"")</f>
        <v>C</v>
      </c>
      <c r="D127" s="5" t="str">
        <f>IFERROR(INDEX('Output Utente'!$C$2:$C$492,MATCH(124,'Output Utente'!$Q$2:$Q$492,0)),"")</f>
        <v>Isaksen</v>
      </c>
      <c r="E127" s="5" t="str">
        <f>IFERROR(INDEX('Input Giocatori 2026_27'!$D$3:$D$493,MATCH($B127,'Input Giocatori 2026_27'!$A$3:$A$493,0)),"")</f>
        <v>Lazio</v>
      </c>
      <c r="F127" s="42">
        <f>IFERROR(INDEX('Output Utente'!$N$2:$N$492,MATCH(124,'Output Utente'!$Q$2:$Q$492,0)),"")</f>
        <v>9</v>
      </c>
      <c r="G127" s="42">
        <f>IFERROR(INDEX('Output Utente'!$O$2:$O$492,MATCH(124,'Output Utente'!$Q$2:$Q$492,0)),"")</f>
        <v>25</v>
      </c>
      <c r="H127" s="5" t="str">
        <f>IFERROR(INDEX('Output Utente'!$P$2:$P$492,MATCH(124,'Output Utente'!$Q$2:$Q$492,0)),"")</f>
        <v>Buono</v>
      </c>
      <c r="I127" s="42">
        <f>IFERROR(INDEX('Output Utente'!$F$2:$F$492,MATCH(124,'Output Utente'!$Q$2:$Q$492,0)),"")</f>
        <v>3</v>
      </c>
      <c r="J127" s="42">
        <f>IFERROR(INDEX('Output Utente'!$G$2:$G$492,MATCH(124,'Output Utente'!$Q$2:$Q$492,0)),"")</f>
        <v>2</v>
      </c>
      <c r="K127" s="42">
        <f>IFERROR(INDEX('Output Utente'!$H$2:$H$492,MATCH(124,'Output Utente'!$Q$2:$Q$492,0)),"")</f>
        <v>4</v>
      </c>
      <c r="L127" s="5" t="str">
        <f>IFERROR(INDEX('Output Utente'!$E$2:$E$492,MATCH(124,'Output Utente'!$Q$2:$Q$492,0)),"")</f>
        <v>NO</v>
      </c>
      <c r="M127" s="5" t="str">
        <f>IFERROR(INDEX('Output Utente'!$U$2:$U$492,MATCH(124,'Output Utente'!$Q$2:$Q$492,0)),"")</f>
        <v>OK</v>
      </c>
      <c r="N127" s="5" t="str">
        <f>IFERROR(INDEX('Output Utente'!$AE$2:$AE$492,MATCH(124,'Output Utente'!$Q$2:$Q$492,0)),"")</f>
        <v>🔴 Non aspettare</v>
      </c>
    </row>
    <row r="128" spans="1:14" ht="15" customHeight="1" x14ac:dyDescent="0.25">
      <c r="A128" s="41">
        <v>125</v>
      </c>
      <c r="B128" s="5">
        <f>IFERROR(INDEX('Output Utente'!$A$2:$A$492,MATCH(125,'Output Utente'!$Q$2:$Q$492,0)),"")</f>
        <v>4436</v>
      </c>
      <c r="C128" s="5" t="str">
        <f>IFERROR(INDEX('Output Utente'!$B$2:$B$492,MATCH(125,'Output Utente'!$Q$2:$Q$492,0)),"")</f>
        <v>C</v>
      </c>
      <c r="D128" s="5" t="str">
        <f>IFERROR(INDEX('Output Utente'!$C$2:$C$492,MATCH(125,'Output Utente'!$Q$2:$Q$492,0)),"")</f>
        <v>Cambiaghi</v>
      </c>
      <c r="E128" s="5" t="str">
        <f>IFERROR(INDEX('Input Giocatori 2026_27'!$D$3:$D$493,MATCH($B128,'Input Giocatori 2026_27'!$A$3:$A$493,0)),"")</f>
        <v>Bologna</v>
      </c>
      <c r="F128" s="42">
        <f>IFERROR(INDEX('Output Utente'!$N$2:$N$492,MATCH(125,'Output Utente'!$Q$2:$Q$492,0)),"")</f>
        <v>8</v>
      </c>
      <c r="G128" s="42">
        <f>IFERROR(INDEX('Output Utente'!$O$2:$O$492,MATCH(125,'Output Utente'!$Q$2:$Q$492,0)),"")</f>
        <v>25</v>
      </c>
      <c r="H128" s="5" t="str">
        <f>IFERROR(INDEX('Output Utente'!$P$2:$P$492,MATCH(125,'Output Utente'!$Q$2:$Q$492,0)),"")</f>
        <v>Buono</v>
      </c>
      <c r="I128" s="42">
        <f>IFERROR(INDEX('Output Utente'!$F$2:$F$492,MATCH(125,'Output Utente'!$Q$2:$Q$492,0)),"")</f>
        <v>3</v>
      </c>
      <c r="J128" s="42">
        <f>IFERROR(INDEX('Output Utente'!$G$2:$G$492,MATCH(125,'Output Utente'!$Q$2:$Q$492,0)),"")</f>
        <v>2</v>
      </c>
      <c r="K128" s="42">
        <f>IFERROR(INDEX('Output Utente'!$H$2:$H$492,MATCH(125,'Output Utente'!$Q$2:$Q$492,0)),"")</f>
        <v>4</v>
      </c>
      <c r="L128" s="5" t="str">
        <f>IFERROR(INDEX('Output Utente'!$E$2:$E$492,MATCH(125,'Output Utente'!$Q$2:$Q$492,0)),"")</f>
        <v>NO</v>
      </c>
      <c r="M128" s="5" t="str">
        <f>IFERROR(INDEX('Output Utente'!$U$2:$U$492,MATCH(125,'Output Utente'!$Q$2:$Q$492,0)),"")</f>
        <v>OK</v>
      </c>
      <c r="N128" s="5" t="str">
        <f>IFERROR(INDEX('Output Utente'!$AE$2:$AE$492,MATCH(125,'Output Utente'!$Q$2:$Q$492,0)),"")</f>
        <v>🔴 Non aspettare</v>
      </c>
    </row>
    <row r="129" spans="1:14" ht="15" customHeight="1" x14ac:dyDescent="0.25">
      <c r="A129" s="41">
        <v>126</v>
      </c>
      <c r="B129" s="5">
        <f>IFERROR(INDEX('Output Utente'!$A$2:$A$492,MATCH(126,'Output Utente'!$Q$2:$Q$492,0)),"")</f>
        <v>6294</v>
      </c>
      <c r="C129" s="5" t="str">
        <f>IFERROR(INDEX('Output Utente'!$B$2:$B$492,MATCH(126,'Output Utente'!$Q$2:$Q$492,0)),"")</f>
        <v>C</v>
      </c>
      <c r="D129" s="5" t="str">
        <f>IFERROR(INDEX('Output Utente'!$C$2:$C$492,MATCH(126,'Output Utente'!$Q$2:$Q$492,0)),"")</f>
        <v>Ndour</v>
      </c>
      <c r="E129" s="5" t="str">
        <f>IFERROR(INDEX('Input Giocatori 2026_27'!$D$3:$D$493,MATCH($B129,'Input Giocatori 2026_27'!$A$3:$A$493,0)),"")</f>
        <v>Fiorentina</v>
      </c>
      <c r="F129" s="42">
        <f>IFERROR(INDEX('Output Utente'!$N$2:$N$492,MATCH(126,'Output Utente'!$Q$2:$Q$492,0)),"")</f>
        <v>8</v>
      </c>
      <c r="G129" s="42">
        <f>IFERROR(INDEX('Output Utente'!$O$2:$O$492,MATCH(126,'Output Utente'!$Q$2:$Q$492,0)),"")</f>
        <v>25</v>
      </c>
      <c r="H129" s="5" t="str">
        <f>IFERROR(INDEX('Output Utente'!$P$2:$P$492,MATCH(126,'Output Utente'!$Q$2:$Q$492,0)),"")</f>
        <v>Buono</v>
      </c>
      <c r="I129" s="42">
        <f>IFERROR(INDEX('Output Utente'!$F$2:$F$492,MATCH(126,'Output Utente'!$Q$2:$Q$492,0)),"")</f>
        <v>3</v>
      </c>
      <c r="J129" s="42">
        <f>IFERROR(INDEX('Output Utente'!$G$2:$G$492,MATCH(126,'Output Utente'!$Q$2:$Q$492,0)),"")</f>
        <v>2</v>
      </c>
      <c r="K129" s="42">
        <f>IFERROR(INDEX('Output Utente'!$H$2:$H$492,MATCH(126,'Output Utente'!$Q$2:$Q$492,0)),"")</f>
        <v>4</v>
      </c>
      <c r="L129" s="5" t="str">
        <f>IFERROR(INDEX('Output Utente'!$E$2:$E$492,MATCH(126,'Output Utente'!$Q$2:$Q$492,0)),"")</f>
        <v>NO</v>
      </c>
      <c r="M129" s="5" t="str">
        <f>IFERROR(INDEX('Output Utente'!$U$2:$U$492,MATCH(126,'Output Utente'!$Q$2:$Q$492,0)),"")</f>
        <v>OK</v>
      </c>
      <c r="N129" s="5" t="str">
        <f>IFERROR(INDEX('Output Utente'!$AE$2:$AE$492,MATCH(126,'Output Utente'!$Q$2:$Q$492,0)),"")</f>
        <v>🔴 Non aspettare</v>
      </c>
    </row>
    <row r="130" spans="1:14" ht="15" customHeight="1" x14ac:dyDescent="0.25">
      <c r="A130" s="41">
        <v>127</v>
      </c>
      <c r="B130" s="5">
        <f>IFERROR(INDEX('Output Utente'!$A$2:$A$492,MATCH(127,'Output Utente'!$Q$2:$Q$492,0)),"")</f>
        <v>5878</v>
      </c>
      <c r="C130" s="5" t="str">
        <f>IFERROR(INDEX('Output Utente'!$B$2:$B$492,MATCH(127,'Output Utente'!$Q$2:$Q$492,0)),"")</f>
        <v>C</v>
      </c>
      <c r="D130" s="5" t="str">
        <f>IFERROR(INDEX('Output Utente'!$C$2:$C$492,MATCH(127,'Output Utente'!$Q$2:$Q$492,0)),"")</f>
        <v>Colpani</v>
      </c>
      <c r="E130" s="5" t="str">
        <f>IFERROR(INDEX('Input Giocatori 2026_27'!$D$3:$D$493,MATCH($B130,'Input Giocatori 2026_27'!$A$3:$A$493,0)),"")</f>
        <v>Monza</v>
      </c>
      <c r="F130" s="42">
        <f>IFERROR(INDEX('Output Utente'!$N$2:$N$492,MATCH(127,'Output Utente'!$Q$2:$Q$492,0)),"")</f>
        <v>8</v>
      </c>
      <c r="G130" s="42">
        <f>IFERROR(INDEX('Output Utente'!$O$2:$O$492,MATCH(127,'Output Utente'!$Q$2:$Q$492,0)),"")</f>
        <v>25</v>
      </c>
      <c r="H130" s="5" t="str">
        <f>IFERROR(INDEX('Output Utente'!$P$2:$P$492,MATCH(127,'Output Utente'!$Q$2:$Q$492,0)),"")</f>
        <v>Buono</v>
      </c>
      <c r="I130" s="42">
        <f>IFERROR(INDEX('Output Utente'!$F$2:$F$492,MATCH(127,'Output Utente'!$Q$2:$Q$492,0)),"")</f>
        <v>3</v>
      </c>
      <c r="J130" s="42">
        <f>IFERROR(INDEX('Output Utente'!$G$2:$G$492,MATCH(127,'Output Utente'!$Q$2:$Q$492,0)),"")</f>
        <v>2</v>
      </c>
      <c r="K130" s="42">
        <f>IFERROR(INDEX('Output Utente'!$H$2:$H$492,MATCH(127,'Output Utente'!$Q$2:$Q$492,0)),"")</f>
        <v>4</v>
      </c>
      <c r="L130" s="5" t="str">
        <f>IFERROR(INDEX('Output Utente'!$E$2:$E$492,MATCH(127,'Output Utente'!$Q$2:$Q$492,0)),"")</f>
        <v>NO</v>
      </c>
      <c r="M130" s="5" t="str">
        <f>IFERROR(INDEX('Output Utente'!$U$2:$U$492,MATCH(127,'Output Utente'!$Q$2:$Q$492,0)),"")</f>
        <v>OK</v>
      </c>
      <c r="N130" s="5" t="str">
        <f>IFERROR(INDEX('Output Utente'!$AE$2:$AE$492,MATCH(127,'Output Utente'!$Q$2:$Q$492,0)),"")</f>
        <v>🔴 Non aspettare</v>
      </c>
    </row>
    <row r="131" spans="1:14" ht="15" customHeight="1" x14ac:dyDescent="0.25">
      <c r="A131" s="41">
        <v>128</v>
      </c>
      <c r="B131" s="5">
        <f>IFERROR(INDEX('Output Utente'!$A$2:$A$492,MATCH(128,'Output Utente'!$Q$2:$Q$492,0)),"")</f>
        <v>7472</v>
      </c>
      <c r="C131" s="5" t="str">
        <f>IFERROR(INDEX('Output Utente'!$B$2:$B$492,MATCH(128,'Output Utente'!$Q$2:$Q$492,0)),"")</f>
        <v>C</v>
      </c>
      <c r="D131" s="5" t="str">
        <f>IFERROR(INDEX('Output Utente'!$C$2:$C$492,MATCH(128,'Output Utente'!$Q$2:$Q$492,0)),"")</f>
        <v>Calò</v>
      </c>
      <c r="E131" s="5" t="str">
        <f>IFERROR(INDEX('Input Giocatori 2026_27'!$D$3:$D$493,MATCH($B131,'Input Giocatori 2026_27'!$A$3:$A$493,0)),"")</f>
        <v>Frosinone</v>
      </c>
      <c r="F131" s="42">
        <f>IFERROR(INDEX('Output Utente'!$N$2:$N$492,MATCH(128,'Output Utente'!$Q$2:$Q$492,0)),"")</f>
        <v>7</v>
      </c>
      <c r="G131" s="42">
        <f>IFERROR(INDEX('Output Utente'!$O$2:$O$492,MATCH(128,'Output Utente'!$Q$2:$Q$492,0)),"")</f>
        <v>25</v>
      </c>
      <c r="H131" s="5" t="str">
        <f>IFERROR(INDEX('Output Utente'!$P$2:$P$492,MATCH(128,'Output Utente'!$Q$2:$Q$492,0)),"")</f>
        <v>Buono</v>
      </c>
      <c r="I131" s="42">
        <f>IFERROR(INDEX('Output Utente'!$F$2:$F$492,MATCH(128,'Output Utente'!$Q$2:$Q$492,0)),"")</f>
        <v>3</v>
      </c>
      <c r="J131" s="42">
        <f>IFERROR(INDEX('Output Utente'!$G$2:$G$492,MATCH(128,'Output Utente'!$Q$2:$Q$492,0)),"")</f>
        <v>2</v>
      </c>
      <c r="K131" s="42">
        <f>IFERROR(INDEX('Output Utente'!$H$2:$H$492,MATCH(128,'Output Utente'!$Q$2:$Q$492,0)),"")</f>
        <v>4</v>
      </c>
      <c r="L131" s="5" t="str">
        <f>IFERROR(INDEX('Output Utente'!$E$2:$E$492,MATCH(128,'Output Utente'!$Q$2:$Q$492,0)),"")</f>
        <v>NO</v>
      </c>
      <c r="M131" s="5" t="str">
        <f>IFERROR(INDEX('Output Utente'!$U$2:$U$492,MATCH(128,'Output Utente'!$Q$2:$Q$492,0)),"")</f>
        <v>OK</v>
      </c>
      <c r="N131" s="5" t="str">
        <f>IFERROR(INDEX('Output Utente'!$AE$2:$AE$492,MATCH(128,'Output Utente'!$Q$2:$Q$492,0)),"")</f>
        <v>🔴 Non aspettare</v>
      </c>
    </row>
    <row r="132" spans="1:14" ht="15" customHeight="1" x14ac:dyDescent="0.25">
      <c r="A132" s="41">
        <v>129</v>
      </c>
      <c r="B132" s="5">
        <f>IFERROR(INDEX('Output Utente'!$A$2:$A$492,MATCH(129,'Output Utente'!$Q$2:$Q$492,0)),"")</f>
        <v>5029</v>
      </c>
      <c r="C132" s="5" t="str">
        <f>IFERROR(INDEX('Output Utente'!$B$2:$B$492,MATCH(129,'Output Utente'!$Q$2:$Q$492,0)),"")</f>
        <v>A</v>
      </c>
      <c r="D132" s="5" t="str">
        <f>IFERROR(INDEX('Output Utente'!$C$2:$C$492,MATCH(129,'Output Utente'!$Q$2:$Q$492,0)),"")</f>
        <v>Geubbels</v>
      </c>
      <c r="E132" s="5" t="str">
        <f>IFERROR(INDEX('Input Giocatori 2026_27'!$D$3:$D$493,MATCH($B132,'Input Giocatori 2026_27'!$A$3:$A$493,0)),"")</f>
        <v>Lecce</v>
      </c>
      <c r="F132" s="42">
        <f>IFERROR(INDEX('Output Utente'!$N$2:$N$492,MATCH(129,'Output Utente'!$Q$2:$Q$492,0)),"")</f>
        <v>9</v>
      </c>
      <c r="G132" s="42">
        <f>IFERROR(INDEX('Output Utente'!$O$2:$O$492,MATCH(129,'Output Utente'!$Q$2:$Q$492,0)),"")</f>
        <v>25</v>
      </c>
      <c r="H132" s="5" t="str">
        <f>IFERROR(INDEX('Output Utente'!$P$2:$P$492,MATCH(129,'Output Utente'!$Q$2:$Q$492,0)),"")</f>
        <v>Nella Media</v>
      </c>
      <c r="I132" s="42">
        <f>IFERROR(INDEX('Output Utente'!$F$2:$F$492,MATCH(129,'Output Utente'!$Q$2:$Q$492,0)),"")</f>
        <v>8</v>
      </c>
      <c r="J132" s="42">
        <f>IFERROR(INDEX('Output Utente'!$G$2:$G$492,MATCH(129,'Output Utente'!$Q$2:$Q$492,0)),"")</f>
        <v>5</v>
      </c>
      <c r="K132" s="42">
        <f>IFERROR(INDEX('Output Utente'!$H$2:$H$492,MATCH(129,'Output Utente'!$Q$2:$Q$492,0)),"")</f>
        <v>9</v>
      </c>
      <c r="L132" s="5" t="str">
        <f>IFERROR(INDEX('Output Utente'!$E$2:$E$492,MATCH(129,'Output Utente'!$Q$2:$Q$492,0)),"")</f>
        <v>NO</v>
      </c>
      <c r="M132" s="5" t="str">
        <f>IFERROR(INDEX('Output Utente'!$U$2:$U$492,MATCH(129,'Output Utente'!$Q$2:$Q$492,0)),"")</f>
        <v>OK</v>
      </c>
      <c r="N132" s="5" t="str">
        <f>IFERROR(INDEX('Output Utente'!$AE$2:$AE$492,MATCH(129,'Output Utente'!$Q$2:$Q$492,0)),"")</f>
        <v>🔴 Non aspettare</v>
      </c>
    </row>
    <row r="133" spans="1:14" ht="15" customHeight="1" x14ac:dyDescent="0.25">
      <c r="A133" s="41">
        <v>130</v>
      </c>
      <c r="B133" s="5">
        <f>IFERROR(INDEX('Output Utente'!$A$2:$A$492,MATCH(130,'Output Utente'!$Q$2:$Q$492,0)),"")</f>
        <v>2832</v>
      </c>
      <c r="C133" s="5" t="str">
        <f>IFERROR(INDEX('Output Utente'!$B$2:$B$492,MATCH(130,'Output Utente'!$Q$2:$Q$492,0)),"")</f>
        <v>A</v>
      </c>
      <c r="D133" s="5" t="str">
        <f>IFERROR(INDEX('Output Utente'!$C$2:$C$492,MATCH(130,'Output Utente'!$Q$2:$Q$492,0)),"")</f>
        <v>Boga</v>
      </c>
      <c r="E133" s="5" t="str">
        <f>IFERROR(INDEX('Input Giocatori 2026_27'!$D$3:$D$493,MATCH($B133,'Input Giocatori 2026_27'!$A$3:$A$493,0)),"")</f>
        <v>Juventus</v>
      </c>
      <c r="F133" s="42">
        <f>IFERROR(INDEX('Output Utente'!$N$2:$N$492,MATCH(130,'Output Utente'!$Q$2:$Q$492,0)),"")</f>
        <v>6</v>
      </c>
      <c r="G133" s="42">
        <f>IFERROR(INDEX('Output Utente'!$O$2:$O$492,MATCH(130,'Output Utente'!$Q$2:$Q$492,0)),"")</f>
        <v>25</v>
      </c>
      <c r="H133" s="5" t="str">
        <f>IFERROR(INDEX('Output Utente'!$P$2:$P$492,MATCH(130,'Output Utente'!$Q$2:$Q$492,0)),"")</f>
        <v>Nella Media</v>
      </c>
      <c r="I133" s="42">
        <f>IFERROR(INDEX('Output Utente'!$F$2:$F$492,MATCH(130,'Output Utente'!$Q$2:$Q$492,0)),"")</f>
        <v>8</v>
      </c>
      <c r="J133" s="42">
        <f>IFERROR(INDEX('Output Utente'!$G$2:$G$492,MATCH(130,'Output Utente'!$Q$2:$Q$492,0)),"")</f>
        <v>5</v>
      </c>
      <c r="K133" s="42">
        <f>IFERROR(INDEX('Output Utente'!$H$2:$H$492,MATCH(130,'Output Utente'!$Q$2:$Q$492,0)),"")</f>
        <v>9</v>
      </c>
      <c r="L133" s="5" t="str">
        <f>IFERROR(INDEX('Output Utente'!$E$2:$E$492,MATCH(130,'Output Utente'!$Q$2:$Q$492,0)),"")</f>
        <v>NO</v>
      </c>
      <c r="M133" s="5" t="str">
        <f>IFERROR(INDEX('Output Utente'!$U$2:$U$492,MATCH(130,'Output Utente'!$Q$2:$Q$492,0)),"")</f>
        <v>OK</v>
      </c>
      <c r="N133" s="5" t="str">
        <f>IFERROR(INDEX('Output Utente'!$AE$2:$AE$492,MATCH(130,'Output Utente'!$Q$2:$Q$492,0)),"")</f>
        <v>🔴 Non aspettare</v>
      </c>
    </row>
    <row r="134" spans="1:14" ht="15" customHeight="1" x14ac:dyDescent="0.25">
      <c r="A134" s="41">
        <v>131</v>
      </c>
      <c r="B134" s="5">
        <f>IFERROR(INDEX('Output Utente'!$A$2:$A$492,MATCH(131,'Output Utente'!$Q$2:$Q$492,0)),"")</f>
        <v>554</v>
      </c>
      <c r="C134" s="5" t="str">
        <f>IFERROR(INDEX('Output Utente'!$B$2:$B$492,MATCH(131,'Output Utente'!$Q$2:$Q$492,0)),"")</f>
        <v>D</v>
      </c>
      <c r="D134" s="5" t="str">
        <f>IFERROR(INDEX('Output Utente'!$C$2:$C$492,MATCH(131,'Output Utente'!$Q$2:$Q$492,0)),"")</f>
        <v>Zappacosta</v>
      </c>
      <c r="E134" s="5" t="str">
        <f>IFERROR(INDEX('Input Giocatori 2026_27'!$D$3:$D$493,MATCH($B134,'Input Giocatori 2026_27'!$A$3:$A$493,0)),"")</f>
        <v>Atalanta</v>
      </c>
      <c r="F134" s="42">
        <f>IFERROR(INDEX('Output Utente'!$N$2:$N$492,MATCH(131,'Output Utente'!$Q$2:$Q$492,0)),"")</f>
        <v>8</v>
      </c>
      <c r="G134" s="42">
        <f>IFERROR(INDEX('Output Utente'!$O$2:$O$492,MATCH(131,'Output Utente'!$Q$2:$Q$492,0)),"")</f>
        <v>24</v>
      </c>
      <c r="H134" s="5" t="str">
        <f>IFERROR(INDEX('Output Utente'!$P$2:$P$492,MATCH(131,'Output Utente'!$Q$2:$Q$492,0)),"")</f>
        <v>Buono</v>
      </c>
      <c r="I134" s="42">
        <f>IFERROR(INDEX('Output Utente'!$F$2:$F$492,MATCH(131,'Output Utente'!$Q$2:$Q$492,0)),"")</f>
        <v>4</v>
      </c>
      <c r="J134" s="42">
        <f>IFERROR(INDEX('Output Utente'!$G$2:$G$492,MATCH(131,'Output Utente'!$Q$2:$Q$492,0)),"")</f>
        <v>3</v>
      </c>
      <c r="K134" s="42">
        <f>IFERROR(INDEX('Output Utente'!$H$2:$H$492,MATCH(131,'Output Utente'!$Q$2:$Q$492,0)),"")</f>
        <v>5</v>
      </c>
      <c r="L134" s="5" t="str">
        <f>IFERROR(INDEX('Output Utente'!$E$2:$E$492,MATCH(131,'Output Utente'!$Q$2:$Q$492,0)),"")</f>
        <v>NO</v>
      </c>
      <c r="M134" s="5" t="str">
        <f>IFERROR(INDEX('Output Utente'!$U$2:$U$492,MATCH(131,'Output Utente'!$Q$2:$Q$492,0)),"")</f>
        <v>OK</v>
      </c>
      <c r="N134" s="5" t="str">
        <f>IFERROR(INDEX('Output Utente'!$AE$2:$AE$492,MATCH(131,'Output Utente'!$Q$2:$Q$492,0)),"")</f>
        <v>🔴 Non aspettare</v>
      </c>
    </row>
    <row r="135" spans="1:14" ht="15" customHeight="1" x14ac:dyDescent="0.25">
      <c r="A135" s="41">
        <v>132</v>
      </c>
      <c r="B135" s="5">
        <f>IFERROR(INDEX('Output Utente'!$A$2:$A$492,MATCH(132,'Output Utente'!$Q$2:$Q$492,0)),"")</f>
        <v>4734</v>
      </c>
      <c r="C135" s="5" t="str">
        <f>IFERROR(INDEX('Output Utente'!$B$2:$B$492,MATCH(132,'Output Utente'!$Q$2:$Q$492,0)),"")</f>
        <v>D</v>
      </c>
      <c r="D135" s="5" t="str">
        <f>IFERROR(INDEX('Output Utente'!$C$2:$C$492,MATCH(132,'Output Utente'!$Q$2:$Q$492,0)),"")</f>
        <v>Miranda J.</v>
      </c>
      <c r="E135" s="5" t="str">
        <f>IFERROR(INDEX('Input Giocatori 2026_27'!$D$3:$D$493,MATCH($B135,'Input Giocatori 2026_27'!$A$3:$A$493,0)),"")</f>
        <v>Bologna</v>
      </c>
      <c r="F135" s="42">
        <f>IFERROR(INDEX('Output Utente'!$N$2:$N$492,MATCH(132,'Output Utente'!$Q$2:$Q$492,0)),"")</f>
        <v>8</v>
      </c>
      <c r="G135" s="42">
        <f>IFERROR(INDEX('Output Utente'!$O$2:$O$492,MATCH(132,'Output Utente'!$Q$2:$Q$492,0)),"")</f>
        <v>24</v>
      </c>
      <c r="H135" s="5" t="str">
        <f>IFERROR(INDEX('Output Utente'!$P$2:$P$492,MATCH(132,'Output Utente'!$Q$2:$Q$492,0)),"")</f>
        <v>Buono</v>
      </c>
      <c r="I135" s="42">
        <f>IFERROR(INDEX('Output Utente'!$F$2:$F$492,MATCH(132,'Output Utente'!$Q$2:$Q$492,0)),"")</f>
        <v>4</v>
      </c>
      <c r="J135" s="42">
        <f>IFERROR(INDEX('Output Utente'!$G$2:$G$492,MATCH(132,'Output Utente'!$Q$2:$Q$492,0)),"")</f>
        <v>3</v>
      </c>
      <c r="K135" s="42">
        <f>IFERROR(INDEX('Output Utente'!$H$2:$H$492,MATCH(132,'Output Utente'!$Q$2:$Q$492,0)),"")</f>
        <v>5</v>
      </c>
      <c r="L135" s="5" t="str">
        <f>IFERROR(INDEX('Output Utente'!$E$2:$E$492,MATCH(132,'Output Utente'!$Q$2:$Q$492,0)),"")</f>
        <v>NO</v>
      </c>
      <c r="M135" s="5" t="str">
        <f>IFERROR(INDEX('Output Utente'!$U$2:$U$492,MATCH(132,'Output Utente'!$Q$2:$Q$492,0)),"")</f>
        <v>OK</v>
      </c>
      <c r="N135" s="5" t="str">
        <f>IFERROR(INDEX('Output Utente'!$AE$2:$AE$492,MATCH(132,'Output Utente'!$Q$2:$Q$492,0)),"")</f>
        <v>🔴 Non aspettare</v>
      </c>
    </row>
    <row r="136" spans="1:14" ht="15" customHeight="1" x14ac:dyDescent="0.25">
      <c r="A136" s="41">
        <v>133</v>
      </c>
      <c r="B136" s="5">
        <f>IFERROR(INDEX('Output Utente'!$A$2:$A$492,MATCH(133,'Output Utente'!$Q$2:$Q$492,0)),"")</f>
        <v>1852</v>
      </c>
      <c r="C136" s="5" t="str">
        <f>IFERROR(INDEX('Output Utente'!$B$2:$B$492,MATCH(133,'Output Utente'!$Q$2:$Q$492,0)),"")</f>
        <v>D</v>
      </c>
      <c r="D136" s="5" t="str">
        <f>IFERROR(INDEX('Output Utente'!$C$2:$C$492,MATCH(133,'Output Utente'!$Q$2:$Q$492,0)),"")</f>
        <v>Spinazzola</v>
      </c>
      <c r="E136" s="5" t="str">
        <f>IFERROR(INDEX('Input Giocatori 2026_27'!$D$3:$D$493,MATCH($B136,'Input Giocatori 2026_27'!$A$3:$A$493,0)),"")</f>
        <v>Napoli</v>
      </c>
      <c r="F136" s="42">
        <f>IFERROR(INDEX('Output Utente'!$N$2:$N$492,MATCH(133,'Output Utente'!$Q$2:$Q$492,0)),"")</f>
        <v>8</v>
      </c>
      <c r="G136" s="42">
        <f>IFERROR(INDEX('Output Utente'!$O$2:$O$492,MATCH(133,'Output Utente'!$Q$2:$Q$492,0)),"")</f>
        <v>24</v>
      </c>
      <c r="H136" s="5" t="str">
        <f>IFERROR(INDEX('Output Utente'!$P$2:$P$492,MATCH(133,'Output Utente'!$Q$2:$Q$492,0)),"")</f>
        <v>Buono</v>
      </c>
      <c r="I136" s="42">
        <f>IFERROR(INDEX('Output Utente'!$F$2:$F$492,MATCH(133,'Output Utente'!$Q$2:$Q$492,0)),"")</f>
        <v>4</v>
      </c>
      <c r="J136" s="42">
        <f>IFERROR(INDEX('Output Utente'!$G$2:$G$492,MATCH(133,'Output Utente'!$Q$2:$Q$492,0)),"")</f>
        <v>3</v>
      </c>
      <c r="K136" s="42">
        <f>IFERROR(INDEX('Output Utente'!$H$2:$H$492,MATCH(133,'Output Utente'!$Q$2:$Q$492,0)),"")</f>
        <v>5</v>
      </c>
      <c r="L136" s="5" t="str">
        <f>IFERROR(INDEX('Output Utente'!$E$2:$E$492,MATCH(133,'Output Utente'!$Q$2:$Q$492,0)),"")</f>
        <v>NO</v>
      </c>
      <c r="M136" s="5" t="str">
        <f>IFERROR(INDEX('Output Utente'!$U$2:$U$492,MATCH(133,'Output Utente'!$Q$2:$Q$492,0)),"")</f>
        <v>OK</v>
      </c>
      <c r="N136" s="5" t="str">
        <f>IFERROR(INDEX('Output Utente'!$AE$2:$AE$492,MATCH(133,'Output Utente'!$Q$2:$Q$492,0)),"")</f>
        <v>🔴 Non aspettare</v>
      </c>
    </row>
    <row r="137" spans="1:14" ht="15" customHeight="1" x14ac:dyDescent="0.25">
      <c r="A137" s="41">
        <v>134</v>
      </c>
      <c r="B137" s="5">
        <f>IFERROR(INDEX('Output Utente'!$A$2:$A$492,MATCH(134,'Output Utente'!$Q$2:$Q$492,0)),"")</f>
        <v>5862</v>
      </c>
      <c r="C137" s="5" t="str">
        <f>IFERROR(INDEX('Output Utente'!$B$2:$B$492,MATCH(134,'Output Utente'!$Q$2:$Q$492,0)),"")</f>
        <v>D</v>
      </c>
      <c r="D137" s="5" t="str">
        <f>IFERROR(INDEX('Output Utente'!$C$2:$C$492,MATCH(134,'Output Utente'!$Q$2:$Q$492,0)),"")</f>
        <v>Valeri</v>
      </c>
      <c r="E137" s="5" t="str">
        <f>IFERROR(INDEX('Input Giocatori 2026_27'!$D$3:$D$493,MATCH($B137,'Input Giocatori 2026_27'!$A$3:$A$493,0)),"")</f>
        <v>Parma</v>
      </c>
      <c r="F137" s="42">
        <f>IFERROR(INDEX('Output Utente'!$N$2:$N$492,MATCH(134,'Output Utente'!$Q$2:$Q$492,0)),"")</f>
        <v>8</v>
      </c>
      <c r="G137" s="42">
        <f>IFERROR(INDEX('Output Utente'!$O$2:$O$492,MATCH(134,'Output Utente'!$Q$2:$Q$492,0)),"")</f>
        <v>24</v>
      </c>
      <c r="H137" s="5" t="str">
        <f>IFERROR(INDEX('Output Utente'!$P$2:$P$492,MATCH(134,'Output Utente'!$Q$2:$Q$492,0)),"")</f>
        <v>Buono</v>
      </c>
      <c r="I137" s="42">
        <f>IFERROR(INDEX('Output Utente'!$F$2:$F$492,MATCH(134,'Output Utente'!$Q$2:$Q$492,0)),"")</f>
        <v>4</v>
      </c>
      <c r="J137" s="42">
        <f>IFERROR(INDEX('Output Utente'!$G$2:$G$492,MATCH(134,'Output Utente'!$Q$2:$Q$492,0)),"")</f>
        <v>3</v>
      </c>
      <c r="K137" s="42">
        <f>IFERROR(INDEX('Output Utente'!$H$2:$H$492,MATCH(134,'Output Utente'!$Q$2:$Q$492,0)),"")</f>
        <v>5</v>
      </c>
      <c r="L137" s="5" t="str">
        <f>IFERROR(INDEX('Output Utente'!$E$2:$E$492,MATCH(134,'Output Utente'!$Q$2:$Q$492,0)),"")</f>
        <v>NO</v>
      </c>
      <c r="M137" s="5" t="str">
        <f>IFERROR(INDEX('Output Utente'!$U$2:$U$492,MATCH(134,'Output Utente'!$Q$2:$Q$492,0)),"")</f>
        <v>OK</v>
      </c>
      <c r="N137" s="5" t="str">
        <f>IFERROR(INDEX('Output Utente'!$AE$2:$AE$492,MATCH(134,'Output Utente'!$Q$2:$Q$492,0)),"")</f>
        <v>🔴 Non aspettare</v>
      </c>
    </row>
    <row r="138" spans="1:14" ht="15" customHeight="1" x14ac:dyDescent="0.25">
      <c r="A138" s="41">
        <v>135</v>
      </c>
      <c r="B138" s="5">
        <f>IFERROR(INDEX('Output Utente'!$A$2:$A$492,MATCH(135,'Output Utente'!$Q$2:$Q$492,0)),"")</f>
        <v>460</v>
      </c>
      <c r="C138" s="5" t="str">
        <f>IFERROR(INDEX('Output Utente'!$B$2:$B$492,MATCH(135,'Output Utente'!$Q$2:$Q$492,0)),"")</f>
        <v>D</v>
      </c>
      <c r="D138" s="5" t="str">
        <f>IFERROR(INDEX('Output Utente'!$C$2:$C$492,MATCH(135,'Output Utente'!$Q$2:$Q$492,0)),"")</f>
        <v>Romagnoli</v>
      </c>
      <c r="E138" s="5" t="str">
        <f>IFERROR(INDEX('Input Giocatori 2026_27'!$D$3:$D$493,MATCH($B138,'Input Giocatori 2026_27'!$A$3:$A$493,0)),"")</f>
        <v>Lazio</v>
      </c>
      <c r="F138" s="42">
        <f>IFERROR(INDEX('Output Utente'!$N$2:$N$492,MATCH(135,'Output Utente'!$Q$2:$Q$492,0)),"")</f>
        <v>7</v>
      </c>
      <c r="G138" s="42">
        <f>IFERROR(INDEX('Output Utente'!$O$2:$O$492,MATCH(135,'Output Utente'!$Q$2:$Q$492,0)),"")</f>
        <v>24</v>
      </c>
      <c r="H138" s="5" t="str">
        <f>IFERROR(INDEX('Output Utente'!$P$2:$P$492,MATCH(135,'Output Utente'!$Q$2:$Q$492,0)),"")</f>
        <v>Buono</v>
      </c>
      <c r="I138" s="42">
        <f>IFERROR(INDEX('Output Utente'!$F$2:$F$492,MATCH(135,'Output Utente'!$Q$2:$Q$492,0)),"")</f>
        <v>4</v>
      </c>
      <c r="J138" s="42">
        <f>IFERROR(INDEX('Output Utente'!$G$2:$G$492,MATCH(135,'Output Utente'!$Q$2:$Q$492,0)),"")</f>
        <v>3</v>
      </c>
      <c r="K138" s="42">
        <f>IFERROR(INDEX('Output Utente'!$H$2:$H$492,MATCH(135,'Output Utente'!$Q$2:$Q$492,0)),"")</f>
        <v>5</v>
      </c>
      <c r="L138" s="5" t="str">
        <f>IFERROR(INDEX('Output Utente'!$E$2:$E$492,MATCH(135,'Output Utente'!$Q$2:$Q$492,0)),"")</f>
        <v>NO</v>
      </c>
      <c r="M138" s="5" t="str">
        <f>IFERROR(INDEX('Output Utente'!$U$2:$U$492,MATCH(135,'Output Utente'!$Q$2:$Q$492,0)),"")</f>
        <v>OK</v>
      </c>
      <c r="N138" s="5" t="str">
        <f>IFERROR(INDEX('Output Utente'!$AE$2:$AE$492,MATCH(135,'Output Utente'!$Q$2:$Q$492,0)),"")</f>
        <v>🔴 Non aspettare</v>
      </c>
    </row>
    <row r="139" spans="1:14" ht="15" customHeight="1" x14ac:dyDescent="0.25">
      <c r="A139" s="41">
        <v>136</v>
      </c>
      <c r="B139" s="5">
        <f>IFERROR(INDEX('Output Utente'!$A$2:$A$492,MATCH(136,'Output Utente'!$Q$2:$Q$492,0)),"")</f>
        <v>4364</v>
      </c>
      <c r="C139" s="5" t="str">
        <f>IFERROR(INDEX('Output Utente'!$B$2:$B$492,MATCH(136,'Output Utente'!$Q$2:$Q$492,0)),"")</f>
        <v>C</v>
      </c>
      <c r="D139" s="5" t="str">
        <f>IFERROR(INDEX('Output Utente'!$C$2:$C$492,MATCH(136,'Output Utente'!$Q$2:$Q$492,0)),"")</f>
        <v>Gaetano</v>
      </c>
      <c r="E139" s="5" t="str">
        <f>IFERROR(INDEX('Input Giocatori 2026_27'!$D$3:$D$493,MATCH($B139,'Input Giocatori 2026_27'!$A$3:$A$493,0)),"")</f>
        <v>Atalanta</v>
      </c>
      <c r="F139" s="42">
        <f>IFERROR(INDEX('Output Utente'!$N$2:$N$492,MATCH(136,'Output Utente'!$Q$2:$Q$492,0)),"")</f>
        <v>7</v>
      </c>
      <c r="G139" s="42">
        <f>IFERROR(INDEX('Output Utente'!$O$2:$O$492,MATCH(136,'Output Utente'!$Q$2:$Q$492,0)),"")</f>
        <v>24</v>
      </c>
      <c r="H139" s="5" t="str">
        <f>IFERROR(INDEX('Output Utente'!$P$2:$P$492,MATCH(136,'Output Utente'!$Q$2:$Q$492,0)),"")</f>
        <v>Buono</v>
      </c>
      <c r="I139" s="42">
        <f>IFERROR(INDEX('Output Utente'!$F$2:$F$492,MATCH(136,'Output Utente'!$Q$2:$Q$492,0)),"")</f>
        <v>3</v>
      </c>
      <c r="J139" s="42">
        <f>IFERROR(INDEX('Output Utente'!$G$2:$G$492,MATCH(136,'Output Utente'!$Q$2:$Q$492,0)),"")</f>
        <v>2</v>
      </c>
      <c r="K139" s="42">
        <f>IFERROR(INDEX('Output Utente'!$H$2:$H$492,MATCH(136,'Output Utente'!$Q$2:$Q$492,0)),"")</f>
        <v>4</v>
      </c>
      <c r="L139" s="5" t="str">
        <f>IFERROR(INDEX('Output Utente'!$E$2:$E$492,MATCH(136,'Output Utente'!$Q$2:$Q$492,0)),"")</f>
        <v>NO</v>
      </c>
      <c r="M139" s="5" t="str">
        <f>IFERROR(INDEX('Output Utente'!$U$2:$U$492,MATCH(136,'Output Utente'!$Q$2:$Q$492,0)),"")</f>
        <v>OK</v>
      </c>
      <c r="N139" s="5" t="str">
        <f>IFERROR(INDEX('Output Utente'!$AE$2:$AE$492,MATCH(136,'Output Utente'!$Q$2:$Q$492,0)),"")</f>
        <v>🔴 Non aspettare</v>
      </c>
    </row>
    <row r="140" spans="1:14" ht="15" customHeight="1" x14ac:dyDescent="0.25">
      <c r="A140" s="41">
        <v>137</v>
      </c>
      <c r="B140" s="5">
        <f>IFERROR(INDEX('Output Utente'!$A$2:$A$492,MATCH(137,'Output Utente'!$Q$2:$Q$492,0)),"")</f>
        <v>4359</v>
      </c>
      <c r="C140" s="5" t="str">
        <f>IFERROR(INDEX('Output Utente'!$B$2:$B$492,MATCH(137,'Output Utente'!$Q$2:$Q$492,0)),"")</f>
        <v>A</v>
      </c>
      <c r="D140" s="5" t="str">
        <f>IFERROR(INDEX('Output Utente'!$C$2:$C$492,MATCH(137,'Output Utente'!$Q$2:$Q$492,0)),"")</f>
        <v>Piccoli</v>
      </c>
      <c r="E140" s="5" t="str">
        <f>IFERROR(INDEX('Input Giocatori 2026_27'!$D$3:$D$493,MATCH($B140,'Input Giocatori 2026_27'!$A$3:$A$493,0)),"")</f>
        <v>Fiorentina</v>
      </c>
      <c r="F140" s="42">
        <f>IFERROR(INDEX('Output Utente'!$N$2:$N$492,MATCH(137,'Output Utente'!$Q$2:$Q$492,0)),"")</f>
        <v>8</v>
      </c>
      <c r="G140" s="42">
        <f>IFERROR(INDEX('Output Utente'!$O$2:$O$492,MATCH(137,'Output Utente'!$Q$2:$Q$492,0)),"")</f>
        <v>24</v>
      </c>
      <c r="H140" s="5" t="str">
        <f>IFERROR(INDEX('Output Utente'!$P$2:$P$492,MATCH(137,'Output Utente'!$Q$2:$Q$492,0)),"")</f>
        <v>Nella Media</v>
      </c>
      <c r="I140" s="42">
        <f>IFERROR(INDEX('Output Utente'!$F$2:$F$492,MATCH(137,'Output Utente'!$Q$2:$Q$492,0)),"")</f>
        <v>8</v>
      </c>
      <c r="J140" s="42">
        <f>IFERROR(INDEX('Output Utente'!$G$2:$G$492,MATCH(137,'Output Utente'!$Q$2:$Q$492,0)),"")</f>
        <v>5</v>
      </c>
      <c r="K140" s="42">
        <f>IFERROR(INDEX('Output Utente'!$H$2:$H$492,MATCH(137,'Output Utente'!$Q$2:$Q$492,0)),"")</f>
        <v>9</v>
      </c>
      <c r="L140" s="5" t="str">
        <f>IFERROR(INDEX('Output Utente'!$E$2:$E$492,MATCH(137,'Output Utente'!$Q$2:$Q$492,0)),"")</f>
        <v>NO</v>
      </c>
      <c r="M140" s="5" t="str">
        <f>IFERROR(INDEX('Output Utente'!$U$2:$U$492,MATCH(137,'Output Utente'!$Q$2:$Q$492,0)),"")</f>
        <v>OK</v>
      </c>
      <c r="N140" s="5" t="str">
        <f>IFERROR(INDEX('Output Utente'!$AE$2:$AE$492,MATCH(137,'Output Utente'!$Q$2:$Q$492,0)),"")</f>
        <v>🔴 Non aspettare</v>
      </c>
    </row>
    <row r="141" spans="1:14" ht="15" customHeight="1" x14ac:dyDescent="0.25">
      <c r="A141" s="41">
        <v>138</v>
      </c>
      <c r="B141" s="5">
        <f>IFERROR(INDEX('Output Utente'!$A$2:$A$492,MATCH(138,'Output Utente'!$Q$2:$Q$492,0)),"")</f>
        <v>5436</v>
      </c>
      <c r="C141" s="5" t="str">
        <f>IFERROR(INDEX('Output Utente'!$B$2:$B$492,MATCH(138,'Output Utente'!$Q$2:$Q$492,0)),"")</f>
        <v>A</v>
      </c>
      <c r="D141" s="5" t="str">
        <f>IFERROR(INDEX('Output Utente'!$C$2:$C$492,MATCH(138,'Output Utente'!$Q$2:$Q$492,0)),"")</f>
        <v>Raimondo</v>
      </c>
      <c r="E141" s="5" t="str">
        <f>IFERROR(INDEX('Input Giocatori 2026_27'!$D$3:$D$493,MATCH($B141,'Input Giocatori 2026_27'!$A$3:$A$493,0)),"")</f>
        <v>Frosinone</v>
      </c>
      <c r="F141" s="42">
        <f>IFERROR(INDEX('Output Utente'!$N$2:$N$492,MATCH(138,'Output Utente'!$Q$2:$Q$492,0)),"")</f>
        <v>7</v>
      </c>
      <c r="G141" s="42">
        <f>IFERROR(INDEX('Output Utente'!$O$2:$O$492,MATCH(138,'Output Utente'!$Q$2:$Q$492,0)),"")</f>
        <v>24</v>
      </c>
      <c r="H141" s="5" t="str">
        <f>IFERROR(INDEX('Output Utente'!$P$2:$P$492,MATCH(138,'Output Utente'!$Q$2:$Q$492,0)),"")</f>
        <v>Nella Media</v>
      </c>
      <c r="I141" s="42">
        <f>IFERROR(INDEX('Output Utente'!$F$2:$F$492,MATCH(138,'Output Utente'!$Q$2:$Q$492,0)),"")</f>
        <v>8</v>
      </c>
      <c r="J141" s="42">
        <f>IFERROR(INDEX('Output Utente'!$G$2:$G$492,MATCH(138,'Output Utente'!$Q$2:$Q$492,0)),"")</f>
        <v>5</v>
      </c>
      <c r="K141" s="42">
        <f>IFERROR(INDEX('Output Utente'!$H$2:$H$492,MATCH(138,'Output Utente'!$Q$2:$Q$492,0)),"")</f>
        <v>9</v>
      </c>
      <c r="L141" s="5" t="str">
        <f>IFERROR(INDEX('Output Utente'!$E$2:$E$492,MATCH(138,'Output Utente'!$Q$2:$Q$492,0)),"")</f>
        <v>NO</v>
      </c>
      <c r="M141" s="5" t="str">
        <f>IFERROR(INDEX('Output Utente'!$U$2:$U$492,MATCH(138,'Output Utente'!$Q$2:$Q$492,0)),"")</f>
        <v>OK</v>
      </c>
      <c r="N141" s="5" t="str">
        <f>IFERROR(INDEX('Output Utente'!$AE$2:$AE$492,MATCH(138,'Output Utente'!$Q$2:$Q$492,0)),"")</f>
        <v>🔴 Non aspettare</v>
      </c>
    </row>
    <row r="142" spans="1:14" ht="15" customHeight="1" x14ac:dyDescent="0.25">
      <c r="A142" s="41">
        <v>139</v>
      </c>
      <c r="B142" s="5">
        <f>IFERROR(INDEX('Output Utente'!$A$2:$A$492,MATCH(139,'Output Utente'!$Q$2:$Q$492,0)),"")</f>
        <v>6531</v>
      </c>
      <c r="C142" s="5" t="str">
        <f>IFERROR(INDEX('Output Utente'!$B$2:$B$492,MATCH(139,'Output Utente'!$Q$2:$Q$492,0)),"")</f>
        <v>D</v>
      </c>
      <c r="D142" s="5" t="str">
        <f>IFERROR(INDEX('Output Utente'!$C$2:$C$492,MATCH(139,'Output Utente'!$Q$2:$Q$492,0)),"")</f>
        <v>Jimenez A.</v>
      </c>
      <c r="E142" s="5" t="str">
        <f>IFERROR(INDEX('Input Giocatori 2026_27'!$D$3:$D$493,MATCH($B142,'Input Giocatori 2026_27'!$A$3:$A$493,0)),"")</f>
        <v>Fiorentina</v>
      </c>
      <c r="F142" s="42">
        <f>IFERROR(INDEX('Output Utente'!$N$2:$N$492,MATCH(139,'Output Utente'!$Q$2:$Q$492,0)),"")</f>
        <v>8</v>
      </c>
      <c r="G142" s="42">
        <f>IFERROR(INDEX('Output Utente'!$O$2:$O$492,MATCH(139,'Output Utente'!$Q$2:$Q$492,0)),"")</f>
        <v>23</v>
      </c>
      <c r="H142" s="5" t="str">
        <f>IFERROR(INDEX('Output Utente'!$P$2:$P$492,MATCH(139,'Output Utente'!$Q$2:$Q$492,0)),"")</f>
        <v>Buono</v>
      </c>
      <c r="I142" s="42">
        <f>IFERROR(INDEX('Output Utente'!$F$2:$F$492,MATCH(139,'Output Utente'!$Q$2:$Q$492,0)),"")</f>
        <v>4</v>
      </c>
      <c r="J142" s="42">
        <f>IFERROR(INDEX('Output Utente'!$G$2:$G$492,MATCH(139,'Output Utente'!$Q$2:$Q$492,0)),"")</f>
        <v>3</v>
      </c>
      <c r="K142" s="42">
        <f>IFERROR(INDEX('Output Utente'!$H$2:$H$492,MATCH(139,'Output Utente'!$Q$2:$Q$492,0)),"")</f>
        <v>4</v>
      </c>
      <c r="L142" s="5" t="str">
        <f>IFERROR(INDEX('Output Utente'!$E$2:$E$492,MATCH(139,'Output Utente'!$Q$2:$Q$492,0)),"")</f>
        <v>NO</v>
      </c>
      <c r="M142" s="5" t="str">
        <f>IFERROR(INDEX('Output Utente'!$U$2:$U$492,MATCH(139,'Output Utente'!$Q$2:$Q$492,0)),"")</f>
        <v>OK</v>
      </c>
      <c r="N142" s="5" t="str">
        <f>IFERROR(INDEX('Output Utente'!$AE$2:$AE$492,MATCH(139,'Output Utente'!$Q$2:$Q$492,0)),"")</f>
        <v>🔴 Non aspettare</v>
      </c>
    </row>
    <row r="143" spans="1:14" ht="15" customHeight="1" x14ac:dyDescent="0.25">
      <c r="A143" s="41">
        <v>140</v>
      </c>
      <c r="B143" s="5">
        <f>IFERROR(INDEX('Output Utente'!$A$2:$A$492,MATCH(140,'Output Utente'!$Q$2:$Q$492,0)),"")</f>
        <v>7414</v>
      </c>
      <c r="C143" s="5" t="str">
        <f>IFERROR(INDEX('Output Utente'!$B$2:$B$492,MATCH(140,'Output Utente'!$Q$2:$Q$492,0)),"")</f>
        <v>D</v>
      </c>
      <c r="D143" s="5" t="str">
        <f>IFERROR(INDEX('Output Utente'!$C$2:$C$492,MATCH(140,'Output Utente'!$Q$2:$Q$492,0)),"")</f>
        <v>Kaiki</v>
      </c>
      <c r="E143" s="5" t="str">
        <f>IFERROR(INDEX('Input Giocatori 2026_27'!$D$3:$D$493,MATCH($B143,'Input Giocatori 2026_27'!$A$3:$A$493,0)),"")</f>
        <v>Como</v>
      </c>
      <c r="F143" s="42">
        <f>IFERROR(INDEX('Output Utente'!$N$2:$N$492,MATCH(140,'Output Utente'!$Q$2:$Q$492,0)),"")</f>
        <v>7</v>
      </c>
      <c r="G143" s="42">
        <f>IFERROR(INDEX('Output Utente'!$O$2:$O$492,MATCH(140,'Output Utente'!$Q$2:$Q$492,0)),"")</f>
        <v>23</v>
      </c>
      <c r="H143" s="5" t="str">
        <f>IFERROR(INDEX('Output Utente'!$P$2:$P$492,MATCH(140,'Output Utente'!$Q$2:$Q$492,0)),"")</f>
        <v>Buono</v>
      </c>
      <c r="I143" s="42">
        <f>IFERROR(INDEX('Output Utente'!$F$2:$F$492,MATCH(140,'Output Utente'!$Q$2:$Q$492,0)),"")</f>
        <v>4</v>
      </c>
      <c r="J143" s="42">
        <f>IFERROR(INDEX('Output Utente'!$G$2:$G$492,MATCH(140,'Output Utente'!$Q$2:$Q$492,0)),"")</f>
        <v>3</v>
      </c>
      <c r="K143" s="42">
        <f>IFERROR(INDEX('Output Utente'!$H$2:$H$492,MATCH(140,'Output Utente'!$Q$2:$Q$492,0)),"")</f>
        <v>5</v>
      </c>
      <c r="L143" s="5" t="str">
        <f>IFERROR(INDEX('Output Utente'!$E$2:$E$492,MATCH(140,'Output Utente'!$Q$2:$Q$492,0)),"")</f>
        <v>NO</v>
      </c>
      <c r="M143" s="5" t="str">
        <f>IFERROR(INDEX('Output Utente'!$U$2:$U$492,MATCH(140,'Output Utente'!$Q$2:$Q$492,0)),"")</f>
        <v>OK</v>
      </c>
      <c r="N143" s="5" t="str">
        <f>IFERROR(INDEX('Output Utente'!$AE$2:$AE$492,MATCH(140,'Output Utente'!$Q$2:$Q$492,0)),"")</f>
        <v>🔴 Non aspettare</v>
      </c>
    </row>
    <row r="144" spans="1:14" ht="15" customHeight="1" x14ac:dyDescent="0.25">
      <c r="A144" s="41">
        <v>141</v>
      </c>
      <c r="B144" s="5">
        <f>IFERROR(INDEX('Output Utente'!$A$2:$A$492,MATCH(141,'Output Utente'!$Q$2:$Q$492,0)),"")</f>
        <v>4401</v>
      </c>
      <c r="C144" s="5" t="str">
        <f>IFERROR(INDEX('Output Utente'!$B$2:$B$492,MATCH(141,'Output Utente'!$Q$2:$Q$492,0)),"")</f>
        <v>D</v>
      </c>
      <c r="D144" s="5" t="str">
        <f>IFERROR(INDEX('Output Utente'!$C$2:$C$492,MATCH(141,'Output Utente'!$Q$2:$Q$492,0)),"")</f>
        <v>Gabbia</v>
      </c>
      <c r="E144" s="5" t="str">
        <f>IFERROR(INDEX('Input Giocatori 2026_27'!$D$3:$D$493,MATCH($B144,'Input Giocatori 2026_27'!$A$3:$A$493,0)),"")</f>
        <v>Milan</v>
      </c>
      <c r="F144" s="42">
        <f>IFERROR(INDEX('Output Utente'!$N$2:$N$492,MATCH(141,'Output Utente'!$Q$2:$Q$492,0)),"")</f>
        <v>7</v>
      </c>
      <c r="G144" s="42">
        <f>IFERROR(INDEX('Output Utente'!$O$2:$O$492,MATCH(141,'Output Utente'!$Q$2:$Q$492,0)),"")</f>
        <v>23</v>
      </c>
      <c r="H144" s="5" t="str">
        <f>IFERROR(INDEX('Output Utente'!$P$2:$P$492,MATCH(141,'Output Utente'!$Q$2:$Q$492,0)),"")</f>
        <v>Buono</v>
      </c>
      <c r="I144" s="42">
        <f>IFERROR(INDEX('Output Utente'!$F$2:$F$492,MATCH(141,'Output Utente'!$Q$2:$Q$492,0)),"")</f>
        <v>4</v>
      </c>
      <c r="J144" s="42">
        <f>IFERROR(INDEX('Output Utente'!$G$2:$G$492,MATCH(141,'Output Utente'!$Q$2:$Q$492,0)),"")</f>
        <v>3</v>
      </c>
      <c r="K144" s="42">
        <f>IFERROR(INDEX('Output Utente'!$H$2:$H$492,MATCH(141,'Output Utente'!$Q$2:$Q$492,0)),"")</f>
        <v>5</v>
      </c>
      <c r="L144" s="5" t="str">
        <f>IFERROR(INDEX('Output Utente'!$E$2:$E$492,MATCH(141,'Output Utente'!$Q$2:$Q$492,0)),"")</f>
        <v>NO</v>
      </c>
      <c r="M144" s="5" t="str">
        <f>IFERROR(INDEX('Output Utente'!$U$2:$U$492,MATCH(141,'Output Utente'!$Q$2:$Q$492,0)),"")</f>
        <v>OK</v>
      </c>
      <c r="N144" s="5" t="str">
        <f>IFERROR(INDEX('Output Utente'!$AE$2:$AE$492,MATCH(141,'Output Utente'!$Q$2:$Q$492,0)),"")</f>
        <v>🔴 Non aspettare</v>
      </c>
    </row>
    <row r="145" spans="1:14" ht="15" customHeight="1" x14ac:dyDescent="0.25">
      <c r="A145" s="41">
        <v>142</v>
      </c>
      <c r="B145" s="5">
        <f>IFERROR(INDEX('Output Utente'!$A$2:$A$492,MATCH(142,'Output Utente'!$Q$2:$Q$492,0)),"")</f>
        <v>4465</v>
      </c>
      <c r="C145" s="5" t="str">
        <f>IFERROR(INDEX('Output Utente'!$B$2:$B$492,MATCH(142,'Output Utente'!$Q$2:$Q$492,0)),"")</f>
        <v>C</v>
      </c>
      <c r="D145" s="5" t="str">
        <f>IFERROR(INDEX('Output Utente'!$C$2:$C$492,MATCH(142,'Output Utente'!$Q$2:$Q$492,0)),"")</f>
        <v>Fagioli</v>
      </c>
      <c r="E145" s="5" t="str">
        <f>IFERROR(INDEX('Input Giocatori 2026_27'!$D$3:$D$493,MATCH($B145,'Input Giocatori 2026_27'!$A$3:$A$493,0)),"")</f>
        <v>Fiorentina</v>
      </c>
      <c r="F145" s="42">
        <f>IFERROR(INDEX('Output Utente'!$N$2:$N$492,MATCH(142,'Output Utente'!$Q$2:$Q$492,0)),"")</f>
        <v>8</v>
      </c>
      <c r="G145" s="42">
        <f>IFERROR(INDEX('Output Utente'!$O$2:$O$492,MATCH(142,'Output Utente'!$Q$2:$Q$492,0)),"")</f>
        <v>23</v>
      </c>
      <c r="H145" s="5" t="str">
        <f>IFERROR(INDEX('Output Utente'!$P$2:$P$492,MATCH(142,'Output Utente'!$Q$2:$Q$492,0)),"")</f>
        <v>Buono</v>
      </c>
      <c r="I145" s="42">
        <f>IFERROR(INDEX('Output Utente'!$F$2:$F$492,MATCH(142,'Output Utente'!$Q$2:$Q$492,0)),"")</f>
        <v>3</v>
      </c>
      <c r="J145" s="42">
        <f>IFERROR(INDEX('Output Utente'!$G$2:$G$492,MATCH(142,'Output Utente'!$Q$2:$Q$492,0)),"")</f>
        <v>2</v>
      </c>
      <c r="K145" s="42">
        <f>IFERROR(INDEX('Output Utente'!$H$2:$H$492,MATCH(142,'Output Utente'!$Q$2:$Q$492,0)),"")</f>
        <v>3</v>
      </c>
      <c r="L145" s="5" t="str">
        <f>IFERROR(INDEX('Output Utente'!$E$2:$E$492,MATCH(142,'Output Utente'!$Q$2:$Q$492,0)),"")</f>
        <v>NO</v>
      </c>
      <c r="M145" s="5" t="str">
        <f>IFERROR(INDEX('Output Utente'!$U$2:$U$492,MATCH(142,'Output Utente'!$Q$2:$Q$492,0)),"")</f>
        <v>OK</v>
      </c>
      <c r="N145" s="5" t="str">
        <f>IFERROR(INDEX('Output Utente'!$AE$2:$AE$492,MATCH(142,'Output Utente'!$Q$2:$Q$492,0)),"")</f>
        <v>🔴 Non aspettare</v>
      </c>
    </row>
    <row r="146" spans="1:14" ht="15" customHeight="1" x14ac:dyDescent="0.25">
      <c r="A146" s="41">
        <v>143</v>
      </c>
      <c r="B146" s="5">
        <f>IFERROR(INDEX('Output Utente'!$A$2:$A$492,MATCH(143,'Output Utente'!$Q$2:$Q$492,0)),"")</f>
        <v>5735</v>
      </c>
      <c r="C146" s="5" t="str">
        <f>IFERROR(INDEX('Output Utente'!$B$2:$B$492,MATCH(143,'Output Utente'!$Q$2:$Q$492,0)),"")</f>
        <v>C</v>
      </c>
      <c r="D146" s="5" t="str">
        <f>IFERROR(INDEX('Output Utente'!$C$2:$C$492,MATCH(143,'Output Utente'!$Q$2:$Q$492,0)),"")</f>
        <v>Volpato</v>
      </c>
      <c r="E146" s="5" t="str">
        <f>IFERROR(INDEX('Input Giocatori 2026_27'!$D$3:$D$493,MATCH($B146,'Input Giocatori 2026_27'!$A$3:$A$493,0)),"")</f>
        <v>Sassuolo</v>
      </c>
      <c r="F146" s="42">
        <f>IFERROR(INDEX('Output Utente'!$N$2:$N$492,MATCH(143,'Output Utente'!$Q$2:$Q$492,0)),"")</f>
        <v>7</v>
      </c>
      <c r="G146" s="42">
        <f>IFERROR(INDEX('Output Utente'!$O$2:$O$492,MATCH(143,'Output Utente'!$Q$2:$Q$492,0)),"")</f>
        <v>23</v>
      </c>
      <c r="H146" s="5" t="str">
        <f>IFERROR(INDEX('Output Utente'!$P$2:$P$492,MATCH(143,'Output Utente'!$Q$2:$Q$492,0)),"")</f>
        <v>Buono</v>
      </c>
      <c r="I146" s="42">
        <f>IFERROR(INDEX('Output Utente'!$F$2:$F$492,MATCH(143,'Output Utente'!$Q$2:$Q$492,0)),"")</f>
        <v>3</v>
      </c>
      <c r="J146" s="42">
        <f>IFERROR(INDEX('Output Utente'!$G$2:$G$492,MATCH(143,'Output Utente'!$Q$2:$Q$492,0)),"")</f>
        <v>2</v>
      </c>
      <c r="K146" s="42">
        <f>IFERROR(INDEX('Output Utente'!$H$2:$H$492,MATCH(143,'Output Utente'!$Q$2:$Q$492,0)),"")</f>
        <v>3</v>
      </c>
      <c r="L146" s="5" t="str">
        <f>IFERROR(INDEX('Output Utente'!$E$2:$E$492,MATCH(143,'Output Utente'!$Q$2:$Q$492,0)),"")</f>
        <v>NO</v>
      </c>
      <c r="M146" s="5" t="str">
        <f>IFERROR(INDEX('Output Utente'!$U$2:$U$492,MATCH(143,'Output Utente'!$Q$2:$Q$492,0)),"")</f>
        <v>OK</v>
      </c>
      <c r="N146" s="5" t="str">
        <f>IFERROR(INDEX('Output Utente'!$AE$2:$AE$492,MATCH(143,'Output Utente'!$Q$2:$Q$492,0)),"")</f>
        <v>🔴 Non aspettare</v>
      </c>
    </row>
    <row r="147" spans="1:14" ht="15" customHeight="1" x14ac:dyDescent="0.25">
      <c r="A147" s="41">
        <v>144</v>
      </c>
      <c r="B147" s="5">
        <f>IFERROR(INDEX('Output Utente'!$A$2:$A$492,MATCH(144,'Output Utente'!$Q$2:$Q$492,0)),"")</f>
        <v>6783</v>
      </c>
      <c r="C147" s="5" t="str">
        <f>IFERROR(INDEX('Output Utente'!$B$2:$B$492,MATCH(144,'Output Utente'!$Q$2:$Q$492,0)),"")</f>
        <v>C</v>
      </c>
      <c r="D147" s="5" t="str">
        <f>IFERROR(INDEX('Output Utente'!$C$2:$C$492,MATCH(144,'Output Utente'!$Q$2:$Q$492,0)),"")</f>
        <v>Unai Gomez</v>
      </c>
      <c r="E147" s="5" t="str">
        <f>IFERROR(INDEX('Input Giocatori 2026_27'!$D$3:$D$493,MATCH($B147,'Input Giocatori 2026_27'!$A$3:$A$493,0)),"")</f>
        <v>Udinese</v>
      </c>
      <c r="F147" s="42">
        <f>IFERROR(INDEX('Output Utente'!$N$2:$N$492,MATCH(144,'Output Utente'!$Q$2:$Q$492,0)),"")</f>
        <v>7</v>
      </c>
      <c r="G147" s="42">
        <f>IFERROR(INDEX('Output Utente'!$O$2:$O$492,MATCH(144,'Output Utente'!$Q$2:$Q$492,0)),"")</f>
        <v>23</v>
      </c>
      <c r="H147" s="5" t="str">
        <f>IFERROR(INDEX('Output Utente'!$P$2:$P$492,MATCH(144,'Output Utente'!$Q$2:$Q$492,0)),"")</f>
        <v>Buono</v>
      </c>
      <c r="I147" s="42">
        <f>IFERROR(INDEX('Output Utente'!$F$2:$F$492,MATCH(144,'Output Utente'!$Q$2:$Q$492,0)),"")</f>
        <v>3</v>
      </c>
      <c r="J147" s="42">
        <f>IFERROR(INDEX('Output Utente'!$G$2:$G$492,MATCH(144,'Output Utente'!$Q$2:$Q$492,0)),"")</f>
        <v>2</v>
      </c>
      <c r="K147" s="42">
        <f>IFERROR(INDEX('Output Utente'!$H$2:$H$492,MATCH(144,'Output Utente'!$Q$2:$Q$492,0)),"")</f>
        <v>3</v>
      </c>
      <c r="L147" s="5" t="str">
        <f>IFERROR(INDEX('Output Utente'!$E$2:$E$492,MATCH(144,'Output Utente'!$Q$2:$Q$492,0)),"")</f>
        <v>NO</v>
      </c>
      <c r="M147" s="5" t="str">
        <f>IFERROR(INDEX('Output Utente'!$U$2:$U$492,MATCH(144,'Output Utente'!$Q$2:$Q$492,0)),"")</f>
        <v>OK</v>
      </c>
      <c r="N147" s="5" t="str">
        <f>IFERROR(INDEX('Output Utente'!$AE$2:$AE$492,MATCH(144,'Output Utente'!$Q$2:$Q$492,0)),"")</f>
        <v>🔴 Non aspettare</v>
      </c>
    </row>
    <row r="148" spans="1:14" ht="15" customHeight="1" x14ac:dyDescent="0.25">
      <c r="A148" s="41">
        <v>145</v>
      </c>
      <c r="B148" s="5">
        <f>IFERROR(INDEX('Output Utente'!$A$2:$A$492,MATCH(145,'Output Utente'!$Q$2:$Q$492,0)),"")</f>
        <v>4686</v>
      </c>
      <c r="C148" s="5" t="str">
        <f>IFERROR(INDEX('Output Utente'!$B$2:$B$492,MATCH(145,'Output Utente'!$Q$2:$Q$492,0)),"")</f>
        <v>C</v>
      </c>
      <c r="D148" s="5" t="str">
        <f>IFERROR(INDEX('Output Utente'!$C$2:$C$492,MATCH(145,'Output Utente'!$Q$2:$Q$492,0)),"")</f>
        <v>Fofana Y.</v>
      </c>
      <c r="E148" s="5" t="str">
        <f>IFERROR(INDEX('Input Giocatori 2026_27'!$D$3:$D$493,MATCH($B148,'Input Giocatori 2026_27'!$A$3:$A$493,0)),"")</f>
        <v>Milan</v>
      </c>
      <c r="F148" s="42">
        <f>IFERROR(INDEX('Output Utente'!$N$2:$N$492,MATCH(145,'Output Utente'!$Q$2:$Q$492,0)),"")</f>
        <v>5</v>
      </c>
      <c r="G148" s="42">
        <f>IFERROR(INDEX('Output Utente'!$O$2:$O$492,MATCH(145,'Output Utente'!$Q$2:$Q$492,0)),"")</f>
        <v>23</v>
      </c>
      <c r="H148" s="5" t="str">
        <f>IFERROR(INDEX('Output Utente'!$P$2:$P$492,MATCH(145,'Output Utente'!$Q$2:$Q$492,0)),"")</f>
        <v>Buono</v>
      </c>
      <c r="I148" s="42">
        <f>IFERROR(INDEX('Output Utente'!$F$2:$F$492,MATCH(145,'Output Utente'!$Q$2:$Q$492,0)),"")</f>
        <v>3</v>
      </c>
      <c r="J148" s="42">
        <f>IFERROR(INDEX('Output Utente'!$G$2:$G$492,MATCH(145,'Output Utente'!$Q$2:$Q$492,0)),"")</f>
        <v>2</v>
      </c>
      <c r="K148" s="42">
        <f>IFERROR(INDEX('Output Utente'!$H$2:$H$492,MATCH(145,'Output Utente'!$Q$2:$Q$492,0)),"")</f>
        <v>3</v>
      </c>
      <c r="L148" s="5" t="str">
        <f>IFERROR(INDEX('Output Utente'!$E$2:$E$492,MATCH(145,'Output Utente'!$Q$2:$Q$492,0)),"")</f>
        <v>NO</v>
      </c>
      <c r="M148" s="5" t="str">
        <f>IFERROR(INDEX('Output Utente'!$U$2:$U$492,MATCH(145,'Output Utente'!$Q$2:$Q$492,0)),"")</f>
        <v>OK</v>
      </c>
      <c r="N148" s="5" t="str">
        <f>IFERROR(INDEX('Output Utente'!$AE$2:$AE$492,MATCH(145,'Output Utente'!$Q$2:$Q$492,0)),"")</f>
        <v>🔴 Non aspettare</v>
      </c>
    </row>
    <row r="149" spans="1:14" ht="15" customHeight="1" x14ac:dyDescent="0.25">
      <c r="A149" s="41">
        <v>146</v>
      </c>
      <c r="B149" s="5">
        <f>IFERROR(INDEX('Output Utente'!$A$2:$A$492,MATCH(146,'Output Utente'!$Q$2:$Q$492,0)),"")</f>
        <v>6643</v>
      </c>
      <c r="C149" s="5" t="str">
        <f>IFERROR(INDEX('Output Utente'!$B$2:$B$492,MATCH(146,'Output Utente'!$Q$2:$Q$492,0)),"")</f>
        <v>A</v>
      </c>
      <c r="D149" s="5" t="str">
        <f>IFERROR(INDEX('Output Utente'!$C$2:$C$492,MATCH(146,'Output Utente'!$Q$2:$Q$492,0)),"")</f>
        <v>Dallinga</v>
      </c>
      <c r="E149" s="5" t="str">
        <f>IFERROR(INDEX('Input Giocatori 2026_27'!$D$3:$D$493,MATCH($B149,'Input Giocatori 2026_27'!$A$3:$A$493,0)),"")</f>
        <v>Bologna</v>
      </c>
      <c r="F149" s="42">
        <f>IFERROR(INDEX('Output Utente'!$N$2:$N$492,MATCH(146,'Output Utente'!$Q$2:$Q$492,0)),"")</f>
        <v>8</v>
      </c>
      <c r="G149" s="42">
        <f>IFERROR(INDEX('Output Utente'!$O$2:$O$492,MATCH(146,'Output Utente'!$Q$2:$Q$492,0)),"")</f>
        <v>23</v>
      </c>
      <c r="H149" s="5" t="str">
        <f>IFERROR(INDEX('Output Utente'!$P$2:$P$492,MATCH(146,'Output Utente'!$Q$2:$Q$492,0)),"")</f>
        <v>Nella Media</v>
      </c>
      <c r="I149" s="42">
        <f>IFERROR(INDEX('Output Utente'!$F$2:$F$492,MATCH(146,'Output Utente'!$Q$2:$Q$492,0)),"")</f>
        <v>7</v>
      </c>
      <c r="J149" s="42">
        <f>IFERROR(INDEX('Output Utente'!$G$2:$G$492,MATCH(146,'Output Utente'!$Q$2:$Q$492,0)),"")</f>
        <v>5</v>
      </c>
      <c r="K149" s="42">
        <f>IFERROR(INDEX('Output Utente'!$H$2:$H$492,MATCH(146,'Output Utente'!$Q$2:$Q$492,0)),"")</f>
        <v>8</v>
      </c>
      <c r="L149" s="5" t="str">
        <f>IFERROR(INDEX('Output Utente'!$E$2:$E$492,MATCH(146,'Output Utente'!$Q$2:$Q$492,0)),"")</f>
        <v>NO</v>
      </c>
      <c r="M149" s="5" t="str">
        <f>IFERROR(INDEX('Output Utente'!$U$2:$U$492,MATCH(146,'Output Utente'!$Q$2:$Q$492,0)),"")</f>
        <v>OK</v>
      </c>
      <c r="N149" s="5" t="str">
        <f>IFERROR(INDEX('Output Utente'!$AE$2:$AE$492,MATCH(146,'Output Utente'!$Q$2:$Q$492,0)),"")</f>
        <v>🔴 Non aspettare</v>
      </c>
    </row>
    <row r="150" spans="1:14" ht="15" customHeight="1" x14ac:dyDescent="0.25">
      <c r="A150" s="41">
        <v>147</v>
      </c>
      <c r="B150" s="5">
        <f>IFERROR(INDEX('Output Utente'!$A$2:$A$492,MATCH(147,'Output Utente'!$Q$2:$Q$492,0)),"")</f>
        <v>6814</v>
      </c>
      <c r="C150" s="5" t="str">
        <f>IFERROR(INDEX('Output Utente'!$B$2:$B$492,MATCH(147,'Output Utente'!$Q$2:$Q$492,0)),"")</f>
        <v>D</v>
      </c>
      <c r="D150" s="5" t="str">
        <f>IFERROR(INDEX('Output Utente'!$C$2:$C$492,MATCH(147,'Output Utente'!$Q$2:$Q$492,0)),"")</f>
        <v>Norton-Cuffy</v>
      </c>
      <c r="E150" s="5" t="str">
        <f>IFERROR(INDEX('Input Giocatori 2026_27'!$D$3:$D$493,MATCH($B150,'Input Giocatori 2026_27'!$A$3:$A$493,0)),"")</f>
        <v>Genoa</v>
      </c>
      <c r="F150" s="42">
        <f>IFERROR(INDEX('Output Utente'!$N$2:$N$492,MATCH(147,'Output Utente'!$Q$2:$Q$492,0)),"")</f>
        <v>8</v>
      </c>
      <c r="G150" s="42">
        <f>IFERROR(INDEX('Output Utente'!$O$2:$O$492,MATCH(147,'Output Utente'!$Q$2:$Q$492,0)),"")</f>
        <v>22</v>
      </c>
      <c r="H150" s="5" t="str">
        <f>IFERROR(INDEX('Output Utente'!$P$2:$P$492,MATCH(147,'Output Utente'!$Q$2:$Q$492,0)),"")</f>
        <v>Buono</v>
      </c>
      <c r="I150" s="42">
        <f>IFERROR(INDEX('Output Utente'!$F$2:$F$492,MATCH(147,'Output Utente'!$Q$2:$Q$492,0)),"")</f>
        <v>4</v>
      </c>
      <c r="J150" s="42">
        <f>IFERROR(INDEX('Output Utente'!$G$2:$G$492,MATCH(147,'Output Utente'!$Q$2:$Q$492,0)),"")</f>
        <v>3</v>
      </c>
      <c r="K150" s="42">
        <f>IFERROR(INDEX('Output Utente'!$H$2:$H$492,MATCH(147,'Output Utente'!$Q$2:$Q$492,0)),"")</f>
        <v>4</v>
      </c>
      <c r="L150" s="5" t="str">
        <f>IFERROR(INDEX('Output Utente'!$E$2:$E$492,MATCH(147,'Output Utente'!$Q$2:$Q$492,0)),"")</f>
        <v>NO</v>
      </c>
      <c r="M150" s="5" t="str">
        <f>IFERROR(INDEX('Output Utente'!$U$2:$U$492,MATCH(147,'Output Utente'!$Q$2:$Q$492,0)),"")</f>
        <v>OK</v>
      </c>
      <c r="N150" s="5" t="str">
        <f>IFERROR(INDEX('Output Utente'!$AE$2:$AE$492,MATCH(147,'Output Utente'!$Q$2:$Q$492,0)),"")</f>
        <v>🔴 Non aspettare</v>
      </c>
    </row>
    <row r="151" spans="1:14" ht="15" customHeight="1" x14ac:dyDescent="0.25">
      <c r="A151" s="41">
        <v>148</v>
      </c>
      <c r="B151" s="5">
        <f>IFERROR(INDEX('Output Utente'!$A$2:$A$492,MATCH(148,'Output Utente'!$Q$2:$Q$492,0)),"")</f>
        <v>6320</v>
      </c>
      <c r="C151" s="5" t="str">
        <f>IFERROR(INDEX('Output Utente'!$B$2:$B$492,MATCH(148,'Output Utente'!$Q$2:$Q$492,0)),"")</f>
        <v>D</v>
      </c>
      <c r="D151" s="5" t="str">
        <f>IFERROR(INDEX('Output Utente'!$C$2:$C$492,MATCH(148,'Output Utente'!$Q$2:$Q$492,0)),"")</f>
        <v>Doekhi</v>
      </c>
      <c r="E151" s="5" t="str">
        <f>IFERROR(INDEX('Input Giocatori 2026_27'!$D$3:$D$493,MATCH($B151,'Input Giocatori 2026_27'!$A$3:$A$493,0)),"")</f>
        <v>Lazio</v>
      </c>
      <c r="F151" s="42">
        <f>IFERROR(INDEX('Output Utente'!$N$2:$N$492,MATCH(148,'Output Utente'!$Q$2:$Q$492,0)),"")</f>
        <v>7</v>
      </c>
      <c r="G151" s="42">
        <f>IFERROR(INDEX('Output Utente'!$O$2:$O$492,MATCH(148,'Output Utente'!$Q$2:$Q$492,0)),"")</f>
        <v>22</v>
      </c>
      <c r="H151" s="5" t="str">
        <f>IFERROR(INDEX('Output Utente'!$P$2:$P$492,MATCH(148,'Output Utente'!$Q$2:$Q$492,0)),"")</f>
        <v>Buono</v>
      </c>
      <c r="I151" s="42">
        <f>IFERROR(INDEX('Output Utente'!$F$2:$F$492,MATCH(148,'Output Utente'!$Q$2:$Q$492,0)),"")</f>
        <v>4</v>
      </c>
      <c r="J151" s="42">
        <f>IFERROR(INDEX('Output Utente'!$G$2:$G$492,MATCH(148,'Output Utente'!$Q$2:$Q$492,0)),"")</f>
        <v>3</v>
      </c>
      <c r="K151" s="42">
        <f>IFERROR(INDEX('Output Utente'!$H$2:$H$492,MATCH(148,'Output Utente'!$Q$2:$Q$492,0)),"")</f>
        <v>4</v>
      </c>
      <c r="L151" s="5" t="str">
        <f>IFERROR(INDEX('Output Utente'!$E$2:$E$492,MATCH(148,'Output Utente'!$Q$2:$Q$492,0)),"")</f>
        <v>NO</v>
      </c>
      <c r="M151" s="5" t="str">
        <f>IFERROR(INDEX('Output Utente'!$U$2:$U$492,MATCH(148,'Output Utente'!$Q$2:$Q$492,0)),"")</f>
        <v>OK</v>
      </c>
      <c r="N151" s="5" t="str">
        <f>IFERROR(INDEX('Output Utente'!$AE$2:$AE$492,MATCH(148,'Output Utente'!$Q$2:$Q$492,0)),"")</f>
        <v>🔴 Non aspettare</v>
      </c>
    </row>
    <row r="152" spans="1:14" ht="15" customHeight="1" x14ac:dyDescent="0.25">
      <c r="A152" s="41">
        <v>149</v>
      </c>
      <c r="B152" s="5">
        <f>IFERROR(INDEX('Output Utente'!$A$2:$A$492,MATCH(149,'Output Utente'!$Q$2:$Q$492,0)),"")</f>
        <v>2765</v>
      </c>
      <c r="C152" s="5" t="str">
        <f>IFERROR(INDEX('Output Utente'!$B$2:$B$492,MATCH(149,'Output Utente'!$Q$2:$Q$492,0)),"")</f>
        <v>C</v>
      </c>
      <c r="D152" s="5" t="str">
        <f>IFERROR(INDEX('Output Utente'!$C$2:$C$492,MATCH(149,'Output Utente'!$Q$2:$Q$492,0)),"")</f>
        <v>Odgaard</v>
      </c>
      <c r="E152" s="5" t="str">
        <f>IFERROR(INDEX('Input Giocatori 2026_27'!$D$3:$D$493,MATCH($B152,'Input Giocatori 2026_27'!$A$3:$A$493,0)),"")</f>
        <v>Bologna</v>
      </c>
      <c r="F152" s="42">
        <f>IFERROR(INDEX('Output Utente'!$N$2:$N$492,MATCH(149,'Output Utente'!$Q$2:$Q$492,0)),"")</f>
        <v>8</v>
      </c>
      <c r="G152" s="42">
        <f>IFERROR(INDEX('Output Utente'!$O$2:$O$492,MATCH(149,'Output Utente'!$Q$2:$Q$492,0)),"")</f>
        <v>22</v>
      </c>
      <c r="H152" s="5" t="str">
        <f>IFERROR(INDEX('Output Utente'!$P$2:$P$492,MATCH(149,'Output Utente'!$Q$2:$Q$492,0)),"")</f>
        <v>Nella Media</v>
      </c>
      <c r="I152" s="42">
        <f>IFERROR(INDEX('Output Utente'!$F$2:$F$492,MATCH(149,'Output Utente'!$Q$2:$Q$492,0)),"")</f>
        <v>3</v>
      </c>
      <c r="J152" s="42">
        <f>IFERROR(INDEX('Output Utente'!$G$2:$G$492,MATCH(149,'Output Utente'!$Q$2:$Q$492,0)),"")</f>
        <v>2</v>
      </c>
      <c r="K152" s="42">
        <f>IFERROR(INDEX('Output Utente'!$H$2:$H$492,MATCH(149,'Output Utente'!$Q$2:$Q$492,0)),"")</f>
        <v>3</v>
      </c>
      <c r="L152" s="5" t="str">
        <f>IFERROR(INDEX('Output Utente'!$E$2:$E$492,MATCH(149,'Output Utente'!$Q$2:$Q$492,0)),"")</f>
        <v>NO</v>
      </c>
      <c r="M152" s="5" t="str">
        <f>IFERROR(INDEX('Output Utente'!$U$2:$U$492,MATCH(149,'Output Utente'!$Q$2:$Q$492,0)),"")</f>
        <v>OK</v>
      </c>
      <c r="N152" s="5" t="str">
        <f>IFERROR(INDEX('Output Utente'!$AE$2:$AE$492,MATCH(149,'Output Utente'!$Q$2:$Q$492,0)),"")</f>
        <v>🔴 Non aspettare</v>
      </c>
    </row>
    <row r="153" spans="1:14" ht="15" customHeight="1" x14ac:dyDescent="0.25">
      <c r="A153" s="41">
        <v>150</v>
      </c>
      <c r="B153" s="5">
        <f>IFERROR(INDEX('Output Utente'!$A$2:$A$492,MATCH(150,'Output Utente'!$Q$2:$Q$492,0)),"")</f>
        <v>6678</v>
      </c>
      <c r="C153" s="5" t="str">
        <f>IFERROR(INDEX('Output Utente'!$B$2:$B$492,MATCH(150,'Output Utente'!$Q$2:$Q$492,0)),"")</f>
        <v>C</v>
      </c>
      <c r="D153" s="5" t="str">
        <f>IFERROR(INDEX('Output Utente'!$C$2:$C$492,MATCH(150,'Output Utente'!$Q$2:$Q$492,0)),"")</f>
        <v>Liberali</v>
      </c>
      <c r="E153" s="5" t="str">
        <f>IFERROR(INDEX('Input Giocatori 2026_27'!$D$3:$D$493,MATCH($B153,'Input Giocatori 2026_27'!$A$3:$A$493,0)),"")</f>
        <v>Como</v>
      </c>
      <c r="F153" s="42">
        <f>IFERROR(INDEX('Output Utente'!$N$2:$N$492,MATCH(150,'Output Utente'!$Q$2:$Q$492,0)),"")</f>
        <v>6</v>
      </c>
      <c r="G153" s="42">
        <f>IFERROR(INDEX('Output Utente'!$O$2:$O$492,MATCH(150,'Output Utente'!$Q$2:$Q$492,0)),"")</f>
        <v>22</v>
      </c>
      <c r="H153" s="5" t="str">
        <f>IFERROR(INDEX('Output Utente'!$P$2:$P$492,MATCH(150,'Output Utente'!$Q$2:$Q$492,0)),"")</f>
        <v>Nella Media</v>
      </c>
      <c r="I153" s="42">
        <f>IFERROR(INDEX('Output Utente'!$F$2:$F$492,MATCH(150,'Output Utente'!$Q$2:$Q$492,0)),"")</f>
        <v>3</v>
      </c>
      <c r="J153" s="42">
        <f>IFERROR(INDEX('Output Utente'!$G$2:$G$492,MATCH(150,'Output Utente'!$Q$2:$Q$492,0)),"")</f>
        <v>2</v>
      </c>
      <c r="K153" s="42">
        <f>IFERROR(INDEX('Output Utente'!$H$2:$H$492,MATCH(150,'Output Utente'!$Q$2:$Q$492,0)),"")</f>
        <v>3</v>
      </c>
      <c r="L153" s="5" t="str">
        <f>IFERROR(INDEX('Output Utente'!$E$2:$E$492,MATCH(150,'Output Utente'!$Q$2:$Q$492,0)),"")</f>
        <v>NO</v>
      </c>
      <c r="M153" s="5" t="str">
        <f>IFERROR(INDEX('Output Utente'!$U$2:$U$492,MATCH(150,'Output Utente'!$Q$2:$Q$492,0)),"")</f>
        <v>OK</v>
      </c>
      <c r="N153" s="5" t="str">
        <f>IFERROR(INDEX('Output Utente'!$AE$2:$AE$492,MATCH(150,'Output Utente'!$Q$2:$Q$492,0)),"")</f>
        <v>🔴 Non aspettare</v>
      </c>
    </row>
    <row r="154" spans="1:14" ht="15" customHeight="1" x14ac:dyDescent="0.25">
      <c r="A154" s="41">
        <v>151</v>
      </c>
      <c r="B154" s="5">
        <f>IFERROR(INDEX('Output Utente'!$A$2:$A$492,MATCH(151,'Output Utente'!$Q$2:$Q$492,0)),"")</f>
        <v>6831</v>
      </c>
      <c r="C154" s="5" t="str">
        <f>IFERROR(INDEX('Output Utente'!$B$2:$B$492,MATCH(151,'Output Utente'!$Q$2:$Q$492,0)),"")</f>
        <v>A</v>
      </c>
      <c r="D154" s="5" t="str">
        <f>IFERROR(INDEX('Output Utente'!$C$2:$C$492,MATCH(151,'Output Utente'!$Q$2:$Q$492,0)),"")</f>
        <v>Neres</v>
      </c>
      <c r="E154" s="5" t="str">
        <f>IFERROR(INDEX('Input Giocatori 2026_27'!$D$3:$D$493,MATCH($B154,'Input Giocatori 2026_27'!$A$3:$A$493,0)),"")</f>
        <v>Napoli</v>
      </c>
      <c r="F154" s="42">
        <f>IFERROR(INDEX('Output Utente'!$N$2:$N$492,MATCH(151,'Output Utente'!$Q$2:$Q$492,0)),"")</f>
        <v>6</v>
      </c>
      <c r="G154" s="42">
        <f>IFERROR(INDEX('Output Utente'!$O$2:$O$492,MATCH(151,'Output Utente'!$Q$2:$Q$492,0)),"")</f>
        <v>22</v>
      </c>
      <c r="H154" s="5" t="str">
        <f>IFERROR(INDEX('Output Utente'!$P$2:$P$492,MATCH(151,'Output Utente'!$Q$2:$Q$492,0)),"")</f>
        <v>Nella Media</v>
      </c>
      <c r="I154" s="42">
        <f>IFERROR(INDEX('Output Utente'!$F$2:$F$492,MATCH(151,'Output Utente'!$Q$2:$Q$492,0)),"")</f>
        <v>7</v>
      </c>
      <c r="J154" s="42">
        <f>IFERROR(INDEX('Output Utente'!$G$2:$G$492,MATCH(151,'Output Utente'!$Q$2:$Q$492,0)),"")</f>
        <v>4</v>
      </c>
      <c r="K154" s="42">
        <f>IFERROR(INDEX('Output Utente'!$H$2:$H$492,MATCH(151,'Output Utente'!$Q$2:$Q$492,0)),"")</f>
        <v>8</v>
      </c>
      <c r="L154" s="5" t="str">
        <f>IFERROR(INDEX('Output Utente'!$E$2:$E$492,MATCH(151,'Output Utente'!$Q$2:$Q$492,0)),"")</f>
        <v>NO</v>
      </c>
      <c r="M154" s="5" t="str">
        <f>IFERROR(INDEX('Output Utente'!$U$2:$U$492,MATCH(151,'Output Utente'!$Q$2:$Q$492,0)),"")</f>
        <v>OK</v>
      </c>
      <c r="N154" s="5" t="str">
        <f>IFERROR(INDEX('Output Utente'!$AE$2:$AE$492,MATCH(151,'Output Utente'!$Q$2:$Q$492,0)),"")</f>
        <v>🔴 Non aspettare</v>
      </c>
    </row>
    <row r="155" spans="1:14" ht="15" customHeight="1" x14ac:dyDescent="0.25">
      <c r="A155" s="41">
        <v>152</v>
      </c>
      <c r="B155" s="5">
        <f>IFERROR(INDEX('Output Utente'!$A$2:$A$492,MATCH(152,'Output Utente'!$Q$2:$Q$492,0)),"")</f>
        <v>4657</v>
      </c>
      <c r="C155" s="5" t="str">
        <f>IFERROR(INDEX('Output Utente'!$B$2:$B$492,MATCH(152,'Output Utente'!$Q$2:$Q$492,0)),"")</f>
        <v>D</v>
      </c>
      <c r="D155" s="5" t="str">
        <f>IFERROR(INDEX('Output Utente'!$C$2:$C$492,MATCH(152,'Output Utente'!$Q$2:$Q$492,0)),"")</f>
        <v>Celik</v>
      </c>
      <c r="E155" s="5" t="str">
        <f>IFERROR(INDEX('Input Giocatori 2026_27'!$D$3:$D$493,MATCH($B155,'Input Giocatori 2026_27'!$A$3:$A$493,0)),"")</f>
        <v>Juventus</v>
      </c>
      <c r="F155" s="42">
        <f>IFERROR(INDEX('Output Utente'!$N$2:$N$492,MATCH(152,'Output Utente'!$Q$2:$Q$492,0)),"")</f>
        <v>8</v>
      </c>
      <c r="G155" s="42">
        <f>IFERROR(INDEX('Output Utente'!$O$2:$O$492,MATCH(152,'Output Utente'!$Q$2:$Q$492,0)),"")</f>
        <v>21</v>
      </c>
      <c r="H155" s="5" t="str">
        <f>IFERROR(INDEX('Output Utente'!$P$2:$P$492,MATCH(152,'Output Utente'!$Q$2:$Q$492,0)),"")</f>
        <v>Buono</v>
      </c>
      <c r="I155" s="42">
        <f>IFERROR(INDEX('Output Utente'!$F$2:$F$492,MATCH(152,'Output Utente'!$Q$2:$Q$492,0)),"")</f>
        <v>4</v>
      </c>
      <c r="J155" s="42">
        <f>IFERROR(INDEX('Output Utente'!$G$2:$G$492,MATCH(152,'Output Utente'!$Q$2:$Q$492,0)),"")</f>
        <v>3</v>
      </c>
      <c r="K155" s="42">
        <f>IFERROR(INDEX('Output Utente'!$H$2:$H$492,MATCH(152,'Output Utente'!$Q$2:$Q$492,0)),"")</f>
        <v>4</v>
      </c>
      <c r="L155" s="5" t="str">
        <f>IFERROR(INDEX('Output Utente'!$E$2:$E$492,MATCH(152,'Output Utente'!$Q$2:$Q$492,0)),"")</f>
        <v>NO</v>
      </c>
      <c r="M155" s="5" t="str">
        <f>IFERROR(INDEX('Output Utente'!$U$2:$U$492,MATCH(152,'Output Utente'!$Q$2:$Q$492,0)),"")</f>
        <v>OK</v>
      </c>
      <c r="N155" s="5" t="str">
        <f>IFERROR(INDEX('Output Utente'!$AE$2:$AE$492,MATCH(152,'Output Utente'!$Q$2:$Q$492,0)),"")</f>
        <v>🔴 Non aspettare</v>
      </c>
    </row>
    <row r="156" spans="1:14" ht="15" customHeight="1" x14ac:dyDescent="0.25">
      <c r="A156" s="41">
        <v>153</v>
      </c>
      <c r="B156" s="5">
        <f>IFERROR(INDEX('Output Utente'!$A$2:$A$492,MATCH(153,'Output Utente'!$Q$2:$Q$492,0)),"")</f>
        <v>6664</v>
      </c>
      <c r="C156" s="5" t="str">
        <f>IFERROR(INDEX('Output Utente'!$B$2:$B$492,MATCH(153,'Output Utente'!$Q$2:$Q$492,0)),"")</f>
        <v>D</v>
      </c>
      <c r="D156" s="5" t="str">
        <f>IFERROR(INDEX('Output Utente'!$C$2:$C$492,MATCH(153,'Output Utente'!$Q$2:$Q$492,0)),"")</f>
        <v>Delprato</v>
      </c>
      <c r="E156" s="5" t="str">
        <f>IFERROR(INDEX('Input Giocatori 2026_27'!$D$3:$D$493,MATCH($B156,'Input Giocatori 2026_27'!$A$3:$A$493,0)),"")</f>
        <v>Parma</v>
      </c>
      <c r="F156" s="42">
        <f>IFERROR(INDEX('Output Utente'!$N$2:$N$492,MATCH(153,'Output Utente'!$Q$2:$Q$492,0)),"")</f>
        <v>8</v>
      </c>
      <c r="G156" s="42">
        <f>IFERROR(INDEX('Output Utente'!$O$2:$O$492,MATCH(153,'Output Utente'!$Q$2:$Q$492,0)),"")</f>
        <v>21</v>
      </c>
      <c r="H156" s="5" t="str">
        <f>IFERROR(INDEX('Output Utente'!$P$2:$P$492,MATCH(153,'Output Utente'!$Q$2:$Q$492,0)),"")</f>
        <v>Buono</v>
      </c>
      <c r="I156" s="42">
        <f>IFERROR(INDEX('Output Utente'!$F$2:$F$492,MATCH(153,'Output Utente'!$Q$2:$Q$492,0)),"")</f>
        <v>4</v>
      </c>
      <c r="J156" s="42">
        <f>IFERROR(INDEX('Output Utente'!$G$2:$G$492,MATCH(153,'Output Utente'!$Q$2:$Q$492,0)),"")</f>
        <v>3</v>
      </c>
      <c r="K156" s="42">
        <f>IFERROR(INDEX('Output Utente'!$H$2:$H$492,MATCH(153,'Output Utente'!$Q$2:$Q$492,0)),"")</f>
        <v>4</v>
      </c>
      <c r="L156" s="5" t="str">
        <f>IFERROR(INDEX('Output Utente'!$E$2:$E$492,MATCH(153,'Output Utente'!$Q$2:$Q$492,0)),"")</f>
        <v>NO</v>
      </c>
      <c r="M156" s="5" t="str">
        <f>IFERROR(INDEX('Output Utente'!$U$2:$U$492,MATCH(153,'Output Utente'!$Q$2:$Q$492,0)),"")</f>
        <v>OK</v>
      </c>
      <c r="N156" s="5" t="str">
        <f>IFERROR(INDEX('Output Utente'!$AE$2:$AE$492,MATCH(153,'Output Utente'!$Q$2:$Q$492,0)),"")</f>
        <v>🔴 Non aspettare</v>
      </c>
    </row>
    <row r="157" spans="1:14" ht="15" customHeight="1" x14ac:dyDescent="0.25">
      <c r="A157" s="41">
        <v>154</v>
      </c>
      <c r="B157" s="5">
        <f>IFERROR(INDEX('Output Utente'!$A$2:$A$492,MATCH(154,'Output Utente'!$Q$2:$Q$492,0)),"")</f>
        <v>184</v>
      </c>
      <c r="C157" s="5" t="str">
        <f>IFERROR(INDEX('Output Utente'!$B$2:$B$492,MATCH(154,'Output Utente'!$Q$2:$Q$492,0)),"")</f>
        <v>C</v>
      </c>
      <c r="D157" s="5" t="str">
        <f>IFERROR(INDEX('Output Utente'!$C$2:$C$492,MATCH(154,'Output Utente'!$Q$2:$Q$492,0)),"")</f>
        <v>Bernardeschi</v>
      </c>
      <c r="E157" s="5" t="str">
        <f>IFERROR(INDEX('Input Giocatori 2026_27'!$D$3:$D$493,MATCH($B157,'Input Giocatori 2026_27'!$A$3:$A$493,0)),"")</f>
        <v>Bologna</v>
      </c>
      <c r="F157" s="42">
        <f>IFERROR(INDEX('Output Utente'!$N$2:$N$492,MATCH(154,'Output Utente'!$Q$2:$Q$492,0)),"")</f>
        <v>9</v>
      </c>
      <c r="G157" s="42">
        <f>IFERROR(INDEX('Output Utente'!$O$2:$O$492,MATCH(154,'Output Utente'!$Q$2:$Q$492,0)),"")</f>
        <v>21</v>
      </c>
      <c r="H157" s="5" t="str">
        <f>IFERROR(INDEX('Output Utente'!$P$2:$P$492,MATCH(154,'Output Utente'!$Q$2:$Q$492,0)),"")</f>
        <v>Nella Media</v>
      </c>
      <c r="I157" s="42">
        <f>IFERROR(INDEX('Output Utente'!$F$2:$F$492,MATCH(154,'Output Utente'!$Q$2:$Q$492,0)),"")</f>
        <v>3</v>
      </c>
      <c r="J157" s="42">
        <f>IFERROR(INDEX('Output Utente'!$G$2:$G$492,MATCH(154,'Output Utente'!$Q$2:$Q$492,0)),"")</f>
        <v>2</v>
      </c>
      <c r="K157" s="42">
        <f>IFERROR(INDEX('Output Utente'!$H$2:$H$492,MATCH(154,'Output Utente'!$Q$2:$Q$492,0)),"")</f>
        <v>3</v>
      </c>
      <c r="L157" s="5" t="str">
        <f>IFERROR(INDEX('Output Utente'!$E$2:$E$492,MATCH(154,'Output Utente'!$Q$2:$Q$492,0)),"")</f>
        <v>NO</v>
      </c>
      <c r="M157" s="5" t="str">
        <f>IFERROR(INDEX('Output Utente'!$U$2:$U$492,MATCH(154,'Output Utente'!$Q$2:$Q$492,0)),"")</f>
        <v>OK</v>
      </c>
      <c r="N157" s="5" t="str">
        <f>IFERROR(INDEX('Output Utente'!$AE$2:$AE$492,MATCH(154,'Output Utente'!$Q$2:$Q$492,0)),"")</f>
        <v>🔴 Non aspettare</v>
      </c>
    </row>
    <row r="158" spans="1:14" ht="15" customHeight="1" x14ac:dyDescent="0.25">
      <c r="A158" s="41">
        <v>155</v>
      </c>
      <c r="B158" s="5">
        <f>IFERROR(INDEX('Output Utente'!$A$2:$A$492,MATCH(155,'Output Utente'!$Q$2:$Q$492,0)),"")</f>
        <v>5422</v>
      </c>
      <c r="C158" s="5" t="str">
        <f>IFERROR(INDEX('Output Utente'!$B$2:$B$492,MATCH(155,'Output Utente'!$Q$2:$Q$492,0)),"")</f>
        <v>C</v>
      </c>
      <c r="D158" s="5" t="str">
        <f>IFERROR(INDEX('Output Utente'!$C$2:$C$492,MATCH(155,'Output Utente'!$Q$2:$Q$492,0)),"")</f>
        <v>Zalewski</v>
      </c>
      <c r="E158" s="5" t="str">
        <f>IFERROR(INDEX('Input Giocatori 2026_27'!$D$3:$D$493,MATCH($B158,'Input Giocatori 2026_27'!$A$3:$A$493,0)),"")</f>
        <v>Atalanta</v>
      </c>
      <c r="F158" s="42">
        <f>IFERROR(INDEX('Output Utente'!$N$2:$N$492,MATCH(155,'Output Utente'!$Q$2:$Q$492,0)),"")</f>
        <v>6</v>
      </c>
      <c r="G158" s="42">
        <f>IFERROR(INDEX('Output Utente'!$O$2:$O$492,MATCH(155,'Output Utente'!$Q$2:$Q$492,0)),"")</f>
        <v>21</v>
      </c>
      <c r="H158" s="5" t="str">
        <f>IFERROR(INDEX('Output Utente'!$P$2:$P$492,MATCH(155,'Output Utente'!$Q$2:$Q$492,0)),"")</f>
        <v>Nella Media</v>
      </c>
      <c r="I158" s="42">
        <f>IFERROR(INDEX('Output Utente'!$F$2:$F$492,MATCH(155,'Output Utente'!$Q$2:$Q$492,0)),"")</f>
        <v>3</v>
      </c>
      <c r="J158" s="42">
        <f>IFERROR(INDEX('Output Utente'!$G$2:$G$492,MATCH(155,'Output Utente'!$Q$2:$Q$492,0)),"")</f>
        <v>2</v>
      </c>
      <c r="K158" s="42">
        <f>IFERROR(INDEX('Output Utente'!$H$2:$H$492,MATCH(155,'Output Utente'!$Q$2:$Q$492,0)),"")</f>
        <v>3</v>
      </c>
      <c r="L158" s="5" t="str">
        <f>IFERROR(INDEX('Output Utente'!$E$2:$E$492,MATCH(155,'Output Utente'!$Q$2:$Q$492,0)),"")</f>
        <v>NO</v>
      </c>
      <c r="M158" s="5" t="str">
        <f>IFERROR(INDEX('Output Utente'!$U$2:$U$492,MATCH(155,'Output Utente'!$Q$2:$Q$492,0)),"")</f>
        <v>OK</v>
      </c>
      <c r="N158" s="5" t="str">
        <f>IFERROR(INDEX('Output Utente'!$AE$2:$AE$492,MATCH(155,'Output Utente'!$Q$2:$Q$492,0)),"")</f>
        <v>🔴 Non aspettare</v>
      </c>
    </row>
    <row r="159" spans="1:14" ht="15" customHeight="1" x14ac:dyDescent="0.25">
      <c r="A159" s="41">
        <v>156</v>
      </c>
      <c r="B159" s="5">
        <f>IFERROR(INDEX('Output Utente'!$A$2:$A$492,MATCH(156,'Output Utente'!$Q$2:$Q$492,0)),"")</f>
        <v>6669</v>
      </c>
      <c r="C159" s="5" t="str">
        <f>IFERROR(INDEX('Output Utente'!$B$2:$B$492,MATCH(156,'Output Utente'!$Q$2:$Q$492,0)),"")</f>
        <v>A</v>
      </c>
      <c r="D159" s="5" t="str">
        <f>IFERROR(INDEX('Output Utente'!$C$2:$C$492,MATCH(156,'Output Utente'!$Q$2:$Q$492,0)),"")</f>
        <v>Bonny</v>
      </c>
      <c r="E159" s="5" t="str">
        <f>IFERROR(INDEX('Input Giocatori 2026_27'!$D$3:$D$493,MATCH($B159,'Input Giocatori 2026_27'!$A$3:$A$493,0)),"")</f>
        <v>Inter</v>
      </c>
      <c r="F159" s="42">
        <f>IFERROR(INDEX('Output Utente'!$N$2:$N$492,MATCH(156,'Output Utente'!$Q$2:$Q$492,0)),"")</f>
        <v>7</v>
      </c>
      <c r="G159" s="42">
        <f>IFERROR(INDEX('Output Utente'!$O$2:$O$492,MATCH(156,'Output Utente'!$Q$2:$Q$492,0)),"")</f>
        <v>21</v>
      </c>
      <c r="H159" s="5" t="str">
        <f>IFERROR(INDEX('Output Utente'!$P$2:$P$492,MATCH(156,'Output Utente'!$Q$2:$Q$492,0)),"")</f>
        <v>Nella Media</v>
      </c>
      <c r="I159" s="42">
        <f>IFERROR(INDEX('Output Utente'!$F$2:$F$492,MATCH(156,'Output Utente'!$Q$2:$Q$492,0)),"")</f>
        <v>7</v>
      </c>
      <c r="J159" s="42">
        <f>IFERROR(INDEX('Output Utente'!$G$2:$G$492,MATCH(156,'Output Utente'!$Q$2:$Q$492,0)),"")</f>
        <v>4</v>
      </c>
      <c r="K159" s="42">
        <f>IFERROR(INDEX('Output Utente'!$H$2:$H$492,MATCH(156,'Output Utente'!$Q$2:$Q$492,0)),"")</f>
        <v>8</v>
      </c>
      <c r="L159" s="5" t="str">
        <f>IFERROR(INDEX('Output Utente'!$E$2:$E$492,MATCH(156,'Output Utente'!$Q$2:$Q$492,0)),"")</f>
        <v>NO</v>
      </c>
      <c r="M159" s="5" t="str">
        <f>IFERROR(INDEX('Output Utente'!$U$2:$U$492,MATCH(156,'Output Utente'!$Q$2:$Q$492,0)),"")</f>
        <v>OK</v>
      </c>
      <c r="N159" s="5" t="str">
        <f>IFERROR(INDEX('Output Utente'!$AE$2:$AE$492,MATCH(156,'Output Utente'!$Q$2:$Q$492,0)),"")</f>
        <v>🔴 Non aspettare</v>
      </c>
    </row>
    <row r="160" spans="1:14" ht="15" customHeight="1" x14ac:dyDescent="0.25">
      <c r="A160" s="41">
        <v>157</v>
      </c>
      <c r="B160" s="5">
        <f>IFERROR(INDEX('Output Utente'!$A$2:$A$492,MATCH(157,'Output Utente'!$Q$2:$Q$492,0)),"")</f>
        <v>6641</v>
      </c>
      <c r="C160" s="5" t="str">
        <f>IFERROR(INDEX('Output Utente'!$B$2:$B$492,MATCH(157,'Output Utente'!$Q$2:$Q$492,0)),"")</f>
        <v>P</v>
      </c>
      <c r="D160" s="5" t="str">
        <f>IFERROR(INDEX('Output Utente'!$C$2:$C$492,MATCH(157,'Output Utente'!$Q$2:$Q$492,0)),"")</f>
        <v>Suzuki</v>
      </c>
      <c r="E160" s="5" t="str">
        <f>IFERROR(INDEX('Input Giocatori 2026_27'!$D$3:$D$493,MATCH($B160,'Input Giocatori 2026_27'!$A$3:$A$493,0)),"")</f>
        <v>Parma</v>
      </c>
      <c r="F160" s="42">
        <f>IFERROR(INDEX('Output Utente'!$N$2:$N$492,MATCH(157,'Output Utente'!$Q$2:$Q$492,0)),"")</f>
        <v>7</v>
      </c>
      <c r="G160" s="42">
        <f>IFERROR(INDEX('Output Utente'!$O$2:$O$492,MATCH(157,'Output Utente'!$Q$2:$Q$492,0)),"")</f>
        <v>20</v>
      </c>
      <c r="H160" s="5" t="str">
        <f>IFERROR(INDEX('Output Utente'!$P$2:$P$492,MATCH(157,'Output Utente'!$Q$2:$Q$492,0)),"")</f>
        <v>Buono</v>
      </c>
      <c r="I160" s="42">
        <f>IFERROR(INDEX('Output Utente'!$F$2:$F$492,MATCH(157,'Output Utente'!$Q$2:$Q$492,0)),"")</f>
        <v>6</v>
      </c>
      <c r="J160" s="42">
        <f>IFERROR(INDEX('Output Utente'!$G$2:$G$492,MATCH(157,'Output Utente'!$Q$2:$Q$492,0)),"")</f>
        <v>5</v>
      </c>
      <c r="K160" s="42">
        <f>IFERROR(INDEX('Output Utente'!$H$2:$H$492,MATCH(157,'Output Utente'!$Q$2:$Q$492,0)),"")</f>
        <v>7</v>
      </c>
      <c r="L160" s="5" t="str">
        <f>IFERROR(INDEX('Output Utente'!$E$2:$E$492,MATCH(157,'Output Utente'!$Q$2:$Q$492,0)),"")</f>
        <v>NO</v>
      </c>
      <c r="M160" s="5" t="str">
        <f>IFERROR(INDEX('Output Utente'!$U$2:$U$492,MATCH(157,'Output Utente'!$Q$2:$Q$492,0)),"")</f>
        <v>OK</v>
      </c>
      <c r="N160" s="5" t="str">
        <f>IFERROR(INDEX('Output Utente'!$AE$2:$AE$492,MATCH(157,'Output Utente'!$Q$2:$Q$492,0)),"")</f>
        <v>🔴 Non aspettare</v>
      </c>
    </row>
    <row r="161" spans="1:14" ht="15" customHeight="1" x14ac:dyDescent="0.25">
      <c r="A161" s="41">
        <v>158</v>
      </c>
      <c r="B161" s="5">
        <f>IFERROR(INDEX('Output Utente'!$A$2:$A$492,MATCH(158,'Output Utente'!$Q$2:$Q$492,0)),"")</f>
        <v>4210</v>
      </c>
      <c r="C161" s="5" t="str">
        <f>IFERROR(INDEX('Output Utente'!$B$2:$B$492,MATCH(158,'Output Utente'!$Q$2:$Q$492,0)),"")</f>
        <v>D</v>
      </c>
      <c r="D161" s="5" t="str">
        <f>IFERROR(INDEX('Output Utente'!$C$2:$C$492,MATCH(158,'Output Utente'!$Q$2:$Q$492,0)),"")</f>
        <v>Mina</v>
      </c>
      <c r="E161" s="5" t="str">
        <f>IFERROR(INDEX('Input Giocatori 2026_27'!$D$3:$D$493,MATCH($B161,'Input Giocatori 2026_27'!$A$3:$A$493,0)),"")</f>
        <v>Cagliari</v>
      </c>
      <c r="F161" s="42">
        <f>IFERROR(INDEX('Output Utente'!$N$2:$N$492,MATCH(158,'Output Utente'!$Q$2:$Q$492,0)),"")</f>
        <v>8</v>
      </c>
      <c r="G161" s="42">
        <f>IFERROR(INDEX('Output Utente'!$O$2:$O$492,MATCH(158,'Output Utente'!$Q$2:$Q$492,0)),"")</f>
        <v>20</v>
      </c>
      <c r="H161" s="5" t="str">
        <f>IFERROR(INDEX('Output Utente'!$P$2:$P$492,MATCH(158,'Output Utente'!$Q$2:$Q$492,0)),"")</f>
        <v>Buono</v>
      </c>
      <c r="I161" s="42">
        <f>IFERROR(INDEX('Output Utente'!$F$2:$F$492,MATCH(158,'Output Utente'!$Q$2:$Q$492,0)),"")</f>
        <v>4</v>
      </c>
      <c r="J161" s="42">
        <f>IFERROR(INDEX('Output Utente'!$G$2:$G$492,MATCH(158,'Output Utente'!$Q$2:$Q$492,0)),"")</f>
        <v>3</v>
      </c>
      <c r="K161" s="42">
        <f>IFERROR(INDEX('Output Utente'!$H$2:$H$492,MATCH(158,'Output Utente'!$Q$2:$Q$492,0)),"")</f>
        <v>4</v>
      </c>
      <c r="L161" s="5" t="str">
        <f>IFERROR(INDEX('Output Utente'!$E$2:$E$492,MATCH(158,'Output Utente'!$Q$2:$Q$492,0)),"")</f>
        <v>NO</v>
      </c>
      <c r="M161" s="5" t="str">
        <f>IFERROR(INDEX('Output Utente'!$U$2:$U$492,MATCH(158,'Output Utente'!$Q$2:$Q$492,0)),"")</f>
        <v>OK</v>
      </c>
      <c r="N161" s="5" t="str">
        <f>IFERROR(INDEX('Output Utente'!$AE$2:$AE$492,MATCH(158,'Output Utente'!$Q$2:$Q$492,0)),"")</f>
        <v>🔴 Non aspettare</v>
      </c>
    </row>
    <row r="162" spans="1:14" ht="15" customHeight="1" x14ac:dyDescent="0.25">
      <c r="A162" s="41">
        <v>159</v>
      </c>
      <c r="B162" s="5">
        <f>IFERROR(INDEX('Output Utente'!$A$2:$A$492,MATCH(159,'Output Utente'!$Q$2:$Q$492,0)),"")</f>
        <v>7529</v>
      </c>
      <c r="C162" s="5" t="str">
        <f>IFERROR(INDEX('Output Utente'!$B$2:$B$492,MATCH(159,'Output Utente'!$Q$2:$Q$492,0)),"")</f>
        <v>D</v>
      </c>
      <c r="D162" s="5" t="str">
        <f>IFERROR(INDEX('Output Utente'!$C$2:$C$492,MATCH(159,'Output Utente'!$Q$2:$Q$492,0)),"")</f>
        <v>Koulierakis</v>
      </c>
      <c r="E162" s="5" t="str">
        <f>IFERROR(INDEX('Input Giocatori 2026_27'!$D$3:$D$493,MATCH($B162,'Input Giocatori 2026_27'!$A$3:$A$493,0)),"")</f>
        <v>Roma</v>
      </c>
      <c r="F162" s="42">
        <f>IFERROR(INDEX('Output Utente'!$N$2:$N$492,MATCH(159,'Output Utente'!$Q$2:$Q$492,0)),"")</f>
        <v>8</v>
      </c>
      <c r="G162" s="42">
        <f>IFERROR(INDEX('Output Utente'!$O$2:$O$492,MATCH(159,'Output Utente'!$Q$2:$Q$492,0)),"")</f>
        <v>20</v>
      </c>
      <c r="H162" s="5" t="str">
        <f>IFERROR(INDEX('Output Utente'!$P$2:$P$492,MATCH(159,'Output Utente'!$Q$2:$Q$492,0)),"")</f>
        <v>Buono</v>
      </c>
      <c r="I162" s="42">
        <f>IFERROR(INDEX('Output Utente'!$F$2:$F$492,MATCH(159,'Output Utente'!$Q$2:$Q$492,0)),"")</f>
        <v>4</v>
      </c>
      <c r="J162" s="42">
        <f>IFERROR(INDEX('Output Utente'!$G$2:$G$492,MATCH(159,'Output Utente'!$Q$2:$Q$492,0)),"")</f>
        <v>3</v>
      </c>
      <c r="K162" s="42">
        <f>IFERROR(INDEX('Output Utente'!$H$2:$H$492,MATCH(159,'Output Utente'!$Q$2:$Q$492,0)),"")</f>
        <v>4</v>
      </c>
      <c r="L162" s="5" t="str">
        <f>IFERROR(INDEX('Output Utente'!$E$2:$E$492,MATCH(159,'Output Utente'!$Q$2:$Q$492,0)),"")</f>
        <v>NO</v>
      </c>
      <c r="M162" s="5" t="str">
        <f>IFERROR(INDEX('Output Utente'!$U$2:$U$492,MATCH(159,'Output Utente'!$Q$2:$Q$492,0)),"")</f>
        <v>OK</v>
      </c>
      <c r="N162" s="5" t="str">
        <f>IFERROR(INDEX('Output Utente'!$AE$2:$AE$492,MATCH(159,'Output Utente'!$Q$2:$Q$492,0)),"")</f>
        <v>🔴 Non aspettare</v>
      </c>
    </row>
    <row r="163" spans="1:14" ht="15" customHeight="1" x14ac:dyDescent="0.25">
      <c r="A163" s="41">
        <v>160</v>
      </c>
      <c r="B163" s="5">
        <f>IFERROR(INDEX('Output Utente'!$A$2:$A$492,MATCH(160,'Output Utente'!$Q$2:$Q$492,0)),"")</f>
        <v>4751</v>
      </c>
      <c r="C163" s="5" t="str">
        <f>IFERROR(INDEX('Output Utente'!$B$2:$B$492,MATCH(160,'Output Utente'!$Q$2:$Q$492,0)),"")</f>
        <v>D</v>
      </c>
      <c r="D163" s="5" t="str">
        <f>IFERROR(INDEX('Output Utente'!$C$2:$C$492,MATCH(160,'Output Utente'!$Q$2:$Q$492,0)),"")</f>
        <v>Tomori</v>
      </c>
      <c r="E163" s="5" t="str">
        <f>IFERROR(INDEX('Input Giocatori 2026_27'!$D$3:$D$493,MATCH($B163,'Input Giocatori 2026_27'!$A$3:$A$493,0)),"")</f>
        <v>Milan</v>
      </c>
      <c r="F163" s="42">
        <f>IFERROR(INDEX('Output Utente'!$N$2:$N$492,MATCH(160,'Output Utente'!$Q$2:$Q$492,0)),"")</f>
        <v>7</v>
      </c>
      <c r="G163" s="42">
        <f>IFERROR(INDEX('Output Utente'!$O$2:$O$492,MATCH(160,'Output Utente'!$Q$2:$Q$492,0)),"")</f>
        <v>20</v>
      </c>
      <c r="H163" s="5" t="str">
        <f>IFERROR(INDEX('Output Utente'!$P$2:$P$492,MATCH(160,'Output Utente'!$Q$2:$Q$492,0)),"")</f>
        <v>Buono</v>
      </c>
      <c r="I163" s="42">
        <f>IFERROR(INDEX('Output Utente'!$F$2:$F$492,MATCH(160,'Output Utente'!$Q$2:$Q$492,0)),"")</f>
        <v>4</v>
      </c>
      <c r="J163" s="42">
        <f>IFERROR(INDEX('Output Utente'!$G$2:$G$492,MATCH(160,'Output Utente'!$Q$2:$Q$492,0)),"")</f>
        <v>3</v>
      </c>
      <c r="K163" s="42">
        <f>IFERROR(INDEX('Output Utente'!$H$2:$H$492,MATCH(160,'Output Utente'!$Q$2:$Q$492,0)),"")</f>
        <v>4</v>
      </c>
      <c r="L163" s="5" t="str">
        <f>IFERROR(INDEX('Output Utente'!$E$2:$E$492,MATCH(160,'Output Utente'!$Q$2:$Q$492,0)),"")</f>
        <v>NO</v>
      </c>
      <c r="M163" s="5" t="str">
        <f>IFERROR(INDEX('Output Utente'!$U$2:$U$492,MATCH(160,'Output Utente'!$Q$2:$Q$492,0)),"")</f>
        <v>OK</v>
      </c>
      <c r="N163" s="5" t="str">
        <f>IFERROR(INDEX('Output Utente'!$AE$2:$AE$492,MATCH(160,'Output Utente'!$Q$2:$Q$492,0)),"")</f>
        <v>🔴 Non aspettare</v>
      </c>
    </row>
    <row r="164" spans="1:14" ht="15" customHeight="1" x14ac:dyDescent="0.25">
      <c r="A164" s="41">
        <v>161</v>
      </c>
      <c r="B164" s="5">
        <f>IFERROR(INDEX('Output Utente'!$A$2:$A$492,MATCH(161,'Output Utente'!$Q$2:$Q$492,0)),"")</f>
        <v>2188</v>
      </c>
      <c r="C164" s="5" t="str">
        <f>IFERROR(INDEX('Output Utente'!$B$2:$B$492,MATCH(161,'Output Utente'!$Q$2:$Q$492,0)),"")</f>
        <v>D</v>
      </c>
      <c r="D164" s="5" t="str">
        <f>IFERROR(INDEX('Output Utente'!$C$2:$C$492,MATCH(161,'Output Utente'!$Q$2:$Q$492,0)),"")</f>
        <v>Marusic</v>
      </c>
      <c r="E164" s="5" t="str">
        <f>IFERROR(INDEX('Input Giocatori 2026_27'!$D$3:$D$493,MATCH($B164,'Input Giocatori 2026_27'!$A$3:$A$493,0)),"")</f>
        <v>Lazio</v>
      </c>
      <c r="F164" s="42">
        <f>IFERROR(INDEX('Output Utente'!$N$2:$N$492,MATCH(161,'Output Utente'!$Q$2:$Q$492,0)),"")</f>
        <v>6</v>
      </c>
      <c r="G164" s="42">
        <f>IFERROR(INDEX('Output Utente'!$O$2:$O$492,MATCH(161,'Output Utente'!$Q$2:$Q$492,0)),"")</f>
        <v>20</v>
      </c>
      <c r="H164" s="5" t="str">
        <f>IFERROR(INDEX('Output Utente'!$P$2:$P$492,MATCH(161,'Output Utente'!$Q$2:$Q$492,0)),"")</f>
        <v>Buono</v>
      </c>
      <c r="I164" s="42">
        <f>IFERROR(INDEX('Output Utente'!$F$2:$F$492,MATCH(161,'Output Utente'!$Q$2:$Q$492,0)),"")</f>
        <v>4</v>
      </c>
      <c r="J164" s="42">
        <f>IFERROR(INDEX('Output Utente'!$G$2:$G$492,MATCH(161,'Output Utente'!$Q$2:$Q$492,0)),"")</f>
        <v>3</v>
      </c>
      <c r="K164" s="42">
        <f>IFERROR(INDEX('Output Utente'!$H$2:$H$492,MATCH(161,'Output Utente'!$Q$2:$Q$492,0)),"")</f>
        <v>4</v>
      </c>
      <c r="L164" s="5" t="str">
        <f>IFERROR(INDEX('Output Utente'!$E$2:$E$492,MATCH(161,'Output Utente'!$Q$2:$Q$492,0)),"")</f>
        <v>NO</v>
      </c>
      <c r="M164" s="5" t="str">
        <f>IFERROR(INDEX('Output Utente'!$U$2:$U$492,MATCH(161,'Output Utente'!$Q$2:$Q$492,0)),"")</f>
        <v>OK</v>
      </c>
      <c r="N164" s="5" t="str">
        <f>IFERROR(INDEX('Output Utente'!$AE$2:$AE$492,MATCH(161,'Output Utente'!$Q$2:$Q$492,0)),"")</f>
        <v>🔴 Non aspettare</v>
      </c>
    </row>
    <row r="165" spans="1:14" ht="15" customHeight="1" x14ac:dyDescent="0.25">
      <c r="A165" s="41">
        <v>162</v>
      </c>
      <c r="B165" s="5">
        <f>IFERROR(INDEX('Output Utente'!$A$2:$A$492,MATCH(162,'Output Utente'!$Q$2:$Q$492,0)),"")</f>
        <v>6717</v>
      </c>
      <c r="C165" s="5" t="str">
        <f>IFERROR(INDEX('Output Utente'!$B$2:$B$492,MATCH(162,'Output Utente'!$Q$2:$Q$492,0)),"")</f>
        <v>C</v>
      </c>
      <c r="D165" s="5" t="str">
        <f>IFERROR(INDEX('Output Utente'!$C$2:$C$492,MATCH(162,'Output Utente'!$Q$2:$Q$492,0)),"")</f>
        <v>Konè I.</v>
      </c>
      <c r="E165" s="5" t="str">
        <f>IFERROR(INDEX('Input Giocatori 2026_27'!$D$3:$D$493,MATCH($B165,'Input Giocatori 2026_27'!$A$3:$A$493,0)),"")</f>
        <v>Sassuolo</v>
      </c>
      <c r="F165" s="42">
        <f>IFERROR(INDEX('Output Utente'!$N$2:$N$492,MATCH(162,'Output Utente'!$Q$2:$Q$492,0)),"")</f>
        <v>9</v>
      </c>
      <c r="G165" s="42">
        <f>IFERROR(INDEX('Output Utente'!$O$2:$O$492,MATCH(162,'Output Utente'!$Q$2:$Q$492,0)),"")</f>
        <v>20</v>
      </c>
      <c r="H165" s="5" t="str">
        <f>IFERROR(INDEX('Output Utente'!$P$2:$P$492,MATCH(162,'Output Utente'!$Q$2:$Q$492,0)),"")</f>
        <v>Nella Media</v>
      </c>
      <c r="I165" s="42">
        <f>IFERROR(INDEX('Output Utente'!$F$2:$F$492,MATCH(162,'Output Utente'!$Q$2:$Q$492,0)),"")</f>
        <v>3</v>
      </c>
      <c r="J165" s="42">
        <f>IFERROR(INDEX('Output Utente'!$G$2:$G$492,MATCH(162,'Output Utente'!$Q$2:$Q$492,0)),"")</f>
        <v>2</v>
      </c>
      <c r="K165" s="42">
        <f>IFERROR(INDEX('Output Utente'!$H$2:$H$492,MATCH(162,'Output Utente'!$Q$2:$Q$492,0)),"")</f>
        <v>3</v>
      </c>
      <c r="L165" s="5" t="str">
        <f>IFERROR(INDEX('Output Utente'!$E$2:$E$492,MATCH(162,'Output Utente'!$Q$2:$Q$492,0)),"")</f>
        <v>NO</v>
      </c>
      <c r="M165" s="5" t="str">
        <f>IFERROR(INDEX('Output Utente'!$U$2:$U$492,MATCH(162,'Output Utente'!$Q$2:$Q$492,0)),"")</f>
        <v>OK</v>
      </c>
      <c r="N165" s="5" t="str">
        <f>IFERROR(INDEX('Output Utente'!$AE$2:$AE$492,MATCH(162,'Output Utente'!$Q$2:$Q$492,0)),"")</f>
        <v>🔴 Non aspettare</v>
      </c>
    </row>
    <row r="166" spans="1:14" ht="15" customHeight="1" x14ac:dyDescent="0.25">
      <c r="A166" s="41">
        <v>163</v>
      </c>
      <c r="B166" s="5">
        <f>IFERROR(INDEX('Output Utente'!$A$2:$A$492,MATCH(163,'Output Utente'!$Q$2:$Q$492,0)),"")</f>
        <v>2741</v>
      </c>
      <c r="C166" s="5" t="str">
        <f>IFERROR(INDEX('Output Utente'!$B$2:$B$492,MATCH(163,'Output Utente'!$Q$2:$Q$492,0)),"")</f>
        <v>C</v>
      </c>
      <c r="D166" s="5" t="str">
        <f>IFERROR(INDEX('Output Utente'!$C$2:$C$492,MATCH(163,'Output Utente'!$Q$2:$Q$492,0)),"")</f>
        <v>Pessina</v>
      </c>
      <c r="E166" s="5" t="str">
        <f>IFERROR(INDEX('Input Giocatori 2026_27'!$D$3:$D$493,MATCH($B166,'Input Giocatori 2026_27'!$A$3:$A$493,0)),"")</f>
        <v>Monza</v>
      </c>
      <c r="F166" s="42">
        <f>IFERROR(INDEX('Output Utente'!$N$2:$N$492,MATCH(163,'Output Utente'!$Q$2:$Q$492,0)),"")</f>
        <v>7</v>
      </c>
      <c r="G166" s="42">
        <f>IFERROR(INDEX('Output Utente'!$O$2:$O$492,MATCH(163,'Output Utente'!$Q$2:$Q$492,0)),"")</f>
        <v>20</v>
      </c>
      <c r="H166" s="5" t="str">
        <f>IFERROR(INDEX('Output Utente'!$P$2:$P$492,MATCH(163,'Output Utente'!$Q$2:$Q$492,0)),"")</f>
        <v>Nella Media</v>
      </c>
      <c r="I166" s="42">
        <f>IFERROR(INDEX('Output Utente'!$F$2:$F$492,MATCH(163,'Output Utente'!$Q$2:$Q$492,0)),"")</f>
        <v>3</v>
      </c>
      <c r="J166" s="42">
        <f>IFERROR(INDEX('Output Utente'!$G$2:$G$492,MATCH(163,'Output Utente'!$Q$2:$Q$492,0)),"")</f>
        <v>2</v>
      </c>
      <c r="K166" s="42">
        <f>IFERROR(INDEX('Output Utente'!$H$2:$H$492,MATCH(163,'Output Utente'!$Q$2:$Q$492,0)),"")</f>
        <v>3</v>
      </c>
      <c r="L166" s="5" t="str">
        <f>IFERROR(INDEX('Output Utente'!$E$2:$E$492,MATCH(163,'Output Utente'!$Q$2:$Q$492,0)),"")</f>
        <v>NO</v>
      </c>
      <c r="M166" s="5" t="str">
        <f>IFERROR(INDEX('Output Utente'!$U$2:$U$492,MATCH(163,'Output Utente'!$Q$2:$Q$492,0)),"")</f>
        <v>OK</v>
      </c>
      <c r="N166" s="5" t="str">
        <f>IFERROR(INDEX('Output Utente'!$AE$2:$AE$492,MATCH(163,'Output Utente'!$Q$2:$Q$492,0)),"")</f>
        <v>🔴 Non aspettare</v>
      </c>
    </row>
    <row r="167" spans="1:14" ht="15" customHeight="1" x14ac:dyDescent="0.25">
      <c r="A167" s="41">
        <v>164</v>
      </c>
      <c r="B167" s="5">
        <f>IFERROR(INDEX('Output Utente'!$A$2:$A$492,MATCH(164,'Output Utente'!$Q$2:$Q$492,0)),"")</f>
        <v>4287</v>
      </c>
      <c r="C167" s="5" t="str">
        <f>IFERROR(INDEX('Output Utente'!$B$2:$B$492,MATCH(164,'Output Utente'!$Q$2:$Q$492,0)),"")</f>
        <v>C</v>
      </c>
      <c r="D167" s="5" t="str">
        <f>IFERROR(INDEX('Output Utente'!$C$2:$C$492,MATCH(164,'Output Utente'!$Q$2:$Q$492,0)),"")</f>
        <v>Lobotka</v>
      </c>
      <c r="E167" s="5" t="str">
        <f>IFERROR(INDEX('Input Giocatori 2026_27'!$D$3:$D$493,MATCH($B167,'Input Giocatori 2026_27'!$A$3:$A$493,0)),"")</f>
        <v>Napoli</v>
      </c>
      <c r="F167" s="42">
        <f>IFERROR(INDEX('Output Utente'!$N$2:$N$492,MATCH(164,'Output Utente'!$Q$2:$Q$492,0)),"")</f>
        <v>7</v>
      </c>
      <c r="G167" s="42">
        <f>IFERROR(INDEX('Output Utente'!$O$2:$O$492,MATCH(164,'Output Utente'!$Q$2:$Q$492,0)),"")</f>
        <v>20</v>
      </c>
      <c r="H167" s="5" t="str">
        <f>IFERROR(INDEX('Output Utente'!$P$2:$P$492,MATCH(164,'Output Utente'!$Q$2:$Q$492,0)),"")</f>
        <v>Nella Media</v>
      </c>
      <c r="I167" s="42">
        <f>IFERROR(INDEX('Output Utente'!$F$2:$F$492,MATCH(164,'Output Utente'!$Q$2:$Q$492,0)),"")</f>
        <v>3</v>
      </c>
      <c r="J167" s="42">
        <f>IFERROR(INDEX('Output Utente'!$G$2:$G$492,MATCH(164,'Output Utente'!$Q$2:$Q$492,0)),"")</f>
        <v>2</v>
      </c>
      <c r="K167" s="42">
        <f>IFERROR(INDEX('Output Utente'!$H$2:$H$492,MATCH(164,'Output Utente'!$Q$2:$Q$492,0)),"")</f>
        <v>3</v>
      </c>
      <c r="L167" s="5" t="str">
        <f>IFERROR(INDEX('Output Utente'!$E$2:$E$492,MATCH(164,'Output Utente'!$Q$2:$Q$492,0)),"")</f>
        <v>NO</v>
      </c>
      <c r="M167" s="5" t="str">
        <f>IFERROR(INDEX('Output Utente'!$U$2:$U$492,MATCH(164,'Output Utente'!$Q$2:$Q$492,0)),"")</f>
        <v>OK</v>
      </c>
      <c r="N167" s="5" t="str">
        <f>IFERROR(INDEX('Output Utente'!$AE$2:$AE$492,MATCH(164,'Output Utente'!$Q$2:$Q$492,0)),"")</f>
        <v>🔴 Non aspettare</v>
      </c>
    </row>
    <row r="168" spans="1:14" ht="15" customHeight="1" x14ac:dyDescent="0.25">
      <c r="A168" s="41">
        <v>165</v>
      </c>
      <c r="B168" s="5">
        <f>IFERROR(INDEX('Output Utente'!$A$2:$A$492,MATCH(165,'Output Utente'!$Q$2:$Q$492,0)),"")</f>
        <v>5036</v>
      </c>
      <c r="C168" s="5" t="str">
        <f>IFERROR(INDEX('Output Utente'!$B$2:$B$492,MATCH(165,'Output Utente'!$Q$2:$Q$492,0)),"")</f>
        <v>C</v>
      </c>
      <c r="D168" s="5" t="str">
        <f>IFERROR(INDEX('Output Utente'!$C$2:$C$492,MATCH(165,'Output Utente'!$Q$2:$Q$492,0)),"")</f>
        <v>Caqueret</v>
      </c>
      <c r="E168" s="5" t="str">
        <f>IFERROR(INDEX('Input Giocatori 2026_27'!$D$3:$D$493,MATCH($B168,'Input Giocatori 2026_27'!$A$3:$A$493,0)),"")</f>
        <v>Como</v>
      </c>
      <c r="F168" s="42">
        <f>IFERROR(INDEX('Output Utente'!$N$2:$N$492,MATCH(165,'Output Utente'!$Q$2:$Q$492,0)),"")</f>
        <v>6</v>
      </c>
      <c r="G168" s="42">
        <f>IFERROR(INDEX('Output Utente'!$O$2:$O$492,MATCH(165,'Output Utente'!$Q$2:$Q$492,0)),"")</f>
        <v>20</v>
      </c>
      <c r="H168" s="5" t="str">
        <f>IFERROR(INDEX('Output Utente'!$P$2:$P$492,MATCH(165,'Output Utente'!$Q$2:$Q$492,0)),"")</f>
        <v>Nella Media</v>
      </c>
      <c r="I168" s="42">
        <f>IFERROR(INDEX('Output Utente'!$F$2:$F$492,MATCH(165,'Output Utente'!$Q$2:$Q$492,0)),"")</f>
        <v>3</v>
      </c>
      <c r="J168" s="42">
        <f>IFERROR(INDEX('Output Utente'!$G$2:$G$492,MATCH(165,'Output Utente'!$Q$2:$Q$492,0)),"")</f>
        <v>2</v>
      </c>
      <c r="K168" s="42">
        <f>IFERROR(INDEX('Output Utente'!$H$2:$H$492,MATCH(165,'Output Utente'!$Q$2:$Q$492,0)),"")</f>
        <v>3</v>
      </c>
      <c r="L168" s="5" t="str">
        <f>IFERROR(INDEX('Output Utente'!$E$2:$E$492,MATCH(165,'Output Utente'!$Q$2:$Q$492,0)),"")</f>
        <v>NO</v>
      </c>
      <c r="M168" s="5" t="str">
        <f>IFERROR(INDEX('Output Utente'!$U$2:$U$492,MATCH(165,'Output Utente'!$Q$2:$Q$492,0)),"")</f>
        <v>OK</v>
      </c>
      <c r="N168" s="5" t="str">
        <f>IFERROR(INDEX('Output Utente'!$AE$2:$AE$492,MATCH(165,'Output Utente'!$Q$2:$Q$492,0)),"")</f>
        <v>🔴 Non aspettare</v>
      </c>
    </row>
    <row r="169" spans="1:14" ht="15" customHeight="1" x14ac:dyDescent="0.25">
      <c r="A169" s="41">
        <v>166</v>
      </c>
      <c r="B169" s="5">
        <f>IFERROR(INDEX('Output Utente'!$A$2:$A$492,MATCH(166,'Output Utente'!$Q$2:$Q$492,0)),"")</f>
        <v>7464</v>
      </c>
      <c r="C169" s="5" t="str">
        <f>IFERROR(INDEX('Output Utente'!$B$2:$B$492,MATCH(166,'Output Utente'!$Q$2:$Q$492,0)),"")</f>
        <v>C</v>
      </c>
      <c r="D169" s="5" t="str">
        <f>IFERROR(INDEX('Output Utente'!$C$2:$C$492,MATCH(166,'Output Utente'!$Q$2:$Q$492,0)),"")</f>
        <v>Oulai</v>
      </c>
      <c r="E169" s="5" t="str">
        <f>IFERROR(INDEX('Input Giocatori 2026_27'!$D$3:$D$493,MATCH($B169,'Input Giocatori 2026_27'!$A$3:$A$493,0)),"")</f>
        <v>Fiorentina</v>
      </c>
      <c r="F169" s="42">
        <f>IFERROR(INDEX('Output Utente'!$N$2:$N$492,MATCH(166,'Output Utente'!$Q$2:$Q$492,0)),"")</f>
        <v>6</v>
      </c>
      <c r="G169" s="42">
        <f>IFERROR(INDEX('Output Utente'!$O$2:$O$492,MATCH(166,'Output Utente'!$Q$2:$Q$492,0)),"")</f>
        <v>20</v>
      </c>
      <c r="H169" s="5" t="str">
        <f>IFERROR(INDEX('Output Utente'!$P$2:$P$492,MATCH(166,'Output Utente'!$Q$2:$Q$492,0)),"")</f>
        <v>Nella Media</v>
      </c>
      <c r="I169" s="42">
        <f>IFERROR(INDEX('Output Utente'!$F$2:$F$492,MATCH(166,'Output Utente'!$Q$2:$Q$492,0)),"")</f>
        <v>3</v>
      </c>
      <c r="J169" s="42">
        <f>IFERROR(INDEX('Output Utente'!$G$2:$G$492,MATCH(166,'Output Utente'!$Q$2:$Q$492,0)),"")</f>
        <v>2</v>
      </c>
      <c r="K169" s="42">
        <f>IFERROR(INDEX('Output Utente'!$H$2:$H$492,MATCH(166,'Output Utente'!$Q$2:$Q$492,0)),"")</f>
        <v>3</v>
      </c>
      <c r="L169" s="5" t="str">
        <f>IFERROR(INDEX('Output Utente'!$E$2:$E$492,MATCH(166,'Output Utente'!$Q$2:$Q$492,0)),"")</f>
        <v>NO</v>
      </c>
      <c r="M169" s="5" t="str">
        <f>IFERROR(INDEX('Output Utente'!$U$2:$U$492,MATCH(166,'Output Utente'!$Q$2:$Q$492,0)),"")</f>
        <v>OK</v>
      </c>
      <c r="N169" s="5" t="str">
        <f>IFERROR(INDEX('Output Utente'!$AE$2:$AE$492,MATCH(166,'Output Utente'!$Q$2:$Q$492,0)),"")</f>
        <v>🔴 Non aspettare</v>
      </c>
    </row>
    <row r="170" spans="1:14" ht="15" customHeight="1" x14ac:dyDescent="0.25">
      <c r="A170" s="41">
        <v>167</v>
      </c>
      <c r="B170" s="5">
        <f>IFERROR(INDEX('Output Utente'!$A$2:$A$492,MATCH(167,'Output Utente'!$Q$2:$Q$492,0)),"")</f>
        <v>6680</v>
      </c>
      <c r="C170" s="5" t="str">
        <f>IFERROR(INDEX('Output Utente'!$B$2:$B$492,MATCH(167,'Output Utente'!$Q$2:$Q$492,0)),"")</f>
        <v>C</v>
      </c>
      <c r="D170" s="5" t="str">
        <f>IFERROR(INDEX('Output Utente'!$C$2:$C$492,MATCH(167,'Output Utente'!$Q$2:$Q$492,0)),"")</f>
        <v>Karlstrom</v>
      </c>
      <c r="E170" s="5" t="str">
        <f>IFERROR(INDEX('Input Giocatori 2026_27'!$D$3:$D$493,MATCH($B170,'Input Giocatori 2026_27'!$A$3:$A$493,0)),"")</f>
        <v>Udinese</v>
      </c>
      <c r="F170" s="42">
        <f>IFERROR(INDEX('Output Utente'!$N$2:$N$492,MATCH(167,'Output Utente'!$Q$2:$Q$492,0)),"")</f>
        <v>6</v>
      </c>
      <c r="G170" s="42">
        <f>IFERROR(INDEX('Output Utente'!$O$2:$O$492,MATCH(167,'Output Utente'!$Q$2:$Q$492,0)),"")</f>
        <v>20</v>
      </c>
      <c r="H170" s="5" t="str">
        <f>IFERROR(INDEX('Output Utente'!$P$2:$P$492,MATCH(167,'Output Utente'!$Q$2:$Q$492,0)),"")</f>
        <v>Nella Media</v>
      </c>
      <c r="I170" s="42">
        <f>IFERROR(INDEX('Output Utente'!$F$2:$F$492,MATCH(167,'Output Utente'!$Q$2:$Q$492,0)),"")</f>
        <v>3</v>
      </c>
      <c r="J170" s="42">
        <f>IFERROR(INDEX('Output Utente'!$G$2:$G$492,MATCH(167,'Output Utente'!$Q$2:$Q$492,0)),"")</f>
        <v>2</v>
      </c>
      <c r="K170" s="42">
        <f>IFERROR(INDEX('Output Utente'!$H$2:$H$492,MATCH(167,'Output Utente'!$Q$2:$Q$492,0)),"")</f>
        <v>3</v>
      </c>
      <c r="L170" s="5" t="str">
        <f>IFERROR(INDEX('Output Utente'!$E$2:$E$492,MATCH(167,'Output Utente'!$Q$2:$Q$492,0)),"")</f>
        <v>NO</v>
      </c>
      <c r="M170" s="5" t="str">
        <f>IFERROR(INDEX('Output Utente'!$U$2:$U$492,MATCH(167,'Output Utente'!$Q$2:$Q$492,0)),"")</f>
        <v>OK</v>
      </c>
      <c r="N170" s="5" t="str">
        <f>IFERROR(INDEX('Output Utente'!$AE$2:$AE$492,MATCH(167,'Output Utente'!$Q$2:$Q$492,0)),"")</f>
        <v>🔴 Non aspettare</v>
      </c>
    </row>
    <row r="171" spans="1:14" ht="15" customHeight="1" x14ac:dyDescent="0.25">
      <c r="A171" s="41">
        <v>168</v>
      </c>
      <c r="B171" s="5">
        <f>IFERROR(INDEX('Output Utente'!$A$2:$A$492,MATCH(168,'Output Utente'!$Q$2:$Q$492,0)),"")</f>
        <v>6164</v>
      </c>
      <c r="C171" s="5" t="str">
        <f>IFERROR(INDEX('Output Utente'!$B$2:$B$492,MATCH(168,'Output Utente'!$Q$2:$Q$492,0)),"")</f>
        <v>A</v>
      </c>
      <c r="D171" s="5" t="str">
        <f>IFERROR(INDEX('Output Utente'!$C$2:$C$492,MATCH(168,'Output Utente'!$Q$2:$Q$492,0)),"")</f>
        <v>Vitinha O.</v>
      </c>
      <c r="E171" s="5" t="str">
        <f>IFERROR(INDEX('Input Giocatori 2026_27'!$D$3:$D$493,MATCH($B171,'Input Giocatori 2026_27'!$A$3:$A$493,0)),"")</f>
        <v>Genoa</v>
      </c>
      <c r="F171" s="42">
        <f>IFERROR(INDEX('Output Utente'!$N$2:$N$492,MATCH(168,'Output Utente'!$Q$2:$Q$492,0)),"")</f>
        <v>8</v>
      </c>
      <c r="G171" s="42">
        <f>IFERROR(INDEX('Output Utente'!$O$2:$O$492,MATCH(168,'Output Utente'!$Q$2:$Q$492,0)),"")</f>
        <v>20</v>
      </c>
      <c r="H171" s="5" t="str">
        <f>IFERROR(INDEX('Output Utente'!$P$2:$P$492,MATCH(168,'Output Utente'!$Q$2:$Q$492,0)),"")</f>
        <v>Nella Media</v>
      </c>
      <c r="I171" s="42">
        <f>IFERROR(INDEX('Output Utente'!$F$2:$F$492,MATCH(168,'Output Utente'!$Q$2:$Q$492,0)),"")</f>
        <v>6</v>
      </c>
      <c r="J171" s="42">
        <f>IFERROR(INDEX('Output Utente'!$G$2:$G$492,MATCH(168,'Output Utente'!$Q$2:$Q$492,0)),"")</f>
        <v>4</v>
      </c>
      <c r="K171" s="42">
        <f>IFERROR(INDEX('Output Utente'!$H$2:$H$492,MATCH(168,'Output Utente'!$Q$2:$Q$492,0)),"")</f>
        <v>7</v>
      </c>
      <c r="L171" s="5" t="str">
        <f>IFERROR(INDEX('Output Utente'!$E$2:$E$492,MATCH(168,'Output Utente'!$Q$2:$Q$492,0)),"")</f>
        <v>NO</v>
      </c>
      <c r="M171" s="5" t="str">
        <f>IFERROR(INDEX('Output Utente'!$U$2:$U$492,MATCH(168,'Output Utente'!$Q$2:$Q$492,0)),"")</f>
        <v>OK</v>
      </c>
      <c r="N171" s="5" t="str">
        <f>IFERROR(INDEX('Output Utente'!$AE$2:$AE$492,MATCH(168,'Output Utente'!$Q$2:$Q$492,0)),"")</f>
        <v>🔴 Non aspettare</v>
      </c>
    </row>
    <row r="172" spans="1:14" ht="15" customHeight="1" x14ac:dyDescent="0.25">
      <c r="A172" s="41">
        <v>169</v>
      </c>
      <c r="B172" s="5">
        <f>IFERROR(INDEX('Output Utente'!$A$2:$A$492,MATCH(169,'Output Utente'!$Q$2:$Q$492,0)),"")</f>
        <v>7449</v>
      </c>
      <c r="C172" s="5" t="str">
        <f>IFERROR(INDEX('Output Utente'!$B$2:$B$492,MATCH(169,'Output Utente'!$Q$2:$Q$492,0)),"")</f>
        <v>A</v>
      </c>
      <c r="D172" s="5" t="str">
        <f>IFERROR(INDEX('Output Utente'!$C$2:$C$492,MATCH(169,'Output Utente'!$Q$2:$Q$492,0)),"")</f>
        <v>Rrahmani Al.</v>
      </c>
      <c r="E172" s="5" t="str">
        <f>IFERROR(INDEX('Input Giocatori 2026_27'!$D$3:$D$493,MATCH($B172,'Input Giocatori 2026_27'!$A$3:$A$493,0)),"")</f>
        <v>Venezia</v>
      </c>
      <c r="F172" s="42">
        <f>IFERROR(INDEX('Output Utente'!$N$2:$N$492,MATCH(169,'Output Utente'!$Q$2:$Q$492,0)),"")</f>
        <v>8</v>
      </c>
      <c r="G172" s="42">
        <f>IFERROR(INDEX('Output Utente'!$O$2:$O$492,MATCH(169,'Output Utente'!$Q$2:$Q$492,0)),"")</f>
        <v>20</v>
      </c>
      <c r="H172" s="5" t="str">
        <f>IFERROR(INDEX('Output Utente'!$P$2:$P$492,MATCH(169,'Output Utente'!$Q$2:$Q$492,0)),"")</f>
        <v>Nella Media</v>
      </c>
      <c r="I172" s="42">
        <f>IFERROR(INDEX('Output Utente'!$F$2:$F$492,MATCH(169,'Output Utente'!$Q$2:$Q$492,0)),"")</f>
        <v>6</v>
      </c>
      <c r="J172" s="42">
        <f>IFERROR(INDEX('Output Utente'!$G$2:$G$492,MATCH(169,'Output Utente'!$Q$2:$Q$492,0)),"")</f>
        <v>4</v>
      </c>
      <c r="K172" s="42">
        <f>IFERROR(INDEX('Output Utente'!$H$2:$H$492,MATCH(169,'Output Utente'!$Q$2:$Q$492,0)),"")</f>
        <v>7</v>
      </c>
      <c r="L172" s="5" t="str">
        <f>IFERROR(INDEX('Output Utente'!$E$2:$E$492,MATCH(169,'Output Utente'!$Q$2:$Q$492,0)),"")</f>
        <v>NO</v>
      </c>
      <c r="M172" s="5" t="str">
        <f>IFERROR(INDEX('Output Utente'!$U$2:$U$492,MATCH(169,'Output Utente'!$Q$2:$Q$492,0)),"")</f>
        <v>OK</v>
      </c>
      <c r="N172" s="5" t="str">
        <f>IFERROR(INDEX('Output Utente'!$AE$2:$AE$492,MATCH(169,'Output Utente'!$Q$2:$Q$492,0)),"")</f>
        <v>🔴 Non aspettare</v>
      </c>
    </row>
    <row r="173" spans="1:14" ht="15" customHeight="1" x14ac:dyDescent="0.25">
      <c r="A173" s="41">
        <v>170</v>
      </c>
      <c r="B173" s="5">
        <f>IFERROR(INDEX('Output Utente'!$A$2:$A$492,MATCH(170,'Output Utente'!$Q$2:$Q$492,0)),"")</f>
        <v>4994</v>
      </c>
      <c r="C173" s="5" t="str">
        <f>IFERROR(INDEX('Output Utente'!$B$2:$B$492,MATCH(170,'Output Utente'!$Q$2:$Q$492,0)),"")</f>
        <v>D</v>
      </c>
      <c r="D173" s="5" t="str">
        <f>IFERROR(INDEX('Output Utente'!$C$2:$C$492,MATCH(170,'Output Utente'!$Q$2:$Q$492,0)),"")</f>
        <v>Vojvoda</v>
      </c>
      <c r="E173" s="5" t="str">
        <f>IFERROR(INDEX('Input Giocatori 2026_27'!$D$3:$D$493,MATCH($B173,'Input Giocatori 2026_27'!$A$3:$A$493,0)),"")</f>
        <v>Udinese</v>
      </c>
      <c r="F173" s="42">
        <f>IFERROR(INDEX('Output Utente'!$N$2:$N$492,MATCH(170,'Output Utente'!$Q$2:$Q$492,0)),"")</f>
        <v>8</v>
      </c>
      <c r="G173" s="42">
        <f>IFERROR(INDEX('Output Utente'!$O$2:$O$492,MATCH(170,'Output Utente'!$Q$2:$Q$492,0)),"")</f>
        <v>19</v>
      </c>
      <c r="H173" s="5" t="str">
        <f>IFERROR(INDEX('Output Utente'!$P$2:$P$492,MATCH(170,'Output Utente'!$Q$2:$Q$492,0)),"")</f>
        <v>Buono</v>
      </c>
      <c r="I173" s="42">
        <f>IFERROR(INDEX('Output Utente'!$F$2:$F$492,MATCH(170,'Output Utente'!$Q$2:$Q$492,0)),"")</f>
        <v>4</v>
      </c>
      <c r="J173" s="42">
        <f>IFERROR(INDEX('Output Utente'!$G$2:$G$492,MATCH(170,'Output Utente'!$Q$2:$Q$492,0)),"")</f>
        <v>3</v>
      </c>
      <c r="K173" s="42">
        <f>IFERROR(INDEX('Output Utente'!$H$2:$H$492,MATCH(170,'Output Utente'!$Q$2:$Q$492,0)),"")</f>
        <v>4</v>
      </c>
      <c r="L173" s="5" t="str">
        <f>IFERROR(INDEX('Output Utente'!$E$2:$E$492,MATCH(170,'Output Utente'!$Q$2:$Q$492,0)),"")</f>
        <v>NO</v>
      </c>
      <c r="M173" s="5" t="str">
        <f>IFERROR(INDEX('Output Utente'!$U$2:$U$492,MATCH(170,'Output Utente'!$Q$2:$Q$492,0)),"")</f>
        <v>OK</v>
      </c>
      <c r="N173" s="5" t="str">
        <f>IFERROR(INDEX('Output Utente'!$AE$2:$AE$492,MATCH(170,'Output Utente'!$Q$2:$Q$492,0)),"")</f>
        <v>🔴 Non aspettare</v>
      </c>
    </row>
    <row r="174" spans="1:14" ht="15" customHeight="1" x14ac:dyDescent="0.25">
      <c r="A174" s="41">
        <v>171</v>
      </c>
      <c r="B174" s="5">
        <f>IFERROR(INDEX('Output Utente'!$A$2:$A$492,MATCH(171,'Output Utente'!$Q$2:$Q$492,0)),"")</f>
        <v>4433</v>
      </c>
      <c r="C174" s="5" t="str">
        <f>IFERROR(INDEX('Output Utente'!$B$2:$B$492,MATCH(171,'Output Utente'!$Q$2:$Q$492,0)),"")</f>
        <v>D</v>
      </c>
      <c r="D174" s="5" t="str">
        <f>IFERROR(INDEX('Output Utente'!$C$2:$C$492,MATCH(171,'Output Utente'!$Q$2:$Q$492,0)),"")</f>
        <v>Zortea</v>
      </c>
      <c r="E174" s="5" t="str">
        <f>IFERROR(INDEX('Input Giocatori 2026_27'!$D$3:$D$493,MATCH($B174,'Input Giocatori 2026_27'!$A$3:$A$493,0)),"")</f>
        <v>Bologna</v>
      </c>
      <c r="F174" s="42">
        <f>IFERROR(INDEX('Output Utente'!$N$2:$N$492,MATCH(171,'Output Utente'!$Q$2:$Q$492,0)),"")</f>
        <v>6</v>
      </c>
      <c r="G174" s="42">
        <f>IFERROR(INDEX('Output Utente'!$O$2:$O$492,MATCH(171,'Output Utente'!$Q$2:$Q$492,0)),"")</f>
        <v>19</v>
      </c>
      <c r="H174" s="5" t="str">
        <f>IFERROR(INDEX('Output Utente'!$P$2:$P$492,MATCH(171,'Output Utente'!$Q$2:$Q$492,0)),"")</f>
        <v>Buono</v>
      </c>
      <c r="I174" s="42">
        <f>IFERROR(INDEX('Output Utente'!$F$2:$F$492,MATCH(171,'Output Utente'!$Q$2:$Q$492,0)),"")</f>
        <v>4</v>
      </c>
      <c r="J174" s="42">
        <f>IFERROR(INDEX('Output Utente'!$G$2:$G$492,MATCH(171,'Output Utente'!$Q$2:$Q$492,0)),"")</f>
        <v>3</v>
      </c>
      <c r="K174" s="42">
        <f>IFERROR(INDEX('Output Utente'!$H$2:$H$492,MATCH(171,'Output Utente'!$Q$2:$Q$492,0)),"")</f>
        <v>4</v>
      </c>
      <c r="L174" s="5" t="str">
        <f>IFERROR(INDEX('Output Utente'!$E$2:$E$492,MATCH(171,'Output Utente'!$Q$2:$Q$492,0)),"")</f>
        <v>NO</v>
      </c>
      <c r="M174" s="5" t="str">
        <f>IFERROR(INDEX('Output Utente'!$U$2:$U$492,MATCH(171,'Output Utente'!$Q$2:$Q$492,0)),"")</f>
        <v>OK</v>
      </c>
      <c r="N174" s="5" t="str">
        <f>IFERROR(INDEX('Output Utente'!$AE$2:$AE$492,MATCH(171,'Output Utente'!$Q$2:$Q$492,0)),"")</f>
        <v>🔴 Non aspettare</v>
      </c>
    </row>
    <row r="175" spans="1:14" ht="15" customHeight="1" x14ac:dyDescent="0.25">
      <c r="A175" s="41">
        <v>172</v>
      </c>
      <c r="B175" s="5">
        <f>IFERROR(INDEX('Output Utente'!$A$2:$A$492,MATCH(172,'Output Utente'!$Q$2:$Q$492,0)),"")</f>
        <v>7410</v>
      </c>
      <c r="C175" s="5" t="str">
        <f>IFERROR(INDEX('Output Utente'!$B$2:$B$492,MATCH(172,'Output Utente'!$Q$2:$Q$492,0)),"")</f>
        <v>D</v>
      </c>
      <c r="D175" s="5" t="str">
        <f>IFERROR(INDEX('Output Utente'!$C$2:$C$492,MATCH(172,'Output Utente'!$Q$2:$Q$492,0)),"")</f>
        <v>Viery</v>
      </c>
      <c r="E175" s="5" t="str">
        <f>IFERROR(INDEX('Input Giocatori 2026_27'!$D$3:$D$493,MATCH($B175,'Input Giocatori 2026_27'!$A$3:$A$493,0)),"")</f>
        <v>Fiorentina</v>
      </c>
      <c r="F175" s="42">
        <f>IFERROR(INDEX('Output Utente'!$N$2:$N$492,MATCH(172,'Output Utente'!$Q$2:$Q$492,0)),"")</f>
        <v>6</v>
      </c>
      <c r="G175" s="42">
        <f>IFERROR(INDEX('Output Utente'!$O$2:$O$492,MATCH(172,'Output Utente'!$Q$2:$Q$492,0)),"")</f>
        <v>19</v>
      </c>
      <c r="H175" s="5" t="str">
        <f>IFERROR(INDEX('Output Utente'!$P$2:$P$492,MATCH(172,'Output Utente'!$Q$2:$Q$492,0)),"")</f>
        <v>Buono</v>
      </c>
      <c r="I175" s="42">
        <f>IFERROR(INDEX('Output Utente'!$F$2:$F$492,MATCH(172,'Output Utente'!$Q$2:$Q$492,0)),"")</f>
        <v>4</v>
      </c>
      <c r="J175" s="42">
        <f>IFERROR(INDEX('Output Utente'!$G$2:$G$492,MATCH(172,'Output Utente'!$Q$2:$Q$492,0)),"")</f>
        <v>3</v>
      </c>
      <c r="K175" s="42">
        <f>IFERROR(INDEX('Output Utente'!$H$2:$H$492,MATCH(172,'Output Utente'!$Q$2:$Q$492,0)),"")</f>
        <v>4</v>
      </c>
      <c r="L175" s="5" t="str">
        <f>IFERROR(INDEX('Output Utente'!$E$2:$E$492,MATCH(172,'Output Utente'!$Q$2:$Q$492,0)),"")</f>
        <v>NO</v>
      </c>
      <c r="M175" s="5" t="str">
        <f>IFERROR(INDEX('Output Utente'!$U$2:$U$492,MATCH(172,'Output Utente'!$Q$2:$Q$492,0)),"")</f>
        <v>OK</v>
      </c>
      <c r="N175" s="5" t="str">
        <f>IFERROR(INDEX('Output Utente'!$AE$2:$AE$492,MATCH(172,'Output Utente'!$Q$2:$Q$492,0)),"")</f>
        <v>🔴 Non aspettare</v>
      </c>
    </row>
    <row r="176" spans="1:14" ht="15" customHeight="1" x14ac:dyDescent="0.25">
      <c r="A176" s="41">
        <v>173</v>
      </c>
      <c r="B176" s="5">
        <f>IFERROR(INDEX('Output Utente'!$A$2:$A$492,MATCH(173,'Output Utente'!$Q$2:$Q$492,0)),"")</f>
        <v>6010</v>
      </c>
      <c r="C176" s="5" t="str">
        <f>IFERROR(INDEX('Output Utente'!$B$2:$B$492,MATCH(173,'Output Utente'!$Q$2:$Q$492,0)),"")</f>
        <v>C</v>
      </c>
      <c r="D176" s="5" t="str">
        <f>IFERROR(INDEX('Output Utente'!$C$2:$C$492,MATCH(173,'Output Utente'!$Q$2:$Q$492,0)),"")</f>
        <v>Fazzini</v>
      </c>
      <c r="E176" s="5" t="str">
        <f>IFERROR(INDEX('Input Giocatori 2026_27'!$D$3:$D$493,MATCH($B176,'Input Giocatori 2026_27'!$A$3:$A$493,0)),"")</f>
        <v>Cagliari</v>
      </c>
      <c r="F176" s="42">
        <f>IFERROR(INDEX('Output Utente'!$N$2:$N$492,MATCH(173,'Output Utente'!$Q$2:$Q$492,0)),"")</f>
        <v>7</v>
      </c>
      <c r="G176" s="42">
        <f>IFERROR(INDEX('Output Utente'!$O$2:$O$492,MATCH(173,'Output Utente'!$Q$2:$Q$492,0)),"")</f>
        <v>19</v>
      </c>
      <c r="H176" s="5" t="str">
        <f>IFERROR(INDEX('Output Utente'!$P$2:$P$492,MATCH(173,'Output Utente'!$Q$2:$Q$492,0)),"")</f>
        <v>Nella Media</v>
      </c>
      <c r="I176" s="42">
        <f>IFERROR(INDEX('Output Utente'!$F$2:$F$492,MATCH(173,'Output Utente'!$Q$2:$Q$492,0)),"")</f>
        <v>3</v>
      </c>
      <c r="J176" s="42">
        <f>IFERROR(INDEX('Output Utente'!$G$2:$G$492,MATCH(173,'Output Utente'!$Q$2:$Q$492,0)),"")</f>
        <v>2</v>
      </c>
      <c r="K176" s="42">
        <f>IFERROR(INDEX('Output Utente'!$H$2:$H$492,MATCH(173,'Output Utente'!$Q$2:$Q$492,0)),"")</f>
        <v>3</v>
      </c>
      <c r="L176" s="5" t="str">
        <f>IFERROR(INDEX('Output Utente'!$E$2:$E$492,MATCH(173,'Output Utente'!$Q$2:$Q$492,0)),"")</f>
        <v>NO</v>
      </c>
      <c r="M176" s="5" t="str">
        <f>IFERROR(INDEX('Output Utente'!$U$2:$U$492,MATCH(173,'Output Utente'!$Q$2:$Q$492,0)),"")</f>
        <v>OK</v>
      </c>
      <c r="N176" s="5" t="str">
        <f>IFERROR(INDEX('Output Utente'!$AE$2:$AE$492,MATCH(173,'Output Utente'!$Q$2:$Q$492,0)),"")</f>
        <v>🔴 Non aspettare</v>
      </c>
    </row>
    <row r="177" spans="1:14" ht="15" customHeight="1" x14ac:dyDescent="0.25">
      <c r="A177" s="41">
        <v>174</v>
      </c>
      <c r="B177" s="5">
        <f>IFERROR(INDEX('Output Utente'!$A$2:$A$492,MATCH(174,'Output Utente'!$Q$2:$Q$492,0)),"")</f>
        <v>5791</v>
      </c>
      <c r="C177" s="5" t="str">
        <f>IFERROR(INDEX('Output Utente'!$B$2:$B$492,MATCH(174,'Output Utente'!$Q$2:$Q$492,0)),"")</f>
        <v>C</v>
      </c>
      <c r="D177" s="5" t="str">
        <f>IFERROR(INDEX('Output Utente'!$C$2:$C$492,MATCH(174,'Output Utente'!$Q$2:$Q$492,0)),"")</f>
        <v>Frendrup</v>
      </c>
      <c r="E177" s="5" t="str">
        <f>IFERROR(INDEX('Input Giocatori 2026_27'!$D$3:$D$493,MATCH($B177,'Input Giocatori 2026_27'!$A$3:$A$493,0)),"")</f>
        <v>Genoa</v>
      </c>
      <c r="F177" s="42">
        <f>IFERROR(INDEX('Output Utente'!$N$2:$N$492,MATCH(174,'Output Utente'!$Q$2:$Q$492,0)),"")</f>
        <v>7</v>
      </c>
      <c r="G177" s="42">
        <f>IFERROR(INDEX('Output Utente'!$O$2:$O$492,MATCH(174,'Output Utente'!$Q$2:$Q$492,0)),"")</f>
        <v>19</v>
      </c>
      <c r="H177" s="5" t="str">
        <f>IFERROR(INDEX('Output Utente'!$P$2:$P$492,MATCH(174,'Output Utente'!$Q$2:$Q$492,0)),"")</f>
        <v>Nella Media</v>
      </c>
      <c r="I177" s="42">
        <f>IFERROR(INDEX('Output Utente'!$F$2:$F$492,MATCH(174,'Output Utente'!$Q$2:$Q$492,0)),"")</f>
        <v>3</v>
      </c>
      <c r="J177" s="42">
        <f>IFERROR(INDEX('Output Utente'!$G$2:$G$492,MATCH(174,'Output Utente'!$Q$2:$Q$492,0)),"")</f>
        <v>2</v>
      </c>
      <c r="K177" s="42">
        <f>IFERROR(INDEX('Output Utente'!$H$2:$H$492,MATCH(174,'Output Utente'!$Q$2:$Q$492,0)),"")</f>
        <v>3</v>
      </c>
      <c r="L177" s="5" t="str">
        <f>IFERROR(INDEX('Output Utente'!$E$2:$E$492,MATCH(174,'Output Utente'!$Q$2:$Q$492,0)),"")</f>
        <v>NO</v>
      </c>
      <c r="M177" s="5" t="str">
        <f>IFERROR(INDEX('Output Utente'!$U$2:$U$492,MATCH(174,'Output Utente'!$Q$2:$Q$492,0)),"")</f>
        <v>OK</v>
      </c>
      <c r="N177" s="5" t="str">
        <f>IFERROR(INDEX('Output Utente'!$AE$2:$AE$492,MATCH(174,'Output Utente'!$Q$2:$Q$492,0)),"")</f>
        <v>🔴 Non aspettare</v>
      </c>
    </row>
    <row r="178" spans="1:14" ht="15" customHeight="1" x14ac:dyDescent="0.25">
      <c r="A178" s="41">
        <v>175</v>
      </c>
      <c r="B178" s="5">
        <f>IFERROR(INDEX('Output Utente'!$A$2:$A$492,MATCH(175,'Output Utente'!$Q$2:$Q$492,0)),"")</f>
        <v>6549</v>
      </c>
      <c r="C178" s="5" t="str">
        <f>IFERROR(INDEX('Output Utente'!$B$2:$B$492,MATCH(175,'Output Utente'!$Q$2:$Q$492,0)),"")</f>
        <v>C</v>
      </c>
      <c r="D178" s="5" t="str">
        <f>IFERROR(INDEX('Output Utente'!$C$2:$C$492,MATCH(175,'Output Utente'!$Q$2:$Q$492,0)),"")</f>
        <v>Pierotti</v>
      </c>
      <c r="E178" s="5" t="str">
        <f>IFERROR(INDEX('Input Giocatori 2026_27'!$D$3:$D$493,MATCH($B178,'Input Giocatori 2026_27'!$A$3:$A$493,0)),"")</f>
        <v>Lecce</v>
      </c>
      <c r="F178" s="42">
        <f>IFERROR(INDEX('Output Utente'!$N$2:$N$492,MATCH(175,'Output Utente'!$Q$2:$Q$492,0)),"")</f>
        <v>6</v>
      </c>
      <c r="G178" s="42">
        <f>IFERROR(INDEX('Output Utente'!$O$2:$O$492,MATCH(175,'Output Utente'!$Q$2:$Q$492,0)),"")</f>
        <v>19</v>
      </c>
      <c r="H178" s="5" t="str">
        <f>IFERROR(INDEX('Output Utente'!$P$2:$P$492,MATCH(175,'Output Utente'!$Q$2:$Q$492,0)),"")</f>
        <v>Nella Media</v>
      </c>
      <c r="I178" s="42">
        <f>IFERROR(INDEX('Output Utente'!$F$2:$F$492,MATCH(175,'Output Utente'!$Q$2:$Q$492,0)),"")</f>
        <v>3</v>
      </c>
      <c r="J178" s="42">
        <f>IFERROR(INDEX('Output Utente'!$G$2:$G$492,MATCH(175,'Output Utente'!$Q$2:$Q$492,0)),"")</f>
        <v>2</v>
      </c>
      <c r="K178" s="42">
        <f>IFERROR(INDEX('Output Utente'!$H$2:$H$492,MATCH(175,'Output Utente'!$Q$2:$Q$492,0)),"")</f>
        <v>3</v>
      </c>
      <c r="L178" s="5" t="str">
        <f>IFERROR(INDEX('Output Utente'!$E$2:$E$492,MATCH(175,'Output Utente'!$Q$2:$Q$492,0)),"")</f>
        <v>NO</v>
      </c>
      <c r="M178" s="5" t="str">
        <f>IFERROR(INDEX('Output Utente'!$U$2:$U$492,MATCH(175,'Output Utente'!$Q$2:$Q$492,0)),"")</f>
        <v>OK</v>
      </c>
      <c r="N178" s="5" t="str">
        <f>IFERROR(INDEX('Output Utente'!$AE$2:$AE$492,MATCH(175,'Output Utente'!$Q$2:$Q$492,0)),"")</f>
        <v>🔴 Non aspettare</v>
      </c>
    </row>
    <row r="179" spans="1:14" ht="15" customHeight="1" x14ac:dyDescent="0.25">
      <c r="A179" s="41">
        <v>176</v>
      </c>
      <c r="B179" s="5">
        <f>IFERROR(INDEX('Output Utente'!$A$2:$A$492,MATCH(176,'Output Utente'!$Q$2:$Q$492,0)),"")</f>
        <v>5674</v>
      </c>
      <c r="C179" s="5" t="str">
        <f>IFERROR(INDEX('Output Utente'!$B$2:$B$492,MATCH(176,'Output Utente'!$Q$2:$Q$492,0)),"")</f>
        <v>C</v>
      </c>
      <c r="D179" s="5" t="str">
        <f>IFERROR(INDEX('Output Utente'!$C$2:$C$492,MATCH(176,'Output Utente'!$Q$2:$Q$492,0)),"")</f>
        <v>Basic</v>
      </c>
      <c r="E179" s="5" t="str">
        <f>IFERROR(INDEX('Input Giocatori 2026_27'!$D$3:$D$493,MATCH($B179,'Input Giocatori 2026_27'!$A$3:$A$493,0)),"")</f>
        <v>Venezia</v>
      </c>
      <c r="F179" s="42">
        <f>IFERROR(INDEX('Output Utente'!$N$2:$N$492,MATCH(176,'Output Utente'!$Q$2:$Q$492,0)),"")</f>
        <v>6</v>
      </c>
      <c r="G179" s="42">
        <f>IFERROR(INDEX('Output Utente'!$O$2:$O$492,MATCH(176,'Output Utente'!$Q$2:$Q$492,0)),"")</f>
        <v>19</v>
      </c>
      <c r="H179" s="5" t="str">
        <f>IFERROR(INDEX('Output Utente'!$P$2:$P$492,MATCH(176,'Output Utente'!$Q$2:$Q$492,0)),"")</f>
        <v>Nella Media</v>
      </c>
      <c r="I179" s="42">
        <f>IFERROR(INDEX('Output Utente'!$F$2:$F$492,MATCH(176,'Output Utente'!$Q$2:$Q$492,0)),"")</f>
        <v>3</v>
      </c>
      <c r="J179" s="42">
        <f>IFERROR(INDEX('Output Utente'!$G$2:$G$492,MATCH(176,'Output Utente'!$Q$2:$Q$492,0)),"")</f>
        <v>2</v>
      </c>
      <c r="K179" s="42">
        <f>IFERROR(INDEX('Output Utente'!$H$2:$H$492,MATCH(176,'Output Utente'!$Q$2:$Q$492,0)),"")</f>
        <v>3</v>
      </c>
      <c r="L179" s="5" t="str">
        <f>IFERROR(INDEX('Output Utente'!$E$2:$E$492,MATCH(176,'Output Utente'!$Q$2:$Q$492,0)),"")</f>
        <v>NO</v>
      </c>
      <c r="M179" s="5" t="str">
        <f>IFERROR(INDEX('Output Utente'!$U$2:$U$492,MATCH(176,'Output Utente'!$Q$2:$Q$492,0)),"")</f>
        <v>OK</v>
      </c>
      <c r="N179" s="5" t="str">
        <f>IFERROR(INDEX('Output Utente'!$AE$2:$AE$492,MATCH(176,'Output Utente'!$Q$2:$Q$492,0)),"")</f>
        <v>🔴 Non aspettare</v>
      </c>
    </row>
    <row r="180" spans="1:14" ht="15" customHeight="1" x14ac:dyDescent="0.25">
      <c r="A180" s="41">
        <v>177</v>
      </c>
      <c r="B180" s="5">
        <f>IFERROR(INDEX('Output Utente'!$A$2:$A$492,MATCH(177,'Output Utente'!$Q$2:$Q$492,0)),"")</f>
        <v>2529</v>
      </c>
      <c r="C180" s="5" t="str">
        <f>IFERROR(INDEX('Output Utente'!$B$2:$B$492,MATCH(177,'Output Utente'!$Q$2:$Q$492,0)),"")</f>
        <v>C</v>
      </c>
      <c r="D180" s="5" t="str">
        <f>IFERROR(INDEX('Output Utente'!$C$2:$C$492,MATCH(177,'Output Utente'!$Q$2:$Q$492,0)),"")</f>
        <v>Mkhitaryan</v>
      </c>
      <c r="E180" s="5" t="str">
        <f>IFERROR(INDEX('Input Giocatori 2026_27'!$D$3:$D$493,MATCH($B180,'Input Giocatori 2026_27'!$A$3:$A$493,0)),"")</f>
        <v>Inter</v>
      </c>
      <c r="F180" s="42">
        <f>IFERROR(INDEX('Output Utente'!$N$2:$N$492,MATCH(177,'Output Utente'!$Q$2:$Q$492,0)),"")</f>
        <v>5</v>
      </c>
      <c r="G180" s="42">
        <f>IFERROR(INDEX('Output Utente'!$O$2:$O$492,MATCH(177,'Output Utente'!$Q$2:$Q$492,0)),"")</f>
        <v>19</v>
      </c>
      <c r="H180" s="5" t="str">
        <f>IFERROR(INDEX('Output Utente'!$P$2:$P$492,MATCH(177,'Output Utente'!$Q$2:$Q$492,0)),"")</f>
        <v>Nella Media</v>
      </c>
      <c r="I180" s="42">
        <f>IFERROR(INDEX('Output Utente'!$F$2:$F$492,MATCH(177,'Output Utente'!$Q$2:$Q$492,0)),"")</f>
        <v>3</v>
      </c>
      <c r="J180" s="42">
        <f>IFERROR(INDEX('Output Utente'!$G$2:$G$492,MATCH(177,'Output Utente'!$Q$2:$Q$492,0)),"")</f>
        <v>2</v>
      </c>
      <c r="K180" s="42">
        <f>IFERROR(INDEX('Output Utente'!$H$2:$H$492,MATCH(177,'Output Utente'!$Q$2:$Q$492,0)),"")</f>
        <v>3</v>
      </c>
      <c r="L180" s="5" t="str">
        <f>IFERROR(INDEX('Output Utente'!$E$2:$E$492,MATCH(177,'Output Utente'!$Q$2:$Q$492,0)),"")</f>
        <v>NO</v>
      </c>
      <c r="M180" s="5" t="str">
        <f>IFERROR(INDEX('Output Utente'!$U$2:$U$492,MATCH(177,'Output Utente'!$Q$2:$Q$492,0)),"")</f>
        <v>OK</v>
      </c>
      <c r="N180" s="5" t="str">
        <f>IFERROR(INDEX('Output Utente'!$AE$2:$AE$492,MATCH(177,'Output Utente'!$Q$2:$Q$492,0)),"")</f>
        <v>🔴 Non aspettare</v>
      </c>
    </row>
    <row r="181" spans="1:14" ht="15" customHeight="1" x14ac:dyDescent="0.25">
      <c r="A181" s="41">
        <v>178</v>
      </c>
      <c r="B181" s="5">
        <f>IFERROR(INDEX('Output Utente'!$A$2:$A$492,MATCH(178,'Output Utente'!$Q$2:$Q$492,0)),"")</f>
        <v>6598</v>
      </c>
      <c r="C181" s="5" t="str">
        <f>IFERROR(INDEX('Output Utente'!$B$2:$B$492,MATCH(178,'Output Utente'!$Q$2:$Q$492,0)),"")</f>
        <v>A</v>
      </c>
      <c r="D181" s="5" t="str">
        <f>IFERROR(INDEX('Output Utente'!$C$2:$C$492,MATCH(178,'Output Utente'!$Q$2:$Q$492,0)),"")</f>
        <v>Mutandwa</v>
      </c>
      <c r="E181" s="5" t="str">
        <f>IFERROR(INDEX('Input Giocatori 2026_27'!$D$3:$D$493,MATCH($B181,'Input Giocatori 2026_27'!$A$3:$A$493,0)),"")</f>
        <v>Cagliari</v>
      </c>
      <c r="F181" s="42">
        <f>IFERROR(INDEX('Output Utente'!$N$2:$N$492,MATCH(178,'Output Utente'!$Q$2:$Q$492,0)),"")</f>
        <v>6</v>
      </c>
      <c r="G181" s="42">
        <f>IFERROR(INDEX('Output Utente'!$O$2:$O$492,MATCH(178,'Output Utente'!$Q$2:$Q$492,0)),"")</f>
        <v>19</v>
      </c>
      <c r="H181" s="5" t="str">
        <f>IFERROR(INDEX('Output Utente'!$P$2:$P$492,MATCH(178,'Output Utente'!$Q$2:$Q$492,0)),"")</f>
        <v>Nella Media</v>
      </c>
      <c r="I181" s="42">
        <f>IFERROR(INDEX('Output Utente'!$F$2:$F$492,MATCH(178,'Output Utente'!$Q$2:$Q$492,0)),"")</f>
        <v>6</v>
      </c>
      <c r="J181" s="42">
        <f>IFERROR(INDEX('Output Utente'!$G$2:$G$492,MATCH(178,'Output Utente'!$Q$2:$Q$492,0)),"")</f>
        <v>4</v>
      </c>
      <c r="K181" s="42">
        <f>IFERROR(INDEX('Output Utente'!$H$2:$H$492,MATCH(178,'Output Utente'!$Q$2:$Q$492,0)),"")</f>
        <v>7</v>
      </c>
      <c r="L181" s="5" t="str">
        <f>IFERROR(INDEX('Output Utente'!$E$2:$E$492,MATCH(178,'Output Utente'!$Q$2:$Q$492,0)),"")</f>
        <v>NO</v>
      </c>
      <c r="M181" s="5" t="str">
        <f>IFERROR(INDEX('Output Utente'!$U$2:$U$492,MATCH(178,'Output Utente'!$Q$2:$Q$492,0)),"")</f>
        <v>OK</v>
      </c>
      <c r="N181" s="5" t="str">
        <f>IFERROR(INDEX('Output Utente'!$AE$2:$AE$492,MATCH(178,'Output Utente'!$Q$2:$Q$492,0)),"")</f>
        <v>🔴 Non aspettare</v>
      </c>
    </row>
    <row r="182" spans="1:14" ht="15" customHeight="1" x14ac:dyDescent="0.25">
      <c r="A182" s="41">
        <v>179</v>
      </c>
      <c r="B182" s="5">
        <f>IFERROR(INDEX('Output Utente'!$A$2:$A$492,MATCH(179,'Output Utente'!$Q$2:$Q$492,0)),"")</f>
        <v>7332</v>
      </c>
      <c r="C182" s="5" t="str">
        <f>IFERROR(INDEX('Output Utente'!$B$2:$B$492,MATCH(179,'Output Utente'!$Q$2:$Q$492,0)),"")</f>
        <v>P</v>
      </c>
      <c r="D182" s="5" t="str">
        <f>IFERROR(INDEX('Output Utente'!$C$2:$C$492,MATCH(179,'Output Utente'!$Q$2:$Q$492,0)),"")</f>
        <v>Bijlow</v>
      </c>
      <c r="E182" s="5" t="str">
        <f>IFERROR(INDEX('Input Giocatori 2026_27'!$D$3:$D$493,MATCH($B182,'Input Giocatori 2026_27'!$A$3:$A$493,0)),"")</f>
        <v>Genoa</v>
      </c>
      <c r="F182" s="42">
        <f>IFERROR(INDEX('Output Utente'!$N$2:$N$492,MATCH(179,'Output Utente'!$Q$2:$Q$492,0)),"")</f>
        <v>8</v>
      </c>
      <c r="G182" s="42">
        <f>IFERROR(INDEX('Output Utente'!$O$2:$O$492,MATCH(179,'Output Utente'!$Q$2:$Q$492,0)),"")</f>
        <v>18</v>
      </c>
      <c r="H182" s="5" t="str">
        <f>IFERROR(INDEX('Output Utente'!$P$2:$P$492,MATCH(179,'Output Utente'!$Q$2:$Q$492,0)),"")</f>
        <v>Buono</v>
      </c>
      <c r="I182" s="42">
        <f>IFERROR(INDEX('Output Utente'!$F$2:$F$492,MATCH(179,'Output Utente'!$Q$2:$Q$492,0)),"")</f>
        <v>6</v>
      </c>
      <c r="J182" s="42">
        <f>IFERROR(INDEX('Output Utente'!$G$2:$G$492,MATCH(179,'Output Utente'!$Q$2:$Q$492,0)),"")</f>
        <v>5</v>
      </c>
      <c r="K182" s="42">
        <f>IFERROR(INDEX('Output Utente'!$H$2:$H$492,MATCH(179,'Output Utente'!$Q$2:$Q$492,0)),"")</f>
        <v>7</v>
      </c>
      <c r="L182" s="5" t="str">
        <f>IFERROR(INDEX('Output Utente'!$E$2:$E$492,MATCH(179,'Output Utente'!$Q$2:$Q$492,0)),"")</f>
        <v>NO</v>
      </c>
      <c r="M182" s="5" t="str">
        <f>IFERROR(INDEX('Output Utente'!$U$2:$U$492,MATCH(179,'Output Utente'!$Q$2:$Q$492,0)),"")</f>
        <v>OK</v>
      </c>
      <c r="N182" s="5" t="str">
        <f>IFERROR(INDEX('Output Utente'!$AE$2:$AE$492,MATCH(179,'Output Utente'!$Q$2:$Q$492,0)),"")</f>
        <v>🔴 Non aspettare</v>
      </c>
    </row>
    <row r="183" spans="1:14" ht="15" customHeight="1" x14ac:dyDescent="0.25">
      <c r="A183" s="41">
        <v>180</v>
      </c>
      <c r="B183" s="5">
        <f>IFERROR(INDEX('Output Utente'!$A$2:$A$492,MATCH(180,'Output Utente'!$Q$2:$Q$492,0)),"")</f>
        <v>6042</v>
      </c>
      <c r="C183" s="5" t="str">
        <f>IFERROR(INDEX('Output Utente'!$B$2:$B$492,MATCH(180,'Output Utente'!$Q$2:$Q$492,0)),"")</f>
        <v>D</v>
      </c>
      <c r="D183" s="5" t="str">
        <f>IFERROR(INDEX('Output Utente'!$C$2:$C$492,MATCH(180,'Output Utente'!$Q$2:$Q$492,0)),"")</f>
        <v>Lucumì</v>
      </c>
      <c r="E183" s="5" t="str">
        <f>IFERROR(INDEX('Input Giocatori 2026_27'!$D$3:$D$493,MATCH($B183,'Input Giocatori 2026_27'!$A$3:$A$493,0)),"")</f>
        <v>Bologna</v>
      </c>
      <c r="F183" s="42">
        <f>IFERROR(INDEX('Output Utente'!$N$2:$N$492,MATCH(180,'Output Utente'!$Q$2:$Q$492,0)),"")</f>
        <v>8</v>
      </c>
      <c r="G183" s="42">
        <f>IFERROR(INDEX('Output Utente'!$O$2:$O$492,MATCH(180,'Output Utente'!$Q$2:$Q$492,0)),"")</f>
        <v>18</v>
      </c>
      <c r="H183" s="5" t="str">
        <f>IFERROR(INDEX('Output Utente'!$P$2:$P$492,MATCH(180,'Output Utente'!$Q$2:$Q$492,0)),"")</f>
        <v>Buono</v>
      </c>
      <c r="I183" s="42">
        <f>IFERROR(INDEX('Output Utente'!$F$2:$F$492,MATCH(180,'Output Utente'!$Q$2:$Q$492,0)),"")</f>
        <v>3</v>
      </c>
      <c r="J183" s="42">
        <f>IFERROR(INDEX('Output Utente'!$G$2:$G$492,MATCH(180,'Output Utente'!$Q$2:$Q$492,0)),"")</f>
        <v>2</v>
      </c>
      <c r="K183" s="42">
        <f>IFERROR(INDEX('Output Utente'!$H$2:$H$492,MATCH(180,'Output Utente'!$Q$2:$Q$492,0)),"")</f>
        <v>4</v>
      </c>
      <c r="L183" s="5" t="str">
        <f>IFERROR(INDEX('Output Utente'!$E$2:$E$492,MATCH(180,'Output Utente'!$Q$2:$Q$492,0)),"")</f>
        <v>NO</v>
      </c>
      <c r="M183" s="5" t="str">
        <f>IFERROR(INDEX('Output Utente'!$U$2:$U$492,MATCH(180,'Output Utente'!$Q$2:$Q$492,0)),"")</f>
        <v>OK</v>
      </c>
      <c r="N183" s="5" t="str">
        <f>IFERROR(INDEX('Output Utente'!$AE$2:$AE$492,MATCH(180,'Output Utente'!$Q$2:$Q$492,0)),"")</f>
        <v>🔴 Non aspettare</v>
      </c>
    </row>
    <row r="184" spans="1:14" ht="15" customHeight="1" x14ac:dyDescent="0.25">
      <c r="A184" s="41">
        <v>181</v>
      </c>
      <c r="B184" s="5">
        <f>IFERROR(INDEX('Output Utente'!$A$2:$A$492,MATCH(181,'Output Utente'!$Q$2:$Q$492,0)),"")</f>
        <v>2724</v>
      </c>
      <c r="C184" s="5" t="str">
        <f>IFERROR(INDEX('Output Utente'!$B$2:$B$492,MATCH(181,'Output Utente'!$Q$2:$Q$492,0)),"")</f>
        <v>D</v>
      </c>
      <c r="D184" s="5" t="str">
        <f>IFERROR(INDEX('Output Utente'!$C$2:$C$492,MATCH(181,'Output Utente'!$Q$2:$Q$492,0)),"")</f>
        <v>Buongiorno</v>
      </c>
      <c r="E184" s="5" t="str">
        <f>IFERROR(INDEX('Input Giocatori 2026_27'!$D$3:$D$493,MATCH($B184,'Input Giocatori 2026_27'!$A$3:$A$493,0)),"")</f>
        <v>Napoli</v>
      </c>
      <c r="F184" s="42">
        <f>IFERROR(INDEX('Output Utente'!$N$2:$N$492,MATCH(181,'Output Utente'!$Q$2:$Q$492,0)),"")</f>
        <v>7</v>
      </c>
      <c r="G184" s="42">
        <f>IFERROR(INDEX('Output Utente'!$O$2:$O$492,MATCH(181,'Output Utente'!$Q$2:$Q$492,0)),"")</f>
        <v>18</v>
      </c>
      <c r="H184" s="5" t="str">
        <f>IFERROR(INDEX('Output Utente'!$P$2:$P$492,MATCH(181,'Output Utente'!$Q$2:$Q$492,0)),"")</f>
        <v>Buono</v>
      </c>
      <c r="I184" s="42">
        <f>IFERROR(INDEX('Output Utente'!$F$2:$F$492,MATCH(181,'Output Utente'!$Q$2:$Q$492,0)),"")</f>
        <v>3</v>
      </c>
      <c r="J184" s="42">
        <f>IFERROR(INDEX('Output Utente'!$G$2:$G$492,MATCH(181,'Output Utente'!$Q$2:$Q$492,0)),"")</f>
        <v>2</v>
      </c>
      <c r="K184" s="42">
        <f>IFERROR(INDEX('Output Utente'!$H$2:$H$492,MATCH(181,'Output Utente'!$Q$2:$Q$492,0)),"")</f>
        <v>4</v>
      </c>
      <c r="L184" s="5" t="str">
        <f>IFERROR(INDEX('Output Utente'!$E$2:$E$492,MATCH(181,'Output Utente'!$Q$2:$Q$492,0)),"")</f>
        <v>NO</v>
      </c>
      <c r="M184" s="5" t="str">
        <f>IFERROR(INDEX('Output Utente'!$U$2:$U$492,MATCH(181,'Output Utente'!$Q$2:$Q$492,0)),"")</f>
        <v>OK</v>
      </c>
      <c r="N184" s="5" t="str">
        <f>IFERROR(INDEX('Output Utente'!$AE$2:$AE$492,MATCH(181,'Output Utente'!$Q$2:$Q$492,0)),"")</f>
        <v>🔴 Non aspettare</v>
      </c>
    </row>
    <row r="185" spans="1:14" ht="15" customHeight="1" x14ac:dyDescent="0.25">
      <c r="A185" s="41">
        <v>182</v>
      </c>
      <c r="B185" s="5">
        <f>IFERROR(INDEX('Output Utente'!$A$2:$A$492,MATCH(182,'Output Utente'!$Q$2:$Q$492,0)),"")</f>
        <v>6642</v>
      </c>
      <c r="C185" s="5" t="str">
        <f>IFERROR(INDEX('Output Utente'!$B$2:$B$492,MATCH(182,'Output Utente'!$Q$2:$Q$492,0)),"")</f>
        <v>D</v>
      </c>
      <c r="D185" s="5" t="str">
        <f>IFERROR(INDEX('Output Utente'!$C$2:$C$492,MATCH(182,'Output Utente'!$Q$2:$Q$492,0)),"")</f>
        <v>Coco</v>
      </c>
      <c r="E185" s="5" t="str">
        <f>IFERROR(INDEX('Input Giocatori 2026_27'!$D$3:$D$493,MATCH($B185,'Input Giocatori 2026_27'!$A$3:$A$493,0)),"")</f>
        <v>Torino</v>
      </c>
      <c r="F185" s="42">
        <f>IFERROR(INDEX('Output Utente'!$N$2:$N$492,MATCH(182,'Output Utente'!$Q$2:$Q$492,0)),"")</f>
        <v>7</v>
      </c>
      <c r="G185" s="42">
        <f>IFERROR(INDEX('Output Utente'!$O$2:$O$492,MATCH(182,'Output Utente'!$Q$2:$Q$492,0)),"")</f>
        <v>18</v>
      </c>
      <c r="H185" s="5" t="str">
        <f>IFERROR(INDEX('Output Utente'!$P$2:$P$492,MATCH(182,'Output Utente'!$Q$2:$Q$492,0)),"")</f>
        <v>Buono</v>
      </c>
      <c r="I185" s="42">
        <f>IFERROR(INDEX('Output Utente'!$F$2:$F$492,MATCH(182,'Output Utente'!$Q$2:$Q$492,0)),"")</f>
        <v>3</v>
      </c>
      <c r="J185" s="42">
        <f>IFERROR(INDEX('Output Utente'!$G$2:$G$492,MATCH(182,'Output Utente'!$Q$2:$Q$492,0)),"")</f>
        <v>2</v>
      </c>
      <c r="K185" s="42">
        <f>IFERROR(INDEX('Output Utente'!$H$2:$H$492,MATCH(182,'Output Utente'!$Q$2:$Q$492,0)),"")</f>
        <v>4</v>
      </c>
      <c r="L185" s="5" t="str">
        <f>IFERROR(INDEX('Output Utente'!$E$2:$E$492,MATCH(182,'Output Utente'!$Q$2:$Q$492,0)),"")</f>
        <v>NO</v>
      </c>
      <c r="M185" s="5" t="str">
        <f>IFERROR(INDEX('Output Utente'!$U$2:$U$492,MATCH(182,'Output Utente'!$Q$2:$Q$492,0)),"")</f>
        <v>OK</v>
      </c>
      <c r="N185" s="5" t="str">
        <f>IFERROR(INDEX('Output Utente'!$AE$2:$AE$492,MATCH(182,'Output Utente'!$Q$2:$Q$492,0)),"")</f>
        <v>🔴 Non aspettare</v>
      </c>
    </row>
    <row r="186" spans="1:14" ht="15" customHeight="1" x14ac:dyDescent="0.25">
      <c r="A186" s="41">
        <v>183</v>
      </c>
      <c r="B186" s="5">
        <f>IFERROR(INDEX('Output Utente'!$A$2:$A$492,MATCH(183,'Output Utente'!$Q$2:$Q$492,0)),"")</f>
        <v>5010</v>
      </c>
      <c r="C186" s="5" t="str">
        <f>IFERROR(INDEX('Output Utente'!$B$2:$B$492,MATCH(183,'Output Utente'!$Q$2:$Q$492,0)),"")</f>
        <v>D</v>
      </c>
      <c r="D186" s="5" t="str">
        <f>IFERROR(INDEX('Output Utente'!$C$2:$C$492,MATCH(183,'Output Utente'!$Q$2:$Q$492,0)),"")</f>
        <v>Ismajli</v>
      </c>
      <c r="E186" s="5" t="str">
        <f>IFERROR(INDEX('Input Giocatori 2026_27'!$D$3:$D$493,MATCH($B186,'Input Giocatori 2026_27'!$A$3:$A$493,0)),"")</f>
        <v>Torino</v>
      </c>
      <c r="F186" s="42">
        <f>IFERROR(INDEX('Output Utente'!$N$2:$N$492,MATCH(183,'Output Utente'!$Q$2:$Q$492,0)),"")</f>
        <v>7</v>
      </c>
      <c r="G186" s="42">
        <f>IFERROR(INDEX('Output Utente'!$O$2:$O$492,MATCH(183,'Output Utente'!$Q$2:$Q$492,0)),"")</f>
        <v>18</v>
      </c>
      <c r="H186" s="5" t="str">
        <f>IFERROR(INDEX('Output Utente'!$P$2:$P$492,MATCH(183,'Output Utente'!$Q$2:$Q$492,0)),"")</f>
        <v>Buono</v>
      </c>
      <c r="I186" s="42">
        <f>IFERROR(INDEX('Output Utente'!$F$2:$F$492,MATCH(183,'Output Utente'!$Q$2:$Q$492,0)),"")</f>
        <v>3</v>
      </c>
      <c r="J186" s="42">
        <f>IFERROR(INDEX('Output Utente'!$G$2:$G$492,MATCH(183,'Output Utente'!$Q$2:$Q$492,0)),"")</f>
        <v>2</v>
      </c>
      <c r="K186" s="42">
        <f>IFERROR(INDEX('Output Utente'!$H$2:$H$492,MATCH(183,'Output Utente'!$Q$2:$Q$492,0)),"")</f>
        <v>4</v>
      </c>
      <c r="L186" s="5" t="str">
        <f>IFERROR(INDEX('Output Utente'!$E$2:$E$492,MATCH(183,'Output Utente'!$Q$2:$Q$492,0)),"")</f>
        <v>NO</v>
      </c>
      <c r="M186" s="5" t="str">
        <f>IFERROR(INDEX('Output Utente'!$U$2:$U$492,MATCH(183,'Output Utente'!$Q$2:$Q$492,0)),"")</f>
        <v>OK</v>
      </c>
      <c r="N186" s="5" t="str">
        <f>IFERROR(INDEX('Output Utente'!$AE$2:$AE$492,MATCH(183,'Output Utente'!$Q$2:$Q$492,0)),"")</f>
        <v>🔴 Non aspettare</v>
      </c>
    </row>
    <row r="187" spans="1:14" ht="15" customHeight="1" x14ac:dyDescent="0.25">
      <c r="A187" s="41">
        <v>184</v>
      </c>
      <c r="B187" s="5">
        <f>IFERROR(INDEX('Output Utente'!$A$2:$A$492,MATCH(184,'Output Utente'!$Q$2:$Q$492,0)),"")</f>
        <v>6867</v>
      </c>
      <c r="C187" s="5" t="str">
        <f>IFERROR(INDEX('Output Utente'!$B$2:$B$492,MATCH(184,'Output Utente'!$Q$2:$Q$492,0)),"")</f>
        <v>D</v>
      </c>
      <c r="D187" s="5" t="str">
        <f>IFERROR(INDEX('Output Utente'!$C$2:$C$492,MATCH(184,'Output Utente'!$Q$2:$Q$492,0)),"")</f>
        <v>Valle</v>
      </c>
      <c r="E187" s="5" t="str">
        <f>IFERROR(INDEX('Input Giocatori 2026_27'!$D$3:$D$493,MATCH($B187,'Input Giocatori 2026_27'!$A$3:$A$493,0)),"")</f>
        <v>Como</v>
      </c>
      <c r="F187" s="42">
        <f>IFERROR(INDEX('Output Utente'!$N$2:$N$492,MATCH(184,'Output Utente'!$Q$2:$Q$492,0)),"")</f>
        <v>6</v>
      </c>
      <c r="G187" s="42">
        <f>IFERROR(INDEX('Output Utente'!$O$2:$O$492,MATCH(184,'Output Utente'!$Q$2:$Q$492,0)),"")</f>
        <v>18</v>
      </c>
      <c r="H187" s="5" t="str">
        <f>IFERROR(INDEX('Output Utente'!$P$2:$P$492,MATCH(184,'Output Utente'!$Q$2:$Q$492,0)),"")</f>
        <v>Buono</v>
      </c>
      <c r="I187" s="42">
        <f>IFERROR(INDEX('Output Utente'!$F$2:$F$492,MATCH(184,'Output Utente'!$Q$2:$Q$492,0)),"")</f>
        <v>3</v>
      </c>
      <c r="J187" s="42">
        <f>IFERROR(INDEX('Output Utente'!$G$2:$G$492,MATCH(184,'Output Utente'!$Q$2:$Q$492,0)),"")</f>
        <v>2</v>
      </c>
      <c r="K187" s="42">
        <f>IFERROR(INDEX('Output Utente'!$H$2:$H$492,MATCH(184,'Output Utente'!$Q$2:$Q$492,0)),"")</f>
        <v>4</v>
      </c>
      <c r="L187" s="5" t="str">
        <f>IFERROR(INDEX('Output Utente'!$E$2:$E$492,MATCH(184,'Output Utente'!$Q$2:$Q$492,0)),"")</f>
        <v>NO</v>
      </c>
      <c r="M187" s="5" t="str">
        <f>IFERROR(INDEX('Output Utente'!$U$2:$U$492,MATCH(184,'Output Utente'!$Q$2:$Q$492,0)),"")</f>
        <v>OK</v>
      </c>
      <c r="N187" s="5" t="str">
        <f>IFERROR(INDEX('Output Utente'!$AE$2:$AE$492,MATCH(184,'Output Utente'!$Q$2:$Q$492,0)),"")</f>
        <v>🔴 Non aspettare</v>
      </c>
    </row>
    <row r="188" spans="1:14" ht="15" customHeight="1" x14ac:dyDescent="0.25">
      <c r="A188" s="41">
        <v>185</v>
      </c>
      <c r="B188" s="5">
        <f>IFERROR(INDEX('Output Utente'!$A$2:$A$492,MATCH(185,'Output Utente'!$Q$2:$Q$492,0)),"")</f>
        <v>7294</v>
      </c>
      <c r="C188" s="5" t="str">
        <f>IFERROR(INDEX('Output Utente'!$B$2:$B$492,MATCH(185,'Output Utente'!$Q$2:$Q$492,0)),"")</f>
        <v>D</v>
      </c>
      <c r="D188" s="5" t="str">
        <f>IFERROR(INDEX('Output Utente'!$C$2:$C$492,MATCH(185,'Output Utente'!$Q$2:$Q$492,0)),"")</f>
        <v>Valdepenas</v>
      </c>
      <c r="E188" s="5" t="str">
        <f>IFERROR(INDEX('Input Giocatori 2026_27'!$D$3:$D$493,MATCH($B188,'Input Giocatori 2026_27'!$A$3:$A$493,0)),"")</f>
        <v>Fiorentina</v>
      </c>
      <c r="F188" s="42">
        <f>IFERROR(INDEX('Output Utente'!$N$2:$N$492,MATCH(185,'Output Utente'!$Q$2:$Q$492,0)),"")</f>
        <v>6</v>
      </c>
      <c r="G188" s="42">
        <f>IFERROR(INDEX('Output Utente'!$O$2:$O$492,MATCH(185,'Output Utente'!$Q$2:$Q$492,0)),"")</f>
        <v>18</v>
      </c>
      <c r="H188" s="5" t="str">
        <f>IFERROR(INDEX('Output Utente'!$P$2:$P$492,MATCH(185,'Output Utente'!$Q$2:$Q$492,0)),"")</f>
        <v>Buono</v>
      </c>
      <c r="I188" s="42">
        <f>IFERROR(INDEX('Output Utente'!$F$2:$F$492,MATCH(185,'Output Utente'!$Q$2:$Q$492,0)),"")</f>
        <v>3</v>
      </c>
      <c r="J188" s="42">
        <f>IFERROR(INDEX('Output Utente'!$G$2:$G$492,MATCH(185,'Output Utente'!$Q$2:$Q$492,0)),"")</f>
        <v>2</v>
      </c>
      <c r="K188" s="42">
        <f>IFERROR(INDEX('Output Utente'!$H$2:$H$492,MATCH(185,'Output Utente'!$Q$2:$Q$492,0)),"")</f>
        <v>4</v>
      </c>
      <c r="L188" s="5" t="str">
        <f>IFERROR(INDEX('Output Utente'!$E$2:$E$492,MATCH(185,'Output Utente'!$Q$2:$Q$492,0)),"")</f>
        <v>NO</v>
      </c>
      <c r="M188" s="5" t="str">
        <f>IFERROR(INDEX('Output Utente'!$U$2:$U$492,MATCH(185,'Output Utente'!$Q$2:$Q$492,0)),"")</f>
        <v>OK</v>
      </c>
      <c r="N188" s="5" t="str">
        <f>IFERROR(INDEX('Output Utente'!$AE$2:$AE$492,MATCH(185,'Output Utente'!$Q$2:$Q$492,0)),"")</f>
        <v>🔴 Non aspettare</v>
      </c>
    </row>
    <row r="189" spans="1:14" ht="15" customHeight="1" x14ac:dyDescent="0.25">
      <c r="A189" s="41">
        <v>186</v>
      </c>
      <c r="B189" s="5">
        <f>IFERROR(INDEX('Output Utente'!$A$2:$A$492,MATCH(186,'Output Utente'!$Q$2:$Q$492,0)),"")</f>
        <v>4177</v>
      </c>
      <c r="C189" s="5" t="str">
        <f>IFERROR(INDEX('Output Utente'!$B$2:$B$492,MATCH(186,'Output Utente'!$Q$2:$Q$492,0)),"")</f>
        <v>D</v>
      </c>
      <c r="D189" s="5" t="str">
        <f>IFERROR(INDEX('Output Utente'!$C$2:$C$492,MATCH(186,'Output Utente'!$Q$2:$Q$492,0)),"")</f>
        <v>Pavard</v>
      </c>
      <c r="E189" s="5" t="str">
        <f>IFERROR(INDEX('Input Giocatori 2026_27'!$D$3:$D$493,MATCH($B189,'Input Giocatori 2026_27'!$A$3:$A$493,0)),"")</f>
        <v>Inter</v>
      </c>
      <c r="F189" s="42">
        <f>IFERROR(INDEX('Output Utente'!$N$2:$N$492,MATCH(186,'Output Utente'!$Q$2:$Q$492,0)),"")</f>
        <v>6</v>
      </c>
      <c r="G189" s="42">
        <f>IFERROR(INDEX('Output Utente'!$O$2:$O$492,MATCH(186,'Output Utente'!$Q$2:$Q$492,0)),"")</f>
        <v>18</v>
      </c>
      <c r="H189" s="5" t="str">
        <f>IFERROR(INDEX('Output Utente'!$P$2:$P$492,MATCH(186,'Output Utente'!$Q$2:$Q$492,0)),"")</f>
        <v>Buono</v>
      </c>
      <c r="I189" s="42">
        <f>IFERROR(INDEX('Output Utente'!$F$2:$F$492,MATCH(186,'Output Utente'!$Q$2:$Q$492,0)),"")</f>
        <v>3</v>
      </c>
      <c r="J189" s="42">
        <f>IFERROR(INDEX('Output Utente'!$G$2:$G$492,MATCH(186,'Output Utente'!$Q$2:$Q$492,0)),"")</f>
        <v>2</v>
      </c>
      <c r="K189" s="42">
        <f>IFERROR(INDEX('Output Utente'!$H$2:$H$492,MATCH(186,'Output Utente'!$Q$2:$Q$492,0)),"")</f>
        <v>4</v>
      </c>
      <c r="L189" s="5" t="str">
        <f>IFERROR(INDEX('Output Utente'!$E$2:$E$492,MATCH(186,'Output Utente'!$Q$2:$Q$492,0)),"")</f>
        <v>NO</v>
      </c>
      <c r="M189" s="5" t="str">
        <f>IFERROR(INDEX('Output Utente'!$U$2:$U$492,MATCH(186,'Output Utente'!$Q$2:$Q$492,0)),"")</f>
        <v>OK</v>
      </c>
      <c r="N189" s="5" t="str">
        <f>IFERROR(INDEX('Output Utente'!$AE$2:$AE$492,MATCH(186,'Output Utente'!$Q$2:$Q$492,0)),"")</f>
        <v>🔴 Non aspettare</v>
      </c>
    </row>
    <row r="190" spans="1:14" ht="15" customHeight="1" x14ac:dyDescent="0.25">
      <c r="A190" s="41">
        <v>187</v>
      </c>
      <c r="B190" s="5">
        <f>IFERROR(INDEX('Output Utente'!$A$2:$A$492,MATCH(187,'Output Utente'!$Q$2:$Q$492,0)),"")</f>
        <v>6663</v>
      </c>
      <c r="C190" s="5" t="str">
        <f>IFERROR(INDEX('Output Utente'!$B$2:$B$492,MATCH(187,'Output Utente'!$Q$2:$Q$492,0)),"")</f>
        <v>D</v>
      </c>
      <c r="D190" s="5" t="str">
        <f>IFERROR(INDEX('Output Utente'!$C$2:$C$492,MATCH(187,'Output Utente'!$Q$2:$Q$492,0)),"")</f>
        <v>Circati</v>
      </c>
      <c r="E190" s="5" t="str">
        <f>IFERROR(INDEX('Input Giocatori 2026_27'!$D$3:$D$493,MATCH($B190,'Input Giocatori 2026_27'!$A$3:$A$493,0)),"")</f>
        <v>Parma</v>
      </c>
      <c r="F190" s="42">
        <f>IFERROR(INDEX('Output Utente'!$N$2:$N$492,MATCH(187,'Output Utente'!$Q$2:$Q$492,0)),"")</f>
        <v>6</v>
      </c>
      <c r="G190" s="42">
        <f>IFERROR(INDEX('Output Utente'!$O$2:$O$492,MATCH(187,'Output Utente'!$Q$2:$Q$492,0)),"")</f>
        <v>18</v>
      </c>
      <c r="H190" s="5" t="str">
        <f>IFERROR(INDEX('Output Utente'!$P$2:$P$492,MATCH(187,'Output Utente'!$Q$2:$Q$492,0)),"")</f>
        <v>Buono</v>
      </c>
      <c r="I190" s="42">
        <f>IFERROR(INDEX('Output Utente'!$F$2:$F$492,MATCH(187,'Output Utente'!$Q$2:$Q$492,0)),"")</f>
        <v>3</v>
      </c>
      <c r="J190" s="42">
        <f>IFERROR(INDEX('Output Utente'!$G$2:$G$492,MATCH(187,'Output Utente'!$Q$2:$Q$492,0)),"")</f>
        <v>2</v>
      </c>
      <c r="K190" s="42">
        <f>IFERROR(INDEX('Output Utente'!$H$2:$H$492,MATCH(187,'Output Utente'!$Q$2:$Q$492,0)),"")</f>
        <v>4</v>
      </c>
      <c r="L190" s="5" t="str">
        <f>IFERROR(INDEX('Output Utente'!$E$2:$E$492,MATCH(187,'Output Utente'!$Q$2:$Q$492,0)),"")</f>
        <v>NO</v>
      </c>
      <c r="M190" s="5" t="str">
        <f>IFERROR(INDEX('Output Utente'!$U$2:$U$492,MATCH(187,'Output Utente'!$Q$2:$Q$492,0)),"")</f>
        <v>OK</v>
      </c>
      <c r="N190" s="5" t="str">
        <f>IFERROR(INDEX('Output Utente'!$AE$2:$AE$492,MATCH(187,'Output Utente'!$Q$2:$Q$492,0)),"")</f>
        <v>🔴 Non aspettare</v>
      </c>
    </row>
    <row r="191" spans="1:14" ht="15" customHeight="1" x14ac:dyDescent="0.25">
      <c r="A191" s="41">
        <v>188</v>
      </c>
      <c r="B191" s="5">
        <f>IFERROR(INDEX('Output Utente'!$A$2:$A$492,MATCH(188,'Output Utente'!$Q$2:$Q$492,0)),"")</f>
        <v>5858</v>
      </c>
      <c r="C191" s="5" t="str">
        <f>IFERROR(INDEX('Output Utente'!$B$2:$B$492,MATCH(188,'Output Utente'!$Q$2:$Q$492,0)),"")</f>
        <v>C</v>
      </c>
      <c r="D191" s="5" t="str">
        <f>IFERROR(INDEX('Output Utente'!$C$2:$C$492,MATCH(188,'Output Utente'!$Q$2:$Q$492,0)),"")</f>
        <v>Ferguson</v>
      </c>
      <c r="E191" s="5" t="str">
        <f>IFERROR(INDEX('Input Giocatori 2026_27'!$D$3:$D$493,MATCH($B191,'Input Giocatori 2026_27'!$A$3:$A$493,0)),"")</f>
        <v>Bologna</v>
      </c>
      <c r="F191" s="42">
        <f>IFERROR(INDEX('Output Utente'!$N$2:$N$492,MATCH(188,'Output Utente'!$Q$2:$Q$492,0)),"")</f>
        <v>7</v>
      </c>
      <c r="G191" s="42">
        <f>IFERROR(INDEX('Output Utente'!$O$2:$O$492,MATCH(188,'Output Utente'!$Q$2:$Q$492,0)),"")</f>
        <v>18</v>
      </c>
      <c r="H191" s="5" t="str">
        <f>IFERROR(INDEX('Output Utente'!$P$2:$P$492,MATCH(188,'Output Utente'!$Q$2:$Q$492,0)),"")</f>
        <v>Nella Media</v>
      </c>
      <c r="I191" s="42">
        <f>IFERROR(INDEX('Output Utente'!$F$2:$F$492,MATCH(188,'Output Utente'!$Q$2:$Q$492,0)),"")</f>
        <v>3</v>
      </c>
      <c r="J191" s="42">
        <f>IFERROR(INDEX('Output Utente'!$G$2:$G$492,MATCH(188,'Output Utente'!$Q$2:$Q$492,0)),"")</f>
        <v>2</v>
      </c>
      <c r="K191" s="42">
        <f>IFERROR(INDEX('Output Utente'!$H$2:$H$492,MATCH(188,'Output Utente'!$Q$2:$Q$492,0)),"")</f>
        <v>3</v>
      </c>
      <c r="L191" s="5" t="str">
        <f>IFERROR(INDEX('Output Utente'!$E$2:$E$492,MATCH(188,'Output Utente'!$Q$2:$Q$492,0)),"")</f>
        <v>NO</v>
      </c>
      <c r="M191" s="5" t="str">
        <f>IFERROR(INDEX('Output Utente'!$U$2:$U$492,MATCH(188,'Output Utente'!$Q$2:$Q$492,0)),"")</f>
        <v>OK</v>
      </c>
      <c r="N191" s="5" t="str">
        <f>IFERROR(INDEX('Output Utente'!$AE$2:$AE$492,MATCH(188,'Output Utente'!$Q$2:$Q$492,0)),"")</f>
        <v>🔴 Non aspettare</v>
      </c>
    </row>
    <row r="192" spans="1:14" ht="15" customHeight="1" x14ac:dyDescent="0.25">
      <c r="A192" s="41">
        <v>189</v>
      </c>
      <c r="B192" s="5">
        <f>IFERROR(INDEX('Output Utente'!$A$2:$A$492,MATCH(189,'Output Utente'!$Q$2:$Q$492,0)),"")</f>
        <v>6020</v>
      </c>
      <c r="C192" s="5" t="str">
        <f>IFERROR(INDEX('Output Utente'!$B$2:$B$492,MATCH(189,'Output Utente'!$Q$2:$Q$492,0)),"")</f>
        <v>C</v>
      </c>
      <c r="D192" s="5" t="str">
        <f>IFERROR(INDEX('Output Utente'!$C$2:$C$492,MATCH(189,'Output Utente'!$Q$2:$Q$492,0)),"")</f>
        <v>Ellertsson</v>
      </c>
      <c r="E192" s="5" t="str">
        <f>IFERROR(INDEX('Input Giocatori 2026_27'!$D$3:$D$493,MATCH($B192,'Input Giocatori 2026_27'!$A$3:$A$493,0)),"")</f>
        <v>Genoa</v>
      </c>
      <c r="F192" s="42">
        <f>IFERROR(INDEX('Output Utente'!$N$2:$N$492,MATCH(189,'Output Utente'!$Q$2:$Q$492,0)),"")</f>
        <v>6</v>
      </c>
      <c r="G192" s="42">
        <f>IFERROR(INDEX('Output Utente'!$O$2:$O$492,MATCH(189,'Output Utente'!$Q$2:$Q$492,0)),"")</f>
        <v>18</v>
      </c>
      <c r="H192" s="5" t="str">
        <f>IFERROR(INDEX('Output Utente'!$P$2:$P$492,MATCH(189,'Output Utente'!$Q$2:$Q$492,0)),"")</f>
        <v>Nella Media</v>
      </c>
      <c r="I192" s="42">
        <f>IFERROR(INDEX('Output Utente'!$F$2:$F$492,MATCH(189,'Output Utente'!$Q$2:$Q$492,0)),"")</f>
        <v>3</v>
      </c>
      <c r="J192" s="42">
        <f>IFERROR(INDEX('Output Utente'!$G$2:$G$492,MATCH(189,'Output Utente'!$Q$2:$Q$492,0)),"")</f>
        <v>2</v>
      </c>
      <c r="K192" s="42">
        <f>IFERROR(INDEX('Output Utente'!$H$2:$H$492,MATCH(189,'Output Utente'!$Q$2:$Q$492,0)),"")</f>
        <v>3</v>
      </c>
      <c r="L192" s="5" t="str">
        <f>IFERROR(INDEX('Output Utente'!$E$2:$E$492,MATCH(189,'Output Utente'!$Q$2:$Q$492,0)),"")</f>
        <v>NO</v>
      </c>
      <c r="M192" s="5" t="str">
        <f>IFERROR(INDEX('Output Utente'!$U$2:$U$492,MATCH(189,'Output Utente'!$Q$2:$Q$492,0)),"")</f>
        <v>OK</v>
      </c>
      <c r="N192" s="5" t="str">
        <f>IFERROR(INDEX('Output Utente'!$AE$2:$AE$492,MATCH(189,'Output Utente'!$Q$2:$Q$492,0)),"")</f>
        <v>🔴 Non aspettare</v>
      </c>
    </row>
    <row r="193" spans="1:14" ht="15" customHeight="1" x14ac:dyDescent="0.25">
      <c r="A193" s="41">
        <v>190</v>
      </c>
      <c r="B193" s="5">
        <f>IFERROR(INDEX('Output Utente'!$A$2:$A$492,MATCH(190,'Output Utente'!$Q$2:$Q$492,0)),"")</f>
        <v>5761</v>
      </c>
      <c r="C193" s="5" t="str">
        <f>IFERROR(INDEX('Output Utente'!$B$2:$B$492,MATCH(190,'Output Utente'!$Q$2:$Q$492,0)),"")</f>
        <v>C</v>
      </c>
      <c r="D193" s="5" t="str">
        <f>IFERROR(INDEX('Output Utente'!$C$2:$C$492,MATCH(190,'Output Utente'!$Q$2:$Q$492,0)),"")</f>
        <v>Zhegrova</v>
      </c>
      <c r="E193" s="5" t="str">
        <f>IFERROR(INDEX('Input Giocatori 2026_27'!$D$3:$D$493,MATCH($B193,'Input Giocatori 2026_27'!$A$3:$A$493,0)),"")</f>
        <v>Juventus</v>
      </c>
      <c r="F193" s="42">
        <f>IFERROR(INDEX('Output Utente'!$N$2:$N$492,MATCH(190,'Output Utente'!$Q$2:$Q$492,0)),"")</f>
        <v>6</v>
      </c>
      <c r="G193" s="42">
        <f>IFERROR(INDEX('Output Utente'!$O$2:$O$492,MATCH(190,'Output Utente'!$Q$2:$Q$492,0)),"")</f>
        <v>18</v>
      </c>
      <c r="H193" s="5" t="str">
        <f>IFERROR(INDEX('Output Utente'!$P$2:$P$492,MATCH(190,'Output Utente'!$Q$2:$Q$492,0)),"")</f>
        <v>Nella Media</v>
      </c>
      <c r="I193" s="42">
        <f>IFERROR(INDEX('Output Utente'!$F$2:$F$492,MATCH(190,'Output Utente'!$Q$2:$Q$492,0)),"")</f>
        <v>3</v>
      </c>
      <c r="J193" s="42">
        <f>IFERROR(INDEX('Output Utente'!$G$2:$G$492,MATCH(190,'Output Utente'!$Q$2:$Q$492,0)),"")</f>
        <v>2</v>
      </c>
      <c r="K193" s="42">
        <f>IFERROR(INDEX('Output Utente'!$H$2:$H$492,MATCH(190,'Output Utente'!$Q$2:$Q$492,0)),"")</f>
        <v>3</v>
      </c>
      <c r="L193" s="5" t="str">
        <f>IFERROR(INDEX('Output Utente'!$E$2:$E$492,MATCH(190,'Output Utente'!$Q$2:$Q$492,0)),"")</f>
        <v>NO</v>
      </c>
      <c r="M193" s="5" t="str">
        <f>IFERROR(INDEX('Output Utente'!$U$2:$U$492,MATCH(190,'Output Utente'!$Q$2:$Q$492,0)),"")</f>
        <v>OK</v>
      </c>
      <c r="N193" s="5" t="str">
        <f>IFERROR(INDEX('Output Utente'!$AE$2:$AE$492,MATCH(190,'Output Utente'!$Q$2:$Q$492,0)),"")</f>
        <v>🔴 Non aspettare</v>
      </c>
    </row>
    <row r="194" spans="1:14" ht="15" customHeight="1" x14ac:dyDescent="0.25">
      <c r="A194" s="41">
        <v>191</v>
      </c>
      <c r="B194" s="5">
        <f>IFERROR(INDEX('Output Utente'!$A$2:$A$492,MATCH(191,'Output Utente'!$Q$2:$Q$492,0)),"")</f>
        <v>4349</v>
      </c>
      <c r="C194" s="5" t="str">
        <f>IFERROR(INDEX('Output Utente'!$B$2:$B$492,MATCH(191,'Output Utente'!$Q$2:$Q$492,0)),"")</f>
        <v>C</v>
      </c>
      <c r="D194" s="5" t="str">
        <f>IFERROR(INDEX('Output Utente'!$C$2:$C$492,MATCH(191,'Output Utente'!$Q$2:$Q$492,0)),"")</f>
        <v>Nicolussi Caviglia</v>
      </c>
      <c r="E194" s="5" t="str">
        <f>IFERROR(INDEX('Input Giocatori 2026_27'!$D$3:$D$493,MATCH($B194,'Input Giocatori 2026_27'!$A$3:$A$493,0)),"")</f>
        <v>Parma</v>
      </c>
      <c r="F194" s="42">
        <f>IFERROR(INDEX('Output Utente'!$N$2:$N$492,MATCH(191,'Output Utente'!$Q$2:$Q$492,0)),"")</f>
        <v>6</v>
      </c>
      <c r="G194" s="42">
        <f>IFERROR(INDEX('Output Utente'!$O$2:$O$492,MATCH(191,'Output Utente'!$Q$2:$Q$492,0)),"")</f>
        <v>18</v>
      </c>
      <c r="H194" s="5" t="str">
        <f>IFERROR(INDEX('Output Utente'!$P$2:$P$492,MATCH(191,'Output Utente'!$Q$2:$Q$492,0)),"")</f>
        <v>Nella Media</v>
      </c>
      <c r="I194" s="42">
        <f>IFERROR(INDEX('Output Utente'!$F$2:$F$492,MATCH(191,'Output Utente'!$Q$2:$Q$492,0)),"")</f>
        <v>3</v>
      </c>
      <c r="J194" s="42">
        <f>IFERROR(INDEX('Output Utente'!$G$2:$G$492,MATCH(191,'Output Utente'!$Q$2:$Q$492,0)),"")</f>
        <v>2</v>
      </c>
      <c r="K194" s="42">
        <f>IFERROR(INDEX('Output Utente'!$H$2:$H$492,MATCH(191,'Output Utente'!$Q$2:$Q$492,0)),"")</f>
        <v>3</v>
      </c>
      <c r="L194" s="5" t="str">
        <f>IFERROR(INDEX('Output Utente'!$E$2:$E$492,MATCH(191,'Output Utente'!$Q$2:$Q$492,0)),"")</f>
        <v>NO</v>
      </c>
      <c r="M194" s="5" t="str">
        <f>IFERROR(INDEX('Output Utente'!$U$2:$U$492,MATCH(191,'Output Utente'!$Q$2:$Q$492,0)),"")</f>
        <v>OK</v>
      </c>
      <c r="N194" s="5" t="str">
        <f>IFERROR(INDEX('Output Utente'!$AE$2:$AE$492,MATCH(191,'Output Utente'!$Q$2:$Q$492,0)),"")</f>
        <v>🔴 Non aspettare</v>
      </c>
    </row>
    <row r="195" spans="1:14" ht="15" customHeight="1" x14ac:dyDescent="0.25">
      <c r="A195" s="41">
        <v>192</v>
      </c>
      <c r="B195" s="5">
        <f>IFERROR(INDEX('Output Utente'!$A$2:$A$492,MATCH(192,'Output Utente'!$Q$2:$Q$492,0)),"")</f>
        <v>6984</v>
      </c>
      <c r="C195" s="5" t="str">
        <f>IFERROR(INDEX('Output Utente'!$B$2:$B$492,MATCH(192,'Output Utente'!$Q$2:$Q$492,0)),"")</f>
        <v>C</v>
      </c>
      <c r="D195" s="5" t="str">
        <f>IFERROR(INDEX('Output Utente'!$C$2:$C$492,MATCH(192,'Output Utente'!$Q$2:$Q$492,0)),"")</f>
        <v>Ondrejka</v>
      </c>
      <c r="E195" s="5" t="str">
        <f>IFERROR(INDEX('Input Giocatori 2026_27'!$D$3:$D$493,MATCH($B195,'Input Giocatori 2026_27'!$A$3:$A$493,0)),"")</f>
        <v>Parma</v>
      </c>
      <c r="F195" s="42">
        <f>IFERROR(INDEX('Output Utente'!$N$2:$N$492,MATCH(192,'Output Utente'!$Q$2:$Q$492,0)),"")</f>
        <v>5</v>
      </c>
      <c r="G195" s="42">
        <f>IFERROR(INDEX('Output Utente'!$O$2:$O$492,MATCH(192,'Output Utente'!$Q$2:$Q$492,0)),"")</f>
        <v>18</v>
      </c>
      <c r="H195" s="5" t="str">
        <f>IFERROR(INDEX('Output Utente'!$P$2:$P$492,MATCH(192,'Output Utente'!$Q$2:$Q$492,0)),"")</f>
        <v>Nella Media</v>
      </c>
      <c r="I195" s="42">
        <f>IFERROR(INDEX('Output Utente'!$F$2:$F$492,MATCH(192,'Output Utente'!$Q$2:$Q$492,0)),"")</f>
        <v>3</v>
      </c>
      <c r="J195" s="42">
        <f>IFERROR(INDEX('Output Utente'!$G$2:$G$492,MATCH(192,'Output Utente'!$Q$2:$Q$492,0)),"")</f>
        <v>2</v>
      </c>
      <c r="K195" s="42">
        <f>IFERROR(INDEX('Output Utente'!$H$2:$H$492,MATCH(192,'Output Utente'!$Q$2:$Q$492,0)),"")</f>
        <v>3</v>
      </c>
      <c r="L195" s="5" t="str">
        <f>IFERROR(INDEX('Output Utente'!$E$2:$E$492,MATCH(192,'Output Utente'!$Q$2:$Q$492,0)),"")</f>
        <v>NO</v>
      </c>
      <c r="M195" s="5" t="str">
        <f>IFERROR(INDEX('Output Utente'!$U$2:$U$492,MATCH(192,'Output Utente'!$Q$2:$Q$492,0)),"")</f>
        <v>OK</v>
      </c>
      <c r="N195" s="5" t="str">
        <f>IFERROR(INDEX('Output Utente'!$AE$2:$AE$492,MATCH(192,'Output Utente'!$Q$2:$Q$492,0)),"")</f>
        <v>🔴 Non aspettare</v>
      </c>
    </row>
    <row r="196" spans="1:14" ht="15" customHeight="1" x14ac:dyDescent="0.25">
      <c r="A196" s="41">
        <v>193</v>
      </c>
      <c r="B196" s="5">
        <f>IFERROR(INDEX('Output Utente'!$A$2:$A$492,MATCH(193,'Output Utente'!$Q$2:$Q$492,0)),"")</f>
        <v>7060</v>
      </c>
      <c r="C196" s="5" t="str">
        <f>IFERROR(INDEX('Output Utente'!$B$2:$B$492,MATCH(193,'Output Utente'!$Q$2:$Q$492,0)),"")</f>
        <v>C</v>
      </c>
      <c r="D196" s="5" t="str">
        <f>IFERROR(INDEX('Output Utente'!$C$2:$C$492,MATCH(193,'Output Utente'!$Q$2:$Q$492,0)),"")</f>
        <v>Cacciamani</v>
      </c>
      <c r="E196" s="5" t="str">
        <f>IFERROR(INDEX('Input Giocatori 2026_27'!$D$3:$D$493,MATCH($B196,'Input Giocatori 2026_27'!$A$3:$A$493,0)),"")</f>
        <v>Torino</v>
      </c>
      <c r="F196" s="42">
        <f>IFERROR(INDEX('Output Utente'!$N$2:$N$492,MATCH(193,'Output Utente'!$Q$2:$Q$492,0)),"")</f>
        <v>5</v>
      </c>
      <c r="G196" s="42">
        <f>IFERROR(INDEX('Output Utente'!$O$2:$O$492,MATCH(193,'Output Utente'!$Q$2:$Q$492,0)),"")</f>
        <v>18</v>
      </c>
      <c r="H196" s="5" t="str">
        <f>IFERROR(INDEX('Output Utente'!$P$2:$P$492,MATCH(193,'Output Utente'!$Q$2:$Q$492,0)),"")</f>
        <v>Nella Media</v>
      </c>
      <c r="I196" s="42">
        <f>IFERROR(INDEX('Output Utente'!$F$2:$F$492,MATCH(193,'Output Utente'!$Q$2:$Q$492,0)),"")</f>
        <v>3</v>
      </c>
      <c r="J196" s="42">
        <f>IFERROR(INDEX('Output Utente'!$G$2:$G$492,MATCH(193,'Output Utente'!$Q$2:$Q$492,0)),"")</f>
        <v>2</v>
      </c>
      <c r="K196" s="42">
        <f>IFERROR(INDEX('Output Utente'!$H$2:$H$492,MATCH(193,'Output Utente'!$Q$2:$Q$492,0)),"")</f>
        <v>3</v>
      </c>
      <c r="L196" s="5" t="str">
        <f>IFERROR(INDEX('Output Utente'!$E$2:$E$492,MATCH(193,'Output Utente'!$Q$2:$Q$492,0)),"")</f>
        <v>NO</v>
      </c>
      <c r="M196" s="5" t="str">
        <f>IFERROR(INDEX('Output Utente'!$U$2:$U$492,MATCH(193,'Output Utente'!$Q$2:$Q$492,0)),"")</f>
        <v>OK</v>
      </c>
      <c r="N196" s="5" t="str">
        <f>IFERROR(INDEX('Output Utente'!$AE$2:$AE$492,MATCH(193,'Output Utente'!$Q$2:$Q$492,0)),"")</f>
        <v>🔴 Non aspettare</v>
      </c>
    </row>
    <row r="197" spans="1:14" ht="15" customHeight="1" x14ac:dyDescent="0.25">
      <c r="A197" s="41">
        <v>194</v>
      </c>
      <c r="B197" s="5">
        <f>IFERROR(INDEX('Output Utente'!$A$2:$A$492,MATCH(194,'Output Utente'!$Q$2:$Q$492,0)),"")</f>
        <v>6271</v>
      </c>
      <c r="C197" s="5" t="str">
        <f>IFERROR(INDEX('Output Utente'!$B$2:$B$492,MATCH(194,'Output Utente'!$Q$2:$Q$492,0)),"")</f>
        <v>C</v>
      </c>
      <c r="D197" s="5" t="str">
        <f>IFERROR(INDEX('Output Utente'!$C$2:$C$492,MATCH(194,'Output Utente'!$Q$2:$Q$492,0)),"")</f>
        <v>El Aynaoui</v>
      </c>
      <c r="E197" s="5" t="str">
        <f>IFERROR(INDEX('Input Giocatori 2026_27'!$D$3:$D$493,MATCH($B197,'Input Giocatori 2026_27'!$A$3:$A$493,0)),"")</f>
        <v>Roma</v>
      </c>
      <c r="F197" s="42">
        <f>IFERROR(INDEX('Output Utente'!$N$2:$N$492,MATCH(194,'Output Utente'!$Q$2:$Q$492,0)),"")</f>
        <v>4</v>
      </c>
      <c r="G197" s="42">
        <f>IFERROR(INDEX('Output Utente'!$O$2:$O$492,MATCH(194,'Output Utente'!$Q$2:$Q$492,0)),"")</f>
        <v>18</v>
      </c>
      <c r="H197" s="5" t="str">
        <f>IFERROR(INDEX('Output Utente'!$P$2:$P$492,MATCH(194,'Output Utente'!$Q$2:$Q$492,0)),"")</f>
        <v>Nella Media</v>
      </c>
      <c r="I197" s="42">
        <f>IFERROR(INDEX('Output Utente'!$F$2:$F$492,MATCH(194,'Output Utente'!$Q$2:$Q$492,0)),"")</f>
        <v>3</v>
      </c>
      <c r="J197" s="42">
        <f>IFERROR(INDEX('Output Utente'!$G$2:$G$492,MATCH(194,'Output Utente'!$Q$2:$Q$492,0)),"")</f>
        <v>2</v>
      </c>
      <c r="K197" s="42">
        <f>IFERROR(INDEX('Output Utente'!$H$2:$H$492,MATCH(194,'Output Utente'!$Q$2:$Q$492,0)),"")</f>
        <v>3</v>
      </c>
      <c r="L197" s="5" t="str">
        <f>IFERROR(INDEX('Output Utente'!$E$2:$E$492,MATCH(194,'Output Utente'!$Q$2:$Q$492,0)),"")</f>
        <v>NO</v>
      </c>
      <c r="M197" s="5" t="str">
        <f>IFERROR(INDEX('Output Utente'!$U$2:$U$492,MATCH(194,'Output Utente'!$Q$2:$Q$492,0)),"")</f>
        <v>OK</v>
      </c>
      <c r="N197" s="5" t="str">
        <f>IFERROR(INDEX('Output Utente'!$AE$2:$AE$492,MATCH(194,'Output Utente'!$Q$2:$Q$492,0)),"")</f>
        <v>🔴 Non aspettare</v>
      </c>
    </row>
    <row r="198" spans="1:14" ht="15" customHeight="1" x14ac:dyDescent="0.25">
      <c r="A198" s="41">
        <v>195</v>
      </c>
      <c r="B198" s="5">
        <f>IFERROR(INDEX('Output Utente'!$A$2:$A$492,MATCH(195,'Output Utente'!$Q$2:$Q$492,0)),"")</f>
        <v>7252</v>
      </c>
      <c r="C198" s="5" t="str">
        <f>IFERROR(INDEX('Output Utente'!$B$2:$B$492,MATCH(195,'Output Utente'!$Q$2:$Q$492,0)),"")</f>
        <v>A</v>
      </c>
      <c r="D198" s="5" t="str">
        <f>IFERROR(INDEX('Output Utente'!$C$2:$C$492,MATCH(195,'Output Utente'!$Q$2:$Q$492,0)),"")</f>
        <v>Stulic</v>
      </c>
      <c r="E198" s="5" t="str">
        <f>IFERROR(INDEX('Input Giocatori 2026_27'!$D$3:$D$493,MATCH($B198,'Input Giocatori 2026_27'!$A$3:$A$493,0)),"")</f>
        <v>Lecce</v>
      </c>
      <c r="F198" s="42">
        <f>IFERROR(INDEX('Output Utente'!$N$2:$N$492,MATCH(195,'Output Utente'!$Q$2:$Q$492,0)),"")</f>
        <v>7</v>
      </c>
      <c r="G198" s="42">
        <f>IFERROR(INDEX('Output Utente'!$O$2:$O$492,MATCH(195,'Output Utente'!$Q$2:$Q$492,0)),"")</f>
        <v>18</v>
      </c>
      <c r="H198" s="5" t="str">
        <f>IFERROR(INDEX('Output Utente'!$P$2:$P$492,MATCH(195,'Output Utente'!$Q$2:$Q$492,0)),"")</f>
        <v>Nella Media</v>
      </c>
      <c r="I198" s="42">
        <f>IFERROR(INDEX('Output Utente'!$F$2:$F$492,MATCH(195,'Output Utente'!$Q$2:$Q$492,0)),"")</f>
        <v>6</v>
      </c>
      <c r="J198" s="42">
        <f>IFERROR(INDEX('Output Utente'!$G$2:$G$492,MATCH(195,'Output Utente'!$Q$2:$Q$492,0)),"")</f>
        <v>4</v>
      </c>
      <c r="K198" s="42">
        <f>IFERROR(INDEX('Output Utente'!$H$2:$H$492,MATCH(195,'Output Utente'!$Q$2:$Q$492,0)),"")</f>
        <v>7</v>
      </c>
      <c r="L198" s="5" t="str">
        <f>IFERROR(INDEX('Output Utente'!$E$2:$E$492,MATCH(195,'Output Utente'!$Q$2:$Q$492,0)),"")</f>
        <v>NO</v>
      </c>
      <c r="M198" s="5" t="str">
        <f>IFERROR(INDEX('Output Utente'!$U$2:$U$492,MATCH(195,'Output Utente'!$Q$2:$Q$492,0)),"")</f>
        <v>OK</v>
      </c>
      <c r="N198" s="5" t="str">
        <f>IFERROR(INDEX('Output Utente'!$AE$2:$AE$492,MATCH(195,'Output Utente'!$Q$2:$Q$492,0)),"")</f>
        <v>🔴 Non aspettare</v>
      </c>
    </row>
    <row r="199" spans="1:14" ht="15" customHeight="1" x14ac:dyDescent="0.25">
      <c r="A199" s="41">
        <v>196</v>
      </c>
      <c r="B199" s="5">
        <f>IFERROR(INDEX('Output Utente'!$A$2:$A$492,MATCH(196,'Output Utente'!$Q$2:$Q$492,0)),"")</f>
        <v>608</v>
      </c>
      <c r="C199" s="5" t="str">
        <f>IFERROR(INDEX('Output Utente'!$B$2:$B$492,MATCH(196,'Output Utente'!$Q$2:$Q$492,0)),"")</f>
        <v>A</v>
      </c>
      <c r="D199" s="5" t="str">
        <f>IFERROR(INDEX('Output Utente'!$C$2:$C$492,MATCH(196,'Output Utente'!$Q$2:$Q$492,0)),"")</f>
        <v>Zapata D.</v>
      </c>
      <c r="E199" s="5" t="str">
        <f>IFERROR(INDEX('Input Giocatori 2026_27'!$D$3:$D$493,MATCH($B199,'Input Giocatori 2026_27'!$A$3:$A$493,0)),"")</f>
        <v>Torino</v>
      </c>
      <c r="F199" s="42">
        <f>IFERROR(INDEX('Output Utente'!$N$2:$N$492,MATCH(196,'Output Utente'!$Q$2:$Q$492,0)),"")</f>
        <v>7</v>
      </c>
      <c r="G199" s="42">
        <f>IFERROR(INDEX('Output Utente'!$O$2:$O$492,MATCH(196,'Output Utente'!$Q$2:$Q$492,0)),"")</f>
        <v>18</v>
      </c>
      <c r="H199" s="5" t="str">
        <f>IFERROR(INDEX('Output Utente'!$P$2:$P$492,MATCH(196,'Output Utente'!$Q$2:$Q$492,0)),"")</f>
        <v>Nella Media</v>
      </c>
      <c r="I199" s="42">
        <f>IFERROR(INDEX('Output Utente'!$F$2:$F$492,MATCH(196,'Output Utente'!$Q$2:$Q$492,0)),"")</f>
        <v>6</v>
      </c>
      <c r="J199" s="42">
        <f>IFERROR(INDEX('Output Utente'!$G$2:$G$492,MATCH(196,'Output Utente'!$Q$2:$Q$492,0)),"")</f>
        <v>4</v>
      </c>
      <c r="K199" s="42">
        <f>IFERROR(INDEX('Output Utente'!$H$2:$H$492,MATCH(196,'Output Utente'!$Q$2:$Q$492,0)),"")</f>
        <v>7</v>
      </c>
      <c r="L199" s="5" t="str">
        <f>IFERROR(INDEX('Output Utente'!$E$2:$E$492,MATCH(196,'Output Utente'!$Q$2:$Q$492,0)),"")</f>
        <v>NO</v>
      </c>
      <c r="M199" s="5" t="str">
        <f>IFERROR(INDEX('Output Utente'!$U$2:$U$492,MATCH(196,'Output Utente'!$Q$2:$Q$492,0)),"")</f>
        <v>OK</v>
      </c>
      <c r="N199" s="5" t="str">
        <f>IFERROR(INDEX('Output Utente'!$AE$2:$AE$492,MATCH(196,'Output Utente'!$Q$2:$Q$492,0)),"")</f>
        <v>🔴 Non aspettare</v>
      </c>
    </row>
    <row r="200" spans="1:14" ht="15" customHeight="1" x14ac:dyDescent="0.25">
      <c r="A200" s="41">
        <v>197</v>
      </c>
      <c r="B200" s="5">
        <f>IFERROR(INDEX('Output Utente'!$A$2:$A$492,MATCH(197,'Output Utente'!$Q$2:$Q$492,0)),"")</f>
        <v>6519</v>
      </c>
      <c r="C200" s="5" t="str">
        <f>IFERROR(INDEX('Output Utente'!$B$2:$B$492,MATCH(197,'Output Utente'!$Q$2:$Q$492,0)),"")</f>
        <v>A</v>
      </c>
      <c r="D200" s="5" t="str">
        <f>IFERROR(INDEX('Output Utente'!$C$2:$C$492,MATCH(197,'Output Utente'!$Q$2:$Q$492,0)),"")</f>
        <v>Camarda</v>
      </c>
      <c r="E200" s="5" t="str">
        <f>IFERROR(INDEX('Input Giocatori 2026_27'!$D$3:$D$493,MATCH($B200,'Input Giocatori 2026_27'!$A$3:$A$493,0)),"")</f>
        <v>Milan</v>
      </c>
      <c r="F200" s="42">
        <f>IFERROR(INDEX('Output Utente'!$N$2:$N$492,MATCH(197,'Output Utente'!$Q$2:$Q$492,0)),"")</f>
        <v>5</v>
      </c>
      <c r="G200" s="42">
        <f>IFERROR(INDEX('Output Utente'!$O$2:$O$492,MATCH(197,'Output Utente'!$Q$2:$Q$492,0)),"")</f>
        <v>18</v>
      </c>
      <c r="H200" s="5" t="str">
        <f>IFERROR(INDEX('Output Utente'!$P$2:$P$492,MATCH(197,'Output Utente'!$Q$2:$Q$492,0)),"")</f>
        <v>Nella Media</v>
      </c>
      <c r="I200" s="42">
        <f>IFERROR(INDEX('Output Utente'!$F$2:$F$492,MATCH(197,'Output Utente'!$Q$2:$Q$492,0)),"")</f>
        <v>6</v>
      </c>
      <c r="J200" s="42">
        <f>IFERROR(INDEX('Output Utente'!$G$2:$G$492,MATCH(197,'Output Utente'!$Q$2:$Q$492,0)),"")</f>
        <v>4</v>
      </c>
      <c r="K200" s="42">
        <f>IFERROR(INDEX('Output Utente'!$H$2:$H$492,MATCH(197,'Output Utente'!$Q$2:$Q$492,0)),"")</f>
        <v>7</v>
      </c>
      <c r="L200" s="5" t="str">
        <f>IFERROR(INDEX('Output Utente'!$E$2:$E$492,MATCH(197,'Output Utente'!$Q$2:$Q$492,0)),"")</f>
        <v>NO</v>
      </c>
      <c r="M200" s="5" t="str">
        <f>IFERROR(INDEX('Output Utente'!$U$2:$U$492,MATCH(197,'Output Utente'!$Q$2:$Q$492,0)),"")</f>
        <v>OK</v>
      </c>
      <c r="N200" s="5" t="str">
        <f>IFERROR(INDEX('Output Utente'!$AE$2:$AE$492,MATCH(197,'Output Utente'!$Q$2:$Q$492,0)),"")</f>
        <v>🔴 Non aspettare</v>
      </c>
    </row>
    <row r="201" spans="1:14" ht="15" customHeight="1" x14ac:dyDescent="0.25">
      <c r="A201" s="41">
        <v>198</v>
      </c>
      <c r="B201" s="5">
        <f>IFERROR(INDEX('Output Utente'!$A$2:$A$492,MATCH(198,'Output Utente'!$Q$2:$Q$492,0)),"")</f>
        <v>5882</v>
      </c>
      <c r="C201" s="5" t="str">
        <f>IFERROR(INDEX('Output Utente'!$B$2:$B$492,MATCH(198,'Output Utente'!$Q$2:$Q$492,0)),"")</f>
        <v>A</v>
      </c>
      <c r="D201" s="5" t="str">
        <f>IFERROR(INDEX('Output Utente'!$C$2:$C$492,MATCH(198,'Output Utente'!$Q$2:$Q$492,0)),"")</f>
        <v>Mota</v>
      </c>
      <c r="E201" s="5" t="str">
        <f>IFERROR(INDEX('Input Giocatori 2026_27'!$D$3:$D$493,MATCH($B201,'Input Giocatori 2026_27'!$A$3:$A$493,0)),"")</f>
        <v>Monza</v>
      </c>
      <c r="F201" s="42">
        <f>IFERROR(INDEX('Output Utente'!$N$2:$N$492,MATCH(198,'Output Utente'!$Q$2:$Q$492,0)),"")</f>
        <v>5</v>
      </c>
      <c r="G201" s="42">
        <f>IFERROR(INDEX('Output Utente'!$O$2:$O$492,MATCH(198,'Output Utente'!$Q$2:$Q$492,0)),"")</f>
        <v>18</v>
      </c>
      <c r="H201" s="5" t="str">
        <f>IFERROR(INDEX('Output Utente'!$P$2:$P$492,MATCH(198,'Output Utente'!$Q$2:$Q$492,0)),"")</f>
        <v>Nella Media</v>
      </c>
      <c r="I201" s="42">
        <f>IFERROR(INDEX('Output Utente'!$F$2:$F$492,MATCH(198,'Output Utente'!$Q$2:$Q$492,0)),"")</f>
        <v>6</v>
      </c>
      <c r="J201" s="42">
        <f>IFERROR(INDEX('Output Utente'!$G$2:$G$492,MATCH(198,'Output Utente'!$Q$2:$Q$492,0)),"")</f>
        <v>4</v>
      </c>
      <c r="K201" s="42">
        <f>IFERROR(INDEX('Output Utente'!$H$2:$H$492,MATCH(198,'Output Utente'!$Q$2:$Q$492,0)),"")</f>
        <v>7</v>
      </c>
      <c r="L201" s="5" t="str">
        <f>IFERROR(INDEX('Output Utente'!$E$2:$E$492,MATCH(198,'Output Utente'!$Q$2:$Q$492,0)),"")</f>
        <v>NO</v>
      </c>
      <c r="M201" s="5" t="str">
        <f>IFERROR(INDEX('Output Utente'!$U$2:$U$492,MATCH(198,'Output Utente'!$Q$2:$Q$492,0)),"")</f>
        <v>OK</v>
      </c>
      <c r="N201" s="5" t="str">
        <f>IFERROR(INDEX('Output Utente'!$AE$2:$AE$492,MATCH(198,'Output Utente'!$Q$2:$Q$492,0)),"")</f>
        <v>🔴 Non aspettare</v>
      </c>
    </row>
    <row r="202" spans="1:14" ht="15" customHeight="1" x14ac:dyDescent="0.25">
      <c r="A202" s="41">
        <v>199</v>
      </c>
      <c r="B202" s="5">
        <f>IFERROR(INDEX('Output Utente'!$A$2:$A$492,MATCH(199,'Output Utente'!$Q$2:$Q$492,0)),"")</f>
        <v>6989</v>
      </c>
      <c r="C202" s="5" t="str">
        <f>IFERROR(INDEX('Output Utente'!$B$2:$B$492,MATCH(199,'Output Utente'!$Q$2:$Q$492,0)),"")</f>
        <v>D</v>
      </c>
      <c r="D202" s="5" t="str">
        <f>IFERROR(INDEX('Output Utente'!$C$2:$C$492,MATCH(199,'Output Utente'!$Q$2:$Q$492,0)),"")</f>
        <v>Tiago Gabriel</v>
      </c>
      <c r="E202" s="5" t="str">
        <f>IFERROR(INDEX('Input Giocatori 2026_27'!$D$3:$D$493,MATCH($B202,'Input Giocatori 2026_27'!$A$3:$A$493,0)),"")</f>
        <v>Lecce</v>
      </c>
      <c r="F202" s="42">
        <f>IFERROR(INDEX('Output Utente'!$N$2:$N$492,MATCH(199,'Output Utente'!$Q$2:$Q$492,0)),"")</f>
        <v>7</v>
      </c>
      <c r="G202" s="42">
        <f>IFERROR(INDEX('Output Utente'!$O$2:$O$492,MATCH(199,'Output Utente'!$Q$2:$Q$492,0)),"")</f>
        <v>17</v>
      </c>
      <c r="H202" s="5" t="str">
        <f>IFERROR(INDEX('Output Utente'!$P$2:$P$492,MATCH(199,'Output Utente'!$Q$2:$Q$492,0)),"")</f>
        <v>Buono</v>
      </c>
      <c r="I202" s="42">
        <f>IFERROR(INDEX('Output Utente'!$F$2:$F$492,MATCH(199,'Output Utente'!$Q$2:$Q$492,0)),"")</f>
        <v>3</v>
      </c>
      <c r="J202" s="42">
        <f>IFERROR(INDEX('Output Utente'!$G$2:$G$492,MATCH(199,'Output Utente'!$Q$2:$Q$492,0)),"")</f>
        <v>2</v>
      </c>
      <c r="K202" s="42">
        <f>IFERROR(INDEX('Output Utente'!$H$2:$H$492,MATCH(199,'Output Utente'!$Q$2:$Q$492,0)),"")</f>
        <v>3</v>
      </c>
      <c r="L202" s="5" t="str">
        <f>IFERROR(INDEX('Output Utente'!$E$2:$E$492,MATCH(199,'Output Utente'!$Q$2:$Q$492,0)),"")</f>
        <v>NO</v>
      </c>
      <c r="M202" s="5" t="str">
        <f>IFERROR(INDEX('Output Utente'!$U$2:$U$492,MATCH(199,'Output Utente'!$Q$2:$Q$492,0)),"")</f>
        <v>OK</v>
      </c>
      <c r="N202" s="5" t="str">
        <f>IFERROR(INDEX('Output Utente'!$AE$2:$AE$492,MATCH(199,'Output Utente'!$Q$2:$Q$492,0)),"")</f>
        <v>🔴 Non aspettare</v>
      </c>
    </row>
    <row r="203" spans="1:14" ht="15" customHeight="1" x14ac:dyDescent="0.25">
      <c r="A203" s="41">
        <v>200</v>
      </c>
      <c r="B203" s="5">
        <f>IFERROR(INDEX('Output Utente'!$A$2:$A$492,MATCH(200,'Output Utente'!$Q$2:$Q$492,0)),"")</f>
        <v>7219</v>
      </c>
      <c r="C203" s="5" t="str">
        <f>IFERROR(INDEX('Output Utente'!$B$2:$B$492,MATCH(200,'Output Utente'!$Q$2:$Q$492,0)),"")</f>
        <v>D</v>
      </c>
      <c r="D203" s="5" t="str">
        <f>IFERROR(INDEX('Output Utente'!$C$2:$C$492,MATCH(200,'Output Utente'!$Q$2:$Q$492,0)),"")</f>
        <v>Bernasconi</v>
      </c>
      <c r="E203" s="5" t="str">
        <f>IFERROR(INDEX('Input Giocatori 2026_27'!$D$3:$D$493,MATCH($B203,'Input Giocatori 2026_27'!$A$3:$A$493,0)),"")</f>
        <v>Atalanta</v>
      </c>
      <c r="F203" s="42">
        <f>IFERROR(INDEX('Output Utente'!$N$2:$N$492,MATCH(200,'Output Utente'!$Q$2:$Q$492,0)),"")</f>
        <v>6</v>
      </c>
      <c r="G203" s="42">
        <f>IFERROR(INDEX('Output Utente'!$O$2:$O$492,MATCH(200,'Output Utente'!$Q$2:$Q$492,0)),"")</f>
        <v>17</v>
      </c>
      <c r="H203" s="5" t="str">
        <f>IFERROR(INDEX('Output Utente'!$P$2:$P$492,MATCH(200,'Output Utente'!$Q$2:$Q$492,0)),"")</f>
        <v>Buono</v>
      </c>
      <c r="I203" s="42">
        <f>IFERROR(INDEX('Output Utente'!$F$2:$F$492,MATCH(200,'Output Utente'!$Q$2:$Q$492,0)),"")</f>
        <v>3</v>
      </c>
      <c r="J203" s="42">
        <f>IFERROR(INDEX('Output Utente'!$G$2:$G$492,MATCH(200,'Output Utente'!$Q$2:$Q$492,0)),"")</f>
        <v>2</v>
      </c>
      <c r="K203" s="42">
        <f>IFERROR(INDEX('Output Utente'!$H$2:$H$492,MATCH(200,'Output Utente'!$Q$2:$Q$492,0)),"")</f>
        <v>3</v>
      </c>
      <c r="L203" s="5" t="str">
        <f>IFERROR(INDEX('Output Utente'!$E$2:$E$492,MATCH(200,'Output Utente'!$Q$2:$Q$492,0)),"")</f>
        <v>NO</v>
      </c>
      <c r="M203" s="5" t="str">
        <f>IFERROR(INDEX('Output Utente'!$U$2:$U$492,MATCH(200,'Output Utente'!$Q$2:$Q$492,0)),"")</f>
        <v>OK</v>
      </c>
      <c r="N203" s="5" t="str">
        <f>IFERROR(INDEX('Output Utente'!$AE$2:$AE$492,MATCH(200,'Output Utente'!$Q$2:$Q$492,0)),"")</f>
        <v>🔴 Non aspettare</v>
      </c>
    </row>
    <row r="204" spans="1:14" ht="15" customHeight="1" x14ac:dyDescent="0.25">
      <c r="A204" s="41">
        <v>201</v>
      </c>
      <c r="B204" s="5">
        <f>IFERROR(INDEX('Output Utente'!$A$2:$A$492,MATCH(201,'Output Utente'!$Q$2:$Q$492,0)),"")</f>
        <v>5620</v>
      </c>
      <c r="C204" s="5" t="str">
        <f>IFERROR(INDEX('Output Utente'!$B$2:$B$492,MATCH(201,'Output Utente'!$Q$2:$Q$492,0)),"")</f>
        <v>D</v>
      </c>
      <c r="D204" s="5" t="str">
        <f>IFERROR(INDEX('Output Utente'!$C$2:$C$492,MATCH(201,'Output Utente'!$Q$2:$Q$492,0)),"")</f>
        <v>Tavares N.</v>
      </c>
      <c r="E204" s="5" t="str">
        <f>IFERROR(INDEX('Input Giocatori 2026_27'!$D$3:$D$493,MATCH($B204,'Input Giocatori 2026_27'!$A$3:$A$493,0)),"")</f>
        <v>Lazio</v>
      </c>
      <c r="F204" s="42">
        <f>IFERROR(INDEX('Output Utente'!$N$2:$N$492,MATCH(201,'Output Utente'!$Q$2:$Q$492,0)),"")</f>
        <v>6</v>
      </c>
      <c r="G204" s="42">
        <f>IFERROR(INDEX('Output Utente'!$O$2:$O$492,MATCH(201,'Output Utente'!$Q$2:$Q$492,0)),"")</f>
        <v>17</v>
      </c>
      <c r="H204" s="5" t="str">
        <f>IFERROR(INDEX('Output Utente'!$P$2:$P$492,MATCH(201,'Output Utente'!$Q$2:$Q$492,0)),"")</f>
        <v>Buono</v>
      </c>
      <c r="I204" s="42">
        <f>IFERROR(INDEX('Output Utente'!$F$2:$F$492,MATCH(201,'Output Utente'!$Q$2:$Q$492,0)),"")</f>
        <v>3</v>
      </c>
      <c r="J204" s="42">
        <f>IFERROR(INDEX('Output Utente'!$G$2:$G$492,MATCH(201,'Output Utente'!$Q$2:$Q$492,0)),"")</f>
        <v>2</v>
      </c>
      <c r="K204" s="42">
        <f>IFERROR(INDEX('Output Utente'!$H$2:$H$492,MATCH(201,'Output Utente'!$Q$2:$Q$492,0)),"")</f>
        <v>3</v>
      </c>
      <c r="L204" s="5" t="str">
        <f>IFERROR(INDEX('Output Utente'!$E$2:$E$492,MATCH(201,'Output Utente'!$Q$2:$Q$492,0)),"")</f>
        <v>NO</v>
      </c>
      <c r="M204" s="5" t="str">
        <f>IFERROR(INDEX('Output Utente'!$U$2:$U$492,MATCH(201,'Output Utente'!$Q$2:$Q$492,0)),"")</f>
        <v>OK</v>
      </c>
      <c r="N204" s="5" t="str">
        <f>IFERROR(INDEX('Output Utente'!$AE$2:$AE$492,MATCH(201,'Output Utente'!$Q$2:$Q$492,0)),"")</f>
        <v>🔴 Non aspettare</v>
      </c>
    </row>
    <row r="205" spans="1:14" ht="15" customHeight="1" x14ac:dyDescent="0.25">
      <c r="A205" s="41">
        <v>202</v>
      </c>
      <c r="B205" s="5">
        <f>IFERROR(INDEX('Output Utente'!$A$2:$A$492,MATCH(202,'Output Utente'!$Q$2:$Q$492,0)),"")</f>
        <v>6190</v>
      </c>
      <c r="C205" s="5" t="str">
        <f>IFERROR(INDEX('Output Utente'!$B$2:$B$492,MATCH(202,'Output Utente'!$Q$2:$Q$492,0)),"")</f>
        <v>C</v>
      </c>
      <c r="D205" s="5" t="str">
        <f>IFERROR(INDEX('Output Utente'!$C$2:$C$492,MATCH(202,'Output Utente'!$Q$2:$Q$492,0)),"")</f>
        <v>Pisilli</v>
      </c>
      <c r="E205" s="5" t="str">
        <f>IFERROR(INDEX('Input Giocatori 2026_27'!$D$3:$D$493,MATCH($B205,'Input Giocatori 2026_27'!$A$3:$A$493,0)),"")</f>
        <v>Roma</v>
      </c>
      <c r="F205" s="42">
        <f>IFERROR(INDEX('Output Utente'!$N$2:$N$492,MATCH(202,'Output Utente'!$Q$2:$Q$492,0)),"")</f>
        <v>5</v>
      </c>
      <c r="G205" s="42">
        <f>IFERROR(INDEX('Output Utente'!$O$2:$O$492,MATCH(202,'Output Utente'!$Q$2:$Q$492,0)),"")</f>
        <v>17</v>
      </c>
      <c r="H205" s="5" t="str">
        <f>IFERROR(INDEX('Output Utente'!$P$2:$P$492,MATCH(202,'Output Utente'!$Q$2:$Q$492,0)),"")</f>
        <v>Nella Media</v>
      </c>
      <c r="I205" s="42">
        <f>IFERROR(INDEX('Output Utente'!$F$2:$F$492,MATCH(202,'Output Utente'!$Q$2:$Q$492,0)),"")</f>
        <v>3</v>
      </c>
      <c r="J205" s="42">
        <f>IFERROR(INDEX('Output Utente'!$G$2:$G$492,MATCH(202,'Output Utente'!$Q$2:$Q$492,0)),"")</f>
        <v>2</v>
      </c>
      <c r="K205" s="42">
        <f>IFERROR(INDEX('Output Utente'!$H$2:$H$492,MATCH(202,'Output Utente'!$Q$2:$Q$492,0)),"")</f>
        <v>3</v>
      </c>
      <c r="L205" s="5" t="str">
        <f>IFERROR(INDEX('Output Utente'!$E$2:$E$492,MATCH(202,'Output Utente'!$Q$2:$Q$492,0)),"")</f>
        <v>NO</v>
      </c>
      <c r="M205" s="5" t="str">
        <f>IFERROR(INDEX('Output Utente'!$U$2:$U$492,MATCH(202,'Output Utente'!$Q$2:$Q$492,0)),"")</f>
        <v>OK</v>
      </c>
      <c r="N205" s="5" t="str">
        <f>IFERROR(INDEX('Output Utente'!$AE$2:$AE$492,MATCH(202,'Output Utente'!$Q$2:$Q$492,0)),"")</f>
        <v>🔴 Non aspettare</v>
      </c>
    </row>
    <row r="206" spans="1:14" ht="15" customHeight="1" x14ac:dyDescent="0.25">
      <c r="A206" s="41">
        <v>203</v>
      </c>
      <c r="B206" s="5">
        <f>IFERROR(INDEX('Output Utente'!$A$2:$A$492,MATCH(203,'Output Utente'!$Q$2:$Q$492,0)),"")</f>
        <v>6556</v>
      </c>
      <c r="C206" s="5" t="str">
        <f>IFERROR(INDEX('Output Utente'!$B$2:$B$492,MATCH(203,'Output Utente'!$Q$2:$Q$492,0)),"")</f>
        <v>A</v>
      </c>
      <c r="D206" s="5" t="str">
        <f>IFERROR(INDEX('Output Utente'!$C$2:$C$492,MATCH(203,'Output Utente'!$Q$2:$Q$492,0)),"")</f>
        <v>Noslin</v>
      </c>
      <c r="E206" s="5" t="str">
        <f>IFERROR(INDEX('Input Giocatori 2026_27'!$D$3:$D$493,MATCH($B206,'Input Giocatori 2026_27'!$A$3:$A$493,0)),"")</f>
        <v>Lazio</v>
      </c>
      <c r="F206" s="42">
        <f>IFERROR(INDEX('Output Utente'!$N$2:$N$492,MATCH(203,'Output Utente'!$Q$2:$Q$492,0)),"")</f>
        <v>6</v>
      </c>
      <c r="G206" s="42">
        <f>IFERROR(INDEX('Output Utente'!$O$2:$O$492,MATCH(203,'Output Utente'!$Q$2:$Q$492,0)),"")</f>
        <v>17</v>
      </c>
      <c r="H206" s="5" t="str">
        <f>IFERROR(INDEX('Output Utente'!$P$2:$P$492,MATCH(203,'Output Utente'!$Q$2:$Q$492,0)),"")</f>
        <v>Scommessa/Riserva</v>
      </c>
      <c r="I206" s="42">
        <f>IFERROR(INDEX('Output Utente'!$F$2:$F$492,MATCH(203,'Output Utente'!$Q$2:$Q$492,0)),"")</f>
        <v>5</v>
      </c>
      <c r="J206" s="42">
        <f>IFERROR(INDEX('Output Utente'!$G$2:$G$492,MATCH(203,'Output Utente'!$Q$2:$Q$492,0)),"")</f>
        <v>3</v>
      </c>
      <c r="K206" s="42">
        <f>IFERROR(INDEX('Output Utente'!$H$2:$H$492,MATCH(203,'Output Utente'!$Q$2:$Q$492,0)),"")</f>
        <v>6</v>
      </c>
      <c r="L206" s="5" t="str">
        <f>IFERROR(INDEX('Output Utente'!$E$2:$E$492,MATCH(203,'Output Utente'!$Q$2:$Q$492,0)),"")</f>
        <v>NO</v>
      </c>
      <c r="M206" s="5" t="str">
        <f>IFERROR(INDEX('Output Utente'!$U$2:$U$492,MATCH(203,'Output Utente'!$Q$2:$Q$492,0)),"")</f>
        <v>OK</v>
      </c>
      <c r="N206" s="5" t="str">
        <f>IFERROR(INDEX('Output Utente'!$AE$2:$AE$492,MATCH(203,'Output Utente'!$Q$2:$Q$492,0)),"")</f>
        <v>🔴 Non aspettare</v>
      </c>
    </row>
    <row r="207" spans="1:14" ht="15" customHeight="1" x14ac:dyDescent="0.25">
      <c r="A207" s="41">
        <v>204</v>
      </c>
      <c r="B207" s="5">
        <f>IFERROR(INDEX('Output Utente'!$A$2:$A$492,MATCH(204,'Output Utente'!$Q$2:$Q$492,0)),"")</f>
        <v>6046</v>
      </c>
      <c r="C207" s="5" t="str">
        <f>IFERROR(INDEX('Output Utente'!$B$2:$B$492,MATCH(204,'Output Utente'!$Q$2:$Q$492,0)),"")</f>
        <v>D</v>
      </c>
      <c r="D207" s="5" t="str">
        <f>IFERROR(INDEX('Output Utente'!$C$2:$C$492,MATCH(204,'Output Utente'!$Q$2:$Q$492,0)),"")</f>
        <v>Hien</v>
      </c>
      <c r="E207" s="5" t="str">
        <f>IFERROR(INDEX('Input Giocatori 2026_27'!$D$3:$D$493,MATCH($B207,'Input Giocatori 2026_27'!$A$3:$A$493,0)),"")</f>
        <v>Atalanta</v>
      </c>
      <c r="F207" s="42">
        <f>IFERROR(INDEX('Output Utente'!$N$2:$N$492,MATCH(204,'Output Utente'!$Q$2:$Q$492,0)),"")</f>
        <v>8</v>
      </c>
      <c r="G207" s="42">
        <f>IFERROR(INDEX('Output Utente'!$O$2:$O$492,MATCH(204,'Output Utente'!$Q$2:$Q$492,0)),"")</f>
        <v>16</v>
      </c>
      <c r="H207" s="5" t="str">
        <f>IFERROR(INDEX('Output Utente'!$P$2:$P$492,MATCH(204,'Output Utente'!$Q$2:$Q$492,0)),"")</f>
        <v>Nella Media</v>
      </c>
      <c r="I207" s="42">
        <f>IFERROR(INDEX('Output Utente'!$F$2:$F$492,MATCH(204,'Output Utente'!$Q$2:$Q$492,0)),"")</f>
        <v>3</v>
      </c>
      <c r="J207" s="42">
        <f>IFERROR(INDEX('Output Utente'!$G$2:$G$492,MATCH(204,'Output Utente'!$Q$2:$Q$492,0)),"")</f>
        <v>2</v>
      </c>
      <c r="K207" s="42">
        <f>IFERROR(INDEX('Output Utente'!$H$2:$H$492,MATCH(204,'Output Utente'!$Q$2:$Q$492,0)),"")</f>
        <v>3</v>
      </c>
      <c r="L207" s="5" t="str">
        <f>IFERROR(INDEX('Output Utente'!$E$2:$E$492,MATCH(204,'Output Utente'!$Q$2:$Q$492,0)),"")</f>
        <v>NO</v>
      </c>
      <c r="M207" s="5" t="str">
        <f>IFERROR(INDEX('Output Utente'!$U$2:$U$492,MATCH(204,'Output Utente'!$Q$2:$Q$492,0)),"")</f>
        <v>OK</v>
      </c>
      <c r="N207" s="5" t="str">
        <f>IFERROR(INDEX('Output Utente'!$AE$2:$AE$492,MATCH(204,'Output Utente'!$Q$2:$Q$492,0)),"")</f>
        <v>🔴 Non aspettare</v>
      </c>
    </row>
    <row r="208" spans="1:14" ht="15" customHeight="1" x14ac:dyDescent="0.25">
      <c r="A208" s="41">
        <v>205</v>
      </c>
      <c r="B208" s="5">
        <f>IFERROR(INDEX('Output Utente'!$A$2:$A$492,MATCH(205,'Output Utente'!$Q$2:$Q$492,0)),"")</f>
        <v>787</v>
      </c>
      <c r="C208" s="5" t="str">
        <f>IFERROR(INDEX('Output Utente'!$B$2:$B$492,MATCH(205,'Output Utente'!$Q$2:$Q$492,0)),"")</f>
        <v>D</v>
      </c>
      <c r="D208" s="5" t="str">
        <f>IFERROR(INDEX('Output Utente'!$C$2:$C$492,MATCH(205,'Output Utente'!$Q$2:$Q$492,0)),"")</f>
        <v>Djimsiti</v>
      </c>
      <c r="E208" s="5" t="str">
        <f>IFERROR(INDEX('Input Giocatori 2026_27'!$D$3:$D$493,MATCH($B208,'Input Giocatori 2026_27'!$A$3:$A$493,0)),"")</f>
        <v>Atalanta</v>
      </c>
      <c r="F208" s="42">
        <f>IFERROR(INDEX('Output Utente'!$N$2:$N$492,MATCH(205,'Output Utente'!$Q$2:$Q$492,0)),"")</f>
        <v>7</v>
      </c>
      <c r="G208" s="42">
        <f>IFERROR(INDEX('Output Utente'!$O$2:$O$492,MATCH(205,'Output Utente'!$Q$2:$Q$492,0)),"")</f>
        <v>16</v>
      </c>
      <c r="H208" s="5" t="str">
        <f>IFERROR(INDEX('Output Utente'!$P$2:$P$492,MATCH(205,'Output Utente'!$Q$2:$Q$492,0)),"")</f>
        <v>Nella Media</v>
      </c>
      <c r="I208" s="42">
        <f>IFERROR(INDEX('Output Utente'!$F$2:$F$492,MATCH(205,'Output Utente'!$Q$2:$Q$492,0)),"")</f>
        <v>3</v>
      </c>
      <c r="J208" s="42">
        <f>IFERROR(INDEX('Output Utente'!$G$2:$G$492,MATCH(205,'Output Utente'!$Q$2:$Q$492,0)),"")</f>
        <v>2</v>
      </c>
      <c r="K208" s="42">
        <f>IFERROR(INDEX('Output Utente'!$H$2:$H$492,MATCH(205,'Output Utente'!$Q$2:$Q$492,0)),"")</f>
        <v>3</v>
      </c>
      <c r="L208" s="5" t="str">
        <f>IFERROR(INDEX('Output Utente'!$E$2:$E$492,MATCH(205,'Output Utente'!$Q$2:$Q$492,0)),"")</f>
        <v>NO</v>
      </c>
      <c r="M208" s="5" t="str">
        <f>IFERROR(INDEX('Output Utente'!$U$2:$U$492,MATCH(205,'Output Utente'!$Q$2:$Q$492,0)),"")</f>
        <v>OK</v>
      </c>
      <c r="N208" s="5" t="str">
        <f>IFERROR(INDEX('Output Utente'!$AE$2:$AE$492,MATCH(205,'Output Utente'!$Q$2:$Q$492,0)),"")</f>
        <v>🔴 Non aspettare</v>
      </c>
    </row>
    <row r="209" spans="1:14" ht="15" customHeight="1" x14ac:dyDescent="0.25">
      <c r="A209" s="41">
        <v>206</v>
      </c>
      <c r="B209" s="5">
        <f>IFERROR(INDEX('Output Utente'!$A$2:$A$492,MATCH(206,'Output Utente'!$Q$2:$Q$492,0)),"")</f>
        <v>6916</v>
      </c>
      <c r="C209" s="5" t="str">
        <f>IFERROR(INDEX('Output Utente'!$B$2:$B$492,MATCH(206,'Output Utente'!$Q$2:$Q$492,0)),"")</f>
        <v>D</v>
      </c>
      <c r="D209" s="5" t="str">
        <f>IFERROR(INDEX('Output Utente'!$C$2:$C$492,MATCH(206,'Output Utente'!$Q$2:$Q$492,0)),"")</f>
        <v>Ahanor</v>
      </c>
      <c r="E209" s="5" t="str">
        <f>IFERROR(INDEX('Input Giocatori 2026_27'!$D$3:$D$493,MATCH($B209,'Input Giocatori 2026_27'!$A$3:$A$493,0)),"")</f>
        <v>Atalanta</v>
      </c>
      <c r="F209" s="42">
        <f>IFERROR(INDEX('Output Utente'!$N$2:$N$492,MATCH(206,'Output Utente'!$Q$2:$Q$492,0)),"")</f>
        <v>6</v>
      </c>
      <c r="G209" s="42">
        <f>IFERROR(INDEX('Output Utente'!$O$2:$O$492,MATCH(206,'Output Utente'!$Q$2:$Q$492,0)),"")</f>
        <v>16</v>
      </c>
      <c r="H209" s="5" t="str">
        <f>IFERROR(INDEX('Output Utente'!$P$2:$P$492,MATCH(206,'Output Utente'!$Q$2:$Q$492,0)),"")</f>
        <v>Nella Media</v>
      </c>
      <c r="I209" s="42">
        <f>IFERROR(INDEX('Output Utente'!$F$2:$F$492,MATCH(206,'Output Utente'!$Q$2:$Q$492,0)),"")</f>
        <v>3</v>
      </c>
      <c r="J209" s="42">
        <f>IFERROR(INDEX('Output Utente'!$G$2:$G$492,MATCH(206,'Output Utente'!$Q$2:$Q$492,0)),"")</f>
        <v>2</v>
      </c>
      <c r="K209" s="42">
        <f>IFERROR(INDEX('Output Utente'!$H$2:$H$492,MATCH(206,'Output Utente'!$Q$2:$Q$492,0)),"")</f>
        <v>3</v>
      </c>
      <c r="L209" s="5" t="str">
        <f>IFERROR(INDEX('Output Utente'!$E$2:$E$492,MATCH(206,'Output Utente'!$Q$2:$Q$492,0)),"")</f>
        <v>NO</v>
      </c>
      <c r="M209" s="5" t="str">
        <f>IFERROR(INDEX('Output Utente'!$U$2:$U$492,MATCH(206,'Output Utente'!$Q$2:$Q$492,0)),"")</f>
        <v>OK</v>
      </c>
      <c r="N209" s="5" t="str">
        <f>IFERROR(INDEX('Output Utente'!$AE$2:$AE$492,MATCH(206,'Output Utente'!$Q$2:$Q$492,0)),"")</f>
        <v>🔴 Non aspettare</v>
      </c>
    </row>
    <row r="210" spans="1:14" ht="15" customHeight="1" x14ac:dyDescent="0.25">
      <c r="A210" s="41">
        <v>207</v>
      </c>
      <c r="B210" s="5">
        <f>IFERROR(INDEX('Output Utente'!$A$2:$A$492,MATCH(207,'Output Utente'!$Q$2:$Q$492,0)),"")</f>
        <v>6202</v>
      </c>
      <c r="C210" s="5" t="str">
        <f>IFERROR(INDEX('Output Utente'!$B$2:$B$492,MATCH(207,'Output Utente'!$Q$2:$Q$492,0)),"")</f>
        <v>D</v>
      </c>
      <c r="D210" s="5" t="str">
        <f>IFERROR(INDEX('Output Utente'!$C$2:$C$492,MATCH(207,'Output Utente'!$Q$2:$Q$492,0)),"")</f>
        <v>Beukema</v>
      </c>
      <c r="E210" s="5" t="str">
        <f>IFERROR(INDEX('Input Giocatori 2026_27'!$D$3:$D$493,MATCH($B210,'Input Giocatori 2026_27'!$A$3:$A$493,0)),"")</f>
        <v>Napoli</v>
      </c>
      <c r="F210" s="42">
        <f>IFERROR(INDEX('Output Utente'!$N$2:$N$492,MATCH(207,'Output Utente'!$Q$2:$Q$492,0)),"")</f>
        <v>6</v>
      </c>
      <c r="G210" s="42">
        <f>IFERROR(INDEX('Output Utente'!$O$2:$O$492,MATCH(207,'Output Utente'!$Q$2:$Q$492,0)),"")</f>
        <v>16</v>
      </c>
      <c r="H210" s="5" t="str">
        <f>IFERROR(INDEX('Output Utente'!$P$2:$P$492,MATCH(207,'Output Utente'!$Q$2:$Q$492,0)),"")</f>
        <v>Nella Media</v>
      </c>
      <c r="I210" s="42">
        <f>IFERROR(INDEX('Output Utente'!$F$2:$F$492,MATCH(207,'Output Utente'!$Q$2:$Q$492,0)),"")</f>
        <v>3</v>
      </c>
      <c r="J210" s="42">
        <f>IFERROR(INDEX('Output Utente'!$G$2:$G$492,MATCH(207,'Output Utente'!$Q$2:$Q$492,0)),"")</f>
        <v>2</v>
      </c>
      <c r="K210" s="42">
        <f>IFERROR(INDEX('Output Utente'!$H$2:$H$492,MATCH(207,'Output Utente'!$Q$2:$Q$492,0)),"")</f>
        <v>3</v>
      </c>
      <c r="L210" s="5" t="str">
        <f>IFERROR(INDEX('Output Utente'!$E$2:$E$492,MATCH(207,'Output Utente'!$Q$2:$Q$492,0)),"")</f>
        <v>NO</v>
      </c>
      <c r="M210" s="5" t="str">
        <f>IFERROR(INDEX('Output Utente'!$U$2:$U$492,MATCH(207,'Output Utente'!$Q$2:$Q$492,0)),"")</f>
        <v>OK</v>
      </c>
      <c r="N210" s="5" t="str">
        <f>IFERROR(INDEX('Output Utente'!$AE$2:$AE$492,MATCH(207,'Output Utente'!$Q$2:$Q$492,0)),"")</f>
        <v>🔴 Non aspettare</v>
      </c>
    </row>
    <row r="211" spans="1:14" ht="15" customHeight="1" x14ac:dyDescent="0.25">
      <c r="A211" s="41">
        <v>208</v>
      </c>
      <c r="B211" s="5">
        <f>IFERROR(INDEX('Output Utente'!$A$2:$A$492,MATCH(208,'Output Utente'!$Q$2:$Q$492,0)),"")</f>
        <v>6986</v>
      </c>
      <c r="C211" s="5" t="str">
        <f>IFERROR(INDEX('Output Utente'!$B$2:$B$492,MATCH(208,'Output Utente'!$Q$2:$Q$492,0)),"")</f>
        <v>D</v>
      </c>
      <c r="D211" s="5" t="str">
        <f>IFERROR(INDEX('Output Utente'!$C$2:$C$492,MATCH(208,'Output Utente'!$Q$2:$Q$492,0)),"")</f>
        <v>Rensch</v>
      </c>
      <c r="E211" s="5" t="str">
        <f>IFERROR(INDEX('Input Giocatori 2026_27'!$D$3:$D$493,MATCH($B211,'Input Giocatori 2026_27'!$A$3:$A$493,0)),"")</f>
        <v>Roma</v>
      </c>
      <c r="F211" s="42">
        <f>IFERROR(INDEX('Output Utente'!$N$2:$N$492,MATCH(208,'Output Utente'!$Q$2:$Q$492,0)),"")</f>
        <v>5</v>
      </c>
      <c r="G211" s="42">
        <f>IFERROR(INDEX('Output Utente'!$O$2:$O$492,MATCH(208,'Output Utente'!$Q$2:$Q$492,0)),"")</f>
        <v>16</v>
      </c>
      <c r="H211" s="5" t="str">
        <f>IFERROR(INDEX('Output Utente'!$P$2:$P$492,MATCH(208,'Output Utente'!$Q$2:$Q$492,0)),"")</f>
        <v>Nella Media</v>
      </c>
      <c r="I211" s="42">
        <f>IFERROR(INDEX('Output Utente'!$F$2:$F$492,MATCH(208,'Output Utente'!$Q$2:$Q$492,0)),"")</f>
        <v>3</v>
      </c>
      <c r="J211" s="42">
        <f>IFERROR(INDEX('Output Utente'!$G$2:$G$492,MATCH(208,'Output Utente'!$Q$2:$Q$492,0)),"")</f>
        <v>2</v>
      </c>
      <c r="K211" s="42">
        <f>IFERROR(INDEX('Output Utente'!$H$2:$H$492,MATCH(208,'Output Utente'!$Q$2:$Q$492,0)),"")</f>
        <v>3</v>
      </c>
      <c r="L211" s="5" t="str">
        <f>IFERROR(INDEX('Output Utente'!$E$2:$E$492,MATCH(208,'Output Utente'!$Q$2:$Q$492,0)),"")</f>
        <v>NO</v>
      </c>
      <c r="M211" s="5" t="str">
        <f>IFERROR(INDEX('Output Utente'!$U$2:$U$492,MATCH(208,'Output Utente'!$Q$2:$Q$492,0)),"")</f>
        <v>OK</v>
      </c>
      <c r="N211" s="5" t="str">
        <f>IFERROR(INDEX('Output Utente'!$AE$2:$AE$492,MATCH(208,'Output Utente'!$Q$2:$Q$492,0)),"")</f>
        <v>🔴 Non aspettare</v>
      </c>
    </row>
    <row r="212" spans="1:14" ht="15" customHeight="1" x14ac:dyDescent="0.25">
      <c r="A212" s="41">
        <v>209</v>
      </c>
      <c r="B212" s="5">
        <f>IFERROR(INDEX('Output Utente'!$A$2:$A$492,MATCH(209,'Output Utente'!$Q$2:$Q$492,0)),"")</f>
        <v>4459</v>
      </c>
      <c r="C212" s="5" t="str">
        <f>IFERROR(INDEX('Output Utente'!$B$2:$B$492,MATCH(209,'Output Utente'!$Q$2:$Q$492,0)),"")</f>
        <v>C</v>
      </c>
      <c r="D212" s="5" t="str">
        <f>IFERROR(INDEX('Output Utente'!$C$2:$C$492,MATCH(209,'Output Utente'!$Q$2:$Q$492,0)),"")</f>
        <v>Rovella</v>
      </c>
      <c r="E212" s="5" t="str">
        <f>IFERROR(INDEX('Input Giocatori 2026_27'!$D$3:$D$493,MATCH($B212,'Input Giocatori 2026_27'!$A$3:$A$493,0)),"")</f>
        <v>Lazio</v>
      </c>
      <c r="F212" s="42">
        <f>IFERROR(INDEX('Output Utente'!$N$2:$N$492,MATCH(209,'Output Utente'!$Q$2:$Q$492,0)),"")</f>
        <v>6</v>
      </c>
      <c r="G212" s="42">
        <f>IFERROR(INDEX('Output Utente'!$O$2:$O$492,MATCH(209,'Output Utente'!$Q$2:$Q$492,0)),"")</f>
        <v>16</v>
      </c>
      <c r="H212" s="5" t="str">
        <f>IFERROR(INDEX('Output Utente'!$P$2:$P$492,MATCH(209,'Output Utente'!$Q$2:$Q$492,0)),"")</f>
        <v>Nella Media</v>
      </c>
      <c r="I212" s="42">
        <f>IFERROR(INDEX('Output Utente'!$F$2:$F$492,MATCH(209,'Output Utente'!$Q$2:$Q$492,0)),"")</f>
        <v>2</v>
      </c>
      <c r="J212" s="42">
        <f>IFERROR(INDEX('Output Utente'!$G$2:$G$492,MATCH(209,'Output Utente'!$Q$2:$Q$492,0)),"")</f>
        <v>1</v>
      </c>
      <c r="K212" s="42">
        <f>IFERROR(INDEX('Output Utente'!$H$2:$H$492,MATCH(209,'Output Utente'!$Q$2:$Q$492,0)),"")</f>
        <v>2</v>
      </c>
      <c r="L212" s="5" t="str">
        <f>IFERROR(INDEX('Output Utente'!$E$2:$E$492,MATCH(209,'Output Utente'!$Q$2:$Q$492,0)),"")</f>
        <v>NO</v>
      </c>
      <c r="M212" s="5" t="str">
        <f>IFERROR(INDEX('Output Utente'!$U$2:$U$492,MATCH(209,'Output Utente'!$Q$2:$Q$492,0)),"")</f>
        <v>OK</v>
      </c>
      <c r="N212" s="5" t="str">
        <f>IFERROR(INDEX('Output Utente'!$AE$2:$AE$492,MATCH(209,'Output Utente'!$Q$2:$Q$492,0)),"")</f>
        <v>🔴 Non aspettare</v>
      </c>
    </row>
    <row r="213" spans="1:14" ht="15" customHeight="1" x14ac:dyDescent="0.25">
      <c r="A213" s="41">
        <v>210</v>
      </c>
      <c r="B213" s="5">
        <f>IFERROR(INDEX('Output Utente'!$A$2:$A$492,MATCH(210,'Output Utente'!$Q$2:$Q$492,0)),"")</f>
        <v>6593</v>
      </c>
      <c r="C213" s="5" t="str">
        <f>IFERROR(INDEX('Output Utente'!$B$2:$B$492,MATCH(210,'Output Utente'!$Q$2:$Q$492,0)),"")</f>
        <v>C</v>
      </c>
      <c r="D213" s="5" t="str">
        <f>IFERROR(INDEX('Output Utente'!$C$2:$C$492,MATCH(210,'Output Utente'!$Q$2:$Q$492,0)),"")</f>
        <v>Akinsanmiro</v>
      </c>
      <c r="E213" s="5" t="str">
        <f>IFERROR(INDEX('Input Giocatori 2026_27'!$D$3:$D$493,MATCH($B213,'Input Giocatori 2026_27'!$A$3:$A$493,0)),"")</f>
        <v>Monza</v>
      </c>
      <c r="F213" s="42">
        <f>IFERROR(INDEX('Output Utente'!$N$2:$N$492,MATCH(210,'Output Utente'!$Q$2:$Q$492,0)),"")</f>
        <v>6</v>
      </c>
      <c r="G213" s="42">
        <f>IFERROR(INDEX('Output Utente'!$O$2:$O$492,MATCH(210,'Output Utente'!$Q$2:$Q$492,0)),"")</f>
        <v>16</v>
      </c>
      <c r="H213" s="5" t="str">
        <f>IFERROR(INDEX('Output Utente'!$P$2:$P$492,MATCH(210,'Output Utente'!$Q$2:$Q$492,0)),"")</f>
        <v>Nella Media</v>
      </c>
      <c r="I213" s="42">
        <f>IFERROR(INDEX('Output Utente'!$F$2:$F$492,MATCH(210,'Output Utente'!$Q$2:$Q$492,0)),"")</f>
        <v>2</v>
      </c>
      <c r="J213" s="42">
        <f>IFERROR(INDEX('Output Utente'!$G$2:$G$492,MATCH(210,'Output Utente'!$Q$2:$Q$492,0)),"")</f>
        <v>1</v>
      </c>
      <c r="K213" s="42">
        <f>IFERROR(INDEX('Output Utente'!$H$2:$H$492,MATCH(210,'Output Utente'!$Q$2:$Q$492,0)),"")</f>
        <v>2</v>
      </c>
      <c r="L213" s="5" t="str">
        <f>IFERROR(INDEX('Output Utente'!$E$2:$E$492,MATCH(210,'Output Utente'!$Q$2:$Q$492,0)),"")</f>
        <v>NO</v>
      </c>
      <c r="M213" s="5" t="str">
        <f>IFERROR(INDEX('Output Utente'!$U$2:$U$492,MATCH(210,'Output Utente'!$Q$2:$Q$492,0)),"")</f>
        <v>OK</v>
      </c>
      <c r="N213" s="5" t="str">
        <f>IFERROR(INDEX('Output Utente'!$AE$2:$AE$492,MATCH(210,'Output Utente'!$Q$2:$Q$492,0)),"")</f>
        <v>🔴 Non aspettare</v>
      </c>
    </row>
    <row r="214" spans="1:14" ht="15" customHeight="1" x14ac:dyDescent="0.25">
      <c r="A214" s="41">
        <v>211</v>
      </c>
      <c r="B214" s="5">
        <f>IFERROR(INDEX('Output Utente'!$A$2:$A$492,MATCH(211,'Output Utente'!$Q$2:$Q$492,0)),"")</f>
        <v>6015</v>
      </c>
      <c r="C214" s="5" t="str">
        <f>IFERROR(INDEX('Output Utente'!$B$2:$B$492,MATCH(211,'Output Utente'!$Q$2:$Q$492,0)),"")</f>
        <v>C</v>
      </c>
      <c r="D214" s="5" t="str">
        <f>IFERROR(INDEX('Output Utente'!$C$2:$C$492,MATCH(211,'Output Utente'!$Q$2:$Q$492,0)),"")</f>
        <v>Berisha M.</v>
      </c>
      <c r="E214" s="5" t="str">
        <f>IFERROR(INDEX('Input Giocatori 2026_27'!$D$3:$D$493,MATCH($B214,'Input Giocatori 2026_27'!$A$3:$A$493,0)),"")</f>
        <v>Lecce</v>
      </c>
      <c r="F214" s="42">
        <f>IFERROR(INDEX('Output Utente'!$N$2:$N$492,MATCH(211,'Output Utente'!$Q$2:$Q$492,0)),"")</f>
        <v>5</v>
      </c>
      <c r="G214" s="42">
        <f>IFERROR(INDEX('Output Utente'!$O$2:$O$492,MATCH(211,'Output Utente'!$Q$2:$Q$492,0)),"")</f>
        <v>16</v>
      </c>
      <c r="H214" s="5" t="str">
        <f>IFERROR(INDEX('Output Utente'!$P$2:$P$492,MATCH(211,'Output Utente'!$Q$2:$Q$492,0)),"")</f>
        <v>Nella Media</v>
      </c>
      <c r="I214" s="42">
        <f>IFERROR(INDEX('Output Utente'!$F$2:$F$492,MATCH(211,'Output Utente'!$Q$2:$Q$492,0)),"")</f>
        <v>2</v>
      </c>
      <c r="J214" s="42">
        <f>IFERROR(INDEX('Output Utente'!$G$2:$G$492,MATCH(211,'Output Utente'!$Q$2:$Q$492,0)),"")</f>
        <v>1</v>
      </c>
      <c r="K214" s="42">
        <f>IFERROR(INDEX('Output Utente'!$H$2:$H$492,MATCH(211,'Output Utente'!$Q$2:$Q$492,0)),"")</f>
        <v>2</v>
      </c>
      <c r="L214" s="5" t="str">
        <f>IFERROR(INDEX('Output Utente'!$E$2:$E$492,MATCH(211,'Output Utente'!$Q$2:$Q$492,0)),"")</f>
        <v>NO</v>
      </c>
      <c r="M214" s="5" t="str">
        <f>IFERROR(INDEX('Output Utente'!$U$2:$U$492,MATCH(211,'Output Utente'!$Q$2:$Q$492,0)),"")</f>
        <v>OK</v>
      </c>
      <c r="N214" s="5" t="str">
        <f>IFERROR(INDEX('Output Utente'!$AE$2:$AE$492,MATCH(211,'Output Utente'!$Q$2:$Q$492,0)),"")</f>
        <v>🔴 Non aspettare</v>
      </c>
    </row>
    <row r="215" spans="1:14" ht="15" customHeight="1" x14ac:dyDescent="0.25">
      <c r="A215" s="41">
        <v>212</v>
      </c>
      <c r="B215" s="5">
        <f>IFERROR(INDEX('Output Utente'!$A$2:$A$492,MATCH(212,'Output Utente'!$Q$2:$Q$492,0)),"")</f>
        <v>7036</v>
      </c>
      <c r="C215" s="5" t="str">
        <f>IFERROR(INDEX('Output Utente'!$B$2:$B$492,MATCH(212,'Output Utente'!$Q$2:$Q$492,0)),"")</f>
        <v>C</v>
      </c>
      <c r="D215" s="5" t="str">
        <f>IFERROR(INDEX('Output Utente'!$C$2:$C$492,MATCH(212,'Output Utente'!$Q$2:$Q$492,0)),"")</f>
        <v>Bakola</v>
      </c>
      <c r="E215" s="5" t="str">
        <f>IFERROR(INDEX('Input Giocatori 2026_27'!$D$3:$D$493,MATCH($B215,'Input Giocatori 2026_27'!$A$3:$A$493,0)),"")</f>
        <v>Sassuolo</v>
      </c>
      <c r="F215" s="42">
        <f>IFERROR(INDEX('Output Utente'!$N$2:$N$492,MATCH(212,'Output Utente'!$Q$2:$Q$492,0)),"")</f>
        <v>5</v>
      </c>
      <c r="G215" s="42">
        <f>IFERROR(INDEX('Output Utente'!$O$2:$O$492,MATCH(212,'Output Utente'!$Q$2:$Q$492,0)),"")</f>
        <v>16</v>
      </c>
      <c r="H215" s="5" t="str">
        <f>IFERROR(INDEX('Output Utente'!$P$2:$P$492,MATCH(212,'Output Utente'!$Q$2:$Q$492,0)),"")</f>
        <v>Nella Media</v>
      </c>
      <c r="I215" s="42">
        <f>IFERROR(INDEX('Output Utente'!$F$2:$F$492,MATCH(212,'Output Utente'!$Q$2:$Q$492,0)),"")</f>
        <v>2</v>
      </c>
      <c r="J215" s="42">
        <f>IFERROR(INDEX('Output Utente'!$G$2:$G$492,MATCH(212,'Output Utente'!$Q$2:$Q$492,0)),"")</f>
        <v>1</v>
      </c>
      <c r="K215" s="42">
        <f>IFERROR(INDEX('Output Utente'!$H$2:$H$492,MATCH(212,'Output Utente'!$Q$2:$Q$492,0)),"")</f>
        <v>2</v>
      </c>
      <c r="L215" s="5" t="str">
        <f>IFERROR(INDEX('Output Utente'!$E$2:$E$492,MATCH(212,'Output Utente'!$Q$2:$Q$492,0)),"")</f>
        <v>NO</v>
      </c>
      <c r="M215" s="5" t="str">
        <f>IFERROR(INDEX('Output Utente'!$U$2:$U$492,MATCH(212,'Output Utente'!$Q$2:$Q$492,0)),"")</f>
        <v>OK</v>
      </c>
      <c r="N215" s="5" t="str">
        <f>IFERROR(INDEX('Output Utente'!$AE$2:$AE$492,MATCH(212,'Output Utente'!$Q$2:$Q$492,0)),"")</f>
        <v>🔴 Non aspettare</v>
      </c>
    </row>
    <row r="216" spans="1:14" ht="15" customHeight="1" x14ac:dyDescent="0.25">
      <c r="A216" s="41">
        <v>213</v>
      </c>
      <c r="B216" s="5">
        <f>IFERROR(INDEX('Output Utente'!$A$2:$A$492,MATCH(213,'Output Utente'!$Q$2:$Q$492,0)),"")</f>
        <v>5918</v>
      </c>
      <c r="C216" s="5" t="str">
        <f>IFERROR(INDEX('Output Utente'!$B$2:$B$492,MATCH(213,'Output Utente'!$Q$2:$Q$492,0)),"")</f>
        <v>A</v>
      </c>
      <c r="D216" s="5" t="str">
        <f>IFERROR(INDEX('Output Utente'!$C$2:$C$492,MATCH(213,'Output Utente'!$Q$2:$Q$492,0)),"")</f>
        <v>Sulemana K.</v>
      </c>
      <c r="E216" s="5" t="str">
        <f>IFERROR(INDEX('Input Giocatori 2026_27'!$D$3:$D$493,MATCH($B216,'Input Giocatori 2026_27'!$A$3:$A$493,0)),"")</f>
        <v>Atalanta</v>
      </c>
      <c r="F216" s="42">
        <f>IFERROR(INDEX('Output Utente'!$N$2:$N$492,MATCH(213,'Output Utente'!$Q$2:$Q$492,0)),"")</f>
        <v>6</v>
      </c>
      <c r="G216" s="42">
        <f>IFERROR(INDEX('Output Utente'!$O$2:$O$492,MATCH(213,'Output Utente'!$Q$2:$Q$492,0)),"")</f>
        <v>16</v>
      </c>
      <c r="H216" s="5" t="str">
        <f>IFERROR(INDEX('Output Utente'!$P$2:$P$492,MATCH(213,'Output Utente'!$Q$2:$Q$492,0)),"")</f>
        <v>Scommessa/Riserva</v>
      </c>
      <c r="I216" s="42">
        <f>IFERROR(INDEX('Output Utente'!$F$2:$F$492,MATCH(213,'Output Utente'!$Q$2:$Q$492,0)),"")</f>
        <v>5</v>
      </c>
      <c r="J216" s="42">
        <f>IFERROR(INDEX('Output Utente'!$G$2:$G$492,MATCH(213,'Output Utente'!$Q$2:$Q$492,0)),"")</f>
        <v>3</v>
      </c>
      <c r="K216" s="42">
        <f>IFERROR(INDEX('Output Utente'!$H$2:$H$492,MATCH(213,'Output Utente'!$Q$2:$Q$492,0)),"")</f>
        <v>6</v>
      </c>
      <c r="L216" s="5" t="str">
        <f>IFERROR(INDEX('Output Utente'!$E$2:$E$492,MATCH(213,'Output Utente'!$Q$2:$Q$492,0)),"")</f>
        <v>NO</v>
      </c>
      <c r="M216" s="5" t="str">
        <f>IFERROR(INDEX('Output Utente'!$U$2:$U$492,MATCH(213,'Output Utente'!$Q$2:$Q$492,0)),"")</f>
        <v>OK</v>
      </c>
      <c r="N216" s="5" t="str">
        <f>IFERROR(INDEX('Output Utente'!$AE$2:$AE$492,MATCH(213,'Output Utente'!$Q$2:$Q$492,0)),"")</f>
        <v>🔴 Non aspettare</v>
      </c>
    </row>
    <row r="217" spans="1:14" ht="15" customHeight="1" x14ac:dyDescent="0.25">
      <c r="A217" s="41">
        <v>214</v>
      </c>
      <c r="B217" s="5">
        <f>IFERROR(INDEX('Output Utente'!$A$2:$A$492,MATCH(214,'Output Utente'!$Q$2:$Q$492,0)),"")</f>
        <v>4236</v>
      </c>
      <c r="C217" s="5" t="str">
        <f>IFERROR(INDEX('Output Utente'!$B$2:$B$492,MATCH(214,'Output Utente'!$Q$2:$Q$492,0)),"")</f>
        <v>P</v>
      </c>
      <c r="D217" s="5" t="str">
        <f>IFERROR(INDEX('Output Utente'!$C$2:$C$492,MATCH(214,'Output Utente'!$Q$2:$Q$492,0)),"")</f>
        <v>Muric</v>
      </c>
      <c r="E217" s="5" t="str">
        <f>IFERROR(INDEX('Input Giocatori 2026_27'!$D$3:$D$493,MATCH($B217,'Input Giocatori 2026_27'!$A$3:$A$493,0)),"")</f>
        <v>Sassuolo</v>
      </c>
      <c r="F217" s="42">
        <f>IFERROR(INDEX('Output Utente'!$N$2:$N$492,MATCH(214,'Output Utente'!$Q$2:$Q$492,0)),"")</f>
        <v>7</v>
      </c>
      <c r="G217" s="42">
        <f>IFERROR(INDEX('Output Utente'!$O$2:$O$492,MATCH(214,'Output Utente'!$Q$2:$Q$492,0)),"")</f>
        <v>15</v>
      </c>
      <c r="H217" s="5" t="str">
        <f>IFERROR(INDEX('Output Utente'!$P$2:$P$492,MATCH(214,'Output Utente'!$Q$2:$Q$492,0)),"")</f>
        <v>Buono</v>
      </c>
      <c r="I217" s="42">
        <f>IFERROR(INDEX('Output Utente'!$F$2:$F$492,MATCH(214,'Output Utente'!$Q$2:$Q$492,0)),"")</f>
        <v>5</v>
      </c>
      <c r="J217" s="42">
        <f>IFERROR(INDEX('Output Utente'!$G$2:$G$492,MATCH(214,'Output Utente'!$Q$2:$Q$492,0)),"")</f>
        <v>4</v>
      </c>
      <c r="K217" s="42">
        <f>IFERROR(INDEX('Output Utente'!$H$2:$H$492,MATCH(214,'Output Utente'!$Q$2:$Q$492,0)),"")</f>
        <v>6</v>
      </c>
      <c r="L217" s="5" t="str">
        <f>IFERROR(INDEX('Output Utente'!$E$2:$E$492,MATCH(214,'Output Utente'!$Q$2:$Q$492,0)),"")</f>
        <v>NO</v>
      </c>
      <c r="M217" s="5" t="str">
        <f>IFERROR(INDEX('Output Utente'!$U$2:$U$492,MATCH(214,'Output Utente'!$Q$2:$Q$492,0)),"")</f>
        <v>OK</v>
      </c>
      <c r="N217" s="5" t="str">
        <f>IFERROR(INDEX('Output Utente'!$AE$2:$AE$492,MATCH(214,'Output Utente'!$Q$2:$Q$492,0)),"")</f>
        <v>🔴 Non aspettare</v>
      </c>
    </row>
    <row r="218" spans="1:14" ht="15" customHeight="1" x14ac:dyDescent="0.25">
      <c r="A218" s="41">
        <v>215</v>
      </c>
      <c r="B218" s="5">
        <f>IFERROR(INDEX('Output Utente'!$A$2:$A$492,MATCH(215,'Output Utente'!$Q$2:$Q$492,0)),"")</f>
        <v>6485</v>
      </c>
      <c r="C218" s="5" t="str">
        <f>IFERROR(INDEX('Output Utente'!$B$2:$B$492,MATCH(215,'Output Utente'!$Q$2:$Q$492,0)),"")</f>
        <v>D</v>
      </c>
      <c r="D218" s="5" t="str">
        <f>IFERROR(INDEX('Output Utente'!$C$2:$C$492,MATCH(215,'Output Utente'!$Q$2:$Q$492,0)),"")</f>
        <v>Kristensen T.</v>
      </c>
      <c r="E218" s="5" t="str">
        <f>IFERROR(INDEX('Input Giocatori 2026_27'!$D$3:$D$493,MATCH($B218,'Input Giocatori 2026_27'!$A$3:$A$493,0)),"")</f>
        <v>Udinese</v>
      </c>
      <c r="F218" s="42">
        <f>IFERROR(INDEX('Output Utente'!$N$2:$N$492,MATCH(215,'Output Utente'!$Q$2:$Q$492,0)),"")</f>
        <v>7</v>
      </c>
      <c r="G218" s="42">
        <f>IFERROR(INDEX('Output Utente'!$O$2:$O$492,MATCH(215,'Output Utente'!$Q$2:$Q$492,0)),"")</f>
        <v>15</v>
      </c>
      <c r="H218" s="5" t="str">
        <f>IFERROR(INDEX('Output Utente'!$P$2:$P$492,MATCH(215,'Output Utente'!$Q$2:$Q$492,0)),"")</f>
        <v>Nella Media</v>
      </c>
      <c r="I218" s="42">
        <f>IFERROR(INDEX('Output Utente'!$F$2:$F$492,MATCH(215,'Output Utente'!$Q$2:$Q$492,0)),"")</f>
        <v>3</v>
      </c>
      <c r="J218" s="42">
        <f>IFERROR(INDEX('Output Utente'!$G$2:$G$492,MATCH(215,'Output Utente'!$Q$2:$Q$492,0)),"")</f>
        <v>2</v>
      </c>
      <c r="K218" s="42">
        <f>IFERROR(INDEX('Output Utente'!$H$2:$H$492,MATCH(215,'Output Utente'!$Q$2:$Q$492,0)),"")</f>
        <v>3</v>
      </c>
      <c r="L218" s="5" t="str">
        <f>IFERROR(INDEX('Output Utente'!$E$2:$E$492,MATCH(215,'Output Utente'!$Q$2:$Q$492,0)),"")</f>
        <v>NO</v>
      </c>
      <c r="M218" s="5" t="str">
        <f>IFERROR(INDEX('Output Utente'!$U$2:$U$492,MATCH(215,'Output Utente'!$Q$2:$Q$492,0)),"")</f>
        <v>OK</v>
      </c>
      <c r="N218" s="5" t="str">
        <f>IFERROR(INDEX('Output Utente'!$AE$2:$AE$492,MATCH(215,'Output Utente'!$Q$2:$Q$492,0)),"")</f>
        <v>🔴 Non aspettare</v>
      </c>
    </row>
    <row r="219" spans="1:14" ht="15" customHeight="1" x14ac:dyDescent="0.25">
      <c r="A219" s="41">
        <v>216</v>
      </c>
      <c r="B219" s="5">
        <f>IFERROR(INDEX('Output Utente'!$A$2:$A$492,MATCH(216,'Output Utente'!$Q$2:$Q$492,0)),"")</f>
        <v>4887</v>
      </c>
      <c r="C219" s="5" t="str">
        <f>IFERROR(INDEX('Output Utente'!$B$2:$B$492,MATCH(216,'Output Utente'!$Q$2:$Q$492,0)),"")</f>
        <v>D</v>
      </c>
      <c r="D219" s="5" t="str">
        <f>IFERROR(INDEX('Output Utente'!$C$2:$C$492,MATCH(216,'Output Utente'!$Q$2:$Q$492,0)),"")</f>
        <v>Bellanova</v>
      </c>
      <c r="E219" s="5" t="str">
        <f>IFERROR(INDEX('Input Giocatori 2026_27'!$D$3:$D$493,MATCH($B219,'Input Giocatori 2026_27'!$A$3:$A$493,0)),"")</f>
        <v>Atalanta</v>
      </c>
      <c r="F219" s="42">
        <f>IFERROR(INDEX('Output Utente'!$N$2:$N$492,MATCH(216,'Output Utente'!$Q$2:$Q$492,0)),"")</f>
        <v>6</v>
      </c>
      <c r="G219" s="42">
        <f>IFERROR(INDEX('Output Utente'!$O$2:$O$492,MATCH(216,'Output Utente'!$Q$2:$Q$492,0)),"")</f>
        <v>15</v>
      </c>
      <c r="H219" s="5" t="str">
        <f>IFERROR(INDEX('Output Utente'!$P$2:$P$492,MATCH(216,'Output Utente'!$Q$2:$Q$492,0)),"")</f>
        <v>Nella Media</v>
      </c>
      <c r="I219" s="42">
        <f>IFERROR(INDEX('Output Utente'!$F$2:$F$492,MATCH(216,'Output Utente'!$Q$2:$Q$492,0)),"")</f>
        <v>3</v>
      </c>
      <c r="J219" s="42">
        <f>IFERROR(INDEX('Output Utente'!$G$2:$G$492,MATCH(216,'Output Utente'!$Q$2:$Q$492,0)),"")</f>
        <v>2</v>
      </c>
      <c r="K219" s="42">
        <f>IFERROR(INDEX('Output Utente'!$H$2:$H$492,MATCH(216,'Output Utente'!$Q$2:$Q$492,0)),"")</f>
        <v>3</v>
      </c>
      <c r="L219" s="5" t="str">
        <f>IFERROR(INDEX('Output Utente'!$E$2:$E$492,MATCH(216,'Output Utente'!$Q$2:$Q$492,0)),"")</f>
        <v>NO</v>
      </c>
      <c r="M219" s="5" t="str">
        <f>IFERROR(INDEX('Output Utente'!$U$2:$U$492,MATCH(216,'Output Utente'!$Q$2:$Q$492,0)),"")</f>
        <v>OK</v>
      </c>
      <c r="N219" s="5" t="str">
        <f>IFERROR(INDEX('Output Utente'!$AE$2:$AE$492,MATCH(216,'Output Utente'!$Q$2:$Q$492,0)),"")</f>
        <v>🔴 Non aspettare</v>
      </c>
    </row>
    <row r="220" spans="1:14" ht="15" customHeight="1" x14ac:dyDescent="0.25">
      <c r="A220" s="41">
        <v>217</v>
      </c>
      <c r="B220" s="5">
        <f>IFERROR(INDEX('Output Utente'!$A$2:$A$492,MATCH(217,'Output Utente'!$Q$2:$Q$492,0)),"")</f>
        <v>7212</v>
      </c>
      <c r="C220" s="5" t="str">
        <f>IFERROR(INDEX('Output Utente'!$B$2:$B$492,MATCH(217,'Output Utente'!$Q$2:$Q$492,0)),"")</f>
        <v>D</v>
      </c>
      <c r="D220" s="5" t="str">
        <f>IFERROR(INDEX('Output Utente'!$C$2:$C$492,MATCH(217,'Output Utente'!$Q$2:$Q$492,0)),"")</f>
        <v>Heggem</v>
      </c>
      <c r="E220" s="5" t="str">
        <f>IFERROR(INDEX('Input Giocatori 2026_27'!$D$3:$D$493,MATCH($B220,'Input Giocatori 2026_27'!$A$3:$A$493,0)),"")</f>
        <v>Bologna</v>
      </c>
      <c r="F220" s="42">
        <f>IFERROR(INDEX('Output Utente'!$N$2:$N$492,MATCH(217,'Output Utente'!$Q$2:$Q$492,0)),"")</f>
        <v>6</v>
      </c>
      <c r="G220" s="42">
        <f>IFERROR(INDEX('Output Utente'!$O$2:$O$492,MATCH(217,'Output Utente'!$Q$2:$Q$492,0)),"")</f>
        <v>15</v>
      </c>
      <c r="H220" s="5" t="str">
        <f>IFERROR(INDEX('Output Utente'!$P$2:$P$492,MATCH(217,'Output Utente'!$Q$2:$Q$492,0)),"")</f>
        <v>Nella Media</v>
      </c>
      <c r="I220" s="42">
        <f>IFERROR(INDEX('Output Utente'!$F$2:$F$492,MATCH(217,'Output Utente'!$Q$2:$Q$492,0)),"")</f>
        <v>3</v>
      </c>
      <c r="J220" s="42">
        <f>IFERROR(INDEX('Output Utente'!$G$2:$G$492,MATCH(217,'Output Utente'!$Q$2:$Q$492,0)),"")</f>
        <v>2</v>
      </c>
      <c r="K220" s="42">
        <f>IFERROR(INDEX('Output Utente'!$H$2:$H$492,MATCH(217,'Output Utente'!$Q$2:$Q$492,0)),"")</f>
        <v>3</v>
      </c>
      <c r="L220" s="5" t="str">
        <f>IFERROR(INDEX('Output Utente'!$E$2:$E$492,MATCH(217,'Output Utente'!$Q$2:$Q$492,0)),"")</f>
        <v>NO</v>
      </c>
      <c r="M220" s="5" t="str">
        <f>IFERROR(INDEX('Output Utente'!$U$2:$U$492,MATCH(217,'Output Utente'!$Q$2:$Q$492,0)),"")</f>
        <v>OK</v>
      </c>
      <c r="N220" s="5" t="str">
        <f>IFERROR(INDEX('Output Utente'!$AE$2:$AE$492,MATCH(217,'Output Utente'!$Q$2:$Q$492,0)),"")</f>
        <v>🔴 Non aspettare</v>
      </c>
    </row>
    <row r="221" spans="1:14" ht="15" customHeight="1" x14ac:dyDescent="0.25">
      <c r="A221" s="41">
        <v>218</v>
      </c>
      <c r="B221" s="5">
        <f>IFERROR(INDEX('Output Utente'!$A$2:$A$492,MATCH(218,'Output Utente'!$Q$2:$Q$492,0)),"")</f>
        <v>7485</v>
      </c>
      <c r="C221" s="5" t="str">
        <f>IFERROR(INDEX('Output Utente'!$B$2:$B$492,MATCH(218,'Output Utente'!$Q$2:$Q$492,0)),"")</f>
        <v>D</v>
      </c>
      <c r="D221" s="5" t="str">
        <f>IFERROR(INDEX('Output Utente'!$C$2:$C$492,MATCH(218,'Output Utente'!$Q$2:$Q$492,0)),"")</f>
        <v>Mangas</v>
      </c>
      <c r="E221" s="5" t="str">
        <f>IFERROR(INDEX('Input Giocatori 2026_27'!$D$3:$D$493,MATCH($B221,'Input Giocatori 2026_27'!$A$3:$A$493,0)),"")</f>
        <v>Monza</v>
      </c>
      <c r="F221" s="42">
        <f>IFERROR(INDEX('Output Utente'!$N$2:$N$492,MATCH(218,'Output Utente'!$Q$2:$Q$492,0)),"")</f>
        <v>6</v>
      </c>
      <c r="G221" s="42">
        <f>IFERROR(INDEX('Output Utente'!$O$2:$O$492,MATCH(218,'Output Utente'!$Q$2:$Q$492,0)),"")</f>
        <v>15</v>
      </c>
      <c r="H221" s="5" t="str">
        <f>IFERROR(INDEX('Output Utente'!$P$2:$P$492,MATCH(218,'Output Utente'!$Q$2:$Q$492,0)),"")</f>
        <v>Nella Media</v>
      </c>
      <c r="I221" s="42">
        <f>IFERROR(INDEX('Output Utente'!$F$2:$F$492,MATCH(218,'Output Utente'!$Q$2:$Q$492,0)),"")</f>
        <v>3</v>
      </c>
      <c r="J221" s="42">
        <f>IFERROR(INDEX('Output Utente'!$G$2:$G$492,MATCH(218,'Output Utente'!$Q$2:$Q$492,0)),"")</f>
        <v>2</v>
      </c>
      <c r="K221" s="42">
        <f>IFERROR(INDEX('Output Utente'!$H$2:$H$492,MATCH(218,'Output Utente'!$Q$2:$Q$492,0)),"")</f>
        <v>3</v>
      </c>
      <c r="L221" s="5" t="str">
        <f>IFERROR(INDEX('Output Utente'!$E$2:$E$492,MATCH(218,'Output Utente'!$Q$2:$Q$492,0)),"")</f>
        <v>NO</v>
      </c>
      <c r="M221" s="5" t="str">
        <f>IFERROR(INDEX('Output Utente'!$U$2:$U$492,MATCH(218,'Output Utente'!$Q$2:$Q$492,0)),"")</f>
        <v>OK</v>
      </c>
      <c r="N221" s="5" t="str">
        <f>IFERROR(INDEX('Output Utente'!$AE$2:$AE$492,MATCH(218,'Output Utente'!$Q$2:$Q$492,0)),"")</f>
        <v>🔴 Non aspettare</v>
      </c>
    </row>
    <row r="222" spans="1:14" ht="15" customHeight="1" x14ac:dyDescent="0.25">
      <c r="A222" s="41">
        <v>219</v>
      </c>
      <c r="B222" s="5">
        <f>IFERROR(INDEX('Output Utente'!$A$2:$A$492,MATCH(219,'Output Utente'!$Q$2:$Q$492,0)),"")</f>
        <v>2593</v>
      </c>
      <c r="C222" s="5" t="str">
        <f>IFERROR(INDEX('Output Utente'!$B$2:$B$492,MATCH(219,'Output Utente'!$Q$2:$Q$492,0)),"")</f>
        <v>D</v>
      </c>
      <c r="D222" s="5" t="str">
        <f>IFERROR(INDEX('Output Utente'!$C$2:$C$492,MATCH(219,'Output Utente'!$Q$2:$Q$492,0)),"")</f>
        <v>Martin</v>
      </c>
      <c r="E222" s="5" t="str">
        <f>IFERROR(INDEX('Input Giocatori 2026_27'!$D$3:$D$493,MATCH($B222,'Input Giocatori 2026_27'!$A$3:$A$493,0)),"")</f>
        <v>Genoa</v>
      </c>
      <c r="F222" s="42">
        <f>IFERROR(INDEX('Output Utente'!$N$2:$N$492,MATCH(219,'Output Utente'!$Q$2:$Q$492,0)),"")</f>
        <v>5</v>
      </c>
      <c r="G222" s="42">
        <f>IFERROR(INDEX('Output Utente'!$O$2:$O$492,MATCH(219,'Output Utente'!$Q$2:$Q$492,0)),"")</f>
        <v>15</v>
      </c>
      <c r="H222" s="5" t="str">
        <f>IFERROR(INDEX('Output Utente'!$P$2:$P$492,MATCH(219,'Output Utente'!$Q$2:$Q$492,0)),"")</f>
        <v>Nella Media</v>
      </c>
      <c r="I222" s="42">
        <f>IFERROR(INDEX('Output Utente'!$F$2:$F$492,MATCH(219,'Output Utente'!$Q$2:$Q$492,0)),"")</f>
        <v>3</v>
      </c>
      <c r="J222" s="42">
        <f>IFERROR(INDEX('Output Utente'!$G$2:$G$492,MATCH(219,'Output Utente'!$Q$2:$Q$492,0)),"")</f>
        <v>2</v>
      </c>
      <c r="K222" s="42">
        <f>IFERROR(INDEX('Output Utente'!$H$2:$H$492,MATCH(219,'Output Utente'!$Q$2:$Q$492,0)),"")</f>
        <v>3</v>
      </c>
      <c r="L222" s="5" t="str">
        <f>IFERROR(INDEX('Output Utente'!$E$2:$E$492,MATCH(219,'Output Utente'!$Q$2:$Q$492,0)),"")</f>
        <v>NO</v>
      </c>
      <c r="M222" s="5" t="str">
        <f>IFERROR(INDEX('Output Utente'!$U$2:$U$492,MATCH(219,'Output Utente'!$Q$2:$Q$492,0)),"")</f>
        <v>OK</v>
      </c>
      <c r="N222" s="5" t="str">
        <f>IFERROR(INDEX('Output Utente'!$AE$2:$AE$492,MATCH(219,'Output Utente'!$Q$2:$Q$492,0)),"")</f>
        <v>🔴 Non aspettare</v>
      </c>
    </row>
    <row r="223" spans="1:14" ht="15" customHeight="1" x14ac:dyDescent="0.25">
      <c r="A223" s="41">
        <v>220</v>
      </c>
      <c r="B223" s="5">
        <f>IFERROR(INDEX('Output Utente'!$A$2:$A$492,MATCH(220,'Output Utente'!$Q$2:$Q$492,0)),"")</f>
        <v>4817</v>
      </c>
      <c r="C223" s="5" t="str">
        <f>IFERROR(INDEX('Output Utente'!$B$2:$B$492,MATCH(220,'Output Utente'!$Q$2:$Q$492,0)),"")</f>
        <v>D</v>
      </c>
      <c r="D223" s="5" t="str">
        <f>IFERROR(INDEX('Output Utente'!$C$2:$C$492,MATCH(220,'Output Utente'!$Q$2:$Q$492,0)),"")</f>
        <v>Pedraza</v>
      </c>
      <c r="E223" s="5" t="str">
        <f>IFERROR(INDEX('Input Giocatori 2026_27'!$D$3:$D$493,MATCH($B223,'Input Giocatori 2026_27'!$A$3:$A$493,0)),"")</f>
        <v>Lazio</v>
      </c>
      <c r="F223" s="42">
        <f>IFERROR(INDEX('Output Utente'!$N$2:$N$492,MATCH(220,'Output Utente'!$Q$2:$Q$492,0)),"")</f>
        <v>5</v>
      </c>
      <c r="G223" s="42">
        <f>IFERROR(INDEX('Output Utente'!$O$2:$O$492,MATCH(220,'Output Utente'!$Q$2:$Q$492,0)),"")</f>
        <v>15</v>
      </c>
      <c r="H223" s="5" t="str">
        <f>IFERROR(INDEX('Output Utente'!$P$2:$P$492,MATCH(220,'Output Utente'!$Q$2:$Q$492,0)),"")</f>
        <v>Nella Media</v>
      </c>
      <c r="I223" s="42">
        <f>IFERROR(INDEX('Output Utente'!$F$2:$F$492,MATCH(220,'Output Utente'!$Q$2:$Q$492,0)),"")</f>
        <v>3</v>
      </c>
      <c r="J223" s="42">
        <f>IFERROR(INDEX('Output Utente'!$G$2:$G$492,MATCH(220,'Output Utente'!$Q$2:$Q$492,0)),"")</f>
        <v>2</v>
      </c>
      <c r="K223" s="42">
        <f>IFERROR(INDEX('Output Utente'!$H$2:$H$492,MATCH(220,'Output Utente'!$Q$2:$Q$492,0)),"")</f>
        <v>3</v>
      </c>
      <c r="L223" s="5" t="str">
        <f>IFERROR(INDEX('Output Utente'!$E$2:$E$492,MATCH(220,'Output Utente'!$Q$2:$Q$492,0)),"")</f>
        <v>NO</v>
      </c>
      <c r="M223" s="5" t="str">
        <f>IFERROR(INDEX('Output Utente'!$U$2:$U$492,MATCH(220,'Output Utente'!$Q$2:$Q$492,0)),"")</f>
        <v>OK</v>
      </c>
      <c r="N223" s="5" t="str">
        <f>IFERROR(INDEX('Output Utente'!$AE$2:$AE$492,MATCH(220,'Output Utente'!$Q$2:$Q$492,0)),"")</f>
        <v>🔴 Non aspettare</v>
      </c>
    </row>
    <row r="224" spans="1:14" ht="15" customHeight="1" x14ac:dyDescent="0.25">
      <c r="A224" s="41">
        <v>221</v>
      </c>
      <c r="B224" s="5">
        <f>IFERROR(INDEX('Output Utente'!$A$2:$A$492,MATCH(221,'Output Utente'!$Q$2:$Q$492,0)),"")</f>
        <v>6898</v>
      </c>
      <c r="C224" s="5" t="str">
        <f>IFERROR(INDEX('Output Utente'!$B$2:$B$492,MATCH(221,'Output Utente'!$Q$2:$Q$492,0)),"")</f>
        <v>C</v>
      </c>
      <c r="D224" s="5" t="str">
        <f>IFERROR(INDEX('Output Utente'!$C$2:$C$492,MATCH(221,'Output Utente'!$Q$2:$Q$492,0)),"")</f>
        <v>Keita M.</v>
      </c>
      <c r="E224" s="5" t="str">
        <f>IFERROR(INDEX('Input Giocatori 2026_27'!$D$3:$D$493,MATCH($B224,'Input Giocatori 2026_27'!$A$3:$A$493,0)),"")</f>
        <v>Parma</v>
      </c>
      <c r="F224" s="42">
        <f>IFERROR(INDEX('Output Utente'!$N$2:$N$492,MATCH(221,'Output Utente'!$Q$2:$Q$492,0)),"")</f>
        <v>5</v>
      </c>
      <c r="G224" s="42">
        <f>IFERROR(INDEX('Output Utente'!$O$2:$O$492,MATCH(221,'Output Utente'!$Q$2:$Q$492,0)),"")</f>
        <v>15</v>
      </c>
      <c r="H224" s="5" t="str">
        <f>IFERROR(INDEX('Output Utente'!$P$2:$P$492,MATCH(221,'Output Utente'!$Q$2:$Q$492,0)),"")</f>
        <v>Nella Media</v>
      </c>
      <c r="I224" s="42">
        <f>IFERROR(INDEX('Output Utente'!$F$2:$F$492,MATCH(221,'Output Utente'!$Q$2:$Q$492,0)),"")</f>
        <v>2</v>
      </c>
      <c r="J224" s="42">
        <f>IFERROR(INDEX('Output Utente'!$G$2:$G$492,MATCH(221,'Output Utente'!$Q$2:$Q$492,0)),"")</f>
        <v>1</v>
      </c>
      <c r="K224" s="42">
        <f>IFERROR(INDEX('Output Utente'!$H$2:$H$492,MATCH(221,'Output Utente'!$Q$2:$Q$492,0)),"")</f>
        <v>2</v>
      </c>
      <c r="L224" s="5" t="str">
        <f>IFERROR(INDEX('Output Utente'!$E$2:$E$492,MATCH(221,'Output Utente'!$Q$2:$Q$492,0)),"")</f>
        <v>NO</v>
      </c>
      <c r="M224" s="5" t="str">
        <f>IFERROR(INDEX('Output Utente'!$U$2:$U$492,MATCH(221,'Output Utente'!$Q$2:$Q$492,0)),"")</f>
        <v>OK</v>
      </c>
      <c r="N224" s="5" t="str">
        <f>IFERROR(INDEX('Output Utente'!$AE$2:$AE$492,MATCH(221,'Output Utente'!$Q$2:$Q$492,0)),"")</f>
        <v>🔴 Non aspettare</v>
      </c>
    </row>
    <row r="225" spans="1:14" ht="15" customHeight="1" x14ac:dyDescent="0.25">
      <c r="A225" s="41">
        <v>222</v>
      </c>
      <c r="B225" s="5">
        <f>IFERROR(INDEX('Output Utente'!$A$2:$A$492,MATCH(222,'Output Utente'!$Q$2:$Q$492,0)),"")</f>
        <v>2528</v>
      </c>
      <c r="C225" s="5" t="str">
        <f>IFERROR(INDEX('Output Utente'!$B$2:$B$492,MATCH(222,'Output Utente'!$Q$2:$Q$492,0)),"")</f>
        <v>C</v>
      </c>
      <c r="D225" s="5" t="str">
        <f>IFERROR(INDEX('Output Utente'!$C$2:$C$492,MATCH(222,'Output Utente'!$Q$2:$Q$492,0)),"")</f>
        <v>Matic</v>
      </c>
      <c r="E225" s="5" t="str">
        <f>IFERROR(INDEX('Input Giocatori 2026_27'!$D$3:$D$493,MATCH($B225,'Input Giocatori 2026_27'!$A$3:$A$493,0)),"")</f>
        <v>Sassuolo</v>
      </c>
      <c r="F225" s="42">
        <f>IFERROR(INDEX('Output Utente'!$N$2:$N$492,MATCH(222,'Output Utente'!$Q$2:$Q$492,0)),"")</f>
        <v>5</v>
      </c>
      <c r="G225" s="42">
        <f>IFERROR(INDEX('Output Utente'!$O$2:$O$492,MATCH(222,'Output Utente'!$Q$2:$Q$492,0)),"")</f>
        <v>15</v>
      </c>
      <c r="H225" s="5" t="str">
        <f>IFERROR(INDEX('Output Utente'!$P$2:$P$492,MATCH(222,'Output Utente'!$Q$2:$Q$492,0)),"")</f>
        <v>Nella Media</v>
      </c>
      <c r="I225" s="42">
        <f>IFERROR(INDEX('Output Utente'!$F$2:$F$492,MATCH(222,'Output Utente'!$Q$2:$Q$492,0)),"")</f>
        <v>2</v>
      </c>
      <c r="J225" s="42">
        <f>IFERROR(INDEX('Output Utente'!$G$2:$G$492,MATCH(222,'Output Utente'!$Q$2:$Q$492,0)),"")</f>
        <v>1</v>
      </c>
      <c r="K225" s="42">
        <f>IFERROR(INDEX('Output Utente'!$H$2:$H$492,MATCH(222,'Output Utente'!$Q$2:$Q$492,0)),"")</f>
        <v>2</v>
      </c>
      <c r="L225" s="5" t="str">
        <f>IFERROR(INDEX('Output Utente'!$E$2:$E$492,MATCH(222,'Output Utente'!$Q$2:$Q$492,0)),"")</f>
        <v>NO</v>
      </c>
      <c r="M225" s="5" t="str">
        <f>IFERROR(INDEX('Output Utente'!$U$2:$U$492,MATCH(222,'Output Utente'!$Q$2:$Q$492,0)),"")</f>
        <v>OK</v>
      </c>
      <c r="N225" s="5" t="str">
        <f>IFERROR(INDEX('Output Utente'!$AE$2:$AE$492,MATCH(222,'Output Utente'!$Q$2:$Q$492,0)),"")</f>
        <v>🔴 Non aspettare</v>
      </c>
    </row>
    <row r="226" spans="1:14" ht="15" customHeight="1" x14ac:dyDescent="0.25">
      <c r="A226" s="41">
        <v>223</v>
      </c>
      <c r="B226" s="5">
        <f>IFERROR(INDEX('Output Utente'!$A$2:$A$492,MATCH(223,'Output Utente'!$Q$2:$Q$492,0)),"")</f>
        <v>7198</v>
      </c>
      <c r="C226" s="5" t="str">
        <f>IFERROR(INDEX('Output Utente'!$B$2:$B$492,MATCH(223,'Output Utente'!$Q$2:$Q$492,0)),"")</f>
        <v>C</v>
      </c>
      <c r="D226" s="5" t="str">
        <f>IFERROR(INDEX('Output Utente'!$C$2:$C$492,MATCH(223,'Output Utente'!$Q$2:$Q$492,0)),"")</f>
        <v>Piotrowski</v>
      </c>
      <c r="E226" s="5" t="str">
        <f>IFERROR(INDEX('Input Giocatori 2026_27'!$D$3:$D$493,MATCH($B226,'Input Giocatori 2026_27'!$A$3:$A$493,0)),"")</f>
        <v>Udinese</v>
      </c>
      <c r="F226" s="42">
        <f>IFERROR(INDEX('Output Utente'!$N$2:$N$492,MATCH(223,'Output Utente'!$Q$2:$Q$492,0)),"")</f>
        <v>5</v>
      </c>
      <c r="G226" s="42">
        <f>IFERROR(INDEX('Output Utente'!$O$2:$O$492,MATCH(223,'Output Utente'!$Q$2:$Q$492,0)),"")</f>
        <v>15</v>
      </c>
      <c r="H226" s="5" t="str">
        <f>IFERROR(INDEX('Output Utente'!$P$2:$P$492,MATCH(223,'Output Utente'!$Q$2:$Q$492,0)),"")</f>
        <v>Nella Media</v>
      </c>
      <c r="I226" s="42">
        <f>IFERROR(INDEX('Output Utente'!$F$2:$F$492,MATCH(223,'Output Utente'!$Q$2:$Q$492,0)),"")</f>
        <v>2</v>
      </c>
      <c r="J226" s="42">
        <f>IFERROR(INDEX('Output Utente'!$G$2:$G$492,MATCH(223,'Output Utente'!$Q$2:$Q$492,0)),"")</f>
        <v>1</v>
      </c>
      <c r="K226" s="42">
        <f>IFERROR(INDEX('Output Utente'!$H$2:$H$492,MATCH(223,'Output Utente'!$Q$2:$Q$492,0)),"")</f>
        <v>2</v>
      </c>
      <c r="L226" s="5" t="str">
        <f>IFERROR(INDEX('Output Utente'!$E$2:$E$492,MATCH(223,'Output Utente'!$Q$2:$Q$492,0)),"")</f>
        <v>NO</v>
      </c>
      <c r="M226" s="5" t="str">
        <f>IFERROR(INDEX('Output Utente'!$U$2:$U$492,MATCH(223,'Output Utente'!$Q$2:$Q$492,0)),"")</f>
        <v>OK</v>
      </c>
      <c r="N226" s="5" t="str">
        <f>IFERROR(INDEX('Output Utente'!$AE$2:$AE$492,MATCH(223,'Output Utente'!$Q$2:$Q$492,0)),"")</f>
        <v>🔴 Non aspettare</v>
      </c>
    </row>
    <row r="227" spans="1:14" ht="15" customHeight="1" x14ac:dyDescent="0.25">
      <c r="A227" s="41">
        <v>224</v>
      </c>
      <c r="B227" s="5">
        <f>IFERROR(INDEX('Output Utente'!$A$2:$A$492,MATCH(224,'Output Utente'!$Q$2:$Q$492,0)),"")</f>
        <v>6204</v>
      </c>
      <c r="C227" s="5" t="str">
        <f>IFERROR(INDEX('Output Utente'!$B$2:$B$492,MATCH(224,'Output Utente'!$Q$2:$Q$492,0)),"")</f>
        <v>A</v>
      </c>
      <c r="D227" s="5" t="str">
        <f>IFERROR(INDEX('Output Utente'!$C$2:$C$492,MATCH(224,'Output Utente'!$Q$2:$Q$492,0)),"")</f>
        <v>Kvernadze</v>
      </c>
      <c r="E227" s="5" t="str">
        <f>IFERROR(INDEX('Input Giocatori 2026_27'!$D$3:$D$493,MATCH($B227,'Input Giocatori 2026_27'!$A$3:$A$493,0)),"")</f>
        <v>Frosinone</v>
      </c>
      <c r="F227" s="42">
        <f>IFERROR(INDEX('Output Utente'!$N$2:$N$492,MATCH(224,'Output Utente'!$Q$2:$Q$492,0)),"")</f>
        <v>4</v>
      </c>
      <c r="G227" s="42">
        <f>IFERROR(INDEX('Output Utente'!$O$2:$O$492,MATCH(224,'Output Utente'!$Q$2:$Q$492,0)),"")</f>
        <v>15</v>
      </c>
      <c r="H227" s="5" t="str">
        <f>IFERROR(INDEX('Output Utente'!$P$2:$P$492,MATCH(224,'Output Utente'!$Q$2:$Q$492,0)),"")</f>
        <v>Scommessa/Riserva</v>
      </c>
      <c r="I227" s="42">
        <f>IFERROR(INDEX('Output Utente'!$F$2:$F$492,MATCH(224,'Output Utente'!$Q$2:$Q$492,0)),"")</f>
        <v>5</v>
      </c>
      <c r="J227" s="42">
        <f>IFERROR(INDEX('Output Utente'!$G$2:$G$492,MATCH(224,'Output Utente'!$Q$2:$Q$492,0)),"")</f>
        <v>3</v>
      </c>
      <c r="K227" s="42">
        <f>IFERROR(INDEX('Output Utente'!$H$2:$H$492,MATCH(224,'Output Utente'!$Q$2:$Q$492,0)),"")</f>
        <v>6</v>
      </c>
      <c r="L227" s="5" t="str">
        <f>IFERROR(INDEX('Output Utente'!$E$2:$E$492,MATCH(224,'Output Utente'!$Q$2:$Q$492,0)),"")</f>
        <v>NO</v>
      </c>
      <c r="M227" s="5" t="str">
        <f>IFERROR(INDEX('Output Utente'!$U$2:$U$492,MATCH(224,'Output Utente'!$Q$2:$Q$492,0)),"")</f>
        <v>OK</v>
      </c>
      <c r="N227" s="5" t="str">
        <f>IFERROR(INDEX('Output Utente'!$AE$2:$AE$492,MATCH(224,'Output Utente'!$Q$2:$Q$492,0)),"")</f>
        <v>🔴 Non aspettare</v>
      </c>
    </row>
    <row r="228" spans="1:14" ht="15" customHeight="1" x14ac:dyDescent="0.25">
      <c r="A228" s="41">
        <v>225</v>
      </c>
      <c r="B228" s="5">
        <f>IFERROR(INDEX('Output Utente'!$A$2:$A$492,MATCH(225,'Output Utente'!$Q$2:$Q$492,0)),"")</f>
        <v>6248</v>
      </c>
      <c r="C228" s="5" t="str">
        <f>IFERROR(INDEX('Output Utente'!$B$2:$B$492,MATCH(225,'Output Utente'!$Q$2:$Q$492,0)),"")</f>
        <v>P</v>
      </c>
      <c r="D228" s="5" t="str">
        <f>IFERROR(INDEX('Output Utente'!$C$2:$C$492,MATCH(225,'Output Utente'!$Q$2:$Q$492,0)),"")</f>
        <v>Stankovic F.</v>
      </c>
      <c r="E228" s="5" t="str">
        <f>IFERROR(INDEX('Input Giocatori 2026_27'!$D$3:$D$493,MATCH($B228,'Input Giocatori 2026_27'!$A$3:$A$493,0)),"")</f>
        <v>Venezia</v>
      </c>
      <c r="F228" s="42">
        <f>IFERROR(INDEX('Output Utente'!$N$2:$N$492,MATCH(225,'Output Utente'!$Q$2:$Q$492,0)),"")</f>
        <v>6</v>
      </c>
      <c r="G228" s="42">
        <f>IFERROR(INDEX('Output Utente'!$O$2:$O$492,MATCH(225,'Output Utente'!$Q$2:$Q$492,0)),"")</f>
        <v>14</v>
      </c>
      <c r="H228" s="5" t="str">
        <f>IFERROR(INDEX('Output Utente'!$P$2:$P$492,MATCH(225,'Output Utente'!$Q$2:$Q$492,0)),"")</f>
        <v>Buono</v>
      </c>
      <c r="I228" s="42">
        <f>IFERROR(INDEX('Output Utente'!$F$2:$F$492,MATCH(225,'Output Utente'!$Q$2:$Q$492,0)),"")</f>
        <v>5</v>
      </c>
      <c r="J228" s="42">
        <f>IFERROR(INDEX('Output Utente'!$G$2:$G$492,MATCH(225,'Output Utente'!$Q$2:$Q$492,0)),"")</f>
        <v>4</v>
      </c>
      <c r="K228" s="42">
        <f>IFERROR(INDEX('Output Utente'!$H$2:$H$492,MATCH(225,'Output Utente'!$Q$2:$Q$492,0)),"")</f>
        <v>5</v>
      </c>
      <c r="L228" s="5" t="str">
        <f>IFERROR(INDEX('Output Utente'!$E$2:$E$492,MATCH(225,'Output Utente'!$Q$2:$Q$492,0)),"")</f>
        <v>NO</v>
      </c>
      <c r="M228" s="5" t="str">
        <f>IFERROR(INDEX('Output Utente'!$U$2:$U$492,MATCH(225,'Output Utente'!$Q$2:$Q$492,0)),"")</f>
        <v>OK</v>
      </c>
      <c r="N228" s="5" t="str">
        <f>IFERROR(INDEX('Output Utente'!$AE$2:$AE$492,MATCH(225,'Output Utente'!$Q$2:$Q$492,0)),"")</f>
        <v>🔴 Non aspettare</v>
      </c>
    </row>
    <row r="229" spans="1:14" ht="15" customHeight="1" x14ac:dyDescent="0.25">
      <c r="A229" s="41">
        <v>226</v>
      </c>
      <c r="B229" s="5">
        <f>IFERROR(INDEX('Output Utente'!$A$2:$A$492,MATCH(226,'Output Utente'!$Q$2:$Q$492,0)),"")</f>
        <v>5701</v>
      </c>
      <c r="C229" s="5" t="str">
        <f>IFERROR(INDEX('Output Utente'!$B$2:$B$492,MATCH(226,'Output Utente'!$Q$2:$Q$492,0)),"")</f>
        <v>D</v>
      </c>
      <c r="D229" s="5" t="str">
        <f>IFERROR(INDEX('Output Utente'!$C$2:$C$492,MATCH(226,'Output Utente'!$Q$2:$Q$492,0)),"")</f>
        <v>Obert</v>
      </c>
      <c r="E229" s="5" t="str">
        <f>IFERROR(INDEX('Input Giocatori 2026_27'!$D$3:$D$493,MATCH($B229,'Input Giocatori 2026_27'!$A$3:$A$493,0)),"")</f>
        <v>Cagliari</v>
      </c>
      <c r="F229" s="42">
        <f>IFERROR(INDEX('Output Utente'!$N$2:$N$492,MATCH(226,'Output Utente'!$Q$2:$Q$492,0)),"")</f>
        <v>7</v>
      </c>
      <c r="G229" s="42">
        <f>IFERROR(INDEX('Output Utente'!$O$2:$O$492,MATCH(226,'Output Utente'!$Q$2:$Q$492,0)),"")</f>
        <v>14</v>
      </c>
      <c r="H229" s="5" t="str">
        <f>IFERROR(INDEX('Output Utente'!$P$2:$P$492,MATCH(226,'Output Utente'!$Q$2:$Q$492,0)),"")</f>
        <v>Nella Media</v>
      </c>
      <c r="I229" s="42">
        <f>IFERROR(INDEX('Output Utente'!$F$2:$F$492,MATCH(226,'Output Utente'!$Q$2:$Q$492,0)),"")</f>
        <v>3</v>
      </c>
      <c r="J229" s="42">
        <f>IFERROR(INDEX('Output Utente'!$G$2:$G$492,MATCH(226,'Output Utente'!$Q$2:$Q$492,0)),"")</f>
        <v>2</v>
      </c>
      <c r="K229" s="42">
        <f>IFERROR(INDEX('Output Utente'!$H$2:$H$492,MATCH(226,'Output Utente'!$Q$2:$Q$492,0)),"")</f>
        <v>3</v>
      </c>
      <c r="L229" s="5" t="str">
        <f>IFERROR(INDEX('Output Utente'!$E$2:$E$492,MATCH(226,'Output Utente'!$Q$2:$Q$492,0)),"")</f>
        <v>NO</v>
      </c>
      <c r="M229" s="5" t="str">
        <f>IFERROR(INDEX('Output Utente'!$U$2:$U$492,MATCH(226,'Output Utente'!$Q$2:$Q$492,0)),"")</f>
        <v>OK</v>
      </c>
      <c r="N229" s="5" t="str">
        <f>IFERROR(INDEX('Output Utente'!$AE$2:$AE$492,MATCH(226,'Output Utente'!$Q$2:$Q$492,0)),"")</f>
        <v>🔴 Non aspettare</v>
      </c>
    </row>
    <row r="230" spans="1:14" ht="15" customHeight="1" x14ac:dyDescent="0.25">
      <c r="A230" s="41">
        <v>227</v>
      </c>
      <c r="B230" s="5">
        <f>IFERROR(INDEX('Output Utente'!$A$2:$A$492,MATCH(227,'Output Utente'!$Q$2:$Q$492,0)),"")</f>
        <v>4952</v>
      </c>
      <c r="C230" s="5" t="str">
        <f>IFERROR(INDEX('Output Utente'!$B$2:$B$492,MATCH(227,'Output Utente'!$Q$2:$Q$492,0)),"")</f>
        <v>D</v>
      </c>
      <c r="D230" s="5" t="str">
        <f>IFERROR(INDEX('Output Utente'!$C$2:$C$492,MATCH(227,'Output Utente'!$Q$2:$Q$492,0)),"")</f>
        <v>Monterisi</v>
      </c>
      <c r="E230" s="5" t="str">
        <f>IFERROR(INDEX('Input Giocatori 2026_27'!$D$3:$D$493,MATCH($B230,'Input Giocatori 2026_27'!$A$3:$A$493,0)),"")</f>
        <v>Frosinone</v>
      </c>
      <c r="F230" s="42">
        <f>IFERROR(INDEX('Output Utente'!$N$2:$N$492,MATCH(227,'Output Utente'!$Q$2:$Q$492,0)),"")</f>
        <v>6</v>
      </c>
      <c r="G230" s="42">
        <f>IFERROR(INDEX('Output Utente'!$O$2:$O$492,MATCH(227,'Output Utente'!$Q$2:$Q$492,0)),"")</f>
        <v>14</v>
      </c>
      <c r="H230" s="5" t="str">
        <f>IFERROR(INDEX('Output Utente'!$P$2:$P$492,MATCH(227,'Output Utente'!$Q$2:$Q$492,0)),"")</f>
        <v>Nella Media</v>
      </c>
      <c r="I230" s="42">
        <f>IFERROR(INDEX('Output Utente'!$F$2:$F$492,MATCH(227,'Output Utente'!$Q$2:$Q$492,0)),"")</f>
        <v>3</v>
      </c>
      <c r="J230" s="42">
        <f>IFERROR(INDEX('Output Utente'!$G$2:$G$492,MATCH(227,'Output Utente'!$Q$2:$Q$492,0)),"")</f>
        <v>2</v>
      </c>
      <c r="K230" s="42">
        <f>IFERROR(INDEX('Output Utente'!$H$2:$H$492,MATCH(227,'Output Utente'!$Q$2:$Q$492,0)),"")</f>
        <v>3</v>
      </c>
      <c r="L230" s="5" t="str">
        <f>IFERROR(INDEX('Output Utente'!$E$2:$E$492,MATCH(227,'Output Utente'!$Q$2:$Q$492,0)),"")</f>
        <v>NO</v>
      </c>
      <c r="M230" s="5" t="str">
        <f>IFERROR(INDEX('Output Utente'!$U$2:$U$492,MATCH(227,'Output Utente'!$Q$2:$Q$492,0)),"")</f>
        <v>OK</v>
      </c>
      <c r="N230" s="5" t="str">
        <f>IFERROR(INDEX('Output Utente'!$AE$2:$AE$492,MATCH(227,'Output Utente'!$Q$2:$Q$492,0)),"")</f>
        <v>🔴 Non aspettare</v>
      </c>
    </row>
    <row r="231" spans="1:14" ht="15" customHeight="1" x14ac:dyDescent="0.25">
      <c r="A231" s="41">
        <v>228</v>
      </c>
      <c r="B231" s="5">
        <f>IFERROR(INDEX('Output Utente'!$A$2:$A$492,MATCH(228,'Output Utente'!$Q$2:$Q$492,0)),"")</f>
        <v>5298</v>
      </c>
      <c r="C231" s="5" t="str">
        <f>IFERROR(INDEX('Output Utente'!$B$2:$B$492,MATCH(228,'Output Utente'!$Q$2:$Q$492,0)),"")</f>
        <v>C</v>
      </c>
      <c r="D231" s="5" t="str">
        <f>IFERROR(INDEX('Output Utente'!$C$2:$C$492,MATCH(228,'Output Utente'!$Q$2:$Q$492,0)),"")</f>
        <v>Pobega</v>
      </c>
      <c r="E231" s="5" t="str">
        <f>IFERROR(INDEX('Input Giocatori 2026_27'!$D$3:$D$493,MATCH($B231,'Input Giocatori 2026_27'!$A$3:$A$493,0)),"")</f>
        <v>Bologna</v>
      </c>
      <c r="F231" s="42">
        <f>IFERROR(INDEX('Output Utente'!$N$2:$N$492,MATCH(228,'Output Utente'!$Q$2:$Q$492,0)),"")</f>
        <v>6</v>
      </c>
      <c r="G231" s="42">
        <f>IFERROR(INDEX('Output Utente'!$O$2:$O$492,MATCH(228,'Output Utente'!$Q$2:$Q$492,0)),"")</f>
        <v>14</v>
      </c>
      <c r="H231" s="5" t="str">
        <f>IFERROR(INDEX('Output Utente'!$P$2:$P$492,MATCH(228,'Output Utente'!$Q$2:$Q$492,0)),"")</f>
        <v>Nella Media</v>
      </c>
      <c r="I231" s="42">
        <f>IFERROR(INDEX('Output Utente'!$F$2:$F$492,MATCH(228,'Output Utente'!$Q$2:$Q$492,0)),"")</f>
        <v>2</v>
      </c>
      <c r="J231" s="42">
        <f>IFERROR(INDEX('Output Utente'!$G$2:$G$492,MATCH(228,'Output Utente'!$Q$2:$Q$492,0)),"")</f>
        <v>1</v>
      </c>
      <c r="K231" s="42">
        <f>IFERROR(INDEX('Output Utente'!$H$2:$H$492,MATCH(228,'Output Utente'!$Q$2:$Q$492,0)),"")</f>
        <v>2</v>
      </c>
      <c r="L231" s="5" t="str">
        <f>IFERROR(INDEX('Output Utente'!$E$2:$E$492,MATCH(228,'Output Utente'!$Q$2:$Q$492,0)),"")</f>
        <v>NO</v>
      </c>
      <c r="M231" s="5" t="str">
        <f>IFERROR(INDEX('Output Utente'!$U$2:$U$492,MATCH(228,'Output Utente'!$Q$2:$Q$492,0)),"")</f>
        <v>OK</v>
      </c>
      <c r="N231" s="5" t="str">
        <f>IFERROR(INDEX('Output Utente'!$AE$2:$AE$492,MATCH(228,'Output Utente'!$Q$2:$Q$492,0)),"")</f>
        <v>🔴 Non aspettare</v>
      </c>
    </row>
    <row r="232" spans="1:14" ht="15" customHeight="1" x14ac:dyDescent="0.25">
      <c r="A232" s="41">
        <v>229</v>
      </c>
      <c r="B232" s="5">
        <f>IFERROR(INDEX('Output Utente'!$A$2:$A$492,MATCH(229,'Output Utente'!$Q$2:$Q$492,0)),"")</f>
        <v>4260</v>
      </c>
      <c r="C232" s="5" t="str">
        <f>IFERROR(INDEX('Output Utente'!$B$2:$B$492,MATCH(229,'Output Utente'!$Q$2:$Q$492,0)),"")</f>
        <v>C</v>
      </c>
      <c r="D232" s="5" t="str">
        <f>IFERROR(INDEX('Output Utente'!$C$2:$C$492,MATCH(229,'Output Utente'!$Q$2:$Q$492,0)),"")</f>
        <v>Winks</v>
      </c>
      <c r="E232" s="5" t="str">
        <f>IFERROR(INDEX('Input Giocatori 2026_27'!$D$3:$D$493,MATCH($B232,'Input Giocatori 2026_27'!$A$3:$A$493,0)),"")</f>
        <v>Cagliari</v>
      </c>
      <c r="F232" s="42">
        <f>IFERROR(INDEX('Output Utente'!$N$2:$N$492,MATCH(229,'Output Utente'!$Q$2:$Q$492,0)),"")</f>
        <v>6</v>
      </c>
      <c r="G232" s="42">
        <f>IFERROR(INDEX('Output Utente'!$O$2:$O$492,MATCH(229,'Output Utente'!$Q$2:$Q$492,0)),"")</f>
        <v>14</v>
      </c>
      <c r="H232" s="5" t="str">
        <f>IFERROR(INDEX('Output Utente'!$P$2:$P$492,MATCH(229,'Output Utente'!$Q$2:$Q$492,0)),"")</f>
        <v>Nella Media</v>
      </c>
      <c r="I232" s="42">
        <f>IFERROR(INDEX('Output Utente'!$F$2:$F$492,MATCH(229,'Output Utente'!$Q$2:$Q$492,0)),"")</f>
        <v>2</v>
      </c>
      <c r="J232" s="42">
        <f>IFERROR(INDEX('Output Utente'!$G$2:$G$492,MATCH(229,'Output Utente'!$Q$2:$Q$492,0)),"")</f>
        <v>1</v>
      </c>
      <c r="K232" s="42">
        <f>IFERROR(INDEX('Output Utente'!$H$2:$H$492,MATCH(229,'Output Utente'!$Q$2:$Q$492,0)),"")</f>
        <v>2</v>
      </c>
      <c r="L232" s="5" t="str">
        <f>IFERROR(INDEX('Output Utente'!$E$2:$E$492,MATCH(229,'Output Utente'!$Q$2:$Q$492,0)),"")</f>
        <v>NO</v>
      </c>
      <c r="M232" s="5" t="str">
        <f>IFERROR(INDEX('Output Utente'!$U$2:$U$492,MATCH(229,'Output Utente'!$Q$2:$Q$492,0)),"")</f>
        <v>OK</v>
      </c>
      <c r="N232" s="5" t="str">
        <f>IFERROR(INDEX('Output Utente'!$AE$2:$AE$492,MATCH(229,'Output Utente'!$Q$2:$Q$492,0)),"")</f>
        <v>🔴 Non aspettare</v>
      </c>
    </row>
    <row r="233" spans="1:14" ht="15" customHeight="1" x14ac:dyDescent="0.25">
      <c r="A233" s="41">
        <v>230</v>
      </c>
      <c r="B233" s="5">
        <f>IFERROR(INDEX('Output Utente'!$A$2:$A$492,MATCH(230,'Output Utente'!$Q$2:$Q$492,0)),"")</f>
        <v>5504</v>
      </c>
      <c r="C233" s="5" t="str">
        <f>IFERROR(INDEX('Output Utente'!$B$2:$B$492,MATCH(230,'Output Utente'!$Q$2:$Q$492,0)),"")</f>
        <v>C</v>
      </c>
      <c r="D233" s="5" t="str">
        <f>IFERROR(INDEX('Output Utente'!$C$2:$C$492,MATCH(230,'Output Utente'!$Q$2:$Q$492,0)),"")</f>
        <v>Coulibaly L.</v>
      </c>
      <c r="E233" s="5" t="str">
        <f>IFERROR(INDEX('Input Giocatori 2026_27'!$D$3:$D$493,MATCH($B233,'Input Giocatori 2026_27'!$A$3:$A$493,0)),"")</f>
        <v>Lecce</v>
      </c>
      <c r="F233" s="42">
        <f>IFERROR(INDEX('Output Utente'!$N$2:$N$492,MATCH(230,'Output Utente'!$Q$2:$Q$492,0)),"")</f>
        <v>6</v>
      </c>
      <c r="G233" s="42">
        <f>IFERROR(INDEX('Output Utente'!$O$2:$O$492,MATCH(230,'Output Utente'!$Q$2:$Q$492,0)),"")</f>
        <v>14</v>
      </c>
      <c r="H233" s="5" t="str">
        <f>IFERROR(INDEX('Output Utente'!$P$2:$P$492,MATCH(230,'Output Utente'!$Q$2:$Q$492,0)),"")</f>
        <v>Nella Media</v>
      </c>
      <c r="I233" s="42">
        <f>IFERROR(INDEX('Output Utente'!$F$2:$F$492,MATCH(230,'Output Utente'!$Q$2:$Q$492,0)),"")</f>
        <v>2</v>
      </c>
      <c r="J233" s="42">
        <f>IFERROR(INDEX('Output Utente'!$G$2:$G$492,MATCH(230,'Output Utente'!$Q$2:$Q$492,0)),"")</f>
        <v>1</v>
      </c>
      <c r="K233" s="42">
        <f>IFERROR(INDEX('Output Utente'!$H$2:$H$492,MATCH(230,'Output Utente'!$Q$2:$Q$492,0)),"")</f>
        <v>2</v>
      </c>
      <c r="L233" s="5" t="str">
        <f>IFERROR(INDEX('Output Utente'!$E$2:$E$492,MATCH(230,'Output Utente'!$Q$2:$Q$492,0)),"")</f>
        <v>NO</v>
      </c>
      <c r="M233" s="5" t="str">
        <f>IFERROR(INDEX('Output Utente'!$U$2:$U$492,MATCH(230,'Output Utente'!$Q$2:$Q$492,0)),"")</f>
        <v>OK</v>
      </c>
      <c r="N233" s="5" t="str">
        <f>IFERROR(INDEX('Output Utente'!$AE$2:$AE$492,MATCH(230,'Output Utente'!$Q$2:$Q$492,0)),"")</f>
        <v>🔴 Non aspettare</v>
      </c>
    </row>
    <row r="234" spans="1:14" ht="15" customHeight="1" x14ac:dyDescent="0.25">
      <c r="A234" s="41">
        <v>231</v>
      </c>
      <c r="B234" s="5">
        <f>IFERROR(INDEX('Output Utente'!$A$2:$A$492,MATCH(231,'Output Utente'!$Q$2:$Q$492,0)),"")</f>
        <v>7412</v>
      </c>
      <c r="C234" s="5" t="str">
        <f>IFERROR(INDEX('Output Utente'!$B$2:$B$492,MATCH(231,'Output Utente'!$Q$2:$Q$492,0)),"")</f>
        <v>C</v>
      </c>
      <c r="D234" s="5" t="str">
        <f>IFERROR(INDEX('Output Utente'!$C$2:$C$492,MATCH(231,'Output Utente'!$Q$2:$Q$492,0)),"")</f>
        <v>Milla</v>
      </c>
      <c r="E234" s="5" t="str">
        <f>IFERROR(INDEX('Input Giocatori 2026_27'!$D$3:$D$493,MATCH($B234,'Input Giocatori 2026_27'!$A$3:$A$493,0)),"")</f>
        <v>Como</v>
      </c>
      <c r="F234" s="42">
        <f>IFERROR(INDEX('Output Utente'!$N$2:$N$492,MATCH(231,'Output Utente'!$Q$2:$Q$492,0)),"")</f>
        <v>5</v>
      </c>
      <c r="G234" s="42">
        <f>IFERROR(INDEX('Output Utente'!$O$2:$O$492,MATCH(231,'Output Utente'!$Q$2:$Q$492,0)),"")</f>
        <v>14</v>
      </c>
      <c r="H234" s="5" t="str">
        <f>IFERROR(INDEX('Output Utente'!$P$2:$P$492,MATCH(231,'Output Utente'!$Q$2:$Q$492,0)),"")</f>
        <v>Nella Media</v>
      </c>
      <c r="I234" s="42">
        <f>IFERROR(INDEX('Output Utente'!$F$2:$F$492,MATCH(231,'Output Utente'!$Q$2:$Q$492,0)),"")</f>
        <v>2</v>
      </c>
      <c r="J234" s="42">
        <f>IFERROR(INDEX('Output Utente'!$G$2:$G$492,MATCH(231,'Output Utente'!$Q$2:$Q$492,0)),"")</f>
        <v>1</v>
      </c>
      <c r="K234" s="42">
        <f>IFERROR(INDEX('Output Utente'!$H$2:$H$492,MATCH(231,'Output Utente'!$Q$2:$Q$492,0)),"")</f>
        <v>2</v>
      </c>
      <c r="L234" s="5" t="str">
        <f>IFERROR(INDEX('Output Utente'!$E$2:$E$492,MATCH(231,'Output Utente'!$Q$2:$Q$492,0)),"")</f>
        <v>NO</v>
      </c>
      <c r="M234" s="5" t="str">
        <f>IFERROR(INDEX('Output Utente'!$U$2:$U$492,MATCH(231,'Output Utente'!$Q$2:$Q$492,0)),"")</f>
        <v>OK</v>
      </c>
      <c r="N234" s="5" t="str">
        <f>IFERROR(INDEX('Output Utente'!$AE$2:$AE$492,MATCH(231,'Output Utente'!$Q$2:$Q$492,0)),"")</f>
        <v>🔴 Non aspettare</v>
      </c>
    </row>
    <row r="235" spans="1:14" ht="15" customHeight="1" x14ac:dyDescent="0.25">
      <c r="A235" s="41">
        <v>232</v>
      </c>
      <c r="B235" s="5">
        <f>IFERROR(INDEX('Output Utente'!$A$2:$A$492,MATCH(232,'Output Utente'!$Q$2:$Q$492,0)),"")</f>
        <v>7409</v>
      </c>
      <c r="C235" s="5" t="str">
        <f>IFERROR(INDEX('Output Utente'!$B$2:$B$492,MATCH(232,'Output Utente'!$Q$2:$Q$492,0)),"")</f>
        <v>C</v>
      </c>
      <c r="D235" s="5" t="str">
        <f>IFERROR(INDEX('Output Utente'!$C$2:$C$492,MATCH(232,'Output Utente'!$Q$2:$Q$492,0)),"")</f>
        <v>Meichtry</v>
      </c>
      <c r="E235" s="5" t="str">
        <f>IFERROR(INDEX('Input Giocatori 2026_27'!$D$3:$D$493,MATCH($B235,'Input Giocatori 2026_27'!$A$3:$A$493,0)),"")</f>
        <v>Genoa</v>
      </c>
      <c r="F235" s="42">
        <f>IFERROR(INDEX('Output Utente'!$N$2:$N$492,MATCH(232,'Output Utente'!$Q$2:$Q$492,0)),"")</f>
        <v>5</v>
      </c>
      <c r="G235" s="42">
        <f>IFERROR(INDEX('Output Utente'!$O$2:$O$492,MATCH(232,'Output Utente'!$Q$2:$Q$492,0)),"")</f>
        <v>14</v>
      </c>
      <c r="H235" s="5" t="str">
        <f>IFERROR(INDEX('Output Utente'!$P$2:$P$492,MATCH(232,'Output Utente'!$Q$2:$Q$492,0)),"")</f>
        <v>Nella Media</v>
      </c>
      <c r="I235" s="42">
        <f>IFERROR(INDEX('Output Utente'!$F$2:$F$492,MATCH(232,'Output Utente'!$Q$2:$Q$492,0)),"")</f>
        <v>2</v>
      </c>
      <c r="J235" s="42">
        <f>IFERROR(INDEX('Output Utente'!$G$2:$G$492,MATCH(232,'Output Utente'!$Q$2:$Q$492,0)),"")</f>
        <v>1</v>
      </c>
      <c r="K235" s="42">
        <f>IFERROR(INDEX('Output Utente'!$H$2:$H$492,MATCH(232,'Output Utente'!$Q$2:$Q$492,0)),"")</f>
        <v>2</v>
      </c>
      <c r="L235" s="5" t="str">
        <f>IFERROR(INDEX('Output Utente'!$E$2:$E$492,MATCH(232,'Output Utente'!$Q$2:$Q$492,0)),"")</f>
        <v>NO</v>
      </c>
      <c r="M235" s="5" t="str">
        <f>IFERROR(INDEX('Output Utente'!$U$2:$U$492,MATCH(232,'Output Utente'!$Q$2:$Q$492,0)),"")</f>
        <v>OK</v>
      </c>
      <c r="N235" s="5" t="str">
        <f>IFERROR(INDEX('Output Utente'!$AE$2:$AE$492,MATCH(232,'Output Utente'!$Q$2:$Q$492,0)),"")</f>
        <v>🔴 Non aspettare</v>
      </c>
    </row>
    <row r="236" spans="1:14" ht="15" customHeight="1" x14ac:dyDescent="0.25">
      <c r="A236" s="41">
        <v>233</v>
      </c>
      <c r="B236" s="5">
        <f>IFERROR(INDEX('Output Utente'!$A$2:$A$492,MATCH(233,'Output Utente'!$Q$2:$Q$492,0)),"")</f>
        <v>5685</v>
      </c>
      <c r="C236" s="5" t="str">
        <f>IFERROR(INDEX('Output Utente'!$B$2:$B$492,MATCH(233,'Output Utente'!$Q$2:$Q$492,0)),"")</f>
        <v>C</v>
      </c>
      <c r="D236" s="5" t="str">
        <f>IFERROR(INDEX('Output Utente'!$C$2:$C$492,MATCH(233,'Output Utente'!$Q$2:$Q$492,0)),"")</f>
        <v>Koopmeiners</v>
      </c>
      <c r="E236" s="5" t="str">
        <f>IFERROR(INDEX('Input Giocatori 2026_27'!$D$3:$D$493,MATCH($B236,'Input Giocatori 2026_27'!$A$3:$A$493,0)),"")</f>
        <v>Juventus</v>
      </c>
      <c r="F236" s="42">
        <f>IFERROR(INDEX('Output Utente'!$N$2:$N$492,MATCH(233,'Output Utente'!$Q$2:$Q$492,0)),"")</f>
        <v>5</v>
      </c>
      <c r="G236" s="42">
        <f>IFERROR(INDEX('Output Utente'!$O$2:$O$492,MATCH(233,'Output Utente'!$Q$2:$Q$492,0)),"")</f>
        <v>14</v>
      </c>
      <c r="H236" s="5" t="str">
        <f>IFERROR(INDEX('Output Utente'!$P$2:$P$492,MATCH(233,'Output Utente'!$Q$2:$Q$492,0)),"")</f>
        <v>Nella Media</v>
      </c>
      <c r="I236" s="42">
        <f>IFERROR(INDEX('Output Utente'!$F$2:$F$492,MATCH(233,'Output Utente'!$Q$2:$Q$492,0)),"")</f>
        <v>2</v>
      </c>
      <c r="J236" s="42">
        <f>IFERROR(INDEX('Output Utente'!$G$2:$G$492,MATCH(233,'Output Utente'!$Q$2:$Q$492,0)),"")</f>
        <v>1</v>
      </c>
      <c r="K236" s="42">
        <f>IFERROR(INDEX('Output Utente'!$H$2:$H$492,MATCH(233,'Output Utente'!$Q$2:$Q$492,0)),"")</f>
        <v>2</v>
      </c>
      <c r="L236" s="5" t="str">
        <f>IFERROR(INDEX('Output Utente'!$E$2:$E$492,MATCH(233,'Output Utente'!$Q$2:$Q$492,0)),"")</f>
        <v>NO</v>
      </c>
      <c r="M236" s="5" t="str">
        <f>IFERROR(INDEX('Output Utente'!$U$2:$U$492,MATCH(233,'Output Utente'!$Q$2:$Q$492,0)),"")</f>
        <v>OK</v>
      </c>
      <c r="N236" s="5" t="str">
        <f>IFERROR(INDEX('Output Utente'!$AE$2:$AE$492,MATCH(233,'Output Utente'!$Q$2:$Q$492,0)),"")</f>
        <v>🔴 Non aspettare</v>
      </c>
    </row>
    <row r="237" spans="1:14" ht="15" customHeight="1" x14ac:dyDescent="0.25">
      <c r="A237" s="41">
        <v>234</v>
      </c>
      <c r="B237" s="5">
        <f>IFERROR(INDEX('Output Utente'!$A$2:$A$492,MATCH(234,'Output Utente'!$Q$2:$Q$492,0)),"")</f>
        <v>7318</v>
      </c>
      <c r="C237" s="5" t="str">
        <f>IFERROR(INDEX('Output Utente'!$B$2:$B$492,MATCH(234,'Output Utente'!$Q$2:$Q$492,0)),"")</f>
        <v>C</v>
      </c>
      <c r="D237" s="5" t="str">
        <f>IFERROR(INDEX('Output Utente'!$C$2:$C$492,MATCH(234,'Output Utente'!$Q$2:$Q$492,0)),"")</f>
        <v>Gandelman</v>
      </c>
      <c r="E237" s="5" t="str">
        <f>IFERROR(INDEX('Input Giocatori 2026_27'!$D$3:$D$493,MATCH($B237,'Input Giocatori 2026_27'!$A$3:$A$493,0)),"")</f>
        <v>Lecce</v>
      </c>
      <c r="F237" s="42">
        <f>IFERROR(INDEX('Output Utente'!$N$2:$N$492,MATCH(234,'Output Utente'!$Q$2:$Q$492,0)),"")</f>
        <v>5</v>
      </c>
      <c r="G237" s="42">
        <f>IFERROR(INDEX('Output Utente'!$O$2:$O$492,MATCH(234,'Output Utente'!$Q$2:$Q$492,0)),"")</f>
        <v>14</v>
      </c>
      <c r="H237" s="5" t="str">
        <f>IFERROR(INDEX('Output Utente'!$P$2:$P$492,MATCH(234,'Output Utente'!$Q$2:$Q$492,0)),"")</f>
        <v>Nella Media</v>
      </c>
      <c r="I237" s="42">
        <f>IFERROR(INDEX('Output Utente'!$F$2:$F$492,MATCH(234,'Output Utente'!$Q$2:$Q$492,0)),"")</f>
        <v>2</v>
      </c>
      <c r="J237" s="42">
        <f>IFERROR(INDEX('Output Utente'!$G$2:$G$492,MATCH(234,'Output Utente'!$Q$2:$Q$492,0)),"")</f>
        <v>1</v>
      </c>
      <c r="K237" s="42">
        <f>IFERROR(INDEX('Output Utente'!$H$2:$H$492,MATCH(234,'Output Utente'!$Q$2:$Q$492,0)),"")</f>
        <v>2</v>
      </c>
      <c r="L237" s="5" t="str">
        <f>IFERROR(INDEX('Output Utente'!$E$2:$E$492,MATCH(234,'Output Utente'!$Q$2:$Q$492,0)),"")</f>
        <v>NO</v>
      </c>
      <c r="M237" s="5" t="str">
        <f>IFERROR(INDEX('Output Utente'!$U$2:$U$492,MATCH(234,'Output Utente'!$Q$2:$Q$492,0)),"")</f>
        <v>OK</v>
      </c>
      <c r="N237" s="5" t="str">
        <f>IFERROR(INDEX('Output Utente'!$AE$2:$AE$492,MATCH(234,'Output Utente'!$Q$2:$Q$492,0)),"")</f>
        <v>🔴 Non aspettare</v>
      </c>
    </row>
    <row r="238" spans="1:14" ht="15" customHeight="1" x14ac:dyDescent="0.25">
      <c r="A238" s="41">
        <v>235</v>
      </c>
      <c r="B238" s="5">
        <f>IFERROR(INDEX('Output Utente'!$A$2:$A$492,MATCH(235,'Output Utente'!$Q$2:$Q$492,0)),"")</f>
        <v>6677</v>
      </c>
      <c r="C238" s="5" t="str">
        <f>IFERROR(INDEX('Output Utente'!$B$2:$B$492,MATCH(235,'Output Utente'!$Q$2:$Q$492,0)),"")</f>
        <v>C</v>
      </c>
      <c r="D238" s="5" t="str">
        <f>IFERROR(INDEX('Output Utente'!$C$2:$C$492,MATCH(235,'Output Utente'!$Q$2:$Q$492,0)),"")</f>
        <v>Adzic</v>
      </c>
      <c r="E238" s="5" t="str">
        <f>IFERROR(INDEX('Input Giocatori 2026_27'!$D$3:$D$493,MATCH($B238,'Input Giocatori 2026_27'!$A$3:$A$493,0)),"")</f>
        <v>Sassuolo</v>
      </c>
      <c r="F238" s="42">
        <f>IFERROR(INDEX('Output Utente'!$N$2:$N$492,MATCH(235,'Output Utente'!$Q$2:$Q$492,0)),"")</f>
        <v>5</v>
      </c>
      <c r="G238" s="42">
        <f>IFERROR(INDEX('Output Utente'!$O$2:$O$492,MATCH(235,'Output Utente'!$Q$2:$Q$492,0)),"")</f>
        <v>14</v>
      </c>
      <c r="H238" s="5" t="str">
        <f>IFERROR(INDEX('Output Utente'!$P$2:$P$492,MATCH(235,'Output Utente'!$Q$2:$Q$492,0)),"")</f>
        <v>Nella Media</v>
      </c>
      <c r="I238" s="42">
        <f>IFERROR(INDEX('Output Utente'!$F$2:$F$492,MATCH(235,'Output Utente'!$Q$2:$Q$492,0)),"")</f>
        <v>2</v>
      </c>
      <c r="J238" s="42">
        <f>IFERROR(INDEX('Output Utente'!$G$2:$G$492,MATCH(235,'Output Utente'!$Q$2:$Q$492,0)),"")</f>
        <v>1</v>
      </c>
      <c r="K238" s="42">
        <f>IFERROR(INDEX('Output Utente'!$H$2:$H$492,MATCH(235,'Output Utente'!$Q$2:$Q$492,0)),"")</f>
        <v>2</v>
      </c>
      <c r="L238" s="5" t="str">
        <f>IFERROR(INDEX('Output Utente'!$E$2:$E$492,MATCH(235,'Output Utente'!$Q$2:$Q$492,0)),"")</f>
        <v>NO</v>
      </c>
      <c r="M238" s="5" t="str">
        <f>IFERROR(INDEX('Output Utente'!$U$2:$U$492,MATCH(235,'Output Utente'!$Q$2:$Q$492,0)),"")</f>
        <v>OK</v>
      </c>
      <c r="N238" s="5" t="str">
        <f>IFERROR(INDEX('Output Utente'!$AE$2:$AE$492,MATCH(235,'Output Utente'!$Q$2:$Q$492,0)),"")</f>
        <v>🔴 Non aspettare</v>
      </c>
    </row>
    <row r="239" spans="1:14" ht="15" customHeight="1" x14ac:dyDescent="0.25">
      <c r="A239" s="41">
        <v>236</v>
      </c>
      <c r="B239" s="5">
        <f>IFERROR(INDEX('Output Utente'!$A$2:$A$492,MATCH(236,'Output Utente'!$Q$2:$Q$492,0)),"")</f>
        <v>5507</v>
      </c>
      <c r="C239" s="5" t="str">
        <f>IFERROR(INDEX('Output Utente'!$B$2:$B$492,MATCH(236,'Output Utente'!$Q$2:$Q$492,0)),"")</f>
        <v>C</v>
      </c>
      <c r="D239" s="5" t="str">
        <f>IFERROR(INDEX('Output Utente'!$C$2:$C$492,MATCH(236,'Output Utente'!$Q$2:$Q$492,0)),"")</f>
        <v>Busio</v>
      </c>
      <c r="E239" s="5" t="str">
        <f>IFERROR(INDEX('Input Giocatori 2026_27'!$D$3:$D$493,MATCH($B239,'Input Giocatori 2026_27'!$A$3:$A$493,0)),"")</f>
        <v>Venezia</v>
      </c>
      <c r="F239" s="42">
        <f>IFERROR(INDEX('Output Utente'!$N$2:$N$492,MATCH(236,'Output Utente'!$Q$2:$Q$492,0)),"")</f>
        <v>5</v>
      </c>
      <c r="G239" s="42">
        <f>IFERROR(INDEX('Output Utente'!$O$2:$O$492,MATCH(236,'Output Utente'!$Q$2:$Q$492,0)),"")</f>
        <v>14</v>
      </c>
      <c r="H239" s="5" t="str">
        <f>IFERROR(INDEX('Output Utente'!$P$2:$P$492,MATCH(236,'Output Utente'!$Q$2:$Q$492,0)),"")</f>
        <v>Nella Media</v>
      </c>
      <c r="I239" s="42">
        <f>IFERROR(INDEX('Output Utente'!$F$2:$F$492,MATCH(236,'Output Utente'!$Q$2:$Q$492,0)),"")</f>
        <v>2</v>
      </c>
      <c r="J239" s="42">
        <f>IFERROR(INDEX('Output Utente'!$G$2:$G$492,MATCH(236,'Output Utente'!$Q$2:$Q$492,0)),"")</f>
        <v>1</v>
      </c>
      <c r="K239" s="42">
        <f>IFERROR(INDEX('Output Utente'!$H$2:$H$492,MATCH(236,'Output Utente'!$Q$2:$Q$492,0)),"")</f>
        <v>2</v>
      </c>
      <c r="L239" s="5" t="str">
        <f>IFERROR(INDEX('Output Utente'!$E$2:$E$492,MATCH(236,'Output Utente'!$Q$2:$Q$492,0)),"")</f>
        <v>NO</v>
      </c>
      <c r="M239" s="5" t="str">
        <f>IFERROR(INDEX('Output Utente'!$U$2:$U$492,MATCH(236,'Output Utente'!$Q$2:$Q$492,0)),"")</f>
        <v>OK</v>
      </c>
      <c r="N239" s="5" t="str">
        <f>IFERROR(INDEX('Output Utente'!$AE$2:$AE$492,MATCH(236,'Output Utente'!$Q$2:$Q$492,0)),"")</f>
        <v>🔴 Non aspettare</v>
      </c>
    </row>
    <row r="240" spans="1:14" ht="15" customHeight="1" x14ac:dyDescent="0.25">
      <c r="A240" s="41">
        <v>237</v>
      </c>
      <c r="B240" s="5">
        <f>IFERROR(INDEX('Output Utente'!$A$2:$A$492,MATCH(237,'Output Utente'!$Q$2:$Q$492,0)),"")</f>
        <v>5319</v>
      </c>
      <c r="C240" s="5" t="str">
        <f>IFERROR(INDEX('Output Utente'!$B$2:$B$492,MATCH(237,'Output Utente'!$Q$2:$Q$492,0)),"")</f>
        <v>C</v>
      </c>
      <c r="D240" s="5" t="str">
        <f>IFERROR(INDEX('Output Utente'!$C$2:$C$492,MATCH(237,'Output Utente'!$Q$2:$Q$492,0)),"")</f>
        <v>Sohm</v>
      </c>
      <c r="E240" s="5" t="str">
        <f>IFERROR(INDEX('Input Giocatori 2026_27'!$D$3:$D$493,MATCH($B240,'Input Giocatori 2026_27'!$A$3:$A$493,0)),"")</f>
        <v>Venezia</v>
      </c>
      <c r="F240" s="42">
        <f>IFERROR(INDEX('Output Utente'!$N$2:$N$492,MATCH(237,'Output Utente'!$Q$2:$Q$492,0)),"")</f>
        <v>5</v>
      </c>
      <c r="G240" s="42">
        <f>IFERROR(INDEX('Output Utente'!$O$2:$O$492,MATCH(237,'Output Utente'!$Q$2:$Q$492,0)),"")</f>
        <v>14</v>
      </c>
      <c r="H240" s="5" t="str">
        <f>IFERROR(INDEX('Output Utente'!$P$2:$P$492,MATCH(237,'Output Utente'!$Q$2:$Q$492,0)),"")</f>
        <v>Nella Media</v>
      </c>
      <c r="I240" s="42">
        <f>IFERROR(INDEX('Output Utente'!$F$2:$F$492,MATCH(237,'Output Utente'!$Q$2:$Q$492,0)),"")</f>
        <v>2</v>
      </c>
      <c r="J240" s="42">
        <f>IFERROR(INDEX('Output Utente'!$G$2:$G$492,MATCH(237,'Output Utente'!$Q$2:$Q$492,0)),"")</f>
        <v>1</v>
      </c>
      <c r="K240" s="42">
        <f>IFERROR(INDEX('Output Utente'!$H$2:$H$492,MATCH(237,'Output Utente'!$Q$2:$Q$492,0)),"")</f>
        <v>2</v>
      </c>
      <c r="L240" s="5" t="str">
        <f>IFERROR(INDEX('Output Utente'!$E$2:$E$492,MATCH(237,'Output Utente'!$Q$2:$Q$492,0)),"")</f>
        <v>NO</v>
      </c>
      <c r="M240" s="5" t="str">
        <f>IFERROR(INDEX('Output Utente'!$U$2:$U$492,MATCH(237,'Output Utente'!$Q$2:$Q$492,0)),"")</f>
        <v>OK</v>
      </c>
      <c r="N240" s="5" t="str">
        <f>IFERROR(INDEX('Output Utente'!$AE$2:$AE$492,MATCH(237,'Output Utente'!$Q$2:$Q$492,0)),"")</f>
        <v>🔴 Non aspettare</v>
      </c>
    </row>
    <row r="241" spans="1:14" ht="15" customHeight="1" x14ac:dyDescent="0.25">
      <c r="A241" s="41">
        <v>238</v>
      </c>
      <c r="B241" s="5">
        <f>IFERROR(INDEX('Output Utente'!$A$2:$A$492,MATCH(238,'Output Utente'!$Q$2:$Q$492,0)),"")</f>
        <v>6994</v>
      </c>
      <c r="C241" s="5" t="str">
        <f>IFERROR(INDEX('Output Utente'!$B$2:$B$492,MATCH(238,'Output Utente'!$Q$2:$Q$492,0)),"")</f>
        <v>C</v>
      </c>
      <c r="D241" s="5" t="str">
        <f>IFERROR(INDEX('Output Utente'!$C$2:$C$492,MATCH(238,'Output Utente'!$Q$2:$Q$492,0)),"")</f>
        <v>Perez K.</v>
      </c>
      <c r="E241" s="5" t="str">
        <f>IFERROR(INDEX('Input Giocatori 2026_27'!$D$3:$D$493,MATCH($B241,'Input Giocatori 2026_27'!$A$3:$A$493,0)),"")</f>
        <v>Venezia</v>
      </c>
      <c r="F241" s="42">
        <f>IFERROR(INDEX('Output Utente'!$N$2:$N$492,MATCH(238,'Output Utente'!$Q$2:$Q$492,0)),"")</f>
        <v>5</v>
      </c>
      <c r="G241" s="42">
        <f>IFERROR(INDEX('Output Utente'!$O$2:$O$492,MATCH(238,'Output Utente'!$Q$2:$Q$492,0)),"")</f>
        <v>14</v>
      </c>
      <c r="H241" s="5" t="str">
        <f>IFERROR(INDEX('Output Utente'!$P$2:$P$492,MATCH(238,'Output Utente'!$Q$2:$Q$492,0)),"")</f>
        <v>Nella Media</v>
      </c>
      <c r="I241" s="42">
        <f>IFERROR(INDEX('Output Utente'!$F$2:$F$492,MATCH(238,'Output Utente'!$Q$2:$Q$492,0)),"")</f>
        <v>2</v>
      </c>
      <c r="J241" s="42">
        <f>IFERROR(INDEX('Output Utente'!$G$2:$G$492,MATCH(238,'Output Utente'!$Q$2:$Q$492,0)),"")</f>
        <v>1</v>
      </c>
      <c r="K241" s="42">
        <f>IFERROR(INDEX('Output Utente'!$H$2:$H$492,MATCH(238,'Output Utente'!$Q$2:$Q$492,0)),"")</f>
        <v>2</v>
      </c>
      <c r="L241" s="5" t="str">
        <f>IFERROR(INDEX('Output Utente'!$E$2:$E$492,MATCH(238,'Output Utente'!$Q$2:$Q$492,0)),"")</f>
        <v>NO</v>
      </c>
      <c r="M241" s="5" t="str">
        <f>IFERROR(INDEX('Output Utente'!$U$2:$U$492,MATCH(238,'Output Utente'!$Q$2:$Q$492,0)),"")</f>
        <v>OK</v>
      </c>
      <c r="N241" s="5" t="str">
        <f>IFERROR(INDEX('Output Utente'!$AE$2:$AE$492,MATCH(238,'Output Utente'!$Q$2:$Q$492,0)),"")</f>
        <v>🔴 Non aspettare</v>
      </c>
    </row>
    <row r="242" spans="1:14" ht="15" customHeight="1" x14ac:dyDescent="0.25">
      <c r="A242" s="41">
        <v>239</v>
      </c>
      <c r="B242" s="5">
        <f>IFERROR(INDEX('Output Utente'!$A$2:$A$492,MATCH(239,'Output Utente'!$Q$2:$Q$492,0)),"")</f>
        <v>6207</v>
      </c>
      <c r="C242" s="5" t="str">
        <f>IFERROR(INDEX('Output Utente'!$B$2:$B$492,MATCH(239,'Output Utente'!$Q$2:$Q$492,0)),"")</f>
        <v>C</v>
      </c>
      <c r="D242" s="5" t="str">
        <f>IFERROR(INDEX('Output Utente'!$C$2:$C$492,MATCH(239,'Output Utente'!$Q$2:$Q$492,0)),"")</f>
        <v>Almqvist</v>
      </c>
      <c r="E242" s="5" t="str">
        <f>IFERROR(INDEX('Input Giocatori 2026_27'!$D$3:$D$493,MATCH($B242,'Input Giocatori 2026_27'!$A$3:$A$493,0)),"")</f>
        <v>Parma</v>
      </c>
      <c r="F242" s="42">
        <f>IFERROR(INDEX('Output Utente'!$N$2:$N$492,MATCH(239,'Output Utente'!$Q$2:$Q$492,0)),"")</f>
        <v>4</v>
      </c>
      <c r="G242" s="42">
        <f>IFERROR(INDEX('Output Utente'!$O$2:$O$492,MATCH(239,'Output Utente'!$Q$2:$Q$492,0)),"")</f>
        <v>14</v>
      </c>
      <c r="H242" s="5" t="str">
        <f>IFERROR(INDEX('Output Utente'!$P$2:$P$492,MATCH(239,'Output Utente'!$Q$2:$Q$492,0)),"")</f>
        <v>Nella Media</v>
      </c>
      <c r="I242" s="42">
        <f>IFERROR(INDEX('Output Utente'!$F$2:$F$492,MATCH(239,'Output Utente'!$Q$2:$Q$492,0)),"")</f>
        <v>2</v>
      </c>
      <c r="J242" s="42">
        <f>IFERROR(INDEX('Output Utente'!$G$2:$G$492,MATCH(239,'Output Utente'!$Q$2:$Q$492,0)),"")</f>
        <v>1</v>
      </c>
      <c r="K242" s="42">
        <f>IFERROR(INDEX('Output Utente'!$H$2:$H$492,MATCH(239,'Output Utente'!$Q$2:$Q$492,0)),"")</f>
        <v>2</v>
      </c>
      <c r="L242" s="5" t="str">
        <f>IFERROR(INDEX('Output Utente'!$E$2:$E$492,MATCH(239,'Output Utente'!$Q$2:$Q$492,0)),"")</f>
        <v>NO</v>
      </c>
      <c r="M242" s="5" t="str">
        <f>IFERROR(INDEX('Output Utente'!$U$2:$U$492,MATCH(239,'Output Utente'!$Q$2:$Q$492,0)),"")</f>
        <v>OK</v>
      </c>
      <c r="N242" s="5" t="str">
        <f>IFERROR(INDEX('Output Utente'!$AE$2:$AE$492,MATCH(239,'Output Utente'!$Q$2:$Q$492,0)),"")</f>
        <v>🔴 Non aspettare</v>
      </c>
    </row>
    <row r="243" spans="1:14" ht="15" customHeight="1" x14ac:dyDescent="0.25">
      <c r="A243" s="41">
        <v>240</v>
      </c>
      <c r="B243" s="5">
        <f>IFERROR(INDEX('Output Utente'!$A$2:$A$492,MATCH(240,'Output Utente'!$Q$2:$Q$492,0)),"")</f>
        <v>7008</v>
      </c>
      <c r="C243" s="5" t="str">
        <f>IFERROR(INDEX('Output Utente'!$B$2:$B$492,MATCH(240,'Output Utente'!$Q$2:$Q$492,0)),"")</f>
        <v>A</v>
      </c>
      <c r="D243" s="5" t="str">
        <f>IFERROR(INDEX('Output Utente'!$C$2:$C$492,MATCH(240,'Output Utente'!$Q$2:$Q$492,0)),"")</f>
        <v>Gimenez</v>
      </c>
      <c r="E243" s="5" t="str">
        <f>IFERROR(INDEX('Input Giocatori 2026_27'!$D$3:$D$493,MATCH($B243,'Input Giocatori 2026_27'!$A$3:$A$493,0)),"")</f>
        <v>Milan</v>
      </c>
      <c r="F243" s="42">
        <f>IFERROR(INDEX('Output Utente'!$N$2:$N$492,MATCH(240,'Output Utente'!$Q$2:$Q$492,0)),"")</f>
        <v>6</v>
      </c>
      <c r="G243" s="42">
        <f>IFERROR(INDEX('Output Utente'!$O$2:$O$492,MATCH(240,'Output Utente'!$Q$2:$Q$492,0)),"")</f>
        <v>14</v>
      </c>
      <c r="H243" s="5" t="str">
        <f>IFERROR(INDEX('Output Utente'!$P$2:$P$492,MATCH(240,'Output Utente'!$Q$2:$Q$492,0)),"")</f>
        <v>Scommessa/Riserva</v>
      </c>
      <c r="I243" s="42">
        <f>IFERROR(INDEX('Output Utente'!$F$2:$F$492,MATCH(240,'Output Utente'!$Q$2:$Q$492,0)),"")</f>
        <v>4</v>
      </c>
      <c r="J243" s="42">
        <f>IFERROR(INDEX('Output Utente'!$G$2:$G$492,MATCH(240,'Output Utente'!$Q$2:$Q$492,0)),"")</f>
        <v>3</v>
      </c>
      <c r="K243" s="42">
        <f>IFERROR(INDEX('Output Utente'!$H$2:$H$492,MATCH(240,'Output Utente'!$Q$2:$Q$492,0)),"")</f>
        <v>5</v>
      </c>
      <c r="L243" s="5" t="str">
        <f>IFERROR(INDEX('Output Utente'!$E$2:$E$492,MATCH(240,'Output Utente'!$Q$2:$Q$492,0)),"")</f>
        <v>NO</v>
      </c>
      <c r="M243" s="5" t="str">
        <f>IFERROR(INDEX('Output Utente'!$U$2:$U$492,MATCH(240,'Output Utente'!$Q$2:$Q$492,0)),"")</f>
        <v>OK</v>
      </c>
      <c r="N243" s="5" t="str">
        <f>IFERROR(INDEX('Output Utente'!$AE$2:$AE$492,MATCH(240,'Output Utente'!$Q$2:$Q$492,0)),"")</f>
        <v>🔴 Non aspettare</v>
      </c>
    </row>
    <row r="244" spans="1:14" ht="15" customHeight="1" x14ac:dyDescent="0.25">
      <c r="A244" s="41">
        <v>241</v>
      </c>
      <c r="B244" s="5">
        <f>IFERROR(INDEX('Output Utente'!$A$2:$A$492,MATCH(241,'Output Utente'!$Q$2:$Q$492,0)),"")</f>
        <v>4896</v>
      </c>
      <c r="C244" s="5" t="str">
        <f>IFERROR(INDEX('Output Utente'!$B$2:$B$492,MATCH(241,'Output Utente'!$Q$2:$Q$492,0)),"")</f>
        <v>A</v>
      </c>
      <c r="D244" s="5" t="str">
        <f>IFERROR(INDEX('Output Utente'!$C$2:$C$492,MATCH(241,'Output Utente'!$Q$2:$Q$492,0)),"")</f>
        <v>Maldini</v>
      </c>
      <c r="E244" s="5" t="str">
        <f>IFERROR(INDEX('Input Giocatori 2026_27'!$D$3:$D$493,MATCH($B244,'Input Giocatori 2026_27'!$A$3:$A$493,0)),"")</f>
        <v>Atalanta</v>
      </c>
      <c r="F244" s="42">
        <f>IFERROR(INDEX('Output Utente'!$N$2:$N$492,MATCH(241,'Output Utente'!$Q$2:$Q$492,0)),"")</f>
        <v>5</v>
      </c>
      <c r="G244" s="42">
        <f>IFERROR(INDEX('Output Utente'!$O$2:$O$492,MATCH(241,'Output Utente'!$Q$2:$Q$492,0)),"")</f>
        <v>14</v>
      </c>
      <c r="H244" s="5" t="str">
        <f>IFERROR(INDEX('Output Utente'!$P$2:$P$492,MATCH(241,'Output Utente'!$Q$2:$Q$492,0)),"")</f>
        <v>Scommessa/Riserva</v>
      </c>
      <c r="I244" s="42">
        <f>IFERROR(INDEX('Output Utente'!$F$2:$F$492,MATCH(241,'Output Utente'!$Q$2:$Q$492,0)),"")</f>
        <v>4</v>
      </c>
      <c r="J244" s="42">
        <f>IFERROR(INDEX('Output Utente'!$G$2:$G$492,MATCH(241,'Output Utente'!$Q$2:$Q$492,0)),"")</f>
        <v>3</v>
      </c>
      <c r="K244" s="42">
        <f>IFERROR(INDEX('Output Utente'!$H$2:$H$492,MATCH(241,'Output Utente'!$Q$2:$Q$492,0)),"")</f>
        <v>5</v>
      </c>
      <c r="L244" s="5" t="str">
        <f>IFERROR(INDEX('Output Utente'!$E$2:$E$492,MATCH(241,'Output Utente'!$Q$2:$Q$492,0)),"")</f>
        <v>NO</v>
      </c>
      <c r="M244" s="5" t="str">
        <f>IFERROR(INDEX('Output Utente'!$U$2:$U$492,MATCH(241,'Output Utente'!$Q$2:$Q$492,0)),"")</f>
        <v>OK</v>
      </c>
      <c r="N244" s="5" t="str">
        <f>IFERROR(INDEX('Output Utente'!$AE$2:$AE$492,MATCH(241,'Output Utente'!$Q$2:$Q$492,0)),"")</f>
        <v>🔴 Non aspettare</v>
      </c>
    </row>
    <row r="245" spans="1:14" ht="15" customHeight="1" x14ac:dyDescent="0.25">
      <c r="A245" s="41">
        <v>242</v>
      </c>
      <c r="B245" s="5">
        <f>IFERROR(INDEX('Output Utente'!$A$2:$A$492,MATCH(242,'Output Utente'!$Q$2:$Q$492,0)),"")</f>
        <v>4387</v>
      </c>
      <c r="C245" s="5" t="str">
        <f>IFERROR(INDEX('Output Utente'!$B$2:$B$492,MATCH(242,'Output Utente'!$Q$2:$Q$492,0)),"")</f>
        <v>A</v>
      </c>
      <c r="D245" s="5" t="str">
        <f>IFERROR(INDEX('Output Utente'!$C$2:$C$492,MATCH(242,'Output Utente'!$Q$2:$Q$492,0)),"")</f>
        <v>Adorante</v>
      </c>
      <c r="E245" s="5" t="str">
        <f>IFERROR(INDEX('Input Giocatori 2026_27'!$D$3:$D$493,MATCH($B245,'Input Giocatori 2026_27'!$A$3:$A$493,0)),"")</f>
        <v>Venezia</v>
      </c>
      <c r="F245" s="42">
        <f>IFERROR(INDEX('Output Utente'!$N$2:$N$492,MATCH(242,'Output Utente'!$Q$2:$Q$492,0)),"")</f>
        <v>5</v>
      </c>
      <c r="G245" s="42">
        <f>IFERROR(INDEX('Output Utente'!$O$2:$O$492,MATCH(242,'Output Utente'!$Q$2:$Q$492,0)),"")</f>
        <v>14</v>
      </c>
      <c r="H245" s="5" t="str">
        <f>IFERROR(INDEX('Output Utente'!$P$2:$P$492,MATCH(242,'Output Utente'!$Q$2:$Q$492,0)),"")</f>
        <v>Scommessa/Riserva</v>
      </c>
      <c r="I245" s="42">
        <f>IFERROR(INDEX('Output Utente'!$F$2:$F$492,MATCH(242,'Output Utente'!$Q$2:$Q$492,0)),"")</f>
        <v>4</v>
      </c>
      <c r="J245" s="42">
        <f>IFERROR(INDEX('Output Utente'!$G$2:$G$492,MATCH(242,'Output Utente'!$Q$2:$Q$492,0)),"")</f>
        <v>3</v>
      </c>
      <c r="K245" s="42">
        <f>IFERROR(INDEX('Output Utente'!$H$2:$H$492,MATCH(242,'Output Utente'!$Q$2:$Q$492,0)),"")</f>
        <v>5</v>
      </c>
      <c r="L245" s="5" t="str">
        <f>IFERROR(INDEX('Output Utente'!$E$2:$E$492,MATCH(242,'Output Utente'!$Q$2:$Q$492,0)),"")</f>
        <v>NO</v>
      </c>
      <c r="M245" s="5" t="str">
        <f>IFERROR(INDEX('Output Utente'!$U$2:$U$492,MATCH(242,'Output Utente'!$Q$2:$Q$492,0)),"")</f>
        <v>OK</v>
      </c>
      <c r="N245" s="5" t="str">
        <f>IFERROR(INDEX('Output Utente'!$AE$2:$AE$492,MATCH(242,'Output Utente'!$Q$2:$Q$492,0)),"")</f>
        <v>🔴 Non aspettare</v>
      </c>
    </row>
    <row r="246" spans="1:14" ht="15" customHeight="1" x14ac:dyDescent="0.25">
      <c r="A246" s="41">
        <v>243</v>
      </c>
      <c r="B246" s="5">
        <f>IFERROR(INDEX('Output Utente'!$A$2:$A$492,MATCH(243,'Output Utente'!$Q$2:$Q$492,0)),"")</f>
        <v>6660</v>
      </c>
      <c r="C246" s="5" t="str">
        <f>IFERROR(INDEX('Output Utente'!$B$2:$B$492,MATCH(243,'Output Utente'!$Q$2:$Q$492,0)),"")</f>
        <v>D</v>
      </c>
      <c r="D246" s="5" t="str">
        <f>IFERROR(INDEX('Output Utente'!$C$2:$C$492,MATCH(243,'Output Utente'!$Q$2:$Q$492,0)),"")</f>
        <v>Marcandalli</v>
      </c>
      <c r="E246" s="5" t="str">
        <f>IFERROR(INDEX('Input Giocatori 2026_27'!$D$3:$D$493,MATCH($B246,'Input Giocatori 2026_27'!$A$3:$A$493,0)),"")</f>
        <v>Genoa</v>
      </c>
      <c r="F246" s="42">
        <f>IFERROR(INDEX('Output Utente'!$N$2:$N$492,MATCH(243,'Output Utente'!$Q$2:$Q$492,0)),"")</f>
        <v>6</v>
      </c>
      <c r="G246" s="42">
        <f>IFERROR(INDEX('Output Utente'!$O$2:$O$492,MATCH(243,'Output Utente'!$Q$2:$Q$492,0)),"")</f>
        <v>13</v>
      </c>
      <c r="H246" s="5" t="str">
        <f>IFERROR(INDEX('Output Utente'!$P$2:$P$492,MATCH(243,'Output Utente'!$Q$2:$Q$492,0)),"")</f>
        <v>Nella Media</v>
      </c>
      <c r="I246" s="42">
        <f>IFERROR(INDEX('Output Utente'!$F$2:$F$492,MATCH(243,'Output Utente'!$Q$2:$Q$492,0)),"")</f>
        <v>3</v>
      </c>
      <c r="J246" s="42">
        <f>IFERROR(INDEX('Output Utente'!$G$2:$G$492,MATCH(243,'Output Utente'!$Q$2:$Q$492,0)),"")</f>
        <v>2</v>
      </c>
      <c r="K246" s="42">
        <f>IFERROR(INDEX('Output Utente'!$H$2:$H$492,MATCH(243,'Output Utente'!$Q$2:$Q$492,0)),"")</f>
        <v>3</v>
      </c>
      <c r="L246" s="5" t="str">
        <f>IFERROR(INDEX('Output Utente'!$E$2:$E$492,MATCH(243,'Output Utente'!$Q$2:$Q$492,0)),"")</f>
        <v>NO</v>
      </c>
      <c r="M246" s="5" t="str">
        <f>IFERROR(INDEX('Output Utente'!$U$2:$U$492,MATCH(243,'Output Utente'!$Q$2:$Q$492,0)),"")</f>
        <v>OK</v>
      </c>
      <c r="N246" s="5" t="str">
        <f>IFERROR(INDEX('Output Utente'!$AE$2:$AE$492,MATCH(243,'Output Utente'!$Q$2:$Q$492,0)),"")</f>
        <v>🔴 Non aspettare</v>
      </c>
    </row>
    <row r="247" spans="1:14" ht="15" customHeight="1" x14ac:dyDescent="0.25">
      <c r="A247" s="41">
        <v>244</v>
      </c>
      <c r="B247" s="5">
        <f>IFERROR(INDEX('Output Utente'!$A$2:$A$492,MATCH(244,'Output Utente'!$Q$2:$Q$492,0)),"")</f>
        <v>4502</v>
      </c>
      <c r="C247" s="5" t="str">
        <f>IFERROR(INDEX('Output Utente'!$B$2:$B$492,MATCH(244,'Output Utente'!$Q$2:$Q$492,0)),"")</f>
        <v>D</v>
      </c>
      <c r="D247" s="5" t="str">
        <f>IFERROR(INDEX('Output Utente'!$C$2:$C$492,MATCH(244,'Output Utente'!$Q$2:$Q$492,0)),"")</f>
        <v>Gallo</v>
      </c>
      <c r="E247" s="5" t="str">
        <f>IFERROR(INDEX('Input Giocatori 2026_27'!$D$3:$D$493,MATCH($B247,'Input Giocatori 2026_27'!$A$3:$A$493,0)),"")</f>
        <v>Lecce</v>
      </c>
      <c r="F247" s="42">
        <f>IFERROR(INDEX('Output Utente'!$N$2:$N$492,MATCH(244,'Output Utente'!$Q$2:$Q$492,0)),"")</f>
        <v>6</v>
      </c>
      <c r="G247" s="42">
        <f>IFERROR(INDEX('Output Utente'!$O$2:$O$492,MATCH(244,'Output Utente'!$Q$2:$Q$492,0)),"")</f>
        <v>13</v>
      </c>
      <c r="H247" s="5" t="str">
        <f>IFERROR(INDEX('Output Utente'!$P$2:$P$492,MATCH(244,'Output Utente'!$Q$2:$Q$492,0)),"")</f>
        <v>Nella Media</v>
      </c>
      <c r="I247" s="42">
        <f>IFERROR(INDEX('Output Utente'!$F$2:$F$492,MATCH(244,'Output Utente'!$Q$2:$Q$492,0)),"")</f>
        <v>3</v>
      </c>
      <c r="J247" s="42">
        <f>IFERROR(INDEX('Output Utente'!$G$2:$G$492,MATCH(244,'Output Utente'!$Q$2:$Q$492,0)),"")</f>
        <v>2</v>
      </c>
      <c r="K247" s="42">
        <f>IFERROR(INDEX('Output Utente'!$H$2:$H$492,MATCH(244,'Output Utente'!$Q$2:$Q$492,0)),"")</f>
        <v>3</v>
      </c>
      <c r="L247" s="5" t="str">
        <f>IFERROR(INDEX('Output Utente'!$E$2:$E$492,MATCH(244,'Output Utente'!$Q$2:$Q$492,0)),"")</f>
        <v>NO</v>
      </c>
      <c r="M247" s="5" t="str">
        <f>IFERROR(INDEX('Output Utente'!$U$2:$U$492,MATCH(244,'Output Utente'!$Q$2:$Q$492,0)),"")</f>
        <v>OK</v>
      </c>
      <c r="N247" s="5" t="str">
        <f>IFERROR(INDEX('Output Utente'!$AE$2:$AE$492,MATCH(244,'Output Utente'!$Q$2:$Q$492,0)),"")</f>
        <v>🔴 Non aspettare</v>
      </c>
    </row>
    <row r="248" spans="1:14" ht="15" customHeight="1" x14ac:dyDescent="0.25">
      <c r="A248" s="41">
        <v>245</v>
      </c>
      <c r="B248" s="5">
        <f>IFERROR(INDEX('Output Utente'!$A$2:$A$492,MATCH(245,'Output Utente'!$Q$2:$Q$492,0)),"")</f>
        <v>7253</v>
      </c>
      <c r="C248" s="5" t="str">
        <f>IFERROR(INDEX('Output Utente'!$B$2:$B$492,MATCH(245,'Output Utente'!$Q$2:$Q$492,0)),"")</f>
        <v>D</v>
      </c>
      <c r="D248" s="5" t="str">
        <f>IFERROR(INDEX('Output Utente'!$C$2:$C$492,MATCH(245,'Output Utente'!$Q$2:$Q$492,0)),"")</f>
        <v>Bella-Kotchap</v>
      </c>
      <c r="E248" s="5" t="str">
        <f>IFERROR(INDEX('Input Giocatori 2026_27'!$D$3:$D$493,MATCH($B248,'Input Giocatori 2026_27'!$A$3:$A$493,0)),"")</f>
        <v>Venezia</v>
      </c>
      <c r="F248" s="42">
        <f>IFERROR(INDEX('Output Utente'!$N$2:$N$492,MATCH(245,'Output Utente'!$Q$2:$Q$492,0)),"")</f>
        <v>6</v>
      </c>
      <c r="G248" s="42">
        <f>IFERROR(INDEX('Output Utente'!$O$2:$O$492,MATCH(245,'Output Utente'!$Q$2:$Q$492,0)),"")</f>
        <v>13</v>
      </c>
      <c r="H248" s="5" t="str">
        <f>IFERROR(INDEX('Output Utente'!$P$2:$P$492,MATCH(245,'Output Utente'!$Q$2:$Q$492,0)),"")</f>
        <v>Nella Media</v>
      </c>
      <c r="I248" s="42">
        <f>IFERROR(INDEX('Output Utente'!$F$2:$F$492,MATCH(245,'Output Utente'!$Q$2:$Q$492,0)),"")</f>
        <v>3</v>
      </c>
      <c r="J248" s="42">
        <f>IFERROR(INDEX('Output Utente'!$G$2:$G$492,MATCH(245,'Output Utente'!$Q$2:$Q$492,0)),"")</f>
        <v>2</v>
      </c>
      <c r="K248" s="42">
        <f>IFERROR(INDEX('Output Utente'!$H$2:$H$492,MATCH(245,'Output Utente'!$Q$2:$Q$492,0)),"")</f>
        <v>3</v>
      </c>
      <c r="L248" s="5" t="str">
        <f>IFERROR(INDEX('Output Utente'!$E$2:$E$492,MATCH(245,'Output Utente'!$Q$2:$Q$492,0)),"")</f>
        <v>NO</v>
      </c>
      <c r="M248" s="5" t="str">
        <f>IFERROR(INDEX('Output Utente'!$U$2:$U$492,MATCH(245,'Output Utente'!$Q$2:$Q$492,0)),"")</f>
        <v>OK</v>
      </c>
      <c r="N248" s="5" t="str">
        <f>IFERROR(INDEX('Output Utente'!$AE$2:$AE$492,MATCH(245,'Output Utente'!$Q$2:$Q$492,0)),"")</f>
        <v>🔴 Non aspettare</v>
      </c>
    </row>
    <row r="249" spans="1:14" ht="15" customHeight="1" x14ac:dyDescent="0.25">
      <c r="A249" s="41">
        <v>246</v>
      </c>
      <c r="B249" s="5">
        <f>IFERROR(INDEX('Output Utente'!$A$2:$A$492,MATCH(246,'Output Utente'!$Q$2:$Q$492,0)),"")</f>
        <v>5678</v>
      </c>
      <c r="C249" s="5" t="str">
        <f>IFERROR(INDEX('Output Utente'!$B$2:$B$492,MATCH(246,'Output Utente'!$Q$2:$Q$492,0)),"")</f>
        <v>D</v>
      </c>
      <c r="D249" s="5" t="str">
        <f>IFERROR(INDEX('Output Utente'!$C$2:$C$492,MATCH(246,'Output Utente'!$Q$2:$Q$492,0)),"")</f>
        <v>Holm</v>
      </c>
      <c r="E249" s="5" t="str">
        <f>IFERROR(INDEX('Input Giocatori 2026_27'!$D$3:$D$493,MATCH($B249,'Input Giocatori 2026_27'!$A$3:$A$493,0)),"")</f>
        <v>Bologna</v>
      </c>
      <c r="F249" s="42">
        <f>IFERROR(INDEX('Output Utente'!$N$2:$N$492,MATCH(246,'Output Utente'!$Q$2:$Q$492,0)),"")</f>
        <v>5</v>
      </c>
      <c r="G249" s="42">
        <f>IFERROR(INDEX('Output Utente'!$O$2:$O$492,MATCH(246,'Output Utente'!$Q$2:$Q$492,0)),"")</f>
        <v>13</v>
      </c>
      <c r="H249" s="5" t="str">
        <f>IFERROR(INDEX('Output Utente'!$P$2:$P$492,MATCH(246,'Output Utente'!$Q$2:$Q$492,0)),"")</f>
        <v>Nella Media</v>
      </c>
      <c r="I249" s="42">
        <f>IFERROR(INDEX('Output Utente'!$F$2:$F$492,MATCH(246,'Output Utente'!$Q$2:$Q$492,0)),"")</f>
        <v>3</v>
      </c>
      <c r="J249" s="42">
        <f>IFERROR(INDEX('Output Utente'!$G$2:$G$492,MATCH(246,'Output Utente'!$Q$2:$Q$492,0)),"")</f>
        <v>2</v>
      </c>
      <c r="K249" s="42">
        <f>IFERROR(INDEX('Output Utente'!$H$2:$H$492,MATCH(246,'Output Utente'!$Q$2:$Q$492,0)),"")</f>
        <v>3</v>
      </c>
      <c r="L249" s="5" t="str">
        <f>IFERROR(INDEX('Output Utente'!$E$2:$E$492,MATCH(246,'Output Utente'!$Q$2:$Q$492,0)),"")</f>
        <v>NO</v>
      </c>
      <c r="M249" s="5" t="str">
        <f>IFERROR(INDEX('Output Utente'!$U$2:$U$492,MATCH(246,'Output Utente'!$Q$2:$Q$492,0)),"")</f>
        <v>OK</v>
      </c>
      <c r="N249" s="5" t="str">
        <f>IFERROR(INDEX('Output Utente'!$AE$2:$AE$492,MATCH(246,'Output Utente'!$Q$2:$Q$492,0)),"")</f>
        <v>🔴 Non aspettare</v>
      </c>
    </row>
    <row r="250" spans="1:14" ht="15" customHeight="1" x14ac:dyDescent="0.25">
      <c r="A250" s="41">
        <v>247</v>
      </c>
      <c r="B250" s="5">
        <f>IFERROR(INDEX('Output Utente'!$A$2:$A$492,MATCH(247,'Output Utente'!$Q$2:$Q$492,0)),"")</f>
        <v>6893</v>
      </c>
      <c r="C250" s="5" t="str">
        <f>IFERROR(INDEX('Output Utente'!$B$2:$B$492,MATCH(247,'Output Utente'!$Q$2:$Q$492,0)),"")</f>
        <v>D</v>
      </c>
      <c r="D250" s="5" t="str">
        <f>IFERROR(INDEX('Output Utente'!$C$2:$C$492,MATCH(247,'Output Utente'!$Q$2:$Q$492,0)),"")</f>
        <v>Kempf</v>
      </c>
      <c r="E250" s="5" t="str">
        <f>IFERROR(INDEX('Input Giocatori 2026_27'!$D$3:$D$493,MATCH($B250,'Input Giocatori 2026_27'!$A$3:$A$493,0)),"")</f>
        <v>Como</v>
      </c>
      <c r="F250" s="42">
        <f>IFERROR(INDEX('Output Utente'!$N$2:$N$492,MATCH(247,'Output Utente'!$Q$2:$Q$492,0)),"")</f>
        <v>5</v>
      </c>
      <c r="G250" s="42">
        <f>IFERROR(INDEX('Output Utente'!$O$2:$O$492,MATCH(247,'Output Utente'!$Q$2:$Q$492,0)),"")</f>
        <v>13</v>
      </c>
      <c r="H250" s="5" t="str">
        <f>IFERROR(INDEX('Output Utente'!$P$2:$P$492,MATCH(247,'Output Utente'!$Q$2:$Q$492,0)),"")</f>
        <v>Nella Media</v>
      </c>
      <c r="I250" s="42">
        <f>IFERROR(INDEX('Output Utente'!$F$2:$F$492,MATCH(247,'Output Utente'!$Q$2:$Q$492,0)),"")</f>
        <v>3</v>
      </c>
      <c r="J250" s="42">
        <f>IFERROR(INDEX('Output Utente'!$G$2:$G$492,MATCH(247,'Output Utente'!$Q$2:$Q$492,0)),"")</f>
        <v>2</v>
      </c>
      <c r="K250" s="42">
        <f>IFERROR(INDEX('Output Utente'!$H$2:$H$492,MATCH(247,'Output Utente'!$Q$2:$Q$492,0)),"")</f>
        <v>3</v>
      </c>
      <c r="L250" s="5" t="str">
        <f>IFERROR(INDEX('Output Utente'!$E$2:$E$492,MATCH(247,'Output Utente'!$Q$2:$Q$492,0)),"")</f>
        <v>NO</v>
      </c>
      <c r="M250" s="5" t="str">
        <f>IFERROR(INDEX('Output Utente'!$U$2:$U$492,MATCH(247,'Output Utente'!$Q$2:$Q$492,0)),"")</f>
        <v>OK</v>
      </c>
      <c r="N250" s="5" t="str">
        <f>IFERROR(INDEX('Output Utente'!$AE$2:$AE$492,MATCH(247,'Output Utente'!$Q$2:$Q$492,0)),"")</f>
        <v>🔴 Non aspettare</v>
      </c>
    </row>
    <row r="251" spans="1:14" ht="15" customHeight="1" x14ac:dyDescent="0.25">
      <c r="A251" s="41">
        <v>248</v>
      </c>
      <c r="B251" s="5">
        <f>IFERROR(INDEX('Output Utente'!$A$2:$A$492,MATCH(248,'Output Utente'!$Q$2:$Q$492,0)),"")</f>
        <v>6766</v>
      </c>
      <c r="C251" s="5" t="str">
        <f>IFERROR(INDEX('Output Utente'!$B$2:$B$492,MATCH(248,'Output Utente'!$Q$2:$Q$492,0)),"")</f>
        <v>D</v>
      </c>
      <c r="D251" s="5" t="str">
        <f>IFERROR(INDEX('Output Utente'!$C$2:$C$492,MATCH(248,'Output Utente'!$Q$2:$Q$492,0)),"")</f>
        <v>Kelly L.</v>
      </c>
      <c r="E251" s="5" t="str">
        <f>IFERROR(INDEX('Input Giocatori 2026_27'!$D$3:$D$493,MATCH($B251,'Input Giocatori 2026_27'!$A$3:$A$493,0)),"")</f>
        <v>Juventus</v>
      </c>
      <c r="F251" s="42">
        <f>IFERROR(INDEX('Output Utente'!$N$2:$N$492,MATCH(248,'Output Utente'!$Q$2:$Q$492,0)),"")</f>
        <v>5</v>
      </c>
      <c r="G251" s="42">
        <f>IFERROR(INDEX('Output Utente'!$O$2:$O$492,MATCH(248,'Output Utente'!$Q$2:$Q$492,0)),"")</f>
        <v>13</v>
      </c>
      <c r="H251" s="5" t="str">
        <f>IFERROR(INDEX('Output Utente'!$P$2:$P$492,MATCH(248,'Output Utente'!$Q$2:$Q$492,0)),"")</f>
        <v>Nella Media</v>
      </c>
      <c r="I251" s="42">
        <f>IFERROR(INDEX('Output Utente'!$F$2:$F$492,MATCH(248,'Output Utente'!$Q$2:$Q$492,0)),"")</f>
        <v>3</v>
      </c>
      <c r="J251" s="42">
        <f>IFERROR(INDEX('Output Utente'!$G$2:$G$492,MATCH(248,'Output Utente'!$Q$2:$Q$492,0)),"")</f>
        <v>2</v>
      </c>
      <c r="K251" s="42">
        <f>IFERROR(INDEX('Output Utente'!$H$2:$H$492,MATCH(248,'Output Utente'!$Q$2:$Q$492,0)),"")</f>
        <v>3</v>
      </c>
      <c r="L251" s="5" t="str">
        <f>IFERROR(INDEX('Output Utente'!$E$2:$E$492,MATCH(248,'Output Utente'!$Q$2:$Q$492,0)),"")</f>
        <v>NO</v>
      </c>
      <c r="M251" s="5" t="str">
        <f>IFERROR(INDEX('Output Utente'!$U$2:$U$492,MATCH(248,'Output Utente'!$Q$2:$Q$492,0)),"")</f>
        <v>OK</v>
      </c>
      <c r="N251" s="5" t="str">
        <f>IFERROR(INDEX('Output Utente'!$AE$2:$AE$492,MATCH(248,'Output Utente'!$Q$2:$Q$492,0)),"")</f>
        <v>🔴 Non aspettare</v>
      </c>
    </row>
    <row r="252" spans="1:14" ht="15" customHeight="1" x14ac:dyDescent="0.25">
      <c r="A252" s="41">
        <v>249</v>
      </c>
      <c r="B252" s="5">
        <f>IFERROR(INDEX('Output Utente'!$A$2:$A$492,MATCH(249,'Output Utente'!$Q$2:$Q$492,0)),"")</f>
        <v>5840</v>
      </c>
      <c r="C252" s="5" t="str">
        <f>IFERROR(INDEX('Output Utente'!$B$2:$B$492,MATCH(249,'Output Utente'!$Q$2:$Q$492,0)),"")</f>
        <v>D</v>
      </c>
      <c r="D252" s="5" t="str">
        <f>IFERROR(INDEX('Output Utente'!$C$2:$C$492,MATCH(249,'Output Utente'!$Q$2:$Q$492,0)),"")</f>
        <v>Olivera</v>
      </c>
      <c r="E252" s="5" t="str">
        <f>IFERROR(INDEX('Input Giocatori 2026_27'!$D$3:$D$493,MATCH($B252,'Input Giocatori 2026_27'!$A$3:$A$493,0)),"")</f>
        <v>Napoli</v>
      </c>
      <c r="F252" s="42">
        <f>IFERROR(INDEX('Output Utente'!$N$2:$N$492,MATCH(249,'Output Utente'!$Q$2:$Q$492,0)),"")</f>
        <v>5</v>
      </c>
      <c r="G252" s="42">
        <f>IFERROR(INDEX('Output Utente'!$O$2:$O$492,MATCH(249,'Output Utente'!$Q$2:$Q$492,0)),"")</f>
        <v>13</v>
      </c>
      <c r="H252" s="5" t="str">
        <f>IFERROR(INDEX('Output Utente'!$P$2:$P$492,MATCH(249,'Output Utente'!$Q$2:$Q$492,0)),"")</f>
        <v>Nella Media</v>
      </c>
      <c r="I252" s="42">
        <f>IFERROR(INDEX('Output Utente'!$F$2:$F$492,MATCH(249,'Output Utente'!$Q$2:$Q$492,0)),"")</f>
        <v>3</v>
      </c>
      <c r="J252" s="42">
        <f>IFERROR(INDEX('Output Utente'!$G$2:$G$492,MATCH(249,'Output Utente'!$Q$2:$Q$492,0)),"")</f>
        <v>2</v>
      </c>
      <c r="K252" s="42">
        <f>IFERROR(INDEX('Output Utente'!$H$2:$H$492,MATCH(249,'Output Utente'!$Q$2:$Q$492,0)),"")</f>
        <v>3</v>
      </c>
      <c r="L252" s="5" t="str">
        <f>IFERROR(INDEX('Output Utente'!$E$2:$E$492,MATCH(249,'Output Utente'!$Q$2:$Q$492,0)),"")</f>
        <v>NO</v>
      </c>
      <c r="M252" s="5" t="str">
        <f>IFERROR(INDEX('Output Utente'!$U$2:$U$492,MATCH(249,'Output Utente'!$Q$2:$Q$492,0)),"")</f>
        <v>OK</v>
      </c>
      <c r="N252" s="5" t="str">
        <f>IFERROR(INDEX('Output Utente'!$AE$2:$AE$492,MATCH(249,'Output Utente'!$Q$2:$Q$492,0)),"")</f>
        <v>🔴 Non aspettare</v>
      </c>
    </row>
    <row r="253" spans="1:14" ht="15" customHeight="1" x14ac:dyDescent="0.25">
      <c r="A253" s="41">
        <v>250</v>
      </c>
      <c r="B253" s="5">
        <f>IFERROR(INDEX('Output Utente'!$A$2:$A$492,MATCH(250,'Output Utente'!$Q$2:$Q$492,0)),"")</f>
        <v>6426</v>
      </c>
      <c r="C253" s="5" t="str">
        <f>IFERROR(INDEX('Output Utente'!$B$2:$B$492,MATCH(250,'Output Utente'!$Q$2:$Q$492,0)),"")</f>
        <v>D</v>
      </c>
      <c r="D253" s="5" t="str">
        <f>IFERROR(INDEX('Output Utente'!$C$2:$C$492,MATCH(250,'Output Utente'!$Q$2:$Q$492,0)),"")</f>
        <v>Pedersen</v>
      </c>
      <c r="E253" s="5" t="str">
        <f>IFERROR(INDEX('Input Giocatori 2026_27'!$D$3:$D$493,MATCH($B253,'Input Giocatori 2026_27'!$A$3:$A$493,0)),"")</f>
        <v>Torino</v>
      </c>
      <c r="F253" s="42">
        <f>IFERROR(INDEX('Output Utente'!$N$2:$N$492,MATCH(250,'Output Utente'!$Q$2:$Q$492,0)),"")</f>
        <v>5</v>
      </c>
      <c r="G253" s="42">
        <f>IFERROR(INDEX('Output Utente'!$O$2:$O$492,MATCH(250,'Output Utente'!$Q$2:$Q$492,0)),"")</f>
        <v>13</v>
      </c>
      <c r="H253" s="5" t="str">
        <f>IFERROR(INDEX('Output Utente'!$P$2:$P$492,MATCH(250,'Output Utente'!$Q$2:$Q$492,0)),"")</f>
        <v>Nella Media</v>
      </c>
      <c r="I253" s="42">
        <f>IFERROR(INDEX('Output Utente'!$F$2:$F$492,MATCH(250,'Output Utente'!$Q$2:$Q$492,0)),"")</f>
        <v>3</v>
      </c>
      <c r="J253" s="42">
        <f>IFERROR(INDEX('Output Utente'!$G$2:$G$492,MATCH(250,'Output Utente'!$Q$2:$Q$492,0)),"")</f>
        <v>2</v>
      </c>
      <c r="K253" s="42">
        <f>IFERROR(INDEX('Output Utente'!$H$2:$H$492,MATCH(250,'Output Utente'!$Q$2:$Q$492,0)),"")</f>
        <v>3</v>
      </c>
      <c r="L253" s="5" t="str">
        <f>IFERROR(INDEX('Output Utente'!$E$2:$E$492,MATCH(250,'Output Utente'!$Q$2:$Q$492,0)),"")</f>
        <v>NO</v>
      </c>
      <c r="M253" s="5" t="str">
        <f>IFERROR(INDEX('Output Utente'!$U$2:$U$492,MATCH(250,'Output Utente'!$Q$2:$Q$492,0)),"")</f>
        <v>OK</v>
      </c>
      <c r="N253" s="5" t="str">
        <f>IFERROR(INDEX('Output Utente'!$AE$2:$AE$492,MATCH(250,'Output Utente'!$Q$2:$Q$492,0)),"")</f>
        <v>🔴 Non aspettare</v>
      </c>
    </row>
    <row r="254" spans="1:14" ht="15" customHeight="1" x14ac:dyDescent="0.25">
      <c r="A254" s="41">
        <v>251</v>
      </c>
      <c r="B254" s="5">
        <f>IFERROR(INDEX('Output Utente'!$A$2:$A$492,MATCH(251,'Output Utente'!$Q$2:$Q$492,0)),"")</f>
        <v>5851</v>
      </c>
      <c r="C254" s="5" t="str">
        <f>IFERROR(INDEX('Output Utente'!$B$2:$B$492,MATCH(251,'Output Utente'!$Q$2:$Q$492,0)),"")</f>
        <v>D</v>
      </c>
      <c r="D254" s="5" t="str">
        <f>IFERROR(INDEX('Output Utente'!$C$2:$C$492,MATCH(251,'Output Utente'!$Q$2:$Q$492,0)),"")</f>
        <v>Doig</v>
      </c>
      <c r="E254" s="5" t="str">
        <f>IFERROR(INDEX('Input Giocatori 2026_27'!$D$3:$D$493,MATCH($B254,'Input Giocatori 2026_27'!$A$3:$A$493,0)),"")</f>
        <v>Sassuolo</v>
      </c>
      <c r="F254" s="42">
        <f>IFERROR(INDEX('Output Utente'!$N$2:$N$492,MATCH(251,'Output Utente'!$Q$2:$Q$492,0)),"")</f>
        <v>4</v>
      </c>
      <c r="G254" s="42">
        <f>IFERROR(INDEX('Output Utente'!$O$2:$O$492,MATCH(251,'Output Utente'!$Q$2:$Q$492,0)),"")</f>
        <v>13</v>
      </c>
      <c r="H254" s="5" t="str">
        <f>IFERROR(INDEX('Output Utente'!$P$2:$P$492,MATCH(251,'Output Utente'!$Q$2:$Q$492,0)),"")</f>
        <v>Nella Media</v>
      </c>
      <c r="I254" s="42">
        <f>IFERROR(INDEX('Output Utente'!$F$2:$F$492,MATCH(251,'Output Utente'!$Q$2:$Q$492,0)),"")</f>
        <v>3</v>
      </c>
      <c r="J254" s="42">
        <f>IFERROR(INDEX('Output Utente'!$G$2:$G$492,MATCH(251,'Output Utente'!$Q$2:$Q$492,0)),"")</f>
        <v>2</v>
      </c>
      <c r="K254" s="42">
        <f>IFERROR(INDEX('Output Utente'!$H$2:$H$492,MATCH(251,'Output Utente'!$Q$2:$Q$492,0)),"")</f>
        <v>3</v>
      </c>
      <c r="L254" s="5" t="str">
        <f>IFERROR(INDEX('Output Utente'!$E$2:$E$492,MATCH(251,'Output Utente'!$Q$2:$Q$492,0)),"")</f>
        <v>NO</v>
      </c>
      <c r="M254" s="5" t="str">
        <f>IFERROR(INDEX('Output Utente'!$U$2:$U$492,MATCH(251,'Output Utente'!$Q$2:$Q$492,0)),"")</f>
        <v>OK</v>
      </c>
      <c r="N254" s="5" t="str">
        <f>IFERROR(INDEX('Output Utente'!$AE$2:$AE$492,MATCH(251,'Output Utente'!$Q$2:$Q$492,0)),"")</f>
        <v>🔴 Non aspettare</v>
      </c>
    </row>
    <row r="255" spans="1:14" ht="15" customHeight="1" x14ac:dyDescent="0.25">
      <c r="A255" s="41">
        <v>252</v>
      </c>
      <c r="B255" s="5">
        <f>IFERROR(INDEX('Output Utente'!$A$2:$A$492,MATCH(252,'Output Utente'!$Q$2:$Q$492,0)),"")</f>
        <v>2848</v>
      </c>
      <c r="C255" s="5" t="str">
        <f>IFERROR(INDEX('Output Utente'!$B$2:$B$492,MATCH(252,'Output Utente'!$Q$2:$Q$492,0)),"")</f>
        <v>C</v>
      </c>
      <c r="D255" s="5" t="str">
        <f>IFERROR(INDEX('Output Utente'!$C$2:$C$492,MATCH(252,'Output Utente'!$Q$2:$Q$492,0)),"")</f>
        <v>Frattesi</v>
      </c>
      <c r="E255" s="5" t="str">
        <f>IFERROR(INDEX('Input Giocatori 2026_27'!$D$3:$D$493,MATCH($B255,'Input Giocatori 2026_27'!$A$3:$A$493,0)),"")</f>
        <v>Inter</v>
      </c>
      <c r="F255" s="42">
        <f>IFERROR(INDEX('Output Utente'!$N$2:$N$492,MATCH(252,'Output Utente'!$Q$2:$Q$492,0)),"")</f>
        <v>7</v>
      </c>
      <c r="G255" s="42">
        <f>IFERROR(INDEX('Output Utente'!$O$2:$O$492,MATCH(252,'Output Utente'!$Q$2:$Q$492,0)),"")</f>
        <v>13</v>
      </c>
      <c r="H255" s="5" t="str">
        <f>IFERROR(INDEX('Output Utente'!$P$2:$P$492,MATCH(252,'Output Utente'!$Q$2:$Q$492,0)),"")</f>
        <v>Nella Media</v>
      </c>
      <c r="I255" s="42">
        <f>IFERROR(INDEX('Output Utente'!$F$2:$F$492,MATCH(252,'Output Utente'!$Q$2:$Q$492,0)),"")</f>
        <v>2</v>
      </c>
      <c r="J255" s="42">
        <f>IFERROR(INDEX('Output Utente'!$G$2:$G$492,MATCH(252,'Output Utente'!$Q$2:$Q$492,0)),"")</f>
        <v>1</v>
      </c>
      <c r="K255" s="42">
        <f>IFERROR(INDEX('Output Utente'!$H$2:$H$492,MATCH(252,'Output Utente'!$Q$2:$Q$492,0)),"")</f>
        <v>2</v>
      </c>
      <c r="L255" s="5" t="str">
        <f>IFERROR(INDEX('Output Utente'!$E$2:$E$492,MATCH(252,'Output Utente'!$Q$2:$Q$492,0)),"")</f>
        <v>NO</v>
      </c>
      <c r="M255" s="5" t="str">
        <f>IFERROR(INDEX('Output Utente'!$U$2:$U$492,MATCH(252,'Output Utente'!$Q$2:$Q$492,0)),"")</f>
        <v>OK</v>
      </c>
      <c r="N255" s="5" t="str">
        <f>IFERROR(INDEX('Output Utente'!$AE$2:$AE$492,MATCH(252,'Output Utente'!$Q$2:$Q$492,0)),"")</f>
        <v>🔴 Non aspettare</v>
      </c>
    </row>
    <row r="256" spans="1:14" ht="15" customHeight="1" x14ac:dyDescent="0.25">
      <c r="A256" s="41">
        <v>253</v>
      </c>
      <c r="B256" s="5">
        <f>IFERROR(INDEX('Output Utente'!$A$2:$A$492,MATCH(253,'Output Utente'!$Q$2:$Q$492,0)),"")</f>
        <v>4870</v>
      </c>
      <c r="C256" s="5" t="str">
        <f>IFERROR(INDEX('Output Utente'!$B$2:$B$492,MATCH(253,'Output Utente'!$Q$2:$Q$492,0)),"")</f>
        <v>C</v>
      </c>
      <c r="D256" s="5" t="str">
        <f>IFERROR(INDEX('Output Utente'!$C$2:$C$492,MATCH(253,'Output Utente'!$Q$2:$Q$492,0)),"")</f>
        <v>Adopo</v>
      </c>
      <c r="E256" s="5" t="str">
        <f>IFERROR(INDEX('Input Giocatori 2026_27'!$D$3:$D$493,MATCH($B256,'Input Giocatori 2026_27'!$A$3:$A$493,0)),"")</f>
        <v>Cagliari</v>
      </c>
      <c r="F256" s="42">
        <f>IFERROR(INDEX('Output Utente'!$N$2:$N$492,MATCH(253,'Output Utente'!$Q$2:$Q$492,0)),"")</f>
        <v>6</v>
      </c>
      <c r="G256" s="42">
        <f>IFERROR(INDEX('Output Utente'!$O$2:$O$492,MATCH(253,'Output Utente'!$Q$2:$Q$492,0)),"")</f>
        <v>13</v>
      </c>
      <c r="H256" s="5" t="str">
        <f>IFERROR(INDEX('Output Utente'!$P$2:$P$492,MATCH(253,'Output Utente'!$Q$2:$Q$492,0)),"")</f>
        <v>Nella Media</v>
      </c>
      <c r="I256" s="42">
        <f>IFERROR(INDEX('Output Utente'!$F$2:$F$492,MATCH(253,'Output Utente'!$Q$2:$Q$492,0)),"")</f>
        <v>2</v>
      </c>
      <c r="J256" s="42">
        <f>IFERROR(INDEX('Output Utente'!$G$2:$G$492,MATCH(253,'Output Utente'!$Q$2:$Q$492,0)),"")</f>
        <v>1</v>
      </c>
      <c r="K256" s="42">
        <f>IFERROR(INDEX('Output Utente'!$H$2:$H$492,MATCH(253,'Output Utente'!$Q$2:$Q$492,0)),"")</f>
        <v>2</v>
      </c>
      <c r="L256" s="5" t="str">
        <f>IFERROR(INDEX('Output Utente'!$E$2:$E$492,MATCH(253,'Output Utente'!$Q$2:$Q$492,0)),"")</f>
        <v>NO</v>
      </c>
      <c r="M256" s="5" t="str">
        <f>IFERROR(INDEX('Output Utente'!$U$2:$U$492,MATCH(253,'Output Utente'!$Q$2:$Q$492,0)),"")</f>
        <v>OK</v>
      </c>
      <c r="N256" s="5" t="str">
        <f>IFERROR(INDEX('Output Utente'!$AE$2:$AE$492,MATCH(253,'Output Utente'!$Q$2:$Q$492,0)),"")</f>
        <v>🔴 Non aspettare</v>
      </c>
    </row>
    <row r="257" spans="1:14" ht="15" customHeight="1" x14ac:dyDescent="0.25">
      <c r="A257" s="41">
        <v>254</v>
      </c>
      <c r="B257" s="5">
        <f>IFERROR(INDEX('Output Utente'!$A$2:$A$492,MATCH(254,'Output Utente'!$Q$2:$Q$492,0)),"")</f>
        <v>5998</v>
      </c>
      <c r="C257" s="5" t="str">
        <f>IFERROR(INDEX('Output Utente'!$B$2:$B$492,MATCH(254,'Output Utente'!$Q$2:$Q$492,0)),"")</f>
        <v>C</v>
      </c>
      <c r="D257" s="5" t="str">
        <f>IFERROR(INDEX('Output Utente'!$C$2:$C$492,MATCH(254,'Output Utente'!$Q$2:$Q$492,0)),"")</f>
        <v>Zerbin</v>
      </c>
      <c r="E257" s="5" t="str">
        <f>IFERROR(INDEX('Input Giocatori 2026_27'!$D$3:$D$493,MATCH($B257,'Input Giocatori 2026_27'!$A$3:$A$493,0)),"")</f>
        <v>Frosinone</v>
      </c>
      <c r="F257" s="42">
        <f>IFERROR(INDEX('Output Utente'!$N$2:$N$492,MATCH(254,'Output Utente'!$Q$2:$Q$492,0)),"")</f>
        <v>5</v>
      </c>
      <c r="G257" s="42">
        <f>IFERROR(INDEX('Output Utente'!$O$2:$O$492,MATCH(254,'Output Utente'!$Q$2:$Q$492,0)),"")</f>
        <v>13</v>
      </c>
      <c r="H257" s="5" t="str">
        <f>IFERROR(INDEX('Output Utente'!$P$2:$P$492,MATCH(254,'Output Utente'!$Q$2:$Q$492,0)),"")</f>
        <v>Nella Media</v>
      </c>
      <c r="I257" s="42">
        <f>IFERROR(INDEX('Output Utente'!$F$2:$F$492,MATCH(254,'Output Utente'!$Q$2:$Q$492,0)),"")</f>
        <v>2</v>
      </c>
      <c r="J257" s="42">
        <f>IFERROR(INDEX('Output Utente'!$G$2:$G$492,MATCH(254,'Output Utente'!$Q$2:$Q$492,0)),"")</f>
        <v>1</v>
      </c>
      <c r="K257" s="42">
        <f>IFERROR(INDEX('Output Utente'!$H$2:$H$492,MATCH(254,'Output Utente'!$Q$2:$Q$492,0)),"")</f>
        <v>2</v>
      </c>
      <c r="L257" s="5" t="str">
        <f>IFERROR(INDEX('Output Utente'!$E$2:$E$492,MATCH(254,'Output Utente'!$Q$2:$Q$492,0)),"")</f>
        <v>NO</v>
      </c>
      <c r="M257" s="5" t="str">
        <f>IFERROR(INDEX('Output Utente'!$U$2:$U$492,MATCH(254,'Output Utente'!$Q$2:$Q$492,0)),"")</f>
        <v>OK</v>
      </c>
      <c r="N257" s="5" t="str">
        <f>IFERROR(INDEX('Output Utente'!$AE$2:$AE$492,MATCH(254,'Output Utente'!$Q$2:$Q$492,0)),"")</f>
        <v>🔴 Non aspettare</v>
      </c>
    </row>
    <row r="258" spans="1:14" ht="15" customHeight="1" x14ac:dyDescent="0.25">
      <c r="A258" s="41">
        <v>255</v>
      </c>
      <c r="B258" s="5">
        <f>IFERROR(INDEX('Output Utente'!$A$2:$A$492,MATCH(255,'Output Utente'!$Q$2:$Q$492,0)),"")</f>
        <v>6629</v>
      </c>
      <c r="C258" s="5" t="str">
        <f>IFERROR(INDEX('Output Utente'!$B$2:$B$492,MATCH(255,'Output Utente'!$Q$2:$Q$492,0)),"")</f>
        <v>C</v>
      </c>
      <c r="D258" s="5" t="str">
        <f>IFERROR(INDEX('Output Utente'!$C$2:$C$492,MATCH(255,'Output Utente'!$Q$2:$Q$492,0)),"")</f>
        <v>Dele-Bashiru</v>
      </c>
      <c r="E258" s="5" t="str">
        <f>IFERROR(INDEX('Input Giocatori 2026_27'!$D$3:$D$493,MATCH($B258,'Input Giocatori 2026_27'!$A$3:$A$493,0)),"")</f>
        <v>Lazio</v>
      </c>
      <c r="F258" s="42">
        <f>IFERROR(INDEX('Output Utente'!$N$2:$N$492,MATCH(255,'Output Utente'!$Q$2:$Q$492,0)),"")</f>
        <v>5</v>
      </c>
      <c r="G258" s="42">
        <f>IFERROR(INDEX('Output Utente'!$O$2:$O$492,MATCH(255,'Output Utente'!$Q$2:$Q$492,0)),"")</f>
        <v>13</v>
      </c>
      <c r="H258" s="5" t="str">
        <f>IFERROR(INDEX('Output Utente'!$P$2:$P$492,MATCH(255,'Output Utente'!$Q$2:$Q$492,0)),"")</f>
        <v>Nella Media</v>
      </c>
      <c r="I258" s="42">
        <f>IFERROR(INDEX('Output Utente'!$F$2:$F$492,MATCH(255,'Output Utente'!$Q$2:$Q$492,0)),"")</f>
        <v>2</v>
      </c>
      <c r="J258" s="42">
        <f>IFERROR(INDEX('Output Utente'!$G$2:$G$492,MATCH(255,'Output Utente'!$Q$2:$Q$492,0)),"")</f>
        <v>1</v>
      </c>
      <c r="K258" s="42">
        <f>IFERROR(INDEX('Output Utente'!$H$2:$H$492,MATCH(255,'Output Utente'!$Q$2:$Q$492,0)),"")</f>
        <v>2</v>
      </c>
      <c r="L258" s="5" t="str">
        <f>IFERROR(INDEX('Output Utente'!$E$2:$E$492,MATCH(255,'Output Utente'!$Q$2:$Q$492,0)),"")</f>
        <v>NO</v>
      </c>
      <c r="M258" s="5" t="str">
        <f>IFERROR(INDEX('Output Utente'!$U$2:$U$492,MATCH(255,'Output Utente'!$Q$2:$Q$492,0)),"")</f>
        <v>OK</v>
      </c>
      <c r="N258" s="5" t="str">
        <f>IFERROR(INDEX('Output Utente'!$AE$2:$AE$492,MATCH(255,'Output Utente'!$Q$2:$Q$492,0)),"")</f>
        <v>🔴 Non aspettare</v>
      </c>
    </row>
    <row r="259" spans="1:14" ht="15" customHeight="1" x14ac:dyDescent="0.25">
      <c r="A259" s="41">
        <v>256</v>
      </c>
      <c r="B259" s="5">
        <f>IFERROR(INDEX('Output Utente'!$A$2:$A$492,MATCH(256,'Output Utente'!$Q$2:$Q$492,0)),"")</f>
        <v>6170</v>
      </c>
      <c r="C259" s="5" t="str">
        <f>IFERROR(INDEX('Output Utente'!$B$2:$B$492,MATCH(256,'Output Utente'!$Q$2:$Q$492,0)),"")</f>
        <v>C</v>
      </c>
      <c r="D259" s="5" t="str">
        <f>IFERROR(INDEX('Output Utente'!$C$2:$C$492,MATCH(256,'Output Utente'!$Q$2:$Q$492,0)),"")</f>
        <v>Gineitis</v>
      </c>
      <c r="E259" s="5" t="str">
        <f>IFERROR(INDEX('Input Giocatori 2026_27'!$D$3:$D$493,MATCH($B259,'Input Giocatori 2026_27'!$A$3:$A$493,0)),"")</f>
        <v>Torino</v>
      </c>
      <c r="F259" s="42">
        <f>IFERROR(INDEX('Output Utente'!$N$2:$N$492,MATCH(256,'Output Utente'!$Q$2:$Q$492,0)),"")</f>
        <v>5</v>
      </c>
      <c r="G259" s="42">
        <f>IFERROR(INDEX('Output Utente'!$O$2:$O$492,MATCH(256,'Output Utente'!$Q$2:$Q$492,0)),"")</f>
        <v>13</v>
      </c>
      <c r="H259" s="5" t="str">
        <f>IFERROR(INDEX('Output Utente'!$P$2:$P$492,MATCH(256,'Output Utente'!$Q$2:$Q$492,0)),"")</f>
        <v>Nella Media</v>
      </c>
      <c r="I259" s="42">
        <f>IFERROR(INDEX('Output Utente'!$F$2:$F$492,MATCH(256,'Output Utente'!$Q$2:$Q$492,0)),"")</f>
        <v>2</v>
      </c>
      <c r="J259" s="42">
        <f>IFERROR(INDEX('Output Utente'!$G$2:$G$492,MATCH(256,'Output Utente'!$Q$2:$Q$492,0)),"")</f>
        <v>1</v>
      </c>
      <c r="K259" s="42">
        <f>IFERROR(INDEX('Output Utente'!$H$2:$H$492,MATCH(256,'Output Utente'!$Q$2:$Q$492,0)),"")</f>
        <v>2</v>
      </c>
      <c r="L259" s="5" t="str">
        <f>IFERROR(INDEX('Output Utente'!$E$2:$E$492,MATCH(256,'Output Utente'!$Q$2:$Q$492,0)),"")</f>
        <v>NO</v>
      </c>
      <c r="M259" s="5" t="str">
        <f>IFERROR(INDEX('Output Utente'!$U$2:$U$492,MATCH(256,'Output Utente'!$Q$2:$Q$492,0)),"")</f>
        <v>OK</v>
      </c>
      <c r="N259" s="5" t="str">
        <f>IFERROR(INDEX('Output Utente'!$AE$2:$AE$492,MATCH(256,'Output Utente'!$Q$2:$Q$492,0)),"")</f>
        <v>🔴 Non aspettare</v>
      </c>
    </row>
    <row r="260" spans="1:14" ht="15" customHeight="1" x14ac:dyDescent="0.25">
      <c r="A260" s="41">
        <v>257</v>
      </c>
      <c r="B260" s="5">
        <f>IFERROR(INDEX('Output Utente'!$A$2:$A$492,MATCH(257,'Output Utente'!$Q$2:$Q$492,0)),"")</f>
        <v>5301</v>
      </c>
      <c r="C260" s="5" t="str">
        <f>IFERROR(INDEX('Output Utente'!$B$2:$B$492,MATCH(257,'Output Utente'!$Q$2:$Q$492,0)),"")</f>
        <v>C</v>
      </c>
      <c r="D260" s="5" t="str">
        <f>IFERROR(INDEX('Output Utente'!$C$2:$C$492,MATCH(257,'Output Utente'!$Q$2:$Q$492,0)),"")</f>
        <v>Luis Henrique</v>
      </c>
      <c r="E260" s="5" t="str">
        <f>IFERROR(INDEX('Input Giocatori 2026_27'!$D$3:$D$493,MATCH($B260,'Input Giocatori 2026_27'!$A$3:$A$493,0)),"")</f>
        <v>Inter</v>
      </c>
      <c r="F260" s="42">
        <f>IFERROR(INDEX('Output Utente'!$N$2:$N$492,MATCH(257,'Output Utente'!$Q$2:$Q$492,0)),"")</f>
        <v>4</v>
      </c>
      <c r="G260" s="42">
        <f>IFERROR(INDEX('Output Utente'!$O$2:$O$492,MATCH(257,'Output Utente'!$Q$2:$Q$492,0)),"")</f>
        <v>13</v>
      </c>
      <c r="H260" s="5" t="str">
        <f>IFERROR(INDEX('Output Utente'!$P$2:$P$492,MATCH(257,'Output Utente'!$Q$2:$Q$492,0)),"")</f>
        <v>Nella Media</v>
      </c>
      <c r="I260" s="42">
        <f>IFERROR(INDEX('Output Utente'!$F$2:$F$492,MATCH(257,'Output Utente'!$Q$2:$Q$492,0)),"")</f>
        <v>2</v>
      </c>
      <c r="J260" s="42">
        <f>IFERROR(INDEX('Output Utente'!$G$2:$G$492,MATCH(257,'Output Utente'!$Q$2:$Q$492,0)),"")</f>
        <v>1</v>
      </c>
      <c r="K260" s="42">
        <f>IFERROR(INDEX('Output Utente'!$H$2:$H$492,MATCH(257,'Output Utente'!$Q$2:$Q$492,0)),"")</f>
        <v>2</v>
      </c>
      <c r="L260" s="5" t="str">
        <f>IFERROR(INDEX('Output Utente'!$E$2:$E$492,MATCH(257,'Output Utente'!$Q$2:$Q$492,0)),"")</f>
        <v>NO</v>
      </c>
      <c r="M260" s="5" t="str">
        <f>IFERROR(INDEX('Output Utente'!$U$2:$U$492,MATCH(257,'Output Utente'!$Q$2:$Q$492,0)),"")</f>
        <v>OK</v>
      </c>
      <c r="N260" s="5" t="str">
        <f>IFERROR(INDEX('Output Utente'!$AE$2:$AE$492,MATCH(257,'Output Utente'!$Q$2:$Q$492,0)),"")</f>
        <v>🔴 Non aspettare</v>
      </c>
    </row>
    <row r="261" spans="1:14" ht="15" customHeight="1" x14ac:dyDescent="0.25">
      <c r="A261" s="41">
        <v>258</v>
      </c>
      <c r="B261" s="5">
        <f>IFERROR(INDEX('Output Utente'!$A$2:$A$492,MATCH(258,'Output Utente'!$Q$2:$Q$492,0)),"")</f>
        <v>7535</v>
      </c>
      <c r="C261" s="5" t="str">
        <f>IFERROR(INDEX('Output Utente'!$B$2:$B$492,MATCH(258,'Output Utente'!$Q$2:$Q$492,0)),"")</f>
        <v>C</v>
      </c>
      <c r="D261" s="5" t="str">
        <f>IFERROR(INDEX('Output Utente'!$C$2:$C$492,MATCH(258,'Output Utente'!$Q$2:$Q$492,0)),"")</f>
        <v>Fitz-Jim</v>
      </c>
      <c r="E261" s="5" t="str">
        <f>IFERROR(INDEX('Input Giocatori 2026_27'!$D$3:$D$493,MATCH($B261,'Input Giocatori 2026_27'!$A$3:$A$493,0)),"")</f>
        <v>Torino</v>
      </c>
      <c r="F261" s="42">
        <f>IFERROR(INDEX('Output Utente'!$N$2:$N$492,MATCH(258,'Output Utente'!$Q$2:$Q$492,0)),"")</f>
        <v>4</v>
      </c>
      <c r="G261" s="42">
        <f>IFERROR(INDEX('Output Utente'!$O$2:$O$492,MATCH(258,'Output Utente'!$Q$2:$Q$492,0)),"")</f>
        <v>13</v>
      </c>
      <c r="H261" s="5" t="str">
        <f>IFERROR(INDEX('Output Utente'!$P$2:$P$492,MATCH(258,'Output Utente'!$Q$2:$Q$492,0)),"")</f>
        <v>Nella Media</v>
      </c>
      <c r="I261" s="42">
        <f>IFERROR(INDEX('Output Utente'!$F$2:$F$492,MATCH(258,'Output Utente'!$Q$2:$Q$492,0)),"")</f>
        <v>2</v>
      </c>
      <c r="J261" s="42">
        <f>IFERROR(INDEX('Output Utente'!$G$2:$G$492,MATCH(258,'Output Utente'!$Q$2:$Q$492,0)),"")</f>
        <v>1</v>
      </c>
      <c r="K261" s="42">
        <f>IFERROR(INDEX('Output Utente'!$H$2:$H$492,MATCH(258,'Output Utente'!$Q$2:$Q$492,0)),"")</f>
        <v>2</v>
      </c>
      <c r="L261" s="5" t="str">
        <f>IFERROR(INDEX('Output Utente'!$E$2:$E$492,MATCH(258,'Output Utente'!$Q$2:$Q$492,0)),"")</f>
        <v>NO</v>
      </c>
      <c r="M261" s="5" t="str">
        <f>IFERROR(INDEX('Output Utente'!$U$2:$U$492,MATCH(258,'Output Utente'!$Q$2:$Q$492,0)),"")</f>
        <v>OK</v>
      </c>
      <c r="N261" s="5" t="str">
        <f>IFERROR(INDEX('Output Utente'!$AE$2:$AE$492,MATCH(258,'Output Utente'!$Q$2:$Q$492,0)),"")</f>
        <v>🔴 Non aspettare</v>
      </c>
    </row>
    <row r="262" spans="1:14" ht="15" customHeight="1" x14ac:dyDescent="0.25">
      <c r="A262" s="41">
        <v>259</v>
      </c>
      <c r="B262" s="5">
        <f>IFERROR(INDEX('Output Utente'!$A$2:$A$492,MATCH(259,'Output Utente'!$Q$2:$Q$492,0)),"")</f>
        <v>7213</v>
      </c>
      <c r="C262" s="5" t="str">
        <f>IFERROR(INDEX('Output Utente'!$B$2:$B$492,MATCH(259,'Output Utente'!$Q$2:$Q$492,0)),"")</f>
        <v>A</v>
      </c>
      <c r="D262" s="5" t="str">
        <f>IFERROR(INDEX('Output Utente'!$C$2:$C$492,MATCH(259,'Output Utente'!$Q$2:$Q$492,0)),"")</f>
        <v>Frigan</v>
      </c>
      <c r="E262" s="5" t="str">
        <f>IFERROR(INDEX('Input Giocatori 2026_27'!$D$3:$D$493,MATCH($B262,'Input Giocatori 2026_27'!$A$3:$A$493,0)),"")</f>
        <v>Parma</v>
      </c>
      <c r="F262" s="42">
        <f>IFERROR(INDEX('Output Utente'!$N$2:$N$492,MATCH(259,'Output Utente'!$Q$2:$Q$492,0)),"")</f>
        <v>5</v>
      </c>
      <c r="G262" s="42">
        <f>IFERROR(INDEX('Output Utente'!$O$2:$O$492,MATCH(259,'Output Utente'!$Q$2:$Q$492,0)),"")</f>
        <v>13</v>
      </c>
      <c r="H262" s="5" t="str">
        <f>IFERROR(INDEX('Output Utente'!$P$2:$P$492,MATCH(259,'Output Utente'!$Q$2:$Q$492,0)),"")</f>
        <v>Scommessa/Riserva</v>
      </c>
      <c r="I262" s="42">
        <f>IFERROR(INDEX('Output Utente'!$F$2:$F$492,MATCH(259,'Output Utente'!$Q$2:$Q$492,0)),"")</f>
        <v>4</v>
      </c>
      <c r="J262" s="42">
        <f>IFERROR(INDEX('Output Utente'!$G$2:$G$492,MATCH(259,'Output Utente'!$Q$2:$Q$492,0)),"")</f>
        <v>3</v>
      </c>
      <c r="K262" s="42">
        <f>IFERROR(INDEX('Output Utente'!$H$2:$H$492,MATCH(259,'Output Utente'!$Q$2:$Q$492,0)),"")</f>
        <v>5</v>
      </c>
      <c r="L262" s="5" t="str">
        <f>IFERROR(INDEX('Output Utente'!$E$2:$E$492,MATCH(259,'Output Utente'!$Q$2:$Q$492,0)),"")</f>
        <v>NO</v>
      </c>
      <c r="M262" s="5" t="str">
        <f>IFERROR(INDEX('Output Utente'!$U$2:$U$492,MATCH(259,'Output Utente'!$Q$2:$Q$492,0)),"")</f>
        <v>OK</v>
      </c>
      <c r="N262" s="5" t="str">
        <f>IFERROR(INDEX('Output Utente'!$AE$2:$AE$492,MATCH(259,'Output Utente'!$Q$2:$Q$492,0)),"")</f>
        <v>🔴 Non aspettare</v>
      </c>
    </row>
    <row r="263" spans="1:14" ht="15" customHeight="1" x14ac:dyDescent="0.25">
      <c r="A263" s="41">
        <v>260</v>
      </c>
      <c r="B263" s="5">
        <f>IFERROR(INDEX('Output Utente'!$A$2:$A$492,MATCH(260,'Output Utente'!$Q$2:$Q$492,0)),"")</f>
        <v>4485</v>
      </c>
      <c r="C263" s="5" t="str">
        <f>IFERROR(INDEX('Output Utente'!$B$2:$B$492,MATCH(260,'Output Utente'!$Q$2:$Q$492,0)),"")</f>
        <v>P</v>
      </c>
      <c r="D263" s="5" t="str">
        <f>IFERROR(INDEX('Output Utente'!$C$2:$C$492,MATCH(260,'Output Utente'!$Q$2:$Q$492,0)),"")</f>
        <v>Thiam</v>
      </c>
      <c r="E263" s="5" t="str">
        <f>IFERROR(INDEX('Input Giocatori 2026_27'!$D$3:$D$493,MATCH($B263,'Input Giocatori 2026_27'!$A$3:$A$493,0)),"")</f>
        <v>Monza</v>
      </c>
      <c r="F263" s="42">
        <f>IFERROR(INDEX('Output Utente'!$N$2:$N$492,MATCH(260,'Output Utente'!$Q$2:$Q$492,0)),"")</f>
        <v>5</v>
      </c>
      <c r="G263" s="42">
        <f>IFERROR(INDEX('Output Utente'!$O$2:$O$492,MATCH(260,'Output Utente'!$Q$2:$Q$492,0)),"")</f>
        <v>12</v>
      </c>
      <c r="H263" s="5" t="str">
        <f>IFERROR(INDEX('Output Utente'!$P$2:$P$492,MATCH(260,'Output Utente'!$Q$2:$Q$492,0)),"")</f>
        <v>Buono</v>
      </c>
      <c r="I263" s="42">
        <f>IFERROR(INDEX('Output Utente'!$F$2:$F$492,MATCH(260,'Output Utente'!$Q$2:$Q$492,0)),"")</f>
        <v>4</v>
      </c>
      <c r="J263" s="42">
        <f>IFERROR(INDEX('Output Utente'!$G$2:$G$492,MATCH(260,'Output Utente'!$Q$2:$Q$492,0)),"")</f>
        <v>3</v>
      </c>
      <c r="K263" s="42">
        <f>IFERROR(INDEX('Output Utente'!$H$2:$H$492,MATCH(260,'Output Utente'!$Q$2:$Q$492,0)),"")</f>
        <v>5</v>
      </c>
      <c r="L263" s="5" t="str">
        <f>IFERROR(INDEX('Output Utente'!$E$2:$E$492,MATCH(260,'Output Utente'!$Q$2:$Q$492,0)),"")</f>
        <v>NO</v>
      </c>
      <c r="M263" s="5" t="str">
        <f>IFERROR(INDEX('Output Utente'!$U$2:$U$492,MATCH(260,'Output Utente'!$Q$2:$Q$492,0)),"")</f>
        <v>OK</v>
      </c>
      <c r="N263" s="5" t="str">
        <f>IFERROR(INDEX('Output Utente'!$AE$2:$AE$492,MATCH(260,'Output Utente'!$Q$2:$Q$492,0)),"")</f>
        <v>🔴 Non aspettare</v>
      </c>
    </row>
    <row r="264" spans="1:14" ht="15" customHeight="1" x14ac:dyDescent="0.25">
      <c r="A264" s="41">
        <v>261</v>
      </c>
      <c r="B264" s="5">
        <f>IFERROR(INDEX('Output Utente'!$A$2:$A$492,MATCH(261,'Output Utente'!$Q$2:$Q$492,0)),"")</f>
        <v>5555</v>
      </c>
      <c r="C264" s="5" t="str">
        <f>IFERROR(INDEX('Output Utente'!$B$2:$B$492,MATCH(261,'Output Utente'!$Q$2:$Q$492,0)),"")</f>
        <v>D</v>
      </c>
      <c r="D264" s="5" t="str">
        <f>IFERROR(INDEX('Output Utente'!$C$2:$C$492,MATCH(261,'Output Utente'!$Q$2:$Q$492,0)),"")</f>
        <v>Kamara H.</v>
      </c>
      <c r="E264" s="5" t="str">
        <f>IFERROR(INDEX('Input Giocatori 2026_27'!$D$3:$D$493,MATCH($B264,'Input Giocatori 2026_27'!$A$3:$A$493,0)),"")</f>
        <v>Udinese</v>
      </c>
      <c r="F264" s="42">
        <f>IFERROR(INDEX('Output Utente'!$N$2:$N$492,MATCH(261,'Output Utente'!$Q$2:$Q$492,0)),"")</f>
        <v>6</v>
      </c>
      <c r="G264" s="42">
        <f>IFERROR(INDEX('Output Utente'!$O$2:$O$492,MATCH(261,'Output Utente'!$Q$2:$Q$492,0)),"")</f>
        <v>12</v>
      </c>
      <c r="H264" s="5" t="str">
        <f>IFERROR(INDEX('Output Utente'!$P$2:$P$492,MATCH(261,'Output Utente'!$Q$2:$Q$492,0)),"")</f>
        <v>Nella Media</v>
      </c>
      <c r="I264" s="42">
        <f>IFERROR(INDEX('Output Utente'!$F$2:$F$492,MATCH(261,'Output Utente'!$Q$2:$Q$492,0)),"")</f>
        <v>2</v>
      </c>
      <c r="J264" s="42">
        <f>IFERROR(INDEX('Output Utente'!$G$2:$G$492,MATCH(261,'Output Utente'!$Q$2:$Q$492,0)),"")</f>
        <v>2</v>
      </c>
      <c r="K264" s="42">
        <f>IFERROR(INDEX('Output Utente'!$H$2:$H$492,MATCH(261,'Output Utente'!$Q$2:$Q$492,0)),"")</f>
        <v>2</v>
      </c>
      <c r="L264" s="5" t="str">
        <f>IFERROR(INDEX('Output Utente'!$E$2:$E$492,MATCH(261,'Output Utente'!$Q$2:$Q$492,0)),"")</f>
        <v>NO</v>
      </c>
      <c r="M264" s="5" t="str">
        <f>IFERROR(INDEX('Output Utente'!$U$2:$U$492,MATCH(261,'Output Utente'!$Q$2:$Q$492,0)),"")</f>
        <v>OK</v>
      </c>
      <c r="N264" s="5" t="str">
        <f>IFERROR(INDEX('Output Utente'!$AE$2:$AE$492,MATCH(261,'Output Utente'!$Q$2:$Q$492,0)),"")</f>
        <v>🔴 Non aspettare</v>
      </c>
    </row>
    <row r="265" spans="1:14" ht="15" customHeight="1" x14ac:dyDescent="0.25">
      <c r="A265" s="41">
        <v>262</v>
      </c>
      <c r="B265" s="5">
        <f>IFERROR(INDEX('Output Utente'!$A$2:$A$492,MATCH(262,'Output Utente'!$Q$2:$Q$492,0)),"")</f>
        <v>2640</v>
      </c>
      <c r="C265" s="5" t="str">
        <f>IFERROR(INDEX('Output Utente'!$B$2:$B$492,MATCH(262,'Output Utente'!$Q$2:$Q$492,0)),"")</f>
        <v>D</v>
      </c>
      <c r="D265" s="5" t="str">
        <f>IFERROR(INDEX('Output Utente'!$C$2:$C$492,MATCH(262,'Output Utente'!$Q$2:$Q$492,0)),"")</f>
        <v>Kolasinac</v>
      </c>
      <c r="E265" s="5" t="str">
        <f>IFERROR(INDEX('Input Giocatori 2026_27'!$D$3:$D$493,MATCH($B265,'Input Giocatori 2026_27'!$A$3:$A$493,0)),"")</f>
        <v>Atalanta</v>
      </c>
      <c r="F265" s="42">
        <f>IFERROR(INDEX('Output Utente'!$N$2:$N$492,MATCH(262,'Output Utente'!$Q$2:$Q$492,0)),"")</f>
        <v>5</v>
      </c>
      <c r="G265" s="42">
        <f>IFERROR(INDEX('Output Utente'!$O$2:$O$492,MATCH(262,'Output Utente'!$Q$2:$Q$492,0)),"")</f>
        <v>12</v>
      </c>
      <c r="H265" s="5" t="str">
        <f>IFERROR(INDEX('Output Utente'!$P$2:$P$492,MATCH(262,'Output Utente'!$Q$2:$Q$492,0)),"")</f>
        <v>Nella Media</v>
      </c>
      <c r="I265" s="42">
        <f>IFERROR(INDEX('Output Utente'!$F$2:$F$492,MATCH(262,'Output Utente'!$Q$2:$Q$492,0)),"")</f>
        <v>2</v>
      </c>
      <c r="J265" s="42">
        <f>IFERROR(INDEX('Output Utente'!$G$2:$G$492,MATCH(262,'Output Utente'!$Q$2:$Q$492,0)),"")</f>
        <v>2</v>
      </c>
      <c r="K265" s="42">
        <f>IFERROR(INDEX('Output Utente'!$H$2:$H$492,MATCH(262,'Output Utente'!$Q$2:$Q$492,0)),"")</f>
        <v>2</v>
      </c>
      <c r="L265" s="5" t="str">
        <f>IFERROR(INDEX('Output Utente'!$E$2:$E$492,MATCH(262,'Output Utente'!$Q$2:$Q$492,0)),"")</f>
        <v>NO</v>
      </c>
      <c r="M265" s="5" t="str">
        <f>IFERROR(INDEX('Output Utente'!$U$2:$U$492,MATCH(262,'Output Utente'!$Q$2:$Q$492,0)),"")</f>
        <v>OK</v>
      </c>
      <c r="N265" s="5" t="str">
        <f>IFERROR(INDEX('Output Utente'!$AE$2:$AE$492,MATCH(262,'Output Utente'!$Q$2:$Q$492,0)),"")</f>
        <v>🔴 Non aspettare</v>
      </c>
    </row>
    <row r="266" spans="1:14" ht="15" customHeight="1" x14ac:dyDescent="0.25">
      <c r="A266" s="41">
        <v>263</v>
      </c>
      <c r="B266" s="5">
        <f>IFERROR(INDEX('Output Utente'!$A$2:$A$492,MATCH(263,'Output Utente'!$Q$2:$Q$492,0)),"")</f>
        <v>5449</v>
      </c>
      <c r="C266" s="5" t="str">
        <f>IFERROR(INDEX('Output Utente'!$B$2:$B$492,MATCH(263,'Output Utente'!$Q$2:$Q$492,0)),"")</f>
        <v>D</v>
      </c>
      <c r="D266" s="5" t="str">
        <f>IFERROR(INDEX('Output Utente'!$C$2:$C$492,MATCH(263,'Output Utente'!$Q$2:$Q$492,0)),"")</f>
        <v>Parisi</v>
      </c>
      <c r="E266" s="5" t="str">
        <f>IFERROR(INDEX('Input Giocatori 2026_27'!$D$3:$D$493,MATCH($B266,'Input Giocatori 2026_27'!$A$3:$A$493,0)),"")</f>
        <v>Fiorentina</v>
      </c>
      <c r="F266" s="42">
        <f>IFERROR(INDEX('Output Utente'!$N$2:$N$492,MATCH(263,'Output Utente'!$Q$2:$Q$492,0)),"")</f>
        <v>5</v>
      </c>
      <c r="G266" s="42">
        <f>IFERROR(INDEX('Output Utente'!$O$2:$O$492,MATCH(263,'Output Utente'!$Q$2:$Q$492,0)),"")</f>
        <v>12</v>
      </c>
      <c r="H266" s="5" t="str">
        <f>IFERROR(INDEX('Output Utente'!$P$2:$P$492,MATCH(263,'Output Utente'!$Q$2:$Q$492,0)),"")</f>
        <v>Nella Media</v>
      </c>
      <c r="I266" s="42">
        <f>IFERROR(INDEX('Output Utente'!$F$2:$F$492,MATCH(263,'Output Utente'!$Q$2:$Q$492,0)),"")</f>
        <v>2</v>
      </c>
      <c r="J266" s="42">
        <f>IFERROR(INDEX('Output Utente'!$G$2:$G$492,MATCH(263,'Output Utente'!$Q$2:$Q$492,0)),"")</f>
        <v>2</v>
      </c>
      <c r="K266" s="42">
        <f>IFERROR(INDEX('Output Utente'!$H$2:$H$492,MATCH(263,'Output Utente'!$Q$2:$Q$492,0)),"")</f>
        <v>2</v>
      </c>
      <c r="L266" s="5" t="str">
        <f>IFERROR(INDEX('Output Utente'!$E$2:$E$492,MATCH(263,'Output Utente'!$Q$2:$Q$492,0)),"")</f>
        <v>NO</v>
      </c>
      <c r="M266" s="5" t="str">
        <f>IFERROR(INDEX('Output Utente'!$U$2:$U$492,MATCH(263,'Output Utente'!$Q$2:$Q$492,0)),"")</f>
        <v>OK</v>
      </c>
      <c r="N266" s="5" t="str">
        <f>IFERROR(INDEX('Output Utente'!$AE$2:$AE$492,MATCH(263,'Output Utente'!$Q$2:$Q$492,0)),"")</f>
        <v>🔴 Non aspettare</v>
      </c>
    </row>
    <row r="267" spans="1:14" ht="15" customHeight="1" x14ac:dyDescent="0.25">
      <c r="A267" s="41">
        <v>264</v>
      </c>
      <c r="B267" s="5">
        <f>IFERROR(INDEX('Output Utente'!$A$2:$A$492,MATCH(264,'Output Utente'!$Q$2:$Q$492,0)),"")</f>
        <v>6238</v>
      </c>
      <c r="C267" s="5" t="str">
        <f>IFERROR(INDEX('Output Utente'!$B$2:$B$492,MATCH(264,'Output Utente'!$Q$2:$Q$492,0)),"")</f>
        <v>D</v>
      </c>
      <c r="D267" s="5" t="str">
        <f>IFERROR(INDEX('Output Utente'!$C$2:$C$492,MATCH(264,'Output Utente'!$Q$2:$Q$492,0)),"")</f>
        <v>Oyono A.</v>
      </c>
      <c r="E267" s="5" t="str">
        <f>IFERROR(INDEX('Input Giocatori 2026_27'!$D$3:$D$493,MATCH($B267,'Input Giocatori 2026_27'!$A$3:$A$493,0)),"")</f>
        <v>Frosinone</v>
      </c>
      <c r="F267" s="42">
        <f>IFERROR(INDEX('Output Utente'!$N$2:$N$492,MATCH(264,'Output Utente'!$Q$2:$Q$492,0)),"")</f>
        <v>5</v>
      </c>
      <c r="G267" s="42">
        <f>IFERROR(INDEX('Output Utente'!$O$2:$O$492,MATCH(264,'Output Utente'!$Q$2:$Q$492,0)),"")</f>
        <v>12</v>
      </c>
      <c r="H267" s="5" t="str">
        <f>IFERROR(INDEX('Output Utente'!$P$2:$P$492,MATCH(264,'Output Utente'!$Q$2:$Q$492,0)),"")</f>
        <v>Nella Media</v>
      </c>
      <c r="I267" s="42">
        <f>IFERROR(INDEX('Output Utente'!$F$2:$F$492,MATCH(264,'Output Utente'!$Q$2:$Q$492,0)),"")</f>
        <v>2</v>
      </c>
      <c r="J267" s="42">
        <f>IFERROR(INDEX('Output Utente'!$G$2:$G$492,MATCH(264,'Output Utente'!$Q$2:$Q$492,0)),"")</f>
        <v>2</v>
      </c>
      <c r="K267" s="42">
        <f>IFERROR(INDEX('Output Utente'!$H$2:$H$492,MATCH(264,'Output Utente'!$Q$2:$Q$492,0)),"")</f>
        <v>2</v>
      </c>
      <c r="L267" s="5" t="str">
        <f>IFERROR(INDEX('Output Utente'!$E$2:$E$492,MATCH(264,'Output Utente'!$Q$2:$Q$492,0)),"")</f>
        <v>NO</v>
      </c>
      <c r="M267" s="5" t="str">
        <f>IFERROR(INDEX('Output Utente'!$U$2:$U$492,MATCH(264,'Output Utente'!$Q$2:$Q$492,0)),"")</f>
        <v>OK</v>
      </c>
      <c r="N267" s="5" t="str">
        <f>IFERROR(INDEX('Output Utente'!$AE$2:$AE$492,MATCH(264,'Output Utente'!$Q$2:$Q$492,0)),"")</f>
        <v>🔴 Non aspettare</v>
      </c>
    </row>
    <row r="268" spans="1:14" ht="15" customHeight="1" x14ac:dyDescent="0.25">
      <c r="A268" s="41">
        <v>265</v>
      </c>
      <c r="B268" s="5">
        <f>IFERROR(INDEX('Output Utente'!$A$2:$A$492,MATCH(265,'Output Utente'!$Q$2:$Q$492,0)),"")</f>
        <v>6632</v>
      </c>
      <c r="C268" s="5" t="str">
        <f>IFERROR(INDEX('Output Utente'!$B$2:$B$492,MATCH(265,'Output Utente'!$Q$2:$Q$492,0)),"")</f>
        <v>D</v>
      </c>
      <c r="D268" s="5" t="str">
        <f>IFERROR(INDEX('Output Utente'!$C$2:$C$492,MATCH(265,'Output Utente'!$Q$2:$Q$492,0)),"")</f>
        <v>Gaspar K.</v>
      </c>
      <c r="E268" s="5" t="str">
        <f>IFERROR(INDEX('Input Giocatori 2026_27'!$D$3:$D$493,MATCH($B268,'Input Giocatori 2026_27'!$A$3:$A$493,0)),"")</f>
        <v>Lecce</v>
      </c>
      <c r="F268" s="42">
        <f>IFERROR(INDEX('Output Utente'!$N$2:$N$492,MATCH(265,'Output Utente'!$Q$2:$Q$492,0)),"")</f>
        <v>5</v>
      </c>
      <c r="G268" s="42">
        <f>IFERROR(INDEX('Output Utente'!$O$2:$O$492,MATCH(265,'Output Utente'!$Q$2:$Q$492,0)),"")</f>
        <v>12</v>
      </c>
      <c r="H268" s="5" t="str">
        <f>IFERROR(INDEX('Output Utente'!$P$2:$P$492,MATCH(265,'Output Utente'!$Q$2:$Q$492,0)),"")</f>
        <v>Nella Media</v>
      </c>
      <c r="I268" s="42">
        <f>IFERROR(INDEX('Output Utente'!$F$2:$F$492,MATCH(265,'Output Utente'!$Q$2:$Q$492,0)),"")</f>
        <v>2</v>
      </c>
      <c r="J268" s="42">
        <f>IFERROR(INDEX('Output Utente'!$G$2:$G$492,MATCH(265,'Output Utente'!$Q$2:$Q$492,0)),"")</f>
        <v>2</v>
      </c>
      <c r="K268" s="42">
        <f>IFERROR(INDEX('Output Utente'!$H$2:$H$492,MATCH(265,'Output Utente'!$Q$2:$Q$492,0)),"")</f>
        <v>2</v>
      </c>
      <c r="L268" s="5" t="str">
        <f>IFERROR(INDEX('Output Utente'!$E$2:$E$492,MATCH(265,'Output Utente'!$Q$2:$Q$492,0)),"")</f>
        <v>NO</v>
      </c>
      <c r="M268" s="5" t="str">
        <f>IFERROR(INDEX('Output Utente'!$U$2:$U$492,MATCH(265,'Output Utente'!$Q$2:$Q$492,0)),"")</f>
        <v>OK</v>
      </c>
      <c r="N268" s="5" t="str">
        <f>IFERROR(INDEX('Output Utente'!$AE$2:$AE$492,MATCH(265,'Output Utente'!$Q$2:$Q$492,0)),"")</f>
        <v>🔴 Non aspettare</v>
      </c>
    </row>
    <row r="269" spans="1:14" ht="15" customHeight="1" x14ac:dyDescent="0.25">
      <c r="A269" s="41">
        <v>266</v>
      </c>
      <c r="B269" s="5">
        <f>IFERROR(INDEX('Output Utente'!$A$2:$A$492,MATCH(266,'Output Utente'!$Q$2:$Q$492,0)),"")</f>
        <v>7240</v>
      </c>
      <c r="C269" s="5" t="str">
        <f>IFERROR(INDEX('Output Utente'!$B$2:$B$492,MATCH(266,'Output Utente'!$Q$2:$Q$492,0)),"")</f>
        <v>D</v>
      </c>
      <c r="D269" s="5" t="str">
        <f>IFERROR(INDEX('Output Utente'!$C$2:$C$492,MATCH(266,'Output Utente'!$Q$2:$Q$492,0)),"")</f>
        <v>Siebert</v>
      </c>
      <c r="E269" s="5" t="str">
        <f>IFERROR(INDEX('Input Giocatori 2026_27'!$D$3:$D$493,MATCH($B269,'Input Giocatori 2026_27'!$A$3:$A$493,0)),"")</f>
        <v>Lecce</v>
      </c>
      <c r="F269" s="42">
        <f>IFERROR(INDEX('Output Utente'!$N$2:$N$492,MATCH(266,'Output Utente'!$Q$2:$Q$492,0)),"")</f>
        <v>4</v>
      </c>
      <c r="G269" s="42">
        <f>IFERROR(INDEX('Output Utente'!$O$2:$O$492,MATCH(266,'Output Utente'!$Q$2:$Q$492,0)),"")</f>
        <v>12</v>
      </c>
      <c r="H269" s="5" t="str">
        <f>IFERROR(INDEX('Output Utente'!$P$2:$P$492,MATCH(266,'Output Utente'!$Q$2:$Q$492,0)),"")</f>
        <v>Nella Media</v>
      </c>
      <c r="I269" s="42">
        <f>IFERROR(INDEX('Output Utente'!$F$2:$F$492,MATCH(266,'Output Utente'!$Q$2:$Q$492,0)),"")</f>
        <v>2</v>
      </c>
      <c r="J269" s="42">
        <f>IFERROR(INDEX('Output Utente'!$G$2:$G$492,MATCH(266,'Output Utente'!$Q$2:$Q$492,0)),"")</f>
        <v>2</v>
      </c>
      <c r="K269" s="42">
        <f>IFERROR(INDEX('Output Utente'!$H$2:$H$492,MATCH(266,'Output Utente'!$Q$2:$Q$492,0)),"")</f>
        <v>2</v>
      </c>
      <c r="L269" s="5" t="str">
        <f>IFERROR(INDEX('Output Utente'!$E$2:$E$492,MATCH(266,'Output Utente'!$Q$2:$Q$492,0)),"")</f>
        <v>NO</v>
      </c>
      <c r="M269" s="5" t="str">
        <f>IFERROR(INDEX('Output Utente'!$U$2:$U$492,MATCH(266,'Output Utente'!$Q$2:$Q$492,0)),"")</f>
        <v>OK</v>
      </c>
      <c r="N269" s="5" t="str">
        <f>IFERROR(INDEX('Output Utente'!$AE$2:$AE$492,MATCH(266,'Output Utente'!$Q$2:$Q$492,0)),"")</f>
        <v>🔴 Non aspettare</v>
      </c>
    </row>
    <row r="270" spans="1:14" ht="15" customHeight="1" x14ac:dyDescent="0.25">
      <c r="A270" s="41">
        <v>267</v>
      </c>
      <c r="B270" s="5">
        <f>IFERROR(INDEX('Output Utente'!$A$2:$A$492,MATCH(267,'Output Utente'!$Q$2:$Q$492,0)),"")</f>
        <v>6659</v>
      </c>
      <c r="C270" s="5" t="str">
        <f>IFERROR(INDEX('Output Utente'!$B$2:$B$492,MATCH(267,'Output Utente'!$Q$2:$Q$492,0)),"")</f>
        <v>D</v>
      </c>
      <c r="D270" s="5" t="str">
        <f>IFERROR(INDEX('Output Utente'!$C$2:$C$492,MATCH(267,'Output Utente'!$Q$2:$Q$492,0)),"")</f>
        <v>Lucchesi</v>
      </c>
      <c r="E270" s="5" t="str">
        <f>IFERROR(INDEX('Input Giocatori 2026_27'!$D$3:$D$493,MATCH($B270,'Input Giocatori 2026_27'!$A$3:$A$493,0)),"")</f>
        <v>Monza</v>
      </c>
      <c r="F270" s="42">
        <f>IFERROR(INDEX('Output Utente'!$N$2:$N$492,MATCH(267,'Output Utente'!$Q$2:$Q$492,0)),"")</f>
        <v>4</v>
      </c>
      <c r="G270" s="42">
        <f>IFERROR(INDEX('Output Utente'!$O$2:$O$492,MATCH(267,'Output Utente'!$Q$2:$Q$492,0)),"")</f>
        <v>12</v>
      </c>
      <c r="H270" s="5" t="str">
        <f>IFERROR(INDEX('Output Utente'!$P$2:$P$492,MATCH(267,'Output Utente'!$Q$2:$Q$492,0)),"")</f>
        <v>Nella Media</v>
      </c>
      <c r="I270" s="42">
        <f>IFERROR(INDEX('Output Utente'!$F$2:$F$492,MATCH(267,'Output Utente'!$Q$2:$Q$492,0)),"")</f>
        <v>2</v>
      </c>
      <c r="J270" s="42">
        <f>IFERROR(INDEX('Output Utente'!$G$2:$G$492,MATCH(267,'Output Utente'!$Q$2:$Q$492,0)),"")</f>
        <v>2</v>
      </c>
      <c r="K270" s="42">
        <f>IFERROR(INDEX('Output Utente'!$H$2:$H$492,MATCH(267,'Output Utente'!$Q$2:$Q$492,0)),"")</f>
        <v>2</v>
      </c>
      <c r="L270" s="5" t="str">
        <f>IFERROR(INDEX('Output Utente'!$E$2:$E$492,MATCH(267,'Output Utente'!$Q$2:$Q$492,0)),"")</f>
        <v>NO</v>
      </c>
      <c r="M270" s="5" t="str">
        <f>IFERROR(INDEX('Output Utente'!$U$2:$U$492,MATCH(267,'Output Utente'!$Q$2:$Q$492,0)),"")</f>
        <v>OK</v>
      </c>
      <c r="N270" s="5" t="str">
        <f>IFERROR(INDEX('Output Utente'!$AE$2:$AE$492,MATCH(267,'Output Utente'!$Q$2:$Q$492,0)),"")</f>
        <v>🔴 Non aspettare</v>
      </c>
    </row>
    <row r="271" spans="1:14" ht="15" customHeight="1" x14ac:dyDescent="0.25">
      <c r="A271" s="41">
        <v>268</v>
      </c>
      <c r="B271" s="5">
        <f>IFERROR(INDEX('Output Utente'!$A$2:$A$492,MATCH(268,'Output Utente'!$Q$2:$Q$492,0)),"")</f>
        <v>5838</v>
      </c>
      <c r="C271" s="5" t="str">
        <f>IFERROR(INDEX('Output Utente'!$B$2:$B$492,MATCH(268,'Output Utente'!$Q$2:$Q$492,0)),"")</f>
        <v>D</v>
      </c>
      <c r="D271" s="5" t="str">
        <f>IFERROR(INDEX('Output Utente'!$C$2:$C$492,MATCH(268,'Output Utente'!$Q$2:$Q$492,0)),"")</f>
        <v>Birindelli</v>
      </c>
      <c r="E271" s="5" t="str">
        <f>IFERROR(INDEX('Input Giocatori 2026_27'!$D$3:$D$493,MATCH($B271,'Input Giocatori 2026_27'!$A$3:$A$493,0)),"")</f>
        <v>Monza</v>
      </c>
      <c r="F271" s="42">
        <f>IFERROR(INDEX('Output Utente'!$N$2:$N$492,MATCH(268,'Output Utente'!$Q$2:$Q$492,0)),"")</f>
        <v>4</v>
      </c>
      <c r="G271" s="42">
        <f>IFERROR(INDEX('Output Utente'!$O$2:$O$492,MATCH(268,'Output Utente'!$Q$2:$Q$492,0)),"")</f>
        <v>12</v>
      </c>
      <c r="H271" s="5" t="str">
        <f>IFERROR(INDEX('Output Utente'!$P$2:$P$492,MATCH(268,'Output Utente'!$Q$2:$Q$492,0)),"")</f>
        <v>Nella Media</v>
      </c>
      <c r="I271" s="42">
        <f>IFERROR(INDEX('Output Utente'!$F$2:$F$492,MATCH(268,'Output Utente'!$Q$2:$Q$492,0)),"")</f>
        <v>2</v>
      </c>
      <c r="J271" s="42">
        <f>IFERROR(INDEX('Output Utente'!$G$2:$G$492,MATCH(268,'Output Utente'!$Q$2:$Q$492,0)),"")</f>
        <v>2</v>
      </c>
      <c r="K271" s="42">
        <f>IFERROR(INDEX('Output Utente'!$H$2:$H$492,MATCH(268,'Output Utente'!$Q$2:$Q$492,0)),"")</f>
        <v>2</v>
      </c>
      <c r="L271" s="5" t="str">
        <f>IFERROR(INDEX('Output Utente'!$E$2:$E$492,MATCH(268,'Output Utente'!$Q$2:$Q$492,0)),"")</f>
        <v>NO</v>
      </c>
      <c r="M271" s="5" t="str">
        <f>IFERROR(INDEX('Output Utente'!$U$2:$U$492,MATCH(268,'Output Utente'!$Q$2:$Q$492,0)),"")</f>
        <v>OK</v>
      </c>
      <c r="N271" s="5" t="str">
        <f>IFERROR(INDEX('Output Utente'!$AE$2:$AE$492,MATCH(268,'Output Utente'!$Q$2:$Q$492,0)),"")</f>
        <v>🔴 Non aspettare</v>
      </c>
    </row>
    <row r="272" spans="1:14" ht="15" customHeight="1" x14ac:dyDescent="0.25">
      <c r="A272" s="41">
        <v>269</v>
      </c>
      <c r="B272" s="5">
        <f>IFERROR(INDEX('Output Utente'!$A$2:$A$492,MATCH(269,'Output Utente'!$Q$2:$Q$492,0)),"")</f>
        <v>4845</v>
      </c>
      <c r="C272" s="5" t="str">
        <f>IFERROR(INDEX('Output Utente'!$B$2:$B$492,MATCH(269,'Output Utente'!$Q$2:$Q$492,0)),"")</f>
        <v>D</v>
      </c>
      <c r="D272" s="5" t="str">
        <f>IFERROR(INDEX('Output Utente'!$C$2:$C$492,MATCH(269,'Output Utente'!$Q$2:$Q$492,0)),"")</f>
        <v>Correia T.</v>
      </c>
      <c r="E272" s="5" t="str">
        <f>IFERROR(INDEX('Input Giocatori 2026_27'!$D$3:$D$493,MATCH($B272,'Input Giocatori 2026_27'!$A$3:$A$493,0)),"")</f>
        <v>Venezia</v>
      </c>
      <c r="F272" s="42">
        <f>IFERROR(INDEX('Output Utente'!$N$2:$N$492,MATCH(269,'Output Utente'!$Q$2:$Q$492,0)),"")</f>
        <v>4</v>
      </c>
      <c r="G272" s="42">
        <f>IFERROR(INDEX('Output Utente'!$O$2:$O$492,MATCH(269,'Output Utente'!$Q$2:$Q$492,0)),"")</f>
        <v>12</v>
      </c>
      <c r="H272" s="5" t="str">
        <f>IFERROR(INDEX('Output Utente'!$P$2:$P$492,MATCH(269,'Output Utente'!$Q$2:$Q$492,0)),"")</f>
        <v>Nella Media</v>
      </c>
      <c r="I272" s="42">
        <f>IFERROR(INDEX('Output Utente'!$F$2:$F$492,MATCH(269,'Output Utente'!$Q$2:$Q$492,0)),"")</f>
        <v>2</v>
      </c>
      <c r="J272" s="42">
        <f>IFERROR(INDEX('Output Utente'!$G$2:$G$492,MATCH(269,'Output Utente'!$Q$2:$Q$492,0)),"")</f>
        <v>2</v>
      </c>
      <c r="K272" s="42">
        <f>IFERROR(INDEX('Output Utente'!$H$2:$H$492,MATCH(269,'Output Utente'!$Q$2:$Q$492,0)),"")</f>
        <v>2</v>
      </c>
      <c r="L272" s="5" t="str">
        <f>IFERROR(INDEX('Output Utente'!$E$2:$E$492,MATCH(269,'Output Utente'!$Q$2:$Q$492,0)),"")</f>
        <v>NO</v>
      </c>
      <c r="M272" s="5" t="str">
        <f>IFERROR(INDEX('Output Utente'!$U$2:$U$492,MATCH(269,'Output Utente'!$Q$2:$Q$492,0)),"")</f>
        <v>OK</v>
      </c>
      <c r="N272" s="5" t="str">
        <f>IFERROR(INDEX('Output Utente'!$AE$2:$AE$492,MATCH(269,'Output Utente'!$Q$2:$Q$492,0)),"")</f>
        <v>🔴 Non aspettare</v>
      </c>
    </row>
    <row r="273" spans="1:14" ht="15" customHeight="1" x14ac:dyDescent="0.25">
      <c r="A273" s="41">
        <v>270</v>
      </c>
      <c r="B273" s="5">
        <f>IFERROR(INDEX('Output Utente'!$A$2:$A$492,MATCH(270,'Output Utente'!$Q$2:$Q$492,0)),"")</f>
        <v>7131</v>
      </c>
      <c r="C273" s="5" t="str">
        <f>IFERROR(INDEX('Output Utente'!$B$2:$B$492,MATCH(270,'Output Utente'!$Q$2:$Q$492,0)),"")</f>
        <v>D</v>
      </c>
      <c r="D273" s="5" t="str">
        <f>IFERROR(INDEX('Output Utente'!$C$2:$C$492,MATCH(270,'Output Utente'!$Q$2:$Q$492,0)),"")</f>
        <v>Floriani Mussolini</v>
      </c>
      <c r="E273" s="5" t="str">
        <f>IFERROR(INDEX('Input Giocatori 2026_27'!$D$3:$D$493,MATCH($B273,'Input Giocatori 2026_27'!$A$3:$A$493,0)),"")</f>
        <v>Lazio</v>
      </c>
      <c r="F273" s="42">
        <f>IFERROR(INDEX('Output Utente'!$N$2:$N$492,MATCH(270,'Output Utente'!$Q$2:$Q$492,0)),"")</f>
        <v>3</v>
      </c>
      <c r="G273" s="42">
        <f>IFERROR(INDEX('Output Utente'!$O$2:$O$492,MATCH(270,'Output Utente'!$Q$2:$Q$492,0)),"")</f>
        <v>12</v>
      </c>
      <c r="H273" s="5" t="str">
        <f>IFERROR(INDEX('Output Utente'!$P$2:$P$492,MATCH(270,'Output Utente'!$Q$2:$Q$492,0)),"")</f>
        <v>Nella Media</v>
      </c>
      <c r="I273" s="42">
        <f>IFERROR(INDEX('Output Utente'!$F$2:$F$492,MATCH(270,'Output Utente'!$Q$2:$Q$492,0)),"")</f>
        <v>2</v>
      </c>
      <c r="J273" s="42">
        <f>IFERROR(INDEX('Output Utente'!$G$2:$G$492,MATCH(270,'Output Utente'!$Q$2:$Q$492,0)),"")</f>
        <v>2</v>
      </c>
      <c r="K273" s="42">
        <f>IFERROR(INDEX('Output Utente'!$H$2:$H$492,MATCH(270,'Output Utente'!$Q$2:$Q$492,0)),"")</f>
        <v>2</v>
      </c>
      <c r="L273" s="5" t="str">
        <f>IFERROR(INDEX('Output Utente'!$E$2:$E$492,MATCH(270,'Output Utente'!$Q$2:$Q$492,0)),"")</f>
        <v>NO</v>
      </c>
      <c r="M273" s="5" t="str">
        <f>IFERROR(INDEX('Output Utente'!$U$2:$U$492,MATCH(270,'Output Utente'!$Q$2:$Q$492,0)),"")</f>
        <v>OK</v>
      </c>
      <c r="N273" s="5" t="str">
        <f>IFERROR(INDEX('Output Utente'!$AE$2:$AE$492,MATCH(270,'Output Utente'!$Q$2:$Q$492,0)),"")</f>
        <v>🔴 Non aspettare</v>
      </c>
    </row>
    <row r="274" spans="1:14" ht="15" customHeight="1" x14ac:dyDescent="0.25">
      <c r="A274" s="41">
        <v>271</v>
      </c>
      <c r="B274" s="5">
        <f>IFERROR(INDEX('Output Utente'!$A$2:$A$492,MATCH(271,'Output Utente'!$Q$2:$Q$492,0)),"")</f>
        <v>5739</v>
      </c>
      <c r="C274" s="5" t="str">
        <f>IFERROR(INDEX('Output Utente'!$B$2:$B$492,MATCH(271,'Output Utente'!$Q$2:$Q$492,0)),"")</f>
        <v>D</v>
      </c>
      <c r="D274" s="5" t="str">
        <f>IFERROR(INDEX('Output Utente'!$C$2:$C$492,MATCH(271,'Output Utente'!$Q$2:$Q$492,0)),"")</f>
        <v>De Winter</v>
      </c>
      <c r="E274" s="5" t="str">
        <f>IFERROR(INDEX('Input Giocatori 2026_27'!$D$3:$D$493,MATCH($B274,'Input Giocatori 2026_27'!$A$3:$A$493,0)),"")</f>
        <v>Milan</v>
      </c>
      <c r="F274" s="42">
        <f>IFERROR(INDEX('Output Utente'!$N$2:$N$492,MATCH(271,'Output Utente'!$Q$2:$Q$492,0)),"")</f>
        <v>3</v>
      </c>
      <c r="G274" s="42">
        <f>IFERROR(INDEX('Output Utente'!$O$2:$O$492,MATCH(271,'Output Utente'!$Q$2:$Q$492,0)),"")</f>
        <v>12</v>
      </c>
      <c r="H274" s="5" t="str">
        <f>IFERROR(INDEX('Output Utente'!$P$2:$P$492,MATCH(271,'Output Utente'!$Q$2:$Q$492,0)),"")</f>
        <v>Nella Media</v>
      </c>
      <c r="I274" s="42">
        <f>IFERROR(INDEX('Output Utente'!$F$2:$F$492,MATCH(271,'Output Utente'!$Q$2:$Q$492,0)),"")</f>
        <v>2</v>
      </c>
      <c r="J274" s="42">
        <f>IFERROR(INDEX('Output Utente'!$G$2:$G$492,MATCH(271,'Output Utente'!$Q$2:$Q$492,0)),"")</f>
        <v>2</v>
      </c>
      <c r="K274" s="42">
        <f>IFERROR(INDEX('Output Utente'!$H$2:$H$492,MATCH(271,'Output Utente'!$Q$2:$Q$492,0)),"")</f>
        <v>2</v>
      </c>
      <c r="L274" s="5" t="str">
        <f>IFERROR(INDEX('Output Utente'!$E$2:$E$492,MATCH(271,'Output Utente'!$Q$2:$Q$492,0)),"")</f>
        <v>NO</v>
      </c>
      <c r="M274" s="5" t="str">
        <f>IFERROR(INDEX('Output Utente'!$U$2:$U$492,MATCH(271,'Output Utente'!$Q$2:$Q$492,0)),"")</f>
        <v>OK</v>
      </c>
      <c r="N274" s="5" t="str">
        <f>IFERROR(INDEX('Output Utente'!$AE$2:$AE$492,MATCH(271,'Output Utente'!$Q$2:$Q$492,0)),"")</f>
        <v>🔴 Non aspettare</v>
      </c>
    </row>
    <row r="275" spans="1:14" ht="15" customHeight="1" x14ac:dyDescent="0.25">
      <c r="A275" s="41">
        <v>272</v>
      </c>
      <c r="B275" s="5">
        <f>IFERROR(INDEX('Output Utente'!$A$2:$A$492,MATCH(272,'Output Utente'!$Q$2:$Q$492,0)),"")</f>
        <v>6985</v>
      </c>
      <c r="C275" s="5" t="str">
        <f>IFERROR(INDEX('Output Utente'!$B$2:$B$492,MATCH(272,'Output Utente'!$Q$2:$Q$492,0)),"")</f>
        <v>D</v>
      </c>
      <c r="D275" s="5" t="str">
        <f>IFERROR(INDEX('Output Utente'!$C$2:$C$492,MATCH(272,'Output Utente'!$Q$2:$Q$492,0)),"")</f>
        <v>Candè</v>
      </c>
      <c r="E275" s="5" t="str">
        <f>IFERROR(INDEX('Input Giocatori 2026_27'!$D$3:$D$493,MATCH($B275,'Input Giocatori 2026_27'!$A$3:$A$493,0)),"")</f>
        <v>Sassuolo</v>
      </c>
      <c r="F275" s="42">
        <f>IFERROR(INDEX('Output Utente'!$N$2:$N$492,MATCH(272,'Output Utente'!$Q$2:$Q$492,0)),"")</f>
        <v>3</v>
      </c>
      <c r="G275" s="42">
        <f>IFERROR(INDEX('Output Utente'!$O$2:$O$492,MATCH(272,'Output Utente'!$Q$2:$Q$492,0)),"")</f>
        <v>12</v>
      </c>
      <c r="H275" s="5" t="str">
        <f>IFERROR(INDEX('Output Utente'!$P$2:$P$492,MATCH(272,'Output Utente'!$Q$2:$Q$492,0)),"")</f>
        <v>Nella Media</v>
      </c>
      <c r="I275" s="42">
        <f>IFERROR(INDEX('Output Utente'!$F$2:$F$492,MATCH(272,'Output Utente'!$Q$2:$Q$492,0)),"")</f>
        <v>2</v>
      </c>
      <c r="J275" s="42">
        <f>IFERROR(INDEX('Output Utente'!$G$2:$G$492,MATCH(272,'Output Utente'!$Q$2:$Q$492,0)),"")</f>
        <v>2</v>
      </c>
      <c r="K275" s="42">
        <f>IFERROR(INDEX('Output Utente'!$H$2:$H$492,MATCH(272,'Output Utente'!$Q$2:$Q$492,0)),"")</f>
        <v>2</v>
      </c>
      <c r="L275" s="5" t="str">
        <f>IFERROR(INDEX('Output Utente'!$E$2:$E$492,MATCH(272,'Output Utente'!$Q$2:$Q$492,0)),"")</f>
        <v>NO</v>
      </c>
      <c r="M275" s="5" t="str">
        <f>IFERROR(INDEX('Output Utente'!$U$2:$U$492,MATCH(272,'Output Utente'!$Q$2:$Q$492,0)),"")</f>
        <v>OK</v>
      </c>
      <c r="N275" s="5" t="str">
        <f>IFERROR(INDEX('Output Utente'!$AE$2:$AE$492,MATCH(272,'Output Utente'!$Q$2:$Q$492,0)),"")</f>
        <v>🔴 Non aspettare</v>
      </c>
    </row>
    <row r="276" spans="1:14" ht="15" customHeight="1" x14ac:dyDescent="0.25">
      <c r="A276" s="41">
        <v>273</v>
      </c>
      <c r="B276" s="5">
        <f>IFERROR(INDEX('Output Utente'!$A$2:$A$492,MATCH(273,'Output Utente'!$Q$2:$Q$492,0)),"")</f>
        <v>7528</v>
      </c>
      <c r="C276" s="5" t="str">
        <f>IFERROR(INDEX('Output Utente'!$B$2:$B$492,MATCH(273,'Output Utente'!$Q$2:$Q$492,0)),"")</f>
        <v>C</v>
      </c>
      <c r="D276" s="5" t="str">
        <f>IFERROR(INDEX('Output Utente'!$C$2:$C$492,MATCH(273,'Output Utente'!$Q$2:$Q$492,0)),"")</f>
        <v>Amondarain</v>
      </c>
      <c r="E276" s="5" t="str">
        <f>IFERROR(INDEX('Input Giocatori 2026_27'!$D$3:$D$493,MATCH($B276,'Input Giocatori 2026_27'!$A$3:$A$493,0)),"")</f>
        <v>Bologna</v>
      </c>
      <c r="F276" s="42">
        <f>IFERROR(INDEX('Output Utente'!$N$2:$N$492,MATCH(273,'Output Utente'!$Q$2:$Q$492,0)),"")</f>
        <v>5</v>
      </c>
      <c r="G276" s="42">
        <f>IFERROR(INDEX('Output Utente'!$O$2:$O$492,MATCH(273,'Output Utente'!$Q$2:$Q$492,0)),"")</f>
        <v>12</v>
      </c>
      <c r="H276" s="5" t="str">
        <f>IFERROR(INDEX('Output Utente'!$P$2:$P$492,MATCH(273,'Output Utente'!$Q$2:$Q$492,0)),"")</f>
        <v>Scommessa/Riserva</v>
      </c>
      <c r="I276" s="42">
        <f>IFERROR(INDEX('Output Utente'!$F$2:$F$492,MATCH(273,'Output Utente'!$Q$2:$Q$492,0)),"")</f>
        <v>2</v>
      </c>
      <c r="J276" s="42">
        <f>IFERROR(INDEX('Output Utente'!$G$2:$G$492,MATCH(273,'Output Utente'!$Q$2:$Q$492,0)),"")</f>
        <v>1</v>
      </c>
      <c r="K276" s="42">
        <f>IFERROR(INDEX('Output Utente'!$H$2:$H$492,MATCH(273,'Output Utente'!$Q$2:$Q$492,0)),"")</f>
        <v>2</v>
      </c>
      <c r="L276" s="5" t="str">
        <f>IFERROR(INDEX('Output Utente'!$E$2:$E$492,MATCH(273,'Output Utente'!$Q$2:$Q$492,0)),"")</f>
        <v>NO</v>
      </c>
      <c r="M276" s="5" t="str">
        <f>IFERROR(INDEX('Output Utente'!$U$2:$U$492,MATCH(273,'Output Utente'!$Q$2:$Q$492,0)),"")</f>
        <v>OK</v>
      </c>
      <c r="N276" s="5" t="str">
        <f>IFERROR(INDEX('Output Utente'!$AE$2:$AE$492,MATCH(273,'Output Utente'!$Q$2:$Q$492,0)),"")</f>
        <v>🔴 Non aspettare</v>
      </c>
    </row>
    <row r="277" spans="1:14" ht="15" customHeight="1" x14ac:dyDescent="0.25">
      <c r="A277" s="41">
        <v>274</v>
      </c>
      <c r="B277" s="5">
        <f>IFERROR(INDEX('Output Utente'!$A$2:$A$492,MATCH(274,'Output Utente'!$Q$2:$Q$492,0)),"")</f>
        <v>7311</v>
      </c>
      <c r="C277" s="5" t="str">
        <f>IFERROR(INDEX('Output Utente'!$B$2:$B$492,MATCH(274,'Output Utente'!$Q$2:$Q$492,0)),"")</f>
        <v>C</v>
      </c>
      <c r="D277" s="5" t="str">
        <f>IFERROR(INDEX('Output Utente'!$C$2:$C$492,MATCH(274,'Output Utente'!$Q$2:$Q$492,0)),"")</f>
        <v>Romano</v>
      </c>
      <c r="E277" s="5" t="str">
        <f>IFERROR(INDEX('Input Giocatori 2026_27'!$D$3:$D$493,MATCH($B277,'Input Giocatori 2026_27'!$A$3:$A$493,0)),"")</f>
        <v>Cagliari</v>
      </c>
      <c r="F277" s="42">
        <f>IFERROR(INDEX('Output Utente'!$N$2:$N$492,MATCH(274,'Output Utente'!$Q$2:$Q$492,0)),"")</f>
        <v>5</v>
      </c>
      <c r="G277" s="42">
        <f>IFERROR(INDEX('Output Utente'!$O$2:$O$492,MATCH(274,'Output Utente'!$Q$2:$Q$492,0)),"")</f>
        <v>12</v>
      </c>
      <c r="H277" s="5" t="str">
        <f>IFERROR(INDEX('Output Utente'!$P$2:$P$492,MATCH(274,'Output Utente'!$Q$2:$Q$492,0)),"")</f>
        <v>Scommessa/Riserva</v>
      </c>
      <c r="I277" s="42">
        <f>IFERROR(INDEX('Output Utente'!$F$2:$F$492,MATCH(274,'Output Utente'!$Q$2:$Q$492,0)),"")</f>
        <v>2</v>
      </c>
      <c r="J277" s="42">
        <f>IFERROR(INDEX('Output Utente'!$G$2:$G$492,MATCH(274,'Output Utente'!$Q$2:$Q$492,0)),"")</f>
        <v>1</v>
      </c>
      <c r="K277" s="42">
        <f>IFERROR(INDEX('Output Utente'!$H$2:$H$492,MATCH(274,'Output Utente'!$Q$2:$Q$492,0)),"")</f>
        <v>2</v>
      </c>
      <c r="L277" s="5" t="str">
        <f>IFERROR(INDEX('Output Utente'!$E$2:$E$492,MATCH(274,'Output Utente'!$Q$2:$Q$492,0)),"")</f>
        <v>NO</v>
      </c>
      <c r="M277" s="5" t="str">
        <f>IFERROR(INDEX('Output Utente'!$U$2:$U$492,MATCH(274,'Output Utente'!$Q$2:$Q$492,0)),"")</f>
        <v>OK</v>
      </c>
      <c r="N277" s="5" t="str">
        <f>IFERROR(INDEX('Output Utente'!$AE$2:$AE$492,MATCH(274,'Output Utente'!$Q$2:$Q$492,0)),"")</f>
        <v>🔴 Non aspettare</v>
      </c>
    </row>
    <row r="278" spans="1:14" ht="15" customHeight="1" x14ac:dyDescent="0.25">
      <c r="A278" s="41">
        <v>275</v>
      </c>
      <c r="B278" s="5">
        <f>IFERROR(INDEX('Output Utente'!$A$2:$A$492,MATCH(275,'Output Utente'!$Q$2:$Q$492,0)),"")</f>
        <v>22</v>
      </c>
      <c r="C278" s="5" t="str">
        <f>IFERROR(INDEX('Output Utente'!$B$2:$B$492,MATCH(275,'Output Utente'!$Q$2:$Q$492,0)),"")</f>
        <v>C</v>
      </c>
      <c r="D278" s="5" t="str">
        <f>IFERROR(INDEX('Output Utente'!$C$2:$C$492,MATCH(275,'Output Utente'!$Q$2:$Q$492,0)),"")</f>
        <v>De Roon</v>
      </c>
      <c r="E278" s="5" t="str">
        <f>IFERROR(INDEX('Input Giocatori 2026_27'!$D$3:$D$493,MATCH($B278,'Input Giocatori 2026_27'!$A$3:$A$493,0)),"")</f>
        <v>Atalanta</v>
      </c>
      <c r="F278" s="42">
        <f>IFERROR(INDEX('Output Utente'!$N$2:$N$492,MATCH(275,'Output Utente'!$Q$2:$Q$492,0)),"")</f>
        <v>4</v>
      </c>
      <c r="G278" s="42">
        <f>IFERROR(INDEX('Output Utente'!$O$2:$O$492,MATCH(275,'Output Utente'!$Q$2:$Q$492,0)),"")</f>
        <v>12</v>
      </c>
      <c r="H278" s="5" t="str">
        <f>IFERROR(INDEX('Output Utente'!$P$2:$P$492,MATCH(275,'Output Utente'!$Q$2:$Q$492,0)),"")</f>
        <v>Scommessa/Riserva</v>
      </c>
      <c r="I278" s="42">
        <f>IFERROR(INDEX('Output Utente'!$F$2:$F$492,MATCH(275,'Output Utente'!$Q$2:$Q$492,0)),"")</f>
        <v>2</v>
      </c>
      <c r="J278" s="42">
        <f>IFERROR(INDEX('Output Utente'!$G$2:$G$492,MATCH(275,'Output Utente'!$Q$2:$Q$492,0)),"")</f>
        <v>1</v>
      </c>
      <c r="K278" s="42">
        <f>IFERROR(INDEX('Output Utente'!$H$2:$H$492,MATCH(275,'Output Utente'!$Q$2:$Q$492,0)),"")</f>
        <v>2</v>
      </c>
      <c r="L278" s="5" t="str">
        <f>IFERROR(INDEX('Output Utente'!$E$2:$E$492,MATCH(275,'Output Utente'!$Q$2:$Q$492,0)),"")</f>
        <v>NO</v>
      </c>
      <c r="M278" s="5" t="str">
        <f>IFERROR(INDEX('Output Utente'!$U$2:$U$492,MATCH(275,'Output Utente'!$Q$2:$Q$492,0)),"")</f>
        <v>OK</v>
      </c>
      <c r="N278" s="5" t="str">
        <f>IFERROR(INDEX('Output Utente'!$AE$2:$AE$492,MATCH(275,'Output Utente'!$Q$2:$Q$492,0)),"")</f>
        <v>🔴 Non aspettare</v>
      </c>
    </row>
    <row r="279" spans="1:14" ht="15" customHeight="1" x14ac:dyDescent="0.25">
      <c r="A279" s="41">
        <v>276</v>
      </c>
      <c r="B279" s="5">
        <f>IFERROR(INDEX('Output Utente'!$A$2:$A$492,MATCH(276,'Output Utente'!$Q$2:$Q$492,0)),"")</f>
        <v>7474</v>
      </c>
      <c r="C279" s="5" t="str">
        <f>IFERROR(INDEX('Output Utente'!$B$2:$B$492,MATCH(276,'Output Utente'!$Q$2:$Q$492,0)),"")</f>
        <v>C</v>
      </c>
      <c r="D279" s="5" t="str">
        <f>IFERROR(INDEX('Output Utente'!$C$2:$C$492,MATCH(276,'Output Utente'!$Q$2:$Q$492,0)),"")</f>
        <v>Koutsoupias</v>
      </c>
      <c r="E279" s="5" t="str">
        <f>IFERROR(INDEX('Input Giocatori 2026_27'!$D$3:$D$493,MATCH($B279,'Input Giocatori 2026_27'!$A$3:$A$493,0)),"")</f>
        <v>Frosinone</v>
      </c>
      <c r="F279" s="42">
        <f>IFERROR(INDEX('Output Utente'!$N$2:$N$492,MATCH(276,'Output Utente'!$Q$2:$Q$492,0)),"")</f>
        <v>4</v>
      </c>
      <c r="G279" s="42">
        <f>IFERROR(INDEX('Output Utente'!$O$2:$O$492,MATCH(276,'Output Utente'!$Q$2:$Q$492,0)),"")</f>
        <v>12</v>
      </c>
      <c r="H279" s="5" t="str">
        <f>IFERROR(INDEX('Output Utente'!$P$2:$P$492,MATCH(276,'Output Utente'!$Q$2:$Q$492,0)),"")</f>
        <v>Scommessa/Riserva</v>
      </c>
      <c r="I279" s="42">
        <f>IFERROR(INDEX('Output Utente'!$F$2:$F$492,MATCH(276,'Output Utente'!$Q$2:$Q$492,0)),"")</f>
        <v>2</v>
      </c>
      <c r="J279" s="42">
        <f>IFERROR(INDEX('Output Utente'!$G$2:$G$492,MATCH(276,'Output Utente'!$Q$2:$Q$492,0)),"")</f>
        <v>1</v>
      </c>
      <c r="K279" s="42">
        <f>IFERROR(INDEX('Output Utente'!$H$2:$H$492,MATCH(276,'Output Utente'!$Q$2:$Q$492,0)),"")</f>
        <v>2</v>
      </c>
      <c r="L279" s="5" t="str">
        <f>IFERROR(INDEX('Output Utente'!$E$2:$E$492,MATCH(276,'Output Utente'!$Q$2:$Q$492,0)),"")</f>
        <v>NO</v>
      </c>
      <c r="M279" s="5" t="str">
        <f>IFERROR(INDEX('Output Utente'!$U$2:$U$492,MATCH(276,'Output Utente'!$Q$2:$Q$492,0)),"")</f>
        <v>OK</v>
      </c>
      <c r="N279" s="5" t="str">
        <f>IFERROR(INDEX('Output Utente'!$AE$2:$AE$492,MATCH(276,'Output Utente'!$Q$2:$Q$492,0)),"")</f>
        <v>🔴 Non aspettare</v>
      </c>
    </row>
    <row r="280" spans="1:14" ht="15" customHeight="1" x14ac:dyDescent="0.25">
      <c r="A280" s="41">
        <v>277</v>
      </c>
      <c r="B280" s="5">
        <f>IFERROR(INDEX('Output Utente'!$A$2:$A$492,MATCH(277,'Output Utente'!$Q$2:$Q$492,0)),"")</f>
        <v>4911</v>
      </c>
      <c r="C280" s="5" t="str">
        <f>IFERROR(INDEX('Output Utente'!$B$2:$B$492,MATCH(277,'Output Utente'!$Q$2:$Q$492,0)),"")</f>
        <v>C</v>
      </c>
      <c r="D280" s="5" t="str">
        <f>IFERROR(INDEX('Output Utente'!$C$2:$C$492,MATCH(277,'Output Utente'!$Q$2:$Q$492,0)),"")</f>
        <v>Douglas Luiz</v>
      </c>
      <c r="E280" s="5" t="str">
        <f>IFERROR(INDEX('Input Giocatori 2026_27'!$D$3:$D$493,MATCH($B280,'Input Giocatori 2026_27'!$A$3:$A$493,0)),"")</f>
        <v>Juventus</v>
      </c>
      <c r="F280" s="42">
        <f>IFERROR(INDEX('Output Utente'!$N$2:$N$492,MATCH(277,'Output Utente'!$Q$2:$Q$492,0)),"")</f>
        <v>4</v>
      </c>
      <c r="G280" s="42">
        <f>IFERROR(INDEX('Output Utente'!$O$2:$O$492,MATCH(277,'Output Utente'!$Q$2:$Q$492,0)),"")</f>
        <v>12</v>
      </c>
      <c r="H280" s="5" t="str">
        <f>IFERROR(INDEX('Output Utente'!$P$2:$P$492,MATCH(277,'Output Utente'!$Q$2:$Q$492,0)),"")</f>
        <v>Scommessa/Riserva</v>
      </c>
      <c r="I280" s="42">
        <f>IFERROR(INDEX('Output Utente'!$F$2:$F$492,MATCH(277,'Output Utente'!$Q$2:$Q$492,0)),"")</f>
        <v>2</v>
      </c>
      <c r="J280" s="42">
        <f>IFERROR(INDEX('Output Utente'!$G$2:$G$492,MATCH(277,'Output Utente'!$Q$2:$Q$492,0)),"")</f>
        <v>1</v>
      </c>
      <c r="K280" s="42">
        <f>IFERROR(INDEX('Output Utente'!$H$2:$H$492,MATCH(277,'Output Utente'!$Q$2:$Q$492,0)),"")</f>
        <v>2</v>
      </c>
      <c r="L280" s="5" t="str">
        <f>IFERROR(INDEX('Output Utente'!$E$2:$E$492,MATCH(277,'Output Utente'!$Q$2:$Q$492,0)),"")</f>
        <v>NO</v>
      </c>
      <c r="M280" s="5" t="str">
        <f>IFERROR(INDEX('Output Utente'!$U$2:$U$492,MATCH(277,'Output Utente'!$Q$2:$Q$492,0)),"")</f>
        <v>OK</v>
      </c>
      <c r="N280" s="5" t="str">
        <f>IFERROR(INDEX('Output Utente'!$AE$2:$AE$492,MATCH(277,'Output Utente'!$Q$2:$Q$492,0)),"")</f>
        <v>🔴 Non aspettare</v>
      </c>
    </row>
    <row r="281" spans="1:14" ht="15" customHeight="1" x14ac:dyDescent="0.25">
      <c r="A281" s="41">
        <v>278</v>
      </c>
      <c r="B281" s="5">
        <f>IFERROR(INDEX('Output Utente'!$A$2:$A$492,MATCH(278,'Output Utente'!$Q$2:$Q$492,0)),"")</f>
        <v>333</v>
      </c>
      <c r="C281" s="5" t="str">
        <f>IFERROR(INDEX('Output Utente'!$B$2:$B$492,MATCH(278,'Output Utente'!$Q$2:$Q$492,0)),"")</f>
        <v>C</v>
      </c>
      <c r="D281" s="5" t="str">
        <f>IFERROR(INDEX('Output Utente'!$C$2:$C$492,MATCH(278,'Output Utente'!$Q$2:$Q$492,0)),"")</f>
        <v>Cataldi</v>
      </c>
      <c r="E281" s="5" t="str">
        <f>IFERROR(INDEX('Input Giocatori 2026_27'!$D$3:$D$493,MATCH($B281,'Input Giocatori 2026_27'!$A$3:$A$493,0)),"")</f>
        <v>Lazio</v>
      </c>
      <c r="F281" s="42">
        <f>IFERROR(INDEX('Output Utente'!$N$2:$N$492,MATCH(278,'Output Utente'!$Q$2:$Q$492,0)),"")</f>
        <v>4</v>
      </c>
      <c r="G281" s="42">
        <f>IFERROR(INDEX('Output Utente'!$O$2:$O$492,MATCH(278,'Output Utente'!$Q$2:$Q$492,0)),"")</f>
        <v>12</v>
      </c>
      <c r="H281" s="5" t="str">
        <f>IFERROR(INDEX('Output Utente'!$P$2:$P$492,MATCH(278,'Output Utente'!$Q$2:$Q$492,0)),"")</f>
        <v>Scommessa/Riserva</v>
      </c>
      <c r="I281" s="42">
        <f>IFERROR(INDEX('Output Utente'!$F$2:$F$492,MATCH(278,'Output Utente'!$Q$2:$Q$492,0)),"")</f>
        <v>2</v>
      </c>
      <c r="J281" s="42">
        <f>IFERROR(INDEX('Output Utente'!$G$2:$G$492,MATCH(278,'Output Utente'!$Q$2:$Q$492,0)),"")</f>
        <v>1</v>
      </c>
      <c r="K281" s="42">
        <f>IFERROR(INDEX('Output Utente'!$H$2:$H$492,MATCH(278,'Output Utente'!$Q$2:$Q$492,0)),"")</f>
        <v>2</v>
      </c>
      <c r="L281" s="5" t="str">
        <f>IFERROR(INDEX('Output Utente'!$E$2:$E$492,MATCH(278,'Output Utente'!$Q$2:$Q$492,0)),"")</f>
        <v>NO</v>
      </c>
      <c r="M281" s="5" t="str">
        <f>IFERROR(INDEX('Output Utente'!$U$2:$U$492,MATCH(278,'Output Utente'!$Q$2:$Q$492,0)),"")</f>
        <v>OK</v>
      </c>
      <c r="N281" s="5" t="str">
        <f>IFERROR(INDEX('Output Utente'!$AE$2:$AE$492,MATCH(278,'Output Utente'!$Q$2:$Q$492,0)),"")</f>
        <v>🔴 Non aspettare</v>
      </c>
    </row>
    <row r="282" spans="1:14" ht="15" customHeight="1" x14ac:dyDescent="0.25">
      <c r="A282" s="41">
        <v>279</v>
      </c>
      <c r="B282" s="5">
        <f>IFERROR(INDEX('Output Utente'!$A$2:$A$492,MATCH(279,'Output Utente'!$Q$2:$Q$492,0)),"")</f>
        <v>6827</v>
      </c>
      <c r="C282" s="5" t="str">
        <f>IFERROR(INDEX('Output Utente'!$B$2:$B$492,MATCH(279,'Output Utente'!$Q$2:$Q$492,0)),"")</f>
        <v>C</v>
      </c>
      <c r="D282" s="5" t="str">
        <f>IFERROR(INDEX('Output Utente'!$C$2:$C$492,MATCH(279,'Output Utente'!$Q$2:$Q$492,0)),"")</f>
        <v>Njie</v>
      </c>
      <c r="E282" s="5" t="str">
        <f>IFERROR(INDEX('Input Giocatori 2026_27'!$D$3:$D$493,MATCH($B282,'Input Giocatori 2026_27'!$A$3:$A$493,0)),"")</f>
        <v>Torino</v>
      </c>
      <c r="F282" s="42">
        <f>IFERROR(INDEX('Output Utente'!$N$2:$N$492,MATCH(279,'Output Utente'!$Q$2:$Q$492,0)),"")</f>
        <v>4</v>
      </c>
      <c r="G282" s="42">
        <f>IFERROR(INDEX('Output Utente'!$O$2:$O$492,MATCH(279,'Output Utente'!$Q$2:$Q$492,0)),"")</f>
        <v>12</v>
      </c>
      <c r="H282" s="5" t="str">
        <f>IFERROR(INDEX('Output Utente'!$P$2:$P$492,MATCH(279,'Output Utente'!$Q$2:$Q$492,0)),"")</f>
        <v>Scommessa/Riserva</v>
      </c>
      <c r="I282" s="42">
        <f>IFERROR(INDEX('Output Utente'!$F$2:$F$492,MATCH(279,'Output Utente'!$Q$2:$Q$492,0)),"")</f>
        <v>2</v>
      </c>
      <c r="J282" s="42">
        <f>IFERROR(INDEX('Output Utente'!$G$2:$G$492,MATCH(279,'Output Utente'!$Q$2:$Q$492,0)),"")</f>
        <v>1</v>
      </c>
      <c r="K282" s="42">
        <f>IFERROR(INDEX('Output Utente'!$H$2:$H$492,MATCH(279,'Output Utente'!$Q$2:$Q$492,0)),"")</f>
        <v>2</v>
      </c>
      <c r="L282" s="5" t="str">
        <f>IFERROR(INDEX('Output Utente'!$E$2:$E$492,MATCH(279,'Output Utente'!$Q$2:$Q$492,0)),"")</f>
        <v>NO</v>
      </c>
      <c r="M282" s="5" t="str">
        <f>IFERROR(INDEX('Output Utente'!$U$2:$U$492,MATCH(279,'Output Utente'!$Q$2:$Q$492,0)),"")</f>
        <v>OK</v>
      </c>
      <c r="N282" s="5" t="str">
        <f>IFERROR(INDEX('Output Utente'!$AE$2:$AE$492,MATCH(279,'Output Utente'!$Q$2:$Q$492,0)),"")</f>
        <v>🔴 Non aspettare</v>
      </c>
    </row>
    <row r="283" spans="1:14" ht="15" customHeight="1" x14ac:dyDescent="0.25">
      <c r="A283" s="41">
        <v>280</v>
      </c>
      <c r="B283" s="5">
        <f>IFERROR(INDEX('Output Utente'!$A$2:$A$492,MATCH(280,'Output Utente'!$Q$2:$Q$492,0)),"")</f>
        <v>7209</v>
      </c>
      <c r="C283" s="5" t="str">
        <f>IFERROR(INDEX('Output Utente'!$B$2:$B$492,MATCH(280,'Output Utente'!$Q$2:$Q$492,0)),"")</f>
        <v>C</v>
      </c>
      <c r="D283" s="5" t="str">
        <f>IFERROR(INDEX('Output Utente'!$C$2:$C$492,MATCH(280,'Output Utente'!$Q$2:$Q$492,0)),"")</f>
        <v>Sorensen O.</v>
      </c>
      <c r="E283" s="5" t="str">
        <f>IFERROR(INDEX('Input Giocatori 2026_27'!$D$3:$D$493,MATCH($B283,'Input Giocatori 2026_27'!$A$3:$A$493,0)),"")</f>
        <v>Parma</v>
      </c>
      <c r="F283" s="42">
        <f>IFERROR(INDEX('Output Utente'!$N$2:$N$492,MATCH(280,'Output Utente'!$Q$2:$Q$492,0)),"")</f>
        <v>3</v>
      </c>
      <c r="G283" s="42">
        <f>IFERROR(INDEX('Output Utente'!$O$2:$O$492,MATCH(280,'Output Utente'!$Q$2:$Q$492,0)),"")</f>
        <v>12</v>
      </c>
      <c r="H283" s="5" t="str">
        <f>IFERROR(INDEX('Output Utente'!$P$2:$P$492,MATCH(280,'Output Utente'!$Q$2:$Q$492,0)),"")</f>
        <v>Scommessa/Riserva</v>
      </c>
      <c r="I283" s="42">
        <f>IFERROR(INDEX('Output Utente'!$F$2:$F$492,MATCH(280,'Output Utente'!$Q$2:$Q$492,0)),"")</f>
        <v>2</v>
      </c>
      <c r="J283" s="42">
        <f>IFERROR(INDEX('Output Utente'!$G$2:$G$492,MATCH(280,'Output Utente'!$Q$2:$Q$492,0)),"")</f>
        <v>1</v>
      </c>
      <c r="K283" s="42">
        <f>IFERROR(INDEX('Output Utente'!$H$2:$H$492,MATCH(280,'Output Utente'!$Q$2:$Q$492,0)),"")</f>
        <v>2</v>
      </c>
      <c r="L283" s="5" t="str">
        <f>IFERROR(INDEX('Output Utente'!$E$2:$E$492,MATCH(280,'Output Utente'!$Q$2:$Q$492,0)),"")</f>
        <v>NO</v>
      </c>
      <c r="M283" s="5" t="str">
        <f>IFERROR(INDEX('Output Utente'!$U$2:$U$492,MATCH(280,'Output Utente'!$Q$2:$Q$492,0)),"")</f>
        <v>OK</v>
      </c>
      <c r="N283" s="5" t="str">
        <f>IFERROR(INDEX('Output Utente'!$AE$2:$AE$492,MATCH(280,'Output Utente'!$Q$2:$Q$492,0)),"")</f>
        <v>🔴 Non aspettare</v>
      </c>
    </row>
    <row r="284" spans="1:14" ht="15" customHeight="1" x14ac:dyDescent="0.25">
      <c r="A284" s="41">
        <v>281</v>
      </c>
      <c r="B284" s="5">
        <f>IFERROR(INDEX('Output Utente'!$A$2:$A$492,MATCH(281,'Output Utente'!$Q$2:$Q$492,0)),"")</f>
        <v>7536</v>
      </c>
      <c r="C284" s="5" t="str">
        <f>IFERROR(INDEX('Output Utente'!$B$2:$B$492,MATCH(281,'Output Utente'!$Q$2:$Q$492,0)),"")</f>
        <v>C</v>
      </c>
      <c r="D284" s="5" t="str">
        <f>IFERROR(INDEX('Output Utente'!$C$2:$C$492,MATCH(281,'Output Utente'!$Q$2:$Q$492,0)),"")</f>
        <v>Diallo O.</v>
      </c>
      <c r="E284" s="5" t="str">
        <f>IFERROR(INDEX('Input Giocatori 2026_27'!$D$3:$D$493,MATCH($B284,'Input Giocatori 2026_27'!$A$3:$A$493,0)),"")</f>
        <v>Parma</v>
      </c>
      <c r="F284" s="42">
        <f>IFERROR(INDEX('Output Utente'!$N$2:$N$492,MATCH(281,'Output Utente'!$Q$2:$Q$492,0)),"")</f>
        <v>3</v>
      </c>
      <c r="G284" s="42">
        <f>IFERROR(INDEX('Output Utente'!$O$2:$O$492,MATCH(281,'Output Utente'!$Q$2:$Q$492,0)),"")</f>
        <v>12</v>
      </c>
      <c r="H284" s="5" t="str">
        <f>IFERROR(INDEX('Output Utente'!$P$2:$P$492,MATCH(281,'Output Utente'!$Q$2:$Q$492,0)),"")</f>
        <v>Scommessa/Riserva</v>
      </c>
      <c r="I284" s="42">
        <f>IFERROR(INDEX('Output Utente'!$F$2:$F$492,MATCH(281,'Output Utente'!$Q$2:$Q$492,0)),"")</f>
        <v>2</v>
      </c>
      <c r="J284" s="42">
        <f>IFERROR(INDEX('Output Utente'!$G$2:$G$492,MATCH(281,'Output Utente'!$Q$2:$Q$492,0)),"")</f>
        <v>1</v>
      </c>
      <c r="K284" s="42">
        <f>IFERROR(INDEX('Output Utente'!$H$2:$H$492,MATCH(281,'Output Utente'!$Q$2:$Q$492,0)),"")</f>
        <v>2</v>
      </c>
      <c r="L284" s="5" t="str">
        <f>IFERROR(INDEX('Output Utente'!$E$2:$E$492,MATCH(281,'Output Utente'!$Q$2:$Q$492,0)),"")</f>
        <v>NO</v>
      </c>
      <c r="M284" s="5" t="str">
        <f>IFERROR(INDEX('Output Utente'!$U$2:$U$492,MATCH(281,'Output Utente'!$Q$2:$Q$492,0)),"")</f>
        <v>OK</v>
      </c>
      <c r="N284" s="5" t="str">
        <f>IFERROR(INDEX('Output Utente'!$AE$2:$AE$492,MATCH(281,'Output Utente'!$Q$2:$Q$492,0)),"")</f>
        <v>🔴 Non aspettare</v>
      </c>
    </row>
    <row r="285" spans="1:14" ht="15" customHeight="1" x14ac:dyDescent="0.25">
      <c r="A285" s="41">
        <v>282</v>
      </c>
      <c r="B285" s="5">
        <f>IFERROR(INDEX('Output Utente'!$A$2:$A$492,MATCH(282,'Output Utente'!$Q$2:$Q$492,0)),"")</f>
        <v>7208</v>
      </c>
      <c r="C285" s="5" t="str">
        <f>IFERROR(INDEX('Output Utente'!$B$2:$B$492,MATCH(282,'Output Utente'!$Q$2:$Q$492,0)),"")</f>
        <v>C</v>
      </c>
      <c r="D285" s="5" t="str">
        <f>IFERROR(INDEX('Output Utente'!$C$2:$C$492,MATCH(282,'Output Utente'!$Q$2:$Q$492,0)),"")</f>
        <v>Miller L.</v>
      </c>
      <c r="E285" s="5" t="str">
        <f>IFERROR(INDEX('Input Giocatori 2026_27'!$D$3:$D$493,MATCH($B285,'Input Giocatori 2026_27'!$A$3:$A$493,0)),"")</f>
        <v>Udinese</v>
      </c>
      <c r="F285" s="42">
        <f>IFERROR(INDEX('Output Utente'!$N$2:$N$492,MATCH(282,'Output Utente'!$Q$2:$Q$492,0)),"")</f>
        <v>3</v>
      </c>
      <c r="G285" s="42">
        <f>IFERROR(INDEX('Output Utente'!$O$2:$O$492,MATCH(282,'Output Utente'!$Q$2:$Q$492,0)),"")</f>
        <v>12</v>
      </c>
      <c r="H285" s="5" t="str">
        <f>IFERROR(INDEX('Output Utente'!$P$2:$P$492,MATCH(282,'Output Utente'!$Q$2:$Q$492,0)),"")</f>
        <v>Scommessa/Riserva</v>
      </c>
      <c r="I285" s="42">
        <f>IFERROR(INDEX('Output Utente'!$F$2:$F$492,MATCH(282,'Output Utente'!$Q$2:$Q$492,0)),"")</f>
        <v>2</v>
      </c>
      <c r="J285" s="42">
        <f>IFERROR(INDEX('Output Utente'!$G$2:$G$492,MATCH(282,'Output Utente'!$Q$2:$Q$492,0)),"")</f>
        <v>1</v>
      </c>
      <c r="K285" s="42">
        <f>IFERROR(INDEX('Output Utente'!$H$2:$H$492,MATCH(282,'Output Utente'!$Q$2:$Q$492,0)),"")</f>
        <v>2</v>
      </c>
      <c r="L285" s="5" t="str">
        <f>IFERROR(INDEX('Output Utente'!$E$2:$E$492,MATCH(282,'Output Utente'!$Q$2:$Q$492,0)),"")</f>
        <v>NO</v>
      </c>
      <c r="M285" s="5" t="str">
        <f>IFERROR(INDEX('Output Utente'!$U$2:$U$492,MATCH(282,'Output Utente'!$Q$2:$Q$492,0)),"")</f>
        <v>OK</v>
      </c>
      <c r="N285" s="5" t="str">
        <f>IFERROR(INDEX('Output Utente'!$AE$2:$AE$492,MATCH(282,'Output Utente'!$Q$2:$Q$492,0)),"")</f>
        <v>🔴 Non aspettare</v>
      </c>
    </row>
    <row r="286" spans="1:14" ht="15" customHeight="1" x14ac:dyDescent="0.25">
      <c r="A286" s="41">
        <v>283</v>
      </c>
      <c r="B286" s="5">
        <f>IFERROR(INDEX('Output Utente'!$A$2:$A$492,MATCH(283,'Output Utente'!$Q$2:$Q$492,0)),"")</f>
        <v>6495</v>
      </c>
      <c r="C286" s="5" t="str">
        <f>IFERROR(INDEX('Output Utente'!$B$2:$B$492,MATCH(283,'Output Utente'!$Q$2:$Q$492,0)),"")</f>
        <v>D</v>
      </c>
      <c r="D286" s="5" t="str">
        <f>IFERROR(INDEX('Output Utente'!$C$2:$C$492,MATCH(283,'Output Utente'!$Q$2:$Q$492,0)),"")</f>
        <v>Comuzzo</v>
      </c>
      <c r="E286" s="5" t="str">
        <f>IFERROR(INDEX('Input Giocatori 2026_27'!$D$3:$D$493,MATCH($B286,'Input Giocatori 2026_27'!$A$3:$A$493,0)),"")</f>
        <v>Torino</v>
      </c>
      <c r="F286" s="42">
        <f>IFERROR(INDEX('Output Utente'!$N$2:$N$492,MATCH(283,'Output Utente'!$Q$2:$Q$492,0)),"")</f>
        <v>6</v>
      </c>
      <c r="G286" s="42">
        <f>IFERROR(INDEX('Output Utente'!$O$2:$O$492,MATCH(283,'Output Utente'!$Q$2:$Q$492,0)),"")</f>
        <v>11</v>
      </c>
      <c r="H286" s="5" t="str">
        <f>IFERROR(INDEX('Output Utente'!$P$2:$P$492,MATCH(283,'Output Utente'!$Q$2:$Q$492,0)),"")</f>
        <v>Nella Media</v>
      </c>
      <c r="I286" s="42">
        <f>IFERROR(INDEX('Output Utente'!$F$2:$F$492,MATCH(283,'Output Utente'!$Q$2:$Q$492,0)),"")</f>
        <v>2</v>
      </c>
      <c r="J286" s="42">
        <f>IFERROR(INDEX('Output Utente'!$G$2:$G$492,MATCH(283,'Output Utente'!$Q$2:$Q$492,0)),"")</f>
        <v>1</v>
      </c>
      <c r="K286" s="42">
        <f>IFERROR(INDEX('Output Utente'!$H$2:$H$492,MATCH(283,'Output Utente'!$Q$2:$Q$492,0)),"")</f>
        <v>2</v>
      </c>
      <c r="L286" s="5" t="str">
        <f>IFERROR(INDEX('Output Utente'!$E$2:$E$492,MATCH(283,'Output Utente'!$Q$2:$Q$492,0)),"")</f>
        <v>NO</v>
      </c>
      <c r="M286" s="5" t="str">
        <f>IFERROR(INDEX('Output Utente'!$U$2:$U$492,MATCH(283,'Output Utente'!$Q$2:$Q$492,0)),"")</f>
        <v>OK</v>
      </c>
      <c r="N286" s="5" t="str">
        <f>IFERROR(INDEX('Output Utente'!$AE$2:$AE$492,MATCH(283,'Output Utente'!$Q$2:$Q$492,0)),"")</f>
        <v>🔴 Non aspettare</v>
      </c>
    </row>
    <row r="287" spans="1:14" ht="15" customHeight="1" x14ac:dyDescent="0.25">
      <c r="A287" s="41">
        <v>284</v>
      </c>
      <c r="B287" s="5">
        <f>IFERROR(INDEX('Output Utente'!$A$2:$A$492,MATCH(284,'Output Utente'!$Q$2:$Q$492,0)),"")</f>
        <v>7068</v>
      </c>
      <c r="C287" s="5" t="str">
        <f>IFERROR(INDEX('Output Utente'!$B$2:$B$492,MATCH(284,'Output Utente'!$Q$2:$Q$492,0)),"")</f>
        <v>D</v>
      </c>
      <c r="D287" s="5" t="str">
        <f>IFERROR(INDEX('Output Utente'!$C$2:$C$492,MATCH(284,'Output Utente'!$Q$2:$Q$492,0)),"")</f>
        <v>Vitik</v>
      </c>
      <c r="E287" s="5" t="str">
        <f>IFERROR(INDEX('Input Giocatori 2026_27'!$D$3:$D$493,MATCH($B287,'Input Giocatori 2026_27'!$A$3:$A$493,0)),"")</f>
        <v>Bologna</v>
      </c>
      <c r="F287" s="42">
        <f>IFERROR(INDEX('Output Utente'!$N$2:$N$492,MATCH(284,'Output Utente'!$Q$2:$Q$492,0)),"")</f>
        <v>5</v>
      </c>
      <c r="G287" s="42">
        <f>IFERROR(INDEX('Output Utente'!$O$2:$O$492,MATCH(284,'Output Utente'!$Q$2:$Q$492,0)),"")</f>
        <v>11</v>
      </c>
      <c r="H287" s="5" t="str">
        <f>IFERROR(INDEX('Output Utente'!$P$2:$P$492,MATCH(284,'Output Utente'!$Q$2:$Q$492,0)),"")</f>
        <v>Nella Media</v>
      </c>
      <c r="I287" s="42">
        <f>IFERROR(INDEX('Output Utente'!$F$2:$F$492,MATCH(284,'Output Utente'!$Q$2:$Q$492,0)),"")</f>
        <v>2</v>
      </c>
      <c r="J287" s="42">
        <f>IFERROR(INDEX('Output Utente'!$G$2:$G$492,MATCH(284,'Output Utente'!$Q$2:$Q$492,0)),"")</f>
        <v>1</v>
      </c>
      <c r="K287" s="42">
        <f>IFERROR(INDEX('Output Utente'!$H$2:$H$492,MATCH(284,'Output Utente'!$Q$2:$Q$492,0)),"")</f>
        <v>2</v>
      </c>
      <c r="L287" s="5" t="str">
        <f>IFERROR(INDEX('Output Utente'!$E$2:$E$492,MATCH(284,'Output Utente'!$Q$2:$Q$492,0)),"")</f>
        <v>NO</v>
      </c>
      <c r="M287" s="5" t="str">
        <f>IFERROR(INDEX('Output Utente'!$U$2:$U$492,MATCH(284,'Output Utente'!$Q$2:$Q$492,0)),"")</f>
        <v>OK</v>
      </c>
      <c r="N287" s="5" t="str">
        <f>IFERROR(INDEX('Output Utente'!$AE$2:$AE$492,MATCH(284,'Output Utente'!$Q$2:$Q$492,0)),"")</f>
        <v>🔴 Non aspettare</v>
      </c>
    </row>
    <row r="288" spans="1:14" ht="15" customHeight="1" x14ac:dyDescent="0.25">
      <c r="A288" s="41">
        <v>285</v>
      </c>
      <c r="B288" s="5">
        <f>IFERROR(INDEX('Output Utente'!$A$2:$A$492,MATCH(285,'Output Utente'!$Q$2:$Q$492,0)),"")</f>
        <v>7532</v>
      </c>
      <c r="C288" s="5" t="str">
        <f>IFERROR(INDEX('Output Utente'!$B$2:$B$492,MATCH(285,'Output Utente'!$Q$2:$Q$492,0)),"")</f>
        <v>D</v>
      </c>
      <c r="D288" s="5" t="str">
        <f>IFERROR(INDEX('Output Utente'!$C$2:$C$492,MATCH(285,'Output Utente'!$Q$2:$Q$492,0)),"")</f>
        <v>Kofler</v>
      </c>
      <c r="E288" s="5" t="str">
        <f>IFERROR(INDEX('Input Giocatori 2026_27'!$D$3:$D$493,MATCH($B288,'Input Giocatori 2026_27'!$A$3:$A$493,0)),"")</f>
        <v>Cagliari</v>
      </c>
      <c r="F288" s="42">
        <f>IFERROR(INDEX('Output Utente'!$N$2:$N$492,MATCH(285,'Output Utente'!$Q$2:$Q$492,0)),"")</f>
        <v>5</v>
      </c>
      <c r="G288" s="42">
        <f>IFERROR(INDEX('Output Utente'!$O$2:$O$492,MATCH(285,'Output Utente'!$Q$2:$Q$492,0)),"")</f>
        <v>11</v>
      </c>
      <c r="H288" s="5" t="str">
        <f>IFERROR(INDEX('Output Utente'!$P$2:$P$492,MATCH(285,'Output Utente'!$Q$2:$Q$492,0)),"")</f>
        <v>Nella Media</v>
      </c>
      <c r="I288" s="42">
        <f>IFERROR(INDEX('Output Utente'!$F$2:$F$492,MATCH(285,'Output Utente'!$Q$2:$Q$492,0)),"")</f>
        <v>2</v>
      </c>
      <c r="J288" s="42">
        <f>IFERROR(INDEX('Output Utente'!$G$2:$G$492,MATCH(285,'Output Utente'!$Q$2:$Q$492,0)),"")</f>
        <v>1</v>
      </c>
      <c r="K288" s="42">
        <f>IFERROR(INDEX('Output Utente'!$H$2:$H$492,MATCH(285,'Output Utente'!$Q$2:$Q$492,0)),"")</f>
        <v>2</v>
      </c>
      <c r="L288" s="5" t="str">
        <f>IFERROR(INDEX('Output Utente'!$E$2:$E$492,MATCH(285,'Output Utente'!$Q$2:$Q$492,0)),"")</f>
        <v>NO</v>
      </c>
      <c r="M288" s="5" t="str">
        <f>IFERROR(INDEX('Output Utente'!$U$2:$U$492,MATCH(285,'Output Utente'!$Q$2:$Q$492,0)),"")</f>
        <v>OK</v>
      </c>
      <c r="N288" s="5" t="str">
        <f>IFERROR(INDEX('Output Utente'!$AE$2:$AE$492,MATCH(285,'Output Utente'!$Q$2:$Q$492,0)),"")</f>
        <v>🔴 Non aspettare</v>
      </c>
    </row>
    <row r="289" spans="1:14" ht="15" customHeight="1" x14ac:dyDescent="0.25">
      <c r="A289" s="41">
        <v>286</v>
      </c>
      <c r="B289" s="5">
        <f>IFERROR(INDEX('Output Utente'!$A$2:$A$492,MATCH(286,'Output Utente'!$Q$2:$Q$492,0)),"")</f>
        <v>7274</v>
      </c>
      <c r="C289" s="5" t="str">
        <f>IFERROR(INDEX('Output Utente'!$B$2:$B$492,MATCH(286,'Output Utente'!$Q$2:$Q$492,0)),"")</f>
        <v>D</v>
      </c>
      <c r="D289" s="5" t="str">
        <f>IFERROR(INDEX('Output Utente'!$C$2:$C$492,MATCH(286,'Output Utente'!$Q$2:$Q$492,0)),"")</f>
        <v>Zè Pedro</v>
      </c>
      <c r="E289" s="5" t="str">
        <f>IFERROR(INDEX('Input Giocatori 2026_27'!$D$3:$D$493,MATCH($B289,'Input Giocatori 2026_27'!$A$3:$A$493,0)),"")</f>
        <v>Cagliari</v>
      </c>
      <c r="F289" s="42">
        <f>IFERROR(INDEX('Output Utente'!$N$2:$N$492,MATCH(286,'Output Utente'!$Q$2:$Q$492,0)),"")</f>
        <v>5</v>
      </c>
      <c r="G289" s="42">
        <f>IFERROR(INDEX('Output Utente'!$O$2:$O$492,MATCH(286,'Output Utente'!$Q$2:$Q$492,0)),"")</f>
        <v>11</v>
      </c>
      <c r="H289" s="5" t="str">
        <f>IFERROR(INDEX('Output Utente'!$P$2:$P$492,MATCH(286,'Output Utente'!$Q$2:$Q$492,0)),"")</f>
        <v>Nella Media</v>
      </c>
      <c r="I289" s="42">
        <f>IFERROR(INDEX('Output Utente'!$F$2:$F$492,MATCH(286,'Output Utente'!$Q$2:$Q$492,0)),"")</f>
        <v>2</v>
      </c>
      <c r="J289" s="42">
        <f>IFERROR(INDEX('Output Utente'!$G$2:$G$492,MATCH(286,'Output Utente'!$Q$2:$Q$492,0)),"")</f>
        <v>1</v>
      </c>
      <c r="K289" s="42">
        <f>IFERROR(INDEX('Output Utente'!$H$2:$H$492,MATCH(286,'Output Utente'!$Q$2:$Q$492,0)),"")</f>
        <v>2</v>
      </c>
      <c r="L289" s="5" t="str">
        <f>IFERROR(INDEX('Output Utente'!$E$2:$E$492,MATCH(286,'Output Utente'!$Q$2:$Q$492,0)),"")</f>
        <v>NO</v>
      </c>
      <c r="M289" s="5" t="str">
        <f>IFERROR(INDEX('Output Utente'!$U$2:$U$492,MATCH(286,'Output Utente'!$Q$2:$Q$492,0)),"")</f>
        <v>OK</v>
      </c>
      <c r="N289" s="5" t="str">
        <f>IFERROR(INDEX('Output Utente'!$AE$2:$AE$492,MATCH(286,'Output Utente'!$Q$2:$Q$492,0)),"")</f>
        <v>🔴 Non aspettare</v>
      </c>
    </row>
    <row r="290" spans="1:14" ht="15" customHeight="1" x14ac:dyDescent="0.25">
      <c r="A290" s="41">
        <v>287</v>
      </c>
      <c r="B290" s="5">
        <f>IFERROR(INDEX('Output Utente'!$A$2:$A$492,MATCH(287,'Output Utente'!$Q$2:$Q$492,0)),"")</f>
        <v>7469</v>
      </c>
      <c r="C290" s="5" t="str">
        <f>IFERROR(INDEX('Output Utente'!$B$2:$B$492,MATCH(287,'Output Utente'!$Q$2:$Q$492,0)),"")</f>
        <v>D</v>
      </c>
      <c r="D290" s="5" t="str">
        <f>IFERROR(INDEX('Output Utente'!$C$2:$C$492,MATCH(287,'Output Utente'!$Q$2:$Q$492,0)),"")</f>
        <v>Bracaglia</v>
      </c>
      <c r="E290" s="5" t="str">
        <f>IFERROR(INDEX('Input Giocatori 2026_27'!$D$3:$D$493,MATCH($B290,'Input Giocatori 2026_27'!$A$3:$A$493,0)),"")</f>
        <v>Frosinone</v>
      </c>
      <c r="F290" s="42">
        <f>IFERROR(INDEX('Output Utente'!$N$2:$N$492,MATCH(287,'Output Utente'!$Q$2:$Q$492,0)),"")</f>
        <v>5</v>
      </c>
      <c r="G290" s="42">
        <f>IFERROR(INDEX('Output Utente'!$O$2:$O$492,MATCH(287,'Output Utente'!$Q$2:$Q$492,0)),"")</f>
        <v>11</v>
      </c>
      <c r="H290" s="5" t="str">
        <f>IFERROR(INDEX('Output Utente'!$P$2:$P$492,MATCH(287,'Output Utente'!$Q$2:$Q$492,0)),"")</f>
        <v>Nella Media</v>
      </c>
      <c r="I290" s="42">
        <f>IFERROR(INDEX('Output Utente'!$F$2:$F$492,MATCH(287,'Output Utente'!$Q$2:$Q$492,0)),"")</f>
        <v>2</v>
      </c>
      <c r="J290" s="42">
        <f>IFERROR(INDEX('Output Utente'!$G$2:$G$492,MATCH(287,'Output Utente'!$Q$2:$Q$492,0)),"")</f>
        <v>1</v>
      </c>
      <c r="K290" s="42">
        <f>IFERROR(INDEX('Output Utente'!$H$2:$H$492,MATCH(287,'Output Utente'!$Q$2:$Q$492,0)),"")</f>
        <v>2</v>
      </c>
      <c r="L290" s="5" t="str">
        <f>IFERROR(INDEX('Output Utente'!$E$2:$E$492,MATCH(287,'Output Utente'!$Q$2:$Q$492,0)),"")</f>
        <v>NO</v>
      </c>
      <c r="M290" s="5" t="str">
        <f>IFERROR(INDEX('Output Utente'!$U$2:$U$492,MATCH(287,'Output Utente'!$Q$2:$Q$492,0)),"")</f>
        <v>OK</v>
      </c>
      <c r="N290" s="5" t="str">
        <f>IFERROR(INDEX('Output Utente'!$AE$2:$AE$492,MATCH(287,'Output Utente'!$Q$2:$Q$492,0)),"")</f>
        <v>🔴 Non aspettare</v>
      </c>
    </row>
    <row r="291" spans="1:14" ht="15" customHeight="1" x14ac:dyDescent="0.25">
      <c r="A291" s="41">
        <v>288</v>
      </c>
      <c r="B291" s="5">
        <f>IFERROR(INDEX('Output Utente'!$A$2:$A$492,MATCH(288,'Output Utente'!$Q$2:$Q$492,0)),"")</f>
        <v>6990</v>
      </c>
      <c r="C291" s="5" t="str">
        <f>IFERROR(INDEX('Output Utente'!$B$2:$B$492,MATCH(288,'Output Utente'!$Q$2:$Q$492,0)),"")</f>
        <v>D</v>
      </c>
      <c r="D291" s="5" t="str">
        <f>IFERROR(INDEX('Output Utente'!$C$2:$C$492,MATCH(288,'Output Utente'!$Q$2:$Q$492,0)),"")</f>
        <v>Veiga D.</v>
      </c>
      <c r="E291" s="5" t="str">
        <f>IFERROR(INDEX('Input Giocatori 2026_27'!$D$3:$D$493,MATCH($B291,'Input Giocatori 2026_27'!$A$3:$A$493,0)),"")</f>
        <v>Lecce</v>
      </c>
      <c r="F291" s="42">
        <f>IFERROR(INDEX('Output Utente'!$N$2:$N$492,MATCH(288,'Output Utente'!$Q$2:$Q$492,0)),"")</f>
        <v>5</v>
      </c>
      <c r="G291" s="42">
        <f>IFERROR(INDEX('Output Utente'!$O$2:$O$492,MATCH(288,'Output Utente'!$Q$2:$Q$492,0)),"")</f>
        <v>11</v>
      </c>
      <c r="H291" s="5" t="str">
        <f>IFERROR(INDEX('Output Utente'!$P$2:$P$492,MATCH(288,'Output Utente'!$Q$2:$Q$492,0)),"")</f>
        <v>Nella Media</v>
      </c>
      <c r="I291" s="42">
        <f>IFERROR(INDEX('Output Utente'!$F$2:$F$492,MATCH(288,'Output Utente'!$Q$2:$Q$492,0)),"")</f>
        <v>2</v>
      </c>
      <c r="J291" s="42">
        <f>IFERROR(INDEX('Output Utente'!$G$2:$G$492,MATCH(288,'Output Utente'!$Q$2:$Q$492,0)),"")</f>
        <v>1</v>
      </c>
      <c r="K291" s="42">
        <f>IFERROR(INDEX('Output Utente'!$H$2:$H$492,MATCH(288,'Output Utente'!$Q$2:$Q$492,0)),"")</f>
        <v>2</v>
      </c>
      <c r="L291" s="5" t="str">
        <f>IFERROR(INDEX('Output Utente'!$E$2:$E$492,MATCH(288,'Output Utente'!$Q$2:$Q$492,0)),"")</f>
        <v>NO</v>
      </c>
      <c r="M291" s="5" t="str">
        <f>IFERROR(INDEX('Output Utente'!$U$2:$U$492,MATCH(288,'Output Utente'!$Q$2:$Q$492,0)),"")</f>
        <v>OK</v>
      </c>
      <c r="N291" s="5" t="str">
        <f>IFERROR(INDEX('Output Utente'!$AE$2:$AE$492,MATCH(288,'Output Utente'!$Q$2:$Q$492,0)),"")</f>
        <v>🔴 Non aspettare</v>
      </c>
    </row>
    <row r="292" spans="1:14" ht="15" customHeight="1" x14ac:dyDescent="0.25">
      <c r="A292" s="41">
        <v>289</v>
      </c>
      <c r="B292" s="5">
        <f>IFERROR(INDEX('Output Utente'!$A$2:$A$492,MATCH(289,'Output Utente'!$Q$2:$Q$492,0)),"")</f>
        <v>6890</v>
      </c>
      <c r="C292" s="5" t="str">
        <f>IFERROR(INDEX('Output Utente'!$B$2:$B$492,MATCH(289,'Output Utente'!$Q$2:$Q$492,0)),"")</f>
        <v>D</v>
      </c>
      <c r="D292" s="5" t="str">
        <f>IFERROR(INDEX('Output Utente'!$C$2:$C$492,MATCH(289,'Output Utente'!$Q$2:$Q$492,0)),"")</f>
        <v>Moreno M.</v>
      </c>
      <c r="E292" s="5" t="str">
        <f>IFERROR(INDEX('Input Giocatori 2026_27'!$D$3:$D$493,MATCH($B292,'Input Giocatori 2026_27'!$A$3:$A$493,0)),"")</f>
        <v>Venezia</v>
      </c>
      <c r="F292" s="42">
        <f>IFERROR(INDEX('Output Utente'!$N$2:$N$492,MATCH(289,'Output Utente'!$Q$2:$Q$492,0)),"")</f>
        <v>5</v>
      </c>
      <c r="G292" s="42">
        <f>IFERROR(INDEX('Output Utente'!$O$2:$O$492,MATCH(289,'Output Utente'!$Q$2:$Q$492,0)),"")</f>
        <v>11</v>
      </c>
      <c r="H292" s="5" t="str">
        <f>IFERROR(INDEX('Output Utente'!$P$2:$P$492,MATCH(289,'Output Utente'!$Q$2:$Q$492,0)),"")</f>
        <v>Nella Media</v>
      </c>
      <c r="I292" s="42">
        <f>IFERROR(INDEX('Output Utente'!$F$2:$F$492,MATCH(289,'Output Utente'!$Q$2:$Q$492,0)),"")</f>
        <v>2</v>
      </c>
      <c r="J292" s="42">
        <f>IFERROR(INDEX('Output Utente'!$G$2:$G$492,MATCH(289,'Output Utente'!$Q$2:$Q$492,0)),"")</f>
        <v>1</v>
      </c>
      <c r="K292" s="42">
        <f>IFERROR(INDEX('Output Utente'!$H$2:$H$492,MATCH(289,'Output Utente'!$Q$2:$Q$492,0)),"")</f>
        <v>2</v>
      </c>
      <c r="L292" s="5" t="str">
        <f>IFERROR(INDEX('Output Utente'!$E$2:$E$492,MATCH(289,'Output Utente'!$Q$2:$Q$492,0)),"")</f>
        <v>NO</v>
      </c>
      <c r="M292" s="5" t="str">
        <f>IFERROR(INDEX('Output Utente'!$U$2:$U$492,MATCH(289,'Output Utente'!$Q$2:$Q$492,0)),"")</f>
        <v>OK</v>
      </c>
      <c r="N292" s="5" t="str">
        <f>IFERROR(INDEX('Output Utente'!$AE$2:$AE$492,MATCH(289,'Output Utente'!$Q$2:$Q$492,0)),"")</f>
        <v>🔴 Non aspettare</v>
      </c>
    </row>
    <row r="293" spans="1:14" ht="15" customHeight="1" x14ac:dyDescent="0.25">
      <c r="A293" s="41">
        <v>290</v>
      </c>
      <c r="B293" s="5">
        <f>IFERROR(INDEX('Output Utente'!$A$2:$A$492,MATCH(290,'Output Utente'!$Q$2:$Q$492,0)),"")</f>
        <v>5695</v>
      </c>
      <c r="C293" s="5" t="str">
        <f>IFERROR(INDEX('Output Utente'!$B$2:$B$492,MATCH(290,'Output Utente'!$Q$2:$Q$492,0)),"")</f>
        <v>D</v>
      </c>
      <c r="D293" s="5" t="str">
        <f>IFERROR(INDEX('Output Utente'!$C$2:$C$492,MATCH(290,'Output Utente'!$Q$2:$Q$492,0)),"")</f>
        <v>Haps</v>
      </c>
      <c r="E293" s="5" t="str">
        <f>IFERROR(INDEX('Input Giocatori 2026_27'!$D$3:$D$493,MATCH($B293,'Input Giocatori 2026_27'!$A$3:$A$493,0)),"")</f>
        <v>Venezia</v>
      </c>
      <c r="F293" s="42">
        <f>IFERROR(INDEX('Output Utente'!$N$2:$N$492,MATCH(290,'Output Utente'!$Q$2:$Q$492,0)),"")</f>
        <v>5</v>
      </c>
      <c r="G293" s="42">
        <f>IFERROR(INDEX('Output Utente'!$O$2:$O$492,MATCH(290,'Output Utente'!$Q$2:$Q$492,0)),"")</f>
        <v>11</v>
      </c>
      <c r="H293" s="5" t="str">
        <f>IFERROR(INDEX('Output Utente'!$P$2:$P$492,MATCH(290,'Output Utente'!$Q$2:$Q$492,0)),"")</f>
        <v>Nella Media</v>
      </c>
      <c r="I293" s="42">
        <f>IFERROR(INDEX('Output Utente'!$F$2:$F$492,MATCH(290,'Output Utente'!$Q$2:$Q$492,0)),"")</f>
        <v>2</v>
      </c>
      <c r="J293" s="42">
        <f>IFERROR(INDEX('Output Utente'!$G$2:$G$492,MATCH(290,'Output Utente'!$Q$2:$Q$492,0)),"")</f>
        <v>1</v>
      </c>
      <c r="K293" s="42">
        <f>IFERROR(INDEX('Output Utente'!$H$2:$H$492,MATCH(290,'Output Utente'!$Q$2:$Q$492,0)),"")</f>
        <v>2</v>
      </c>
      <c r="L293" s="5" t="str">
        <f>IFERROR(INDEX('Output Utente'!$E$2:$E$492,MATCH(290,'Output Utente'!$Q$2:$Q$492,0)),"")</f>
        <v>NO</v>
      </c>
      <c r="M293" s="5" t="str">
        <f>IFERROR(INDEX('Output Utente'!$U$2:$U$492,MATCH(290,'Output Utente'!$Q$2:$Q$492,0)),"")</f>
        <v>OK</v>
      </c>
      <c r="N293" s="5" t="str">
        <f>IFERROR(INDEX('Output Utente'!$AE$2:$AE$492,MATCH(290,'Output Utente'!$Q$2:$Q$492,0)),"")</f>
        <v>🔴 Non aspettare</v>
      </c>
    </row>
    <row r="294" spans="1:14" ht="15" customHeight="1" x14ac:dyDescent="0.25">
      <c r="A294" s="41">
        <v>291</v>
      </c>
      <c r="B294" s="5">
        <f>IFERROR(INDEX('Output Utente'!$A$2:$A$492,MATCH(291,'Output Utente'!$Q$2:$Q$492,0)),"")</f>
        <v>2115</v>
      </c>
      <c r="C294" s="5" t="str">
        <f>IFERROR(INDEX('Output Utente'!$B$2:$B$492,MATCH(291,'Output Utente'!$Q$2:$Q$492,0)),"")</f>
        <v>D</v>
      </c>
      <c r="D294" s="5" t="str">
        <f>IFERROR(INDEX('Output Utente'!$C$2:$C$492,MATCH(291,'Output Utente'!$Q$2:$Q$492,0)),"")</f>
        <v>Delli Carri</v>
      </c>
      <c r="E294" s="5" t="str">
        <f>IFERROR(INDEX('Input Giocatori 2026_27'!$D$3:$D$493,MATCH($B294,'Input Giocatori 2026_27'!$A$3:$A$493,0)),"")</f>
        <v>Monza</v>
      </c>
      <c r="F294" s="42">
        <f>IFERROR(INDEX('Output Utente'!$N$2:$N$492,MATCH(291,'Output Utente'!$Q$2:$Q$492,0)),"")</f>
        <v>4</v>
      </c>
      <c r="G294" s="42">
        <f>IFERROR(INDEX('Output Utente'!$O$2:$O$492,MATCH(291,'Output Utente'!$Q$2:$Q$492,0)),"")</f>
        <v>11</v>
      </c>
      <c r="H294" s="5" t="str">
        <f>IFERROR(INDEX('Output Utente'!$P$2:$P$492,MATCH(291,'Output Utente'!$Q$2:$Q$492,0)),"")</f>
        <v>Nella Media</v>
      </c>
      <c r="I294" s="42">
        <f>IFERROR(INDEX('Output Utente'!$F$2:$F$492,MATCH(291,'Output Utente'!$Q$2:$Q$492,0)),"")</f>
        <v>2</v>
      </c>
      <c r="J294" s="42">
        <f>IFERROR(INDEX('Output Utente'!$G$2:$G$492,MATCH(291,'Output Utente'!$Q$2:$Q$492,0)),"")</f>
        <v>1</v>
      </c>
      <c r="K294" s="42">
        <f>IFERROR(INDEX('Output Utente'!$H$2:$H$492,MATCH(291,'Output Utente'!$Q$2:$Q$492,0)),"")</f>
        <v>2</v>
      </c>
      <c r="L294" s="5" t="str">
        <f>IFERROR(INDEX('Output Utente'!$E$2:$E$492,MATCH(291,'Output Utente'!$Q$2:$Q$492,0)),"")</f>
        <v>NO</v>
      </c>
      <c r="M294" s="5" t="str">
        <f>IFERROR(INDEX('Output Utente'!$U$2:$U$492,MATCH(291,'Output Utente'!$Q$2:$Q$492,0)),"")</f>
        <v>OK</v>
      </c>
      <c r="N294" s="5" t="str">
        <f>IFERROR(INDEX('Output Utente'!$AE$2:$AE$492,MATCH(291,'Output Utente'!$Q$2:$Q$492,0)),"")</f>
        <v>🔴 Non aspettare</v>
      </c>
    </row>
    <row r="295" spans="1:14" ht="15" customHeight="1" x14ac:dyDescent="0.25">
      <c r="A295" s="41">
        <v>292</v>
      </c>
      <c r="B295" s="5">
        <f>IFERROR(INDEX('Output Utente'!$A$2:$A$492,MATCH(292,'Output Utente'!$Q$2:$Q$492,0)),"")</f>
        <v>4856</v>
      </c>
      <c r="C295" s="5" t="str">
        <f>IFERROR(INDEX('Output Utente'!$B$2:$B$492,MATCH(292,'Output Utente'!$Q$2:$Q$492,0)),"")</f>
        <v>C</v>
      </c>
      <c r="D295" s="5" t="str">
        <f>IFERROR(INDEX('Output Utente'!$C$2:$C$492,MATCH(292,'Output Utente'!$Q$2:$Q$492,0)),"")</f>
        <v>Chukwueze</v>
      </c>
      <c r="E295" s="5" t="str">
        <f>IFERROR(INDEX('Input Giocatori 2026_27'!$D$3:$D$493,MATCH($B295,'Input Giocatori 2026_27'!$A$3:$A$493,0)),"")</f>
        <v>Milan</v>
      </c>
      <c r="F295" s="42">
        <f>IFERROR(INDEX('Output Utente'!$N$2:$N$492,MATCH(292,'Output Utente'!$Q$2:$Q$492,0)),"")</f>
        <v>6</v>
      </c>
      <c r="G295" s="42">
        <f>IFERROR(INDEX('Output Utente'!$O$2:$O$492,MATCH(292,'Output Utente'!$Q$2:$Q$492,0)),"")</f>
        <v>11</v>
      </c>
      <c r="H295" s="5" t="str">
        <f>IFERROR(INDEX('Output Utente'!$P$2:$P$492,MATCH(292,'Output Utente'!$Q$2:$Q$492,0)),"")</f>
        <v>Scommessa/Riserva</v>
      </c>
      <c r="I295" s="42">
        <f>IFERROR(INDEX('Output Utente'!$F$2:$F$492,MATCH(292,'Output Utente'!$Q$2:$Q$492,0)),"")</f>
        <v>2</v>
      </c>
      <c r="J295" s="42">
        <f>IFERROR(INDEX('Output Utente'!$G$2:$G$492,MATCH(292,'Output Utente'!$Q$2:$Q$492,0)),"")</f>
        <v>1</v>
      </c>
      <c r="K295" s="42">
        <f>IFERROR(INDEX('Output Utente'!$H$2:$H$492,MATCH(292,'Output Utente'!$Q$2:$Q$492,0)),"")</f>
        <v>2</v>
      </c>
      <c r="L295" s="5" t="str">
        <f>IFERROR(INDEX('Output Utente'!$E$2:$E$492,MATCH(292,'Output Utente'!$Q$2:$Q$492,0)),"")</f>
        <v>NO</v>
      </c>
      <c r="M295" s="5" t="str">
        <f>IFERROR(INDEX('Output Utente'!$U$2:$U$492,MATCH(292,'Output Utente'!$Q$2:$Q$492,0)),"")</f>
        <v>OK</v>
      </c>
      <c r="N295" s="5" t="str">
        <f>IFERROR(INDEX('Output Utente'!$AE$2:$AE$492,MATCH(292,'Output Utente'!$Q$2:$Q$492,0)),"")</f>
        <v>🔴 Non aspettare</v>
      </c>
    </row>
    <row r="296" spans="1:14" ht="15" customHeight="1" x14ac:dyDescent="0.25">
      <c r="A296" s="41">
        <v>293</v>
      </c>
      <c r="B296" s="5">
        <f>IFERROR(INDEX('Output Utente'!$A$2:$A$492,MATCH(293,'Output Utente'!$Q$2:$Q$492,0)),"")</f>
        <v>2857</v>
      </c>
      <c r="C296" s="5" t="str">
        <f>IFERROR(INDEX('Output Utente'!$B$2:$B$492,MATCH(293,'Output Utente'!$Q$2:$Q$492,0)),"")</f>
        <v>C</v>
      </c>
      <c r="D296" s="5" t="str">
        <f>IFERROR(INDEX('Output Utente'!$C$2:$C$492,MATCH(293,'Output Utente'!$Q$2:$Q$492,0)),"")</f>
        <v>Traorè Hj.</v>
      </c>
      <c r="E296" s="5" t="str">
        <f>IFERROR(INDEX('Input Giocatori 2026_27'!$D$3:$D$493,MATCH($B296,'Input Giocatori 2026_27'!$A$3:$A$493,0)),"")</f>
        <v>Genoa</v>
      </c>
      <c r="F296" s="42">
        <f>IFERROR(INDEX('Output Utente'!$N$2:$N$492,MATCH(293,'Output Utente'!$Q$2:$Q$492,0)),"")</f>
        <v>5</v>
      </c>
      <c r="G296" s="42">
        <f>IFERROR(INDEX('Output Utente'!$O$2:$O$492,MATCH(293,'Output Utente'!$Q$2:$Q$492,0)),"")</f>
        <v>11</v>
      </c>
      <c r="H296" s="5" t="str">
        <f>IFERROR(INDEX('Output Utente'!$P$2:$P$492,MATCH(293,'Output Utente'!$Q$2:$Q$492,0)),"")</f>
        <v>Scommessa/Riserva</v>
      </c>
      <c r="I296" s="42">
        <f>IFERROR(INDEX('Output Utente'!$F$2:$F$492,MATCH(293,'Output Utente'!$Q$2:$Q$492,0)),"")</f>
        <v>2</v>
      </c>
      <c r="J296" s="42">
        <f>IFERROR(INDEX('Output Utente'!$G$2:$G$492,MATCH(293,'Output Utente'!$Q$2:$Q$492,0)),"")</f>
        <v>1</v>
      </c>
      <c r="K296" s="42">
        <f>IFERROR(INDEX('Output Utente'!$H$2:$H$492,MATCH(293,'Output Utente'!$Q$2:$Q$492,0)),"")</f>
        <v>2</v>
      </c>
      <c r="L296" s="5" t="str">
        <f>IFERROR(INDEX('Output Utente'!$E$2:$E$492,MATCH(293,'Output Utente'!$Q$2:$Q$492,0)),"")</f>
        <v>NO</v>
      </c>
      <c r="M296" s="5" t="str">
        <f>IFERROR(INDEX('Output Utente'!$U$2:$U$492,MATCH(293,'Output Utente'!$Q$2:$Q$492,0)),"")</f>
        <v>OK</v>
      </c>
      <c r="N296" s="5" t="str">
        <f>IFERROR(INDEX('Output Utente'!$AE$2:$AE$492,MATCH(293,'Output Utente'!$Q$2:$Q$492,0)),"")</f>
        <v>🔴 Non aspettare</v>
      </c>
    </row>
    <row r="297" spans="1:14" ht="15" customHeight="1" x14ac:dyDescent="0.25">
      <c r="A297" s="41">
        <v>294</v>
      </c>
      <c r="B297" s="5">
        <f>IFERROR(INDEX('Output Utente'!$A$2:$A$492,MATCH(294,'Output Utente'!$Q$2:$Q$492,0)),"")</f>
        <v>7473</v>
      </c>
      <c r="C297" s="5" t="str">
        <f>IFERROR(INDEX('Output Utente'!$B$2:$B$492,MATCH(294,'Output Utente'!$Q$2:$Q$492,0)),"")</f>
        <v>C</v>
      </c>
      <c r="D297" s="5" t="str">
        <f>IFERROR(INDEX('Output Utente'!$C$2:$C$492,MATCH(294,'Output Utente'!$Q$2:$Q$492,0)),"")</f>
        <v>Cichella</v>
      </c>
      <c r="E297" s="5" t="str">
        <f>IFERROR(INDEX('Input Giocatori 2026_27'!$D$3:$D$493,MATCH($B297,'Input Giocatori 2026_27'!$A$3:$A$493,0)),"")</f>
        <v>Frosinone</v>
      </c>
      <c r="F297" s="42">
        <f>IFERROR(INDEX('Output Utente'!$N$2:$N$492,MATCH(294,'Output Utente'!$Q$2:$Q$492,0)),"")</f>
        <v>4</v>
      </c>
      <c r="G297" s="42">
        <f>IFERROR(INDEX('Output Utente'!$O$2:$O$492,MATCH(294,'Output Utente'!$Q$2:$Q$492,0)),"")</f>
        <v>11</v>
      </c>
      <c r="H297" s="5" t="str">
        <f>IFERROR(INDEX('Output Utente'!$P$2:$P$492,MATCH(294,'Output Utente'!$Q$2:$Q$492,0)),"")</f>
        <v>Scommessa/Riserva</v>
      </c>
      <c r="I297" s="42">
        <f>IFERROR(INDEX('Output Utente'!$F$2:$F$492,MATCH(294,'Output Utente'!$Q$2:$Q$492,0)),"")</f>
        <v>2</v>
      </c>
      <c r="J297" s="42">
        <f>IFERROR(INDEX('Output Utente'!$G$2:$G$492,MATCH(294,'Output Utente'!$Q$2:$Q$492,0)),"")</f>
        <v>1</v>
      </c>
      <c r="K297" s="42">
        <f>IFERROR(INDEX('Output Utente'!$H$2:$H$492,MATCH(294,'Output Utente'!$Q$2:$Q$492,0)),"")</f>
        <v>2</v>
      </c>
      <c r="L297" s="5" t="str">
        <f>IFERROR(INDEX('Output Utente'!$E$2:$E$492,MATCH(294,'Output Utente'!$Q$2:$Q$492,0)),"")</f>
        <v>NO</v>
      </c>
      <c r="M297" s="5" t="str">
        <f>IFERROR(INDEX('Output Utente'!$U$2:$U$492,MATCH(294,'Output Utente'!$Q$2:$Q$492,0)),"")</f>
        <v>OK</v>
      </c>
      <c r="N297" s="5" t="str">
        <f>IFERROR(INDEX('Output Utente'!$AE$2:$AE$492,MATCH(294,'Output Utente'!$Q$2:$Q$492,0)),"")</f>
        <v>🔴 Non aspettare</v>
      </c>
    </row>
    <row r="298" spans="1:14" ht="15" customHeight="1" x14ac:dyDescent="0.25">
      <c r="A298" s="41">
        <v>295</v>
      </c>
      <c r="B298" s="5">
        <f>IFERROR(INDEX('Output Utente'!$A$2:$A$492,MATCH(295,'Output Utente'!$Q$2:$Q$492,0)),"")</f>
        <v>7341</v>
      </c>
      <c r="C298" s="5" t="str">
        <f>IFERROR(INDEX('Output Utente'!$B$2:$B$492,MATCH(295,'Output Utente'!$Q$2:$Q$492,0)),"")</f>
        <v>C</v>
      </c>
      <c r="D298" s="5" t="str">
        <f>IFERROR(INDEX('Output Utente'!$C$2:$C$492,MATCH(295,'Output Utente'!$Q$2:$Q$492,0)),"")</f>
        <v>Amorim</v>
      </c>
      <c r="E298" s="5" t="str">
        <f>IFERROR(INDEX('Input Giocatori 2026_27'!$D$3:$D$493,MATCH($B298,'Input Giocatori 2026_27'!$A$3:$A$493,0)),"")</f>
        <v>Genoa</v>
      </c>
      <c r="F298" s="42">
        <f>IFERROR(INDEX('Output Utente'!$N$2:$N$492,MATCH(295,'Output Utente'!$Q$2:$Q$492,0)),"")</f>
        <v>4</v>
      </c>
      <c r="G298" s="42">
        <f>IFERROR(INDEX('Output Utente'!$O$2:$O$492,MATCH(295,'Output Utente'!$Q$2:$Q$492,0)),"")</f>
        <v>11</v>
      </c>
      <c r="H298" s="5" t="str">
        <f>IFERROR(INDEX('Output Utente'!$P$2:$P$492,MATCH(295,'Output Utente'!$Q$2:$Q$492,0)),"")</f>
        <v>Scommessa/Riserva</v>
      </c>
      <c r="I298" s="42">
        <f>IFERROR(INDEX('Output Utente'!$F$2:$F$492,MATCH(295,'Output Utente'!$Q$2:$Q$492,0)),"")</f>
        <v>2</v>
      </c>
      <c r="J298" s="42">
        <f>IFERROR(INDEX('Output Utente'!$G$2:$G$492,MATCH(295,'Output Utente'!$Q$2:$Q$492,0)),"")</f>
        <v>1</v>
      </c>
      <c r="K298" s="42">
        <f>IFERROR(INDEX('Output Utente'!$H$2:$H$492,MATCH(295,'Output Utente'!$Q$2:$Q$492,0)),"")</f>
        <v>2</v>
      </c>
      <c r="L298" s="5" t="str">
        <f>IFERROR(INDEX('Output Utente'!$E$2:$E$492,MATCH(295,'Output Utente'!$Q$2:$Q$492,0)),"")</f>
        <v>NO</v>
      </c>
      <c r="M298" s="5" t="str">
        <f>IFERROR(INDEX('Output Utente'!$U$2:$U$492,MATCH(295,'Output Utente'!$Q$2:$Q$492,0)),"")</f>
        <v>OK</v>
      </c>
      <c r="N298" s="5" t="str">
        <f>IFERROR(INDEX('Output Utente'!$AE$2:$AE$492,MATCH(295,'Output Utente'!$Q$2:$Q$492,0)),"")</f>
        <v>🔴 Non aspettare</v>
      </c>
    </row>
    <row r="299" spans="1:14" ht="15" customHeight="1" x14ac:dyDescent="0.25">
      <c r="A299" s="41">
        <v>296</v>
      </c>
      <c r="B299" s="5">
        <f>IFERROR(INDEX('Output Utente'!$A$2:$A$492,MATCH(296,'Output Utente'!$Q$2:$Q$492,0)),"")</f>
        <v>7322</v>
      </c>
      <c r="C299" s="5" t="str">
        <f>IFERROR(INDEX('Output Utente'!$B$2:$B$492,MATCH(296,'Output Utente'!$Q$2:$Q$492,0)),"")</f>
        <v>C</v>
      </c>
      <c r="D299" s="5" t="str">
        <f>IFERROR(INDEX('Output Utente'!$C$2:$C$492,MATCH(296,'Output Utente'!$Q$2:$Q$492,0)),"")</f>
        <v>Ngom</v>
      </c>
      <c r="E299" s="5" t="str">
        <f>IFERROR(INDEX('Input Giocatori 2026_27'!$D$3:$D$493,MATCH($B299,'Input Giocatori 2026_27'!$A$3:$A$493,0)),"")</f>
        <v>Lecce</v>
      </c>
      <c r="F299" s="42">
        <f>IFERROR(INDEX('Output Utente'!$N$2:$N$492,MATCH(296,'Output Utente'!$Q$2:$Q$492,0)),"")</f>
        <v>4</v>
      </c>
      <c r="G299" s="42">
        <f>IFERROR(INDEX('Output Utente'!$O$2:$O$492,MATCH(296,'Output Utente'!$Q$2:$Q$492,0)),"")</f>
        <v>11</v>
      </c>
      <c r="H299" s="5" t="str">
        <f>IFERROR(INDEX('Output Utente'!$P$2:$P$492,MATCH(296,'Output Utente'!$Q$2:$Q$492,0)),"")</f>
        <v>Scommessa/Riserva</v>
      </c>
      <c r="I299" s="42">
        <f>IFERROR(INDEX('Output Utente'!$F$2:$F$492,MATCH(296,'Output Utente'!$Q$2:$Q$492,0)),"")</f>
        <v>2</v>
      </c>
      <c r="J299" s="42">
        <f>IFERROR(INDEX('Output Utente'!$G$2:$G$492,MATCH(296,'Output Utente'!$Q$2:$Q$492,0)),"")</f>
        <v>1</v>
      </c>
      <c r="K299" s="42">
        <f>IFERROR(INDEX('Output Utente'!$H$2:$H$492,MATCH(296,'Output Utente'!$Q$2:$Q$492,0)),"")</f>
        <v>2</v>
      </c>
      <c r="L299" s="5" t="str">
        <f>IFERROR(INDEX('Output Utente'!$E$2:$E$492,MATCH(296,'Output Utente'!$Q$2:$Q$492,0)),"")</f>
        <v>NO</v>
      </c>
      <c r="M299" s="5" t="str">
        <f>IFERROR(INDEX('Output Utente'!$U$2:$U$492,MATCH(296,'Output Utente'!$Q$2:$Q$492,0)),"")</f>
        <v>OK</v>
      </c>
      <c r="N299" s="5" t="str">
        <f>IFERROR(INDEX('Output Utente'!$AE$2:$AE$492,MATCH(296,'Output Utente'!$Q$2:$Q$492,0)),"")</f>
        <v>🔴 Non aspettare</v>
      </c>
    </row>
    <row r="300" spans="1:14" ht="15" customHeight="1" x14ac:dyDescent="0.25">
      <c r="A300" s="41">
        <v>297</v>
      </c>
      <c r="B300" s="5">
        <f>IFERROR(INDEX('Output Utente'!$A$2:$A$492,MATCH(297,'Output Utente'!$Q$2:$Q$492,0)),"")</f>
        <v>5453</v>
      </c>
      <c r="C300" s="5" t="str">
        <f>IFERROR(INDEX('Output Utente'!$B$2:$B$492,MATCH(297,'Output Utente'!$Q$2:$Q$492,0)),"")</f>
        <v>C</v>
      </c>
      <c r="D300" s="5" t="str">
        <f>IFERROR(INDEX('Output Utente'!$C$2:$C$492,MATCH(297,'Output Utente'!$Q$2:$Q$492,0)),"")</f>
        <v>Ricci S.</v>
      </c>
      <c r="E300" s="5" t="str">
        <f>IFERROR(INDEX('Input Giocatori 2026_27'!$D$3:$D$493,MATCH($B300,'Input Giocatori 2026_27'!$A$3:$A$493,0)),"")</f>
        <v>Milan</v>
      </c>
      <c r="F300" s="42">
        <f>IFERROR(INDEX('Output Utente'!$N$2:$N$492,MATCH(297,'Output Utente'!$Q$2:$Q$492,0)),"")</f>
        <v>4</v>
      </c>
      <c r="G300" s="42">
        <f>IFERROR(INDEX('Output Utente'!$O$2:$O$492,MATCH(297,'Output Utente'!$Q$2:$Q$492,0)),"")</f>
        <v>11</v>
      </c>
      <c r="H300" s="5" t="str">
        <f>IFERROR(INDEX('Output Utente'!$P$2:$P$492,MATCH(297,'Output Utente'!$Q$2:$Q$492,0)),"")</f>
        <v>Scommessa/Riserva</v>
      </c>
      <c r="I300" s="42">
        <f>IFERROR(INDEX('Output Utente'!$F$2:$F$492,MATCH(297,'Output Utente'!$Q$2:$Q$492,0)),"")</f>
        <v>2</v>
      </c>
      <c r="J300" s="42">
        <f>IFERROR(INDEX('Output Utente'!$G$2:$G$492,MATCH(297,'Output Utente'!$Q$2:$Q$492,0)),"")</f>
        <v>1</v>
      </c>
      <c r="K300" s="42">
        <f>IFERROR(INDEX('Output Utente'!$H$2:$H$492,MATCH(297,'Output Utente'!$Q$2:$Q$492,0)),"")</f>
        <v>2</v>
      </c>
      <c r="L300" s="5" t="str">
        <f>IFERROR(INDEX('Output Utente'!$E$2:$E$492,MATCH(297,'Output Utente'!$Q$2:$Q$492,0)),"")</f>
        <v>NO</v>
      </c>
      <c r="M300" s="5" t="str">
        <f>IFERROR(INDEX('Output Utente'!$U$2:$U$492,MATCH(297,'Output Utente'!$Q$2:$Q$492,0)),"")</f>
        <v>OK</v>
      </c>
      <c r="N300" s="5" t="str">
        <f>IFERROR(INDEX('Output Utente'!$AE$2:$AE$492,MATCH(297,'Output Utente'!$Q$2:$Q$492,0)),"")</f>
        <v>🔴 Non aspettare</v>
      </c>
    </row>
    <row r="301" spans="1:14" ht="15" customHeight="1" x14ac:dyDescent="0.25">
      <c r="A301" s="41">
        <v>298</v>
      </c>
      <c r="B301" s="5">
        <f>IFERROR(INDEX('Output Utente'!$A$2:$A$492,MATCH(298,'Output Utente'!$Q$2:$Q$492,0)),"")</f>
        <v>7203</v>
      </c>
      <c r="C301" s="5" t="str">
        <f>IFERROR(INDEX('Output Utente'!$B$2:$B$492,MATCH(298,'Output Utente'!$Q$2:$Q$492,0)),"")</f>
        <v>C</v>
      </c>
      <c r="D301" s="5" t="str">
        <f>IFERROR(INDEX('Output Utente'!$C$2:$C$492,MATCH(298,'Output Utente'!$Q$2:$Q$492,0)),"")</f>
        <v>Jashari</v>
      </c>
      <c r="E301" s="5" t="str">
        <f>IFERROR(INDEX('Input Giocatori 2026_27'!$D$3:$D$493,MATCH($B301,'Input Giocatori 2026_27'!$A$3:$A$493,0)),"")</f>
        <v>Milan</v>
      </c>
      <c r="F301" s="42">
        <f>IFERROR(INDEX('Output Utente'!$N$2:$N$492,MATCH(298,'Output Utente'!$Q$2:$Q$492,0)),"")</f>
        <v>4</v>
      </c>
      <c r="G301" s="42">
        <f>IFERROR(INDEX('Output Utente'!$O$2:$O$492,MATCH(298,'Output Utente'!$Q$2:$Q$492,0)),"")</f>
        <v>11</v>
      </c>
      <c r="H301" s="5" t="str">
        <f>IFERROR(INDEX('Output Utente'!$P$2:$P$492,MATCH(298,'Output Utente'!$Q$2:$Q$492,0)),"")</f>
        <v>Scommessa/Riserva</v>
      </c>
      <c r="I301" s="42">
        <f>IFERROR(INDEX('Output Utente'!$F$2:$F$492,MATCH(298,'Output Utente'!$Q$2:$Q$492,0)),"")</f>
        <v>2</v>
      </c>
      <c r="J301" s="42">
        <f>IFERROR(INDEX('Output Utente'!$G$2:$G$492,MATCH(298,'Output Utente'!$Q$2:$Q$492,0)),"")</f>
        <v>1</v>
      </c>
      <c r="K301" s="42">
        <f>IFERROR(INDEX('Output Utente'!$H$2:$H$492,MATCH(298,'Output Utente'!$Q$2:$Q$492,0)),"")</f>
        <v>2</v>
      </c>
      <c r="L301" s="5" t="str">
        <f>IFERROR(INDEX('Output Utente'!$E$2:$E$492,MATCH(298,'Output Utente'!$Q$2:$Q$492,0)),"")</f>
        <v>NO</v>
      </c>
      <c r="M301" s="5" t="str">
        <f>IFERROR(INDEX('Output Utente'!$U$2:$U$492,MATCH(298,'Output Utente'!$Q$2:$Q$492,0)),"")</f>
        <v>OK</v>
      </c>
      <c r="N301" s="5" t="str">
        <f>IFERROR(INDEX('Output Utente'!$AE$2:$AE$492,MATCH(298,'Output Utente'!$Q$2:$Q$492,0)),"")</f>
        <v>🔴 Non aspettare</v>
      </c>
    </row>
    <row r="302" spans="1:14" ht="15" customHeight="1" x14ac:dyDescent="0.25">
      <c r="A302" s="41">
        <v>299</v>
      </c>
      <c r="B302" s="5">
        <f>IFERROR(INDEX('Output Utente'!$A$2:$A$492,MATCH(299,'Output Utente'!$Q$2:$Q$492,0)),"")</f>
        <v>4199</v>
      </c>
      <c r="C302" s="5" t="str">
        <f>IFERROR(INDEX('Output Utente'!$B$2:$B$492,MATCH(299,'Output Utente'!$Q$2:$Q$492,0)),"")</f>
        <v>C</v>
      </c>
      <c r="D302" s="5" t="str">
        <f>IFERROR(INDEX('Output Utente'!$C$2:$C$492,MATCH(299,'Output Utente'!$Q$2:$Q$492,0)),"")</f>
        <v>Loftus-Cheek</v>
      </c>
      <c r="E302" s="5" t="str">
        <f>IFERROR(INDEX('Input Giocatori 2026_27'!$D$3:$D$493,MATCH($B302,'Input Giocatori 2026_27'!$A$3:$A$493,0)),"")</f>
        <v>Milan</v>
      </c>
      <c r="F302" s="42">
        <f>IFERROR(INDEX('Output Utente'!$N$2:$N$492,MATCH(299,'Output Utente'!$Q$2:$Q$492,0)),"")</f>
        <v>4</v>
      </c>
      <c r="G302" s="42">
        <f>IFERROR(INDEX('Output Utente'!$O$2:$O$492,MATCH(299,'Output Utente'!$Q$2:$Q$492,0)),"")</f>
        <v>11</v>
      </c>
      <c r="H302" s="5" t="str">
        <f>IFERROR(INDEX('Output Utente'!$P$2:$P$492,MATCH(299,'Output Utente'!$Q$2:$Q$492,0)),"")</f>
        <v>Scommessa/Riserva</v>
      </c>
      <c r="I302" s="42">
        <f>IFERROR(INDEX('Output Utente'!$F$2:$F$492,MATCH(299,'Output Utente'!$Q$2:$Q$492,0)),"")</f>
        <v>2</v>
      </c>
      <c r="J302" s="42">
        <f>IFERROR(INDEX('Output Utente'!$G$2:$G$492,MATCH(299,'Output Utente'!$Q$2:$Q$492,0)),"")</f>
        <v>1</v>
      </c>
      <c r="K302" s="42">
        <f>IFERROR(INDEX('Output Utente'!$H$2:$H$492,MATCH(299,'Output Utente'!$Q$2:$Q$492,0)),"")</f>
        <v>2</v>
      </c>
      <c r="L302" s="5" t="str">
        <f>IFERROR(INDEX('Output Utente'!$E$2:$E$492,MATCH(299,'Output Utente'!$Q$2:$Q$492,0)),"")</f>
        <v>NO</v>
      </c>
      <c r="M302" s="5" t="str">
        <f>IFERROR(INDEX('Output Utente'!$U$2:$U$492,MATCH(299,'Output Utente'!$Q$2:$Q$492,0)),"")</f>
        <v>OK</v>
      </c>
      <c r="N302" s="5" t="str">
        <f>IFERROR(INDEX('Output Utente'!$AE$2:$AE$492,MATCH(299,'Output Utente'!$Q$2:$Q$492,0)),"")</f>
        <v>🔴 Non aspettare</v>
      </c>
    </row>
    <row r="303" spans="1:14" ht="15" customHeight="1" x14ac:dyDescent="0.25">
      <c r="A303" s="41">
        <v>300</v>
      </c>
      <c r="B303" s="5">
        <f>IFERROR(INDEX('Output Utente'!$A$2:$A$492,MATCH(300,'Output Utente'!$Q$2:$Q$492,0)),"")</f>
        <v>5813</v>
      </c>
      <c r="C303" s="5" t="str">
        <f>IFERROR(INDEX('Output Utente'!$B$2:$B$492,MATCH(300,'Output Utente'!$Q$2:$Q$492,0)),"")</f>
        <v>C</v>
      </c>
      <c r="D303" s="5" t="str">
        <f>IFERROR(INDEX('Output Utente'!$C$2:$C$492,MATCH(300,'Output Utente'!$Q$2:$Q$492,0)),"")</f>
        <v>Miretti</v>
      </c>
      <c r="E303" s="5" t="str">
        <f>IFERROR(INDEX('Input Giocatori 2026_27'!$D$3:$D$493,MATCH($B303,'Input Giocatori 2026_27'!$A$3:$A$493,0)),"")</f>
        <v>Juventus</v>
      </c>
      <c r="F303" s="42">
        <f>IFERROR(INDEX('Output Utente'!$N$2:$N$492,MATCH(300,'Output Utente'!$Q$2:$Q$492,0)),"")</f>
        <v>3</v>
      </c>
      <c r="G303" s="42">
        <f>IFERROR(INDEX('Output Utente'!$O$2:$O$492,MATCH(300,'Output Utente'!$Q$2:$Q$492,0)),"")</f>
        <v>11</v>
      </c>
      <c r="H303" s="5" t="str">
        <f>IFERROR(INDEX('Output Utente'!$P$2:$P$492,MATCH(300,'Output Utente'!$Q$2:$Q$492,0)),"")</f>
        <v>Scommessa/Riserva</v>
      </c>
      <c r="I303" s="42">
        <f>IFERROR(INDEX('Output Utente'!$F$2:$F$492,MATCH(300,'Output Utente'!$Q$2:$Q$492,0)),"")</f>
        <v>2</v>
      </c>
      <c r="J303" s="42">
        <f>IFERROR(INDEX('Output Utente'!$G$2:$G$492,MATCH(300,'Output Utente'!$Q$2:$Q$492,0)),"")</f>
        <v>1</v>
      </c>
      <c r="K303" s="42">
        <f>IFERROR(INDEX('Output Utente'!$H$2:$H$492,MATCH(300,'Output Utente'!$Q$2:$Q$492,0)),"")</f>
        <v>2</v>
      </c>
      <c r="L303" s="5" t="str">
        <f>IFERROR(INDEX('Output Utente'!$E$2:$E$492,MATCH(300,'Output Utente'!$Q$2:$Q$492,0)),"")</f>
        <v>NO</v>
      </c>
      <c r="M303" s="5" t="str">
        <f>IFERROR(INDEX('Output Utente'!$U$2:$U$492,MATCH(300,'Output Utente'!$Q$2:$Q$492,0)),"")</f>
        <v>OK</v>
      </c>
      <c r="N303" s="5" t="str">
        <f>IFERROR(INDEX('Output Utente'!$AE$2:$AE$492,MATCH(300,'Output Utente'!$Q$2:$Q$492,0)),"")</f>
        <v>🔴 Non aspettare</v>
      </c>
    </row>
    <row r="304" spans="1:14" ht="15" customHeight="1" x14ac:dyDescent="0.25">
      <c r="A304" s="41">
        <v>301</v>
      </c>
      <c r="B304" s="5">
        <f>IFERROR(INDEX('Output Utente'!$A$2:$A$492,MATCH(301,'Output Utente'!$Q$2:$Q$492,0)),"")</f>
        <v>7342</v>
      </c>
      <c r="C304" s="5" t="str">
        <f>IFERROR(INDEX('Output Utente'!$B$2:$B$492,MATCH(301,'Output Utente'!$Q$2:$Q$492,0)),"")</f>
        <v>A</v>
      </c>
      <c r="D304" s="5" t="str">
        <f>IFERROR(INDEX('Output Utente'!$C$2:$C$492,MATCH(301,'Output Utente'!$Q$2:$Q$492,0)),"")</f>
        <v>Elphege</v>
      </c>
      <c r="E304" s="5" t="str">
        <f>IFERROR(INDEX('Input Giocatori 2026_27'!$D$3:$D$493,MATCH($B304,'Input Giocatori 2026_27'!$A$3:$A$493,0)),"")</f>
        <v>Parma</v>
      </c>
      <c r="F304" s="42">
        <f>IFERROR(INDEX('Output Utente'!$N$2:$N$492,MATCH(301,'Output Utente'!$Q$2:$Q$492,0)),"")</f>
        <v>3</v>
      </c>
      <c r="G304" s="42">
        <f>IFERROR(INDEX('Output Utente'!$O$2:$O$492,MATCH(301,'Output Utente'!$Q$2:$Q$492,0)),"")</f>
        <v>11</v>
      </c>
      <c r="H304" s="5" t="str">
        <f>IFERROR(INDEX('Output Utente'!$P$2:$P$492,MATCH(301,'Output Utente'!$Q$2:$Q$492,0)),"")</f>
        <v>Scommessa/Riserva</v>
      </c>
      <c r="I304" s="42">
        <f>IFERROR(INDEX('Output Utente'!$F$2:$F$492,MATCH(301,'Output Utente'!$Q$2:$Q$492,0)),"")</f>
        <v>3</v>
      </c>
      <c r="J304" s="42">
        <f>IFERROR(INDEX('Output Utente'!$G$2:$G$492,MATCH(301,'Output Utente'!$Q$2:$Q$492,0)),"")</f>
        <v>2</v>
      </c>
      <c r="K304" s="42">
        <f>IFERROR(INDEX('Output Utente'!$H$2:$H$492,MATCH(301,'Output Utente'!$Q$2:$Q$492,0)),"")</f>
        <v>4</v>
      </c>
      <c r="L304" s="5" t="str">
        <f>IFERROR(INDEX('Output Utente'!$E$2:$E$492,MATCH(301,'Output Utente'!$Q$2:$Q$492,0)),"")</f>
        <v>NO</v>
      </c>
      <c r="M304" s="5" t="str">
        <f>IFERROR(INDEX('Output Utente'!$U$2:$U$492,MATCH(301,'Output Utente'!$Q$2:$Q$492,0)),"")</f>
        <v>OK</v>
      </c>
      <c r="N304" s="5" t="str">
        <f>IFERROR(INDEX('Output Utente'!$AE$2:$AE$492,MATCH(301,'Output Utente'!$Q$2:$Q$492,0)),"")</f>
        <v>🔴 Non aspettare</v>
      </c>
    </row>
    <row r="305" spans="1:14" ht="15" customHeight="1" x14ac:dyDescent="0.25">
      <c r="A305" s="41">
        <v>302</v>
      </c>
      <c r="B305" s="5">
        <f>IFERROR(INDEX('Output Utente'!$A$2:$A$492,MATCH(302,'Output Utente'!$Q$2:$Q$492,0)),"")</f>
        <v>218</v>
      </c>
      <c r="C305" s="5" t="str">
        <f>IFERROR(INDEX('Output Utente'!$B$2:$B$492,MATCH(302,'Output Utente'!$Q$2:$Q$492,0)),"")</f>
        <v>P</v>
      </c>
      <c r="D305" s="5" t="str">
        <f>IFERROR(INDEX('Output Utente'!$C$2:$C$492,MATCH(302,'Output Utente'!$Q$2:$Q$492,0)),"")</f>
        <v>Perin</v>
      </c>
      <c r="E305" s="5" t="str">
        <f>IFERROR(INDEX('Input Giocatori 2026_27'!$D$3:$D$493,MATCH($B305,'Input Giocatori 2026_27'!$A$3:$A$493,0)),"")</f>
        <v>Juventus</v>
      </c>
      <c r="F305" s="42">
        <f>IFERROR(INDEX('Output Utente'!$N$2:$N$492,MATCH(302,'Output Utente'!$Q$2:$Q$492,0)),"")</f>
        <v>6</v>
      </c>
      <c r="G305" s="42">
        <f>IFERROR(INDEX('Output Utente'!$O$2:$O$492,MATCH(302,'Output Utente'!$Q$2:$Q$492,0)),"")</f>
        <v>10</v>
      </c>
      <c r="H305" s="5" t="str">
        <f>IFERROR(INDEX('Output Utente'!$P$2:$P$492,MATCH(302,'Output Utente'!$Q$2:$Q$492,0)),"")</f>
        <v>Nella Media</v>
      </c>
      <c r="I305" s="42">
        <f>IFERROR(INDEX('Output Utente'!$F$2:$F$492,MATCH(302,'Output Utente'!$Q$2:$Q$492,0)),"")</f>
        <v>4</v>
      </c>
      <c r="J305" s="42">
        <f>IFERROR(INDEX('Output Utente'!$G$2:$G$492,MATCH(302,'Output Utente'!$Q$2:$Q$492,0)),"")</f>
        <v>3</v>
      </c>
      <c r="K305" s="42">
        <f>IFERROR(INDEX('Output Utente'!$H$2:$H$492,MATCH(302,'Output Utente'!$Q$2:$Q$492,0)),"")</f>
        <v>4</v>
      </c>
      <c r="L305" s="5" t="str">
        <f>IFERROR(INDEX('Output Utente'!$E$2:$E$492,MATCH(302,'Output Utente'!$Q$2:$Q$492,0)),"")</f>
        <v>NO</v>
      </c>
      <c r="M305" s="5" t="str">
        <f>IFERROR(INDEX('Output Utente'!$U$2:$U$492,MATCH(302,'Output Utente'!$Q$2:$Q$492,0)),"")</f>
        <v>OK</v>
      </c>
      <c r="N305" s="5" t="str">
        <f>IFERROR(INDEX('Output Utente'!$AE$2:$AE$492,MATCH(302,'Output Utente'!$Q$2:$Q$492,0)),"")</f>
        <v>🔴 Non aspettare</v>
      </c>
    </row>
    <row r="306" spans="1:14" ht="15" customHeight="1" x14ac:dyDescent="0.25">
      <c r="A306" s="41">
        <v>303</v>
      </c>
      <c r="B306" s="5">
        <f>IFERROR(INDEX('Output Utente'!$A$2:$A$492,MATCH(303,'Output Utente'!$Q$2:$Q$492,0)),"")</f>
        <v>2170</v>
      </c>
      <c r="C306" s="5" t="str">
        <f>IFERROR(INDEX('Output Utente'!$B$2:$B$492,MATCH(303,'Output Utente'!$Q$2:$Q$492,0)),"")</f>
        <v>P</v>
      </c>
      <c r="D306" s="5" t="str">
        <f>IFERROR(INDEX('Output Utente'!$C$2:$C$492,MATCH(303,'Output Utente'!$Q$2:$Q$492,0)),"")</f>
        <v>Milinkovic-Savic V.</v>
      </c>
      <c r="E306" s="5" t="str">
        <f>IFERROR(INDEX('Input Giocatori 2026_27'!$D$3:$D$493,MATCH($B306,'Input Giocatori 2026_27'!$A$3:$A$493,0)),"")</f>
        <v>Napoli</v>
      </c>
      <c r="F306" s="42">
        <f>IFERROR(INDEX('Output Utente'!$N$2:$N$492,MATCH(303,'Output Utente'!$Q$2:$Q$492,0)),"")</f>
        <v>5</v>
      </c>
      <c r="G306" s="42">
        <f>IFERROR(INDEX('Output Utente'!$O$2:$O$492,MATCH(303,'Output Utente'!$Q$2:$Q$492,0)),"")</f>
        <v>10</v>
      </c>
      <c r="H306" s="5" t="str">
        <f>IFERROR(INDEX('Output Utente'!$P$2:$P$492,MATCH(303,'Output Utente'!$Q$2:$Q$492,0)),"")</f>
        <v>Nella Media</v>
      </c>
      <c r="I306" s="42">
        <f>IFERROR(INDEX('Output Utente'!$F$2:$F$492,MATCH(303,'Output Utente'!$Q$2:$Q$492,0)),"")</f>
        <v>4</v>
      </c>
      <c r="J306" s="42">
        <f>IFERROR(INDEX('Output Utente'!$G$2:$G$492,MATCH(303,'Output Utente'!$Q$2:$Q$492,0)),"")</f>
        <v>3</v>
      </c>
      <c r="K306" s="42">
        <f>IFERROR(INDEX('Output Utente'!$H$2:$H$492,MATCH(303,'Output Utente'!$Q$2:$Q$492,0)),"")</f>
        <v>4</v>
      </c>
      <c r="L306" s="5" t="str">
        <f>IFERROR(INDEX('Output Utente'!$E$2:$E$492,MATCH(303,'Output Utente'!$Q$2:$Q$492,0)),"")</f>
        <v>NO</v>
      </c>
      <c r="M306" s="5" t="str">
        <f>IFERROR(INDEX('Output Utente'!$U$2:$U$492,MATCH(303,'Output Utente'!$Q$2:$Q$492,0)),"")</f>
        <v>OK</v>
      </c>
      <c r="N306" s="5" t="str">
        <f>IFERROR(INDEX('Output Utente'!$AE$2:$AE$492,MATCH(303,'Output Utente'!$Q$2:$Q$492,0)),"")</f>
        <v>🔴 Non aspettare</v>
      </c>
    </row>
    <row r="307" spans="1:14" ht="15" customHeight="1" x14ac:dyDescent="0.25">
      <c r="A307" s="41">
        <v>304</v>
      </c>
      <c r="B307" s="5">
        <f>IFERROR(INDEX('Output Utente'!$A$2:$A$492,MATCH(304,'Output Utente'!$Q$2:$Q$492,0)),"")</f>
        <v>7014</v>
      </c>
      <c r="C307" s="5" t="str">
        <f>IFERROR(INDEX('Output Utente'!$B$2:$B$492,MATCH(304,'Output Utente'!$Q$2:$Q$492,0)),"")</f>
        <v>D</v>
      </c>
      <c r="D307" s="5" t="str">
        <f>IFERROR(INDEX('Output Utente'!$C$2:$C$492,MATCH(304,'Output Utente'!$Q$2:$Q$492,0)),"")</f>
        <v>Smolcic I.</v>
      </c>
      <c r="E307" s="5" t="str">
        <f>IFERROR(INDEX('Input Giocatori 2026_27'!$D$3:$D$493,MATCH($B307,'Input Giocatori 2026_27'!$A$3:$A$493,0)),"")</f>
        <v>Como</v>
      </c>
      <c r="F307" s="42">
        <f>IFERROR(INDEX('Output Utente'!$N$2:$N$492,MATCH(304,'Output Utente'!$Q$2:$Q$492,0)),"")</f>
        <v>4</v>
      </c>
      <c r="G307" s="42">
        <f>IFERROR(INDEX('Output Utente'!$O$2:$O$492,MATCH(304,'Output Utente'!$Q$2:$Q$492,0)),"")</f>
        <v>10</v>
      </c>
      <c r="H307" s="5" t="str">
        <f>IFERROR(INDEX('Output Utente'!$P$2:$P$492,MATCH(304,'Output Utente'!$Q$2:$Q$492,0)),"")</f>
        <v>Nella Media</v>
      </c>
      <c r="I307" s="42">
        <f>IFERROR(INDEX('Output Utente'!$F$2:$F$492,MATCH(304,'Output Utente'!$Q$2:$Q$492,0)),"")</f>
        <v>2</v>
      </c>
      <c r="J307" s="42">
        <f>IFERROR(INDEX('Output Utente'!$G$2:$G$492,MATCH(304,'Output Utente'!$Q$2:$Q$492,0)),"")</f>
        <v>1</v>
      </c>
      <c r="K307" s="42">
        <f>IFERROR(INDEX('Output Utente'!$H$2:$H$492,MATCH(304,'Output Utente'!$Q$2:$Q$492,0)),"")</f>
        <v>2</v>
      </c>
      <c r="L307" s="5" t="str">
        <f>IFERROR(INDEX('Output Utente'!$E$2:$E$492,MATCH(304,'Output Utente'!$Q$2:$Q$492,0)),"")</f>
        <v>NO</v>
      </c>
      <c r="M307" s="5" t="str">
        <f>IFERROR(INDEX('Output Utente'!$U$2:$U$492,MATCH(304,'Output Utente'!$Q$2:$Q$492,0)),"")</f>
        <v>OK</v>
      </c>
      <c r="N307" s="5" t="str">
        <f>IFERROR(INDEX('Output Utente'!$AE$2:$AE$492,MATCH(304,'Output Utente'!$Q$2:$Q$492,0)),"")</f>
        <v>🔴 Non aspettare</v>
      </c>
    </row>
    <row r="308" spans="1:14" ht="15" customHeight="1" x14ac:dyDescent="0.25">
      <c r="A308" s="41">
        <v>305</v>
      </c>
      <c r="B308" s="5">
        <f>IFERROR(INDEX('Output Utente'!$A$2:$A$492,MATCH(305,'Output Utente'!$Q$2:$Q$492,0)),"")</f>
        <v>7467</v>
      </c>
      <c r="C308" s="5" t="str">
        <f>IFERROR(INDEX('Output Utente'!$B$2:$B$492,MATCH(305,'Output Utente'!$Q$2:$Q$492,0)),"")</f>
        <v>D</v>
      </c>
      <c r="D308" s="5" t="str">
        <f>IFERROR(INDEX('Output Utente'!$C$2:$C$492,MATCH(305,'Output Utente'!$Q$2:$Q$492,0)),"")</f>
        <v>Calvani</v>
      </c>
      <c r="E308" s="5" t="str">
        <f>IFERROR(INDEX('Input Giocatori 2026_27'!$D$3:$D$493,MATCH($B308,'Input Giocatori 2026_27'!$A$3:$A$493,0)),"")</f>
        <v>Frosinone</v>
      </c>
      <c r="F308" s="42">
        <f>IFERROR(INDEX('Output Utente'!$N$2:$N$492,MATCH(305,'Output Utente'!$Q$2:$Q$492,0)),"")</f>
        <v>4</v>
      </c>
      <c r="G308" s="42">
        <f>IFERROR(INDEX('Output Utente'!$O$2:$O$492,MATCH(305,'Output Utente'!$Q$2:$Q$492,0)),"")</f>
        <v>10</v>
      </c>
      <c r="H308" s="5" t="str">
        <f>IFERROR(INDEX('Output Utente'!$P$2:$P$492,MATCH(305,'Output Utente'!$Q$2:$Q$492,0)),"")</f>
        <v>Nella Media</v>
      </c>
      <c r="I308" s="42">
        <f>IFERROR(INDEX('Output Utente'!$F$2:$F$492,MATCH(305,'Output Utente'!$Q$2:$Q$492,0)),"")</f>
        <v>2</v>
      </c>
      <c r="J308" s="42">
        <f>IFERROR(INDEX('Output Utente'!$G$2:$G$492,MATCH(305,'Output Utente'!$Q$2:$Q$492,0)),"")</f>
        <v>1</v>
      </c>
      <c r="K308" s="42">
        <f>IFERROR(INDEX('Output Utente'!$H$2:$H$492,MATCH(305,'Output Utente'!$Q$2:$Q$492,0)),"")</f>
        <v>2</v>
      </c>
      <c r="L308" s="5" t="str">
        <f>IFERROR(INDEX('Output Utente'!$E$2:$E$492,MATCH(305,'Output Utente'!$Q$2:$Q$492,0)),"")</f>
        <v>NO</v>
      </c>
      <c r="M308" s="5" t="str">
        <f>IFERROR(INDEX('Output Utente'!$U$2:$U$492,MATCH(305,'Output Utente'!$Q$2:$Q$492,0)),"")</f>
        <v>OK</v>
      </c>
      <c r="N308" s="5" t="str">
        <f>IFERROR(INDEX('Output Utente'!$AE$2:$AE$492,MATCH(305,'Output Utente'!$Q$2:$Q$492,0)),"")</f>
        <v>🔴 Non aspettare</v>
      </c>
    </row>
    <row r="309" spans="1:14" ht="15" customHeight="1" x14ac:dyDescent="0.25">
      <c r="A309" s="41">
        <v>306</v>
      </c>
      <c r="B309" s="5">
        <f>IFERROR(INDEX('Output Utente'!$A$2:$A$492,MATCH(306,'Output Utente'!$Q$2:$Q$492,0)),"")</f>
        <v>5831</v>
      </c>
      <c r="C309" s="5" t="str">
        <f>IFERROR(INDEX('Output Utente'!$B$2:$B$492,MATCH(306,'Output Utente'!$Q$2:$Q$492,0)),"")</f>
        <v>D</v>
      </c>
      <c r="D309" s="5" t="str">
        <f>IFERROR(INDEX('Output Utente'!$C$2:$C$492,MATCH(306,'Output Utente'!$Q$2:$Q$492,0)),"")</f>
        <v>Gatti</v>
      </c>
      <c r="E309" s="5" t="str">
        <f>IFERROR(INDEX('Input Giocatori 2026_27'!$D$3:$D$493,MATCH($B309,'Input Giocatori 2026_27'!$A$3:$A$493,0)),"")</f>
        <v>Juventus</v>
      </c>
      <c r="F309" s="42">
        <f>IFERROR(INDEX('Output Utente'!$N$2:$N$492,MATCH(306,'Output Utente'!$Q$2:$Q$492,0)),"")</f>
        <v>4</v>
      </c>
      <c r="G309" s="42">
        <f>IFERROR(INDEX('Output Utente'!$O$2:$O$492,MATCH(306,'Output Utente'!$Q$2:$Q$492,0)),"")</f>
        <v>10</v>
      </c>
      <c r="H309" s="5" t="str">
        <f>IFERROR(INDEX('Output Utente'!$P$2:$P$492,MATCH(306,'Output Utente'!$Q$2:$Q$492,0)),"")</f>
        <v>Nella Media</v>
      </c>
      <c r="I309" s="42">
        <f>IFERROR(INDEX('Output Utente'!$F$2:$F$492,MATCH(306,'Output Utente'!$Q$2:$Q$492,0)),"")</f>
        <v>2</v>
      </c>
      <c r="J309" s="42">
        <f>IFERROR(INDEX('Output Utente'!$G$2:$G$492,MATCH(306,'Output Utente'!$Q$2:$Q$492,0)),"")</f>
        <v>1</v>
      </c>
      <c r="K309" s="42">
        <f>IFERROR(INDEX('Output Utente'!$H$2:$H$492,MATCH(306,'Output Utente'!$Q$2:$Q$492,0)),"")</f>
        <v>2</v>
      </c>
      <c r="L309" s="5" t="str">
        <f>IFERROR(INDEX('Output Utente'!$E$2:$E$492,MATCH(306,'Output Utente'!$Q$2:$Q$492,0)),"")</f>
        <v>NO</v>
      </c>
      <c r="M309" s="5" t="str">
        <f>IFERROR(INDEX('Output Utente'!$U$2:$U$492,MATCH(306,'Output Utente'!$Q$2:$Q$492,0)),"")</f>
        <v>OK</v>
      </c>
      <c r="N309" s="5" t="str">
        <f>IFERROR(INDEX('Output Utente'!$AE$2:$AE$492,MATCH(306,'Output Utente'!$Q$2:$Q$492,0)),"")</f>
        <v>🔴 Non aspettare</v>
      </c>
    </row>
    <row r="310" spans="1:14" ht="15" customHeight="1" x14ac:dyDescent="0.25">
      <c r="A310" s="41">
        <v>307</v>
      </c>
      <c r="B310" s="5">
        <f>IFERROR(INDEX('Output Utente'!$A$2:$A$492,MATCH(307,'Output Utente'!$Q$2:$Q$492,0)),"")</f>
        <v>5307</v>
      </c>
      <c r="C310" s="5" t="str">
        <f>IFERROR(INDEX('Output Utente'!$B$2:$B$492,MATCH(307,'Output Utente'!$Q$2:$Q$492,0)),"")</f>
        <v>D</v>
      </c>
      <c r="D310" s="5" t="str">
        <f>IFERROR(INDEX('Output Utente'!$C$2:$C$492,MATCH(307,'Output Utente'!$Q$2:$Q$492,0)),"")</f>
        <v>Valenti</v>
      </c>
      <c r="E310" s="5" t="str">
        <f>IFERROR(INDEX('Input Giocatori 2026_27'!$D$3:$D$493,MATCH($B310,'Input Giocatori 2026_27'!$A$3:$A$493,0)),"")</f>
        <v>Parma</v>
      </c>
      <c r="F310" s="42">
        <f>IFERROR(INDEX('Output Utente'!$N$2:$N$492,MATCH(307,'Output Utente'!$Q$2:$Q$492,0)),"")</f>
        <v>4</v>
      </c>
      <c r="G310" s="42">
        <f>IFERROR(INDEX('Output Utente'!$O$2:$O$492,MATCH(307,'Output Utente'!$Q$2:$Q$492,0)),"")</f>
        <v>10</v>
      </c>
      <c r="H310" s="5" t="str">
        <f>IFERROR(INDEX('Output Utente'!$P$2:$P$492,MATCH(307,'Output Utente'!$Q$2:$Q$492,0)),"")</f>
        <v>Nella Media</v>
      </c>
      <c r="I310" s="42">
        <f>IFERROR(INDEX('Output Utente'!$F$2:$F$492,MATCH(307,'Output Utente'!$Q$2:$Q$492,0)),"")</f>
        <v>2</v>
      </c>
      <c r="J310" s="42">
        <f>IFERROR(INDEX('Output Utente'!$G$2:$G$492,MATCH(307,'Output Utente'!$Q$2:$Q$492,0)),"")</f>
        <v>1</v>
      </c>
      <c r="K310" s="42">
        <f>IFERROR(INDEX('Output Utente'!$H$2:$H$492,MATCH(307,'Output Utente'!$Q$2:$Q$492,0)),"")</f>
        <v>2</v>
      </c>
      <c r="L310" s="5" t="str">
        <f>IFERROR(INDEX('Output Utente'!$E$2:$E$492,MATCH(307,'Output Utente'!$Q$2:$Q$492,0)),"")</f>
        <v>NO</v>
      </c>
      <c r="M310" s="5" t="str">
        <f>IFERROR(INDEX('Output Utente'!$U$2:$U$492,MATCH(307,'Output Utente'!$Q$2:$Q$492,0)),"")</f>
        <v>OK</v>
      </c>
      <c r="N310" s="5" t="str">
        <f>IFERROR(INDEX('Output Utente'!$AE$2:$AE$492,MATCH(307,'Output Utente'!$Q$2:$Q$492,0)),"")</f>
        <v>🔴 Non aspettare</v>
      </c>
    </row>
    <row r="311" spans="1:14" ht="15" customHeight="1" x14ac:dyDescent="0.25">
      <c r="A311" s="41">
        <v>308</v>
      </c>
      <c r="B311" s="5">
        <f>IFERROR(INDEX('Output Utente'!$A$2:$A$492,MATCH(308,'Output Utente'!$Q$2:$Q$492,0)),"")</f>
        <v>6631</v>
      </c>
      <c r="C311" s="5" t="str">
        <f>IFERROR(INDEX('Output Utente'!$B$2:$B$492,MATCH(308,'Output Utente'!$Q$2:$Q$492,0)),"")</f>
        <v>D</v>
      </c>
      <c r="D311" s="5" t="str">
        <f>IFERROR(INDEX('Output Utente'!$C$2:$C$492,MATCH(308,'Output Utente'!$Q$2:$Q$492,0)),"")</f>
        <v>Ghilardi</v>
      </c>
      <c r="E311" s="5" t="str">
        <f>IFERROR(INDEX('Input Giocatori 2026_27'!$D$3:$D$493,MATCH($B311,'Input Giocatori 2026_27'!$A$3:$A$493,0)),"")</f>
        <v>Roma</v>
      </c>
      <c r="F311" s="42">
        <f>IFERROR(INDEX('Output Utente'!$N$2:$N$492,MATCH(308,'Output Utente'!$Q$2:$Q$492,0)),"")</f>
        <v>4</v>
      </c>
      <c r="G311" s="42">
        <f>IFERROR(INDEX('Output Utente'!$O$2:$O$492,MATCH(308,'Output Utente'!$Q$2:$Q$492,0)),"")</f>
        <v>10</v>
      </c>
      <c r="H311" s="5" t="str">
        <f>IFERROR(INDEX('Output Utente'!$P$2:$P$492,MATCH(308,'Output Utente'!$Q$2:$Q$492,0)),"")</f>
        <v>Nella Media</v>
      </c>
      <c r="I311" s="42">
        <f>IFERROR(INDEX('Output Utente'!$F$2:$F$492,MATCH(308,'Output Utente'!$Q$2:$Q$492,0)),"")</f>
        <v>2</v>
      </c>
      <c r="J311" s="42">
        <f>IFERROR(INDEX('Output Utente'!$G$2:$G$492,MATCH(308,'Output Utente'!$Q$2:$Q$492,0)),"")</f>
        <v>1</v>
      </c>
      <c r="K311" s="42">
        <f>IFERROR(INDEX('Output Utente'!$H$2:$H$492,MATCH(308,'Output Utente'!$Q$2:$Q$492,0)),"")</f>
        <v>2</v>
      </c>
      <c r="L311" s="5" t="str">
        <f>IFERROR(INDEX('Output Utente'!$E$2:$E$492,MATCH(308,'Output Utente'!$Q$2:$Q$492,0)),"")</f>
        <v>NO</v>
      </c>
      <c r="M311" s="5" t="str">
        <f>IFERROR(INDEX('Output Utente'!$U$2:$U$492,MATCH(308,'Output Utente'!$Q$2:$Q$492,0)),"")</f>
        <v>OK</v>
      </c>
      <c r="N311" s="5" t="str">
        <f>IFERROR(INDEX('Output Utente'!$AE$2:$AE$492,MATCH(308,'Output Utente'!$Q$2:$Q$492,0)),"")</f>
        <v>🔴 Non aspettare</v>
      </c>
    </row>
    <row r="312" spans="1:14" ht="15" customHeight="1" x14ac:dyDescent="0.25">
      <c r="A312" s="41">
        <v>309</v>
      </c>
      <c r="B312" s="5">
        <f>IFERROR(INDEX('Output Utente'!$A$2:$A$492,MATCH(309,'Output Utente'!$Q$2:$Q$492,0)),"")</f>
        <v>4374</v>
      </c>
      <c r="C312" s="5" t="str">
        <f>IFERROR(INDEX('Output Utente'!$B$2:$B$492,MATCH(309,'Output Utente'!$Q$2:$Q$492,0)),"")</f>
        <v>D</v>
      </c>
      <c r="D312" s="5" t="str">
        <f>IFERROR(INDEX('Output Utente'!$C$2:$C$492,MATCH(309,'Output Utente'!$Q$2:$Q$492,0)),"")</f>
        <v>Walukiewicz</v>
      </c>
      <c r="E312" s="5" t="str">
        <f>IFERROR(INDEX('Input Giocatori 2026_27'!$D$3:$D$493,MATCH($B312,'Input Giocatori 2026_27'!$A$3:$A$493,0)),"")</f>
        <v>Sassuolo</v>
      </c>
      <c r="F312" s="42">
        <f>IFERROR(INDEX('Output Utente'!$N$2:$N$492,MATCH(309,'Output Utente'!$Q$2:$Q$492,0)),"")</f>
        <v>4</v>
      </c>
      <c r="G312" s="42">
        <f>IFERROR(INDEX('Output Utente'!$O$2:$O$492,MATCH(309,'Output Utente'!$Q$2:$Q$492,0)),"")</f>
        <v>10</v>
      </c>
      <c r="H312" s="5" t="str">
        <f>IFERROR(INDEX('Output Utente'!$P$2:$P$492,MATCH(309,'Output Utente'!$Q$2:$Q$492,0)),"")</f>
        <v>Nella Media</v>
      </c>
      <c r="I312" s="42">
        <f>IFERROR(INDEX('Output Utente'!$F$2:$F$492,MATCH(309,'Output Utente'!$Q$2:$Q$492,0)),"")</f>
        <v>2</v>
      </c>
      <c r="J312" s="42">
        <f>IFERROR(INDEX('Output Utente'!$G$2:$G$492,MATCH(309,'Output Utente'!$Q$2:$Q$492,0)),"")</f>
        <v>1</v>
      </c>
      <c r="K312" s="42">
        <f>IFERROR(INDEX('Output Utente'!$H$2:$H$492,MATCH(309,'Output Utente'!$Q$2:$Q$492,0)),"")</f>
        <v>2</v>
      </c>
      <c r="L312" s="5" t="str">
        <f>IFERROR(INDEX('Output Utente'!$E$2:$E$492,MATCH(309,'Output Utente'!$Q$2:$Q$492,0)),"")</f>
        <v>NO</v>
      </c>
      <c r="M312" s="5" t="str">
        <f>IFERROR(INDEX('Output Utente'!$U$2:$U$492,MATCH(309,'Output Utente'!$Q$2:$Q$492,0)),"")</f>
        <v>OK</v>
      </c>
      <c r="N312" s="5" t="str">
        <f>IFERROR(INDEX('Output Utente'!$AE$2:$AE$492,MATCH(309,'Output Utente'!$Q$2:$Q$492,0)),"")</f>
        <v>🔴 Non aspettare</v>
      </c>
    </row>
    <row r="313" spans="1:14" ht="15" customHeight="1" x14ac:dyDescent="0.25">
      <c r="A313" s="41">
        <v>310</v>
      </c>
      <c r="B313" s="5">
        <f>IFERROR(INDEX('Output Utente'!$A$2:$A$492,MATCH(310,'Output Utente'!$Q$2:$Q$492,0)),"")</f>
        <v>7526</v>
      </c>
      <c r="C313" s="5" t="str">
        <f>IFERROR(INDEX('Output Utente'!$B$2:$B$492,MATCH(310,'Output Utente'!$Q$2:$Q$492,0)),"")</f>
        <v>D</v>
      </c>
      <c r="D313" s="5" t="str">
        <f>IFERROR(INDEX('Output Utente'!$C$2:$C$492,MATCH(310,'Output Utente'!$Q$2:$Q$492,0)),"")</f>
        <v>Comert</v>
      </c>
      <c r="E313" s="5" t="str">
        <f>IFERROR(INDEX('Input Giocatori 2026_27'!$D$3:$D$493,MATCH($B313,'Input Giocatori 2026_27'!$A$3:$A$493,0)),"")</f>
        <v>Torino</v>
      </c>
      <c r="F313" s="42">
        <f>IFERROR(INDEX('Output Utente'!$N$2:$N$492,MATCH(310,'Output Utente'!$Q$2:$Q$492,0)),"")</f>
        <v>4</v>
      </c>
      <c r="G313" s="42">
        <f>IFERROR(INDEX('Output Utente'!$O$2:$O$492,MATCH(310,'Output Utente'!$Q$2:$Q$492,0)),"")</f>
        <v>10</v>
      </c>
      <c r="H313" s="5" t="str">
        <f>IFERROR(INDEX('Output Utente'!$P$2:$P$492,MATCH(310,'Output Utente'!$Q$2:$Q$492,0)),"")</f>
        <v>Nella Media</v>
      </c>
      <c r="I313" s="42">
        <f>IFERROR(INDEX('Output Utente'!$F$2:$F$492,MATCH(310,'Output Utente'!$Q$2:$Q$492,0)),"")</f>
        <v>2</v>
      </c>
      <c r="J313" s="42">
        <f>IFERROR(INDEX('Output Utente'!$G$2:$G$492,MATCH(310,'Output Utente'!$Q$2:$Q$492,0)),"")</f>
        <v>1</v>
      </c>
      <c r="K313" s="42">
        <f>IFERROR(INDEX('Output Utente'!$H$2:$H$492,MATCH(310,'Output Utente'!$Q$2:$Q$492,0)),"")</f>
        <v>2</v>
      </c>
      <c r="L313" s="5" t="str">
        <f>IFERROR(INDEX('Output Utente'!$E$2:$E$492,MATCH(310,'Output Utente'!$Q$2:$Q$492,0)),"")</f>
        <v>NO</v>
      </c>
      <c r="M313" s="5" t="str">
        <f>IFERROR(INDEX('Output Utente'!$U$2:$U$492,MATCH(310,'Output Utente'!$Q$2:$Q$492,0)),"")</f>
        <v>OK</v>
      </c>
      <c r="N313" s="5" t="str">
        <f>IFERROR(INDEX('Output Utente'!$AE$2:$AE$492,MATCH(310,'Output Utente'!$Q$2:$Q$492,0)),"")</f>
        <v>🔴 Non aspettare</v>
      </c>
    </row>
    <row r="314" spans="1:14" ht="15" customHeight="1" x14ac:dyDescent="0.25">
      <c r="A314" s="41">
        <v>311</v>
      </c>
      <c r="B314" s="5">
        <f>IFERROR(INDEX('Output Utente'!$A$2:$A$492,MATCH(311,'Output Utente'!$Q$2:$Q$492,0)),"")</f>
        <v>5820</v>
      </c>
      <c r="C314" s="5" t="str">
        <f>IFERROR(INDEX('Output Utente'!$B$2:$B$492,MATCH(311,'Output Utente'!$Q$2:$Q$492,0)),"")</f>
        <v>D</v>
      </c>
      <c r="D314" s="5" t="str">
        <f>IFERROR(INDEX('Output Utente'!$C$2:$C$492,MATCH(311,'Output Utente'!$Q$2:$Q$492,0)),"")</f>
        <v>Bertola</v>
      </c>
      <c r="E314" s="5" t="str">
        <f>IFERROR(INDEX('Input Giocatori 2026_27'!$D$3:$D$493,MATCH($B314,'Input Giocatori 2026_27'!$A$3:$A$493,0)),"")</f>
        <v>Udinese</v>
      </c>
      <c r="F314" s="42">
        <f>IFERROR(INDEX('Output Utente'!$N$2:$N$492,MATCH(311,'Output Utente'!$Q$2:$Q$492,0)),"")</f>
        <v>4</v>
      </c>
      <c r="G314" s="42">
        <f>IFERROR(INDEX('Output Utente'!$O$2:$O$492,MATCH(311,'Output Utente'!$Q$2:$Q$492,0)),"")</f>
        <v>10</v>
      </c>
      <c r="H314" s="5" t="str">
        <f>IFERROR(INDEX('Output Utente'!$P$2:$P$492,MATCH(311,'Output Utente'!$Q$2:$Q$492,0)),"")</f>
        <v>Nella Media</v>
      </c>
      <c r="I314" s="42">
        <f>IFERROR(INDEX('Output Utente'!$F$2:$F$492,MATCH(311,'Output Utente'!$Q$2:$Q$492,0)),"")</f>
        <v>2</v>
      </c>
      <c r="J314" s="42">
        <f>IFERROR(INDEX('Output Utente'!$G$2:$G$492,MATCH(311,'Output Utente'!$Q$2:$Q$492,0)),"")</f>
        <v>1</v>
      </c>
      <c r="K314" s="42">
        <f>IFERROR(INDEX('Output Utente'!$H$2:$H$492,MATCH(311,'Output Utente'!$Q$2:$Q$492,0)),"")</f>
        <v>2</v>
      </c>
      <c r="L314" s="5" t="str">
        <f>IFERROR(INDEX('Output Utente'!$E$2:$E$492,MATCH(311,'Output Utente'!$Q$2:$Q$492,0)),"")</f>
        <v>NO</v>
      </c>
      <c r="M314" s="5" t="str">
        <f>IFERROR(INDEX('Output Utente'!$U$2:$U$492,MATCH(311,'Output Utente'!$Q$2:$Q$492,0)),"")</f>
        <v>OK</v>
      </c>
      <c r="N314" s="5" t="str">
        <f>IFERROR(INDEX('Output Utente'!$AE$2:$AE$492,MATCH(311,'Output Utente'!$Q$2:$Q$492,0)),"")</f>
        <v>🔴 Non aspettare</v>
      </c>
    </row>
    <row r="315" spans="1:14" ht="15" customHeight="1" x14ac:dyDescent="0.25">
      <c r="A315" s="41">
        <v>312</v>
      </c>
      <c r="B315" s="5">
        <f>IFERROR(INDEX('Output Utente'!$A$2:$A$492,MATCH(312,'Output Utente'!$Q$2:$Q$492,0)),"")</f>
        <v>5527</v>
      </c>
      <c r="C315" s="5" t="str">
        <f>IFERROR(INDEX('Output Utente'!$B$2:$B$492,MATCH(312,'Output Utente'!$Q$2:$Q$492,0)),"")</f>
        <v>D</v>
      </c>
      <c r="D315" s="5" t="str">
        <f>IFERROR(INDEX('Output Utente'!$C$2:$C$492,MATCH(312,'Output Utente'!$Q$2:$Q$492,0)),"")</f>
        <v>Zanoli</v>
      </c>
      <c r="E315" s="5" t="str">
        <f>IFERROR(INDEX('Input Giocatori 2026_27'!$D$3:$D$493,MATCH($B315,'Input Giocatori 2026_27'!$A$3:$A$493,0)),"")</f>
        <v>Udinese</v>
      </c>
      <c r="F315" s="42">
        <f>IFERROR(INDEX('Output Utente'!$N$2:$N$492,MATCH(312,'Output Utente'!$Q$2:$Q$492,0)),"")</f>
        <v>4</v>
      </c>
      <c r="G315" s="42">
        <f>IFERROR(INDEX('Output Utente'!$O$2:$O$492,MATCH(312,'Output Utente'!$Q$2:$Q$492,0)),"")</f>
        <v>10</v>
      </c>
      <c r="H315" s="5" t="str">
        <f>IFERROR(INDEX('Output Utente'!$P$2:$P$492,MATCH(312,'Output Utente'!$Q$2:$Q$492,0)),"")</f>
        <v>Nella Media</v>
      </c>
      <c r="I315" s="42">
        <f>IFERROR(INDEX('Output Utente'!$F$2:$F$492,MATCH(312,'Output Utente'!$Q$2:$Q$492,0)),"")</f>
        <v>2</v>
      </c>
      <c r="J315" s="42">
        <f>IFERROR(INDEX('Output Utente'!$G$2:$G$492,MATCH(312,'Output Utente'!$Q$2:$Q$492,0)),"")</f>
        <v>1</v>
      </c>
      <c r="K315" s="42">
        <f>IFERROR(INDEX('Output Utente'!$H$2:$H$492,MATCH(312,'Output Utente'!$Q$2:$Q$492,0)),"")</f>
        <v>2</v>
      </c>
      <c r="L315" s="5" t="str">
        <f>IFERROR(INDEX('Output Utente'!$E$2:$E$492,MATCH(312,'Output Utente'!$Q$2:$Q$492,0)),"")</f>
        <v>NO</v>
      </c>
      <c r="M315" s="5" t="str">
        <f>IFERROR(INDEX('Output Utente'!$U$2:$U$492,MATCH(312,'Output Utente'!$Q$2:$Q$492,0)),"")</f>
        <v>OK</v>
      </c>
      <c r="N315" s="5" t="str">
        <f>IFERROR(INDEX('Output Utente'!$AE$2:$AE$492,MATCH(312,'Output Utente'!$Q$2:$Q$492,0)),"")</f>
        <v>🔴 Non aspettare</v>
      </c>
    </row>
    <row r="316" spans="1:14" ht="15" customHeight="1" x14ac:dyDescent="0.25">
      <c r="A316" s="41">
        <v>313</v>
      </c>
      <c r="B316" s="5">
        <f>IFERROR(INDEX('Output Utente'!$A$2:$A$492,MATCH(313,'Output Utente'!$Q$2:$Q$492,0)),"")</f>
        <v>7538</v>
      </c>
      <c r="C316" s="5" t="str">
        <f>IFERROR(INDEX('Output Utente'!$B$2:$B$492,MATCH(313,'Output Utente'!$Q$2:$Q$492,0)),"")</f>
        <v>D</v>
      </c>
      <c r="D316" s="5" t="str">
        <f>IFERROR(INDEX('Output Utente'!$C$2:$C$492,MATCH(313,'Output Utente'!$Q$2:$Q$492,0)),"")</f>
        <v>Halhal</v>
      </c>
      <c r="E316" s="5" t="str">
        <f>IFERROR(INDEX('Input Giocatori 2026_27'!$D$3:$D$493,MATCH($B316,'Input Giocatori 2026_27'!$A$3:$A$493,0)),"")</f>
        <v>Venezia</v>
      </c>
      <c r="F316" s="42">
        <f>IFERROR(INDEX('Output Utente'!$N$2:$N$492,MATCH(313,'Output Utente'!$Q$2:$Q$492,0)),"")</f>
        <v>4</v>
      </c>
      <c r="G316" s="42">
        <f>IFERROR(INDEX('Output Utente'!$O$2:$O$492,MATCH(313,'Output Utente'!$Q$2:$Q$492,0)),"")</f>
        <v>10</v>
      </c>
      <c r="H316" s="5" t="str">
        <f>IFERROR(INDEX('Output Utente'!$P$2:$P$492,MATCH(313,'Output Utente'!$Q$2:$Q$492,0)),"")</f>
        <v>Nella Media</v>
      </c>
      <c r="I316" s="42">
        <f>IFERROR(INDEX('Output Utente'!$F$2:$F$492,MATCH(313,'Output Utente'!$Q$2:$Q$492,0)),"")</f>
        <v>2</v>
      </c>
      <c r="J316" s="42">
        <f>IFERROR(INDEX('Output Utente'!$G$2:$G$492,MATCH(313,'Output Utente'!$Q$2:$Q$492,0)),"")</f>
        <v>1</v>
      </c>
      <c r="K316" s="42">
        <f>IFERROR(INDEX('Output Utente'!$H$2:$H$492,MATCH(313,'Output Utente'!$Q$2:$Q$492,0)),"")</f>
        <v>2</v>
      </c>
      <c r="L316" s="5" t="str">
        <f>IFERROR(INDEX('Output Utente'!$E$2:$E$492,MATCH(313,'Output Utente'!$Q$2:$Q$492,0)),"")</f>
        <v>NO</v>
      </c>
      <c r="M316" s="5" t="str">
        <f>IFERROR(INDEX('Output Utente'!$U$2:$U$492,MATCH(313,'Output Utente'!$Q$2:$Q$492,0)),"")</f>
        <v>OK</v>
      </c>
      <c r="N316" s="5" t="str">
        <f>IFERROR(INDEX('Output Utente'!$AE$2:$AE$492,MATCH(313,'Output Utente'!$Q$2:$Q$492,0)),"")</f>
        <v>🔴 Non aspettare</v>
      </c>
    </row>
    <row r="317" spans="1:14" ht="15" customHeight="1" x14ac:dyDescent="0.25">
      <c r="A317" s="41">
        <v>314</v>
      </c>
      <c r="B317" s="5">
        <f>IFERROR(INDEX('Output Utente'!$A$2:$A$492,MATCH(314,'Output Utente'!$Q$2:$Q$492,0)),"")</f>
        <v>7268</v>
      </c>
      <c r="C317" s="5" t="str">
        <f>IFERROR(INDEX('Output Utente'!$B$2:$B$492,MATCH(314,'Output Utente'!$Q$2:$Q$492,0)),"")</f>
        <v>D</v>
      </c>
      <c r="D317" s="5" t="str">
        <f>IFERROR(INDEX('Output Utente'!$C$2:$C$492,MATCH(314,'Output Utente'!$Q$2:$Q$492,0)),"")</f>
        <v>Rodriguez Ju.</v>
      </c>
      <c r="E317" s="5" t="str">
        <f>IFERROR(INDEX('Input Giocatori 2026_27'!$D$3:$D$493,MATCH($B317,'Input Giocatori 2026_27'!$A$3:$A$493,0)),"")</f>
        <v>Cagliari</v>
      </c>
      <c r="F317" s="42">
        <f>IFERROR(INDEX('Output Utente'!$N$2:$N$492,MATCH(314,'Output Utente'!$Q$2:$Q$492,0)),"")</f>
        <v>3</v>
      </c>
      <c r="G317" s="42">
        <f>IFERROR(INDEX('Output Utente'!$O$2:$O$492,MATCH(314,'Output Utente'!$Q$2:$Q$492,0)),"")</f>
        <v>10</v>
      </c>
      <c r="H317" s="5" t="str">
        <f>IFERROR(INDEX('Output Utente'!$P$2:$P$492,MATCH(314,'Output Utente'!$Q$2:$Q$492,0)),"")</f>
        <v>Nella Media</v>
      </c>
      <c r="I317" s="42">
        <f>IFERROR(INDEX('Output Utente'!$F$2:$F$492,MATCH(314,'Output Utente'!$Q$2:$Q$492,0)),"")</f>
        <v>2</v>
      </c>
      <c r="J317" s="42">
        <f>IFERROR(INDEX('Output Utente'!$G$2:$G$492,MATCH(314,'Output Utente'!$Q$2:$Q$492,0)),"")</f>
        <v>1</v>
      </c>
      <c r="K317" s="42">
        <f>IFERROR(INDEX('Output Utente'!$H$2:$H$492,MATCH(314,'Output Utente'!$Q$2:$Q$492,0)),"")</f>
        <v>2</v>
      </c>
      <c r="L317" s="5" t="str">
        <f>IFERROR(INDEX('Output Utente'!$E$2:$E$492,MATCH(314,'Output Utente'!$Q$2:$Q$492,0)),"")</f>
        <v>NO</v>
      </c>
      <c r="M317" s="5" t="str">
        <f>IFERROR(INDEX('Output Utente'!$U$2:$U$492,MATCH(314,'Output Utente'!$Q$2:$Q$492,0)),"")</f>
        <v>OK</v>
      </c>
      <c r="N317" s="5" t="str">
        <f>IFERROR(INDEX('Output Utente'!$AE$2:$AE$492,MATCH(314,'Output Utente'!$Q$2:$Q$492,0)),"")</f>
        <v>🔴 Non aspettare</v>
      </c>
    </row>
    <row r="318" spans="1:14" ht="15" customHeight="1" x14ac:dyDescent="0.25">
      <c r="A318" s="41">
        <v>315</v>
      </c>
      <c r="B318" s="5">
        <f>IFERROR(INDEX('Output Utente'!$A$2:$A$492,MATCH(315,'Output Utente'!$Q$2:$Q$492,0)),"")</f>
        <v>7012</v>
      </c>
      <c r="C318" s="5" t="str">
        <f>IFERROR(INDEX('Output Utente'!$B$2:$B$492,MATCH(315,'Output Utente'!$Q$2:$Q$492,0)),"")</f>
        <v>D</v>
      </c>
      <c r="D318" s="5" t="str">
        <f>IFERROR(INDEX('Output Utente'!$C$2:$C$492,MATCH(315,'Output Utente'!$Q$2:$Q$492,0)),"")</f>
        <v>Provstgaard</v>
      </c>
      <c r="E318" s="5" t="str">
        <f>IFERROR(INDEX('Input Giocatori 2026_27'!$D$3:$D$493,MATCH($B318,'Input Giocatori 2026_27'!$A$3:$A$493,0)),"")</f>
        <v>Lazio</v>
      </c>
      <c r="F318" s="42">
        <f>IFERROR(INDEX('Output Utente'!$N$2:$N$492,MATCH(315,'Output Utente'!$Q$2:$Q$492,0)),"")</f>
        <v>3</v>
      </c>
      <c r="G318" s="42">
        <f>IFERROR(INDEX('Output Utente'!$O$2:$O$492,MATCH(315,'Output Utente'!$Q$2:$Q$492,0)),"")</f>
        <v>10</v>
      </c>
      <c r="H318" s="5" t="str">
        <f>IFERROR(INDEX('Output Utente'!$P$2:$P$492,MATCH(315,'Output Utente'!$Q$2:$Q$492,0)),"")</f>
        <v>Nella Media</v>
      </c>
      <c r="I318" s="42">
        <f>IFERROR(INDEX('Output Utente'!$F$2:$F$492,MATCH(315,'Output Utente'!$Q$2:$Q$492,0)),"")</f>
        <v>2</v>
      </c>
      <c r="J318" s="42">
        <f>IFERROR(INDEX('Output Utente'!$G$2:$G$492,MATCH(315,'Output Utente'!$Q$2:$Q$492,0)),"")</f>
        <v>1</v>
      </c>
      <c r="K318" s="42">
        <f>IFERROR(INDEX('Output Utente'!$H$2:$H$492,MATCH(315,'Output Utente'!$Q$2:$Q$492,0)),"")</f>
        <v>2</v>
      </c>
      <c r="L318" s="5" t="str">
        <f>IFERROR(INDEX('Output Utente'!$E$2:$E$492,MATCH(315,'Output Utente'!$Q$2:$Q$492,0)),"")</f>
        <v>NO</v>
      </c>
      <c r="M318" s="5" t="str">
        <f>IFERROR(INDEX('Output Utente'!$U$2:$U$492,MATCH(315,'Output Utente'!$Q$2:$Q$492,0)),"")</f>
        <v>OK</v>
      </c>
      <c r="N318" s="5" t="str">
        <f>IFERROR(INDEX('Output Utente'!$AE$2:$AE$492,MATCH(315,'Output Utente'!$Q$2:$Q$492,0)),"")</f>
        <v>🔴 Non aspettare</v>
      </c>
    </row>
    <row r="319" spans="1:14" ht="15" customHeight="1" x14ac:dyDescent="0.25">
      <c r="A319" s="41">
        <v>316</v>
      </c>
      <c r="B319" s="5">
        <f>IFERROR(INDEX('Output Utente'!$A$2:$A$492,MATCH(316,'Output Utente'!$Q$2:$Q$492,0)),"")</f>
        <v>7255</v>
      </c>
      <c r="C319" s="5" t="str">
        <f>IFERROR(INDEX('Output Utente'!$B$2:$B$492,MATCH(316,'Output Utente'!$Q$2:$Q$492,0)),"")</f>
        <v>D</v>
      </c>
      <c r="D319" s="5" t="str">
        <f>IFERROR(INDEX('Output Utente'!$C$2:$C$492,MATCH(316,'Output Utente'!$Q$2:$Q$492,0)),"")</f>
        <v>Britschgi</v>
      </c>
      <c r="E319" s="5" t="str">
        <f>IFERROR(INDEX('Input Giocatori 2026_27'!$D$3:$D$493,MATCH($B319,'Input Giocatori 2026_27'!$A$3:$A$493,0)),"")</f>
        <v>Parma</v>
      </c>
      <c r="F319" s="42">
        <f>IFERROR(INDEX('Output Utente'!$N$2:$N$492,MATCH(316,'Output Utente'!$Q$2:$Q$492,0)),"")</f>
        <v>3</v>
      </c>
      <c r="G319" s="42">
        <f>IFERROR(INDEX('Output Utente'!$O$2:$O$492,MATCH(316,'Output Utente'!$Q$2:$Q$492,0)),"")</f>
        <v>10</v>
      </c>
      <c r="H319" s="5" t="str">
        <f>IFERROR(INDEX('Output Utente'!$P$2:$P$492,MATCH(316,'Output Utente'!$Q$2:$Q$492,0)),"")</f>
        <v>Nella Media</v>
      </c>
      <c r="I319" s="42">
        <f>IFERROR(INDEX('Output Utente'!$F$2:$F$492,MATCH(316,'Output Utente'!$Q$2:$Q$492,0)),"")</f>
        <v>2</v>
      </c>
      <c r="J319" s="42">
        <f>IFERROR(INDEX('Output Utente'!$G$2:$G$492,MATCH(316,'Output Utente'!$Q$2:$Q$492,0)),"")</f>
        <v>1</v>
      </c>
      <c r="K319" s="42">
        <f>IFERROR(INDEX('Output Utente'!$H$2:$H$492,MATCH(316,'Output Utente'!$Q$2:$Q$492,0)),"")</f>
        <v>2</v>
      </c>
      <c r="L319" s="5" t="str">
        <f>IFERROR(INDEX('Output Utente'!$E$2:$E$492,MATCH(316,'Output Utente'!$Q$2:$Q$492,0)),"")</f>
        <v>NO</v>
      </c>
      <c r="M319" s="5" t="str">
        <f>IFERROR(INDEX('Output Utente'!$U$2:$U$492,MATCH(316,'Output Utente'!$Q$2:$Q$492,0)),"")</f>
        <v>OK</v>
      </c>
      <c r="N319" s="5" t="str">
        <f>IFERROR(INDEX('Output Utente'!$AE$2:$AE$492,MATCH(316,'Output Utente'!$Q$2:$Q$492,0)),"")</f>
        <v>🔴 Non aspettare</v>
      </c>
    </row>
    <row r="320" spans="1:14" ht="15" customHeight="1" x14ac:dyDescent="0.25">
      <c r="A320" s="41">
        <v>317</v>
      </c>
      <c r="B320" s="5">
        <f>IFERROR(INDEX('Output Utente'!$A$2:$A$492,MATCH(317,'Output Utente'!$Q$2:$Q$492,0)),"")</f>
        <v>6640</v>
      </c>
      <c r="C320" s="5" t="str">
        <f>IFERROR(INDEX('Output Utente'!$B$2:$B$492,MATCH(317,'Output Utente'!$Q$2:$Q$492,0)),"")</f>
        <v>C</v>
      </c>
      <c r="D320" s="5" t="str">
        <f>IFERROR(INDEX('Output Utente'!$C$2:$C$492,MATCH(317,'Output Utente'!$Q$2:$Q$492,0)),"")</f>
        <v>Felici</v>
      </c>
      <c r="E320" s="5" t="str">
        <f>IFERROR(INDEX('Input Giocatori 2026_27'!$D$3:$D$493,MATCH($B320,'Input Giocatori 2026_27'!$A$3:$A$493,0)),"")</f>
        <v>Cagliari</v>
      </c>
      <c r="F320" s="42">
        <f>IFERROR(INDEX('Output Utente'!$N$2:$N$492,MATCH(317,'Output Utente'!$Q$2:$Q$492,0)),"")</f>
        <v>5</v>
      </c>
      <c r="G320" s="42">
        <f>IFERROR(INDEX('Output Utente'!$O$2:$O$492,MATCH(317,'Output Utente'!$Q$2:$Q$492,0)),"")</f>
        <v>10</v>
      </c>
      <c r="H320" s="5" t="str">
        <f>IFERROR(INDEX('Output Utente'!$P$2:$P$492,MATCH(317,'Output Utente'!$Q$2:$Q$492,0)),"")</f>
        <v>Scommessa/Riserva</v>
      </c>
      <c r="I320" s="42">
        <f>IFERROR(INDEX('Output Utente'!$F$2:$F$492,MATCH(317,'Output Utente'!$Q$2:$Q$492,0)),"")</f>
        <v>1</v>
      </c>
      <c r="J320" s="42">
        <f>IFERROR(INDEX('Output Utente'!$G$2:$G$492,MATCH(317,'Output Utente'!$Q$2:$Q$492,0)),"")</f>
        <v>1</v>
      </c>
      <c r="K320" s="42">
        <f>IFERROR(INDEX('Output Utente'!$H$2:$H$492,MATCH(317,'Output Utente'!$Q$2:$Q$492,0)),"")</f>
        <v>1</v>
      </c>
      <c r="L320" s="5" t="str">
        <f>IFERROR(INDEX('Output Utente'!$E$2:$E$492,MATCH(317,'Output Utente'!$Q$2:$Q$492,0)),"")</f>
        <v>NO</v>
      </c>
      <c r="M320" s="5" t="str">
        <f>IFERROR(INDEX('Output Utente'!$U$2:$U$492,MATCH(317,'Output Utente'!$Q$2:$Q$492,0)),"")</f>
        <v>OK</v>
      </c>
      <c r="N320" s="5" t="str">
        <f>IFERROR(INDEX('Output Utente'!$AE$2:$AE$492,MATCH(317,'Output Utente'!$Q$2:$Q$492,0)),"")</f>
        <v>🔴 Non aspettare</v>
      </c>
    </row>
    <row r="321" spans="1:14" ht="15" customHeight="1" x14ac:dyDescent="0.25">
      <c r="A321" s="41">
        <v>318</v>
      </c>
      <c r="B321" s="5">
        <f>IFERROR(INDEX('Output Utente'!$A$2:$A$492,MATCH(318,'Output Utente'!$Q$2:$Q$492,0)),"")</f>
        <v>7127</v>
      </c>
      <c r="C321" s="5" t="str">
        <f>IFERROR(INDEX('Output Utente'!$B$2:$B$492,MATCH(318,'Output Utente'!$Q$2:$Q$492,0)),"")</f>
        <v>C</v>
      </c>
      <c r="D321" s="5" t="str">
        <f>IFERROR(INDEX('Output Utente'!$C$2:$C$492,MATCH(318,'Output Utente'!$Q$2:$Q$492,0)),"")</f>
        <v>Addai</v>
      </c>
      <c r="E321" s="5" t="str">
        <f>IFERROR(INDEX('Input Giocatori 2026_27'!$D$3:$D$493,MATCH($B321,'Input Giocatori 2026_27'!$A$3:$A$493,0)),"")</f>
        <v>Como</v>
      </c>
      <c r="F321" s="42">
        <f>IFERROR(INDEX('Output Utente'!$N$2:$N$492,MATCH(318,'Output Utente'!$Q$2:$Q$492,0)),"")</f>
        <v>5</v>
      </c>
      <c r="G321" s="42">
        <f>IFERROR(INDEX('Output Utente'!$O$2:$O$492,MATCH(318,'Output Utente'!$Q$2:$Q$492,0)),"")</f>
        <v>10</v>
      </c>
      <c r="H321" s="5" t="str">
        <f>IFERROR(INDEX('Output Utente'!$P$2:$P$492,MATCH(318,'Output Utente'!$Q$2:$Q$492,0)),"")</f>
        <v>Scommessa/Riserva</v>
      </c>
      <c r="I321" s="42">
        <f>IFERROR(INDEX('Output Utente'!$F$2:$F$492,MATCH(318,'Output Utente'!$Q$2:$Q$492,0)),"")</f>
        <v>1</v>
      </c>
      <c r="J321" s="42">
        <f>IFERROR(INDEX('Output Utente'!$G$2:$G$492,MATCH(318,'Output Utente'!$Q$2:$Q$492,0)),"")</f>
        <v>1</v>
      </c>
      <c r="K321" s="42">
        <f>IFERROR(INDEX('Output Utente'!$H$2:$H$492,MATCH(318,'Output Utente'!$Q$2:$Q$492,0)),"")</f>
        <v>1</v>
      </c>
      <c r="L321" s="5" t="str">
        <f>IFERROR(INDEX('Output Utente'!$E$2:$E$492,MATCH(318,'Output Utente'!$Q$2:$Q$492,0)),"")</f>
        <v>NO</v>
      </c>
      <c r="M321" s="5" t="str">
        <f>IFERROR(INDEX('Output Utente'!$U$2:$U$492,MATCH(318,'Output Utente'!$Q$2:$Q$492,0)),"")</f>
        <v>OK</v>
      </c>
      <c r="N321" s="5" t="str">
        <f>IFERROR(INDEX('Output Utente'!$AE$2:$AE$492,MATCH(318,'Output Utente'!$Q$2:$Q$492,0)),"")</f>
        <v>🔴 Non aspettare</v>
      </c>
    </row>
    <row r="322" spans="1:14" ht="15" customHeight="1" x14ac:dyDescent="0.25">
      <c r="A322" s="41">
        <v>319</v>
      </c>
      <c r="B322" s="5">
        <f>IFERROR(INDEX('Output Utente'!$A$2:$A$492,MATCH(319,'Output Utente'!$Q$2:$Q$492,0)),"")</f>
        <v>6054</v>
      </c>
      <c r="C322" s="5" t="str">
        <f>IFERROR(INDEX('Output Utente'!$B$2:$B$492,MATCH(319,'Output Utente'!$Q$2:$Q$492,0)),"")</f>
        <v>C</v>
      </c>
      <c r="D322" s="5" t="str">
        <f>IFERROR(INDEX('Output Utente'!$C$2:$C$492,MATCH(319,'Output Utente'!$Q$2:$Q$492,0)),"")</f>
        <v>Moro N.</v>
      </c>
      <c r="E322" s="5" t="str">
        <f>IFERROR(INDEX('Input Giocatori 2026_27'!$D$3:$D$493,MATCH($B322,'Input Giocatori 2026_27'!$A$3:$A$493,0)),"")</f>
        <v>Bologna</v>
      </c>
      <c r="F322" s="42">
        <f>IFERROR(INDEX('Output Utente'!$N$2:$N$492,MATCH(319,'Output Utente'!$Q$2:$Q$492,0)),"")</f>
        <v>4</v>
      </c>
      <c r="G322" s="42">
        <f>IFERROR(INDEX('Output Utente'!$O$2:$O$492,MATCH(319,'Output Utente'!$Q$2:$Q$492,0)),"")</f>
        <v>10</v>
      </c>
      <c r="H322" s="5" t="str">
        <f>IFERROR(INDEX('Output Utente'!$P$2:$P$492,MATCH(319,'Output Utente'!$Q$2:$Q$492,0)),"")</f>
        <v>Scommessa/Riserva</v>
      </c>
      <c r="I322" s="42">
        <f>IFERROR(INDEX('Output Utente'!$F$2:$F$492,MATCH(319,'Output Utente'!$Q$2:$Q$492,0)),"")</f>
        <v>1</v>
      </c>
      <c r="J322" s="42">
        <f>IFERROR(INDEX('Output Utente'!$G$2:$G$492,MATCH(319,'Output Utente'!$Q$2:$Q$492,0)),"")</f>
        <v>1</v>
      </c>
      <c r="K322" s="42">
        <f>IFERROR(INDEX('Output Utente'!$H$2:$H$492,MATCH(319,'Output Utente'!$Q$2:$Q$492,0)),"")</f>
        <v>1</v>
      </c>
      <c r="L322" s="5" t="str">
        <f>IFERROR(INDEX('Output Utente'!$E$2:$E$492,MATCH(319,'Output Utente'!$Q$2:$Q$492,0)),"")</f>
        <v>NO</v>
      </c>
      <c r="M322" s="5" t="str">
        <f>IFERROR(INDEX('Output Utente'!$U$2:$U$492,MATCH(319,'Output Utente'!$Q$2:$Q$492,0)),"")</f>
        <v>OK</v>
      </c>
      <c r="N322" s="5" t="str">
        <f>IFERROR(INDEX('Output Utente'!$AE$2:$AE$492,MATCH(319,'Output Utente'!$Q$2:$Q$492,0)),"")</f>
        <v>🔴 Non aspettare</v>
      </c>
    </row>
    <row r="323" spans="1:14" ht="15" customHeight="1" x14ac:dyDescent="0.25">
      <c r="A323" s="41">
        <v>320</v>
      </c>
      <c r="B323" s="5">
        <f>IFERROR(INDEX('Output Utente'!$A$2:$A$492,MATCH(320,'Output Utente'!$Q$2:$Q$492,0)),"")</f>
        <v>6252</v>
      </c>
      <c r="C323" s="5" t="str">
        <f>IFERROR(INDEX('Output Utente'!$B$2:$B$492,MATCH(320,'Output Utente'!$Q$2:$Q$492,0)),"")</f>
        <v>C</v>
      </c>
      <c r="D323" s="5" t="str">
        <f>IFERROR(INDEX('Output Utente'!$C$2:$C$492,MATCH(320,'Output Utente'!$Q$2:$Q$492,0)),"")</f>
        <v>Folorunsho</v>
      </c>
      <c r="E323" s="5" t="str">
        <f>IFERROR(INDEX('Input Giocatori 2026_27'!$D$3:$D$493,MATCH($B323,'Input Giocatori 2026_27'!$A$3:$A$493,0)),"")</f>
        <v>Napoli</v>
      </c>
      <c r="F323" s="42">
        <f>IFERROR(INDEX('Output Utente'!$N$2:$N$492,MATCH(320,'Output Utente'!$Q$2:$Q$492,0)),"")</f>
        <v>4</v>
      </c>
      <c r="G323" s="42">
        <f>IFERROR(INDEX('Output Utente'!$O$2:$O$492,MATCH(320,'Output Utente'!$Q$2:$Q$492,0)),"")</f>
        <v>10</v>
      </c>
      <c r="H323" s="5" t="str">
        <f>IFERROR(INDEX('Output Utente'!$P$2:$P$492,MATCH(320,'Output Utente'!$Q$2:$Q$492,0)),"")</f>
        <v>Scommessa/Riserva</v>
      </c>
      <c r="I323" s="42">
        <f>IFERROR(INDEX('Output Utente'!$F$2:$F$492,MATCH(320,'Output Utente'!$Q$2:$Q$492,0)),"")</f>
        <v>1</v>
      </c>
      <c r="J323" s="42">
        <f>IFERROR(INDEX('Output Utente'!$G$2:$G$492,MATCH(320,'Output Utente'!$Q$2:$Q$492,0)),"")</f>
        <v>1</v>
      </c>
      <c r="K323" s="42">
        <f>IFERROR(INDEX('Output Utente'!$H$2:$H$492,MATCH(320,'Output Utente'!$Q$2:$Q$492,0)),"")</f>
        <v>1</v>
      </c>
      <c r="L323" s="5" t="str">
        <f>IFERROR(INDEX('Output Utente'!$E$2:$E$492,MATCH(320,'Output Utente'!$Q$2:$Q$492,0)),"")</f>
        <v>NO</v>
      </c>
      <c r="M323" s="5" t="str">
        <f>IFERROR(INDEX('Output Utente'!$U$2:$U$492,MATCH(320,'Output Utente'!$Q$2:$Q$492,0)),"")</f>
        <v>OK</v>
      </c>
      <c r="N323" s="5" t="str">
        <f>IFERROR(INDEX('Output Utente'!$AE$2:$AE$492,MATCH(320,'Output Utente'!$Q$2:$Q$492,0)),"")</f>
        <v>🔴 Non aspettare</v>
      </c>
    </row>
    <row r="324" spans="1:14" ht="15" customHeight="1" x14ac:dyDescent="0.25">
      <c r="A324" s="41">
        <v>321</v>
      </c>
      <c r="B324" s="5">
        <f>IFERROR(INDEX('Output Utente'!$A$2:$A$492,MATCH(321,'Output Utente'!$Q$2:$Q$492,0)),"")</f>
        <v>6005</v>
      </c>
      <c r="C324" s="5" t="str">
        <f>IFERROR(INDEX('Output Utente'!$B$2:$B$492,MATCH(321,'Output Utente'!$Q$2:$Q$492,0)),"")</f>
        <v>C</v>
      </c>
      <c r="D324" s="5" t="str">
        <f>IFERROR(INDEX('Output Utente'!$C$2:$C$492,MATCH(321,'Output Utente'!$Q$2:$Q$492,0)),"")</f>
        <v>Ilkhan</v>
      </c>
      <c r="E324" s="5" t="str">
        <f>IFERROR(INDEX('Input Giocatori 2026_27'!$D$3:$D$493,MATCH($B324,'Input Giocatori 2026_27'!$A$3:$A$493,0)),"")</f>
        <v>Torino</v>
      </c>
      <c r="F324" s="42">
        <f>IFERROR(INDEX('Output Utente'!$N$2:$N$492,MATCH(321,'Output Utente'!$Q$2:$Q$492,0)),"")</f>
        <v>4</v>
      </c>
      <c r="G324" s="42">
        <f>IFERROR(INDEX('Output Utente'!$O$2:$O$492,MATCH(321,'Output Utente'!$Q$2:$Q$492,0)),"")</f>
        <v>10</v>
      </c>
      <c r="H324" s="5" t="str">
        <f>IFERROR(INDEX('Output Utente'!$P$2:$P$492,MATCH(321,'Output Utente'!$Q$2:$Q$492,0)),"")</f>
        <v>Scommessa/Riserva</v>
      </c>
      <c r="I324" s="42">
        <f>IFERROR(INDEX('Output Utente'!$F$2:$F$492,MATCH(321,'Output Utente'!$Q$2:$Q$492,0)),"")</f>
        <v>1</v>
      </c>
      <c r="J324" s="42">
        <f>IFERROR(INDEX('Output Utente'!$G$2:$G$492,MATCH(321,'Output Utente'!$Q$2:$Q$492,0)),"")</f>
        <v>1</v>
      </c>
      <c r="K324" s="42">
        <f>IFERROR(INDEX('Output Utente'!$H$2:$H$492,MATCH(321,'Output Utente'!$Q$2:$Q$492,0)),"")</f>
        <v>1</v>
      </c>
      <c r="L324" s="5" t="str">
        <f>IFERROR(INDEX('Output Utente'!$E$2:$E$492,MATCH(321,'Output Utente'!$Q$2:$Q$492,0)),"")</f>
        <v>NO</v>
      </c>
      <c r="M324" s="5" t="str">
        <f>IFERROR(INDEX('Output Utente'!$U$2:$U$492,MATCH(321,'Output Utente'!$Q$2:$Q$492,0)),"")</f>
        <v>OK</v>
      </c>
      <c r="N324" s="5" t="str">
        <f>IFERROR(INDEX('Output Utente'!$AE$2:$AE$492,MATCH(321,'Output Utente'!$Q$2:$Q$492,0)),"")</f>
        <v>🔴 Non aspettare</v>
      </c>
    </row>
    <row r="325" spans="1:14" ht="15" customHeight="1" x14ac:dyDescent="0.25">
      <c r="A325" s="41">
        <v>322</v>
      </c>
      <c r="B325" s="5">
        <f>IFERROR(INDEX('Output Utente'!$A$2:$A$492,MATCH(322,'Output Utente'!$Q$2:$Q$492,0)),"")</f>
        <v>6503</v>
      </c>
      <c r="C325" s="5" t="str">
        <f>IFERROR(INDEX('Output Utente'!$B$2:$B$492,MATCH(322,'Output Utente'!$Q$2:$Q$492,0)),"")</f>
        <v>C</v>
      </c>
      <c r="D325" s="5" t="str">
        <f>IFERROR(INDEX('Output Utente'!$C$2:$C$492,MATCH(322,'Output Utente'!$Q$2:$Q$492,0)),"")</f>
        <v>Stankovic A.</v>
      </c>
      <c r="E325" s="5" t="str">
        <f>IFERROR(INDEX('Input Giocatori 2026_27'!$D$3:$D$493,MATCH($B325,'Input Giocatori 2026_27'!$A$3:$A$493,0)),"")</f>
        <v>Inter</v>
      </c>
      <c r="F325" s="42">
        <f>IFERROR(INDEX('Output Utente'!$N$2:$N$492,MATCH(322,'Output Utente'!$Q$2:$Q$492,0)),"")</f>
        <v>3</v>
      </c>
      <c r="G325" s="42">
        <f>IFERROR(INDEX('Output Utente'!$O$2:$O$492,MATCH(322,'Output Utente'!$Q$2:$Q$492,0)),"")</f>
        <v>10</v>
      </c>
      <c r="H325" s="5" t="str">
        <f>IFERROR(INDEX('Output Utente'!$P$2:$P$492,MATCH(322,'Output Utente'!$Q$2:$Q$492,0)),"")</f>
        <v>Scommessa/Riserva</v>
      </c>
      <c r="I325" s="42">
        <f>IFERROR(INDEX('Output Utente'!$F$2:$F$492,MATCH(322,'Output Utente'!$Q$2:$Q$492,0)),"")</f>
        <v>1</v>
      </c>
      <c r="J325" s="42">
        <f>IFERROR(INDEX('Output Utente'!$G$2:$G$492,MATCH(322,'Output Utente'!$Q$2:$Q$492,0)),"")</f>
        <v>1</v>
      </c>
      <c r="K325" s="42">
        <f>IFERROR(INDEX('Output Utente'!$H$2:$H$492,MATCH(322,'Output Utente'!$Q$2:$Q$492,0)),"")</f>
        <v>1</v>
      </c>
      <c r="L325" s="5" t="str">
        <f>IFERROR(INDEX('Output Utente'!$E$2:$E$492,MATCH(322,'Output Utente'!$Q$2:$Q$492,0)),"")</f>
        <v>NO</v>
      </c>
      <c r="M325" s="5" t="str">
        <f>IFERROR(INDEX('Output Utente'!$U$2:$U$492,MATCH(322,'Output Utente'!$Q$2:$Q$492,0)),"")</f>
        <v>OK</v>
      </c>
      <c r="N325" s="5" t="str">
        <f>IFERROR(INDEX('Output Utente'!$AE$2:$AE$492,MATCH(322,'Output Utente'!$Q$2:$Q$492,0)),"")</f>
        <v>🔴 Non aspettare</v>
      </c>
    </row>
    <row r="326" spans="1:14" ht="15" customHeight="1" x14ac:dyDescent="0.25">
      <c r="A326" s="41">
        <v>323</v>
      </c>
      <c r="B326" s="5">
        <f>IFERROR(INDEX('Output Utente'!$A$2:$A$492,MATCH(323,'Output Utente'!$Q$2:$Q$492,0)),"")</f>
        <v>313</v>
      </c>
      <c r="C326" s="5" t="str">
        <f>IFERROR(INDEX('Output Utente'!$B$2:$B$492,MATCH(323,'Output Utente'!$Q$2:$Q$492,0)),"")</f>
        <v>A</v>
      </c>
      <c r="D326" s="5" t="str">
        <f>IFERROR(INDEX('Output Utente'!$C$2:$C$492,MATCH(323,'Output Utente'!$Q$2:$Q$492,0)),"")</f>
        <v>Morata</v>
      </c>
      <c r="E326" s="5" t="str">
        <f>IFERROR(INDEX('Input Giocatori 2026_27'!$D$3:$D$493,MATCH($B326,'Input Giocatori 2026_27'!$A$3:$A$493,0)),"")</f>
        <v>Como</v>
      </c>
      <c r="F326" s="42">
        <f>IFERROR(INDEX('Output Utente'!$N$2:$N$492,MATCH(323,'Output Utente'!$Q$2:$Q$492,0)),"")</f>
        <v>4</v>
      </c>
      <c r="G326" s="42">
        <f>IFERROR(INDEX('Output Utente'!$O$2:$O$492,MATCH(323,'Output Utente'!$Q$2:$Q$492,0)),"")</f>
        <v>10</v>
      </c>
      <c r="H326" s="5" t="str">
        <f>IFERROR(INDEX('Output Utente'!$P$2:$P$492,MATCH(323,'Output Utente'!$Q$2:$Q$492,0)),"")</f>
        <v>Scommessa/Riserva</v>
      </c>
      <c r="I326" s="42">
        <f>IFERROR(INDEX('Output Utente'!$F$2:$F$492,MATCH(323,'Output Utente'!$Q$2:$Q$492,0)),"")</f>
        <v>3</v>
      </c>
      <c r="J326" s="42">
        <f>IFERROR(INDEX('Output Utente'!$G$2:$G$492,MATCH(323,'Output Utente'!$Q$2:$Q$492,0)),"")</f>
        <v>2</v>
      </c>
      <c r="K326" s="42">
        <f>IFERROR(INDEX('Output Utente'!$H$2:$H$492,MATCH(323,'Output Utente'!$Q$2:$Q$492,0)),"")</f>
        <v>4</v>
      </c>
      <c r="L326" s="5" t="str">
        <f>IFERROR(INDEX('Output Utente'!$E$2:$E$492,MATCH(323,'Output Utente'!$Q$2:$Q$492,0)),"")</f>
        <v>NO</v>
      </c>
      <c r="M326" s="5" t="str">
        <f>IFERROR(INDEX('Output Utente'!$U$2:$U$492,MATCH(323,'Output Utente'!$Q$2:$Q$492,0)),"")</f>
        <v>OK</v>
      </c>
      <c r="N326" s="5" t="str">
        <f>IFERROR(INDEX('Output Utente'!$AE$2:$AE$492,MATCH(323,'Output Utente'!$Q$2:$Q$492,0)),"")</f>
        <v>🔴 Non aspettare</v>
      </c>
    </row>
    <row r="327" spans="1:14" ht="15" customHeight="1" x14ac:dyDescent="0.25">
      <c r="A327" s="41">
        <v>324</v>
      </c>
      <c r="B327" s="5">
        <f>IFERROR(INDEX('Output Utente'!$A$2:$A$492,MATCH(324,'Output Utente'!$Q$2:$Q$492,0)),"")</f>
        <v>7162</v>
      </c>
      <c r="C327" s="5" t="str">
        <f>IFERROR(INDEX('Output Utente'!$B$2:$B$492,MATCH(324,'Output Utente'!$Q$2:$Q$492,0)),"")</f>
        <v>A</v>
      </c>
      <c r="D327" s="5" t="str">
        <f>IFERROR(INDEX('Output Utente'!$C$2:$C$492,MATCH(324,'Output Utente'!$Q$2:$Q$492,0)),"")</f>
        <v>Giovane</v>
      </c>
      <c r="E327" s="5" t="str">
        <f>IFERROR(INDEX('Input Giocatori 2026_27'!$D$3:$D$493,MATCH($B327,'Input Giocatori 2026_27'!$A$3:$A$493,0)),"")</f>
        <v>Napoli</v>
      </c>
      <c r="F327" s="42">
        <f>IFERROR(INDEX('Output Utente'!$N$2:$N$492,MATCH(324,'Output Utente'!$Q$2:$Q$492,0)),"")</f>
        <v>4</v>
      </c>
      <c r="G327" s="42">
        <f>IFERROR(INDEX('Output Utente'!$O$2:$O$492,MATCH(324,'Output Utente'!$Q$2:$Q$492,0)),"")</f>
        <v>10</v>
      </c>
      <c r="H327" s="5" t="str">
        <f>IFERROR(INDEX('Output Utente'!$P$2:$P$492,MATCH(324,'Output Utente'!$Q$2:$Q$492,0)),"")</f>
        <v>Scommessa/Riserva</v>
      </c>
      <c r="I327" s="42">
        <f>IFERROR(INDEX('Output Utente'!$F$2:$F$492,MATCH(324,'Output Utente'!$Q$2:$Q$492,0)),"")</f>
        <v>3</v>
      </c>
      <c r="J327" s="42">
        <f>IFERROR(INDEX('Output Utente'!$G$2:$G$492,MATCH(324,'Output Utente'!$Q$2:$Q$492,0)),"")</f>
        <v>2</v>
      </c>
      <c r="K327" s="42">
        <f>IFERROR(INDEX('Output Utente'!$H$2:$H$492,MATCH(324,'Output Utente'!$Q$2:$Q$492,0)),"")</f>
        <v>4</v>
      </c>
      <c r="L327" s="5" t="str">
        <f>IFERROR(INDEX('Output Utente'!$E$2:$E$492,MATCH(324,'Output Utente'!$Q$2:$Q$492,0)),"")</f>
        <v>NO</v>
      </c>
      <c r="M327" s="5" t="str">
        <f>IFERROR(INDEX('Output Utente'!$U$2:$U$492,MATCH(324,'Output Utente'!$Q$2:$Q$492,0)),"")</f>
        <v>OK</v>
      </c>
      <c r="N327" s="5" t="str">
        <f>IFERROR(INDEX('Output Utente'!$AE$2:$AE$492,MATCH(324,'Output Utente'!$Q$2:$Q$492,0)),"")</f>
        <v>🔴 Non aspettare</v>
      </c>
    </row>
    <row r="328" spans="1:14" ht="15" customHeight="1" x14ac:dyDescent="0.25">
      <c r="A328" s="41">
        <v>325</v>
      </c>
      <c r="B328" s="5">
        <f>IFERROR(INDEX('Output Utente'!$A$2:$A$492,MATCH(325,'Output Utente'!$Q$2:$Q$492,0)),"")</f>
        <v>6822</v>
      </c>
      <c r="C328" s="5" t="str">
        <f>IFERROR(INDEX('Output Utente'!$B$2:$B$492,MATCH(325,'Output Utente'!$Q$2:$Q$492,0)),"")</f>
        <v>A</v>
      </c>
      <c r="D328" s="5" t="str">
        <f>IFERROR(INDEX('Output Utente'!$C$2:$C$492,MATCH(325,'Output Utente'!$Q$2:$Q$492,0)),"")</f>
        <v>Ekhator</v>
      </c>
      <c r="E328" s="5" t="str">
        <f>IFERROR(INDEX('Input Giocatori 2026_27'!$D$3:$D$493,MATCH($B328,'Input Giocatori 2026_27'!$A$3:$A$493,0)),"")</f>
        <v>Juventus</v>
      </c>
      <c r="F328" s="42">
        <f>IFERROR(INDEX('Output Utente'!$N$2:$N$492,MATCH(325,'Output Utente'!$Q$2:$Q$492,0)),"")</f>
        <v>3</v>
      </c>
      <c r="G328" s="42">
        <f>IFERROR(INDEX('Output Utente'!$O$2:$O$492,MATCH(325,'Output Utente'!$Q$2:$Q$492,0)),"")</f>
        <v>10</v>
      </c>
      <c r="H328" s="5" t="str">
        <f>IFERROR(INDEX('Output Utente'!$P$2:$P$492,MATCH(325,'Output Utente'!$Q$2:$Q$492,0)),"")</f>
        <v>Scommessa/Riserva</v>
      </c>
      <c r="I328" s="42">
        <f>IFERROR(INDEX('Output Utente'!$F$2:$F$492,MATCH(325,'Output Utente'!$Q$2:$Q$492,0)),"")</f>
        <v>3</v>
      </c>
      <c r="J328" s="42">
        <f>IFERROR(INDEX('Output Utente'!$G$2:$G$492,MATCH(325,'Output Utente'!$Q$2:$Q$492,0)),"")</f>
        <v>2</v>
      </c>
      <c r="K328" s="42">
        <f>IFERROR(INDEX('Output Utente'!$H$2:$H$492,MATCH(325,'Output Utente'!$Q$2:$Q$492,0)),"")</f>
        <v>4</v>
      </c>
      <c r="L328" s="5" t="str">
        <f>IFERROR(INDEX('Output Utente'!$E$2:$E$492,MATCH(325,'Output Utente'!$Q$2:$Q$492,0)),"")</f>
        <v>NO</v>
      </c>
      <c r="M328" s="5" t="str">
        <f>IFERROR(INDEX('Output Utente'!$U$2:$U$492,MATCH(325,'Output Utente'!$Q$2:$Q$492,0)),"")</f>
        <v>OK</v>
      </c>
      <c r="N328" s="5" t="str">
        <f>IFERROR(INDEX('Output Utente'!$AE$2:$AE$492,MATCH(325,'Output Utente'!$Q$2:$Q$492,0)),"")</f>
        <v>🔴 Non aspettare</v>
      </c>
    </row>
    <row r="329" spans="1:14" ht="15" customHeight="1" x14ac:dyDescent="0.25">
      <c r="A329" s="41">
        <v>326</v>
      </c>
      <c r="B329" s="5">
        <f>IFERROR(INDEX('Output Utente'!$A$2:$A$492,MATCH(326,'Output Utente'!$Q$2:$Q$492,0)),"")</f>
        <v>7120</v>
      </c>
      <c r="C329" s="5" t="str">
        <f>IFERROR(INDEX('Output Utente'!$B$2:$B$492,MATCH(326,'Output Utente'!$Q$2:$Q$492,0)),"")</f>
        <v>A</v>
      </c>
      <c r="D329" s="5" t="str">
        <f>IFERROR(INDEX('Output Utente'!$C$2:$C$492,MATCH(326,'Output Utente'!$Q$2:$Q$492,0)),"")</f>
        <v>Lang</v>
      </c>
      <c r="E329" s="5" t="str">
        <f>IFERROR(INDEX('Input Giocatori 2026_27'!$D$3:$D$493,MATCH($B329,'Input Giocatori 2026_27'!$A$3:$A$493,0)),"")</f>
        <v>Napoli</v>
      </c>
      <c r="F329" s="42">
        <f>IFERROR(INDEX('Output Utente'!$N$2:$N$492,MATCH(326,'Output Utente'!$Q$2:$Q$492,0)),"")</f>
        <v>3</v>
      </c>
      <c r="G329" s="42">
        <f>IFERROR(INDEX('Output Utente'!$O$2:$O$492,MATCH(326,'Output Utente'!$Q$2:$Q$492,0)),"")</f>
        <v>10</v>
      </c>
      <c r="H329" s="5" t="str">
        <f>IFERROR(INDEX('Output Utente'!$P$2:$P$492,MATCH(326,'Output Utente'!$Q$2:$Q$492,0)),"")</f>
        <v>Scommessa/Riserva</v>
      </c>
      <c r="I329" s="42">
        <f>IFERROR(INDEX('Output Utente'!$F$2:$F$492,MATCH(326,'Output Utente'!$Q$2:$Q$492,0)),"")</f>
        <v>3</v>
      </c>
      <c r="J329" s="42">
        <f>IFERROR(INDEX('Output Utente'!$G$2:$G$492,MATCH(326,'Output Utente'!$Q$2:$Q$492,0)),"")</f>
        <v>2</v>
      </c>
      <c r="K329" s="42">
        <f>IFERROR(INDEX('Output Utente'!$H$2:$H$492,MATCH(326,'Output Utente'!$Q$2:$Q$492,0)),"")</f>
        <v>4</v>
      </c>
      <c r="L329" s="5" t="str">
        <f>IFERROR(INDEX('Output Utente'!$E$2:$E$492,MATCH(326,'Output Utente'!$Q$2:$Q$492,0)),"")</f>
        <v>NO</v>
      </c>
      <c r="M329" s="5" t="str">
        <f>IFERROR(INDEX('Output Utente'!$U$2:$U$492,MATCH(326,'Output Utente'!$Q$2:$Q$492,0)),"")</f>
        <v>OK</v>
      </c>
      <c r="N329" s="5" t="str">
        <f>IFERROR(INDEX('Output Utente'!$AE$2:$AE$492,MATCH(326,'Output Utente'!$Q$2:$Q$492,0)),"")</f>
        <v>🔴 Non aspettare</v>
      </c>
    </row>
    <row r="330" spans="1:14" ht="15" customHeight="1" x14ac:dyDescent="0.25">
      <c r="A330" s="41">
        <v>327</v>
      </c>
      <c r="B330" s="5">
        <f>IFERROR(INDEX('Output Utente'!$A$2:$A$492,MATCH(327,'Output Utente'!$Q$2:$Q$492,0)),"")</f>
        <v>6215</v>
      </c>
      <c r="C330" s="5" t="str">
        <f>IFERROR(INDEX('Output Utente'!$B$2:$B$492,MATCH(327,'Output Utente'!$Q$2:$Q$492,0)),"")</f>
        <v>A</v>
      </c>
      <c r="D330" s="5" t="str">
        <f>IFERROR(INDEX('Output Utente'!$C$2:$C$492,MATCH(327,'Output Utente'!$Q$2:$Q$492,0)),"")</f>
        <v>Lucca</v>
      </c>
      <c r="E330" s="5" t="str">
        <f>IFERROR(INDEX('Input Giocatori 2026_27'!$D$3:$D$493,MATCH($B330,'Input Giocatori 2026_27'!$A$3:$A$493,0)),"")</f>
        <v>Napoli</v>
      </c>
      <c r="F330" s="42">
        <f>IFERROR(INDEX('Output Utente'!$N$2:$N$492,MATCH(327,'Output Utente'!$Q$2:$Q$492,0)),"")</f>
        <v>3</v>
      </c>
      <c r="G330" s="42">
        <f>IFERROR(INDEX('Output Utente'!$O$2:$O$492,MATCH(327,'Output Utente'!$Q$2:$Q$492,0)),"")</f>
        <v>10</v>
      </c>
      <c r="H330" s="5" t="str">
        <f>IFERROR(INDEX('Output Utente'!$P$2:$P$492,MATCH(327,'Output Utente'!$Q$2:$Q$492,0)),"")</f>
        <v>Scommessa/Riserva</v>
      </c>
      <c r="I330" s="42">
        <f>IFERROR(INDEX('Output Utente'!$F$2:$F$492,MATCH(327,'Output Utente'!$Q$2:$Q$492,0)),"")</f>
        <v>3</v>
      </c>
      <c r="J330" s="42">
        <f>IFERROR(INDEX('Output Utente'!$G$2:$G$492,MATCH(327,'Output Utente'!$Q$2:$Q$492,0)),"")</f>
        <v>2</v>
      </c>
      <c r="K330" s="42">
        <f>IFERROR(INDEX('Output Utente'!$H$2:$H$492,MATCH(327,'Output Utente'!$Q$2:$Q$492,0)),"")</f>
        <v>4</v>
      </c>
      <c r="L330" s="5" t="str">
        <f>IFERROR(INDEX('Output Utente'!$E$2:$E$492,MATCH(327,'Output Utente'!$Q$2:$Q$492,0)),"")</f>
        <v>NO</v>
      </c>
      <c r="M330" s="5" t="str">
        <f>IFERROR(INDEX('Output Utente'!$U$2:$U$492,MATCH(327,'Output Utente'!$Q$2:$Q$492,0)),"")</f>
        <v>OK</v>
      </c>
      <c r="N330" s="5" t="str">
        <f>IFERROR(INDEX('Output Utente'!$AE$2:$AE$492,MATCH(327,'Output Utente'!$Q$2:$Q$492,0)),"")</f>
        <v>🔴 Non aspettare</v>
      </c>
    </row>
    <row r="331" spans="1:14" ht="15" customHeight="1" x14ac:dyDescent="0.25">
      <c r="A331" s="41">
        <v>328</v>
      </c>
      <c r="B331" s="5">
        <f>IFERROR(INDEX('Output Utente'!$A$2:$A$492,MATCH(328,'Output Utente'!$Q$2:$Q$492,0)),"")</f>
        <v>4461</v>
      </c>
      <c r="C331" s="5" t="str">
        <f>IFERROR(INDEX('Output Utente'!$B$2:$B$492,MATCH(328,'Output Utente'!$Q$2:$Q$492,0)),"")</f>
        <v>D</v>
      </c>
      <c r="D331" s="5" t="str">
        <f>IFERROR(INDEX('Output Utente'!$C$2:$C$492,MATCH(328,'Output Utente'!$Q$2:$Q$492,0)),"")</f>
        <v>Zappa</v>
      </c>
      <c r="E331" s="5" t="str">
        <f>IFERROR(INDEX('Input Giocatori 2026_27'!$D$3:$D$493,MATCH($B331,'Input Giocatori 2026_27'!$A$3:$A$493,0)),"")</f>
        <v>Cagliari</v>
      </c>
      <c r="F331" s="42">
        <f>IFERROR(INDEX('Output Utente'!$N$2:$N$492,MATCH(328,'Output Utente'!$Q$2:$Q$492,0)),"")</f>
        <v>4</v>
      </c>
      <c r="G331" s="42">
        <f>IFERROR(INDEX('Output Utente'!$O$2:$O$492,MATCH(328,'Output Utente'!$Q$2:$Q$492,0)),"")</f>
        <v>9</v>
      </c>
      <c r="H331" s="5" t="str">
        <f>IFERROR(INDEX('Output Utente'!$P$2:$P$492,MATCH(328,'Output Utente'!$Q$2:$Q$492,0)),"")</f>
        <v>Scommessa/Riserva</v>
      </c>
      <c r="I331" s="42">
        <f>IFERROR(INDEX('Output Utente'!$F$2:$F$492,MATCH(328,'Output Utente'!$Q$2:$Q$492,0)),"")</f>
        <v>2</v>
      </c>
      <c r="J331" s="42">
        <f>IFERROR(INDEX('Output Utente'!$G$2:$G$492,MATCH(328,'Output Utente'!$Q$2:$Q$492,0)),"")</f>
        <v>1</v>
      </c>
      <c r="K331" s="42">
        <f>IFERROR(INDEX('Output Utente'!$H$2:$H$492,MATCH(328,'Output Utente'!$Q$2:$Q$492,0)),"")</f>
        <v>2</v>
      </c>
      <c r="L331" s="5" t="str">
        <f>IFERROR(INDEX('Output Utente'!$E$2:$E$492,MATCH(328,'Output Utente'!$Q$2:$Q$492,0)),"")</f>
        <v>NO</v>
      </c>
      <c r="M331" s="5" t="str">
        <f>IFERROR(INDEX('Output Utente'!$U$2:$U$492,MATCH(328,'Output Utente'!$Q$2:$Q$492,0)),"")</f>
        <v>OK</v>
      </c>
      <c r="N331" s="5" t="str">
        <f>IFERROR(INDEX('Output Utente'!$AE$2:$AE$492,MATCH(328,'Output Utente'!$Q$2:$Q$492,0)),"")</f>
        <v>🔴 Non aspettare</v>
      </c>
    </row>
    <row r="332" spans="1:14" ht="15" customHeight="1" x14ac:dyDescent="0.25">
      <c r="A332" s="41">
        <v>329</v>
      </c>
      <c r="B332" s="5">
        <f>IFERROR(INDEX('Output Utente'!$A$2:$A$492,MATCH(329,'Output Utente'!$Q$2:$Q$492,0)),"")</f>
        <v>7537</v>
      </c>
      <c r="C332" s="5" t="str">
        <f>IFERROR(INDEX('Output Utente'!$B$2:$B$492,MATCH(329,'Output Utente'!$Q$2:$Q$492,0)),"")</f>
        <v>D</v>
      </c>
      <c r="D332" s="5" t="str">
        <f>IFERROR(INDEX('Output Utente'!$C$2:$C$492,MATCH(329,'Output Utente'!$Q$2:$Q$492,0)),"")</f>
        <v>Mitaj</v>
      </c>
      <c r="E332" s="5" t="str">
        <f>IFERROR(INDEX('Input Giocatori 2026_27'!$D$3:$D$493,MATCH($B332,'Input Giocatori 2026_27'!$A$3:$A$493,0)),"")</f>
        <v>Genoa</v>
      </c>
      <c r="F332" s="42">
        <f>IFERROR(INDEX('Output Utente'!$N$2:$N$492,MATCH(329,'Output Utente'!$Q$2:$Q$492,0)),"")</f>
        <v>4</v>
      </c>
      <c r="G332" s="42">
        <f>IFERROR(INDEX('Output Utente'!$O$2:$O$492,MATCH(329,'Output Utente'!$Q$2:$Q$492,0)),"")</f>
        <v>9</v>
      </c>
      <c r="H332" s="5" t="str">
        <f>IFERROR(INDEX('Output Utente'!$P$2:$P$492,MATCH(329,'Output Utente'!$Q$2:$Q$492,0)),"")</f>
        <v>Scommessa/Riserva</v>
      </c>
      <c r="I332" s="42">
        <f>IFERROR(INDEX('Output Utente'!$F$2:$F$492,MATCH(329,'Output Utente'!$Q$2:$Q$492,0)),"")</f>
        <v>2</v>
      </c>
      <c r="J332" s="42">
        <f>IFERROR(INDEX('Output Utente'!$G$2:$G$492,MATCH(329,'Output Utente'!$Q$2:$Q$492,0)),"")</f>
        <v>1</v>
      </c>
      <c r="K332" s="42">
        <f>IFERROR(INDEX('Output Utente'!$H$2:$H$492,MATCH(329,'Output Utente'!$Q$2:$Q$492,0)),"")</f>
        <v>2</v>
      </c>
      <c r="L332" s="5" t="str">
        <f>IFERROR(INDEX('Output Utente'!$E$2:$E$492,MATCH(329,'Output Utente'!$Q$2:$Q$492,0)),"")</f>
        <v>NO</v>
      </c>
      <c r="M332" s="5" t="str">
        <f>IFERROR(INDEX('Output Utente'!$U$2:$U$492,MATCH(329,'Output Utente'!$Q$2:$Q$492,0)),"")</f>
        <v>OK</v>
      </c>
      <c r="N332" s="5" t="str">
        <f>IFERROR(INDEX('Output Utente'!$AE$2:$AE$492,MATCH(329,'Output Utente'!$Q$2:$Q$492,0)),"")</f>
        <v>🔴 Non aspettare</v>
      </c>
    </row>
    <row r="333" spans="1:14" ht="15" customHeight="1" x14ac:dyDescent="0.25">
      <c r="A333" s="41">
        <v>330</v>
      </c>
      <c r="B333" s="5">
        <f>IFERROR(INDEX('Output Utente'!$A$2:$A$492,MATCH(330,'Output Utente'!$Q$2:$Q$492,0)),"")</f>
        <v>4263</v>
      </c>
      <c r="C333" s="5" t="str">
        <f>IFERROR(INDEX('Output Utente'!$B$2:$B$492,MATCH(330,'Output Utente'!$Q$2:$Q$492,0)),"")</f>
        <v>D</v>
      </c>
      <c r="D333" s="5" t="str">
        <f>IFERROR(INDEX('Output Utente'!$C$2:$C$492,MATCH(330,'Output Utente'!$Q$2:$Q$492,0)),"")</f>
        <v>Kabasele</v>
      </c>
      <c r="E333" s="5" t="str">
        <f>IFERROR(INDEX('Input Giocatori 2026_27'!$D$3:$D$493,MATCH($B333,'Input Giocatori 2026_27'!$A$3:$A$493,0)),"")</f>
        <v>Udinese</v>
      </c>
      <c r="F333" s="42">
        <f>IFERROR(INDEX('Output Utente'!$N$2:$N$492,MATCH(330,'Output Utente'!$Q$2:$Q$492,0)),"")</f>
        <v>4</v>
      </c>
      <c r="G333" s="42">
        <f>IFERROR(INDEX('Output Utente'!$O$2:$O$492,MATCH(330,'Output Utente'!$Q$2:$Q$492,0)),"")</f>
        <v>9</v>
      </c>
      <c r="H333" s="5" t="str">
        <f>IFERROR(INDEX('Output Utente'!$P$2:$P$492,MATCH(330,'Output Utente'!$Q$2:$Q$492,0)),"")</f>
        <v>Scommessa/Riserva</v>
      </c>
      <c r="I333" s="42">
        <f>IFERROR(INDEX('Output Utente'!$F$2:$F$492,MATCH(330,'Output Utente'!$Q$2:$Q$492,0)),"")</f>
        <v>2</v>
      </c>
      <c r="J333" s="42">
        <f>IFERROR(INDEX('Output Utente'!$G$2:$G$492,MATCH(330,'Output Utente'!$Q$2:$Q$492,0)),"")</f>
        <v>1</v>
      </c>
      <c r="K333" s="42">
        <f>IFERROR(INDEX('Output Utente'!$H$2:$H$492,MATCH(330,'Output Utente'!$Q$2:$Q$492,0)),"")</f>
        <v>2</v>
      </c>
      <c r="L333" s="5" t="str">
        <f>IFERROR(INDEX('Output Utente'!$E$2:$E$492,MATCH(330,'Output Utente'!$Q$2:$Q$492,0)),"")</f>
        <v>NO</v>
      </c>
      <c r="M333" s="5" t="str">
        <f>IFERROR(INDEX('Output Utente'!$U$2:$U$492,MATCH(330,'Output Utente'!$Q$2:$Q$492,0)),"")</f>
        <v>OK</v>
      </c>
      <c r="N333" s="5" t="str">
        <f>IFERROR(INDEX('Output Utente'!$AE$2:$AE$492,MATCH(330,'Output Utente'!$Q$2:$Q$492,0)),"")</f>
        <v>🔴 Non aspettare</v>
      </c>
    </row>
    <row r="334" spans="1:14" ht="15" customHeight="1" x14ac:dyDescent="0.25">
      <c r="A334" s="41">
        <v>331</v>
      </c>
      <c r="B334" s="5">
        <f>IFERROR(INDEX('Output Utente'!$A$2:$A$492,MATCH(331,'Output Utente'!$Q$2:$Q$492,0)),"")</f>
        <v>5273</v>
      </c>
      <c r="C334" s="5" t="str">
        <f>IFERROR(INDEX('Output Utente'!$B$2:$B$492,MATCH(331,'Output Utente'!$Q$2:$Q$492,0)),"")</f>
        <v>D</v>
      </c>
      <c r="D334" s="5" t="str">
        <f>IFERROR(INDEX('Output Utente'!$C$2:$C$492,MATCH(331,'Output Utente'!$Q$2:$Q$492,0)),"")</f>
        <v>Estupinan</v>
      </c>
      <c r="E334" s="5" t="str">
        <f>IFERROR(INDEX('Input Giocatori 2026_27'!$D$3:$D$493,MATCH($B334,'Input Giocatori 2026_27'!$A$3:$A$493,0)),"")</f>
        <v>Milan</v>
      </c>
      <c r="F334" s="42">
        <f>IFERROR(INDEX('Output Utente'!$N$2:$N$492,MATCH(331,'Output Utente'!$Q$2:$Q$492,0)),"")</f>
        <v>3</v>
      </c>
      <c r="G334" s="42">
        <f>IFERROR(INDEX('Output Utente'!$O$2:$O$492,MATCH(331,'Output Utente'!$Q$2:$Q$492,0)),"")</f>
        <v>9</v>
      </c>
      <c r="H334" s="5" t="str">
        <f>IFERROR(INDEX('Output Utente'!$P$2:$P$492,MATCH(331,'Output Utente'!$Q$2:$Q$492,0)),"")</f>
        <v>Scommessa/Riserva</v>
      </c>
      <c r="I334" s="42">
        <f>IFERROR(INDEX('Output Utente'!$F$2:$F$492,MATCH(331,'Output Utente'!$Q$2:$Q$492,0)),"")</f>
        <v>2</v>
      </c>
      <c r="J334" s="42">
        <f>IFERROR(INDEX('Output Utente'!$G$2:$G$492,MATCH(331,'Output Utente'!$Q$2:$Q$492,0)),"")</f>
        <v>1</v>
      </c>
      <c r="K334" s="42">
        <f>IFERROR(INDEX('Output Utente'!$H$2:$H$492,MATCH(331,'Output Utente'!$Q$2:$Q$492,0)),"")</f>
        <v>2</v>
      </c>
      <c r="L334" s="5" t="str">
        <f>IFERROR(INDEX('Output Utente'!$E$2:$E$492,MATCH(331,'Output Utente'!$Q$2:$Q$492,0)),"")</f>
        <v>NO</v>
      </c>
      <c r="M334" s="5" t="str">
        <f>IFERROR(INDEX('Output Utente'!$U$2:$U$492,MATCH(331,'Output Utente'!$Q$2:$Q$492,0)),"")</f>
        <v>OK</v>
      </c>
      <c r="N334" s="5" t="str">
        <f>IFERROR(INDEX('Output Utente'!$AE$2:$AE$492,MATCH(331,'Output Utente'!$Q$2:$Q$492,0)),"")</f>
        <v>🔴 Non aspettare</v>
      </c>
    </row>
    <row r="335" spans="1:14" ht="15" customHeight="1" x14ac:dyDescent="0.25">
      <c r="A335" s="41">
        <v>332</v>
      </c>
      <c r="B335" s="5">
        <f>IFERROR(INDEX('Output Utente'!$A$2:$A$492,MATCH(332,'Output Utente'!$Q$2:$Q$492,0)),"")</f>
        <v>7238</v>
      </c>
      <c r="C335" s="5" t="str">
        <f>IFERROR(INDEX('Output Utente'!$B$2:$B$492,MATCH(332,'Output Utente'!$Q$2:$Q$492,0)),"")</f>
        <v>D</v>
      </c>
      <c r="D335" s="5" t="str">
        <f>IFERROR(INDEX('Output Utente'!$C$2:$C$492,MATCH(332,'Output Utente'!$Q$2:$Q$492,0)),"")</f>
        <v>Kouadio</v>
      </c>
      <c r="E335" s="5" t="str">
        <f>IFERROR(INDEX('Input Giocatori 2026_27'!$D$3:$D$493,MATCH($B335,'Input Giocatori 2026_27'!$A$3:$A$493,0)),"")</f>
        <v>Monza</v>
      </c>
      <c r="F335" s="42">
        <f>IFERROR(INDEX('Output Utente'!$N$2:$N$492,MATCH(332,'Output Utente'!$Q$2:$Q$492,0)),"")</f>
        <v>3</v>
      </c>
      <c r="G335" s="42">
        <f>IFERROR(INDEX('Output Utente'!$O$2:$O$492,MATCH(332,'Output Utente'!$Q$2:$Q$492,0)),"")</f>
        <v>9</v>
      </c>
      <c r="H335" s="5" t="str">
        <f>IFERROR(INDEX('Output Utente'!$P$2:$P$492,MATCH(332,'Output Utente'!$Q$2:$Q$492,0)),"")</f>
        <v>Scommessa/Riserva</v>
      </c>
      <c r="I335" s="42">
        <f>IFERROR(INDEX('Output Utente'!$F$2:$F$492,MATCH(332,'Output Utente'!$Q$2:$Q$492,0)),"")</f>
        <v>2</v>
      </c>
      <c r="J335" s="42">
        <f>IFERROR(INDEX('Output Utente'!$G$2:$G$492,MATCH(332,'Output Utente'!$Q$2:$Q$492,0)),"")</f>
        <v>1</v>
      </c>
      <c r="K335" s="42">
        <f>IFERROR(INDEX('Output Utente'!$H$2:$H$492,MATCH(332,'Output Utente'!$Q$2:$Q$492,0)),"")</f>
        <v>2</v>
      </c>
      <c r="L335" s="5" t="str">
        <f>IFERROR(INDEX('Output Utente'!$E$2:$E$492,MATCH(332,'Output Utente'!$Q$2:$Q$492,0)),"")</f>
        <v>NO</v>
      </c>
      <c r="M335" s="5" t="str">
        <f>IFERROR(INDEX('Output Utente'!$U$2:$U$492,MATCH(332,'Output Utente'!$Q$2:$Q$492,0)),"")</f>
        <v>OK</v>
      </c>
      <c r="N335" s="5" t="str">
        <f>IFERROR(INDEX('Output Utente'!$AE$2:$AE$492,MATCH(332,'Output Utente'!$Q$2:$Q$492,0)),"")</f>
        <v>🔴 Non aspettare</v>
      </c>
    </row>
    <row r="336" spans="1:14" ht="15" customHeight="1" x14ac:dyDescent="0.25">
      <c r="A336" s="41">
        <v>333</v>
      </c>
      <c r="B336" s="5">
        <f>IFERROR(INDEX('Output Utente'!$A$2:$A$492,MATCH(333,'Output Utente'!$Q$2:$Q$492,0)),"")</f>
        <v>4925</v>
      </c>
      <c r="C336" s="5" t="str">
        <f>IFERROR(INDEX('Output Utente'!$B$2:$B$492,MATCH(333,'Output Utente'!$Q$2:$Q$492,0)),"")</f>
        <v>D</v>
      </c>
      <c r="D336" s="5" t="str">
        <f>IFERROR(INDEX('Output Utente'!$C$2:$C$492,MATCH(333,'Output Utente'!$Q$2:$Q$492,0)),"")</f>
        <v>Carboni A.</v>
      </c>
      <c r="E336" s="5" t="str">
        <f>IFERROR(INDEX('Input Giocatori 2026_27'!$D$3:$D$493,MATCH($B336,'Input Giocatori 2026_27'!$A$3:$A$493,0)),"")</f>
        <v>Monza</v>
      </c>
      <c r="F336" s="42">
        <f>IFERROR(INDEX('Output Utente'!$N$2:$N$492,MATCH(333,'Output Utente'!$Q$2:$Q$492,0)),"")</f>
        <v>3</v>
      </c>
      <c r="G336" s="42">
        <f>IFERROR(INDEX('Output Utente'!$O$2:$O$492,MATCH(333,'Output Utente'!$Q$2:$Q$492,0)),"")</f>
        <v>9</v>
      </c>
      <c r="H336" s="5" t="str">
        <f>IFERROR(INDEX('Output Utente'!$P$2:$P$492,MATCH(333,'Output Utente'!$Q$2:$Q$492,0)),"")</f>
        <v>Scommessa/Riserva</v>
      </c>
      <c r="I336" s="42">
        <f>IFERROR(INDEX('Output Utente'!$F$2:$F$492,MATCH(333,'Output Utente'!$Q$2:$Q$492,0)),"")</f>
        <v>2</v>
      </c>
      <c r="J336" s="42">
        <f>IFERROR(INDEX('Output Utente'!$G$2:$G$492,MATCH(333,'Output Utente'!$Q$2:$Q$492,0)),"")</f>
        <v>1</v>
      </c>
      <c r="K336" s="42">
        <f>IFERROR(INDEX('Output Utente'!$H$2:$H$492,MATCH(333,'Output Utente'!$Q$2:$Q$492,0)),"")</f>
        <v>2</v>
      </c>
      <c r="L336" s="5" t="str">
        <f>IFERROR(INDEX('Output Utente'!$E$2:$E$492,MATCH(333,'Output Utente'!$Q$2:$Q$492,0)),"")</f>
        <v>NO</v>
      </c>
      <c r="M336" s="5" t="str">
        <f>IFERROR(INDEX('Output Utente'!$U$2:$U$492,MATCH(333,'Output Utente'!$Q$2:$Q$492,0)),"")</f>
        <v>OK</v>
      </c>
      <c r="N336" s="5" t="str">
        <f>IFERROR(INDEX('Output Utente'!$AE$2:$AE$492,MATCH(333,'Output Utente'!$Q$2:$Q$492,0)),"")</f>
        <v>🔴 Non aspettare</v>
      </c>
    </row>
    <row r="337" spans="1:14" ht="15" customHeight="1" x14ac:dyDescent="0.25">
      <c r="A337" s="41">
        <v>334</v>
      </c>
      <c r="B337" s="5">
        <f>IFERROR(INDEX('Output Utente'!$A$2:$A$492,MATCH(334,'Output Utente'!$Q$2:$Q$492,0)),"")</f>
        <v>6506</v>
      </c>
      <c r="C337" s="5" t="str">
        <f>IFERROR(INDEX('Output Utente'!$B$2:$B$492,MATCH(334,'Output Utente'!$Q$2:$Q$492,0)),"")</f>
        <v>C</v>
      </c>
      <c r="D337" s="5" t="str">
        <f>IFERROR(INDEX('Output Utente'!$C$2:$C$492,MATCH(334,'Output Utente'!$Q$2:$Q$492,0)),"")</f>
        <v xml:space="preserve">Fini </v>
      </c>
      <c r="E337" s="5" t="str">
        <f>IFERROR(INDEX('Input Giocatori 2026_27'!$D$3:$D$493,MATCH($B337,'Input Giocatori 2026_27'!$A$3:$A$493,0)),"")</f>
        <v>Frosinone</v>
      </c>
      <c r="F337" s="42">
        <f>IFERROR(INDEX('Output Utente'!$N$2:$N$492,MATCH(334,'Output Utente'!$Q$2:$Q$492,0)),"")</f>
        <v>3</v>
      </c>
      <c r="G337" s="42">
        <f>IFERROR(INDEX('Output Utente'!$O$2:$O$492,MATCH(334,'Output Utente'!$Q$2:$Q$492,0)),"")</f>
        <v>9</v>
      </c>
      <c r="H337" s="5" t="str">
        <f>IFERROR(INDEX('Output Utente'!$P$2:$P$492,MATCH(334,'Output Utente'!$Q$2:$Q$492,0)),"")</f>
        <v>Scommessa/Riserva</v>
      </c>
      <c r="I337" s="42">
        <f>IFERROR(INDEX('Output Utente'!$F$2:$F$492,MATCH(334,'Output Utente'!$Q$2:$Q$492,0)),"")</f>
        <v>1</v>
      </c>
      <c r="J337" s="42">
        <f>IFERROR(INDEX('Output Utente'!$G$2:$G$492,MATCH(334,'Output Utente'!$Q$2:$Q$492,0)),"")</f>
        <v>1</v>
      </c>
      <c r="K337" s="42">
        <f>IFERROR(INDEX('Output Utente'!$H$2:$H$492,MATCH(334,'Output Utente'!$Q$2:$Q$492,0)),"")</f>
        <v>1</v>
      </c>
      <c r="L337" s="5" t="str">
        <f>IFERROR(INDEX('Output Utente'!$E$2:$E$492,MATCH(334,'Output Utente'!$Q$2:$Q$492,0)),"")</f>
        <v>NO</v>
      </c>
      <c r="M337" s="5" t="str">
        <f>IFERROR(INDEX('Output Utente'!$U$2:$U$492,MATCH(334,'Output Utente'!$Q$2:$Q$492,0)),"")</f>
        <v>OK</v>
      </c>
      <c r="N337" s="5" t="str">
        <f>IFERROR(INDEX('Output Utente'!$AE$2:$AE$492,MATCH(334,'Output Utente'!$Q$2:$Q$492,0)),"")</f>
        <v>🔴 Non aspettare</v>
      </c>
    </row>
    <row r="338" spans="1:14" ht="15" customHeight="1" x14ac:dyDescent="0.25">
      <c r="A338" s="41">
        <v>335</v>
      </c>
      <c r="B338" s="5">
        <f>IFERROR(INDEX('Output Utente'!$A$2:$A$492,MATCH(335,'Output Utente'!$Q$2:$Q$492,0)),"")</f>
        <v>5131</v>
      </c>
      <c r="C338" s="5" t="str">
        <f>IFERROR(INDEX('Output Utente'!$B$2:$B$492,MATCH(335,'Output Utente'!$Q$2:$Q$492,0)),"")</f>
        <v>C</v>
      </c>
      <c r="D338" s="5" t="str">
        <f>IFERROR(INDEX('Output Utente'!$C$2:$C$492,MATCH(335,'Output Utente'!$Q$2:$Q$492,0)),"")</f>
        <v>Gilmour</v>
      </c>
      <c r="E338" s="5" t="str">
        <f>IFERROR(INDEX('Input Giocatori 2026_27'!$D$3:$D$493,MATCH($B338,'Input Giocatori 2026_27'!$A$3:$A$493,0)),"")</f>
        <v>Napoli</v>
      </c>
      <c r="F338" s="42">
        <f>IFERROR(INDEX('Output Utente'!$N$2:$N$492,MATCH(335,'Output Utente'!$Q$2:$Q$492,0)),"")</f>
        <v>3</v>
      </c>
      <c r="G338" s="42">
        <f>IFERROR(INDEX('Output Utente'!$O$2:$O$492,MATCH(335,'Output Utente'!$Q$2:$Q$492,0)),"")</f>
        <v>9</v>
      </c>
      <c r="H338" s="5" t="str">
        <f>IFERROR(INDEX('Output Utente'!$P$2:$P$492,MATCH(335,'Output Utente'!$Q$2:$Q$492,0)),"")</f>
        <v>Scommessa/Riserva</v>
      </c>
      <c r="I338" s="42">
        <f>IFERROR(INDEX('Output Utente'!$F$2:$F$492,MATCH(335,'Output Utente'!$Q$2:$Q$492,0)),"")</f>
        <v>1</v>
      </c>
      <c r="J338" s="42">
        <f>IFERROR(INDEX('Output Utente'!$G$2:$G$492,MATCH(335,'Output Utente'!$Q$2:$Q$492,0)),"")</f>
        <v>1</v>
      </c>
      <c r="K338" s="42">
        <f>IFERROR(INDEX('Output Utente'!$H$2:$H$492,MATCH(335,'Output Utente'!$Q$2:$Q$492,0)),"")</f>
        <v>1</v>
      </c>
      <c r="L338" s="5" t="str">
        <f>IFERROR(INDEX('Output Utente'!$E$2:$E$492,MATCH(335,'Output Utente'!$Q$2:$Q$492,0)),"")</f>
        <v>NO</v>
      </c>
      <c r="M338" s="5" t="str">
        <f>IFERROR(INDEX('Output Utente'!$U$2:$U$492,MATCH(335,'Output Utente'!$Q$2:$Q$492,0)),"")</f>
        <v>OK</v>
      </c>
      <c r="N338" s="5" t="str">
        <f>IFERROR(INDEX('Output Utente'!$AE$2:$AE$492,MATCH(335,'Output Utente'!$Q$2:$Q$492,0)),"")</f>
        <v>🔴 Non aspettare</v>
      </c>
    </row>
    <row r="339" spans="1:14" ht="15" customHeight="1" x14ac:dyDescent="0.25">
      <c r="A339" s="41">
        <v>336</v>
      </c>
      <c r="B339" s="5">
        <f>IFERROR(INDEX('Output Utente'!$A$2:$A$492,MATCH(336,'Output Utente'!$Q$2:$Q$492,0)),"")</f>
        <v>6243</v>
      </c>
      <c r="C339" s="5" t="str">
        <f>IFERROR(INDEX('Output Utente'!$B$2:$B$492,MATCH(336,'Output Utente'!$Q$2:$Q$492,0)),"")</f>
        <v>A</v>
      </c>
      <c r="D339" s="5" t="str">
        <f>IFERROR(INDEX('Output Utente'!$C$2:$C$492,MATCH(336,'Output Utente'!$Q$2:$Q$492,0)),"")</f>
        <v>Borrelli</v>
      </c>
      <c r="E339" s="5" t="str">
        <f>IFERROR(INDEX('Input Giocatori 2026_27'!$D$3:$D$493,MATCH($B339,'Input Giocatori 2026_27'!$A$3:$A$493,0)),"")</f>
        <v>Cagliari</v>
      </c>
      <c r="F339" s="42">
        <f>IFERROR(INDEX('Output Utente'!$N$2:$N$492,MATCH(336,'Output Utente'!$Q$2:$Q$492,0)),"")</f>
        <v>4</v>
      </c>
      <c r="G339" s="42">
        <f>IFERROR(INDEX('Output Utente'!$O$2:$O$492,MATCH(336,'Output Utente'!$Q$2:$Q$492,0)),"")</f>
        <v>9</v>
      </c>
      <c r="H339" s="5" t="str">
        <f>IFERROR(INDEX('Output Utente'!$P$2:$P$492,MATCH(336,'Output Utente'!$Q$2:$Q$492,0)),"")</f>
        <v>Scommessa/Riserva</v>
      </c>
      <c r="I339" s="42">
        <f>IFERROR(INDEX('Output Utente'!$F$2:$F$492,MATCH(336,'Output Utente'!$Q$2:$Q$492,0)),"")</f>
        <v>3</v>
      </c>
      <c r="J339" s="42">
        <f>IFERROR(INDEX('Output Utente'!$G$2:$G$492,MATCH(336,'Output Utente'!$Q$2:$Q$492,0)),"")</f>
        <v>2</v>
      </c>
      <c r="K339" s="42">
        <f>IFERROR(INDEX('Output Utente'!$H$2:$H$492,MATCH(336,'Output Utente'!$Q$2:$Q$492,0)),"")</f>
        <v>3</v>
      </c>
      <c r="L339" s="5" t="str">
        <f>IFERROR(INDEX('Output Utente'!$E$2:$E$492,MATCH(336,'Output Utente'!$Q$2:$Q$492,0)),"")</f>
        <v>NO</v>
      </c>
      <c r="M339" s="5" t="str">
        <f>IFERROR(INDEX('Output Utente'!$U$2:$U$492,MATCH(336,'Output Utente'!$Q$2:$Q$492,0)),"")</f>
        <v>OK</v>
      </c>
      <c r="N339" s="5" t="str">
        <f>IFERROR(INDEX('Output Utente'!$AE$2:$AE$492,MATCH(336,'Output Utente'!$Q$2:$Q$492,0)),"")</f>
        <v>🔴 Non aspettare</v>
      </c>
    </row>
    <row r="340" spans="1:14" ht="15" customHeight="1" x14ac:dyDescent="0.25">
      <c r="A340" s="41">
        <v>337</v>
      </c>
      <c r="B340" s="5">
        <f>IFERROR(INDEX('Output Utente'!$A$2:$A$492,MATCH(337,'Output Utente'!$Q$2:$Q$492,0)),"")</f>
        <v>7374</v>
      </c>
      <c r="C340" s="5" t="str">
        <f>IFERROR(INDEX('Output Utente'!$B$2:$B$492,MATCH(337,'Output Utente'!$Q$2:$Q$492,0)),"")</f>
        <v>A</v>
      </c>
      <c r="D340" s="5" t="str">
        <f>IFERROR(INDEX('Output Utente'!$C$2:$C$492,MATCH(337,'Output Utente'!$Q$2:$Q$492,0)),"")</f>
        <v>Mendy P.</v>
      </c>
      <c r="E340" s="5" t="str">
        <f>IFERROR(INDEX('Input Giocatori 2026_27'!$D$3:$D$493,MATCH($B340,'Input Giocatori 2026_27'!$A$3:$A$493,0)),"")</f>
        <v>Cagliari</v>
      </c>
      <c r="F340" s="42">
        <f>IFERROR(INDEX('Output Utente'!$N$2:$N$492,MATCH(337,'Output Utente'!$Q$2:$Q$492,0)),"")</f>
        <v>4</v>
      </c>
      <c r="G340" s="42">
        <f>IFERROR(INDEX('Output Utente'!$O$2:$O$492,MATCH(337,'Output Utente'!$Q$2:$Q$492,0)),"")</f>
        <v>9</v>
      </c>
      <c r="H340" s="5" t="str">
        <f>IFERROR(INDEX('Output Utente'!$P$2:$P$492,MATCH(337,'Output Utente'!$Q$2:$Q$492,0)),"")</f>
        <v>Scommessa/Riserva</v>
      </c>
      <c r="I340" s="42">
        <f>IFERROR(INDEX('Output Utente'!$F$2:$F$492,MATCH(337,'Output Utente'!$Q$2:$Q$492,0)),"")</f>
        <v>3</v>
      </c>
      <c r="J340" s="42">
        <f>IFERROR(INDEX('Output Utente'!$G$2:$G$492,MATCH(337,'Output Utente'!$Q$2:$Q$492,0)),"")</f>
        <v>2</v>
      </c>
      <c r="K340" s="42">
        <f>IFERROR(INDEX('Output Utente'!$H$2:$H$492,MATCH(337,'Output Utente'!$Q$2:$Q$492,0)),"")</f>
        <v>3</v>
      </c>
      <c r="L340" s="5" t="str">
        <f>IFERROR(INDEX('Output Utente'!$E$2:$E$492,MATCH(337,'Output Utente'!$Q$2:$Q$492,0)),"")</f>
        <v>NO</v>
      </c>
      <c r="M340" s="5" t="str">
        <f>IFERROR(INDEX('Output Utente'!$U$2:$U$492,MATCH(337,'Output Utente'!$Q$2:$Q$492,0)),"")</f>
        <v>OK</v>
      </c>
      <c r="N340" s="5" t="str">
        <f>IFERROR(INDEX('Output Utente'!$AE$2:$AE$492,MATCH(337,'Output Utente'!$Q$2:$Q$492,0)),"")</f>
        <v>🔴 Non aspettare</v>
      </c>
    </row>
    <row r="341" spans="1:14" ht="15" customHeight="1" x14ac:dyDescent="0.25">
      <c r="A341" s="41">
        <v>338</v>
      </c>
      <c r="B341" s="5">
        <f>IFERROR(INDEX('Output Utente'!$A$2:$A$492,MATCH(338,'Output Utente'!$Q$2:$Q$492,0)),"")</f>
        <v>7453</v>
      </c>
      <c r="C341" s="5" t="str">
        <f>IFERROR(INDEX('Output Utente'!$B$2:$B$492,MATCH(338,'Output Utente'!$Q$2:$Q$492,0)),"")</f>
        <v>A</v>
      </c>
      <c r="D341" s="5" t="str">
        <f>IFERROR(INDEX('Output Utente'!$C$2:$C$492,MATCH(338,'Output Utente'!$Q$2:$Q$492,0)),"")</f>
        <v>Havel</v>
      </c>
      <c r="E341" s="5" t="str">
        <f>IFERROR(INDEX('Input Giocatori 2026_27'!$D$3:$D$493,MATCH($B341,'Input Giocatori 2026_27'!$A$3:$A$493,0)),"")</f>
        <v>Genoa</v>
      </c>
      <c r="F341" s="42">
        <f>IFERROR(INDEX('Output Utente'!$N$2:$N$492,MATCH(338,'Output Utente'!$Q$2:$Q$492,0)),"")</f>
        <v>4</v>
      </c>
      <c r="G341" s="42">
        <f>IFERROR(INDEX('Output Utente'!$O$2:$O$492,MATCH(338,'Output Utente'!$Q$2:$Q$492,0)),"")</f>
        <v>9</v>
      </c>
      <c r="H341" s="5" t="str">
        <f>IFERROR(INDEX('Output Utente'!$P$2:$P$492,MATCH(338,'Output Utente'!$Q$2:$Q$492,0)),"")</f>
        <v>Scommessa/Riserva</v>
      </c>
      <c r="I341" s="42">
        <f>IFERROR(INDEX('Output Utente'!$F$2:$F$492,MATCH(338,'Output Utente'!$Q$2:$Q$492,0)),"")</f>
        <v>3</v>
      </c>
      <c r="J341" s="42">
        <f>IFERROR(INDEX('Output Utente'!$G$2:$G$492,MATCH(338,'Output Utente'!$Q$2:$Q$492,0)),"")</f>
        <v>2</v>
      </c>
      <c r="K341" s="42">
        <f>IFERROR(INDEX('Output Utente'!$H$2:$H$492,MATCH(338,'Output Utente'!$Q$2:$Q$492,0)),"")</f>
        <v>3</v>
      </c>
      <c r="L341" s="5" t="str">
        <f>IFERROR(INDEX('Output Utente'!$E$2:$E$492,MATCH(338,'Output Utente'!$Q$2:$Q$492,0)),"")</f>
        <v>NO</v>
      </c>
      <c r="M341" s="5" t="str">
        <f>IFERROR(INDEX('Output Utente'!$U$2:$U$492,MATCH(338,'Output Utente'!$Q$2:$Q$492,0)),"")</f>
        <v>OK</v>
      </c>
      <c r="N341" s="5" t="str">
        <f>IFERROR(INDEX('Output Utente'!$AE$2:$AE$492,MATCH(338,'Output Utente'!$Q$2:$Q$492,0)),"")</f>
        <v>🔴 Non aspettare</v>
      </c>
    </row>
    <row r="342" spans="1:14" ht="15" customHeight="1" x14ac:dyDescent="0.25">
      <c r="A342" s="41">
        <v>339</v>
      </c>
      <c r="B342" s="5">
        <f>IFERROR(INDEX('Output Utente'!$A$2:$A$492,MATCH(339,'Output Utente'!$Q$2:$Q$492,0)),"")</f>
        <v>7349</v>
      </c>
      <c r="C342" s="5" t="str">
        <f>IFERROR(INDEX('Output Utente'!$B$2:$B$492,MATCH(339,'Output Utente'!$Q$2:$Q$492,0)),"")</f>
        <v>A</v>
      </c>
      <c r="D342" s="5" t="str">
        <f>IFERROR(INDEX('Output Utente'!$C$2:$C$492,MATCH(339,'Output Utente'!$Q$2:$Q$492,0)),"")</f>
        <v>Kulenovic</v>
      </c>
      <c r="E342" s="5" t="str">
        <f>IFERROR(INDEX('Input Giocatori 2026_27'!$D$3:$D$493,MATCH($B342,'Input Giocatori 2026_27'!$A$3:$A$493,0)),"")</f>
        <v>Torino</v>
      </c>
      <c r="F342" s="42">
        <f>IFERROR(INDEX('Output Utente'!$N$2:$N$492,MATCH(339,'Output Utente'!$Q$2:$Q$492,0)),"")</f>
        <v>4</v>
      </c>
      <c r="G342" s="42">
        <f>IFERROR(INDEX('Output Utente'!$O$2:$O$492,MATCH(339,'Output Utente'!$Q$2:$Q$492,0)),"")</f>
        <v>9</v>
      </c>
      <c r="H342" s="5" t="str">
        <f>IFERROR(INDEX('Output Utente'!$P$2:$P$492,MATCH(339,'Output Utente'!$Q$2:$Q$492,0)),"")</f>
        <v>Scommessa/Riserva</v>
      </c>
      <c r="I342" s="42">
        <f>IFERROR(INDEX('Output Utente'!$F$2:$F$492,MATCH(339,'Output Utente'!$Q$2:$Q$492,0)),"")</f>
        <v>3</v>
      </c>
      <c r="J342" s="42">
        <f>IFERROR(INDEX('Output Utente'!$G$2:$G$492,MATCH(339,'Output Utente'!$Q$2:$Q$492,0)),"")</f>
        <v>2</v>
      </c>
      <c r="K342" s="42">
        <f>IFERROR(INDEX('Output Utente'!$H$2:$H$492,MATCH(339,'Output Utente'!$Q$2:$Q$492,0)),"")</f>
        <v>3</v>
      </c>
      <c r="L342" s="5" t="str">
        <f>IFERROR(INDEX('Output Utente'!$E$2:$E$492,MATCH(339,'Output Utente'!$Q$2:$Q$492,0)),"")</f>
        <v>NO</v>
      </c>
      <c r="M342" s="5" t="str">
        <f>IFERROR(INDEX('Output Utente'!$U$2:$U$492,MATCH(339,'Output Utente'!$Q$2:$Q$492,0)),"")</f>
        <v>OK</v>
      </c>
      <c r="N342" s="5" t="str">
        <f>IFERROR(INDEX('Output Utente'!$AE$2:$AE$492,MATCH(339,'Output Utente'!$Q$2:$Q$492,0)),"")</f>
        <v>🔴 Non aspettare</v>
      </c>
    </row>
    <row r="343" spans="1:14" ht="15" customHeight="1" x14ac:dyDescent="0.25">
      <c r="A343" s="41">
        <v>340</v>
      </c>
      <c r="B343" s="5">
        <f>IFERROR(INDEX('Output Utente'!$A$2:$A$492,MATCH(340,'Output Utente'!$Q$2:$Q$492,0)),"")</f>
        <v>7001</v>
      </c>
      <c r="C343" s="5" t="str">
        <f>IFERROR(INDEX('Output Utente'!$B$2:$B$492,MATCH(340,'Output Utente'!$Q$2:$Q$492,0)),"")</f>
        <v>A</v>
      </c>
      <c r="D343" s="5" t="str">
        <f>IFERROR(INDEX('Output Utente'!$C$2:$C$492,MATCH(340,'Output Utente'!$Q$2:$Q$492,0)),"")</f>
        <v>N'Dri</v>
      </c>
      <c r="E343" s="5" t="str">
        <f>IFERROR(INDEX('Input Giocatori 2026_27'!$D$3:$D$493,MATCH($B343,'Input Giocatori 2026_27'!$A$3:$A$493,0)),"")</f>
        <v>Lecce</v>
      </c>
      <c r="F343" s="42">
        <f>IFERROR(INDEX('Output Utente'!$N$2:$N$492,MATCH(340,'Output Utente'!$Q$2:$Q$492,0)),"")</f>
        <v>3</v>
      </c>
      <c r="G343" s="42">
        <f>IFERROR(INDEX('Output Utente'!$O$2:$O$492,MATCH(340,'Output Utente'!$Q$2:$Q$492,0)),"")</f>
        <v>9</v>
      </c>
      <c r="H343" s="5" t="str">
        <f>IFERROR(INDEX('Output Utente'!$P$2:$P$492,MATCH(340,'Output Utente'!$Q$2:$Q$492,0)),"")</f>
        <v>Scommessa/Riserva</v>
      </c>
      <c r="I343" s="42">
        <f>IFERROR(INDEX('Output Utente'!$F$2:$F$492,MATCH(340,'Output Utente'!$Q$2:$Q$492,0)),"")</f>
        <v>3</v>
      </c>
      <c r="J343" s="42">
        <f>IFERROR(INDEX('Output Utente'!$G$2:$G$492,MATCH(340,'Output Utente'!$Q$2:$Q$492,0)),"")</f>
        <v>2</v>
      </c>
      <c r="K343" s="42">
        <f>IFERROR(INDEX('Output Utente'!$H$2:$H$492,MATCH(340,'Output Utente'!$Q$2:$Q$492,0)),"")</f>
        <v>3</v>
      </c>
      <c r="L343" s="5" t="str">
        <f>IFERROR(INDEX('Output Utente'!$E$2:$E$492,MATCH(340,'Output Utente'!$Q$2:$Q$492,0)),"")</f>
        <v>NO</v>
      </c>
      <c r="M343" s="5" t="str">
        <f>IFERROR(INDEX('Output Utente'!$U$2:$U$492,MATCH(340,'Output Utente'!$Q$2:$Q$492,0)),"")</f>
        <v>OK</v>
      </c>
      <c r="N343" s="5" t="str">
        <f>IFERROR(INDEX('Output Utente'!$AE$2:$AE$492,MATCH(340,'Output Utente'!$Q$2:$Q$492,0)),"")</f>
        <v>🔴 Non aspettare</v>
      </c>
    </row>
    <row r="344" spans="1:14" ht="15" customHeight="1" x14ac:dyDescent="0.25">
      <c r="A344" s="41">
        <v>341</v>
      </c>
      <c r="B344" s="5">
        <f>IFERROR(INDEX('Output Utente'!$A$2:$A$492,MATCH(341,'Output Utente'!$Q$2:$Q$492,0)),"")</f>
        <v>6415</v>
      </c>
      <c r="C344" s="5" t="str">
        <f>IFERROR(INDEX('Output Utente'!$B$2:$B$492,MATCH(341,'Output Utente'!$Q$2:$Q$492,0)),"")</f>
        <v>P</v>
      </c>
      <c r="D344" s="5" t="str">
        <f>IFERROR(INDEX('Output Utente'!$C$2:$C$492,MATCH(341,'Output Utente'!$Q$2:$Q$492,0)),"")</f>
        <v>Palmisani</v>
      </c>
      <c r="E344" s="5" t="str">
        <f>IFERROR(INDEX('Input Giocatori 2026_27'!$D$3:$D$493,MATCH($B344,'Input Giocatori 2026_27'!$A$3:$A$493,0)),"")</f>
        <v>Frosinone</v>
      </c>
      <c r="F344" s="42">
        <f>IFERROR(INDEX('Output Utente'!$N$2:$N$492,MATCH(341,'Output Utente'!$Q$2:$Q$492,0)),"")</f>
        <v>4</v>
      </c>
      <c r="G344" s="42">
        <f>IFERROR(INDEX('Output Utente'!$O$2:$O$492,MATCH(341,'Output Utente'!$Q$2:$Q$492,0)),"")</f>
        <v>8</v>
      </c>
      <c r="H344" s="5" t="str">
        <f>IFERROR(INDEX('Output Utente'!$P$2:$P$492,MATCH(341,'Output Utente'!$Q$2:$Q$492,0)),"")</f>
        <v>Nella Media</v>
      </c>
      <c r="I344" s="42">
        <f>IFERROR(INDEX('Output Utente'!$F$2:$F$492,MATCH(341,'Output Utente'!$Q$2:$Q$492,0)),"")</f>
        <v>3</v>
      </c>
      <c r="J344" s="42">
        <f>IFERROR(INDEX('Output Utente'!$G$2:$G$492,MATCH(341,'Output Utente'!$Q$2:$Q$492,0)),"")</f>
        <v>2</v>
      </c>
      <c r="K344" s="42">
        <f>IFERROR(INDEX('Output Utente'!$H$2:$H$492,MATCH(341,'Output Utente'!$Q$2:$Q$492,0)),"")</f>
        <v>3</v>
      </c>
      <c r="L344" s="5" t="str">
        <f>IFERROR(INDEX('Output Utente'!$E$2:$E$492,MATCH(341,'Output Utente'!$Q$2:$Q$492,0)),"")</f>
        <v>NO</v>
      </c>
      <c r="M344" s="5" t="str">
        <f>IFERROR(INDEX('Output Utente'!$U$2:$U$492,MATCH(341,'Output Utente'!$Q$2:$Q$492,0)),"")</f>
        <v>OK</v>
      </c>
      <c r="N344" s="5" t="str">
        <f>IFERROR(INDEX('Output Utente'!$AE$2:$AE$492,MATCH(341,'Output Utente'!$Q$2:$Q$492,0)),"")</f>
        <v>🔴 Non aspettare</v>
      </c>
    </row>
    <row r="345" spans="1:14" ht="15" customHeight="1" x14ac:dyDescent="0.25">
      <c r="A345" s="41">
        <v>342</v>
      </c>
      <c r="B345" s="5">
        <f>IFERROR(INDEX('Output Utente'!$A$2:$A$492,MATCH(342,'Output Utente'!$Q$2:$Q$492,0)),"")</f>
        <v>7463</v>
      </c>
      <c r="C345" s="5" t="str">
        <f>IFERROR(INDEX('Output Utente'!$B$2:$B$492,MATCH(342,'Output Utente'!$Q$2:$Q$492,0)),"")</f>
        <v>P</v>
      </c>
      <c r="D345" s="5" t="str">
        <f>IFERROR(INDEX('Output Utente'!$C$2:$C$492,MATCH(342,'Output Utente'!$Q$2:$Q$492,0)),"")</f>
        <v>Desplanches</v>
      </c>
      <c r="E345" s="5" t="str">
        <f>IFERROR(INDEX('Input Giocatori 2026_27'!$D$3:$D$493,MATCH($B345,'Input Giocatori 2026_27'!$A$3:$A$493,0)),"")</f>
        <v>Frosinone</v>
      </c>
      <c r="F345" s="42">
        <f>IFERROR(INDEX('Output Utente'!$N$2:$N$492,MATCH(342,'Output Utente'!$Q$2:$Q$492,0)),"")</f>
        <v>2</v>
      </c>
      <c r="G345" s="42">
        <f>IFERROR(INDEX('Output Utente'!$O$2:$O$492,MATCH(342,'Output Utente'!$Q$2:$Q$492,0)),"")</f>
        <v>8</v>
      </c>
      <c r="H345" s="5" t="str">
        <f>IFERROR(INDEX('Output Utente'!$P$2:$P$492,MATCH(342,'Output Utente'!$Q$2:$Q$492,0)),"")</f>
        <v>Nella Media</v>
      </c>
      <c r="I345" s="42">
        <f>IFERROR(INDEX('Output Utente'!$F$2:$F$492,MATCH(342,'Output Utente'!$Q$2:$Q$492,0)),"")</f>
        <v>3</v>
      </c>
      <c r="J345" s="42">
        <f>IFERROR(INDEX('Output Utente'!$G$2:$G$492,MATCH(342,'Output Utente'!$Q$2:$Q$492,0)),"")</f>
        <v>2</v>
      </c>
      <c r="K345" s="42">
        <f>IFERROR(INDEX('Output Utente'!$H$2:$H$492,MATCH(342,'Output Utente'!$Q$2:$Q$492,0)),"")</f>
        <v>3</v>
      </c>
      <c r="L345" s="5" t="str">
        <f>IFERROR(INDEX('Output Utente'!$E$2:$E$492,MATCH(342,'Output Utente'!$Q$2:$Q$492,0)),"")</f>
        <v>NO</v>
      </c>
      <c r="M345" s="5" t="str">
        <f>IFERROR(INDEX('Output Utente'!$U$2:$U$492,MATCH(342,'Output Utente'!$Q$2:$Q$492,0)),"")</f>
        <v>OK</v>
      </c>
      <c r="N345" s="5" t="str">
        <f>IFERROR(INDEX('Output Utente'!$AE$2:$AE$492,MATCH(342,'Output Utente'!$Q$2:$Q$492,0)),"")</f>
        <v>🔴 Non aspettare</v>
      </c>
    </row>
    <row r="346" spans="1:14" ht="15" customHeight="1" x14ac:dyDescent="0.25">
      <c r="A346" s="41">
        <v>343</v>
      </c>
      <c r="B346" s="5">
        <f>IFERROR(INDEX('Output Utente'!$A$2:$A$492,MATCH(343,'Output Utente'!$Q$2:$Q$492,0)),"")</f>
        <v>5603</v>
      </c>
      <c r="C346" s="5" t="str">
        <f>IFERROR(INDEX('Output Utente'!$B$2:$B$492,MATCH(343,'Output Utente'!$Q$2:$Q$492,0)),"")</f>
        <v>D</v>
      </c>
      <c r="D346" s="5" t="str">
        <f>IFERROR(INDEX('Output Utente'!$C$2:$C$492,MATCH(343,'Output Utente'!$Q$2:$Q$492,0)),"")</f>
        <v>Pongracic</v>
      </c>
      <c r="E346" s="5" t="str">
        <f>IFERROR(INDEX('Input Giocatori 2026_27'!$D$3:$D$493,MATCH($B346,'Input Giocatori 2026_27'!$A$3:$A$493,0)),"")</f>
        <v>Fiorentina</v>
      </c>
      <c r="F346" s="42">
        <f>IFERROR(INDEX('Output Utente'!$N$2:$N$492,MATCH(343,'Output Utente'!$Q$2:$Q$492,0)),"")</f>
        <v>4</v>
      </c>
      <c r="G346" s="42">
        <f>IFERROR(INDEX('Output Utente'!$O$2:$O$492,MATCH(343,'Output Utente'!$Q$2:$Q$492,0)),"")</f>
        <v>8</v>
      </c>
      <c r="H346" s="5" t="str">
        <f>IFERROR(INDEX('Output Utente'!$P$2:$P$492,MATCH(343,'Output Utente'!$Q$2:$Q$492,0)),"")</f>
        <v>Scommessa/Riserva</v>
      </c>
      <c r="I346" s="42">
        <f>IFERROR(INDEX('Output Utente'!$F$2:$F$492,MATCH(343,'Output Utente'!$Q$2:$Q$492,0)),"")</f>
        <v>2</v>
      </c>
      <c r="J346" s="42">
        <f>IFERROR(INDEX('Output Utente'!$G$2:$G$492,MATCH(343,'Output Utente'!$Q$2:$Q$492,0)),"")</f>
        <v>1</v>
      </c>
      <c r="K346" s="42">
        <f>IFERROR(INDEX('Output Utente'!$H$2:$H$492,MATCH(343,'Output Utente'!$Q$2:$Q$492,0)),"")</f>
        <v>2</v>
      </c>
      <c r="L346" s="5" t="str">
        <f>IFERROR(INDEX('Output Utente'!$E$2:$E$492,MATCH(343,'Output Utente'!$Q$2:$Q$492,0)),"")</f>
        <v>NO</v>
      </c>
      <c r="M346" s="5" t="str">
        <f>IFERROR(INDEX('Output Utente'!$U$2:$U$492,MATCH(343,'Output Utente'!$Q$2:$Q$492,0)),"")</f>
        <v>OK</v>
      </c>
      <c r="N346" s="5" t="str">
        <f>IFERROR(INDEX('Output Utente'!$AE$2:$AE$492,MATCH(343,'Output Utente'!$Q$2:$Q$492,0)),"")</f>
        <v>🔴 Non aspettare</v>
      </c>
    </row>
    <row r="347" spans="1:14" ht="15" customHeight="1" x14ac:dyDescent="0.25">
      <c r="A347" s="41">
        <v>344</v>
      </c>
      <c r="B347" s="5">
        <f>IFERROR(INDEX('Output Utente'!$A$2:$A$492,MATCH(344,'Output Utente'!$Q$2:$Q$492,0)),"")</f>
        <v>7312</v>
      </c>
      <c r="C347" s="5" t="str">
        <f>IFERROR(INDEX('Output Utente'!$B$2:$B$492,MATCH(344,'Output Utente'!$Q$2:$Q$492,0)),"")</f>
        <v>D</v>
      </c>
      <c r="D347" s="5" t="str">
        <f>IFERROR(INDEX('Output Utente'!$C$2:$C$492,MATCH(344,'Output Utente'!$Q$2:$Q$492,0)),"")</f>
        <v>Arizala</v>
      </c>
      <c r="E347" s="5" t="str">
        <f>IFERROR(INDEX('Input Giocatori 2026_27'!$D$3:$D$493,MATCH($B347,'Input Giocatori 2026_27'!$A$3:$A$493,0)),"")</f>
        <v>Udinese</v>
      </c>
      <c r="F347" s="42">
        <f>IFERROR(INDEX('Output Utente'!$N$2:$N$492,MATCH(344,'Output Utente'!$Q$2:$Q$492,0)),"")</f>
        <v>4</v>
      </c>
      <c r="G347" s="42">
        <f>IFERROR(INDEX('Output Utente'!$O$2:$O$492,MATCH(344,'Output Utente'!$Q$2:$Q$492,0)),"")</f>
        <v>8</v>
      </c>
      <c r="H347" s="5" t="str">
        <f>IFERROR(INDEX('Output Utente'!$P$2:$P$492,MATCH(344,'Output Utente'!$Q$2:$Q$492,0)),"")</f>
        <v>Scommessa/Riserva</v>
      </c>
      <c r="I347" s="42">
        <f>IFERROR(INDEX('Output Utente'!$F$2:$F$492,MATCH(344,'Output Utente'!$Q$2:$Q$492,0)),"")</f>
        <v>2</v>
      </c>
      <c r="J347" s="42">
        <f>IFERROR(INDEX('Output Utente'!$G$2:$G$492,MATCH(344,'Output Utente'!$Q$2:$Q$492,0)),"")</f>
        <v>1</v>
      </c>
      <c r="K347" s="42">
        <f>IFERROR(INDEX('Output Utente'!$H$2:$H$492,MATCH(344,'Output Utente'!$Q$2:$Q$492,0)),"")</f>
        <v>2</v>
      </c>
      <c r="L347" s="5" t="str">
        <f>IFERROR(INDEX('Output Utente'!$E$2:$E$492,MATCH(344,'Output Utente'!$Q$2:$Q$492,0)),"")</f>
        <v>NO</v>
      </c>
      <c r="M347" s="5" t="str">
        <f>IFERROR(INDEX('Output Utente'!$U$2:$U$492,MATCH(344,'Output Utente'!$Q$2:$Q$492,0)),"")</f>
        <v>OK</v>
      </c>
      <c r="N347" s="5" t="str">
        <f>IFERROR(INDEX('Output Utente'!$AE$2:$AE$492,MATCH(344,'Output Utente'!$Q$2:$Q$492,0)),"")</f>
        <v>🔴 Non aspettare</v>
      </c>
    </row>
    <row r="348" spans="1:14" ht="15" customHeight="1" x14ac:dyDescent="0.25">
      <c r="A348" s="41">
        <v>345</v>
      </c>
      <c r="B348" s="5">
        <f>IFERROR(INDEX('Output Utente'!$A$2:$A$492,MATCH(345,'Output Utente'!$Q$2:$Q$492,0)),"")</f>
        <v>5757</v>
      </c>
      <c r="C348" s="5" t="str">
        <f>IFERROR(INDEX('Output Utente'!$B$2:$B$492,MATCH(345,'Output Utente'!$Q$2:$Q$492,0)),"")</f>
        <v>D</v>
      </c>
      <c r="D348" s="5" t="str">
        <f>IFERROR(INDEX('Output Utente'!$C$2:$C$492,MATCH(345,'Output Utente'!$Q$2:$Q$492,0)),"")</f>
        <v>Cittadini</v>
      </c>
      <c r="E348" s="5" t="str">
        <f>IFERROR(INDEX('Input Giocatori 2026_27'!$D$3:$D$493,MATCH($B348,'Input Giocatori 2026_27'!$A$3:$A$493,0)),"")</f>
        <v>Frosinone</v>
      </c>
      <c r="F348" s="42">
        <f>IFERROR(INDEX('Output Utente'!$N$2:$N$492,MATCH(345,'Output Utente'!$Q$2:$Q$492,0)),"")</f>
        <v>3</v>
      </c>
      <c r="G348" s="42">
        <f>IFERROR(INDEX('Output Utente'!$O$2:$O$492,MATCH(345,'Output Utente'!$Q$2:$Q$492,0)),"")</f>
        <v>8</v>
      </c>
      <c r="H348" s="5" t="str">
        <f>IFERROR(INDEX('Output Utente'!$P$2:$P$492,MATCH(345,'Output Utente'!$Q$2:$Q$492,0)),"")</f>
        <v>Scommessa/Riserva</v>
      </c>
      <c r="I348" s="42">
        <f>IFERROR(INDEX('Output Utente'!$F$2:$F$492,MATCH(345,'Output Utente'!$Q$2:$Q$492,0)),"")</f>
        <v>2</v>
      </c>
      <c r="J348" s="42">
        <f>IFERROR(INDEX('Output Utente'!$G$2:$G$492,MATCH(345,'Output Utente'!$Q$2:$Q$492,0)),"")</f>
        <v>1</v>
      </c>
      <c r="K348" s="42">
        <f>IFERROR(INDEX('Output Utente'!$H$2:$H$492,MATCH(345,'Output Utente'!$Q$2:$Q$492,0)),"")</f>
        <v>2</v>
      </c>
      <c r="L348" s="5" t="str">
        <f>IFERROR(INDEX('Output Utente'!$E$2:$E$492,MATCH(345,'Output Utente'!$Q$2:$Q$492,0)),"")</f>
        <v>NO</v>
      </c>
      <c r="M348" s="5" t="str">
        <f>IFERROR(INDEX('Output Utente'!$U$2:$U$492,MATCH(345,'Output Utente'!$Q$2:$Q$492,0)),"")</f>
        <v>OK</v>
      </c>
      <c r="N348" s="5" t="str">
        <f>IFERROR(INDEX('Output Utente'!$AE$2:$AE$492,MATCH(345,'Output Utente'!$Q$2:$Q$492,0)),"")</f>
        <v>🔴 Non aspettare</v>
      </c>
    </row>
    <row r="349" spans="1:14" ht="15" customHeight="1" x14ac:dyDescent="0.25">
      <c r="A349" s="41">
        <v>346</v>
      </c>
      <c r="B349" s="5">
        <f>IFERROR(INDEX('Output Utente'!$A$2:$A$492,MATCH(346,'Output Utente'!$Q$2:$Q$492,0)),"")</f>
        <v>7211</v>
      </c>
      <c r="C349" s="5" t="str">
        <f>IFERROR(INDEX('Output Utente'!$B$2:$B$492,MATCH(346,'Output Utente'!$Q$2:$Q$492,0)),"")</f>
        <v>D</v>
      </c>
      <c r="D349" s="5" t="str">
        <f>IFERROR(INDEX('Output Utente'!$C$2:$C$492,MATCH(346,'Output Utente'!$Q$2:$Q$492,0)),"")</f>
        <v>Athekame</v>
      </c>
      <c r="E349" s="5" t="str">
        <f>IFERROR(INDEX('Input Giocatori 2026_27'!$D$3:$D$493,MATCH($B349,'Input Giocatori 2026_27'!$A$3:$A$493,0)),"")</f>
        <v>Milan</v>
      </c>
      <c r="F349" s="42">
        <f>IFERROR(INDEX('Output Utente'!$N$2:$N$492,MATCH(346,'Output Utente'!$Q$2:$Q$492,0)),"")</f>
        <v>3</v>
      </c>
      <c r="G349" s="42">
        <f>IFERROR(INDEX('Output Utente'!$O$2:$O$492,MATCH(346,'Output Utente'!$Q$2:$Q$492,0)),"")</f>
        <v>8</v>
      </c>
      <c r="H349" s="5" t="str">
        <f>IFERROR(INDEX('Output Utente'!$P$2:$P$492,MATCH(346,'Output Utente'!$Q$2:$Q$492,0)),"")</f>
        <v>Scommessa/Riserva</v>
      </c>
      <c r="I349" s="42">
        <f>IFERROR(INDEX('Output Utente'!$F$2:$F$492,MATCH(346,'Output Utente'!$Q$2:$Q$492,0)),"")</f>
        <v>2</v>
      </c>
      <c r="J349" s="42">
        <f>IFERROR(INDEX('Output Utente'!$G$2:$G$492,MATCH(346,'Output Utente'!$Q$2:$Q$492,0)),"")</f>
        <v>1</v>
      </c>
      <c r="K349" s="42">
        <f>IFERROR(INDEX('Output Utente'!$H$2:$H$492,MATCH(346,'Output Utente'!$Q$2:$Q$492,0)),"")</f>
        <v>2</v>
      </c>
      <c r="L349" s="5" t="str">
        <f>IFERROR(INDEX('Output Utente'!$E$2:$E$492,MATCH(346,'Output Utente'!$Q$2:$Q$492,0)),"")</f>
        <v>NO</v>
      </c>
      <c r="M349" s="5" t="str">
        <f>IFERROR(INDEX('Output Utente'!$U$2:$U$492,MATCH(346,'Output Utente'!$Q$2:$Q$492,0)),"")</f>
        <v>OK</v>
      </c>
      <c r="N349" s="5" t="str">
        <f>IFERROR(INDEX('Output Utente'!$AE$2:$AE$492,MATCH(346,'Output Utente'!$Q$2:$Q$492,0)),"")</f>
        <v>🔴 Non aspettare</v>
      </c>
    </row>
    <row r="350" spans="1:14" ht="15" customHeight="1" x14ac:dyDescent="0.25">
      <c r="A350" s="41">
        <v>347</v>
      </c>
      <c r="B350" s="5">
        <f>IFERROR(INDEX('Output Utente'!$A$2:$A$492,MATCH(347,'Output Utente'!$Q$2:$Q$492,0)),"")</f>
        <v>7235</v>
      </c>
      <c r="C350" s="5" t="str">
        <f>IFERROR(INDEX('Output Utente'!$B$2:$B$492,MATCH(347,'Output Utente'!$Q$2:$Q$492,0)),"")</f>
        <v>D</v>
      </c>
      <c r="D350" s="5" t="str">
        <f>IFERROR(INDEX('Output Utente'!$C$2:$C$492,MATCH(347,'Output Utente'!$Q$2:$Q$492,0)),"")</f>
        <v>Troilo</v>
      </c>
      <c r="E350" s="5" t="str">
        <f>IFERROR(INDEX('Input Giocatori 2026_27'!$D$3:$D$493,MATCH($B350,'Input Giocatori 2026_27'!$A$3:$A$493,0)),"")</f>
        <v>Parma</v>
      </c>
      <c r="F350" s="42">
        <f>IFERROR(INDEX('Output Utente'!$N$2:$N$492,MATCH(347,'Output Utente'!$Q$2:$Q$492,0)),"")</f>
        <v>3</v>
      </c>
      <c r="G350" s="42">
        <f>IFERROR(INDEX('Output Utente'!$O$2:$O$492,MATCH(347,'Output Utente'!$Q$2:$Q$492,0)),"")</f>
        <v>8</v>
      </c>
      <c r="H350" s="5" t="str">
        <f>IFERROR(INDEX('Output Utente'!$P$2:$P$492,MATCH(347,'Output Utente'!$Q$2:$Q$492,0)),"")</f>
        <v>Scommessa/Riserva</v>
      </c>
      <c r="I350" s="42">
        <f>IFERROR(INDEX('Output Utente'!$F$2:$F$492,MATCH(347,'Output Utente'!$Q$2:$Q$492,0)),"")</f>
        <v>2</v>
      </c>
      <c r="J350" s="42">
        <f>IFERROR(INDEX('Output Utente'!$G$2:$G$492,MATCH(347,'Output Utente'!$Q$2:$Q$492,0)),"")</f>
        <v>1</v>
      </c>
      <c r="K350" s="42">
        <f>IFERROR(INDEX('Output Utente'!$H$2:$H$492,MATCH(347,'Output Utente'!$Q$2:$Q$492,0)),"")</f>
        <v>2</v>
      </c>
      <c r="L350" s="5" t="str">
        <f>IFERROR(INDEX('Output Utente'!$E$2:$E$492,MATCH(347,'Output Utente'!$Q$2:$Q$492,0)),"")</f>
        <v>NO</v>
      </c>
      <c r="M350" s="5" t="str">
        <f>IFERROR(INDEX('Output Utente'!$U$2:$U$492,MATCH(347,'Output Utente'!$Q$2:$Q$492,0)),"")</f>
        <v>OK</v>
      </c>
      <c r="N350" s="5" t="str">
        <f>IFERROR(INDEX('Output Utente'!$AE$2:$AE$492,MATCH(347,'Output Utente'!$Q$2:$Q$492,0)),"")</f>
        <v>🔴 Non aspettare</v>
      </c>
    </row>
    <row r="351" spans="1:14" ht="15" customHeight="1" x14ac:dyDescent="0.25">
      <c r="A351" s="41">
        <v>348</v>
      </c>
      <c r="B351" s="5">
        <f>IFERROR(INDEX('Output Utente'!$A$2:$A$492,MATCH(348,'Output Utente'!$Q$2:$Q$492,0)),"")</f>
        <v>2263</v>
      </c>
      <c r="C351" s="5" t="str">
        <f>IFERROR(INDEX('Output Utente'!$B$2:$B$492,MATCH(348,'Output Utente'!$Q$2:$Q$492,0)),"")</f>
        <v>D</v>
      </c>
      <c r="D351" s="5" t="str">
        <f>IFERROR(INDEX('Output Utente'!$C$2:$C$492,MATCH(348,'Output Utente'!$Q$2:$Q$492,0)),"")</f>
        <v>Lazzari</v>
      </c>
      <c r="E351" s="5" t="str">
        <f>IFERROR(INDEX('Input Giocatori 2026_27'!$D$3:$D$493,MATCH($B351,'Input Giocatori 2026_27'!$A$3:$A$493,0)),"")</f>
        <v>Lazio</v>
      </c>
      <c r="F351" s="42">
        <f>IFERROR(INDEX('Output Utente'!$N$2:$N$492,MATCH(348,'Output Utente'!$Q$2:$Q$492,0)),"")</f>
        <v>2</v>
      </c>
      <c r="G351" s="42">
        <f>IFERROR(INDEX('Output Utente'!$O$2:$O$492,MATCH(348,'Output Utente'!$Q$2:$Q$492,0)),"")</f>
        <v>8</v>
      </c>
      <c r="H351" s="5" t="str">
        <f>IFERROR(INDEX('Output Utente'!$P$2:$P$492,MATCH(348,'Output Utente'!$Q$2:$Q$492,0)),"")</f>
        <v>Scommessa/Riserva</v>
      </c>
      <c r="I351" s="42">
        <f>IFERROR(INDEX('Output Utente'!$F$2:$F$492,MATCH(348,'Output Utente'!$Q$2:$Q$492,0)),"")</f>
        <v>2</v>
      </c>
      <c r="J351" s="42">
        <f>IFERROR(INDEX('Output Utente'!$G$2:$G$492,MATCH(348,'Output Utente'!$Q$2:$Q$492,0)),"")</f>
        <v>1</v>
      </c>
      <c r="K351" s="42">
        <f>IFERROR(INDEX('Output Utente'!$H$2:$H$492,MATCH(348,'Output Utente'!$Q$2:$Q$492,0)),"")</f>
        <v>2</v>
      </c>
      <c r="L351" s="5" t="str">
        <f>IFERROR(INDEX('Output Utente'!$E$2:$E$492,MATCH(348,'Output Utente'!$Q$2:$Q$492,0)),"")</f>
        <v>NO</v>
      </c>
      <c r="M351" s="5" t="str">
        <f>IFERROR(INDEX('Output Utente'!$U$2:$U$492,MATCH(348,'Output Utente'!$Q$2:$Q$492,0)),"")</f>
        <v>OK</v>
      </c>
      <c r="N351" s="5" t="str">
        <f>IFERROR(INDEX('Output Utente'!$AE$2:$AE$492,MATCH(348,'Output Utente'!$Q$2:$Q$492,0)),"")</f>
        <v>🔴 Non aspettare</v>
      </c>
    </row>
    <row r="352" spans="1:14" ht="15" customHeight="1" x14ac:dyDescent="0.25">
      <c r="A352" s="41">
        <v>349</v>
      </c>
      <c r="B352" s="5">
        <f>IFERROR(INDEX('Output Utente'!$A$2:$A$492,MATCH(349,'Output Utente'!$Q$2:$Q$492,0)),"")</f>
        <v>6206</v>
      </c>
      <c r="C352" s="5" t="str">
        <f>IFERROR(INDEX('Output Utente'!$B$2:$B$492,MATCH(349,'Output Utente'!$Q$2:$Q$492,0)),"")</f>
        <v>C</v>
      </c>
      <c r="D352" s="5" t="str">
        <f>IFERROR(INDEX('Output Utente'!$C$2:$C$492,MATCH(349,'Output Utente'!$Q$2:$Q$492,0)),"")</f>
        <v>Fabbian</v>
      </c>
      <c r="E352" s="5" t="str">
        <f>IFERROR(INDEX('Input Giocatori 2026_27'!$D$3:$D$493,MATCH($B352,'Input Giocatori 2026_27'!$A$3:$A$493,0)),"")</f>
        <v>Fiorentina</v>
      </c>
      <c r="F352" s="42">
        <f>IFERROR(INDEX('Output Utente'!$N$2:$N$492,MATCH(349,'Output Utente'!$Q$2:$Q$492,0)),"")</f>
        <v>4</v>
      </c>
      <c r="G352" s="42">
        <f>IFERROR(INDEX('Output Utente'!$O$2:$O$492,MATCH(349,'Output Utente'!$Q$2:$Q$492,0)),"")</f>
        <v>8</v>
      </c>
      <c r="H352" s="5" t="str">
        <f>IFERROR(INDEX('Output Utente'!$P$2:$P$492,MATCH(349,'Output Utente'!$Q$2:$Q$492,0)),"")</f>
        <v>Scommessa/Riserva</v>
      </c>
      <c r="I352" s="42">
        <f>IFERROR(INDEX('Output Utente'!$F$2:$F$492,MATCH(349,'Output Utente'!$Q$2:$Q$492,0)),"")</f>
        <v>1</v>
      </c>
      <c r="J352" s="42">
        <f>IFERROR(INDEX('Output Utente'!$G$2:$G$492,MATCH(349,'Output Utente'!$Q$2:$Q$492,0)),"")</f>
        <v>1</v>
      </c>
      <c r="K352" s="42">
        <f>IFERROR(INDEX('Output Utente'!$H$2:$H$492,MATCH(349,'Output Utente'!$Q$2:$Q$492,0)),"")</f>
        <v>1</v>
      </c>
      <c r="L352" s="5" t="str">
        <f>IFERROR(INDEX('Output Utente'!$E$2:$E$492,MATCH(349,'Output Utente'!$Q$2:$Q$492,0)),"")</f>
        <v>NO</v>
      </c>
      <c r="M352" s="5" t="str">
        <f>IFERROR(INDEX('Output Utente'!$U$2:$U$492,MATCH(349,'Output Utente'!$Q$2:$Q$492,0)),"")</f>
        <v>OK</v>
      </c>
      <c r="N352" s="5" t="str">
        <f>IFERROR(INDEX('Output Utente'!$AE$2:$AE$492,MATCH(349,'Output Utente'!$Q$2:$Q$492,0)),"")</f>
        <v>🔴 Non aspettare</v>
      </c>
    </row>
    <row r="353" spans="1:14" ht="15" customHeight="1" x14ac:dyDescent="0.25">
      <c r="A353" s="41">
        <v>350</v>
      </c>
      <c r="B353" s="5">
        <f>IFERROR(INDEX('Output Utente'!$A$2:$A$492,MATCH(350,'Output Utente'!$Q$2:$Q$492,0)),"")</f>
        <v>6895</v>
      </c>
      <c r="C353" s="5" t="str">
        <f>IFERROR(INDEX('Output Utente'!$B$2:$B$492,MATCH(350,'Output Utente'!$Q$2:$Q$492,0)),"")</f>
        <v>C</v>
      </c>
      <c r="D353" s="5" t="str">
        <f>IFERROR(INDEX('Output Utente'!$C$2:$C$492,MATCH(350,'Output Utente'!$Q$2:$Q$492,0)),"")</f>
        <v>Dominguez B.</v>
      </c>
      <c r="E353" s="5" t="str">
        <f>IFERROR(INDEX('Input Giocatori 2026_27'!$D$3:$D$493,MATCH($B353,'Input Giocatori 2026_27'!$A$3:$A$493,0)),"")</f>
        <v>Bologna</v>
      </c>
      <c r="F353" s="42">
        <f>IFERROR(INDEX('Output Utente'!$N$2:$N$492,MATCH(350,'Output Utente'!$Q$2:$Q$492,0)),"")</f>
        <v>3</v>
      </c>
      <c r="G353" s="42">
        <f>IFERROR(INDEX('Output Utente'!$O$2:$O$492,MATCH(350,'Output Utente'!$Q$2:$Q$492,0)),"")</f>
        <v>8</v>
      </c>
      <c r="H353" s="5" t="str">
        <f>IFERROR(INDEX('Output Utente'!$P$2:$P$492,MATCH(350,'Output Utente'!$Q$2:$Q$492,0)),"")</f>
        <v>Scommessa/Riserva</v>
      </c>
      <c r="I353" s="42">
        <f>IFERROR(INDEX('Output Utente'!$F$2:$F$492,MATCH(350,'Output Utente'!$Q$2:$Q$492,0)),"")</f>
        <v>1</v>
      </c>
      <c r="J353" s="42">
        <f>IFERROR(INDEX('Output Utente'!$G$2:$G$492,MATCH(350,'Output Utente'!$Q$2:$Q$492,0)),"")</f>
        <v>1</v>
      </c>
      <c r="K353" s="42">
        <f>IFERROR(INDEX('Output Utente'!$H$2:$H$492,MATCH(350,'Output Utente'!$Q$2:$Q$492,0)),"")</f>
        <v>1</v>
      </c>
      <c r="L353" s="5" t="str">
        <f>IFERROR(INDEX('Output Utente'!$E$2:$E$492,MATCH(350,'Output Utente'!$Q$2:$Q$492,0)),"")</f>
        <v>NO</v>
      </c>
      <c r="M353" s="5" t="str">
        <f>IFERROR(INDEX('Output Utente'!$U$2:$U$492,MATCH(350,'Output Utente'!$Q$2:$Q$492,0)),"")</f>
        <v>OK</v>
      </c>
      <c r="N353" s="5" t="str">
        <f>IFERROR(INDEX('Output Utente'!$AE$2:$AE$492,MATCH(350,'Output Utente'!$Q$2:$Q$492,0)),"")</f>
        <v>🔴 Non aspettare</v>
      </c>
    </row>
    <row r="354" spans="1:14" ht="15" customHeight="1" x14ac:dyDescent="0.25">
      <c r="A354" s="41">
        <v>351</v>
      </c>
      <c r="B354" s="5">
        <f>IFERROR(INDEX('Output Utente'!$A$2:$A$492,MATCH(351,'Output Utente'!$Q$2:$Q$492,0)),"")</f>
        <v>1871</v>
      </c>
      <c r="C354" s="5" t="str">
        <f>IFERROR(INDEX('Output Utente'!$B$2:$B$492,MATCH(351,'Output Utente'!$Q$2:$Q$492,0)),"")</f>
        <v>C</v>
      </c>
      <c r="D354" s="5" t="str">
        <f>IFERROR(INDEX('Output Utente'!$C$2:$C$492,MATCH(351,'Output Utente'!$Q$2:$Q$492,0)),"")</f>
        <v>Deiola</v>
      </c>
      <c r="E354" s="5" t="str">
        <f>IFERROR(INDEX('Input Giocatori 2026_27'!$D$3:$D$493,MATCH($B354,'Input Giocatori 2026_27'!$A$3:$A$493,0)),"")</f>
        <v>Cagliari</v>
      </c>
      <c r="F354" s="42">
        <f>IFERROR(INDEX('Output Utente'!$N$2:$N$492,MATCH(351,'Output Utente'!$Q$2:$Q$492,0)),"")</f>
        <v>3</v>
      </c>
      <c r="G354" s="42">
        <f>IFERROR(INDEX('Output Utente'!$O$2:$O$492,MATCH(351,'Output Utente'!$Q$2:$Q$492,0)),"")</f>
        <v>8</v>
      </c>
      <c r="H354" s="5" t="str">
        <f>IFERROR(INDEX('Output Utente'!$P$2:$P$492,MATCH(351,'Output Utente'!$Q$2:$Q$492,0)),"")</f>
        <v>Scommessa/Riserva</v>
      </c>
      <c r="I354" s="42">
        <f>IFERROR(INDEX('Output Utente'!$F$2:$F$492,MATCH(351,'Output Utente'!$Q$2:$Q$492,0)),"")</f>
        <v>1</v>
      </c>
      <c r="J354" s="42">
        <f>IFERROR(INDEX('Output Utente'!$G$2:$G$492,MATCH(351,'Output Utente'!$Q$2:$Q$492,0)),"")</f>
        <v>1</v>
      </c>
      <c r="K354" s="42">
        <f>IFERROR(INDEX('Output Utente'!$H$2:$H$492,MATCH(351,'Output Utente'!$Q$2:$Q$492,0)),"")</f>
        <v>1</v>
      </c>
      <c r="L354" s="5" t="str">
        <f>IFERROR(INDEX('Output Utente'!$E$2:$E$492,MATCH(351,'Output Utente'!$Q$2:$Q$492,0)),"")</f>
        <v>NO</v>
      </c>
      <c r="M354" s="5" t="str">
        <f>IFERROR(INDEX('Output Utente'!$U$2:$U$492,MATCH(351,'Output Utente'!$Q$2:$Q$492,0)),"")</f>
        <v>OK</v>
      </c>
      <c r="N354" s="5" t="str">
        <f>IFERROR(INDEX('Output Utente'!$AE$2:$AE$492,MATCH(351,'Output Utente'!$Q$2:$Q$492,0)),"")</f>
        <v>🔴 Non aspettare</v>
      </c>
    </row>
    <row r="355" spans="1:14" ht="15" customHeight="1" x14ac:dyDescent="0.25">
      <c r="A355" s="41">
        <v>352</v>
      </c>
      <c r="B355" s="5">
        <f>IFERROR(INDEX('Output Utente'!$A$2:$A$492,MATCH(352,'Output Utente'!$Q$2:$Q$492,0)),"")</f>
        <v>6241</v>
      </c>
      <c r="C355" s="5" t="str">
        <f>IFERROR(INDEX('Output Utente'!$B$2:$B$492,MATCH(352,'Output Utente'!$Q$2:$Q$492,0)),"")</f>
        <v>C</v>
      </c>
      <c r="D355" s="5" t="str">
        <f>IFERROR(INDEX('Output Utente'!$C$2:$C$492,MATCH(352,'Output Utente'!$Q$2:$Q$492,0)),"")</f>
        <v>Gelli F.</v>
      </c>
      <c r="E355" s="5" t="str">
        <f>IFERROR(INDEX('Input Giocatori 2026_27'!$D$3:$D$493,MATCH($B355,'Input Giocatori 2026_27'!$A$3:$A$493,0)),"")</f>
        <v>Frosinone</v>
      </c>
      <c r="F355" s="42">
        <f>IFERROR(INDEX('Output Utente'!$N$2:$N$492,MATCH(352,'Output Utente'!$Q$2:$Q$492,0)),"")</f>
        <v>3</v>
      </c>
      <c r="G355" s="42">
        <f>IFERROR(INDEX('Output Utente'!$O$2:$O$492,MATCH(352,'Output Utente'!$Q$2:$Q$492,0)),"")</f>
        <v>8</v>
      </c>
      <c r="H355" s="5" t="str">
        <f>IFERROR(INDEX('Output Utente'!$P$2:$P$492,MATCH(352,'Output Utente'!$Q$2:$Q$492,0)),"")</f>
        <v>Scommessa/Riserva</v>
      </c>
      <c r="I355" s="42">
        <f>IFERROR(INDEX('Output Utente'!$F$2:$F$492,MATCH(352,'Output Utente'!$Q$2:$Q$492,0)),"")</f>
        <v>1</v>
      </c>
      <c r="J355" s="42">
        <f>IFERROR(INDEX('Output Utente'!$G$2:$G$492,MATCH(352,'Output Utente'!$Q$2:$Q$492,0)),"")</f>
        <v>1</v>
      </c>
      <c r="K355" s="42">
        <f>IFERROR(INDEX('Output Utente'!$H$2:$H$492,MATCH(352,'Output Utente'!$Q$2:$Q$492,0)),"")</f>
        <v>1</v>
      </c>
      <c r="L355" s="5" t="str">
        <f>IFERROR(INDEX('Output Utente'!$E$2:$E$492,MATCH(352,'Output Utente'!$Q$2:$Q$492,0)),"")</f>
        <v>NO</v>
      </c>
      <c r="M355" s="5" t="str">
        <f>IFERROR(INDEX('Output Utente'!$U$2:$U$492,MATCH(352,'Output Utente'!$Q$2:$Q$492,0)),"")</f>
        <v>OK</v>
      </c>
      <c r="N355" s="5" t="str">
        <f>IFERROR(INDEX('Output Utente'!$AE$2:$AE$492,MATCH(352,'Output Utente'!$Q$2:$Q$492,0)),"")</f>
        <v>🔴 Non aspettare</v>
      </c>
    </row>
    <row r="356" spans="1:14" ht="15" customHeight="1" x14ac:dyDescent="0.25">
      <c r="A356" s="41">
        <v>353</v>
      </c>
      <c r="B356" s="5">
        <f>IFERROR(INDEX('Output Utente'!$A$2:$A$492,MATCH(353,'Output Utente'!$Q$2:$Q$492,0)),"")</f>
        <v>4970</v>
      </c>
      <c r="C356" s="5" t="str">
        <f>IFERROR(INDEX('Output Utente'!$B$2:$B$492,MATCH(353,'Output Utente'!$Q$2:$Q$492,0)),"")</f>
        <v>C</v>
      </c>
      <c r="D356" s="5" t="str">
        <f>IFERROR(INDEX('Output Utente'!$C$2:$C$492,MATCH(353,'Output Utente'!$Q$2:$Q$492,0)),"")</f>
        <v>Messias</v>
      </c>
      <c r="E356" s="5" t="str">
        <f>IFERROR(INDEX('Input Giocatori 2026_27'!$D$3:$D$493,MATCH($B356,'Input Giocatori 2026_27'!$A$3:$A$493,0)),"")</f>
        <v>Genoa</v>
      </c>
      <c r="F356" s="42">
        <f>IFERROR(INDEX('Output Utente'!$N$2:$N$492,MATCH(353,'Output Utente'!$Q$2:$Q$492,0)),"")</f>
        <v>3</v>
      </c>
      <c r="G356" s="42">
        <f>IFERROR(INDEX('Output Utente'!$O$2:$O$492,MATCH(353,'Output Utente'!$Q$2:$Q$492,0)),"")</f>
        <v>8</v>
      </c>
      <c r="H356" s="5" t="str">
        <f>IFERROR(INDEX('Output Utente'!$P$2:$P$492,MATCH(353,'Output Utente'!$Q$2:$Q$492,0)),"")</f>
        <v>Scommessa/Riserva</v>
      </c>
      <c r="I356" s="42">
        <f>IFERROR(INDEX('Output Utente'!$F$2:$F$492,MATCH(353,'Output Utente'!$Q$2:$Q$492,0)),"")</f>
        <v>1</v>
      </c>
      <c r="J356" s="42">
        <f>IFERROR(INDEX('Output Utente'!$G$2:$G$492,MATCH(353,'Output Utente'!$Q$2:$Q$492,0)),"")</f>
        <v>1</v>
      </c>
      <c r="K356" s="42">
        <f>IFERROR(INDEX('Output Utente'!$H$2:$H$492,MATCH(353,'Output Utente'!$Q$2:$Q$492,0)),"")</f>
        <v>1</v>
      </c>
      <c r="L356" s="5" t="str">
        <f>IFERROR(INDEX('Output Utente'!$E$2:$E$492,MATCH(353,'Output Utente'!$Q$2:$Q$492,0)),"")</f>
        <v>NO</v>
      </c>
      <c r="M356" s="5" t="str">
        <f>IFERROR(INDEX('Output Utente'!$U$2:$U$492,MATCH(353,'Output Utente'!$Q$2:$Q$492,0)),"")</f>
        <v>OK</v>
      </c>
      <c r="N356" s="5" t="str">
        <f>IFERROR(INDEX('Output Utente'!$AE$2:$AE$492,MATCH(353,'Output Utente'!$Q$2:$Q$492,0)),"")</f>
        <v>🔴 Non aspettare</v>
      </c>
    </row>
    <row r="357" spans="1:14" ht="15" customHeight="1" x14ac:dyDescent="0.25">
      <c r="A357" s="41">
        <v>354</v>
      </c>
      <c r="B357" s="5">
        <f>IFERROR(INDEX('Output Utente'!$A$2:$A$492,MATCH(354,'Output Utente'!$Q$2:$Q$492,0)),"")</f>
        <v>5578</v>
      </c>
      <c r="C357" s="5" t="str">
        <f>IFERROR(INDEX('Output Utente'!$B$2:$B$492,MATCH(354,'Output Utente'!$Q$2:$Q$492,0)),"")</f>
        <v>D</v>
      </c>
      <c r="D357" s="5" t="str">
        <f>IFERROR(INDEX('Output Utente'!$C$2:$C$492,MATCH(354,'Output Utente'!$Q$2:$Q$492,0)),"")</f>
        <v>Kossounou</v>
      </c>
      <c r="E357" s="5" t="str">
        <f>IFERROR(INDEX('Input Giocatori 2026_27'!$D$3:$D$493,MATCH($B357,'Input Giocatori 2026_27'!$A$3:$A$493,0)),"")</f>
        <v>Atalanta</v>
      </c>
      <c r="F357" s="42">
        <f>IFERROR(INDEX('Output Utente'!$N$2:$N$492,MATCH(354,'Output Utente'!$Q$2:$Q$492,0)),"")</f>
        <v>3</v>
      </c>
      <c r="G357" s="42">
        <f>IFERROR(INDEX('Output Utente'!$O$2:$O$492,MATCH(354,'Output Utente'!$Q$2:$Q$492,0)),"")</f>
        <v>7</v>
      </c>
      <c r="H357" s="5" t="str">
        <f>IFERROR(INDEX('Output Utente'!$P$2:$P$492,MATCH(354,'Output Utente'!$Q$2:$Q$492,0)),"")</f>
        <v>Scommessa/Riserva</v>
      </c>
      <c r="I357" s="42">
        <f>IFERROR(INDEX('Output Utente'!$F$2:$F$492,MATCH(354,'Output Utente'!$Q$2:$Q$492,0)),"")</f>
        <v>1</v>
      </c>
      <c r="J357" s="42">
        <f>IFERROR(INDEX('Output Utente'!$G$2:$G$492,MATCH(354,'Output Utente'!$Q$2:$Q$492,0)),"")</f>
        <v>1</v>
      </c>
      <c r="K357" s="42">
        <f>IFERROR(INDEX('Output Utente'!$H$2:$H$492,MATCH(354,'Output Utente'!$Q$2:$Q$492,0)),"")</f>
        <v>1</v>
      </c>
      <c r="L357" s="5" t="str">
        <f>IFERROR(INDEX('Output Utente'!$E$2:$E$492,MATCH(354,'Output Utente'!$Q$2:$Q$492,0)),"")</f>
        <v>NO</v>
      </c>
      <c r="M357" s="5" t="str">
        <f>IFERROR(INDEX('Output Utente'!$U$2:$U$492,MATCH(354,'Output Utente'!$Q$2:$Q$492,0)),"")</f>
        <v>OK</v>
      </c>
      <c r="N357" s="5" t="str">
        <f>IFERROR(INDEX('Output Utente'!$AE$2:$AE$492,MATCH(354,'Output Utente'!$Q$2:$Q$492,0)),"")</f>
        <v>🔴 Non aspettare</v>
      </c>
    </row>
    <row r="358" spans="1:14" ht="15" customHeight="1" x14ac:dyDescent="0.25">
      <c r="A358" s="41">
        <v>355</v>
      </c>
      <c r="B358" s="5">
        <f>IFERROR(INDEX('Output Utente'!$A$2:$A$492,MATCH(355,'Output Utente'!$Q$2:$Q$492,0)),"")</f>
        <v>7125</v>
      </c>
      <c r="C358" s="5" t="str">
        <f>IFERROR(INDEX('Output Utente'!$B$2:$B$492,MATCH(355,'Output Utente'!$Q$2:$Q$492,0)),"")</f>
        <v>D</v>
      </c>
      <c r="D358" s="5" t="str">
        <f>IFERROR(INDEX('Output Utente'!$C$2:$C$492,MATCH(355,'Output Utente'!$Q$2:$Q$492,0)),"")</f>
        <v>Idrissi R.</v>
      </c>
      <c r="E358" s="5" t="str">
        <f>IFERROR(INDEX('Input Giocatori 2026_27'!$D$3:$D$493,MATCH($B358,'Input Giocatori 2026_27'!$A$3:$A$493,0)),"")</f>
        <v>Cagliari</v>
      </c>
      <c r="F358" s="42">
        <f>IFERROR(INDEX('Output Utente'!$N$2:$N$492,MATCH(355,'Output Utente'!$Q$2:$Q$492,0)),"")</f>
        <v>3</v>
      </c>
      <c r="G358" s="42">
        <f>IFERROR(INDEX('Output Utente'!$O$2:$O$492,MATCH(355,'Output Utente'!$Q$2:$Q$492,0)),"")</f>
        <v>7</v>
      </c>
      <c r="H358" s="5" t="str">
        <f>IFERROR(INDEX('Output Utente'!$P$2:$P$492,MATCH(355,'Output Utente'!$Q$2:$Q$492,0)),"")</f>
        <v>Scommessa/Riserva</v>
      </c>
      <c r="I358" s="42">
        <f>IFERROR(INDEX('Output Utente'!$F$2:$F$492,MATCH(355,'Output Utente'!$Q$2:$Q$492,0)),"")</f>
        <v>1</v>
      </c>
      <c r="J358" s="42">
        <f>IFERROR(INDEX('Output Utente'!$G$2:$G$492,MATCH(355,'Output Utente'!$Q$2:$Q$492,0)),"")</f>
        <v>1</v>
      </c>
      <c r="K358" s="42">
        <f>IFERROR(INDEX('Output Utente'!$H$2:$H$492,MATCH(355,'Output Utente'!$Q$2:$Q$492,0)),"")</f>
        <v>1</v>
      </c>
      <c r="L358" s="5" t="str">
        <f>IFERROR(INDEX('Output Utente'!$E$2:$E$492,MATCH(355,'Output Utente'!$Q$2:$Q$492,0)),"")</f>
        <v>NO</v>
      </c>
      <c r="M358" s="5" t="str">
        <f>IFERROR(INDEX('Output Utente'!$U$2:$U$492,MATCH(355,'Output Utente'!$Q$2:$Q$492,0)),"")</f>
        <v>OK</v>
      </c>
      <c r="N358" s="5" t="str">
        <f>IFERROR(INDEX('Output Utente'!$AE$2:$AE$492,MATCH(355,'Output Utente'!$Q$2:$Q$492,0)),"")</f>
        <v>🔴 Non aspettare</v>
      </c>
    </row>
    <row r="359" spans="1:14" ht="15" customHeight="1" x14ac:dyDescent="0.25">
      <c r="A359" s="41">
        <v>356</v>
      </c>
      <c r="B359" s="5">
        <f>IFERROR(INDEX('Output Utente'!$A$2:$A$492,MATCH(356,'Output Utente'!$Q$2:$Q$492,0)),"")</f>
        <v>4378</v>
      </c>
      <c r="C359" s="5" t="str">
        <f>IFERROR(INDEX('Output Utente'!$B$2:$B$492,MATCH(356,'Output Utente'!$Q$2:$Q$492,0)),"")</f>
        <v>D</v>
      </c>
      <c r="D359" s="5" t="str">
        <f>IFERROR(INDEX('Output Utente'!$C$2:$C$492,MATCH(356,'Output Utente'!$Q$2:$Q$492,0)),"")</f>
        <v>Ranieri L.</v>
      </c>
      <c r="E359" s="5" t="str">
        <f>IFERROR(INDEX('Input Giocatori 2026_27'!$D$3:$D$493,MATCH($B359,'Input Giocatori 2026_27'!$A$3:$A$493,0)),"")</f>
        <v>Fiorentina</v>
      </c>
      <c r="F359" s="42">
        <f>IFERROR(INDEX('Output Utente'!$N$2:$N$492,MATCH(356,'Output Utente'!$Q$2:$Q$492,0)),"")</f>
        <v>3</v>
      </c>
      <c r="G359" s="42">
        <f>IFERROR(INDEX('Output Utente'!$O$2:$O$492,MATCH(356,'Output Utente'!$Q$2:$Q$492,0)),"")</f>
        <v>7</v>
      </c>
      <c r="H359" s="5" t="str">
        <f>IFERROR(INDEX('Output Utente'!$P$2:$P$492,MATCH(356,'Output Utente'!$Q$2:$Q$492,0)),"")</f>
        <v>Scommessa/Riserva</v>
      </c>
      <c r="I359" s="42">
        <f>IFERROR(INDEX('Output Utente'!$F$2:$F$492,MATCH(356,'Output Utente'!$Q$2:$Q$492,0)),"")</f>
        <v>1</v>
      </c>
      <c r="J359" s="42">
        <f>IFERROR(INDEX('Output Utente'!$G$2:$G$492,MATCH(356,'Output Utente'!$Q$2:$Q$492,0)),"")</f>
        <v>1</v>
      </c>
      <c r="K359" s="42">
        <f>IFERROR(INDEX('Output Utente'!$H$2:$H$492,MATCH(356,'Output Utente'!$Q$2:$Q$492,0)),"")</f>
        <v>1</v>
      </c>
      <c r="L359" s="5" t="str">
        <f>IFERROR(INDEX('Output Utente'!$E$2:$E$492,MATCH(356,'Output Utente'!$Q$2:$Q$492,0)),"")</f>
        <v>NO</v>
      </c>
      <c r="M359" s="5" t="str">
        <f>IFERROR(INDEX('Output Utente'!$U$2:$U$492,MATCH(356,'Output Utente'!$Q$2:$Q$492,0)),"")</f>
        <v>OK</v>
      </c>
      <c r="N359" s="5" t="str">
        <f>IFERROR(INDEX('Output Utente'!$AE$2:$AE$492,MATCH(356,'Output Utente'!$Q$2:$Q$492,0)),"")</f>
        <v>🔴 Non aspettare</v>
      </c>
    </row>
    <row r="360" spans="1:14" ht="15" customHeight="1" x14ac:dyDescent="0.25">
      <c r="A360" s="41">
        <v>357</v>
      </c>
      <c r="B360" s="5">
        <f>IFERROR(INDEX('Output Utente'!$A$2:$A$492,MATCH(357,'Output Utente'!$Q$2:$Q$492,0)),"")</f>
        <v>7175</v>
      </c>
      <c r="C360" s="5" t="str">
        <f>IFERROR(INDEX('Output Utente'!$B$2:$B$492,MATCH(357,'Output Utente'!$Q$2:$Q$492,0)),"")</f>
        <v>D</v>
      </c>
      <c r="D360" s="5" t="str">
        <f>IFERROR(INDEX('Output Utente'!$C$2:$C$492,MATCH(357,'Output Utente'!$Q$2:$Q$492,0)),"")</f>
        <v>Joao Mario</v>
      </c>
      <c r="E360" s="5" t="str">
        <f>IFERROR(INDEX('Input Giocatori 2026_27'!$D$3:$D$493,MATCH($B360,'Input Giocatori 2026_27'!$A$3:$A$493,0)),"")</f>
        <v>Fiorentina</v>
      </c>
      <c r="F360" s="42">
        <f>IFERROR(INDEX('Output Utente'!$N$2:$N$492,MATCH(357,'Output Utente'!$Q$2:$Q$492,0)),"")</f>
        <v>3</v>
      </c>
      <c r="G360" s="42">
        <f>IFERROR(INDEX('Output Utente'!$O$2:$O$492,MATCH(357,'Output Utente'!$Q$2:$Q$492,0)),"")</f>
        <v>7</v>
      </c>
      <c r="H360" s="5" t="str">
        <f>IFERROR(INDEX('Output Utente'!$P$2:$P$492,MATCH(357,'Output Utente'!$Q$2:$Q$492,0)),"")</f>
        <v>Scommessa/Riserva</v>
      </c>
      <c r="I360" s="42">
        <f>IFERROR(INDEX('Output Utente'!$F$2:$F$492,MATCH(357,'Output Utente'!$Q$2:$Q$492,0)),"")</f>
        <v>1</v>
      </c>
      <c r="J360" s="42">
        <f>IFERROR(INDEX('Output Utente'!$G$2:$G$492,MATCH(357,'Output Utente'!$Q$2:$Q$492,0)),"")</f>
        <v>1</v>
      </c>
      <c r="K360" s="42">
        <f>IFERROR(INDEX('Output Utente'!$H$2:$H$492,MATCH(357,'Output Utente'!$Q$2:$Q$492,0)),"")</f>
        <v>1</v>
      </c>
      <c r="L360" s="5" t="str">
        <f>IFERROR(INDEX('Output Utente'!$E$2:$E$492,MATCH(357,'Output Utente'!$Q$2:$Q$492,0)),"")</f>
        <v>NO</v>
      </c>
      <c r="M360" s="5" t="str">
        <f>IFERROR(INDEX('Output Utente'!$U$2:$U$492,MATCH(357,'Output Utente'!$Q$2:$Q$492,0)),"")</f>
        <v>OK</v>
      </c>
      <c r="N360" s="5" t="str">
        <f>IFERROR(INDEX('Output Utente'!$AE$2:$AE$492,MATCH(357,'Output Utente'!$Q$2:$Q$492,0)),"")</f>
        <v>🔴 Non aspettare</v>
      </c>
    </row>
    <row r="361" spans="1:14" ht="15" customHeight="1" x14ac:dyDescent="0.25">
      <c r="A361" s="41">
        <v>358</v>
      </c>
      <c r="B361" s="5">
        <f>IFERROR(INDEX('Output Utente'!$A$2:$A$492,MATCH(358,'Output Utente'!$Q$2:$Q$492,0)),"")</f>
        <v>7540</v>
      </c>
      <c r="C361" s="5" t="str">
        <f>IFERROR(INDEX('Output Utente'!$B$2:$B$492,MATCH(358,'Output Utente'!$Q$2:$Q$492,0)),"")</f>
        <v>D</v>
      </c>
      <c r="D361" s="5" t="str">
        <f>IFERROR(INDEX('Output Utente'!$C$2:$C$492,MATCH(358,'Output Utente'!$Q$2:$Q$492,0)),"")</f>
        <v>Akpoguma</v>
      </c>
      <c r="E361" s="5" t="str">
        <f>IFERROR(INDEX('Input Giocatori 2026_27'!$D$3:$D$493,MATCH($B361,'Input Giocatori 2026_27'!$A$3:$A$493,0)),"")</f>
        <v>Frosinone</v>
      </c>
      <c r="F361" s="42">
        <f>IFERROR(INDEX('Output Utente'!$N$2:$N$492,MATCH(358,'Output Utente'!$Q$2:$Q$492,0)),"")</f>
        <v>3</v>
      </c>
      <c r="G361" s="42">
        <f>IFERROR(INDEX('Output Utente'!$O$2:$O$492,MATCH(358,'Output Utente'!$Q$2:$Q$492,0)),"")</f>
        <v>7</v>
      </c>
      <c r="H361" s="5" t="str">
        <f>IFERROR(INDEX('Output Utente'!$P$2:$P$492,MATCH(358,'Output Utente'!$Q$2:$Q$492,0)),"")</f>
        <v>Scommessa/Riserva</v>
      </c>
      <c r="I361" s="42">
        <f>IFERROR(INDEX('Output Utente'!$F$2:$F$492,MATCH(358,'Output Utente'!$Q$2:$Q$492,0)),"")</f>
        <v>1</v>
      </c>
      <c r="J361" s="42">
        <f>IFERROR(INDEX('Output Utente'!$G$2:$G$492,MATCH(358,'Output Utente'!$Q$2:$Q$492,0)),"")</f>
        <v>1</v>
      </c>
      <c r="K361" s="42">
        <f>IFERROR(INDEX('Output Utente'!$H$2:$H$492,MATCH(358,'Output Utente'!$Q$2:$Q$492,0)),"")</f>
        <v>1</v>
      </c>
      <c r="L361" s="5" t="str">
        <f>IFERROR(INDEX('Output Utente'!$E$2:$E$492,MATCH(358,'Output Utente'!$Q$2:$Q$492,0)),"")</f>
        <v>NO</v>
      </c>
      <c r="M361" s="5" t="str">
        <f>IFERROR(INDEX('Output Utente'!$U$2:$U$492,MATCH(358,'Output Utente'!$Q$2:$Q$492,0)),"")</f>
        <v>OK</v>
      </c>
      <c r="N361" s="5" t="str">
        <f>IFERROR(INDEX('Output Utente'!$AE$2:$AE$492,MATCH(358,'Output Utente'!$Q$2:$Q$492,0)),"")</f>
        <v>🔴 Non aspettare</v>
      </c>
    </row>
    <row r="362" spans="1:14" ht="15" customHeight="1" x14ac:dyDescent="0.25">
      <c r="A362" s="41">
        <v>359</v>
      </c>
      <c r="B362" s="5">
        <f>IFERROR(INDEX('Output Utente'!$A$2:$A$492,MATCH(359,'Output Utente'!$Q$2:$Q$492,0)),"")</f>
        <v>6892</v>
      </c>
      <c r="C362" s="5" t="str">
        <f>IFERROR(INDEX('Output Utente'!$B$2:$B$492,MATCH(359,'Output Utente'!$Q$2:$Q$492,0)),"")</f>
        <v>D</v>
      </c>
      <c r="D362" s="5" t="str">
        <f>IFERROR(INDEX('Output Utente'!$C$2:$C$492,MATCH(359,'Output Utente'!$Q$2:$Q$492,0)),"")</f>
        <v>Schingtienne</v>
      </c>
      <c r="E362" s="5" t="str">
        <f>IFERROR(INDEX('Input Giocatori 2026_27'!$D$3:$D$493,MATCH($B362,'Input Giocatori 2026_27'!$A$3:$A$493,0)),"")</f>
        <v>Venezia</v>
      </c>
      <c r="F362" s="42">
        <f>IFERROR(INDEX('Output Utente'!$N$2:$N$492,MATCH(359,'Output Utente'!$Q$2:$Q$492,0)),"")</f>
        <v>3</v>
      </c>
      <c r="G362" s="42">
        <f>IFERROR(INDEX('Output Utente'!$O$2:$O$492,MATCH(359,'Output Utente'!$Q$2:$Q$492,0)),"")</f>
        <v>7</v>
      </c>
      <c r="H362" s="5" t="str">
        <f>IFERROR(INDEX('Output Utente'!$P$2:$P$492,MATCH(359,'Output Utente'!$Q$2:$Q$492,0)),"")</f>
        <v>Scommessa/Riserva</v>
      </c>
      <c r="I362" s="42">
        <f>IFERROR(INDEX('Output Utente'!$F$2:$F$492,MATCH(359,'Output Utente'!$Q$2:$Q$492,0)),"")</f>
        <v>1</v>
      </c>
      <c r="J362" s="42">
        <f>IFERROR(INDEX('Output Utente'!$G$2:$G$492,MATCH(359,'Output Utente'!$Q$2:$Q$492,0)),"")</f>
        <v>1</v>
      </c>
      <c r="K362" s="42">
        <f>IFERROR(INDEX('Output Utente'!$H$2:$H$492,MATCH(359,'Output Utente'!$Q$2:$Q$492,0)),"")</f>
        <v>1</v>
      </c>
      <c r="L362" s="5" t="str">
        <f>IFERROR(INDEX('Output Utente'!$E$2:$E$492,MATCH(359,'Output Utente'!$Q$2:$Q$492,0)),"")</f>
        <v>NO</v>
      </c>
      <c r="M362" s="5" t="str">
        <f>IFERROR(INDEX('Output Utente'!$U$2:$U$492,MATCH(359,'Output Utente'!$Q$2:$Q$492,0)),"")</f>
        <v>OK</v>
      </c>
      <c r="N362" s="5" t="str">
        <f>IFERROR(INDEX('Output Utente'!$AE$2:$AE$492,MATCH(359,'Output Utente'!$Q$2:$Q$492,0)),"")</f>
        <v>🔴 Non aspettare</v>
      </c>
    </row>
    <row r="363" spans="1:14" ht="15" customHeight="1" x14ac:dyDescent="0.25">
      <c r="A363" s="41">
        <v>360</v>
      </c>
      <c r="B363" s="5">
        <f>IFERROR(INDEX('Output Utente'!$A$2:$A$492,MATCH(360,'Output Utente'!$Q$2:$Q$492,0)),"")</f>
        <v>6673</v>
      </c>
      <c r="C363" s="5" t="str">
        <f>IFERROR(INDEX('Output Utente'!$B$2:$B$492,MATCH(360,'Output Utente'!$Q$2:$Q$492,0)),"")</f>
        <v>D</v>
      </c>
      <c r="D363" s="5" t="str">
        <f>IFERROR(INDEX('Output Utente'!$C$2:$C$492,MATCH(360,'Output Utente'!$Q$2:$Q$492,0)),"")</f>
        <v>Sverko</v>
      </c>
      <c r="E363" s="5" t="str">
        <f>IFERROR(INDEX('Input Giocatori 2026_27'!$D$3:$D$493,MATCH($B363,'Input Giocatori 2026_27'!$A$3:$A$493,0)),"")</f>
        <v>Venezia</v>
      </c>
      <c r="F363" s="42">
        <f>IFERROR(INDEX('Output Utente'!$N$2:$N$492,MATCH(360,'Output Utente'!$Q$2:$Q$492,0)),"")</f>
        <v>3</v>
      </c>
      <c r="G363" s="42">
        <f>IFERROR(INDEX('Output Utente'!$O$2:$O$492,MATCH(360,'Output Utente'!$Q$2:$Q$492,0)),"")</f>
        <v>7</v>
      </c>
      <c r="H363" s="5" t="str">
        <f>IFERROR(INDEX('Output Utente'!$P$2:$P$492,MATCH(360,'Output Utente'!$Q$2:$Q$492,0)),"")</f>
        <v>Scommessa/Riserva</v>
      </c>
      <c r="I363" s="42">
        <f>IFERROR(INDEX('Output Utente'!$F$2:$F$492,MATCH(360,'Output Utente'!$Q$2:$Q$492,0)),"")</f>
        <v>1</v>
      </c>
      <c r="J363" s="42">
        <f>IFERROR(INDEX('Output Utente'!$G$2:$G$492,MATCH(360,'Output Utente'!$Q$2:$Q$492,0)),"")</f>
        <v>1</v>
      </c>
      <c r="K363" s="42">
        <f>IFERROR(INDEX('Output Utente'!$H$2:$H$492,MATCH(360,'Output Utente'!$Q$2:$Q$492,0)),"")</f>
        <v>1</v>
      </c>
      <c r="L363" s="5" t="str">
        <f>IFERROR(INDEX('Output Utente'!$E$2:$E$492,MATCH(360,'Output Utente'!$Q$2:$Q$492,0)),"")</f>
        <v>NO</v>
      </c>
      <c r="M363" s="5" t="str">
        <f>IFERROR(INDEX('Output Utente'!$U$2:$U$492,MATCH(360,'Output Utente'!$Q$2:$Q$492,0)),"")</f>
        <v>OK</v>
      </c>
      <c r="N363" s="5" t="str">
        <f>IFERROR(INDEX('Output Utente'!$AE$2:$AE$492,MATCH(360,'Output Utente'!$Q$2:$Q$492,0)),"")</f>
        <v>🔴 Non aspettare</v>
      </c>
    </row>
    <row r="364" spans="1:14" ht="15" customHeight="1" x14ac:dyDescent="0.25">
      <c r="A364" s="41">
        <v>361</v>
      </c>
      <c r="B364" s="5">
        <f>IFERROR(INDEX('Output Utente'!$A$2:$A$492,MATCH(361,'Output Utente'!$Q$2:$Q$492,0)),"")</f>
        <v>6821</v>
      </c>
      <c r="C364" s="5" t="str">
        <f>IFERROR(INDEX('Output Utente'!$B$2:$B$492,MATCH(361,'Output Utente'!$Q$2:$Q$492,0)),"")</f>
        <v>D</v>
      </c>
      <c r="D364" s="5" t="str">
        <f>IFERROR(INDEX('Output Utente'!$C$2:$C$492,MATCH(361,'Output Utente'!$Q$2:$Q$492,0)),"")</f>
        <v>Hainaut</v>
      </c>
      <c r="E364" s="5" t="str">
        <f>IFERROR(INDEX('Input Giocatori 2026_27'!$D$3:$D$493,MATCH($B364,'Input Giocatori 2026_27'!$A$3:$A$493,0)),"")</f>
        <v>Venezia</v>
      </c>
      <c r="F364" s="42">
        <f>IFERROR(INDEX('Output Utente'!$N$2:$N$492,MATCH(361,'Output Utente'!$Q$2:$Q$492,0)),"")</f>
        <v>3</v>
      </c>
      <c r="G364" s="42">
        <f>IFERROR(INDEX('Output Utente'!$O$2:$O$492,MATCH(361,'Output Utente'!$Q$2:$Q$492,0)),"")</f>
        <v>7</v>
      </c>
      <c r="H364" s="5" t="str">
        <f>IFERROR(INDEX('Output Utente'!$P$2:$P$492,MATCH(361,'Output Utente'!$Q$2:$Q$492,0)),"")</f>
        <v>Scommessa/Riserva</v>
      </c>
      <c r="I364" s="42">
        <f>IFERROR(INDEX('Output Utente'!$F$2:$F$492,MATCH(361,'Output Utente'!$Q$2:$Q$492,0)),"")</f>
        <v>1</v>
      </c>
      <c r="J364" s="42">
        <f>IFERROR(INDEX('Output Utente'!$G$2:$G$492,MATCH(361,'Output Utente'!$Q$2:$Q$492,0)),"")</f>
        <v>1</v>
      </c>
      <c r="K364" s="42">
        <f>IFERROR(INDEX('Output Utente'!$H$2:$H$492,MATCH(361,'Output Utente'!$Q$2:$Q$492,0)),"")</f>
        <v>1</v>
      </c>
      <c r="L364" s="5" t="str">
        <f>IFERROR(INDEX('Output Utente'!$E$2:$E$492,MATCH(361,'Output Utente'!$Q$2:$Q$492,0)),"")</f>
        <v>NO</v>
      </c>
      <c r="M364" s="5" t="str">
        <f>IFERROR(INDEX('Output Utente'!$U$2:$U$492,MATCH(361,'Output Utente'!$Q$2:$Q$492,0)),"")</f>
        <v>OK</v>
      </c>
      <c r="N364" s="5" t="str">
        <f>IFERROR(INDEX('Output Utente'!$AE$2:$AE$492,MATCH(361,'Output Utente'!$Q$2:$Q$492,0)),"")</f>
        <v>🔴 Non aspettare</v>
      </c>
    </row>
    <row r="365" spans="1:14" ht="15" customHeight="1" x14ac:dyDescent="0.25">
      <c r="A365" s="41">
        <v>362</v>
      </c>
      <c r="B365" s="5">
        <f>IFERROR(INDEX('Output Utente'!$A$2:$A$492,MATCH(362,'Output Utente'!$Q$2:$Q$492,0)),"")</f>
        <v>7413</v>
      </c>
      <c r="C365" s="5" t="str">
        <f>IFERROR(INDEX('Output Utente'!$B$2:$B$492,MATCH(362,'Output Utente'!$Q$2:$Q$492,0)),"")</f>
        <v>D</v>
      </c>
      <c r="D365" s="5" t="str">
        <f>IFERROR(INDEX('Output Utente'!$C$2:$C$492,MATCH(362,'Output Utente'!$Q$2:$Q$492,0)),"")</f>
        <v>Puczka</v>
      </c>
      <c r="E365" s="5" t="str">
        <f>IFERROR(INDEX('Input Giocatori 2026_27'!$D$3:$D$493,MATCH($B365,'Input Giocatori 2026_27'!$A$3:$A$493,0)),"")</f>
        <v>Genoa</v>
      </c>
      <c r="F365" s="42">
        <f>IFERROR(INDEX('Output Utente'!$N$2:$N$492,MATCH(362,'Output Utente'!$Q$2:$Q$492,0)),"")</f>
        <v>2</v>
      </c>
      <c r="G365" s="42">
        <f>IFERROR(INDEX('Output Utente'!$O$2:$O$492,MATCH(362,'Output Utente'!$Q$2:$Q$492,0)),"")</f>
        <v>7</v>
      </c>
      <c r="H365" s="5" t="str">
        <f>IFERROR(INDEX('Output Utente'!$P$2:$P$492,MATCH(362,'Output Utente'!$Q$2:$Q$492,0)),"")</f>
        <v>Scommessa/Riserva</v>
      </c>
      <c r="I365" s="42">
        <f>IFERROR(INDEX('Output Utente'!$F$2:$F$492,MATCH(362,'Output Utente'!$Q$2:$Q$492,0)),"")</f>
        <v>1</v>
      </c>
      <c r="J365" s="42">
        <f>IFERROR(INDEX('Output Utente'!$G$2:$G$492,MATCH(362,'Output Utente'!$Q$2:$Q$492,0)),"")</f>
        <v>1</v>
      </c>
      <c r="K365" s="42">
        <f>IFERROR(INDEX('Output Utente'!$H$2:$H$492,MATCH(362,'Output Utente'!$Q$2:$Q$492,0)),"")</f>
        <v>1</v>
      </c>
      <c r="L365" s="5" t="str">
        <f>IFERROR(INDEX('Output Utente'!$E$2:$E$492,MATCH(362,'Output Utente'!$Q$2:$Q$492,0)),"")</f>
        <v>NO</v>
      </c>
      <c r="M365" s="5" t="str">
        <f>IFERROR(INDEX('Output Utente'!$U$2:$U$492,MATCH(362,'Output Utente'!$Q$2:$Q$492,0)),"")</f>
        <v>OK</v>
      </c>
      <c r="N365" s="5" t="str">
        <f>IFERROR(INDEX('Output Utente'!$AE$2:$AE$492,MATCH(362,'Output Utente'!$Q$2:$Q$492,0)),"")</f>
        <v>🔴 Non aspettare</v>
      </c>
    </row>
    <row r="366" spans="1:14" ht="15" customHeight="1" x14ac:dyDescent="0.25">
      <c r="A366" s="41">
        <v>363</v>
      </c>
      <c r="B366" s="5">
        <f>IFERROR(INDEX('Output Utente'!$A$2:$A$492,MATCH(363,'Output Utente'!$Q$2:$Q$492,0)),"")</f>
        <v>6424</v>
      </c>
      <c r="C366" s="5" t="str">
        <f>IFERROR(INDEX('Output Utente'!$B$2:$B$492,MATCH(363,'Output Utente'!$Q$2:$Q$492,0)),"")</f>
        <v>C</v>
      </c>
      <c r="D366" s="5" t="str">
        <f>IFERROR(INDEX('Output Utente'!$C$2:$C$492,MATCH(363,'Output Utente'!$Q$2:$Q$492,0)),"")</f>
        <v>Prati</v>
      </c>
      <c r="E366" s="5" t="str">
        <f>IFERROR(INDEX('Input Giocatori 2026_27'!$D$3:$D$493,MATCH($B366,'Input Giocatori 2026_27'!$A$3:$A$493,0)),"")</f>
        <v>Cagliari</v>
      </c>
      <c r="F366" s="42">
        <f>IFERROR(INDEX('Output Utente'!$N$2:$N$492,MATCH(363,'Output Utente'!$Q$2:$Q$492,0)),"")</f>
        <v>4</v>
      </c>
      <c r="G366" s="42">
        <f>IFERROR(INDEX('Output Utente'!$O$2:$O$492,MATCH(363,'Output Utente'!$Q$2:$Q$492,0)),"")</f>
        <v>7</v>
      </c>
      <c r="H366" s="5" t="str">
        <f>IFERROR(INDEX('Output Utente'!$P$2:$P$492,MATCH(363,'Output Utente'!$Q$2:$Q$492,0)),"")</f>
        <v>Scommessa/Riserva</v>
      </c>
      <c r="I366" s="42">
        <f>IFERROR(INDEX('Output Utente'!$F$2:$F$492,MATCH(363,'Output Utente'!$Q$2:$Q$492,0)),"")</f>
        <v>1</v>
      </c>
      <c r="J366" s="42">
        <f>IFERROR(INDEX('Output Utente'!$G$2:$G$492,MATCH(363,'Output Utente'!$Q$2:$Q$492,0)),"")</f>
        <v>1</v>
      </c>
      <c r="K366" s="42">
        <f>IFERROR(INDEX('Output Utente'!$H$2:$H$492,MATCH(363,'Output Utente'!$Q$2:$Q$492,0)),"")</f>
        <v>1</v>
      </c>
      <c r="L366" s="5" t="str">
        <f>IFERROR(INDEX('Output Utente'!$E$2:$E$492,MATCH(363,'Output Utente'!$Q$2:$Q$492,0)),"")</f>
        <v>NO</v>
      </c>
      <c r="M366" s="5" t="str">
        <f>IFERROR(INDEX('Output Utente'!$U$2:$U$492,MATCH(363,'Output Utente'!$Q$2:$Q$492,0)),"")</f>
        <v>OK</v>
      </c>
      <c r="N366" s="5" t="str">
        <f>IFERROR(INDEX('Output Utente'!$AE$2:$AE$492,MATCH(363,'Output Utente'!$Q$2:$Q$492,0)),"")</f>
        <v>🔴 Non aspettare</v>
      </c>
    </row>
    <row r="367" spans="1:14" ht="15" customHeight="1" x14ac:dyDescent="0.25">
      <c r="A367" s="41">
        <v>364</v>
      </c>
      <c r="B367" s="5">
        <f>IFERROR(INDEX('Output Utente'!$A$2:$A$492,MATCH(364,'Output Utente'!$Q$2:$Q$492,0)),"")</f>
        <v>6024</v>
      </c>
      <c r="C367" s="5" t="str">
        <f>IFERROR(INDEX('Output Utente'!$B$2:$B$492,MATCH(364,'Output Utente'!$Q$2:$Q$492,0)),"")</f>
        <v>C</v>
      </c>
      <c r="D367" s="5" t="str">
        <f>IFERROR(INDEX('Output Utente'!$C$2:$C$492,MATCH(364,'Output Utente'!$Q$2:$Q$492,0)),"")</f>
        <v>Sulemana I.</v>
      </c>
      <c r="E367" s="5" t="str">
        <f>IFERROR(INDEX('Input Giocatori 2026_27'!$D$3:$D$493,MATCH($B367,'Input Giocatori 2026_27'!$A$3:$A$493,0)),"")</f>
        <v>Atalanta</v>
      </c>
      <c r="F367" s="42">
        <f>IFERROR(INDEX('Output Utente'!$N$2:$N$492,MATCH(364,'Output Utente'!$Q$2:$Q$492,0)),"")</f>
        <v>3</v>
      </c>
      <c r="G367" s="42">
        <f>IFERROR(INDEX('Output Utente'!$O$2:$O$492,MATCH(364,'Output Utente'!$Q$2:$Q$492,0)),"")</f>
        <v>7</v>
      </c>
      <c r="H367" s="5" t="str">
        <f>IFERROR(INDEX('Output Utente'!$P$2:$P$492,MATCH(364,'Output Utente'!$Q$2:$Q$492,0)),"")</f>
        <v>Scommessa/Riserva</v>
      </c>
      <c r="I367" s="42">
        <f>IFERROR(INDEX('Output Utente'!$F$2:$F$492,MATCH(364,'Output Utente'!$Q$2:$Q$492,0)),"")</f>
        <v>1</v>
      </c>
      <c r="J367" s="42">
        <f>IFERROR(INDEX('Output Utente'!$G$2:$G$492,MATCH(364,'Output Utente'!$Q$2:$Q$492,0)),"")</f>
        <v>1</v>
      </c>
      <c r="K367" s="42">
        <f>IFERROR(INDEX('Output Utente'!$H$2:$H$492,MATCH(364,'Output Utente'!$Q$2:$Q$492,0)),"")</f>
        <v>1</v>
      </c>
      <c r="L367" s="5" t="str">
        <f>IFERROR(INDEX('Output Utente'!$E$2:$E$492,MATCH(364,'Output Utente'!$Q$2:$Q$492,0)),"")</f>
        <v>NO</v>
      </c>
      <c r="M367" s="5" t="str">
        <f>IFERROR(INDEX('Output Utente'!$U$2:$U$492,MATCH(364,'Output Utente'!$Q$2:$Q$492,0)),"")</f>
        <v>OK</v>
      </c>
      <c r="N367" s="5" t="str">
        <f>IFERROR(INDEX('Output Utente'!$AE$2:$AE$492,MATCH(364,'Output Utente'!$Q$2:$Q$492,0)),"")</f>
        <v>🔴 Non aspettare</v>
      </c>
    </row>
    <row r="368" spans="1:14" ht="15" customHeight="1" x14ac:dyDescent="0.25">
      <c r="A368" s="41">
        <v>365</v>
      </c>
      <c r="B368" s="5">
        <f>IFERROR(INDEX('Output Utente'!$A$2:$A$492,MATCH(365,'Output Utente'!$Q$2:$Q$492,0)),"")</f>
        <v>4947</v>
      </c>
      <c r="C368" s="5" t="str">
        <f>IFERROR(INDEX('Output Utente'!$B$2:$B$492,MATCH(365,'Output Utente'!$Q$2:$Q$492,0)),"")</f>
        <v>C</v>
      </c>
      <c r="D368" s="5" t="str">
        <f>IFERROR(INDEX('Output Utente'!$C$2:$C$492,MATCH(365,'Output Utente'!$Q$2:$Q$492,0)),"")</f>
        <v>Brescianini</v>
      </c>
      <c r="E368" s="5" t="str">
        <f>IFERROR(INDEX('Input Giocatori 2026_27'!$D$3:$D$493,MATCH($B368,'Input Giocatori 2026_27'!$A$3:$A$493,0)),"")</f>
        <v>Fiorentina</v>
      </c>
      <c r="F368" s="42">
        <f>IFERROR(INDEX('Output Utente'!$N$2:$N$492,MATCH(365,'Output Utente'!$Q$2:$Q$492,0)),"")</f>
        <v>3</v>
      </c>
      <c r="G368" s="42">
        <f>IFERROR(INDEX('Output Utente'!$O$2:$O$492,MATCH(365,'Output Utente'!$Q$2:$Q$492,0)),"")</f>
        <v>7</v>
      </c>
      <c r="H368" s="5" t="str">
        <f>IFERROR(INDEX('Output Utente'!$P$2:$P$492,MATCH(365,'Output Utente'!$Q$2:$Q$492,0)),"")</f>
        <v>Scommessa/Riserva</v>
      </c>
      <c r="I368" s="42">
        <f>IFERROR(INDEX('Output Utente'!$F$2:$F$492,MATCH(365,'Output Utente'!$Q$2:$Q$492,0)),"")</f>
        <v>1</v>
      </c>
      <c r="J368" s="42">
        <f>IFERROR(INDEX('Output Utente'!$G$2:$G$492,MATCH(365,'Output Utente'!$Q$2:$Q$492,0)),"")</f>
        <v>1</v>
      </c>
      <c r="K368" s="42">
        <f>IFERROR(INDEX('Output Utente'!$H$2:$H$492,MATCH(365,'Output Utente'!$Q$2:$Q$492,0)),"")</f>
        <v>1</v>
      </c>
      <c r="L368" s="5" t="str">
        <f>IFERROR(INDEX('Output Utente'!$E$2:$E$492,MATCH(365,'Output Utente'!$Q$2:$Q$492,0)),"")</f>
        <v>NO</v>
      </c>
      <c r="M368" s="5" t="str">
        <f>IFERROR(INDEX('Output Utente'!$U$2:$U$492,MATCH(365,'Output Utente'!$Q$2:$Q$492,0)),"")</f>
        <v>OK</v>
      </c>
      <c r="N368" s="5" t="str">
        <f>IFERROR(INDEX('Output Utente'!$AE$2:$AE$492,MATCH(365,'Output Utente'!$Q$2:$Q$492,0)),"")</f>
        <v>🔴 Non aspettare</v>
      </c>
    </row>
    <row r="369" spans="1:14" ht="15" customHeight="1" x14ac:dyDescent="0.25">
      <c r="A369" s="41">
        <v>366</v>
      </c>
      <c r="B369" s="5">
        <f>IFERROR(INDEX('Output Utente'!$A$2:$A$492,MATCH(366,'Output Utente'!$Q$2:$Q$492,0)),"")</f>
        <v>7477</v>
      </c>
      <c r="C369" s="5" t="str">
        <f>IFERROR(INDEX('Output Utente'!$B$2:$B$492,MATCH(366,'Output Utente'!$Q$2:$Q$492,0)),"")</f>
        <v>C</v>
      </c>
      <c r="D369" s="5" t="str">
        <f>IFERROR(INDEX('Output Utente'!$C$2:$C$492,MATCH(366,'Output Utente'!$Q$2:$Q$492,0)),"")</f>
        <v>Colombo L.</v>
      </c>
      <c r="E369" s="5" t="str">
        <f>IFERROR(INDEX('Input Giocatori 2026_27'!$D$3:$D$493,MATCH($B369,'Input Giocatori 2026_27'!$A$3:$A$493,0)),"")</f>
        <v>Monza</v>
      </c>
      <c r="F369" s="42">
        <f>IFERROR(INDEX('Output Utente'!$N$2:$N$492,MATCH(366,'Output Utente'!$Q$2:$Q$492,0)),"")</f>
        <v>3</v>
      </c>
      <c r="G369" s="42">
        <f>IFERROR(INDEX('Output Utente'!$O$2:$O$492,MATCH(366,'Output Utente'!$Q$2:$Q$492,0)),"")</f>
        <v>7</v>
      </c>
      <c r="H369" s="5" t="str">
        <f>IFERROR(INDEX('Output Utente'!$P$2:$P$492,MATCH(366,'Output Utente'!$Q$2:$Q$492,0)),"")</f>
        <v>Scommessa/Riserva</v>
      </c>
      <c r="I369" s="42">
        <f>IFERROR(INDEX('Output Utente'!$F$2:$F$492,MATCH(366,'Output Utente'!$Q$2:$Q$492,0)),"")</f>
        <v>1</v>
      </c>
      <c r="J369" s="42">
        <f>IFERROR(INDEX('Output Utente'!$G$2:$G$492,MATCH(366,'Output Utente'!$Q$2:$Q$492,0)),"")</f>
        <v>1</v>
      </c>
      <c r="K369" s="42">
        <f>IFERROR(INDEX('Output Utente'!$H$2:$H$492,MATCH(366,'Output Utente'!$Q$2:$Q$492,0)),"")</f>
        <v>1</v>
      </c>
      <c r="L369" s="5" t="str">
        <f>IFERROR(INDEX('Output Utente'!$E$2:$E$492,MATCH(366,'Output Utente'!$Q$2:$Q$492,0)),"")</f>
        <v>NO</v>
      </c>
      <c r="M369" s="5" t="str">
        <f>IFERROR(INDEX('Output Utente'!$U$2:$U$492,MATCH(366,'Output Utente'!$Q$2:$Q$492,0)),"")</f>
        <v>OK</v>
      </c>
      <c r="N369" s="5" t="str">
        <f>IFERROR(INDEX('Output Utente'!$AE$2:$AE$492,MATCH(366,'Output Utente'!$Q$2:$Q$492,0)),"")</f>
        <v>🔴 Non aspettare</v>
      </c>
    </row>
    <row r="370" spans="1:14" ht="15" customHeight="1" x14ac:dyDescent="0.25">
      <c r="A370" s="41">
        <v>367</v>
      </c>
      <c r="B370" s="5">
        <f>IFERROR(INDEX('Output Utente'!$A$2:$A$492,MATCH(367,'Output Utente'!$Q$2:$Q$492,0)),"")</f>
        <v>5872</v>
      </c>
      <c r="C370" s="5" t="str">
        <f>IFERROR(INDEX('Output Utente'!$B$2:$B$492,MATCH(367,'Output Utente'!$Q$2:$Q$492,0)),"")</f>
        <v>C</v>
      </c>
      <c r="D370" s="5" t="str">
        <f>IFERROR(INDEX('Output Utente'!$C$2:$C$492,MATCH(367,'Output Utente'!$Q$2:$Q$492,0)),"")</f>
        <v>Helgason</v>
      </c>
      <c r="E370" s="5" t="str">
        <f>IFERROR(INDEX('Input Giocatori 2026_27'!$D$3:$D$493,MATCH($B370,'Input Giocatori 2026_27'!$A$3:$A$493,0)),"")</f>
        <v>Venezia</v>
      </c>
      <c r="F370" s="42">
        <f>IFERROR(INDEX('Output Utente'!$N$2:$N$492,MATCH(367,'Output Utente'!$Q$2:$Q$492,0)),"")</f>
        <v>3</v>
      </c>
      <c r="G370" s="42">
        <f>IFERROR(INDEX('Output Utente'!$O$2:$O$492,MATCH(367,'Output Utente'!$Q$2:$Q$492,0)),"")</f>
        <v>7</v>
      </c>
      <c r="H370" s="5" t="str">
        <f>IFERROR(INDEX('Output Utente'!$P$2:$P$492,MATCH(367,'Output Utente'!$Q$2:$Q$492,0)),"")</f>
        <v>Scommessa/Riserva</v>
      </c>
      <c r="I370" s="42">
        <f>IFERROR(INDEX('Output Utente'!$F$2:$F$492,MATCH(367,'Output Utente'!$Q$2:$Q$492,0)),"")</f>
        <v>1</v>
      </c>
      <c r="J370" s="42">
        <f>IFERROR(INDEX('Output Utente'!$G$2:$G$492,MATCH(367,'Output Utente'!$Q$2:$Q$492,0)),"")</f>
        <v>1</v>
      </c>
      <c r="K370" s="42">
        <f>IFERROR(INDEX('Output Utente'!$H$2:$H$492,MATCH(367,'Output Utente'!$Q$2:$Q$492,0)),"")</f>
        <v>1</v>
      </c>
      <c r="L370" s="5" t="str">
        <f>IFERROR(INDEX('Output Utente'!$E$2:$E$492,MATCH(367,'Output Utente'!$Q$2:$Q$492,0)),"")</f>
        <v>NO</v>
      </c>
      <c r="M370" s="5" t="str">
        <f>IFERROR(INDEX('Output Utente'!$U$2:$U$492,MATCH(367,'Output Utente'!$Q$2:$Q$492,0)),"")</f>
        <v>OK</v>
      </c>
      <c r="N370" s="5" t="str">
        <f>IFERROR(INDEX('Output Utente'!$AE$2:$AE$492,MATCH(367,'Output Utente'!$Q$2:$Q$492,0)),"")</f>
        <v>🔴 Non aspettare</v>
      </c>
    </row>
    <row r="371" spans="1:14" ht="15" customHeight="1" x14ac:dyDescent="0.25">
      <c r="A371" s="41">
        <v>368</v>
      </c>
      <c r="B371" s="5">
        <f>IFERROR(INDEX('Output Utente'!$A$2:$A$492,MATCH(368,'Output Utente'!$Q$2:$Q$492,0)),"")</f>
        <v>7272</v>
      </c>
      <c r="C371" s="5" t="str">
        <f>IFERROR(INDEX('Output Utente'!$B$2:$B$492,MATCH(368,'Output Utente'!$Q$2:$Q$492,0)),"")</f>
        <v>A</v>
      </c>
      <c r="D371" s="5" t="str">
        <f>IFERROR(INDEX('Output Utente'!$C$2:$C$492,MATCH(368,'Output Utente'!$Q$2:$Q$492,0)),"")</f>
        <v>Gueye</v>
      </c>
      <c r="E371" s="5" t="str">
        <f>IFERROR(INDEX('Input Giocatori 2026_27'!$D$3:$D$493,MATCH($B371,'Input Giocatori 2026_27'!$A$3:$A$493,0)),"")</f>
        <v>Udinese</v>
      </c>
      <c r="F371" s="42">
        <f>IFERROR(INDEX('Output Utente'!$N$2:$N$492,MATCH(368,'Output Utente'!$Q$2:$Q$492,0)),"")</f>
        <v>4</v>
      </c>
      <c r="G371" s="42">
        <f>IFERROR(INDEX('Output Utente'!$O$2:$O$492,MATCH(368,'Output Utente'!$Q$2:$Q$492,0)),"")</f>
        <v>7</v>
      </c>
      <c r="H371" s="5" t="str">
        <f>IFERROR(INDEX('Output Utente'!$P$2:$P$492,MATCH(368,'Output Utente'!$Q$2:$Q$492,0)),"")</f>
        <v>Scommessa/Riserva</v>
      </c>
      <c r="I371" s="42">
        <f>IFERROR(INDEX('Output Utente'!$F$2:$F$492,MATCH(368,'Output Utente'!$Q$2:$Q$492,0)),"")</f>
        <v>2</v>
      </c>
      <c r="J371" s="42">
        <f>IFERROR(INDEX('Output Utente'!$G$2:$G$492,MATCH(368,'Output Utente'!$Q$2:$Q$492,0)),"")</f>
        <v>1</v>
      </c>
      <c r="K371" s="42">
        <f>IFERROR(INDEX('Output Utente'!$H$2:$H$492,MATCH(368,'Output Utente'!$Q$2:$Q$492,0)),"")</f>
        <v>3</v>
      </c>
      <c r="L371" s="5" t="str">
        <f>IFERROR(INDEX('Output Utente'!$E$2:$E$492,MATCH(368,'Output Utente'!$Q$2:$Q$492,0)),"")</f>
        <v>NO</v>
      </c>
      <c r="M371" s="5" t="str">
        <f>IFERROR(INDEX('Output Utente'!$U$2:$U$492,MATCH(368,'Output Utente'!$Q$2:$Q$492,0)),"")</f>
        <v>OK</v>
      </c>
      <c r="N371" s="5" t="str">
        <f>IFERROR(INDEX('Output Utente'!$AE$2:$AE$492,MATCH(368,'Output Utente'!$Q$2:$Q$492,0)),"")</f>
        <v>🔴 Non aspettare</v>
      </c>
    </row>
    <row r="372" spans="1:14" ht="15" customHeight="1" x14ac:dyDescent="0.25">
      <c r="A372" s="41">
        <v>369</v>
      </c>
      <c r="B372" s="5">
        <f>IFERROR(INDEX('Output Utente'!$A$2:$A$492,MATCH(369,'Output Utente'!$Q$2:$Q$492,0)),"")</f>
        <v>7523</v>
      </c>
      <c r="C372" s="5" t="str">
        <f>IFERROR(INDEX('Output Utente'!$B$2:$B$492,MATCH(369,'Output Utente'!$Q$2:$Q$492,0)),"")</f>
        <v>A</v>
      </c>
      <c r="D372" s="5" t="str">
        <f>IFERROR(INDEX('Output Utente'!$C$2:$C$492,MATCH(369,'Output Utente'!$Q$2:$Q$492,0)),"")</f>
        <v>Varela G.</v>
      </c>
      <c r="E372" s="5" t="str">
        <f>IFERROR(INDEX('Input Giocatori 2026_27'!$D$3:$D$493,MATCH($B372,'Input Giocatori 2026_27'!$A$3:$A$493,0)),"")</f>
        <v>Monza</v>
      </c>
      <c r="F372" s="42">
        <f>IFERROR(INDEX('Output Utente'!$N$2:$N$492,MATCH(369,'Output Utente'!$Q$2:$Q$492,0)),"")</f>
        <v>3</v>
      </c>
      <c r="G372" s="42">
        <f>IFERROR(INDEX('Output Utente'!$O$2:$O$492,MATCH(369,'Output Utente'!$Q$2:$Q$492,0)),"")</f>
        <v>7</v>
      </c>
      <c r="H372" s="5" t="str">
        <f>IFERROR(INDEX('Output Utente'!$P$2:$P$492,MATCH(369,'Output Utente'!$Q$2:$Q$492,0)),"")</f>
        <v>Scommessa/Riserva</v>
      </c>
      <c r="I372" s="42">
        <f>IFERROR(INDEX('Output Utente'!$F$2:$F$492,MATCH(369,'Output Utente'!$Q$2:$Q$492,0)),"")</f>
        <v>2</v>
      </c>
      <c r="J372" s="42">
        <f>IFERROR(INDEX('Output Utente'!$G$2:$G$492,MATCH(369,'Output Utente'!$Q$2:$Q$492,0)),"")</f>
        <v>1</v>
      </c>
      <c r="K372" s="42">
        <f>IFERROR(INDEX('Output Utente'!$H$2:$H$492,MATCH(369,'Output Utente'!$Q$2:$Q$492,0)),"")</f>
        <v>3</v>
      </c>
      <c r="L372" s="5" t="str">
        <f>IFERROR(INDEX('Output Utente'!$E$2:$E$492,MATCH(369,'Output Utente'!$Q$2:$Q$492,0)),"")</f>
        <v>NO</v>
      </c>
      <c r="M372" s="5" t="str">
        <f>IFERROR(INDEX('Output Utente'!$U$2:$U$492,MATCH(369,'Output Utente'!$Q$2:$Q$492,0)),"")</f>
        <v>OK</v>
      </c>
      <c r="N372" s="5" t="str">
        <f>IFERROR(INDEX('Output Utente'!$AE$2:$AE$492,MATCH(369,'Output Utente'!$Q$2:$Q$492,0)),"")</f>
        <v>🔴 Non aspettare</v>
      </c>
    </row>
    <row r="373" spans="1:14" ht="15" customHeight="1" x14ac:dyDescent="0.25">
      <c r="A373" s="41">
        <v>370</v>
      </c>
      <c r="B373" s="5">
        <f>IFERROR(INDEX('Output Utente'!$A$2:$A$492,MATCH(370,'Output Utente'!$Q$2:$Q$492,0)),"")</f>
        <v>5498</v>
      </c>
      <c r="C373" s="5" t="str">
        <f>IFERROR(INDEX('Output Utente'!$B$2:$B$492,MATCH(370,'Output Utente'!$Q$2:$Q$492,0)),"")</f>
        <v>D</v>
      </c>
      <c r="D373" s="5" t="str">
        <f>IFERROR(INDEX('Output Utente'!$C$2:$C$492,MATCH(370,'Output Utente'!$Q$2:$Q$492,0)),"")</f>
        <v>Casale</v>
      </c>
      <c r="E373" s="5" t="str">
        <f>IFERROR(INDEX('Input Giocatori 2026_27'!$D$3:$D$493,MATCH($B373,'Input Giocatori 2026_27'!$A$3:$A$493,0)),"")</f>
        <v>Bologna</v>
      </c>
      <c r="F373" s="42">
        <f>IFERROR(INDEX('Output Utente'!$N$2:$N$492,MATCH(370,'Output Utente'!$Q$2:$Q$492,0)),"")</f>
        <v>3</v>
      </c>
      <c r="G373" s="42">
        <f>IFERROR(INDEX('Output Utente'!$O$2:$O$492,MATCH(370,'Output Utente'!$Q$2:$Q$492,0)),"")</f>
        <v>6</v>
      </c>
      <c r="H373" s="5" t="str">
        <f>IFERROR(INDEX('Output Utente'!$P$2:$P$492,MATCH(370,'Output Utente'!$Q$2:$Q$492,0)),"")</f>
        <v>Scommessa/Riserva</v>
      </c>
      <c r="I373" s="42">
        <f>IFERROR(INDEX('Output Utente'!$F$2:$F$492,MATCH(370,'Output Utente'!$Q$2:$Q$492,0)),"")</f>
        <v>1</v>
      </c>
      <c r="J373" s="42">
        <f>IFERROR(INDEX('Output Utente'!$G$2:$G$492,MATCH(370,'Output Utente'!$Q$2:$Q$492,0)),"")</f>
        <v>1</v>
      </c>
      <c r="K373" s="42">
        <f>IFERROR(INDEX('Output Utente'!$H$2:$H$492,MATCH(370,'Output Utente'!$Q$2:$Q$492,0)),"")</f>
        <v>1</v>
      </c>
      <c r="L373" s="5" t="str">
        <f>IFERROR(INDEX('Output Utente'!$E$2:$E$492,MATCH(370,'Output Utente'!$Q$2:$Q$492,0)),"")</f>
        <v>NO</v>
      </c>
      <c r="M373" s="5" t="str">
        <f>IFERROR(INDEX('Output Utente'!$U$2:$U$492,MATCH(370,'Output Utente'!$Q$2:$Q$492,0)),"")</f>
        <v>OK</v>
      </c>
      <c r="N373" s="5" t="str">
        <f>IFERROR(INDEX('Output Utente'!$AE$2:$AE$492,MATCH(370,'Output Utente'!$Q$2:$Q$492,0)),"")</f>
        <v>🔴 Non aspettare</v>
      </c>
    </row>
    <row r="374" spans="1:14" ht="15" customHeight="1" x14ac:dyDescent="0.25">
      <c r="A374" s="41">
        <v>371</v>
      </c>
      <c r="B374" s="5">
        <f>IFERROR(INDEX('Output Utente'!$A$2:$A$492,MATCH(371,'Output Utente'!$Q$2:$Q$492,0)),"")</f>
        <v>7483</v>
      </c>
      <c r="C374" s="5" t="str">
        <f>IFERROR(INDEX('Output Utente'!$B$2:$B$492,MATCH(371,'Output Utente'!$Q$2:$Q$492,0)),"")</f>
        <v>D</v>
      </c>
      <c r="D374" s="5" t="str">
        <f>IFERROR(INDEX('Output Utente'!$C$2:$C$492,MATCH(371,'Output Utente'!$Q$2:$Q$492,0)),"")</f>
        <v>Alhassane</v>
      </c>
      <c r="E374" s="5" t="str">
        <f>IFERROR(INDEX('Input Giocatori 2026_27'!$D$3:$D$493,MATCH($B374,'Input Giocatori 2026_27'!$A$3:$A$493,0)),"")</f>
        <v>Bologna</v>
      </c>
      <c r="F374" s="42">
        <f>IFERROR(INDEX('Output Utente'!$N$2:$N$492,MATCH(371,'Output Utente'!$Q$2:$Q$492,0)),"")</f>
        <v>2</v>
      </c>
      <c r="G374" s="42">
        <f>IFERROR(INDEX('Output Utente'!$O$2:$O$492,MATCH(371,'Output Utente'!$Q$2:$Q$492,0)),"")</f>
        <v>6</v>
      </c>
      <c r="H374" s="5" t="str">
        <f>IFERROR(INDEX('Output Utente'!$P$2:$P$492,MATCH(371,'Output Utente'!$Q$2:$Q$492,0)),"")</f>
        <v>Scommessa/Riserva</v>
      </c>
      <c r="I374" s="42">
        <f>IFERROR(INDEX('Output Utente'!$F$2:$F$492,MATCH(371,'Output Utente'!$Q$2:$Q$492,0)),"")</f>
        <v>1</v>
      </c>
      <c r="J374" s="42">
        <f>IFERROR(INDEX('Output Utente'!$G$2:$G$492,MATCH(371,'Output Utente'!$Q$2:$Q$492,0)),"")</f>
        <v>1</v>
      </c>
      <c r="K374" s="42">
        <f>IFERROR(INDEX('Output Utente'!$H$2:$H$492,MATCH(371,'Output Utente'!$Q$2:$Q$492,0)),"")</f>
        <v>1</v>
      </c>
      <c r="L374" s="5" t="str">
        <f>IFERROR(INDEX('Output Utente'!$E$2:$E$492,MATCH(371,'Output Utente'!$Q$2:$Q$492,0)),"")</f>
        <v>NO</v>
      </c>
      <c r="M374" s="5" t="str">
        <f>IFERROR(INDEX('Output Utente'!$U$2:$U$492,MATCH(371,'Output Utente'!$Q$2:$Q$492,0)),"")</f>
        <v>OK</v>
      </c>
      <c r="N374" s="5" t="str">
        <f>IFERROR(INDEX('Output Utente'!$AE$2:$AE$492,MATCH(371,'Output Utente'!$Q$2:$Q$492,0)),"")</f>
        <v>🔴 Non aspettare</v>
      </c>
    </row>
    <row r="375" spans="1:14" ht="15" customHeight="1" x14ac:dyDescent="0.25">
      <c r="A375" s="41">
        <v>372</v>
      </c>
      <c r="B375" s="5">
        <f>IFERROR(INDEX('Output Utente'!$A$2:$A$492,MATCH(372,'Output Utente'!$Q$2:$Q$492,0)),"")</f>
        <v>6638</v>
      </c>
      <c r="C375" s="5" t="str">
        <f>IFERROR(INDEX('Output Utente'!$B$2:$B$492,MATCH(372,'Output Utente'!$Q$2:$Q$492,0)),"")</f>
        <v>D</v>
      </c>
      <c r="D375" s="5" t="str">
        <f>IFERROR(INDEX('Output Utente'!$C$2:$C$492,MATCH(372,'Output Utente'!$Q$2:$Q$492,0)),"")</f>
        <v>Marin R.</v>
      </c>
      <c r="E375" s="5" t="str">
        <f>IFERROR(INDEX('Input Giocatori 2026_27'!$D$3:$D$493,MATCH($B375,'Input Giocatori 2026_27'!$A$3:$A$493,0)),"")</f>
        <v>Napoli</v>
      </c>
      <c r="F375" s="42">
        <f>IFERROR(INDEX('Output Utente'!$N$2:$N$492,MATCH(372,'Output Utente'!$Q$2:$Q$492,0)),"")</f>
        <v>2</v>
      </c>
      <c r="G375" s="42">
        <f>IFERROR(INDEX('Output Utente'!$O$2:$O$492,MATCH(372,'Output Utente'!$Q$2:$Q$492,0)),"")</f>
        <v>6</v>
      </c>
      <c r="H375" s="5" t="str">
        <f>IFERROR(INDEX('Output Utente'!$P$2:$P$492,MATCH(372,'Output Utente'!$Q$2:$Q$492,0)),"")</f>
        <v>Scommessa/Riserva</v>
      </c>
      <c r="I375" s="42">
        <f>IFERROR(INDEX('Output Utente'!$F$2:$F$492,MATCH(372,'Output Utente'!$Q$2:$Q$492,0)),"")</f>
        <v>1</v>
      </c>
      <c r="J375" s="42">
        <f>IFERROR(INDEX('Output Utente'!$G$2:$G$492,MATCH(372,'Output Utente'!$Q$2:$Q$492,0)),"")</f>
        <v>1</v>
      </c>
      <c r="K375" s="42">
        <f>IFERROR(INDEX('Output Utente'!$H$2:$H$492,MATCH(372,'Output Utente'!$Q$2:$Q$492,0)),"")</f>
        <v>1</v>
      </c>
      <c r="L375" s="5" t="str">
        <f>IFERROR(INDEX('Output Utente'!$E$2:$E$492,MATCH(372,'Output Utente'!$Q$2:$Q$492,0)),"")</f>
        <v>NO</v>
      </c>
      <c r="M375" s="5" t="str">
        <f>IFERROR(INDEX('Output Utente'!$U$2:$U$492,MATCH(372,'Output Utente'!$Q$2:$Q$492,0)),"")</f>
        <v>OK</v>
      </c>
      <c r="N375" s="5" t="str">
        <f>IFERROR(INDEX('Output Utente'!$AE$2:$AE$492,MATCH(372,'Output Utente'!$Q$2:$Q$492,0)),"")</f>
        <v>🔴 Non aspettare</v>
      </c>
    </row>
    <row r="376" spans="1:14" ht="15" customHeight="1" x14ac:dyDescent="0.25">
      <c r="A376" s="41">
        <v>373</v>
      </c>
      <c r="B376" s="5">
        <f>IFERROR(INDEX('Output Utente'!$A$2:$A$492,MATCH(373,'Output Utente'!$Q$2:$Q$492,0)),"")</f>
        <v>6980</v>
      </c>
      <c r="C376" s="5" t="str">
        <f>IFERROR(INDEX('Output Utente'!$B$2:$B$492,MATCH(373,'Output Utente'!$Q$2:$Q$492,0)),"")</f>
        <v>C</v>
      </c>
      <c r="D376" s="5" t="str">
        <f>IFERROR(INDEX('Output Utente'!$C$2:$C$492,MATCH(373,'Output Utente'!$Q$2:$Q$492,0)),"")</f>
        <v>Venturino</v>
      </c>
      <c r="E376" s="5" t="str">
        <f>IFERROR(INDEX('Input Giocatori 2026_27'!$D$3:$D$493,MATCH($B376,'Input Giocatori 2026_27'!$A$3:$A$493,0)),"")</f>
        <v>Genoa</v>
      </c>
      <c r="F376" s="42">
        <f>IFERROR(INDEX('Output Utente'!$N$2:$N$492,MATCH(373,'Output Utente'!$Q$2:$Q$492,0)),"")</f>
        <v>2</v>
      </c>
      <c r="G376" s="42">
        <f>IFERROR(INDEX('Output Utente'!$O$2:$O$492,MATCH(373,'Output Utente'!$Q$2:$Q$492,0)),"")</f>
        <v>6</v>
      </c>
      <c r="H376" s="5" t="str">
        <f>IFERROR(INDEX('Output Utente'!$P$2:$P$492,MATCH(373,'Output Utente'!$Q$2:$Q$492,0)),"")</f>
        <v>Scommessa/Riserva</v>
      </c>
      <c r="I376" s="42">
        <f>IFERROR(INDEX('Output Utente'!$F$2:$F$492,MATCH(373,'Output Utente'!$Q$2:$Q$492,0)),"")</f>
        <v>1</v>
      </c>
      <c r="J376" s="42">
        <f>IFERROR(INDEX('Output Utente'!$G$2:$G$492,MATCH(373,'Output Utente'!$Q$2:$Q$492,0)),"")</f>
        <v>1</v>
      </c>
      <c r="K376" s="42">
        <f>IFERROR(INDEX('Output Utente'!$H$2:$H$492,MATCH(373,'Output Utente'!$Q$2:$Q$492,0)),"")</f>
        <v>1</v>
      </c>
      <c r="L376" s="5" t="str">
        <f>IFERROR(INDEX('Output Utente'!$E$2:$E$492,MATCH(373,'Output Utente'!$Q$2:$Q$492,0)),"")</f>
        <v>NO</v>
      </c>
      <c r="M376" s="5" t="str">
        <f>IFERROR(INDEX('Output Utente'!$U$2:$U$492,MATCH(373,'Output Utente'!$Q$2:$Q$492,0)),"")</f>
        <v>OK</v>
      </c>
      <c r="N376" s="5" t="str">
        <f>IFERROR(INDEX('Output Utente'!$AE$2:$AE$492,MATCH(373,'Output Utente'!$Q$2:$Q$492,0)),"")</f>
        <v>🔴 Non aspettare</v>
      </c>
    </row>
    <row r="377" spans="1:14" ht="15" customHeight="1" x14ac:dyDescent="0.25">
      <c r="A377" s="41">
        <v>374</v>
      </c>
      <c r="B377" s="5">
        <f>IFERROR(INDEX('Output Utente'!$A$2:$A$492,MATCH(374,'Output Utente'!$Q$2:$Q$492,0)),"")</f>
        <v>5295</v>
      </c>
      <c r="C377" s="5" t="str">
        <f>IFERROR(INDEX('Output Utente'!$B$2:$B$492,MATCH(374,'Output Utente'!$Q$2:$Q$492,0)),"")</f>
        <v>C</v>
      </c>
      <c r="D377" s="5" t="str">
        <f>IFERROR(INDEX('Output Utente'!$C$2:$C$492,MATCH(374,'Output Utente'!$Q$2:$Q$492,0)),"")</f>
        <v>Musah</v>
      </c>
      <c r="E377" s="5" t="str">
        <f>IFERROR(INDEX('Input Giocatori 2026_27'!$D$3:$D$493,MATCH($B377,'Input Giocatori 2026_27'!$A$3:$A$493,0)),"")</f>
        <v>Milan</v>
      </c>
      <c r="F377" s="42">
        <f>IFERROR(INDEX('Output Utente'!$N$2:$N$492,MATCH(374,'Output Utente'!$Q$2:$Q$492,0)),"")</f>
        <v>2</v>
      </c>
      <c r="G377" s="42">
        <f>IFERROR(INDEX('Output Utente'!$O$2:$O$492,MATCH(374,'Output Utente'!$Q$2:$Q$492,0)),"")</f>
        <v>6</v>
      </c>
      <c r="H377" s="5" t="str">
        <f>IFERROR(INDEX('Output Utente'!$P$2:$P$492,MATCH(374,'Output Utente'!$Q$2:$Q$492,0)),"")</f>
        <v>Scommessa/Riserva</v>
      </c>
      <c r="I377" s="42">
        <f>IFERROR(INDEX('Output Utente'!$F$2:$F$492,MATCH(374,'Output Utente'!$Q$2:$Q$492,0)),"")</f>
        <v>1</v>
      </c>
      <c r="J377" s="42">
        <f>IFERROR(INDEX('Output Utente'!$G$2:$G$492,MATCH(374,'Output Utente'!$Q$2:$Q$492,0)),"")</f>
        <v>1</v>
      </c>
      <c r="K377" s="42">
        <f>IFERROR(INDEX('Output Utente'!$H$2:$H$492,MATCH(374,'Output Utente'!$Q$2:$Q$492,0)),"")</f>
        <v>1</v>
      </c>
      <c r="L377" s="5" t="str">
        <f>IFERROR(INDEX('Output Utente'!$E$2:$E$492,MATCH(374,'Output Utente'!$Q$2:$Q$492,0)),"")</f>
        <v>NO</v>
      </c>
      <c r="M377" s="5" t="str">
        <f>IFERROR(INDEX('Output Utente'!$U$2:$U$492,MATCH(374,'Output Utente'!$Q$2:$Q$492,0)),"")</f>
        <v>OK</v>
      </c>
      <c r="N377" s="5" t="str">
        <f>IFERROR(INDEX('Output Utente'!$AE$2:$AE$492,MATCH(374,'Output Utente'!$Q$2:$Q$492,0)),"")</f>
        <v>🔴 Non aspettare</v>
      </c>
    </row>
    <row r="378" spans="1:14" ht="15" customHeight="1" x14ac:dyDescent="0.25">
      <c r="A378" s="41">
        <v>375</v>
      </c>
      <c r="B378" s="5">
        <f>IFERROR(INDEX('Output Utente'!$A$2:$A$492,MATCH(375,'Output Utente'!$Q$2:$Q$492,0)),"")</f>
        <v>5880</v>
      </c>
      <c r="C378" s="5" t="str">
        <f>IFERROR(INDEX('Output Utente'!$B$2:$B$492,MATCH(375,'Output Utente'!$Q$2:$Q$492,0)),"")</f>
        <v>C</v>
      </c>
      <c r="D378" s="5" t="str">
        <f>IFERROR(INDEX('Output Utente'!$C$2:$C$492,MATCH(375,'Output Utente'!$Q$2:$Q$492,0)),"")</f>
        <v>Ciurria</v>
      </c>
      <c r="E378" s="5" t="str">
        <f>IFERROR(INDEX('Input Giocatori 2026_27'!$D$3:$D$493,MATCH($B378,'Input Giocatori 2026_27'!$A$3:$A$493,0)),"")</f>
        <v>Monza</v>
      </c>
      <c r="F378" s="42">
        <f>IFERROR(INDEX('Output Utente'!$N$2:$N$492,MATCH(375,'Output Utente'!$Q$2:$Q$492,0)),"")</f>
        <v>2</v>
      </c>
      <c r="G378" s="42">
        <f>IFERROR(INDEX('Output Utente'!$O$2:$O$492,MATCH(375,'Output Utente'!$Q$2:$Q$492,0)),"")</f>
        <v>6</v>
      </c>
      <c r="H378" s="5" t="str">
        <f>IFERROR(INDEX('Output Utente'!$P$2:$P$492,MATCH(375,'Output Utente'!$Q$2:$Q$492,0)),"")</f>
        <v>Scommessa/Riserva</v>
      </c>
      <c r="I378" s="42">
        <f>IFERROR(INDEX('Output Utente'!$F$2:$F$492,MATCH(375,'Output Utente'!$Q$2:$Q$492,0)),"")</f>
        <v>1</v>
      </c>
      <c r="J378" s="42">
        <f>IFERROR(INDEX('Output Utente'!$G$2:$G$492,MATCH(375,'Output Utente'!$Q$2:$Q$492,0)),"")</f>
        <v>1</v>
      </c>
      <c r="K378" s="42">
        <f>IFERROR(INDEX('Output Utente'!$H$2:$H$492,MATCH(375,'Output Utente'!$Q$2:$Q$492,0)),"")</f>
        <v>1</v>
      </c>
      <c r="L378" s="5" t="str">
        <f>IFERROR(INDEX('Output Utente'!$E$2:$E$492,MATCH(375,'Output Utente'!$Q$2:$Q$492,0)),"")</f>
        <v>NO</v>
      </c>
      <c r="M378" s="5" t="str">
        <f>IFERROR(INDEX('Output Utente'!$U$2:$U$492,MATCH(375,'Output Utente'!$Q$2:$Q$492,0)),"")</f>
        <v>OK</v>
      </c>
      <c r="N378" s="5" t="str">
        <f>IFERROR(INDEX('Output Utente'!$AE$2:$AE$492,MATCH(375,'Output Utente'!$Q$2:$Q$492,0)),"")</f>
        <v>🔴 Non aspettare</v>
      </c>
    </row>
    <row r="379" spans="1:14" ht="15" customHeight="1" x14ac:dyDescent="0.25">
      <c r="A379" s="41">
        <v>376</v>
      </c>
      <c r="B379" s="5">
        <f>IFERROR(INDEX('Output Utente'!$A$2:$A$492,MATCH(376,'Output Utente'!$Q$2:$Q$492,0)),"")</f>
        <v>7418</v>
      </c>
      <c r="C379" s="5" t="str">
        <f>IFERROR(INDEX('Output Utente'!$B$2:$B$492,MATCH(376,'Output Utente'!$Q$2:$Q$492,0)),"")</f>
        <v>C</v>
      </c>
      <c r="D379" s="5" t="str">
        <f>IFERROR(INDEX('Output Utente'!$C$2:$C$492,MATCH(376,'Output Utente'!$Q$2:$Q$492,0)),"")</f>
        <v>Chakvetadze</v>
      </c>
      <c r="E379" s="5" t="str">
        <f>IFERROR(INDEX('Input Giocatori 2026_27'!$D$3:$D$493,MATCH($B379,'Input Giocatori 2026_27'!$A$3:$A$493,0)),"")</f>
        <v>Udinese</v>
      </c>
      <c r="F379" s="42">
        <f>IFERROR(INDEX('Output Utente'!$N$2:$N$492,MATCH(376,'Output Utente'!$Q$2:$Q$492,0)),"")</f>
        <v>2</v>
      </c>
      <c r="G379" s="42">
        <f>IFERROR(INDEX('Output Utente'!$O$2:$O$492,MATCH(376,'Output Utente'!$Q$2:$Q$492,0)),"")</f>
        <v>6</v>
      </c>
      <c r="H379" s="5" t="str">
        <f>IFERROR(INDEX('Output Utente'!$P$2:$P$492,MATCH(376,'Output Utente'!$Q$2:$Q$492,0)),"")</f>
        <v>Scommessa/Riserva</v>
      </c>
      <c r="I379" s="42">
        <f>IFERROR(INDEX('Output Utente'!$F$2:$F$492,MATCH(376,'Output Utente'!$Q$2:$Q$492,0)),"")</f>
        <v>1</v>
      </c>
      <c r="J379" s="42">
        <f>IFERROR(INDEX('Output Utente'!$G$2:$G$492,MATCH(376,'Output Utente'!$Q$2:$Q$492,0)),"")</f>
        <v>1</v>
      </c>
      <c r="K379" s="42">
        <f>IFERROR(INDEX('Output Utente'!$H$2:$H$492,MATCH(376,'Output Utente'!$Q$2:$Q$492,0)),"")</f>
        <v>1</v>
      </c>
      <c r="L379" s="5" t="str">
        <f>IFERROR(INDEX('Output Utente'!$E$2:$E$492,MATCH(376,'Output Utente'!$Q$2:$Q$492,0)),"")</f>
        <v>NO</v>
      </c>
      <c r="M379" s="5" t="str">
        <f>IFERROR(INDEX('Output Utente'!$U$2:$U$492,MATCH(376,'Output Utente'!$Q$2:$Q$492,0)),"")</f>
        <v>OK</v>
      </c>
      <c r="N379" s="5" t="str">
        <f>IFERROR(INDEX('Output Utente'!$AE$2:$AE$492,MATCH(376,'Output Utente'!$Q$2:$Q$492,0)),"")</f>
        <v>🔴 Non aspettare</v>
      </c>
    </row>
    <row r="380" spans="1:14" ht="15" customHeight="1" x14ac:dyDescent="0.25">
      <c r="A380" s="41">
        <v>377</v>
      </c>
      <c r="B380" s="5">
        <f>IFERROR(INDEX('Output Utente'!$A$2:$A$492,MATCH(377,'Output Utente'!$Q$2:$Q$492,0)),"")</f>
        <v>7411</v>
      </c>
      <c r="C380" s="5" t="str">
        <f>IFERROR(INDEX('Output Utente'!$B$2:$B$492,MATCH(377,'Output Utente'!$Q$2:$Q$492,0)),"")</f>
        <v>P</v>
      </c>
      <c r="D380" s="5" t="str">
        <f>IFERROR(INDEX('Output Utente'!$C$2:$C$492,MATCH(377,'Output Utente'!$Q$2:$Q$492,0)),"")</f>
        <v>Daffara</v>
      </c>
      <c r="E380" s="5" t="str">
        <f>IFERROR(INDEX('Input Giocatori 2026_27'!$D$3:$D$493,MATCH($B380,'Input Giocatori 2026_27'!$A$3:$A$493,0)),"")</f>
        <v>Parma</v>
      </c>
      <c r="F380" s="42">
        <f>IFERROR(INDEX('Output Utente'!$N$2:$N$492,MATCH(377,'Output Utente'!$Q$2:$Q$492,0)),"")</f>
        <v>7</v>
      </c>
      <c r="G380" s="42">
        <f>IFERROR(INDEX('Output Utente'!$O$2:$O$492,MATCH(377,'Output Utente'!$Q$2:$Q$492,0)),"")</f>
        <v>5</v>
      </c>
      <c r="H380" s="5" t="str">
        <f>IFERROR(INDEX('Output Utente'!$P$2:$P$492,MATCH(377,'Output Utente'!$Q$2:$Q$492,0)),"")</f>
        <v>Nella Media</v>
      </c>
      <c r="I380" s="42">
        <f>IFERROR(INDEX('Output Utente'!$F$2:$F$492,MATCH(377,'Output Utente'!$Q$2:$Q$492,0)),"")</f>
        <v>2</v>
      </c>
      <c r="J380" s="42">
        <f>IFERROR(INDEX('Output Utente'!$G$2:$G$492,MATCH(377,'Output Utente'!$Q$2:$Q$492,0)),"")</f>
        <v>1</v>
      </c>
      <c r="K380" s="42">
        <f>IFERROR(INDEX('Output Utente'!$H$2:$H$492,MATCH(377,'Output Utente'!$Q$2:$Q$492,0)),"")</f>
        <v>2</v>
      </c>
      <c r="L380" s="5" t="str">
        <f>IFERROR(INDEX('Output Utente'!$E$2:$E$492,MATCH(377,'Output Utente'!$Q$2:$Q$492,0)),"")</f>
        <v>NO</v>
      </c>
      <c r="M380" s="5" t="str">
        <f>IFERROR(INDEX('Output Utente'!$U$2:$U$492,MATCH(377,'Output Utente'!$Q$2:$Q$492,0)),"")</f>
        <v>OK</v>
      </c>
      <c r="N380" s="5" t="str">
        <f>IFERROR(INDEX('Output Utente'!$AE$2:$AE$492,MATCH(377,'Output Utente'!$Q$2:$Q$492,0)),"")</f>
        <v>🔴 Non aspettare</v>
      </c>
    </row>
    <row r="381" spans="1:14" ht="15" customHeight="1" x14ac:dyDescent="0.25">
      <c r="A381" s="41">
        <v>378</v>
      </c>
      <c r="B381" s="5">
        <f>IFERROR(INDEX('Output Utente'!$A$2:$A$492,MATCH(378,'Output Utente'!$Q$2:$Q$492,0)),"")</f>
        <v>2814</v>
      </c>
      <c r="C381" s="5" t="str">
        <f>IFERROR(INDEX('Output Utente'!$B$2:$B$492,MATCH(378,'Output Utente'!$Q$2:$Q$492,0)),"")</f>
        <v>P</v>
      </c>
      <c r="D381" s="5" t="str">
        <f>IFERROR(INDEX('Output Utente'!$C$2:$C$492,MATCH(378,'Output Utente'!$Q$2:$Q$492,0)),"")</f>
        <v>Provedel</v>
      </c>
      <c r="E381" s="5" t="str">
        <f>IFERROR(INDEX('Input Giocatori 2026_27'!$D$3:$D$493,MATCH($B381,'Input Giocatori 2026_27'!$A$3:$A$493,0)),"")</f>
        <v>Inter</v>
      </c>
      <c r="F381" s="42">
        <f>IFERROR(INDEX('Output Utente'!$N$2:$N$492,MATCH(378,'Output Utente'!$Q$2:$Q$492,0)),"")</f>
        <v>2</v>
      </c>
      <c r="G381" s="42">
        <f>IFERROR(INDEX('Output Utente'!$O$2:$O$492,MATCH(378,'Output Utente'!$Q$2:$Q$492,0)),"")</f>
        <v>5</v>
      </c>
      <c r="H381" s="5" t="str">
        <f>IFERROR(INDEX('Output Utente'!$P$2:$P$492,MATCH(378,'Output Utente'!$Q$2:$Q$492,0)),"")</f>
        <v>Nella Media</v>
      </c>
      <c r="I381" s="42">
        <f>IFERROR(INDEX('Output Utente'!$F$2:$F$492,MATCH(378,'Output Utente'!$Q$2:$Q$492,0)),"")</f>
        <v>2</v>
      </c>
      <c r="J381" s="42">
        <f>IFERROR(INDEX('Output Utente'!$G$2:$G$492,MATCH(378,'Output Utente'!$Q$2:$Q$492,0)),"")</f>
        <v>1</v>
      </c>
      <c r="K381" s="42">
        <f>IFERROR(INDEX('Output Utente'!$H$2:$H$492,MATCH(378,'Output Utente'!$Q$2:$Q$492,0)),"")</f>
        <v>2</v>
      </c>
      <c r="L381" s="5" t="str">
        <f>IFERROR(INDEX('Output Utente'!$E$2:$E$492,MATCH(378,'Output Utente'!$Q$2:$Q$492,0)),"")</f>
        <v>NO</v>
      </c>
      <c r="M381" s="5" t="str">
        <f>IFERROR(INDEX('Output Utente'!$U$2:$U$492,MATCH(378,'Output Utente'!$Q$2:$Q$492,0)),"")</f>
        <v>OK</v>
      </c>
      <c r="N381" s="5" t="str">
        <f>IFERROR(INDEX('Output Utente'!$AE$2:$AE$492,MATCH(378,'Output Utente'!$Q$2:$Q$492,0)),"")</f>
        <v>🔴 Non aspettare</v>
      </c>
    </row>
    <row r="382" spans="1:14" ht="15" customHeight="1" x14ac:dyDescent="0.25">
      <c r="A382" s="41">
        <v>379</v>
      </c>
      <c r="B382" s="5">
        <f>IFERROR(INDEX('Output Utente'!$A$2:$A$492,MATCH(379,'Output Utente'!$Q$2:$Q$492,0)),"")</f>
        <v>7326</v>
      </c>
      <c r="C382" s="5" t="str">
        <f>IFERROR(INDEX('Output Utente'!$B$2:$B$492,MATCH(379,'Output Utente'!$Q$2:$Q$492,0)),"")</f>
        <v>D</v>
      </c>
      <c r="D382" s="5" t="str">
        <f>IFERROR(INDEX('Output Utente'!$C$2:$C$492,MATCH(379,'Output Utente'!$Q$2:$Q$492,0)),"")</f>
        <v>Helland</v>
      </c>
      <c r="E382" s="5" t="str">
        <f>IFERROR(INDEX('Input Giocatori 2026_27'!$D$3:$D$493,MATCH($B382,'Input Giocatori 2026_27'!$A$3:$A$493,0)),"")</f>
        <v>Bologna</v>
      </c>
      <c r="F382" s="42">
        <f>IFERROR(INDEX('Output Utente'!$N$2:$N$492,MATCH(379,'Output Utente'!$Q$2:$Q$492,0)),"")</f>
        <v>2</v>
      </c>
      <c r="G382" s="42">
        <f>IFERROR(INDEX('Output Utente'!$O$2:$O$492,MATCH(379,'Output Utente'!$Q$2:$Q$492,0)),"")</f>
        <v>5</v>
      </c>
      <c r="H382" s="5" t="str">
        <f>IFERROR(INDEX('Output Utente'!$P$2:$P$492,MATCH(379,'Output Utente'!$Q$2:$Q$492,0)),"")</f>
        <v>Scommessa/Riserva</v>
      </c>
      <c r="I382" s="42">
        <f>IFERROR(INDEX('Output Utente'!$F$2:$F$492,MATCH(379,'Output Utente'!$Q$2:$Q$492,0)),"")</f>
        <v>1</v>
      </c>
      <c r="J382" s="42">
        <f>IFERROR(INDEX('Output Utente'!$G$2:$G$492,MATCH(379,'Output Utente'!$Q$2:$Q$492,0)),"")</f>
        <v>1</v>
      </c>
      <c r="K382" s="42">
        <f>IFERROR(INDEX('Output Utente'!$H$2:$H$492,MATCH(379,'Output Utente'!$Q$2:$Q$492,0)),"")</f>
        <v>1</v>
      </c>
      <c r="L382" s="5" t="str">
        <f>IFERROR(INDEX('Output Utente'!$E$2:$E$492,MATCH(379,'Output Utente'!$Q$2:$Q$492,0)),"")</f>
        <v>NO</v>
      </c>
      <c r="M382" s="5" t="str">
        <f>IFERROR(INDEX('Output Utente'!$U$2:$U$492,MATCH(379,'Output Utente'!$Q$2:$Q$492,0)),"")</f>
        <v>OK</v>
      </c>
      <c r="N382" s="5" t="str">
        <f>IFERROR(INDEX('Output Utente'!$AE$2:$AE$492,MATCH(379,'Output Utente'!$Q$2:$Q$492,0)),"")</f>
        <v>🔴 Non aspettare</v>
      </c>
    </row>
    <row r="383" spans="1:14" ht="15" customHeight="1" x14ac:dyDescent="0.25">
      <c r="A383" s="41">
        <v>380</v>
      </c>
      <c r="B383" s="5">
        <f>IFERROR(INDEX('Output Utente'!$A$2:$A$492,MATCH(380,'Output Utente'!$Q$2:$Q$492,0)),"")</f>
        <v>6896</v>
      </c>
      <c r="C383" s="5" t="str">
        <f>IFERROR(INDEX('Output Utente'!$B$2:$B$492,MATCH(380,'Output Utente'!$Q$2:$Q$492,0)),"")</f>
        <v>D</v>
      </c>
      <c r="D383" s="5" t="str">
        <f>IFERROR(INDEX('Output Utente'!$C$2:$C$492,MATCH(380,'Output Utente'!$Q$2:$Q$492,0)),"")</f>
        <v>Van Der Brempt</v>
      </c>
      <c r="E383" s="5" t="str">
        <f>IFERROR(INDEX('Input Giocatori 2026_27'!$D$3:$D$493,MATCH($B383,'Input Giocatori 2026_27'!$A$3:$A$493,0)),"")</f>
        <v>Como</v>
      </c>
      <c r="F383" s="42">
        <f>IFERROR(INDEX('Output Utente'!$N$2:$N$492,MATCH(380,'Output Utente'!$Q$2:$Q$492,0)),"")</f>
        <v>2</v>
      </c>
      <c r="G383" s="42">
        <f>IFERROR(INDEX('Output Utente'!$O$2:$O$492,MATCH(380,'Output Utente'!$Q$2:$Q$492,0)),"")</f>
        <v>5</v>
      </c>
      <c r="H383" s="5" t="str">
        <f>IFERROR(INDEX('Output Utente'!$P$2:$P$492,MATCH(380,'Output Utente'!$Q$2:$Q$492,0)),"")</f>
        <v>Scommessa/Riserva</v>
      </c>
      <c r="I383" s="42">
        <f>IFERROR(INDEX('Output Utente'!$F$2:$F$492,MATCH(380,'Output Utente'!$Q$2:$Q$492,0)),"")</f>
        <v>1</v>
      </c>
      <c r="J383" s="42">
        <f>IFERROR(INDEX('Output Utente'!$G$2:$G$492,MATCH(380,'Output Utente'!$Q$2:$Q$492,0)),"")</f>
        <v>1</v>
      </c>
      <c r="K383" s="42">
        <f>IFERROR(INDEX('Output Utente'!$H$2:$H$492,MATCH(380,'Output Utente'!$Q$2:$Q$492,0)),"")</f>
        <v>1</v>
      </c>
      <c r="L383" s="5" t="str">
        <f>IFERROR(INDEX('Output Utente'!$E$2:$E$492,MATCH(380,'Output Utente'!$Q$2:$Q$492,0)),"")</f>
        <v>NO</v>
      </c>
      <c r="M383" s="5" t="str">
        <f>IFERROR(INDEX('Output Utente'!$U$2:$U$492,MATCH(380,'Output Utente'!$Q$2:$Q$492,0)),"")</f>
        <v>OK</v>
      </c>
      <c r="N383" s="5" t="str">
        <f>IFERROR(INDEX('Output Utente'!$AE$2:$AE$492,MATCH(380,'Output Utente'!$Q$2:$Q$492,0)),"")</f>
        <v>🔴 Non aspettare</v>
      </c>
    </row>
    <row r="384" spans="1:14" ht="15" customHeight="1" x14ac:dyDescent="0.25">
      <c r="A384" s="41">
        <v>381</v>
      </c>
      <c r="B384" s="5">
        <f>IFERROR(INDEX('Output Utente'!$A$2:$A$492,MATCH(381,'Output Utente'!$Q$2:$Q$492,0)),"")</f>
        <v>6977</v>
      </c>
      <c r="C384" s="5" t="str">
        <f>IFERROR(INDEX('Output Utente'!$B$2:$B$492,MATCH(381,'Output Utente'!$Q$2:$Q$492,0)),"")</f>
        <v>D</v>
      </c>
      <c r="D384" s="5" t="str">
        <f>IFERROR(INDEX('Output Utente'!$C$2:$C$492,MATCH(381,'Output Utente'!$Q$2:$Q$492,0)),"")</f>
        <v>Otoa</v>
      </c>
      <c r="E384" s="5" t="str">
        <f>IFERROR(INDEX('Input Giocatori 2026_27'!$D$3:$D$493,MATCH($B384,'Input Giocatori 2026_27'!$A$3:$A$493,0)),"")</f>
        <v>Genoa</v>
      </c>
      <c r="F384" s="42">
        <f>IFERROR(INDEX('Output Utente'!$N$2:$N$492,MATCH(381,'Output Utente'!$Q$2:$Q$492,0)),"")</f>
        <v>2</v>
      </c>
      <c r="G384" s="42">
        <f>IFERROR(INDEX('Output Utente'!$O$2:$O$492,MATCH(381,'Output Utente'!$Q$2:$Q$492,0)),"")</f>
        <v>5</v>
      </c>
      <c r="H384" s="5" t="str">
        <f>IFERROR(INDEX('Output Utente'!$P$2:$P$492,MATCH(381,'Output Utente'!$Q$2:$Q$492,0)),"")</f>
        <v>Scommessa/Riserva</v>
      </c>
      <c r="I384" s="42">
        <f>IFERROR(INDEX('Output Utente'!$F$2:$F$492,MATCH(381,'Output Utente'!$Q$2:$Q$492,0)),"")</f>
        <v>1</v>
      </c>
      <c r="J384" s="42">
        <f>IFERROR(INDEX('Output Utente'!$G$2:$G$492,MATCH(381,'Output Utente'!$Q$2:$Q$492,0)),"")</f>
        <v>1</v>
      </c>
      <c r="K384" s="42">
        <f>IFERROR(INDEX('Output Utente'!$H$2:$H$492,MATCH(381,'Output Utente'!$Q$2:$Q$492,0)),"")</f>
        <v>1</v>
      </c>
      <c r="L384" s="5" t="str">
        <f>IFERROR(INDEX('Output Utente'!$E$2:$E$492,MATCH(381,'Output Utente'!$Q$2:$Q$492,0)),"")</f>
        <v>NO</v>
      </c>
      <c r="M384" s="5" t="str">
        <f>IFERROR(INDEX('Output Utente'!$U$2:$U$492,MATCH(381,'Output Utente'!$Q$2:$Q$492,0)),"")</f>
        <v>OK</v>
      </c>
      <c r="N384" s="5" t="str">
        <f>IFERROR(INDEX('Output Utente'!$AE$2:$AE$492,MATCH(381,'Output Utente'!$Q$2:$Q$492,0)),"")</f>
        <v>🔴 Non aspettare</v>
      </c>
    </row>
    <row r="385" spans="1:14" ht="15" customHeight="1" x14ac:dyDescent="0.25">
      <c r="A385" s="41">
        <v>382</v>
      </c>
      <c r="B385" s="5">
        <f>IFERROR(INDEX('Output Utente'!$A$2:$A$492,MATCH(382,'Output Utente'!$Q$2:$Q$492,0)),"")</f>
        <v>791</v>
      </c>
      <c r="C385" s="5" t="str">
        <f>IFERROR(INDEX('Output Utente'!$B$2:$B$492,MATCH(382,'Output Utente'!$Q$2:$Q$492,0)),"")</f>
        <v>D</v>
      </c>
      <c r="D385" s="5" t="str">
        <f>IFERROR(INDEX('Output Utente'!$C$2:$C$492,MATCH(382,'Output Utente'!$Q$2:$Q$492,0)),"")</f>
        <v>Sabelli</v>
      </c>
      <c r="E385" s="5" t="str">
        <f>IFERROR(INDEX('Input Giocatori 2026_27'!$D$3:$D$493,MATCH($B385,'Input Giocatori 2026_27'!$A$3:$A$493,0)),"")</f>
        <v>Genoa</v>
      </c>
      <c r="F385" s="42">
        <f>IFERROR(INDEX('Output Utente'!$N$2:$N$492,MATCH(382,'Output Utente'!$Q$2:$Q$492,0)),"")</f>
        <v>2</v>
      </c>
      <c r="G385" s="42">
        <f>IFERROR(INDEX('Output Utente'!$O$2:$O$492,MATCH(382,'Output Utente'!$Q$2:$Q$492,0)),"")</f>
        <v>5</v>
      </c>
      <c r="H385" s="5" t="str">
        <f>IFERROR(INDEX('Output Utente'!$P$2:$P$492,MATCH(382,'Output Utente'!$Q$2:$Q$492,0)),"")</f>
        <v>Scommessa/Riserva</v>
      </c>
      <c r="I385" s="42">
        <f>IFERROR(INDEX('Output Utente'!$F$2:$F$492,MATCH(382,'Output Utente'!$Q$2:$Q$492,0)),"")</f>
        <v>1</v>
      </c>
      <c r="J385" s="42">
        <f>IFERROR(INDEX('Output Utente'!$G$2:$G$492,MATCH(382,'Output Utente'!$Q$2:$Q$492,0)),"")</f>
        <v>1</v>
      </c>
      <c r="K385" s="42">
        <f>IFERROR(INDEX('Output Utente'!$H$2:$H$492,MATCH(382,'Output Utente'!$Q$2:$Q$492,0)),"")</f>
        <v>1</v>
      </c>
      <c r="L385" s="5" t="str">
        <f>IFERROR(INDEX('Output Utente'!$E$2:$E$492,MATCH(382,'Output Utente'!$Q$2:$Q$492,0)),"")</f>
        <v>NO</v>
      </c>
      <c r="M385" s="5" t="str">
        <f>IFERROR(INDEX('Output Utente'!$U$2:$U$492,MATCH(382,'Output Utente'!$Q$2:$Q$492,0)),"")</f>
        <v>OK</v>
      </c>
      <c r="N385" s="5" t="str">
        <f>IFERROR(INDEX('Output Utente'!$AE$2:$AE$492,MATCH(382,'Output Utente'!$Q$2:$Q$492,0)),"")</f>
        <v>🔴 Non aspettare</v>
      </c>
    </row>
    <row r="386" spans="1:14" ht="15" customHeight="1" x14ac:dyDescent="0.25">
      <c r="A386" s="41">
        <v>383</v>
      </c>
      <c r="B386" s="5">
        <f>IFERROR(INDEX('Output Utente'!$A$2:$A$492,MATCH(383,'Output Utente'!$Q$2:$Q$492,0)),"")</f>
        <v>2728</v>
      </c>
      <c r="C386" s="5" t="str">
        <f>IFERROR(INDEX('Output Utente'!$B$2:$B$492,MATCH(383,'Output Utente'!$Q$2:$Q$492,0)),"")</f>
        <v>D</v>
      </c>
      <c r="D386" s="5" t="str">
        <f>IFERROR(INDEX('Output Utente'!$C$2:$C$492,MATCH(383,'Output Utente'!$Q$2:$Q$492,0)),"")</f>
        <v>Pellegrini Lu.</v>
      </c>
      <c r="E386" s="5" t="str">
        <f>IFERROR(INDEX('Input Giocatori 2026_27'!$D$3:$D$493,MATCH($B386,'Input Giocatori 2026_27'!$A$3:$A$493,0)),"")</f>
        <v>Lazio</v>
      </c>
      <c r="F386" s="42">
        <f>IFERROR(INDEX('Output Utente'!$N$2:$N$492,MATCH(383,'Output Utente'!$Q$2:$Q$492,0)),"")</f>
        <v>2</v>
      </c>
      <c r="G386" s="42">
        <f>IFERROR(INDEX('Output Utente'!$O$2:$O$492,MATCH(383,'Output Utente'!$Q$2:$Q$492,0)),"")</f>
        <v>5</v>
      </c>
      <c r="H386" s="5" t="str">
        <f>IFERROR(INDEX('Output Utente'!$P$2:$P$492,MATCH(383,'Output Utente'!$Q$2:$Q$492,0)),"")</f>
        <v>Scommessa/Riserva</v>
      </c>
      <c r="I386" s="42">
        <f>IFERROR(INDEX('Output Utente'!$F$2:$F$492,MATCH(383,'Output Utente'!$Q$2:$Q$492,0)),"")</f>
        <v>1</v>
      </c>
      <c r="J386" s="42">
        <f>IFERROR(INDEX('Output Utente'!$G$2:$G$492,MATCH(383,'Output Utente'!$Q$2:$Q$492,0)),"")</f>
        <v>1</v>
      </c>
      <c r="K386" s="42">
        <f>IFERROR(INDEX('Output Utente'!$H$2:$H$492,MATCH(383,'Output Utente'!$Q$2:$Q$492,0)),"")</f>
        <v>1</v>
      </c>
      <c r="L386" s="5" t="str">
        <f>IFERROR(INDEX('Output Utente'!$E$2:$E$492,MATCH(383,'Output Utente'!$Q$2:$Q$492,0)),"")</f>
        <v>NO</v>
      </c>
      <c r="M386" s="5" t="str">
        <f>IFERROR(INDEX('Output Utente'!$U$2:$U$492,MATCH(383,'Output Utente'!$Q$2:$Q$492,0)),"")</f>
        <v>OK</v>
      </c>
      <c r="N386" s="5" t="str">
        <f>IFERROR(INDEX('Output Utente'!$AE$2:$AE$492,MATCH(383,'Output Utente'!$Q$2:$Q$492,0)),"")</f>
        <v>🔴 Non aspettare</v>
      </c>
    </row>
    <row r="387" spans="1:14" ht="15" customHeight="1" x14ac:dyDescent="0.25">
      <c r="A387" s="41">
        <v>384</v>
      </c>
      <c r="B387" s="5">
        <f>IFERROR(INDEX('Output Utente'!$A$2:$A$492,MATCH(384,'Output Utente'!$Q$2:$Q$492,0)),"")</f>
        <v>252</v>
      </c>
      <c r="C387" s="5" t="str">
        <f>IFERROR(INDEX('Output Utente'!$B$2:$B$492,MATCH(384,'Output Utente'!$Q$2:$Q$492,0)),"")</f>
        <v>D</v>
      </c>
      <c r="D387" s="5" t="str">
        <f>IFERROR(INDEX('Output Utente'!$C$2:$C$492,MATCH(384,'Output Utente'!$Q$2:$Q$492,0)),"")</f>
        <v>Biraghi</v>
      </c>
      <c r="E387" s="5" t="str">
        <f>IFERROR(INDEX('Input Giocatori 2026_27'!$D$3:$D$493,MATCH($B387,'Input Giocatori 2026_27'!$A$3:$A$493,0)),"")</f>
        <v>Torino</v>
      </c>
      <c r="F387" s="42">
        <f>IFERROR(INDEX('Output Utente'!$N$2:$N$492,MATCH(384,'Output Utente'!$Q$2:$Q$492,0)),"")</f>
        <v>2</v>
      </c>
      <c r="G387" s="42">
        <f>IFERROR(INDEX('Output Utente'!$O$2:$O$492,MATCH(384,'Output Utente'!$Q$2:$Q$492,0)),"")</f>
        <v>5</v>
      </c>
      <c r="H387" s="5" t="str">
        <f>IFERROR(INDEX('Output Utente'!$P$2:$P$492,MATCH(384,'Output Utente'!$Q$2:$Q$492,0)),"")</f>
        <v>Scommessa/Riserva</v>
      </c>
      <c r="I387" s="42">
        <f>IFERROR(INDEX('Output Utente'!$F$2:$F$492,MATCH(384,'Output Utente'!$Q$2:$Q$492,0)),"")</f>
        <v>1</v>
      </c>
      <c r="J387" s="42">
        <f>IFERROR(INDEX('Output Utente'!$G$2:$G$492,MATCH(384,'Output Utente'!$Q$2:$Q$492,0)),"")</f>
        <v>1</v>
      </c>
      <c r="K387" s="42">
        <f>IFERROR(INDEX('Output Utente'!$H$2:$H$492,MATCH(384,'Output Utente'!$Q$2:$Q$492,0)),"")</f>
        <v>1</v>
      </c>
      <c r="L387" s="5" t="str">
        <f>IFERROR(INDEX('Output Utente'!$E$2:$E$492,MATCH(384,'Output Utente'!$Q$2:$Q$492,0)),"")</f>
        <v>NO</v>
      </c>
      <c r="M387" s="5" t="str">
        <f>IFERROR(INDEX('Output Utente'!$U$2:$U$492,MATCH(384,'Output Utente'!$Q$2:$Q$492,0)),"")</f>
        <v>OK</v>
      </c>
      <c r="N387" s="5" t="str">
        <f>IFERROR(INDEX('Output Utente'!$AE$2:$AE$492,MATCH(384,'Output Utente'!$Q$2:$Q$492,0)),"")</f>
        <v>🔴 Non aspettare</v>
      </c>
    </row>
    <row r="388" spans="1:14" ht="15" customHeight="1" x14ac:dyDescent="0.25">
      <c r="A388" s="41">
        <v>385</v>
      </c>
      <c r="B388" s="5">
        <f>IFERROR(INDEX('Output Utente'!$A$2:$A$492,MATCH(385,'Output Utente'!$Q$2:$Q$492,0)),"")</f>
        <v>6925</v>
      </c>
      <c r="C388" s="5" t="str">
        <f>IFERROR(INDEX('Output Utente'!$B$2:$B$492,MATCH(385,'Output Utente'!$Q$2:$Q$492,0)),"")</f>
        <v>D</v>
      </c>
      <c r="D388" s="5" t="str">
        <f>IFERROR(INDEX('Output Utente'!$C$2:$C$492,MATCH(385,'Output Utente'!$Q$2:$Q$492,0)),"")</f>
        <v>Palma</v>
      </c>
      <c r="E388" s="5" t="str">
        <f>IFERROR(INDEX('Input Giocatori 2026_27'!$D$3:$D$493,MATCH($B388,'Input Giocatori 2026_27'!$A$3:$A$493,0)),"")</f>
        <v>Udinese</v>
      </c>
      <c r="F388" s="42">
        <f>IFERROR(INDEX('Output Utente'!$N$2:$N$492,MATCH(385,'Output Utente'!$Q$2:$Q$492,0)),"")</f>
        <v>2</v>
      </c>
      <c r="G388" s="42">
        <f>IFERROR(INDEX('Output Utente'!$O$2:$O$492,MATCH(385,'Output Utente'!$Q$2:$Q$492,0)),"")</f>
        <v>5</v>
      </c>
      <c r="H388" s="5" t="str">
        <f>IFERROR(INDEX('Output Utente'!$P$2:$P$492,MATCH(385,'Output Utente'!$Q$2:$Q$492,0)),"")</f>
        <v>Scommessa/Riserva</v>
      </c>
      <c r="I388" s="42">
        <f>IFERROR(INDEX('Output Utente'!$F$2:$F$492,MATCH(385,'Output Utente'!$Q$2:$Q$492,0)),"")</f>
        <v>1</v>
      </c>
      <c r="J388" s="42">
        <f>IFERROR(INDEX('Output Utente'!$G$2:$G$492,MATCH(385,'Output Utente'!$Q$2:$Q$492,0)),"")</f>
        <v>1</v>
      </c>
      <c r="K388" s="42">
        <f>IFERROR(INDEX('Output Utente'!$H$2:$H$492,MATCH(385,'Output Utente'!$Q$2:$Q$492,0)),"")</f>
        <v>1</v>
      </c>
      <c r="L388" s="5" t="str">
        <f>IFERROR(INDEX('Output Utente'!$E$2:$E$492,MATCH(385,'Output Utente'!$Q$2:$Q$492,0)),"")</f>
        <v>NO</v>
      </c>
      <c r="M388" s="5" t="str">
        <f>IFERROR(INDEX('Output Utente'!$U$2:$U$492,MATCH(385,'Output Utente'!$Q$2:$Q$492,0)),"")</f>
        <v>OK</v>
      </c>
      <c r="N388" s="5" t="str">
        <f>IFERROR(INDEX('Output Utente'!$AE$2:$AE$492,MATCH(385,'Output Utente'!$Q$2:$Q$492,0)),"")</f>
        <v>🔴 Non aspettare</v>
      </c>
    </row>
    <row r="389" spans="1:14" ht="15" customHeight="1" x14ac:dyDescent="0.25">
      <c r="A389" s="41">
        <v>386</v>
      </c>
      <c r="B389" s="5">
        <f>IFERROR(INDEX('Output Utente'!$A$2:$A$492,MATCH(386,'Output Utente'!$Q$2:$Q$492,0)),"")</f>
        <v>7183</v>
      </c>
      <c r="C389" s="5" t="str">
        <f>IFERROR(INDEX('Output Utente'!$B$2:$B$492,MATCH(386,'Output Utente'!$Q$2:$Q$492,0)),"")</f>
        <v>C</v>
      </c>
      <c r="D389" s="5" t="str">
        <f>IFERROR(INDEX('Output Utente'!$C$2:$C$492,MATCH(386,'Output Utente'!$Q$2:$Q$492,0)),"")</f>
        <v>Aboukhlal</v>
      </c>
      <c r="E389" s="5" t="str">
        <f>IFERROR(INDEX('Input Giocatori 2026_27'!$D$3:$D$493,MATCH($B389,'Input Giocatori 2026_27'!$A$3:$A$493,0)),"")</f>
        <v>Torino</v>
      </c>
      <c r="F389" s="42">
        <f>IFERROR(INDEX('Output Utente'!$N$2:$N$492,MATCH(386,'Output Utente'!$Q$2:$Q$492,0)),"")</f>
        <v>3</v>
      </c>
      <c r="G389" s="42">
        <f>IFERROR(INDEX('Output Utente'!$O$2:$O$492,MATCH(386,'Output Utente'!$Q$2:$Q$492,0)),"")</f>
        <v>5</v>
      </c>
      <c r="H389" s="5" t="str">
        <f>IFERROR(INDEX('Output Utente'!$P$2:$P$492,MATCH(386,'Output Utente'!$Q$2:$Q$492,0)),"")</f>
        <v>Scommessa/Riserva</v>
      </c>
      <c r="I389" s="42">
        <f>IFERROR(INDEX('Output Utente'!$F$2:$F$492,MATCH(386,'Output Utente'!$Q$2:$Q$492,0)),"")</f>
        <v>1</v>
      </c>
      <c r="J389" s="42">
        <f>IFERROR(INDEX('Output Utente'!$G$2:$G$492,MATCH(386,'Output Utente'!$Q$2:$Q$492,0)),"")</f>
        <v>1</v>
      </c>
      <c r="K389" s="42">
        <f>IFERROR(INDEX('Output Utente'!$H$2:$H$492,MATCH(386,'Output Utente'!$Q$2:$Q$492,0)),"")</f>
        <v>1</v>
      </c>
      <c r="L389" s="5" t="str">
        <f>IFERROR(INDEX('Output Utente'!$E$2:$E$492,MATCH(386,'Output Utente'!$Q$2:$Q$492,0)),"")</f>
        <v>NO</v>
      </c>
      <c r="M389" s="5" t="str">
        <f>IFERROR(INDEX('Output Utente'!$U$2:$U$492,MATCH(386,'Output Utente'!$Q$2:$Q$492,0)),"")</f>
        <v>OK</v>
      </c>
      <c r="N389" s="5" t="str">
        <f>IFERROR(INDEX('Output Utente'!$AE$2:$AE$492,MATCH(386,'Output Utente'!$Q$2:$Q$492,0)),"")</f>
        <v>🔴 Non aspettare</v>
      </c>
    </row>
    <row r="390" spans="1:14" ht="15" customHeight="1" x14ac:dyDescent="0.25">
      <c r="A390" s="41">
        <v>387</v>
      </c>
      <c r="B390" s="5">
        <f>IFERROR(INDEX('Output Utente'!$A$2:$A$492,MATCH(387,'Output Utente'!$Q$2:$Q$492,0)),"")</f>
        <v>6903</v>
      </c>
      <c r="C390" s="5" t="str">
        <f>IFERROR(INDEX('Output Utente'!$B$2:$B$492,MATCH(387,'Output Utente'!$Q$2:$Q$492,0)),"")</f>
        <v>C</v>
      </c>
      <c r="D390" s="5" t="str">
        <f>IFERROR(INDEX('Output Utente'!$C$2:$C$492,MATCH(387,'Output Utente'!$Q$2:$Q$492,0)),"")</f>
        <v>Hasa</v>
      </c>
      <c r="E390" s="5" t="str">
        <f>IFERROR(INDEX('Input Giocatori 2026_27'!$D$3:$D$493,MATCH($B390,'Input Giocatori 2026_27'!$A$3:$A$493,0)),"")</f>
        <v>Frosinone</v>
      </c>
      <c r="F390" s="42">
        <f>IFERROR(INDEX('Output Utente'!$N$2:$N$492,MATCH(387,'Output Utente'!$Q$2:$Q$492,0)),"")</f>
        <v>2</v>
      </c>
      <c r="G390" s="42">
        <f>IFERROR(INDEX('Output Utente'!$O$2:$O$492,MATCH(387,'Output Utente'!$Q$2:$Q$492,0)),"")</f>
        <v>5</v>
      </c>
      <c r="H390" s="5" t="str">
        <f>IFERROR(INDEX('Output Utente'!$P$2:$P$492,MATCH(387,'Output Utente'!$Q$2:$Q$492,0)),"")</f>
        <v>Scommessa/Riserva</v>
      </c>
      <c r="I390" s="42">
        <f>IFERROR(INDEX('Output Utente'!$F$2:$F$492,MATCH(387,'Output Utente'!$Q$2:$Q$492,0)),"")</f>
        <v>1</v>
      </c>
      <c r="J390" s="42">
        <f>IFERROR(INDEX('Output Utente'!$G$2:$G$492,MATCH(387,'Output Utente'!$Q$2:$Q$492,0)),"")</f>
        <v>1</v>
      </c>
      <c r="K390" s="42">
        <f>IFERROR(INDEX('Output Utente'!$H$2:$H$492,MATCH(387,'Output Utente'!$Q$2:$Q$492,0)),"")</f>
        <v>1</v>
      </c>
      <c r="L390" s="5" t="str">
        <f>IFERROR(INDEX('Output Utente'!$E$2:$E$492,MATCH(387,'Output Utente'!$Q$2:$Q$492,0)),"")</f>
        <v>NO</v>
      </c>
      <c r="M390" s="5" t="str">
        <f>IFERROR(INDEX('Output Utente'!$U$2:$U$492,MATCH(387,'Output Utente'!$Q$2:$Q$492,0)),"")</f>
        <v>OK</v>
      </c>
      <c r="N390" s="5" t="str">
        <f>IFERROR(INDEX('Output Utente'!$AE$2:$AE$492,MATCH(387,'Output Utente'!$Q$2:$Q$492,0)),"")</f>
        <v>🔴 Non aspettare</v>
      </c>
    </row>
    <row r="391" spans="1:14" ht="15" customHeight="1" x14ac:dyDescent="0.25">
      <c r="A391" s="41">
        <v>388</v>
      </c>
      <c r="B391" s="5">
        <f>IFERROR(INDEX('Output Utente'!$A$2:$A$492,MATCH(388,'Output Utente'!$Q$2:$Q$492,0)),"")</f>
        <v>5457</v>
      </c>
      <c r="C391" s="5" t="str">
        <f>IFERROR(INDEX('Output Utente'!$B$2:$B$492,MATCH(388,'Output Utente'!$Q$2:$Q$492,0)),"")</f>
        <v>C</v>
      </c>
      <c r="D391" s="5" t="str">
        <f>IFERROR(INDEX('Output Utente'!$C$2:$C$492,MATCH(388,'Output Utente'!$Q$2:$Q$492,0)),"")</f>
        <v>Maleh</v>
      </c>
      <c r="E391" s="5" t="str">
        <f>IFERROR(INDEX('Input Giocatori 2026_27'!$D$3:$D$493,MATCH($B391,'Input Giocatori 2026_27'!$A$3:$A$493,0)),"")</f>
        <v>Lecce</v>
      </c>
      <c r="F391" s="42">
        <f>IFERROR(INDEX('Output Utente'!$N$2:$N$492,MATCH(388,'Output Utente'!$Q$2:$Q$492,0)),"")</f>
        <v>2</v>
      </c>
      <c r="G391" s="42">
        <f>IFERROR(INDEX('Output Utente'!$O$2:$O$492,MATCH(388,'Output Utente'!$Q$2:$Q$492,0)),"")</f>
        <v>5</v>
      </c>
      <c r="H391" s="5" t="str">
        <f>IFERROR(INDEX('Output Utente'!$P$2:$P$492,MATCH(388,'Output Utente'!$Q$2:$Q$492,0)),"")</f>
        <v>Scommessa/Riserva</v>
      </c>
      <c r="I391" s="42">
        <f>IFERROR(INDEX('Output Utente'!$F$2:$F$492,MATCH(388,'Output Utente'!$Q$2:$Q$492,0)),"")</f>
        <v>1</v>
      </c>
      <c r="J391" s="42">
        <f>IFERROR(INDEX('Output Utente'!$G$2:$G$492,MATCH(388,'Output Utente'!$Q$2:$Q$492,0)),"")</f>
        <v>1</v>
      </c>
      <c r="K391" s="42">
        <f>IFERROR(INDEX('Output Utente'!$H$2:$H$492,MATCH(388,'Output Utente'!$Q$2:$Q$492,0)),"")</f>
        <v>1</v>
      </c>
      <c r="L391" s="5" t="str">
        <f>IFERROR(INDEX('Output Utente'!$E$2:$E$492,MATCH(388,'Output Utente'!$Q$2:$Q$492,0)),"")</f>
        <v>NO</v>
      </c>
      <c r="M391" s="5" t="str">
        <f>IFERROR(INDEX('Output Utente'!$U$2:$U$492,MATCH(388,'Output Utente'!$Q$2:$Q$492,0)),"")</f>
        <v>OK</v>
      </c>
      <c r="N391" s="5" t="str">
        <f>IFERROR(INDEX('Output Utente'!$AE$2:$AE$492,MATCH(388,'Output Utente'!$Q$2:$Q$492,0)),"")</f>
        <v>🔴 Non aspettare</v>
      </c>
    </row>
    <row r="392" spans="1:14" ht="15" customHeight="1" x14ac:dyDescent="0.25">
      <c r="A392" s="41">
        <v>389</v>
      </c>
      <c r="B392" s="5">
        <f>IFERROR(INDEX('Output Utente'!$A$2:$A$492,MATCH(389,'Output Utente'!$Q$2:$Q$492,0)),"")</f>
        <v>7138</v>
      </c>
      <c r="C392" s="5" t="str">
        <f>IFERROR(INDEX('Output Utente'!$B$2:$B$492,MATCH(389,'Output Utente'!$Q$2:$Q$492,0)),"")</f>
        <v>C</v>
      </c>
      <c r="D392" s="5" t="str">
        <f>IFERROR(INDEX('Output Utente'!$C$2:$C$492,MATCH(389,'Output Utente'!$Q$2:$Q$492,0)),"")</f>
        <v>Ordonez C.</v>
      </c>
      <c r="E392" s="5" t="str">
        <f>IFERROR(INDEX('Input Giocatori 2026_27'!$D$3:$D$493,MATCH($B392,'Input Giocatori 2026_27'!$A$3:$A$493,0)),"")</f>
        <v>Parma</v>
      </c>
      <c r="F392" s="42">
        <f>IFERROR(INDEX('Output Utente'!$N$2:$N$492,MATCH(389,'Output Utente'!$Q$2:$Q$492,0)),"")</f>
        <v>2</v>
      </c>
      <c r="G392" s="42">
        <f>IFERROR(INDEX('Output Utente'!$O$2:$O$492,MATCH(389,'Output Utente'!$Q$2:$Q$492,0)),"")</f>
        <v>5</v>
      </c>
      <c r="H392" s="5" t="str">
        <f>IFERROR(INDEX('Output Utente'!$P$2:$P$492,MATCH(389,'Output Utente'!$Q$2:$Q$492,0)),"")</f>
        <v>Scommessa/Riserva</v>
      </c>
      <c r="I392" s="42">
        <f>IFERROR(INDEX('Output Utente'!$F$2:$F$492,MATCH(389,'Output Utente'!$Q$2:$Q$492,0)),"")</f>
        <v>1</v>
      </c>
      <c r="J392" s="42">
        <f>IFERROR(INDEX('Output Utente'!$G$2:$G$492,MATCH(389,'Output Utente'!$Q$2:$Q$492,0)),"")</f>
        <v>1</v>
      </c>
      <c r="K392" s="42">
        <f>IFERROR(INDEX('Output Utente'!$H$2:$H$492,MATCH(389,'Output Utente'!$Q$2:$Q$492,0)),"")</f>
        <v>1</v>
      </c>
      <c r="L392" s="5" t="str">
        <f>IFERROR(INDEX('Output Utente'!$E$2:$E$492,MATCH(389,'Output Utente'!$Q$2:$Q$492,0)),"")</f>
        <v>NO</v>
      </c>
      <c r="M392" s="5" t="str">
        <f>IFERROR(INDEX('Output Utente'!$U$2:$U$492,MATCH(389,'Output Utente'!$Q$2:$Q$492,0)),"")</f>
        <v>OK</v>
      </c>
      <c r="N392" s="5" t="str">
        <f>IFERROR(INDEX('Output Utente'!$AE$2:$AE$492,MATCH(389,'Output Utente'!$Q$2:$Q$492,0)),"")</f>
        <v>🔴 Non aspettare</v>
      </c>
    </row>
    <row r="393" spans="1:14" ht="15" customHeight="1" x14ac:dyDescent="0.25">
      <c r="A393" s="41">
        <v>390</v>
      </c>
      <c r="B393" s="5">
        <f>IFERROR(INDEX('Output Utente'!$A$2:$A$492,MATCH(390,'Output Utente'!$Q$2:$Q$492,0)),"")</f>
        <v>6219</v>
      </c>
      <c r="C393" s="5" t="str">
        <f>IFERROR(INDEX('Output Utente'!$B$2:$B$492,MATCH(390,'Output Utente'!$Q$2:$Q$492,0)),"")</f>
        <v>C</v>
      </c>
      <c r="D393" s="5" t="str">
        <f>IFERROR(INDEX('Output Utente'!$C$2:$C$492,MATCH(390,'Output Utente'!$Q$2:$Q$492,0)),"")</f>
        <v>Boloca</v>
      </c>
      <c r="E393" s="5" t="str">
        <f>IFERROR(INDEX('Input Giocatori 2026_27'!$D$3:$D$493,MATCH($B393,'Input Giocatori 2026_27'!$A$3:$A$493,0)),"")</f>
        <v>Sassuolo</v>
      </c>
      <c r="F393" s="42">
        <f>IFERROR(INDEX('Output Utente'!$N$2:$N$492,MATCH(390,'Output Utente'!$Q$2:$Q$492,0)),"")</f>
        <v>2</v>
      </c>
      <c r="G393" s="42">
        <f>IFERROR(INDEX('Output Utente'!$O$2:$O$492,MATCH(390,'Output Utente'!$Q$2:$Q$492,0)),"")</f>
        <v>5</v>
      </c>
      <c r="H393" s="5" t="str">
        <f>IFERROR(INDEX('Output Utente'!$P$2:$P$492,MATCH(390,'Output Utente'!$Q$2:$Q$492,0)),"")</f>
        <v>Scommessa/Riserva</v>
      </c>
      <c r="I393" s="42">
        <f>IFERROR(INDEX('Output Utente'!$F$2:$F$492,MATCH(390,'Output Utente'!$Q$2:$Q$492,0)),"")</f>
        <v>1</v>
      </c>
      <c r="J393" s="42">
        <f>IFERROR(INDEX('Output Utente'!$G$2:$G$492,MATCH(390,'Output Utente'!$Q$2:$Q$492,0)),"")</f>
        <v>1</v>
      </c>
      <c r="K393" s="42">
        <f>IFERROR(INDEX('Output Utente'!$H$2:$H$492,MATCH(390,'Output Utente'!$Q$2:$Q$492,0)),"")</f>
        <v>1</v>
      </c>
      <c r="L393" s="5" t="str">
        <f>IFERROR(INDEX('Output Utente'!$E$2:$E$492,MATCH(390,'Output Utente'!$Q$2:$Q$492,0)),"")</f>
        <v>NO</v>
      </c>
      <c r="M393" s="5" t="str">
        <f>IFERROR(INDEX('Output Utente'!$U$2:$U$492,MATCH(390,'Output Utente'!$Q$2:$Q$492,0)),"")</f>
        <v>OK</v>
      </c>
      <c r="N393" s="5" t="str">
        <f>IFERROR(INDEX('Output Utente'!$AE$2:$AE$492,MATCH(390,'Output Utente'!$Q$2:$Q$492,0)),"")</f>
        <v>🔴 Non aspettare</v>
      </c>
    </row>
    <row r="394" spans="1:14" ht="15" customHeight="1" x14ac:dyDescent="0.25">
      <c r="A394" s="41">
        <v>391</v>
      </c>
      <c r="B394" s="5">
        <f>IFERROR(INDEX('Output Utente'!$A$2:$A$492,MATCH(391,'Output Utente'!$Q$2:$Q$492,0)),"")</f>
        <v>6246</v>
      </c>
      <c r="C394" s="5" t="str">
        <f>IFERROR(INDEX('Output Utente'!$B$2:$B$492,MATCH(391,'Output Utente'!$Q$2:$Q$492,0)),"")</f>
        <v>C</v>
      </c>
      <c r="D394" s="5" t="str">
        <f>IFERROR(INDEX('Output Utente'!$C$2:$C$492,MATCH(391,'Output Utente'!$Q$2:$Q$492,0)),"")</f>
        <v>Lipani</v>
      </c>
      <c r="E394" s="5" t="str">
        <f>IFERROR(INDEX('Input Giocatori 2026_27'!$D$3:$D$493,MATCH($B394,'Input Giocatori 2026_27'!$A$3:$A$493,0)),"")</f>
        <v>Sassuolo</v>
      </c>
      <c r="F394" s="42">
        <f>IFERROR(INDEX('Output Utente'!$N$2:$N$492,MATCH(391,'Output Utente'!$Q$2:$Q$492,0)),"")</f>
        <v>2</v>
      </c>
      <c r="G394" s="42">
        <f>IFERROR(INDEX('Output Utente'!$O$2:$O$492,MATCH(391,'Output Utente'!$Q$2:$Q$492,0)),"")</f>
        <v>5</v>
      </c>
      <c r="H394" s="5" t="str">
        <f>IFERROR(INDEX('Output Utente'!$P$2:$P$492,MATCH(391,'Output Utente'!$Q$2:$Q$492,0)),"")</f>
        <v>Scommessa/Riserva</v>
      </c>
      <c r="I394" s="42">
        <f>IFERROR(INDEX('Output Utente'!$F$2:$F$492,MATCH(391,'Output Utente'!$Q$2:$Q$492,0)),"")</f>
        <v>1</v>
      </c>
      <c r="J394" s="42">
        <f>IFERROR(INDEX('Output Utente'!$G$2:$G$492,MATCH(391,'Output Utente'!$Q$2:$Q$492,0)),"")</f>
        <v>1</v>
      </c>
      <c r="K394" s="42">
        <f>IFERROR(INDEX('Output Utente'!$H$2:$H$492,MATCH(391,'Output Utente'!$Q$2:$Q$492,0)),"")</f>
        <v>1</v>
      </c>
      <c r="L394" s="5" t="str">
        <f>IFERROR(INDEX('Output Utente'!$E$2:$E$492,MATCH(391,'Output Utente'!$Q$2:$Q$492,0)),"")</f>
        <v>NO</v>
      </c>
      <c r="M394" s="5" t="str">
        <f>IFERROR(INDEX('Output Utente'!$U$2:$U$492,MATCH(391,'Output Utente'!$Q$2:$Q$492,0)),"")</f>
        <v>OK</v>
      </c>
      <c r="N394" s="5" t="str">
        <f>IFERROR(INDEX('Output Utente'!$AE$2:$AE$492,MATCH(391,'Output Utente'!$Q$2:$Q$492,0)),"")</f>
        <v>🔴 Non aspettare</v>
      </c>
    </row>
    <row r="395" spans="1:14" ht="15" customHeight="1" x14ac:dyDescent="0.25">
      <c r="A395" s="41">
        <v>392</v>
      </c>
      <c r="B395" s="5">
        <f>IFERROR(INDEX('Output Utente'!$A$2:$A$492,MATCH(392,'Output Utente'!$Q$2:$Q$492,0)),"")</f>
        <v>7128</v>
      </c>
      <c r="C395" s="5" t="str">
        <f>IFERROR(INDEX('Output Utente'!$B$2:$B$492,MATCH(392,'Output Utente'!$Q$2:$Q$492,0)),"")</f>
        <v>A</v>
      </c>
      <c r="D395" s="5" t="str">
        <f>IFERROR(INDEX('Output Utente'!$C$2:$C$492,MATCH(392,'Output Utente'!$Q$2:$Q$492,0)),"")</f>
        <v>Kuhn</v>
      </c>
      <c r="E395" s="5" t="str">
        <f>IFERROR(INDEX('Input Giocatori 2026_27'!$D$3:$D$493,MATCH($B395,'Input Giocatori 2026_27'!$A$3:$A$493,0)),"")</f>
        <v>Como</v>
      </c>
      <c r="F395" s="42">
        <f>IFERROR(INDEX('Output Utente'!$N$2:$N$492,MATCH(392,'Output Utente'!$Q$2:$Q$492,0)),"")</f>
        <v>3</v>
      </c>
      <c r="G395" s="42">
        <f>IFERROR(INDEX('Output Utente'!$O$2:$O$492,MATCH(392,'Output Utente'!$Q$2:$Q$492,0)),"")</f>
        <v>5</v>
      </c>
      <c r="H395" s="5" t="str">
        <f>IFERROR(INDEX('Output Utente'!$P$2:$P$492,MATCH(392,'Output Utente'!$Q$2:$Q$492,0)),"")</f>
        <v>Scommessa/Riserva</v>
      </c>
      <c r="I395" s="42">
        <f>IFERROR(INDEX('Output Utente'!$F$2:$F$492,MATCH(392,'Output Utente'!$Q$2:$Q$492,0)),"")</f>
        <v>2</v>
      </c>
      <c r="J395" s="42">
        <f>IFERROR(INDEX('Output Utente'!$G$2:$G$492,MATCH(392,'Output Utente'!$Q$2:$Q$492,0)),"")</f>
        <v>1</v>
      </c>
      <c r="K395" s="42">
        <f>IFERROR(INDEX('Output Utente'!$H$2:$H$492,MATCH(392,'Output Utente'!$Q$2:$Q$492,0)),"")</f>
        <v>2</v>
      </c>
      <c r="L395" s="5" t="str">
        <f>IFERROR(INDEX('Output Utente'!$E$2:$E$492,MATCH(392,'Output Utente'!$Q$2:$Q$492,0)),"")</f>
        <v>NO</v>
      </c>
      <c r="M395" s="5" t="str">
        <f>IFERROR(INDEX('Output Utente'!$U$2:$U$492,MATCH(392,'Output Utente'!$Q$2:$Q$492,0)),"")</f>
        <v>OK</v>
      </c>
      <c r="N395" s="5" t="str">
        <f>IFERROR(INDEX('Output Utente'!$AE$2:$AE$492,MATCH(392,'Output Utente'!$Q$2:$Q$492,0)),"")</f>
        <v>🔴 Non aspettare</v>
      </c>
    </row>
    <row r="396" spans="1:14" ht="15" customHeight="1" x14ac:dyDescent="0.25">
      <c r="A396" s="41">
        <v>393</v>
      </c>
      <c r="B396" s="5">
        <f>IFERROR(INDEX('Output Utente'!$A$2:$A$492,MATCH(393,'Output Utente'!$Q$2:$Q$492,0)),"")</f>
        <v>383</v>
      </c>
      <c r="C396" s="5" t="str">
        <f>IFERROR(INDEX('Output Utente'!$B$2:$B$492,MATCH(393,'Output Utente'!$Q$2:$Q$492,0)),"")</f>
        <v>A</v>
      </c>
      <c r="D396" s="5" t="str">
        <f>IFERROR(INDEX('Output Utente'!$C$2:$C$492,MATCH(393,'Output Utente'!$Q$2:$Q$492,0)),"")</f>
        <v>Petagna</v>
      </c>
      <c r="E396" s="5" t="str">
        <f>IFERROR(INDEX('Input Giocatori 2026_27'!$D$3:$D$493,MATCH($B396,'Input Giocatori 2026_27'!$A$3:$A$493,0)),"")</f>
        <v>Monza</v>
      </c>
      <c r="F396" s="42">
        <f>IFERROR(INDEX('Output Utente'!$N$2:$N$492,MATCH(393,'Output Utente'!$Q$2:$Q$492,0)),"")</f>
        <v>2</v>
      </c>
      <c r="G396" s="42">
        <f>IFERROR(INDEX('Output Utente'!$O$2:$O$492,MATCH(393,'Output Utente'!$Q$2:$Q$492,0)),"")</f>
        <v>5</v>
      </c>
      <c r="H396" s="5" t="str">
        <f>IFERROR(INDEX('Output Utente'!$P$2:$P$492,MATCH(393,'Output Utente'!$Q$2:$Q$492,0)),"")</f>
        <v>Scommessa/Riserva</v>
      </c>
      <c r="I396" s="42">
        <f>IFERROR(INDEX('Output Utente'!$F$2:$F$492,MATCH(393,'Output Utente'!$Q$2:$Q$492,0)),"")</f>
        <v>2</v>
      </c>
      <c r="J396" s="42">
        <f>IFERROR(INDEX('Output Utente'!$G$2:$G$492,MATCH(393,'Output Utente'!$Q$2:$Q$492,0)),"")</f>
        <v>1</v>
      </c>
      <c r="K396" s="42">
        <f>IFERROR(INDEX('Output Utente'!$H$2:$H$492,MATCH(393,'Output Utente'!$Q$2:$Q$492,0)),"")</f>
        <v>2</v>
      </c>
      <c r="L396" s="5" t="str">
        <f>IFERROR(INDEX('Output Utente'!$E$2:$E$492,MATCH(393,'Output Utente'!$Q$2:$Q$492,0)),"")</f>
        <v>NO</v>
      </c>
      <c r="M396" s="5" t="str">
        <f>IFERROR(INDEX('Output Utente'!$U$2:$U$492,MATCH(393,'Output Utente'!$Q$2:$Q$492,0)),"")</f>
        <v>OK</v>
      </c>
      <c r="N396" s="5" t="str">
        <f>IFERROR(INDEX('Output Utente'!$AE$2:$AE$492,MATCH(393,'Output Utente'!$Q$2:$Q$492,0)),"")</f>
        <v>🔴 Non aspettare</v>
      </c>
    </row>
    <row r="397" spans="1:14" ht="15" customHeight="1" x14ac:dyDescent="0.25">
      <c r="A397" s="41">
        <v>394</v>
      </c>
      <c r="B397" s="5">
        <f>IFERROR(INDEX('Output Utente'!$A$2:$A$492,MATCH(394,'Output Utente'!$Q$2:$Q$492,0)),"")</f>
        <v>6883</v>
      </c>
      <c r="C397" s="5" t="str">
        <f>IFERROR(INDEX('Output Utente'!$B$2:$B$492,MATCH(394,'Output Utente'!$Q$2:$Q$492,0)),"")</f>
        <v>D</v>
      </c>
      <c r="D397" s="5" t="str">
        <f>IFERROR(INDEX('Output Utente'!$C$2:$C$492,MATCH(394,'Output Utente'!$Q$2:$Q$492,0)),"")</f>
        <v>Jean</v>
      </c>
      <c r="E397" s="5" t="str">
        <f>IFERROR(INDEX('Input Giocatori 2026_27'!$D$3:$D$493,MATCH($B397,'Input Giocatori 2026_27'!$A$3:$A$493,0)),"")</f>
        <v>Lecce</v>
      </c>
      <c r="F397" s="42">
        <f>IFERROR(INDEX('Output Utente'!$N$2:$N$492,MATCH(394,'Output Utente'!$Q$2:$Q$492,0)),"")</f>
        <v>2</v>
      </c>
      <c r="G397" s="42">
        <f>IFERROR(INDEX('Output Utente'!$O$2:$O$492,MATCH(394,'Output Utente'!$Q$2:$Q$492,0)),"")</f>
        <v>4</v>
      </c>
      <c r="H397" s="5" t="str">
        <f>IFERROR(INDEX('Output Utente'!$P$2:$P$492,MATCH(394,'Output Utente'!$Q$2:$Q$492,0)),"")</f>
        <v>Scommessa/Riserva</v>
      </c>
      <c r="I397" s="42">
        <f>IFERROR(INDEX('Output Utente'!$F$2:$F$492,MATCH(394,'Output Utente'!$Q$2:$Q$492,0)),"")</f>
        <v>1</v>
      </c>
      <c r="J397" s="42">
        <f>IFERROR(INDEX('Output Utente'!$G$2:$G$492,MATCH(394,'Output Utente'!$Q$2:$Q$492,0)),"")</f>
        <v>1</v>
      </c>
      <c r="K397" s="42">
        <f>IFERROR(INDEX('Output Utente'!$H$2:$H$492,MATCH(394,'Output Utente'!$Q$2:$Q$492,0)),"")</f>
        <v>1</v>
      </c>
      <c r="L397" s="5" t="str">
        <f>IFERROR(INDEX('Output Utente'!$E$2:$E$492,MATCH(394,'Output Utente'!$Q$2:$Q$492,0)),"")</f>
        <v>NO</v>
      </c>
      <c r="M397" s="5" t="str">
        <f>IFERROR(INDEX('Output Utente'!$U$2:$U$492,MATCH(394,'Output Utente'!$Q$2:$Q$492,0)),"")</f>
        <v>OK</v>
      </c>
      <c r="N397" s="5" t="str">
        <f>IFERROR(INDEX('Output Utente'!$AE$2:$AE$492,MATCH(394,'Output Utente'!$Q$2:$Q$492,0)),"")</f>
        <v>🔴 Non aspettare</v>
      </c>
    </row>
    <row r="398" spans="1:14" ht="15" customHeight="1" x14ac:dyDescent="0.25">
      <c r="A398" s="41">
        <v>395</v>
      </c>
      <c r="B398" s="5">
        <f>IFERROR(INDEX('Output Utente'!$A$2:$A$492,MATCH(395,'Output Utente'!$Q$2:$Q$492,0)),"")</f>
        <v>7525</v>
      </c>
      <c r="C398" s="5" t="str">
        <f>IFERROR(INDEX('Output Utente'!$B$2:$B$492,MATCH(395,'Output Utente'!$Q$2:$Q$492,0)),"")</f>
        <v>D</v>
      </c>
      <c r="D398" s="5" t="str">
        <f>IFERROR(INDEX('Output Utente'!$C$2:$C$492,MATCH(395,'Output Utente'!$Q$2:$Q$492,0)),"")</f>
        <v>Diawara S.</v>
      </c>
      <c r="E398" s="5" t="str">
        <f>IFERROR(INDEX('Input Giocatori 2026_27'!$D$3:$D$493,MATCH($B398,'Input Giocatori 2026_27'!$A$3:$A$493,0)),"")</f>
        <v>Milan</v>
      </c>
      <c r="F398" s="42">
        <f>IFERROR(INDEX('Output Utente'!$N$2:$N$492,MATCH(395,'Output Utente'!$Q$2:$Q$492,0)),"")</f>
        <v>2</v>
      </c>
      <c r="G398" s="42">
        <f>IFERROR(INDEX('Output Utente'!$O$2:$O$492,MATCH(395,'Output Utente'!$Q$2:$Q$492,0)),"")</f>
        <v>4</v>
      </c>
      <c r="H398" s="5" t="str">
        <f>IFERROR(INDEX('Output Utente'!$P$2:$P$492,MATCH(395,'Output Utente'!$Q$2:$Q$492,0)),"")</f>
        <v>Scommessa/Riserva</v>
      </c>
      <c r="I398" s="42">
        <f>IFERROR(INDEX('Output Utente'!$F$2:$F$492,MATCH(395,'Output Utente'!$Q$2:$Q$492,0)),"")</f>
        <v>1</v>
      </c>
      <c r="J398" s="42">
        <f>IFERROR(INDEX('Output Utente'!$G$2:$G$492,MATCH(395,'Output Utente'!$Q$2:$Q$492,0)),"")</f>
        <v>1</v>
      </c>
      <c r="K398" s="42">
        <f>IFERROR(INDEX('Output Utente'!$H$2:$H$492,MATCH(395,'Output Utente'!$Q$2:$Q$492,0)),"")</f>
        <v>1</v>
      </c>
      <c r="L398" s="5" t="str">
        <f>IFERROR(INDEX('Output Utente'!$E$2:$E$492,MATCH(395,'Output Utente'!$Q$2:$Q$492,0)),"")</f>
        <v>NO</v>
      </c>
      <c r="M398" s="5" t="str">
        <f>IFERROR(INDEX('Output Utente'!$U$2:$U$492,MATCH(395,'Output Utente'!$Q$2:$Q$492,0)),"")</f>
        <v>OK</v>
      </c>
      <c r="N398" s="5" t="str">
        <f>IFERROR(INDEX('Output Utente'!$AE$2:$AE$492,MATCH(395,'Output Utente'!$Q$2:$Q$492,0)),"")</f>
        <v>🔴 Non aspettare</v>
      </c>
    </row>
    <row r="399" spans="1:14" ht="15" customHeight="1" x14ac:dyDescent="0.25">
      <c r="A399" s="41">
        <v>396</v>
      </c>
      <c r="B399" s="5">
        <f>IFERROR(INDEX('Output Utente'!$A$2:$A$492,MATCH(396,'Output Utente'!$Q$2:$Q$492,0)),"")</f>
        <v>5994</v>
      </c>
      <c r="C399" s="5" t="str">
        <f>IFERROR(INDEX('Output Utente'!$B$2:$B$492,MATCH(396,'Output Utente'!$Q$2:$Q$492,0)),"")</f>
        <v>D</v>
      </c>
      <c r="D399" s="5" t="str">
        <f>IFERROR(INDEX('Output Utente'!$C$2:$C$492,MATCH(396,'Output Utente'!$Q$2:$Q$492,0)),"")</f>
        <v>Ebosse</v>
      </c>
      <c r="E399" s="5" t="str">
        <f>IFERROR(INDEX('Input Giocatori 2026_27'!$D$3:$D$493,MATCH($B399,'Input Giocatori 2026_27'!$A$3:$A$493,0)),"")</f>
        <v>Udinese</v>
      </c>
      <c r="F399" s="42">
        <f>IFERROR(INDEX('Output Utente'!$N$2:$N$492,MATCH(396,'Output Utente'!$Q$2:$Q$492,0)),"")</f>
        <v>2</v>
      </c>
      <c r="G399" s="42">
        <f>IFERROR(INDEX('Output Utente'!$O$2:$O$492,MATCH(396,'Output Utente'!$Q$2:$Q$492,0)),"")</f>
        <v>4</v>
      </c>
      <c r="H399" s="5" t="str">
        <f>IFERROR(INDEX('Output Utente'!$P$2:$P$492,MATCH(396,'Output Utente'!$Q$2:$Q$492,0)),"")</f>
        <v>Scommessa/Riserva</v>
      </c>
      <c r="I399" s="42">
        <f>IFERROR(INDEX('Output Utente'!$F$2:$F$492,MATCH(396,'Output Utente'!$Q$2:$Q$492,0)),"")</f>
        <v>1</v>
      </c>
      <c r="J399" s="42">
        <f>IFERROR(INDEX('Output Utente'!$G$2:$G$492,MATCH(396,'Output Utente'!$Q$2:$Q$492,0)),"")</f>
        <v>1</v>
      </c>
      <c r="K399" s="42">
        <f>IFERROR(INDEX('Output Utente'!$H$2:$H$492,MATCH(396,'Output Utente'!$Q$2:$Q$492,0)),"")</f>
        <v>1</v>
      </c>
      <c r="L399" s="5" t="str">
        <f>IFERROR(INDEX('Output Utente'!$E$2:$E$492,MATCH(396,'Output Utente'!$Q$2:$Q$492,0)),"")</f>
        <v>NO</v>
      </c>
      <c r="M399" s="5" t="str">
        <f>IFERROR(INDEX('Output Utente'!$U$2:$U$492,MATCH(396,'Output Utente'!$Q$2:$Q$492,0)),"")</f>
        <v>OK</v>
      </c>
      <c r="N399" s="5" t="str">
        <f>IFERROR(INDEX('Output Utente'!$AE$2:$AE$492,MATCH(396,'Output Utente'!$Q$2:$Q$492,0)),"")</f>
        <v>🔴 Non aspettare</v>
      </c>
    </row>
    <row r="400" spans="1:14" ht="15" customHeight="1" x14ac:dyDescent="0.25">
      <c r="A400" s="41">
        <v>397</v>
      </c>
      <c r="B400" s="5">
        <f>IFERROR(INDEX('Output Utente'!$A$2:$A$492,MATCH(397,'Output Utente'!$Q$2:$Q$492,0)),"")</f>
        <v>7478</v>
      </c>
      <c r="C400" s="5" t="str">
        <f>IFERROR(INDEX('Output Utente'!$B$2:$B$492,MATCH(397,'Output Utente'!$Q$2:$Q$492,0)),"")</f>
        <v>D</v>
      </c>
      <c r="D400" s="5" t="str">
        <f>IFERROR(INDEX('Output Utente'!$C$2:$C$492,MATCH(397,'Output Utente'!$Q$2:$Q$492,0)),"")</f>
        <v>Franjic</v>
      </c>
      <c r="E400" s="5" t="str">
        <f>IFERROR(INDEX('Input Giocatori 2026_27'!$D$3:$D$493,MATCH($B400,'Input Giocatori 2026_27'!$A$3:$A$493,0)),"")</f>
        <v>Venezia</v>
      </c>
      <c r="F400" s="42">
        <f>IFERROR(INDEX('Output Utente'!$N$2:$N$492,MATCH(397,'Output Utente'!$Q$2:$Q$492,0)),"")</f>
        <v>2</v>
      </c>
      <c r="G400" s="42">
        <f>IFERROR(INDEX('Output Utente'!$O$2:$O$492,MATCH(397,'Output Utente'!$Q$2:$Q$492,0)),"")</f>
        <v>4</v>
      </c>
      <c r="H400" s="5" t="str">
        <f>IFERROR(INDEX('Output Utente'!$P$2:$P$492,MATCH(397,'Output Utente'!$Q$2:$Q$492,0)),"")</f>
        <v>Scommessa/Riserva</v>
      </c>
      <c r="I400" s="42">
        <f>IFERROR(INDEX('Output Utente'!$F$2:$F$492,MATCH(397,'Output Utente'!$Q$2:$Q$492,0)),"")</f>
        <v>1</v>
      </c>
      <c r="J400" s="42">
        <f>IFERROR(INDEX('Output Utente'!$G$2:$G$492,MATCH(397,'Output Utente'!$Q$2:$Q$492,0)),"")</f>
        <v>1</v>
      </c>
      <c r="K400" s="42">
        <f>IFERROR(INDEX('Output Utente'!$H$2:$H$492,MATCH(397,'Output Utente'!$Q$2:$Q$492,0)),"")</f>
        <v>1</v>
      </c>
      <c r="L400" s="5" t="str">
        <f>IFERROR(INDEX('Output Utente'!$E$2:$E$492,MATCH(397,'Output Utente'!$Q$2:$Q$492,0)),"")</f>
        <v>NO</v>
      </c>
      <c r="M400" s="5" t="str">
        <f>IFERROR(INDEX('Output Utente'!$U$2:$U$492,MATCH(397,'Output Utente'!$Q$2:$Q$492,0)),"")</f>
        <v>OK</v>
      </c>
      <c r="N400" s="5" t="str">
        <f>IFERROR(INDEX('Output Utente'!$AE$2:$AE$492,MATCH(397,'Output Utente'!$Q$2:$Q$492,0)),"")</f>
        <v>🔴 Non aspettare</v>
      </c>
    </row>
    <row r="401" spans="1:14" ht="15" customHeight="1" x14ac:dyDescent="0.25">
      <c r="A401" s="41">
        <v>398</v>
      </c>
      <c r="B401" s="5">
        <f>IFERROR(INDEX('Output Utente'!$A$2:$A$492,MATCH(398,'Output Utente'!$Q$2:$Q$492,0)),"")</f>
        <v>6681</v>
      </c>
      <c r="C401" s="5" t="str">
        <f>IFERROR(INDEX('Output Utente'!$B$2:$B$492,MATCH(398,'Output Utente'!$Q$2:$Q$492,0)),"")</f>
        <v>D</v>
      </c>
      <c r="D401" s="5" t="str">
        <f>IFERROR(INDEX('Output Utente'!$C$2:$C$492,MATCH(398,'Output Utente'!$Q$2:$Q$492,0)),"")</f>
        <v>Sagrado</v>
      </c>
      <c r="E401" s="5" t="str">
        <f>IFERROR(INDEX('Input Giocatori 2026_27'!$D$3:$D$493,MATCH($B401,'Input Giocatori 2026_27'!$A$3:$A$493,0)),"")</f>
        <v>Venezia</v>
      </c>
      <c r="F401" s="42">
        <f>IFERROR(INDEX('Output Utente'!$N$2:$N$492,MATCH(398,'Output Utente'!$Q$2:$Q$492,0)),"")</f>
        <v>2</v>
      </c>
      <c r="G401" s="42">
        <f>IFERROR(INDEX('Output Utente'!$O$2:$O$492,MATCH(398,'Output Utente'!$Q$2:$Q$492,0)),"")</f>
        <v>4</v>
      </c>
      <c r="H401" s="5" t="str">
        <f>IFERROR(INDEX('Output Utente'!$P$2:$P$492,MATCH(398,'Output Utente'!$Q$2:$Q$492,0)),"")</f>
        <v>Scommessa/Riserva</v>
      </c>
      <c r="I401" s="42">
        <f>IFERROR(INDEX('Output Utente'!$F$2:$F$492,MATCH(398,'Output Utente'!$Q$2:$Q$492,0)),"")</f>
        <v>1</v>
      </c>
      <c r="J401" s="42">
        <f>IFERROR(INDEX('Output Utente'!$G$2:$G$492,MATCH(398,'Output Utente'!$Q$2:$Q$492,0)),"")</f>
        <v>1</v>
      </c>
      <c r="K401" s="42">
        <f>IFERROR(INDEX('Output Utente'!$H$2:$H$492,MATCH(398,'Output Utente'!$Q$2:$Q$492,0)),"")</f>
        <v>1</v>
      </c>
      <c r="L401" s="5" t="str">
        <f>IFERROR(INDEX('Output Utente'!$E$2:$E$492,MATCH(398,'Output Utente'!$Q$2:$Q$492,0)),"")</f>
        <v>NO</v>
      </c>
      <c r="M401" s="5" t="str">
        <f>IFERROR(INDEX('Output Utente'!$U$2:$U$492,MATCH(398,'Output Utente'!$Q$2:$Q$492,0)),"")</f>
        <v>OK</v>
      </c>
      <c r="N401" s="5" t="str">
        <f>IFERROR(INDEX('Output Utente'!$AE$2:$AE$492,MATCH(398,'Output Utente'!$Q$2:$Q$492,0)),"")</f>
        <v>🔴 Non aspettare</v>
      </c>
    </row>
    <row r="402" spans="1:14" ht="15" customHeight="1" x14ac:dyDescent="0.25">
      <c r="A402" s="41">
        <v>399</v>
      </c>
      <c r="B402" s="5">
        <f>IFERROR(INDEX('Output Utente'!$A$2:$A$492,MATCH(399,'Output Utente'!$Q$2:$Q$492,0)),"")</f>
        <v>6225</v>
      </c>
      <c r="C402" s="5" t="str">
        <f>IFERROR(INDEX('Output Utente'!$B$2:$B$492,MATCH(399,'Output Utente'!$Q$2:$Q$492,0)),"")</f>
        <v>C</v>
      </c>
      <c r="D402" s="5" t="str">
        <f>IFERROR(INDEX('Output Utente'!$C$2:$C$492,MATCH(399,'Output Utente'!$Q$2:$Q$492,0)),"")</f>
        <v>El Azzouzi O.</v>
      </c>
      <c r="E402" s="5" t="str">
        <f>IFERROR(INDEX('Input Giocatori 2026_27'!$D$3:$D$493,MATCH($B402,'Input Giocatori 2026_27'!$A$3:$A$493,0)),"")</f>
        <v>Bologna</v>
      </c>
      <c r="F402" s="42">
        <f>IFERROR(INDEX('Output Utente'!$N$2:$N$492,MATCH(399,'Output Utente'!$Q$2:$Q$492,0)),"")</f>
        <v>2</v>
      </c>
      <c r="G402" s="42">
        <f>IFERROR(INDEX('Output Utente'!$O$2:$O$492,MATCH(399,'Output Utente'!$Q$2:$Q$492,0)),"")</f>
        <v>4</v>
      </c>
      <c r="H402" s="5" t="str">
        <f>IFERROR(INDEX('Output Utente'!$P$2:$P$492,MATCH(399,'Output Utente'!$Q$2:$Q$492,0)),"")</f>
        <v>Scommessa/Riserva</v>
      </c>
      <c r="I402" s="42">
        <f>IFERROR(INDEX('Output Utente'!$F$2:$F$492,MATCH(399,'Output Utente'!$Q$2:$Q$492,0)),"")</f>
        <v>1</v>
      </c>
      <c r="J402" s="42">
        <f>IFERROR(INDEX('Output Utente'!$G$2:$G$492,MATCH(399,'Output Utente'!$Q$2:$Q$492,0)),"")</f>
        <v>1</v>
      </c>
      <c r="K402" s="42">
        <f>IFERROR(INDEX('Output Utente'!$H$2:$H$492,MATCH(399,'Output Utente'!$Q$2:$Q$492,0)),"")</f>
        <v>1</v>
      </c>
      <c r="L402" s="5" t="str">
        <f>IFERROR(INDEX('Output Utente'!$E$2:$E$492,MATCH(399,'Output Utente'!$Q$2:$Q$492,0)),"")</f>
        <v>NO</v>
      </c>
      <c r="M402" s="5" t="str">
        <f>IFERROR(INDEX('Output Utente'!$U$2:$U$492,MATCH(399,'Output Utente'!$Q$2:$Q$492,0)),"")</f>
        <v>OK</v>
      </c>
      <c r="N402" s="5" t="str">
        <f>IFERROR(INDEX('Output Utente'!$AE$2:$AE$492,MATCH(399,'Output Utente'!$Q$2:$Q$492,0)),"")</f>
        <v>🔴 Non aspettare</v>
      </c>
    </row>
    <row r="403" spans="1:14" ht="15" customHeight="1" x14ac:dyDescent="0.25">
      <c r="A403" s="41">
        <v>400</v>
      </c>
      <c r="B403" s="5">
        <f>IFERROR(INDEX('Output Utente'!$A$2:$A$492,MATCH(400,'Output Utente'!$Q$2:$Q$492,0)),"")</f>
        <v>6917</v>
      </c>
      <c r="C403" s="5" t="str">
        <f>IFERROR(INDEX('Output Utente'!$B$2:$B$492,MATCH(400,'Output Utente'!$Q$2:$Q$492,0)),"")</f>
        <v>C</v>
      </c>
      <c r="D403" s="5" t="str">
        <f>IFERROR(INDEX('Output Utente'!$C$2:$C$492,MATCH(400,'Output Utente'!$Q$2:$Q$492,0)),"")</f>
        <v>Masini</v>
      </c>
      <c r="E403" s="5" t="str">
        <f>IFERROR(INDEX('Input Giocatori 2026_27'!$D$3:$D$493,MATCH($B403,'Input Giocatori 2026_27'!$A$3:$A$493,0)),"")</f>
        <v>Genoa</v>
      </c>
      <c r="F403" s="42">
        <f>IFERROR(INDEX('Output Utente'!$N$2:$N$492,MATCH(400,'Output Utente'!$Q$2:$Q$492,0)),"")</f>
        <v>2</v>
      </c>
      <c r="G403" s="42">
        <f>IFERROR(INDEX('Output Utente'!$O$2:$O$492,MATCH(400,'Output Utente'!$Q$2:$Q$492,0)),"")</f>
        <v>4</v>
      </c>
      <c r="H403" s="5" t="str">
        <f>IFERROR(INDEX('Output Utente'!$P$2:$P$492,MATCH(400,'Output Utente'!$Q$2:$Q$492,0)),"")</f>
        <v>Scommessa/Riserva</v>
      </c>
      <c r="I403" s="42">
        <f>IFERROR(INDEX('Output Utente'!$F$2:$F$492,MATCH(400,'Output Utente'!$Q$2:$Q$492,0)),"")</f>
        <v>1</v>
      </c>
      <c r="J403" s="42">
        <f>IFERROR(INDEX('Output Utente'!$G$2:$G$492,MATCH(400,'Output Utente'!$Q$2:$Q$492,0)),"")</f>
        <v>1</v>
      </c>
      <c r="K403" s="42">
        <f>IFERROR(INDEX('Output Utente'!$H$2:$H$492,MATCH(400,'Output Utente'!$Q$2:$Q$492,0)),"")</f>
        <v>1</v>
      </c>
      <c r="L403" s="5" t="str">
        <f>IFERROR(INDEX('Output Utente'!$E$2:$E$492,MATCH(400,'Output Utente'!$Q$2:$Q$492,0)),"")</f>
        <v>NO</v>
      </c>
      <c r="M403" s="5" t="str">
        <f>IFERROR(INDEX('Output Utente'!$U$2:$U$492,MATCH(400,'Output Utente'!$Q$2:$Q$492,0)),"")</f>
        <v>OK</v>
      </c>
      <c r="N403" s="5" t="str">
        <f>IFERROR(INDEX('Output Utente'!$AE$2:$AE$492,MATCH(400,'Output Utente'!$Q$2:$Q$492,0)),"")</f>
        <v>🔴 Non aspettare</v>
      </c>
    </row>
    <row r="404" spans="1:14" ht="15" customHeight="1" x14ac:dyDescent="0.25">
      <c r="A404" s="41">
        <v>401</v>
      </c>
      <c r="B404" s="5">
        <f>IFERROR(INDEX('Output Utente'!$A$2:$A$492,MATCH(401,'Output Utente'!$Q$2:$Q$492,0)),"")</f>
        <v>526</v>
      </c>
      <c r="C404" s="5" t="str">
        <f>IFERROR(INDEX('Output Utente'!$B$2:$B$492,MATCH(401,'Output Utente'!$Q$2:$Q$492,0)),"")</f>
        <v>C</v>
      </c>
      <c r="D404" s="5" t="str">
        <f>IFERROR(INDEX('Output Utente'!$C$2:$C$492,MATCH(401,'Output Utente'!$Q$2:$Q$492,0)),"")</f>
        <v>Duncan</v>
      </c>
      <c r="E404" s="5" t="str">
        <f>IFERROR(INDEX('Input Giocatori 2026_27'!$D$3:$D$493,MATCH($B404,'Input Giocatori 2026_27'!$A$3:$A$493,0)),"")</f>
        <v>Venezia</v>
      </c>
      <c r="F404" s="42">
        <f>IFERROR(INDEX('Output Utente'!$N$2:$N$492,MATCH(401,'Output Utente'!$Q$2:$Q$492,0)),"")</f>
        <v>2</v>
      </c>
      <c r="G404" s="42">
        <f>IFERROR(INDEX('Output Utente'!$O$2:$O$492,MATCH(401,'Output Utente'!$Q$2:$Q$492,0)),"")</f>
        <v>4</v>
      </c>
      <c r="H404" s="5" t="str">
        <f>IFERROR(INDEX('Output Utente'!$P$2:$P$492,MATCH(401,'Output Utente'!$Q$2:$Q$492,0)),"")</f>
        <v>Scommessa/Riserva</v>
      </c>
      <c r="I404" s="42">
        <f>IFERROR(INDEX('Output Utente'!$F$2:$F$492,MATCH(401,'Output Utente'!$Q$2:$Q$492,0)),"")</f>
        <v>1</v>
      </c>
      <c r="J404" s="42">
        <f>IFERROR(INDEX('Output Utente'!$G$2:$G$492,MATCH(401,'Output Utente'!$Q$2:$Q$492,0)),"")</f>
        <v>1</v>
      </c>
      <c r="K404" s="42">
        <f>IFERROR(INDEX('Output Utente'!$H$2:$H$492,MATCH(401,'Output Utente'!$Q$2:$Q$492,0)),"")</f>
        <v>1</v>
      </c>
      <c r="L404" s="5" t="str">
        <f>IFERROR(INDEX('Output Utente'!$E$2:$E$492,MATCH(401,'Output Utente'!$Q$2:$Q$492,0)),"")</f>
        <v>NO</v>
      </c>
      <c r="M404" s="5" t="str">
        <f>IFERROR(INDEX('Output Utente'!$U$2:$U$492,MATCH(401,'Output Utente'!$Q$2:$Q$492,0)),"")</f>
        <v>OK</v>
      </c>
      <c r="N404" s="5" t="str">
        <f>IFERROR(INDEX('Output Utente'!$AE$2:$AE$492,MATCH(401,'Output Utente'!$Q$2:$Q$492,0)),"")</f>
        <v>🔴 Non aspettare</v>
      </c>
    </row>
    <row r="405" spans="1:14" ht="15" customHeight="1" x14ac:dyDescent="0.25">
      <c r="A405" s="41">
        <v>402</v>
      </c>
      <c r="B405" s="5">
        <f>IFERROR(INDEX('Output Utente'!$A$2:$A$492,MATCH(402,'Output Utente'!$Q$2:$Q$492,0)),"")</f>
        <v>7249</v>
      </c>
      <c r="C405" s="5" t="str">
        <f>IFERROR(INDEX('Output Utente'!$B$2:$B$492,MATCH(402,'Output Utente'!$Q$2:$Q$492,0)),"")</f>
        <v>A</v>
      </c>
      <c r="D405" s="5" t="str">
        <f>IFERROR(INDEX('Output Utente'!$C$2:$C$492,MATCH(402,'Output Utente'!$Q$2:$Q$492,0)),"")</f>
        <v xml:space="preserve">Buksa </v>
      </c>
      <c r="E405" s="5" t="str">
        <f>IFERROR(INDEX('Input Giocatori 2026_27'!$D$3:$D$493,MATCH($B405,'Input Giocatori 2026_27'!$A$3:$A$493,0)),"")</f>
        <v>Udinese</v>
      </c>
      <c r="F405" s="42">
        <f>IFERROR(INDEX('Output Utente'!$N$2:$N$492,MATCH(402,'Output Utente'!$Q$2:$Q$492,0)),"")</f>
        <v>2</v>
      </c>
      <c r="G405" s="42">
        <f>IFERROR(INDEX('Output Utente'!$O$2:$O$492,MATCH(402,'Output Utente'!$Q$2:$Q$492,0)),"")</f>
        <v>4</v>
      </c>
      <c r="H405" s="5" t="str">
        <f>IFERROR(INDEX('Output Utente'!$P$2:$P$492,MATCH(402,'Output Utente'!$Q$2:$Q$492,0)),"")</f>
        <v>Scommessa/Riserva</v>
      </c>
      <c r="I405" s="42">
        <f>IFERROR(INDEX('Output Utente'!$F$2:$F$492,MATCH(402,'Output Utente'!$Q$2:$Q$492,0)),"")</f>
        <v>1</v>
      </c>
      <c r="J405" s="42">
        <f>IFERROR(INDEX('Output Utente'!$G$2:$G$492,MATCH(402,'Output Utente'!$Q$2:$Q$492,0)),"")</f>
        <v>1</v>
      </c>
      <c r="K405" s="42">
        <f>IFERROR(INDEX('Output Utente'!$H$2:$H$492,MATCH(402,'Output Utente'!$Q$2:$Q$492,0)),"")</f>
        <v>1</v>
      </c>
      <c r="L405" s="5" t="str">
        <f>IFERROR(INDEX('Output Utente'!$E$2:$E$492,MATCH(402,'Output Utente'!$Q$2:$Q$492,0)),"")</f>
        <v>NO</v>
      </c>
      <c r="M405" s="5" t="str">
        <f>IFERROR(INDEX('Output Utente'!$U$2:$U$492,MATCH(402,'Output Utente'!$Q$2:$Q$492,0)),"")</f>
        <v>OK</v>
      </c>
      <c r="N405" s="5" t="str">
        <f>IFERROR(INDEX('Output Utente'!$AE$2:$AE$492,MATCH(402,'Output Utente'!$Q$2:$Q$492,0)),"")</f>
        <v>🔴 Non aspettare</v>
      </c>
    </row>
    <row r="406" spans="1:14" ht="15" customHeight="1" x14ac:dyDescent="0.25">
      <c r="A406" s="41">
        <v>403</v>
      </c>
      <c r="B406" s="5">
        <f>IFERROR(INDEX('Output Utente'!$A$2:$A$492,MATCH(403,'Output Utente'!$Q$2:$Q$492,0)),"")</f>
        <v>6815</v>
      </c>
      <c r="C406" s="5" t="str">
        <f>IFERROR(INDEX('Output Utente'!$B$2:$B$492,MATCH(403,'Output Utente'!$Q$2:$Q$492,0)),"")</f>
        <v>C</v>
      </c>
      <c r="D406" s="5" t="str">
        <f>IFERROR(INDEX('Output Utente'!$C$2:$C$492,MATCH(403,'Output Utente'!$Q$2:$Q$492,0)),"")</f>
        <v>Fadera</v>
      </c>
      <c r="E406" s="5" t="str">
        <f>IFERROR(INDEX('Input Giocatori 2026_27'!$D$3:$D$493,MATCH($B406,'Input Giocatori 2026_27'!$A$3:$A$493,0)),"")</f>
        <v>Como</v>
      </c>
      <c r="F406" s="42">
        <f>IFERROR(INDEX('Output Utente'!$N$2:$N$492,MATCH(403,'Output Utente'!$Q$2:$Q$492,0)),"")</f>
        <v>2</v>
      </c>
      <c r="G406" s="42">
        <f>IFERROR(INDEX('Output Utente'!$O$2:$O$492,MATCH(403,'Output Utente'!$Q$2:$Q$492,0)),"")</f>
        <v>3</v>
      </c>
      <c r="H406" s="5" t="str">
        <f>IFERROR(INDEX('Output Utente'!$P$2:$P$492,MATCH(403,'Output Utente'!$Q$2:$Q$492,0)),"")</f>
        <v>Scommessa/Riserva</v>
      </c>
      <c r="I406" s="42">
        <f>IFERROR(INDEX('Output Utente'!$F$2:$F$492,MATCH(403,'Output Utente'!$Q$2:$Q$492,0)),"")</f>
        <v>0</v>
      </c>
      <c r="J406" s="42">
        <f>IFERROR(INDEX('Output Utente'!$G$2:$G$492,MATCH(403,'Output Utente'!$Q$2:$Q$492,0)),"")</f>
        <v>1</v>
      </c>
      <c r="K406" s="42">
        <f>IFERROR(INDEX('Output Utente'!$H$2:$H$492,MATCH(403,'Output Utente'!$Q$2:$Q$492,0)),"")</f>
        <v>0</v>
      </c>
      <c r="L406" s="5" t="str">
        <f>IFERROR(INDEX('Output Utente'!$E$2:$E$492,MATCH(403,'Output Utente'!$Q$2:$Q$492,0)),"")</f>
        <v>NO</v>
      </c>
      <c r="M406" s="5" t="str">
        <f>IFERROR(INDEX('Output Utente'!$U$2:$U$492,MATCH(403,'Output Utente'!$Q$2:$Q$492,0)),"")</f>
        <v>OK</v>
      </c>
      <c r="N406" s="5" t="str">
        <f>IFERROR(INDEX('Output Utente'!$AE$2:$AE$492,MATCH(403,'Output Utente'!$Q$2:$Q$492,0)),"")</f>
        <v>🔴 Non aspettare</v>
      </c>
    </row>
    <row r="407" spans="1:14" ht="15" customHeight="1" x14ac:dyDescent="0.25">
      <c r="A407" s="41">
        <v>404</v>
      </c>
      <c r="B407" s="5">
        <f>IFERROR(INDEX('Output Utente'!$A$2:$A$492,MATCH(404,'Output Utente'!$Q$2:$Q$492,0)),"")</f>
        <v>6672</v>
      </c>
      <c r="C407" s="5" t="str">
        <f>IFERROR(INDEX('Output Utente'!$B$2:$B$492,MATCH(404,'Output Utente'!$Q$2:$Q$492,0)),"")</f>
        <v>D</v>
      </c>
      <c r="D407" s="5" t="str">
        <f>IFERROR(INDEX('Output Utente'!$C$2:$C$492,MATCH(404,'Output Utente'!$Q$2:$Q$492,0)),"")</f>
        <v>Idzes</v>
      </c>
      <c r="E407" s="5" t="str">
        <f>IFERROR(INDEX('Input Giocatori 2026_27'!$D$3:$D$493,MATCH($B407,'Input Giocatori 2026_27'!$A$3:$A$493,0)),"")</f>
        <v>Sassuolo</v>
      </c>
      <c r="F407" s="42">
        <f>IFERROR(INDEX('Output Utente'!$N$2:$N$492,MATCH(404,'Output Utente'!$Q$2:$Q$492,0)),"")</f>
        <v>7</v>
      </c>
      <c r="G407" s="42">
        <f>IFERROR(INDEX('Output Utente'!$O$2:$O$492,MATCH(404,'Output Utente'!$Q$2:$Q$492,0)),"")</f>
        <v>1</v>
      </c>
      <c r="H407" s="5" t="str">
        <f>IFERROR(INDEX('Output Utente'!$P$2:$P$492,MATCH(404,'Output Utente'!$Q$2:$Q$492,0)),"")</f>
        <v>Scommessa/Riserva</v>
      </c>
      <c r="I407" s="42">
        <f>IFERROR(INDEX('Output Utente'!$F$2:$F$492,MATCH(404,'Output Utente'!$Q$2:$Q$492,0)),"")</f>
        <v>0</v>
      </c>
      <c r="J407" s="42">
        <f>IFERROR(INDEX('Output Utente'!$G$2:$G$492,MATCH(404,'Output Utente'!$Q$2:$Q$492,0)),"")</f>
        <v>1</v>
      </c>
      <c r="K407" s="42">
        <f>IFERROR(INDEX('Output Utente'!$H$2:$H$492,MATCH(404,'Output Utente'!$Q$2:$Q$492,0)),"")</f>
        <v>0</v>
      </c>
      <c r="L407" s="5" t="str">
        <f>IFERROR(INDEX('Output Utente'!$E$2:$E$492,MATCH(404,'Output Utente'!$Q$2:$Q$492,0)),"")</f>
        <v>NO</v>
      </c>
      <c r="M407" s="5" t="str">
        <f>IFERROR(INDEX('Output Utente'!$U$2:$U$492,MATCH(404,'Output Utente'!$Q$2:$Q$492,0)),"")</f>
        <v>OK</v>
      </c>
      <c r="N407" s="5" t="str">
        <f>IFERROR(INDEX('Output Utente'!$AE$2:$AE$492,MATCH(404,'Output Utente'!$Q$2:$Q$492,0)),"")</f>
        <v>🔴 Non aspettare</v>
      </c>
    </row>
    <row r="408" spans="1:14" ht="15" customHeight="1" x14ac:dyDescent="0.25">
      <c r="A408" s="41">
        <v>405</v>
      </c>
      <c r="B408" s="5" t="str">
        <f>IFERROR(INDEX('Output Utente'!$A$2:$A$492,MATCH(405,'Output Utente'!$Q$2:$Q$492,0)),"")</f>
        <v/>
      </c>
      <c r="C408" s="5" t="str">
        <f>IFERROR(INDEX('Output Utente'!$B$2:$B$492,MATCH(405,'Output Utente'!$Q$2:$Q$492,0)),"")</f>
        <v/>
      </c>
      <c r="D408" s="5" t="str">
        <f>IFERROR(INDEX('Output Utente'!$C$2:$C$492,MATCH(405,'Output Utente'!$Q$2:$Q$492,0)),"")</f>
        <v/>
      </c>
      <c r="E408" s="5" t="str">
        <f>IFERROR(INDEX('Input Giocatori 2026_27'!$D$3:$D$493,MATCH($B408,'Input Giocatori 2026_27'!$A$3:$A$493,0)),"")</f>
        <v/>
      </c>
      <c r="F408" s="42" t="str">
        <f>IFERROR(INDEX('Output Utente'!$N$2:$N$492,MATCH(405,'Output Utente'!$Q$2:$Q$492,0)),"")</f>
        <v/>
      </c>
      <c r="G408" s="42" t="str">
        <f>IFERROR(INDEX('Output Utente'!$O$2:$O$492,MATCH(405,'Output Utente'!$Q$2:$Q$492,0)),"")</f>
        <v/>
      </c>
      <c r="H408" s="5" t="str">
        <f>IFERROR(INDEX('Output Utente'!$P$2:$P$492,MATCH(405,'Output Utente'!$Q$2:$Q$492,0)),"")</f>
        <v/>
      </c>
      <c r="I408" s="42" t="str">
        <f>IFERROR(INDEX('Output Utente'!$F$2:$F$492,MATCH(405,'Output Utente'!$Q$2:$Q$492,0)),"")</f>
        <v/>
      </c>
      <c r="J408" s="42" t="str">
        <f>IFERROR(INDEX('Output Utente'!$G$2:$G$492,MATCH(405,'Output Utente'!$Q$2:$Q$492,0)),"")</f>
        <v/>
      </c>
      <c r="K408" s="42" t="str">
        <f>IFERROR(INDEX('Output Utente'!$H$2:$H$492,MATCH(405,'Output Utente'!$Q$2:$Q$492,0)),"")</f>
        <v/>
      </c>
      <c r="L408" s="5" t="str">
        <f>IFERROR(INDEX('Output Utente'!$E$2:$E$492,MATCH(405,'Output Utente'!$Q$2:$Q$492,0)),"")</f>
        <v/>
      </c>
      <c r="M408" s="5" t="str">
        <f>IFERROR(INDEX('Output Utente'!$U$2:$U$492,MATCH(405,'Output Utente'!$Q$2:$Q$492,0)),"")</f>
        <v/>
      </c>
      <c r="N408" s="5" t="str">
        <f>IFERROR(INDEX('Output Utente'!$AE$2:$AE$492,MATCH(405,'Output Utente'!$Q$2:$Q$492,0)),"")</f>
        <v/>
      </c>
    </row>
    <row r="409" spans="1:14" ht="15" customHeight="1" x14ac:dyDescent="0.25">
      <c r="A409" s="41">
        <v>406</v>
      </c>
      <c r="B409" s="5" t="str">
        <f>IFERROR(INDEX('Output Utente'!$A$2:$A$492,MATCH(406,'Output Utente'!$Q$2:$Q$492,0)),"")</f>
        <v/>
      </c>
      <c r="C409" s="5" t="str">
        <f>IFERROR(INDEX('Output Utente'!$B$2:$B$492,MATCH(406,'Output Utente'!$Q$2:$Q$492,0)),"")</f>
        <v/>
      </c>
      <c r="D409" s="5" t="str">
        <f>IFERROR(INDEX('Output Utente'!$C$2:$C$492,MATCH(406,'Output Utente'!$Q$2:$Q$492,0)),"")</f>
        <v/>
      </c>
      <c r="E409" s="5" t="str">
        <f>IFERROR(INDEX('Input Giocatori 2026_27'!$D$3:$D$493,MATCH($B409,'Input Giocatori 2026_27'!$A$3:$A$493,0)),"")</f>
        <v/>
      </c>
      <c r="F409" s="42" t="str">
        <f>IFERROR(INDEX('Output Utente'!$N$2:$N$492,MATCH(406,'Output Utente'!$Q$2:$Q$492,0)),"")</f>
        <v/>
      </c>
      <c r="G409" s="42" t="str">
        <f>IFERROR(INDEX('Output Utente'!$O$2:$O$492,MATCH(406,'Output Utente'!$Q$2:$Q$492,0)),"")</f>
        <v/>
      </c>
      <c r="H409" s="5" t="str">
        <f>IFERROR(INDEX('Output Utente'!$P$2:$P$492,MATCH(406,'Output Utente'!$Q$2:$Q$492,0)),"")</f>
        <v/>
      </c>
      <c r="I409" s="42" t="str">
        <f>IFERROR(INDEX('Output Utente'!$F$2:$F$492,MATCH(406,'Output Utente'!$Q$2:$Q$492,0)),"")</f>
        <v/>
      </c>
      <c r="J409" s="42" t="str">
        <f>IFERROR(INDEX('Output Utente'!$G$2:$G$492,MATCH(406,'Output Utente'!$Q$2:$Q$492,0)),"")</f>
        <v/>
      </c>
      <c r="K409" s="42" t="str">
        <f>IFERROR(INDEX('Output Utente'!$H$2:$H$492,MATCH(406,'Output Utente'!$Q$2:$Q$492,0)),"")</f>
        <v/>
      </c>
      <c r="L409" s="5" t="str">
        <f>IFERROR(INDEX('Output Utente'!$E$2:$E$492,MATCH(406,'Output Utente'!$Q$2:$Q$492,0)),"")</f>
        <v/>
      </c>
      <c r="M409" s="5" t="str">
        <f>IFERROR(INDEX('Output Utente'!$U$2:$U$492,MATCH(406,'Output Utente'!$Q$2:$Q$492,0)),"")</f>
        <v/>
      </c>
      <c r="N409" s="5" t="str">
        <f>IFERROR(INDEX('Output Utente'!$AE$2:$AE$492,MATCH(406,'Output Utente'!$Q$2:$Q$492,0)),"")</f>
        <v/>
      </c>
    </row>
    <row r="410" spans="1:14" ht="15" customHeight="1" x14ac:dyDescent="0.25">
      <c r="A410" s="41">
        <v>407</v>
      </c>
      <c r="B410" s="5" t="str">
        <f>IFERROR(INDEX('Output Utente'!$A$2:$A$492,MATCH(407,'Output Utente'!$Q$2:$Q$492,0)),"")</f>
        <v/>
      </c>
      <c r="C410" s="5" t="str">
        <f>IFERROR(INDEX('Output Utente'!$B$2:$B$492,MATCH(407,'Output Utente'!$Q$2:$Q$492,0)),"")</f>
        <v/>
      </c>
      <c r="D410" s="5" t="str">
        <f>IFERROR(INDEX('Output Utente'!$C$2:$C$492,MATCH(407,'Output Utente'!$Q$2:$Q$492,0)),"")</f>
        <v/>
      </c>
      <c r="E410" s="5" t="str">
        <f>IFERROR(INDEX('Input Giocatori 2026_27'!$D$3:$D$493,MATCH($B410,'Input Giocatori 2026_27'!$A$3:$A$493,0)),"")</f>
        <v/>
      </c>
      <c r="F410" s="42" t="str">
        <f>IFERROR(INDEX('Output Utente'!$N$2:$N$492,MATCH(407,'Output Utente'!$Q$2:$Q$492,0)),"")</f>
        <v/>
      </c>
      <c r="G410" s="42" t="str">
        <f>IFERROR(INDEX('Output Utente'!$O$2:$O$492,MATCH(407,'Output Utente'!$Q$2:$Q$492,0)),"")</f>
        <v/>
      </c>
      <c r="H410" s="5" t="str">
        <f>IFERROR(INDEX('Output Utente'!$P$2:$P$492,MATCH(407,'Output Utente'!$Q$2:$Q$492,0)),"")</f>
        <v/>
      </c>
      <c r="I410" s="42" t="str">
        <f>IFERROR(INDEX('Output Utente'!$F$2:$F$492,MATCH(407,'Output Utente'!$Q$2:$Q$492,0)),"")</f>
        <v/>
      </c>
      <c r="J410" s="42" t="str">
        <f>IFERROR(INDEX('Output Utente'!$G$2:$G$492,MATCH(407,'Output Utente'!$Q$2:$Q$492,0)),"")</f>
        <v/>
      </c>
      <c r="K410" s="42" t="str">
        <f>IFERROR(INDEX('Output Utente'!$H$2:$H$492,MATCH(407,'Output Utente'!$Q$2:$Q$492,0)),"")</f>
        <v/>
      </c>
      <c r="L410" s="5" t="str">
        <f>IFERROR(INDEX('Output Utente'!$E$2:$E$492,MATCH(407,'Output Utente'!$Q$2:$Q$492,0)),"")</f>
        <v/>
      </c>
      <c r="M410" s="5" t="str">
        <f>IFERROR(INDEX('Output Utente'!$U$2:$U$492,MATCH(407,'Output Utente'!$Q$2:$Q$492,0)),"")</f>
        <v/>
      </c>
      <c r="N410" s="5" t="str">
        <f>IFERROR(INDEX('Output Utente'!$AE$2:$AE$492,MATCH(407,'Output Utente'!$Q$2:$Q$492,0)),"")</f>
        <v/>
      </c>
    </row>
    <row r="411" spans="1:14" ht="15" customHeight="1" x14ac:dyDescent="0.25">
      <c r="A411" s="41">
        <v>408</v>
      </c>
      <c r="B411" s="5" t="str">
        <f>IFERROR(INDEX('Output Utente'!$A$2:$A$492,MATCH(408,'Output Utente'!$Q$2:$Q$492,0)),"")</f>
        <v/>
      </c>
      <c r="C411" s="5" t="str">
        <f>IFERROR(INDEX('Output Utente'!$B$2:$B$492,MATCH(408,'Output Utente'!$Q$2:$Q$492,0)),"")</f>
        <v/>
      </c>
      <c r="D411" s="5" t="str">
        <f>IFERROR(INDEX('Output Utente'!$C$2:$C$492,MATCH(408,'Output Utente'!$Q$2:$Q$492,0)),"")</f>
        <v/>
      </c>
      <c r="E411" s="5" t="str">
        <f>IFERROR(INDEX('Input Giocatori 2026_27'!$D$3:$D$493,MATCH($B411,'Input Giocatori 2026_27'!$A$3:$A$493,0)),"")</f>
        <v/>
      </c>
      <c r="F411" s="42" t="str">
        <f>IFERROR(INDEX('Output Utente'!$N$2:$N$492,MATCH(408,'Output Utente'!$Q$2:$Q$492,0)),"")</f>
        <v/>
      </c>
      <c r="G411" s="42" t="str">
        <f>IFERROR(INDEX('Output Utente'!$O$2:$O$492,MATCH(408,'Output Utente'!$Q$2:$Q$492,0)),"")</f>
        <v/>
      </c>
      <c r="H411" s="5" t="str">
        <f>IFERROR(INDEX('Output Utente'!$P$2:$P$492,MATCH(408,'Output Utente'!$Q$2:$Q$492,0)),"")</f>
        <v/>
      </c>
      <c r="I411" s="42" t="str">
        <f>IFERROR(INDEX('Output Utente'!$F$2:$F$492,MATCH(408,'Output Utente'!$Q$2:$Q$492,0)),"")</f>
        <v/>
      </c>
      <c r="J411" s="42" t="str">
        <f>IFERROR(INDEX('Output Utente'!$G$2:$G$492,MATCH(408,'Output Utente'!$Q$2:$Q$492,0)),"")</f>
        <v/>
      </c>
      <c r="K411" s="42" t="str">
        <f>IFERROR(INDEX('Output Utente'!$H$2:$H$492,MATCH(408,'Output Utente'!$Q$2:$Q$492,0)),"")</f>
        <v/>
      </c>
      <c r="L411" s="5" t="str">
        <f>IFERROR(INDEX('Output Utente'!$E$2:$E$492,MATCH(408,'Output Utente'!$Q$2:$Q$492,0)),"")</f>
        <v/>
      </c>
      <c r="M411" s="5" t="str">
        <f>IFERROR(INDEX('Output Utente'!$U$2:$U$492,MATCH(408,'Output Utente'!$Q$2:$Q$492,0)),"")</f>
        <v/>
      </c>
      <c r="N411" s="5" t="str">
        <f>IFERROR(INDEX('Output Utente'!$AE$2:$AE$492,MATCH(408,'Output Utente'!$Q$2:$Q$492,0)),"")</f>
        <v/>
      </c>
    </row>
    <row r="412" spans="1:14" ht="15" customHeight="1" x14ac:dyDescent="0.25">
      <c r="A412" s="41">
        <v>409</v>
      </c>
      <c r="B412" s="5" t="str">
        <f>IFERROR(INDEX('Output Utente'!$A$2:$A$492,MATCH(409,'Output Utente'!$Q$2:$Q$492,0)),"")</f>
        <v/>
      </c>
      <c r="C412" s="5" t="str">
        <f>IFERROR(INDEX('Output Utente'!$B$2:$B$492,MATCH(409,'Output Utente'!$Q$2:$Q$492,0)),"")</f>
        <v/>
      </c>
      <c r="D412" s="5" t="str">
        <f>IFERROR(INDEX('Output Utente'!$C$2:$C$492,MATCH(409,'Output Utente'!$Q$2:$Q$492,0)),"")</f>
        <v/>
      </c>
      <c r="E412" s="5" t="str">
        <f>IFERROR(INDEX('Input Giocatori 2026_27'!$D$3:$D$493,MATCH($B412,'Input Giocatori 2026_27'!$A$3:$A$493,0)),"")</f>
        <v/>
      </c>
      <c r="F412" s="42" t="str">
        <f>IFERROR(INDEX('Output Utente'!$N$2:$N$492,MATCH(409,'Output Utente'!$Q$2:$Q$492,0)),"")</f>
        <v/>
      </c>
      <c r="G412" s="42" t="str">
        <f>IFERROR(INDEX('Output Utente'!$O$2:$O$492,MATCH(409,'Output Utente'!$Q$2:$Q$492,0)),"")</f>
        <v/>
      </c>
      <c r="H412" s="5" t="str">
        <f>IFERROR(INDEX('Output Utente'!$P$2:$P$492,MATCH(409,'Output Utente'!$Q$2:$Q$492,0)),"")</f>
        <v/>
      </c>
      <c r="I412" s="42" t="str">
        <f>IFERROR(INDEX('Output Utente'!$F$2:$F$492,MATCH(409,'Output Utente'!$Q$2:$Q$492,0)),"")</f>
        <v/>
      </c>
      <c r="J412" s="42" t="str">
        <f>IFERROR(INDEX('Output Utente'!$G$2:$G$492,MATCH(409,'Output Utente'!$Q$2:$Q$492,0)),"")</f>
        <v/>
      </c>
      <c r="K412" s="42" t="str">
        <f>IFERROR(INDEX('Output Utente'!$H$2:$H$492,MATCH(409,'Output Utente'!$Q$2:$Q$492,0)),"")</f>
        <v/>
      </c>
      <c r="L412" s="5" t="str">
        <f>IFERROR(INDEX('Output Utente'!$E$2:$E$492,MATCH(409,'Output Utente'!$Q$2:$Q$492,0)),"")</f>
        <v/>
      </c>
      <c r="M412" s="5" t="str">
        <f>IFERROR(INDEX('Output Utente'!$U$2:$U$492,MATCH(409,'Output Utente'!$Q$2:$Q$492,0)),"")</f>
        <v/>
      </c>
      <c r="N412" s="5" t="str">
        <f>IFERROR(INDEX('Output Utente'!$AE$2:$AE$492,MATCH(409,'Output Utente'!$Q$2:$Q$492,0)),"")</f>
        <v/>
      </c>
    </row>
    <row r="413" spans="1:14" ht="15" customHeight="1" x14ac:dyDescent="0.25">
      <c r="A413" s="41">
        <v>410</v>
      </c>
      <c r="B413" s="5" t="str">
        <f>IFERROR(INDEX('Output Utente'!$A$2:$A$492,MATCH(410,'Output Utente'!$Q$2:$Q$492,0)),"")</f>
        <v/>
      </c>
      <c r="C413" s="5" t="str">
        <f>IFERROR(INDEX('Output Utente'!$B$2:$B$492,MATCH(410,'Output Utente'!$Q$2:$Q$492,0)),"")</f>
        <v/>
      </c>
      <c r="D413" s="5" t="str">
        <f>IFERROR(INDEX('Output Utente'!$C$2:$C$492,MATCH(410,'Output Utente'!$Q$2:$Q$492,0)),"")</f>
        <v/>
      </c>
      <c r="E413" s="5" t="str">
        <f>IFERROR(INDEX('Input Giocatori 2026_27'!$D$3:$D$493,MATCH($B413,'Input Giocatori 2026_27'!$A$3:$A$493,0)),"")</f>
        <v/>
      </c>
      <c r="F413" s="42" t="str">
        <f>IFERROR(INDEX('Output Utente'!$N$2:$N$492,MATCH(410,'Output Utente'!$Q$2:$Q$492,0)),"")</f>
        <v/>
      </c>
      <c r="G413" s="42" t="str">
        <f>IFERROR(INDEX('Output Utente'!$O$2:$O$492,MATCH(410,'Output Utente'!$Q$2:$Q$492,0)),"")</f>
        <v/>
      </c>
      <c r="H413" s="5" t="str">
        <f>IFERROR(INDEX('Output Utente'!$P$2:$P$492,MATCH(410,'Output Utente'!$Q$2:$Q$492,0)),"")</f>
        <v/>
      </c>
      <c r="I413" s="42" t="str">
        <f>IFERROR(INDEX('Output Utente'!$F$2:$F$492,MATCH(410,'Output Utente'!$Q$2:$Q$492,0)),"")</f>
        <v/>
      </c>
      <c r="J413" s="42" t="str">
        <f>IFERROR(INDEX('Output Utente'!$G$2:$G$492,MATCH(410,'Output Utente'!$Q$2:$Q$492,0)),"")</f>
        <v/>
      </c>
      <c r="K413" s="42" t="str">
        <f>IFERROR(INDEX('Output Utente'!$H$2:$H$492,MATCH(410,'Output Utente'!$Q$2:$Q$492,0)),"")</f>
        <v/>
      </c>
      <c r="L413" s="5" t="str">
        <f>IFERROR(INDEX('Output Utente'!$E$2:$E$492,MATCH(410,'Output Utente'!$Q$2:$Q$492,0)),"")</f>
        <v/>
      </c>
      <c r="M413" s="5" t="str">
        <f>IFERROR(INDEX('Output Utente'!$U$2:$U$492,MATCH(410,'Output Utente'!$Q$2:$Q$492,0)),"")</f>
        <v/>
      </c>
      <c r="N413" s="5" t="str">
        <f>IFERROR(INDEX('Output Utente'!$AE$2:$AE$492,MATCH(410,'Output Utente'!$Q$2:$Q$492,0)),"")</f>
        <v/>
      </c>
    </row>
    <row r="414" spans="1:14" ht="15" customHeight="1" x14ac:dyDescent="0.25">
      <c r="A414" s="41">
        <v>411</v>
      </c>
      <c r="B414" s="5" t="str">
        <f>IFERROR(INDEX('Output Utente'!$A$2:$A$492,MATCH(411,'Output Utente'!$Q$2:$Q$492,0)),"")</f>
        <v/>
      </c>
      <c r="C414" s="5" t="str">
        <f>IFERROR(INDEX('Output Utente'!$B$2:$B$492,MATCH(411,'Output Utente'!$Q$2:$Q$492,0)),"")</f>
        <v/>
      </c>
      <c r="D414" s="5" t="str">
        <f>IFERROR(INDEX('Output Utente'!$C$2:$C$492,MATCH(411,'Output Utente'!$Q$2:$Q$492,0)),"")</f>
        <v/>
      </c>
      <c r="E414" s="5" t="str">
        <f>IFERROR(INDEX('Input Giocatori 2026_27'!$D$3:$D$493,MATCH($B414,'Input Giocatori 2026_27'!$A$3:$A$493,0)),"")</f>
        <v/>
      </c>
      <c r="F414" s="42" t="str">
        <f>IFERROR(INDEX('Output Utente'!$N$2:$N$492,MATCH(411,'Output Utente'!$Q$2:$Q$492,0)),"")</f>
        <v/>
      </c>
      <c r="G414" s="42" t="str">
        <f>IFERROR(INDEX('Output Utente'!$O$2:$O$492,MATCH(411,'Output Utente'!$Q$2:$Q$492,0)),"")</f>
        <v/>
      </c>
      <c r="H414" s="5" t="str">
        <f>IFERROR(INDEX('Output Utente'!$P$2:$P$492,MATCH(411,'Output Utente'!$Q$2:$Q$492,0)),"")</f>
        <v/>
      </c>
      <c r="I414" s="42" t="str">
        <f>IFERROR(INDEX('Output Utente'!$F$2:$F$492,MATCH(411,'Output Utente'!$Q$2:$Q$492,0)),"")</f>
        <v/>
      </c>
      <c r="J414" s="42" t="str">
        <f>IFERROR(INDEX('Output Utente'!$G$2:$G$492,MATCH(411,'Output Utente'!$Q$2:$Q$492,0)),"")</f>
        <v/>
      </c>
      <c r="K414" s="42" t="str">
        <f>IFERROR(INDEX('Output Utente'!$H$2:$H$492,MATCH(411,'Output Utente'!$Q$2:$Q$492,0)),"")</f>
        <v/>
      </c>
      <c r="L414" s="5" t="str">
        <f>IFERROR(INDEX('Output Utente'!$E$2:$E$492,MATCH(411,'Output Utente'!$Q$2:$Q$492,0)),"")</f>
        <v/>
      </c>
      <c r="M414" s="5" t="str">
        <f>IFERROR(INDEX('Output Utente'!$U$2:$U$492,MATCH(411,'Output Utente'!$Q$2:$Q$492,0)),"")</f>
        <v/>
      </c>
      <c r="N414" s="5" t="str">
        <f>IFERROR(INDEX('Output Utente'!$AE$2:$AE$492,MATCH(411,'Output Utente'!$Q$2:$Q$492,0)),"")</f>
        <v/>
      </c>
    </row>
    <row r="415" spans="1:14" ht="15" customHeight="1" x14ac:dyDescent="0.25">
      <c r="A415" s="41">
        <v>412</v>
      </c>
      <c r="B415" s="5" t="str">
        <f>IFERROR(INDEX('Output Utente'!$A$2:$A$492,MATCH(412,'Output Utente'!$Q$2:$Q$492,0)),"")</f>
        <v/>
      </c>
      <c r="C415" s="5" t="str">
        <f>IFERROR(INDEX('Output Utente'!$B$2:$B$492,MATCH(412,'Output Utente'!$Q$2:$Q$492,0)),"")</f>
        <v/>
      </c>
      <c r="D415" s="5" t="str">
        <f>IFERROR(INDEX('Output Utente'!$C$2:$C$492,MATCH(412,'Output Utente'!$Q$2:$Q$492,0)),"")</f>
        <v/>
      </c>
      <c r="E415" s="5" t="str">
        <f>IFERROR(INDEX('Input Giocatori 2026_27'!$D$3:$D$493,MATCH($B415,'Input Giocatori 2026_27'!$A$3:$A$493,0)),"")</f>
        <v/>
      </c>
      <c r="F415" s="42" t="str">
        <f>IFERROR(INDEX('Output Utente'!$N$2:$N$492,MATCH(412,'Output Utente'!$Q$2:$Q$492,0)),"")</f>
        <v/>
      </c>
      <c r="G415" s="42" t="str">
        <f>IFERROR(INDEX('Output Utente'!$O$2:$O$492,MATCH(412,'Output Utente'!$Q$2:$Q$492,0)),"")</f>
        <v/>
      </c>
      <c r="H415" s="5" t="str">
        <f>IFERROR(INDEX('Output Utente'!$P$2:$P$492,MATCH(412,'Output Utente'!$Q$2:$Q$492,0)),"")</f>
        <v/>
      </c>
      <c r="I415" s="42" t="str">
        <f>IFERROR(INDEX('Output Utente'!$F$2:$F$492,MATCH(412,'Output Utente'!$Q$2:$Q$492,0)),"")</f>
        <v/>
      </c>
      <c r="J415" s="42" t="str">
        <f>IFERROR(INDEX('Output Utente'!$G$2:$G$492,MATCH(412,'Output Utente'!$Q$2:$Q$492,0)),"")</f>
        <v/>
      </c>
      <c r="K415" s="42" t="str">
        <f>IFERROR(INDEX('Output Utente'!$H$2:$H$492,MATCH(412,'Output Utente'!$Q$2:$Q$492,0)),"")</f>
        <v/>
      </c>
      <c r="L415" s="5" t="str">
        <f>IFERROR(INDEX('Output Utente'!$E$2:$E$492,MATCH(412,'Output Utente'!$Q$2:$Q$492,0)),"")</f>
        <v/>
      </c>
      <c r="M415" s="5" t="str">
        <f>IFERROR(INDEX('Output Utente'!$U$2:$U$492,MATCH(412,'Output Utente'!$Q$2:$Q$492,0)),"")</f>
        <v/>
      </c>
      <c r="N415" s="5" t="str">
        <f>IFERROR(INDEX('Output Utente'!$AE$2:$AE$492,MATCH(412,'Output Utente'!$Q$2:$Q$492,0)),"")</f>
        <v/>
      </c>
    </row>
    <row r="416" spans="1:14" ht="15" customHeight="1" x14ac:dyDescent="0.25">
      <c r="A416" s="41">
        <v>413</v>
      </c>
      <c r="B416" s="5" t="str">
        <f>IFERROR(INDEX('Output Utente'!$A$2:$A$492,MATCH(413,'Output Utente'!$Q$2:$Q$492,0)),"")</f>
        <v/>
      </c>
      <c r="C416" s="5" t="str">
        <f>IFERROR(INDEX('Output Utente'!$B$2:$B$492,MATCH(413,'Output Utente'!$Q$2:$Q$492,0)),"")</f>
        <v/>
      </c>
      <c r="D416" s="5" t="str">
        <f>IFERROR(INDEX('Output Utente'!$C$2:$C$492,MATCH(413,'Output Utente'!$Q$2:$Q$492,0)),"")</f>
        <v/>
      </c>
      <c r="E416" s="5" t="str">
        <f>IFERROR(INDEX('Input Giocatori 2026_27'!$D$3:$D$493,MATCH($B416,'Input Giocatori 2026_27'!$A$3:$A$493,0)),"")</f>
        <v/>
      </c>
      <c r="F416" s="42" t="str">
        <f>IFERROR(INDEX('Output Utente'!$N$2:$N$492,MATCH(413,'Output Utente'!$Q$2:$Q$492,0)),"")</f>
        <v/>
      </c>
      <c r="G416" s="42" t="str">
        <f>IFERROR(INDEX('Output Utente'!$O$2:$O$492,MATCH(413,'Output Utente'!$Q$2:$Q$492,0)),"")</f>
        <v/>
      </c>
      <c r="H416" s="5" t="str">
        <f>IFERROR(INDEX('Output Utente'!$P$2:$P$492,MATCH(413,'Output Utente'!$Q$2:$Q$492,0)),"")</f>
        <v/>
      </c>
      <c r="I416" s="42" t="str">
        <f>IFERROR(INDEX('Output Utente'!$F$2:$F$492,MATCH(413,'Output Utente'!$Q$2:$Q$492,0)),"")</f>
        <v/>
      </c>
      <c r="J416" s="42" t="str">
        <f>IFERROR(INDEX('Output Utente'!$G$2:$G$492,MATCH(413,'Output Utente'!$Q$2:$Q$492,0)),"")</f>
        <v/>
      </c>
      <c r="K416" s="42" t="str">
        <f>IFERROR(INDEX('Output Utente'!$H$2:$H$492,MATCH(413,'Output Utente'!$Q$2:$Q$492,0)),"")</f>
        <v/>
      </c>
      <c r="L416" s="5" t="str">
        <f>IFERROR(INDEX('Output Utente'!$E$2:$E$492,MATCH(413,'Output Utente'!$Q$2:$Q$492,0)),"")</f>
        <v/>
      </c>
      <c r="M416" s="5" t="str">
        <f>IFERROR(INDEX('Output Utente'!$U$2:$U$492,MATCH(413,'Output Utente'!$Q$2:$Q$492,0)),"")</f>
        <v/>
      </c>
      <c r="N416" s="5" t="str">
        <f>IFERROR(INDEX('Output Utente'!$AE$2:$AE$492,MATCH(413,'Output Utente'!$Q$2:$Q$492,0)),"")</f>
        <v/>
      </c>
    </row>
    <row r="417" spans="1:14" ht="15" customHeight="1" x14ac:dyDescent="0.25">
      <c r="A417" s="41">
        <v>414</v>
      </c>
      <c r="B417" s="5" t="str">
        <f>IFERROR(INDEX('Output Utente'!$A$2:$A$492,MATCH(414,'Output Utente'!$Q$2:$Q$492,0)),"")</f>
        <v/>
      </c>
      <c r="C417" s="5" t="str">
        <f>IFERROR(INDEX('Output Utente'!$B$2:$B$492,MATCH(414,'Output Utente'!$Q$2:$Q$492,0)),"")</f>
        <v/>
      </c>
      <c r="D417" s="5" t="str">
        <f>IFERROR(INDEX('Output Utente'!$C$2:$C$492,MATCH(414,'Output Utente'!$Q$2:$Q$492,0)),"")</f>
        <v/>
      </c>
      <c r="E417" s="5" t="str">
        <f>IFERROR(INDEX('Input Giocatori 2026_27'!$D$3:$D$493,MATCH($B417,'Input Giocatori 2026_27'!$A$3:$A$493,0)),"")</f>
        <v/>
      </c>
      <c r="F417" s="42" t="str">
        <f>IFERROR(INDEX('Output Utente'!$N$2:$N$492,MATCH(414,'Output Utente'!$Q$2:$Q$492,0)),"")</f>
        <v/>
      </c>
      <c r="G417" s="42" t="str">
        <f>IFERROR(INDEX('Output Utente'!$O$2:$O$492,MATCH(414,'Output Utente'!$Q$2:$Q$492,0)),"")</f>
        <v/>
      </c>
      <c r="H417" s="5" t="str">
        <f>IFERROR(INDEX('Output Utente'!$P$2:$P$492,MATCH(414,'Output Utente'!$Q$2:$Q$492,0)),"")</f>
        <v/>
      </c>
      <c r="I417" s="42" t="str">
        <f>IFERROR(INDEX('Output Utente'!$F$2:$F$492,MATCH(414,'Output Utente'!$Q$2:$Q$492,0)),"")</f>
        <v/>
      </c>
      <c r="J417" s="42" t="str">
        <f>IFERROR(INDEX('Output Utente'!$G$2:$G$492,MATCH(414,'Output Utente'!$Q$2:$Q$492,0)),"")</f>
        <v/>
      </c>
      <c r="K417" s="42" t="str">
        <f>IFERROR(INDEX('Output Utente'!$H$2:$H$492,MATCH(414,'Output Utente'!$Q$2:$Q$492,0)),"")</f>
        <v/>
      </c>
      <c r="L417" s="5" t="str">
        <f>IFERROR(INDEX('Output Utente'!$E$2:$E$492,MATCH(414,'Output Utente'!$Q$2:$Q$492,0)),"")</f>
        <v/>
      </c>
      <c r="M417" s="5" t="str">
        <f>IFERROR(INDEX('Output Utente'!$U$2:$U$492,MATCH(414,'Output Utente'!$Q$2:$Q$492,0)),"")</f>
        <v/>
      </c>
      <c r="N417" s="5" t="str">
        <f>IFERROR(INDEX('Output Utente'!$AE$2:$AE$492,MATCH(414,'Output Utente'!$Q$2:$Q$492,0)),"")</f>
        <v/>
      </c>
    </row>
    <row r="418" spans="1:14" ht="15" customHeight="1" x14ac:dyDescent="0.25">
      <c r="A418" s="41">
        <v>415</v>
      </c>
      <c r="B418" s="5" t="str">
        <f>IFERROR(INDEX('Output Utente'!$A$2:$A$492,MATCH(415,'Output Utente'!$Q$2:$Q$492,0)),"")</f>
        <v/>
      </c>
      <c r="C418" s="5" t="str">
        <f>IFERROR(INDEX('Output Utente'!$B$2:$B$492,MATCH(415,'Output Utente'!$Q$2:$Q$492,0)),"")</f>
        <v/>
      </c>
      <c r="D418" s="5" t="str">
        <f>IFERROR(INDEX('Output Utente'!$C$2:$C$492,MATCH(415,'Output Utente'!$Q$2:$Q$492,0)),"")</f>
        <v/>
      </c>
      <c r="E418" s="5" t="str">
        <f>IFERROR(INDEX('Input Giocatori 2026_27'!$D$3:$D$493,MATCH($B418,'Input Giocatori 2026_27'!$A$3:$A$493,0)),"")</f>
        <v/>
      </c>
      <c r="F418" s="42" t="str">
        <f>IFERROR(INDEX('Output Utente'!$N$2:$N$492,MATCH(415,'Output Utente'!$Q$2:$Q$492,0)),"")</f>
        <v/>
      </c>
      <c r="G418" s="42" t="str">
        <f>IFERROR(INDEX('Output Utente'!$O$2:$O$492,MATCH(415,'Output Utente'!$Q$2:$Q$492,0)),"")</f>
        <v/>
      </c>
      <c r="H418" s="5" t="str">
        <f>IFERROR(INDEX('Output Utente'!$P$2:$P$492,MATCH(415,'Output Utente'!$Q$2:$Q$492,0)),"")</f>
        <v/>
      </c>
      <c r="I418" s="42" t="str">
        <f>IFERROR(INDEX('Output Utente'!$F$2:$F$492,MATCH(415,'Output Utente'!$Q$2:$Q$492,0)),"")</f>
        <v/>
      </c>
      <c r="J418" s="42" t="str">
        <f>IFERROR(INDEX('Output Utente'!$G$2:$G$492,MATCH(415,'Output Utente'!$Q$2:$Q$492,0)),"")</f>
        <v/>
      </c>
      <c r="K418" s="42" t="str">
        <f>IFERROR(INDEX('Output Utente'!$H$2:$H$492,MATCH(415,'Output Utente'!$Q$2:$Q$492,0)),"")</f>
        <v/>
      </c>
      <c r="L418" s="5" t="str">
        <f>IFERROR(INDEX('Output Utente'!$E$2:$E$492,MATCH(415,'Output Utente'!$Q$2:$Q$492,0)),"")</f>
        <v/>
      </c>
      <c r="M418" s="5" t="str">
        <f>IFERROR(INDEX('Output Utente'!$U$2:$U$492,MATCH(415,'Output Utente'!$Q$2:$Q$492,0)),"")</f>
        <v/>
      </c>
      <c r="N418" s="5" t="str">
        <f>IFERROR(INDEX('Output Utente'!$AE$2:$AE$492,MATCH(415,'Output Utente'!$Q$2:$Q$492,0)),"")</f>
        <v/>
      </c>
    </row>
    <row r="419" spans="1:14" ht="15" customHeight="1" x14ac:dyDescent="0.25">
      <c r="A419" s="41">
        <v>416</v>
      </c>
      <c r="B419" s="5" t="str">
        <f>IFERROR(INDEX('Output Utente'!$A$2:$A$492,MATCH(416,'Output Utente'!$Q$2:$Q$492,0)),"")</f>
        <v/>
      </c>
      <c r="C419" s="5" t="str">
        <f>IFERROR(INDEX('Output Utente'!$B$2:$B$492,MATCH(416,'Output Utente'!$Q$2:$Q$492,0)),"")</f>
        <v/>
      </c>
      <c r="D419" s="5" t="str">
        <f>IFERROR(INDEX('Output Utente'!$C$2:$C$492,MATCH(416,'Output Utente'!$Q$2:$Q$492,0)),"")</f>
        <v/>
      </c>
      <c r="E419" s="5" t="str">
        <f>IFERROR(INDEX('Input Giocatori 2026_27'!$D$3:$D$493,MATCH($B419,'Input Giocatori 2026_27'!$A$3:$A$493,0)),"")</f>
        <v/>
      </c>
      <c r="F419" s="42" t="str">
        <f>IFERROR(INDEX('Output Utente'!$N$2:$N$492,MATCH(416,'Output Utente'!$Q$2:$Q$492,0)),"")</f>
        <v/>
      </c>
      <c r="G419" s="42" t="str">
        <f>IFERROR(INDEX('Output Utente'!$O$2:$O$492,MATCH(416,'Output Utente'!$Q$2:$Q$492,0)),"")</f>
        <v/>
      </c>
      <c r="H419" s="5" t="str">
        <f>IFERROR(INDEX('Output Utente'!$P$2:$P$492,MATCH(416,'Output Utente'!$Q$2:$Q$492,0)),"")</f>
        <v/>
      </c>
      <c r="I419" s="42" t="str">
        <f>IFERROR(INDEX('Output Utente'!$F$2:$F$492,MATCH(416,'Output Utente'!$Q$2:$Q$492,0)),"")</f>
        <v/>
      </c>
      <c r="J419" s="42" t="str">
        <f>IFERROR(INDEX('Output Utente'!$G$2:$G$492,MATCH(416,'Output Utente'!$Q$2:$Q$492,0)),"")</f>
        <v/>
      </c>
      <c r="K419" s="42" t="str">
        <f>IFERROR(INDEX('Output Utente'!$H$2:$H$492,MATCH(416,'Output Utente'!$Q$2:$Q$492,0)),"")</f>
        <v/>
      </c>
      <c r="L419" s="5" t="str">
        <f>IFERROR(INDEX('Output Utente'!$E$2:$E$492,MATCH(416,'Output Utente'!$Q$2:$Q$492,0)),"")</f>
        <v/>
      </c>
      <c r="M419" s="5" t="str">
        <f>IFERROR(INDEX('Output Utente'!$U$2:$U$492,MATCH(416,'Output Utente'!$Q$2:$Q$492,0)),"")</f>
        <v/>
      </c>
      <c r="N419" s="5" t="str">
        <f>IFERROR(INDEX('Output Utente'!$AE$2:$AE$492,MATCH(416,'Output Utente'!$Q$2:$Q$492,0)),"")</f>
        <v/>
      </c>
    </row>
    <row r="420" spans="1:14" ht="15" customHeight="1" x14ac:dyDescent="0.25">
      <c r="A420" s="41">
        <v>417</v>
      </c>
      <c r="B420" s="5" t="str">
        <f>IFERROR(INDEX('Output Utente'!$A$2:$A$492,MATCH(417,'Output Utente'!$Q$2:$Q$492,0)),"")</f>
        <v/>
      </c>
      <c r="C420" s="5" t="str">
        <f>IFERROR(INDEX('Output Utente'!$B$2:$B$492,MATCH(417,'Output Utente'!$Q$2:$Q$492,0)),"")</f>
        <v/>
      </c>
      <c r="D420" s="5" t="str">
        <f>IFERROR(INDEX('Output Utente'!$C$2:$C$492,MATCH(417,'Output Utente'!$Q$2:$Q$492,0)),"")</f>
        <v/>
      </c>
      <c r="E420" s="5" t="str">
        <f>IFERROR(INDEX('Input Giocatori 2026_27'!$D$3:$D$493,MATCH($B420,'Input Giocatori 2026_27'!$A$3:$A$493,0)),"")</f>
        <v/>
      </c>
      <c r="F420" s="42" t="str">
        <f>IFERROR(INDEX('Output Utente'!$N$2:$N$492,MATCH(417,'Output Utente'!$Q$2:$Q$492,0)),"")</f>
        <v/>
      </c>
      <c r="G420" s="42" t="str">
        <f>IFERROR(INDEX('Output Utente'!$O$2:$O$492,MATCH(417,'Output Utente'!$Q$2:$Q$492,0)),"")</f>
        <v/>
      </c>
      <c r="H420" s="5" t="str">
        <f>IFERROR(INDEX('Output Utente'!$P$2:$P$492,MATCH(417,'Output Utente'!$Q$2:$Q$492,0)),"")</f>
        <v/>
      </c>
      <c r="I420" s="42" t="str">
        <f>IFERROR(INDEX('Output Utente'!$F$2:$F$492,MATCH(417,'Output Utente'!$Q$2:$Q$492,0)),"")</f>
        <v/>
      </c>
      <c r="J420" s="42" t="str">
        <f>IFERROR(INDEX('Output Utente'!$G$2:$G$492,MATCH(417,'Output Utente'!$Q$2:$Q$492,0)),"")</f>
        <v/>
      </c>
      <c r="K420" s="42" t="str">
        <f>IFERROR(INDEX('Output Utente'!$H$2:$H$492,MATCH(417,'Output Utente'!$Q$2:$Q$492,0)),"")</f>
        <v/>
      </c>
      <c r="L420" s="5" t="str">
        <f>IFERROR(INDEX('Output Utente'!$E$2:$E$492,MATCH(417,'Output Utente'!$Q$2:$Q$492,0)),"")</f>
        <v/>
      </c>
      <c r="M420" s="5" t="str">
        <f>IFERROR(INDEX('Output Utente'!$U$2:$U$492,MATCH(417,'Output Utente'!$Q$2:$Q$492,0)),"")</f>
        <v/>
      </c>
      <c r="N420" s="5" t="str">
        <f>IFERROR(INDEX('Output Utente'!$AE$2:$AE$492,MATCH(417,'Output Utente'!$Q$2:$Q$492,0)),"")</f>
        <v/>
      </c>
    </row>
    <row r="421" spans="1:14" ht="15" customHeight="1" x14ac:dyDescent="0.25">
      <c r="A421" s="41">
        <v>418</v>
      </c>
      <c r="B421" s="5" t="str">
        <f>IFERROR(INDEX('Output Utente'!$A$2:$A$492,MATCH(418,'Output Utente'!$Q$2:$Q$492,0)),"")</f>
        <v/>
      </c>
      <c r="C421" s="5" t="str">
        <f>IFERROR(INDEX('Output Utente'!$B$2:$B$492,MATCH(418,'Output Utente'!$Q$2:$Q$492,0)),"")</f>
        <v/>
      </c>
      <c r="D421" s="5" t="str">
        <f>IFERROR(INDEX('Output Utente'!$C$2:$C$492,MATCH(418,'Output Utente'!$Q$2:$Q$492,0)),"")</f>
        <v/>
      </c>
      <c r="E421" s="5" t="str">
        <f>IFERROR(INDEX('Input Giocatori 2026_27'!$D$3:$D$493,MATCH($B421,'Input Giocatori 2026_27'!$A$3:$A$493,0)),"")</f>
        <v/>
      </c>
      <c r="F421" s="42" t="str">
        <f>IFERROR(INDEX('Output Utente'!$N$2:$N$492,MATCH(418,'Output Utente'!$Q$2:$Q$492,0)),"")</f>
        <v/>
      </c>
      <c r="G421" s="42" t="str">
        <f>IFERROR(INDEX('Output Utente'!$O$2:$O$492,MATCH(418,'Output Utente'!$Q$2:$Q$492,0)),"")</f>
        <v/>
      </c>
      <c r="H421" s="5" t="str">
        <f>IFERROR(INDEX('Output Utente'!$P$2:$P$492,MATCH(418,'Output Utente'!$Q$2:$Q$492,0)),"")</f>
        <v/>
      </c>
      <c r="I421" s="42" t="str">
        <f>IFERROR(INDEX('Output Utente'!$F$2:$F$492,MATCH(418,'Output Utente'!$Q$2:$Q$492,0)),"")</f>
        <v/>
      </c>
      <c r="J421" s="42" t="str">
        <f>IFERROR(INDEX('Output Utente'!$G$2:$G$492,MATCH(418,'Output Utente'!$Q$2:$Q$492,0)),"")</f>
        <v/>
      </c>
      <c r="K421" s="42" t="str">
        <f>IFERROR(INDEX('Output Utente'!$H$2:$H$492,MATCH(418,'Output Utente'!$Q$2:$Q$492,0)),"")</f>
        <v/>
      </c>
      <c r="L421" s="5" t="str">
        <f>IFERROR(INDEX('Output Utente'!$E$2:$E$492,MATCH(418,'Output Utente'!$Q$2:$Q$492,0)),"")</f>
        <v/>
      </c>
      <c r="M421" s="5" t="str">
        <f>IFERROR(INDEX('Output Utente'!$U$2:$U$492,MATCH(418,'Output Utente'!$Q$2:$Q$492,0)),"")</f>
        <v/>
      </c>
      <c r="N421" s="5" t="str">
        <f>IFERROR(INDEX('Output Utente'!$AE$2:$AE$492,MATCH(418,'Output Utente'!$Q$2:$Q$492,0)),"")</f>
        <v/>
      </c>
    </row>
    <row r="422" spans="1:14" ht="15" customHeight="1" x14ac:dyDescent="0.25">
      <c r="A422" s="41">
        <v>419</v>
      </c>
      <c r="B422" s="5" t="str">
        <f>IFERROR(INDEX('Output Utente'!$A$2:$A$492,MATCH(419,'Output Utente'!$Q$2:$Q$492,0)),"")</f>
        <v/>
      </c>
      <c r="C422" s="5" t="str">
        <f>IFERROR(INDEX('Output Utente'!$B$2:$B$492,MATCH(419,'Output Utente'!$Q$2:$Q$492,0)),"")</f>
        <v/>
      </c>
      <c r="D422" s="5" t="str">
        <f>IFERROR(INDEX('Output Utente'!$C$2:$C$492,MATCH(419,'Output Utente'!$Q$2:$Q$492,0)),"")</f>
        <v/>
      </c>
      <c r="E422" s="5" t="str">
        <f>IFERROR(INDEX('Input Giocatori 2026_27'!$D$3:$D$493,MATCH($B422,'Input Giocatori 2026_27'!$A$3:$A$493,0)),"")</f>
        <v/>
      </c>
      <c r="F422" s="42" t="str">
        <f>IFERROR(INDEX('Output Utente'!$N$2:$N$492,MATCH(419,'Output Utente'!$Q$2:$Q$492,0)),"")</f>
        <v/>
      </c>
      <c r="G422" s="42" t="str">
        <f>IFERROR(INDEX('Output Utente'!$O$2:$O$492,MATCH(419,'Output Utente'!$Q$2:$Q$492,0)),"")</f>
        <v/>
      </c>
      <c r="H422" s="5" t="str">
        <f>IFERROR(INDEX('Output Utente'!$P$2:$P$492,MATCH(419,'Output Utente'!$Q$2:$Q$492,0)),"")</f>
        <v/>
      </c>
      <c r="I422" s="42" t="str">
        <f>IFERROR(INDEX('Output Utente'!$F$2:$F$492,MATCH(419,'Output Utente'!$Q$2:$Q$492,0)),"")</f>
        <v/>
      </c>
      <c r="J422" s="42" t="str">
        <f>IFERROR(INDEX('Output Utente'!$G$2:$G$492,MATCH(419,'Output Utente'!$Q$2:$Q$492,0)),"")</f>
        <v/>
      </c>
      <c r="K422" s="42" t="str">
        <f>IFERROR(INDEX('Output Utente'!$H$2:$H$492,MATCH(419,'Output Utente'!$Q$2:$Q$492,0)),"")</f>
        <v/>
      </c>
      <c r="L422" s="5" t="str">
        <f>IFERROR(INDEX('Output Utente'!$E$2:$E$492,MATCH(419,'Output Utente'!$Q$2:$Q$492,0)),"")</f>
        <v/>
      </c>
      <c r="M422" s="5" t="str">
        <f>IFERROR(INDEX('Output Utente'!$U$2:$U$492,MATCH(419,'Output Utente'!$Q$2:$Q$492,0)),"")</f>
        <v/>
      </c>
      <c r="N422" s="5" t="str">
        <f>IFERROR(INDEX('Output Utente'!$AE$2:$AE$492,MATCH(419,'Output Utente'!$Q$2:$Q$492,0)),"")</f>
        <v/>
      </c>
    </row>
    <row r="423" spans="1:14" ht="15" customHeight="1" x14ac:dyDescent="0.25">
      <c r="A423" s="41">
        <v>420</v>
      </c>
      <c r="B423" s="5" t="str">
        <f>IFERROR(INDEX('Output Utente'!$A$2:$A$492,MATCH(420,'Output Utente'!$Q$2:$Q$492,0)),"")</f>
        <v/>
      </c>
      <c r="C423" s="5" t="str">
        <f>IFERROR(INDEX('Output Utente'!$B$2:$B$492,MATCH(420,'Output Utente'!$Q$2:$Q$492,0)),"")</f>
        <v/>
      </c>
      <c r="D423" s="5" t="str">
        <f>IFERROR(INDEX('Output Utente'!$C$2:$C$492,MATCH(420,'Output Utente'!$Q$2:$Q$492,0)),"")</f>
        <v/>
      </c>
      <c r="E423" s="5" t="str">
        <f>IFERROR(INDEX('Input Giocatori 2026_27'!$D$3:$D$493,MATCH($B423,'Input Giocatori 2026_27'!$A$3:$A$493,0)),"")</f>
        <v/>
      </c>
      <c r="F423" s="42" t="str">
        <f>IFERROR(INDEX('Output Utente'!$N$2:$N$492,MATCH(420,'Output Utente'!$Q$2:$Q$492,0)),"")</f>
        <v/>
      </c>
      <c r="G423" s="42" t="str">
        <f>IFERROR(INDEX('Output Utente'!$O$2:$O$492,MATCH(420,'Output Utente'!$Q$2:$Q$492,0)),"")</f>
        <v/>
      </c>
      <c r="H423" s="5" t="str">
        <f>IFERROR(INDEX('Output Utente'!$P$2:$P$492,MATCH(420,'Output Utente'!$Q$2:$Q$492,0)),"")</f>
        <v/>
      </c>
      <c r="I423" s="42" t="str">
        <f>IFERROR(INDEX('Output Utente'!$F$2:$F$492,MATCH(420,'Output Utente'!$Q$2:$Q$492,0)),"")</f>
        <v/>
      </c>
      <c r="J423" s="42" t="str">
        <f>IFERROR(INDEX('Output Utente'!$G$2:$G$492,MATCH(420,'Output Utente'!$Q$2:$Q$492,0)),"")</f>
        <v/>
      </c>
      <c r="K423" s="42" t="str">
        <f>IFERROR(INDEX('Output Utente'!$H$2:$H$492,MATCH(420,'Output Utente'!$Q$2:$Q$492,0)),"")</f>
        <v/>
      </c>
      <c r="L423" s="5" t="str">
        <f>IFERROR(INDEX('Output Utente'!$E$2:$E$492,MATCH(420,'Output Utente'!$Q$2:$Q$492,0)),"")</f>
        <v/>
      </c>
      <c r="M423" s="5" t="str">
        <f>IFERROR(INDEX('Output Utente'!$U$2:$U$492,MATCH(420,'Output Utente'!$Q$2:$Q$492,0)),"")</f>
        <v/>
      </c>
      <c r="N423" s="5" t="str">
        <f>IFERROR(INDEX('Output Utente'!$AE$2:$AE$492,MATCH(420,'Output Utente'!$Q$2:$Q$492,0)),"")</f>
        <v/>
      </c>
    </row>
    <row r="424" spans="1:14" ht="15" customHeight="1" x14ac:dyDescent="0.25">
      <c r="A424" s="41">
        <v>421</v>
      </c>
      <c r="B424" s="5" t="str">
        <f>IFERROR(INDEX('Output Utente'!$A$2:$A$492,MATCH(421,'Output Utente'!$Q$2:$Q$492,0)),"")</f>
        <v/>
      </c>
      <c r="C424" s="5" t="str">
        <f>IFERROR(INDEX('Output Utente'!$B$2:$B$492,MATCH(421,'Output Utente'!$Q$2:$Q$492,0)),"")</f>
        <v/>
      </c>
      <c r="D424" s="5" t="str">
        <f>IFERROR(INDEX('Output Utente'!$C$2:$C$492,MATCH(421,'Output Utente'!$Q$2:$Q$492,0)),"")</f>
        <v/>
      </c>
      <c r="E424" s="5" t="str">
        <f>IFERROR(INDEX('Input Giocatori 2026_27'!$D$3:$D$493,MATCH($B424,'Input Giocatori 2026_27'!$A$3:$A$493,0)),"")</f>
        <v/>
      </c>
      <c r="F424" s="42" t="str">
        <f>IFERROR(INDEX('Output Utente'!$N$2:$N$492,MATCH(421,'Output Utente'!$Q$2:$Q$492,0)),"")</f>
        <v/>
      </c>
      <c r="G424" s="42" t="str">
        <f>IFERROR(INDEX('Output Utente'!$O$2:$O$492,MATCH(421,'Output Utente'!$Q$2:$Q$492,0)),"")</f>
        <v/>
      </c>
      <c r="H424" s="5" t="str">
        <f>IFERROR(INDEX('Output Utente'!$P$2:$P$492,MATCH(421,'Output Utente'!$Q$2:$Q$492,0)),"")</f>
        <v/>
      </c>
      <c r="I424" s="42" t="str">
        <f>IFERROR(INDEX('Output Utente'!$F$2:$F$492,MATCH(421,'Output Utente'!$Q$2:$Q$492,0)),"")</f>
        <v/>
      </c>
      <c r="J424" s="42" t="str">
        <f>IFERROR(INDEX('Output Utente'!$G$2:$G$492,MATCH(421,'Output Utente'!$Q$2:$Q$492,0)),"")</f>
        <v/>
      </c>
      <c r="K424" s="42" t="str">
        <f>IFERROR(INDEX('Output Utente'!$H$2:$H$492,MATCH(421,'Output Utente'!$Q$2:$Q$492,0)),"")</f>
        <v/>
      </c>
      <c r="L424" s="5" t="str">
        <f>IFERROR(INDEX('Output Utente'!$E$2:$E$492,MATCH(421,'Output Utente'!$Q$2:$Q$492,0)),"")</f>
        <v/>
      </c>
      <c r="M424" s="5" t="str">
        <f>IFERROR(INDEX('Output Utente'!$U$2:$U$492,MATCH(421,'Output Utente'!$Q$2:$Q$492,0)),"")</f>
        <v/>
      </c>
      <c r="N424" s="5" t="str">
        <f>IFERROR(INDEX('Output Utente'!$AE$2:$AE$492,MATCH(421,'Output Utente'!$Q$2:$Q$492,0)),"")</f>
        <v/>
      </c>
    </row>
    <row r="425" spans="1:14" ht="15" customHeight="1" x14ac:dyDescent="0.25">
      <c r="A425" s="41">
        <v>422</v>
      </c>
      <c r="B425" s="5" t="str">
        <f>IFERROR(INDEX('Output Utente'!$A$2:$A$492,MATCH(422,'Output Utente'!$Q$2:$Q$492,0)),"")</f>
        <v/>
      </c>
      <c r="C425" s="5" t="str">
        <f>IFERROR(INDEX('Output Utente'!$B$2:$B$492,MATCH(422,'Output Utente'!$Q$2:$Q$492,0)),"")</f>
        <v/>
      </c>
      <c r="D425" s="5" t="str">
        <f>IFERROR(INDEX('Output Utente'!$C$2:$C$492,MATCH(422,'Output Utente'!$Q$2:$Q$492,0)),"")</f>
        <v/>
      </c>
      <c r="E425" s="5" t="str">
        <f>IFERROR(INDEX('Input Giocatori 2026_27'!$D$3:$D$493,MATCH($B425,'Input Giocatori 2026_27'!$A$3:$A$493,0)),"")</f>
        <v/>
      </c>
      <c r="F425" s="42" t="str">
        <f>IFERROR(INDEX('Output Utente'!$N$2:$N$492,MATCH(422,'Output Utente'!$Q$2:$Q$492,0)),"")</f>
        <v/>
      </c>
      <c r="G425" s="42" t="str">
        <f>IFERROR(INDEX('Output Utente'!$O$2:$O$492,MATCH(422,'Output Utente'!$Q$2:$Q$492,0)),"")</f>
        <v/>
      </c>
      <c r="H425" s="5" t="str">
        <f>IFERROR(INDEX('Output Utente'!$P$2:$P$492,MATCH(422,'Output Utente'!$Q$2:$Q$492,0)),"")</f>
        <v/>
      </c>
      <c r="I425" s="42" t="str">
        <f>IFERROR(INDEX('Output Utente'!$F$2:$F$492,MATCH(422,'Output Utente'!$Q$2:$Q$492,0)),"")</f>
        <v/>
      </c>
      <c r="J425" s="42" t="str">
        <f>IFERROR(INDEX('Output Utente'!$G$2:$G$492,MATCH(422,'Output Utente'!$Q$2:$Q$492,0)),"")</f>
        <v/>
      </c>
      <c r="K425" s="42" t="str">
        <f>IFERROR(INDEX('Output Utente'!$H$2:$H$492,MATCH(422,'Output Utente'!$Q$2:$Q$492,0)),"")</f>
        <v/>
      </c>
      <c r="L425" s="5" t="str">
        <f>IFERROR(INDEX('Output Utente'!$E$2:$E$492,MATCH(422,'Output Utente'!$Q$2:$Q$492,0)),"")</f>
        <v/>
      </c>
      <c r="M425" s="5" t="str">
        <f>IFERROR(INDEX('Output Utente'!$U$2:$U$492,MATCH(422,'Output Utente'!$Q$2:$Q$492,0)),"")</f>
        <v/>
      </c>
      <c r="N425" s="5" t="str">
        <f>IFERROR(INDEX('Output Utente'!$AE$2:$AE$492,MATCH(422,'Output Utente'!$Q$2:$Q$492,0)),"")</f>
        <v/>
      </c>
    </row>
    <row r="426" spans="1:14" ht="15" customHeight="1" x14ac:dyDescent="0.25">
      <c r="A426" s="41">
        <v>423</v>
      </c>
      <c r="B426" s="5" t="str">
        <f>IFERROR(INDEX('Output Utente'!$A$2:$A$492,MATCH(423,'Output Utente'!$Q$2:$Q$492,0)),"")</f>
        <v/>
      </c>
      <c r="C426" s="5" t="str">
        <f>IFERROR(INDEX('Output Utente'!$B$2:$B$492,MATCH(423,'Output Utente'!$Q$2:$Q$492,0)),"")</f>
        <v/>
      </c>
      <c r="D426" s="5" t="str">
        <f>IFERROR(INDEX('Output Utente'!$C$2:$C$492,MATCH(423,'Output Utente'!$Q$2:$Q$492,0)),"")</f>
        <v/>
      </c>
      <c r="E426" s="5" t="str">
        <f>IFERROR(INDEX('Input Giocatori 2026_27'!$D$3:$D$493,MATCH($B426,'Input Giocatori 2026_27'!$A$3:$A$493,0)),"")</f>
        <v/>
      </c>
      <c r="F426" s="42" t="str">
        <f>IFERROR(INDEX('Output Utente'!$N$2:$N$492,MATCH(423,'Output Utente'!$Q$2:$Q$492,0)),"")</f>
        <v/>
      </c>
      <c r="G426" s="42" t="str">
        <f>IFERROR(INDEX('Output Utente'!$O$2:$O$492,MATCH(423,'Output Utente'!$Q$2:$Q$492,0)),"")</f>
        <v/>
      </c>
      <c r="H426" s="5" t="str">
        <f>IFERROR(INDEX('Output Utente'!$P$2:$P$492,MATCH(423,'Output Utente'!$Q$2:$Q$492,0)),"")</f>
        <v/>
      </c>
      <c r="I426" s="42" t="str">
        <f>IFERROR(INDEX('Output Utente'!$F$2:$F$492,MATCH(423,'Output Utente'!$Q$2:$Q$492,0)),"")</f>
        <v/>
      </c>
      <c r="J426" s="42" t="str">
        <f>IFERROR(INDEX('Output Utente'!$G$2:$G$492,MATCH(423,'Output Utente'!$Q$2:$Q$492,0)),"")</f>
        <v/>
      </c>
      <c r="K426" s="42" t="str">
        <f>IFERROR(INDEX('Output Utente'!$H$2:$H$492,MATCH(423,'Output Utente'!$Q$2:$Q$492,0)),"")</f>
        <v/>
      </c>
      <c r="L426" s="5" t="str">
        <f>IFERROR(INDEX('Output Utente'!$E$2:$E$492,MATCH(423,'Output Utente'!$Q$2:$Q$492,0)),"")</f>
        <v/>
      </c>
      <c r="M426" s="5" t="str">
        <f>IFERROR(INDEX('Output Utente'!$U$2:$U$492,MATCH(423,'Output Utente'!$Q$2:$Q$492,0)),"")</f>
        <v/>
      </c>
      <c r="N426" s="5" t="str">
        <f>IFERROR(INDEX('Output Utente'!$AE$2:$AE$492,MATCH(423,'Output Utente'!$Q$2:$Q$492,0)),"")</f>
        <v/>
      </c>
    </row>
    <row r="427" spans="1:14" ht="15" customHeight="1" x14ac:dyDescent="0.25">
      <c r="A427" s="41">
        <v>424</v>
      </c>
      <c r="B427" s="5" t="str">
        <f>IFERROR(INDEX('Output Utente'!$A$2:$A$492,MATCH(424,'Output Utente'!$Q$2:$Q$492,0)),"")</f>
        <v/>
      </c>
      <c r="C427" s="5" t="str">
        <f>IFERROR(INDEX('Output Utente'!$B$2:$B$492,MATCH(424,'Output Utente'!$Q$2:$Q$492,0)),"")</f>
        <v/>
      </c>
      <c r="D427" s="5" t="str">
        <f>IFERROR(INDEX('Output Utente'!$C$2:$C$492,MATCH(424,'Output Utente'!$Q$2:$Q$492,0)),"")</f>
        <v/>
      </c>
      <c r="E427" s="5" t="str">
        <f>IFERROR(INDEX('Input Giocatori 2026_27'!$D$3:$D$493,MATCH($B427,'Input Giocatori 2026_27'!$A$3:$A$493,0)),"")</f>
        <v/>
      </c>
      <c r="F427" s="42" t="str">
        <f>IFERROR(INDEX('Output Utente'!$N$2:$N$492,MATCH(424,'Output Utente'!$Q$2:$Q$492,0)),"")</f>
        <v/>
      </c>
      <c r="G427" s="42" t="str">
        <f>IFERROR(INDEX('Output Utente'!$O$2:$O$492,MATCH(424,'Output Utente'!$Q$2:$Q$492,0)),"")</f>
        <v/>
      </c>
      <c r="H427" s="5" t="str">
        <f>IFERROR(INDEX('Output Utente'!$P$2:$P$492,MATCH(424,'Output Utente'!$Q$2:$Q$492,0)),"")</f>
        <v/>
      </c>
      <c r="I427" s="42" t="str">
        <f>IFERROR(INDEX('Output Utente'!$F$2:$F$492,MATCH(424,'Output Utente'!$Q$2:$Q$492,0)),"")</f>
        <v/>
      </c>
      <c r="J427" s="42" t="str">
        <f>IFERROR(INDEX('Output Utente'!$G$2:$G$492,MATCH(424,'Output Utente'!$Q$2:$Q$492,0)),"")</f>
        <v/>
      </c>
      <c r="K427" s="42" t="str">
        <f>IFERROR(INDEX('Output Utente'!$H$2:$H$492,MATCH(424,'Output Utente'!$Q$2:$Q$492,0)),"")</f>
        <v/>
      </c>
      <c r="L427" s="5" t="str">
        <f>IFERROR(INDEX('Output Utente'!$E$2:$E$492,MATCH(424,'Output Utente'!$Q$2:$Q$492,0)),"")</f>
        <v/>
      </c>
      <c r="M427" s="5" t="str">
        <f>IFERROR(INDEX('Output Utente'!$U$2:$U$492,MATCH(424,'Output Utente'!$Q$2:$Q$492,0)),"")</f>
        <v/>
      </c>
      <c r="N427" s="5" t="str">
        <f>IFERROR(INDEX('Output Utente'!$AE$2:$AE$492,MATCH(424,'Output Utente'!$Q$2:$Q$492,0)),"")</f>
        <v/>
      </c>
    </row>
    <row r="428" spans="1:14" ht="15" customHeight="1" x14ac:dyDescent="0.25">
      <c r="A428" s="41">
        <v>425</v>
      </c>
      <c r="B428" s="5" t="str">
        <f>IFERROR(INDEX('Output Utente'!$A$2:$A$492,MATCH(425,'Output Utente'!$Q$2:$Q$492,0)),"")</f>
        <v/>
      </c>
      <c r="C428" s="5" t="str">
        <f>IFERROR(INDEX('Output Utente'!$B$2:$B$492,MATCH(425,'Output Utente'!$Q$2:$Q$492,0)),"")</f>
        <v/>
      </c>
      <c r="D428" s="5" t="str">
        <f>IFERROR(INDEX('Output Utente'!$C$2:$C$492,MATCH(425,'Output Utente'!$Q$2:$Q$492,0)),"")</f>
        <v/>
      </c>
      <c r="E428" s="5" t="str">
        <f>IFERROR(INDEX('Input Giocatori 2026_27'!$D$3:$D$493,MATCH($B428,'Input Giocatori 2026_27'!$A$3:$A$493,0)),"")</f>
        <v/>
      </c>
      <c r="F428" s="42" t="str">
        <f>IFERROR(INDEX('Output Utente'!$N$2:$N$492,MATCH(425,'Output Utente'!$Q$2:$Q$492,0)),"")</f>
        <v/>
      </c>
      <c r="G428" s="42" t="str">
        <f>IFERROR(INDEX('Output Utente'!$O$2:$O$492,MATCH(425,'Output Utente'!$Q$2:$Q$492,0)),"")</f>
        <v/>
      </c>
      <c r="H428" s="5" t="str">
        <f>IFERROR(INDEX('Output Utente'!$P$2:$P$492,MATCH(425,'Output Utente'!$Q$2:$Q$492,0)),"")</f>
        <v/>
      </c>
      <c r="I428" s="42" t="str">
        <f>IFERROR(INDEX('Output Utente'!$F$2:$F$492,MATCH(425,'Output Utente'!$Q$2:$Q$492,0)),"")</f>
        <v/>
      </c>
      <c r="J428" s="42" t="str">
        <f>IFERROR(INDEX('Output Utente'!$G$2:$G$492,MATCH(425,'Output Utente'!$Q$2:$Q$492,0)),"")</f>
        <v/>
      </c>
      <c r="K428" s="42" t="str">
        <f>IFERROR(INDEX('Output Utente'!$H$2:$H$492,MATCH(425,'Output Utente'!$Q$2:$Q$492,0)),"")</f>
        <v/>
      </c>
      <c r="L428" s="5" t="str">
        <f>IFERROR(INDEX('Output Utente'!$E$2:$E$492,MATCH(425,'Output Utente'!$Q$2:$Q$492,0)),"")</f>
        <v/>
      </c>
      <c r="M428" s="5" t="str">
        <f>IFERROR(INDEX('Output Utente'!$U$2:$U$492,MATCH(425,'Output Utente'!$Q$2:$Q$492,0)),"")</f>
        <v/>
      </c>
      <c r="N428" s="5" t="str">
        <f>IFERROR(INDEX('Output Utente'!$AE$2:$AE$492,MATCH(425,'Output Utente'!$Q$2:$Q$492,0)),"")</f>
        <v/>
      </c>
    </row>
    <row r="429" spans="1:14" ht="15" customHeight="1" x14ac:dyDescent="0.25">
      <c r="A429" s="41">
        <v>426</v>
      </c>
      <c r="B429" s="5" t="str">
        <f>IFERROR(INDEX('Output Utente'!$A$2:$A$492,MATCH(426,'Output Utente'!$Q$2:$Q$492,0)),"")</f>
        <v/>
      </c>
      <c r="C429" s="5" t="str">
        <f>IFERROR(INDEX('Output Utente'!$B$2:$B$492,MATCH(426,'Output Utente'!$Q$2:$Q$492,0)),"")</f>
        <v/>
      </c>
      <c r="D429" s="5" t="str">
        <f>IFERROR(INDEX('Output Utente'!$C$2:$C$492,MATCH(426,'Output Utente'!$Q$2:$Q$492,0)),"")</f>
        <v/>
      </c>
      <c r="E429" s="5" t="str">
        <f>IFERROR(INDEX('Input Giocatori 2026_27'!$D$3:$D$493,MATCH($B429,'Input Giocatori 2026_27'!$A$3:$A$493,0)),"")</f>
        <v/>
      </c>
      <c r="F429" s="42" t="str">
        <f>IFERROR(INDEX('Output Utente'!$N$2:$N$492,MATCH(426,'Output Utente'!$Q$2:$Q$492,0)),"")</f>
        <v/>
      </c>
      <c r="G429" s="42" t="str">
        <f>IFERROR(INDEX('Output Utente'!$O$2:$O$492,MATCH(426,'Output Utente'!$Q$2:$Q$492,0)),"")</f>
        <v/>
      </c>
      <c r="H429" s="5" t="str">
        <f>IFERROR(INDEX('Output Utente'!$P$2:$P$492,MATCH(426,'Output Utente'!$Q$2:$Q$492,0)),"")</f>
        <v/>
      </c>
      <c r="I429" s="42" t="str">
        <f>IFERROR(INDEX('Output Utente'!$F$2:$F$492,MATCH(426,'Output Utente'!$Q$2:$Q$492,0)),"")</f>
        <v/>
      </c>
      <c r="J429" s="42" t="str">
        <f>IFERROR(INDEX('Output Utente'!$G$2:$G$492,MATCH(426,'Output Utente'!$Q$2:$Q$492,0)),"")</f>
        <v/>
      </c>
      <c r="K429" s="42" t="str">
        <f>IFERROR(INDEX('Output Utente'!$H$2:$H$492,MATCH(426,'Output Utente'!$Q$2:$Q$492,0)),"")</f>
        <v/>
      </c>
      <c r="L429" s="5" t="str">
        <f>IFERROR(INDEX('Output Utente'!$E$2:$E$492,MATCH(426,'Output Utente'!$Q$2:$Q$492,0)),"")</f>
        <v/>
      </c>
      <c r="M429" s="5" t="str">
        <f>IFERROR(INDEX('Output Utente'!$U$2:$U$492,MATCH(426,'Output Utente'!$Q$2:$Q$492,0)),"")</f>
        <v/>
      </c>
      <c r="N429" s="5" t="str">
        <f>IFERROR(INDEX('Output Utente'!$AE$2:$AE$492,MATCH(426,'Output Utente'!$Q$2:$Q$492,0)),"")</f>
        <v/>
      </c>
    </row>
    <row r="430" spans="1:14" ht="15" customHeight="1" x14ac:dyDescent="0.25">
      <c r="A430" s="41">
        <v>427</v>
      </c>
      <c r="B430" s="5" t="str">
        <f>IFERROR(INDEX('Output Utente'!$A$2:$A$492,MATCH(427,'Output Utente'!$Q$2:$Q$492,0)),"")</f>
        <v/>
      </c>
      <c r="C430" s="5" t="str">
        <f>IFERROR(INDEX('Output Utente'!$B$2:$B$492,MATCH(427,'Output Utente'!$Q$2:$Q$492,0)),"")</f>
        <v/>
      </c>
      <c r="D430" s="5" t="str">
        <f>IFERROR(INDEX('Output Utente'!$C$2:$C$492,MATCH(427,'Output Utente'!$Q$2:$Q$492,0)),"")</f>
        <v/>
      </c>
      <c r="E430" s="5" t="str">
        <f>IFERROR(INDEX('Input Giocatori 2026_27'!$D$3:$D$493,MATCH($B430,'Input Giocatori 2026_27'!$A$3:$A$493,0)),"")</f>
        <v/>
      </c>
      <c r="F430" s="42" t="str">
        <f>IFERROR(INDEX('Output Utente'!$N$2:$N$492,MATCH(427,'Output Utente'!$Q$2:$Q$492,0)),"")</f>
        <v/>
      </c>
      <c r="G430" s="42" t="str">
        <f>IFERROR(INDEX('Output Utente'!$O$2:$O$492,MATCH(427,'Output Utente'!$Q$2:$Q$492,0)),"")</f>
        <v/>
      </c>
      <c r="H430" s="5" t="str">
        <f>IFERROR(INDEX('Output Utente'!$P$2:$P$492,MATCH(427,'Output Utente'!$Q$2:$Q$492,0)),"")</f>
        <v/>
      </c>
      <c r="I430" s="42" t="str">
        <f>IFERROR(INDEX('Output Utente'!$F$2:$F$492,MATCH(427,'Output Utente'!$Q$2:$Q$492,0)),"")</f>
        <v/>
      </c>
      <c r="J430" s="42" t="str">
        <f>IFERROR(INDEX('Output Utente'!$G$2:$G$492,MATCH(427,'Output Utente'!$Q$2:$Q$492,0)),"")</f>
        <v/>
      </c>
      <c r="K430" s="42" t="str">
        <f>IFERROR(INDEX('Output Utente'!$H$2:$H$492,MATCH(427,'Output Utente'!$Q$2:$Q$492,0)),"")</f>
        <v/>
      </c>
      <c r="L430" s="5" t="str">
        <f>IFERROR(INDEX('Output Utente'!$E$2:$E$492,MATCH(427,'Output Utente'!$Q$2:$Q$492,0)),"")</f>
        <v/>
      </c>
      <c r="M430" s="5" t="str">
        <f>IFERROR(INDEX('Output Utente'!$U$2:$U$492,MATCH(427,'Output Utente'!$Q$2:$Q$492,0)),"")</f>
        <v/>
      </c>
      <c r="N430" s="5" t="str">
        <f>IFERROR(INDEX('Output Utente'!$AE$2:$AE$492,MATCH(427,'Output Utente'!$Q$2:$Q$492,0)),"")</f>
        <v/>
      </c>
    </row>
    <row r="431" spans="1:14" ht="15" customHeight="1" x14ac:dyDescent="0.25">
      <c r="A431" s="41">
        <v>428</v>
      </c>
      <c r="B431" s="5" t="str">
        <f>IFERROR(INDEX('Output Utente'!$A$2:$A$492,MATCH(428,'Output Utente'!$Q$2:$Q$492,0)),"")</f>
        <v/>
      </c>
      <c r="C431" s="5" t="str">
        <f>IFERROR(INDEX('Output Utente'!$B$2:$B$492,MATCH(428,'Output Utente'!$Q$2:$Q$492,0)),"")</f>
        <v/>
      </c>
      <c r="D431" s="5" t="str">
        <f>IFERROR(INDEX('Output Utente'!$C$2:$C$492,MATCH(428,'Output Utente'!$Q$2:$Q$492,0)),"")</f>
        <v/>
      </c>
      <c r="E431" s="5" t="str">
        <f>IFERROR(INDEX('Input Giocatori 2026_27'!$D$3:$D$493,MATCH($B431,'Input Giocatori 2026_27'!$A$3:$A$493,0)),"")</f>
        <v/>
      </c>
      <c r="F431" s="42" t="str">
        <f>IFERROR(INDEX('Output Utente'!$N$2:$N$492,MATCH(428,'Output Utente'!$Q$2:$Q$492,0)),"")</f>
        <v/>
      </c>
      <c r="G431" s="42" t="str">
        <f>IFERROR(INDEX('Output Utente'!$O$2:$O$492,MATCH(428,'Output Utente'!$Q$2:$Q$492,0)),"")</f>
        <v/>
      </c>
      <c r="H431" s="5" t="str">
        <f>IFERROR(INDEX('Output Utente'!$P$2:$P$492,MATCH(428,'Output Utente'!$Q$2:$Q$492,0)),"")</f>
        <v/>
      </c>
      <c r="I431" s="42" t="str">
        <f>IFERROR(INDEX('Output Utente'!$F$2:$F$492,MATCH(428,'Output Utente'!$Q$2:$Q$492,0)),"")</f>
        <v/>
      </c>
      <c r="J431" s="42" t="str">
        <f>IFERROR(INDEX('Output Utente'!$G$2:$G$492,MATCH(428,'Output Utente'!$Q$2:$Q$492,0)),"")</f>
        <v/>
      </c>
      <c r="K431" s="42" t="str">
        <f>IFERROR(INDEX('Output Utente'!$H$2:$H$492,MATCH(428,'Output Utente'!$Q$2:$Q$492,0)),"")</f>
        <v/>
      </c>
      <c r="L431" s="5" t="str">
        <f>IFERROR(INDEX('Output Utente'!$E$2:$E$492,MATCH(428,'Output Utente'!$Q$2:$Q$492,0)),"")</f>
        <v/>
      </c>
      <c r="M431" s="5" t="str">
        <f>IFERROR(INDEX('Output Utente'!$U$2:$U$492,MATCH(428,'Output Utente'!$Q$2:$Q$492,0)),"")</f>
        <v/>
      </c>
      <c r="N431" s="5" t="str">
        <f>IFERROR(INDEX('Output Utente'!$AE$2:$AE$492,MATCH(428,'Output Utente'!$Q$2:$Q$492,0)),"")</f>
        <v/>
      </c>
    </row>
    <row r="432" spans="1:14" ht="15" customHeight="1" x14ac:dyDescent="0.25">
      <c r="A432" s="41">
        <v>429</v>
      </c>
      <c r="B432" s="5" t="str">
        <f>IFERROR(INDEX('Output Utente'!$A$2:$A$492,MATCH(429,'Output Utente'!$Q$2:$Q$492,0)),"")</f>
        <v/>
      </c>
      <c r="C432" s="5" t="str">
        <f>IFERROR(INDEX('Output Utente'!$B$2:$B$492,MATCH(429,'Output Utente'!$Q$2:$Q$492,0)),"")</f>
        <v/>
      </c>
      <c r="D432" s="5" t="str">
        <f>IFERROR(INDEX('Output Utente'!$C$2:$C$492,MATCH(429,'Output Utente'!$Q$2:$Q$492,0)),"")</f>
        <v/>
      </c>
      <c r="E432" s="5" t="str">
        <f>IFERROR(INDEX('Input Giocatori 2026_27'!$D$3:$D$493,MATCH($B432,'Input Giocatori 2026_27'!$A$3:$A$493,0)),"")</f>
        <v/>
      </c>
      <c r="F432" s="42" t="str">
        <f>IFERROR(INDEX('Output Utente'!$N$2:$N$492,MATCH(429,'Output Utente'!$Q$2:$Q$492,0)),"")</f>
        <v/>
      </c>
      <c r="G432" s="42" t="str">
        <f>IFERROR(INDEX('Output Utente'!$O$2:$O$492,MATCH(429,'Output Utente'!$Q$2:$Q$492,0)),"")</f>
        <v/>
      </c>
      <c r="H432" s="5" t="str">
        <f>IFERROR(INDEX('Output Utente'!$P$2:$P$492,MATCH(429,'Output Utente'!$Q$2:$Q$492,0)),"")</f>
        <v/>
      </c>
      <c r="I432" s="42" t="str">
        <f>IFERROR(INDEX('Output Utente'!$F$2:$F$492,MATCH(429,'Output Utente'!$Q$2:$Q$492,0)),"")</f>
        <v/>
      </c>
      <c r="J432" s="42" t="str">
        <f>IFERROR(INDEX('Output Utente'!$G$2:$G$492,MATCH(429,'Output Utente'!$Q$2:$Q$492,0)),"")</f>
        <v/>
      </c>
      <c r="K432" s="42" t="str">
        <f>IFERROR(INDEX('Output Utente'!$H$2:$H$492,MATCH(429,'Output Utente'!$Q$2:$Q$492,0)),"")</f>
        <v/>
      </c>
      <c r="L432" s="5" t="str">
        <f>IFERROR(INDEX('Output Utente'!$E$2:$E$492,MATCH(429,'Output Utente'!$Q$2:$Q$492,0)),"")</f>
        <v/>
      </c>
      <c r="M432" s="5" t="str">
        <f>IFERROR(INDEX('Output Utente'!$U$2:$U$492,MATCH(429,'Output Utente'!$Q$2:$Q$492,0)),"")</f>
        <v/>
      </c>
      <c r="N432" s="5" t="str">
        <f>IFERROR(INDEX('Output Utente'!$AE$2:$AE$492,MATCH(429,'Output Utente'!$Q$2:$Q$492,0)),"")</f>
        <v/>
      </c>
    </row>
    <row r="433" spans="1:14" ht="15" customHeight="1" x14ac:dyDescent="0.25">
      <c r="A433" s="41">
        <v>430</v>
      </c>
      <c r="B433" s="5" t="str">
        <f>IFERROR(INDEX('Output Utente'!$A$2:$A$492,MATCH(430,'Output Utente'!$Q$2:$Q$492,0)),"")</f>
        <v/>
      </c>
      <c r="C433" s="5" t="str">
        <f>IFERROR(INDEX('Output Utente'!$B$2:$B$492,MATCH(430,'Output Utente'!$Q$2:$Q$492,0)),"")</f>
        <v/>
      </c>
      <c r="D433" s="5" t="str">
        <f>IFERROR(INDEX('Output Utente'!$C$2:$C$492,MATCH(430,'Output Utente'!$Q$2:$Q$492,0)),"")</f>
        <v/>
      </c>
      <c r="E433" s="5" t="str">
        <f>IFERROR(INDEX('Input Giocatori 2026_27'!$D$3:$D$493,MATCH($B433,'Input Giocatori 2026_27'!$A$3:$A$493,0)),"")</f>
        <v/>
      </c>
      <c r="F433" s="42" t="str">
        <f>IFERROR(INDEX('Output Utente'!$N$2:$N$492,MATCH(430,'Output Utente'!$Q$2:$Q$492,0)),"")</f>
        <v/>
      </c>
      <c r="G433" s="42" t="str">
        <f>IFERROR(INDEX('Output Utente'!$O$2:$O$492,MATCH(430,'Output Utente'!$Q$2:$Q$492,0)),"")</f>
        <v/>
      </c>
      <c r="H433" s="5" t="str">
        <f>IFERROR(INDEX('Output Utente'!$P$2:$P$492,MATCH(430,'Output Utente'!$Q$2:$Q$492,0)),"")</f>
        <v/>
      </c>
      <c r="I433" s="42" t="str">
        <f>IFERROR(INDEX('Output Utente'!$F$2:$F$492,MATCH(430,'Output Utente'!$Q$2:$Q$492,0)),"")</f>
        <v/>
      </c>
      <c r="J433" s="42" t="str">
        <f>IFERROR(INDEX('Output Utente'!$G$2:$G$492,MATCH(430,'Output Utente'!$Q$2:$Q$492,0)),"")</f>
        <v/>
      </c>
      <c r="K433" s="42" t="str">
        <f>IFERROR(INDEX('Output Utente'!$H$2:$H$492,MATCH(430,'Output Utente'!$Q$2:$Q$492,0)),"")</f>
        <v/>
      </c>
      <c r="L433" s="5" t="str">
        <f>IFERROR(INDEX('Output Utente'!$E$2:$E$492,MATCH(430,'Output Utente'!$Q$2:$Q$492,0)),"")</f>
        <v/>
      </c>
      <c r="M433" s="5" t="str">
        <f>IFERROR(INDEX('Output Utente'!$U$2:$U$492,MATCH(430,'Output Utente'!$Q$2:$Q$492,0)),"")</f>
        <v/>
      </c>
      <c r="N433" s="5" t="str">
        <f>IFERROR(INDEX('Output Utente'!$AE$2:$AE$492,MATCH(430,'Output Utente'!$Q$2:$Q$492,0)),"")</f>
        <v/>
      </c>
    </row>
    <row r="434" spans="1:14" ht="15" customHeight="1" x14ac:dyDescent="0.25">
      <c r="A434" s="41">
        <v>431</v>
      </c>
      <c r="B434" s="5" t="str">
        <f>IFERROR(INDEX('Output Utente'!$A$2:$A$492,MATCH(431,'Output Utente'!$Q$2:$Q$492,0)),"")</f>
        <v/>
      </c>
      <c r="C434" s="5" t="str">
        <f>IFERROR(INDEX('Output Utente'!$B$2:$B$492,MATCH(431,'Output Utente'!$Q$2:$Q$492,0)),"")</f>
        <v/>
      </c>
      <c r="D434" s="5" t="str">
        <f>IFERROR(INDEX('Output Utente'!$C$2:$C$492,MATCH(431,'Output Utente'!$Q$2:$Q$492,0)),"")</f>
        <v/>
      </c>
      <c r="E434" s="5" t="str">
        <f>IFERROR(INDEX('Input Giocatori 2026_27'!$D$3:$D$493,MATCH($B434,'Input Giocatori 2026_27'!$A$3:$A$493,0)),"")</f>
        <v/>
      </c>
      <c r="F434" s="42" t="str">
        <f>IFERROR(INDEX('Output Utente'!$N$2:$N$492,MATCH(431,'Output Utente'!$Q$2:$Q$492,0)),"")</f>
        <v/>
      </c>
      <c r="G434" s="42" t="str">
        <f>IFERROR(INDEX('Output Utente'!$O$2:$O$492,MATCH(431,'Output Utente'!$Q$2:$Q$492,0)),"")</f>
        <v/>
      </c>
      <c r="H434" s="5" t="str">
        <f>IFERROR(INDEX('Output Utente'!$P$2:$P$492,MATCH(431,'Output Utente'!$Q$2:$Q$492,0)),"")</f>
        <v/>
      </c>
      <c r="I434" s="42" t="str">
        <f>IFERROR(INDEX('Output Utente'!$F$2:$F$492,MATCH(431,'Output Utente'!$Q$2:$Q$492,0)),"")</f>
        <v/>
      </c>
      <c r="J434" s="42" t="str">
        <f>IFERROR(INDEX('Output Utente'!$G$2:$G$492,MATCH(431,'Output Utente'!$Q$2:$Q$492,0)),"")</f>
        <v/>
      </c>
      <c r="K434" s="42" t="str">
        <f>IFERROR(INDEX('Output Utente'!$H$2:$H$492,MATCH(431,'Output Utente'!$Q$2:$Q$492,0)),"")</f>
        <v/>
      </c>
      <c r="L434" s="5" t="str">
        <f>IFERROR(INDEX('Output Utente'!$E$2:$E$492,MATCH(431,'Output Utente'!$Q$2:$Q$492,0)),"")</f>
        <v/>
      </c>
      <c r="M434" s="5" t="str">
        <f>IFERROR(INDEX('Output Utente'!$U$2:$U$492,MATCH(431,'Output Utente'!$Q$2:$Q$492,0)),"")</f>
        <v/>
      </c>
      <c r="N434" s="5" t="str">
        <f>IFERROR(INDEX('Output Utente'!$AE$2:$AE$492,MATCH(431,'Output Utente'!$Q$2:$Q$492,0)),"")</f>
        <v/>
      </c>
    </row>
    <row r="435" spans="1:14" ht="15" customHeight="1" x14ac:dyDescent="0.25">
      <c r="A435" s="41">
        <v>432</v>
      </c>
      <c r="B435" s="5" t="str">
        <f>IFERROR(INDEX('Output Utente'!$A$2:$A$492,MATCH(432,'Output Utente'!$Q$2:$Q$492,0)),"")</f>
        <v/>
      </c>
      <c r="C435" s="5" t="str">
        <f>IFERROR(INDEX('Output Utente'!$B$2:$B$492,MATCH(432,'Output Utente'!$Q$2:$Q$492,0)),"")</f>
        <v/>
      </c>
      <c r="D435" s="5" t="str">
        <f>IFERROR(INDEX('Output Utente'!$C$2:$C$492,MATCH(432,'Output Utente'!$Q$2:$Q$492,0)),"")</f>
        <v/>
      </c>
      <c r="E435" s="5" t="str">
        <f>IFERROR(INDEX('Input Giocatori 2026_27'!$D$3:$D$493,MATCH($B435,'Input Giocatori 2026_27'!$A$3:$A$493,0)),"")</f>
        <v/>
      </c>
      <c r="F435" s="42" t="str">
        <f>IFERROR(INDEX('Output Utente'!$N$2:$N$492,MATCH(432,'Output Utente'!$Q$2:$Q$492,0)),"")</f>
        <v/>
      </c>
      <c r="G435" s="42" t="str">
        <f>IFERROR(INDEX('Output Utente'!$O$2:$O$492,MATCH(432,'Output Utente'!$Q$2:$Q$492,0)),"")</f>
        <v/>
      </c>
      <c r="H435" s="5" t="str">
        <f>IFERROR(INDEX('Output Utente'!$P$2:$P$492,MATCH(432,'Output Utente'!$Q$2:$Q$492,0)),"")</f>
        <v/>
      </c>
      <c r="I435" s="42" t="str">
        <f>IFERROR(INDEX('Output Utente'!$F$2:$F$492,MATCH(432,'Output Utente'!$Q$2:$Q$492,0)),"")</f>
        <v/>
      </c>
      <c r="J435" s="42" t="str">
        <f>IFERROR(INDEX('Output Utente'!$G$2:$G$492,MATCH(432,'Output Utente'!$Q$2:$Q$492,0)),"")</f>
        <v/>
      </c>
      <c r="K435" s="42" t="str">
        <f>IFERROR(INDEX('Output Utente'!$H$2:$H$492,MATCH(432,'Output Utente'!$Q$2:$Q$492,0)),"")</f>
        <v/>
      </c>
      <c r="L435" s="5" t="str">
        <f>IFERROR(INDEX('Output Utente'!$E$2:$E$492,MATCH(432,'Output Utente'!$Q$2:$Q$492,0)),"")</f>
        <v/>
      </c>
      <c r="M435" s="5" t="str">
        <f>IFERROR(INDEX('Output Utente'!$U$2:$U$492,MATCH(432,'Output Utente'!$Q$2:$Q$492,0)),"")</f>
        <v/>
      </c>
      <c r="N435" s="5" t="str">
        <f>IFERROR(INDEX('Output Utente'!$AE$2:$AE$492,MATCH(432,'Output Utente'!$Q$2:$Q$492,0)),"")</f>
        <v/>
      </c>
    </row>
    <row r="436" spans="1:14" ht="15" customHeight="1" x14ac:dyDescent="0.25">
      <c r="A436" s="41">
        <v>433</v>
      </c>
      <c r="B436" s="5" t="str">
        <f>IFERROR(INDEX('Output Utente'!$A$2:$A$492,MATCH(433,'Output Utente'!$Q$2:$Q$492,0)),"")</f>
        <v/>
      </c>
      <c r="C436" s="5" t="str">
        <f>IFERROR(INDEX('Output Utente'!$B$2:$B$492,MATCH(433,'Output Utente'!$Q$2:$Q$492,0)),"")</f>
        <v/>
      </c>
      <c r="D436" s="5" t="str">
        <f>IFERROR(INDEX('Output Utente'!$C$2:$C$492,MATCH(433,'Output Utente'!$Q$2:$Q$492,0)),"")</f>
        <v/>
      </c>
      <c r="E436" s="5" t="str">
        <f>IFERROR(INDEX('Input Giocatori 2026_27'!$D$3:$D$493,MATCH($B436,'Input Giocatori 2026_27'!$A$3:$A$493,0)),"")</f>
        <v/>
      </c>
      <c r="F436" s="42" t="str">
        <f>IFERROR(INDEX('Output Utente'!$N$2:$N$492,MATCH(433,'Output Utente'!$Q$2:$Q$492,0)),"")</f>
        <v/>
      </c>
      <c r="G436" s="42" t="str">
        <f>IFERROR(INDEX('Output Utente'!$O$2:$O$492,MATCH(433,'Output Utente'!$Q$2:$Q$492,0)),"")</f>
        <v/>
      </c>
      <c r="H436" s="5" t="str">
        <f>IFERROR(INDEX('Output Utente'!$P$2:$P$492,MATCH(433,'Output Utente'!$Q$2:$Q$492,0)),"")</f>
        <v/>
      </c>
      <c r="I436" s="42" t="str">
        <f>IFERROR(INDEX('Output Utente'!$F$2:$F$492,MATCH(433,'Output Utente'!$Q$2:$Q$492,0)),"")</f>
        <v/>
      </c>
      <c r="J436" s="42" t="str">
        <f>IFERROR(INDEX('Output Utente'!$G$2:$G$492,MATCH(433,'Output Utente'!$Q$2:$Q$492,0)),"")</f>
        <v/>
      </c>
      <c r="K436" s="42" t="str">
        <f>IFERROR(INDEX('Output Utente'!$H$2:$H$492,MATCH(433,'Output Utente'!$Q$2:$Q$492,0)),"")</f>
        <v/>
      </c>
      <c r="L436" s="5" t="str">
        <f>IFERROR(INDEX('Output Utente'!$E$2:$E$492,MATCH(433,'Output Utente'!$Q$2:$Q$492,0)),"")</f>
        <v/>
      </c>
      <c r="M436" s="5" t="str">
        <f>IFERROR(INDEX('Output Utente'!$U$2:$U$492,MATCH(433,'Output Utente'!$Q$2:$Q$492,0)),"")</f>
        <v/>
      </c>
      <c r="N436" s="5" t="str">
        <f>IFERROR(INDEX('Output Utente'!$AE$2:$AE$492,MATCH(433,'Output Utente'!$Q$2:$Q$492,0)),"")</f>
        <v/>
      </c>
    </row>
    <row r="437" spans="1:14" ht="15" customHeight="1" x14ac:dyDescent="0.25">
      <c r="A437" s="41">
        <v>434</v>
      </c>
      <c r="B437" s="5" t="str">
        <f>IFERROR(INDEX('Output Utente'!$A$2:$A$492,MATCH(434,'Output Utente'!$Q$2:$Q$492,0)),"")</f>
        <v/>
      </c>
      <c r="C437" s="5" t="str">
        <f>IFERROR(INDEX('Output Utente'!$B$2:$B$492,MATCH(434,'Output Utente'!$Q$2:$Q$492,0)),"")</f>
        <v/>
      </c>
      <c r="D437" s="5" t="str">
        <f>IFERROR(INDEX('Output Utente'!$C$2:$C$492,MATCH(434,'Output Utente'!$Q$2:$Q$492,0)),"")</f>
        <v/>
      </c>
      <c r="E437" s="5" t="str">
        <f>IFERROR(INDEX('Input Giocatori 2026_27'!$D$3:$D$493,MATCH($B437,'Input Giocatori 2026_27'!$A$3:$A$493,0)),"")</f>
        <v/>
      </c>
      <c r="F437" s="42" t="str">
        <f>IFERROR(INDEX('Output Utente'!$N$2:$N$492,MATCH(434,'Output Utente'!$Q$2:$Q$492,0)),"")</f>
        <v/>
      </c>
      <c r="G437" s="42" t="str">
        <f>IFERROR(INDEX('Output Utente'!$O$2:$O$492,MATCH(434,'Output Utente'!$Q$2:$Q$492,0)),"")</f>
        <v/>
      </c>
      <c r="H437" s="5" t="str">
        <f>IFERROR(INDEX('Output Utente'!$P$2:$P$492,MATCH(434,'Output Utente'!$Q$2:$Q$492,0)),"")</f>
        <v/>
      </c>
      <c r="I437" s="42" t="str">
        <f>IFERROR(INDEX('Output Utente'!$F$2:$F$492,MATCH(434,'Output Utente'!$Q$2:$Q$492,0)),"")</f>
        <v/>
      </c>
      <c r="J437" s="42" t="str">
        <f>IFERROR(INDEX('Output Utente'!$G$2:$G$492,MATCH(434,'Output Utente'!$Q$2:$Q$492,0)),"")</f>
        <v/>
      </c>
      <c r="K437" s="42" t="str">
        <f>IFERROR(INDEX('Output Utente'!$H$2:$H$492,MATCH(434,'Output Utente'!$Q$2:$Q$492,0)),"")</f>
        <v/>
      </c>
      <c r="L437" s="5" t="str">
        <f>IFERROR(INDEX('Output Utente'!$E$2:$E$492,MATCH(434,'Output Utente'!$Q$2:$Q$492,0)),"")</f>
        <v/>
      </c>
      <c r="M437" s="5" t="str">
        <f>IFERROR(INDEX('Output Utente'!$U$2:$U$492,MATCH(434,'Output Utente'!$Q$2:$Q$492,0)),"")</f>
        <v/>
      </c>
      <c r="N437" s="5" t="str">
        <f>IFERROR(INDEX('Output Utente'!$AE$2:$AE$492,MATCH(434,'Output Utente'!$Q$2:$Q$492,0)),"")</f>
        <v/>
      </c>
    </row>
    <row r="438" spans="1:14" ht="15" customHeight="1" x14ac:dyDescent="0.25">
      <c r="A438" s="41">
        <v>435</v>
      </c>
      <c r="B438" s="5" t="str">
        <f>IFERROR(INDEX('Output Utente'!$A$2:$A$492,MATCH(435,'Output Utente'!$Q$2:$Q$492,0)),"")</f>
        <v/>
      </c>
      <c r="C438" s="5" t="str">
        <f>IFERROR(INDEX('Output Utente'!$B$2:$B$492,MATCH(435,'Output Utente'!$Q$2:$Q$492,0)),"")</f>
        <v/>
      </c>
      <c r="D438" s="5" t="str">
        <f>IFERROR(INDEX('Output Utente'!$C$2:$C$492,MATCH(435,'Output Utente'!$Q$2:$Q$492,0)),"")</f>
        <v/>
      </c>
      <c r="E438" s="5" t="str">
        <f>IFERROR(INDEX('Input Giocatori 2026_27'!$D$3:$D$493,MATCH($B438,'Input Giocatori 2026_27'!$A$3:$A$493,0)),"")</f>
        <v/>
      </c>
      <c r="F438" s="42" t="str">
        <f>IFERROR(INDEX('Output Utente'!$N$2:$N$492,MATCH(435,'Output Utente'!$Q$2:$Q$492,0)),"")</f>
        <v/>
      </c>
      <c r="G438" s="42" t="str">
        <f>IFERROR(INDEX('Output Utente'!$O$2:$O$492,MATCH(435,'Output Utente'!$Q$2:$Q$492,0)),"")</f>
        <v/>
      </c>
      <c r="H438" s="5" t="str">
        <f>IFERROR(INDEX('Output Utente'!$P$2:$P$492,MATCH(435,'Output Utente'!$Q$2:$Q$492,0)),"")</f>
        <v/>
      </c>
      <c r="I438" s="42" t="str">
        <f>IFERROR(INDEX('Output Utente'!$F$2:$F$492,MATCH(435,'Output Utente'!$Q$2:$Q$492,0)),"")</f>
        <v/>
      </c>
      <c r="J438" s="42" t="str">
        <f>IFERROR(INDEX('Output Utente'!$G$2:$G$492,MATCH(435,'Output Utente'!$Q$2:$Q$492,0)),"")</f>
        <v/>
      </c>
      <c r="K438" s="42" t="str">
        <f>IFERROR(INDEX('Output Utente'!$H$2:$H$492,MATCH(435,'Output Utente'!$Q$2:$Q$492,0)),"")</f>
        <v/>
      </c>
      <c r="L438" s="5" t="str">
        <f>IFERROR(INDEX('Output Utente'!$E$2:$E$492,MATCH(435,'Output Utente'!$Q$2:$Q$492,0)),"")</f>
        <v/>
      </c>
      <c r="M438" s="5" t="str">
        <f>IFERROR(INDEX('Output Utente'!$U$2:$U$492,MATCH(435,'Output Utente'!$Q$2:$Q$492,0)),"")</f>
        <v/>
      </c>
      <c r="N438" s="5" t="str">
        <f>IFERROR(INDEX('Output Utente'!$AE$2:$AE$492,MATCH(435,'Output Utente'!$Q$2:$Q$492,0)),"")</f>
        <v/>
      </c>
    </row>
    <row r="439" spans="1:14" ht="15" customHeight="1" x14ac:dyDescent="0.25">
      <c r="A439" s="41">
        <v>436</v>
      </c>
      <c r="B439" s="5" t="str">
        <f>IFERROR(INDEX('Output Utente'!$A$2:$A$492,MATCH(436,'Output Utente'!$Q$2:$Q$492,0)),"")</f>
        <v/>
      </c>
      <c r="C439" s="5" t="str">
        <f>IFERROR(INDEX('Output Utente'!$B$2:$B$492,MATCH(436,'Output Utente'!$Q$2:$Q$492,0)),"")</f>
        <v/>
      </c>
      <c r="D439" s="5" t="str">
        <f>IFERROR(INDEX('Output Utente'!$C$2:$C$492,MATCH(436,'Output Utente'!$Q$2:$Q$492,0)),"")</f>
        <v/>
      </c>
      <c r="E439" s="5" t="str">
        <f>IFERROR(INDEX('Input Giocatori 2026_27'!$D$3:$D$493,MATCH($B439,'Input Giocatori 2026_27'!$A$3:$A$493,0)),"")</f>
        <v/>
      </c>
      <c r="F439" s="42" t="str">
        <f>IFERROR(INDEX('Output Utente'!$N$2:$N$492,MATCH(436,'Output Utente'!$Q$2:$Q$492,0)),"")</f>
        <v/>
      </c>
      <c r="G439" s="42" t="str">
        <f>IFERROR(INDEX('Output Utente'!$O$2:$O$492,MATCH(436,'Output Utente'!$Q$2:$Q$492,0)),"")</f>
        <v/>
      </c>
      <c r="H439" s="5" t="str">
        <f>IFERROR(INDEX('Output Utente'!$P$2:$P$492,MATCH(436,'Output Utente'!$Q$2:$Q$492,0)),"")</f>
        <v/>
      </c>
      <c r="I439" s="42" t="str">
        <f>IFERROR(INDEX('Output Utente'!$F$2:$F$492,MATCH(436,'Output Utente'!$Q$2:$Q$492,0)),"")</f>
        <v/>
      </c>
      <c r="J439" s="42" t="str">
        <f>IFERROR(INDEX('Output Utente'!$G$2:$G$492,MATCH(436,'Output Utente'!$Q$2:$Q$492,0)),"")</f>
        <v/>
      </c>
      <c r="K439" s="42" t="str">
        <f>IFERROR(INDEX('Output Utente'!$H$2:$H$492,MATCH(436,'Output Utente'!$Q$2:$Q$492,0)),"")</f>
        <v/>
      </c>
      <c r="L439" s="5" t="str">
        <f>IFERROR(INDEX('Output Utente'!$E$2:$E$492,MATCH(436,'Output Utente'!$Q$2:$Q$492,0)),"")</f>
        <v/>
      </c>
      <c r="M439" s="5" t="str">
        <f>IFERROR(INDEX('Output Utente'!$U$2:$U$492,MATCH(436,'Output Utente'!$Q$2:$Q$492,0)),"")</f>
        <v/>
      </c>
      <c r="N439" s="5" t="str">
        <f>IFERROR(INDEX('Output Utente'!$AE$2:$AE$492,MATCH(436,'Output Utente'!$Q$2:$Q$492,0)),"")</f>
        <v/>
      </c>
    </row>
    <row r="440" spans="1:14" ht="15" customHeight="1" x14ac:dyDescent="0.25">
      <c r="A440" s="41">
        <v>437</v>
      </c>
      <c r="B440" s="5" t="str">
        <f>IFERROR(INDEX('Output Utente'!$A$2:$A$492,MATCH(437,'Output Utente'!$Q$2:$Q$492,0)),"")</f>
        <v/>
      </c>
      <c r="C440" s="5" t="str">
        <f>IFERROR(INDEX('Output Utente'!$B$2:$B$492,MATCH(437,'Output Utente'!$Q$2:$Q$492,0)),"")</f>
        <v/>
      </c>
      <c r="D440" s="5" t="str">
        <f>IFERROR(INDEX('Output Utente'!$C$2:$C$492,MATCH(437,'Output Utente'!$Q$2:$Q$492,0)),"")</f>
        <v/>
      </c>
      <c r="E440" s="5" t="str">
        <f>IFERROR(INDEX('Input Giocatori 2026_27'!$D$3:$D$493,MATCH($B440,'Input Giocatori 2026_27'!$A$3:$A$493,0)),"")</f>
        <v/>
      </c>
      <c r="F440" s="42" t="str">
        <f>IFERROR(INDEX('Output Utente'!$N$2:$N$492,MATCH(437,'Output Utente'!$Q$2:$Q$492,0)),"")</f>
        <v/>
      </c>
      <c r="G440" s="42" t="str">
        <f>IFERROR(INDEX('Output Utente'!$O$2:$O$492,MATCH(437,'Output Utente'!$Q$2:$Q$492,0)),"")</f>
        <v/>
      </c>
      <c r="H440" s="5" t="str">
        <f>IFERROR(INDEX('Output Utente'!$P$2:$P$492,MATCH(437,'Output Utente'!$Q$2:$Q$492,0)),"")</f>
        <v/>
      </c>
      <c r="I440" s="42" t="str">
        <f>IFERROR(INDEX('Output Utente'!$F$2:$F$492,MATCH(437,'Output Utente'!$Q$2:$Q$492,0)),"")</f>
        <v/>
      </c>
      <c r="J440" s="42" t="str">
        <f>IFERROR(INDEX('Output Utente'!$G$2:$G$492,MATCH(437,'Output Utente'!$Q$2:$Q$492,0)),"")</f>
        <v/>
      </c>
      <c r="K440" s="42" t="str">
        <f>IFERROR(INDEX('Output Utente'!$H$2:$H$492,MATCH(437,'Output Utente'!$Q$2:$Q$492,0)),"")</f>
        <v/>
      </c>
      <c r="L440" s="5" t="str">
        <f>IFERROR(INDEX('Output Utente'!$E$2:$E$492,MATCH(437,'Output Utente'!$Q$2:$Q$492,0)),"")</f>
        <v/>
      </c>
      <c r="M440" s="5" t="str">
        <f>IFERROR(INDEX('Output Utente'!$U$2:$U$492,MATCH(437,'Output Utente'!$Q$2:$Q$492,0)),"")</f>
        <v/>
      </c>
      <c r="N440" s="5" t="str">
        <f>IFERROR(INDEX('Output Utente'!$AE$2:$AE$492,MATCH(437,'Output Utente'!$Q$2:$Q$492,0)),"")</f>
        <v/>
      </c>
    </row>
    <row r="441" spans="1:14" ht="15" customHeight="1" x14ac:dyDescent="0.25">
      <c r="A441" s="41">
        <v>438</v>
      </c>
      <c r="B441" s="5" t="str">
        <f>IFERROR(INDEX('Output Utente'!$A$2:$A$492,MATCH(438,'Output Utente'!$Q$2:$Q$492,0)),"")</f>
        <v/>
      </c>
      <c r="C441" s="5" t="str">
        <f>IFERROR(INDEX('Output Utente'!$B$2:$B$492,MATCH(438,'Output Utente'!$Q$2:$Q$492,0)),"")</f>
        <v/>
      </c>
      <c r="D441" s="5" t="str">
        <f>IFERROR(INDEX('Output Utente'!$C$2:$C$492,MATCH(438,'Output Utente'!$Q$2:$Q$492,0)),"")</f>
        <v/>
      </c>
      <c r="E441" s="5" t="str">
        <f>IFERROR(INDEX('Input Giocatori 2026_27'!$D$3:$D$493,MATCH($B441,'Input Giocatori 2026_27'!$A$3:$A$493,0)),"")</f>
        <v/>
      </c>
      <c r="F441" s="42" t="str">
        <f>IFERROR(INDEX('Output Utente'!$N$2:$N$492,MATCH(438,'Output Utente'!$Q$2:$Q$492,0)),"")</f>
        <v/>
      </c>
      <c r="G441" s="42" t="str">
        <f>IFERROR(INDEX('Output Utente'!$O$2:$O$492,MATCH(438,'Output Utente'!$Q$2:$Q$492,0)),"")</f>
        <v/>
      </c>
      <c r="H441" s="5" t="str">
        <f>IFERROR(INDEX('Output Utente'!$P$2:$P$492,MATCH(438,'Output Utente'!$Q$2:$Q$492,0)),"")</f>
        <v/>
      </c>
      <c r="I441" s="42" t="str">
        <f>IFERROR(INDEX('Output Utente'!$F$2:$F$492,MATCH(438,'Output Utente'!$Q$2:$Q$492,0)),"")</f>
        <v/>
      </c>
      <c r="J441" s="42" t="str">
        <f>IFERROR(INDEX('Output Utente'!$G$2:$G$492,MATCH(438,'Output Utente'!$Q$2:$Q$492,0)),"")</f>
        <v/>
      </c>
      <c r="K441" s="42" t="str">
        <f>IFERROR(INDEX('Output Utente'!$H$2:$H$492,MATCH(438,'Output Utente'!$Q$2:$Q$492,0)),"")</f>
        <v/>
      </c>
      <c r="L441" s="5" t="str">
        <f>IFERROR(INDEX('Output Utente'!$E$2:$E$492,MATCH(438,'Output Utente'!$Q$2:$Q$492,0)),"")</f>
        <v/>
      </c>
      <c r="M441" s="5" t="str">
        <f>IFERROR(INDEX('Output Utente'!$U$2:$U$492,MATCH(438,'Output Utente'!$Q$2:$Q$492,0)),"")</f>
        <v/>
      </c>
      <c r="N441" s="5" t="str">
        <f>IFERROR(INDEX('Output Utente'!$AE$2:$AE$492,MATCH(438,'Output Utente'!$Q$2:$Q$492,0)),"")</f>
        <v/>
      </c>
    </row>
    <row r="442" spans="1:14" ht="15" customHeight="1" x14ac:dyDescent="0.25">
      <c r="A442" s="41">
        <v>439</v>
      </c>
      <c r="B442" s="5" t="str">
        <f>IFERROR(INDEX('Output Utente'!$A$2:$A$492,MATCH(439,'Output Utente'!$Q$2:$Q$492,0)),"")</f>
        <v/>
      </c>
      <c r="C442" s="5" t="str">
        <f>IFERROR(INDEX('Output Utente'!$B$2:$B$492,MATCH(439,'Output Utente'!$Q$2:$Q$492,0)),"")</f>
        <v/>
      </c>
      <c r="D442" s="5" t="str">
        <f>IFERROR(INDEX('Output Utente'!$C$2:$C$492,MATCH(439,'Output Utente'!$Q$2:$Q$492,0)),"")</f>
        <v/>
      </c>
      <c r="E442" s="5" t="str">
        <f>IFERROR(INDEX('Input Giocatori 2026_27'!$D$3:$D$493,MATCH($B442,'Input Giocatori 2026_27'!$A$3:$A$493,0)),"")</f>
        <v/>
      </c>
      <c r="F442" s="42" t="str">
        <f>IFERROR(INDEX('Output Utente'!$N$2:$N$492,MATCH(439,'Output Utente'!$Q$2:$Q$492,0)),"")</f>
        <v/>
      </c>
      <c r="G442" s="42" t="str">
        <f>IFERROR(INDEX('Output Utente'!$O$2:$O$492,MATCH(439,'Output Utente'!$Q$2:$Q$492,0)),"")</f>
        <v/>
      </c>
      <c r="H442" s="5" t="str">
        <f>IFERROR(INDEX('Output Utente'!$P$2:$P$492,MATCH(439,'Output Utente'!$Q$2:$Q$492,0)),"")</f>
        <v/>
      </c>
      <c r="I442" s="42" t="str">
        <f>IFERROR(INDEX('Output Utente'!$F$2:$F$492,MATCH(439,'Output Utente'!$Q$2:$Q$492,0)),"")</f>
        <v/>
      </c>
      <c r="J442" s="42" t="str">
        <f>IFERROR(INDEX('Output Utente'!$G$2:$G$492,MATCH(439,'Output Utente'!$Q$2:$Q$492,0)),"")</f>
        <v/>
      </c>
      <c r="K442" s="42" t="str">
        <f>IFERROR(INDEX('Output Utente'!$H$2:$H$492,MATCH(439,'Output Utente'!$Q$2:$Q$492,0)),"")</f>
        <v/>
      </c>
      <c r="L442" s="5" t="str">
        <f>IFERROR(INDEX('Output Utente'!$E$2:$E$492,MATCH(439,'Output Utente'!$Q$2:$Q$492,0)),"")</f>
        <v/>
      </c>
      <c r="M442" s="5" t="str">
        <f>IFERROR(INDEX('Output Utente'!$U$2:$U$492,MATCH(439,'Output Utente'!$Q$2:$Q$492,0)),"")</f>
        <v/>
      </c>
      <c r="N442" s="5" t="str">
        <f>IFERROR(INDEX('Output Utente'!$AE$2:$AE$492,MATCH(439,'Output Utente'!$Q$2:$Q$492,0)),"")</f>
        <v/>
      </c>
    </row>
    <row r="443" spans="1:14" ht="15" customHeight="1" x14ac:dyDescent="0.25">
      <c r="A443" s="41">
        <v>440</v>
      </c>
      <c r="B443" s="5" t="str">
        <f>IFERROR(INDEX('Output Utente'!$A$2:$A$492,MATCH(440,'Output Utente'!$Q$2:$Q$492,0)),"")</f>
        <v/>
      </c>
      <c r="C443" s="5" t="str">
        <f>IFERROR(INDEX('Output Utente'!$B$2:$B$492,MATCH(440,'Output Utente'!$Q$2:$Q$492,0)),"")</f>
        <v/>
      </c>
      <c r="D443" s="5" t="str">
        <f>IFERROR(INDEX('Output Utente'!$C$2:$C$492,MATCH(440,'Output Utente'!$Q$2:$Q$492,0)),"")</f>
        <v/>
      </c>
      <c r="E443" s="5" t="str">
        <f>IFERROR(INDEX('Input Giocatori 2026_27'!$D$3:$D$493,MATCH($B443,'Input Giocatori 2026_27'!$A$3:$A$493,0)),"")</f>
        <v/>
      </c>
      <c r="F443" s="42" t="str">
        <f>IFERROR(INDEX('Output Utente'!$N$2:$N$492,MATCH(440,'Output Utente'!$Q$2:$Q$492,0)),"")</f>
        <v/>
      </c>
      <c r="G443" s="42" t="str">
        <f>IFERROR(INDEX('Output Utente'!$O$2:$O$492,MATCH(440,'Output Utente'!$Q$2:$Q$492,0)),"")</f>
        <v/>
      </c>
      <c r="H443" s="5" t="str">
        <f>IFERROR(INDEX('Output Utente'!$P$2:$P$492,MATCH(440,'Output Utente'!$Q$2:$Q$492,0)),"")</f>
        <v/>
      </c>
      <c r="I443" s="42" t="str">
        <f>IFERROR(INDEX('Output Utente'!$F$2:$F$492,MATCH(440,'Output Utente'!$Q$2:$Q$492,0)),"")</f>
        <v/>
      </c>
      <c r="J443" s="42" t="str">
        <f>IFERROR(INDEX('Output Utente'!$G$2:$G$492,MATCH(440,'Output Utente'!$Q$2:$Q$492,0)),"")</f>
        <v/>
      </c>
      <c r="K443" s="42" t="str">
        <f>IFERROR(INDEX('Output Utente'!$H$2:$H$492,MATCH(440,'Output Utente'!$Q$2:$Q$492,0)),"")</f>
        <v/>
      </c>
      <c r="L443" s="5" t="str">
        <f>IFERROR(INDEX('Output Utente'!$E$2:$E$492,MATCH(440,'Output Utente'!$Q$2:$Q$492,0)),"")</f>
        <v/>
      </c>
      <c r="M443" s="5" t="str">
        <f>IFERROR(INDEX('Output Utente'!$U$2:$U$492,MATCH(440,'Output Utente'!$Q$2:$Q$492,0)),"")</f>
        <v/>
      </c>
      <c r="N443" s="5" t="str">
        <f>IFERROR(INDEX('Output Utente'!$AE$2:$AE$492,MATCH(440,'Output Utente'!$Q$2:$Q$492,0)),"")</f>
        <v/>
      </c>
    </row>
    <row r="444" spans="1:14" ht="15" customHeight="1" x14ac:dyDescent="0.25">
      <c r="A444" s="41">
        <v>441</v>
      </c>
      <c r="B444" s="5" t="str">
        <f>IFERROR(INDEX('Output Utente'!$A$2:$A$492,MATCH(441,'Output Utente'!$Q$2:$Q$492,0)),"")</f>
        <v/>
      </c>
      <c r="C444" s="5" t="str">
        <f>IFERROR(INDEX('Output Utente'!$B$2:$B$492,MATCH(441,'Output Utente'!$Q$2:$Q$492,0)),"")</f>
        <v/>
      </c>
      <c r="D444" s="5" t="str">
        <f>IFERROR(INDEX('Output Utente'!$C$2:$C$492,MATCH(441,'Output Utente'!$Q$2:$Q$492,0)),"")</f>
        <v/>
      </c>
      <c r="E444" s="5" t="str">
        <f>IFERROR(INDEX('Input Giocatori 2026_27'!$D$3:$D$493,MATCH($B444,'Input Giocatori 2026_27'!$A$3:$A$493,0)),"")</f>
        <v/>
      </c>
      <c r="F444" s="42" t="str">
        <f>IFERROR(INDEX('Output Utente'!$N$2:$N$492,MATCH(441,'Output Utente'!$Q$2:$Q$492,0)),"")</f>
        <v/>
      </c>
      <c r="G444" s="42" t="str">
        <f>IFERROR(INDEX('Output Utente'!$O$2:$O$492,MATCH(441,'Output Utente'!$Q$2:$Q$492,0)),"")</f>
        <v/>
      </c>
      <c r="H444" s="5" t="str">
        <f>IFERROR(INDEX('Output Utente'!$P$2:$P$492,MATCH(441,'Output Utente'!$Q$2:$Q$492,0)),"")</f>
        <v/>
      </c>
      <c r="I444" s="42" t="str">
        <f>IFERROR(INDEX('Output Utente'!$F$2:$F$492,MATCH(441,'Output Utente'!$Q$2:$Q$492,0)),"")</f>
        <v/>
      </c>
      <c r="J444" s="42" t="str">
        <f>IFERROR(INDEX('Output Utente'!$G$2:$G$492,MATCH(441,'Output Utente'!$Q$2:$Q$492,0)),"")</f>
        <v/>
      </c>
      <c r="K444" s="42" t="str">
        <f>IFERROR(INDEX('Output Utente'!$H$2:$H$492,MATCH(441,'Output Utente'!$Q$2:$Q$492,0)),"")</f>
        <v/>
      </c>
      <c r="L444" s="5" t="str">
        <f>IFERROR(INDEX('Output Utente'!$E$2:$E$492,MATCH(441,'Output Utente'!$Q$2:$Q$492,0)),"")</f>
        <v/>
      </c>
      <c r="M444" s="5" t="str">
        <f>IFERROR(INDEX('Output Utente'!$U$2:$U$492,MATCH(441,'Output Utente'!$Q$2:$Q$492,0)),"")</f>
        <v/>
      </c>
      <c r="N444" s="5" t="str">
        <f>IFERROR(INDEX('Output Utente'!$AE$2:$AE$492,MATCH(441,'Output Utente'!$Q$2:$Q$492,0)),"")</f>
        <v/>
      </c>
    </row>
    <row r="445" spans="1:14" ht="15" customHeight="1" x14ac:dyDescent="0.25">
      <c r="A445" s="41">
        <v>442</v>
      </c>
      <c r="B445" s="5" t="str">
        <f>IFERROR(INDEX('Output Utente'!$A$2:$A$492,MATCH(442,'Output Utente'!$Q$2:$Q$492,0)),"")</f>
        <v/>
      </c>
      <c r="C445" s="5" t="str">
        <f>IFERROR(INDEX('Output Utente'!$B$2:$B$492,MATCH(442,'Output Utente'!$Q$2:$Q$492,0)),"")</f>
        <v/>
      </c>
      <c r="D445" s="5" t="str">
        <f>IFERROR(INDEX('Output Utente'!$C$2:$C$492,MATCH(442,'Output Utente'!$Q$2:$Q$492,0)),"")</f>
        <v/>
      </c>
      <c r="E445" s="5" t="str">
        <f>IFERROR(INDEX('Input Giocatori 2026_27'!$D$3:$D$493,MATCH($B445,'Input Giocatori 2026_27'!$A$3:$A$493,0)),"")</f>
        <v/>
      </c>
      <c r="F445" s="42" t="str">
        <f>IFERROR(INDEX('Output Utente'!$N$2:$N$492,MATCH(442,'Output Utente'!$Q$2:$Q$492,0)),"")</f>
        <v/>
      </c>
      <c r="G445" s="42" t="str">
        <f>IFERROR(INDEX('Output Utente'!$O$2:$O$492,MATCH(442,'Output Utente'!$Q$2:$Q$492,0)),"")</f>
        <v/>
      </c>
      <c r="H445" s="5" t="str">
        <f>IFERROR(INDEX('Output Utente'!$P$2:$P$492,MATCH(442,'Output Utente'!$Q$2:$Q$492,0)),"")</f>
        <v/>
      </c>
      <c r="I445" s="42" t="str">
        <f>IFERROR(INDEX('Output Utente'!$F$2:$F$492,MATCH(442,'Output Utente'!$Q$2:$Q$492,0)),"")</f>
        <v/>
      </c>
      <c r="J445" s="42" t="str">
        <f>IFERROR(INDEX('Output Utente'!$G$2:$G$492,MATCH(442,'Output Utente'!$Q$2:$Q$492,0)),"")</f>
        <v/>
      </c>
      <c r="K445" s="42" t="str">
        <f>IFERROR(INDEX('Output Utente'!$H$2:$H$492,MATCH(442,'Output Utente'!$Q$2:$Q$492,0)),"")</f>
        <v/>
      </c>
      <c r="L445" s="5" t="str">
        <f>IFERROR(INDEX('Output Utente'!$E$2:$E$492,MATCH(442,'Output Utente'!$Q$2:$Q$492,0)),"")</f>
        <v/>
      </c>
      <c r="M445" s="5" t="str">
        <f>IFERROR(INDEX('Output Utente'!$U$2:$U$492,MATCH(442,'Output Utente'!$Q$2:$Q$492,0)),"")</f>
        <v/>
      </c>
      <c r="N445" s="5" t="str">
        <f>IFERROR(INDEX('Output Utente'!$AE$2:$AE$492,MATCH(442,'Output Utente'!$Q$2:$Q$492,0)),"")</f>
        <v/>
      </c>
    </row>
    <row r="446" spans="1:14" ht="15" customHeight="1" x14ac:dyDescent="0.25">
      <c r="A446" s="41">
        <v>443</v>
      </c>
      <c r="B446" s="5" t="str">
        <f>IFERROR(INDEX('Output Utente'!$A$2:$A$492,MATCH(443,'Output Utente'!$Q$2:$Q$492,0)),"")</f>
        <v/>
      </c>
      <c r="C446" s="5" t="str">
        <f>IFERROR(INDEX('Output Utente'!$B$2:$B$492,MATCH(443,'Output Utente'!$Q$2:$Q$492,0)),"")</f>
        <v/>
      </c>
      <c r="D446" s="5" t="str">
        <f>IFERROR(INDEX('Output Utente'!$C$2:$C$492,MATCH(443,'Output Utente'!$Q$2:$Q$492,0)),"")</f>
        <v/>
      </c>
      <c r="E446" s="5" t="str">
        <f>IFERROR(INDEX('Input Giocatori 2026_27'!$D$3:$D$493,MATCH($B446,'Input Giocatori 2026_27'!$A$3:$A$493,0)),"")</f>
        <v/>
      </c>
      <c r="F446" s="42" t="str">
        <f>IFERROR(INDEX('Output Utente'!$N$2:$N$492,MATCH(443,'Output Utente'!$Q$2:$Q$492,0)),"")</f>
        <v/>
      </c>
      <c r="G446" s="42" t="str">
        <f>IFERROR(INDEX('Output Utente'!$O$2:$O$492,MATCH(443,'Output Utente'!$Q$2:$Q$492,0)),"")</f>
        <v/>
      </c>
      <c r="H446" s="5" t="str">
        <f>IFERROR(INDEX('Output Utente'!$P$2:$P$492,MATCH(443,'Output Utente'!$Q$2:$Q$492,0)),"")</f>
        <v/>
      </c>
      <c r="I446" s="42" t="str">
        <f>IFERROR(INDEX('Output Utente'!$F$2:$F$492,MATCH(443,'Output Utente'!$Q$2:$Q$492,0)),"")</f>
        <v/>
      </c>
      <c r="J446" s="42" t="str">
        <f>IFERROR(INDEX('Output Utente'!$G$2:$G$492,MATCH(443,'Output Utente'!$Q$2:$Q$492,0)),"")</f>
        <v/>
      </c>
      <c r="K446" s="42" t="str">
        <f>IFERROR(INDEX('Output Utente'!$H$2:$H$492,MATCH(443,'Output Utente'!$Q$2:$Q$492,0)),"")</f>
        <v/>
      </c>
      <c r="L446" s="5" t="str">
        <f>IFERROR(INDEX('Output Utente'!$E$2:$E$492,MATCH(443,'Output Utente'!$Q$2:$Q$492,0)),"")</f>
        <v/>
      </c>
      <c r="M446" s="5" t="str">
        <f>IFERROR(INDEX('Output Utente'!$U$2:$U$492,MATCH(443,'Output Utente'!$Q$2:$Q$492,0)),"")</f>
        <v/>
      </c>
      <c r="N446" s="5" t="str">
        <f>IFERROR(INDEX('Output Utente'!$AE$2:$AE$492,MATCH(443,'Output Utente'!$Q$2:$Q$492,0)),"")</f>
        <v/>
      </c>
    </row>
    <row r="447" spans="1:14" ht="15" customHeight="1" x14ac:dyDescent="0.25">
      <c r="A447" s="41">
        <v>444</v>
      </c>
      <c r="B447" s="5" t="str">
        <f>IFERROR(INDEX('Output Utente'!$A$2:$A$492,MATCH(444,'Output Utente'!$Q$2:$Q$492,0)),"")</f>
        <v/>
      </c>
      <c r="C447" s="5" t="str">
        <f>IFERROR(INDEX('Output Utente'!$B$2:$B$492,MATCH(444,'Output Utente'!$Q$2:$Q$492,0)),"")</f>
        <v/>
      </c>
      <c r="D447" s="5" t="str">
        <f>IFERROR(INDEX('Output Utente'!$C$2:$C$492,MATCH(444,'Output Utente'!$Q$2:$Q$492,0)),"")</f>
        <v/>
      </c>
      <c r="E447" s="5" t="str">
        <f>IFERROR(INDEX('Input Giocatori 2026_27'!$D$3:$D$493,MATCH($B447,'Input Giocatori 2026_27'!$A$3:$A$493,0)),"")</f>
        <v/>
      </c>
      <c r="F447" s="42" t="str">
        <f>IFERROR(INDEX('Output Utente'!$N$2:$N$492,MATCH(444,'Output Utente'!$Q$2:$Q$492,0)),"")</f>
        <v/>
      </c>
      <c r="G447" s="42" t="str">
        <f>IFERROR(INDEX('Output Utente'!$O$2:$O$492,MATCH(444,'Output Utente'!$Q$2:$Q$492,0)),"")</f>
        <v/>
      </c>
      <c r="H447" s="5" t="str">
        <f>IFERROR(INDEX('Output Utente'!$P$2:$P$492,MATCH(444,'Output Utente'!$Q$2:$Q$492,0)),"")</f>
        <v/>
      </c>
      <c r="I447" s="42" t="str">
        <f>IFERROR(INDEX('Output Utente'!$F$2:$F$492,MATCH(444,'Output Utente'!$Q$2:$Q$492,0)),"")</f>
        <v/>
      </c>
      <c r="J447" s="42" t="str">
        <f>IFERROR(INDEX('Output Utente'!$G$2:$G$492,MATCH(444,'Output Utente'!$Q$2:$Q$492,0)),"")</f>
        <v/>
      </c>
      <c r="K447" s="42" t="str">
        <f>IFERROR(INDEX('Output Utente'!$H$2:$H$492,MATCH(444,'Output Utente'!$Q$2:$Q$492,0)),"")</f>
        <v/>
      </c>
      <c r="L447" s="5" t="str">
        <f>IFERROR(INDEX('Output Utente'!$E$2:$E$492,MATCH(444,'Output Utente'!$Q$2:$Q$492,0)),"")</f>
        <v/>
      </c>
      <c r="M447" s="5" t="str">
        <f>IFERROR(INDEX('Output Utente'!$U$2:$U$492,MATCH(444,'Output Utente'!$Q$2:$Q$492,0)),"")</f>
        <v/>
      </c>
      <c r="N447" s="5" t="str">
        <f>IFERROR(INDEX('Output Utente'!$AE$2:$AE$492,MATCH(444,'Output Utente'!$Q$2:$Q$492,0)),"")</f>
        <v/>
      </c>
    </row>
    <row r="448" spans="1:14" ht="15" customHeight="1" x14ac:dyDescent="0.25">
      <c r="A448" s="41">
        <v>445</v>
      </c>
      <c r="B448" s="5" t="str">
        <f>IFERROR(INDEX('Output Utente'!$A$2:$A$492,MATCH(445,'Output Utente'!$Q$2:$Q$492,0)),"")</f>
        <v/>
      </c>
      <c r="C448" s="5" t="str">
        <f>IFERROR(INDEX('Output Utente'!$B$2:$B$492,MATCH(445,'Output Utente'!$Q$2:$Q$492,0)),"")</f>
        <v/>
      </c>
      <c r="D448" s="5" t="str">
        <f>IFERROR(INDEX('Output Utente'!$C$2:$C$492,MATCH(445,'Output Utente'!$Q$2:$Q$492,0)),"")</f>
        <v/>
      </c>
      <c r="E448" s="5" t="str">
        <f>IFERROR(INDEX('Input Giocatori 2026_27'!$D$3:$D$493,MATCH($B448,'Input Giocatori 2026_27'!$A$3:$A$493,0)),"")</f>
        <v/>
      </c>
      <c r="F448" s="42" t="str">
        <f>IFERROR(INDEX('Output Utente'!$N$2:$N$492,MATCH(445,'Output Utente'!$Q$2:$Q$492,0)),"")</f>
        <v/>
      </c>
      <c r="G448" s="42" t="str">
        <f>IFERROR(INDEX('Output Utente'!$O$2:$O$492,MATCH(445,'Output Utente'!$Q$2:$Q$492,0)),"")</f>
        <v/>
      </c>
      <c r="H448" s="5" t="str">
        <f>IFERROR(INDEX('Output Utente'!$P$2:$P$492,MATCH(445,'Output Utente'!$Q$2:$Q$492,0)),"")</f>
        <v/>
      </c>
      <c r="I448" s="42" t="str">
        <f>IFERROR(INDEX('Output Utente'!$F$2:$F$492,MATCH(445,'Output Utente'!$Q$2:$Q$492,0)),"")</f>
        <v/>
      </c>
      <c r="J448" s="42" t="str">
        <f>IFERROR(INDEX('Output Utente'!$G$2:$G$492,MATCH(445,'Output Utente'!$Q$2:$Q$492,0)),"")</f>
        <v/>
      </c>
      <c r="K448" s="42" t="str">
        <f>IFERROR(INDEX('Output Utente'!$H$2:$H$492,MATCH(445,'Output Utente'!$Q$2:$Q$492,0)),"")</f>
        <v/>
      </c>
      <c r="L448" s="5" t="str">
        <f>IFERROR(INDEX('Output Utente'!$E$2:$E$492,MATCH(445,'Output Utente'!$Q$2:$Q$492,0)),"")</f>
        <v/>
      </c>
      <c r="M448" s="5" t="str">
        <f>IFERROR(INDEX('Output Utente'!$U$2:$U$492,MATCH(445,'Output Utente'!$Q$2:$Q$492,0)),"")</f>
        <v/>
      </c>
      <c r="N448" s="5" t="str">
        <f>IFERROR(INDEX('Output Utente'!$AE$2:$AE$492,MATCH(445,'Output Utente'!$Q$2:$Q$492,0)),"")</f>
        <v/>
      </c>
    </row>
    <row r="449" spans="1:14" ht="15" customHeight="1" x14ac:dyDescent="0.25">
      <c r="A449" s="41">
        <v>446</v>
      </c>
      <c r="B449" s="5" t="str">
        <f>IFERROR(INDEX('Output Utente'!$A$2:$A$492,MATCH(446,'Output Utente'!$Q$2:$Q$492,0)),"")</f>
        <v/>
      </c>
      <c r="C449" s="5" t="str">
        <f>IFERROR(INDEX('Output Utente'!$B$2:$B$492,MATCH(446,'Output Utente'!$Q$2:$Q$492,0)),"")</f>
        <v/>
      </c>
      <c r="D449" s="5" t="str">
        <f>IFERROR(INDEX('Output Utente'!$C$2:$C$492,MATCH(446,'Output Utente'!$Q$2:$Q$492,0)),"")</f>
        <v/>
      </c>
      <c r="E449" s="5" t="str">
        <f>IFERROR(INDEX('Input Giocatori 2026_27'!$D$3:$D$493,MATCH($B449,'Input Giocatori 2026_27'!$A$3:$A$493,0)),"")</f>
        <v/>
      </c>
      <c r="F449" s="42" t="str">
        <f>IFERROR(INDEX('Output Utente'!$N$2:$N$492,MATCH(446,'Output Utente'!$Q$2:$Q$492,0)),"")</f>
        <v/>
      </c>
      <c r="G449" s="42" t="str">
        <f>IFERROR(INDEX('Output Utente'!$O$2:$O$492,MATCH(446,'Output Utente'!$Q$2:$Q$492,0)),"")</f>
        <v/>
      </c>
      <c r="H449" s="5" t="str">
        <f>IFERROR(INDEX('Output Utente'!$P$2:$P$492,MATCH(446,'Output Utente'!$Q$2:$Q$492,0)),"")</f>
        <v/>
      </c>
      <c r="I449" s="42" t="str">
        <f>IFERROR(INDEX('Output Utente'!$F$2:$F$492,MATCH(446,'Output Utente'!$Q$2:$Q$492,0)),"")</f>
        <v/>
      </c>
      <c r="J449" s="42" t="str">
        <f>IFERROR(INDEX('Output Utente'!$G$2:$G$492,MATCH(446,'Output Utente'!$Q$2:$Q$492,0)),"")</f>
        <v/>
      </c>
      <c r="K449" s="42" t="str">
        <f>IFERROR(INDEX('Output Utente'!$H$2:$H$492,MATCH(446,'Output Utente'!$Q$2:$Q$492,0)),"")</f>
        <v/>
      </c>
      <c r="L449" s="5" t="str">
        <f>IFERROR(INDEX('Output Utente'!$E$2:$E$492,MATCH(446,'Output Utente'!$Q$2:$Q$492,0)),"")</f>
        <v/>
      </c>
      <c r="M449" s="5" t="str">
        <f>IFERROR(INDEX('Output Utente'!$U$2:$U$492,MATCH(446,'Output Utente'!$Q$2:$Q$492,0)),"")</f>
        <v/>
      </c>
      <c r="N449" s="5" t="str">
        <f>IFERROR(INDEX('Output Utente'!$AE$2:$AE$492,MATCH(446,'Output Utente'!$Q$2:$Q$492,0)),"")</f>
        <v/>
      </c>
    </row>
    <row r="450" spans="1:14" ht="15" customHeight="1" x14ac:dyDescent="0.25">
      <c r="A450" s="41">
        <v>447</v>
      </c>
      <c r="B450" s="5" t="str">
        <f>IFERROR(INDEX('Output Utente'!$A$2:$A$492,MATCH(447,'Output Utente'!$Q$2:$Q$492,0)),"")</f>
        <v/>
      </c>
      <c r="C450" s="5" t="str">
        <f>IFERROR(INDEX('Output Utente'!$B$2:$B$492,MATCH(447,'Output Utente'!$Q$2:$Q$492,0)),"")</f>
        <v/>
      </c>
      <c r="D450" s="5" t="str">
        <f>IFERROR(INDEX('Output Utente'!$C$2:$C$492,MATCH(447,'Output Utente'!$Q$2:$Q$492,0)),"")</f>
        <v/>
      </c>
      <c r="E450" s="5" t="str">
        <f>IFERROR(INDEX('Input Giocatori 2026_27'!$D$3:$D$493,MATCH($B450,'Input Giocatori 2026_27'!$A$3:$A$493,0)),"")</f>
        <v/>
      </c>
      <c r="F450" s="42" t="str">
        <f>IFERROR(INDEX('Output Utente'!$N$2:$N$492,MATCH(447,'Output Utente'!$Q$2:$Q$492,0)),"")</f>
        <v/>
      </c>
      <c r="G450" s="42" t="str">
        <f>IFERROR(INDEX('Output Utente'!$O$2:$O$492,MATCH(447,'Output Utente'!$Q$2:$Q$492,0)),"")</f>
        <v/>
      </c>
      <c r="H450" s="5" t="str">
        <f>IFERROR(INDEX('Output Utente'!$P$2:$P$492,MATCH(447,'Output Utente'!$Q$2:$Q$492,0)),"")</f>
        <v/>
      </c>
      <c r="I450" s="42" t="str">
        <f>IFERROR(INDEX('Output Utente'!$F$2:$F$492,MATCH(447,'Output Utente'!$Q$2:$Q$492,0)),"")</f>
        <v/>
      </c>
      <c r="J450" s="42" t="str">
        <f>IFERROR(INDEX('Output Utente'!$G$2:$G$492,MATCH(447,'Output Utente'!$Q$2:$Q$492,0)),"")</f>
        <v/>
      </c>
      <c r="K450" s="42" t="str">
        <f>IFERROR(INDEX('Output Utente'!$H$2:$H$492,MATCH(447,'Output Utente'!$Q$2:$Q$492,0)),"")</f>
        <v/>
      </c>
      <c r="L450" s="5" t="str">
        <f>IFERROR(INDEX('Output Utente'!$E$2:$E$492,MATCH(447,'Output Utente'!$Q$2:$Q$492,0)),"")</f>
        <v/>
      </c>
      <c r="M450" s="5" t="str">
        <f>IFERROR(INDEX('Output Utente'!$U$2:$U$492,MATCH(447,'Output Utente'!$Q$2:$Q$492,0)),"")</f>
        <v/>
      </c>
      <c r="N450" s="5" t="str">
        <f>IFERROR(INDEX('Output Utente'!$AE$2:$AE$492,MATCH(447,'Output Utente'!$Q$2:$Q$492,0)),"")</f>
        <v/>
      </c>
    </row>
    <row r="451" spans="1:14" ht="15" customHeight="1" x14ac:dyDescent="0.25">
      <c r="A451" s="41">
        <v>448</v>
      </c>
      <c r="B451" s="5" t="str">
        <f>IFERROR(INDEX('Output Utente'!$A$2:$A$492,MATCH(448,'Output Utente'!$Q$2:$Q$492,0)),"")</f>
        <v/>
      </c>
      <c r="C451" s="5" t="str">
        <f>IFERROR(INDEX('Output Utente'!$B$2:$B$492,MATCH(448,'Output Utente'!$Q$2:$Q$492,0)),"")</f>
        <v/>
      </c>
      <c r="D451" s="5" t="str">
        <f>IFERROR(INDEX('Output Utente'!$C$2:$C$492,MATCH(448,'Output Utente'!$Q$2:$Q$492,0)),"")</f>
        <v/>
      </c>
      <c r="E451" s="5" t="str">
        <f>IFERROR(INDEX('Input Giocatori 2026_27'!$D$3:$D$493,MATCH($B451,'Input Giocatori 2026_27'!$A$3:$A$493,0)),"")</f>
        <v/>
      </c>
      <c r="F451" s="42" t="str">
        <f>IFERROR(INDEX('Output Utente'!$N$2:$N$492,MATCH(448,'Output Utente'!$Q$2:$Q$492,0)),"")</f>
        <v/>
      </c>
      <c r="G451" s="42" t="str">
        <f>IFERROR(INDEX('Output Utente'!$O$2:$O$492,MATCH(448,'Output Utente'!$Q$2:$Q$492,0)),"")</f>
        <v/>
      </c>
      <c r="H451" s="5" t="str">
        <f>IFERROR(INDEX('Output Utente'!$P$2:$P$492,MATCH(448,'Output Utente'!$Q$2:$Q$492,0)),"")</f>
        <v/>
      </c>
      <c r="I451" s="42" t="str">
        <f>IFERROR(INDEX('Output Utente'!$F$2:$F$492,MATCH(448,'Output Utente'!$Q$2:$Q$492,0)),"")</f>
        <v/>
      </c>
      <c r="J451" s="42" t="str">
        <f>IFERROR(INDEX('Output Utente'!$G$2:$G$492,MATCH(448,'Output Utente'!$Q$2:$Q$492,0)),"")</f>
        <v/>
      </c>
      <c r="K451" s="42" t="str">
        <f>IFERROR(INDEX('Output Utente'!$H$2:$H$492,MATCH(448,'Output Utente'!$Q$2:$Q$492,0)),"")</f>
        <v/>
      </c>
      <c r="L451" s="5" t="str">
        <f>IFERROR(INDEX('Output Utente'!$E$2:$E$492,MATCH(448,'Output Utente'!$Q$2:$Q$492,0)),"")</f>
        <v/>
      </c>
      <c r="M451" s="5" t="str">
        <f>IFERROR(INDEX('Output Utente'!$U$2:$U$492,MATCH(448,'Output Utente'!$Q$2:$Q$492,0)),"")</f>
        <v/>
      </c>
      <c r="N451" s="5" t="str">
        <f>IFERROR(INDEX('Output Utente'!$AE$2:$AE$492,MATCH(448,'Output Utente'!$Q$2:$Q$492,0)),"")</f>
        <v/>
      </c>
    </row>
    <row r="452" spans="1:14" ht="15" customHeight="1" x14ac:dyDescent="0.25">
      <c r="A452" s="41">
        <v>449</v>
      </c>
      <c r="B452" s="5" t="str">
        <f>IFERROR(INDEX('Output Utente'!$A$2:$A$492,MATCH(449,'Output Utente'!$Q$2:$Q$492,0)),"")</f>
        <v/>
      </c>
      <c r="C452" s="5" t="str">
        <f>IFERROR(INDEX('Output Utente'!$B$2:$B$492,MATCH(449,'Output Utente'!$Q$2:$Q$492,0)),"")</f>
        <v/>
      </c>
      <c r="D452" s="5" t="str">
        <f>IFERROR(INDEX('Output Utente'!$C$2:$C$492,MATCH(449,'Output Utente'!$Q$2:$Q$492,0)),"")</f>
        <v/>
      </c>
      <c r="E452" s="5" t="str">
        <f>IFERROR(INDEX('Input Giocatori 2026_27'!$D$3:$D$493,MATCH($B452,'Input Giocatori 2026_27'!$A$3:$A$493,0)),"")</f>
        <v/>
      </c>
      <c r="F452" s="42" t="str">
        <f>IFERROR(INDEX('Output Utente'!$N$2:$N$492,MATCH(449,'Output Utente'!$Q$2:$Q$492,0)),"")</f>
        <v/>
      </c>
      <c r="G452" s="42" t="str">
        <f>IFERROR(INDEX('Output Utente'!$O$2:$O$492,MATCH(449,'Output Utente'!$Q$2:$Q$492,0)),"")</f>
        <v/>
      </c>
      <c r="H452" s="5" t="str">
        <f>IFERROR(INDEX('Output Utente'!$P$2:$P$492,MATCH(449,'Output Utente'!$Q$2:$Q$492,0)),"")</f>
        <v/>
      </c>
      <c r="I452" s="42" t="str">
        <f>IFERROR(INDEX('Output Utente'!$F$2:$F$492,MATCH(449,'Output Utente'!$Q$2:$Q$492,0)),"")</f>
        <v/>
      </c>
      <c r="J452" s="42" t="str">
        <f>IFERROR(INDEX('Output Utente'!$G$2:$G$492,MATCH(449,'Output Utente'!$Q$2:$Q$492,0)),"")</f>
        <v/>
      </c>
      <c r="K452" s="42" t="str">
        <f>IFERROR(INDEX('Output Utente'!$H$2:$H$492,MATCH(449,'Output Utente'!$Q$2:$Q$492,0)),"")</f>
        <v/>
      </c>
      <c r="L452" s="5" t="str">
        <f>IFERROR(INDEX('Output Utente'!$E$2:$E$492,MATCH(449,'Output Utente'!$Q$2:$Q$492,0)),"")</f>
        <v/>
      </c>
      <c r="M452" s="5" t="str">
        <f>IFERROR(INDEX('Output Utente'!$U$2:$U$492,MATCH(449,'Output Utente'!$Q$2:$Q$492,0)),"")</f>
        <v/>
      </c>
      <c r="N452" s="5" t="str">
        <f>IFERROR(INDEX('Output Utente'!$AE$2:$AE$492,MATCH(449,'Output Utente'!$Q$2:$Q$492,0)),"")</f>
        <v/>
      </c>
    </row>
    <row r="453" spans="1:14" ht="15" customHeight="1" x14ac:dyDescent="0.25">
      <c r="A453" s="41">
        <v>450</v>
      </c>
      <c r="B453" s="5" t="str">
        <f>IFERROR(INDEX('Output Utente'!$A$2:$A$492,MATCH(450,'Output Utente'!$Q$2:$Q$492,0)),"")</f>
        <v/>
      </c>
      <c r="C453" s="5" t="str">
        <f>IFERROR(INDEX('Output Utente'!$B$2:$B$492,MATCH(450,'Output Utente'!$Q$2:$Q$492,0)),"")</f>
        <v/>
      </c>
      <c r="D453" s="5" t="str">
        <f>IFERROR(INDEX('Output Utente'!$C$2:$C$492,MATCH(450,'Output Utente'!$Q$2:$Q$492,0)),"")</f>
        <v/>
      </c>
      <c r="E453" s="5" t="str">
        <f>IFERROR(INDEX('Input Giocatori 2026_27'!$D$3:$D$493,MATCH($B453,'Input Giocatori 2026_27'!$A$3:$A$493,0)),"")</f>
        <v/>
      </c>
      <c r="F453" s="42" t="str">
        <f>IFERROR(INDEX('Output Utente'!$N$2:$N$492,MATCH(450,'Output Utente'!$Q$2:$Q$492,0)),"")</f>
        <v/>
      </c>
      <c r="G453" s="42" t="str">
        <f>IFERROR(INDEX('Output Utente'!$O$2:$O$492,MATCH(450,'Output Utente'!$Q$2:$Q$492,0)),"")</f>
        <v/>
      </c>
      <c r="H453" s="5" t="str">
        <f>IFERROR(INDEX('Output Utente'!$P$2:$P$492,MATCH(450,'Output Utente'!$Q$2:$Q$492,0)),"")</f>
        <v/>
      </c>
      <c r="I453" s="42" t="str">
        <f>IFERROR(INDEX('Output Utente'!$F$2:$F$492,MATCH(450,'Output Utente'!$Q$2:$Q$492,0)),"")</f>
        <v/>
      </c>
      <c r="J453" s="42" t="str">
        <f>IFERROR(INDEX('Output Utente'!$G$2:$G$492,MATCH(450,'Output Utente'!$Q$2:$Q$492,0)),"")</f>
        <v/>
      </c>
      <c r="K453" s="42" t="str">
        <f>IFERROR(INDEX('Output Utente'!$H$2:$H$492,MATCH(450,'Output Utente'!$Q$2:$Q$492,0)),"")</f>
        <v/>
      </c>
      <c r="L453" s="5" t="str">
        <f>IFERROR(INDEX('Output Utente'!$E$2:$E$492,MATCH(450,'Output Utente'!$Q$2:$Q$492,0)),"")</f>
        <v/>
      </c>
      <c r="M453" s="5" t="str">
        <f>IFERROR(INDEX('Output Utente'!$U$2:$U$492,MATCH(450,'Output Utente'!$Q$2:$Q$492,0)),"")</f>
        <v/>
      </c>
      <c r="N453" s="5" t="str">
        <f>IFERROR(INDEX('Output Utente'!$AE$2:$AE$492,MATCH(450,'Output Utente'!$Q$2:$Q$492,0)),"")</f>
        <v/>
      </c>
    </row>
    <row r="454" spans="1:14" ht="15" customHeight="1" x14ac:dyDescent="0.25">
      <c r="A454" s="41">
        <v>451</v>
      </c>
      <c r="B454" s="5" t="str">
        <f>IFERROR(INDEX('Output Utente'!$A$2:$A$492,MATCH(451,'Output Utente'!$Q$2:$Q$492,0)),"")</f>
        <v/>
      </c>
      <c r="C454" s="5" t="str">
        <f>IFERROR(INDEX('Output Utente'!$B$2:$B$492,MATCH(451,'Output Utente'!$Q$2:$Q$492,0)),"")</f>
        <v/>
      </c>
      <c r="D454" s="5" t="str">
        <f>IFERROR(INDEX('Output Utente'!$C$2:$C$492,MATCH(451,'Output Utente'!$Q$2:$Q$492,0)),"")</f>
        <v/>
      </c>
      <c r="E454" s="5" t="str">
        <f>IFERROR(INDEX('Input Giocatori 2026_27'!$D$3:$D$493,MATCH($B454,'Input Giocatori 2026_27'!$A$3:$A$493,0)),"")</f>
        <v/>
      </c>
      <c r="F454" s="42" t="str">
        <f>IFERROR(INDEX('Output Utente'!$N$2:$N$492,MATCH(451,'Output Utente'!$Q$2:$Q$492,0)),"")</f>
        <v/>
      </c>
      <c r="G454" s="42" t="str">
        <f>IFERROR(INDEX('Output Utente'!$O$2:$O$492,MATCH(451,'Output Utente'!$Q$2:$Q$492,0)),"")</f>
        <v/>
      </c>
      <c r="H454" s="5" t="str">
        <f>IFERROR(INDEX('Output Utente'!$P$2:$P$492,MATCH(451,'Output Utente'!$Q$2:$Q$492,0)),"")</f>
        <v/>
      </c>
      <c r="I454" s="42" t="str">
        <f>IFERROR(INDEX('Output Utente'!$F$2:$F$492,MATCH(451,'Output Utente'!$Q$2:$Q$492,0)),"")</f>
        <v/>
      </c>
      <c r="J454" s="42" t="str">
        <f>IFERROR(INDEX('Output Utente'!$G$2:$G$492,MATCH(451,'Output Utente'!$Q$2:$Q$492,0)),"")</f>
        <v/>
      </c>
      <c r="K454" s="42" t="str">
        <f>IFERROR(INDEX('Output Utente'!$H$2:$H$492,MATCH(451,'Output Utente'!$Q$2:$Q$492,0)),"")</f>
        <v/>
      </c>
      <c r="L454" s="5" t="str">
        <f>IFERROR(INDEX('Output Utente'!$E$2:$E$492,MATCH(451,'Output Utente'!$Q$2:$Q$492,0)),"")</f>
        <v/>
      </c>
      <c r="M454" s="5" t="str">
        <f>IFERROR(INDEX('Output Utente'!$U$2:$U$492,MATCH(451,'Output Utente'!$Q$2:$Q$492,0)),"")</f>
        <v/>
      </c>
      <c r="N454" s="5" t="str">
        <f>IFERROR(INDEX('Output Utente'!$AE$2:$AE$492,MATCH(451,'Output Utente'!$Q$2:$Q$492,0)),"")</f>
        <v/>
      </c>
    </row>
    <row r="455" spans="1:14" ht="15" customHeight="1" x14ac:dyDescent="0.25">
      <c r="A455" s="41">
        <v>452</v>
      </c>
      <c r="B455" s="5" t="str">
        <f>IFERROR(INDEX('Output Utente'!$A$2:$A$492,MATCH(452,'Output Utente'!$Q$2:$Q$492,0)),"")</f>
        <v/>
      </c>
      <c r="C455" s="5" t="str">
        <f>IFERROR(INDEX('Output Utente'!$B$2:$B$492,MATCH(452,'Output Utente'!$Q$2:$Q$492,0)),"")</f>
        <v/>
      </c>
      <c r="D455" s="5" t="str">
        <f>IFERROR(INDEX('Output Utente'!$C$2:$C$492,MATCH(452,'Output Utente'!$Q$2:$Q$492,0)),"")</f>
        <v/>
      </c>
      <c r="E455" s="5" t="str">
        <f>IFERROR(INDEX('Input Giocatori 2026_27'!$D$3:$D$493,MATCH($B455,'Input Giocatori 2026_27'!$A$3:$A$493,0)),"")</f>
        <v/>
      </c>
      <c r="F455" s="42" t="str">
        <f>IFERROR(INDEX('Output Utente'!$N$2:$N$492,MATCH(452,'Output Utente'!$Q$2:$Q$492,0)),"")</f>
        <v/>
      </c>
      <c r="G455" s="42" t="str">
        <f>IFERROR(INDEX('Output Utente'!$O$2:$O$492,MATCH(452,'Output Utente'!$Q$2:$Q$492,0)),"")</f>
        <v/>
      </c>
      <c r="H455" s="5" t="str">
        <f>IFERROR(INDEX('Output Utente'!$P$2:$P$492,MATCH(452,'Output Utente'!$Q$2:$Q$492,0)),"")</f>
        <v/>
      </c>
      <c r="I455" s="42" t="str">
        <f>IFERROR(INDEX('Output Utente'!$F$2:$F$492,MATCH(452,'Output Utente'!$Q$2:$Q$492,0)),"")</f>
        <v/>
      </c>
      <c r="J455" s="42" t="str">
        <f>IFERROR(INDEX('Output Utente'!$G$2:$G$492,MATCH(452,'Output Utente'!$Q$2:$Q$492,0)),"")</f>
        <v/>
      </c>
      <c r="K455" s="42" t="str">
        <f>IFERROR(INDEX('Output Utente'!$H$2:$H$492,MATCH(452,'Output Utente'!$Q$2:$Q$492,0)),"")</f>
        <v/>
      </c>
      <c r="L455" s="5" t="str">
        <f>IFERROR(INDEX('Output Utente'!$E$2:$E$492,MATCH(452,'Output Utente'!$Q$2:$Q$492,0)),"")</f>
        <v/>
      </c>
      <c r="M455" s="5" t="str">
        <f>IFERROR(INDEX('Output Utente'!$U$2:$U$492,MATCH(452,'Output Utente'!$Q$2:$Q$492,0)),"")</f>
        <v/>
      </c>
      <c r="N455" s="5" t="str">
        <f>IFERROR(INDEX('Output Utente'!$AE$2:$AE$492,MATCH(452,'Output Utente'!$Q$2:$Q$492,0)),"")</f>
        <v/>
      </c>
    </row>
    <row r="456" spans="1:14" ht="15" customHeight="1" x14ac:dyDescent="0.25">
      <c r="A456" s="41">
        <v>453</v>
      </c>
      <c r="B456" s="5" t="str">
        <f>IFERROR(INDEX('Output Utente'!$A$2:$A$492,MATCH(453,'Output Utente'!$Q$2:$Q$492,0)),"")</f>
        <v/>
      </c>
      <c r="C456" s="5" t="str">
        <f>IFERROR(INDEX('Output Utente'!$B$2:$B$492,MATCH(453,'Output Utente'!$Q$2:$Q$492,0)),"")</f>
        <v/>
      </c>
      <c r="D456" s="5" t="str">
        <f>IFERROR(INDEX('Output Utente'!$C$2:$C$492,MATCH(453,'Output Utente'!$Q$2:$Q$492,0)),"")</f>
        <v/>
      </c>
      <c r="E456" s="5" t="str">
        <f>IFERROR(INDEX('Input Giocatori 2026_27'!$D$3:$D$493,MATCH($B456,'Input Giocatori 2026_27'!$A$3:$A$493,0)),"")</f>
        <v/>
      </c>
      <c r="F456" s="42" t="str">
        <f>IFERROR(INDEX('Output Utente'!$N$2:$N$492,MATCH(453,'Output Utente'!$Q$2:$Q$492,0)),"")</f>
        <v/>
      </c>
      <c r="G456" s="42" t="str">
        <f>IFERROR(INDEX('Output Utente'!$O$2:$O$492,MATCH(453,'Output Utente'!$Q$2:$Q$492,0)),"")</f>
        <v/>
      </c>
      <c r="H456" s="5" t="str">
        <f>IFERROR(INDEX('Output Utente'!$P$2:$P$492,MATCH(453,'Output Utente'!$Q$2:$Q$492,0)),"")</f>
        <v/>
      </c>
      <c r="I456" s="42" t="str">
        <f>IFERROR(INDEX('Output Utente'!$F$2:$F$492,MATCH(453,'Output Utente'!$Q$2:$Q$492,0)),"")</f>
        <v/>
      </c>
      <c r="J456" s="42" t="str">
        <f>IFERROR(INDEX('Output Utente'!$G$2:$G$492,MATCH(453,'Output Utente'!$Q$2:$Q$492,0)),"")</f>
        <v/>
      </c>
      <c r="K456" s="42" t="str">
        <f>IFERROR(INDEX('Output Utente'!$H$2:$H$492,MATCH(453,'Output Utente'!$Q$2:$Q$492,0)),"")</f>
        <v/>
      </c>
      <c r="L456" s="5" t="str">
        <f>IFERROR(INDEX('Output Utente'!$E$2:$E$492,MATCH(453,'Output Utente'!$Q$2:$Q$492,0)),"")</f>
        <v/>
      </c>
      <c r="M456" s="5" t="str">
        <f>IFERROR(INDEX('Output Utente'!$U$2:$U$492,MATCH(453,'Output Utente'!$Q$2:$Q$492,0)),"")</f>
        <v/>
      </c>
      <c r="N456" s="5" t="str">
        <f>IFERROR(INDEX('Output Utente'!$AE$2:$AE$492,MATCH(453,'Output Utente'!$Q$2:$Q$492,0)),"")</f>
        <v/>
      </c>
    </row>
    <row r="457" spans="1:14" ht="15" customHeight="1" x14ac:dyDescent="0.25">
      <c r="A457" s="41">
        <v>454</v>
      </c>
      <c r="B457" s="5" t="str">
        <f>IFERROR(INDEX('Output Utente'!$A$2:$A$492,MATCH(454,'Output Utente'!$Q$2:$Q$492,0)),"")</f>
        <v/>
      </c>
      <c r="C457" s="5" t="str">
        <f>IFERROR(INDEX('Output Utente'!$B$2:$B$492,MATCH(454,'Output Utente'!$Q$2:$Q$492,0)),"")</f>
        <v/>
      </c>
      <c r="D457" s="5" t="str">
        <f>IFERROR(INDEX('Output Utente'!$C$2:$C$492,MATCH(454,'Output Utente'!$Q$2:$Q$492,0)),"")</f>
        <v/>
      </c>
      <c r="E457" s="5" t="str">
        <f>IFERROR(INDEX('Input Giocatori 2026_27'!$D$3:$D$493,MATCH($B457,'Input Giocatori 2026_27'!$A$3:$A$493,0)),"")</f>
        <v/>
      </c>
      <c r="F457" s="42" t="str">
        <f>IFERROR(INDEX('Output Utente'!$N$2:$N$492,MATCH(454,'Output Utente'!$Q$2:$Q$492,0)),"")</f>
        <v/>
      </c>
      <c r="G457" s="42" t="str">
        <f>IFERROR(INDEX('Output Utente'!$O$2:$O$492,MATCH(454,'Output Utente'!$Q$2:$Q$492,0)),"")</f>
        <v/>
      </c>
      <c r="H457" s="5" t="str">
        <f>IFERROR(INDEX('Output Utente'!$P$2:$P$492,MATCH(454,'Output Utente'!$Q$2:$Q$492,0)),"")</f>
        <v/>
      </c>
      <c r="I457" s="42" t="str">
        <f>IFERROR(INDEX('Output Utente'!$F$2:$F$492,MATCH(454,'Output Utente'!$Q$2:$Q$492,0)),"")</f>
        <v/>
      </c>
      <c r="J457" s="42" t="str">
        <f>IFERROR(INDEX('Output Utente'!$G$2:$G$492,MATCH(454,'Output Utente'!$Q$2:$Q$492,0)),"")</f>
        <v/>
      </c>
      <c r="K457" s="42" t="str">
        <f>IFERROR(INDEX('Output Utente'!$H$2:$H$492,MATCH(454,'Output Utente'!$Q$2:$Q$492,0)),"")</f>
        <v/>
      </c>
      <c r="L457" s="5" t="str">
        <f>IFERROR(INDEX('Output Utente'!$E$2:$E$492,MATCH(454,'Output Utente'!$Q$2:$Q$492,0)),"")</f>
        <v/>
      </c>
      <c r="M457" s="5" t="str">
        <f>IFERROR(INDEX('Output Utente'!$U$2:$U$492,MATCH(454,'Output Utente'!$Q$2:$Q$492,0)),"")</f>
        <v/>
      </c>
      <c r="N457" s="5" t="str">
        <f>IFERROR(INDEX('Output Utente'!$AE$2:$AE$492,MATCH(454,'Output Utente'!$Q$2:$Q$492,0)),"")</f>
        <v/>
      </c>
    </row>
    <row r="458" spans="1:14" ht="15" customHeight="1" x14ac:dyDescent="0.25">
      <c r="A458" s="41">
        <v>455</v>
      </c>
      <c r="B458" s="5" t="str">
        <f>IFERROR(INDEX('Output Utente'!$A$2:$A$492,MATCH(455,'Output Utente'!$Q$2:$Q$492,0)),"")</f>
        <v/>
      </c>
      <c r="C458" s="5" t="str">
        <f>IFERROR(INDEX('Output Utente'!$B$2:$B$492,MATCH(455,'Output Utente'!$Q$2:$Q$492,0)),"")</f>
        <v/>
      </c>
      <c r="D458" s="5" t="str">
        <f>IFERROR(INDEX('Output Utente'!$C$2:$C$492,MATCH(455,'Output Utente'!$Q$2:$Q$492,0)),"")</f>
        <v/>
      </c>
      <c r="E458" s="5" t="str">
        <f>IFERROR(INDEX('Input Giocatori 2026_27'!$D$3:$D$493,MATCH($B458,'Input Giocatori 2026_27'!$A$3:$A$493,0)),"")</f>
        <v/>
      </c>
      <c r="F458" s="42" t="str">
        <f>IFERROR(INDEX('Output Utente'!$N$2:$N$492,MATCH(455,'Output Utente'!$Q$2:$Q$492,0)),"")</f>
        <v/>
      </c>
      <c r="G458" s="42" t="str">
        <f>IFERROR(INDEX('Output Utente'!$O$2:$O$492,MATCH(455,'Output Utente'!$Q$2:$Q$492,0)),"")</f>
        <v/>
      </c>
      <c r="H458" s="5" t="str">
        <f>IFERROR(INDEX('Output Utente'!$P$2:$P$492,MATCH(455,'Output Utente'!$Q$2:$Q$492,0)),"")</f>
        <v/>
      </c>
      <c r="I458" s="42" t="str">
        <f>IFERROR(INDEX('Output Utente'!$F$2:$F$492,MATCH(455,'Output Utente'!$Q$2:$Q$492,0)),"")</f>
        <v/>
      </c>
      <c r="J458" s="42" t="str">
        <f>IFERROR(INDEX('Output Utente'!$G$2:$G$492,MATCH(455,'Output Utente'!$Q$2:$Q$492,0)),"")</f>
        <v/>
      </c>
      <c r="K458" s="42" t="str">
        <f>IFERROR(INDEX('Output Utente'!$H$2:$H$492,MATCH(455,'Output Utente'!$Q$2:$Q$492,0)),"")</f>
        <v/>
      </c>
      <c r="L458" s="5" t="str">
        <f>IFERROR(INDEX('Output Utente'!$E$2:$E$492,MATCH(455,'Output Utente'!$Q$2:$Q$492,0)),"")</f>
        <v/>
      </c>
      <c r="M458" s="5" t="str">
        <f>IFERROR(INDEX('Output Utente'!$U$2:$U$492,MATCH(455,'Output Utente'!$Q$2:$Q$492,0)),"")</f>
        <v/>
      </c>
      <c r="N458" s="5" t="str">
        <f>IFERROR(INDEX('Output Utente'!$AE$2:$AE$492,MATCH(455,'Output Utente'!$Q$2:$Q$492,0)),"")</f>
        <v/>
      </c>
    </row>
    <row r="459" spans="1:14" ht="15" customHeight="1" x14ac:dyDescent="0.25">
      <c r="A459" s="41">
        <v>456</v>
      </c>
      <c r="B459" s="5" t="str">
        <f>IFERROR(INDEX('Output Utente'!$A$2:$A$492,MATCH(456,'Output Utente'!$Q$2:$Q$492,0)),"")</f>
        <v/>
      </c>
      <c r="C459" s="5" t="str">
        <f>IFERROR(INDEX('Output Utente'!$B$2:$B$492,MATCH(456,'Output Utente'!$Q$2:$Q$492,0)),"")</f>
        <v/>
      </c>
      <c r="D459" s="5" t="str">
        <f>IFERROR(INDEX('Output Utente'!$C$2:$C$492,MATCH(456,'Output Utente'!$Q$2:$Q$492,0)),"")</f>
        <v/>
      </c>
      <c r="E459" s="5" t="str">
        <f>IFERROR(INDEX('Input Giocatori 2026_27'!$D$3:$D$493,MATCH($B459,'Input Giocatori 2026_27'!$A$3:$A$493,0)),"")</f>
        <v/>
      </c>
      <c r="F459" s="42" t="str">
        <f>IFERROR(INDEX('Output Utente'!$N$2:$N$492,MATCH(456,'Output Utente'!$Q$2:$Q$492,0)),"")</f>
        <v/>
      </c>
      <c r="G459" s="42" t="str">
        <f>IFERROR(INDEX('Output Utente'!$O$2:$O$492,MATCH(456,'Output Utente'!$Q$2:$Q$492,0)),"")</f>
        <v/>
      </c>
      <c r="H459" s="5" t="str">
        <f>IFERROR(INDEX('Output Utente'!$P$2:$P$492,MATCH(456,'Output Utente'!$Q$2:$Q$492,0)),"")</f>
        <v/>
      </c>
      <c r="I459" s="42" t="str">
        <f>IFERROR(INDEX('Output Utente'!$F$2:$F$492,MATCH(456,'Output Utente'!$Q$2:$Q$492,0)),"")</f>
        <v/>
      </c>
      <c r="J459" s="42" t="str">
        <f>IFERROR(INDEX('Output Utente'!$G$2:$G$492,MATCH(456,'Output Utente'!$Q$2:$Q$492,0)),"")</f>
        <v/>
      </c>
      <c r="K459" s="42" t="str">
        <f>IFERROR(INDEX('Output Utente'!$H$2:$H$492,MATCH(456,'Output Utente'!$Q$2:$Q$492,0)),"")</f>
        <v/>
      </c>
      <c r="L459" s="5" t="str">
        <f>IFERROR(INDEX('Output Utente'!$E$2:$E$492,MATCH(456,'Output Utente'!$Q$2:$Q$492,0)),"")</f>
        <v/>
      </c>
      <c r="M459" s="5" t="str">
        <f>IFERROR(INDEX('Output Utente'!$U$2:$U$492,MATCH(456,'Output Utente'!$Q$2:$Q$492,0)),"")</f>
        <v/>
      </c>
      <c r="N459" s="5" t="str">
        <f>IFERROR(INDEX('Output Utente'!$AE$2:$AE$492,MATCH(456,'Output Utente'!$Q$2:$Q$492,0)),"")</f>
        <v/>
      </c>
    </row>
    <row r="460" spans="1:14" ht="15" customHeight="1" x14ac:dyDescent="0.25">
      <c r="A460" s="41">
        <v>457</v>
      </c>
      <c r="B460" s="5" t="str">
        <f>IFERROR(INDEX('Output Utente'!$A$2:$A$492,MATCH(457,'Output Utente'!$Q$2:$Q$492,0)),"")</f>
        <v/>
      </c>
      <c r="C460" s="5" t="str">
        <f>IFERROR(INDEX('Output Utente'!$B$2:$B$492,MATCH(457,'Output Utente'!$Q$2:$Q$492,0)),"")</f>
        <v/>
      </c>
      <c r="D460" s="5" t="str">
        <f>IFERROR(INDEX('Output Utente'!$C$2:$C$492,MATCH(457,'Output Utente'!$Q$2:$Q$492,0)),"")</f>
        <v/>
      </c>
      <c r="E460" s="5" t="str">
        <f>IFERROR(INDEX('Input Giocatori 2026_27'!$D$3:$D$493,MATCH($B460,'Input Giocatori 2026_27'!$A$3:$A$493,0)),"")</f>
        <v/>
      </c>
      <c r="F460" s="42" t="str">
        <f>IFERROR(INDEX('Output Utente'!$N$2:$N$492,MATCH(457,'Output Utente'!$Q$2:$Q$492,0)),"")</f>
        <v/>
      </c>
      <c r="G460" s="42" t="str">
        <f>IFERROR(INDEX('Output Utente'!$O$2:$O$492,MATCH(457,'Output Utente'!$Q$2:$Q$492,0)),"")</f>
        <v/>
      </c>
      <c r="H460" s="5" t="str">
        <f>IFERROR(INDEX('Output Utente'!$P$2:$P$492,MATCH(457,'Output Utente'!$Q$2:$Q$492,0)),"")</f>
        <v/>
      </c>
      <c r="I460" s="42" t="str">
        <f>IFERROR(INDEX('Output Utente'!$F$2:$F$492,MATCH(457,'Output Utente'!$Q$2:$Q$492,0)),"")</f>
        <v/>
      </c>
      <c r="J460" s="42" t="str">
        <f>IFERROR(INDEX('Output Utente'!$G$2:$G$492,MATCH(457,'Output Utente'!$Q$2:$Q$492,0)),"")</f>
        <v/>
      </c>
      <c r="K460" s="42" t="str">
        <f>IFERROR(INDEX('Output Utente'!$H$2:$H$492,MATCH(457,'Output Utente'!$Q$2:$Q$492,0)),"")</f>
        <v/>
      </c>
      <c r="L460" s="5" t="str">
        <f>IFERROR(INDEX('Output Utente'!$E$2:$E$492,MATCH(457,'Output Utente'!$Q$2:$Q$492,0)),"")</f>
        <v/>
      </c>
      <c r="M460" s="5" t="str">
        <f>IFERROR(INDEX('Output Utente'!$U$2:$U$492,MATCH(457,'Output Utente'!$Q$2:$Q$492,0)),"")</f>
        <v/>
      </c>
      <c r="N460" s="5" t="str">
        <f>IFERROR(INDEX('Output Utente'!$AE$2:$AE$492,MATCH(457,'Output Utente'!$Q$2:$Q$492,0)),"")</f>
        <v/>
      </c>
    </row>
    <row r="461" spans="1:14" ht="15" customHeight="1" x14ac:dyDescent="0.25">
      <c r="A461" s="41">
        <v>458</v>
      </c>
      <c r="B461" s="5" t="str">
        <f>IFERROR(INDEX('Output Utente'!$A$2:$A$492,MATCH(458,'Output Utente'!$Q$2:$Q$492,0)),"")</f>
        <v/>
      </c>
      <c r="C461" s="5" t="str">
        <f>IFERROR(INDEX('Output Utente'!$B$2:$B$492,MATCH(458,'Output Utente'!$Q$2:$Q$492,0)),"")</f>
        <v/>
      </c>
      <c r="D461" s="5" t="str">
        <f>IFERROR(INDEX('Output Utente'!$C$2:$C$492,MATCH(458,'Output Utente'!$Q$2:$Q$492,0)),"")</f>
        <v/>
      </c>
      <c r="E461" s="5" t="str">
        <f>IFERROR(INDEX('Input Giocatori 2026_27'!$D$3:$D$493,MATCH($B461,'Input Giocatori 2026_27'!$A$3:$A$493,0)),"")</f>
        <v/>
      </c>
      <c r="F461" s="42" t="str">
        <f>IFERROR(INDEX('Output Utente'!$N$2:$N$492,MATCH(458,'Output Utente'!$Q$2:$Q$492,0)),"")</f>
        <v/>
      </c>
      <c r="G461" s="42" t="str">
        <f>IFERROR(INDEX('Output Utente'!$O$2:$O$492,MATCH(458,'Output Utente'!$Q$2:$Q$492,0)),"")</f>
        <v/>
      </c>
      <c r="H461" s="5" t="str">
        <f>IFERROR(INDEX('Output Utente'!$P$2:$P$492,MATCH(458,'Output Utente'!$Q$2:$Q$492,0)),"")</f>
        <v/>
      </c>
      <c r="I461" s="42" t="str">
        <f>IFERROR(INDEX('Output Utente'!$F$2:$F$492,MATCH(458,'Output Utente'!$Q$2:$Q$492,0)),"")</f>
        <v/>
      </c>
      <c r="J461" s="42" t="str">
        <f>IFERROR(INDEX('Output Utente'!$G$2:$G$492,MATCH(458,'Output Utente'!$Q$2:$Q$492,0)),"")</f>
        <v/>
      </c>
      <c r="K461" s="42" t="str">
        <f>IFERROR(INDEX('Output Utente'!$H$2:$H$492,MATCH(458,'Output Utente'!$Q$2:$Q$492,0)),"")</f>
        <v/>
      </c>
      <c r="L461" s="5" t="str">
        <f>IFERROR(INDEX('Output Utente'!$E$2:$E$492,MATCH(458,'Output Utente'!$Q$2:$Q$492,0)),"")</f>
        <v/>
      </c>
      <c r="M461" s="5" t="str">
        <f>IFERROR(INDEX('Output Utente'!$U$2:$U$492,MATCH(458,'Output Utente'!$Q$2:$Q$492,0)),"")</f>
        <v/>
      </c>
      <c r="N461" s="5" t="str">
        <f>IFERROR(INDEX('Output Utente'!$AE$2:$AE$492,MATCH(458,'Output Utente'!$Q$2:$Q$492,0)),"")</f>
        <v/>
      </c>
    </row>
    <row r="462" spans="1:14" ht="15" customHeight="1" x14ac:dyDescent="0.25">
      <c r="A462" s="41">
        <v>459</v>
      </c>
      <c r="B462" s="5" t="str">
        <f>IFERROR(INDEX('Output Utente'!$A$2:$A$492,MATCH(459,'Output Utente'!$Q$2:$Q$492,0)),"")</f>
        <v/>
      </c>
      <c r="C462" s="5" t="str">
        <f>IFERROR(INDEX('Output Utente'!$B$2:$B$492,MATCH(459,'Output Utente'!$Q$2:$Q$492,0)),"")</f>
        <v/>
      </c>
      <c r="D462" s="5" t="str">
        <f>IFERROR(INDEX('Output Utente'!$C$2:$C$492,MATCH(459,'Output Utente'!$Q$2:$Q$492,0)),"")</f>
        <v/>
      </c>
      <c r="E462" s="5" t="str">
        <f>IFERROR(INDEX('Input Giocatori 2026_27'!$D$3:$D$493,MATCH($B462,'Input Giocatori 2026_27'!$A$3:$A$493,0)),"")</f>
        <v/>
      </c>
      <c r="F462" s="42" t="str">
        <f>IFERROR(INDEX('Output Utente'!$N$2:$N$492,MATCH(459,'Output Utente'!$Q$2:$Q$492,0)),"")</f>
        <v/>
      </c>
      <c r="G462" s="42" t="str">
        <f>IFERROR(INDEX('Output Utente'!$O$2:$O$492,MATCH(459,'Output Utente'!$Q$2:$Q$492,0)),"")</f>
        <v/>
      </c>
      <c r="H462" s="5" t="str">
        <f>IFERROR(INDEX('Output Utente'!$P$2:$P$492,MATCH(459,'Output Utente'!$Q$2:$Q$492,0)),"")</f>
        <v/>
      </c>
      <c r="I462" s="42" t="str">
        <f>IFERROR(INDEX('Output Utente'!$F$2:$F$492,MATCH(459,'Output Utente'!$Q$2:$Q$492,0)),"")</f>
        <v/>
      </c>
      <c r="J462" s="42" t="str">
        <f>IFERROR(INDEX('Output Utente'!$G$2:$G$492,MATCH(459,'Output Utente'!$Q$2:$Q$492,0)),"")</f>
        <v/>
      </c>
      <c r="K462" s="42" t="str">
        <f>IFERROR(INDEX('Output Utente'!$H$2:$H$492,MATCH(459,'Output Utente'!$Q$2:$Q$492,0)),"")</f>
        <v/>
      </c>
      <c r="L462" s="5" t="str">
        <f>IFERROR(INDEX('Output Utente'!$E$2:$E$492,MATCH(459,'Output Utente'!$Q$2:$Q$492,0)),"")</f>
        <v/>
      </c>
      <c r="M462" s="5" t="str">
        <f>IFERROR(INDEX('Output Utente'!$U$2:$U$492,MATCH(459,'Output Utente'!$Q$2:$Q$492,0)),"")</f>
        <v/>
      </c>
      <c r="N462" s="5" t="str">
        <f>IFERROR(INDEX('Output Utente'!$AE$2:$AE$492,MATCH(459,'Output Utente'!$Q$2:$Q$492,0)),"")</f>
        <v/>
      </c>
    </row>
    <row r="463" spans="1:14" ht="15" customHeight="1" x14ac:dyDescent="0.25">
      <c r="A463" s="41">
        <v>460</v>
      </c>
      <c r="B463" s="5" t="str">
        <f>IFERROR(INDEX('Output Utente'!$A$2:$A$492,MATCH(460,'Output Utente'!$Q$2:$Q$492,0)),"")</f>
        <v/>
      </c>
      <c r="C463" s="5" t="str">
        <f>IFERROR(INDEX('Output Utente'!$B$2:$B$492,MATCH(460,'Output Utente'!$Q$2:$Q$492,0)),"")</f>
        <v/>
      </c>
      <c r="D463" s="5" t="str">
        <f>IFERROR(INDEX('Output Utente'!$C$2:$C$492,MATCH(460,'Output Utente'!$Q$2:$Q$492,0)),"")</f>
        <v/>
      </c>
      <c r="E463" s="5" t="str">
        <f>IFERROR(INDEX('Input Giocatori 2026_27'!$D$3:$D$493,MATCH($B463,'Input Giocatori 2026_27'!$A$3:$A$493,0)),"")</f>
        <v/>
      </c>
      <c r="F463" s="42" t="str">
        <f>IFERROR(INDEX('Output Utente'!$N$2:$N$492,MATCH(460,'Output Utente'!$Q$2:$Q$492,0)),"")</f>
        <v/>
      </c>
      <c r="G463" s="42" t="str">
        <f>IFERROR(INDEX('Output Utente'!$O$2:$O$492,MATCH(460,'Output Utente'!$Q$2:$Q$492,0)),"")</f>
        <v/>
      </c>
      <c r="H463" s="5" t="str">
        <f>IFERROR(INDEX('Output Utente'!$P$2:$P$492,MATCH(460,'Output Utente'!$Q$2:$Q$492,0)),"")</f>
        <v/>
      </c>
      <c r="I463" s="42" t="str">
        <f>IFERROR(INDEX('Output Utente'!$F$2:$F$492,MATCH(460,'Output Utente'!$Q$2:$Q$492,0)),"")</f>
        <v/>
      </c>
      <c r="J463" s="42" t="str">
        <f>IFERROR(INDEX('Output Utente'!$G$2:$G$492,MATCH(460,'Output Utente'!$Q$2:$Q$492,0)),"")</f>
        <v/>
      </c>
      <c r="K463" s="42" t="str">
        <f>IFERROR(INDEX('Output Utente'!$H$2:$H$492,MATCH(460,'Output Utente'!$Q$2:$Q$492,0)),"")</f>
        <v/>
      </c>
      <c r="L463" s="5" t="str">
        <f>IFERROR(INDEX('Output Utente'!$E$2:$E$492,MATCH(460,'Output Utente'!$Q$2:$Q$492,0)),"")</f>
        <v/>
      </c>
      <c r="M463" s="5" t="str">
        <f>IFERROR(INDEX('Output Utente'!$U$2:$U$492,MATCH(460,'Output Utente'!$Q$2:$Q$492,0)),"")</f>
        <v/>
      </c>
      <c r="N463" s="5" t="str">
        <f>IFERROR(INDEX('Output Utente'!$AE$2:$AE$492,MATCH(460,'Output Utente'!$Q$2:$Q$492,0)),"")</f>
        <v/>
      </c>
    </row>
    <row r="464" spans="1:14" ht="15" customHeight="1" x14ac:dyDescent="0.25">
      <c r="A464" s="41">
        <v>461</v>
      </c>
      <c r="B464" s="5" t="str">
        <f>IFERROR(INDEX('Output Utente'!$A$2:$A$492,MATCH(461,'Output Utente'!$Q$2:$Q$492,0)),"")</f>
        <v/>
      </c>
      <c r="C464" s="5" t="str">
        <f>IFERROR(INDEX('Output Utente'!$B$2:$B$492,MATCH(461,'Output Utente'!$Q$2:$Q$492,0)),"")</f>
        <v/>
      </c>
      <c r="D464" s="5" t="str">
        <f>IFERROR(INDEX('Output Utente'!$C$2:$C$492,MATCH(461,'Output Utente'!$Q$2:$Q$492,0)),"")</f>
        <v/>
      </c>
      <c r="E464" s="5" t="str">
        <f>IFERROR(INDEX('Input Giocatori 2026_27'!$D$3:$D$493,MATCH($B464,'Input Giocatori 2026_27'!$A$3:$A$493,0)),"")</f>
        <v/>
      </c>
      <c r="F464" s="42" t="str">
        <f>IFERROR(INDEX('Output Utente'!$N$2:$N$492,MATCH(461,'Output Utente'!$Q$2:$Q$492,0)),"")</f>
        <v/>
      </c>
      <c r="G464" s="42" t="str">
        <f>IFERROR(INDEX('Output Utente'!$O$2:$O$492,MATCH(461,'Output Utente'!$Q$2:$Q$492,0)),"")</f>
        <v/>
      </c>
      <c r="H464" s="5" t="str">
        <f>IFERROR(INDEX('Output Utente'!$P$2:$P$492,MATCH(461,'Output Utente'!$Q$2:$Q$492,0)),"")</f>
        <v/>
      </c>
      <c r="I464" s="42" t="str">
        <f>IFERROR(INDEX('Output Utente'!$F$2:$F$492,MATCH(461,'Output Utente'!$Q$2:$Q$492,0)),"")</f>
        <v/>
      </c>
      <c r="J464" s="42" t="str">
        <f>IFERROR(INDEX('Output Utente'!$G$2:$G$492,MATCH(461,'Output Utente'!$Q$2:$Q$492,0)),"")</f>
        <v/>
      </c>
      <c r="K464" s="42" t="str">
        <f>IFERROR(INDEX('Output Utente'!$H$2:$H$492,MATCH(461,'Output Utente'!$Q$2:$Q$492,0)),"")</f>
        <v/>
      </c>
      <c r="L464" s="5" t="str">
        <f>IFERROR(INDEX('Output Utente'!$E$2:$E$492,MATCH(461,'Output Utente'!$Q$2:$Q$492,0)),"")</f>
        <v/>
      </c>
      <c r="M464" s="5" t="str">
        <f>IFERROR(INDEX('Output Utente'!$U$2:$U$492,MATCH(461,'Output Utente'!$Q$2:$Q$492,0)),"")</f>
        <v/>
      </c>
      <c r="N464" s="5" t="str">
        <f>IFERROR(INDEX('Output Utente'!$AE$2:$AE$492,MATCH(461,'Output Utente'!$Q$2:$Q$492,0)),"")</f>
        <v/>
      </c>
    </row>
    <row r="465" spans="1:14" ht="15" customHeight="1" x14ac:dyDescent="0.25">
      <c r="A465" s="41">
        <v>462</v>
      </c>
      <c r="B465" s="5" t="str">
        <f>IFERROR(INDEX('Output Utente'!$A$2:$A$492,MATCH(462,'Output Utente'!$Q$2:$Q$492,0)),"")</f>
        <v/>
      </c>
      <c r="C465" s="5" t="str">
        <f>IFERROR(INDEX('Output Utente'!$B$2:$B$492,MATCH(462,'Output Utente'!$Q$2:$Q$492,0)),"")</f>
        <v/>
      </c>
      <c r="D465" s="5" t="str">
        <f>IFERROR(INDEX('Output Utente'!$C$2:$C$492,MATCH(462,'Output Utente'!$Q$2:$Q$492,0)),"")</f>
        <v/>
      </c>
      <c r="E465" s="5" t="str">
        <f>IFERROR(INDEX('Input Giocatori 2026_27'!$D$3:$D$493,MATCH($B465,'Input Giocatori 2026_27'!$A$3:$A$493,0)),"")</f>
        <v/>
      </c>
      <c r="F465" s="42" t="str">
        <f>IFERROR(INDEX('Output Utente'!$N$2:$N$492,MATCH(462,'Output Utente'!$Q$2:$Q$492,0)),"")</f>
        <v/>
      </c>
      <c r="G465" s="42" t="str">
        <f>IFERROR(INDEX('Output Utente'!$O$2:$O$492,MATCH(462,'Output Utente'!$Q$2:$Q$492,0)),"")</f>
        <v/>
      </c>
      <c r="H465" s="5" t="str">
        <f>IFERROR(INDEX('Output Utente'!$P$2:$P$492,MATCH(462,'Output Utente'!$Q$2:$Q$492,0)),"")</f>
        <v/>
      </c>
      <c r="I465" s="42" t="str">
        <f>IFERROR(INDEX('Output Utente'!$F$2:$F$492,MATCH(462,'Output Utente'!$Q$2:$Q$492,0)),"")</f>
        <v/>
      </c>
      <c r="J465" s="42" t="str">
        <f>IFERROR(INDEX('Output Utente'!$G$2:$G$492,MATCH(462,'Output Utente'!$Q$2:$Q$492,0)),"")</f>
        <v/>
      </c>
      <c r="K465" s="42" t="str">
        <f>IFERROR(INDEX('Output Utente'!$H$2:$H$492,MATCH(462,'Output Utente'!$Q$2:$Q$492,0)),"")</f>
        <v/>
      </c>
      <c r="L465" s="5" t="str">
        <f>IFERROR(INDEX('Output Utente'!$E$2:$E$492,MATCH(462,'Output Utente'!$Q$2:$Q$492,0)),"")</f>
        <v/>
      </c>
      <c r="M465" s="5" t="str">
        <f>IFERROR(INDEX('Output Utente'!$U$2:$U$492,MATCH(462,'Output Utente'!$Q$2:$Q$492,0)),"")</f>
        <v/>
      </c>
      <c r="N465" s="5" t="str">
        <f>IFERROR(INDEX('Output Utente'!$AE$2:$AE$492,MATCH(462,'Output Utente'!$Q$2:$Q$492,0)),"")</f>
        <v/>
      </c>
    </row>
    <row r="466" spans="1:14" ht="15" customHeight="1" x14ac:dyDescent="0.25">
      <c r="A466" s="41">
        <v>463</v>
      </c>
      <c r="B466" s="5" t="str">
        <f>IFERROR(INDEX('Output Utente'!$A$2:$A$492,MATCH(463,'Output Utente'!$Q$2:$Q$492,0)),"")</f>
        <v/>
      </c>
      <c r="C466" s="5" t="str">
        <f>IFERROR(INDEX('Output Utente'!$B$2:$B$492,MATCH(463,'Output Utente'!$Q$2:$Q$492,0)),"")</f>
        <v/>
      </c>
      <c r="D466" s="5" t="str">
        <f>IFERROR(INDEX('Output Utente'!$C$2:$C$492,MATCH(463,'Output Utente'!$Q$2:$Q$492,0)),"")</f>
        <v/>
      </c>
      <c r="E466" s="5" t="str">
        <f>IFERROR(INDEX('Input Giocatori 2026_27'!$D$3:$D$493,MATCH($B466,'Input Giocatori 2026_27'!$A$3:$A$493,0)),"")</f>
        <v/>
      </c>
      <c r="F466" s="42" t="str">
        <f>IFERROR(INDEX('Output Utente'!$N$2:$N$492,MATCH(463,'Output Utente'!$Q$2:$Q$492,0)),"")</f>
        <v/>
      </c>
      <c r="G466" s="42" t="str">
        <f>IFERROR(INDEX('Output Utente'!$O$2:$O$492,MATCH(463,'Output Utente'!$Q$2:$Q$492,0)),"")</f>
        <v/>
      </c>
      <c r="H466" s="5" t="str">
        <f>IFERROR(INDEX('Output Utente'!$P$2:$P$492,MATCH(463,'Output Utente'!$Q$2:$Q$492,0)),"")</f>
        <v/>
      </c>
      <c r="I466" s="42" t="str">
        <f>IFERROR(INDEX('Output Utente'!$F$2:$F$492,MATCH(463,'Output Utente'!$Q$2:$Q$492,0)),"")</f>
        <v/>
      </c>
      <c r="J466" s="42" t="str">
        <f>IFERROR(INDEX('Output Utente'!$G$2:$G$492,MATCH(463,'Output Utente'!$Q$2:$Q$492,0)),"")</f>
        <v/>
      </c>
      <c r="K466" s="42" t="str">
        <f>IFERROR(INDEX('Output Utente'!$H$2:$H$492,MATCH(463,'Output Utente'!$Q$2:$Q$492,0)),"")</f>
        <v/>
      </c>
      <c r="L466" s="5" t="str">
        <f>IFERROR(INDEX('Output Utente'!$E$2:$E$492,MATCH(463,'Output Utente'!$Q$2:$Q$492,0)),"")</f>
        <v/>
      </c>
      <c r="M466" s="5" t="str">
        <f>IFERROR(INDEX('Output Utente'!$U$2:$U$492,MATCH(463,'Output Utente'!$Q$2:$Q$492,0)),"")</f>
        <v/>
      </c>
      <c r="N466" s="5" t="str">
        <f>IFERROR(INDEX('Output Utente'!$AE$2:$AE$492,MATCH(463,'Output Utente'!$Q$2:$Q$492,0)),"")</f>
        <v/>
      </c>
    </row>
    <row r="467" spans="1:14" ht="15" customHeight="1" x14ac:dyDescent="0.25">
      <c r="A467" s="41">
        <v>464</v>
      </c>
      <c r="B467" s="5" t="str">
        <f>IFERROR(INDEX('Output Utente'!$A$2:$A$492,MATCH(464,'Output Utente'!$Q$2:$Q$492,0)),"")</f>
        <v/>
      </c>
      <c r="C467" s="5" t="str">
        <f>IFERROR(INDEX('Output Utente'!$B$2:$B$492,MATCH(464,'Output Utente'!$Q$2:$Q$492,0)),"")</f>
        <v/>
      </c>
      <c r="D467" s="5" t="str">
        <f>IFERROR(INDEX('Output Utente'!$C$2:$C$492,MATCH(464,'Output Utente'!$Q$2:$Q$492,0)),"")</f>
        <v/>
      </c>
      <c r="E467" s="5" t="str">
        <f>IFERROR(INDEX('Input Giocatori 2026_27'!$D$3:$D$493,MATCH($B467,'Input Giocatori 2026_27'!$A$3:$A$493,0)),"")</f>
        <v/>
      </c>
      <c r="F467" s="42" t="str">
        <f>IFERROR(INDEX('Output Utente'!$N$2:$N$492,MATCH(464,'Output Utente'!$Q$2:$Q$492,0)),"")</f>
        <v/>
      </c>
      <c r="G467" s="42" t="str">
        <f>IFERROR(INDEX('Output Utente'!$O$2:$O$492,MATCH(464,'Output Utente'!$Q$2:$Q$492,0)),"")</f>
        <v/>
      </c>
      <c r="H467" s="5" t="str">
        <f>IFERROR(INDEX('Output Utente'!$P$2:$P$492,MATCH(464,'Output Utente'!$Q$2:$Q$492,0)),"")</f>
        <v/>
      </c>
      <c r="I467" s="42" t="str">
        <f>IFERROR(INDEX('Output Utente'!$F$2:$F$492,MATCH(464,'Output Utente'!$Q$2:$Q$492,0)),"")</f>
        <v/>
      </c>
      <c r="J467" s="42" t="str">
        <f>IFERROR(INDEX('Output Utente'!$G$2:$G$492,MATCH(464,'Output Utente'!$Q$2:$Q$492,0)),"")</f>
        <v/>
      </c>
      <c r="K467" s="42" t="str">
        <f>IFERROR(INDEX('Output Utente'!$H$2:$H$492,MATCH(464,'Output Utente'!$Q$2:$Q$492,0)),"")</f>
        <v/>
      </c>
      <c r="L467" s="5" t="str">
        <f>IFERROR(INDEX('Output Utente'!$E$2:$E$492,MATCH(464,'Output Utente'!$Q$2:$Q$492,0)),"")</f>
        <v/>
      </c>
      <c r="M467" s="5" t="str">
        <f>IFERROR(INDEX('Output Utente'!$U$2:$U$492,MATCH(464,'Output Utente'!$Q$2:$Q$492,0)),"")</f>
        <v/>
      </c>
      <c r="N467" s="5" t="str">
        <f>IFERROR(INDEX('Output Utente'!$AE$2:$AE$492,MATCH(464,'Output Utente'!$Q$2:$Q$492,0)),"")</f>
        <v/>
      </c>
    </row>
    <row r="468" spans="1:14" ht="15" customHeight="1" x14ac:dyDescent="0.25">
      <c r="A468" s="41">
        <v>465</v>
      </c>
      <c r="B468" s="5" t="str">
        <f>IFERROR(INDEX('Output Utente'!$A$2:$A$492,MATCH(465,'Output Utente'!$Q$2:$Q$492,0)),"")</f>
        <v/>
      </c>
      <c r="C468" s="5" t="str">
        <f>IFERROR(INDEX('Output Utente'!$B$2:$B$492,MATCH(465,'Output Utente'!$Q$2:$Q$492,0)),"")</f>
        <v/>
      </c>
      <c r="D468" s="5" t="str">
        <f>IFERROR(INDEX('Output Utente'!$C$2:$C$492,MATCH(465,'Output Utente'!$Q$2:$Q$492,0)),"")</f>
        <v/>
      </c>
      <c r="E468" s="5" t="str">
        <f>IFERROR(INDEX('Input Giocatori 2026_27'!$D$3:$D$493,MATCH($B468,'Input Giocatori 2026_27'!$A$3:$A$493,0)),"")</f>
        <v/>
      </c>
      <c r="F468" s="42" t="str">
        <f>IFERROR(INDEX('Output Utente'!$N$2:$N$492,MATCH(465,'Output Utente'!$Q$2:$Q$492,0)),"")</f>
        <v/>
      </c>
      <c r="G468" s="42" t="str">
        <f>IFERROR(INDEX('Output Utente'!$O$2:$O$492,MATCH(465,'Output Utente'!$Q$2:$Q$492,0)),"")</f>
        <v/>
      </c>
      <c r="H468" s="5" t="str">
        <f>IFERROR(INDEX('Output Utente'!$P$2:$P$492,MATCH(465,'Output Utente'!$Q$2:$Q$492,0)),"")</f>
        <v/>
      </c>
      <c r="I468" s="42" t="str">
        <f>IFERROR(INDEX('Output Utente'!$F$2:$F$492,MATCH(465,'Output Utente'!$Q$2:$Q$492,0)),"")</f>
        <v/>
      </c>
      <c r="J468" s="42" t="str">
        <f>IFERROR(INDEX('Output Utente'!$G$2:$G$492,MATCH(465,'Output Utente'!$Q$2:$Q$492,0)),"")</f>
        <v/>
      </c>
      <c r="K468" s="42" t="str">
        <f>IFERROR(INDEX('Output Utente'!$H$2:$H$492,MATCH(465,'Output Utente'!$Q$2:$Q$492,0)),"")</f>
        <v/>
      </c>
      <c r="L468" s="5" t="str">
        <f>IFERROR(INDEX('Output Utente'!$E$2:$E$492,MATCH(465,'Output Utente'!$Q$2:$Q$492,0)),"")</f>
        <v/>
      </c>
      <c r="M468" s="5" t="str">
        <f>IFERROR(INDEX('Output Utente'!$U$2:$U$492,MATCH(465,'Output Utente'!$Q$2:$Q$492,0)),"")</f>
        <v/>
      </c>
      <c r="N468" s="5" t="str">
        <f>IFERROR(INDEX('Output Utente'!$AE$2:$AE$492,MATCH(465,'Output Utente'!$Q$2:$Q$492,0)),"")</f>
        <v/>
      </c>
    </row>
    <row r="469" spans="1:14" ht="15" customHeight="1" x14ac:dyDescent="0.25">
      <c r="A469" s="41">
        <v>466</v>
      </c>
      <c r="B469" s="5" t="str">
        <f>IFERROR(INDEX('Output Utente'!$A$2:$A$492,MATCH(466,'Output Utente'!$Q$2:$Q$492,0)),"")</f>
        <v/>
      </c>
      <c r="C469" s="5" t="str">
        <f>IFERROR(INDEX('Output Utente'!$B$2:$B$492,MATCH(466,'Output Utente'!$Q$2:$Q$492,0)),"")</f>
        <v/>
      </c>
      <c r="D469" s="5" t="str">
        <f>IFERROR(INDEX('Output Utente'!$C$2:$C$492,MATCH(466,'Output Utente'!$Q$2:$Q$492,0)),"")</f>
        <v/>
      </c>
      <c r="E469" s="5" t="str">
        <f>IFERROR(INDEX('Input Giocatori 2026_27'!$D$3:$D$493,MATCH($B469,'Input Giocatori 2026_27'!$A$3:$A$493,0)),"")</f>
        <v/>
      </c>
      <c r="F469" s="42" t="str">
        <f>IFERROR(INDEX('Output Utente'!$N$2:$N$492,MATCH(466,'Output Utente'!$Q$2:$Q$492,0)),"")</f>
        <v/>
      </c>
      <c r="G469" s="42" t="str">
        <f>IFERROR(INDEX('Output Utente'!$O$2:$O$492,MATCH(466,'Output Utente'!$Q$2:$Q$492,0)),"")</f>
        <v/>
      </c>
      <c r="H469" s="5" t="str">
        <f>IFERROR(INDEX('Output Utente'!$P$2:$P$492,MATCH(466,'Output Utente'!$Q$2:$Q$492,0)),"")</f>
        <v/>
      </c>
      <c r="I469" s="42" t="str">
        <f>IFERROR(INDEX('Output Utente'!$F$2:$F$492,MATCH(466,'Output Utente'!$Q$2:$Q$492,0)),"")</f>
        <v/>
      </c>
      <c r="J469" s="42" t="str">
        <f>IFERROR(INDEX('Output Utente'!$G$2:$G$492,MATCH(466,'Output Utente'!$Q$2:$Q$492,0)),"")</f>
        <v/>
      </c>
      <c r="K469" s="42" t="str">
        <f>IFERROR(INDEX('Output Utente'!$H$2:$H$492,MATCH(466,'Output Utente'!$Q$2:$Q$492,0)),"")</f>
        <v/>
      </c>
      <c r="L469" s="5" t="str">
        <f>IFERROR(INDEX('Output Utente'!$E$2:$E$492,MATCH(466,'Output Utente'!$Q$2:$Q$492,0)),"")</f>
        <v/>
      </c>
      <c r="M469" s="5" t="str">
        <f>IFERROR(INDEX('Output Utente'!$U$2:$U$492,MATCH(466,'Output Utente'!$Q$2:$Q$492,0)),"")</f>
        <v/>
      </c>
      <c r="N469" s="5" t="str">
        <f>IFERROR(INDEX('Output Utente'!$AE$2:$AE$492,MATCH(466,'Output Utente'!$Q$2:$Q$492,0)),"")</f>
        <v/>
      </c>
    </row>
    <row r="470" spans="1:14" ht="15" customHeight="1" x14ac:dyDescent="0.25">
      <c r="A470" s="41">
        <v>467</v>
      </c>
      <c r="B470" s="5" t="str">
        <f>IFERROR(INDEX('Output Utente'!$A$2:$A$492,MATCH(467,'Output Utente'!$Q$2:$Q$492,0)),"")</f>
        <v/>
      </c>
      <c r="C470" s="5" t="str">
        <f>IFERROR(INDEX('Output Utente'!$B$2:$B$492,MATCH(467,'Output Utente'!$Q$2:$Q$492,0)),"")</f>
        <v/>
      </c>
      <c r="D470" s="5" t="str">
        <f>IFERROR(INDEX('Output Utente'!$C$2:$C$492,MATCH(467,'Output Utente'!$Q$2:$Q$492,0)),"")</f>
        <v/>
      </c>
      <c r="E470" s="5" t="str">
        <f>IFERROR(INDEX('Input Giocatori 2026_27'!$D$3:$D$493,MATCH($B470,'Input Giocatori 2026_27'!$A$3:$A$493,0)),"")</f>
        <v/>
      </c>
      <c r="F470" s="42" t="str">
        <f>IFERROR(INDEX('Output Utente'!$N$2:$N$492,MATCH(467,'Output Utente'!$Q$2:$Q$492,0)),"")</f>
        <v/>
      </c>
      <c r="G470" s="42" t="str">
        <f>IFERROR(INDEX('Output Utente'!$O$2:$O$492,MATCH(467,'Output Utente'!$Q$2:$Q$492,0)),"")</f>
        <v/>
      </c>
      <c r="H470" s="5" t="str">
        <f>IFERROR(INDEX('Output Utente'!$P$2:$P$492,MATCH(467,'Output Utente'!$Q$2:$Q$492,0)),"")</f>
        <v/>
      </c>
      <c r="I470" s="42" t="str">
        <f>IFERROR(INDEX('Output Utente'!$F$2:$F$492,MATCH(467,'Output Utente'!$Q$2:$Q$492,0)),"")</f>
        <v/>
      </c>
      <c r="J470" s="42" t="str">
        <f>IFERROR(INDEX('Output Utente'!$G$2:$G$492,MATCH(467,'Output Utente'!$Q$2:$Q$492,0)),"")</f>
        <v/>
      </c>
      <c r="K470" s="42" t="str">
        <f>IFERROR(INDEX('Output Utente'!$H$2:$H$492,MATCH(467,'Output Utente'!$Q$2:$Q$492,0)),"")</f>
        <v/>
      </c>
      <c r="L470" s="5" t="str">
        <f>IFERROR(INDEX('Output Utente'!$E$2:$E$492,MATCH(467,'Output Utente'!$Q$2:$Q$492,0)),"")</f>
        <v/>
      </c>
      <c r="M470" s="5" t="str">
        <f>IFERROR(INDEX('Output Utente'!$U$2:$U$492,MATCH(467,'Output Utente'!$Q$2:$Q$492,0)),"")</f>
        <v/>
      </c>
      <c r="N470" s="5" t="str">
        <f>IFERROR(INDEX('Output Utente'!$AE$2:$AE$492,MATCH(467,'Output Utente'!$Q$2:$Q$492,0)),"")</f>
        <v/>
      </c>
    </row>
    <row r="471" spans="1:14" ht="15" customHeight="1" x14ac:dyDescent="0.25">
      <c r="A471" s="41">
        <v>468</v>
      </c>
      <c r="B471" s="5" t="str">
        <f>IFERROR(INDEX('Output Utente'!$A$2:$A$492,MATCH(468,'Output Utente'!$Q$2:$Q$492,0)),"")</f>
        <v/>
      </c>
      <c r="C471" s="5" t="str">
        <f>IFERROR(INDEX('Output Utente'!$B$2:$B$492,MATCH(468,'Output Utente'!$Q$2:$Q$492,0)),"")</f>
        <v/>
      </c>
      <c r="D471" s="5" t="str">
        <f>IFERROR(INDEX('Output Utente'!$C$2:$C$492,MATCH(468,'Output Utente'!$Q$2:$Q$492,0)),"")</f>
        <v/>
      </c>
      <c r="E471" s="5" t="str">
        <f>IFERROR(INDEX('Input Giocatori 2026_27'!$D$3:$D$493,MATCH($B471,'Input Giocatori 2026_27'!$A$3:$A$493,0)),"")</f>
        <v/>
      </c>
      <c r="F471" s="42" t="str">
        <f>IFERROR(INDEX('Output Utente'!$N$2:$N$492,MATCH(468,'Output Utente'!$Q$2:$Q$492,0)),"")</f>
        <v/>
      </c>
      <c r="G471" s="42" t="str">
        <f>IFERROR(INDEX('Output Utente'!$O$2:$O$492,MATCH(468,'Output Utente'!$Q$2:$Q$492,0)),"")</f>
        <v/>
      </c>
      <c r="H471" s="5" t="str">
        <f>IFERROR(INDEX('Output Utente'!$P$2:$P$492,MATCH(468,'Output Utente'!$Q$2:$Q$492,0)),"")</f>
        <v/>
      </c>
      <c r="I471" s="42" t="str">
        <f>IFERROR(INDEX('Output Utente'!$F$2:$F$492,MATCH(468,'Output Utente'!$Q$2:$Q$492,0)),"")</f>
        <v/>
      </c>
      <c r="J471" s="42" t="str">
        <f>IFERROR(INDEX('Output Utente'!$G$2:$G$492,MATCH(468,'Output Utente'!$Q$2:$Q$492,0)),"")</f>
        <v/>
      </c>
      <c r="K471" s="42" t="str">
        <f>IFERROR(INDEX('Output Utente'!$H$2:$H$492,MATCH(468,'Output Utente'!$Q$2:$Q$492,0)),"")</f>
        <v/>
      </c>
      <c r="L471" s="5" t="str">
        <f>IFERROR(INDEX('Output Utente'!$E$2:$E$492,MATCH(468,'Output Utente'!$Q$2:$Q$492,0)),"")</f>
        <v/>
      </c>
      <c r="M471" s="5" t="str">
        <f>IFERROR(INDEX('Output Utente'!$U$2:$U$492,MATCH(468,'Output Utente'!$Q$2:$Q$492,0)),"")</f>
        <v/>
      </c>
      <c r="N471" s="5" t="str">
        <f>IFERROR(INDEX('Output Utente'!$AE$2:$AE$492,MATCH(468,'Output Utente'!$Q$2:$Q$492,0)),"")</f>
        <v/>
      </c>
    </row>
    <row r="472" spans="1:14" ht="15" customHeight="1" x14ac:dyDescent="0.25">
      <c r="A472" s="41">
        <v>469</v>
      </c>
      <c r="B472" s="5" t="str">
        <f>IFERROR(INDEX('Output Utente'!$A$2:$A$492,MATCH(469,'Output Utente'!$Q$2:$Q$492,0)),"")</f>
        <v/>
      </c>
      <c r="C472" s="5" t="str">
        <f>IFERROR(INDEX('Output Utente'!$B$2:$B$492,MATCH(469,'Output Utente'!$Q$2:$Q$492,0)),"")</f>
        <v/>
      </c>
      <c r="D472" s="5" t="str">
        <f>IFERROR(INDEX('Output Utente'!$C$2:$C$492,MATCH(469,'Output Utente'!$Q$2:$Q$492,0)),"")</f>
        <v/>
      </c>
      <c r="E472" s="5" t="str">
        <f>IFERROR(INDEX('Input Giocatori 2026_27'!$D$3:$D$493,MATCH($B472,'Input Giocatori 2026_27'!$A$3:$A$493,0)),"")</f>
        <v/>
      </c>
      <c r="F472" s="42" t="str">
        <f>IFERROR(INDEX('Output Utente'!$N$2:$N$492,MATCH(469,'Output Utente'!$Q$2:$Q$492,0)),"")</f>
        <v/>
      </c>
      <c r="G472" s="42" t="str">
        <f>IFERROR(INDEX('Output Utente'!$O$2:$O$492,MATCH(469,'Output Utente'!$Q$2:$Q$492,0)),"")</f>
        <v/>
      </c>
      <c r="H472" s="5" t="str">
        <f>IFERROR(INDEX('Output Utente'!$P$2:$P$492,MATCH(469,'Output Utente'!$Q$2:$Q$492,0)),"")</f>
        <v/>
      </c>
      <c r="I472" s="42" t="str">
        <f>IFERROR(INDEX('Output Utente'!$F$2:$F$492,MATCH(469,'Output Utente'!$Q$2:$Q$492,0)),"")</f>
        <v/>
      </c>
      <c r="J472" s="42" t="str">
        <f>IFERROR(INDEX('Output Utente'!$G$2:$G$492,MATCH(469,'Output Utente'!$Q$2:$Q$492,0)),"")</f>
        <v/>
      </c>
      <c r="K472" s="42" t="str">
        <f>IFERROR(INDEX('Output Utente'!$H$2:$H$492,MATCH(469,'Output Utente'!$Q$2:$Q$492,0)),"")</f>
        <v/>
      </c>
      <c r="L472" s="5" t="str">
        <f>IFERROR(INDEX('Output Utente'!$E$2:$E$492,MATCH(469,'Output Utente'!$Q$2:$Q$492,0)),"")</f>
        <v/>
      </c>
      <c r="M472" s="5" t="str">
        <f>IFERROR(INDEX('Output Utente'!$U$2:$U$492,MATCH(469,'Output Utente'!$Q$2:$Q$492,0)),"")</f>
        <v/>
      </c>
      <c r="N472" s="5" t="str">
        <f>IFERROR(INDEX('Output Utente'!$AE$2:$AE$492,MATCH(469,'Output Utente'!$Q$2:$Q$492,0)),"")</f>
        <v/>
      </c>
    </row>
    <row r="473" spans="1:14" ht="15" customHeight="1" x14ac:dyDescent="0.25">
      <c r="A473" s="41">
        <v>470</v>
      </c>
      <c r="B473" s="5" t="str">
        <f>IFERROR(INDEX('Output Utente'!$A$2:$A$492,MATCH(470,'Output Utente'!$Q$2:$Q$492,0)),"")</f>
        <v/>
      </c>
      <c r="C473" s="5" t="str">
        <f>IFERROR(INDEX('Output Utente'!$B$2:$B$492,MATCH(470,'Output Utente'!$Q$2:$Q$492,0)),"")</f>
        <v/>
      </c>
      <c r="D473" s="5" t="str">
        <f>IFERROR(INDEX('Output Utente'!$C$2:$C$492,MATCH(470,'Output Utente'!$Q$2:$Q$492,0)),"")</f>
        <v/>
      </c>
      <c r="E473" s="5" t="str">
        <f>IFERROR(INDEX('Input Giocatori 2026_27'!$D$3:$D$493,MATCH($B473,'Input Giocatori 2026_27'!$A$3:$A$493,0)),"")</f>
        <v/>
      </c>
      <c r="F473" s="42" t="str">
        <f>IFERROR(INDEX('Output Utente'!$N$2:$N$492,MATCH(470,'Output Utente'!$Q$2:$Q$492,0)),"")</f>
        <v/>
      </c>
      <c r="G473" s="42" t="str">
        <f>IFERROR(INDEX('Output Utente'!$O$2:$O$492,MATCH(470,'Output Utente'!$Q$2:$Q$492,0)),"")</f>
        <v/>
      </c>
      <c r="H473" s="5" t="str">
        <f>IFERROR(INDEX('Output Utente'!$P$2:$P$492,MATCH(470,'Output Utente'!$Q$2:$Q$492,0)),"")</f>
        <v/>
      </c>
      <c r="I473" s="42" t="str">
        <f>IFERROR(INDEX('Output Utente'!$F$2:$F$492,MATCH(470,'Output Utente'!$Q$2:$Q$492,0)),"")</f>
        <v/>
      </c>
      <c r="J473" s="42" t="str">
        <f>IFERROR(INDEX('Output Utente'!$G$2:$G$492,MATCH(470,'Output Utente'!$Q$2:$Q$492,0)),"")</f>
        <v/>
      </c>
      <c r="K473" s="42" t="str">
        <f>IFERROR(INDEX('Output Utente'!$H$2:$H$492,MATCH(470,'Output Utente'!$Q$2:$Q$492,0)),"")</f>
        <v/>
      </c>
      <c r="L473" s="5" t="str">
        <f>IFERROR(INDEX('Output Utente'!$E$2:$E$492,MATCH(470,'Output Utente'!$Q$2:$Q$492,0)),"")</f>
        <v/>
      </c>
      <c r="M473" s="5" t="str">
        <f>IFERROR(INDEX('Output Utente'!$U$2:$U$492,MATCH(470,'Output Utente'!$Q$2:$Q$492,0)),"")</f>
        <v/>
      </c>
      <c r="N473" s="5" t="str">
        <f>IFERROR(INDEX('Output Utente'!$AE$2:$AE$492,MATCH(470,'Output Utente'!$Q$2:$Q$492,0)),"")</f>
        <v/>
      </c>
    </row>
    <row r="474" spans="1:14" ht="15" customHeight="1" x14ac:dyDescent="0.25">
      <c r="A474" s="41">
        <v>471</v>
      </c>
      <c r="B474" s="5" t="str">
        <f>IFERROR(INDEX('Output Utente'!$A$2:$A$492,MATCH(471,'Output Utente'!$Q$2:$Q$492,0)),"")</f>
        <v/>
      </c>
      <c r="C474" s="5" t="str">
        <f>IFERROR(INDEX('Output Utente'!$B$2:$B$492,MATCH(471,'Output Utente'!$Q$2:$Q$492,0)),"")</f>
        <v/>
      </c>
      <c r="D474" s="5" t="str">
        <f>IFERROR(INDEX('Output Utente'!$C$2:$C$492,MATCH(471,'Output Utente'!$Q$2:$Q$492,0)),"")</f>
        <v/>
      </c>
      <c r="E474" s="5" t="str">
        <f>IFERROR(INDEX('Input Giocatori 2026_27'!$D$3:$D$493,MATCH($B474,'Input Giocatori 2026_27'!$A$3:$A$493,0)),"")</f>
        <v/>
      </c>
      <c r="F474" s="42" t="str">
        <f>IFERROR(INDEX('Output Utente'!$N$2:$N$492,MATCH(471,'Output Utente'!$Q$2:$Q$492,0)),"")</f>
        <v/>
      </c>
      <c r="G474" s="42" t="str">
        <f>IFERROR(INDEX('Output Utente'!$O$2:$O$492,MATCH(471,'Output Utente'!$Q$2:$Q$492,0)),"")</f>
        <v/>
      </c>
      <c r="H474" s="5" t="str">
        <f>IFERROR(INDEX('Output Utente'!$P$2:$P$492,MATCH(471,'Output Utente'!$Q$2:$Q$492,0)),"")</f>
        <v/>
      </c>
      <c r="I474" s="42" t="str">
        <f>IFERROR(INDEX('Output Utente'!$F$2:$F$492,MATCH(471,'Output Utente'!$Q$2:$Q$492,0)),"")</f>
        <v/>
      </c>
      <c r="J474" s="42" t="str">
        <f>IFERROR(INDEX('Output Utente'!$G$2:$G$492,MATCH(471,'Output Utente'!$Q$2:$Q$492,0)),"")</f>
        <v/>
      </c>
      <c r="K474" s="42" t="str">
        <f>IFERROR(INDEX('Output Utente'!$H$2:$H$492,MATCH(471,'Output Utente'!$Q$2:$Q$492,0)),"")</f>
        <v/>
      </c>
      <c r="L474" s="5" t="str">
        <f>IFERROR(INDEX('Output Utente'!$E$2:$E$492,MATCH(471,'Output Utente'!$Q$2:$Q$492,0)),"")</f>
        <v/>
      </c>
      <c r="M474" s="5" t="str">
        <f>IFERROR(INDEX('Output Utente'!$U$2:$U$492,MATCH(471,'Output Utente'!$Q$2:$Q$492,0)),"")</f>
        <v/>
      </c>
      <c r="N474" s="5" t="str">
        <f>IFERROR(INDEX('Output Utente'!$AE$2:$AE$492,MATCH(471,'Output Utente'!$Q$2:$Q$492,0)),"")</f>
        <v/>
      </c>
    </row>
    <row r="475" spans="1:14" ht="15" customHeight="1" x14ac:dyDescent="0.25">
      <c r="A475" s="41">
        <v>472</v>
      </c>
      <c r="B475" s="5" t="str">
        <f>IFERROR(INDEX('Output Utente'!$A$2:$A$492,MATCH(472,'Output Utente'!$Q$2:$Q$492,0)),"")</f>
        <v/>
      </c>
      <c r="C475" s="5" t="str">
        <f>IFERROR(INDEX('Output Utente'!$B$2:$B$492,MATCH(472,'Output Utente'!$Q$2:$Q$492,0)),"")</f>
        <v/>
      </c>
      <c r="D475" s="5" t="str">
        <f>IFERROR(INDEX('Output Utente'!$C$2:$C$492,MATCH(472,'Output Utente'!$Q$2:$Q$492,0)),"")</f>
        <v/>
      </c>
      <c r="E475" s="5" t="str">
        <f>IFERROR(INDEX('Input Giocatori 2026_27'!$D$3:$D$493,MATCH($B475,'Input Giocatori 2026_27'!$A$3:$A$493,0)),"")</f>
        <v/>
      </c>
      <c r="F475" s="42" t="str">
        <f>IFERROR(INDEX('Output Utente'!$N$2:$N$492,MATCH(472,'Output Utente'!$Q$2:$Q$492,0)),"")</f>
        <v/>
      </c>
      <c r="G475" s="42" t="str">
        <f>IFERROR(INDEX('Output Utente'!$O$2:$O$492,MATCH(472,'Output Utente'!$Q$2:$Q$492,0)),"")</f>
        <v/>
      </c>
      <c r="H475" s="5" t="str">
        <f>IFERROR(INDEX('Output Utente'!$P$2:$P$492,MATCH(472,'Output Utente'!$Q$2:$Q$492,0)),"")</f>
        <v/>
      </c>
      <c r="I475" s="42" t="str">
        <f>IFERROR(INDEX('Output Utente'!$F$2:$F$492,MATCH(472,'Output Utente'!$Q$2:$Q$492,0)),"")</f>
        <v/>
      </c>
      <c r="J475" s="42" t="str">
        <f>IFERROR(INDEX('Output Utente'!$G$2:$G$492,MATCH(472,'Output Utente'!$Q$2:$Q$492,0)),"")</f>
        <v/>
      </c>
      <c r="K475" s="42" t="str">
        <f>IFERROR(INDEX('Output Utente'!$H$2:$H$492,MATCH(472,'Output Utente'!$Q$2:$Q$492,0)),"")</f>
        <v/>
      </c>
      <c r="L475" s="5" t="str">
        <f>IFERROR(INDEX('Output Utente'!$E$2:$E$492,MATCH(472,'Output Utente'!$Q$2:$Q$492,0)),"")</f>
        <v/>
      </c>
      <c r="M475" s="5" t="str">
        <f>IFERROR(INDEX('Output Utente'!$U$2:$U$492,MATCH(472,'Output Utente'!$Q$2:$Q$492,0)),"")</f>
        <v/>
      </c>
      <c r="N475" s="5" t="str">
        <f>IFERROR(INDEX('Output Utente'!$AE$2:$AE$492,MATCH(472,'Output Utente'!$Q$2:$Q$492,0)),"")</f>
        <v/>
      </c>
    </row>
    <row r="476" spans="1:14" ht="15" customHeight="1" x14ac:dyDescent="0.25">
      <c r="A476" s="41">
        <v>473</v>
      </c>
      <c r="B476" s="5" t="str">
        <f>IFERROR(INDEX('Output Utente'!$A$2:$A$492,MATCH(473,'Output Utente'!$Q$2:$Q$492,0)),"")</f>
        <v/>
      </c>
      <c r="C476" s="5" t="str">
        <f>IFERROR(INDEX('Output Utente'!$B$2:$B$492,MATCH(473,'Output Utente'!$Q$2:$Q$492,0)),"")</f>
        <v/>
      </c>
      <c r="D476" s="5" t="str">
        <f>IFERROR(INDEX('Output Utente'!$C$2:$C$492,MATCH(473,'Output Utente'!$Q$2:$Q$492,0)),"")</f>
        <v/>
      </c>
      <c r="E476" s="5" t="str">
        <f>IFERROR(INDEX('Input Giocatori 2026_27'!$D$3:$D$493,MATCH($B476,'Input Giocatori 2026_27'!$A$3:$A$493,0)),"")</f>
        <v/>
      </c>
      <c r="F476" s="42" t="str">
        <f>IFERROR(INDEX('Output Utente'!$N$2:$N$492,MATCH(473,'Output Utente'!$Q$2:$Q$492,0)),"")</f>
        <v/>
      </c>
      <c r="G476" s="42" t="str">
        <f>IFERROR(INDEX('Output Utente'!$O$2:$O$492,MATCH(473,'Output Utente'!$Q$2:$Q$492,0)),"")</f>
        <v/>
      </c>
      <c r="H476" s="5" t="str">
        <f>IFERROR(INDEX('Output Utente'!$P$2:$P$492,MATCH(473,'Output Utente'!$Q$2:$Q$492,0)),"")</f>
        <v/>
      </c>
      <c r="I476" s="42" t="str">
        <f>IFERROR(INDEX('Output Utente'!$F$2:$F$492,MATCH(473,'Output Utente'!$Q$2:$Q$492,0)),"")</f>
        <v/>
      </c>
      <c r="J476" s="42" t="str">
        <f>IFERROR(INDEX('Output Utente'!$G$2:$G$492,MATCH(473,'Output Utente'!$Q$2:$Q$492,0)),"")</f>
        <v/>
      </c>
      <c r="K476" s="42" t="str">
        <f>IFERROR(INDEX('Output Utente'!$H$2:$H$492,MATCH(473,'Output Utente'!$Q$2:$Q$492,0)),"")</f>
        <v/>
      </c>
      <c r="L476" s="5" t="str">
        <f>IFERROR(INDEX('Output Utente'!$E$2:$E$492,MATCH(473,'Output Utente'!$Q$2:$Q$492,0)),"")</f>
        <v/>
      </c>
      <c r="M476" s="5" t="str">
        <f>IFERROR(INDEX('Output Utente'!$U$2:$U$492,MATCH(473,'Output Utente'!$Q$2:$Q$492,0)),"")</f>
        <v/>
      </c>
      <c r="N476" s="5" t="str">
        <f>IFERROR(INDEX('Output Utente'!$AE$2:$AE$492,MATCH(473,'Output Utente'!$Q$2:$Q$492,0)),"")</f>
        <v/>
      </c>
    </row>
    <row r="477" spans="1:14" ht="15" customHeight="1" x14ac:dyDescent="0.25">
      <c r="A477" s="41">
        <v>474</v>
      </c>
      <c r="B477" s="5" t="str">
        <f>IFERROR(INDEX('Output Utente'!$A$2:$A$492,MATCH(474,'Output Utente'!$Q$2:$Q$492,0)),"")</f>
        <v/>
      </c>
      <c r="C477" s="5" t="str">
        <f>IFERROR(INDEX('Output Utente'!$B$2:$B$492,MATCH(474,'Output Utente'!$Q$2:$Q$492,0)),"")</f>
        <v/>
      </c>
      <c r="D477" s="5" t="str">
        <f>IFERROR(INDEX('Output Utente'!$C$2:$C$492,MATCH(474,'Output Utente'!$Q$2:$Q$492,0)),"")</f>
        <v/>
      </c>
      <c r="E477" s="5" t="str">
        <f>IFERROR(INDEX('Input Giocatori 2026_27'!$D$3:$D$493,MATCH($B477,'Input Giocatori 2026_27'!$A$3:$A$493,0)),"")</f>
        <v/>
      </c>
      <c r="F477" s="42" t="str">
        <f>IFERROR(INDEX('Output Utente'!$N$2:$N$492,MATCH(474,'Output Utente'!$Q$2:$Q$492,0)),"")</f>
        <v/>
      </c>
      <c r="G477" s="42" t="str">
        <f>IFERROR(INDEX('Output Utente'!$O$2:$O$492,MATCH(474,'Output Utente'!$Q$2:$Q$492,0)),"")</f>
        <v/>
      </c>
      <c r="H477" s="5" t="str">
        <f>IFERROR(INDEX('Output Utente'!$P$2:$P$492,MATCH(474,'Output Utente'!$Q$2:$Q$492,0)),"")</f>
        <v/>
      </c>
      <c r="I477" s="42" t="str">
        <f>IFERROR(INDEX('Output Utente'!$F$2:$F$492,MATCH(474,'Output Utente'!$Q$2:$Q$492,0)),"")</f>
        <v/>
      </c>
      <c r="J477" s="42" t="str">
        <f>IFERROR(INDEX('Output Utente'!$G$2:$G$492,MATCH(474,'Output Utente'!$Q$2:$Q$492,0)),"")</f>
        <v/>
      </c>
      <c r="K477" s="42" t="str">
        <f>IFERROR(INDEX('Output Utente'!$H$2:$H$492,MATCH(474,'Output Utente'!$Q$2:$Q$492,0)),"")</f>
        <v/>
      </c>
      <c r="L477" s="5" t="str">
        <f>IFERROR(INDEX('Output Utente'!$E$2:$E$492,MATCH(474,'Output Utente'!$Q$2:$Q$492,0)),"")</f>
        <v/>
      </c>
      <c r="M477" s="5" t="str">
        <f>IFERROR(INDEX('Output Utente'!$U$2:$U$492,MATCH(474,'Output Utente'!$Q$2:$Q$492,0)),"")</f>
        <v/>
      </c>
      <c r="N477" s="5" t="str">
        <f>IFERROR(INDEX('Output Utente'!$AE$2:$AE$492,MATCH(474,'Output Utente'!$Q$2:$Q$492,0)),"")</f>
        <v/>
      </c>
    </row>
    <row r="478" spans="1:14" ht="15" customHeight="1" x14ac:dyDescent="0.25">
      <c r="A478" s="41">
        <v>475</v>
      </c>
      <c r="B478" s="5" t="str">
        <f>IFERROR(INDEX('Output Utente'!$A$2:$A$492,MATCH(475,'Output Utente'!$Q$2:$Q$492,0)),"")</f>
        <v/>
      </c>
      <c r="C478" s="5" t="str">
        <f>IFERROR(INDEX('Output Utente'!$B$2:$B$492,MATCH(475,'Output Utente'!$Q$2:$Q$492,0)),"")</f>
        <v/>
      </c>
      <c r="D478" s="5" t="str">
        <f>IFERROR(INDEX('Output Utente'!$C$2:$C$492,MATCH(475,'Output Utente'!$Q$2:$Q$492,0)),"")</f>
        <v/>
      </c>
      <c r="E478" s="5" t="str">
        <f>IFERROR(INDEX('Input Giocatori 2026_27'!$D$3:$D$493,MATCH($B478,'Input Giocatori 2026_27'!$A$3:$A$493,0)),"")</f>
        <v/>
      </c>
      <c r="F478" s="42" t="str">
        <f>IFERROR(INDEX('Output Utente'!$N$2:$N$492,MATCH(475,'Output Utente'!$Q$2:$Q$492,0)),"")</f>
        <v/>
      </c>
      <c r="G478" s="42" t="str">
        <f>IFERROR(INDEX('Output Utente'!$O$2:$O$492,MATCH(475,'Output Utente'!$Q$2:$Q$492,0)),"")</f>
        <v/>
      </c>
      <c r="H478" s="5" t="str">
        <f>IFERROR(INDEX('Output Utente'!$P$2:$P$492,MATCH(475,'Output Utente'!$Q$2:$Q$492,0)),"")</f>
        <v/>
      </c>
      <c r="I478" s="42" t="str">
        <f>IFERROR(INDEX('Output Utente'!$F$2:$F$492,MATCH(475,'Output Utente'!$Q$2:$Q$492,0)),"")</f>
        <v/>
      </c>
      <c r="J478" s="42" t="str">
        <f>IFERROR(INDEX('Output Utente'!$G$2:$G$492,MATCH(475,'Output Utente'!$Q$2:$Q$492,0)),"")</f>
        <v/>
      </c>
      <c r="K478" s="42" t="str">
        <f>IFERROR(INDEX('Output Utente'!$H$2:$H$492,MATCH(475,'Output Utente'!$Q$2:$Q$492,0)),"")</f>
        <v/>
      </c>
      <c r="L478" s="5" t="str">
        <f>IFERROR(INDEX('Output Utente'!$E$2:$E$492,MATCH(475,'Output Utente'!$Q$2:$Q$492,0)),"")</f>
        <v/>
      </c>
      <c r="M478" s="5" t="str">
        <f>IFERROR(INDEX('Output Utente'!$U$2:$U$492,MATCH(475,'Output Utente'!$Q$2:$Q$492,0)),"")</f>
        <v/>
      </c>
      <c r="N478" s="5" t="str">
        <f>IFERROR(INDEX('Output Utente'!$AE$2:$AE$492,MATCH(475,'Output Utente'!$Q$2:$Q$492,0)),"")</f>
        <v/>
      </c>
    </row>
    <row r="479" spans="1:14" ht="15" customHeight="1" x14ac:dyDescent="0.25">
      <c r="A479" s="41">
        <v>476</v>
      </c>
      <c r="B479" s="5" t="str">
        <f>IFERROR(INDEX('Output Utente'!$A$2:$A$492,MATCH(476,'Output Utente'!$Q$2:$Q$492,0)),"")</f>
        <v/>
      </c>
      <c r="C479" s="5" t="str">
        <f>IFERROR(INDEX('Output Utente'!$B$2:$B$492,MATCH(476,'Output Utente'!$Q$2:$Q$492,0)),"")</f>
        <v/>
      </c>
      <c r="D479" s="5" t="str">
        <f>IFERROR(INDEX('Output Utente'!$C$2:$C$492,MATCH(476,'Output Utente'!$Q$2:$Q$492,0)),"")</f>
        <v/>
      </c>
      <c r="E479" s="5" t="str">
        <f>IFERROR(INDEX('Input Giocatori 2026_27'!$D$3:$D$493,MATCH($B479,'Input Giocatori 2026_27'!$A$3:$A$493,0)),"")</f>
        <v/>
      </c>
      <c r="F479" s="42" t="str">
        <f>IFERROR(INDEX('Output Utente'!$N$2:$N$492,MATCH(476,'Output Utente'!$Q$2:$Q$492,0)),"")</f>
        <v/>
      </c>
      <c r="G479" s="42" t="str">
        <f>IFERROR(INDEX('Output Utente'!$O$2:$O$492,MATCH(476,'Output Utente'!$Q$2:$Q$492,0)),"")</f>
        <v/>
      </c>
      <c r="H479" s="5" t="str">
        <f>IFERROR(INDEX('Output Utente'!$P$2:$P$492,MATCH(476,'Output Utente'!$Q$2:$Q$492,0)),"")</f>
        <v/>
      </c>
      <c r="I479" s="42" t="str">
        <f>IFERROR(INDEX('Output Utente'!$F$2:$F$492,MATCH(476,'Output Utente'!$Q$2:$Q$492,0)),"")</f>
        <v/>
      </c>
      <c r="J479" s="42" t="str">
        <f>IFERROR(INDEX('Output Utente'!$G$2:$G$492,MATCH(476,'Output Utente'!$Q$2:$Q$492,0)),"")</f>
        <v/>
      </c>
      <c r="K479" s="42" t="str">
        <f>IFERROR(INDEX('Output Utente'!$H$2:$H$492,MATCH(476,'Output Utente'!$Q$2:$Q$492,0)),"")</f>
        <v/>
      </c>
      <c r="L479" s="5" t="str">
        <f>IFERROR(INDEX('Output Utente'!$E$2:$E$492,MATCH(476,'Output Utente'!$Q$2:$Q$492,0)),"")</f>
        <v/>
      </c>
      <c r="M479" s="5" t="str">
        <f>IFERROR(INDEX('Output Utente'!$U$2:$U$492,MATCH(476,'Output Utente'!$Q$2:$Q$492,0)),"")</f>
        <v/>
      </c>
      <c r="N479" s="5" t="str">
        <f>IFERROR(INDEX('Output Utente'!$AE$2:$AE$492,MATCH(476,'Output Utente'!$Q$2:$Q$492,0)),"")</f>
        <v/>
      </c>
    </row>
    <row r="480" spans="1:14" ht="15" customHeight="1" x14ac:dyDescent="0.25">
      <c r="A480" s="41">
        <v>477</v>
      </c>
      <c r="B480" s="5" t="str">
        <f>IFERROR(INDEX('Output Utente'!$A$2:$A$492,MATCH(477,'Output Utente'!$Q$2:$Q$492,0)),"")</f>
        <v/>
      </c>
      <c r="C480" s="5" t="str">
        <f>IFERROR(INDEX('Output Utente'!$B$2:$B$492,MATCH(477,'Output Utente'!$Q$2:$Q$492,0)),"")</f>
        <v/>
      </c>
      <c r="D480" s="5" t="str">
        <f>IFERROR(INDEX('Output Utente'!$C$2:$C$492,MATCH(477,'Output Utente'!$Q$2:$Q$492,0)),"")</f>
        <v/>
      </c>
      <c r="E480" s="5" t="str">
        <f>IFERROR(INDEX('Input Giocatori 2026_27'!$D$3:$D$493,MATCH($B480,'Input Giocatori 2026_27'!$A$3:$A$493,0)),"")</f>
        <v/>
      </c>
      <c r="F480" s="42" t="str">
        <f>IFERROR(INDEX('Output Utente'!$N$2:$N$492,MATCH(477,'Output Utente'!$Q$2:$Q$492,0)),"")</f>
        <v/>
      </c>
      <c r="G480" s="42" t="str">
        <f>IFERROR(INDEX('Output Utente'!$O$2:$O$492,MATCH(477,'Output Utente'!$Q$2:$Q$492,0)),"")</f>
        <v/>
      </c>
      <c r="H480" s="5" t="str">
        <f>IFERROR(INDEX('Output Utente'!$P$2:$P$492,MATCH(477,'Output Utente'!$Q$2:$Q$492,0)),"")</f>
        <v/>
      </c>
      <c r="I480" s="42" t="str">
        <f>IFERROR(INDEX('Output Utente'!$F$2:$F$492,MATCH(477,'Output Utente'!$Q$2:$Q$492,0)),"")</f>
        <v/>
      </c>
      <c r="J480" s="42" t="str">
        <f>IFERROR(INDEX('Output Utente'!$G$2:$G$492,MATCH(477,'Output Utente'!$Q$2:$Q$492,0)),"")</f>
        <v/>
      </c>
      <c r="K480" s="42" t="str">
        <f>IFERROR(INDEX('Output Utente'!$H$2:$H$492,MATCH(477,'Output Utente'!$Q$2:$Q$492,0)),"")</f>
        <v/>
      </c>
      <c r="L480" s="5" t="str">
        <f>IFERROR(INDEX('Output Utente'!$E$2:$E$492,MATCH(477,'Output Utente'!$Q$2:$Q$492,0)),"")</f>
        <v/>
      </c>
      <c r="M480" s="5" t="str">
        <f>IFERROR(INDEX('Output Utente'!$U$2:$U$492,MATCH(477,'Output Utente'!$Q$2:$Q$492,0)),"")</f>
        <v/>
      </c>
      <c r="N480" s="5" t="str">
        <f>IFERROR(INDEX('Output Utente'!$AE$2:$AE$492,MATCH(477,'Output Utente'!$Q$2:$Q$492,0)),"")</f>
        <v/>
      </c>
    </row>
    <row r="481" spans="1:14" ht="15" customHeight="1" x14ac:dyDescent="0.25">
      <c r="A481" s="41">
        <v>478</v>
      </c>
      <c r="B481" s="5" t="str">
        <f>IFERROR(INDEX('Output Utente'!$A$2:$A$492,MATCH(478,'Output Utente'!$Q$2:$Q$492,0)),"")</f>
        <v/>
      </c>
      <c r="C481" s="5" t="str">
        <f>IFERROR(INDEX('Output Utente'!$B$2:$B$492,MATCH(478,'Output Utente'!$Q$2:$Q$492,0)),"")</f>
        <v/>
      </c>
      <c r="D481" s="5" t="str">
        <f>IFERROR(INDEX('Output Utente'!$C$2:$C$492,MATCH(478,'Output Utente'!$Q$2:$Q$492,0)),"")</f>
        <v/>
      </c>
      <c r="E481" s="5" t="str">
        <f>IFERROR(INDEX('Input Giocatori 2026_27'!$D$3:$D$493,MATCH($B481,'Input Giocatori 2026_27'!$A$3:$A$493,0)),"")</f>
        <v/>
      </c>
      <c r="F481" s="42" t="str">
        <f>IFERROR(INDEX('Output Utente'!$N$2:$N$492,MATCH(478,'Output Utente'!$Q$2:$Q$492,0)),"")</f>
        <v/>
      </c>
      <c r="G481" s="42" t="str">
        <f>IFERROR(INDEX('Output Utente'!$O$2:$O$492,MATCH(478,'Output Utente'!$Q$2:$Q$492,0)),"")</f>
        <v/>
      </c>
      <c r="H481" s="5" t="str">
        <f>IFERROR(INDEX('Output Utente'!$P$2:$P$492,MATCH(478,'Output Utente'!$Q$2:$Q$492,0)),"")</f>
        <v/>
      </c>
      <c r="I481" s="42" t="str">
        <f>IFERROR(INDEX('Output Utente'!$F$2:$F$492,MATCH(478,'Output Utente'!$Q$2:$Q$492,0)),"")</f>
        <v/>
      </c>
      <c r="J481" s="42" t="str">
        <f>IFERROR(INDEX('Output Utente'!$G$2:$G$492,MATCH(478,'Output Utente'!$Q$2:$Q$492,0)),"")</f>
        <v/>
      </c>
      <c r="K481" s="42" t="str">
        <f>IFERROR(INDEX('Output Utente'!$H$2:$H$492,MATCH(478,'Output Utente'!$Q$2:$Q$492,0)),"")</f>
        <v/>
      </c>
      <c r="L481" s="5" t="str">
        <f>IFERROR(INDEX('Output Utente'!$E$2:$E$492,MATCH(478,'Output Utente'!$Q$2:$Q$492,0)),"")</f>
        <v/>
      </c>
      <c r="M481" s="5" t="str">
        <f>IFERROR(INDEX('Output Utente'!$U$2:$U$492,MATCH(478,'Output Utente'!$Q$2:$Q$492,0)),"")</f>
        <v/>
      </c>
      <c r="N481" s="5" t="str">
        <f>IFERROR(INDEX('Output Utente'!$AE$2:$AE$492,MATCH(478,'Output Utente'!$Q$2:$Q$492,0)),"")</f>
        <v/>
      </c>
    </row>
    <row r="482" spans="1:14" ht="15" customHeight="1" x14ac:dyDescent="0.25">
      <c r="A482" s="41">
        <v>479</v>
      </c>
      <c r="B482" s="5" t="str">
        <f>IFERROR(INDEX('Output Utente'!$A$2:$A$492,MATCH(479,'Output Utente'!$Q$2:$Q$492,0)),"")</f>
        <v/>
      </c>
      <c r="C482" s="5" t="str">
        <f>IFERROR(INDEX('Output Utente'!$B$2:$B$492,MATCH(479,'Output Utente'!$Q$2:$Q$492,0)),"")</f>
        <v/>
      </c>
      <c r="D482" s="5" t="str">
        <f>IFERROR(INDEX('Output Utente'!$C$2:$C$492,MATCH(479,'Output Utente'!$Q$2:$Q$492,0)),"")</f>
        <v/>
      </c>
      <c r="E482" s="5" t="str">
        <f>IFERROR(INDEX('Input Giocatori 2026_27'!$D$3:$D$493,MATCH($B482,'Input Giocatori 2026_27'!$A$3:$A$493,0)),"")</f>
        <v/>
      </c>
      <c r="F482" s="42" t="str">
        <f>IFERROR(INDEX('Output Utente'!$N$2:$N$492,MATCH(479,'Output Utente'!$Q$2:$Q$492,0)),"")</f>
        <v/>
      </c>
      <c r="G482" s="42" t="str">
        <f>IFERROR(INDEX('Output Utente'!$O$2:$O$492,MATCH(479,'Output Utente'!$Q$2:$Q$492,0)),"")</f>
        <v/>
      </c>
      <c r="H482" s="5" t="str">
        <f>IFERROR(INDEX('Output Utente'!$P$2:$P$492,MATCH(479,'Output Utente'!$Q$2:$Q$492,0)),"")</f>
        <v/>
      </c>
      <c r="I482" s="42" t="str">
        <f>IFERROR(INDEX('Output Utente'!$F$2:$F$492,MATCH(479,'Output Utente'!$Q$2:$Q$492,0)),"")</f>
        <v/>
      </c>
      <c r="J482" s="42" t="str">
        <f>IFERROR(INDEX('Output Utente'!$G$2:$G$492,MATCH(479,'Output Utente'!$Q$2:$Q$492,0)),"")</f>
        <v/>
      </c>
      <c r="K482" s="42" t="str">
        <f>IFERROR(INDEX('Output Utente'!$H$2:$H$492,MATCH(479,'Output Utente'!$Q$2:$Q$492,0)),"")</f>
        <v/>
      </c>
      <c r="L482" s="5" t="str">
        <f>IFERROR(INDEX('Output Utente'!$E$2:$E$492,MATCH(479,'Output Utente'!$Q$2:$Q$492,0)),"")</f>
        <v/>
      </c>
      <c r="M482" s="5" t="str">
        <f>IFERROR(INDEX('Output Utente'!$U$2:$U$492,MATCH(479,'Output Utente'!$Q$2:$Q$492,0)),"")</f>
        <v/>
      </c>
      <c r="N482" s="5" t="str">
        <f>IFERROR(INDEX('Output Utente'!$AE$2:$AE$492,MATCH(479,'Output Utente'!$Q$2:$Q$492,0)),"")</f>
        <v/>
      </c>
    </row>
    <row r="483" spans="1:14" ht="15" customHeight="1" x14ac:dyDescent="0.25">
      <c r="A483" s="41">
        <v>480</v>
      </c>
      <c r="B483" s="5" t="str">
        <f>IFERROR(INDEX('Output Utente'!$A$2:$A$492,MATCH(480,'Output Utente'!$Q$2:$Q$492,0)),"")</f>
        <v/>
      </c>
      <c r="C483" s="5" t="str">
        <f>IFERROR(INDEX('Output Utente'!$B$2:$B$492,MATCH(480,'Output Utente'!$Q$2:$Q$492,0)),"")</f>
        <v/>
      </c>
      <c r="D483" s="5" t="str">
        <f>IFERROR(INDEX('Output Utente'!$C$2:$C$492,MATCH(480,'Output Utente'!$Q$2:$Q$492,0)),"")</f>
        <v/>
      </c>
      <c r="E483" s="5" t="str">
        <f>IFERROR(INDEX('Input Giocatori 2026_27'!$D$3:$D$493,MATCH($B483,'Input Giocatori 2026_27'!$A$3:$A$493,0)),"")</f>
        <v/>
      </c>
      <c r="F483" s="42" t="str">
        <f>IFERROR(INDEX('Output Utente'!$N$2:$N$492,MATCH(480,'Output Utente'!$Q$2:$Q$492,0)),"")</f>
        <v/>
      </c>
      <c r="G483" s="42" t="str">
        <f>IFERROR(INDEX('Output Utente'!$O$2:$O$492,MATCH(480,'Output Utente'!$Q$2:$Q$492,0)),"")</f>
        <v/>
      </c>
      <c r="H483" s="5" t="str">
        <f>IFERROR(INDEX('Output Utente'!$P$2:$P$492,MATCH(480,'Output Utente'!$Q$2:$Q$492,0)),"")</f>
        <v/>
      </c>
      <c r="I483" s="42" t="str">
        <f>IFERROR(INDEX('Output Utente'!$F$2:$F$492,MATCH(480,'Output Utente'!$Q$2:$Q$492,0)),"")</f>
        <v/>
      </c>
      <c r="J483" s="42" t="str">
        <f>IFERROR(INDEX('Output Utente'!$G$2:$G$492,MATCH(480,'Output Utente'!$Q$2:$Q$492,0)),"")</f>
        <v/>
      </c>
      <c r="K483" s="42" t="str">
        <f>IFERROR(INDEX('Output Utente'!$H$2:$H$492,MATCH(480,'Output Utente'!$Q$2:$Q$492,0)),"")</f>
        <v/>
      </c>
      <c r="L483" s="5" t="str">
        <f>IFERROR(INDEX('Output Utente'!$E$2:$E$492,MATCH(480,'Output Utente'!$Q$2:$Q$492,0)),"")</f>
        <v/>
      </c>
      <c r="M483" s="5" t="str">
        <f>IFERROR(INDEX('Output Utente'!$U$2:$U$492,MATCH(480,'Output Utente'!$Q$2:$Q$492,0)),"")</f>
        <v/>
      </c>
      <c r="N483" s="5" t="str">
        <f>IFERROR(INDEX('Output Utente'!$AE$2:$AE$492,MATCH(480,'Output Utente'!$Q$2:$Q$492,0)),"")</f>
        <v/>
      </c>
    </row>
    <row r="484" spans="1:14" ht="15" customHeight="1" x14ac:dyDescent="0.25">
      <c r="A484" s="41">
        <v>481</v>
      </c>
      <c r="B484" s="5" t="str">
        <f>IFERROR(INDEX('Output Utente'!$A$2:$A$492,MATCH(481,'Output Utente'!$Q$2:$Q$492,0)),"")</f>
        <v/>
      </c>
      <c r="C484" s="5" t="str">
        <f>IFERROR(INDEX('Output Utente'!$B$2:$B$492,MATCH(481,'Output Utente'!$Q$2:$Q$492,0)),"")</f>
        <v/>
      </c>
      <c r="D484" s="5" t="str">
        <f>IFERROR(INDEX('Output Utente'!$C$2:$C$492,MATCH(481,'Output Utente'!$Q$2:$Q$492,0)),"")</f>
        <v/>
      </c>
      <c r="E484" s="5" t="str">
        <f>IFERROR(INDEX('Input Giocatori 2026_27'!$D$3:$D$493,MATCH($B484,'Input Giocatori 2026_27'!$A$3:$A$493,0)),"")</f>
        <v/>
      </c>
      <c r="F484" s="42" t="str">
        <f>IFERROR(INDEX('Output Utente'!$N$2:$N$492,MATCH(481,'Output Utente'!$Q$2:$Q$492,0)),"")</f>
        <v/>
      </c>
      <c r="G484" s="42" t="str">
        <f>IFERROR(INDEX('Output Utente'!$O$2:$O$492,MATCH(481,'Output Utente'!$Q$2:$Q$492,0)),"")</f>
        <v/>
      </c>
      <c r="H484" s="5" t="str">
        <f>IFERROR(INDEX('Output Utente'!$P$2:$P$492,MATCH(481,'Output Utente'!$Q$2:$Q$492,0)),"")</f>
        <v/>
      </c>
      <c r="I484" s="42" t="str">
        <f>IFERROR(INDEX('Output Utente'!$F$2:$F$492,MATCH(481,'Output Utente'!$Q$2:$Q$492,0)),"")</f>
        <v/>
      </c>
      <c r="J484" s="42" t="str">
        <f>IFERROR(INDEX('Output Utente'!$G$2:$G$492,MATCH(481,'Output Utente'!$Q$2:$Q$492,0)),"")</f>
        <v/>
      </c>
      <c r="K484" s="42" t="str">
        <f>IFERROR(INDEX('Output Utente'!$H$2:$H$492,MATCH(481,'Output Utente'!$Q$2:$Q$492,0)),"")</f>
        <v/>
      </c>
      <c r="L484" s="5" t="str">
        <f>IFERROR(INDEX('Output Utente'!$E$2:$E$492,MATCH(481,'Output Utente'!$Q$2:$Q$492,0)),"")</f>
        <v/>
      </c>
      <c r="M484" s="5" t="str">
        <f>IFERROR(INDEX('Output Utente'!$U$2:$U$492,MATCH(481,'Output Utente'!$Q$2:$Q$492,0)),"")</f>
        <v/>
      </c>
      <c r="N484" s="5" t="str">
        <f>IFERROR(INDEX('Output Utente'!$AE$2:$AE$492,MATCH(481,'Output Utente'!$Q$2:$Q$492,0)),"")</f>
        <v/>
      </c>
    </row>
    <row r="485" spans="1:14" ht="15" customHeight="1" x14ac:dyDescent="0.25">
      <c r="A485" s="41">
        <v>482</v>
      </c>
      <c r="B485" s="5" t="str">
        <f>IFERROR(INDEX('Output Utente'!$A$2:$A$492,MATCH(482,'Output Utente'!$Q$2:$Q$492,0)),"")</f>
        <v/>
      </c>
      <c r="C485" s="5" t="str">
        <f>IFERROR(INDEX('Output Utente'!$B$2:$B$492,MATCH(482,'Output Utente'!$Q$2:$Q$492,0)),"")</f>
        <v/>
      </c>
      <c r="D485" s="5" t="str">
        <f>IFERROR(INDEX('Output Utente'!$C$2:$C$492,MATCH(482,'Output Utente'!$Q$2:$Q$492,0)),"")</f>
        <v/>
      </c>
      <c r="E485" s="5" t="str">
        <f>IFERROR(INDEX('Input Giocatori 2026_27'!$D$3:$D$493,MATCH($B485,'Input Giocatori 2026_27'!$A$3:$A$493,0)),"")</f>
        <v/>
      </c>
      <c r="F485" s="42" t="str">
        <f>IFERROR(INDEX('Output Utente'!$N$2:$N$492,MATCH(482,'Output Utente'!$Q$2:$Q$492,0)),"")</f>
        <v/>
      </c>
      <c r="G485" s="42" t="str">
        <f>IFERROR(INDEX('Output Utente'!$O$2:$O$492,MATCH(482,'Output Utente'!$Q$2:$Q$492,0)),"")</f>
        <v/>
      </c>
      <c r="H485" s="5" t="str">
        <f>IFERROR(INDEX('Output Utente'!$P$2:$P$492,MATCH(482,'Output Utente'!$Q$2:$Q$492,0)),"")</f>
        <v/>
      </c>
      <c r="I485" s="42" t="str">
        <f>IFERROR(INDEX('Output Utente'!$F$2:$F$492,MATCH(482,'Output Utente'!$Q$2:$Q$492,0)),"")</f>
        <v/>
      </c>
      <c r="J485" s="42" t="str">
        <f>IFERROR(INDEX('Output Utente'!$G$2:$G$492,MATCH(482,'Output Utente'!$Q$2:$Q$492,0)),"")</f>
        <v/>
      </c>
      <c r="K485" s="42" t="str">
        <f>IFERROR(INDEX('Output Utente'!$H$2:$H$492,MATCH(482,'Output Utente'!$Q$2:$Q$492,0)),"")</f>
        <v/>
      </c>
      <c r="L485" s="5" t="str">
        <f>IFERROR(INDEX('Output Utente'!$E$2:$E$492,MATCH(482,'Output Utente'!$Q$2:$Q$492,0)),"")</f>
        <v/>
      </c>
      <c r="M485" s="5" t="str">
        <f>IFERROR(INDEX('Output Utente'!$U$2:$U$492,MATCH(482,'Output Utente'!$Q$2:$Q$492,0)),"")</f>
        <v/>
      </c>
      <c r="N485" s="5" t="str">
        <f>IFERROR(INDEX('Output Utente'!$AE$2:$AE$492,MATCH(482,'Output Utente'!$Q$2:$Q$492,0)),"")</f>
        <v/>
      </c>
    </row>
    <row r="486" spans="1:14" ht="15" customHeight="1" x14ac:dyDescent="0.25">
      <c r="A486" s="41">
        <v>483</v>
      </c>
      <c r="B486" s="5" t="str">
        <f>IFERROR(INDEX('Output Utente'!$A$2:$A$492,MATCH(483,'Output Utente'!$Q$2:$Q$492,0)),"")</f>
        <v/>
      </c>
      <c r="C486" s="5" t="str">
        <f>IFERROR(INDEX('Output Utente'!$B$2:$B$492,MATCH(483,'Output Utente'!$Q$2:$Q$492,0)),"")</f>
        <v/>
      </c>
      <c r="D486" s="5" t="str">
        <f>IFERROR(INDEX('Output Utente'!$C$2:$C$492,MATCH(483,'Output Utente'!$Q$2:$Q$492,0)),"")</f>
        <v/>
      </c>
      <c r="E486" s="5" t="str">
        <f>IFERROR(INDEX('Input Giocatori 2026_27'!$D$3:$D$493,MATCH($B486,'Input Giocatori 2026_27'!$A$3:$A$493,0)),"")</f>
        <v/>
      </c>
      <c r="F486" s="42" t="str">
        <f>IFERROR(INDEX('Output Utente'!$N$2:$N$492,MATCH(483,'Output Utente'!$Q$2:$Q$492,0)),"")</f>
        <v/>
      </c>
      <c r="G486" s="42" t="str">
        <f>IFERROR(INDEX('Output Utente'!$O$2:$O$492,MATCH(483,'Output Utente'!$Q$2:$Q$492,0)),"")</f>
        <v/>
      </c>
      <c r="H486" s="5" t="str">
        <f>IFERROR(INDEX('Output Utente'!$P$2:$P$492,MATCH(483,'Output Utente'!$Q$2:$Q$492,0)),"")</f>
        <v/>
      </c>
      <c r="I486" s="42" t="str">
        <f>IFERROR(INDEX('Output Utente'!$F$2:$F$492,MATCH(483,'Output Utente'!$Q$2:$Q$492,0)),"")</f>
        <v/>
      </c>
      <c r="J486" s="42" t="str">
        <f>IFERROR(INDEX('Output Utente'!$G$2:$G$492,MATCH(483,'Output Utente'!$Q$2:$Q$492,0)),"")</f>
        <v/>
      </c>
      <c r="K486" s="42" t="str">
        <f>IFERROR(INDEX('Output Utente'!$H$2:$H$492,MATCH(483,'Output Utente'!$Q$2:$Q$492,0)),"")</f>
        <v/>
      </c>
      <c r="L486" s="5" t="str">
        <f>IFERROR(INDEX('Output Utente'!$E$2:$E$492,MATCH(483,'Output Utente'!$Q$2:$Q$492,0)),"")</f>
        <v/>
      </c>
      <c r="M486" s="5" t="str">
        <f>IFERROR(INDEX('Output Utente'!$U$2:$U$492,MATCH(483,'Output Utente'!$Q$2:$Q$492,0)),"")</f>
        <v/>
      </c>
      <c r="N486" s="5" t="str">
        <f>IFERROR(INDEX('Output Utente'!$AE$2:$AE$492,MATCH(483,'Output Utente'!$Q$2:$Q$492,0)),"")</f>
        <v/>
      </c>
    </row>
    <row r="487" spans="1:14" ht="15" customHeight="1" x14ac:dyDescent="0.25">
      <c r="A487" s="41">
        <v>484</v>
      </c>
      <c r="B487" s="5" t="str">
        <f>IFERROR(INDEX('Output Utente'!$A$2:$A$492,MATCH(484,'Output Utente'!$Q$2:$Q$492,0)),"")</f>
        <v/>
      </c>
      <c r="C487" s="5" t="str">
        <f>IFERROR(INDEX('Output Utente'!$B$2:$B$492,MATCH(484,'Output Utente'!$Q$2:$Q$492,0)),"")</f>
        <v/>
      </c>
      <c r="D487" s="5" t="str">
        <f>IFERROR(INDEX('Output Utente'!$C$2:$C$492,MATCH(484,'Output Utente'!$Q$2:$Q$492,0)),"")</f>
        <v/>
      </c>
      <c r="E487" s="5" t="str">
        <f>IFERROR(INDEX('Input Giocatori 2026_27'!$D$3:$D$493,MATCH($B487,'Input Giocatori 2026_27'!$A$3:$A$493,0)),"")</f>
        <v/>
      </c>
      <c r="F487" s="42" t="str">
        <f>IFERROR(INDEX('Output Utente'!$N$2:$N$492,MATCH(484,'Output Utente'!$Q$2:$Q$492,0)),"")</f>
        <v/>
      </c>
      <c r="G487" s="42" t="str">
        <f>IFERROR(INDEX('Output Utente'!$O$2:$O$492,MATCH(484,'Output Utente'!$Q$2:$Q$492,0)),"")</f>
        <v/>
      </c>
      <c r="H487" s="5" t="str">
        <f>IFERROR(INDEX('Output Utente'!$P$2:$P$492,MATCH(484,'Output Utente'!$Q$2:$Q$492,0)),"")</f>
        <v/>
      </c>
      <c r="I487" s="42" t="str">
        <f>IFERROR(INDEX('Output Utente'!$F$2:$F$492,MATCH(484,'Output Utente'!$Q$2:$Q$492,0)),"")</f>
        <v/>
      </c>
      <c r="J487" s="42" t="str">
        <f>IFERROR(INDEX('Output Utente'!$G$2:$G$492,MATCH(484,'Output Utente'!$Q$2:$Q$492,0)),"")</f>
        <v/>
      </c>
      <c r="K487" s="42" t="str">
        <f>IFERROR(INDEX('Output Utente'!$H$2:$H$492,MATCH(484,'Output Utente'!$Q$2:$Q$492,0)),"")</f>
        <v/>
      </c>
      <c r="L487" s="5" t="str">
        <f>IFERROR(INDEX('Output Utente'!$E$2:$E$492,MATCH(484,'Output Utente'!$Q$2:$Q$492,0)),"")</f>
        <v/>
      </c>
      <c r="M487" s="5" t="str">
        <f>IFERROR(INDEX('Output Utente'!$U$2:$U$492,MATCH(484,'Output Utente'!$Q$2:$Q$492,0)),"")</f>
        <v/>
      </c>
      <c r="N487" s="5" t="str">
        <f>IFERROR(INDEX('Output Utente'!$AE$2:$AE$492,MATCH(484,'Output Utente'!$Q$2:$Q$492,0)),"")</f>
        <v/>
      </c>
    </row>
    <row r="488" spans="1:14" ht="15" customHeight="1" x14ac:dyDescent="0.25">
      <c r="A488" s="41">
        <v>485</v>
      </c>
      <c r="B488" s="5" t="str">
        <f>IFERROR(INDEX('Output Utente'!$A$2:$A$492,MATCH(485,'Output Utente'!$Q$2:$Q$492,0)),"")</f>
        <v/>
      </c>
      <c r="C488" s="5" t="str">
        <f>IFERROR(INDEX('Output Utente'!$B$2:$B$492,MATCH(485,'Output Utente'!$Q$2:$Q$492,0)),"")</f>
        <v/>
      </c>
      <c r="D488" s="5" t="str">
        <f>IFERROR(INDEX('Output Utente'!$C$2:$C$492,MATCH(485,'Output Utente'!$Q$2:$Q$492,0)),"")</f>
        <v/>
      </c>
      <c r="E488" s="5" t="str">
        <f>IFERROR(INDEX('Input Giocatori 2026_27'!$D$3:$D$493,MATCH($B488,'Input Giocatori 2026_27'!$A$3:$A$493,0)),"")</f>
        <v/>
      </c>
      <c r="F488" s="42" t="str">
        <f>IFERROR(INDEX('Output Utente'!$N$2:$N$492,MATCH(485,'Output Utente'!$Q$2:$Q$492,0)),"")</f>
        <v/>
      </c>
      <c r="G488" s="42" t="str">
        <f>IFERROR(INDEX('Output Utente'!$O$2:$O$492,MATCH(485,'Output Utente'!$Q$2:$Q$492,0)),"")</f>
        <v/>
      </c>
      <c r="H488" s="5" t="str">
        <f>IFERROR(INDEX('Output Utente'!$P$2:$P$492,MATCH(485,'Output Utente'!$Q$2:$Q$492,0)),"")</f>
        <v/>
      </c>
      <c r="I488" s="42" t="str">
        <f>IFERROR(INDEX('Output Utente'!$F$2:$F$492,MATCH(485,'Output Utente'!$Q$2:$Q$492,0)),"")</f>
        <v/>
      </c>
      <c r="J488" s="42" t="str">
        <f>IFERROR(INDEX('Output Utente'!$G$2:$G$492,MATCH(485,'Output Utente'!$Q$2:$Q$492,0)),"")</f>
        <v/>
      </c>
      <c r="K488" s="42" t="str">
        <f>IFERROR(INDEX('Output Utente'!$H$2:$H$492,MATCH(485,'Output Utente'!$Q$2:$Q$492,0)),"")</f>
        <v/>
      </c>
      <c r="L488" s="5" t="str">
        <f>IFERROR(INDEX('Output Utente'!$E$2:$E$492,MATCH(485,'Output Utente'!$Q$2:$Q$492,0)),"")</f>
        <v/>
      </c>
      <c r="M488" s="5" t="str">
        <f>IFERROR(INDEX('Output Utente'!$U$2:$U$492,MATCH(485,'Output Utente'!$Q$2:$Q$492,0)),"")</f>
        <v/>
      </c>
      <c r="N488" s="5" t="str">
        <f>IFERROR(INDEX('Output Utente'!$AE$2:$AE$492,MATCH(485,'Output Utente'!$Q$2:$Q$492,0)),"")</f>
        <v/>
      </c>
    </row>
    <row r="489" spans="1:14" ht="15" customHeight="1" x14ac:dyDescent="0.25">
      <c r="A489" s="41">
        <v>486</v>
      </c>
      <c r="B489" s="5" t="str">
        <f>IFERROR(INDEX('Output Utente'!$A$2:$A$492,MATCH(486,'Output Utente'!$Q$2:$Q$492,0)),"")</f>
        <v/>
      </c>
      <c r="C489" s="5" t="str">
        <f>IFERROR(INDEX('Output Utente'!$B$2:$B$492,MATCH(486,'Output Utente'!$Q$2:$Q$492,0)),"")</f>
        <v/>
      </c>
      <c r="D489" s="5" t="str">
        <f>IFERROR(INDEX('Output Utente'!$C$2:$C$492,MATCH(486,'Output Utente'!$Q$2:$Q$492,0)),"")</f>
        <v/>
      </c>
      <c r="E489" s="5" t="str">
        <f>IFERROR(INDEX('Input Giocatori 2026_27'!$D$3:$D$493,MATCH($B489,'Input Giocatori 2026_27'!$A$3:$A$493,0)),"")</f>
        <v/>
      </c>
      <c r="F489" s="42" t="str">
        <f>IFERROR(INDEX('Output Utente'!$N$2:$N$492,MATCH(486,'Output Utente'!$Q$2:$Q$492,0)),"")</f>
        <v/>
      </c>
      <c r="G489" s="42" t="str">
        <f>IFERROR(INDEX('Output Utente'!$O$2:$O$492,MATCH(486,'Output Utente'!$Q$2:$Q$492,0)),"")</f>
        <v/>
      </c>
      <c r="H489" s="5" t="str">
        <f>IFERROR(INDEX('Output Utente'!$P$2:$P$492,MATCH(486,'Output Utente'!$Q$2:$Q$492,0)),"")</f>
        <v/>
      </c>
      <c r="I489" s="42" t="str">
        <f>IFERROR(INDEX('Output Utente'!$F$2:$F$492,MATCH(486,'Output Utente'!$Q$2:$Q$492,0)),"")</f>
        <v/>
      </c>
      <c r="J489" s="42" t="str">
        <f>IFERROR(INDEX('Output Utente'!$G$2:$G$492,MATCH(486,'Output Utente'!$Q$2:$Q$492,0)),"")</f>
        <v/>
      </c>
      <c r="K489" s="42" t="str">
        <f>IFERROR(INDEX('Output Utente'!$H$2:$H$492,MATCH(486,'Output Utente'!$Q$2:$Q$492,0)),"")</f>
        <v/>
      </c>
      <c r="L489" s="5" t="str">
        <f>IFERROR(INDEX('Output Utente'!$E$2:$E$492,MATCH(486,'Output Utente'!$Q$2:$Q$492,0)),"")</f>
        <v/>
      </c>
      <c r="M489" s="5" t="str">
        <f>IFERROR(INDEX('Output Utente'!$U$2:$U$492,MATCH(486,'Output Utente'!$Q$2:$Q$492,0)),"")</f>
        <v/>
      </c>
      <c r="N489" s="5" t="str">
        <f>IFERROR(INDEX('Output Utente'!$AE$2:$AE$492,MATCH(486,'Output Utente'!$Q$2:$Q$492,0)),"")</f>
        <v/>
      </c>
    </row>
    <row r="490" spans="1:14" ht="15" customHeight="1" x14ac:dyDescent="0.25">
      <c r="A490" s="41">
        <v>487</v>
      </c>
      <c r="B490" s="5" t="str">
        <f>IFERROR(INDEX('Output Utente'!$A$2:$A$492,MATCH(487,'Output Utente'!$Q$2:$Q$492,0)),"")</f>
        <v/>
      </c>
      <c r="C490" s="5" t="str">
        <f>IFERROR(INDEX('Output Utente'!$B$2:$B$492,MATCH(487,'Output Utente'!$Q$2:$Q$492,0)),"")</f>
        <v/>
      </c>
      <c r="D490" s="5" t="str">
        <f>IFERROR(INDEX('Output Utente'!$C$2:$C$492,MATCH(487,'Output Utente'!$Q$2:$Q$492,0)),"")</f>
        <v/>
      </c>
      <c r="E490" s="5" t="str">
        <f>IFERROR(INDEX('Input Giocatori 2026_27'!$D$3:$D$493,MATCH($B490,'Input Giocatori 2026_27'!$A$3:$A$493,0)),"")</f>
        <v/>
      </c>
      <c r="F490" s="42" t="str">
        <f>IFERROR(INDEX('Output Utente'!$N$2:$N$492,MATCH(487,'Output Utente'!$Q$2:$Q$492,0)),"")</f>
        <v/>
      </c>
      <c r="G490" s="42" t="str">
        <f>IFERROR(INDEX('Output Utente'!$O$2:$O$492,MATCH(487,'Output Utente'!$Q$2:$Q$492,0)),"")</f>
        <v/>
      </c>
      <c r="H490" s="5" t="str">
        <f>IFERROR(INDEX('Output Utente'!$P$2:$P$492,MATCH(487,'Output Utente'!$Q$2:$Q$492,0)),"")</f>
        <v/>
      </c>
      <c r="I490" s="42" t="str">
        <f>IFERROR(INDEX('Output Utente'!$F$2:$F$492,MATCH(487,'Output Utente'!$Q$2:$Q$492,0)),"")</f>
        <v/>
      </c>
      <c r="J490" s="42" t="str">
        <f>IFERROR(INDEX('Output Utente'!$G$2:$G$492,MATCH(487,'Output Utente'!$Q$2:$Q$492,0)),"")</f>
        <v/>
      </c>
      <c r="K490" s="42" t="str">
        <f>IFERROR(INDEX('Output Utente'!$H$2:$H$492,MATCH(487,'Output Utente'!$Q$2:$Q$492,0)),"")</f>
        <v/>
      </c>
      <c r="L490" s="5" t="str">
        <f>IFERROR(INDEX('Output Utente'!$E$2:$E$492,MATCH(487,'Output Utente'!$Q$2:$Q$492,0)),"")</f>
        <v/>
      </c>
      <c r="M490" s="5" t="str">
        <f>IFERROR(INDEX('Output Utente'!$U$2:$U$492,MATCH(487,'Output Utente'!$Q$2:$Q$492,0)),"")</f>
        <v/>
      </c>
      <c r="N490" s="5" t="str">
        <f>IFERROR(INDEX('Output Utente'!$AE$2:$AE$492,MATCH(487,'Output Utente'!$Q$2:$Q$492,0)),"")</f>
        <v/>
      </c>
    </row>
    <row r="491" spans="1:14" ht="15" customHeight="1" x14ac:dyDescent="0.25">
      <c r="A491" s="41">
        <v>488</v>
      </c>
      <c r="B491" s="5" t="str">
        <f>IFERROR(INDEX('Output Utente'!$A$2:$A$492,MATCH(488,'Output Utente'!$Q$2:$Q$492,0)),"")</f>
        <v/>
      </c>
      <c r="C491" s="5" t="str">
        <f>IFERROR(INDEX('Output Utente'!$B$2:$B$492,MATCH(488,'Output Utente'!$Q$2:$Q$492,0)),"")</f>
        <v/>
      </c>
      <c r="D491" s="5" t="str">
        <f>IFERROR(INDEX('Output Utente'!$C$2:$C$492,MATCH(488,'Output Utente'!$Q$2:$Q$492,0)),"")</f>
        <v/>
      </c>
      <c r="E491" s="5" t="str">
        <f>IFERROR(INDEX('Input Giocatori 2026_27'!$D$3:$D$493,MATCH($B491,'Input Giocatori 2026_27'!$A$3:$A$493,0)),"")</f>
        <v/>
      </c>
      <c r="F491" s="42" t="str">
        <f>IFERROR(INDEX('Output Utente'!$N$2:$N$492,MATCH(488,'Output Utente'!$Q$2:$Q$492,0)),"")</f>
        <v/>
      </c>
      <c r="G491" s="42" t="str">
        <f>IFERROR(INDEX('Output Utente'!$O$2:$O$492,MATCH(488,'Output Utente'!$Q$2:$Q$492,0)),"")</f>
        <v/>
      </c>
      <c r="H491" s="5" t="str">
        <f>IFERROR(INDEX('Output Utente'!$P$2:$P$492,MATCH(488,'Output Utente'!$Q$2:$Q$492,0)),"")</f>
        <v/>
      </c>
      <c r="I491" s="42" t="str">
        <f>IFERROR(INDEX('Output Utente'!$F$2:$F$492,MATCH(488,'Output Utente'!$Q$2:$Q$492,0)),"")</f>
        <v/>
      </c>
      <c r="J491" s="42" t="str">
        <f>IFERROR(INDEX('Output Utente'!$G$2:$G$492,MATCH(488,'Output Utente'!$Q$2:$Q$492,0)),"")</f>
        <v/>
      </c>
      <c r="K491" s="42" t="str">
        <f>IFERROR(INDEX('Output Utente'!$H$2:$H$492,MATCH(488,'Output Utente'!$Q$2:$Q$492,0)),"")</f>
        <v/>
      </c>
      <c r="L491" s="5" t="str">
        <f>IFERROR(INDEX('Output Utente'!$E$2:$E$492,MATCH(488,'Output Utente'!$Q$2:$Q$492,0)),"")</f>
        <v/>
      </c>
      <c r="M491" s="5" t="str">
        <f>IFERROR(INDEX('Output Utente'!$U$2:$U$492,MATCH(488,'Output Utente'!$Q$2:$Q$492,0)),"")</f>
        <v/>
      </c>
      <c r="N491" s="5" t="str">
        <f>IFERROR(INDEX('Output Utente'!$AE$2:$AE$492,MATCH(488,'Output Utente'!$Q$2:$Q$492,0)),"")</f>
        <v/>
      </c>
    </row>
    <row r="492" spans="1:14" ht="15" customHeight="1" x14ac:dyDescent="0.25">
      <c r="A492" s="41">
        <v>489</v>
      </c>
      <c r="B492" s="5" t="str">
        <f>IFERROR(INDEX('Output Utente'!$A$2:$A$492,MATCH(489,'Output Utente'!$Q$2:$Q$492,0)),"")</f>
        <v/>
      </c>
      <c r="C492" s="5" t="str">
        <f>IFERROR(INDEX('Output Utente'!$B$2:$B$492,MATCH(489,'Output Utente'!$Q$2:$Q$492,0)),"")</f>
        <v/>
      </c>
      <c r="D492" s="5" t="str">
        <f>IFERROR(INDEX('Output Utente'!$C$2:$C$492,MATCH(489,'Output Utente'!$Q$2:$Q$492,0)),"")</f>
        <v/>
      </c>
      <c r="E492" s="5" t="str">
        <f>IFERROR(INDEX('Input Giocatori 2026_27'!$D$3:$D$493,MATCH($B492,'Input Giocatori 2026_27'!$A$3:$A$493,0)),"")</f>
        <v/>
      </c>
      <c r="F492" s="42" t="str">
        <f>IFERROR(INDEX('Output Utente'!$N$2:$N$492,MATCH(489,'Output Utente'!$Q$2:$Q$492,0)),"")</f>
        <v/>
      </c>
      <c r="G492" s="42" t="str">
        <f>IFERROR(INDEX('Output Utente'!$O$2:$O$492,MATCH(489,'Output Utente'!$Q$2:$Q$492,0)),"")</f>
        <v/>
      </c>
      <c r="H492" s="5" t="str">
        <f>IFERROR(INDEX('Output Utente'!$P$2:$P$492,MATCH(489,'Output Utente'!$Q$2:$Q$492,0)),"")</f>
        <v/>
      </c>
      <c r="I492" s="42" t="str">
        <f>IFERROR(INDEX('Output Utente'!$F$2:$F$492,MATCH(489,'Output Utente'!$Q$2:$Q$492,0)),"")</f>
        <v/>
      </c>
      <c r="J492" s="42" t="str">
        <f>IFERROR(INDEX('Output Utente'!$G$2:$G$492,MATCH(489,'Output Utente'!$Q$2:$Q$492,0)),"")</f>
        <v/>
      </c>
      <c r="K492" s="42" t="str">
        <f>IFERROR(INDEX('Output Utente'!$H$2:$H$492,MATCH(489,'Output Utente'!$Q$2:$Q$492,0)),"")</f>
        <v/>
      </c>
      <c r="L492" s="5" t="str">
        <f>IFERROR(INDEX('Output Utente'!$E$2:$E$492,MATCH(489,'Output Utente'!$Q$2:$Q$492,0)),"")</f>
        <v/>
      </c>
      <c r="M492" s="5" t="str">
        <f>IFERROR(INDEX('Output Utente'!$U$2:$U$492,MATCH(489,'Output Utente'!$Q$2:$Q$492,0)),"")</f>
        <v/>
      </c>
      <c r="N492" s="5" t="str">
        <f>IFERROR(INDEX('Output Utente'!$AE$2:$AE$492,MATCH(489,'Output Utente'!$Q$2:$Q$492,0)),"")</f>
        <v/>
      </c>
    </row>
    <row r="493" spans="1:14" ht="15" customHeight="1" x14ac:dyDescent="0.25">
      <c r="A493" s="41">
        <v>490</v>
      </c>
      <c r="B493" s="5" t="str">
        <f>IFERROR(INDEX('Output Utente'!$A$2:$A$492,MATCH(490,'Output Utente'!$Q$2:$Q$492,0)),"")</f>
        <v/>
      </c>
      <c r="C493" s="5" t="str">
        <f>IFERROR(INDEX('Output Utente'!$B$2:$B$492,MATCH(490,'Output Utente'!$Q$2:$Q$492,0)),"")</f>
        <v/>
      </c>
      <c r="D493" s="5" t="str">
        <f>IFERROR(INDEX('Output Utente'!$C$2:$C$492,MATCH(490,'Output Utente'!$Q$2:$Q$492,0)),"")</f>
        <v/>
      </c>
      <c r="E493" s="5" t="str">
        <f>IFERROR(INDEX('Input Giocatori 2026_27'!$D$3:$D$493,MATCH($B493,'Input Giocatori 2026_27'!$A$3:$A$493,0)),"")</f>
        <v/>
      </c>
      <c r="F493" s="42" t="str">
        <f>IFERROR(INDEX('Output Utente'!$N$2:$N$492,MATCH(490,'Output Utente'!$Q$2:$Q$492,0)),"")</f>
        <v/>
      </c>
      <c r="G493" s="42" t="str">
        <f>IFERROR(INDEX('Output Utente'!$O$2:$O$492,MATCH(490,'Output Utente'!$Q$2:$Q$492,0)),"")</f>
        <v/>
      </c>
      <c r="H493" s="5" t="str">
        <f>IFERROR(INDEX('Output Utente'!$P$2:$P$492,MATCH(490,'Output Utente'!$Q$2:$Q$492,0)),"")</f>
        <v/>
      </c>
      <c r="I493" s="42" t="str">
        <f>IFERROR(INDEX('Output Utente'!$F$2:$F$492,MATCH(490,'Output Utente'!$Q$2:$Q$492,0)),"")</f>
        <v/>
      </c>
      <c r="J493" s="42" t="str">
        <f>IFERROR(INDEX('Output Utente'!$G$2:$G$492,MATCH(490,'Output Utente'!$Q$2:$Q$492,0)),"")</f>
        <v/>
      </c>
      <c r="K493" s="42" t="str">
        <f>IFERROR(INDEX('Output Utente'!$H$2:$H$492,MATCH(490,'Output Utente'!$Q$2:$Q$492,0)),"")</f>
        <v/>
      </c>
      <c r="L493" s="5" t="str">
        <f>IFERROR(INDEX('Output Utente'!$E$2:$E$492,MATCH(490,'Output Utente'!$Q$2:$Q$492,0)),"")</f>
        <v/>
      </c>
      <c r="M493" s="5" t="str">
        <f>IFERROR(INDEX('Output Utente'!$U$2:$U$492,MATCH(490,'Output Utente'!$Q$2:$Q$492,0)),"")</f>
        <v/>
      </c>
      <c r="N493" s="5" t="str">
        <f>IFERROR(INDEX('Output Utente'!$AE$2:$AE$492,MATCH(490,'Output Utente'!$Q$2:$Q$492,0)),"")</f>
        <v/>
      </c>
    </row>
    <row r="494" spans="1:14" ht="15" customHeight="1" x14ac:dyDescent="0.25">
      <c r="A494" s="41">
        <v>491</v>
      </c>
      <c r="B494" s="5" t="str">
        <f>IFERROR(INDEX('Output Utente'!$A$2:$A$492,MATCH(491,'Output Utente'!$Q$2:$Q$492,0)),"")</f>
        <v/>
      </c>
      <c r="C494" s="5" t="str">
        <f>IFERROR(INDEX('Output Utente'!$B$2:$B$492,MATCH(491,'Output Utente'!$Q$2:$Q$492,0)),"")</f>
        <v/>
      </c>
      <c r="D494" s="5" t="str">
        <f>IFERROR(INDEX('Output Utente'!$C$2:$C$492,MATCH(491,'Output Utente'!$Q$2:$Q$492,0)),"")</f>
        <v/>
      </c>
      <c r="E494" s="5" t="str">
        <f>IFERROR(INDEX('Input Giocatori 2026_27'!$D$3:$D$493,MATCH($B494,'Input Giocatori 2026_27'!$A$3:$A$493,0)),"")</f>
        <v/>
      </c>
      <c r="F494" s="42" t="str">
        <f>IFERROR(INDEX('Output Utente'!$N$2:$N$492,MATCH(491,'Output Utente'!$Q$2:$Q$492,0)),"")</f>
        <v/>
      </c>
      <c r="G494" s="42" t="str">
        <f>IFERROR(INDEX('Output Utente'!$O$2:$O$492,MATCH(491,'Output Utente'!$Q$2:$Q$492,0)),"")</f>
        <v/>
      </c>
      <c r="H494" s="5" t="str">
        <f>IFERROR(INDEX('Output Utente'!$P$2:$P$492,MATCH(491,'Output Utente'!$Q$2:$Q$492,0)),"")</f>
        <v/>
      </c>
      <c r="I494" s="42" t="str">
        <f>IFERROR(INDEX('Output Utente'!$F$2:$F$492,MATCH(491,'Output Utente'!$Q$2:$Q$492,0)),"")</f>
        <v/>
      </c>
      <c r="J494" s="42" t="str">
        <f>IFERROR(INDEX('Output Utente'!$G$2:$G$492,MATCH(491,'Output Utente'!$Q$2:$Q$492,0)),"")</f>
        <v/>
      </c>
      <c r="K494" s="42" t="str">
        <f>IFERROR(INDEX('Output Utente'!$H$2:$H$492,MATCH(491,'Output Utente'!$Q$2:$Q$492,0)),"")</f>
        <v/>
      </c>
      <c r="L494" s="5" t="str">
        <f>IFERROR(INDEX('Output Utente'!$E$2:$E$492,MATCH(491,'Output Utente'!$Q$2:$Q$492,0)),"")</f>
        <v/>
      </c>
      <c r="M494" s="5" t="str">
        <f>IFERROR(INDEX('Output Utente'!$U$2:$U$492,MATCH(491,'Output Utente'!$Q$2:$Q$492,0)),"")</f>
        <v/>
      </c>
      <c r="N494" s="5" t="str">
        <f>IFERROR(INDEX('Output Utente'!$AE$2:$AE$492,MATCH(491,'Output Utente'!$Q$2:$Q$492,0)),"")</f>
        <v/>
      </c>
    </row>
  </sheetData>
  <autoFilter ref="A3:N494" xr:uid="{00000000-0009-0000-0000-00000B000000}"/>
  <mergeCells count="1">
    <mergeCell ref="A1:K1"/>
  </mergeCells>
  <conditionalFormatting sqref="M4:M494">
    <cfRule type="cellIs" dxfId="2" priority="2" operator="equal">
      <formula>"Rischio Alto"</formula>
    </cfRule>
    <cfRule type="cellIs" dxfId="1" priority="3" operator="equal">
      <formula>"Attenzione"</formula>
    </cfRule>
    <cfRule type="cellIs" dxfId="0" priority="4" operator="equal">
      <formula>"OK"</formula>
    </cfRule>
  </conditionalFormatting>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X494"/>
  <sheetViews>
    <sheetView showGridLines="0" zoomScaleNormal="100" workbookViewId="0">
      <pane ySplit="3" topLeftCell="A4" activePane="bottomLeft" state="frozen"/>
      <selection pane="bottomLeft" sqref="A1:K1"/>
    </sheetView>
  </sheetViews>
  <sheetFormatPr defaultColWidth="8.5703125" defaultRowHeight="15" x14ac:dyDescent="0.25"/>
  <cols>
    <col min="1" max="1" width="4" customWidth="1"/>
    <col min="2" max="2" width="7" customWidth="1"/>
    <col min="3" max="3" width="4" customWidth="1"/>
    <col min="4" max="4" width="20" customWidth="1"/>
    <col min="5" max="5" width="16" customWidth="1"/>
    <col min="6" max="6" width="7" customWidth="1"/>
    <col min="7" max="7" width="9" customWidth="1"/>
    <col min="8" max="8" width="16" customWidth="1"/>
    <col min="9" max="9" width="11" customWidth="1"/>
    <col min="10" max="11" width="13" customWidth="1"/>
    <col min="12" max="12" width="10" customWidth="1"/>
    <col min="14" max="14" width="24" customWidth="1"/>
    <col min="15" max="15" width="12" customWidth="1"/>
  </cols>
  <sheetData>
    <row r="1" spans="1:24" ht="21.75" customHeight="1" x14ac:dyDescent="0.25">
      <c r="A1" s="72" t="s">
        <v>800</v>
      </c>
      <c r="B1" s="73"/>
      <c r="C1" s="73"/>
      <c r="D1" s="73"/>
      <c r="E1" s="73"/>
      <c r="F1" s="73"/>
      <c r="G1" s="73"/>
      <c r="H1" s="73"/>
      <c r="I1" s="73"/>
      <c r="J1" s="73"/>
      <c r="K1" s="73"/>
      <c r="N1" s="74" t="s">
        <v>801</v>
      </c>
      <c r="O1" s="73"/>
      <c r="P1" s="73"/>
      <c r="R1" s="31" t="s">
        <v>802</v>
      </c>
    </row>
    <row r="2" spans="1:24" ht="14.25" customHeight="1" x14ac:dyDescent="0.25">
      <c r="R2" s="18" t="s">
        <v>803</v>
      </c>
      <c r="S2" s="18">
        <f>MAX(0,'Info Lega'!$B$4-SUMIFS('Output Utente'!$M$2:$M$492,'Output Utente'!$D$2:$D$492,'Info Lega'!$B$28))</f>
        <v>1000</v>
      </c>
    </row>
    <row r="3" spans="1:24" ht="15" customHeight="1" x14ac:dyDescent="0.25">
      <c r="A3" s="22" t="s">
        <v>784</v>
      </c>
      <c r="B3" s="22" t="s">
        <v>107</v>
      </c>
      <c r="C3" s="22" t="s">
        <v>108</v>
      </c>
      <c r="D3" s="22" t="s">
        <v>109</v>
      </c>
      <c r="E3" s="22" t="s">
        <v>798</v>
      </c>
      <c r="F3" s="22" t="s">
        <v>120</v>
      </c>
      <c r="G3" s="22" t="s">
        <v>121</v>
      </c>
      <c r="H3" s="22" t="s">
        <v>50</v>
      </c>
      <c r="I3" s="22" t="s">
        <v>112</v>
      </c>
      <c r="J3" s="22" t="s">
        <v>113</v>
      </c>
      <c r="K3" s="22" t="s">
        <v>114</v>
      </c>
      <c r="L3" s="22" t="s">
        <v>111</v>
      </c>
      <c r="N3" s="23" t="s">
        <v>804</v>
      </c>
      <c r="O3" s="35" t="str">
        <f>'Info Lega'!$B$28</f>
        <v>xxx1</v>
      </c>
      <c r="R3" s="18" t="s">
        <v>805</v>
      </c>
      <c r="S3" s="18">
        <f>('Info Lega'!$B$5-COUNTIFS('Output Utente'!$D$2:$D$492,'Info Lega'!$B$28,'Output Utente'!$B$2:$B$492,"P"))+('Info Lega'!$B$6-COUNTIFS('Output Utente'!$D$2:$D$492,'Info Lega'!$B$28,'Output Utente'!$B$2:$B$492,"D"))+('Info Lega'!$B$7-COUNTIFS('Output Utente'!$D$2:$D$492,'Info Lega'!$B$28,'Output Utente'!$B$2:$B$492,"C"))+('Info Lega'!$B$8-COUNTIFS('Output Utente'!$D$2:$D$492,'Info Lega'!$B$28,'Output Utente'!$B$2:$B$492,"A"))</f>
        <v>25</v>
      </c>
      <c r="V3" s="45" t="s">
        <v>119</v>
      </c>
      <c r="W3" s="45" t="s">
        <v>806</v>
      </c>
      <c r="X3" s="45" t="s">
        <v>807</v>
      </c>
    </row>
    <row r="4" spans="1:24" ht="15" customHeight="1" x14ac:dyDescent="0.25">
      <c r="A4" s="26">
        <v>1</v>
      </c>
      <c r="B4" s="23" t="str">
        <f>IFERROR(INDEX('Output Utente'!$A$2:$A$492,MATCH(1,'Output Utente'!$R$2:$R$492,0)),"")</f>
        <v/>
      </c>
      <c r="C4" s="23" t="str">
        <f>IFERROR(INDEX('Output Utente'!$B$2:$B$492,MATCH(1,'Output Utente'!$R$2:$R$492,0)),"")</f>
        <v/>
      </c>
      <c r="D4" s="23" t="str">
        <f>IFERROR(INDEX('Output Utente'!$C$2:$C$492,MATCH(1,'Output Utente'!$R$2:$R$492,0)),"")</f>
        <v/>
      </c>
      <c r="E4" s="23" t="str">
        <f>IFERROR(INDEX('Input Giocatori 2026_27'!$D$3:$D$493,MATCH($B4,'Input Giocatori 2026_27'!$A$3:$A$493,0)),"")</f>
        <v/>
      </c>
      <c r="F4" s="24" t="str">
        <f>IFERROR(INDEX('Output Utente'!$N$2:$N$492,MATCH(1,'Output Utente'!$R$2:$R$492,0)),"")</f>
        <v/>
      </c>
      <c r="G4" s="23" t="str">
        <f>IFERROR(INDEX('Output Utente'!$O$2:$O$492,MATCH(1,'Output Utente'!$R$2:$R$492,0)),"")</f>
        <v/>
      </c>
      <c r="H4" s="23" t="str">
        <f>IFERROR(INDEX('Output Utente'!$P$2:$P$492,MATCH(1,'Output Utente'!$R$2:$R$492,0)),"")</f>
        <v/>
      </c>
      <c r="I4" s="24" t="str">
        <f>IFERROR(INDEX('Output Utente'!$F$2:$F$492,MATCH(1,'Output Utente'!$R$2:$R$492,0)),"")</f>
        <v/>
      </c>
      <c r="J4" s="24" t="str">
        <f>IFERROR(INDEX('Output Utente'!$G$2:$G$492,MATCH(1,'Output Utente'!$R$2:$R$492,0)),"")</f>
        <v/>
      </c>
      <c r="K4" s="24" t="str">
        <f>IFERROR(INDEX('Output Utente'!$H$2:$H$492,MATCH(1,'Output Utente'!$R$2:$R$492,0)),"")</f>
        <v/>
      </c>
      <c r="L4" s="23" t="str">
        <f>IFERROR(INDEX('Output Utente'!$E$2:$E$492,MATCH(1,'Output Utente'!$R$2:$R$492,0)),"")</f>
        <v/>
      </c>
      <c r="N4" s="23" t="s">
        <v>808</v>
      </c>
      <c r="O4" s="43">
        <f>'Info Lega'!$B$4</f>
        <v>1000</v>
      </c>
      <c r="V4" t="str">
        <f>IFERROR(INDEX('Output Utente'!$M$2:$M$492,MATCH(1,'Output Utente'!$R$2:$R$492,0)),"")</f>
        <v/>
      </c>
      <c r="W4" t="str">
        <f t="shared" ref="W4:W67" si="0">IF(OR($G4="",$V4=""),"",$G4-$V4)</f>
        <v/>
      </c>
      <c r="X4" t="str">
        <f>IFERROR(INDEX('Output Utente'!$AF$2:$AF$492,MATCH(1,'Output Utente'!$R$2:$R$492,0)),"")</f>
        <v/>
      </c>
    </row>
    <row r="5" spans="1:24" ht="15" customHeight="1" x14ac:dyDescent="0.25">
      <c r="A5" s="26">
        <v>2</v>
      </c>
      <c r="B5" s="23" t="str">
        <f>IFERROR(INDEX('Output Utente'!$A$2:$A$492,MATCH(2,'Output Utente'!$R$2:$R$492,0)),"")</f>
        <v/>
      </c>
      <c r="C5" s="23" t="str">
        <f>IFERROR(INDEX('Output Utente'!$B$2:$B$492,MATCH(2,'Output Utente'!$R$2:$R$492,0)),"")</f>
        <v/>
      </c>
      <c r="D5" s="23" t="str">
        <f>IFERROR(INDEX('Output Utente'!$C$2:$C$492,MATCH(2,'Output Utente'!$R$2:$R$492,0)),"")</f>
        <v/>
      </c>
      <c r="E5" s="23" t="str">
        <f>IFERROR(INDEX('Input Giocatori 2026_27'!$D$3:$D$493,MATCH($B5,'Input Giocatori 2026_27'!$A$3:$A$493,0)),"")</f>
        <v/>
      </c>
      <c r="F5" s="24" t="str">
        <f>IFERROR(INDEX('Output Utente'!$N$2:$N$492,MATCH(2,'Output Utente'!$R$2:$R$492,0)),"")</f>
        <v/>
      </c>
      <c r="G5" s="23" t="str">
        <f>IFERROR(INDEX('Output Utente'!$O$2:$O$492,MATCH(2,'Output Utente'!$R$2:$R$492,0)),"")</f>
        <v/>
      </c>
      <c r="H5" s="23" t="str">
        <f>IFERROR(INDEX('Output Utente'!$P$2:$P$492,MATCH(2,'Output Utente'!$R$2:$R$492,0)),"")</f>
        <v/>
      </c>
      <c r="I5" s="24" t="str">
        <f>IFERROR(INDEX('Output Utente'!$F$2:$F$492,MATCH(2,'Output Utente'!$R$2:$R$492,0)),"")</f>
        <v/>
      </c>
      <c r="J5" s="24" t="str">
        <f>IFERROR(INDEX('Output Utente'!$G$2:$G$492,MATCH(2,'Output Utente'!$R$2:$R$492,0)),"")</f>
        <v/>
      </c>
      <c r="K5" s="24" t="str">
        <f>IFERROR(INDEX('Output Utente'!$H$2:$H$492,MATCH(2,'Output Utente'!$R$2:$R$492,0)),"")</f>
        <v/>
      </c>
      <c r="L5" s="23" t="str">
        <f>IFERROR(INDEX('Output Utente'!$E$2:$E$492,MATCH(2,'Output Utente'!$R$2:$R$492,0)),"")</f>
        <v/>
      </c>
      <c r="N5" s="23" t="s">
        <v>809</v>
      </c>
      <c r="O5" s="43">
        <f>SUMIFS('Output Utente'!$M$2:$M$492,'Output Utente'!$D$2:$D$492,'Info Lega'!$B$28)</f>
        <v>0</v>
      </c>
      <c r="Q5" s="47" t="s">
        <v>810</v>
      </c>
      <c r="R5" s="18" t="s">
        <v>811</v>
      </c>
      <c r="V5" t="str">
        <f>IFERROR(INDEX('Output Utente'!$M$2:$M$492,MATCH(2,'Output Utente'!$R$2:$R$492,0)),"")</f>
        <v/>
      </c>
      <c r="W5" t="str">
        <f t="shared" si="0"/>
        <v/>
      </c>
      <c r="X5" t="str">
        <f>IFERROR(INDEX('Output Utente'!$AF$2:$AF$492,MATCH(2,'Output Utente'!$R$2:$R$492,0)),"")</f>
        <v/>
      </c>
    </row>
    <row r="6" spans="1:24" ht="15" customHeight="1" x14ac:dyDescent="0.25">
      <c r="A6" s="26">
        <v>3</v>
      </c>
      <c r="B6" s="23" t="str">
        <f>IFERROR(INDEX('Output Utente'!$A$2:$A$492,MATCH(3,'Output Utente'!$R$2:$R$492,0)),"")</f>
        <v/>
      </c>
      <c r="C6" s="23" t="str">
        <f>IFERROR(INDEX('Output Utente'!$B$2:$B$492,MATCH(3,'Output Utente'!$R$2:$R$492,0)),"")</f>
        <v/>
      </c>
      <c r="D6" s="23" t="str">
        <f>IFERROR(INDEX('Output Utente'!$C$2:$C$492,MATCH(3,'Output Utente'!$R$2:$R$492,0)),"")</f>
        <v/>
      </c>
      <c r="E6" s="23" t="str">
        <f>IFERROR(INDEX('Input Giocatori 2026_27'!$D$3:$D$493,MATCH($B6,'Input Giocatori 2026_27'!$A$3:$A$493,0)),"")</f>
        <v/>
      </c>
      <c r="F6" s="24" t="str">
        <f>IFERROR(INDEX('Output Utente'!$N$2:$N$492,MATCH(3,'Output Utente'!$R$2:$R$492,0)),"")</f>
        <v/>
      </c>
      <c r="G6" s="23" t="str">
        <f>IFERROR(INDEX('Output Utente'!$O$2:$O$492,MATCH(3,'Output Utente'!$R$2:$R$492,0)),"")</f>
        <v/>
      </c>
      <c r="H6" s="23" t="str">
        <f>IFERROR(INDEX('Output Utente'!$P$2:$P$492,MATCH(3,'Output Utente'!$R$2:$R$492,0)),"")</f>
        <v/>
      </c>
      <c r="I6" s="24" t="str">
        <f>IFERROR(INDEX('Output Utente'!$F$2:$F$492,MATCH(3,'Output Utente'!$R$2:$R$492,0)),"")</f>
        <v/>
      </c>
      <c r="J6" s="24" t="str">
        <f>IFERROR(INDEX('Output Utente'!$G$2:$G$492,MATCH(3,'Output Utente'!$R$2:$R$492,0)),"")</f>
        <v/>
      </c>
      <c r="K6" s="24" t="str">
        <f>IFERROR(INDEX('Output Utente'!$H$2:$H$492,MATCH(3,'Output Utente'!$R$2:$R$492,0)),"")</f>
        <v/>
      </c>
      <c r="L6" s="23" t="str">
        <f>IFERROR(INDEX('Output Utente'!$E$2:$E$492,MATCH(3,'Output Utente'!$R$2:$R$492,0)),"")</f>
        <v/>
      </c>
      <c r="N6" s="23" t="s">
        <v>812</v>
      </c>
      <c r="O6" s="43">
        <f>$O$4-$O$5</f>
        <v>1000</v>
      </c>
      <c r="Q6" t="s">
        <v>22</v>
      </c>
      <c r="R6" s="44">
        <f>SUMIFS('Output Utente'!$O$2:$O$492,'Output Utente'!$D$2:$D$492,'Info Lega'!$B$28)</f>
        <v>0</v>
      </c>
      <c r="V6" t="str">
        <f>IFERROR(INDEX('Output Utente'!$M$2:$M$492,MATCH(3,'Output Utente'!$R$2:$R$492,0)),"")</f>
        <v/>
      </c>
      <c r="W6" t="str">
        <f t="shared" si="0"/>
        <v/>
      </c>
      <c r="X6" t="str">
        <f>IFERROR(INDEX('Output Utente'!$AF$2:$AF$492,MATCH(3,'Output Utente'!$R$2:$R$492,0)),"")</f>
        <v/>
      </c>
    </row>
    <row r="7" spans="1:24" ht="15" customHeight="1" x14ac:dyDescent="0.25">
      <c r="A7" s="26">
        <v>4</v>
      </c>
      <c r="B7" s="23" t="str">
        <f>IFERROR(INDEX('Output Utente'!$A$2:$A$492,MATCH(4,'Output Utente'!$R$2:$R$492,0)),"")</f>
        <v/>
      </c>
      <c r="C7" s="23" t="str">
        <f>IFERROR(INDEX('Output Utente'!$B$2:$B$492,MATCH(4,'Output Utente'!$R$2:$R$492,0)),"")</f>
        <v/>
      </c>
      <c r="D7" s="23" t="str">
        <f>IFERROR(INDEX('Output Utente'!$C$2:$C$492,MATCH(4,'Output Utente'!$R$2:$R$492,0)),"")</f>
        <v/>
      </c>
      <c r="E7" s="23" t="str">
        <f>IFERROR(INDEX('Input Giocatori 2026_27'!$D$3:$D$493,MATCH($B7,'Input Giocatori 2026_27'!$A$3:$A$493,0)),"")</f>
        <v/>
      </c>
      <c r="F7" s="24" t="str">
        <f>IFERROR(INDEX('Output Utente'!$N$2:$N$492,MATCH(4,'Output Utente'!$R$2:$R$492,0)),"")</f>
        <v/>
      </c>
      <c r="G7" s="23" t="str">
        <f>IFERROR(INDEX('Output Utente'!$O$2:$O$492,MATCH(4,'Output Utente'!$R$2:$R$492,0)),"")</f>
        <v/>
      </c>
      <c r="H7" s="23" t="str">
        <f>IFERROR(INDEX('Output Utente'!$P$2:$P$492,MATCH(4,'Output Utente'!$R$2:$R$492,0)),"")</f>
        <v/>
      </c>
      <c r="I7" s="24" t="str">
        <f>IFERROR(INDEX('Output Utente'!$F$2:$F$492,MATCH(4,'Output Utente'!$R$2:$R$492,0)),"")</f>
        <v/>
      </c>
      <c r="J7" s="24" t="str">
        <f>IFERROR(INDEX('Output Utente'!$G$2:$G$492,MATCH(4,'Output Utente'!$R$2:$R$492,0)),"")</f>
        <v/>
      </c>
      <c r="K7" s="24" t="str">
        <f>IFERROR(INDEX('Output Utente'!$H$2:$H$492,MATCH(4,'Output Utente'!$R$2:$R$492,0)),"")</f>
        <v/>
      </c>
      <c r="L7" s="23" t="str">
        <f>IFERROR(INDEX('Output Utente'!$E$2:$E$492,MATCH(4,'Output Utente'!$R$2:$R$492,0)),"")</f>
        <v/>
      </c>
      <c r="N7" s="23" t="s">
        <v>813</v>
      </c>
      <c r="O7" s="35" t="str">
        <f>COUNTIFS('Output Utente'!$D$2:$D$492,'Info Lega'!$B$28,'Output Utente'!$B$2:$B$492,"P")&amp;" / "&amp;'Info Lega'!$B$5</f>
        <v>0 / 3</v>
      </c>
      <c r="Q7" t="s">
        <v>23</v>
      </c>
      <c r="R7">
        <f>SUMIFS('Output Utente'!$M$2:$M$492,'Output Utente'!$D$2:$D$492,'Info Lega'!$B$28)</f>
        <v>0</v>
      </c>
      <c r="V7" t="str">
        <f>IFERROR(INDEX('Output Utente'!$M$2:$M$492,MATCH(4,'Output Utente'!$R$2:$R$492,0)),"")</f>
        <v/>
      </c>
      <c r="W7" t="str">
        <f t="shared" si="0"/>
        <v/>
      </c>
      <c r="X7" t="str">
        <f>IFERROR(INDEX('Output Utente'!$AF$2:$AF$492,MATCH(4,'Output Utente'!$R$2:$R$492,0)),"")</f>
        <v/>
      </c>
    </row>
    <row r="8" spans="1:24" ht="15" customHeight="1" x14ac:dyDescent="0.25">
      <c r="A8" s="26">
        <v>5</v>
      </c>
      <c r="B8" s="23" t="str">
        <f>IFERROR(INDEX('Output Utente'!$A$2:$A$492,MATCH(5,'Output Utente'!$R$2:$R$492,0)),"")</f>
        <v/>
      </c>
      <c r="C8" s="23" t="str">
        <f>IFERROR(INDEX('Output Utente'!$B$2:$B$492,MATCH(5,'Output Utente'!$R$2:$R$492,0)),"")</f>
        <v/>
      </c>
      <c r="D8" s="23" t="str">
        <f>IFERROR(INDEX('Output Utente'!$C$2:$C$492,MATCH(5,'Output Utente'!$R$2:$R$492,0)),"")</f>
        <v/>
      </c>
      <c r="E8" s="23" t="str">
        <f>IFERROR(INDEX('Input Giocatori 2026_27'!$D$3:$D$493,MATCH($B8,'Input Giocatori 2026_27'!$A$3:$A$493,0)),"")</f>
        <v/>
      </c>
      <c r="F8" s="24" t="str">
        <f>IFERROR(INDEX('Output Utente'!$N$2:$N$492,MATCH(5,'Output Utente'!$R$2:$R$492,0)),"")</f>
        <v/>
      </c>
      <c r="G8" s="23" t="str">
        <f>IFERROR(INDEX('Output Utente'!$O$2:$O$492,MATCH(5,'Output Utente'!$R$2:$R$492,0)),"")</f>
        <v/>
      </c>
      <c r="H8" s="23" t="str">
        <f>IFERROR(INDEX('Output Utente'!$P$2:$P$492,MATCH(5,'Output Utente'!$R$2:$R$492,0)),"")</f>
        <v/>
      </c>
      <c r="I8" s="24" t="str">
        <f>IFERROR(INDEX('Output Utente'!$F$2:$F$492,MATCH(5,'Output Utente'!$R$2:$R$492,0)),"")</f>
        <v/>
      </c>
      <c r="J8" s="24" t="str">
        <f>IFERROR(INDEX('Output Utente'!$G$2:$G$492,MATCH(5,'Output Utente'!$R$2:$R$492,0)),"")</f>
        <v/>
      </c>
      <c r="K8" s="24" t="str">
        <f>IFERROR(INDEX('Output Utente'!$H$2:$H$492,MATCH(5,'Output Utente'!$R$2:$R$492,0)),"")</f>
        <v/>
      </c>
      <c r="L8" s="23" t="str">
        <f>IFERROR(INDEX('Output Utente'!$E$2:$E$492,MATCH(5,'Output Utente'!$R$2:$R$492,0)),"")</f>
        <v/>
      </c>
      <c r="N8" s="23" t="s">
        <v>814</v>
      </c>
      <c r="O8" s="35" t="str">
        <f>COUNTIFS('Output Utente'!$D$2:$D$492,'Info Lega'!$B$28,'Output Utente'!$B$2:$B$492,"D")&amp;" / "&amp;'Info Lega'!$B$6</f>
        <v>0 / 8</v>
      </c>
      <c r="Q8" t="s">
        <v>815</v>
      </c>
      <c r="R8" t="str">
        <f>IFERROR(ROUND($R$6/$R$7,2),"")</f>
        <v/>
      </c>
      <c r="V8" t="str">
        <f>IFERROR(INDEX('Output Utente'!$M$2:$M$492,MATCH(5,'Output Utente'!$R$2:$R$492,0)),"")</f>
        <v/>
      </c>
      <c r="W8" t="str">
        <f t="shared" si="0"/>
        <v/>
      </c>
      <c r="X8" t="str">
        <f>IFERROR(INDEX('Output Utente'!$AF$2:$AF$492,MATCH(5,'Output Utente'!$R$2:$R$492,0)),"")</f>
        <v/>
      </c>
    </row>
    <row r="9" spans="1:24" ht="15" customHeight="1" x14ac:dyDescent="0.25">
      <c r="A9" s="26">
        <v>6</v>
      </c>
      <c r="B9" s="23" t="str">
        <f>IFERROR(INDEX('Output Utente'!$A$2:$A$492,MATCH(6,'Output Utente'!$R$2:$R$492,0)),"")</f>
        <v/>
      </c>
      <c r="C9" s="23" t="str">
        <f>IFERROR(INDEX('Output Utente'!$B$2:$B$492,MATCH(6,'Output Utente'!$R$2:$R$492,0)),"")</f>
        <v/>
      </c>
      <c r="D9" s="23" t="str">
        <f>IFERROR(INDEX('Output Utente'!$C$2:$C$492,MATCH(6,'Output Utente'!$R$2:$R$492,0)),"")</f>
        <v/>
      </c>
      <c r="E9" s="23" t="str">
        <f>IFERROR(INDEX('Input Giocatori 2026_27'!$D$3:$D$493,MATCH($B9,'Input Giocatori 2026_27'!$A$3:$A$493,0)),"")</f>
        <v/>
      </c>
      <c r="F9" s="24" t="str">
        <f>IFERROR(INDEX('Output Utente'!$N$2:$N$492,MATCH(6,'Output Utente'!$R$2:$R$492,0)),"")</f>
        <v/>
      </c>
      <c r="G9" s="23" t="str">
        <f>IFERROR(INDEX('Output Utente'!$O$2:$O$492,MATCH(6,'Output Utente'!$R$2:$R$492,0)),"")</f>
        <v/>
      </c>
      <c r="H9" s="23" t="str">
        <f>IFERROR(INDEX('Output Utente'!$P$2:$P$492,MATCH(6,'Output Utente'!$R$2:$R$492,0)),"")</f>
        <v/>
      </c>
      <c r="I9" s="24" t="str">
        <f>IFERROR(INDEX('Output Utente'!$F$2:$F$492,MATCH(6,'Output Utente'!$R$2:$R$492,0)),"")</f>
        <v/>
      </c>
      <c r="J9" s="24" t="str">
        <f>IFERROR(INDEX('Output Utente'!$G$2:$G$492,MATCH(6,'Output Utente'!$R$2:$R$492,0)),"")</f>
        <v/>
      </c>
      <c r="K9" s="24" t="str">
        <f>IFERROR(INDEX('Output Utente'!$H$2:$H$492,MATCH(6,'Output Utente'!$R$2:$R$492,0)),"")</f>
        <v/>
      </c>
      <c r="L9" s="23" t="str">
        <f>IFERROR(INDEX('Output Utente'!$E$2:$E$492,MATCH(6,'Output Utente'!$R$2:$R$492,0)),"")</f>
        <v/>
      </c>
      <c r="N9" s="23" t="s">
        <v>816</v>
      </c>
      <c r="O9" s="35" t="str">
        <f>COUNTIFS('Output Utente'!$D$2:$D$492,'Info Lega'!$B$28,'Output Utente'!$B$2:$B$492,"C")&amp;" / "&amp;'Info Lega'!$B$7</f>
        <v>0 / 8</v>
      </c>
      <c r="Q9" t="s">
        <v>811</v>
      </c>
      <c r="R9" s="66" t="s">
        <v>817</v>
      </c>
      <c r="S9" s="62"/>
      <c r="T9" s="62"/>
      <c r="U9" s="62"/>
      <c r="V9" t="str">
        <f>IFERROR(INDEX('Output Utente'!$M$2:$M$492,MATCH(6,'Output Utente'!$R$2:$R$492,0)),"")</f>
        <v/>
      </c>
      <c r="W9" t="str">
        <f t="shared" si="0"/>
        <v/>
      </c>
      <c r="X9" t="str">
        <f>IFERROR(INDEX('Output Utente'!$AF$2:$AF$492,MATCH(6,'Output Utente'!$R$2:$R$492,0)),"")</f>
        <v/>
      </c>
    </row>
    <row r="10" spans="1:24" ht="15" customHeight="1" x14ac:dyDescent="0.25">
      <c r="A10" s="26">
        <v>7</v>
      </c>
      <c r="B10" s="23" t="str">
        <f>IFERROR(INDEX('Output Utente'!$A$2:$A$492,MATCH(7,'Output Utente'!$R$2:$R$492,0)),"")</f>
        <v/>
      </c>
      <c r="C10" s="23" t="str">
        <f>IFERROR(INDEX('Output Utente'!$B$2:$B$492,MATCH(7,'Output Utente'!$R$2:$R$492,0)),"")</f>
        <v/>
      </c>
      <c r="D10" s="23" t="str">
        <f>IFERROR(INDEX('Output Utente'!$C$2:$C$492,MATCH(7,'Output Utente'!$R$2:$R$492,0)),"")</f>
        <v/>
      </c>
      <c r="E10" s="23" t="str">
        <f>IFERROR(INDEX('Input Giocatori 2026_27'!$D$3:$D$493,MATCH($B10,'Input Giocatori 2026_27'!$A$3:$A$493,0)),"")</f>
        <v/>
      </c>
      <c r="F10" s="24" t="str">
        <f>IFERROR(INDEX('Output Utente'!$N$2:$N$492,MATCH(7,'Output Utente'!$R$2:$R$492,0)),"")</f>
        <v/>
      </c>
      <c r="G10" s="23" t="str">
        <f>IFERROR(INDEX('Output Utente'!$O$2:$O$492,MATCH(7,'Output Utente'!$R$2:$R$492,0)),"")</f>
        <v/>
      </c>
      <c r="H10" s="23" t="str">
        <f>IFERROR(INDEX('Output Utente'!$P$2:$P$492,MATCH(7,'Output Utente'!$R$2:$R$492,0)),"")</f>
        <v/>
      </c>
      <c r="I10" s="24" t="str">
        <f>IFERROR(INDEX('Output Utente'!$F$2:$F$492,MATCH(7,'Output Utente'!$R$2:$R$492,0)),"")</f>
        <v/>
      </c>
      <c r="J10" s="24" t="str">
        <f>IFERROR(INDEX('Output Utente'!$G$2:$G$492,MATCH(7,'Output Utente'!$R$2:$R$492,0)),"")</f>
        <v/>
      </c>
      <c r="K10" s="24" t="str">
        <f>IFERROR(INDEX('Output Utente'!$H$2:$H$492,MATCH(7,'Output Utente'!$R$2:$R$492,0)),"")</f>
        <v/>
      </c>
      <c r="L10" s="23" t="str">
        <f>IFERROR(INDEX('Output Utente'!$E$2:$E$492,MATCH(7,'Output Utente'!$R$2:$R$492,0)),"")</f>
        <v/>
      </c>
      <c r="N10" s="23" t="s">
        <v>818</v>
      </c>
      <c r="O10" s="35" t="str">
        <f>COUNTIFS('Output Utente'!$D$2:$D$492,'Info Lega'!$B$28,'Output Utente'!$B$2:$B$492,"A")&amp;" / "&amp;'Info Lega'!$B$8</f>
        <v>0 / 6</v>
      </c>
      <c r="V10" t="str">
        <f>IFERROR(INDEX('Output Utente'!$M$2:$M$492,MATCH(7,'Output Utente'!$R$2:$R$492,0)),"")</f>
        <v/>
      </c>
      <c r="W10" t="str">
        <f t="shared" si="0"/>
        <v/>
      </c>
      <c r="X10" t="str">
        <f>IFERROR(INDEX('Output Utente'!$AF$2:$AF$492,MATCH(7,'Output Utente'!$R$2:$R$492,0)),"")</f>
        <v/>
      </c>
    </row>
    <row r="11" spans="1:24" ht="15" customHeight="1" x14ac:dyDescent="0.25">
      <c r="A11" s="26">
        <v>8</v>
      </c>
      <c r="B11" s="23" t="str">
        <f>IFERROR(INDEX('Output Utente'!$A$2:$A$492,MATCH(8,'Output Utente'!$R$2:$R$492,0)),"")</f>
        <v/>
      </c>
      <c r="C11" s="23" t="str">
        <f>IFERROR(INDEX('Output Utente'!$B$2:$B$492,MATCH(8,'Output Utente'!$R$2:$R$492,0)),"")</f>
        <v/>
      </c>
      <c r="D11" s="23" t="str">
        <f>IFERROR(INDEX('Output Utente'!$C$2:$C$492,MATCH(8,'Output Utente'!$R$2:$R$492,0)),"")</f>
        <v/>
      </c>
      <c r="E11" s="23" t="str">
        <f>IFERROR(INDEX('Input Giocatori 2026_27'!$D$3:$D$493,MATCH($B11,'Input Giocatori 2026_27'!$A$3:$A$493,0)),"")</f>
        <v/>
      </c>
      <c r="F11" s="24" t="str">
        <f>IFERROR(INDEX('Output Utente'!$N$2:$N$492,MATCH(8,'Output Utente'!$R$2:$R$492,0)),"")</f>
        <v/>
      </c>
      <c r="G11" s="23" t="str">
        <f>IFERROR(INDEX('Output Utente'!$O$2:$O$492,MATCH(8,'Output Utente'!$R$2:$R$492,0)),"")</f>
        <v/>
      </c>
      <c r="H11" s="23" t="str">
        <f>IFERROR(INDEX('Output Utente'!$P$2:$P$492,MATCH(8,'Output Utente'!$R$2:$R$492,0)),"")</f>
        <v/>
      </c>
      <c r="I11" s="24" t="str">
        <f>IFERROR(INDEX('Output Utente'!$F$2:$F$492,MATCH(8,'Output Utente'!$R$2:$R$492,0)),"")</f>
        <v/>
      </c>
      <c r="J11" s="24" t="str">
        <f>IFERROR(INDEX('Output Utente'!$G$2:$G$492,MATCH(8,'Output Utente'!$R$2:$R$492,0)),"")</f>
        <v/>
      </c>
      <c r="K11" s="24" t="str">
        <f>IFERROR(INDEX('Output Utente'!$H$2:$H$492,MATCH(8,'Output Utente'!$R$2:$R$492,0)),"")</f>
        <v/>
      </c>
      <c r="L11" s="23" t="str">
        <f>IFERROR(INDEX('Output Utente'!$E$2:$E$492,MATCH(8,'Output Utente'!$R$2:$R$492,0)),"")</f>
        <v/>
      </c>
      <c r="N11" s="23" t="s">
        <v>819</v>
      </c>
      <c r="O11" s="35">
        <f>('Info Lega'!$B$5-COUNTIFS('Output Utente'!$D$2:$D$492,'Info Lega'!$B$28,'Output Utente'!$B$2:$B$492,"P"))+('Info Lega'!$B$6-COUNTIFS('Output Utente'!$D$2:$D$492,'Info Lega'!$B$28,'Output Utente'!$B$2:$B$492,"D"))+('Info Lega'!$B$7-COUNTIFS('Output Utente'!$D$2:$D$492,'Info Lega'!$B$28,'Output Utente'!$B$2:$B$492,"C"))+('Info Lega'!$B$8-COUNTIFS('Output Utente'!$D$2:$D$492,'Info Lega'!$B$28,'Output Utente'!$B$2:$B$492,"A"))</f>
        <v>25</v>
      </c>
      <c r="Q11" s="71" t="s">
        <v>820</v>
      </c>
      <c r="R11" s="62"/>
      <c r="S11" s="62"/>
      <c r="T11" s="62"/>
      <c r="U11" s="62"/>
      <c r="V11" t="str">
        <f>IFERROR(INDEX('Output Utente'!$M$2:$M$492,MATCH(8,'Output Utente'!$R$2:$R$492,0)),"")</f>
        <v/>
      </c>
      <c r="W11" t="str">
        <f t="shared" si="0"/>
        <v/>
      </c>
      <c r="X11" t="str">
        <f>IFERROR(INDEX('Output Utente'!$AF$2:$AF$492,MATCH(8,'Output Utente'!$R$2:$R$492,0)),"")</f>
        <v/>
      </c>
    </row>
    <row r="12" spans="1:24" ht="15" customHeight="1" x14ac:dyDescent="0.25">
      <c r="A12" s="26">
        <v>9</v>
      </c>
      <c r="B12" s="23" t="str">
        <f>IFERROR(INDEX('Output Utente'!$A$2:$A$492,MATCH(9,'Output Utente'!$R$2:$R$492,0)),"")</f>
        <v/>
      </c>
      <c r="C12" s="23" t="str">
        <f>IFERROR(INDEX('Output Utente'!$B$2:$B$492,MATCH(9,'Output Utente'!$R$2:$R$492,0)),"")</f>
        <v/>
      </c>
      <c r="D12" s="23" t="str">
        <f>IFERROR(INDEX('Output Utente'!$C$2:$C$492,MATCH(9,'Output Utente'!$R$2:$R$492,0)),"")</f>
        <v/>
      </c>
      <c r="E12" s="23" t="str">
        <f>IFERROR(INDEX('Input Giocatori 2026_27'!$D$3:$D$493,MATCH($B12,'Input Giocatori 2026_27'!$A$3:$A$493,0)),"")</f>
        <v/>
      </c>
      <c r="F12" s="24" t="str">
        <f>IFERROR(INDEX('Output Utente'!$N$2:$N$492,MATCH(9,'Output Utente'!$R$2:$R$492,0)),"")</f>
        <v/>
      </c>
      <c r="G12" s="23" t="str">
        <f>IFERROR(INDEX('Output Utente'!$O$2:$O$492,MATCH(9,'Output Utente'!$R$2:$R$492,0)),"")</f>
        <v/>
      </c>
      <c r="H12" s="23" t="str">
        <f>IFERROR(INDEX('Output Utente'!$P$2:$P$492,MATCH(9,'Output Utente'!$R$2:$R$492,0)),"")</f>
        <v/>
      </c>
      <c r="I12" s="24" t="str">
        <f>IFERROR(INDEX('Output Utente'!$F$2:$F$492,MATCH(9,'Output Utente'!$R$2:$R$492,0)),"")</f>
        <v/>
      </c>
      <c r="J12" s="24" t="str">
        <f>IFERROR(INDEX('Output Utente'!$G$2:$G$492,MATCH(9,'Output Utente'!$R$2:$R$492,0)),"")</f>
        <v/>
      </c>
      <c r="K12" s="24" t="str">
        <f>IFERROR(INDEX('Output Utente'!$H$2:$H$492,MATCH(9,'Output Utente'!$R$2:$R$492,0)),"")</f>
        <v/>
      </c>
      <c r="L12" s="23" t="str">
        <f>IFERROR(INDEX('Output Utente'!$E$2:$E$492,MATCH(9,'Output Utente'!$R$2:$R$492,0)),"")</f>
        <v/>
      </c>
      <c r="N12" s="23" t="s">
        <v>821</v>
      </c>
      <c r="O12" s="43">
        <f>IFERROR(IF($O$11&gt;0,$O$6/$O$11,""),"")</f>
        <v>40</v>
      </c>
      <c r="Q12" s="45" t="s">
        <v>5</v>
      </c>
      <c r="R12" s="45" t="s">
        <v>26</v>
      </c>
      <c r="S12" s="45" t="s">
        <v>27</v>
      </c>
      <c r="T12" s="45" t="s">
        <v>28</v>
      </c>
      <c r="U12" s="45" t="s">
        <v>29</v>
      </c>
      <c r="V12" t="str">
        <f>IFERROR(INDEX('Output Utente'!$M$2:$M$492,MATCH(9,'Output Utente'!$R$2:$R$492,0)),"")</f>
        <v/>
      </c>
      <c r="W12" t="str">
        <f t="shared" si="0"/>
        <v/>
      </c>
      <c r="X12" t="str">
        <f>IFERROR(INDEX('Output Utente'!$AF$2:$AF$492,MATCH(9,'Output Utente'!$R$2:$R$492,0)),"")</f>
        <v/>
      </c>
    </row>
    <row r="13" spans="1:24" ht="15" customHeight="1" x14ac:dyDescent="0.25">
      <c r="A13" s="26">
        <v>10</v>
      </c>
      <c r="B13" s="23" t="str">
        <f>IFERROR(INDEX('Output Utente'!$A$2:$A$492,MATCH(10,'Output Utente'!$R$2:$R$492,0)),"")</f>
        <v/>
      </c>
      <c r="C13" s="23" t="str">
        <f>IFERROR(INDEX('Output Utente'!$B$2:$B$492,MATCH(10,'Output Utente'!$R$2:$R$492,0)),"")</f>
        <v/>
      </c>
      <c r="D13" s="23" t="str">
        <f>IFERROR(INDEX('Output Utente'!$C$2:$C$492,MATCH(10,'Output Utente'!$R$2:$R$492,0)),"")</f>
        <v/>
      </c>
      <c r="E13" s="23" t="str">
        <f>IFERROR(INDEX('Input Giocatori 2026_27'!$D$3:$D$493,MATCH($B13,'Input Giocatori 2026_27'!$A$3:$A$493,0)),"")</f>
        <v/>
      </c>
      <c r="F13" s="24" t="str">
        <f>IFERROR(INDEX('Output Utente'!$N$2:$N$492,MATCH(10,'Output Utente'!$R$2:$R$492,0)),"")</f>
        <v/>
      </c>
      <c r="G13" s="23" t="str">
        <f>IFERROR(INDEX('Output Utente'!$O$2:$O$492,MATCH(10,'Output Utente'!$R$2:$R$492,0)),"")</f>
        <v/>
      </c>
      <c r="H13" s="23" t="str">
        <f>IFERROR(INDEX('Output Utente'!$P$2:$P$492,MATCH(10,'Output Utente'!$R$2:$R$492,0)),"")</f>
        <v/>
      </c>
      <c r="I13" s="24" t="str">
        <f>IFERROR(INDEX('Output Utente'!$F$2:$F$492,MATCH(10,'Output Utente'!$R$2:$R$492,0)),"")</f>
        <v/>
      </c>
      <c r="J13" s="24" t="str">
        <f>IFERROR(INDEX('Output Utente'!$G$2:$G$492,MATCH(10,'Output Utente'!$R$2:$R$492,0)),"")</f>
        <v/>
      </c>
      <c r="K13" s="24" t="str">
        <f>IFERROR(INDEX('Output Utente'!$H$2:$H$492,MATCH(10,'Output Utente'!$R$2:$R$492,0)),"")</f>
        <v/>
      </c>
      <c r="L13" s="23" t="str">
        <f>IFERROR(INDEX('Output Utente'!$E$2:$E$492,MATCH(10,'Output Utente'!$R$2:$R$492,0)),"")</f>
        <v/>
      </c>
      <c r="Q13" t="s">
        <v>15</v>
      </c>
      <c r="R13">
        <f>COUNTIFS('Output Utente'!$D$2:$D$492,'Info Lega'!$B$28,'Output Utente'!$B$2:$B$492,"P",'Output Utente'!$AF$2:$AF$492,"Titolare")</f>
        <v>0</v>
      </c>
      <c r="S13">
        <f>'Parametri Modello'!$B$57*1</f>
        <v>1</v>
      </c>
      <c r="T13">
        <f>COUNTIFS('Output Utente'!$D$2:$D$492,'Info Lega'!$B$28,'Output Utente'!$B$2:$B$492,"P",'Output Utente'!$AF$2:$AF$492,"Riserva")</f>
        <v>0</v>
      </c>
      <c r="U13" t="str">
        <f>IF($R13&lt;$S13,"Titolare","Riserva")</f>
        <v>Titolare</v>
      </c>
      <c r="V13" t="str">
        <f>IFERROR(INDEX('Output Utente'!$M$2:$M$492,MATCH(10,'Output Utente'!$R$2:$R$492,0)),"")</f>
        <v/>
      </c>
      <c r="W13" t="str">
        <f t="shared" si="0"/>
        <v/>
      </c>
      <c r="X13" t="str">
        <f>IFERROR(INDEX('Output Utente'!$AF$2:$AF$492,MATCH(10,'Output Utente'!$R$2:$R$492,0)),"")</f>
        <v/>
      </c>
    </row>
    <row r="14" spans="1:24" ht="15" customHeight="1" x14ac:dyDescent="0.25">
      <c r="A14" s="26">
        <v>11</v>
      </c>
      <c r="B14" s="23" t="str">
        <f>IFERROR(INDEX('Output Utente'!$A$2:$A$492,MATCH(11,'Output Utente'!$R$2:$R$492,0)),"")</f>
        <v/>
      </c>
      <c r="C14" s="23" t="str">
        <f>IFERROR(INDEX('Output Utente'!$B$2:$B$492,MATCH(11,'Output Utente'!$R$2:$R$492,0)),"")</f>
        <v/>
      </c>
      <c r="D14" s="23" t="str">
        <f>IFERROR(INDEX('Output Utente'!$C$2:$C$492,MATCH(11,'Output Utente'!$R$2:$R$492,0)),"")</f>
        <v/>
      </c>
      <c r="E14" s="23" t="str">
        <f>IFERROR(INDEX('Input Giocatori 2026_27'!$D$3:$D$493,MATCH($B14,'Input Giocatori 2026_27'!$A$3:$A$493,0)),"")</f>
        <v/>
      </c>
      <c r="F14" s="24" t="str">
        <f>IFERROR(INDEX('Output Utente'!$N$2:$N$492,MATCH(11,'Output Utente'!$R$2:$R$492,0)),"")</f>
        <v/>
      </c>
      <c r="G14" s="23" t="str">
        <f>IFERROR(INDEX('Output Utente'!$O$2:$O$492,MATCH(11,'Output Utente'!$R$2:$R$492,0)),"")</f>
        <v/>
      </c>
      <c r="H14" s="23" t="str">
        <f>IFERROR(INDEX('Output Utente'!$P$2:$P$492,MATCH(11,'Output Utente'!$R$2:$R$492,0)),"")</f>
        <v/>
      </c>
      <c r="I14" s="24" t="str">
        <f>IFERROR(INDEX('Output Utente'!$F$2:$F$492,MATCH(11,'Output Utente'!$R$2:$R$492,0)),"")</f>
        <v/>
      </c>
      <c r="J14" s="24" t="str">
        <f>IFERROR(INDEX('Output Utente'!$G$2:$G$492,MATCH(11,'Output Utente'!$R$2:$R$492,0)),"")</f>
        <v/>
      </c>
      <c r="K14" s="24" t="str">
        <f>IFERROR(INDEX('Output Utente'!$H$2:$H$492,MATCH(11,'Output Utente'!$R$2:$R$492,0)),"")</f>
        <v/>
      </c>
      <c r="L14" s="23" t="str">
        <f>IFERROR(INDEX('Output Utente'!$E$2:$E$492,MATCH(11,'Output Utente'!$R$2:$R$492,0)),"")</f>
        <v/>
      </c>
      <c r="Q14" t="s">
        <v>16</v>
      </c>
      <c r="R14">
        <f>COUNTIFS('Output Utente'!$D$2:$D$492,'Info Lega'!$B$28,'Output Utente'!$B$2:$B$492,"D",'Output Utente'!$AF$2:$AF$492,"Titolare")</f>
        <v>0</v>
      </c>
      <c r="S14">
        <f>'Parametri Modello'!$B$58*1</f>
        <v>3</v>
      </c>
      <c r="T14">
        <f>COUNTIFS('Output Utente'!$D$2:$D$492,'Info Lega'!$B$28,'Output Utente'!$B$2:$B$492,"D",'Output Utente'!$AF$2:$AF$492,"Riserva")</f>
        <v>0</v>
      </c>
      <c r="U14" t="str">
        <f>IF($R14&lt;$S14,"Titolare","Riserva")</f>
        <v>Titolare</v>
      </c>
      <c r="V14" t="str">
        <f>IFERROR(INDEX('Output Utente'!$M$2:$M$492,MATCH(11,'Output Utente'!$R$2:$R$492,0)),"")</f>
        <v/>
      </c>
      <c r="W14" t="str">
        <f t="shared" si="0"/>
        <v/>
      </c>
      <c r="X14" t="str">
        <f>IFERROR(INDEX('Output Utente'!$AF$2:$AF$492,MATCH(11,'Output Utente'!$R$2:$R$492,0)),"")</f>
        <v/>
      </c>
    </row>
    <row r="15" spans="1:24" ht="15" customHeight="1" x14ac:dyDescent="0.25">
      <c r="A15" s="26">
        <v>12</v>
      </c>
      <c r="B15" s="23" t="str">
        <f>IFERROR(INDEX('Output Utente'!$A$2:$A$492,MATCH(12,'Output Utente'!$R$2:$R$492,0)),"")</f>
        <v/>
      </c>
      <c r="C15" s="23" t="str">
        <f>IFERROR(INDEX('Output Utente'!$B$2:$B$492,MATCH(12,'Output Utente'!$R$2:$R$492,0)),"")</f>
        <v/>
      </c>
      <c r="D15" s="23" t="str">
        <f>IFERROR(INDEX('Output Utente'!$C$2:$C$492,MATCH(12,'Output Utente'!$R$2:$R$492,0)),"")</f>
        <v/>
      </c>
      <c r="E15" s="23" t="str">
        <f>IFERROR(INDEX('Input Giocatori 2026_27'!$D$3:$D$493,MATCH($B15,'Input Giocatori 2026_27'!$A$3:$A$493,0)),"")</f>
        <v/>
      </c>
      <c r="F15" s="24" t="str">
        <f>IFERROR(INDEX('Output Utente'!$N$2:$N$492,MATCH(12,'Output Utente'!$R$2:$R$492,0)),"")</f>
        <v/>
      </c>
      <c r="G15" s="23" t="str">
        <f>IFERROR(INDEX('Output Utente'!$O$2:$O$492,MATCH(12,'Output Utente'!$R$2:$R$492,0)),"")</f>
        <v/>
      </c>
      <c r="H15" s="23" t="str">
        <f>IFERROR(INDEX('Output Utente'!$P$2:$P$492,MATCH(12,'Output Utente'!$R$2:$R$492,0)),"")</f>
        <v/>
      </c>
      <c r="I15" s="24" t="str">
        <f>IFERROR(INDEX('Output Utente'!$F$2:$F$492,MATCH(12,'Output Utente'!$R$2:$R$492,0)),"")</f>
        <v/>
      </c>
      <c r="J15" s="24" t="str">
        <f>IFERROR(INDEX('Output Utente'!$G$2:$G$492,MATCH(12,'Output Utente'!$R$2:$R$492,0)),"")</f>
        <v/>
      </c>
      <c r="K15" s="24" t="str">
        <f>IFERROR(INDEX('Output Utente'!$H$2:$H$492,MATCH(12,'Output Utente'!$R$2:$R$492,0)),"")</f>
        <v/>
      </c>
      <c r="L15" s="23" t="str">
        <f>IFERROR(INDEX('Output Utente'!$E$2:$E$492,MATCH(12,'Output Utente'!$R$2:$R$492,0)),"")</f>
        <v/>
      </c>
      <c r="Q15" t="s">
        <v>17</v>
      </c>
      <c r="R15">
        <f>COUNTIFS('Output Utente'!$D$2:$D$492,'Info Lega'!$B$28,'Output Utente'!$B$2:$B$492,"C",'Output Utente'!$AF$2:$AF$492,"Titolare")</f>
        <v>0</v>
      </c>
      <c r="S15">
        <f>'Parametri Modello'!$B$59*1</f>
        <v>4</v>
      </c>
      <c r="T15">
        <f>COUNTIFS('Output Utente'!$D$2:$D$492,'Info Lega'!$B$28,'Output Utente'!$B$2:$B$492,"C",'Output Utente'!$AF$2:$AF$492,"Riserva")</f>
        <v>0</v>
      </c>
      <c r="U15" t="str">
        <f>IF($R15&lt;$S15,"Titolare","Riserva")</f>
        <v>Titolare</v>
      </c>
      <c r="V15" t="str">
        <f>IFERROR(INDEX('Output Utente'!$M$2:$M$492,MATCH(12,'Output Utente'!$R$2:$R$492,0)),"")</f>
        <v/>
      </c>
      <c r="W15" t="str">
        <f t="shared" si="0"/>
        <v/>
      </c>
      <c r="X15" t="str">
        <f>IFERROR(INDEX('Output Utente'!$AF$2:$AF$492,MATCH(12,'Output Utente'!$R$2:$R$492,0)),"")</f>
        <v/>
      </c>
    </row>
    <row r="16" spans="1:24" ht="15" customHeight="1" x14ac:dyDescent="0.25">
      <c r="A16" s="26">
        <v>13</v>
      </c>
      <c r="B16" s="23" t="str">
        <f>IFERROR(INDEX('Output Utente'!$A$2:$A$492,MATCH(13,'Output Utente'!$R$2:$R$492,0)),"")</f>
        <v/>
      </c>
      <c r="C16" s="23" t="str">
        <f>IFERROR(INDEX('Output Utente'!$B$2:$B$492,MATCH(13,'Output Utente'!$R$2:$R$492,0)),"")</f>
        <v/>
      </c>
      <c r="D16" s="23" t="str">
        <f>IFERROR(INDEX('Output Utente'!$C$2:$C$492,MATCH(13,'Output Utente'!$R$2:$R$492,0)),"")</f>
        <v/>
      </c>
      <c r="E16" s="23" t="str">
        <f>IFERROR(INDEX('Input Giocatori 2026_27'!$D$3:$D$493,MATCH($B16,'Input Giocatori 2026_27'!$A$3:$A$493,0)),"")</f>
        <v/>
      </c>
      <c r="F16" s="24" t="str">
        <f>IFERROR(INDEX('Output Utente'!$N$2:$N$492,MATCH(13,'Output Utente'!$R$2:$R$492,0)),"")</f>
        <v/>
      </c>
      <c r="G16" s="23" t="str">
        <f>IFERROR(INDEX('Output Utente'!$O$2:$O$492,MATCH(13,'Output Utente'!$R$2:$R$492,0)),"")</f>
        <v/>
      </c>
      <c r="H16" s="23" t="str">
        <f>IFERROR(INDEX('Output Utente'!$P$2:$P$492,MATCH(13,'Output Utente'!$R$2:$R$492,0)),"")</f>
        <v/>
      </c>
      <c r="I16" s="24" t="str">
        <f>IFERROR(INDEX('Output Utente'!$F$2:$F$492,MATCH(13,'Output Utente'!$R$2:$R$492,0)),"")</f>
        <v/>
      </c>
      <c r="J16" s="24" t="str">
        <f>IFERROR(INDEX('Output Utente'!$G$2:$G$492,MATCH(13,'Output Utente'!$R$2:$R$492,0)),"")</f>
        <v/>
      </c>
      <c r="K16" s="24" t="str">
        <f>IFERROR(INDEX('Output Utente'!$H$2:$H$492,MATCH(13,'Output Utente'!$R$2:$R$492,0)),"")</f>
        <v/>
      </c>
      <c r="L16" s="23" t="str">
        <f>IFERROR(INDEX('Output Utente'!$E$2:$E$492,MATCH(13,'Output Utente'!$R$2:$R$492,0)),"")</f>
        <v/>
      </c>
      <c r="Q16" t="s">
        <v>18</v>
      </c>
      <c r="R16">
        <f>COUNTIFS('Output Utente'!$D$2:$D$492,'Info Lega'!$B$28,'Output Utente'!$B$2:$B$492,"A",'Output Utente'!$AF$2:$AF$492,"Titolare")</f>
        <v>0</v>
      </c>
      <c r="S16">
        <f>'Parametri Modello'!$B$60*1</f>
        <v>3</v>
      </c>
      <c r="T16">
        <f>COUNTIFS('Output Utente'!$D$2:$D$492,'Info Lega'!$B$28,'Output Utente'!$B$2:$B$492,"A",'Output Utente'!$AF$2:$AF$492,"Riserva")</f>
        <v>0</v>
      </c>
      <c r="U16" t="str">
        <f>IF($R16&lt;$S16,"Titolare","Riserva")</f>
        <v>Titolare</v>
      </c>
      <c r="V16" t="str">
        <f>IFERROR(INDEX('Output Utente'!$M$2:$M$492,MATCH(13,'Output Utente'!$R$2:$R$492,0)),"")</f>
        <v/>
      </c>
      <c r="W16" t="str">
        <f t="shared" si="0"/>
        <v/>
      </c>
      <c r="X16" t="str">
        <f>IFERROR(INDEX('Output Utente'!$AF$2:$AF$492,MATCH(13,'Output Utente'!$R$2:$R$492,0)),"")</f>
        <v/>
      </c>
    </row>
    <row r="17" spans="1:24" ht="15" customHeight="1" x14ac:dyDescent="0.25">
      <c r="A17" s="26">
        <v>14</v>
      </c>
      <c r="B17" s="23" t="str">
        <f>IFERROR(INDEX('Output Utente'!$A$2:$A$492,MATCH(14,'Output Utente'!$R$2:$R$492,0)),"")</f>
        <v/>
      </c>
      <c r="C17" s="23" t="str">
        <f>IFERROR(INDEX('Output Utente'!$B$2:$B$492,MATCH(14,'Output Utente'!$R$2:$R$492,0)),"")</f>
        <v/>
      </c>
      <c r="D17" s="23" t="str">
        <f>IFERROR(INDEX('Output Utente'!$C$2:$C$492,MATCH(14,'Output Utente'!$R$2:$R$492,0)),"")</f>
        <v/>
      </c>
      <c r="E17" s="23" t="str">
        <f>IFERROR(INDEX('Input Giocatori 2026_27'!$D$3:$D$493,MATCH($B17,'Input Giocatori 2026_27'!$A$3:$A$493,0)),"")</f>
        <v/>
      </c>
      <c r="F17" s="24" t="str">
        <f>IFERROR(INDEX('Output Utente'!$N$2:$N$492,MATCH(14,'Output Utente'!$R$2:$R$492,0)),"")</f>
        <v/>
      </c>
      <c r="G17" s="23" t="str">
        <f>IFERROR(INDEX('Output Utente'!$O$2:$O$492,MATCH(14,'Output Utente'!$R$2:$R$492,0)),"")</f>
        <v/>
      </c>
      <c r="H17" s="23" t="str">
        <f>IFERROR(INDEX('Output Utente'!$P$2:$P$492,MATCH(14,'Output Utente'!$R$2:$R$492,0)),"")</f>
        <v/>
      </c>
      <c r="I17" s="24" t="str">
        <f>IFERROR(INDEX('Output Utente'!$F$2:$F$492,MATCH(14,'Output Utente'!$R$2:$R$492,0)),"")</f>
        <v/>
      </c>
      <c r="J17" s="24" t="str">
        <f>IFERROR(INDEX('Output Utente'!$G$2:$G$492,MATCH(14,'Output Utente'!$R$2:$R$492,0)),"")</f>
        <v/>
      </c>
      <c r="K17" s="24" t="str">
        <f>IFERROR(INDEX('Output Utente'!$H$2:$H$492,MATCH(14,'Output Utente'!$R$2:$R$492,0)),"")</f>
        <v/>
      </c>
      <c r="L17" s="23" t="str">
        <f>IFERROR(INDEX('Output Utente'!$E$2:$E$492,MATCH(14,'Output Utente'!$R$2:$R$492,0)),"")</f>
        <v/>
      </c>
      <c r="V17" t="str">
        <f>IFERROR(INDEX('Output Utente'!$M$2:$M$492,MATCH(14,'Output Utente'!$R$2:$R$492,0)),"")</f>
        <v/>
      </c>
      <c r="W17" t="str">
        <f t="shared" si="0"/>
        <v/>
      </c>
      <c r="X17" t="str">
        <f>IFERROR(INDEX('Output Utente'!$AF$2:$AF$492,MATCH(14,'Output Utente'!$R$2:$R$492,0)),"")</f>
        <v/>
      </c>
    </row>
    <row r="18" spans="1:24" ht="15" customHeight="1" x14ac:dyDescent="0.25">
      <c r="A18" s="26">
        <v>15</v>
      </c>
      <c r="B18" s="23" t="str">
        <f>IFERROR(INDEX('Output Utente'!$A$2:$A$492,MATCH(15,'Output Utente'!$R$2:$R$492,0)),"")</f>
        <v/>
      </c>
      <c r="C18" s="23" t="str">
        <f>IFERROR(INDEX('Output Utente'!$B$2:$B$492,MATCH(15,'Output Utente'!$R$2:$R$492,0)),"")</f>
        <v/>
      </c>
      <c r="D18" s="23" t="str">
        <f>IFERROR(INDEX('Output Utente'!$C$2:$C$492,MATCH(15,'Output Utente'!$R$2:$R$492,0)),"")</f>
        <v/>
      </c>
      <c r="E18" s="23" t="str">
        <f>IFERROR(INDEX('Input Giocatori 2026_27'!$D$3:$D$493,MATCH($B18,'Input Giocatori 2026_27'!$A$3:$A$493,0)),"")</f>
        <v/>
      </c>
      <c r="F18" s="24" t="str">
        <f>IFERROR(INDEX('Output Utente'!$N$2:$N$492,MATCH(15,'Output Utente'!$R$2:$R$492,0)),"")</f>
        <v/>
      </c>
      <c r="G18" s="23" t="str">
        <f>IFERROR(INDEX('Output Utente'!$O$2:$O$492,MATCH(15,'Output Utente'!$R$2:$R$492,0)),"")</f>
        <v/>
      </c>
      <c r="H18" s="23" t="str">
        <f>IFERROR(INDEX('Output Utente'!$P$2:$P$492,MATCH(15,'Output Utente'!$R$2:$R$492,0)),"")</f>
        <v/>
      </c>
      <c r="I18" s="24" t="str">
        <f>IFERROR(INDEX('Output Utente'!$F$2:$F$492,MATCH(15,'Output Utente'!$R$2:$R$492,0)),"")</f>
        <v/>
      </c>
      <c r="J18" s="24" t="str">
        <f>IFERROR(INDEX('Output Utente'!$G$2:$G$492,MATCH(15,'Output Utente'!$R$2:$R$492,0)),"")</f>
        <v/>
      </c>
      <c r="K18" s="24" t="str">
        <f>IFERROR(INDEX('Output Utente'!$H$2:$H$492,MATCH(15,'Output Utente'!$R$2:$R$492,0)),"")</f>
        <v/>
      </c>
      <c r="L18" s="23" t="str">
        <f>IFERROR(INDEX('Output Utente'!$E$2:$E$492,MATCH(15,'Output Utente'!$R$2:$R$492,0)),"")</f>
        <v/>
      </c>
      <c r="V18" t="str">
        <f>IFERROR(INDEX('Output Utente'!$M$2:$M$492,MATCH(15,'Output Utente'!$R$2:$R$492,0)),"")</f>
        <v/>
      </c>
      <c r="W18" t="str">
        <f t="shared" si="0"/>
        <v/>
      </c>
      <c r="X18" t="str">
        <f>IFERROR(INDEX('Output Utente'!$AF$2:$AF$492,MATCH(15,'Output Utente'!$R$2:$R$492,0)),"")</f>
        <v/>
      </c>
    </row>
    <row r="19" spans="1:24" ht="15" customHeight="1" x14ac:dyDescent="0.25">
      <c r="A19" s="26">
        <v>16</v>
      </c>
      <c r="B19" s="23" t="str">
        <f>IFERROR(INDEX('Output Utente'!$A$2:$A$492,MATCH(16,'Output Utente'!$R$2:$R$492,0)),"")</f>
        <v/>
      </c>
      <c r="C19" s="23" t="str">
        <f>IFERROR(INDEX('Output Utente'!$B$2:$B$492,MATCH(16,'Output Utente'!$R$2:$R$492,0)),"")</f>
        <v/>
      </c>
      <c r="D19" s="23" t="str">
        <f>IFERROR(INDEX('Output Utente'!$C$2:$C$492,MATCH(16,'Output Utente'!$R$2:$R$492,0)),"")</f>
        <v/>
      </c>
      <c r="E19" s="23" t="str">
        <f>IFERROR(INDEX('Input Giocatori 2026_27'!$D$3:$D$493,MATCH($B19,'Input Giocatori 2026_27'!$A$3:$A$493,0)),"")</f>
        <v/>
      </c>
      <c r="F19" s="24" t="str">
        <f>IFERROR(INDEX('Output Utente'!$N$2:$N$492,MATCH(16,'Output Utente'!$R$2:$R$492,0)),"")</f>
        <v/>
      </c>
      <c r="G19" s="23" t="str">
        <f>IFERROR(INDEX('Output Utente'!$O$2:$O$492,MATCH(16,'Output Utente'!$R$2:$R$492,0)),"")</f>
        <v/>
      </c>
      <c r="H19" s="23" t="str">
        <f>IFERROR(INDEX('Output Utente'!$P$2:$P$492,MATCH(16,'Output Utente'!$R$2:$R$492,0)),"")</f>
        <v/>
      </c>
      <c r="I19" s="24" t="str">
        <f>IFERROR(INDEX('Output Utente'!$F$2:$F$492,MATCH(16,'Output Utente'!$R$2:$R$492,0)),"")</f>
        <v/>
      </c>
      <c r="J19" s="24" t="str">
        <f>IFERROR(INDEX('Output Utente'!$G$2:$G$492,MATCH(16,'Output Utente'!$R$2:$R$492,0)),"")</f>
        <v/>
      </c>
      <c r="K19" s="24" t="str">
        <f>IFERROR(INDEX('Output Utente'!$H$2:$H$492,MATCH(16,'Output Utente'!$R$2:$R$492,0)),"")</f>
        <v/>
      </c>
      <c r="L19" s="23" t="str">
        <f>IFERROR(INDEX('Output Utente'!$E$2:$E$492,MATCH(16,'Output Utente'!$R$2:$R$492,0)),"")</f>
        <v/>
      </c>
      <c r="V19" t="str">
        <f>IFERROR(INDEX('Output Utente'!$M$2:$M$492,MATCH(16,'Output Utente'!$R$2:$R$492,0)),"")</f>
        <v/>
      </c>
      <c r="W19" t="str">
        <f t="shared" si="0"/>
        <v/>
      </c>
      <c r="X19" t="str">
        <f>IFERROR(INDEX('Output Utente'!$AF$2:$AF$492,MATCH(16,'Output Utente'!$R$2:$R$492,0)),"")</f>
        <v/>
      </c>
    </row>
    <row r="20" spans="1:24" ht="15" customHeight="1" x14ac:dyDescent="0.25">
      <c r="A20" s="26">
        <v>17</v>
      </c>
      <c r="B20" s="23" t="str">
        <f>IFERROR(INDEX('Output Utente'!$A$2:$A$492,MATCH(17,'Output Utente'!$R$2:$R$492,0)),"")</f>
        <v/>
      </c>
      <c r="C20" s="23" t="str">
        <f>IFERROR(INDEX('Output Utente'!$B$2:$B$492,MATCH(17,'Output Utente'!$R$2:$R$492,0)),"")</f>
        <v/>
      </c>
      <c r="D20" s="23" t="str">
        <f>IFERROR(INDEX('Output Utente'!$C$2:$C$492,MATCH(17,'Output Utente'!$R$2:$R$492,0)),"")</f>
        <v/>
      </c>
      <c r="E20" s="23" t="str">
        <f>IFERROR(INDEX('Input Giocatori 2026_27'!$D$3:$D$493,MATCH($B20,'Input Giocatori 2026_27'!$A$3:$A$493,0)),"")</f>
        <v/>
      </c>
      <c r="F20" s="24" t="str">
        <f>IFERROR(INDEX('Output Utente'!$N$2:$N$492,MATCH(17,'Output Utente'!$R$2:$R$492,0)),"")</f>
        <v/>
      </c>
      <c r="G20" s="23" t="str">
        <f>IFERROR(INDEX('Output Utente'!$O$2:$O$492,MATCH(17,'Output Utente'!$R$2:$R$492,0)),"")</f>
        <v/>
      </c>
      <c r="H20" s="23" t="str">
        <f>IFERROR(INDEX('Output Utente'!$P$2:$P$492,MATCH(17,'Output Utente'!$R$2:$R$492,0)),"")</f>
        <v/>
      </c>
      <c r="I20" s="24" t="str">
        <f>IFERROR(INDEX('Output Utente'!$F$2:$F$492,MATCH(17,'Output Utente'!$R$2:$R$492,0)),"")</f>
        <v/>
      </c>
      <c r="J20" s="24" t="str">
        <f>IFERROR(INDEX('Output Utente'!$G$2:$G$492,MATCH(17,'Output Utente'!$R$2:$R$492,0)),"")</f>
        <v/>
      </c>
      <c r="K20" s="24" t="str">
        <f>IFERROR(INDEX('Output Utente'!$H$2:$H$492,MATCH(17,'Output Utente'!$R$2:$R$492,0)),"")</f>
        <v/>
      </c>
      <c r="L20" s="23" t="str">
        <f>IFERROR(INDEX('Output Utente'!$E$2:$E$492,MATCH(17,'Output Utente'!$R$2:$R$492,0)),"")</f>
        <v/>
      </c>
      <c r="V20" t="str">
        <f>IFERROR(INDEX('Output Utente'!$M$2:$M$492,MATCH(17,'Output Utente'!$R$2:$R$492,0)),"")</f>
        <v/>
      </c>
      <c r="W20" t="str">
        <f t="shared" si="0"/>
        <v/>
      </c>
      <c r="X20" t="str">
        <f>IFERROR(INDEX('Output Utente'!$AF$2:$AF$492,MATCH(17,'Output Utente'!$R$2:$R$492,0)),"")</f>
        <v/>
      </c>
    </row>
    <row r="21" spans="1:24" ht="15" customHeight="1" x14ac:dyDescent="0.25">
      <c r="A21" s="26">
        <v>18</v>
      </c>
      <c r="B21" s="23" t="str">
        <f>IFERROR(INDEX('Output Utente'!$A$2:$A$492,MATCH(18,'Output Utente'!$R$2:$R$492,0)),"")</f>
        <v/>
      </c>
      <c r="C21" s="23" t="str">
        <f>IFERROR(INDEX('Output Utente'!$B$2:$B$492,MATCH(18,'Output Utente'!$R$2:$R$492,0)),"")</f>
        <v/>
      </c>
      <c r="D21" s="23" t="str">
        <f>IFERROR(INDEX('Output Utente'!$C$2:$C$492,MATCH(18,'Output Utente'!$R$2:$R$492,0)),"")</f>
        <v/>
      </c>
      <c r="E21" s="23" t="str">
        <f>IFERROR(INDEX('Input Giocatori 2026_27'!$D$3:$D$493,MATCH($B21,'Input Giocatori 2026_27'!$A$3:$A$493,0)),"")</f>
        <v/>
      </c>
      <c r="F21" s="24" t="str">
        <f>IFERROR(INDEX('Output Utente'!$N$2:$N$492,MATCH(18,'Output Utente'!$R$2:$R$492,0)),"")</f>
        <v/>
      </c>
      <c r="G21" s="23" t="str">
        <f>IFERROR(INDEX('Output Utente'!$O$2:$O$492,MATCH(18,'Output Utente'!$R$2:$R$492,0)),"")</f>
        <v/>
      </c>
      <c r="H21" s="23" t="str">
        <f>IFERROR(INDEX('Output Utente'!$P$2:$P$492,MATCH(18,'Output Utente'!$R$2:$R$492,0)),"")</f>
        <v/>
      </c>
      <c r="I21" s="24" t="str">
        <f>IFERROR(INDEX('Output Utente'!$F$2:$F$492,MATCH(18,'Output Utente'!$R$2:$R$492,0)),"")</f>
        <v/>
      </c>
      <c r="J21" s="24" t="str">
        <f>IFERROR(INDEX('Output Utente'!$G$2:$G$492,MATCH(18,'Output Utente'!$R$2:$R$492,0)),"")</f>
        <v/>
      </c>
      <c r="K21" s="24" t="str">
        <f>IFERROR(INDEX('Output Utente'!$H$2:$H$492,MATCH(18,'Output Utente'!$R$2:$R$492,0)),"")</f>
        <v/>
      </c>
      <c r="L21" s="23" t="str">
        <f>IFERROR(INDEX('Output Utente'!$E$2:$E$492,MATCH(18,'Output Utente'!$R$2:$R$492,0)),"")</f>
        <v/>
      </c>
      <c r="V21" t="str">
        <f>IFERROR(INDEX('Output Utente'!$M$2:$M$492,MATCH(18,'Output Utente'!$R$2:$R$492,0)),"")</f>
        <v/>
      </c>
      <c r="W21" t="str">
        <f t="shared" si="0"/>
        <v/>
      </c>
      <c r="X21" t="str">
        <f>IFERROR(INDEX('Output Utente'!$AF$2:$AF$492,MATCH(18,'Output Utente'!$R$2:$R$492,0)),"")</f>
        <v/>
      </c>
    </row>
    <row r="22" spans="1:24" ht="15" customHeight="1" x14ac:dyDescent="0.25">
      <c r="A22" s="26">
        <v>19</v>
      </c>
      <c r="B22" s="23" t="str">
        <f>IFERROR(INDEX('Output Utente'!$A$2:$A$492,MATCH(19,'Output Utente'!$R$2:$R$492,0)),"")</f>
        <v/>
      </c>
      <c r="C22" s="23" t="str">
        <f>IFERROR(INDEX('Output Utente'!$B$2:$B$492,MATCH(19,'Output Utente'!$R$2:$R$492,0)),"")</f>
        <v/>
      </c>
      <c r="D22" s="23" t="str">
        <f>IFERROR(INDEX('Output Utente'!$C$2:$C$492,MATCH(19,'Output Utente'!$R$2:$R$492,0)),"")</f>
        <v/>
      </c>
      <c r="E22" s="23" t="str">
        <f>IFERROR(INDEX('Input Giocatori 2026_27'!$D$3:$D$493,MATCH($B22,'Input Giocatori 2026_27'!$A$3:$A$493,0)),"")</f>
        <v/>
      </c>
      <c r="F22" s="24" t="str">
        <f>IFERROR(INDEX('Output Utente'!$N$2:$N$492,MATCH(19,'Output Utente'!$R$2:$R$492,0)),"")</f>
        <v/>
      </c>
      <c r="G22" s="23" t="str">
        <f>IFERROR(INDEX('Output Utente'!$O$2:$O$492,MATCH(19,'Output Utente'!$R$2:$R$492,0)),"")</f>
        <v/>
      </c>
      <c r="H22" s="23" t="str">
        <f>IFERROR(INDEX('Output Utente'!$P$2:$P$492,MATCH(19,'Output Utente'!$R$2:$R$492,0)),"")</f>
        <v/>
      </c>
      <c r="I22" s="24" t="str">
        <f>IFERROR(INDEX('Output Utente'!$F$2:$F$492,MATCH(19,'Output Utente'!$R$2:$R$492,0)),"")</f>
        <v/>
      </c>
      <c r="J22" s="24" t="str">
        <f>IFERROR(INDEX('Output Utente'!$G$2:$G$492,MATCH(19,'Output Utente'!$R$2:$R$492,0)),"")</f>
        <v/>
      </c>
      <c r="K22" s="24" t="str">
        <f>IFERROR(INDEX('Output Utente'!$H$2:$H$492,MATCH(19,'Output Utente'!$R$2:$R$492,0)),"")</f>
        <v/>
      </c>
      <c r="L22" s="23" t="str">
        <f>IFERROR(INDEX('Output Utente'!$E$2:$E$492,MATCH(19,'Output Utente'!$R$2:$R$492,0)),"")</f>
        <v/>
      </c>
      <c r="V22" t="str">
        <f>IFERROR(INDEX('Output Utente'!$M$2:$M$492,MATCH(19,'Output Utente'!$R$2:$R$492,0)),"")</f>
        <v/>
      </c>
      <c r="W22" t="str">
        <f t="shared" si="0"/>
        <v/>
      </c>
      <c r="X22" t="str">
        <f>IFERROR(INDEX('Output Utente'!$AF$2:$AF$492,MATCH(19,'Output Utente'!$R$2:$R$492,0)),"")</f>
        <v/>
      </c>
    </row>
    <row r="23" spans="1:24" ht="15" customHeight="1" x14ac:dyDescent="0.25">
      <c r="A23" s="26">
        <v>20</v>
      </c>
      <c r="B23" s="23" t="str">
        <f>IFERROR(INDEX('Output Utente'!$A$2:$A$492,MATCH(20,'Output Utente'!$R$2:$R$492,0)),"")</f>
        <v/>
      </c>
      <c r="C23" s="23" t="str">
        <f>IFERROR(INDEX('Output Utente'!$B$2:$B$492,MATCH(20,'Output Utente'!$R$2:$R$492,0)),"")</f>
        <v/>
      </c>
      <c r="D23" s="23" t="str">
        <f>IFERROR(INDEX('Output Utente'!$C$2:$C$492,MATCH(20,'Output Utente'!$R$2:$R$492,0)),"")</f>
        <v/>
      </c>
      <c r="E23" s="23" t="str">
        <f>IFERROR(INDEX('Input Giocatori 2026_27'!$D$3:$D$493,MATCH($B23,'Input Giocatori 2026_27'!$A$3:$A$493,0)),"")</f>
        <v/>
      </c>
      <c r="F23" s="24" t="str">
        <f>IFERROR(INDEX('Output Utente'!$N$2:$N$492,MATCH(20,'Output Utente'!$R$2:$R$492,0)),"")</f>
        <v/>
      </c>
      <c r="G23" s="23" t="str">
        <f>IFERROR(INDEX('Output Utente'!$O$2:$O$492,MATCH(20,'Output Utente'!$R$2:$R$492,0)),"")</f>
        <v/>
      </c>
      <c r="H23" s="23" t="str">
        <f>IFERROR(INDEX('Output Utente'!$P$2:$P$492,MATCH(20,'Output Utente'!$R$2:$R$492,0)),"")</f>
        <v/>
      </c>
      <c r="I23" s="24" t="str">
        <f>IFERROR(INDEX('Output Utente'!$F$2:$F$492,MATCH(20,'Output Utente'!$R$2:$R$492,0)),"")</f>
        <v/>
      </c>
      <c r="J23" s="24" t="str">
        <f>IFERROR(INDEX('Output Utente'!$G$2:$G$492,MATCH(20,'Output Utente'!$R$2:$R$492,0)),"")</f>
        <v/>
      </c>
      <c r="K23" s="24" t="str">
        <f>IFERROR(INDEX('Output Utente'!$H$2:$H$492,MATCH(20,'Output Utente'!$R$2:$R$492,0)),"")</f>
        <v/>
      </c>
      <c r="L23" s="23" t="str">
        <f>IFERROR(INDEX('Output Utente'!$E$2:$E$492,MATCH(20,'Output Utente'!$R$2:$R$492,0)),"")</f>
        <v/>
      </c>
      <c r="V23" t="str">
        <f>IFERROR(INDEX('Output Utente'!$M$2:$M$492,MATCH(20,'Output Utente'!$R$2:$R$492,0)),"")</f>
        <v/>
      </c>
      <c r="W23" t="str">
        <f t="shared" si="0"/>
        <v/>
      </c>
      <c r="X23" t="str">
        <f>IFERROR(INDEX('Output Utente'!$AF$2:$AF$492,MATCH(20,'Output Utente'!$R$2:$R$492,0)),"")</f>
        <v/>
      </c>
    </row>
    <row r="24" spans="1:24" ht="15" customHeight="1" x14ac:dyDescent="0.25">
      <c r="A24" s="26">
        <v>21</v>
      </c>
      <c r="B24" s="23" t="str">
        <f>IFERROR(INDEX('Output Utente'!$A$2:$A$492,MATCH(21,'Output Utente'!$R$2:$R$492,0)),"")</f>
        <v/>
      </c>
      <c r="C24" s="23" t="str">
        <f>IFERROR(INDEX('Output Utente'!$B$2:$B$492,MATCH(21,'Output Utente'!$R$2:$R$492,0)),"")</f>
        <v/>
      </c>
      <c r="D24" s="23" t="str">
        <f>IFERROR(INDEX('Output Utente'!$C$2:$C$492,MATCH(21,'Output Utente'!$R$2:$R$492,0)),"")</f>
        <v/>
      </c>
      <c r="E24" s="23" t="str">
        <f>IFERROR(INDEX('Input Giocatori 2026_27'!$D$3:$D$493,MATCH($B24,'Input Giocatori 2026_27'!$A$3:$A$493,0)),"")</f>
        <v/>
      </c>
      <c r="F24" s="24" t="str">
        <f>IFERROR(INDEX('Output Utente'!$N$2:$N$492,MATCH(21,'Output Utente'!$R$2:$R$492,0)),"")</f>
        <v/>
      </c>
      <c r="G24" s="23" t="str">
        <f>IFERROR(INDEX('Output Utente'!$O$2:$O$492,MATCH(21,'Output Utente'!$R$2:$R$492,0)),"")</f>
        <v/>
      </c>
      <c r="H24" s="23" t="str">
        <f>IFERROR(INDEX('Output Utente'!$P$2:$P$492,MATCH(21,'Output Utente'!$R$2:$R$492,0)),"")</f>
        <v/>
      </c>
      <c r="I24" s="24" t="str">
        <f>IFERROR(INDEX('Output Utente'!$F$2:$F$492,MATCH(21,'Output Utente'!$R$2:$R$492,0)),"")</f>
        <v/>
      </c>
      <c r="J24" s="24" t="str">
        <f>IFERROR(INDEX('Output Utente'!$G$2:$G$492,MATCH(21,'Output Utente'!$R$2:$R$492,0)),"")</f>
        <v/>
      </c>
      <c r="K24" s="24" t="str">
        <f>IFERROR(INDEX('Output Utente'!$H$2:$H$492,MATCH(21,'Output Utente'!$R$2:$R$492,0)),"")</f>
        <v/>
      </c>
      <c r="L24" s="23" t="str">
        <f>IFERROR(INDEX('Output Utente'!$E$2:$E$492,MATCH(21,'Output Utente'!$R$2:$R$492,0)),"")</f>
        <v/>
      </c>
      <c r="V24" t="str">
        <f>IFERROR(INDEX('Output Utente'!$M$2:$M$492,MATCH(21,'Output Utente'!$R$2:$R$492,0)),"")</f>
        <v/>
      </c>
      <c r="W24" t="str">
        <f t="shared" si="0"/>
        <v/>
      </c>
      <c r="X24" t="str">
        <f>IFERROR(INDEX('Output Utente'!$AF$2:$AF$492,MATCH(21,'Output Utente'!$R$2:$R$492,0)),"")</f>
        <v/>
      </c>
    </row>
    <row r="25" spans="1:24" ht="15" customHeight="1" x14ac:dyDescent="0.25">
      <c r="A25" s="26">
        <v>22</v>
      </c>
      <c r="B25" s="23" t="str">
        <f>IFERROR(INDEX('Output Utente'!$A$2:$A$492,MATCH(22,'Output Utente'!$R$2:$R$492,0)),"")</f>
        <v/>
      </c>
      <c r="C25" s="23" t="str">
        <f>IFERROR(INDEX('Output Utente'!$B$2:$B$492,MATCH(22,'Output Utente'!$R$2:$R$492,0)),"")</f>
        <v/>
      </c>
      <c r="D25" s="23" t="str">
        <f>IFERROR(INDEX('Output Utente'!$C$2:$C$492,MATCH(22,'Output Utente'!$R$2:$R$492,0)),"")</f>
        <v/>
      </c>
      <c r="E25" s="23" t="str">
        <f>IFERROR(INDEX('Input Giocatori 2026_27'!$D$3:$D$493,MATCH($B25,'Input Giocatori 2026_27'!$A$3:$A$493,0)),"")</f>
        <v/>
      </c>
      <c r="F25" s="24" t="str">
        <f>IFERROR(INDEX('Output Utente'!$N$2:$N$492,MATCH(22,'Output Utente'!$R$2:$R$492,0)),"")</f>
        <v/>
      </c>
      <c r="G25" s="23" t="str">
        <f>IFERROR(INDEX('Output Utente'!$O$2:$O$492,MATCH(22,'Output Utente'!$R$2:$R$492,0)),"")</f>
        <v/>
      </c>
      <c r="H25" s="23" t="str">
        <f>IFERROR(INDEX('Output Utente'!$P$2:$P$492,MATCH(22,'Output Utente'!$R$2:$R$492,0)),"")</f>
        <v/>
      </c>
      <c r="I25" s="24" t="str">
        <f>IFERROR(INDEX('Output Utente'!$F$2:$F$492,MATCH(22,'Output Utente'!$R$2:$R$492,0)),"")</f>
        <v/>
      </c>
      <c r="J25" s="24" t="str">
        <f>IFERROR(INDEX('Output Utente'!$G$2:$G$492,MATCH(22,'Output Utente'!$R$2:$R$492,0)),"")</f>
        <v/>
      </c>
      <c r="K25" s="24" t="str">
        <f>IFERROR(INDEX('Output Utente'!$H$2:$H$492,MATCH(22,'Output Utente'!$R$2:$R$492,0)),"")</f>
        <v/>
      </c>
      <c r="L25" s="23" t="str">
        <f>IFERROR(INDEX('Output Utente'!$E$2:$E$492,MATCH(22,'Output Utente'!$R$2:$R$492,0)),"")</f>
        <v/>
      </c>
      <c r="V25" t="str">
        <f>IFERROR(INDEX('Output Utente'!$M$2:$M$492,MATCH(22,'Output Utente'!$R$2:$R$492,0)),"")</f>
        <v/>
      </c>
      <c r="W25" t="str">
        <f t="shared" si="0"/>
        <v/>
      </c>
      <c r="X25" t="str">
        <f>IFERROR(INDEX('Output Utente'!$AF$2:$AF$492,MATCH(22,'Output Utente'!$R$2:$R$492,0)),"")</f>
        <v/>
      </c>
    </row>
    <row r="26" spans="1:24" ht="15" customHeight="1" x14ac:dyDescent="0.25">
      <c r="A26" s="26">
        <v>23</v>
      </c>
      <c r="B26" s="23" t="str">
        <f>IFERROR(INDEX('Output Utente'!$A$2:$A$492,MATCH(23,'Output Utente'!$R$2:$R$492,0)),"")</f>
        <v/>
      </c>
      <c r="C26" s="23" t="str">
        <f>IFERROR(INDEX('Output Utente'!$B$2:$B$492,MATCH(23,'Output Utente'!$R$2:$R$492,0)),"")</f>
        <v/>
      </c>
      <c r="D26" s="23" t="str">
        <f>IFERROR(INDEX('Output Utente'!$C$2:$C$492,MATCH(23,'Output Utente'!$R$2:$R$492,0)),"")</f>
        <v/>
      </c>
      <c r="E26" s="23" t="str">
        <f>IFERROR(INDEX('Input Giocatori 2026_27'!$D$3:$D$493,MATCH($B26,'Input Giocatori 2026_27'!$A$3:$A$493,0)),"")</f>
        <v/>
      </c>
      <c r="F26" s="24" t="str">
        <f>IFERROR(INDEX('Output Utente'!$N$2:$N$492,MATCH(23,'Output Utente'!$R$2:$R$492,0)),"")</f>
        <v/>
      </c>
      <c r="G26" s="23" t="str">
        <f>IFERROR(INDEX('Output Utente'!$O$2:$O$492,MATCH(23,'Output Utente'!$R$2:$R$492,0)),"")</f>
        <v/>
      </c>
      <c r="H26" s="23" t="str">
        <f>IFERROR(INDEX('Output Utente'!$P$2:$P$492,MATCH(23,'Output Utente'!$R$2:$R$492,0)),"")</f>
        <v/>
      </c>
      <c r="I26" s="24" t="str">
        <f>IFERROR(INDEX('Output Utente'!$F$2:$F$492,MATCH(23,'Output Utente'!$R$2:$R$492,0)),"")</f>
        <v/>
      </c>
      <c r="J26" s="24" t="str">
        <f>IFERROR(INDEX('Output Utente'!$G$2:$G$492,MATCH(23,'Output Utente'!$R$2:$R$492,0)),"")</f>
        <v/>
      </c>
      <c r="K26" s="24" t="str">
        <f>IFERROR(INDEX('Output Utente'!$H$2:$H$492,MATCH(23,'Output Utente'!$R$2:$R$492,0)),"")</f>
        <v/>
      </c>
      <c r="L26" s="23" t="str">
        <f>IFERROR(INDEX('Output Utente'!$E$2:$E$492,MATCH(23,'Output Utente'!$R$2:$R$492,0)),"")</f>
        <v/>
      </c>
      <c r="V26" t="str">
        <f>IFERROR(INDEX('Output Utente'!$M$2:$M$492,MATCH(23,'Output Utente'!$R$2:$R$492,0)),"")</f>
        <v/>
      </c>
      <c r="W26" t="str">
        <f t="shared" si="0"/>
        <v/>
      </c>
      <c r="X26" t="str">
        <f>IFERROR(INDEX('Output Utente'!$AF$2:$AF$492,MATCH(23,'Output Utente'!$R$2:$R$492,0)),"")</f>
        <v/>
      </c>
    </row>
    <row r="27" spans="1:24" ht="15" customHeight="1" x14ac:dyDescent="0.25">
      <c r="A27" s="26">
        <v>24</v>
      </c>
      <c r="B27" s="23" t="str">
        <f>IFERROR(INDEX('Output Utente'!$A$2:$A$492,MATCH(24,'Output Utente'!$R$2:$R$492,0)),"")</f>
        <v/>
      </c>
      <c r="C27" s="23" t="str">
        <f>IFERROR(INDEX('Output Utente'!$B$2:$B$492,MATCH(24,'Output Utente'!$R$2:$R$492,0)),"")</f>
        <v/>
      </c>
      <c r="D27" s="23" t="str">
        <f>IFERROR(INDEX('Output Utente'!$C$2:$C$492,MATCH(24,'Output Utente'!$R$2:$R$492,0)),"")</f>
        <v/>
      </c>
      <c r="E27" s="23" t="str">
        <f>IFERROR(INDEX('Input Giocatori 2026_27'!$D$3:$D$493,MATCH($B27,'Input Giocatori 2026_27'!$A$3:$A$493,0)),"")</f>
        <v/>
      </c>
      <c r="F27" s="24" t="str">
        <f>IFERROR(INDEX('Output Utente'!$N$2:$N$492,MATCH(24,'Output Utente'!$R$2:$R$492,0)),"")</f>
        <v/>
      </c>
      <c r="G27" s="23" t="str">
        <f>IFERROR(INDEX('Output Utente'!$O$2:$O$492,MATCH(24,'Output Utente'!$R$2:$R$492,0)),"")</f>
        <v/>
      </c>
      <c r="H27" s="23" t="str">
        <f>IFERROR(INDEX('Output Utente'!$P$2:$P$492,MATCH(24,'Output Utente'!$R$2:$R$492,0)),"")</f>
        <v/>
      </c>
      <c r="I27" s="24" t="str">
        <f>IFERROR(INDEX('Output Utente'!$F$2:$F$492,MATCH(24,'Output Utente'!$R$2:$R$492,0)),"")</f>
        <v/>
      </c>
      <c r="J27" s="24" t="str">
        <f>IFERROR(INDEX('Output Utente'!$G$2:$G$492,MATCH(24,'Output Utente'!$R$2:$R$492,0)),"")</f>
        <v/>
      </c>
      <c r="K27" s="24" t="str">
        <f>IFERROR(INDEX('Output Utente'!$H$2:$H$492,MATCH(24,'Output Utente'!$R$2:$R$492,0)),"")</f>
        <v/>
      </c>
      <c r="L27" s="23" t="str">
        <f>IFERROR(INDEX('Output Utente'!$E$2:$E$492,MATCH(24,'Output Utente'!$R$2:$R$492,0)),"")</f>
        <v/>
      </c>
      <c r="V27" t="str">
        <f>IFERROR(INDEX('Output Utente'!$M$2:$M$492,MATCH(24,'Output Utente'!$R$2:$R$492,0)),"")</f>
        <v/>
      </c>
      <c r="W27" t="str">
        <f t="shared" si="0"/>
        <v/>
      </c>
      <c r="X27" t="str">
        <f>IFERROR(INDEX('Output Utente'!$AF$2:$AF$492,MATCH(24,'Output Utente'!$R$2:$R$492,0)),"")</f>
        <v/>
      </c>
    </row>
    <row r="28" spans="1:24" ht="15" customHeight="1" x14ac:dyDescent="0.25">
      <c r="A28" s="26">
        <v>25</v>
      </c>
      <c r="B28" s="23" t="str">
        <f>IFERROR(INDEX('Output Utente'!$A$2:$A$492,MATCH(25,'Output Utente'!$R$2:$R$492,0)),"")</f>
        <v/>
      </c>
      <c r="C28" s="23" t="str">
        <f>IFERROR(INDEX('Output Utente'!$B$2:$B$492,MATCH(25,'Output Utente'!$R$2:$R$492,0)),"")</f>
        <v/>
      </c>
      <c r="D28" s="23" t="str">
        <f>IFERROR(INDEX('Output Utente'!$C$2:$C$492,MATCH(25,'Output Utente'!$R$2:$R$492,0)),"")</f>
        <v/>
      </c>
      <c r="E28" s="23" t="str">
        <f>IFERROR(INDEX('Input Giocatori 2026_27'!$D$3:$D$493,MATCH($B28,'Input Giocatori 2026_27'!$A$3:$A$493,0)),"")</f>
        <v/>
      </c>
      <c r="F28" s="24" t="str">
        <f>IFERROR(INDEX('Output Utente'!$N$2:$N$492,MATCH(25,'Output Utente'!$R$2:$R$492,0)),"")</f>
        <v/>
      </c>
      <c r="G28" s="23" t="str">
        <f>IFERROR(INDEX('Output Utente'!$O$2:$O$492,MATCH(25,'Output Utente'!$R$2:$R$492,0)),"")</f>
        <v/>
      </c>
      <c r="H28" s="23" t="str">
        <f>IFERROR(INDEX('Output Utente'!$P$2:$P$492,MATCH(25,'Output Utente'!$R$2:$R$492,0)),"")</f>
        <v/>
      </c>
      <c r="I28" s="24" t="str">
        <f>IFERROR(INDEX('Output Utente'!$F$2:$F$492,MATCH(25,'Output Utente'!$R$2:$R$492,0)),"")</f>
        <v/>
      </c>
      <c r="J28" s="24" t="str">
        <f>IFERROR(INDEX('Output Utente'!$G$2:$G$492,MATCH(25,'Output Utente'!$R$2:$R$492,0)),"")</f>
        <v/>
      </c>
      <c r="K28" s="24" t="str">
        <f>IFERROR(INDEX('Output Utente'!$H$2:$H$492,MATCH(25,'Output Utente'!$R$2:$R$492,0)),"")</f>
        <v/>
      </c>
      <c r="L28" s="23" t="str">
        <f>IFERROR(INDEX('Output Utente'!$E$2:$E$492,MATCH(25,'Output Utente'!$R$2:$R$492,0)),"")</f>
        <v/>
      </c>
      <c r="V28" t="str">
        <f>IFERROR(INDEX('Output Utente'!$M$2:$M$492,MATCH(25,'Output Utente'!$R$2:$R$492,0)),"")</f>
        <v/>
      </c>
      <c r="W28" t="str">
        <f t="shared" si="0"/>
        <v/>
      </c>
      <c r="X28" t="str">
        <f>IFERROR(INDEX('Output Utente'!$AF$2:$AF$492,MATCH(25,'Output Utente'!$R$2:$R$492,0)),"")</f>
        <v/>
      </c>
    </row>
    <row r="29" spans="1:24" ht="15" customHeight="1" x14ac:dyDescent="0.25">
      <c r="A29" s="26">
        <v>26</v>
      </c>
      <c r="B29" s="23" t="str">
        <f>IFERROR(INDEX('Output Utente'!$A$2:$A$492,MATCH(26,'Output Utente'!$R$2:$R$492,0)),"")</f>
        <v/>
      </c>
      <c r="C29" s="23" t="str">
        <f>IFERROR(INDEX('Output Utente'!$B$2:$B$492,MATCH(26,'Output Utente'!$R$2:$R$492,0)),"")</f>
        <v/>
      </c>
      <c r="D29" s="23" t="str">
        <f>IFERROR(INDEX('Output Utente'!$C$2:$C$492,MATCH(26,'Output Utente'!$R$2:$R$492,0)),"")</f>
        <v/>
      </c>
      <c r="E29" s="23" t="str">
        <f>IFERROR(INDEX('Input Giocatori 2026_27'!$D$3:$D$493,MATCH($B29,'Input Giocatori 2026_27'!$A$3:$A$493,0)),"")</f>
        <v/>
      </c>
      <c r="F29" s="24" t="str">
        <f>IFERROR(INDEX('Output Utente'!$N$2:$N$492,MATCH(26,'Output Utente'!$R$2:$R$492,0)),"")</f>
        <v/>
      </c>
      <c r="G29" s="23" t="str">
        <f>IFERROR(INDEX('Output Utente'!$O$2:$O$492,MATCH(26,'Output Utente'!$R$2:$R$492,0)),"")</f>
        <v/>
      </c>
      <c r="H29" s="23" t="str">
        <f>IFERROR(INDEX('Output Utente'!$P$2:$P$492,MATCH(26,'Output Utente'!$R$2:$R$492,0)),"")</f>
        <v/>
      </c>
      <c r="I29" s="24" t="str">
        <f>IFERROR(INDEX('Output Utente'!$F$2:$F$492,MATCH(26,'Output Utente'!$R$2:$R$492,0)),"")</f>
        <v/>
      </c>
      <c r="J29" s="24" t="str">
        <f>IFERROR(INDEX('Output Utente'!$G$2:$G$492,MATCH(26,'Output Utente'!$R$2:$R$492,0)),"")</f>
        <v/>
      </c>
      <c r="K29" s="24" t="str">
        <f>IFERROR(INDEX('Output Utente'!$H$2:$H$492,MATCH(26,'Output Utente'!$R$2:$R$492,0)),"")</f>
        <v/>
      </c>
      <c r="L29" s="23" t="str">
        <f>IFERROR(INDEX('Output Utente'!$E$2:$E$492,MATCH(26,'Output Utente'!$R$2:$R$492,0)),"")</f>
        <v/>
      </c>
      <c r="V29" t="str">
        <f>IFERROR(INDEX('Output Utente'!$M$2:$M$492,MATCH(26,'Output Utente'!$R$2:$R$492,0)),"")</f>
        <v/>
      </c>
      <c r="W29" t="str">
        <f t="shared" si="0"/>
        <v/>
      </c>
      <c r="X29" t="str">
        <f>IFERROR(INDEX('Output Utente'!$AF$2:$AF$492,MATCH(26,'Output Utente'!$R$2:$R$492,0)),"")</f>
        <v/>
      </c>
    </row>
    <row r="30" spans="1:24" ht="15" customHeight="1" x14ac:dyDescent="0.25">
      <c r="A30" s="26">
        <v>27</v>
      </c>
      <c r="B30" s="23" t="str">
        <f>IFERROR(INDEX('Output Utente'!$A$2:$A$492,MATCH(27,'Output Utente'!$R$2:$R$492,0)),"")</f>
        <v/>
      </c>
      <c r="C30" s="23" t="str">
        <f>IFERROR(INDEX('Output Utente'!$B$2:$B$492,MATCH(27,'Output Utente'!$R$2:$R$492,0)),"")</f>
        <v/>
      </c>
      <c r="D30" s="23" t="str">
        <f>IFERROR(INDEX('Output Utente'!$C$2:$C$492,MATCH(27,'Output Utente'!$R$2:$R$492,0)),"")</f>
        <v/>
      </c>
      <c r="E30" s="23" t="str">
        <f>IFERROR(INDEX('Input Giocatori 2026_27'!$D$3:$D$493,MATCH($B30,'Input Giocatori 2026_27'!$A$3:$A$493,0)),"")</f>
        <v/>
      </c>
      <c r="F30" s="24" t="str">
        <f>IFERROR(INDEX('Output Utente'!$N$2:$N$492,MATCH(27,'Output Utente'!$R$2:$R$492,0)),"")</f>
        <v/>
      </c>
      <c r="G30" s="23" t="str">
        <f>IFERROR(INDEX('Output Utente'!$O$2:$O$492,MATCH(27,'Output Utente'!$R$2:$R$492,0)),"")</f>
        <v/>
      </c>
      <c r="H30" s="23" t="str">
        <f>IFERROR(INDEX('Output Utente'!$P$2:$P$492,MATCH(27,'Output Utente'!$R$2:$R$492,0)),"")</f>
        <v/>
      </c>
      <c r="I30" s="24" t="str">
        <f>IFERROR(INDEX('Output Utente'!$F$2:$F$492,MATCH(27,'Output Utente'!$R$2:$R$492,0)),"")</f>
        <v/>
      </c>
      <c r="J30" s="24" t="str">
        <f>IFERROR(INDEX('Output Utente'!$G$2:$G$492,MATCH(27,'Output Utente'!$R$2:$R$492,0)),"")</f>
        <v/>
      </c>
      <c r="K30" s="24" t="str">
        <f>IFERROR(INDEX('Output Utente'!$H$2:$H$492,MATCH(27,'Output Utente'!$R$2:$R$492,0)),"")</f>
        <v/>
      </c>
      <c r="L30" s="23" t="str">
        <f>IFERROR(INDEX('Output Utente'!$E$2:$E$492,MATCH(27,'Output Utente'!$R$2:$R$492,0)),"")</f>
        <v/>
      </c>
      <c r="V30" t="str">
        <f>IFERROR(INDEX('Output Utente'!$M$2:$M$492,MATCH(27,'Output Utente'!$R$2:$R$492,0)),"")</f>
        <v/>
      </c>
      <c r="W30" t="str">
        <f t="shared" si="0"/>
        <v/>
      </c>
      <c r="X30" t="str">
        <f>IFERROR(INDEX('Output Utente'!$AF$2:$AF$492,MATCH(27,'Output Utente'!$R$2:$R$492,0)),"")</f>
        <v/>
      </c>
    </row>
    <row r="31" spans="1:24" ht="15" customHeight="1" x14ac:dyDescent="0.25">
      <c r="A31" s="26">
        <v>28</v>
      </c>
      <c r="B31" s="23" t="str">
        <f>IFERROR(INDEX('Output Utente'!$A$2:$A$492,MATCH(28,'Output Utente'!$R$2:$R$492,0)),"")</f>
        <v/>
      </c>
      <c r="C31" s="23" t="str">
        <f>IFERROR(INDEX('Output Utente'!$B$2:$B$492,MATCH(28,'Output Utente'!$R$2:$R$492,0)),"")</f>
        <v/>
      </c>
      <c r="D31" s="23" t="str">
        <f>IFERROR(INDEX('Output Utente'!$C$2:$C$492,MATCH(28,'Output Utente'!$R$2:$R$492,0)),"")</f>
        <v/>
      </c>
      <c r="E31" s="23" t="str">
        <f>IFERROR(INDEX('Input Giocatori 2026_27'!$D$3:$D$493,MATCH($B31,'Input Giocatori 2026_27'!$A$3:$A$493,0)),"")</f>
        <v/>
      </c>
      <c r="F31" s="24" t="str">
        <f>IFERROR(INDEX('Output Utente'!$N$2:$N$492,MATCH(28,'Output Utente'!$R$2:$R$492,0)),"")</f>
        <v/>
      </c>
      <c r="G31" s="23" t="str">
        <f>IFERROR(INDEX('Output Utente'!$O$2:$O$492,MATCH(28,'Output Utente'!$R$2:$R$492,0)),"")</f>
        <v/>
      </c>
      <c r="H31" s="23" t="str">
        <f>IFERROR(INDEX('Output Utente'!$P$2:$P$492,MATCH(28,'Output Utente'!$R$2:$R$492,0)),"")</f>
        <v/>
      </c>
      <c r="I31" s="24" t="str">
        <f>IFERROR(INDEX('Output Utente'!$F$2:$F$492,MATCH(28,'Output Utente'!$R$2:$R$492,0)),"")</f>
        <v/>
      </c>
      <c r="J31" s="24" t="str">
        <f>IFERROR(INDEX('Output Utente'!$G$2:$G$492,MATCH(28,'Output Utente'!$R$2:$R$492,0)),"")</f>
        <v/>
      </c>
      <c r="K31" s="24" t="str">
        <f>IFERROR(INDEX('Output Utente'!$H$2:$H$492,MATCH(28,'Output Utente'!$R$2:$R$492,0)),"")</f>
        <v/>
      </c>
      <c r="L31" s="23" t="str">
        <f>IFERROR(INDEX('Output Utente'!$E$2:$E$492,MATCH(28,'Output Utente'!$R$2:$R$492,0)),"")</f>
        <v/>
      </c>
      <c r="V31" t="str">
        <f>IFERROR(INDEX('Output Utente'!$M$2:$M$492,MATCH(28,'Output Utente'!$R$2:$R$492,0)),"")</f>
        <v/>
      </c>
      <c r="W31" t="str">
        <f t="shared" si="0"/>
        <v/>
      </c>
      <c r="X31" t="str">
        <f>IFERROR(INDEX('Output Utente'!$AF$2:$AF$492,MATCH(28,'Output Utente'!$R$2:$R$492,0)),"")</f>
        <v/>
      </c>
    </row>
    <row r="32" spans="1:24" ht="15" customHeight="1" x14ac:dyDescent="0.25">
      <c r="A32" s="26">
        <v>29</v>
      </c>
      <c r="B32" s="23" t="str">
        <f>IFERROR(INDEX('Output Utente'!$A$2:$A$492,MATCH(29,'Output Utente'!$R$2:$R$492,0)),"")</f>
        <v/>
      </c>
      <c r="C32" s="23" t="str">
        <f>IFERROR(INDEX('Output Utente'!$B$2:$B$492,MATCH(29,'Output Utente'!$R$2:$R$492,0)),"")</f>
        <v/>
      </c>
      <c r="D32" s="23" t="str">
        <f>IFERROR(INDEX('Output Utente'!$C$2:$C$492,MATCH(29,'Output Utente'!$R$2:$R$492,0)),"")</f>
        <v/>
      </c>
      <c r="E32" s="23" t="str">
        <f>IFERROR(INDEX('Input Giocatori 2026_27'!$D$3:$D$493,MATCH($B32,'Input Giocatori 2026_27'!$A$3:$A$493,0)),"")</f>
        <v/>
      </c>
      <c r="F32" s="24" t="str">
        <f>IFERROR(INDEX('Output Utente'!$N$2:$N$492,MATCH(29,'Output Utente'!$R$2:$R$492,0)),"")</f>
        <v/>
      </c>
      <c r="G32" s="23" t="str">
        <f>IFERROR(INDEX('Output Utente'!$O$2:$O$492,MATCH(29,'Output Utente'!$R$2:$R$492,0)),"")</f>
        <v/>
      </c>
      <c r="H32" s="23" t="str">
        <f>IFERROR(INDEX('Output Utente'!$P$2:$P$492,MATCH(29,'Output Utente'!$R$2:$R$492,0)),"")</f>
        <v/>
      </c>
      <c r="I32" s="24" t="str">
        <f>IFERROR(INDEX('Output Utente'!$F$2:$F$492,MATCH(29,'Output Utente'!$R$2:$R$492,0)),"")</f>
        <v/>
      </c>
      <c r="J32" s="24" t="str">
        <f>IFERROR(INDEX('Output Utente'!$G$2:$G$492,MATCH(29,'Output Utente'!$R$2:$R$492,0)),"")</f>
        <v/>
      </c>
      <c r="K32" s="24" t="str">
        <f>IFERROR(INDEX('Output Utente'!$H$2:$H$492,MATCH(29,'Output Utente'!$R$2:$R$492,0)),"")</f>
        <v/>
      </c>
      <c r="L32" s="23" t="str">
        <f>IFERROR(INDEX('Output Utente'!$E$2:$E$492,MATCH(29,'Output Utente'!$R$2:$R$492,0)),"")</f>
        <v/>
      </c>
      <c r="V32" t="str">
        <f>IFERROR(INDEX('Output Utente'!$M$2:$M$492,MATCH(29,'Output Utente'!$R$2:$R$492,0)),"")</f>
        <v/>
      </c>
      <c r="W32" t="str">
        <f t="shared" si="0"/>
        <v/>
      </c>
      <c r="X32" t="str">
        <f>IFERROR(INDEX('Output Utente'!$AF$2:$AF$492,MATCH(29,'Output Utente'!$R$2:$R$492,0)),"")</f>
        <v/>
      </c>
    </row>
    <row r="33" spans="1:24" ht="15" customHeight="1" x14ac:dyDescent="0.25">
      <c r="A33" s="26">
        <v>30</v>
      </c>
      <c r="B33" s="23" t="str">
        <f>IFERROR(INDEX('Output Utente'!$A$2:$A$492,MATCH(30,'Output Utente'!$R$2:$R$492,0)),"")</f>
        <v/>
      </c>
      <c r="C33" s="23" t="str">
        <f>IFERROR(INDEX('Output Utente'!$B$2:$B$492,MATCH(30,'Output Utente'!$R$2:$R$492,0)),"")</f>
        <v/>
      </c>
      <c r="D33" s="23" t="str">
        <f>IFERROR(INDEX('Output Utente'!$C$2:$C$492,MATCH(30,'Output Utente'!$R$2:$R$492,0)),"")</f>
        <v/>
      </c>
      <c r="E33" s="23" t="str">
        <f>IFERROR(INDEX('Input Giocatori 2026_27'!$D$3:$D$493,MATCH($B33,'Input Giocatori 2026_27'!$A$3:$A$493,0)),"")</f>
        <v/>
      </c>
      <c r="F33" s="24" t="str">
        <f>IFERROR(INDEX('Output Utente'!$N$2:$N$492,MATCH(30,'Output Utente'!$R$2:$R$492,0)),"")</f>
        <v/>
      </c>
      <c r="G33" s="23" t="str">
        <f>IFERROR(INDEX('Output Utente'!$O$2:$O$492,MATCH(30,'Output Utente'!$R$2:$R$492,0)),"")</f>
        <v/>
      </c>
      <c r="H33" s="23" t="str">
        <f>IFERROR(INDEX('Output Utente'!$P$2:$P$492,MATCH(30,'Output Utente'!$R$2:$R$492,0)),"")</f>
        <v/>
      </c>
      <c r="I33" s="24" t="str">
        <f>IFERROR(INDEX('Output Utente'!$F$2:$F$492,MATCH(30,'Output Utente'!$R$2:$R$492,0)),"")</f>
        <v/>
      </c>
      <c r="J33" s="24" t="str">
        <f>IFERROR(INDEX('Output Utente'!$G$2:$G$492,MATCH(30,'Output Utente'!$R$2:$R$492,0)),"")</f>
        <v/>
      </c>
      <c r="K33" s="24" t="str">
        <f>IFERROR(INDEX('Output Utente'!$H$2:$H$492,MATCH(30,'Output Utente'!$R$2:$R$492,0)),"")</f>
        <v/>
      </c>
      <c r="L33" s="23" t="str">
        <f>IFERROR(INDEX('Output Utente'!$E$2:$E$492,MATCH(30,'Output Utente'!$R$2:$R$492,0)),"")</f>
        <v/>
      </c>
      <c r="V33" t="str">
        <f>IFERROR(INDEX('Output Utente'!$M$2:$M$492,MATCH(30,'Output Utente'!$R$2:$R$492,0)),"")</f>
        <v/>
      </c>
      <c r="W33" t="str">
        <f t="shared" si="0"/>
        <v/>
      </c>
      <c r="X33" t="str">
        <f>IFERROR(INDEX('Output Utente'!$AF$2:$AF$492,MATCH(30,'Output Utente'!$R$2:$R$492,0)),"")</f>
        <v/>
      </c>
    </row>
    <row r="34" spans="1:24" ht="15" customHeight="1" x14ac:dyDescent="0.25">
      <c r="A34" s="26">
        <v>31</v>
      </c>
      <c r="B34" s="23" t="str">
        <f>IFERROR(INDEX('Output Utente'!$A$2:$A$492,MATCH(31,'Output Utente'!$R$2:$R$492,0)),"")</f>
        <v/>
      </c>
      <c r="C34" s="23" t="str">
        <f>IFERROR(INDEX('Output Utente'!$B$2:$B$492,MATCH(31,'Output Utente'!$R$2:$R$492,0)),"")</f>
        <v/>
      </c>
      <c r="D34" s="23" t="str">
        <f>IFERROR(INDEX('Output Utente'!$C$2:$C$492,MATCH(31,'Output Utente'!$R$2:$R$492,0)),"")</f>
        <v/>
      </c>
      <c r="E34" s="23" t="str">
        <f>IFERROR(INDEX('Input Giocatori 2026_27'!$D$3:$D$493,MATCH($B34,'Input Giocatori 2026_27'!$A$3:$A$493,0)),"")</f>
        <v/>
      </c>
      <c r="F34" s="24" t="str">
        <f>IFERROR(INDEX('Output Utente'!$N$2:$N$492,MATCH(31,'Output Utente'!$R$2:$R$492,0)),"")</f>
        <v/>
      </c>
      <c r="G34" s="23" t="str">
        <f>IFERROR(INDEX('Output Utente'!$O$2:$O$492,MATCH(31,'Output Utente'!$R$2:$R$492,0)),"")</f>
        <v/>
      </c>
      <c r="H34" s="23" t="str">
        <f>IFERROR(INDEX('Output Utente'!$P$2:$P$492,MATCH(31,'Output Utente'!$R$2:$R$492,0)),"")</f>
        <v/>
      </c>
      <c r="I34" s="24" t="str">
        <f>IFERROR(INDEX('Output Utente'!$F$2:$F$492,MATCH(31,'Output Utente'!$R$2:$R$492,0)),"")</f>
        <v/>
      </c>
      <c r="J34" s="24" t="str">
        <f>IFERROR(INDEX('Output Utente'!$G$2:$G$492,MATCH(31,'Output Utente'!$R$2:$R$492,0)),"")</f>
        <v/>
      </c>
      <c r="K34" s="24" t="str">
        <f>IFERROR(INDEX('Output Utente'!$H$2:$H$492,MATCH(31,'Output Utente'!$R$2:$R$492,0)),"")</f>
        <v/>
      </c>
      <c r="L34" s="23" t="str">
        <f>IFERROR(INDEX('Output Utente'!$E$2:$E$492,MATCH(31,'Output Utente'!$R$2:$R$492,0)),"")</f>
        <v/>
      </c>
      <c r="V34" t="str">
        <f>IFERROR(INDEX('Output Utente'!$M$2:$M$492,MATCH(31,'Output Utente'!$R$2:$R$492,0)),"")</f>
        <v/>
      </c>
      <c r="W34" t="str">
        <f t="shared" si="0"/>
        <v/>
      </c>
      <c r="X34" t="str">
        <f>IFERROR(INDEX('Output Utente'!$AF$2:$AF$492,MATCH(31,'Output Utente'!$R$2:$R$492,0)),"")</f>
        <v/>
      </c>
    </row>
    <row r="35" spans="1:24" ht="15" customHeight="1" x14ac:dyDescent="0.25">
      <c r="A35" s="26">
        <v>32</v>
      </c>
      <c r="B35" s="23" t="str">
        <f>IFERROR(INDEX('Output Utente'!$A$2:$A$492,MATCH(32,'Output Utente'!$R$2:$R$492,0)),"")</f>
        <v/>
      </c>
      <c r="C35" s="23" t="str">
        <f>IFERROR(INDEX('Output Utente'!$B$2:$B$492,MATCH(32,'Output Utente'!$R$2:$R$492,0)),"")</f>
        <v/>
      </c>
      <c r="D35" s="23" t="str">
        <f>IFERROR(INDEX('Output Utente'!$C$2:$C$492,MATCH(32,'Output Utente'!$R$2:$R$492,0)),"")</f>
        <v/>
      </c>
      <c r="E35" s="23" t="str">
        <f>IFERROR(INDEX('Input Giocatori 2026_27'!$D$3:$D$493,MATCH($B35,'Input Giocatori 2026_27'!$A$3:$A$493,0)),"")</f>
        <v/>
      </c>
      <c r="F35" s="24" t="str">
        <f>IFERROR(INDEX('Output Utente'!$N$2:$N$492,MATCH(32,'Output Utente'!$R$2:$R$492,0)),"")</f>
        <v/>
      </c>
      <c r="G35" s="23" t="str">
        <f>IFERROR(INDEX('Output Utente'!$O$2:$O$492,MATCH(32,'Output Utente'!$R$2:$R$492,0)),"")</f>
        <v/>
      </c>
      <c r="H35" s="23" t="str">
        <f>IFERROR(INDEX('Output Utente'!$P$2:$P$492,MATCH(32,'Output Utente'!$R$2:$R$492,0)),"")</f>
        <v/>
      </c>
      <c r="I35" s="24" t="str">
        <f>IFERROR(INDEX('Output Utente'!$F$2:$F$492,MATCH(32,'Output Utente'!$R$2:$R$492,0)),"")</f>
        <v/>
      </c>
      <c r="J35" s="24" t="str">
        <f>IFERROR(INDEX('Output Utente'!$G$2:$G$492,MATCH(32,'Output Utente'!$R$2:$R$492,0)),"")</f>
        <v/>
      </c>
      <c r="K35" s="24" t="str">
        <f>IFERROR(INDEX('Output Utente'!$H$2:$H$492,MATCH(32,'Output Utente'!$R$2:$R$492,0)),"")</f>
        <v/>
      </c>
      <c r="L35" s="23" t="str">
        <f>IFERROR(INDEX('Output Utente'!$E$2:$E$492,MATCH(32,'Output Utente'!$R$2:$R$492,0)),"")</f>
        <v/>
      </c>
      <c r="V35" t="str">
        <f>IFERROR(INDEX('Output Utente'!$M$2:$M$492,MATCH(32,'Output Utente'!$R$2:$R$492,0)),"")</f>
        <v/>
      </c>
      <c r="W35" t="str">
        <f t="shared" si="0"/>
        <v/>
      </c>
      <c r="X35" t="str">
        <f>IFERROR(INDEX('Output Utente'!$AF$2:$AF$492,MATCH(32,'Output Utente'!$R$2:$R$492,0)),"")</f>
        <v/>
      </c>
    </row>
    <row r="36" spans="1:24" ht="15" customHeight="1" x14ac:dyDescent="0.25">
      <c r="A36" s="26">
        <v>33</v>
      </c>
      <c r="B36" s="23" t="str">
        <f>IFERROR(INDEX('Output Utente'!$A$2:$A$492,MATCH(33,'Output Utente'!$R$2:$R$492,0)),"")</f>
        <v/>
      </c>
      <c r="C36" s="23" t="str">
        <f>IFERROR(INDEX('Output Utente'!$B$2:$B$492,MATCH(33,'Output Utente'!$R$2:$R$492,0)),"")</f>
        <v/>
      </c>
      <c r="D36" s="23" t="str">
        <f>IFERROR(INDEX('Output Utente'!$C$2:$C$492,MATCH(33,'Output Utente'!$R$2:$R$492,0)),"")</f>
        <v/>
      </c>
      <c r="E36" s="23" t="str">
        <f>IFERROR(INDEX('Input Giocatori 2026_27'!$D$3:$D$493,MATCH($B36,'Input Giocatori 2026_27'!$A$3:$A$493,0)),"")</f>
        <v/>
      </c>
      <c r="F36" s="24" t="str">
        <f>IFERROR(INDEX('Output Utente'!$N$2:$N$492,MATCH(33,'Output Utente'!$R$2:$R$492,0)),"")</f>
        <v/>
      </c>
      <c r="G36" s="23" t="str">
        <f>IFERROR(INDEX('Output Utente'!$O$2:$O$492,MATCH(33,'Output Utente'!$R$2:$R$492,0)),"")</f>
        <v/>
      </c>
      <c r="H36" s="23" t="str">
        <f>IFERROR(INDEX('Output Utente'!$P$2:$P$492,MATCH(33,'Output Utente'!$R$2:$R$492,0)),"")</f>
        <v/>
      </c>
      <c r="I36" s="24" t="str">
        <f>IFERROR(INDEX('Output Utente'!$F$2:$F$492,MATCH(33,'Output Utente'!$R$2:$R$492,0)),"")</f>
        <v/>
      </c>
      <c r="J36" s="24" t="str">
        <f>IFERROR(INDEX('Output Utente'!$G$2:$G$492,MATCH(33,'Output Utente'!$R$2:$R$492,0)),"")</f>
        <v/>
      </c>
      <c r="K36" s="24" t="str">
        <f>IFERROR(INDEX('Output Utente'!$H$2:$H$492,MATCH(33,'Output Utente'!$R$2:$R$492,0)),"")</f>
        <v/>
      </c>
      <c r="L36" s="23" t="str">
        <f>IFERROR(INDEX('Output Utente'!$E$2:$E$492,MATCH(33,'Output Utente'!$R$2:$R$492,0)),"")</f>
        <v/>
      </c>
      <c r="V36" t="str">
        <f>IFERROR(INDEX('Output Utente'!$M$2:$M$492,MATCH(33,'Output Utente'!$R$2:$R$492,0)),"")</f>
        <v/>
      </c>
      <c r="W36" t="str">
        <f t="shared" si="0"/>
        <v/>
      </c>
      <c r="X36" t="str">
        <f>IFERROR(INDEX('Output Utente'!$AF$2:$AF$492,MATCH(33,'Output Utente'!$R$2:$R$492,0)),"")</f>
        <v/>
      </c>
    </row>
    <row r="37" spans="1:24" ht="15" customHeight="1" x14ac:dyDescent="0.25">
      <c r="A37" s="26">
        <v>34</v>
      </c>
      <c r="B37" s="23" t="str">
        <f>IFERROR(INDEX('Output Utente'!$A$2:$A$492,MATCH(34,'Output Utente'!$R$2:$R$492,0)),"")</f>
        <v/>
      </c>
      <c r="C37" s="23" t="str">
        <f>IFERROR(INDEX('Output Utente'!$B$2:$B$492,MATCH(34,'Output Utente'!$R$2:$R$492,0)),"")</f>
        <v/>
      </c>
      <c r="D37" s="23" t="str">
        <f>IFERROR(INDEX('Output Utente'!$C$2:$C$492,MATCH(34,'Output Utente'!$R$2:$R$492,0)),"")</f>
        <v/>
      </c>
      <c r="E37" s="23" t="str">
        <f>IFERROR(INDEX('Input Giocatori 2026_27'!$D$3:$D$493,MATCH($B37,'Input Giocatori 2026_27'!$A$3:$A$493,0)),"")</f>
        <v/>
      </c>
      <c r="F37" s="24" t="str">
        <f>IFERROR(INDEX('Output Utente'!$N$2:$N$492,MATCH(34,'Output Utente'!$R$2:$R$492,0)),"")</f>
        <v/>
      </c>
      <c r="G37" s="23" t="str">
        <f>IFERROR(INDEX('Output Utente'!$O$2:$O$492,MATCH(34,'Output Utente'!$R$2:$R$492,0)),"")</f>
        <v/>
      </c>
      <c r="H37" s="23" t="str">
        <f>IFERROR(INDEX('Output Utente'!$P$2:$P$492,MATCH(34,'Output Utente'!$R$2:$R$492,0)),"")</f>
        <v/>
      </c>
      <c r="I37" s="24" t="str">
        <f>IFERROR(INDEX('Output Utente'!$F$2:$F$492,MATCH(34,'Output Utente'!$R$2:$R$492,0)),"")</f>
        <v/>
      </c>
      <c r="J37" s="24" t="str">
        <f>IFERROR(INDEX('Output Utente'!$G$2:$G$492,MATCH(34,'Output Utente'!$R$2:$R$492,0)),"")</f>
        <v/>
      </c>
      <c r="K37" s="24" t="str">
        <f>IFERROR(INDEX('Output Utente'!$H$2:$H$492,MATCH(34,'Output Utente'!$R$2:$R$492,0)),"")</f>
        <v/>
      </c>
      <c r="L37" s="23" t="str">
        <f>IFERROR(INDEX('Output Utente'!$E$2:$E$492,MATCH(34,'Output Utente'!$R$2:$R$492,0)),"")</f>
        <v/>
      </c>
      <c r="V37" t="str">
        <f>IFERROR(INDEX('Output Utente'!$M$2:$M$492,MATCH(34,'Output Utente'!$R$2:$R$492,0)),"")</f>
        <v/>
      </c>
      <c r="W37" t="str">
        <f t="shared" si="0"/>
        <v/>
      </c>
      <c r="X37" t="str">
        <f>IFERROR(INDEX('Output Utente'!$AF$2:$AF$492,MATCH(34,'Output Utente'!$R$2:$R$492,0)),"")</f>
        <v/>
      </c>
    </row>
    <row r="38" spans="1:24" ht="15" customHeight="1" x14ac:dyDescent="0.25">
      <c r="A38" s="26">
        <v>35</v>
      </c>
      <c r="B38" s="23" t="str">
        <f>IFERROR(INDEX('Output Utente'!$A$2:$A$492,MATCH(35,'Output Utente'!$R$2:$R$492,0)),"")</f>
        <v/>
      </c>
      <c r="C38" s="23" t="str">
        <f>IFERROR(INDEX('Output Utente'!$B$2:$B$492,MATCH(35,'Output Utente'!$R$2:$R$492,0)),"")</f>
        <v/>
      </c>
      <c r="D38" s="23" t="str">
        <f>IFERROR(INDEX('Output Utente'!$C$2:$C$492,MATCH(35,'Output Utente'!$R$2:$R$492,0)),"")</f>
        <v/>
      </c>
      <c r="E38" s="23" t="str">
        <f>IFERROR(INDEX('Input Giocatori 2026_27'!$D$3:$D$493,MATCH($B38,'Input Giocatori 2026_27'!$A$3:$A$493,0)),"")</f>
        <v/>
      </c>
      <c r="F38" s="24" t="str">
        <f>IFERROR(INDEX('Output Utente'!$N$2:$N$492,MATCH(35,'Output Utente'!$R$2:$R$492,0)),"")</f>
        <v/>
      </c>
      <c r="G38" s="23" t="str">
        <f>IFERROR(INDEX('Output Utente'!$O$2:$O$492,MATCH(35,'Output Utente'!$R$2:$R$492,0)),"")</f>
        <v/>
      </c>
      <c r="H38" s="23" t="str">
        <f>IFERROR(INDEX('Output Utente'!$P$2:$P$492,MATCH(35,'Output Utente'!$R$2:$R$492,0)),"")</f>
        <v/>
      </c>
      <c r="I38" s="24" t="str">
        <f>IFERROR(INDEX('Output Utente'!$F$2:$F$492,MATCH(35,'Output Utente'!$R$2:$R$492,0)),"")</f>
        <v/>
      </c>
      <c r="J38" s="24" t="str">
        <f>IFERROR(INDEX('Output Utente'!$G$2:$G$492,MATCH(35,'Output Utente'!$R$2:$R$492,0)),"")</f>
        <v/>
      </c>
      <c r="K38" s="24" t="str">
        <f>IFERROR(INDEX('Output Utente'!$H$2:$H$492,MATCH(35,'Output Utente'!$R$2:$R$492,0)),"")</f>
        <v/>
      </c>
      <c r="L38" s="23" t="str">
        <f>IFERROR(INDEX('Output Utente'!$E$2:$E$492,MATCH(35,'Output Utente'!$R$2:$R$492,0)),"")</f>
        <v/>
      </c>
      <c r="V38" t="str">
        <f>IFERROR(INDEX('Output Utente'!$M$2:$M$492,MATCH(35,'Output Utente'!$R$2:$R$492,0)),"")</f>
        <v/>
      </c>
      <c r="W38" t="str">
        <f t="shared" si="0"/>
        <v/>
      </c>
      <c r="X38" t="str">
        <f>IFERROR(INDEX('Output Utente'!$AF$2:$AF$492,MATCH(35,'Output Utente'!$R$2:$R$492,0)),"")</f>
        <v/>
      </c>
    </row>
    <row r="39" spans="1:24" ht="15" customHeight="1" x14ac:dyDescent="0.25">
      <c r="A39" s="26">
        <v>36</v>
      </c>
      <c r="B39" s="23" t="str">
        <f>IFERROR(INDEX('Output Utente'!$A$2:$A$492,MATCH(36,'Output Utente'!$R$2:$R$492,0)),"")</f>
        <v/>
      </c>
      <c r="C39" s="23" t="str">
        <f>IFERROR(INDEX('Output Utente'!$B$2:$B$492,MATCH(36,'Output Utente'!$R$2:$R$492,0)),"")</f>
        <v/>
      </c>
      <c r="D39" s="23" t="str">
        <f>IFERROR(INDEX('Output Utente'!$C$2:$C$492,MATCH(36,'Output Utente'!$R$2:$R$492,0)),"")</f>
        <v/>
      </c>
      <c r="E39" s="23" t="str">
        <f>IFERROR(INDEX('Input Giocatori 2026_27'!$D$3:$D$493,MATCH($B39,'Input Giocatori 2026_27'!$A$3:$A$493,0)),"")</f>
        <v/>
      </c>
      <c r="F39" s="24" t="str">
        <f>IFERROR(INDEX('Output Utente'!$N$2:$N$492,MATCH(36,'Output Utente'!$R$2:$R$492,0)),"")</f>
        <v/>
      </c>
      <c r="G39" s="23" t="str">
        <f>IFERROR(INDEX('Output Utente'!$O$2:$O$492,MATCH(36,'Output Utente'!$R$2:$R$492,0)),"")</f>
        <v/>
      </c>
      <c r="H39" s="23" t="str">
        <f>IFERROR(INDEX('Output Utente'!$P$2:$P$492,MATCH(36,'Output Utente'!$R$2:$R$492,0)),"")</f>
        <v/>
      </c>
      <c r="I39" s="24" t="str">
        <f>IFERROR(INDEX('Output Utente'!$F$2:$F$492,MATCH(36,'Output Utente'!$R$2:$R$492,0)),"")</f>
        <v/>
      </c>
      <c r="J39" s="24" t="str">
        <f>IFERROR(INDEX('Output Utente'!$G$2:$G$492,MATCH(36,'Output Utente'!$R$2:$R$492,0)),"")</f>
        <v/>
      </c>
      <c r="K39" s="24" t="str">
        <f>IFERROR(INDEX('Output Utente'!$H$2:$H$492,MATCH(36,'Output Utente'!$R$2:$R$492,0)),"")</f>
        <v/>
      </c>
      <c r="L39" s="23" t="str">
        <f>IFERROR(INDEX('Output Utente'!$E$2:$E$492,MATCH(36,'Output Utente'!$R$2:$R$492,0)),"")</f>
        <v/>
      </c>
      <c r="V39" t="str">
        <f>IFERROR(INDEX('Output Utente'!$M$2:$M$492,MATCH(36,'Output Utente'!$R$2:$R$492,0)),"")</f>
        <v/>
      </c>
      <c r="W39" t="str">
        <f t="shared" si="0"/>
        <v/>
      </c>
      <c r="X39" t="str">
        <f>IFERROR(INDEX('Output Utente'!$AF$2:$AF$492,MATCH(36,'Output Utente'!$R$2:$R$492,0)),"")</f>
        <v/>
      </c>
    </row>
    <row r="40" spans="1:24" ht="15" customHeight="1" x14ac:dyDescent="0.25">
      <c r="A40" s="26">
        <v>37</v>
      </c>
      <c r="B40" s="23" t="str">
        <f>IFERROR(INDEX('Output Utente'!$A$2:$A$492,MATCH(37,'Output Utente'!$R$2:$R$492,0)),"")</f>
        <v/>
      </c>
      <c r="C40" s="23" t="str">
        <f>IFERROR(INDEX('Output Utente'!$B$2:$B$492,MATCH(37,'Output Utente'!$R$2:$R$492,0)),"")</f>
        <v/>
      </c>
      <c r="D40" s="23" t="str">
        <f>IFERROR(INDEX('Output Utente'!$C$2:$C$492,MATCH(37,'Output Utente'!$R$2:$R$492,0)),"")</f>
        <v/>
      </c>
      <c r="E40" s="23" t="str">
        <f>IFERROR(INDEX('Input Giocatori 2026_27'!$D$3:$D$493,MATCH($B40,'Input Giocatori 2026_27'!$A$3:$A$493,0)),"")</f>
        <v/>
      </c>
      <c r="F40" s="24" t="str">
        <f>IFERROR(INDEX('Output Utente'!$N$2:$N$492,MATCH(37,'Output Utente'!$R$2:$R$492,0)),"")</f>
        <v/>
      </c>
      <c r="G40" s="23" t="str">
        <f>IFERROR(INDEX('Output Utente'!$O$2:$O$492,MATCH(37,'Output Utente'!$R$2:$R$492,0)),"")</f>
        <v/>
      </c>
      <c r="H40" s="23" t="str">
        <f>IFERROR(INDEX('Output Utente'!$P$2:$P$492,MATCH(37,'Output Utente'!$R$2:$R$492,0)),"")</f>
        <v/>
      </c>
      <c r="I40" s="24" t="str">
        <f>IFERROR(INDEX('Output Utente'!$F$2:$F$492,MATCH(37,'Output Utente'!$R$2:$R$492,0)),"")</f>
        <v/>
      </c>
      <c r="J40" s="24" t="str">
        <f>IFERROR(INDEX('Output Utente'!$G$2:$G$492,MATCH(37,'Output Utente'!$R$2:$R$492,0)),"")</f>
        <v/>
      </c>
      <c r="K40" s="24" t="str">
        <f>IFERROR(INDEX('Output Utente'!$H$2:$H$492,MATCH(37,'Output Utente'!$R$2:$R$492,0)),"")</f>
        <v/>
      </c>
      <c r="L40" s="23" t="str">
        <f>IFERROR(INDEX('Output Utente'!$E$2:$E$492,MATCH(37,'Output Utente'!$R$2:$R$492,0)),"")</f>
        <v/>
      </c>
      <c r="V40" t="str">
        <f>IFERROR(INDEX('Output Utente'!$M$2:$M$492,MATCH(37,'Output Utente'!$R$2:$R$492,0)),"")</f>
        <v/>
      </c>
      <c r="W40" t="str">
        <f t="shared" si="0"/>
        <v/>
      </c>
      <c r="X40" t="str">
        <f>IFERROR(INDEX('Output Utente'!$AF$2:$AF$492,MATCH(37,'Output Utente'!$R$2:$R$492,0)),"")</f>
        <v/>
      </c>
    </row>
    <row r="41" spans="1:24" ht="15" customHeight="1" x14ac:dyDescent="0.25">
      <c r="A41" s="26">
        <v>38</v>
      </c>
      <c r="B41" s="23" t="str">
        <f>IFERROR(INDEX('Output Utente'!$A$2:$A$492,MATCH(38,'Output Utente'!$R$2:$R$492,0)),"")</f>
        <v/>
      </c>
      <c r="C41" s="23" t="str">
        <f>IFERROR(INDEX('Output Utente'!$B$2:$B$492,MATCH(38,'Output Utente'!$R$2:$R$492,0)),"")</f>
        <v/>
      </c>
      <c r="D41" s="23" t="str">
        <f>IFERROR(INDEX('Output Utente'!$C$2:$C$492,MATCH(38,'Output Utente'!$R$2:$R$492,0)),"")</f>
        <v/>
      </c>
      <c r="E41" s="23" t="str">
        <f>IFERROR(INDEX('Input Giocatori 2026_27'!$D$3:$D$493,MATCH($B41,'Input Giocatori 2026_27'!$A$3:$A$493,0)),"")</f>
        <v/>
      </c>
      <c r="F41" s="24" t="str">
        <f>IFERROR(INDEX('Output Utente'!$N$2:$N$492,MATCH(38,'Output Utente'!$R$2:$R$492,0)),"")</f>
        <v/>
      </c>
      <c r="G41" s="23" t="str">
        <f>IFERROR(INDEX('Output Utente'!$O$2:$O$492,MATCH(38,'Output Utente'!$R$2:$R$492,0)),"")</f>
        <v/>
      </c>
      <c r="H41" s="23" t="str">
        <f>IFERROR(INDEX('Output Utente'!$P$2:$P$492,MATCH(38,'Output Utente'!$R$2:$R$492,0)),"")</f>
        <v/>
      </c>
      <c r="I41" s="24" t="str">
        <f>IFERROR(INDEX('Output Utente'!$F$2:$F$492,MATCH(38,'Output Utente'!$R$2:$R$492,0)),"")</f>
        <v/>
      </c>
      <c r="J41" s="24" t="str">
        <f>IFERROR(INDEX('Output Utente'!$G$2:$G$492,MATCH(38,'Output Utente'!$R$2:$R$492,0)),"")</f>
        <v/>
      </c>
      <c r="K41" s="24" t="str">
        <f>IFERROR(INDEX('Output Utente'!$H$2:$H$492,MATCH(38,'Output Utente'!$R$2:$R$492,0)),"")</f>
        <v/>
      </c>
      <c r="L41" s="23" t="str">
        <f>IFERROR(INDEX('Output Utente'!$E$2:$E$492,MATCH(38,'Output Utente'!$R$2:$R$492,0)),"")</f>
        <v/>
      </c>
      <c r="V41" t="str">
        <f>IFERROR(INDEX('Output Utente'!$M$2:$M$492,MATCH(38,'Output Utente'!$R$2:$R$492,0)),"")</f>
        <v/>
      </c>
      <c r="W41" t="str">
        <f t="shared" si="0"/>
        <v/>
      </c>
      <c r="X41" t="str">
        <f>IFERROR(INDEX('Output Utente'!$AF$2:$AF$492,MATCH(38,'Output Utente'!$R$2:$R$492,0)),"")</f>
        <v/>
      </c>
    </row>
    <row r="42" spans="1:24" ht="15" customHeight="1" x14ac:dyDescent="0.25">
      <c r="A42" s="26">
        <v>39</v>
      </c>
      <c r="B42" s="23" t="str">
        <f>IFERROR(INDEX('Output Utente'!$A$2:$A$492,MATCH(39,'Output Utente'!$R$2:$R$492,0)),"")</f>
        <v/>
      </c>
      <c r="C42" s="23" t="str">
        <f>IFERROR(INDEX('Output Utente'!$B$2:$B$492,MATCH(39,'Output Utente'!$R$2:$R$492,0)),"")</f>
        <v/>
      </c>
      <c r="D42" s="23" t="str">
        <f>IFERROR(INDEX('Output Utente'!$C$2:$C$492,MATCH(39,'Output Utente'!$R$2:$R$492,0)),"")</f>
        <v/>
      </c>
      <c r="E42" s="23" t="str">
        <f>IFERROR(INDEX('Input Giocatori 2026_27'!$D$3:$D$493,MATCH($B42,'Input Giocatori 2026_27'!$A$3:$A$493,0)),"")</f>
        <v/>
      </c>
      <c r="F42" s="24" t="str">
        <f>IFERROR(INDEX('Output Utente'!$N$2:$N$492,MATCH(39,'Output Utente'!$R$2:$R$492,0)),"")</f>
        <v/>
      </c>
      <c r="G42" s="23" t="str">
        <f>IFERROR(INDEX('Output Utente'!$O$2:$O$492,MATCH(39,'Output Utente'!$R$2:$R$492,0)),"")</f>
        <v/>
      </c>
      <c r="H42" s="23" t="str">
        <f>IFERROR(INDEX('Output Utente'!$P$2:$P$492,MATCH(39,'Output Utente'!$R$2:$R$492,0)),"")</f>
        <v/>
      </c>
      <c r="I42" s="24" t="str">
        <f>IFERROR(INDEX('Output Utente'!$F$2:$F$492,MATCH(39,'Output Utente'!$R$2:$R$492,0)),"")</f>
        <v/>
      </c>
      <c r="J42" s="24" t="str">
        <f>IFERROR(INDEX('Output Utente'!$G$2:$G$492,MATCH(39,'Output Utente'!$R$2:$R$492,0)),"")</f>
        <v/>
      </c>
      <c r="K42" s="24" t="str">
        <f>IFERROR(INDEX('Output Utente'!$H$2:$H$492,MATCH(39,'Output Utente'!$R$2:$R$492,0)),"")</f>
        <v/>
      </c>
      <c r="L42" s="23" t="str">
        <f>IFERROR(INDEX('Output Utente'!$E$2:$E$492,MATCH(39,'Output Utente'!$R$2:$R$492,0)),"")</f>
        <v/>
      </c>
      <c r="V42" t="str">
        <f>IFERROR(INDEX('Output Utente'!$M$2:$M$492,MATCH(39,'Output Utente'!$R$2:$R$492,0)),"")</f>
        <v/>
      </c>
      <c r="W42" t="str">
        <f t="shared" si="0"/>
        <v/>
      </c>
      <c r="X42" t="str">
        <f>IFERROR(INDEX('Output Utente'!$AF$2:$AF$492,MATCH(39,'Output Utente'!$R$2:$R$492,0)),"")</f>
        <v/>
      </c>
    </row>
    <row r="43" spans="1:24" ht="15" customHeight="1" x14ac:dyDescent="0.25">
      <c r="A43" s="26">
        <v>40</v>
      </c>
      <c r="B43" s="23" t="str">
        <f>IFERROR(INDEX('Output Utente'!$A$2:$A$492,MATCH(40,'Output Utente'!$R$2:$R$492,0)),"")</f>
        <v/>
      </c>
      <c r="C43" s="23" t="str">
        <f>IFERROR(INDEX('Output Utente'!$B$2:$B$492,MATCH(40,'Output Utente'!$R$2:$R$492,0)),"")</f>
        <v/>
      </c>
      <c r="D43" s="23" t="str">
        <f>IFERROR(INDEX('Output Utente'!$C$2:$C$492,MATCH(40,'Output Utente'!$R$2:$R$492,0)),"")</f>
        <v/>
      </c>
      <c r="E43" s="23" t="str">
        <f>IFERROR(INDEX('Input Giocatori 2026_27'!$D$3:$D$493,MATCH($B43,'Input Giocatori 2026_27'!$A$3:$A$493,0)),"")</f>
        <v/>
      </c>
      <c r="F43" s="24" t="str">
        <f>IFERROR(INDEX('Output Utente'!$N$2:$N$492,MATCH(40,'Output Utente'!$R$2:$R$492,0)),"")</f>
        <v/>
      </c>
      <c r="G43" s="23" t="str">
        <f>IFERROR(INDEX('Output Utente'!$O$2:$O$492,MATCH(40,'Output Utente'!$R$2:$R$492,0)),"")</f>
        <v/>
      </c>
      <c r="H43" s="23" t="str">
        <f>IFERROR(INDEX('Output Utente'!$P$2:$P$492,MATCH(40,'Output Utente'!$R$2:$R$492,0)),"")</f>
        <v/>
      </c>
      <c r="I43" s="24" t="str">
        <f>IFERROR(INDEX('Output Utente'!$F$2:$F$492,MATCH(40,'Output Utente'!$R$2:$R$492,0)),"")</f>
        <v/>
      </c>
      <c r="J43" s="24" t="str">
        <f>IFERROR(INDEX('Output Utente'!$G$2:$G$492,MATCH(40,'Output Utente'!$R$2:$R$492,0)),"")</f>
        <v/>
      </c>
      <c r="K43" s="24" t="str">
        <f>IFERROR(INDEX('Output Utente'!$H$2:$H$492,MATCH(40,'Output Utente'!$R$2:$R$492,0)),"")</f>
        <v/>
      </c>
      <c r="L43" s="23" t="str">
        <f>IFERROR(INDEX('Output Utente'!$E$2:$E$492,MATCH(40,'Output Utente'!$R$2:$R$492,0)),"")</f>
        <v/>
      </c>
      <c r="V43" t="str">
        <f>IFERROR(INDEX('Output Utente'!$M$2:$M$492,MATCH(40,'Output Utente'!$R$2:$R$492,0)),"")</f>
        <v/>
      </c>
      <c r="W43" t="str">
        <f t="shared" si="0"/>
        <v/>
      </c>
      <c r="X43" t="str">
        <f>IFERROR(INDEX('Output Utente'!$AF$2:$AF$492,MATCH(40,'Output Utente'!$R$2:$R$492,0)),"")</f>
        <v/>
      </c>
    </row>
    <row r="44" spans="1:24" ht="15" customHeight="1" x14ac:dyDescent="0.25">
      <c r="A44" s="26">
        <v>41</v>
      </c>
      <c r="B44" s="23" t="str">
        <f>IFERROR(INDEX('Output Utente'!$A$2:$A$492,MATCH(41,'Output Utente'!$R$2:$R$492,0)),"")</f>
        <v/>
      </c>
      <c r="C44" s="23" t="str">
        <f>IFERROR(INDEX('Output Utente'!$B$2:$B$492,MATCH(41,'Output Utente'!$R$2:$R$492,0)),"")</f>
        <v/>
      </c>
      <c r="D44" s="23" t="str">
        <f>IFERROR(INDEX('Output Utente'!$C$2:$C$492,MATCH(41,'Output Utente'!$R$2:$R$492,0)),"")</f>
        <v/>
      </c>
      <c r="E44" s="23" t="str">
        <f>IFERROR(INDEX('Input Giocatori 2026_27'!$D$3:$D$493,MATCH($B44,'Input Giocatori 2026_27'!$A$3:$A$493,0)),"")</f>
        <v/>
      </c>
      <c r="F44" s="24" t="str">
        <f>IFERROR(INDEX('Output Utente'!$N$2:$N$492,MATCH(41,'Output Utente'!$R$2:$R$492,0)),"")</f>
        <v/>
      </c>
      <c r="G44" s="23" t="str">
        <f>IFERROR(INDEX('Output Utente'!$O$2:$O$492,MATCH(41,'Output Utente'!$R$2:$R$492,0)),"")</f>
        <v/>
      </c>
      <c r="H44" s="23" t="str">
        <f>IFERROR(INDEX('Output Utente'!$P$2:$P$492,MATCH(41,'Output Utente'!$R$2:$R$492,0)),"")</f>
        <v/>
      </c>
      <c r="I44" s="24" t="str">
        <f>IFERROR(INDEX('Output Utente'!$F$2:$F$492,MATCH(41,'Output Utente'!$R$2:$R$492,0)),"")</f>
        <v/>
      </c>
      <c r="J44" s="24" t="str">
        <f>IFERROR(INDEX('Output Utente'!$G$2:$G$492,MATCH(41,'Output Utente'!$R$2:$R$492,0)),"")</f>
        <v/>
      </c>
      <c r="K44" s="24" t="str">
        <f>IFERROR(INDEX('Output Utente'!$H$2:$H$492,MATCH(41,'Output Utente'!$R$2:$R$492,0)),"")</f>
        <v/>
      </c>
      <c r="L44" s="23" t="str">
        <f>IFERROR(INDEX('Output Utente'!$E$2:$E$492,MATCH(41,'Output Utente'!$R$2:$R$492,0)),"")</f>
        <v/>
      </c>
      <c r="V44" t="str">
        <f>IFERROR(INDEX('Output Utente'!$M$2:$M$492,MATCH(41,'Output Utente'!$R$2:$R$492,0)),"")</f>
        <v/>
      </c>
      <c r="W44" t="str">
        <f t="shared" si="0"/>
        <v/>
      </c>
      <c r="X44" t="str">
        <f>IFERROR(INDEX('Output Utente'!$AF$2:$AF$492,MATCH(41,'Output Utente'!$R$2:$R$492,0)),"")</f>
        <v/>
      </c>
    </row>
    <row r="45" spans="1:24" ht="15" customHeight="1" x14ac:dyDescent="0.25">
      <c r="A45" s="26">
        <v>42</v>
      </c>
      <c r="B45" s="23" t="str">
        <f>IFERROR(INDEX('Output Utente'!$A$2:$A$492,MATCH(42,'Output Utente'!$R$2:$R$492,0)),"")</f>
        <v/>
      </c>
      <c r="C45" s="23" t="str">
        <f>IFERROR(INDEX('Output Utente'!$B$2:$B$492,MATCH(42,'Output Utente'!$R$2:$R$492,0)),"")</f>
        <v/>
      </c>
      <c r="D45" s="23" t="str">
        <f>IFERROR(INDEX('Output Utente'!$C$2:$C$492,MATCH(42,'Output Utente'!$R$2:$R$492,0)),"")</f>
        <v/>
      </c>
      <c r="E45" s="23" t="str">
        <f>IFERROR(INDEX('Input Giocatori 2026_27'!$D$3:$D$493,MATCH($B45,'Input Giocatori 2026_27'!$A$3:$A$493,0)),"")</f>
        <v/>
      </c>
      <c r="F45" s="24" t="str">
        <f>IFERROR(INDEX('Output Utente'!$N$2:$N$492,MATCH(42,'Output Utente'!$R$2:$R$492,0)),"")</f>
        <v/>
      </c>
      <c r="G45" s="23" t="str">
        <f>IFERROR(INDEX('Output Utente'!$O$2:$O$492,MATCH(42,'Output Utente'!$R$2:$R$492,0)),"")</f>
        <v/>
      </c>
      <c r="H45" s="23" t="str">
        <f>IFERROR(INDEX('Output Utente'!$P$2:$P$492,MATCH(42,'Output Utente'!$R$2:$R$492,0)),"")</f>
        <v/>
      </c>
      <c r="I45" s="24" t="str">
        <f>IFERROR(INDEX('Output Utente'!$F$2:$F$492,MATCH(42,'Output Utente'!$R$2:$R$492,0)),"")</f>
        <v/>
      </c>
      <c r="J45" s="24" t="str">
        <f>IFERROR(INDEX('Output Utente'!$G$2:$G$492,MATCH(42,'Output Utente'!$R$2:$R$492,0)),"")</f>
        <v/>
      </c>
      <c r="K45" s="24" t="str">
        <f>IFERROR(INDEX('Output Utente'!$H$2:$H$492,MATCH(42,'Output Utente'!$R$2:$R$492,0)),"")</f>
        <v/>
      </c>
      <c r="L45" s="23" t="str">
        <f>IFERROR(INDEX('Output Utente'!$E$2:$E$492,MATCH(42,'Output Utente'!$R$2:$R$492,0)),"")</f>
        <v/>
      </c>
      <c r="V45" t="str">
        <f>IFERROR(INDEX('Output Utente'!$M$2:$M$492,MATCH(42,'Output Utente'!$R$2:$R$492,0)),"")</f>
        <v/>
      </c>
      <c r="W45" t="str">
        <f t="shared" si="0"/>
        <v/>
      </c>
      <c r="X45" t="str">
        <f>IFERROR(INDEX('Output Utente'!$AF$2:$AF$492,MATCH(42,'Output Utente'!$R$2:$R$492,0)),"")</f>
        <v/>
      </c>
    </row>
    <row r="46" spans="1:24" ht="15" customHeight="1" x14ac:dyDescent="0.25">
      <c r="A46" s="26">
        <v>43</v>
      </c>
      <c r="B46" s="23" t="str">
        <f>IFERROR(INDEX('Output Utente'!$A$2:$A$492,MATCH(43,'Output Utente'!$R$2:$R$492,0)),"")</f>
        <v/>
      </c>
      <c r="C46" s="23" t="str">
        <f>IFERROR(INDEX('Output Utente'!$B$2:$B$492,MATCH(43,'Output Utente'!$R$2:$R$492,0)),"")</f>
        <v/>
      </c>
      <c r="D46" s="23" t="str">
        <f>IFERROR(INDEX('Output Utente'!$C$2:$C$492,MATCH(43,'Output Utente'!$R$2:$R$492,0)),"")</f>
        <v/>
      </c>
      <c r="E46" s="23" t="str">
        <f>IFERROR(INDEX('Input Giocatori 2026_27'!$D$3:$D$493,MATCH($B46,'Input Giocatori 2026_27'!$A$3:$A$493,0)),"")</f>
        <v/>
      </c>
      <c r="F46" s="24" t="str">
        <f>IFERROR(INDEX('Output Utente'!$N$2:$N$492,MATCH(43,'Output Utente'!$R$2:$R$492,0)),"")</f>
        <v/>
      </c>
      <c r="G46" s="23" t="str">
        <f>IFERROR(INDEX('Output Utente'!$O$2:$O$492,MATCH(43,'Output Utente'!$R$2:$R$492,0)),"")</f>
        <v/>
      </c>
      <c r="H46" s="23" t="str">
        <f>IFERROR(INDEX('Output Utente'!$P$2:$P$492,MATCH(43,'Output Utente'!$R$2:$R$492,0)),"")</f>
        <v/>
      </c>
      <c r="I46" s="24" t="str">
        <f>IFERROR(INDEX('Output Utente'!$F$2:$F$492,MATCH(43,'Output Utente'!$R$2:$R$492,0)),"")</f>
        <v/>
      </c>
      <c r="J46" s="24" t="str">
        <f>IFERROR(INDEX('Output Utente'!$G$2:$G$492,MATCH(43,'Output Utente'!$R$2:$R$492,0)),"")</f>
        <v/>
      </c>
      <c r="K46" s="24" t="str">
        <f>IFERROR(INDEX('Output Utente'!$H$2:$H$492,MATCH(43,'Output Utente'!$R$2:$R$492,0)),"")</f>
        <v/>
      </c>
      <c r="L46" s="23" t="str">
        <f>IFERROR(INDEX('Output Utente'!$E$2:$E$492,MATCH(43,'Output Utente'!$R$2:$R$492,0)),"")</f>
        <v/>
      </c>
      <c r="V46" t="str">
        <f>IFERROR(INDEX('Output Utente'!$M$2:$M$492,MATCH(43,'Output Utente'!$R$2:$R$492,0)),"")</f>
        <v/>
      </c>
      <c r="W46" t="str">
        <f t="shared" si="0"/>
        <v/>
      </c>
      <c r="X46" t="str">
        <f>IFERROR(INDEX('Output Utente'!$AF$2:$AF$492,MATCH(43,'Output Utente'!$R$2:$R$492,0)),"")</f>
        <v/>
      </c>
    </row>
    <row r="47" spans="1:24" ht="15" customHeight="1" x14ac:dyDescent="0.25">
      <c r="A47" s="26">
        <v>44</v>
      </c>
      <c r="B47" s="23" t="str">
        <f>IFERROR(INDEX('Output Utente'!$A$2:$A$492,MATCH(44,'Output Utente'!$R$2:$R$492,0)),"")</f>
        <v/>
      </c>
      <c r="C47" s="23" t="str">
        <f>IFERROR(INDEX('Output Utente'!$B$2:$B$492,MATCH(44,'Output Utente'!$R$2:$R$492,0)),"")</f>
        <v/>
      </c>
      <c r="D47" s="23" t="str">
        <f>IFERROR(INDEX('Output Utente'!$C$2:$C$492,MATCH(44,'Output Utente'!$R$2:$R$492,0)),"")</f>
        <v/>
      </c>
      <c r="E47" s="23" t="str">
        <f>IFERROR(INDEX('Input Giocatori 2026_27'!$D$3:$D$493,MATCH($B47,'Input Giocatori 2026_27'!$A$3:$A$493,0)),"")</f>
        <v/>
      </c>
      <c r="F47" s="24" t="str">
        <f>IFERROR(INDEX('Output Utente'!$N$2:$N$492,MATCH(44,'Output Utente'!$R$2:$R$492,0)),"")</f>
        <v/>
      </c>
      <c r="G47" s="23" t="str">
        <f>IFERROR(INDEX('Output Utente'!$O$2:$O$492,MATCH(44,'Output Utente'!$R$2:$R$492,0)),"")</f>
        <v/>
      </c>
      <c r="H47" s="23" t="str">
        <f>IFERROR(INDEX('Output Utente'!$P$2:$P$492,MATCH(44,'Output Utente'!$R$2:$R$492,0)),"")</f>
        <v/>
      </c>
      <c r="I47" s="24" t="str">
        <f>IFERROR(INDEX('Output Utente'!$F$2:$F$492,MATCH(44,'Output Utente'!$R$2:$R$492,0)),"")</f>
        <v/>
      </c>
      <c r="J47" s="24" t="str">
        <f>IFERROR(INDEX('Output Utente'!$G$2:$G$492,MATCH(44,'Output Utente'!$R$2:$R$492,0)),"")</f>
        <v/>
      </c>
      <c r="K47" s="24" t="str">
        <f>IFERROR(INDEX('Output Utente'!$H$2:$H$492,MATCH(44,'Output Utente'!$R$2:$R$492,0)),"")</f>
        <v/>
      </c>
      <c r="L47" s="23" t="str">
        <f>IFERROR(INDEX('Output Utente'!$E$2:$E$492,MATCH(44,'Output Utente'!$R$2:$R$492,0)),"")</f>
        <v/>
      </c>
      <c r="V47" t="str">
        <f>IFERROR(INDEX('Output Utente'!$M$2:$M$492,MATCH(44,'Output Utente'!$R$2:$R$492,0)),"")</f>
        <v/>
      </c>
      <c r="W47" t="str">
        <f t="shared" si="0"/>
        <v/>
      </c>
      <c r="X47" t="str">
        <f>IFERROR(INDEX('Output Utente'!$AF$2:$AF$492,MATCH(44,'Output Utente'!$R$2:$R$492,0)),"")</f>
        <v/>
      </c>
    </row>
    <row r="48" spans="1:24" ht="15" customHeight="1" x14ac:dyDescent="0.25">
      <c r="A48" s="26">
        <v>45</v>
      </c>
      <c r="B48" s="23" t="str">
        <f>IFERROR(INDEX('Output Utente'!$A$2:$A$492,MATCH(45,'Output Utente'!$R$2:$R$492,0)),"")</f>
        <v/>
      </c>
      <c r="C48" s="23" t="str">
        <f>IFERROR(INDEX('Output Utente'!$B$2:$B$492,MATCH(45,'Output Utente'!$R$2:$R$492,0)),"")</f>
        <v/>
      </c>
      <c r="D48" s="23" t="str">
        <f>IFERROR(INDEX('Output Utente'!$C$2:$C$492,MATCH(45,'Output Utente'!$R$2:$R$492,0)),"")</f>
        <v/>
      </c>
      <c r="E48" s="23" t="str">
        <f>IFERROR(INDEX('Input Giocatori 2026_27'!$D$3:$D$493,MATCH($B48,'Input Giocatori 2026_27'!$A$3:$A$493,0)),"")</f>
        <v/>
      </c>
      <c r="F48" s="24" t="str">
        <f>IFERROR(INDEX('Output Utente'!$N$2:$N$492,MATCH(45,'Output Utente'!$R$2:$R$492,0)),"")</f>
        <v/>
      </c>
      <c r="G48" s="23" t="str">
        <f>IFERROR(INDEX('Output Utente'!$O$2:$O$492,MATCH(45,'Output Utente'!$R$2:$R$492,0)),"")</f>
        <v/>
      </c>
      <c r="H48" s="23" t="str">
        <f>IFERROR(INDEX('Output Utente'!$P$2:$P$492,MATCH(45,'Output Utente'!$R$2:$R$492,0)),"")</f>
        <v/>
      </c>
      <c r="I48" s="24" t="str">
        <f>IFERROR(INDEX('Output Utente'!$F$2:$F$492,MATCH(45,'Output Utente'!$R$2:$R$492,0)),"")</f>
        <v/>
      </c>
      <c r="J48" s="24" t="str">
        <f>IFERROR(INDEX('Output Utente'!$G$2:$G$492,MATCH(45,'Output Utente'!$R$2:$R$492,0)),"")</f>
        <v/>
      </c>
      <c r="K48" s="24" t="str">
        <f>IFERROR(INDEX('Output Utente'!$H$2:$H$492,MATCH(45,'Output Utente'!$R$2:$R$492,0)),"")</f>
        <v/>
      </c>
      <c r="L48" s="23" t="str">
        <f>IFERROR(INDEX('Output Utente'!$E$2:$E$492,MATCH(45,'Output Utente'!$R$2:$R$492,0)),"")</f>
        <v/>
      </c>
      <c r="V48" t="str">
        <f>IFERROR(INDEX('Output Utente'!$M$2:$M$492,MATCH(45,'Output Utente'!$R$2:$R$492,0)),"")</f>
        <v/>
      </c>
      <c r="W48" t="str">
        <f t="shared" si="0"/>
        <v/>
      </c>
      <c r="X48" t="str">
        <f>IFERROR(INDEX('Output Utente'!$AF$2:$AF$492,MATCH(45,'Output Utente'!$R$2:$R$492,0)),"")</f>
        <v/>
      </c>
    </row>
    <row r="49" spans="1:24" ht="15" customHeight="1" x14ac:dyDescent="0.25">
      <c r="A49" s="26">
        <v>46</v>
      </c>
      <c r="B49" s="23" t="str">
        <f>IFERROR(INDEX('Output Utente'!$A$2:$A$492,MATCH(46,'Output Utente'!$R$2:$R$492,0)),"")</f>
        <v/>
      </c>
      <c r="C49" s="23" t="str">
        <f>IFERROR(INDEX('Output Utente'!$B$2:$B$492,MATCH(46,'Output Utente'!$R$2:$R$492,0)),"")</f>
        <v/>
      </c>
      <c r="D49" s="23" t="str">
        <f>IFERROR(INDEX('Output Utente'!$C$2:$C$492,MATCH(46,'Output Utente'!$R$2:$R$492,0)),"")</f>
        <v/>
      </c>
      <c r="E49" s="23" t="str">
        <f>IFERROR(INDEX('Input Giocatori 2026_27'!$D$3:$D$493,MATCH($B49,'Input Giocatori 2026_27'!$A$3:$A$493,0)),"")</f>
        <v/>
      </c>
      <c r="F49" s="24" t="str">
        <f>IFERROR(INDEX('Output Utente'!$N$2:$N$492,MATCH(46,'Output Utente'!$R$2:$R$492,0)),"")</f>
        <v/>
      </c>
      <c r="G49" s="23" t="str">
        <f>IFERROR(INDEX('Output Utente'!$O$2:$O$492,MATCH(46,'Output Utente'!$R$2:$R$492,0)),"")</f>
        <v/>
      </c>
      <c r="H49" s="23" t="str">
        <f>IFERROR(INDEX('Output Utente'!$P$2:$P$492,MATCH(46,'Output Utente'!$R$2:$R$492,0)),"")</f>
        <v/>
      </c>
      <c r="I49" s="24" t="str">
        <f>IFERROR(INDEX('Output Utente'!$F$2:$F$492,MATCH(46,'Output Utente'!$R$2:$R$492,0)),"")</f>
        <v/>
      </c>
      <c r="J49" s="24" t="str">
        <f>IFERROR(INDEX('Output Utente'!$G$2:$G$492,MATCH(46,'Output Utente'!$R$2:$R$492,0)),"")</f>
        <v/>
      </c>
      <c r="K49" s="24" t="str">
        <f>IFERROR(INDEX('Output Utente'!$H$2:$H$492,MATCH(46,'Output Utente'!$R$2:$R$492,0)),"")</f>
        <v/>
      </c>
      <c r="L49" s="23" t="str">
        <f>IFERROR(INDEX('Output Utente'!$E$2:$E$492,MATCH(46,'Output Utente'!$R$2:$R$492,0)),"")</f>
        <v/>
      </c>
      <c r="V49" t="str">
        <f>IFERROR(INDEX('Output Utente'!$M$2:$M$492,MATCH(46,'Output Utente'!$R$2:$R$492,0)),"")</f>
        <v/>
      </c>
      <c r="W49" t="str">
        <f t="shared" si="0"/>
        <v/>
      </c>
      <c r="X49" t="str">
        <f>IFERROR(INDEX('Output Utente'!$AF$2:$AF$492,MATCH(46,'Output Utente'!$R$2:$R$492,0)),"")</f>
        <v/>
      </c>
    </row>
    <row r="50" spans="1:24" ht="15" customHeight="1" x14ac:dyDescent="0.25">
      <c r="A50" s="26">
        <v>47</v>
      </c>
      <c r="B50" s="23" t="str">
        <f>IFERROR(INDEX('Output Utente'!$A$2:$A$492,MATCH(47,'Output Utente'!$R$2:$R$492,0)),"")</f>
        <v/>
      </c>
      <c r="C50" s="23" t="str">
        <f>IFERROR(INDEX('Output Utente'!$B$2:$B$492,MATCH(47,'Output Utente'!$R$2:$R$492,0)),"")</f>
        <v/>
      </c>
      <c r="D50" s="23" t="str">
        <f>IFERROR(INDEX('Output Utente'!$C$2:$C$492,MATCH(47,'Output Utente'!$R$2:$R$492,0)),"")</f>
        <v/>
      </c>
      <c r="E50" s="23" t="str">
        <f>IFERROR(INDEX('Input Giocatori 2026_27'!$D$3:$D$493,MATCH($B50,'Input Giocatori 2026_27'!$A$3:$A$493,0)),"")</f>
        <v/>
      </c>
      <c r="F50" s="24" t="str">
        <f>IFERROR(INDEX('Output Utente'!$N$2:$N$492,MATCH(47,'Output Utente'!$R$2:$R$492,0)),"")</f>
        <v/>
      </c>
      <c r="G50" s="23" t="str">
        <f>IFERROR(INDEX('Output Utente'!$O$2:$O$492,MATCH(47,'Output Utente'!$R$2:$R$492,0)),"")</f>
        <v/>
      </c>
      <c r="H50" s="23" t="str">
        <f>IFERROR(INDEX('Output Utente'!$P$2:$P$492,MATCH(47,'Output Utente'!$R$2:$R$492,0)),"")</f>
        <v/>
      </c>
      <c r="I50" s="24" t="str">
        <f>IFERROR(INDEX('Output Utente'!$F$2:$F$492,MATCH(47,'Output Utente'!$R$2:$R$492,0)),"")</f>
        <v/>
      </c>
      <c r="J50" s="24" t="str">
        <f>IFERROR(INDEX('Output Utente'!$G$2:$G$492,MATCH(47,'Output Utente'!$R$2:$R$492,0)),"")</f>
        <v/>
      </c>
      <c r="K50" s="24" t="str">
        <f>IFERROR(INDEX('Output Utente'!$H$2:$H$492,MATCH(47,'Output Utente'!$R$2:$R$492,0)),"")</f>
        <v/>
      </c>
      <c r="L50" s="23" t="str">
        <f>IFERROR(INDEX('Output Utente'!$E$2:$E$492,MATCH(47,'Output Utente'!$R$2:$R$492,0)),"")</f>
        <v/>
      </c>
      <c r="V50" t="str">
        <f>IFERROR(INDEX('Output Utente'!$M$2:$M$492,MATCH(47,'Output Utente'!$R$2:$R$492,0)),"")</f>
        <v/>
      </c>
      <c r="W50" t="str">
        <f t="shared" si="0"/>
        <v/>
      </c>
      <c r="X50" t="str">
        <f>IFERROR(INDEX('Output Utente'!$AF$2:$AF$492,MATCH(47,'Output Utente'!$R$2:$R$492,0)),"")</f>
        <v/>
      </c>
    </row>
    <row r="51" spans="1:24" ht="15" customHeight="1" x14ac:dyDescent="0.25">
      <c r="A51" s="26">
        <v>48</v>
      </c>
      <c r="B51" s="23" t="str">
        <f>IFERROR(INDEX('Output Utente'!$A$2:$A$492,MATCH(48,'Output Utente'!$R$2:$R$492,0)),"")</f>
        <v/>
      </c>
      <c r="C51" s="23" t="str">
        <f>IFERROR(INDEX('Output Utente'!$B$2:$B$492,MATCH(48,'Output Utente'!$R$2:$R$492,0)),"")</f>
        <v/>
      </c>
      <c r="D51" s="23" t="str">
        <f>IFERROR(INDEX('Output Utente'!$C$2:$C$492,MATCH(48,'Output Utente'!$R$2:$R$492,0)),"")</f>
        <v/>
      </c>
      <c r="E51" s="23" t="str">
        <f>IFERROR(INDEX('Input Giocatori 2026_27'!$D$3:$D$493,MATCH($B51,'Input Giocatori 2026_27'!$A$3:$A$493,0)),"")</f>
        <v/>
      </c>
      <c r="F51" s="24" t="str">
        <f>IFERROR(INDEX('Output Utente'!$N$2:$N$492,MATCH(48,'Output Utente'!$R$2:$R$492,0)),"")</f>
        <v/>
      </c>
      <c r="G51" s="23" t="str">
        <f>IFERROR(INDEX('Output Utente'!$O$2:$O$492,MATCH(48,'Output Utente'!$R$2:$R$492,0)),"")</f>
        <v/>
      </c>
      <c r="H51" s="23" t="str">
        <f>IFERROR(INDEX('Output Utente'!$P$2:$P$492,MATCH(48,'Output Utente'!$R$2:$R$492,0)),"")</f>
        <v/>
      </c>
      <c r="I51" s="24" t="str">
        <f>IFERROR(INDEX('Output Utente'!$F$2:$F$492,MATCH(48,'Output Utente'!$R$2:$R$492,0)),"")</f>
        <v/>
      </c>
      <c r="J51" s="24" t="str">
        <f>IFERROR(INDEX('Output Utente'!$G$2:$G$492,MATCH(48,'Output Utente'!$R$2:$R$492,0)),"")</f>
        <v/>
      </c>
      <c r="K51" s="24" t="str">
        <f>IFERROR(INDEX('Output Utente'!$H$2:$H$492,MATCH(48,'Output Utente'!$R$2:$R$492,0)),"")</f>
        <v/>
      </c>
      <c r="L51" s="23" t="str">
        <f>IFERROR(INDEX('Output Utente'!$E$2:$E$492,MATCH(48,'Output Utente'!$R$2:$R$492,0)),"")</f>
        <v/>
      </c>
      <c r="V51" t="str">
        <f>IFERROR(INDEX('Output Utente'!$M$2:$M$492,MATCH(48,'Output Utente'!$R$2:$R$492,0)),"")</f>
        <v/>
      </c>
      <c r="W51" t="str">
        <f t="shared" si="0"/>
        <v/>
      </c>
      <c r="X51" t="str">
        <f>IFERROR(INDEX('Output Utente'!$AF$2:$AF$492,MATCH(48,'Output Utente'!$R$2:$R$492,0)),"")</f>
        <v/>
      </c>
    </row>
    <row r="52" spans="1:24" ht="15" customHeight="1" x14ac:dyDescent="0.25">
      <c r="A52" s="26">
        <v>49</v>
      </c>
      <c r="B52" s="23" t="str">
        <f>IFERROR(INDEX('Output Utente'!$A$2:$A$492,MATCH(49,'Output Utente'!$R$2:$R$492,0)),"")</f>
        <v/>
      </c>
      <c r="C52" s="23" t="str">
        <f>IFERROR(INDEX('Output Utente'!$B$2:$B$492,MATCH(49,'Output Utente'!$R$2:$R$492,0)),"")</f>
        <v/>
      </c>
      <c r="D52" s="23" t="str">
        <f>IFERROR(INDEX('Output Utente'!$C$2:$C$492,MATCH(49,'Output Utente'!$R$2:$R$492,0)),"")</f>
        <v/>
      </c>
      <c r="E52" s="23" t="str">
        <f>IFERROR(INDEX('Input Giocatori 2026_27'!$D$3:$D$493,MATCH($B52,'Input Giocatori 2026_27'!$A$3:$A$493,0)),"")</f>
        <v/>
      </c>
      <c r="F52" s="24" t="str">
        <f>IFERROR(INDEX('Output Utente'!$N$2:$N$492,MATCH(49,'Output Utente'!$R$2:$R$492,0)),"")</f>
        <v/>
      </c>
      <c r="G52" s="23" t="str">
        <f>IFERROR(INDEX('Output Utente'!$O$2:$O$492,MATCH(49,'Output Utente'!$R$2:$R$492,0)),"")</f>
        <v/>
      </c>
      <c r="H52" s="23" t="str">
        <f>IFERROR(INDEX('Output Utente'!$P$2:$P$492,MATCH(49,'Output Utente'!$R$2:$R$492,0)),"")</f>
        <v/>
      </c>
      <c r="I52" s="24" t="str">
        <f>IFERROR(INDEX('Output Utente'!$F$2:$F$492,MATCH(49,'Output Utente'!$R$2:$R$492,0)),"")</f>
        <v/>
      </c>
      <c r="J52" s="24" t="str">
        <f>IFERROR(INDEX('Output Utente'!$G$2:$G$492,MATCH(49,'Output Utente'!$R$2:$R$492,0)),"")</f>
        <v/>
      </c>
      <c r="K52" s="24" t="str">
        <f>IFERROR(INDEX('Output Utente'!$H$2:$H$492,MATCH(49,'Output Utente'!$R$2:$R$492,0)),"")</f>
        <v/>
      </c>
      <c r="L52" s="23" t="str">
        <f>IFERROR(INDEX('Output Utente'!$E$2:$E$492,MATCH(49,'Output Utente'!$R$2:$R$492,0)),"")</f>
        <v/>
      </c>
      <c r="V52" t="str">
        <f>IFERROR(INDEX('Output Utente'!$M$2:$M$492,MATCH(49,'Output Utente'!$R$2:$R$492,0)),"")</f>
        <v/>
      </c>
      <c r="W52" t="str">
        <f t="shared" si="0"/>
        <v/>
      </c>
      <c r="X52" t="str">
        <f>IFERROR(INDEX('Output Utente'!$AF$2:$AF$492,MATCH(49,'Output Utente'!$R$2:$R$492,0)),"")</f>
        <v/>
      </c>
    </row>
    <row r="53" spans="1:24" ht="15" customHeight="1" x14ac:dyDescent="0.25">
      <c r="A53" s="26">
        <v>50</v>
      </c>
      <c r="B53" s="23" t="str">
        <f>IFERROR(INDEX('Output Utente'!$A$2:$A$492,MATCH(50,'Output Utente'!$R$2:$R$492,0)),"")</f>
        <v/>
      </c>
      <c r="C53" s="23" t="str">
        <f>IFERROR(INDEX('Output Utente'!$B$2:$B$492,MATCH(50,'Output Utente'!$R$2:$R$492,0)),"")</f>
        <v/>
      </c>
      <c r="D53" s="23" t="str">
        <f>IFERROR(INDEX('Output Utente'!$C$2:$C$492,MATCH(50,'Output Utente'!$R$2:$R$492,0)),"")</f>
        <v/>
      </c>
      <c r="E53" s="23" t="str">
        <f>IFERROR(INDEX('Input Giocatori 2026_27'!$D$3:$D$493,MATCH($B53,'Input Giocatori 2026_27'!$A$3:$A$493,0)),"")</f>
        <v/>
      </c>
      <c r="F53" s="24" t="str">
        <f>IFERROR(INDEX('Output Utente'!$N$2:$N$492,MATCH(50,'Output Utente'!$R$2:$R$492,0)),"")</f>
        <v/>
      </c>
      <c r="G53" s="23" t="str">
        <f>IFERROR(INDEX('Output Utente'!$O$2:$O$492,MATCH(50,'Output Utente'!$R$2:$R$492,0)),"")</f>
        <v/>
      </c>
      <c r="H53" s="23" t="str">
        <f>IFERROR(INDEX('Output Utente'!$P$2:$P$492,MATCH(50,'Output Utente'!$R$2:$R$492,0)),"")</f>
        <v/>
      </c>
      <c r="I53" s="24" t="str">
        <f>IFERROR(INDEX('Output Utente'!$F$2:$F$492,MATCH(50,'Output Utente'!$R$2:$R$492,0)),"")</f>
        <v/>
      </c>
      <c r="J53" s="24" t="str">
        <f>IFERROR(INDEX('Output Utente'!$G$2:$G$492,MATCH(50,'Output Utente'!$R$2:$R$492,0)),"")</f>
        <v/>
      </c>
      <c r="K53" s="24" t="str">
        <f>IFERROR(INDEX('Output Utente'!$H$2:$H$492,MATCH(50,'Output Utente'!$R$2:$R$492,0)),"")</f>
        <v/>
      </c>
      <c r="L53" s="23" t="str">
        <f>IFERROR(INDEX('Output Utente'!$E$2:$E$492,MATCH(50,'Output Utente'!$R$2:$R$492,0)),"")</f>
        <v/>
      </c>
      <c r="V53" t="str">
        <f>IFERROR(INDEX('Output Utente'!$M$2:$M$492,MATCH(50,'Output Utente'!$R$2:$R$492,0)),"")</f>
        <v/>
      </c>
      <c r="W53" t="str">
        <f t="shared" si="0"/>
        <v/>
      </c>
      <c r="X53" t="str">
        <f>IFERROR(INDEX('Output Utente'!$AF$2:$AF$492,MATCH(50,'Output Utente'!$R$2:$R$492,0)),"")</f>
        <v/>
      </c>
    </row>
    <row r="54" spans="1:24" ht="15" customHeight="1" x14ac:dyDescent="0.25">
      <c r="A54" s="26">
        <v>51</v>
      </c>
      <c r="B54" s="23" t="str">
        <f>IFERROR(INDEX('Output Utente'!$A$2:$A$492,MATCH(51,'Output Utente'!$R$2:$R$492,0)),"")</f>
        <v/>
      </c>
      <c r="C54" s="23" t="str">
        <f>IFERROR(INDEX('Output Utente'!$B$2:$B$492,MATCH(51,'Output Utente'!$R$2:$R$492,0)),"")</f>
        <v/>
      </c>
      <c r="D54" s="23" t="str">
        <f>IFERROR(INDEX('Output Utente'!$C$2:$C$492,MATCH(51,'Output Utente'!$R$2:$R$492,0)),"")</f>
        <v/>
      </c>
      <c r="E54" s="23" t="str">
        <f>IFERROR(INDEX('Input Giocatori 2026_27'!$D$3:$D$493,MATCH($B54,'Input Giocatori 2026_27'!$A$3:$A$493,0)),"")</f>
        <v/>
      </c>
      <c r="F54" s="24" t="str">
        <f>IFERROR(INDEX('Output Utente'!$N$2:$N$492,MATCH(51,'Output Utente'!$R$2:$R$492,0)),"")</f>
        <v/>
      </c>
      <c r="G54" s="23" t="str">
        <f>IFERROR(INDEX('Output Utente'!$O$2:$O$492,MATCH(51,'Output Utente'!$R$2:$R$492,0)),"")</f>
        <v/>
      </c>
      <c r="H54" s="23" t="str">
        <f>IFERROR(INDEX('Output Utente'!$P$2:$P$492,MATCH(51,'Output Utente'!$R$2:$R$492,0)),"")</f>
        <v/>
      </c>
      <c r="I54" s="24" t="str">
        <f>IFERROR(INDEX('Output Utente'!$F$2:$F$492,MATCH(51,'Output Utente'!$R$2:$R$492,0)),"")</f>
        <v/>
      </c>
      <c r="J54" s="24" t="str">
        <f>IFERROR(INDEX('Output Utente'!$G$2:$G$492,MATCH(51,'Output Utente'!$R$2:$R$492,0)),"")</f>
        <v/>
      </c>
      <c r="K54" s="24" t="str">
        <f>IFERROR(INDEX('Output Utente'!$H$2:$H$492,MATCH(51,'Output Utente'!$R$2:$R$492,0)),"")</f>
        <v/>
      </c>
      <c r="L54" s="23" t="str">
        <f>IFERROR(INDEX('Output Utente'!$E$2:$E$492,MATCH(51,'Output Utente'!$R$2:$R$492,0)),"")</f>
        <v/>
      </c>
      <c r="V54" t="str">
        <f>IFERROR(INDEX('Output Utente'!$M$2:$M$492,MATCH(51,'Output Utente'!$R$2:$R$492,0)),"")</f>
        <v/>
      </c>
      <c r="W54" t="str">
        <f t="shared" si="0"/>
        <v/>
      </c>
      <c r="X54" t="str">
        <f>IFERROR(INDEX('Output Utente'!$AF$2:$AF$492,MATCH(51,'Output Utente'!$R$2:$R$492,0)),"")</f>
        <v/>
      </c>
    </row>
    <row r="55" spans="1:24" ht="15" customHeight="1" x14ac:dyDescent="0.25">
      <c r="A55" s="26">
        <v>52</v>
      </c>
      <c r="B55" s="23" t="str">
        <f>IFERROR(INDEX('Output Utente'!$A$2:$A$492,MATCH(52,'Output Utente'!$R$2:$R$492,0)),"")</f>
        <v/>
      </c>
      <c r="C55" s="23" t="str">
        <f>IFERROR(INDEX('Output Utente'!$B$2:$B$492,MATCH(52,'Output Utente'!$R$2:$R$492,0)),"")</f>
        <v/>
      </c>
      <c r="D55" s="23" t="str">
        <f>IFERROR(INDEX('Output Utente'!$C$2:$C$492,MATCH(52,'Output Utente'!$R$2:$R$492,0)),"")</f>
        <v/>
      </c>
      <c r="E55" s="23" t="str">
        <f>IFERROR(INDEX('Input Giocatori 2026_27'!$D$3:$D$493,MATCH($B55,'Input Giocatori 2026_27'!$A$3:$A$493,0)),"")</f>
        <v/>
      </c>
      <c r="F55" s="24" t="str">
        <f>IFERROR(INDEX('Output Utente'!$N$2:$N$492,MATCH(52,'Output Utente'!$R$2:$R$492,0)),"")</f>
        <v/>
      </c>
      <c r="G55" s="23" t="str">
        <f>IFERROR(INDEX('Output Utente'!$O$2:$O$492,MATCH(52,'Output Utente'!$R$2:$R$492,0)),"")</f>
        <v/>
      </c>
      <c r="H55" s="23" t="str">
        <f>IFERROR(INDEX('Output Utente'!$P$2:$P$492,MATCH(52,'Output Utente'!$R$2:$R$492,0)),"")</f>
        <v/>
      </c>
      <c r="I55" s="24" t="str">
        <f>IFERROR(INDEX('Output Utente'!$F$2:$F$492,MATCH(52,'Output Utente'!$R$2:$R$492,0)),"")</f>
        <v/>
      </c>
      <c r="J55" s="24" t="str">
        <f>IFERROR(INDEX('Output Utente'!$G$2:$G$492,MATCH(52,'Output Utente'!$R$2:$R$492,0)),"")</f>
        <v/>
      </c>
      <c r="K55" s="24" t="str">
        <f>IFERROR(INDEX('Output Utente'!$H$2:$H$492,MATCH(52,'Output Utente'!$R$2:$R$492,0)),"")</f>
        <v/>
      </c>
      <c r="L55" s="23" t="str">
        <f>IFERROR(INDEX('Output Utente'!$E$2:$E$492,MATCH(52,'Output Utente'!$R$2:$R$492,0)),"")</f>
        <v/>
      </c>
      <c r="V55" t="str">
        <f>IFERROR(INDEX('Output Utente'!$M$2:$M$492,MATCH(52,'Output Utente'!$R$2:$R$492,0)),"")</f>
        <v/>
      </c>
      <c r="W55" t="str">
        <f t="shared" si="0"/>
        <v/>
      </c>
      <c r="X55" t="str">
        <f>IFERROR(INDEX('Output Utente'!$AF$2:$AF$492,MATCH(52,'Output Utente'!$R$2:$R$492,0)),"")</f>
        <v/>
      </c>
    </row>
    <row r="56" spans="1:24" ht="15" customHeight="1" x14ac:dyDescent="0.25">
      <c r="A56" s="26">
        <v>53</v>
      </c>
      <c r="B56" s="23" t="str">
        <f>IFERROR(INDEX('Output Utente'!$A$2:$A$492,MATCH(53,'Output Utente'!$R$2:$R$492,0)),"")</f>
        <v/>
      </c>
      <c r="C56" s="23" t="str">
        <f>IFERROR(INDEX('Output Utente'!$B$2:$B$492,MATCH(53,'Output Utente'!$R$2:$R$492,0)),"")</f>
        <v/>
      </c>
      <c r="D56" s="23" t="str">
        <f>IFERROR(INDEX('Output Utente'!$C$2:$C$492,MATCH(53,'Output Utente'!$R$2:$R$492,0)),"")</f>
        <v/>
      </c>
      <c r="E56" s="23" t="str">
        <f>IFERROR(INDEX('Input Giocatori 2026_27'!$D$3:$D$493,MATCH($B56,'Input Giocatori 2026_27'!$A$3:$A$493,0)),"")</f>
        <v/>
      </c>
      <c r="F56" s="24" t="str">
        <f>IFERROR(INDEX('Output Utente'!$N$2:$N$492,MATCH(53,'Output Utente'!$R$2:$R$492,0)),"")</f>
        <v/>
      </c>
      <c r="G56" s="23" t="str">
        <f>IFERROR(INDEX('Output Utente'!$O$2:$O$492,MATCH(53,'Output Utente'!$R$2:$R$492,0)),"")</f>
        <v/>
      </c>
      <c r="H56" s="23" t="str">
        <f>IFERROR(INDEX('Output Utente'!$P$2:$P$492,MATCH(53,'Output Utente'!$R$2:$R$492,0)),"")</f>
        <v/>
      </c>
      <c r="I56" s="24" t="str">
        <f>IFERROR(INDEX('Output Utente'!$F$2:$F$492,MATCH(53,'Output Utente'!$R$2:$R$492,0)),"")</f>
        <v/>
      </c>
      <c r="J56" s="24" t="str">
        <f>IFERROR(INDEX('Output Utente'!$G$2:$G$492,MATCH(53,'Output Utente'!$R$2:$R$492,0)),"")</f>
        <v/>
      </c>
      <c r="K56" s="24" t="str">
        <f>IFERROR(INDEX('Output Utente'!$H$2:$H$492,MATCH(53,'Output Utente'!$R$2:$R$492,0)),"")</f>
        <v/>
      </c>
      <c r="L56" s="23" t="str">
        <f>IFERROR(INDEX('Output Utente'!$E$2:$E$492,MATCH(53,'Output Utente'!$R$2:$R$492,0)),"")</f>
        <v/>
      </c>
      <c r="V56" t="str">
        <f>IFERROR(INDEX('Output Utente'!$M$2:$M$492,MATCH(53,'Output Utente'!$R$2:$R$492,0)),"")</f>
        <v/>
      </c>
      <c r="W56" t="str">
        <f t="shared" si="0"/>
        <v/>
      </c>
      <c r="X56" t="str">
        <f>IFERROR(INDEX('Output Utente'!$AF$2:$AF$492,MATCH(53,'Output Utente'!$R$2:$R$492,0)),"")</f>
        <v/>
      </c>
    </row>
    <row r="57" spans="1:24" ht="15" customHeight="1" x14ac:dyDescent="0.25">
      <c r="A57" s="26">
        <v>54</v>
      </c>
      <c r="B57" s="23" t="str">
        <f>IFERROR(INDEX('Output Utente'!$A$2:$A$492,MATCH(54,'Output Utente'!$R$2:$R$492,0)),"")</f>
        <v/>
      </c>
      <c r="C57" s="23" t="str">
        <f>IFERROR(INDEX('Output Utente'!$B$2:$B$492,MATCH(54,'Output Utente'!$R$2:$R$492,0)),"")</f>
        <v/>
      </c>
      <c r="D57" s="23" t="str">
        <f>IFERROR(INDEX('Output Utente'!$C$2:$C$492,MATCH(54,'Output Utente'!$R$2:$R$492,0)),"")</f>
        <v/>
      </c>
      <c r="E57" s="23" t="str">
        <f>IFERROR(INDEX('Input Giocatori 2026_27'!$D$3:$D$493,MATCH($B57,'Input Giocatori 2026_27'!$A$3:$A$493,0)),"")</f>
        <v/>
      </c>
      <c r="F57" s="24" t="str">
        <f>IFERROR(INDEX('Output Utente'!$N$2:$N$492,MATCH(54,'Output Utente'!$R$2:$R$492,0)),"")</f>
        <v/>
      </c>
      <c r="G57" s="23" t="str">
        <f>IFERROR(INDEX('Output Utente'!$O$2:$O$492,MATCH(54,'Output Utente'!$R$2:$R$492,0)),"")</f>
        <v/>
      </c>
      <c r="H57" s="23" t="str">
        <f>IFERROR(INDEX('Output Utente'!$P$2:$P$492,MATCH(54,'Output Utente'!$R$2:$R$492,0)),"")</f>
        <v/>
      </c>
      <c r="I57" s="24" t="str">
        <f>IFERROR(INDEX('Output Utente'!$F$2:$F$492,MATCH(54,'Output Utente'!$R$2:$R$492,0)),"")</f>
        <v/>
      </c>
      <c r="J57" s="24" t="str">
        <f>IFERROR(INDEX('Output Utente'!$G$2:$G$492,MATCH(54,'Output Utente'!$R$2:$R$492,0)),"")</f>
        <v/>
      </c>
      <c r="K57" s="24" t="str">
        <f>IFERROR(INDEX('Output Utente'!$H$2:$H$492,MATCH(54,'Output Utente'!$R$2:$R$492,0)),"")</f>
        <v/>
      </c>
      <c r="L57" s="23" t="str">
        <f>IFERROR(INDEX('Output Utente'!$E$2:$E$492,MATCH(54,'Output Utente'!$R$2:$R$492,0)),"")</f>
        <v/>
      </c>
      <c r="V57" t="str">
        <f>IFERROR(INDEX('Output Utente'!$M$2:$M$492,MATCH(54,'Output Utente'!$R$2:$R$492,0)),"")</f>
        <v/>
      </c>
      <c r="W57" t="str">
        <f t="shared" si="0"/>
        <v/>
      </c>
      <c r="X57" t="str">
        <f>IFERROR(INDEX('Output Utente'!$AF$2:$AF$492,MATCH(54,'Output Utente'!$R$2:$R$492,0)),"")</f>
        <v/>
      </c>
    </row>
    <row r="58" spans="1:24" ht="15" customHeight="1" x14ac:dyDescent="0.25">
      <c r="A58" s="26">
        <v>55</v>
      </c>
      <c r="B58" s="23" t="str">
        <f>IFERROR(INDEX('Output Utente'!$A$2:$A$492,MATCH(55,'Output Utente'!$R$2:$R$492,0)),"")</f>
        <v/>
      </c>
      <c r="C58" s="23" t="str">
        <f>IFERROR(INDEX('Output Utente'!$B$2:$B$492,MATCH(55,'Output Utente'!$R$2:$R$492,0)),"")</f>
        <v/>
      </c>
      <c r="D58" s="23" t="str">
        <f>IFERROR(INDEX('Output Utente'!$C$2:$C$492,MATCH(55,'Output Utente'!$R$2:$R$492,0)),"")</f>
        <v/>
      </c>
      <c r="E58" s="23" t="str">
        <f>IFERROR(INDEX('Input Giocatori 2026_27'!$D$3:$D$493,MATCH($B58,'Input Giocatori 2026_27'!$A$3:$A$493,0)),"")</f>
        <v/>
      </c>
      <c r="F58" s="24" t="str">
        <f>IFERROR(INDEX('Output Utente'!$N$2:$N$492,MATCH(55,'Output Utente'!$R$2:$R$492,0)),"")</f>
        <v/>
      </c>
      <c r="G58" s="23" t="str">
        <f>IFERROR(INDEX('Output Utente'!$O$2:$O$492,MATCH(55,'Output Utente'!$R$2:$R$492,0)),"")</f>
        <v/>
      </c>
      <c r="H58" s="23" t="str">
        <f>IFERROR(INDEX('Output Utente'!$P$2:$P$492,MATCH(55,'Output Utente'!$R$2:$R$492,0)),"")</f>
        <v/>
      </c>
      <c r="I58" s="24" t="str">
        <f>IFERROR(INDEX('Output Utente'!$F$2:$F$492,MATCH(55,'Output Utente'!$R$2:$R$492,0)),"")</f>
        <v/>
      </c>
      <c r="J58" s="24" t="str">
        <f>IFERROR(INDEX('Output Utente'!$G$2:$G$492,MATCH(55,'Output Utente'!$R$2:$R$492,0)),"")</f>
        <v/>
      </c>
      <c r="K58" s="24" t="str">
        <f>IFERROR(INDEX('Output Utente'!$H$2:$H$492,MATCH(55,'Output Utente'!$R$2:$R$492,0)),"")</f>
        <v/>
      </c>
      <c r="L58" s="23" t="str">
        <f>IFERROR(INDEX('Output Utente'!$E$2:$E$492,MATCH(55,'Output Utente'!$R$2:$R$492,0)),"")</f>
        <v/>
      </c>
      <c r="V58" t="str">
        <f>IFERROR(INDEX('Output Utente'!$M$2:$M$492,MATCH(55,'Output Utente'!$R$2:$R$492,0)),"")</f>
        <v/>
      </c>
      <c r="W58" t="str">
        <f t="shared" si="0"/>
        <v/>
      </c>
      <c r="X58" t="str">
        <f>IFERROR(INDEX('Output Utente'!$AF$2:$AF$492,MATCH(55,'Output Utente'!$R$2:$R$492,0)),"")</f>
        <v/>
      </c>
    </row>
    <row r="59" spans="1:24" ht="15" customHeight="1" x14ac:dyDescent="0.25">
      <c r="A59" s="26">
        <v>56</v>
      </c>
      <c r="B59" s="23" t="str">
        <f>IFERROR(INDEX('Output Utente'!$A$2:$A$492,MATCH(56,'Output Utente'!$R$2:$R$492,0)),"")</f>
        <v/>
      </c>
      <c r="C59" s="23" t="str">
        <f>IFERROR(INDEX('Output Utente'!$B$2:$B$492,MATCH(56,'Output Utente'!$R$2:$R$492,0)),"")</f>
        <v/>
      </c>
      <c r="D59" s="23" t="str">
        <f>IFERROR(INDEX('Output Utente'!$C$2:$C$492,MATCH(56,'Output Utente'!$R$2:$R$492,0)),"")</f>
        <v/>
      </c>
      <c r="E59" s="23" t="str">
        <f>IFERROR(INDEX('Input Giocatori 2026_27'!$D$3:$D$493,MATCH($B59,'Input Giocatori 2026_27'!$A$3:$A$493,0)),"")</f>
        <v/>
      </c>
      <c r="F59" s="24" t="str">
        <f>IFERROR(INDEX('Output Utente'!$N$2:$N$492,MATCH(56,'Output Utente'!$R$2:$R$492,0)),"")</f>
        <v/>
      </c>
      <c r="G59" s="23" t="str">
        <f>IFERROR(INDEX('Output Utente'!$O$2:$O$492,MATCH(56,'Output Utente'!$R$2:$R$492,0)),"")</f>
        <v/>
      </c>
      <c r="H59" s="23" t="str">
        <f>IFERROR(INDEX('Output Utente'!$P$2:$P$492,MATCH(56,'Output Utente'!$R$2:$R$492,0)),"")</f>
        <v/>
      </c>
      <c r="I59" s="24" t="str">
        <f>IFERROR(INDEX('Output Utente'!$F$2:$F$492,MATCH(56,'Output Utente'!$R$2:$R$492,0)),"")</f>
        <v/>
      </c>
      <c r="J59" s="24" t="str">
        <f>IFERROR(INDEX('Output Utente'!$G$2:$G$492,MATCH(56,'Output Utente'!$R$2:$R$492,0)),"")</f>
        <v/>
      </c>
      <c r="K59" s="24" t="str">
        <f>IFERROR(INDEX('Output Utente'!$H$2:$H$492,MATCH(56,'Output Utente'!$R$2:$R$492,0)),"")</f>
        <v/>
      </c>
      <c r="L59" s="23" t="str">
        <f>IFERROR(INDEX('Output Utente'!$E$2:$E$492,MATCH(56,'Output Utente'!$R$2:$R$492,0)),"")</f>
        <v/>
      </c>
      <c r="V59" t="str">
        <f>IFERROR(INDEX('Output Utente'!$M$2:$M$492,MATCH(56,'Output Utente'!$R$2:$R$492,0)),"")</f>
        <v/>
      </c>
      <c r="W59" t="str">
        <f t="shared" si="0"/>
        <v/>
      </c>
      <c r="X59" t="str">
        <f>IFERROR(INDEX('Output Utente'!$AF$2:$AF$492,MATCH(56,'Output Utente'!$R$2:$R$492,0)),"")</f>
        <v/>
      </c>
    </row>
    <row r="60" spans="1:24" ht="15" customHeight="1" x14ac:dyDescent="0.25">
      <c r="A60" s="26">
        <v>57</v>
      </c>
      <c r="B60" s="23" t="str">
        <f>IFERROR(INDEX('Output Utente'!$A$2:$A$492,MATCH(57,'Output Utente'!$R$2:$R$492,0)),"")</f>
        <v/>
      </c>
      <c r="C60" s="23" t="str">
        <f>IFERROR(INDEX('Output Utente'!$B$2:$B$492,MATCH(57,'Output Utente'!$R$2:$R$492,0)),"")</f>
        <v/>
      </c>
      <c r="D60" s="23" t="str">
        <f>IFERROR(INDEX('Output Utente'!$C$2:$C$492,MATCH(57,'Output Utente'!$R$2:$R$492,0)),"")</f>
        <v/>
      </c>
      <c r="E60" s="23" t="str">
        <f>IFERROR(INDEX('Input Giocatori 2026_27'!$D$3:$D$493,MATCH($B60,'Input Giocatori 2026_27'!$A$3:$A$493,0)),"")</f>
        <v/>
      </c>
      <c r="F60" s="24" t="str">
        <f>IFERROR(INDEX('Output Utente'!$N$2:$N$492,MATCH(57,'Output Utente'!$R$2:$R$492,0)),"")</f>
        <v/>
      </c>
      <c r="G60" s="23" t="str">
        <f>IFERROR(INDEX('Output Utente'!$O$2:$O$492,MATCH(57,'Output Utente'!$R$2:$R$492,0)),"")</f>
        <v/>
      </c>
      <c r="H60" s="23" t="str">
        <f>IFERROR(INDEX('Output Utente'!$P$2:$P$492,MATCH(57,'Output Utente'!$R$2:$R$492,0)),"")</f>
        <v/>
      </c>
      <c r="I60" s="24" t="str">
        <f>IFERROR(INDEX('Output Utente'!$F$2:$F$492,MATCH(57,'Output Utente'!$R$2:$R$492,0)),"")</f>
        <v/>
      </c>
      <c r="J60" s="24" t="str">
        <f>IFERROR(INDEX('Output Utente'!$G$2:$G$492,MATCH(57,'Output Utente'!$R$2:$R$492,0)),"")</f>
        <v/>
      </c>
      <c r="K60" s="24" t="str">
        <f>IFERROR(INDEX('Output Utente'!$H$2:$H$492,MATCH(57,'Output Utente'!$R$2:$R$492,0)),"")</f>
        <v/>
      </c>
      <c r="L60" s="23" t="str">
        <f>IFERROR(INDEX('Output Utente'!$E$2:$E$492,MATCH(57,'Output Utente'!$R$2:$R$492,0)),"")</f>
        <v/>
      </c>
      <c r="V60" t="str">
        <f>IFERROR(INDEX('Output Utente'!$M$2:$M$492,MATCH(57,'Output Utente'!$R$2:$R$492,0)),"")</f>
        <v/>
      </c>
      <c r="W60" t="str">
        <f t="shared" si="0"/>
        <v/>
      </c>
      <c r="X60" t="str">
        <f>IFERROR(INDEX('Output Utente'!$AF$2:$AF$492,MATCH(57,'Output Utente'!$R$2:$R$492,0)),"")</f>
        <v/>
      </c>
    </row>
    <row r="61" spans="1:24" ht="15" customHeight="1" x14ac:dyDescent="0.25">
      <c r="A61" s="26">
        <v>58</v>
      </c>
      <c r="B61" s="23" t="str">
        <f>IFERROR(INDEX('Output Utente'!$A$2:$A$492,MATCH(58,'Output Utente'!$R$2:$R$492,0)),"")</f>
        <v/>
      </c>
      <c r="C61" s="23" t="str">
        <f>IFERROR(INDEX('Output Utente'!$B$2:$B$492,MATCH(58,'Output Utente'!$R$2:$R$492,0)),"")</f>
        <v/>
      </c>
      <c r="D61" s="23" t="str">
        <f>IFERROR(INDEX('Output Utente'!$C$2:$C$492,MATCH(58,'Output Utente'!$R$2:$R$492,0)),"")</f>
        <v/>
      </c>
      <c r="E61" s="23" t="str">
        <f>IFERROR(INDEX('Input Giocatori 2026_27'!$D$3:$D$493,MATCH($B61,'Input Giocatori 2026_27'!$A$3:$A$493,0)),"")</f>
        <v/>
      </c>
      <c r="F61" s="24" t="str">
        <f>IFERROR(INDEX('Output Utente'!$N$2:$N$492,MATCH(58,'Output Utente'!$R$2:$R$492,0)),"")</f>
        <v/>
      </c>
      <c r="G61" s="23" t="str">
        <f>IFERROR(INDEX('Output Utente'!$O$2:$O$492,MATCH(58,'Output Utente'!$R$2:$R$492,0)),"")</f>
        <v/>
      </c>
      <c r="H61" s="23" t="str">
        <f>IFERROR(INDEX('Output Utente'!$P$2:$P$492,MATCH(58,'Output Utente'!$R$2:$R$492,0)),"")</f>
        <v/>
      </c>
      <c r="I61" s="24" t="str">
        <f>IFERROR(INDEX('Output Utente'!$F$2:$F$492,MATCH(58,'Output Utente'!$R$2:$R$492,0)),"")</f>
        <v/>
      </c>
      <c r="J61" s="24" t="str">
        <f>IFERROR(INDEX('Output Utente'!$G$2:$G$492,MATCH(58,'Output Utente'!$R$2:$R$492,0)),"")</f>
        <v/>
      </c>
      <c r="K61" s="24" t="str">
        <f>IFERROR(INDEX('Output Utente'!$H$2:$H$492,MATCH(58,'Output Utente'!$R$2:$R$492,0)),"")</f>
        <v/>
      </c>
      <c r="L61" s="23" t="str">
        <f>IFERROR(INDEX('Output Utente'!$E$2:$E$492,MATCH(58,'Output Utente'!$R$2:$R$492,0)),"")</f>
        <v/>
      </c>
      <c r="V61" t="str">
        <f>IFERROR(INDEX('Output Utente'!$M$2:$M$492,MATCH(58,'Output Utente'!$R$2:$R$492,0)),"")</f>
        <v/>
      </c>
      <c r="W61" t="str">
        <f t="shared" si="0"/>
        <v/>
      </c>
      <c r="X61" t="str">
        <f>IFERROR(INDEX('Output Utente'!$AF$2:$AF$492,MATCH(58,'Output Utente'!$R$2:$R$492,0)),"")</f>
        <v/>
      </c>
    </row>
    <row r="62" spans="1:24" ht="15" customHeight="1" x14ac:dyDescent="0.25">
      <c r="A62" s="26">
        <v>59</v>
      </c>
      <c r="B62" s="23" t="str">
        <f>IFERROR(INDEX('Output Utente'!$A$2:$A$492,MATCH(59,'Output Utente'!$R$2:$R$492,0)),"")</f>
        <v/>
      </c>
      <c r="C62" s="23" t="str">
        <f>IFERROR(INDEX('Output Utente'!$B$2:$B$492,MATCH(59,'Output Utente'!$R$2:$R$492,0)),"")</f>
        <v/>
      </c>
      <c r="D62" s="23" t="str">
        <f>IFERROR(INDEX('Output Utente'!$C$2:$C$492,MATCH(59,'Output Utente'!$R$2:$R$492,0)),"")</f>
        <v/>
      </c>
      <c r="E62" s="23" t="str">
        <f>IFERROR(INDEX('Input Giocatori 2026_27'!$D$3:$D$493,MATCH($B62,'Input Giocatori 2026_27'!$A$3:$A$493,0)),"")</f>
        <v/>
      </c>
      <c r="F62" s="24" t="str">
        <f>IFERROR(INDEX('Output Utente'!$N$2:$N$492,MATCH(59,'Output Utente'!$R$2:$R$492,0)),"")</f>
        <v/>
      </c>
      <c r="G62" s="23" t="str">
        <f>IFERROR(INDEX('Output Utente'!$O$2:$O$492,MATCH(59,'Output Utente'!$R$2:$R$492,0)),"")</f>
        <v/>
      </c>
      <c r="H62" s="23" t="str">
        <f>IFERROR(INDEX('Output Utente'!$P$2:$P$492,MATCH(59,'Output Utente'!$R$2:$R$492,0)),"")</f>
        <v/>
      </c>
      <c r="I62" s="24" t="str">
        <f>IFERROR(INDEX('Output Utente'!$F$2:$F$492,MATCH(59,'Output Utente'!$R$2:$R$492,0)),"")</f>
        <v/>
      </c>
      <c r="J62" s="24" t="str">
        <f>IFERROR(INDEX('Output Utente'!$G$2:$G$492,MATCH(59,'Output Utente'!$R$2:$R$492,0)),"")</f>
        <v/>
      </c>
      <c r="K62" s="24" t="str">
        <f>IFERROR(INDEX('Output Utente'!$H$2:$H$492,MATCH(59,'Output Utente'!$R$2:$R$492,0)),"")</f>
        <v/>
      </c>
      <c r="L62" s="23" t="str">
        <f>IFERROR(INDEX('Output Utente'!$E$2:$E$492,MATCH(59,'Output Utente'!$R$2:$R$492,0)),"")</f>
        <v/>
      </c>
      <c r="V62" t="str">
        <f>IFERROR(INDEX('Output Utente'!$M$2:$M$492,MATCH(59,'Output Utente'!$R$2:$R$492,0)),"")</f>
        <v/>
      </c>
      <c r="W62" t="str">
        <f t="shared" si="0"/>
        <v/>
      </c>
      <c r="X62" t="str">
        <f>IFERROR(INDEX('Output Utente'!$AF$2:$AF$492,MATCH(59,'Output Utente'!$R$2:$R$492,0)),"")</f>
        <v/>
      </c>
    </row>
    <row r="63" spans="1:24" ht="15" customHeight="1" x14ac:dyDescent="0.25">
      <c r="A63" s="26">
        <v>60</v>
      </c>
      <c r="B63" s="23" t="str">
        <f>IFERROR(INDEX('Output Utente'!$A$2:$A$492,MATCH(60,'Output Utente'!$R$2:$R$492,0)),"")</f>
        <v/>
      </c>
      <c r="C63" s="23" t="str">
        <f>IFERROR(INDEX('Output Utente'!$B$2:$B$492,MATCH(60,'Output Utente'!$R$2:$R$492,0)),"")</f>
        <v/>
      </c>
      <c r="D63" s="23" t="str">
        <f>IFERROR(INDEX('Output Utente'!$C$2:$C$492,MATCH(60,'Output Utente'!$R$2:$R$492,0)),"")</f>
        <v/>
      </c>
      <c r="E63" s="23" t="str">
        <f>IFERROR(INDEX('Input Giocatori 2026_27'!$D$3:$D$493,MATCH($B63,'Input Giocatori 2026_27'!$A$3:$A$493,0)),"")</f>
        <v/>
      </c>
      <c r="F63" s="24" t="str">
        <f>IFERROR(INDEX('Output Utente'!$N$2:$N$492,MATCH(60,'Output Utente'!$R$2:$R$492,0)),"")</f>
        <v/>
      </c>
      <c r="G63" s="23" t="str">
        <f>IFERROR(INDEX('Output Utente'!$O$2:$O$492,MATCH(60,'Output Utente'!$R$2:$R$492,0)),"")</f>
        <v/>
      </c>
      <c r="H63" s="23" t="str">
        <f>IFERROR(INDEX('Output Utente'!$P$2:$P$492,MATCH(60,'Output Utente'!$R$2:$R$492,0)),"")</f>
        <v/>
      </c>
      <c r="I63" s="24" t="str">
        <f>IFERROR(INDEX('Output Utente'!$F$2:$F$492,MATCH(60,'Output Utente'!$R$2:$R$492,0)),"")</f>
        <v/>
      </c>
      <c r="J63" s="24" t="str">
        <f>IFERROR(INDEX('Output Utente'!$G$2:$G$492,MATCH(60,'Output Utente'!$R$2:$R$492,0)),"")</f>
        <v/>
      </c>
      <c r="K63" s="24" t="str">
        <f>IFERROR(INDEX('Output Utente'!$H$2:$H$492,MATCH(60,'Output Utente'!$R$2:$R$492,0)),"")</f>
        <v/>
      </c>
      <c r="L63" s="23" t="str">
        <f>IFERROR(INDEX('Output Utente'!$E$2:$E$492,MATCH(60,'Output Utente'!$R$2:$R$492,0)),"")</f>
        <v/>
      </c>
      <c r="V63" t="str">
        <f>IFERROR(INDEX('Output Utente'!$M$2:$M$492,MATCH(60,'Output Utente'!$R$2:$R$492,0)),"")</f>
        <v/>
      </c>
      <c r="W63" t="str">
        <f t="shared" si="0"/>
        <v/>
      </c>
      <c r="X63" t="str">
        <f>IFERROR(INDEX('Output Utente'!$AF$2:$AF$492,MATCH(60,'Output Utente'!$R$2:$R$492,0)),"")</f>
        <v/>
      </c>
    </row>
    <row r="64" spans="1:24" ht="15" customHeight="1" x14ac:dyDescent="0.25">
      <c r="A64" s="26">
        <v>61</v>
      </c>
      <c r="B64" s="23" t="str">
        <f>IFERROR(INDEX('Output Utente'!$A$2:$A$492,MATCH(61,'Output Utente'!$R$2:$R$492,0)),"")</f>
        <v/>
      </c>
      <c r="C64" s="23" t="str">
        <f>IFERROR(INDEX('Output Utente'!$B$2:$B$492,MATCH(61,'Output Utente'!$R$2:$R$492,0)),"")</f>
        <v/>
      </c>
      <c r="D64" s="23" t="str">
        <f>IFERROR(INDEX('Output Utente'!$C$2:$C$492,MATCH(61,'Output Utente'!$R$2:$R$492,0)),"")</f>
        <v/>
      </c>
      <c r="E64" s="23" t="str">
        <f>IFERROR(INDEX('Input Giocatori 2026_27'!$D$3:$D$493,MATCH($B64,'Input Giocatori 2026_27'!$A$3:$A$493,0)),"")</f>
        <v/>
      </c>
      <c r="F64" s="24" t="str">
        <f>IFERROR(INDEX('Output Utente'!$N$2:$N$492,MATCH(61,'Output Utente'!$R$2:$R$492,0)),"")</f>
        <v/>
      </c>
      <c r="G64" s="23" t="str">
        <f>IFERROR(INDEX('Output Utente'!$O$2:$O$492,MATCH(61,'Output Utente'!$R$2:$R$492,0)),"")</f>
        <v/>
      </c>
      <c r="H64" s="23" t="str">
        <f>IFERROR(INDEX('Output Utente'!$P$2:$P$492,MATCH(61,'Output Utente'!$R$2:$R$492,0)),"")</f>
        <v/>
      </c>
      <c r="I64" s="24" t="str">
        <f>IFERROR(INDEX('Output Utente'!$F$2:$F$492,MATCH(61,'Output Utente'!$R$2:$R$492,0)),"")</f>
        <v/>
      </c>
      <c r="J64" s="24" t="str">
        <f>IFERROR(INDEX('Output Utente'!$G$2:$G$492,MATCH(61,'Output Utente'!$R$2:$R$492,0)),"")</f>
        <v/>
      </c>
      <c r="K64" s="24" t="str">
        <f>IFERROR(INDEX('Output Utente'!$H$2:$H$492,MATCH(61,'Output Utente'!$R$2:$R$492,0)),"")</f>
        <v/>
      </c>
      <c r="L64" s="23" t="str">
        <f>IFERROR(INDEX('Output Utente'!$E$2:$E$492,MATCH(61,'Output Utente'!$R$2:$R$492,0)),"")</f>
        <v/>
      </c>
      <c r="V64" t="str">
        <f>IFERROR(INDEX('Output Utente'!$M$2:$M$492,MATCH(61,'Output Utente'!$R$2:$R$492,0)),"")</f>
        <v/>
      </c>
      <c r="W64" t="str">
        <f t="shared" si="0"/>
        <v/>
      </c>
      <c r="X64" t="str">
        <f>IFERROR(INDEX('Output Utente'!$AF$2:$AF$492,MATCH(61,'Output Utente'!$R$2:$R$492,0)),"")</f>
        <v/>
      </c>
    </row>
    <row r="65" spans="1:24" ht="15" customHeight="1" x14ac:dyDescent="0.25">
      <c r="A65" s="26">
        <v>62</v>
      </c>
      <c r="B65" s="23" t="str">
        <f>IFERROR(INDEX('Output Utente'!$A$2:$A$492,MATCH(62,'Output Utente'!$R$2:$R$492,0)),"")</f>
        <v/>
      </c>
      <c r="C65" s="23" t="str">
        <f>IFERROR(INDEX('Output Utente'!$B$2:$B$492,MATCH(62,'Output Utente'!$R$2:$R$492,0)),"")</f>
        <v/>
      </c>
      <c r="D65" s="23" t="str">
        <f>IFERROR(INDEX('Output Utente'!$C$2:$C$492,MATCH(62,'Output Utente'!$R$2:$R$492,0)),"")</f>
        <v/>
      </c>
      <c r="E65" s="23" t="str">
        <f>IFERROR(INDEX('Input Giocatori 2026_27'!$D$3:$D$493,MATCH($B65,'Input Giocatori 2026_27'!$A$3:$A$493,0)),"")</f>
        <v/>
      </c>
      <c r="F65" s="24" t="str">
        <f>IFERROR(INDEX('Output Utente'!$N$2:$N$492,MATCH(62,'Output Utente'!$R$2:$R$492,0)),"")</f>
        <v/>
      </c>
      <c r="G65" s="23" t="str">
        <f>IFERROR(INDEX('Output Utente'!$O$2:$O$492,MATCH(62,'Output Utente'!$R$2:$R$492,0)),"")</f>
        <v/>
      </c>
      <c r="H65" s="23" t="str">
        <f>IFERROR(INDEX('Output Utente'!$P$2:$P$492,MATCH(62,'Output Utente'!$R$2:$R$492,0)),"")</f>
        <v/>
      </c>
      <c r="I65" s="24" t="str">
        <f>IFERROR(INDEX('Output Utente'!$F$2:$F$492,MATCH(62,'Output Utente'!$R$2:$R$492,0)),"")</f>
        <v/>
      </c>
      <c r="J65" s="24" t="str">
        <f>IFERROR(INDEX('Output Utente'!$G$2:$G$492,MATCH(62,'Output Utente'!$R$2:$R$492,0)),"")</f>
        <v/>
      </c>
      <c r="K65" s="24" t="str">
        <f>IFERROR(INDEX('Output Utente'!$H$2:$H$492,MATCH(62,'Output Utente'!$R$2:$R$492,0)),"")</f>
        <v/>
      </c>
      <c r="L65" s="23" t="str">
        <f>IFERROR(INDEX('Output Utente'!$E$2:$E$492,MATCH(62,'Output Utente'!$R$2:$R$492,0)),"")</f>
        <v/>
      </c>
      <c r="V65" t="str">
        <f>IFERROR(INDEX('Output Utente'!$M$2:$M$492,MATCH(62,'Output Utente'!$R$2:$R$492,0)),"")</f>
        <v/>
      </c>
      <c r="W65" t="str">
        <f t="shared" si="0"/>
        <v/>
      </c>
      <c r="X65" t="str">
        <f>IFERROR(INDEX('Output Utente'!$AF$2:$AF$492,MATCH(62,'Output Utente'!$R$2:$R$492,0)),"")</f>
        <v/>
      </c>
    </row>
    <row r="66" spans="1:24" ht="15" customHeight="1" x14ac:dyDescent="0.25">
      <c r="A66" s="26">
        <v>63</v>
      </c>
      <c r="B66" s="23" t="str">
        <f>IFERROR(INDEX('Output Utente'!$A$2:$A$492,MATCH(63,'Output Utente'!$R$2:$R$492,0)),"")</f>
        <v/>
      </c>
      <c r="C66" s="23" t="str">
        <f>IFERROR(INDEX('Output Utente'!$B$2:$B$492,MATCH(63,'Output Utente'!$R$2:$R$492,0)),"")</f>
        <v/>
      </c>
      <c r="D66" s="23" t="str">
        <f>IFERROR(INDEX('Output Utente'!$C$2:$C$492,MATCH(63,'Output Utente'!$R$2:$R$492,0)),"")</f>
        <v/>
      </c>
      <c r="E66" s="23" t="str">
        <f>IFERROR(INDEX('Input Giocatori 2026_27'!$D$3:$D$493,MATCH($B66,'Input Giocatori 2026_27'!$A$3:$A$493,0)),"")</f>
        <v/>
      </c>
      <c r="F66" s="24" t="str">
        <f>IFERROR(INDEX('Output Utente'!$N$2:$N$492,MATCH(63,'Output Utente'!$R$2:$R$492,0)),"")</f>
        <v/>
      </c>
      <c r="G66" s="23" t="str">
        <f>IFERROR(INDEX('Output Utente'!$O$2:$O$492,MATCH(63,'Output Utente'!$R$2:$R$492,0)),"")</f>
        <v/>
      </c>
      <c r="H66" s="23" t="str">
        <f>IFERROR(INDEX('Output Utente'!$P$2:$P$492,MATCH(63,'Output Utente'!$R$2:$R$492,0)),"")</f>
        <v/>
      </c>
      <c r="I66" s="24" t="str">
        <f>IFERROR(INDEX('Output Utente'!$F$2:$F$492,MATCH(63,'Output Utente'!$R$2:$R$492,0)),"")</f>
        <v/>
      </c>
      <c r="J66" s="24" t="str">
        <f>IFERROR(INDEX('Output Utente'!$G$2:$G$492,MATCH(63,'Output Utente'!$R$2:$R$492,0)),"")</f>
        <v/>
      </c>
      <c r="K66" s="24" t="str">
        <f>IFERROR(INDEX('Output Utente'!$H$2:$H$492,MATCH(63,'Output Utente'!$R$2:$R$492,0)),"")</f>
        <v/>
      </c>
      <c r="L66" s="23" t="str">
        <f>IFERROR(INDEX('Output Utente'!$E$2:$E$492,MATCH(63,'Output Utente'!$R$2:$R$492,0)),"")</f>
        <v/>
      </c>
      <c r="V66" t="str">
        <f>IFERROR(INDEX('Output Utente'!$M$2:$M$492,MATCH(63,'Output Utente'!$R$2:$R$492,0)),"")</f>
        <v/>
      </c>
      <c r="W66" t="str">
        <f t="shared" si="0"/>
        <v/>
      </c>
      <c r="X66" t="str">
        <f>IFERROR(INDEX('Output Utente'!$AF$2:$AF$492,MATCH(63,'Output Utente'!$R$2:$R$492,0)),"")</f>
        <v/>
      </c>
    </row>
    <row r="67" spans="1:24" ht="15" customHeight="1" x14ac:dyDescent="0.25">
      <c r="A67" s="26">
        <v>64</v>
      </c>
      <c r="B67" s="23" t="str">
        <f>IFERROR(INDEX('Output Utente'!$A$2:$A$492,MATCH(64,'Output Utente'!$R$2:$R$492,0)),"")</f>
        <v/>
      </c>
      <c r="C67" s="23" t="str">
        <f>IFERROR(INDEX('Output Utente'!$B$2:$B$492,MATCH(64,'Output Utente'!$R$2:$R$492,0)),"")</f>
        <v/>
      </c>
      <c r="D67" s="23" t="str">
        <f>IFERROR(INDEX('Output Utente'!$C$2:$C$492,MATCH(64,'Output Utente'!$R$2:$R$492,0)),"")</f>
        <v/>
      </c>
      <c r="E67" s="23" t="str">
        <f>IFERROR(INDEX('Input Giocatori 2026_27'!$D$3:$D$493,MATCH($B67,'Input Giocatori 2026_27'!$A$3:$A$493,0)),"")</f>
        <v/>
      </c>
      <c r="F67" s="24" t="str">
        <f>IFERROR(INDEX('Output Utente'!$N$2:$N$492,MATCH(64,'Output Utente'!$R$2:$R$492,0)),"")</f>
        <v/>
      </c>
      <c r="G67" s="23" t="str">
        <f>IFERROR(INDEX('Output Utente'!$O$2:$O$492,MATCH(64,'Output Utente'!$R$2:$R$492,0)),"")</f>
        <v/>
      </c>
      <c r="H67" s="23" t="str">
        <f>IFERROR(INDEX('Output Utente'!$P$2:$P$492,MATCH(64,'Output Utente'!$R$2:$R$492,0)),"")</f>
        <v/>
      </c>
      <c r="I67" s="24" t="str">
        <f>IFERROR(INDEX('Output Utente'!$F$2:$F$492,MATCH(64,'Output Utente'!$R$2:$R$492,0)),"")</f>
        <v/>
      </c>
      <c r="J67" s="24" t="str">
        <f>IFERROR(INDEX('Output Utente'!$G$2:$G$492,MATCH(64,'Output Utente'!$R$2:$R$492,0)),"")</f>
        <v/>
      </c>
      <c r="K67" s="24" t="str">
        <f>IFERROR(INDEX('Output Utente'!$H$2:$H$492,MATCH(64,'Output Utente'!$R$2:$R$492,0)),"")</f>
        <v/>
      </c>
      <c r="L67" s="23" t="str">
        <f>IFERROR(INDEX('Output Utente'!$E$2:$E$492,MATCH(64,'Output Utente'!$R$2:$R$492,0)),"")</f>
        <v/>
      </c>
      <c r="V67" t="str">
        <f>IFERROR(INDEX('Output Utente'!$M$2:$M$492,MATCH(64,'Output Utente'!$R$2:$R$492,0)),"")</f>
        <v/>
      </c>
      <c r="W67" t="str">
        <f t="shared" si="0"/>
        <v/>
      </c>
      <c r="X67" t="str">
        <f>IFERROR(INDEX('Output Utente'!$AF$2:$AF$492,MATCH(64,'Output Utente'!$R$2:$R$492,0)),"")</f>
        <v/>
      </c>
    </row>
    <row r="68" spans="1:24" ht="15" customHeight="1" x14ac:dyDescent="0.25">
      <c r="A68" s="26">
        <v>65</v>
      </c>
      <c r="B68" s="23" t="str">
        <f>IFERROR(INDEX('Output Utente'!$A$2:$A$492,MATCH(65,'Output Utente'!$R$2:$R$492,0)),"")</f>
        <v/>
      </c>
      <c r="C68" s="23" t="str">
        <f>IFERROR(INDEX('Output Utente'!$B$2:$B$492,MATCH(65,'Output Utente'!$R$2:$R$492,0)),"")</f>
        <v/>
      </c>
      <c r="D68" s="23" t="str">
        <f>IFERROR(INDEX('Output Utente'!$C$2:$C$492,MATCH(65,'Output Utente'!$R$2:$R$492,0)),"")</f>
        <v/>
      </c>
      <c r="E68" s="23" t="str">
        <f>IFERROR(INDEX('Input Giocatori 2026_27'!$D$3:$D$493,MATCH($B68,'Input Giocatori 2026_27'!$A$3:$A$493,0)),"")</f>
        <v/>
      </c>
      <c r="F68" s="24" t="str">
        <f>IFERROR(INDEX('Output Utente'!$N$2:$N$492,MATCH(65,'Output Utente'!$R$2:$R$492,0)),"")</f>
        <v/>
      </c>
      <c r="G68" s="23" t="str">
        <f>IFERROR(INDEX('Output Utente'!$O$2:$O$492,MATCH(65,'Output Utente'!$R$2:$R$492,0)),"")</f>
        <v/>
      </c>
      <c r="H68" s="23" t="str">
        <f>IFERROR(INDEX('Output Utente'!$P$2:$P$492,MATCH(65,'Output Utente'!$R$2:$R$492,0)),"")</f>
        <v/>
      </c>
      <c r="I68" s="24" t="str">
        <f>IFERROR(INDEX('Output Utente'!$F$2:$F$492,MATCH(65,'Output Utente'!$R$2:$R$492,0)),"")</f>
        <v/>
      </c>
      <c r="J68" s="24" t="str">
        <f>IFERROR(INDEX('Output Utente'!$G$2:$G$492,MATCH(65,'Output Utente'!$R$2:$R$492,0)),"")</f>
        <v/>
      </c>
      <c r="K68" s="24" t="str">
        <f>IFERROR(INDEX('Output Utente'!$H$2:$H$492,MATCH(65,'Output Utente'!$R$2:$R$492,0)),"")</f>
        <v/>
      </c>
      <c r="L68" s="23" t="str">
        <f>IFERROR(INDEX('Output Utente'!$E$2:$E$492,MATCH(65,'Output Utente'!$R$2:$R$492,0)),"")</f>
        <v/>
      </c>
      <c r="V68" t="str">
        <f>IFERROR(INDEX('Output Utente'!$M$2:$M$492,MATCH(65,'Output Utente'!$R$2:$R$492,0)),"")</f>
        <v/>
      </c>
      <c r="W68" t="str">
        <f t="shared" ref="W68:W131" si="1">IF(OR($G68="",$V68=""),"",$G68-$V68)</f>
        <v/>
      </c>
      <c r="X68" t="str">
        <f>IFERROR(INDEX('Output Utente'!$AF$2:$AF$492,MATCH(65,'Output Utente'!$R$2:$R$492,0)),"")</f>
        <v/>
      </c>
    </row>
    <row r="69" spans="1:24" ht="15" customHeight="1" x14ac:dyDescent="0.25">
      <c r="A69" s="26">
        <v>66</v>
      </c>
      <c r="B69" s="23" t="str">
        <f>IFERROR(INDEX('Output Utente'!$A$2:$A$492,MATCH(66,'Output Utente'!$R$2:$R$492,0)),"")</f>
        <v/>
      </c>
      <c r="C69" s="23" t="str">
        <f>IFERROR(INDEX('Output Utente'!$B$2:$B$492,MATCH(66,'Output Utente'!$R$2:$R$492,0)),"")</f>
        <v/>
      </c>
      <c r="D69" s="23" t="str">
        <f>IFERROR(INDEX('Output Utente'!$C$2:$C$492,MATCH(66,'Output Utente'!$R$2:$R$492,0)),"")</f>
        <v/>
      </c>
      <c r="E69" s="23" t="str">
        <f>IFERROR(INDEX('Input Giocatori 2026_27'!$D$3:$D$493,MATCH($B69,'Input Giocatori 2026_27'!$A$3:$A$493,0)),"")</f>
        <v/>
      </c>
      <c r="F69" s="24" t="str">
        <f>IFERROR(INDEX('Output Utente'!$N$2:$N$492,MATCH(66,'Output Utente'!$R$2:$R$492,0)),"")</f>
        <v/>
      </c>
      <c r="G69" s="23" t="str">
        <f>IFERROR(INDEX('Output Utente'!$O$2:$O$492,MATCH(66,'Output Utente'!$R$2:$R$492,0)),"")</f>
        <v/>
      </c>
      <c r="H69" s="23" t="str">
        <f>IFERROR(INDEX('Output Utente'!$P$2:$P$492,MATCH(66,'Output Utente'!$R$2:$R$492,0)),"")</f>
        <v/>
      </c>
      <c r="I69" s="24" t="str">
        <f>IFERROR(INDEX('Output Utente'!$F$2:$F$492,MATCH(66,'Output Utente'!$R$2:$R$492,0)),"")</f>
        <v/>
      </c>
      <c r="J69" s="24" t="str">
        <f>IFERROR(INDEX('Output Utente'!$G$2:$G$492,MATCH(66,'Output Utente'!$R$2:$R$492,0)),"")</f>
        <v/>
      </c>
      <c r="K69" s="24" t="str">
        <f>IFERROR(INDEX('Output Utente'!$H$2:$H$492,MATCH(66,'Output Utente'!$R$2:$R$492,0)),"")</f>
        <v/>
      </c>
      <c r="L69" s="23" t="str">
        <f>IFERROR(INDEX('Output Utente'!$E$2:$E$492,MATCH(66,'Output Utente'!$R$2:$R$492,0)),"")</f>
        <v/>
      </c>
      <c r="V69" t="str">
        <f>IFERROR(INDEX('Output Utente'!$M$2:$M$492,MATCH(66,'Output Utente'!$R$2:$R$492,0)),"")</f>
        <v/>
      </c>
      <c r="W69" t="str">
        <f t="shared" si="1"/>
        <v/>
      </c>
      <c r="X69" t="str">
        <f>IFERROR(INDEX('Output Utente'!$AF$2:$AF$492,MATCH(66,'Output Utente'!$R$2:$R$492,0)),"")</f>
        <v/>
      </c>
    </row>
    <row r="70" spans="1:24" ht="15" customHeight="1" x14ac:dyDescent="0.25">
      <c r="A70" s="26">
        <v>67</v>
      </c>
      <c r="B70" s="23" t="str">
        <f>IFERROR(INDEX('Output Utente'!$A$2:$A$492,MATCH(67,'Output Utente'!$R$2:$R$492,0)),"")</f>
        <v/>
      </c>
      <c r="C70" s="23" t="str">
        <f>IFERROR(INDEX('Output Utente'!$B$2:$B$492,MATCH(67,'Output Utente'!$R$2:$R$492,0)),"")</f>
        <v/>
      </c>
      <c r="D70" s="23" t="str">
        <f>IFERROR(INDEX('Output Utente'!$C$2:$C$492,MATCH(67,'Output Utente'!$R$2:$R$492,0)),"")</f>
        <v/>
      </c>
      <c r="E70" s="23" t="str">
        <f>IFERROR(INDEX('Input Giocatori 2026_27'!$D$3:$D$493,MATCH($B70,'Input Giocatori 2026_27'!$A$3:$A$493,0)),"")</f>
        <v/>
      </c>
      <c r="F70" s="24" t="str">
        <f>IFERROR(INDEX('Output Utente'!$N$2:$N$492,MATCH(67,'Output Utente'!$R$2:$R$492,0)),"")</f>
        <v/>
      </c>
      <c r="G70" s="23" t="str">
        <f>IFERROR(INDEX('Output Utente'!$O$2:$O$492,MATCH(67,'Output Utente'!$R$2:$R$492,0)),"")</f>
        <v/>
      </c>
      <c r="H70" s="23" t="str">
        <f>IFERROR(INDEX('Output Utente'!$P$2:$P$492,MATCH(67,'Output Utente'!$R$2:$R$492,0)),"")</f>
        <v/>
      </c>
      <c r="I70" s="24" t="str">
        <f>IFERROR(INDEX('Output Utente'!$F$2:$F$492,MATCH(67,'Output Utente'!$R$2:$R$492,0)),"")</f>
        <v/>
      </c>
      <c r="J70" s="24" t="str">
        <f>IFERROR(INDEX('Output Utente'!$G$2:$G$492,MATCH(67,'Output Utente'!$R$2:$R$492,0)),"")</f>
        <v/>
      </c>
      <c r="K70" s="24" t="str">
        <f>IFERROR(INDEX('Output Utente'!$H$2:$H$492,MATCH(67,'Output Utente'!$R$2:$R$492,0)),"")</f>
        <v/>
      </c>
      <c r="L70" s="23" t="str">
        <f>IFERROR(INDEX('Output Utente'!$E$2:$E$492,MATCH(67,'Output Utente'!$R$2:$R$492,0)),"")</f>
        <v/>
      </c>
      <c r="V70" t="str">
        <f>IFERROR(INDEX('Output Utente'!$M$2:$M$492,MATCH(67,'Output Utente'!$R$2:$R$492,0)),"")</f>
        <v/>
      </c>
      <c r="W70" t="str">
        <f t="shared" si="1"/>
        <v/>
      </c>
      <c r="X70" t="str">
        <f>IFERROR(INDEX('Output Utente'!$AF$2:$AF$492,MATCH(67,'Output Utente'!$R$2:$R$492,0)),"")</f>
        <v/>
      </c>
    </row>
    <row r="71" spans="1:24" ht="15" customHeight="1" x14ac:dyDescent="0.25">
      <c r="A71" s="26">
        <v>68</v>
      </c>
      <c r="B71" s="23" t="str">
        <f>IFERROR(INDEX('Output Utente'!$A$2:$A$492,MATCH(68,'Output Utente'!$R$2:$R$492,0)),"")</f>
        <v/>
      </c>
      <c r="C71" s="23" t="str">
        <f>IFERROR(INDEX('Output Utente'!$B$2:$B$492,MATCH(68,'Output Utente'!$R$2:$R$492,0)),"")</f>
        <v/>
      </c>
      <c r="D71" s="23" t="str">
        <f>IFERROR(INDEX('Output Utente'!$C$2:$C$492,MATCH(68,'Output Utente'!$R$2:$R$492,0)),"")</f>
        <v/>
      </c>
      <c r="E71" s="23" t="str">
        <f>IFERROR(INDEX('Input Giocatori 2026_27'!$D$3:$D$493,MATCH($B71,'Input Giocatori 2026_27'!$A$3:$A$493,0)),"")</f>
        <v/>
      </c>
      <c r="F71" s="24" t="str">
        <f>IFERROR(INDEX('Output Utente'!$N$2:$N$492,MATCH(68,'Output Utente'!$R$2:$R$492,0)),"")</f>
        <v/>
      </c>
      <c r="G71" s="23" t="str">
        <f>IFERROR(INDEX('Output Utente'!$O$2:$O$492,MATCH(68,'Output Utente'!$R$2:$R$492,0)),"")</f>
        <v/>
      </c>
      <c r="H71" s="23" t="str">
        <f>IFERROR(INDEX('Output Utente'!$P$2:$P$492,MATCH(68,'Output Utente'!$R$2:$R$492,0)),"")</f>
        <v/>
      </c>
      <c r="I71" s="24" t="str">
        <f>IFERROR(INDEX('Output Utente'!$F$2:$F$492,MATCH(68,'Output Utente'!$R$2:$R$492,0)),"")</f>
        <v/>
      </c>
      <c r="J71" s="24" t="str">
        <f>IFERROR(INDEX('Output Utente'!$G$2:$G$492,MATCH(68,'Output Utente'!$R$2:$R$492,0)),"")</f>
        <v/>
      </c>
      <c r="K71" s="24" t="str">
        <f>IFERROR(INDEX('Output Utente'!$H$2:$H$492,MATCH(68,'Output Utente'!$R$2:$R$492,0)),"")</f>
        <v/>
      </c>
      <c r="L71" s="23" t="str">
        <f>IFERROR(INDEX('Output Utente'!$E$2:$E$492,MATCH(68,'Output Utente'!$R$2:$R$492,0)),"")</f>
        <v/>
      </c>
      <c r="V71" t="str">
        <f>IFERROR(INDEX('Output Utente'!$M$2:$M$492,MATCH(68,'Output Utente'!$R$2:$R$492,0)),"")</f>
        <v/>
      </c>
      <c r="W71" t="str">
        <f t="shared" si="1"/>
        <v/>
      </c>
      <c r="X71" t="str">
        <f>IFERROR(INDEX('Output Utente'!$AF$2:$AF$492,MATCH(68,'Output Utente'!$R$2:$R$492,0)),"")</f>
        <v/>
      </c>
    </row>
    <row r="72" spans="1:24" ht="15" customHeight="1" x14ac:dyDescent="0.25">
      <c r="A72" s="26">
        <v>69</v>
      </c>
      <c r="B72" s="23" t="str">
        <f>IFERROR(INDEX('Output Utente'!$A$2:$A$492,MATCH(69,'Output Utente'!$R$2:$R$492,0)),"")</f>
        <v/>
      </c>
      <c r="C72" s="23" t="str">
        <f>IFERROR(INDEX('Output Utente'!$B$2:$B$492,MATCH(69,'Output Utente'!$R$2:$R$492,0)),"")</f>
        <v/>
      </c>
      <c r="D72" s="23" t="str">
        <f>IFERROR(INDEX('Output Utente'!$C$2:$C$492,MATCH(69,'Output Utente'!$R$2:$R$492,0)),"")</f>
        <v/>
      </c>
      <c r="E72" s="23" t="str">
        <f>IFERROR(INDEX('Input Giocatori 2026_27'!$D$3:$D$493,MATCH($B72,'Input Giocatori 2026_27'!$A$3:$A$493,0)),"")</f>
        <v/>
      </c>
      <c r="F72" s="24" t="str">
        <f>IFERROR(INDEX('Output Utente'!$N$2:$N$492,MATCH(69,'Output Utente'!$R$2:$R$492,0)),"")</f>
        <v/>
      </c>
      <c r="G72" s="23" t="str">
        <f>IFERROR(INDEX('Output Utente'!$O$2:$O$492,MATCH(69,'Output Utente'!$R$2:$R$492,0)),"")</f>
        <v/>
      </c>
      <c r="H72" s="23" t="str">
        <f>IFERROR(INDEX('Output Utente'!$P$2:$P$492,MATCH(69,'Output Utente'!$R$2:$R$492,0)),"")</f>
        <v/>
      </c>
      <c r="I72" s="24" t="str">
        <f>IFERROR(INDEX('Output Utente'!$F$2:$F$492,MATCH(69,'Output Utente'!$R$2:$R$492,0)),"")</f>
        <v/>
      </c>
      <c r="J72" s="24" t="str">
        <f>IFERROR(INDEX('Output Utente'!$G$2:$G$492,MATCH(69,'Output Utente'!$R$2:$R$492,0)),"")</f>
        <v/>
      </c>
      <c r="K72" s="24" t="str">
        <f>IFERROR(INDEX('Output Utente'!$H$2:$H$492,MATCH(69,'Output Utente'!$R$2:$R$492,0)),"")</f>
        <v/>
      </c>
      <c r="L72" s="23" t="str">
        <f>IFERROR(INDEX('Output Utente'!$E$2:$E$492,MATCH(69,'Output Utente'!$R$2:$R$492,0)),"")</f>
        <v/>
      </c>
      <c r="V72" t="str">
        <f>IFERROR(INDEX('Output Utente'!$M$2:$M$492,MATCH(69,'Output Utente'!$R$2:$R$492,0)),"")</f>
        <v/>
      </c>
      <c r="W72" t="str">
        <f t="shared" si="1"/>
        <v/>
      </c>
      <c r="X72" t="str">
        <f>IFERROR(INDEX('Output Utente'!$AF$2:$AF$492,MATCH(69,'Output Utente'!$R$2:$R$492,0)),"")</f>
        <v/>
      </c>
    </row>
    <row r="73" spans="1:24" ht="15" customHeight="1" x14ac:dyDescent="0.25">
      <c r="A73" s="26">
        <v>70</v>
      </c>
      <c r="B73" s="23" t="str">
        <f>IFERROR(INDEX('Output Utente'!$A$2:$A$492,MATCH(70,'Output Utente'!$R$2:$R$492,0)),"")</f>
        <v/>
      </c>
      <c r="C73" s="23" t="str">
        <f>IFERROR(INDEX('Output Utente'!$B$2:$B$492,MATCH(70,'Output Utente'!$R$2:$R$492,0)),"")</f>
        <v/>
      </c>
      <c r="D73" s="23" t="str">
        <f>IFERROR(INDEX('Output Utente'!$C$2:$C$492,MATCH(70,'Output Utente'!$R$2:$R$492,0)),"")</f>
        <v/>
      </c>
      <c r="E73" s="23" t="str">
        <f>IFERROR(INDEX('Input Giocatori 2026_27'!$D$3:$D$493,MATCH($B73,'Input Giocatori 2026_27'!$A$3:$A$493,0)),"")</f>
        <v/>
      </c>
      <c r="F73" s="24" t="str">
        <f>IFERROR(INDEX('Output Utente'!$N$2:$N$492,MATCH(70,'Output Utente'!$R$2:$R$492,0)),"")</f>
        <v/>
      </c>
      <c r="G73" s="23" t="str">
        <f>IFERROR(INDEX('Output Utente'!$O$2:$O$492,MATCH(70,'Output Utente'!$R$2:$R$492,0)),"")</f>
        <v/>
      </c>
      <c r="H73" s="23" t="str">
        <f>IFERROR(INDEX('Output Utente'!$P$2:$P$492,MATCH(70,'Output Utente'!$R$2:$R$492,0)),"")</f>
        <v/>
      </c>
      <c r="I73" s="24" t="str">
        <f>IFERROR(INDEX('Output Utente'!$F$2:$F$492,MATCH(70,'Output Utente'!$R$2:$R$492,0)),"")</f>
        <v/>
      </c>
      <c r="J73" s="24" t="str">
        <f>IFERROR(INDEX('Output Utente'!$G$2:$G$492,MATCH(70,'Output Utente'!$R$2:$R$492,0)),"")</f>
        <v/>
      </c>
      <c r="K73" s="24" t="str">
        <f>IFERROR(INDEX('Output Utente'!$H$2:$H$492,MATCH(70,'Output Utente'!$R$2:$R$492,0)),"")</f>
        <v/>
      </c>
      <c r="L73" s="23" t="str">
        <f>IFERROR(INDEX('Output Utente'!$E$2:$E$492,MATCH(70,'Output Utente'!$R$2:$R$492,0)),"")</f>
        <v/>
      </c>
      <c r="V73" t="str">
        <f>IFERROR(INDEX('Output Utente'!$M$2:$M$492,MATCH(70,'Output Utente'!$R$2:$R$492,0)),"")</f>
        <v/>
      </c>
      <c r="W73" t="str">
        <f t="shared" si="1"/>
        <v/>
      </c>
      <c r="X73" t="str">
        <f>IFERROR(INDEX('Output Utente'!$AF$2:$AF$492,MATCH(70,'Output Utente'!$R$2:$R$492,0)),"")</f>
        <v/>
      </c>
    </row>
    <row r="74" spans="1:24" ht="15" customHeight="1" x14ac:dyDescent="0.25">
      <c r="A74" s="26">
        <v>71</v>
      </c>
      <c r="B74" s="23" t="str">
        <f>IFERROR(INDEX('Output Utente'!$A$2:$A$492,MATCH(71,'Output Utente'!$R$2:$R$492,0)),"")</f>
        <v/>
      </c>
      <c r="C74" s="23" t="str">
        <f>IFERROR(INDEX('Output Utente'!$B$2:$B$492,MATCH(71,'Output Utente'!$R$2:$R$492,0)),"")</f>
        <v/>
      </c>
      <c r="D74" s="23" t="str">
        <f>IFERROR(INDEX('Output Utente'!$C$2:$C$492,MATCH(71,'Output Utente'!$R$2:$R$492,0)),"")</f>
        <v/>
      </c>
      <c r="E74" s="23" t="str">
        <f>IFERROR(INDEX('Input Giocatori 2026_27'!$D$3:$D$493,MATCH($B74,'Input Giocatori 2026_27'!$A$3:$A$493,0)),"")</f>
        <v/>
      </c>
      <c r="F74" s="24" t="str">
        <f>IFERROR(INDEX('Output Utente'!$N$2:$N$492,MATCH(71,'Output Utente'!$R$2:$R$492,0)),"")</f>
        <v/>
      </c>
      <c r="G74" s="23" t="str">
        <f>IFERROR(INDEX('Output Utente'!$O$2:$O$492,MATCH(71,'Output Utente'!$R$2:$R$492,0)),"")</f>
        <v/>
      </c>
      <c r="H74" s="23" t="str">
        <f>IFERROR(INDEX('Output Utente'!$P$2:$P$492,MATCH(71,'Output Utente'!$R$2:$R$492,0)),"")</f>
        <v/>
      </c>
      <c r="I74" s="24" t="str">
        <f>IFERROR(INDEX('Output Utente'!$F$2:$F$492,MATCH(71,'Output Utente'!$R$2:$R$492,0)),"")</f>
        <v/>
      </c>
      <c r="J74" s="24" t="str">
        <f>IFERROR(INDEX('Output Utente'!$G$2:$G$492,MATCH(71,'Output Utente'!$R$2:$R$492,0)),"")</f>
        <v/>
      </c>
      <c r="K74" s="24" t="str">
        <f>IFERROR(INDEX('Output Utente'!$H$2:$H$492,MATCH(71,'Output Utente'!$R$2:$R$492,0)),"")</f>
        <v/>
      </c>
      <c r="L74" s="23" t="str">
        <f>IFERROR(INDEX('Output Utente'!$E$2:$E$492,MATCH(71,'Output Utente'!$R$2:$R$492,0)),"")</f>
        <v/>
      </c>
      <c r="V74" t="str">
        <f>IFERROR(INDEX('Output Utente'!$M$2:$M$492,MATCH(71,'Output Utente'!$R$2:$R$492,0)),"")</f>
        <v/>
      </c>
      <c r="W74" t="str">
        <f t="shared" si="1"/>
        <v/>
      </c>
      <c r="X74" t="str">
        <f>IFERROR(INDEX('Output Utente'!$AF$2:$AF$492,MATCH(71,'Output Utente'!$R$2:$R$492,0)),"")</f>
        <v/>
      </c>
    </row>
    <row r="75" spans="1:24" ht="15" customHeight="1" x14ac:dyDescent="0.25">
      <c r="A75" s="26">
        <v>72</v>
      </c>
      <c r="B75" s="23" t="str">
        <f>IFERROR(INDEX('Output Utente'!$A$2:$A$492,MATCH(72,'Output Utente'!$R$2:$R$492,0)),"")</f>
        <v/>
      </c>
      <c r="C75" s="23" t="str">
        <f>IFERROR(INDEX('Output Utente'!$B$2:$B$492,MATCH(72,'Output Utente'!$R$2:$R$492,0)),"")</f>
        <v/>
      </c>
      <c r="D75" s="23" t="str">
        <f>IFERROR(INDEX('Output Utente'!$C$2:$C$492,MATCH(72,'Output Utente'!$R$2:$R$492,0)),"")</f>
        <v/>
      </c>
      <c r="E75" s="23" t="str">
        <f>IFERROR(INDEX('Input Giocatori 2026_27'!$D$3:$D$493,MATCH($B75,'Input Giocatori 2026_27'!$A$3:$A$493,0)),"")</f>
        <v/>
      </c>
      <c r="F75" s="24" t="str">
        <f>IFERROR(INDEX('Output Utente'!$N$2:$N$492,MATCH(72,'Output Utente'!$R$2:$R$492,0)),"")</f>
        <v/>
      </c>
      <c r="G75" s="23" t="str">
        <f>IFERROR(INDEX('Output Utente'!$O$2:$O$492,MATCH(72,'Output Utente'!$R$2:$R$492,0)),"")</f>
        <v/>
      </c>
      <c r="H75" s="23" t="str">
        <f>IFERROR(INDEX('Output Utente'!$P$2:$P$492,MATCH(72,'Output Utente'!$R$2:$R$492,0)),"")</f>
        <v/>
      </c>
      <c r="I75" s="24" t="str">
        <f>IFERROR(INDEX('Output Utente'!$F$2:$F$492,MATCH(72,'Output Utente'!$R$2:$R$492,0)),"")</f>
        <v/>
      </c>
      <c r="J75" s="24" t="str">
        <f>IFERROR(INDEX('Output Utente'!$G$2:$G$492,MATCH(72,'Output Utente'!$R$2:$R$492,0)),"")</f>
        <v/>
      </c>
      <c r="K75" s="24" t="str">
        <f>IFERROR(INDEX('Output Utente'!$H$2:$H$492,MATCH(72,'Output Utente'!$R$2:$R$492,0)),"")</f>
        <v/>
      </c>
      <c r="L75" s="23" t="str">
        <f>IFERROR(INDEX('Output Utente'!$E$2:$E$492,MATCH(72,'Output Utente'!$R$2:$R$492,0)),"")</f>
        <v/>
      </c>
      <c r="V75" t="str">
        <f>IFERROR(INDEX('Output Utente'!$M$2:$M$492,MATCH(72,'Output Utente'!$R$2:$R$492,0)),"")</f>
        <v/>
      </c>
      <c r="W75" t="str">
        <f t="shared" si="1"/>
        <v/>
      </c>
      <c r="X75" t="str">
        <f>IFERROR(INDEX('Output Utente'!$AF$2:$AF$492,MATCH(72,'Output Utente'!$R$2:$R$492,0)),"")</f>
        <v/>
      </c>
    </row>
    <row r="76" spans="1:24" ht="15" customHeight="1" x14ac:dyDescent="0.25">
      <c r="A76" s="26">
        <v>73</v>
      </c>
      <c r="B76" s="23" t="str">
        <f>IFERROR(INDEX('Output Utente'!$A$2:$A$492,MATCH(73,'Output Utente'!$R$2:$R$492,0)),"")</f>
        <v/>
      </c>
      <c r="C76" s="23" t="str">
        <f>IFERROR(INDEX('Output Utente'!$B$2:$B$492,MATCH(73,'Output Utente'!$R$2:$R$492,0)),"")</f>
        <v/>
      </c>
      <c r="D76" s="23" t="str">
        <f>IFERROR(INDEX('Output Utente'!$C$2:$C$492,MATCH(73,'Output Utente'!$R$2:$R$492,0)),"")</f>
        <v/>
      </c>
      <c r="E76" s="23" t="str">
        <f>IFERROR(INDEX('Input Giocatori 2026_27'!$D$3:$D$493,MATCH($B76,'Input Giocatori 2026_27'!$A$3:$A$493,0)),"")</f>
        <v/>
      </c>
      <c r="F76" s="24" t="str">
        <f>IFERROR(INDEX('Output Utente'!$N$2:$N$492,MATCH(73,'Output Utente'!$R$2:$R$492,0)),"")</f>
        <v/>
      </c>
      <c r="G76" s="23" t="str">
        <f>IFERROR(INDEX('Output Utente'!$O$2:$O$492,MATCH(73,'Output Utente'!$R$2:$R$492,0)),"")</f>
        <v/>
      </c>
      <c r="H76" s="23" t="str">
        <f>IFERROR(INDEX('Output Utente'!$P$2:$P$492,MATCH(73,'Output Utente'!$R$2:$R$492,0)),"")</f>
        <v/>
      </c>
      <c r="I76" s="24" t="str">
        <f>IFERROR(INDEX('Output Utente'!$F$2:$F$492,MATCH(73,'Output Utente'!$R$2:$R$492,0)),"")</f>
        <v/>
      </c>
      <c r="J76" s="24" t="str">
        <f>IFERROR(INDEX('Output Utente'!$G$2:$G$492,MATCH(73,'Output Utente'!$R$2:$R$492,0)),"")</f>
        <v/>
      </c>
      <c r="K76" s="24" t="str">
        <f>IFERROR(INDEX('Output Utente'!$H$2:$H$492,MATCH(73,'Output Utente'!$R$2:$R$492,0)),"")</f>
        <v/>
      </c>
      <c r="L76" s="23" t="str">
        <f>IFERROR(INDEX('Output Utente'!$E$2:$E$492,MATCH(73,'Output Utente'!$R$2:$R$492,0)),"")</f>
        <v/>
      </c>
      <c r="V76" t="str">
        <f>IFERROR(INDEX('Output Utente'!$M$2:$M$492,MATCH(73,'Output Utente'!$R$2:$R$492,0)),"")</f>
        <v/>
      </c>
      <c r="W76" t="str">
        <f t="shared" si="1"/>
        <v/>
      </c>
      <c r="X76" t="str">
        <f>IFERROR(INDEX('Output Utente'!$AF$2:$AF$492,MATCH(73,'Output Utente'!$R$2:$R$492,0)),"")</f>
        <v/>
      </c>
    </row>
    <row r="77" spans="1:24" ht="15" customHeight="1" x14ac:dyDescent="0.25">
      <c r="A77" s="26">
        <v>74</v>
      </c>
      <c r="B77" s="23" t="str">
        <f>IFERROR(INDEX('Output Utente'!$A$2:$A$492,MATCH(74,'Output Utente'!$R$2:$R$492,0)),"")</f>
        <v/>
      </c>
      <c r="C77" s="23" t="str">
        <f>IFERROR(INDEX('Output Utente'!$B$2:$B$492,MATCH(74,'Output Utente'!$R$2:$R$492,0)),"")</f>
        <v/>
      </c>
      <c r="D77" s="23" t="str">
        <f>IFERROR(INDEX('Output Utente'!$C$2:$C$492,MATCH(74,'Output Utente'!$R$2:$R$492,0)),"")</f>
        <v/>
      </c>
      <c r="E77" s="23" t="str">
        <f>IFERROR(INDEX('Input Giocatori 2026_27'!$D$3:$D$493,MATCH($B77,'Input Giocatori 2026_27'!$A$3:$A$493,0)),"")</f>
        <v/>
      </c>
      <c r="F77" s="24" t="str">
        <f>IFERROR(INDEX('Output Utente'!$N$2:$N$492,MATCH(74,'Output Utente'!$R$2:$R$492,0)),"")</f>
        <v/>
      </c>
      <c r="G77" s="23" t="str">
        <f>IFERROR(INDEX('Output Utente'!$O$2:$O$492,MATCH(74,'Output Utente'!$R$2:$R$492,0)),"")</f>
        <v/>
      </c>
      <c r="H77" s="23" t="str">
        <f>IFERROR(INDEX('Output Utente'!$P$2:$P$492,MATCH(74,'Output Utente'!$R$2:$R$492,0)),"")</f>
        <v/>
      </c>
      <c r="I77" s="24" t="str">
        <f>IFERROR(INDEX('Output Utente'!$F$2:$F$492,MATCH(74,'Output Utente'!$R$2:$R$492,0)),"")</f>
        <v/>
      </c>
      <c r="J77" s="24" t="str">
        <f>IFERROR(INDEX('Output Utente'!$G$2:$G$492,MATCH(74,'Output Utente'!$R$2:$R$492,0)),"")</f>
        <v/>
      </c>
      <c r="K77" s="24" t="str">
        <f>IFERROR(INDEX('Output Utente'!$H$2:$H$492,MATCH(74,'Output Utente'!$R$2:$R$492,0)),"")</f>
        <v/>
      </c>
      <c r="L77" s="23" t="str">
        <f>IFERROR(INDEX('Output Utente'!$E$2:$E$492,MATCH(74,'Output Utente'!$R$2:$R$492,0)),"")</f>
        <v/>
      </c>
      <c r="V77" t="str">
        <f>IFERROR(INDEX('Output Utente'!$M$2:$M$492,MATCH(74,'Output Utente'!$R$2:$R$492,0)),"")</f>
        <v/>
      </c>
      <c r="W77" t="str">
        <f t="shared" si="1"/>
        <v/>
      </c>
      <c r="X77" t="str">
        <f>IFERROR(INDEX('Output Utente'!$AF$2:$AF$492,MATCH(74,'Output Utente'!$R$2:$R$492,0)),"")</f>
        <v/>
      </c>
    </row>
    <row r="78" spans="1:24" ht="15" customHeight="1" x14ac:dyDescent="0.25">
      <c r="A78" s="26">
        <v>75</v>
      </c>
      <c r="B78" s="23" t="str">
        <f>IFERROR(INDEX('Output Utente'!$A$2:$A$492,MATCH(75,'Output Utente'!$R$2:$R$492,0)),"")</f>
        <v/>
      </c>
      <c r="C78" s="23" t="str">
        <f>IFERROR(INDEX('Output Utente'!$B$2:$B$492,MATCH(75,'Output Utente'!$R$2:$R$492,0)),"")</f>
        <v/>
      </c>
      <c r="D78" s="23" t="str">
        <f>IFERROR(INDEX('Output Utente'!$C$2:$C$492,MATCH(75,'Output Utente'!$R$2:$R$492,0)),"")</f>
        <v/>
      </c>
      <c r="E78" s="23" t="str">
        <f>IFERROR(INDEX('Input Giocatori 2026_27'!$D$3:$D$493,MATCH($B78,'Input Giocatori 2026_27'!$A$3:$A$493,0)),"")</f>
        <v/>
      </c>
      <c r="F78" s="24" t="str">
        <f>IFERROR(INDEX('Output Utente'!$N$2:$N$492,MATCH(75,'Output Utente'!$R$2:$R$492,0)),"")</f>
        <v/>
      </c>
      <c r="G78" s="23" t="str">
        <f>IFERROR(INDEX('Output Utente'!$O$2:$O$492,MATCH(75,'Output Utente'!$R$2:$R$492,0)),"")</f>
        <v/>
      </c>
      <c r="H78" s="23" t="str">
        <f>IFERROR(INDEX('Output Utente'!$P$2:$P$492,MATCH(75,'Output Utente'!$R$2:$R$492,0)),"")</f>
        <v/>
      </c>
      <c r="I78" s="24" t="str">
        <f>IFERROR(INDEX('Output Utente'!$F$2:$F$492,MATCH(75,'Output Utente'!$R$2:$R$492,0)),"")</f>
        <v/>
      </c>
      <c r="J78" s="24" t="str">
        <f>IFERROR(INDEX('Output Utente'!$G$2:$G$492,MATCH(75,'Output Utente'!$R$2:$R$492,0)),"")</f>
        <v/>
      </c>
      <c r="K78" s="24" t="str">
        <f>IFERROR(INDEX('Output Utente'!$H$2:$H$492,MATCH(75,'Output Utente'!$R$2:$R$492,0)),"")</f>
        <v/>
      </c>
      <c r="L78" s="23" t="str">
        <f>IFERROR(INDEX('Output Utente'!$E$2:$E$492,MATCH(75,'Output Utente'!$R$2:$R$492,0)),"")</f>
        <v/>
      </c>
      <c r="V78" t="str">
        <f>IFERROR(INDEX('Output Utente'!$M$2:$M$492,MATCH(75,'Output Utente'!$R$2:$R$492,0)),"")</f>
        <v/>
      </c>
      <c r="W78" t="str">
        <f t="shared" si="1"/>
        <v/>
      </c>
      <c r="X78" t="str">
        <f>IFERROR(INDEX('Output Utente'!$AF$2:$AF$492,MATCH(75,'Output Utente'!$R$2:$R$492,0)),"")</f>
        <v/>
      </c>
    </row>
    <row r="79" spans="1:24" ht="15" customHeight="1" x14ac:dyDescent="0.25">
      <c r="A79" s="26">
        <v>76</v>
      </c>
      <c r="B79" s="23" t="str">
        <f>IFERROR(INDEX('Output Utente'!$A$2:$A$492,MATCH(76,'Output Utente'!$R$2:$R$492,0)),"")</f>
        <v/>
      </c>
      <c r="C79" s="23" t="str">
        <f>IFERROR(INDEX('Output Utente'!$B$2:$B$492,MATCH(76,'Output Utente'!$R$2:$R$492,0)),"")</f>
        <v/>
      </c>
      <c r="D79" s="23" t="str">
        <f>IFERROR(INDEX('Output Utente'!$C$2:$C$492,MATCH(76,'Output Utente'!$R$2:$R$492,0)),"")</f>
        <v/>
      </c>
      <c r="E79" s="23" t="str">
        <f>IFERROR(INDEX('Input Giocatori 2026_27'!$D$3:$D$493,MATCH($B79,'Input Giocatori 2026_27'!$A$3:$A$493,0)),"")</f>
        <v/>
      </c>
      <c r="F79" s="24" t="str">
        <f>IFERROR(INDEX('Output Utente'!$N$2:$N$492,MATCH(76,'Output Utente'!$R$2:$R$492,0)),"")</f>
        <v/>
      </c>
      <c r="G79" s="23" t="str">
        <f>IFERROR(INDEX('Output Utente'!$O$2:$O$492,MATCH(76,'Output Utente'!$R$2:$R$492,0)),"")</f>
        <v/>
      </c>
      <c r="H79" s="23" t="str">
        <f>IFERROR(INDEX('Output Utente'!$P$2:$P$492,MATCH(76,'Output Utente'!$R$2:$R$492,0)),"")</f>
        <v/>
      </c>
      <c r="I79" s="24" t="str">
        <f>IFERROR(INDEX('Output Utente'!$F$2:$F$492,MATCH(76,'Output Utente'!$R$2:$R$492,0)),"")</f>
        <v/>
      </c>
      <c r="J79" s="24" t="str">
        <f>IFERROR(INDEX('Output Utente'!$G$2:$G$492,MATCH(76,'Output Utente'!$R$2:$R$492,0)),"")</f>
        <v/>
      </c>
      <c r="K79" s="24" t="str">
        <f>IFERROR(INDEX('Output Utente'!$H$2:$H$492,MATCH(76,'Output Utente'!$R$2:$R$492,0)),"")</f>
        <v/>
      </c>
      <c r="L79" s="23" t="str">
        <f>IFERROR(INDEX('Output Utente'!$E$2:$E$492,MATCH(76,'Output Utente'!$R$2:$R$492,0)),"")</f>
        <v/>
      </c>
      <c r="V79" t="str">
        <f>IFERROR(INDEX('Output Utente'!$M$2:$M$492,MATCH(76,'Output Utente'!$R$2:$R$492,0)),"")</f>
        <v/>
      </c>
      <c r="W79" t="str">
        <f t="shared" si="1"/>
        <v/>
      </c>
      <c r="X79" t="str">
        <f>IFERROR(INDEX('Output Utente'!$AF$2:$AF$492,MATCH(76,'Output Utente'!$R$2:$R$492,0)),"")</f>
        <v/>
      </c>
    </row>
    <row r="80" spans="1:24" ht="15" customHeight="1" x14ac:dyDescent="0.25">
      <c r="A80" s="26">
        <v>77</v>
      </c>
      <c r="B80" s="23" t="str">
        <f>IFERROR(INDEX('Output Utente'!$A$2:$A$492,MATCH(77,'Output Utente'!$R$2:$R$492,0)),"")</f>
        <v/>
      </c>
      <c r="C80" s="23" t="str">
        <f>IFERROR(INDEX('Output Utente'!$B$2:$B$492,MATCH(77,'Output Utente'!$R$2:$R$492,0)),"")</f>
        <v/>
      </c>
      <c r="D80" s="23" t="str">
        <f>IFERROR(INDEX('Output Utente'!$C$2:$C$492,MATCH(77,'Output Utente'!$R$2:$R$492,0)),"")</f>
        <v/>
      </c>
      <c r="E80" s="23" t="str">
        <f>IFERROR(INDEX('Input Giocatori 2026_27'!$D$3:$D$493,MATCH($B80,'Input Giocatori 2026_27'!$A$3:$A$493,0)),"")</f>
        <v/>
      </c>
      <c r="F80" s="24" t="str">
        <f>IFERROR(INDEX('Output Utente'!$N$2:$N$492,MATCH(77,'Output Utente'!$R$2:$R$492,0)),"")</f>
        <v/>
      </c>
      <c r="G80" s="23" t="str">
        <f>IFERROR(INDEX('Output Utente'!$O$2:$O$492,MATCH(77,'Output Utente'!$R$2:$R$492,0)),"")</f>
        <v/>
      </c>
      <c r="H80" s="23" t="str">
        <f>IFERROR(INDEX('Output Utente'!$P$2:$P$492,MATCH(77,'Output Utente'!$R$2:$R$492,0)),"")</f>
        <v/>
      </c>
      <c r="I80" s="24" t="str">
        <f>IFERROR(INDEX('Output Utente'!$F$2:$F$492,MATCH(77,'Output Utente'!$R$2:$R$492,0)),"")</f>
        <v/>
      </c>
      <c r="J80" s="24" t="str">
        <f>IFERROR(INDEX('Output Utente'!$G$2:$G$492,MATCH(77,'Output Utente'!$R$2:$R$492,0)),"")</f>
        <v/>
      </c>
      <c r="K80" s="24" t="str">
        <f>IFERROR(INDEX('Output Utente'!$H$2:$H$492,MATCH(77,'Output Utente'!$R$2:$R$492,0)),"")</f>
        <v/>
      </c>
      <c r="L80" s="23" t="str">
        <f>IFERROR(INDEX('Output Utente'!$E$2:$E$492,MATCH(77,'Output Utente'!$R$2:$R$492,0)),"")</f>
        <v/>
      </c>
      <c r="V80" t="str">
        <f>IFERROR(INDEX('Output Utente'!$M$2:$M$492,MATCH(77,'Output Utente'!$R$2:$R$492,0)),"")</f>
        <v/>
      </c>
      <c r="W80" t="str">
        <f t="shared" si="1"/>
        <v/>
      </c>
      <c r="X80" t="str">
        <f>IFERROR(INDEX('Output Utente'!$AF$2:$AF$492,MATCH(77,'Output Utente'!$R$2:$R$492,0)),"")</f>
        <v/>
      </c>
    </row>
    <row r="81" spans="1:24" ht="15" customHeight="1" x14ac:dyDescent="0.25">
      <c r="A81" s="26">
        <v>78</v>
      </c>
      <c r="B81" s="23" t="str">
        <f>IFERROR(INDEX('Output Utente'!$A$2:$A$492,MATCH(78,'Output Utente'!$R$2:$R$492,0)),"")</f>
        <v/>
      </c>
      <c r="C81" s="23" t="str">
        <f>IFERROR(INDEX('Output Utente'!$B$2:$B$492,MATCH(78,'Output Utente'!$R$2:$R$492,0)),"")</f>
        <v/>
      </c>
      <c r="D81" s="23" t="str">
        <f>IFERROR(INDEX('Output Utente'!$C$2:$C$492,MATCH(78,'Output Utente'!$R$2:$R$492,0)),"")</f>
        <v/>
      </c>
      <c r="E81" s="23" t="str">
        <f>IFERROR(INDEX('Input Giocatori 2026_27'!$D$3:$D$493,MATCH($B81,'Input Giocatori 2026_27'!$A$3:$A$493,0)),"")</f>
        <v/>
      </c>
      <c r="F81" s="24" t="str">
        <f>IFERROR(INDEX('Output Utente'!$N$2:$N$492,MATCH(78,'Output Utente'!$R$2:$R$492,0)),"")</f>
        <v/>
      </c>
      <c r="G81" s="23" t="str">
        <f>IFERROR(INDEX('Output Utente'!$O$2:$O$492,MATCH(78,'Output Utente'!$R$2:$R$492,0)),"")</f>
        <v/>
      </c>
      <c r="H81" s="23" t="str">
        <f>IFERROR(INDEX('Output Utente'!$P$2:$P$492,MATCH(78,'Output Utente'!$R$2:$R$492,0)),"")</f>
        <v/>
      </c>
      <c r="I81" s="24" t="str">
        <f>IFERROR(INDEX('Output Utente'!$F$2:$F$492,MATCH(78,'Output Utente'!$R$2:$R$492,0)),"")</f>
        <v/>
      </c>
      <c r="J81" s="24" t="str">
        <f>IFERROR(INDEX('Output Utente'!$G$2:$G$492,MATCH(78,'Output Utente'!$R$2:$R$492,0)),"")</f>
        <v/>
      </c>
      <c r="K81" s="24" t="str">
        <f>IFERROR(INDEX('Output Utente'!$H$2:$H$492,MATCH(78,'Output Utente'!$R$2:$R$492,0)),"")</f>
        <v/>
      </c>
      <c r="L81" s="23" t="str">
        <f>IFERROR(INDEX('Output Utente'!$E$2:$E$492,MATCH(78,'Output Utente'!$R$2:$R$492,0)),"")</f>
        <v/>
      </c>
      <c r="V81" t="str">
        <f>IFERROR(INDEX('Output Utente'!$M$2:$M$492,MATCH(78,'Output Utente'!$R$2:$R$492,0)),"")</f>
        <v/>
      </c>
      <c r="W81" t="str">
        <f t="shared" si="1"/>
        <v/>
      </c>
      <c r="X81" t="str">
        <f>IFERROR(INDEX('Output Utente'!$AF$2:$AF$492,MATCH(78,'Output Utente'!$R$2:$R$492,0)),"")</f>
        <v/>
      </c>
    </row>
    <row r="82" spans="1:24" ht="15" customHeight="1" x14ac:dyDescent="0.25">
      <c r="A82" s="26">
        <v>79</v>
      </c>
      <c r="B82" s="23" t="str">
        <f>IFERROR(INDEX('Output Utente'!$A$2:$A$492,MATCH(79,'Output Utente'!$R$2:$R$492,0)),"")</f>
        <v/>
      </c>
      <c r="C82" s="23" t="str">
        <f>IFERROR(INDEX('Output Utente'!$B$2:$B$492,MATCH(79,'Output Utente'!$R$2:$R$492,0)),"")</f>
        <v/>
      </c>
      <c r="D82" s="23" t="str">
        <f>IFERROR(INDEX('Output Utente'!$C$2:$C$492,MATCH(79,'Output Utente'!$R$2:$R$492,0)),"")</f>
        <v/>
      </c>
      <c r="E82" s="23" t="str">
        <f>IFERROR(INDEX('Input Giocatori 2026_27'!$D$3:$D$493,MATCH($B82,'Input Giocatori 2026_27'!$A$3:$A$493,0)),"")</f>
        <v/>
      </c>
      <c r="F82" s="24" t="str">
        <f>IFERROR(INDEX('Output Utente'!$N$2:$N$492,MATCH(79,'Output Utente'!$R$2:$R$492,0)),"")</f>
        <v/>
      </c>
      <c r="G82" s="23" t="str">
        <f>IFERROR(INDEX('Output Utente'!$O$2:$O$492,MATCH(79,'Output Utente'!$R$2:$R$492,0)),"")</f>
        <v/>
      </c>
      <c r="H82" s="23" t="str">
        <f>IFERROR(INDEX('Output Utente'!$P$2:$P$492,MATCH(79,'Output Utente'!$R$2:$R$492,0)),"")</f>
        <v/>
      </c>
      <c r="I82" s="24" t="str">
        <f>IFERROR(INDEX('Output Utente'!$F$2:$F$492,MATCH(79,'Output Utente'!$R$2:$R$492,0)),"")</f>
        <v/>
      </c>
      <c r="J82" s="24" t="str">
        <f>IFERROR(INDEX('Output Utente'!$G$2:$G$492,MATCH(79,'Output Utente'!$R$2:$R$492,0)),"")</f>
        <v/>
      </c>
      <c r="K82" s="24" t="str">
        <f>IFERROR(INDEX('Output Utente'!$H$2:$H$492,MATCH(79,'Output Utente'!$R$2:$R$492,0)),"")</f>
        <v/>
      </c>
      <c r="L82" s="23" t="str">
        <f>IFERROR(INDEX('Output Utente'!$E$2:$E$492,MATCH(79,'Output Utente'!$R$2:$R$492,0)),"")</f>
        <v/>
      </c>
      <c r="V82" t="str">
        <f>IFERROR(INDEX('Output Utente'!$M$2:$M$492,MATCH(79,'Output Utente'!$R$2:$R$492,0)),"")</f>
        <v/>
      </c>
      <c r="W82" t="str">
        <f t="shared" si="1"/>
        <v/>
      </c>
      <c r="X82" t="str">
        <f>IFERROR(INDEX('Output Utente'!$AF$2:$AF$492,MATCH(79,'Output Utente'!$R$2:$R$492,0)),"")</f>
        <v/>
      </c>
    </row>
    <row r="83" spans="1:24" ht="15" customHeight="1" x14ac:dyDescent="0.25">
      <c r="A83" s="26">
        <v>80</v>
      </c>
      <c r="B83" s="23" t="str">
        <f>IFERROR(INDEX('Output Utente'!$A$2:$A$492,MATCH(80,'Output Utente'!$R$2:$R$492,0)),"")</f>
        <v/>
      </c>
      <c r="C83" s="23" t="str">
        <f>IFERROR(INDEX('Output Utente'!$B$2:$B$492,MATCH(80,'Output Utente'!$R$2:$R$492,0)),"")</f>
        <v/>
      </c>
      <c r="D83" s="23" t="str">
        <f>IFERROR(INDEX('Output Utente'!$C$2:$C$492,MATCH(80,'Output Utente'!$R$2:$R$492,0)),"")</f>
        <v/>
      </c>
      <c r="E83" s="23" t="str">
        <f>IFERROR(INDEX('Input Giocatori 2026_27'!$D$3:$D$493,MATCH($B83,'Input Giocatori 2026_27'!$A$3:$A$493,0)),"")</f>
        <v/>
      </c>
      <c r="F83" s="24" t="str">
        <f>IFERROR(INDEX('Output Utente'!$N$2:$N$492,MATCH(80,'Output Utente'!$R$2:$R$492,0)),"")</f>
        <v/>
      </c>
      <c r="G83" s="23" t="str">
        <f>IFERROR(INDEX('Output Utente'!$O$2:$O$492,MATCH(80,'Output Utente'!$R$2:$R$492,0)),"")</f>
        <v/>
      </c>
      <c r="H83" s="23" t="str">
        <f>IFERROR(INDEX('Output Utente'!$P$2:$P$492,MATCH(80,'Output Utente'!$R$2:$R$492,0)),"")</f>
        <v/>
      </c>
      <c r="I83" s="24" t="str">
        <f>IFERROR(INDEX('Output Utente'!$F$2:$F$492,MATCH(80,'Output Utente'!$R$2:$R$492,0)),"")</f>
        <v/>
      </c>
      <c r="J83" s="24" t="str">
        <f>IFERROR(INDEX('Output Utente'!$G$2:$G$492,MATCH(80,'Output Utente'!$R$2:$R$492,0)),"")</f>
        <v/>
      </c>
      <c r="K83" s="24" t="str">
        <f>IFERROR(INDEX('Output Utente'!$H$2:$H$492,MATCH(80,'Output Utente'!$R$2:$R$492,0)),"")</f>
        <v/>
      </c>
      <c r="L83" s="23" t="str">
        <f>IFERROR(INDEX('Output Utente'!$E$2:$E$492,MATCH(80,'Output Utente'!$R$2:$R$492,0)),"")</f>
        <v/>
      </c>
      <c r="V83" t="str">
        <f>IFERROR(INDEX('Output Utente'!$M$2:$M$492,MATCH(80,'Output Utente'!$R$2:$R$492,0)),"")</f>
        <v/>
      </c>
      <c r="W83" t="str">
        <f t="shared" si="1"/>
        <v/>
      </c>
      <c r="X83" t="str">
        <f>IFERROR(INDEX('Output Utente'!$AF$2:$AF$492,MATCH(80,'Output Utente'!$R$2:$R$492,0)),"")</f>
        <v/>
      </c>
    </row>
    <row r="84" spans="1:24" ht="15" customHeight="1" x14ac:dyDescent="0.25">
      <c r="A84" s="26">
        <v>81</v>
      </c>
      <c r="B84" s="23" t="str">
        <f>IFERROR(INDEX('Output Utente'!$A$2:$A$492,MATCH(81,'Output Utente'!$R$2:$R$492,0)),"")</f>
        <v/>
      </c>
      <c r="C84" s="23" t="str">
        <f>IFERROR(INDEX('Output Utente'!$B$2:$B$492,MATCH(81,'Output Utente'!$R$2:$R$492,0)),"")</f>
        <v/>
      </c>
      <c r="D84" s="23" t="str">
        <f>IFERROR(INDEX('Output Utente'!$C$2:$C$492,MATCH(81,'Output Utente'!$R$2:$R$492,0)),"")</f>
        <v/>
      </c>
      <c r="E84" s="23" t="str">
        <f>IFERROR(INDEX('Input Giocatori 2026_27'!$D$3:$D$493,MATCH($B84,'Input Giocatori 2026_27'!$A$3:$A$493,0)),"")</f>
        <v/>
      </c>
      <c r="F84" s="24" t="str">
        <f>IFERROR(INDEX('Output Utente'!$N$2:$N$492,MATCH(81,'Output Utente'!$R$2:$R$492,0)),"")</f>
        <v/>
      </c>
      <c r="G84" s="23" t="str">
        <f>IFERROR(INDEX('Output Utente'!$O$2:$O$492,MATCH(81,'Output Utente'!$R$2:$R$492,0)),"")</f>
        <v/>
      </c>
      <c r="H84" s="23" t="str">
        <f>IFERROR(INDEX('Output Utente'!$P$2:$P$492,MATCH(81,'Output Utente'!$R$2:$R$492,0)),"")</f>
        <v/>
      </c>
      <c r="I84" s="24" t="str">
        <f>IFERROR(INDEX('Output Utente'!$F$2:$F$492,MATCH(81,'Output Utente'!$R$2:$R$492,0)),"")</f>
        <v/>
      </c>
      <c r="J84" s="24" t="str">
        <f>IFERROR(INDEX('Output Utente'!$G$2:$G$492,MATCH(81,'Output Utente'!$R$2:$R$492,0)),"")</f>
        <v/>
      </c>
      <c r="K84" s="24" t="str">
        <f>IFERROR(INDEX('Output Utente'!$H$2:$H$492,MATCH(81,'Output Utente'!$R$2:$R$492,0)),"")</f>
        <v/>
      </c>
      <c r="L84" s="23" t="str">
        <f>IFERROR(INDEX('Output Utente'!$E$2:$E$492,MATCH(81,'Output Utente'!$R$2:$R$492,0)),"")</f>
        <v/>
      </c>
      <c r="V84" t="str">
        <f>IFERROR(INDEX('Output Utente'!$M$2:$M$492,MATCH(81,'Output Utente'!$R$2:$R$492,0)),"")</f>
        <v/>
      </c>
      <c r="W84" t="str">
        <f t="shared" si="1"/>
        <v/>
      </c>
      <c r="X84" t="str">
        <f>IFERROR(INDEX('Output Utente'!$AF$2:$AF$492,MATCH(81,'Output Utente'!$R$2:$R$492,0)),"")</f>
        <v/>
      </c>
    </row>
    <row r="85" spans="1:24" ht="15" customHeight="1" x14ac:dyDescent="0.25">
      <c r="A85" s="26">
        <v>82</v>
      </c>
      <c r="B85" s="23" t="str">
        <f>IFERROR(INDEX('Output Utente'!$A$2:$A$492,MATCH(82,'Output Utente'!$R$2:$R$492,0)),"")</f>
        <v/>
      </c>
      <c r="C85" s="23" t="str">
        <f>IFERROR(INDEX('Output Utente'!$B$2:$B$492,MATCH(82,'Output Utente'!$R$2:$R$492,0)),"")</f>
        <v/>
      </c>
      <c r="D85" s="23" t="str">
        <f>IFERROR(INDEX('Output Utente'!$C$2:$C$492,MATCH(82,'Output Utente'!$R$2:$R$492,0)),"")</f>
        <v/>
      </c>
      <c r="E85" s="23" t="str">
        <f>IFERROR(INDEX('Input Giocatori 2026_27'!$D$3:$D$493,MATCH($B85,'Input Giocatori 2026_27'!$A$3:$A$493,0)),"")</f>
        <v/>
      </c>
      <c r="F85" s="24" t="str">
        <f>IFERROR(INDEX('Output Utente'!$N$2:$N$492,MATCH(82,'Output Utente'!$R$2:$R$492,0)),"")</f>
        <v/>
      </c>
      <c r="G85" s="23" t="str">
        <f>IFERROR(INDEX('Output Utente'!$O$2:$O$492,MATCH(82,'Output Utente'!$R$2:$R$492,0)),"")</f>
        <v/>
      </c>
      <c r="H85" s="23" t="str">
        <f>IFERROR(INDEX('Output Utente'!$P$2:$P$492,MATCH(82,'Output Utente'!$R$2:$R$492,0)),"")</f>
        <v/>
      </c>
      <c r="I85" s="24" t="str">
        <f>IFERROR(INDEX('Output Utente'!$F$2:$F$492,MATCH(82,'Output Utente'!$R$2:$R$492,0)),"")</f>
        <v/>
      </c>
      <c r="J85" s="24" t="str">
        <f>IFERROR(INDEX('Output Utente'!$G$2:$G$492,MATCH(82,'Output Utente'!$R$2:$R$492,0)),"")</f>
        <v/>
      </c>
      <c r="K85" s="24" t="str">
        <f>IFERROR(INDEX('Output Utente'!$H$2:$H$492,MATCH(82,'Output Utente'!$R$2:$R$492,0)),"")</f>
        <v/>
      </c>
      <c r="L85" s="23" t="str">
        <f>IFERROR(INDEX('Output Utente'!$E$2:$E$492,MATCH(82,'Output Utente'!$R$2:$R$492,0)),"")</f>
        <v/>
      </c>
      <c r="V85" t="str">
        <f>IFERROR(INDEX('Output Utente'!$M$2:$M$492,MATCH(82,'Output Utente'!$R$2:$R$492,0)),"")</f>
        <v/>
      </c>
      <c r="W85" t="str">
        <f t="shared" si="1"/>
        <v/>
      </c>
      <c r="X85" t="str">
        <f>IFERROR(INDEX('Output Utente'!$AF$2:$AF$492,MATCH(82,'Output Utente'!$R$2:$R$492,0)),"")</f>
        <v/>
      </c>
    </row>
    <row r="86" spans="1:24" ht="15" customHeight="1" x14ac:dyDescent="0.25">
      <c r="A86" s="26">
        <v>83</v>
      </c>
      <c r="B86" s="23" t="str">
        <f>IFERROR(INDEX('Output Utente'!$A$2:$A$492,MATCH(83,'Output Utente'!$R$2:$R$492,0)),"")</f>
        <v/>
      </c>
      <c r="C86" s="23" t="str">
        <f>IFERROR(INDEX('Output Utente'!$B$2:$B$492,MATCH(83,'Output Utente'!$R$2:$R$492,0)),"")</f>
        <v/>
      </c>
      <c r="D86" s="23" t="str">
        <f>IFERROR(INDEX('Output Utente'!$C$2:$C$492,MATCH(83,'Output Utente'!$R$2:$R$492,0)),"")</f>
        <v/>
      </c>
      <c r="E86" s="23" t="str">
        <f>IFERROR(INDEX('Input Giocatori 2026_27'!$D$3:$D$493,MATCH($B86,'Input Giocatori 2026_27'!$A$3:$A$493,0)),"")</f>
        <v/>
      </c>
      <c r="F86" s="24" t="str">
        <f>IFERROR(INDEX('Output Utente'!$N$2:$N$492,MATCH(83,'Output Utente'!$R$2:$R$492,0)),"")</f>
        <v/>
      </c>
      <c r="G86" s="23" t="str">
        <f>IFERROR(INDEX('Output Utente'!$O$2:$O$492,MATCH(83,'Output Utente'!$R$2:$R$492,0)),"")</f>
        <v/>
      </c>
      <c r="H86" s="23" t="str">
        <f>IFERROR(INDEX('Output Utente'!$P$2:$P$492,MATCH(83,'Output Utente'!$R$2:$R$492,0)),"")</f>
        <v/>
      </c>
      <c r="I86" s="24" t="str">
        <f>IFERROR(INDEX('Output Utente'!$F$2:$F$492,MATCH(83,'Output Utente'!$R$2:$R$492,0)),"")</f>
        <v/>
      </c>
      <c r="J86" s="24" t="str">
        <f>IFERROR(INDEX('Output Utente'!$G$2:$G$492,MATCH(83,'Output Utente'!$R$2:$R$492,0)),"")</f>
        <v/>
      </c>
      <c r="K86" s="24" t="str">
        <f>IFERROR(INDEX('Output Utente'!$H$2:$H$492,MATCH(83,'Output Utente'!$R$2:$R$492,0)),"")</f>
        <v/>
      </c>
      <c r="L86" s="23" t="str">
        <f>IFERROR(INDEX('Output Utente'!$E$2:$E$492,MATCH(83,'Output Utente'!$R$2:$R$492,0)),"")</f>
        <v/>
      </c>
      <c r="V86" t="str">
        <f>IFERROR(INDEX('Output Utente'!$M$2:$M$492,MATCH(83,'Output Utente'!$R$2:$R$492,0)),"")</f>
        <v/>
      </c>
      <c r="W86" t="str">
        <f t="shared" si="1"/>
        <v/>
      </c>
      <c r="X86" t="str">
        <f>IFERROR(INDEX('Output Utente'!$AF$2:$AF$492,MATCH(83,'Output Utente'!$R$2:$R$492,0)),"")</f>
        <v/>
      </c>
    </row>
    <row r="87" spans="1:24" ht="15" customHeight="1" x14ac:dyDescent="0.25">
      <c r="A87" s="26">
        <v>84</v>
      </c>
      <c r="B87" s="23" t="str">
        <f>IFERROR(INDEX('Output Utente'!$A$2:$A$492,MATCH(84,'Output Utente'!$R$2:$R$492,0)),"")</f>
        <v/>
      </c>
      <c r="C87" s="23" t="str">
        <f>IFERROR(INDEX('Output Utente'!$B$2:$B$492,MATCH(84,'Output Utente'!$R$2:$R$492,0)),"")</f>
        <v/>
      </c>
      <c r="D87" s="23" t="str">
        <f>IFERROR(INDEX('Output Utente'!$C$2:$C$492,MATCH(84,'Output Utente'!$R$2:$R$492,0)),"")</f>
        <v/>
      </c>
      <c r="E87" s="23" t="str">
        <f>IFERROR(INDEX('Input Giocatori 2026_27'!$D$3:$D$493,MATCH($B87,'Input Giocatori 2026_27'!$A$3:$A$493,0)),"")</f>
        <v/>
      </c>
      <c r="F87" s="24" t="str">
        <f>IFERROR(INDEX('Output Utente'!$N$2:$N$492,MATCH(84,'Output Utente'!$R$2:$R$492,0)),"")</f>
        <v/>
      </c>
      <c r="G87" s="23" t="str">
        <f>IFERROR(INDEX('Output Utente'!$O$2:$O$492,MATCH(84,'Output Utente'!$R$2:$R$492,0)),"")</f>
        <v/>
      </c>
      <c r="H87" s="23" t="str">
        <f>IFERROR(INDEX('Output Utente'!$P$2:$P$492,MATCH(84,'Output Utente'!$R$2:$R$492,0)),"")</f>
        <v/>
      </c>
      <c r="I87" s="24" t="str">
        <f>IFERROR(INDEX('Output Utente'!$F$2:$F$492,MATCH(84,'Output Utente'!$R$2:$R$492,0)),"")</f>
        <v/>
      </c>
      <c r="J87" s="24" t="str">
        <f>IFERROR(INDEX('Output Utente'!$G$2:$G$492,MATCH(84,'Output Utente'!$R$2:$R$492,0)),"")</f>
        <v/>
      </c>
      <c r="K87" s="24" t="str">
        <f>IFERROR(INDEX('Output Utente'!$H$2:$H$492,MATCH(84,'Output Utente'!$R$2:$R$492,0)),"")</f>
        <v/>
      </c>
      <c r="L87" s="23" t="str">
        <f>IFERROR(INDEX('Output Utente'!$E$2:$E$492,MATCH(84,'Output Utente'!$R$2:$R$492,0)),"")</f>
        <v/>
      </c>
      <c r="V87" t="str">
        <f>IFERROR(INDEX('Output Utente'!$M$2:$M$492,MATCH(84,'Output Utente'!$R$2:$R$492,0)),"")</f>
        <v/>
      </c>
      <c r="W87" t="str">
        <f t="shared" si="1"/>
        <v/>
      </c>
      <c r="X87" t="str">
        <f>IFERROR(INDEX('Output Utente'!$AF$2:$AF$492,MATCH(84,'Output Utente'!$R$2:$R$492,0)),"")</f>
        <v/>
      </c>
    </row>
    <row r="88" spans="1:24" ht="15" customHeight="1" x14ac:dyDescent="0.25">
      <c r="A88" s="26">
        <v>85</v>
      </c>
      <c r="B88" s="23" t="str">
        <f>IFERROR(INDEX('Output Utente'!$A$2:$A$492,MATCH(85,'Output Utente'!$R$2:$R$492,0)),"")</f>
        <v/>
      </c>
      <c r="C88" s="23" t="str">
        <f>IFERROR(INDEX('Output Utente'!$B$2:$B$492,MATCH(85,'Output Utente'!$R$2:$R$492,0)),"")</f>
        <v/>
      </c>
      <c r="D88" s="23" t="str">
        <f>IFERROR(INDEX('Output Utente'!$C$2:$C$492,MATCH(85,'Output Utente'!$R$2:$R$492,0)),"")</f>
        <v/>
      </c>
      <c r="E88" s="23" t="str">
        <f>IFERROR(INDEX('Input Giocatori 2026_27'!$D$3:$D$493,MATCH($B88,'Input Giocatori 2026_27'!$A$3:$A$493,0)),"")</f>
        <v/>
      </c>
      <c r="F88" s="24" t="str">
        <f>IFERROR(INDEX('Output Utente'!$N$2:$N$492,MATCH(85,'Output Utente'!$R$2:$R$492,0)),"")</f>
        <v/>
      </c>
      <c r="G88" s="23" t="str">
        <f>IFERROR(INDEX('Output Utente'!$O$2:$O$492,MATCH(85,'Output Utente'!$R$2:$R$492,0)),"")</f>
        <v/>
      </c>
      <c r="H88" s="23" t="str">
        <f>IFERROR(INDEX('Output Utente'!$P$2:$P$492,MATCH(85,'Output Utente'!$R$2:$R$492,0)),"")</f>
        <v/>
      </c>
      <c r="I88" s="24" t="str">
        <f>IFERROR(INDEX('Output Utente'!$F$2:$F$492,MATCH(85,'Output Utente'!$R$2:$R$492,0)),"")</f>
        <v/>
      </c>
      <c r="J88" s="24" t="str">
        <f>IFERROR(INDEX('Output Utente'!$G$2:$G$492,MATCH(85,'Output Utente'!$R$2:$R$492,0)),"")</f>
        <v/>
      </c>
      <c r="K88" s="24" t="str">
        <f>IFERROR(INDEX('Output Utente'!$H$2:$H$492,MATCH(85,'Output Utente'!$R$2:$R$492,0)),"")</f>
        <v/>
      </c>
      <c r="L88" s="23" t="str">
        <f>IFERROR(INDEX('Output Utente'!$E$2:$E$492,MATCH(85,'Output Utente'!$R$2:$R$492,0)),"")</f>
        <v/>
      </c>
      <c r="V88" t="str">
        <f>IFERROR(INDEX('Output Utente'!$M$2:$M$492,MATCH(85,'Output Utente'!$R$2:$R$492,0)),"")</f>
        <v/>
      </c>
      <c r="W88" t="str">
        <f t="shared" si="1"/>
        <v/>
      </c>
      <c r="X88" t="str">
        <f>IFERROR(INDEX('Output Utente'!$AF$2:$AF$492,MATCH(85,'Output Utente'!$R$2:$R$492,0)),"")</f>
        <v/>
      </c>
    </row>
    <row r="89" spans="1:24" ht="15" customHeight="1" x14ac:dyDescent="0.25">
      <c r="A89" s="26">
        <v>86</v>
      </c>
      <c r="B89" s="23" t="str">
        <f>IFERROR(INDEX('Output Utente'!$A$2:$A$492,MATCH(86,'Output Utente'!$R$2:$R$492,0)),"")</f>
        <v/>
      </c>
      <c r="C89" s="23" t="str">
        <f>IFERROR(INDEX('Output Utente'!$B$2:$B$492,MATCH(86,'Output Utente'!$R$2:$R$492,0)),"")</f>
        <v/>
      </c>
      <c r="D89" s="23" t="str">
        <f>IFERROR(INDEX('Output Utente'!$C$2:$C$492,MATCH(86,'Output Utente'!$R$2:$R$492,0)),"")</f>
        <v/>
      </c>
      <c r="E89" s="23" t="str">
        <f>IFERROR(INDEX('Input Giocatori 2026_27'!$D$3:$D$493,MATCH($B89,'Input Giocatori 2026_27'!$A$3:$A$493,0)),"")</f>
        <v/>
      </c>
      <c r="F89" s="24" t="str">
        <f>IFERROR(INDEX('Output Utente'!$N$2:$N$492,MATCH(86,'Output Utente'!$R$2:$R$492,0)),"")</f>
        <v/>
      </c>
      <c r="G89" s="23" t="str">
        <f>IFERROR(INDEX('Output Utente'!$O$2:$O$492,MATCH(86,'Output Utente'!$R$2:$R$492,0)),"")</f>
        <v/>
      </c>
      <c r="H89" s="23" t="str">
        <f>IFERROR(INDEX('Output Utente'!$P$2:$P$492,MATCH(86,'Output Utente'!$R$2:$R$492,0)),"")</f>
        <v/>
      </c>
      <c r="I89" s="24" t="str">
        <f>IFERROR(INDEX('Output Utente'!$F$2:$F$492,MATCH(86,'Output Utente'!$R$2:$R$492,0)),"")</f>
        <v/>
      </c>
      <c r="J89" s="24" t="str">
        <f>IFERROR(INDEX('Output Utente'!$G$2:$G$492,MATCH(86,'Output Utente'!$R$2:$R$492,0)),"")</f>
        <v/>
      </c>
      <c r="K89" s="24" t="str">
        <f>IFERROR(INDEX('Output Utente'!$H$2:$H$492,MATCH(86,'Output Utente'!$R$2:$R$492,0)),"")</f>
        <v/>
      </c>
      <c r="L89" s="23" t="str">
        <f>IFERROR(INDEX('Output Utente'!$E$2:$E$492,MATCH(86,'Output Utente'!$R$2:$R$492,0)),"")</f>
        <v/>
      </c>
      <c r="V89" t="str">
        <f>IFERROR(INDEX('Output Utente'!$M$2:$M$492,MATCH(86,'Output Utente'!$R$2:$R$492,0)),"")</f>
        <v/>
      </c>
      <c r="W89" t="str">
        <f t="shared" si="1"/>
        <v/>
      </c>
      <c r="X89" t="str">
        <f>IFERROR(INDEX('Output Utente'!$AF$2:$AF$492,MATCH(86,'Output Utente'!$R$2:$R$492,0)),"")</f>
        <v/>
      </c>
    </row>
    <row r="90" spans="1:24" ht="15" customHeight="1" x14ac:dyDescent="0.25">
      <c r="A90" s="26">
        <v>87</v>
      </c>
      <c r="B90" s="23" t="str">
        <f>IFERROR(INDEX('Output Utente'!$A$2:$A$492,MATCH(87,'Output Utente'!$R$2:$R$492,0)),"")</f>
        <v/>
      </c>
      <c r="C90" s="23" t="str">
        <f>IFERROR(INDEX('Output Utente'!$B$2:$B$492,MATCH(87,'Output Utente'!$R$2:$R$492,0)),"")</f>
        <v/>
      </c>
      <c r="D90" s="23" t="str">
        <f>IFERROR(INDEX('Output Utente'!$C$2:$C$492,MATCH(87,'Output Utente'!$R$2:$R$492,0)),"")</f>
        <v/>
      </c>
      <c r="E90" s="23" t="str">
        <f>IFERROR(INDEX('Input Giocatori 2026_27'!$D$3:$D$493,MATCH($B90,'Input Giocatori 2026_27'!$A$3:$A$493,0)),"")</f>
        <v/>
      </c>
      <c r="F90" s="24" t="str">
        <f>IFERROR(INDEX('Output Utente'!$N$2:$N$492,MATCH(87,'Output Utente'!$R$2:$R$492,0)),"")</f>
        <v/>
      </c>
      <c r="G90" s="23" t="str">
        <f>IFERROR(INDEX('Output Utente'!$O$2:$O$492,MATCH(87,'Output Utente'!$R$2:$R$492,0)),"")</f>
        <v/>
      </c>
      <c r="H90" s="23" t="str">
        <f>IFERROR(INDEX('Output Utente'!$P$2:$P$492,MATCH(87,'Output Utente'!$R$2:$R$492,0)),"")</f>
        <v/>
      </c>
      <c r="I90" s="24" t="str">
        <f>IFERROR(INDEX('Output Utente'!$F$2:$F$492,MATCH(87,'Output Utente'!$R$2:$R$492,0)),"")</f>
        <v/>
      </c>
      <c r="J90" s="24" t="str">
        <f>IFERROR(INDEX('Output Utente'!$G$2:$G$492,MATCH(87,'Output Utente'!$R$2:$R$492,0)),"")</f>
        <v/>
      </c>
      <c r="K90" s="24" t="str">
        <f>IFERROR(INDEX('Output Utente'!$H$2:$H$492,MATCH(87,'Output Utente'!$R$2:$R$492,0)),"")</f>
        <v/>
      </c>
      <c r="L90" s="23" t="str">
        <f>IFERROR(INDEX('Output Utente'!$E$2:$E$492,MATCH(87,'Output Utente'!$R$2:$R$492,0)),"")</f>
        <v/>
      </c>
      <c r="V90" t="str">
        <f>IFERROR(INDEX('Output Utente'!$M$2:$M$492,MATCH(87,'Output Utente'!$R$2:$R$492,0)),"")</f>
        <v/>
      </c>
      <c r="W90" t="str">
        <f t="shared" si="1"/>
        <v/>
      </c>
      <c r="X90" t="str">
        <f>IFERROR(INDEX('Output Utente'!$AF$2:$AF$492,MATCH(87,'Output Utente'!$R$2:$R$492,0)),"")</f>
        <v/>
      </c>
    </row>
    <row r="91" spans="1:24" ht="15" customHeight="1" x14ac:dyDescent="0.25">
      <c r="A91" s="26">
        <v>88</v>
      </c>
      <c r="B91" s="23" t="str">
        <f>IFERROR(INDEX('Output Utente'!$A$2:$A$492,MATCH(88,'Output Utente'!$R$2:$R$492,0)),"")</f>
        <v/>
      </c>
      <c r="C91" s="23" t="str">
        <f>IFERROR(INDEX('Output Utente'!$B$2:$B$492,MATCH(88,'Output Utente'!$R$2:$R$492,0)),"")</f>
        <v/>
      </c>
      <c r="D91" s="23" t="str">
        <f>IFERROR(INDEX('Output Utente'!$C$2:$C$492,MATCH(88,'Output Utente'!$R$2:$R$492,0)),"")</f>
        <v/>
      </c>
      <c r="E91" s="23" t="str">
        <f>IFERROR(INDEX('Input Giocatori 2026_27'!$D$3:$D$493,MATCH($B91,'Input Giocatori 2026_27'!$A$3:$A$493,0)),"")</f>
        <v/>
      </c>
      <c r="F91" s="24" t="str">
        <f>IFERROR(INDEX('Output Utente'!$N$2:$N$492,MATCH(88,'Output Utente'!$R$2:$R$492,0)),"")</f>
        <v/>
      </c>
      <c r="G91" s="23" t="str">
        <f>IFERROR(INDEX('Output Utente'!$O$2:$O$492,MATCH(88,'Output Utente'!$R$2:$R$492,0)),"")</f>
        <v/>
      </c>
      <c r="H91" s="23" t="str">
        <f>IFERROR(INDEX('Output Utente'!$P$2:$P$492,MATCH(88,'Output Utente'!$R$2:$R$492,0)),"")</f>
        <v/>
      </c>
      <c r="I91" s="24" t="str">
        <f>IFERROR(INDEX('Output Utente'!$F$2:$F$492,MATCH(88,'Output Utente'!$R$2:$R$492,0)),"")</f>
        <v/>
      </c>
      <c r="J91" s="24" t="str">
        <f>IFERROR(INDEX('Output Utente'!$G$2:$G$492,MATCH(88,'Output Utente'!$R$2:$R$492,0)),"")</f>
        <v/>
      </c>
      <c r="K91" s="24" t="str">
        <f>IFERROR(INDEX('Output Utente'!$H$2:$H$492,MATCH(88,'Output Utente'!$R$2:$R$492,0)),"")</f>
        <v/>
      </c>
      <c r="L91" s="23" t="str">
        <f>IFERROR(INDEX('Output Utente'!$E$2:$E$492,MATCH(88,'Output Utente'!$R$2:$R$492,0)),"")</f>
        <v/>
      </c>
      <c r="V91" t="str">
        <f>IFERROR(INDEX('Output Utente'!$M$2:$M$492,MATCH(88,'Output Utente'!$R$2:$R$492,0)),"")</f>
        <v/>
      </c>
      <c r="W91" t="str">
        <f t="shared" si="1"/>
        <v/>
      </c>
      <c r="X91" t="str">
        <f>IFERROR(INDEX('Output Utente'!$AF$2:$AF$492,MATCH(88,'Output Utente'!$R$2:$R$492,0)),"")</f>
        <v/>
      </c>
    </row>
    <row r="92" spans="1:24" ht="15" customHeight="1" x14ac:dyDescent="0.25">
      <c r="A92" s="26">
        <v>89</v>
      </c>
      <c r="B92" s="23" t="str">
        <f>IFERROR(INDEX('Output Utente'!$A$2:$A$492,MATCH(89,'Output Utente'!$R$2:$R$492,0)),"")</f>
        <v/>
      </c>
      <c r="C92" s="23" t="str">
        <f>IFERROR(INDEX('Output Utente'!$B$2:$B$492,MATCH(89,'Output Utente'!$R$2:$R$492,0)),"")</f>
        <v/>
      </c>
      <c r="D92" s="23" t="str">
        <f>IFERROR(INDEX('Output Utente'!$C$2:$C$492,MATCH(89,'Output Utente'!$R$2:$R$492,0)),"")</f>
        <v/>
      </c>
      <c r="E92" s="23" t="str">
        <f>IFERROR(INDEX('Input Giocatori 2026_27'!$D$3:$D$493,MATCH($B92,'Input Giocatori 2026_27'!$A$3:$A$493,0)),"")</f>
        <v/>
      </c>
      <c r="F92" s="24" t="str">
        <f>IFERROR(INDEX('Output Utente'!$N$2:$N$492,MATCH(89,'Output Utente'!$R$2:$R$492,0)),"")</f>
        <v/>
      </c>
      <c r="G92" s="23" t="str">
        <f>IFERROR(INDEX('Output Utente'!$O$2:$O$492,MATCH(89,'Output Utente'!$R$2:$R$492,0)),"")</f>
        <v/>
      </c>
      <c r="H92" s="23" t="str">
        <f>IFERROR(INDEX('Output Utente'!$P$2:$P$492,MATCH(89,'Output Utente'!$R$2:$R$492,0)),"")</f>
        <v/>
      </c>
      <c r="I92" s="24" t="str">
        <f>IFERROR(INDEX('Output Utente'!$F$2:$F$492,MATCH(89,'Output Utente'!$R$2:$R$492,0)),"")</f>
        <v/>
      </c>
      <c r="J92" s="24" t="str">
        <f>IFERROR(INDEX('Output Utente'!$G$2:$G$492,MATCH(89,'Output Utente'!$R$2:$R$492,0)),"")</f>
        <v/>
      </c>
      <c r="K92" s="24" t="str">
        <f>IFERROR(INDEX('Output Utente'!$H$2:$H$492,MATCH(89,'Output Utente'!$R$2:$R$492,0)),"")</f>
        <v/>
      </c>
      <c r="L92" s="23" t="str">
        <f>IFERROR(INDEX('Output Utente'!$E$2:$E$492,MATCH(89,'Output Utente'!$R$2:$R$492,0)),"")</f>
        <v/>
      </c>
      <c r="V92" t="str">
        <f>IFERROR(INDEX('Output Utente'!$M$2:$M$492,MATCH(89,'Output Utente'!$R$2:$R$492,0)),"")</f>
        <v/>
      </c>
      <c r="W92" t="str">
        <f t="shared" si="1"/>
        <v/>
      </c>
      <c r="X92" t="str">
        <f>IFERROR(INDEX('Output Utente'!$AF$2:$AF$492,MATCH(89,'Output Utente'!$R$2:$R$492,0)),"")</f>
        <v/>
      </c>
    </row>
    <row r="93" spans="1:24" ht="15" customHeight="1" x14ac:dyDescent="0.25">
      <c r="A93" s="26">
        <v>90</v>
      </c>
      <c r="B93" s="23" t="str">
        <f>IFERROR(INDEX('Output Utente'!$A$2:$A$492,MATCH(90,'Output Utente'!$R$2:$R$492,0)),"")</f>
        <v/>
      </c>
      <c r="C93" s="23" t="str">
        <f>IFERROR(INDEX('Output Utente'!$B$2:$B$492,MATCH(90,'Output Utente'!$R$2:$R$492,0)),"")</f>
        <v/>
      </c>
      <c r="D93" s="23" t="str">
        <f>IFERROR(INDEX('Output Utente'!$C$2:$C$492,MATCH(90,'Output Utente'!$R$2:$R$492,0)),"")</f>
        <v/>
      </c>
      <c r="E93" s="23" t="str">
        <f>IFERROR(INDEX('Input Giocatori 2026_27'!$D$3:$D$493,MATCH($B93,'Input Giocatori 2026_27'!$A$3:$A$493,0)),"")</f>
        <v/>
      </c>
      <c r="F93" s="24" t="str">
        <f>IFERROR(INDEX('Output Utente'!$N$2:$N$492,MATCH(90,'Output Utente'!$R$2:$R$492,0)),"")</f>
        <v/>
      </c>
      <c r="G93" s="23" t="str">
        <f>IFERROR(INDEX('Output Utente'!$O$2:$O$492,MATCH(90,'Output Utente'!$R$2:$R$492,0)),"")</f>
        <v/>
      </c>
      <c r="H93" s="23" t="str">
        <f>IFERROR(INDEX('Output Utente'!$P$2:$P$492,MATCH(90,'Output Utente'!$R$2:$R$492,0)),"")</f>
        <v/>
      </c>
      <c r="I93" s="24" t="str">
        <f>IFERROR(INDEX('Output Utente'!$F$2:$F$492,MATCH(90,'Output Utente'!$R$2:$R$492,0)),"")</f>
        <v/>
      </c>
      <c r="J93" s="24" t="str">
        <f>IFERROR(INDEX('Output Utente'!$G$2:$G$492,MATCH(90,'Output Utente'!$R$2:$R$492,0)),"")</f>
        <v/>
      </c>
      <c r="K93" s="24" t="str">
        <f>IFERROR(INDEX('Output Utente'!$H$2:$H$492,MATCH(90,'Output Utente'!$R$2:$R$492,0)),"")</f>
        <v/>
      </c>
      <c r="L93" s="23" t="str">
        <f>IFERROR(INDEX('Output Utente'!$E$2:$E$492,MATCH(90,'Output Utente'!$R$2:$R$492,0)),"")</f>
        <v/>
      </c>
      <c r="V93" t="str">
        <f>IFERROR(INDEX('Output Utente'!$M$2:$M$492,MATCH(90,'Output Utente'!$R$2:$R$492,0)),"")</f>
        <v/>
      </c>
      <c r="W93" t="str">
        <f t="shared" si="1"/>
        <v/>
      </c>
      <c r="X93" t="str">
        <f>IFERROR(INDEX('Output Utente'!$AF$2:$AF$492,MATCH(90,'Output Utente'!$R$2:$R$492,0)),"")</f>
        <v/>
      </c>
    </row>
    <row r="94" spans="1:24" ht="15" customHeight="1" x14ac:dyDescent="0.25">
      <c r="A94" s="26">
        <v>91</v>
      </c>
      <c r="B94" s="23" t="str">
        <f>IFERROR(INDEX('Output Utente'!$A$2:$A$492,MATCH(91,'Output Utente'!$R$2:$R$492,0)),"")</f>
        <v/>
      </c>
      <c r="C94" s="23" t="str">
        <f>IFERROR(INDEX('Output Utente'!$B$2:$B$492,MATCH(91,'Output Utente'!$R$2:$R$492,0)),"")</f>
        <v/>
      </c>
      <c r="D94" s="23" t="str">
        <f>IFERROR(INDEX('Output Utente'!$C$2:$C$492,MATCH(91,'Output Utente'!$R$2:$R$492,0)),"")</f>
        <v/>
      </c>
      <c r="E94" s="23" t="str">
        <f>IFERROR(INDEX('Input Giocatori 2026_27'!$D$3:$D$493,MATCH($B94,'Input Giocatori 2026_27'!$A$3:$A$493,0)),"")</f>
        <v/>
      </c>
      <c r="F94" s="24" t="str">
        <f>IFERROR(INDEX('Output Utente'!$N$2:$N$492,MATCH(91,'Output Utente'!$R$2:$R$492,0)),"")</f>
        <v/>
      </c>
      <c r="G94" s="23" t="str">
        <f>IFERROR(INDEX('Output Utente'!$O$2:$O$492,MATCH(91,'Output Utente'!$R$2:$R$492,0)),"")</f>
        <v/>
      </c>
      <c r="H94" s="23" t="str">
        <f>IFERROR(INDEX('Output Utente'!$P$2:$P$492,MATCH(91,'Output Utente'!$R$2:$R$492,0)),"")</f>
        <v/>
      </c>
      <c r="I94" s="24" t="str">
        <f>IFERROR(INDEX('Output Utente'!$F$2:$F$492,MATCH(91,'Output Utente'!$R$2:$R$492,0)),"")</f>
        <v/>
      </c>
      <c r="J94" s="24" t="str">
        <f>IFERROR(INDEX('Output Utente'!$G$2:$G$492,MATCH(91,'Output Utente'!$R$2:$R$492,0)),"")</f>
        <v/>
      </c>
      <c r="K94" s="24" t="str">
        <f>IFERROR(INDEX('Output Utente'!$H$2:$H$492,MATCH(91,'Output Utente'!$R$2:$R$492,0)),"")</f>
        <v/>
      </c>
      <c r="L94" s="23" t="str">
        <f>IFERROR(INDEX('Output Utente'!$E$2:$E$492,MATCH(91,'Output Utente'!$R$2:$R$492,0)),"")</f>
        <v/>
      </c>
      <c r="V94" t="str">
        <f>IFERROR(INDEX('Output Utente'!$M$2:$M$492,MATCH(91,'Output Utente'!$R$2:$R$492,0)),"")</f>
        <v/>
      </c>
      <c r="W94" t="str">
        <f t="shared" si="1"/>
        <v/>
      </c>
      <c r="X94" t="str">
        <f>IFERROR(INDEX('Output Utente'!$AF$2:$AF$492,MATCH(91,'Output Utente'!$R$2:$R$492,0)),"")</f>
        <v/>
      </c>
    </row>
    <row r="95" spans="1:24" ht="15" customHeight="1" x14ac:dyDescent="0.25">
      <c r="A95" s="26">
        <v>92</v>
      </c>
      <c r="B95" s="23" t="str">
        <f>IFERROR(INDEX('Output Utente'!$A$2:$A$492,MATCH(92,'Output Utente'!$R$2:$R$492,0)),"")</f>
        <v/>
      </c>
      <c r="C95" s="23" t="str">
        <f>IFERROR(INDEX('Output Utente'!$B$2:$B$492,MATCH(92,'Output Utente'!$R$2:$R$492,0)),"")</f>
        <v/>
      </c>
      <c r="D95" s="23" t="str">
        <f>IFERROR(INDEX('Output Utente'!$C$2:$C$492,MATCH(92,'Output Utente'!$R$2:$R$492,0)),"")</f>
        <v/>
      </c>
      <c r="E95" s="23" t="str">
        <f>IFERROR(INDEX('Input Giocatori 2026_27'!$D$3:$D$493,MATCH($B95,'Input Giocatori 2026_27'!$A$3:$A$493,0)),"")</f>
        <v/>
      </c>
      <c r="F95" s="24" t="str">
        <f>IFERROR(INDEX('Output Utente'!$N$2:$N$492,MATCH(92,'Output Utente'!$R$2:$R$492,0)),"")</f>
        <v/>
      </c>
      <c r="G95" s="23" t="str">
        <f>IFERROR(INDEX('Output Utente'!$O$2:$O$492,MATCH(92,'Output Utente'!$R$2:$R$492,0)),"")</f>
        <v/>
      </c>
      <c r="H95" s="23" t="str">
        <f>IFERROR(INDEX('Output Utente'!$P$2:$P$492,MATCH(92,'Output Utente'!$R$2:$R$492,0)),"")</f>
        <v/>
      </c>
      <c r="I95" s="24" t="str">
        <f>IFERROR(INDEX('Output Utente'!$F$2:$F$492,MATCH(92,'Output Utente'!$R$2:$R$492,0)),"")</f>
        <v/>
      </c>
      <c r="J95" s="24" t="str">
        <f>IFERROR(INDEX('Output Utente'!$G$2:$G$492,MATCH(92,'Output Utente'!$R$2:$R$492,0)),"")</f>
        <v/>
      </c>
      <c r="K95" s="24" t="str">
        <f>IFERROR(INDEX('Output Utente'!$H$2:$H$492,MATCH(92,'Output Utente'!$R$2:$R$492,0)),"")</f>
        <v/>
      </c>
      <c r="L95" s="23" t="str">
        <f>IFERROR(INDEX('Output Utente'!$E$2:$E$492,MATCH(92,'Output Utente'!$R$2:$R$492,0)),"")</f>
        <v/>
      </c>
      <c r="V95" t="str">
        <f>IFERROR(INDEX('Output Utente'!$M$2:$M$492,MATCH(92,'Output Utente'!$R$2:$R$492,0)),"")</f>
        <v/>
      </c>
      <c r="W95" t="str">
        <f t="shared" si="1"/>
        <v/>
      </c>
      <c r="X95" t="str">
        <f>IFERROR(INDEX('Output Utente'!$AF$2:$AF$492,MATCH(92,'Output Utente'!$R$2:$R$492,0)),"")</f>
        <v/>
      </c>
    </row>
    <row r="96" spans="1:24" ht="15" customHeight="1" x14ac:dyDescent="0.25">
      <c r="A96" s="26">
        <v>93</v>
      </c>
      <c r="B96" s="23" t="str">
        <f>IFERROR(INDEX('Output Utente'!$A$2:$A$492,MATCH(93,'Output Utente'!$R$2:$R$492,0)),"")</f>
        <v/>
      </c>
      <c r="C96" s="23" t="str">
        <f>IFERROR(INDEX('Output Utente'!$B$2:$B$492,MATCH(93,'Output Utente'!$R$2:$R$492,0)),"")</f>
        <v/>
      </c>
      <c r="D96" s="23" t="str">
        <f>IFERROR(INDEX('Output Utente'!$C$2:$C$492,MATCH(93,'Output Utente'!$R$2:$R$492,0)),"")</f>
        <v/>
      </c>
      <c r="E96" s="23" t="str">
        <f>IFERROR(INDEX('Input Giocatori 2026_27'!$D$3:$D$493,MATCH($B96,'Input Giocatori 2026_27'!$A$3:$A$493,0)),"")</f>
        <v/>
      </c>
      <c r="F96" s="24" t="str">
        <f>IFERROR(INDEX('Output Utente'!$N$2:$N$492,MATCH(93,'Output Utente'!$R$2:$R$492,0)),"")</f>
        <v/>
      </c>
      <c r="G96" s="23" t="str">
        <f>IFERROR(INDEX('Output Utente'!$O$2:$O$492,MATCH(93,'Output Utente'!$R$2:$R$492,0)),"")</f>
        <v/>
      </c>
      <c r="H96" s="23" t="str">
        <f>IFERROR(INDEX('Output Utente'!$P$2:$P$492,MATCH(93,'Output Utente'!$R$2:$R$492,0)),"")</f>
        <v/>
      </c>
      <c r="I96" s="24" t="str">
        <f>IFERROR(INDEX('Output Utente'!$F$2:$F$492,MATCH(93,'Output Utente'!$R$2:$R$492,0)),"")</f>
        <v/>
      </c>
      <c r="J96" s="24" t="str">
        <f>IFERROR(INDEX('Output Utente'!$G$2:$G$492,MATCH(93,'Output Utente'!$R$2:$R$492,0)),"")</f>
        <v/>
      </c>
      <c r="K96" s="24" t="str">
        <f>IFERROR(INDEX('Output Utente'!$H$2:$H$492,MATCH(93,'Output Utente'!$R$2:$R$492,0)),"")</f>
        <v/>
      </c>
      <c r="L96" s="23" t="str">
        <f>IFERROR(INDEX('Output Utente'!$E$2:$E$492,MATCH(93,'Output Utente'!$R$2:$R$492,0)),"")</f>
        <v/>
      </c>
      <c r="V96" t="str">
        <f>IFERROR(INDEX('Output Utente'!$M$2:$M$492,MATCH(93,'Output Utente'!$R$2:$R$492,0)),"")</f>
        <v/>
      </c>
      <c r="W96" t="str">
        <f t="shared" si="1"/>
        <v/>
      </c>
      <c r="X96" t="str">
        <f>IFERROR(INDEX('Output Utente'!$AF$2:$AF$492,MATCH(93,'Output Utente'!$R$2:$R$492,0)),"")</f>
        <v/>
      </c>
    </row>
    <row r="97" spans="1:24" ht="15" customHeight="1" x14ac:dyDescent="0.25">
      <c r="A97" s="26">
        <v>94</v>
      </c>
      <c r="B97" s="23" t="str">
        <f>IFERROR(INDEX('Output Utente'!$A$2:$A$492,MATCH(94,'Output Utente'!$R$2:$R$492,0)),"")</f>
        <v/>
      </c>
      <c r="C97" s="23" t="str">
        <f>IFERROR(INDEX('Output Utente'!$B$2:$B$492,MATCH(94,'Output Utente'!$R$2:$R$492,0)),"")</f>
        <v/>
      </c>
      <c r="D97" s="23" t="str">
        <f>IFERROR(INDEX('Output Utente'!$C$2:$C$492,MATCH(94,'Output Utente'!$R$2:$R$492,0)),"")</f>
        <v/>
      </c>
      <c r="E97" s="23" t="str">
        <f>IFERROR(INDEX('Input Giocatori 2026_27'!$D$3:$D$493,MATCH($B97,'Input Giocatori 2026_27'!$A$3:$A$493,0)),"")</f>
        <v/>
      </c>
      <c r="F97" s="24" t="str">
        <f>IFERROR(INDEX('Output Utente'!$N$2:$N$492,MATCH(94,'Output Utente'!$R$2:$R$492,0)),"")</f>
        <v/>
      </c>
      <c r="G97" s="23" t="str">
        <f>IFERROR(INDEX('Output Utente'!$O$2:$O$492,MATCH(94,'Output Utente'!$R$2:$R$492,0)),"")</f>
        <v/>
      </c>
      <c r="H97" s="23" t="str">
        <f>IFERROR(INDEX('Output Utente'!$P$2:$P$492,MATCH(94,'Output Utente'!$R$2:$R$492,0)),"")</f>
        <v/>
      </c>
      <c r="I97" s="24" t="str">
        <f>IFERROR(INDEX('Output Utente'!$F$2:$F$492,MATCH(94,'Output Utente'!$R$2:$R$492,0)),"")</f>
        <v/>
      </c>
      <c r="J97" s="24" t="str">
        <f>IFERROR(INDEX('Output Utente'!$G$2:$G$492,MATCH(94,'Output Utente'!$R$2:$R$492,0)),"")</f>
        <v/>
      </c>
      <c r="K97" s="24" t="str">
        <f>IFERROR(INDEX('Output Utente'!$H$2:$H$492,MATCH(94,'Output Utente'!$R$2:$R$492,0)),"")</f>
        <v/>
      </c>
      <c r="L97" s="23" t="str">
        <f>IFERROR(INDEX('Output Utente'!$E$2:$E$492,MATCH(94,'Output Utente'!$R$2:$R$492,0)),"")</f>
        <v/>
      </c>
      <c r="V97" t="str">
        <f>IFERROR(INDEX('Output Utente'!$M$2:$M$492,MATCH(94,'Output Utente'!$R$2:$R$492,0)),"")</f>
        <v/>
      </c>
      <c r="W97" t="str">
        <f t="shared" si="1"/>
        <v/>
      </c>
      <c r="X97" t="str">
        <f>IFERROR(INDEX('Output Utente'!$AF$2:$AF$492,MATCH(94,'Output Utente'!$R$2:$R$492,0)),"")</f>
        <v/>
      </c>
    </row>
    <row r="98" spans="1:24" ht="15" customHeight="1" x14ac:dyDescent="0.25">
      <c r="A98" s="26">
        <v>95</v>
      </c>
      <c r="B98" s="23" t="str">
        <f>IFERROR(INDEX('Output Utente'!$A$2:$A$492,MATCH(95,'Output Utente'!$R$2:$R$492,0)),"")</f>
        <v/>
      </c>
      <c r="C98" s="23" t="str">
        <f>IFERROR(INDEX('Output Utente'!$B$2:$B$492,MATCH(95,'Output Utente'!$R$2:$R$492,0)),"")</f>
        <v/>
      </c>
      <c r="D98" s="23" t="str">
        <f>IFERROR(INDEX('Output Utente'!$C$2:$C$492,MATCH(95,'Output Utente'!$R$2:$R$492,0)),"")</f>
        <v/>
      </c>
      <c r="E98" s="23" t="str">
        <f>IFERROR(INDEX('Input Giocatori 2026_27'!$D$3:$D$493,MATCH($B98,'Input Giocatori 2026_27'!$A$3:$A$493,0)),"")</f>
        <v/>
      </c>
      <c r="F98" s="24" t="str">
        <f>IFERROR(INDEX('Output Utente'!$N$2:$N$492,MATCH(95,'Output Utente'!$R$2:$R$492,0)),"")</f>
        <v/>
      </c>
      <c r="G98" s="23" t="str">
        <f>IFERROR(INDEX('Output Utente'!$O$2:$O$492,MATCH(95,'Output Utente'!$R$2:$R$492,0)),"")</f>
        <v/>
      </c>
      <c r="H98" s="23" t="str">
        <f>IFERROR(INDEX('Output Utente'!$P$2:$P$492,MATCH(95,'Output Utente'!$R$2:$R$492,0)),"")</f>
        <v/>
      </c>
      <c r="I98" s="24" t="str">
        <f>IFERROR(INDEX('Output Utente'!$F$2:$F$492,MATCH(95,'Output Utente'!$R$2:$R$492,0)),"")</f>
        <v/>
      </c>
      <c r="J98" s="24" t="str">
        <f>IFERROR(INDEX('Output Utente'!$G$2:$G$492,MATCH(95,'Output Utente'!$R$2:$R$492,0)),"")</f>
        <v/>
      </c>
      <c r="K98" s="24" t="str">
        <f>IFERROR(INDEX('Output Utente'!$H$2:$H$492,MATCH(95,'Output Utente'!$R$2:$R$492,0)),"")</f>
        <v/>
      </c>
      <c r="L98" s="23" t="str">
        <f>IFERROR(INDEX('Output Utente'!$E$2:$E$492,MATCH(95,'Output Utente'!$R$2:$R$492,0)),"")</f>
        <v/>
      </c>
      <c r="V98" t="str">
        <f>IFERROR(INDEX('Output Utente'!$M$2:$M$492,MATCH(95,'Output Utente'!$R$2:$R$492,0)),"")</f>
        <v/>
      </c>
      <c r="W98" t="str">
        <f t="shared" si="1"/>
        <v/>
      </c>
      <c r="X98" t="str">
        <f>IFERROR(INDEX('Output Utente'!$AF$2:$AF$492,MATCH(95,'Output Utente'!$R$2:$R$492,0)),"")</f>
        <v/>
      </c>
    </row>
    <row r="99" spans="1:24" ht="15" customHeight="1" x14ac:dyDescent="0.25">
      <c r="A99" s="26">
        <v>96</v>
      </c>
      <c r="B99" s="23" t="str">
        <f>IFERROR(INDEX('Output Utente'!$A$2:$A$492,MATCH(96,'Output Utente'!$R$2:$R$492,0)),"")</f>
        <v/>
      </c>
      <c r="C99" s="23" t="str">
        <f>IFERROR(INDEX('Output Utente'!$B$2:$B$492,MATCH(96,'Output Utente'!$R$2:$R$492,0)),"")</f>
        <v/>
      </c>
      <c r="D99" s="23" t="str">
        <f>IFERROR(INDEX('Output Utente'!$C$2:$C$492,MATCH(96,'Output Utente'!$R$2:$R$492,0)),"")</f>
        <v/>
      </c>
      <c r="E99" s="23" t="str">
        <f>IFERROR(INDEX('Input Giocatori 2026_27'!$D$3:$D$493,MATCH($B99,'Input Giocatori 2026_27'!$A$3:$A$493,0)),"")</f>
        <v/>
      </c>
      <c r="F99" s="24" t="str">
        <f>IFERROR(INDEX('Output Utente'!$N$2:$N$492,MATCH(96,'Output Utente'!$R$2:$R$492,0)),"")</f>
        <v/>
      </c>
      <c r="G99" s="23" t="str">
        <f>IFERROR(INDEX('Output Utente'!$O$2:$O$492,MATCH(96,'Output Utente'!$R$2:$R$492,0)),"")</f>
        <v/>
      </c>
      <c r="H99" s="23" t="str">
        <f>IFERROR(INDEX('Output Utente'!$P$2:$P$492,MATCH(96,'Output Utente'!$R$2:$R$492,0)),"")</f>
        <v/>
      </c>
      <c r="I99" s="24" t="str">
        <f>IFERROR(INDEX('Output Utente'!$F$2:$F$492,MATCH(96,'Output Utente'!$R$2:$R$492,0)),"")</f>
        <v/>
      </c>
      <c r="J99" s="24" t="str">
        <f>IFERROR(INDEX('Output Utente'!$G$2:$G$492,MATCH(96,'Output Utente'!$R$2:$R$492,0)),"")</f>
        <v/>
      </c>
      <c r="K99" s="24" t="str">
        <f>IFERROR(INDEX('Output Utente'!$H$2:$H$492,MATCH(96,'Output Utente'!$R$2:$R$492,0)),"")</f>
        <v/>
      </c>
      <c r="L99" s="23" t="str">
        <f>IFERROR(INDEX('Output Utente'!$E$2:$E$492,MATCH(96,'Output Utente'!$R$2:$R$492,0)),"")</f>
        <v/>
      </c>
      <c r="V99" t="str">
        <f>IFERROR(INDEX('Output Utente'!$M$2:$M$492,MATCH(96,'Output Utente'!$R$2:$R$492,0)),"")</f>
        <v/>
      </c>
      <c r="W99" t="str">
        <f t="shared" si="1"/>
        <v/>
      </c>
      <c r="X99" t="str">
        <f>IFERROR(INDEX('Output Utente'!$AF$2:$AF$492,MATCH(96,'Output Utente'!$R$2:$R$492,0)),"")</f>
        <v/>
      </c>
    </row>
    <row r="100" spans="1:24" ht="15" customHeight="1" x14ac:dyDescent="0.25">
      <c r="A100" s="26">
        <v>97</v>
      </c>
      <c r="B100" s="23" t="str">
        <f>IFERROR(INDEX('Output Utente'!$A$2:$A$492,MATCH(97,'Output Utente'!$R$2:$R$492,0)),"")</f>
        <v/>
      </c>
      <c r="C100" s="23" t="str">
        <f>IFERROR(INDEX('Output Utente'!$B$2:$B$492,MATCH(97,'Output Utente'!$R$2:$R$492,0)),"")</f>
        <v/>
      </c>
      <c r="D100" s="23" t="str">
        <f>IFERROR(INDEX('Output Utente'!$C$2:$C$492,MATCH(97,'Output Utente'!$R$2:$R$492,0)),"")</f>
        <v/>
      </c>
      <c r="E100" s="23" t="str">
        <f>IFERROR(INDEX('Input Giocatori 2026_27'!$D$3:$D$493,MATCH($B100,'Input Giocatori 2026_27'!$A$3:$A$493,0)),"")</f>
        <v/>
      </c>
      <c r="F100" s="24" t="str">
        <f>IFERROR(INDEX('Output Utente'!$N$2:$N$492,MATCH(97,'Output Utente'!$R$2:$R$492,0)),"")</f>
        <v/>
      </c>
      <c r="G100" s="23" t="str">
        <f>IFERROR(INDEX('Output Utente'!$O$2:$O$492,MATCH(97,'Output Utente'!$R$2:$R$492,0)),"")</f>
        <v/>
      </c>
      <c r="H100" s="23" t="str">
        <f>IFERROR(INDEX('Output Utente'!$P$2:$P$492,MATCH(97,'Output Utente'!$R$2:$R$492,0)),"")</f>
        <v/>
      </c>
      <c r="I100" s="24" t="str">
        <f>IFERROR(INDEX('Output Utente'!$F$2:$F$492,MATCH(97,'Output Utente'!$R$2:$R$492,0)),"")</f>
        <v/>
      </c>
      <c r="J100" s="24" t="str">
        <f>IFERROR(INDEX('Output Utente'!$G$2:$G$492,MATCH(97,'Output Utente'!$R$2:$R$492,0)),"")</f>
        <v/>
      </c>
      <c r="K100" s="24" t="str">
        <f>IFERROR(INDEX('Output Utente'!$H$2:$H$492,MATCH(97,'Output Utente'!$R$2:$R$492,0)),"")</f>
        <v/>
      </c>
      <c r="L100" s="23" t="str">
        <f>IFERROR(INDEX('Output Utente'!$E$2:$E$492,MATCH(97,'Output Utente'!$R$2:$R$492,0)),"")</f>
        <v/>
      </c>
      <c r="V100" t="str">
        <f>IFERROR(INDEX('Output Utente'!$M$2:$M$492,MATCH(97,'Output Utente'!$R$2:$R$492,0)),"")</f>
        <v/>
      </c>
      <c r="W100" t="str">
        <f t="shared" si="1"/>
        <v/>
      </c>
      <c r="X100" t="str">
        <f>IFERROR(INDEX('Output Utente'!$AF$2:$AF$492,MATCH(97,'Output Utente'!$R$2:$R$492,0)),"")</f>
        <v/>
      </c>
    </row>
    <row r="101" spans="1:24" ht="15" customHeight="1" x14ac:dyDescent="0.25">
      <c r="A101" s="26">
        <v>98</v>
      </c>
      <c r="B101" s="23" t="str">
        <f>IFERROR(INDEX('Output Utente'!$A$2:$A$492,MATCH(98,'Output Utente'!$R$2:$R$492,0)),"")</f>
        <v/>
      </c>
      <c r="C101" s="23" t="str">
        <f>IFERROR(INDEX('Output Utente'!$B$2:$B$492,MATCH(98,'Output Utente'!$R$2:$R$492,0)),"")</f>
        <v/>
      </c>
      <c r="D101" s="23" t="str">
        <f>IFERROR(INDEX('Output Utente'!$C$2:$C$492,MATCH(98,'Output Utente'!$R$2:$R$492,0)),"")</f>
        <v/>
      </c>
      <c r="E101" s="23" t="str">
        <f>IFERROR(INDEX('Input Giocatori 2026_27'!$D$3:$D$493,MATCH($B101,'Input Giocatori 2026_27'!$A$3:$A$493,0)),"")</f>
        <v/>
      </c>
      <c r="F101" s="24" t="str">
        <f>IFERROR(INDEX('Output Utente'!$N$2:$N$492,MATCH(98,'Output Utente'!$R$2:$R$492,0)),"")</f>
        <v/>
      </c>
      <c r="G101" s="23" t="str">
        <f>IFERROR(INDEX('Output Utente'!$O$2:$O$492,MATCH(98,'Output Utente'!$R$2:$R$492,0)),"")</f>
        <v/>
      </c>
      <c r="H101" s="23" t="str">
        <f>IFERROR(INDEX('Output Utente'!$P$2:$P$492,MATCH(98,'Output Utente'!$R$2:$R$492,0)),"")</f>
        <v/>
      </c>
      <c r="I101" s="24" t="str">
        <f>IFERROR(INDEX('Output Utente'!$F$2:$F$492,MATCH(98,'Output Utente'!$R$2:$R$492,0)),"")</f>
        <v/>
      </c>
      <c r="J101" s="24" t="str">
        <f>IFERROR(INDEX('Output Utente'!$G$2:$G$492,MATCH(98,'Output Utente'!$R$2:$R$492,0)),"")</f>
        <v/>
      </c>
      <c r="K101" s="24" t="str">
        <f>IFERROR(INDEX('Output Utente'!$H$2:$H$492,MATCH(98,'Output Utente'!$R$2:$R$492,0)),"")</f>
        <v/>
      </c>
      <c r="L101" s="23" t="str">
        <f>IFERROR(INDEX('Output Utente'!$E$2:$E$492,MATCH(98,'Output Utente'!$R$2:$R$492,0)),"")</f>
        <v/>
      </c>
      <c r="V101" t="str">
        <f>IFERROR(INDEX('Output Utente'!$M$2:$M$492,MATCH(98,'Output Utente'!$R$2:$R$492,0)),"")</f>
        <v/>
      </c>
      <c r="W101" t="str">
        <f t="shared" si="1"/>
        <v/>
      </c>
      <c r="X101" t="str">
        <f>IFERROR(INDEX('Output Utente'!$AF$2:$AF$492,MATCH(98,'Output Utente'!$R$2:$R$492,0)),"")</f>
        <v/>
      </c>
    </row>
    <row r="102" spans="1:24" ht="15" customHeight="1" x14ac:dyDescent="0.25">
      <c r="A102" s="26">
        <v>99</v>
      </c>
      <c r="B102" s="23" t="str">
        <f>IFERROR(INDEX('Output Utente'!$A$2:$A$492,MATCH(99,'Output Utente'!$R$2:$R$492,0)),"")</f>
        <v/>
      </c>
      <c r="C102" s="23" t="str">
        <f>IFERROR(INDEX('Output Utente'!$B$2:$B$492,MATCH(99,'Output Utente'!$R$2:$R$492,0)),"")</f>
        <v/>
      </c>
      <c r="D102" s="23" t="str">
        <f>IFERROR(INDEX('Output Utente'!$C$2:$C$492,MATCH(99,'Output Utente'!$R$2:$R$492,0)),"")</f>
        <v/>
      </c>
      <c r="E102" s="23" t="str">
        <f>IFERROR(INDEX('Input Giocatori 2026_27'!$D$3:$D$493,MATCH($B102,'Input Giocatori 2026_27'!$A$3:$A$493,0)),"")</f>
        <v/>
      </c>
      <c r="F102" s="24" t="str">
        <f>IFERROR(INDEX('Output Utente'!$N$2:$N$492,MATCH(99,'Output Utente'!$R$2:$R$492,0)),"")</f>
        <v/>
      </c>
      <c r="G102" s="23" t="str">
        <f>IFERROR(INDEX('Output Utente'!$O$2:$O$492,MATCH(99,'Output Utente'!$R$2:$R$492,0)),"")</f>
        <v/>
      </c>
      <c r="H102" s="23" t="str">
        <f>IFERROR(INDEX('Output Utente'!$P$2:$P$492,MATCH(99,'Output Utente'!$R$2:$R$492,0)),"")</f>
        <v/>
      </c>
      <c r="I102" s="24" t="str">
        <f>IFERROR(INDEX('Output Utente'!$F$2:$F$492,MATCH(99,'Output Utente'!$R$2:$R$492,0)),"")</f>
        <v/>
      </c>
      <c r="J102" s="24" t="str">
        <f>IFERROR(INDEX('Output Utente'!$G$2:$G$492,MATCH(99,'Output Utente'!$R$2:$R$492,0)),"")</f>
        <v/>
      </c>
      <c r="K102" s="24" t="str">
        <f>IFERROR(INDEX('Output Utente'!$H$2:$H$492,MATCH(99,'Output Utente'!$R$2:$R$492,0)),"")</f>
        <v/>
      </c>
      <c r="L102" s="23" t="str">
        <f>IFERROR(INDEX('Output Utente'!$E$2:$E$492,MATCH(99,'Output Utente'!$R$2:$R$492,0)),"")</f>
        <v/>
      </c>
      <c r="V102" t="str">
        <f>IFERROR(INDEX('Output Utente'!$M$2:$M$492,MATCH(99,'Output Utente'!$R$2:$R$492,0)),"")</f>
        <v/>
      </c>
      <c r="W102" t="str">
        <f t="shared" si="1"/>
        <v/>
      </c>
      <c r="X102" t="str">
        <f>IFERROR(INDEX('Output Utente'!$AF$2:$AF$492,MATCH(99,'Output Utente'!$R$2:$R$492,0)),"")</f>
        <v/>
      </c>
    </row>
    <row r="103" spans="1:24" ht="15" customHeight="1" x14ac:dyDescent="0.25">
      <c r="A103" s="26">
        <v>100</v>
      </c>
      <c r="B103" s="23" t="str">
        <f>IFERROR(INDEX('Output Utente'!$A$2:$A$492,MATCH(100,'Output Utente'!$R$2:$R$492,0)),"")</f>
        <v/>
      </c>
      <c r="C103" s="23" t="str">
        <f>IFERROR(INDEX('Output Utente'!$B$2:$B$492,MATCH(100,'Output Utente'!$R$2:$R$492,0)),"")</f>
        <v/>
      </c>
      <c r="D103" s="23" t="str">
        <f>IFERROR(INDEX('Output Utente'!$C$2:$C$492,MATCH(100,'Output Utente'!$R$2:$R$492,0)),"")</f>
        <v/>
      </c>
      <c r="E103" s="23" t="str">
        <f>IFERROR(INDEX('Input Giocatori 2026_27'!$D$3:$D$493,MATCH($B103,'Input Giocatori 2026_27'!$A$3:$A$493,0)),"")</f>
        <v/>
      </c>
      <c r="F103" s="24" t="str">
        <f>IFERROR(INDEX('Output Utente'!$N$2:$N$492,MATCH(100,'Output Utente'!$R$2:$R$492,0)),"")</f>
        <v/>
      </c>
      <c r="G103" s="23" t="str">
        <f>IFERROR(INDEX('Output Utente'!$O$2:$O$492,MATCH(100,'Output Utente'!$R$2:$R$492,0)),"")</f>
        <v/>
      </c>
      <c r="H103" s="23" t="str">
        <f>IFERROR(INDEX('Output Utente'!$P$2:$P$492,MATCH(100,'Output Utente'!$R$2:$R$492,0)),"")</f>
        <v/>
      </c>
      <c r="I103" s="24" t="str">
        <f>IFERROR(INDEX('Output Utente'!$F$2:$F$492,MATCH(100,'Output Utente'!$R$2:$R$492,0)),"")</f>
        <v/>
      </c>
      <c r="J103" s="24" t="str">
        <f>IFERROR(INDEX('Output Utente'!$G$2:$G$492,MATCH(100,'Output Utente'!$R$2:$R$492,0)),"")</f>
        <v/>
      </c>
      <c r="K103" s="24" t="str">
        <f>IFERROR(INDEX('Output Utente'!$H$2:$H$492,MATCH(100,'Output Utente'!$R$2:$R$492,0)),"")</f>
        <v/>
      </c>
      <c r="L103" s="23" t="str">
        <f>IFERROR(INDEX('Output Utente'!$E$2:$E$492,MATCH(100,'Output Utente'!$R$2:$R$492,0)),"")</f>
        <v/>
      </c>
      <c r="V103" t="str">
        <f>IFERROR(INDEX('Output Utente'!$M$2:$M$492,MATCH(100,'Output Utente'!$R$2:$R$492,0)),"")</f>
        <v/>
      </c>
      <c r="W103" t="str">
        <f t="shared" si="1"/>
        <v/>
      </c>
      <c r="X103" t="str">
        <f>IFERROR(INDEX('Output Utente'!$AF$2:$AF$492,MATCH(100,'Output Utente'!$R$2:$R$492,0)),"")</f>
        <v/>
      </c>
    </row>
    <row r="104" spans="1:24" ht="15" customHeight="1" x14ac:dyDescent="0.25">
      <c r="A104" s="26">
        <v>101</v>
      </c>
      <c r="B104" s="23" t="str">
        <f>IFERROR(INDEX('Output Utente'!$A$2:$A$492,MATCH(101,'Output Utente'!$R$2:$R$492,0)),"")</f>
        <v/>
      </c>
      <c r="C104" s="23" t="str">
        <f>IFERROR(INDEX('Output Utente'!$B$2:$B$492,MATCH(101,'Output Utente'!$R$2:$R$492,0)),"")</f>
        <v/>
      </c>
      <c r="D104" s="23" t="str">
        <f>IFERROR(INDEX('Output Utente'!$C$2:$C$492,MATCH(101,'Output Utente'!$R$2:$R$492,0)),"")</f>
        <v/>
      </c>
      <c r="E104" s="23" t="str">
        <f>IFERROR(INDEX('Input Giocatori 2026_27'!$D$3:$D$493,MATCH($B104,'Input Giocatori 2026_27'!$A$3:$A$493,0)),"")</f>
        <v/>
      </c>
      <c r="F104" s="24" t="str">
        <f>IFERROR(INDEX('Output Utente'!$N$2:$N$492,MATCH(101,'Output Utente'!$R$2:$R$492,0)),"")</f>
        <v/>
      </c>
      <c r="G104" s="23" t="str">
        <f>IFERROR(INDEX('Output Utente'!$O$2:$O$492,MATCH(101,'Output Utente'!$R$2:$R$492,0)),"")</f>
        <v/>
      </c>
      <c r="H104" s="23" t="str">
        <f>IFERROR(INDEX('Output Utente'!$P$2:$P$492,MATCH(101,'Output Utente'!$R$2:$R$492,0)),"")</f>
        <v/>
      </c>
      <c r="I104" s="24" t="str">
        <f>IFERROR(INDEX('Output Utente'!$F$2:$F$492,MATCH(101,'Output Utente'!$R$2:$R$492,0)),"")</f>
        <v/>
      </c>
      <c r="J104" s="24" t="str">
        <f>IFERROR(INDEX('Output Utente'!$G$2:$G$492,MATCH(101,'Output Utente'!$R$2:$R$492,0)),"")</f>
        <v/>
      </c>
      <c r="K104" s="24" t="str">
        <f>IFERROR(INDEX('Output Utente'!$H$2:$H$492,MATCH(101,'Output Utente'!$R$2:$R$492,0)),"")</f>
        <v/>
      </c>
      <c r="L104" s="23" t="str">
        <f>IFERROR(INDEX('Output Utente'!$E$2:$E$492,MATCH(101,'Output Utente'!$R$2:$R$492,0)),"")</f>
        <v/>
      </c>
      <c r="V104" t="str">
        <f>IFERROR(INDEX('Output Utente'!$M$2:$M$492,MATCH(101,'Output Utente'!$R$2:$R$492,0)),"")</f>
        <v/>
      </c>
      <c r="W104" t="str">
        <f t="shared" si="1"/>
        <v/>
      </c>
      <c r="X104" t="str">
        <f>IFERROR(INDEX('Output Utente'!$AF$2:$AF$492,MATCH(101,'Output Utente'!$R$2:$R$492,0)),"")</f>
        <v/>
      </c>
    </row>
    <row r="105" spans="1:24" ht="15" customHeight="1" x14ac:dyDescent="0.25">
      <c r="A105" s="26">
        <v>102</v>
      </c>
      <c r="B105" s="23" t="str">
        <f>IFERROR(INDEX('Output Utente'!$A$2:$A$492,MATCH(102,'Output Utente'!$R$2:$R$492,0)),"")</f>
        <v/>
      </c>
      <c r="C105" s="23" t="str">
        <f>IFERROR(INDEX('Output Utente'!$B$2:$B$492,MATCH(102,'Output Utente'!$R$2:$R$492,0)),"")</f>
        <v/>
      </c>
      <c r="D105" s="23" t="str">
        <f>IFERROR(INDEX('Output Utente'!$C$2:$C$492,MATCH(102,'Output Utente'!$R$2:$R$492,0)),"")</f>
        <v/>
      </c>
      <c r="E105" s="23" t="str">
        <f>IFERROR(INDEX('Input Giocatori 2026_27'!$D$3:$D$493,MATCH($B105,'Input Giocatori 2026_27'!$A$3:$A$493,0)),"")</f>
        <v/>
      </c>
      <c r="F105" s="24" t="str">
        <f>IFERROR(INDEX('Output Utente'!$N$2:$N$492,MATCH(102,'Output Utente'!$R$2:$R$492,0)),"")</f>
        <v/>
      </c>
      <c r="G105" s="23" t="str">
        <f>IFERROR(INDEX('Output Utente'!$O$2:$O$492,MATCH(102,'Output Utente'!$R$2:$R$492,0)),"")</f>
        <v/>
      </c>
      <c r="H105" s="23" t="str">
        <f>IFERROR(INDEX('Output Utente'!$P$2:$P$492,MATCH(102,'Output Utente'!$R$2:$R$492,0)),"")</f>
        <v/>
      </c>
      <c r="I105" s="24" t="str">
        <f>IFERROR(INDEX('Output Utente'!$F$2:$F$492,MATCH(102,'Output Utente'!$R$2:$R$492,0)),"")</f>
        <v/>
      </c>
      <c r="J105" s="24" t="str">
        <f>IFERROR(INDEX('Output Utente'!$G$2:$G$492,MATCH(102,'Output Utente'!$R$2:$R$492,0)),"")</f>
        <v/>
      </c>
      <c r="K105" s="24" t="str">
        <f>IFERROR(INDEX('Output Utente'!$H$2:$H$492,MATCH(102,'Output Utente'!$R$2:$R$492,0)),"")</f>
        <v/>
      </c>
      <c r="L105" s="23" t="str">
        <f>IFERROR(INDEX('Output Utente'!$E$2:$E$492,MATCH(102,'Output Utente'!$R$2:$R$492,0)),"")</f>
        <v/>
      </c>
      <c r="V105" t="str">
        <f>IFERROR(INDEX('Output Utente'!$M$2:$M$492,MATCH(102,'Output Utente'!$R$2:$R$492,0)),"")</f>
        <v/>
      </c>
      <c r="W105" t="str">
        <f t="shared" si="1"/>
        <v/>
      </c>
      <c r="X105" t="str">
        <f>IFERROR(INDEX('Output Utente'!$AF$2:$AF$492,MATCH(102,'Output Utente'!$R$2:$R$492,0)),"")</f>
        <v/>
      </c>
    </row>
    <row r="106" spans="1:24" ht="15" customHeight="1" x14ac:dyDescent="0.25">
      <c r="A106" s="26">
        <v>103</v>
      </c>
      <c r="B106" s="23" t="str">
        <f>IFERROR(INDEX('Output Utente'!$A$2:$A$492,MATCH(103,'Output Utente'!$R$2:$R$492,0)),"")</f>
        <v/>
      </c>
      <c r="C106" s="23" t="str">
        <f>IFERROR(INDEX('Output Utente'!$B$2:$B$492,MATCH(103,'Output Utente'!$R$2:$R$492,0)),"")</f>
        <v/>
      </c>
      <c r="D106" s="23" t="str">
        <f>IFERROR(INDEX('Output Utente'!$C$2:$C$492,MATCH(103,'Output Utente'!$R$2:$R$492,0)),"")</f>
        <v/>
      </c>
      <c r="E106" s="23" t="str">
        <f>IFERROR(INDEX('Input Giocatori 2026_27'!$D$3:$D$493,MATCH($B106,'Input Giocatori 2026_27'!$A$3:$A$493,0)),"")</f>
        <v/>
      </c>
      <c r="F106" s="24" t="str">
        <f>IFERROR(INDEX('Output Utente'!$N$2:$N$492,MATCH(103,'Output Utente'!$R$2:$R$492,0)),"")</f>
        <v/>
      </c>
      <c r="G106" s="23" t="str">
        <f>IFERROR(INDEX('Output Utente'!$O$2:$O$492,MATCH(103,'Output Utente'!$R$2:$R$492,0)),"")</f>
        <v/>
      </c>
      <c r="H106" s="23" t="str">
        <f>IFERROR(INDEX('Output Utente'!$P$2:$P$492,MATCH(103,'Output Utente'!$R$2:$R$492,0)),"")</f>
        <v/>
      </c>
      <c r="I106" s="24" t="str">
        <f>IFERROR(INDEX('Output Utente'!$F$2:$F$492,MATCH(103,'Output Utente'!$R$2:$R$492,0)),"")</f>
        <v/>
      </c>
      <c r="J106" s="24" t="str">
        <f>IFERROR(INDEX('Output Utente'!$G$2:$G$492,MATCH(103,'Output Utente'!$R$2:$R$492,0)),"")</f>
        <v/>
      </c>
      <c r="K106" s="24" t="str">
        <f>IFERROR(INDEX('Output Utente'!$H$2:$H$492,MATCH(103,'Output Utente'!$R$2:$R$492,0)),"")</f>
        <v/>
      </c>
      <c r="L106" s="23" t="str">
        <f>IFERROR(INDEX('Output Utente'!$E$2:$E$492,MATCH(103,'Output Utente'!$R$2:$R$492,0)),"")</f>
        <v/>
      </c>
      <c r="V106" t="str">
        <f>IFERROR(INDEX('Output Utente'!$M$2:$M$492,MATCH(103,'Output Utente'!$R$2:$R$492,0)),"")</f>
        <v/>
      </c>
      <c r="W106" t="str">
        <f t="shared" si="1"/>
        <v/>
      </c>
      <c r="X106" t="str">
        <f>IFERROR(INDEX('Output Utente'!$AF$2:$AF$492,MATCH(103,'Output Utente'!$R$2:$R$492,0)),"")</f>
        <v/>
      </c>
    </row>
    <row r="107" spans="1:24" ht="15" customHeight="1" x14ac:dyDescent="0.25">
      <c r="A107" s="26">
        <v>104</v>
      </c>
      <c r="B107" s="23" t="str">
        <f>IFERROR(INDEX('Output Utente'!$A$2:$A$492,MATCH(104,'Output Utente'!$R$2:$R$492,0)),"")</f>
        <v/>
      </c>
      <c r="C107" s="23" t="str">
        <f>IFERROR(INDEX('Output Utente'!$B$2:$B$492,MATCH(104,'Output Utente'!$R$2:$R$492,0)),"")</f>
        <v/>
      </c>
      <c r="D107" s="23" t="str">
        <f>IFERROR(INDEX('Output Utente'!$C$2:$C$492,MATCH(104,'Output Utente'!$R$2:$R$492,0)),"")</f>
        <v/>
      </c>
      <c r="E107" s="23" t="str">
        <f>IFERROR(INDEX('Input Giocatori 2026_27'!$D$3:$D$493,MATCH($B107,'Input Giocatori 2026_27'!$A$3:$A$493,0)),"")</f>
        <v/>
      </c>
      <c r="F107" s="24" t="str">
        <f>IFERROR(INDEX('Output Utente'!$N$2:$N$492,MATCH(104,'Output Utente'!$R$2:$R$492,0)),"")</f>
        <v/>
      </c>
      <c r="G107" s="23" t="str">
        <f>IFERROR(INDEX('Output Utente'!$O$2:$O$492,MATCH(104,'Output Utente'!$R$2:$R$492,0)),"")</f>
        <v/>
      </c>
      <c r="H107" s="23" t="str">
        <f>IFERROR(INDEX('Output Utente'!$P$2:$P$492,MATCH(104,'Output Utente'!$R$2:$R$492,0)),"")</f>
        <v/>
      </c>
      <c r="I107" s="24" t="str">
        <f>IFERROR(INDEX('Output Utente'!$F$2:$F$492,MATCH(104,'Output Utente'!$R$2:$R$492,0)),"")</f>
        <v/>
      </c>
      <c r="J107" s="24" t="str">
        <f>IFERROR(INDEX('Output Utente'!$G$2:$G$492,MATCH(104,'Output Utente'!$R$2:$R$492,0)),"")</f>
        <v/>
      </c>
      <c r="K107" s="24" t="str">
        <f>IFERROR(INDEX('Output Utente'!$H$2:$H$492,MATCH(104,'Output Utente'!$R$2:$R$492,0)),"")</f>
        <v/>
      </c>
      <c r="L107" s="23" t="str">
        <f>IFERROR(INDEX('Output Utente'!$E$2:$E$492,MATCH(104,'Output Utente'!$R$2:$R$492,0)),"")</f>
        <v/>
      </c>
      <c r="V107" t="str">
        <f>IFERROR(INDEX('Output Utente'!$M$2:$M$492,MATCH(104,'Output Utente'!$R$2:$R$492,0)),"")</f>
        <v/>
      </c>
      <c r="W107" t="str">
        <f t="shared" si="1"/>
        <v/>
      </c>
      <c r="X107" t="str">
        <f>IFERROR(INDEX('Output Utente'!$AF$2:$AF$492,MATCH(104,'Output Utente'!$R$2:$R$492,0)),"")</f>
        <v/>
      </c>
    </row>
    <row r="108" spans="1:24" ht="15" customHeight="1" x14ac:dyDescent="0.25">
      <c r="A108" s="26">
        <v>105</v>
      </c>
      <c r="B108" s="23" t="str">
        <f>IFERROR(INDEX('Output Utente'!$A$2:$A$492,MATCH(105,'Output Utente'!$R$2:$R$492,0)),"")</f>
        <v/>
      </c>
      <c r="C108" s="23" t="str">
        <f>IFERROR(INDEX('Output Utente'!$B$2:$B$492,MATCH(105,'Output Utente'!$R$2:$R$492,0)),"")</f>
        <v/>
      </c>
      <c r="D108" s="23" t="str">
        <f>IFERROR(INDEX('Output Utente'!$C$2:$C$492,MATCH(105,'Output Utente'!$R$2:$R$492,0)),"")</f>
        <v/>
      </c>
      <c r="E108" s="23" t="str">
        <f>IFERROR(INDEX('Input Giocatori 2026_27'!$D$3:$D$493,MATCH($B108,'Input Giocatori 2026_27'!$A$3:$A$493,0)),"")</f>
        <v/>
      </c>
      <c r="F108" s="24" t="str">
        <f>IFERROR(INDEX('Output Utente'!$N$2:$N$492,MATCH(105,'Output Utente'!$R$2:$R$492,0)),"")</f>
        <v/>
      </c>
      <c r="G108" s="23" t="str">
        <f>IFERROR(INDEX('Output Utente'!$O$2:$O$492,MATCH(105,'Output Utente'!$R$2:$R$492,0)),"")</f>
        <v/>
      </c>
      <c r="H108" s="23" t="str">
        <f>IFERROR(INDEX('Output Utente'!$P$2:$P$492,MATCH(105,'Output Utente'!$R$2:$R$492,0)),"")</f>
        <v/>
      </c>
      <c r="I108" s="24" t="str">
        <f>IFERROR(INDEX('Output Utente'!$F$2:$F$492,MATCH(105,'Output Utente'!$R$2:$R$492,0)),"")</f>
        <v/>
      </c>
      <c r="J108" s="24" t="str">
        <f>IFERROR(INDEX('Output Utente'!$G$2:$G$492,MATCH(105,'Output Utente'!$R$2:$R$492,0)),"")</f>
        <v/>
      </c>
      <c r="K108" s="24" t="str">
        <f>IFERROR(INDEX('Output Utente'!$H$2:$H$492,MATCH(105,'Output Utente'!$R$2:$R$492,0)),"")</f>
        <v/>
      </c>
      <c r="L108" s="23" t="str">
        <f>IFERROR(INDEX('Output Utente'!$E$2:$E$492,MATCH(105,'Output Utente'!$R$2:$R$492,0)),"")</f>
        <v/>
      </c>
      <c r="V108" t="str">
        <f>IFERROR(INDEX('Output Utente'!$M$2:$M$492,MATCH(105,'Output Utente'!$R$2:$R$492,0)),"")</f>
        <v/>
      </c>
      <c r="W108" t="str">
        <f t="shared" si="1"/>
        <v/>
      </c>
      <c r="X108" t="str">
        <f>IFERROR(INDEX('Output Utente'!$AF$2:$AF$492,MATCH(105,'Output Utente'!$R$2:$R$492,0)),"")</f>
        <v/>
      </c>
    </row>
    <row r="109" spans="1:24" ht="15" customHeight="1" x14ac:dyDescent="0.25">
      <c r="A109" s="26">
        <v>106</v>
      </c>
      <c r="B109" s="23" t="str">
        <f>IFERROR(INDEX('Output Utente'!$A$2:$A$492,MATCH(106,'Output Utente'!$R$2:$R$492,0)),"")</f>
        <v/>
      </c>
      <c r="C109" s="23" t="str">
        <f>IFERROR(INDEX('Output Utente'!$B$2:$B$492,MATCH(106,'Output Utente'!$R$2:$R$492,0)),"")</f>
        <v/>
      </c>
      <c r="D109" s="23" t="str">
        <f>IFERROR(INDEX('Output Utente'!$C$2:$C$492,MATCH(106,'Output Utente'!$R$2:$R$492,0)),"")</f>
        <v/>
      </c>
      <c r="E109" s="23" t="str">
        <f>IFERROR(INDEX('Input Giocatori 2026_27'!$D$3:$D$493,MATCH($B109,'Input Giocatori 2026_27'!$A$3:$A$493,0)),"")</f>
        <v/>
      </c>
      <c r="F109" s="24" t="str">
        <f>IFERROR(INDEX('Output Utente'!$N$2:$N$492,MATCH(106,'Output Utente'!$R$2:$R$492,0)),"")</f>
        <v/>
      </c>
      <c r="G109" s="23" t="str">
        <f>IFERROR(INDEX('Output Utente'!$O$2:$O$492,MATCH(106,'Output Utente'!$R$2:$R$492,0)),"")</f>
        <v/>
      </c>
      <c r="H109" s="23" t="str">
        <f>IFERROR(INDEX('Output Utente'!$P$2:$P$492,MATCH(106,'Output Utente'!$R$2:$R$492,0)),"")</f>
        <v/>
      </c>
      <c r="I109" s="24" t="str">
        <f>IFERROR(INDEX('Output Utente'!$F$2:$F$492,MATCH(106,'Output Utente'!$R$2:$R$492,0)),"")</f>
        <v/>
      </c>
      <c r="J109" s="24" t="str">
        <f>IFERROR(INDEX('Output Utente'!$G$2:$G$492,MATCH(106,'Output Utente'!$R$2:$R$492,0)),"")</f>
        <v/>
      </c>
      <c r="K109" s="24" t="str">
        <f>IFERROR(INDEX('Output Utente'!$H$2:$H$492,MATCH(106,'Output Utente'!$R$2:$R$492,0)),"")</f>
        <v/>
      </c>
      <c r="L109" s="23" t="str">
        <f>IFERROR(INDEX('Output Utente'!$E$2:$E$492,MATCH(106,'Output Utente'!$R$2:$R$492,0)),"")</f>
        <v/>
      </c>
      <c r="V109" t="str">
        <f>IFERROR(INDEX('Output Utente'!$M$2:$M$492,MATCH(106,'Output Utente'!$R$2:$R$492,0)),"")</f>
        <v/>
      </c>
      <c r="W109" t="str">
        <f t="shared" si="1"/>
        <v/>
      </c>
      <c r="X109" t="str">
        <f>IFERROR(INDEX('Output Utente'!$AF$2:$AF$492,MATCH(106,'Output Utente'!$R$2:$R$492,0)),"")</f>
        <v/>
      </c>
    </row>
    <row r="110" spans="1:24" ht="15" customHeight="1" x14ac:dyDescent="0.25">
      <c r="A110" s="26">
        <v>107</v>
      </c>
      <c r="B110" s="23" t="str">
        <f>IFERROR(INDEX('Output Utente'!$A$2:$A$492,MATCH(107,'Output Utente'!$R$2:$R$492,0)),"")</f>
        <v/>
      </c>
      <c r="C110" s="23" t="str">
        <f>IFERROR(INDEX('Output Utente'!$B$2:$B$492,MATCH(107,'Output Utente'!$R$2:$R$492,0)),"")</f>
        <v/>
      </c>
      <c r="D110" s="23" t="str">
        <f>IFERROR(INDEX('Output Utente'!$C$2:$C$492,MATCH(107,'Output Utente'!$R$2:$R$492,0)),"")</f>
        <v/>
      </c>
      <c r="E110" s="23" t="str">
        <f>IFERROR(INDEX('Input Giocatori 2026_27'!$D$3:$D$493,MATCH($B110,'Input Giocatori 2026_27'!$A$3:$A$493,0)),"")</f>
        <v/>
      </c>
      <c r="F110" s="24" t="str">
        <f>IFERROR(INDEX('Output Utente'!$N$2:$N$492,MATCH(107,'Output Utente'!$R$2:$R$492,0)),"")</f>
        <v/>
      </c>
      <c r="G110" s="23" t="str">
        <f>IFERROR(INDEX('Output Utente'!$O$2:$O$492,MATCH(107,'Output Utente'!$R$2:$R$492,0)),"")</f>
        <v/>
      </c>
      <c r="H110" s="23" t="str">
        <f>IFERROR(INDEX('Output Utente'!$P$2:$P$492,MATCH(107,'Output Utente'!$R$2:$R$492,0)),"")</f>
        <v/>
      </c>
      <c r="I110" s="24" t="str">
        <f>IFERROR(INDEX('Output Utente'!$F$2:$F$492,MATCH(107,'Output Utente'!$R$2:$R$492,0)),"")</f>
        <v/>
      </c>
      <c r="J110" s="24" t="str">
        <f>IFERROR(INDEX('Output Utente'!$G$2:$G$492,MATCH(107,'Output Utente'!$R$2:$R$492,0)),"")</f>
        <v/>
      </c>
      <c r="K110" s="24" t="str">
        <f>IFERROR(INDEX('Output Utente'!$H$2:$H$492,MATCH(107,'Output Utente'!$R$2:$R$492,0)),"")</f>
        <v/>
      </c>
      <c r="L110" s="23" t="str">
        <f>IFERROR(INDEX('Output Utente'!$E$2:$E$492,MATCH(107,'Output Utente'!$R$2:$R$492,0)),"")</f>
        <v/>
      </c>
      <c r="V110" t="str">
        <f>IFERROR(INDEX('Output Utente'!$M$2:$M$492,MATCH(107,'Output Utente'!$R$2:$R$492,0)),"")</f>
        <v/>
      </c>
      <c r="W110" t="str">
        <f t="shared" si="1"/>
        <v/>
      </c>
      <c r="X110" t="str">
        <f>IFERROR(INDEX('Output Utente'!$AF$2:$AF$492,MATCH(107,'Output Utente'!$R$2:$R$492,0)),"")</f>
        <v/>
      </c>
    </row>
    <row r="111" spans="1:24" ht="15" customHeight="1" x14ac:dyDescent="0.25">
      <c r="A111" s="26">
        <v>108</v>
      </c>
      <c r="B111" s="23" t="str">
        <f>IFERROR(INDEX('Output Utente'!$A$2:$A$492,MATCH(108,'Output Utente'!$R$2:$R$492,0)),"")</f>
        <v/>
      </c>
      <c r="C111" s="23" t="str">
        <f>IFERROR(INDEX('Output Utente'!$B$2:$B$492,MATCH(108,'Output Utente'!$R$2:$R$492,0)),"")</f>
        <v/>
      </c>
      <c r="D111" s="23" t="str">
        <f>IFERROR(INDEX('Output Utente'!$C$2:$C$492,MATCH(108,'Output Utente'!$R$2:$R$492,0)),"")</f>
        <v/>
      </c>
      <c r="E111" s="23" t="str">
        <f>IFERROR(INDEX('Input Giocatori 2026_27'!$D$3:$D$493,MATCH($B111,'Input Giocatori 2026_27'!$A$3:$A$493,0)),"")</f>
        <v/>
      </c>
      <c r="F111" s="24" t="str">
        <f>IFERROR(INDEX('Output Utente'!$N$2:$N$492,MATCH(108,'Output Utente'!$R$2:$R$492,0)),"")</f>
        <v/>
      </c>
      <c r="G111" s="23" t="str">
        <f>IFERROR(INDEX('Output Utente'!$O$2:$O$492,MATCH(108,'Output Utente'!$R$2:$R$492,0)),"")</f>
        <v/>
      </c>
      <c r="H111" s="23" t="str">
        <f>IFERROR(INDEX('Output Utente'!$P$2:$P$492,MATCH(108,'Output Utente'!$R$2:$R$492,0)),"")</f>
        <v/>
      </c>
      <c r="I111" s="24" t="str">
        <f>IFERROR(INDEX('Output Utente'!$F$2:$F$492,MATCH(108,'Output Utente'!$R$2:$R$492,0)),"")</f>
        <v/>
      </c>
      <c r="J111" s="24" t="str">
        <f>IFERROR(INDEX('Output Utente'!$G$2:$G$492,MATCH(108,'Output Utente'!$R$2:$R$492,0)),"")</f>
        <v/>
      </c>
      <c r="K111" s="24" t="str">
        <f>IFERROR(INDEX('Output Utente'!$H$2:$H$492,MATCH(108,'Output Utente'!$R$2:$R$492,0)),"")</f>
        <v/>
      </c>
      <c r="L111" s="23" t="str">
        <f>IFERROR(INDEX('Output Utente'!$E$2:$E$492,MATCH(108,'Output Utente'!$R$2:$R$492,0)),"")</f>
        <v/>
      </c>
      <c r="V111" t="str">
        <f>IFERROR(INDEX('Output Utente'!$M$2:$M$492,MATCH(108,'Output Utente'!$R$2:$R$492,0)),"")</f>
        <v/>
      </c>
      <c r="W111" t="str">
        <f t="shared" si="1"/>
        <v/>
      </c>
      <c r="X111" t="str">
        <f>IFERROR(INDEX('Output Utente'!$AF$2:$AF$492,MATCH(108,'Output Utente'!$R$2:$R$492,0)),"")</f>
        <v/>
      </c>
    </row>
    <row r="112" spans="1:24" ht="15" customHeight="1" x14ac:dyDescent="0.25">
      <c r="A112" s="26">
        <v>109</v>
      </c>
      <c r="B112" s="23" t="str">
        <f>IFERROR(INDEX('Output Utente'!$A$2:$A$492,MATCH(109,'Output Utente'!$R$2:$R$492,0)),"")</f>
        <v/>
      </c>
      <c r="C112" s="23" t="str">
        <f>IFERROR(INDEX('Output Utente'!$B$2:$B$492,MATCH(109,'Output Utente'!$R$2:$R$492,0)),"")</f>
        <v/>
      </c>
      <c r="D112" s="23" t="str">
        <f>IFERROR(INDEX('Output Utente'!$C$2:$C$492,MATCH(109,'Output Utente'!$R$2:$R$492,0)),"")</f>
        <v/>
      </c>
      <c r="E112" s="23" t="str">
        <f>IFERROR(INDEX('Input Giocatori 2026_27'!$D$3:$D$493,MATCH($B112,'Input Giocatori 2026_27'!$A$3:$A$493,0)),"")</f>
        <v/>
      </c>
      <c r="F112" s="24" t="str">
        <f>IFERROR(INDEX('Output Utente'!$N$2:$N$492,MATCH(109,'Output Utente'!$R$2:$R$492,0)),"")</f>
        <v/>
      </c>
      <c r="G112" s="23" t="str">
        <f>IFERROR(INDEX('Output Utente'!$O$2:$O$492,MATCH(109,'Output Utente'!$R$2:$R$492,0)),"")</f>
        <v/>
      </c>
      <c r="H112" s="23" t="str">
        <f>IFERROR(INDEX('Output Utente'!$P$2:$P$492,MATCH(109,'Output Utente'!$R$2:$R$492,0)),"")</f>
        <v/>
      </c>
      <c r="I112" s="24" t="str">
        <f>IFERROR(INDEX('Output Utente'!$F$2:$F$492,MATCH(109,'Output Utente'!$R$2:$R$492,0)),"")</f>
        <v/>
      </c>
      <c r="J112" s="24" t="str">
        <f>IFERROR(INDEX('Output Utente'!$G$2:$G$492,MATCH(109,'Output Utente'!$R$2:$R$492,0)),"")</f>
        <v/>
      </c>
      <c r="K112" s="24" t="str">
        <f>IFERROR(INDEX('Output Utente'!$H$2:$H$492,MATCH(109,'Output Utente'!$R$2:$R$492,0)),"")</f>
        <v/>
      </c>
      <c r="L112" s="23" t="str">
        <f>IFERROR(INDEX('Output Utente'!$E$2:$E$492,MATCH(109,'Output Utente'!$R$2:$R$492,0)),"")</f>
        <v/>
      </c>
      <c r="V112" t="str">
        <f>IFERROR(INDEX('Output Utente'!$M$2:$M$492,MATCH(109,'Output Utente'!$R$2:$R$492,0)),"")</f>
        <v/>
      </c>
      <c r="W112" t="str">
        <f t="shared" si="1"/>
        <v/>
      </c>
      <c r="X112" t="str">
        <f>IFERROR(INDEX('Output Utente'!$AF$2:$AF$492,MATCH(109,'Output Utente'!$R$2:$R$492,0)),"")</f>
        <v/>
      </c>
    </row>
    <row r="113" spans="1:24" ht="15" customHeight="1" x14ac:dyDescent="0.25">
      <c r="A113" s="26">
        <v>110</v>
      </c>
      <c r="B113" s="23" t="str">
        <f>IFERROR(INDEX('Output Utente'!$A$2:$A$492,MATCH(110,'Output Utente'!$R$2:$R$492,0)),"")</f>
        <v/>
      </c>
      <c r="C113" s="23" t="str">
        <f>IFERROR(INDEX('Output Utente'!$B$2:$B$492,MATCH(110,'Output Utente'!$R$2:$R$492,0)),"")</f>
        <v/>
      </c>
      <c r="D113" s="23" t="str">
        <f>IFERROR(INDEX('Output Utente'!$C$2:$C$492,MATCH(110,'Output Utente'!$R$2:$R$492,0)),"")</f>
        <v/>
      </c>
      <c r="E113" s="23" t="str">
        <f>IFERROR(INDEX('Input Giocatori 2026_27'!$D$3:$D$493,MATCH($B113,'Input Giocatori 2026_27'!$A$3:$A$493,0)),"")</f>
        <v/>
      </c>
      <c r="F113" s="24" t="str">
        <f>IFERROR(INDEX('Output Utente'!$N$2:$N$492,MATCH(110,'Output Utente'!$R$2:$R$492,0)),"")</f>
        <v/>
      </c>
      <c r="G113" s="23" t="str">
        <f>IFERROR(INDEX('Output Utente'!$O$2:$O$492,MATCH(110,'Output Utente'!$R$2:$R$492,0)),"")</f>
        <v/>
      </c>
      <c r="H113" s="23" t="str">
        <f>IFERROR(INDEX('Output Utente'!$P$2:$P$492,MATCH(110,'Output Utente'!$R$2:$R$492,0)),"")</f>
        <v/>
      </c>
      <c r="I113" s="24" t="str">
        <f>IFERROR(INDEX('Output Utente'!$F$2:$F$492,MATCH(110,'Output Utente'!$R$2:$R$492,0)),"")</f>
        <v/>
      </c>
      <c r="J113" s="24" t="str">
        <f>IFERROR(INDEX('Output Utente'!$G$2:$G$492,MATCH(110,'Output Utente'!$R$2:$R$492,0)),"")</f>
        <v/>
      </c>
      <c r="K113" s="24" t="str">
        <f>IFERROR(INDEX('Output Utente'!$H$2:$H$492,MATCH(110,'Output Utente'!$R$2:$R$492,0)),"")</f>
        <v/>
      </c>
      <c r="L113" s="23" t="str">
        <f>IFERROR(INDEX('Output Utente'!$E$2:$E$492,MATCH(110,'Output Utente'!$R$2:$R$492,0)),"")</f>
        <v/>
      </c>
      <c r="V113" t="str">
        <f>IFERROR(INDEX('Output Utente'!$M$2:$M$492,MATCH(110,'Output Utente'!$R$2:$R$492,0)),"")</f>
        <v/>
      </c>
      <c r="W113" t="str">
        <f t="shared" si="1"/>
        <v/>
      </c>
      <c r="X113" t="str">
        <f>IFERROR(INDEX('Output Utente'!$AF$2:$AF$492,MATCH(110,'Output Utente'!$R$2:$R$492,0)),"")</f>
        <v/>
      </c>
    </row>
    <row r="114" spans="1:24" ht="15" customHeight="1" x14ac:dyDescent="0.25">
      <c r="A114" s="26">
        <v>111</v>
      </c>
      <c r="B114" s="23" t="str">
        <f>IFERROR(INDEX('Output Utente'!$A$2:$A$492,MATCH(111,'Output Utente'!$R$2:$R$492,0)),"")</f>
        <v/>
      </c>
      <c r="C114" s="23" t="str">
        <f>IFERROR(INDEX('Output Utente'!$B$2:$B$492,MATCH(111,'Output Utente'!$R$2:$R$492,0)),"")</f>
        <v/>
      </c>
      <c r="D114" s="23" t="str">
        <f>IFERROR(INDEX('Output Utente'!$C$2:$C$492,MATCH(111,'Output Utente'!$R$2:$R$492,0)),"")</f>
        <v/>
      </c>
      <c r="E114" s="23" t="str">
        <f>IFERROR(INDEX('Input Giocatori 2026_27'!$D$3:$D$493,MATCH($B114,'Input Giocatori 2026_27'!$A$3:$A$493,0)),"")</f>
        <v/>
      </c>
      <c r="F114" s="24" t="str">
        <f>IFERROR(INDEX('Output Utente'!$N$2:$N$492,MATCH(111,'Output Utente'!$R$2:$R$492,0)),"")</f>
        <v/>
      </c>
      <c r="G114" s="23" t="str">
        <f>IFERROR(INDEX('Output Utente'!$O$2:$O$492,MATCH(111,'Output Utente'!$R$2:$R$492,0)),"")</f>
        <v/>
      </c>
      <c r="H114" s="23" t="str">
        <f>IFERROR(INDEX('Output Utente'!$P$2:$P$492,MATCH(111,'Output Utente'!$R$2:$R$492,0)),"")</f>
        <v/>
      </c>
      <c r="I114" s="24" t="str">
        <f>IFERROR(INDEX('Output Utente'!$F$2:$F$492,MATCH(111,'Output Utente'!$R$2:$R$492,0)),"")</f>
        <v/>
      </c>
      <c r="J114" s="24" t="str">
        <f>IFERROR(INDEX('Output Utente'!$G$2:$G$492,MATCH(111,'Output Utente'!$R$2:$R$492,0)),"")</f>
        <v/>
      </c>
      <c r="K114" s="24" t="str">
        <f>IFERROR(INDEX('Output Utente'!$H$2:$H$492,MATCH(111,'Output Utente'!$R$2:$R$492,0)),"")</f>
        <v/>
      </c>
      <c r="L114" s="23" t="str">
        <f>IFERROR(INDEX('Output Utente'!$E$2:$E$492,MATCH(111,'Output Utente'!$R$2:$R$492,0)),"")</f>
        <v/>
      </c>
      <c r="V114" t="str">
        <f>IFERROR(INDEX('Output Utente'!$M$2:$M$492,MATCH(111,'Output Utente'!$R$2:$R$492,0)),"")</f>
        <v/>
      </c>
      <c r="W114" t="str">
        <f t="shared" si="1"/>
        <v/>
      </c>
      <c r="X114" t="str">
        <f>IFERROR(INDEX('Output Utente'!$AF$2:$AF$492,MATCH(111,'Output Utente'!$R$2:$R$492,0)),"")</f>
        <v/>
      </c>
    </row>
    <row r="115" spans="1:24" ht="15" customHeight="1" x14ac:dyDescent="0.25">
      <c r="A115" s="26">
        <v>112</v>
      </c>
      <c r="B115" s="23" t="str">
        <f>IFERROR(INDEX('Output Utente'!$A$2:$A$492,MATCH(112,'Output Utente'!$R$2:$R$492,0)),"")</f>
        <v/>
      </c>
      <c r="C115" s="23" t="str">
        <f>IFERROR(INDEX('Output Utente'!$B$2:$B$492,MATCH(112,'Output Utente'!$R$2:$R$492,0)),"")</f>
        <v/>
      </c>
      <c r="D115" s="23" t="str">
        <f>IFERROR(INDEX('Output Utente'!$C$2:$C$492,MATCH(112,'Output Utente'!$R$2:$R$492,0)),"")</f>
        <v/>
      </c>
      <c r="E115" s="23" t="str">
        <f>IFERROR(INDEX('Input Giocatori 2026_27'!$D$3:$D$493,MATCH($B115,'Input Giocatori 2026_27'!$A$3:$A$493,0)),"")</f>
        <v/>
      </c>
      <c r="F115" s="24" t="str">
        <f>IFERROR(INDEX('Output Utente'!$N$2:$N$492,MATCH(112,'Output Utente'!$R$2:$R$492,0)),"")</f>
        <v/>
      </c>
      <c r="G115" s="23" t="str">
        <f>IFERROR(INDEX('Output Utente'!$O$2:$O$492,MATCH(112,'Output Utente'!$R$2:$R$492,0)),"")</f>
        <v/>
      </c>
      <c r="H115" s="23" t="str">
        <f>IFERROR(INDEX('Output Utente'!$P$2:$P$492,MATCH(112,'Output Utente'!$R$2:$R$492,0)),"")</f>
        <v/>
      </c>
      <c r="I115" s="24" t="str">
        <f>IFERROR(INDEX('Output Utente'!$F$2:$F$492,MATCH(112,'Output Utente'!$R$2:$R$492,0)),"")</f>
        <v/>
      </c>
      <c r="J115" s="24" t="str">
        <f>IFERROR(INDEX('Output Utente'!$G$2:$G$492,MATCH(112,'Output Utente'!$R$2:$R$492,0)),"")</f>
        <v/>
      </c>
      <c r="K115" s="24" t="str">
        <f>IFERROR(INDEX('Output Utente'!$H$2:$H$492,MATCH(112,'Output Utente'!$R$2:$R$492,0)),"")</f>
        <v/>
      </c>
      <c r="L115" s="23" t="str">
        <f>IFERROR(INDEX('Output Utente'!$E$2:$E$492,MATCH(112,'Output Utente'!$R$2:$R$492,0)),"")</f>
        <v/>
      </c>
      <c r="V115" t="str">
        <f>IFERROR(INDEX('Output Utente'!$M$2:$M$492,MATCH(112,'Output Utente'!$R$2:$R$492,0)),"")</f>
        <v/>
      </c>
      <c r="W115" t="str">
        <f t="shared" si="1"/>
        <v/>
      </c>
      <c r="X115" t="str">
        <f>IFERROR(INDEX('Output Utente'!$AF$2:$AF$492,MATCH(112,'Output Utente'!$R$2:$R$492,0)),"")</f>
        <v/>
      </c>
    </row>
    <row r="116" spans="1:24" ht="15" customHeight="1" x14ac:dyDescent="0.25">
      <c r="A116" s="26">
        <v>113</v>
      </c>
      <c r="B116" s="23" t="str">
        <f>IFERROR(INDEX('Output Utente'!$A$2:$A$492,MATCH(113,'Output Utente'!$R$2:$R$492,0)),"")</f>
        <v/>
      </c>
      <c r="C116" s="23" t="str">
        <f>IFERROR(INDEX('Output Utente'!$B$2:$B$492,MATCH(113,'Output Utente'!$R$2:$R$492,0)),"")</f>
        <v/>
      </c>
      <c r="D116" s="23" t="str">
        <f>IFERROR(INDEX('Output Utente'!$C$2:$C$492,MATCH(113,'Output Utente'!$R$2:$R$492,0)),"")</f>
        <v/>
      </c>
      <c r="E116" s="23" t="str">
        <f>IFERROR(INDEX('Input Giocatori 2026_27'!$D$3:$D$493,MATCH($B116,'Input Giocatori 2026_27'!$A$3:$A$493,0)),"")</f>
        <v/>
      </c>
      <c r="F116" s="24" t="str">
        <f>IFERROR(INDEX('Output Utente'!$N$2:$N$492,MATCH(113,'Output Utente'!$R$2:$R$492,0)),"")</f>
        <v/>
      </c>
      <c r="G116" s="23" t="str">
        <f>IFERROR(INDEX('Output Utente'!$O$2:$O$492,MATCH(113,'Output Utente'!$R$2:$R$492,0)),"")</f>
        <v/>
      </c>
      <c r="H116" s="23" t="str">
        <f>IFERROR(INDEX('Output Utente'!$P$2:$P$492,MATCH(113,'Output Utente'!$R$2:$R$492,0)),"")</f>
        <v/>
      </c>
      <c r="I116" s="24" t="str">
        <f>IFERROR(INDEX('Output Utente'!$F$2:$F$492,MATCH(113,'Output Utente'!$R$2:$R$492,0)),"")</f>
        <v/>
      </c>
      <c r="J116" s="24" t="str">
        <f>IFERROR(INDEX('Output Utente'!$G$2:$G$492,MATCH(113,'Output Utente'!$R$2:$R$492,0)),"")</f>
        <v/>
      </c>
      <c r="K116" s="24" t="str">
        <f>IFERROR(INDEX('Output Utente'!$H$2:$H$492,MATCH(113,'Output Utente'!$R$2:$R$492,0)),"")</f>
        <v/>
      </c>
      <c r="L116" s="23" t="str">
        <f>IFERROR(INDEX('Output Utente'!$E$2:$E$492,MATCH(113,'Output Utente'!$R$2:$R$492,0)),"")</f>
        <v/>
      </c>
      <c r="V116" t="str">
        <f>IFERROR(INDEX('Output Utente'!$M$2:$M$492,MATCH(113,'Output Utente'!$R$2:$R$492,0)),"")</f>
        <v/>
      </c>
      <c r="W116" t="str">
        <f t="shared" si="1"/>
        <v/>
      </c>
      <c r="X116" t="str">
        <f>IFERROR(INDEX('Output Utente'!$AF$2:$AF$492,MATCH(113,'Output Utente'!$R$2:$R$492,0)),"")</f>
        <v/>
      </c>
    </row>
    <row r="117" spans="1:24" ht="15" customHeight="1" x14ac:dyDescent="0.25">
      <c r="A117" s="26">
        <v>114</v>
      </c>
      <c r="B117" s="23" t="str">
        <f>IFERROR(INDEX('Output Utente'!$A$2:$A$492,MATCH(114,'Output Utente'!$R$2:$R$492,0)),"")</f>
        <v/>
      </c>
      <c r="C117" s="23" t="str">
        <f>IFERROR(INDEX('Output Utente'!$B$2:$B$492,MATCH(114,'Output Utente'!$R$2:$R$492,0)),"")</f>
        <v/>
      </c>
      <c r="D117" s="23" t="str">
        <f>IFERROR(INDEX('Output Utente'!$C$2:$C$492,MATCH(114,'Output Utente'!$R$2:$R$492,0)),"")</f>
        <v/>
      </c>
      <c r="E117" s="23" t="str">
        <f>IFERROR(INDEX('Input Giocatori 2026_27'!$D$3:$D$493,MATCH($B117,'Input Giocatori 2026_27'!$A$3:$A$493,0)),"")</f>
        <v/>
      </c>
      <c r="F117" s="24" t="str">
        <f>IFERROR(INDEX('Output Utente'!$N$2:$N$492,MATCH(114,'Output Utente'!$R$2:$R$492,0)),"")</f>
        <v/>
      </c>
      <c r="G117" s="23" t="str">
        <f>IFERROR(INDEX('Output Utente'!$O$2:$O$492,MATCH(114,'Output Utente'!$R$2:$R$492,0)),"")</f>
        <v/>
      </c>
      <c r="H117" s="23" t="str">
        <f>IFERROR(INDEX('Output Utente'!$P$2:$P$492,MATCH(114,'Output Utente'!$R$2:$R$492,0)),"")</f>
        <v/>
      </c>
      <c r="I117" s="24" t="str">
        <f>IFERROR(INDEX('Output Utente'!$F$2:$F$492,MATCH(114,'Output Utente'!$R$2:$R$492,0)),"")</f>
        <v/>
      </c>
      <c r="J117" s="24" t="str">
        <f>IFERROR(INDEX('Output Utente'!$G$2:$G$492,MATCH(114,'Output Utente'!$R$2:$R$492,0)),"")</f>
        <v/>
      </c>
      <c r="K117" s="24" t="str">
        <f>IFERROR(INDEX('Output Utente'!$H$2:$H$492,MATCH(114,'Output Utente'!$R$2:$R$492,0)),"")</f>
        <v/>
      </c>
      <c r="L117" s="23" t="str">
        <f>IFERROR(INDEX('Output Utente'!$E$2:$E$492,MATCH(114,'Output Utente'!$R$2:$R$492,0)),"")</f>
        <v/>
      </c>
      <c r="V117" t="str">
        <f>IFERROR(INDEX('Output Utente'!$M$2:$M$492,MATCH(114,'Output Utente'!$R$2:$R$492,0)),"")</f>
        <v/>
      </c>
      <c r="W117" t="str">
        <f t="shared" si="1"/>
        <v/>
      </c>
      <c r="X117" t="str">
        <f>IFERROR(INDEX('Output Utente'!$AF$2:$AF$492,MATCH(114,'Output Utente'!$R$2:$R$492,0)),"")</f>
        <v/>
      </c>
    </row>
    <row r="118" spans="1:24" ht="15" customHeight="1" x14ac:dyDescent="0.25">
      <c r="A118" s="26">
        <v>115</v>
      </c>
      <c r="B118" s="23" t="str">
        <f>IFERROR(INDEX('Output Utente'!$A$2:$A$492,MATCH(115,'Output Utente'!$R$2:$R$492,0)),"")</f>
        <v/>
      </c>
      <c r="C118" s="23" t="str">
        <f>IFERROR(INDEX('Output Utente'!$B$2:$B$492,MATCH(115,'Output Utente'!$R$2:$R$492,0)),"")</f>
        <v/>
      </c>
      <c r="D118" s="23" t="str">
        <f>IFERROR(INDEX('Output Utente'!$C$2:$C$492,MATCH(115,'Output Utente'!$R$2:$R$492,0)),"")</f>
        <v/>
      </c>
      <c r="E118" s="23" t="str">
        <f>IFERROR(INDEX('Input Giocatori 2026_27'!$D$3:$D$493,MATCH($B118,'Input Giocatori 2026_27'!$A$3:$A$493,0)),"")</f>
        <v/>
      </c>
      <c r="F118" s="24" t="str">
        <f>IFERROR(INDEX('Output Utente'!$N$2:$N$492,MATCH(115,'Output Utente'!$R$2:$R$492,0)),"")</f>
        <v/>
      </c>
      <c r="G118" s="23" t="str">
        <f>IFERROR(INDEX('Output Utente'!$O$2:$O$492,MATCH(115,'Output Utente'!$R$2:$R$492,0)),"")</f>
        <v/>
      </c>
      <c r="H118" s="23" t="str">
        <f>IFERROR(INDEX('Output Utente'!$P$2:$P$492,MATCH(115,'Output Utente'!$R$2:$R$492,0)),"")</f>
        <v/>
      </c>
      <c r="I118" s="24" t="str">
        <f>IFERROR(INDEX('Output Utente'!$F$2:$F$492,MATCH(115,'Output Utente'!$R$2:$R$492,0)),"")</f>
        <v/>
      </c>
      <c r="J118" s="24" t="str">
        <f>IFERROR(INDEX('Output Utente'!$G$2:$G$492,MATCH(115,'Output Utente'!$R$2:$R$492,0)),"")</f>
        <v/>
      </c>
      <c r="K118" s="24" t="str">
        <f>IFERROR(INDEX('Output Utente'!$H$2:$H$492,MATCH(115,'Output Utente'!$R$2:$R$492,0)),"")</f>
        <v/>
      </c>
      <c r="L118" s="23" t="str">
        <f>IFERROR(INDEX('Output Utente'!$E$2:$E$492,MATCH(115,'Output Utente'!$R$2:$R$492,0)),"")</f>
        <v/>
      </c>
      <c r="V118" t="str">
        <f>IFERROR(INDEX('Output Utente'!$M$2:$M$492,MATCH(115,'Output Utente'!$R$2:$R$492,0)),"")</f>
        <v/>
      </c>
      <c r="W118" t="str">
        <f t="shared" si="1"/>
        <v/>
      </c>
      <c r="X118" t="str">
        <f>IFERROR(INDEX('Output Utente'!$AF$2:$AF$492,MATCH(115,'Output Utente'!$R$2:$R$492,0)),"")</f>
        <v/>
      </c>
    </row>
    <row r="119" spans="1:24" ht="15" customHeight="1" x14ac:dyDescent="0.25">
      <c r="A119" s="26">
        <v>116</v>
      </c>
      <c r="B119" s="23" t="str">
        <f>IFERROR(INDEX('Output Utente'!$A$2:$A$492,MATCH(116,'Output Utente'!$R$2:$R$492,0)),"")</f>
        <v/>
      </c>
      <c r="C119" s="23" t="str">
        <f>IFERROR(INDEX('Output Utente'!$B$2:$B$492,MATCH(116,'Output Utente'!$R$2:$R$492,0)),"")</f>
        <v/>
      </c>
      <c r="D119" s="23" t="str">
        <f>IFERROR(INDEX('Output Utente'!$C$2:$C$492,MATCH(116,'Output Utente'!$R$2:$R$492,0)),"")</f>
        <v/>
      </c>
      <c r="E119" s="23" t="str">
        <f>IFERROR(INDEX('Input Giocatori 2026_27'!$D$3:$D$493,MATCH($B119,'Input Giocatori 2026_27'!$A$3:$A$493,0)),"")</f>
        <v/>
      </c>
      <c r="F119" s="24" t="str">
        <f>IFERROR(INDEX('Output Utente'!$N$2:$N$492,MATCH(116,'Output Utente'!$R$2:$R$492,0)),"")</f>
        <v/>
      </c>
      <c r="G119" s="23" t="str">
        <f>IFERROR(INDEX('Output Utente'!$O$2:$O$492,MATCH(116,'Output Utente'!$R$2:$R$492,0)),"")</f>
        <v/>
      </c>
      <c r="H119" s="23" t="str">
        <f>IFERROR(INDEX('Output Utente'!$P$2:$P$492,MATCH(116,'Output Utente'!$R$2:$R$492,0)),"")</f>
        <v/>
      </c>
      <c r="I119" s="24" t="str">
        <f>IFERROR(INDEX('Output Utente'!$F$2:$F$492,MATCH(116,'Output Utente'!$R$2:$R$492,0)),"")</f>
        <v/>
      </c>
      <c r="J119" s="24" t="str">
        <f>IFERROR(INDEX('Output Utente'!$G$2:$G$492,MATCH(116,'Output Utente'!$R$2:$R$492,0)),"")</f>
        <v/>
      </c>
      <c r="K119" s="24" t="str">
        <f>IFERROR(INDEX('Output Utente'!$H$2:$H$492,MATCH(116,'Output Utente'!$R$2:$R$492,0)),"")</f>
        <v/>
      </c>
      <c r="L119" s="23" t="str">
        <f>IFERROR(INDEX('Output Utente'!$E$2:$E$492,MATCH(116,'Output Utente'!$R$2:$R$492,0)),"")</f>
        <v/>
      </c>
      <c r="V119" t="str">
        <f>IFERROR(INDEX('Output Utente'!$M$2:$M$492,MATCH(116,'Output Utente'!$R$2:$R$492,0)),"")</f>
        <v/>
      </c>
      <c r="W119" t="str">
        <f t="shared" si="1"/>
        <v/>
      </c>
      <c r="X119" t="str">
        <f>IFERROR(INDEX('Output Utente'!$AF$2:$AF$492,MATCH(116,'Output Utente'!$R$2:$R$492,0)),"")</f>
        <v/>
      </c>
    </row>
    <row r="120" spans="1:24" ht="15" customHeight="1" x14ac:dyDescent="0.25">
      <c r="A120" s="26">
        <v>117</v>
      </c>
      <c r="B120" s="23" t="str">
        <f>IFERROR(INDEX('Output Utente'!$A$2:$A$492,MATCH(117,'Output Utente'!$R$2:$R$492,0)),"")</f>
        <v/>
      </c>
      <c r="C120" s="23" t="str">
        <f>IFERROR(INDEX('Output Utente'!$B$2:$B$492,MATCH(117,'Output Utente'!$R$2:$R$492,0)),"")</f>
        <v/>
      </c>
      <c r="D120" s="23" t="str">
        <f>IFERROR(INDEX('Output Utente'!$C$2:$C$492,MATCH(117,'Output Utente'!$R$2:$R$492,0)),"")</f>
        <v/>
      </c>
      <c r="E120" s="23" t="str">
        <f>IFERROR(INDEX('Input Giocatori 2026_27'!$D$3:$D$493,MATCH($B120,'Input Giocatori 2026_27'!$A$3:$A$493,0)),"")</f>
        <v/>
      </c>
      <c r="F120" s="24" t="str">
        <f>IFERROR(INDEX('Output Utente'!$N$2:$N$492,MATCH(117,'Output Utente'!$R$2:$R$492,0)),"")</f>
        <v/>
      </c>
      <c r="G120" s="23" t="str">
        <f>IFERROR(INDEX('Output Utente'!$O$2:$O$492,MATCH(117,'Output Utente'!$R$2:$R$492,0)),"")</f>
        <v/>
      </c>
      <c r="H120" s="23" t="str">
        <f>IFERROR(INDEX('Output Utente'!$P$2:$P$492,MATCH(117,'Output Utente'!$R$2:$R$492,0)),"")</f>
        <v/>
      </c>
      <c r="I120" s="24" t="str">
        <f>IFERROR(INDEX('Output Utente'!$F$2:$F$492,MATCH(117,'Output Utente'!$R$2:$R$492,0)),"")</f>
        <v/>
      </c>
      <c r="J120" s="24" t="str">
        <f>IFERROR(INDEX('Output Utente'!$G$2:$G$492,MATCH(117,'Output Utente'!$R$2:$R$492,0)),"")</f>
        <v/>
      </c>
      <c r="K120" s="24" t="str">
        <f>IFERROR(INDEX('Output Utente'!$H$2:$H$492,MATCH(117,'Output Utente'!$R$2:$R$492,0)),"")</f>
        <v/>
      </c>
      <c r="L120" s="23" t="str">
        <f>IFERROR(INDEX('Output Utente'!$E$2:$E$492,MATCH(117,'Output Utente'!$R$2:$R$492,0)),"")</f>
        <v/>
      </c>
      <c r="V120" t="str">
        <f>IFERROR(INDEX('Output Utente'!$M$2:$M$492,MATCH(117,'Output Utente'!$R$2:$R$492,0)),"")</f>
        <v/>
      </c>
      <c r="W120" t="str">
        <f t="shared" si="1"/>
        <v/>
      </c>
      <c r="X120" t="str">
        <f>IFERROR(INDEX('Output Utente'!$AF$2:$AF$492,MATCH(117,'Output Utente'!$R$2:$R$492,0)),"")</f>
        <v/>
      </c>
    </row>
    <row r="121" spans="1:24" ht="15" customHeight="1" x14ac:dyDescent="0.25">
      <c r="A121" s="26">
        <v>118</v>
      </c>
      <c r="B121" s="23" t="str">
        <f>IFERROR(INDEX('Output Utente'!$A$2:$A$492,MATCH(118,'Output Utente'!$R$2:$R$492,0)),"")</f>
        <v/>
      </c>
      <c r="C121" s="23" t="str">
        <f>IFERROR(INDEX('Output Utente'!$B$2:$B$492,MATCH(118,'Output Utente'!$R$2:$R$492,0)),"")</f>
        <v/>
      </c>
      <c r="D121" s="23" t="str">
        <f>IFERROR(INDEX('Output Utente'!$C$2:$C$492,MATCH(118,'Output Utente'!$R$2:$R$492,0)),"")</f>
        <v/>
      </c>
      <c r="E121" s="23" t="str">
        <f>IFERROR(INDEX('Input Giocatori 2026_27'!$D$3:$D$493,MATCH($B121,'Input Giocatori 2026_27'!$A$3:$A$493,0)),"")</f>
        <v/>
      </c>
      <c r="F121" s="24" t="str">
        <f>IFERROR(INDEX('Output Utente'!$N$2:$N$492,MATCH(118,'Output Utente'!$R$2:$R$492,0)),"")</f>
        <v/>
      </c>
      <c r="G121" s="23" t="str">
        <f>IFERROR(INDEX('Output Utente'!$O$2:$O$492,MATCH(118,'Output Utente'!$R$2:$R$492,0)),"")</f>
        <v/>
      </c>
      <c r="H121" s="23" t="str">
        <f>IFERROR(INDEX('Output Utente'!$P$2:$P$492,MATCH(118,'Output Utente'!$R$2:$R$492,0)),"")</f>
        <v/>
      </c>
      <c r="I121" s="24" t="str">
        <f>IFERROR(INDEX('Output Utente'!$F$2:$F$492,MATCH(118,'Output Utente'!$R$2:$R$492,0)),"")</f>
        <v/>
      </c>
      <c r="J121" s="24" t="str">
        <f>IFERROR(INDEX('Output Utente'!$G$2:$G$492,MATCH(118,'Output Utente'!$R$2:$R$492,0)),"")</f>
        <v/>
      </c>
      <c r="K121" s="24" t="str">
        <f>IFERROR(INDEX('Output Utente'!$H$2:$H$492,MATCH(118,'Output Utente'!$R$2:$R$492,0)),"")</f>
        <v/>
      </c>
      <c r="L121" s="23" t="str">
        <f>IFERROR(INDEX('Output Utente'!$E$2:$E$492,MATCH(118,'Output Utente'!$R$2:$R$492,0)),"")</f>
        <v/>
      </c>
      <c r="V121" t="str">
        <f>IFERROR(INDEX('Output Utente'!$M$2:$M$492,MATCH(118,'Output Utente'!$R$2:$R$492,0)),"")</f>
        <v/>
      </c>
      <c r="W121" t="str">
        <f t="shared" si="1"/>
        <v/>
      </c>
      <c r="X121" t="str">
        <f>IFERROR(INDEX('Output Utente'!$AF$2:$AF$492,MATCH(118,'Output Utente'!$R$2:$R$492,0)),"")</f>
        <v/>
      </c>
    </row>
    <row r="122" spans="1:24" ht="15" customHeight="1" x14ac:dyDescent="0.25">
      <c r="A122" s="26">
        <v>119</v>
      </c>
      <c r="B122" s="23" t="str">
        <f>IFERROR(INDEX('Output Utente'!$A$2:$A$492,MATCH(119,'Output Utente'!$R$2:$R$492,0)),"")</f>
        <v/>
      </c>
      <c r="C122" s="23" t="str">
        <f>IFERROR(INDEX('Output Utente'!$B$2:$B$492,MATCH(119,'Output Utente'!$R$2:$R$492,0)),"")</f>
        <v/>
      </c>
      <c r="D122" s="23" t="str">
        <f>IFERROR(INDEX('Output Utente'!$C$2:$C$492,MATCH(119,'Output Utente'!$R$2:$R$492,0)),"")</f>
        <v/>
      </c>
      <c r="E122" s="23" t="str">
        <f>IFERROR(INDEX('Input Giocatori 2026_27'!$D$3:$D$493,MATCH($B122,'Input Giocatori 2026_27'!$A$3:$A$493,0)),"")</f>
        <v/>
      </c>
      <c r="F122" s="24" t="str">
        <f>IFERROR(INDEX('Output Utente'!$N$2:$N$492,MATCH(119,'Output Utente'!$R$2:$R$492,0)),"")</f>
        <v/>
      </c>
      <c r="G122" s="23" t="str">
        <f>IFERROR(INDEX('Output Utente'!$O$2:$O$492,MATCH(119,'Output Utente'!$R$2:$R$492,0)),"")</f>
        <v/>
      </c>
      <c r="H122" s="23" t="str">
        <f>IFERROR(INDEX('Output Utente'!$P$2:$P$492,MATCH(119,'Output Utente'!$R$2:$R$492,0)),"")</f>
        <v/>
      </c>
      <c r="I122" s="24" t="str">
        <f>IFERROR(INDEX('Output Utente'!$F$2:$F$492,MATCH(119,'Output Utente'!$R$2:$R$492,0)),"")</f>
        <v/>
      </c>
      <c r="J122" s="24" t="str">
        <f>IFERROR(INDEX('Output Utente'!$G$2:$G$492,MATCH(119,'Output Utente'!$R$2:$R$492,0)),"")</f>
        <v/>
      </c>
      <c r="K122" s="24" t="str">
        <f>IFERROR(INDEX('Output Utente'!$H$2:$H$492,MATCH(119,'Output Utente'!$R$2:$R$492,0)),"")</f>
        <v/>
      </c>
      <c r="L122" s="23" t="str">
        <f>IFERROR(INDEX('Output Utente'!$E$2:$E$492,MATCH(119,'Output Utente'!$R$2:$R$492,0)),"")</f>
        <v/>
      </c>
      <c r="V122" t="str">
        <f>IFERROR(INDEX('Output Utente'!$M$2:$M$492,MATCH(119,'Output Utente'!$R$2:$R$492,0)),"")</f>
        <v/>
      </c>
      <c r="W122" t="str">
        <f t="shared" si="1"/>
        <v/>
      </c>
      <c r="X122" t="str">
        <f>IFERROR(INDEX('Output Utente'!$AF$2:$AF$492,MATCH(119,'Output Utente'!$R$2:$R$492,0)),"")</f>
        <v/>
      </c>
    </row>
    <row r="123" spans="1:24" ht="15" customHeight="1" x14ac:dyDescent="0.25">
      <c r="A123" s="26">
        <v>120</v>
      </c>
      <c r="B123" s="23" t="str">
        <f>IFERROR(INDEX('Output Utente'!$A$2:$A$492,MATCH(120,'Output Utente'!$R$2:$R$492,0)),"")</f>
        <v/>
      </c>
      <c r="C123" s="23" t="str">
        <f>IFERROR(INDEX('Output Utente'!$B$2:$B$492,MATCH(120,'Output Utente'!$R$2:$R$492,0)),"")</f>
        <v/>
      </c>
      <c r="D123" s="23" t="str">
        <f>IFERROR(INDEX('Output Utente'!$C$2:$C$492,MATCH(120,'Output Utente'!$R$2:$R$492,0)),"")</f>
        <v/>
      </c>
      <c r="E123" s="23" t="str">
        <f>IFERROR(INDEX('Input Giocatori 2026_27'!$D$3:$D$493,MATCH($B123,'Input Giocatori 2026_27'!$A$3:$A$493,0)),"")</f>
        <v/>
      </c>
      <c r="F123" s="24" t="str">
        <f>IFERROR(INDEX('Output Utente'!$N$2:$N$492,MATCH(120,'Output Utente'!$R$2:$R$492,0)),"")</f>
        <v/>
      </c>
      <c r="G123" s="23" t="str">
        <f>IFERROR(INDEX('Output Utente'!$O$2:$O$492,MATCH(120,'Output Utente'!$R$2:$R$492,0)),"")</f>
        <v/>
      </c>
      <c r="H123" s="23" t="str">
        <f>IFERROR(INDEX('Output Utente'!$P$2:$P$492,MATCH(120,'Output Utente'!$R$2:$R$492,0)),"")</f>
        <v/>
      </c>
      <c r="I123" s="24" t="str">
        <f>IFERROR(INDEX('Output Utente'!$F$2:$F$492,MATCH(120,'Output Utente'!$R$2:$R$492,0)),"")</f>
        <v/>
      </c>
      <c r="J123" s="24" t="str">
        <f>IFERROR(INDEX('Output Utente'!$G$2:$G$492,MATCH(120,'Output Utente'!$R$2:$R$492,0)),"")</f>
        <v/>
      </c>
      <c r="K123" s="24" t="str">
        <f>IFERROR(INDEX('Output Utente'!$H$2:$H$492,MATCH(120,'Output Utente'!$R$2:$R$492,0)),"")</f>
        <v/>
      </c>
      <c r="L123" s="23" t="str">
        <f>IFERROR(INDEX('Output Utente'!$E$2:$E$492,MATCH(120,'Output Utente'!$R$2:$R$492,0)),"")</f>
        <v/>
      </c>
      <c r="V123" t="str">
        <f>IFERROR(INDEX('Output Utente'!$M$2:$M$492,MATCH(120,'Output Utente'!$R$2:$R$492,0)),"")</f>
        <v/>
      </c>
      <c r="W123" t="str">
        <f t="shared" si="1"/>
        <v/>
      </c>
      <c r="X123" t="str">
        <f>IFERROR(INDEX('Output Utente'!$AF$2:$AF$492,MATCH(120,'Output Utente'!$R$2:$R$492,0)),"")</f>
        <v/>
      </c>
    </row>
    <row r="124" spans="1:24" ht="15" customHeight="1" x14ac:dyDescent="0.25">
      <c r="A124" s="26">
        <v>121</v>
      </c>
      <c r="B124" s="23" t="str">
        <f>IFERROR(INDEX('Output Utente'!$A$2:$A$492,MATCH(121,'Output Utente'!$R$2:$R$492,0)),"")</f>
        <v/>
      </c>
      <c r="C124" s="23" t="str">
        <f>IFERROR(INDEX('Output Utente'!$B$2:$B$492,MATCH(121,'Output Utente'!$R$2:$R$492,0)),"")</f>
        <v/>
      </c>
      <c r="D124" s="23" t="str">
        <f>IFERROR(INDEX('Output Utente'!$C$2:$C$492,MATCH(121,'Output Utente'!$R$2:$R$492,0)),"")</f>
        <v/>
      </c>
      <c r="E124" s="23" t="str">
        <f>IFERROR(INDEX('Input Giocatori 2026_27'!$D$3:$D$493,MATCH($B124,'Input Giocatori 2026_27'!$A$3:$A$493,0)),"")</f>
        <v/>
      </c>
      <c r="F124" s="24" t="str">
        <f>IFERROR(INDEX('Output Utente'!$N$2:$N$492,MATCH(121,'Output Utente'!$R$2:$R$492,0)),"")</f>
        <v/>
      </c>
      <c r="G124" s="23" t="str">
        <f>IFERROR(INDEX('Output Utente'!$O$2:$O$492,MATCH(121,'Output Utente'!$R$2:$R$492,0)),"")</f>
        <v/>
      </c>
      <c r="H124" s="23" t="str">
        <f>IFERROR(INDEX('Output Utente'!$P$2:$P$492,MATCH(121,'Output Utente'!$R$2:$R$492,0)),"")</f>
        <v/>
      </c>
      <c r="I124" s="24" t="str">
        <f>IFERROR(INDEX('Output Utente'!$F$2:$F$492,MATCH(121,'Output Utente'!$R$2:$R$492,0)),"")</f>
        <v/>
      </c>
      <c r="J124" s="24" t="str">
        <f>IFERROR(INDEX('Output Utente'!$G$2:$G$492,MATCH(121,'Output Utente'!$R$2:$R$492,0)),"")</f>
        <v/>
      </c>
      <c r="K124" s="24" t="str">
        <f>IFERROR(INDEX('Output Utente'!$H$2:$H$492,MATCH(121,'Output Utente'!$R$2:$R$492,0)),"")</f>
        <v/>
      </c>
      <c r="L124" s="23" t="str">
        <f>IFERROR(INDEX('Output Utente'!$E$2:$E$492,MATCH(121,'Output Utente'!$R$2:$R$492,0)),"")</f>
        <v/>
      </c>
      <c r="V124" t="str">
        <f>IFERROR(INDEX('Output Utente'!$M$2:$M$492,MATCH(121,'Output Utente'!$R$2:$R$492,0)),"")</f>
        <v/>
      </c>
      <c r="W124" t="str">
        <f t="shared" si="1"/>
        <v/>
      </c>
      <c r="X124" t="str">
        <f>IFERROR(INDEX('Output Utente'!$AF$2:$AF$492,MATCH(121,'Output Utente'!$R$2:$R$492,0)),"")</f>
        <v/>
      </c>
    </row>
    <row r="125" spans="1:24" ht="15" customHeight="1" x14ac:dyDescent="0.25">
      <c r="A125" s="26">
        <v>122</v>
      </c>
      <c r="B125" s="23" t="str">
        <f>IFERROR(INDEX('Output Utente'!$A$2:$A$492,MATCH(122,'Output Utente'!$R$2:$R$492,0)),"")</f>
        <v/>
      </c>
      <c r="C125" s="23" t="str">
        <f>IFERROR(INDEX('Output Utente'!$B$2:$B$492,MATCH(122,'Output Utente'!$R$2:$R$492,0)),"")</f>
        <v/>
      </c>
      <c r="D125" s="23" t="str">
        <f>IFERROR(INDEX('Output Utente'!$C$2:$C$492,MATCH(122,'Output Utente'!$R$2:$R$492,0)),"")</f>
        <v/>
      </c>
      <c r="E125" s="23" t="str">
        <f>IFERROR(INDEX('Input Giocatori 2026_27'!$D$3:$D$493,MATCH($B125,'Input Giocatori 2026_27'!$A$3:$A$493,0)),"")</f>
        <v/>
      </c>
      <c r="F125" s="24" t="str">
        <f>IFERROR(INDEX('Output Utente'!$N$2:$N$492,MATCH(122,'Output Utente'!$R$2:$R$492,0)),"")</f>
        <v/>
      </c>
      <c r="G125" s="23" t="str">
        <f>IFERROR(INDEX('Output Utente'!$O$2:$O$492,MATCH(122,'Output Utente'!$R$2:$R$492,0)),"")</f>
        <v/>
      </c>
      <c r="H125" s="23" t="str">
        <f>IFERROR(INDEX('Output Utente'!$P$2:$P$492,MATCH(122,'Output Utente'!$R$2:$R$492,0)),"")</f>
        <v/>
      </c>
      <c r="I125" s="24" t="str">
        <f>IFERROR(INDEX('Output Utente'!$F$2:$F$492,MATCH(122,'Output Utente'!$R$2:$R$492,0)),"")</f>
        <v/>
      </c>
      <c r="J125" s="24" t="str">
        <f>IFERROR(INDEX('Output Utente'!$G$2:$G$492,MATCH(122,'Output Utente'!$R$2:$R$492,0)),"")</f>
        <v/>
      </c>
      <c r="K125" s="24" t="str">
        <f>IFERROR(INDEX('Output Utente'!$H$2:$H$492,MATCH(122,'Output Utente'!$R$2:$R$492,0)),"")</f>
        <v/>
      </c>
      <c r="L125" s="23" t="str">
        <f>IFERROR(INDEX('Output Utente'!$E$2:$E$492,MATCH(122,'Output Utente'!$R$2:$R$492,0)),"")</f>
        <v/>
      </c>
      <c r="V125" t="str">
        <f>IFERROR(INDEX('Output Utente'!$M$2:$M$492,MATCH(122,'Output Utente'!$R$2:$R$492,0)),"")</f>
        <v/>
      </c>
      <c r="W125" t="str">
        <f t="shared" si="1"/>
        <v/>
      </c>
      <c r="X125" t="str">
        <f>IFERROR(INDEX('Output Utente'!$AF$2:$AF$492,MATCH(122,'Output Utente'!$R$2:$R$492,0)),"")</f>
        <v/>
      </c>
    </row>
    <row r="126" spans="1:24" ht="15" customHeight="1" x14ac:dyDescent="0.25">
      <c r="A126" s="26">
        <v>123</v>
      </c>
      <c r="B126" s="23" t="str">
        <f>IFERROR(INDEX('Output Utente'!$A$2:$A$492,MATCH(123,'Output Utente'!$R$2:$R$492,0)),"")</f>
        <v/>
      </c>
      <c r="C126" s="23" t="str">
        <f>IFERROR(INDEX('Output Utente'!$B$2:$B$492,MATCH(123,'Output Utente'!$R$2:$R$492,0)),"")</f>
        <v/>
      </c>
      <c r="D126" s="23" t="str">
        <f>IFERROR(INDEX('Output Utente'!$C$2:$C$492,MATCH(123,'Output Utente'!$R$2:$R$492,0)),"")</f>
        <v/>
      </c>
      <c r="E126" s="23" t="str">
        <f>IFERROR(INDEX('Input Giocatori 2026_27'!$D$3:$D$493,MATCH($B126,'Input Giocatori 2026_27'!$A$3:$A$493,0)),"")</f>
        <v/>
      </c>
      <c r="F126" s="24" t="str">
        <f>IFERROR(INDEX('Output Utente'!$N$2:$N$492,MATCH(123,'Output Utente'!$R$2:$R$492,0)),"")</f>
        <v/>
      </c>
      <c r="G126" s="23" t="str">
        <f>IFERROR(INDEX('Output Utente'!$O$2:$O$492,MATCH(123,'Output Utente'!$R$2:$R$492,0)),"")</f>
        <v/>
      </c>
      <c r="H126" s="23" t="str">
        <f>IFERROR(INDEX('Output Utente'!$P$2:$P$492,MATCH(123,'Output Utente'!$R$2:$R$492,0)),"")</f>
        <v/>
      </c>
      <c r="I126" s="24" t="str">
        <f>IFERROR(INDEX('Output Utente'!$F$2:$F$492,MATCH(123,'Output Utente'!$R$2:$R$492,0)),"")</f>
        <v/>
      </c>
      <c r="J126" s="24" t="str">
        <f>IFERROR(INDEX('Output Utente'!$G$2:$G$492,MATCH(123,'Output Utente'!$R$2:$R$492,0)),"")</f>
        <v/>
      </c>
      <c r="K126" s="24" t="str">
        <f>IFERROR(INDEX('Output Utente'!$H$2:$H$492,MATCH(123,'Output Utente'!$R$2:$R$492,0)),"")</f>
        <v/>
      </c>
      <c r="L126" s="23" t="str">
        <f>IFERROR(INDEX('Output Utente'!$E$2:$E$492,MATCH(123,'Output Utente'!$R$2:$R$492,0)),"")</f>
        <v/>
      </c>
      <c r="V126" t="str">
        <f>IFERROR(INDEX('Output Utente'!$M$2:$M$492,MATCH(123,'Output Utente'!$R$2:$R$492,0)),"")</f>
        <v/>
      </c>
      <c r="W126" t="str">
        <f t="shared" si="1"/>
        <v/>
      </c>
      <c r="X126" t="str">
        <f>IFERROR(INDEX('Output Utente'!$AF$2:$AF$492,MATCH(123,'Output Utente'!$R$2:$R$492,0)),"")</f>
        <v/>
      </c>
    </row>
    <row r="127" spans="1:24" ht="15" customHeight="1" x14ac:dyDescent="0.25">
      <c r="A127" s="26">
        <v>124</v>
      </c>
      <c r="B127" s="23" t="str">
        <f>IFERROR(INDEX('Output Utente'!$A$2:$A$492,MATCH(124,'Output Utente'!$R$2:$R$492,0)),"")</f>
        <v/>
      </c>
      <c r="C127" s="23" t="str">
        <f>IFERROR(INDEX('Output Utente'!$B$2:$B$492,MATCH(124,'Output Utente'!$R$2:$R$492,0)),"")</f>
        <v/>
      </c>
      <c r="D127" s="23" t="str">
        <f>IFERROR(INDEX('Output Utente'!$C$2:$C$492,MATCH(124,'Output Utente'!$R$2:$R$492,0)),"")</f>
        <v/>
      </c>
      <c r="E127" s="23" t="str">
        <f>IFERROR(INDEX('Input Giocatori 2026_27'!$D$3:$D$493,MATCH($B127,'Input Giocatori 2026_27'!$A$3:$A$493,0)),"")</f>
        <v/>
      </c>
      <c r="F127" s="24" t="str">
        <f>IFERROR(INDEX('Output Utente'!$N$2:$N$492,MATCH(124,'Output Utente'!$R$2:$R$492,0)),"")</f>
        <v/>
      </c>
      <c r="G127" s="23" t="str">
        <f>IFERROR(INDEX('Output Utente'!$O$2:$O$492,MATCH(124,'Output Utente'!$R$2:$R$492,0)),"")</f>
        <v/>
      </c>
      <c r="H127" s="23" t="str">
        <f>IFERROR(INDEX('Output Utente'!$P$2:$P$492,MATCH(124,'Output Utente'!$R$2:$R$492,0)),"")</f>
        <v/>
      </c>
      <c r="I127" s="24" t="str">
        <f>IFERROR(INDEX('Output Utente'!$F$2:$F$492,MATCH(124,'Output Utente'!$R$2:$R$492,0)),"")</f>
        <v/>
      </c>
      <c r="J127" s="24" t="str">
        <f>IFERROR(INDEX('Output Utente'!$G$2:$G$492,MATCH(124,'Output Utente'!$R$2:$R$492,0)),"")</f>
        <v/>
      </c>
      <c r="K127" s="24" t="str">
        <f>IFERROR(INDEX('Output Utente'!$H$2:$H$492,MATCH(124,'Output Utente'!$R$2:$R$492,0)),"")</f>
        <v/>
      </c>
      <c r="L127" s="23" t="str">
        <f>IFERROR(INDEX('Output Utente'!$E$2:$E$492,MATCH(124,'Output Utente'!$R$2:$R$492,0)),"")</f>
        <v/>
      </c>
      <c r="V127" t="str">
        <f>IFERROR(INDEX('Output Utente'!$M$2:$M$492,MATCH(124,'Output Utente'!$R$2:$R$492,0)),"")</f>
        <v/>
      </c>
      <c r="W127" t="str">
        <f t="shared" si="1"/>
        <v/>
      </c>
      <c r="X127" t="str">
        <f>IFERROR(INDEX('Output Utente'!$AF$2:$AF$492,MATCH(124,'Output Utente'!$R$2:$R$492,0)),"")</f>
        <v/>
      </c>
    </row>
    <row r="128" spans="1:24" ht="15" customHeight="1" x14ac:dyDescent="0.25">
      <c r="A128" s="26">
        <v>125</v>
      </c>
      <c r="B128" s="23" t="str">
        <f>IFERROR(INDEX('Output Utente'!$A$2:$A$492,MATCH(125,'Output Utente'!$R$2:$R$492,0)),"")</f>
        <v/>
      </c>
      <c r="C128" s="23" t="str">
        <f>IFERROR(INDEX('Output Utente'!$B$2:$B$492,MATCH(125,'Output Utente'!$R$2:$R$492,0)),"")</f>
        <v/>
      </c>
      <c r="D128" s="23" t="str">
        <f>IFERROR(INDEX('Output Utente'!$C$2:$C$492,MATCH(125,'Output Utente'!$R$2:$R$492,0)),"")</f>
        <v/>
      </c>
      <c r="E128" s="23" t="str">
        <f>IFERROR(INDEX('Input Giocatori 2026_27'!$D$3:$D$493,MATCH($B128,'Input Giocatori 2026_27'!$A$3:$A$493,0)),"")</f>
        <v/>
      </c>
      <c r="F128" s="24" t="str">
        <f>IFERROR(INDEX('Output Utente'!$N$2:$N$492,MATCH(125,'Output Utente'!$R$2:$R$492,0)),"")</f>
        <v/>
      </c>
      <c r="G128" s="23" t="str">
        <f>IFERROR(INDEX('Output Utente'!$O$2:$O$492,MATCH(125,'Output Utente'!$R$2:$R$492,0)),"")</f>
        <v/>
      </c>
      <c r="H128" s="23" t="str">
        <f>IFERROR(INDEX('Output Utente'!$P$2:$P$492,MATCH(125,'Output Utente'!$R$2:$R$492,0)),"")</f>
        <v/>
      </c>
      <c r="I128" s="24" t="str">
        <f>IFERROR(INDEX('Output Utente'!$F$2:$F$492,MATCH(125,'Output Utente'!$R$2:$R$492,0)),"")</f>
        <v/>
      </c>
      <c r="J128" s="24" t="str">
        <f>IFERROR(INDEX('Output Utente'!$G$2:$G$492,MATCH(125,'Output Utente'!$R$2:$R$492,0)),"")</f>
        <v/>
      </c>
      <c r="K128" s="24" t="str">
        <f>IFERROR(INDEX('Output Utente'!$H$2:$H$492,MATCH(125,'Output Utente'!$R$2:$R$492,0)),"")</f>
        <v/>
      </c>
      <c r="L128" s="23" t="str">
        <f>IFERROR(INDEX('Output Utente'!$E$2:$E$492,MATCH(125,'Output Utente'!$R$2:$R$492,0)),"")</f>
        <v/>
      </c>
      <c r="V128" t="str">
        <f>IFERROR(INDEX('Output Utente'!$M$2:$M$492,MATCH(125,'Output Utente'!$R$2:$R$492,0)),"")</f>
        <v/>
      </c>
      <c r="W128" t="str">
        <f t="shared" si="1"/>
        <v/>
      </c>
      <c r="X128" t="str">
        <f>IFERROR(INDEX('Output Utente'!$AF$2:$AF$492,MATCH(125,'Output Utente'!$R$2:$R$492,0)),"")</f>
        <v/>
      </c>
    </row>
    <row r="129" spans="1:24" ht="15" customHeight="1" x14ac:dyDescent="0.25">
      <c r="A129" s="26">
        <v>126</v>
      </c>
      <c r="B129" s="23" t="str">
        <f>IFERROR(INDEX('Output Utente'!$A$2:$A$492,MATCH(126,'Output Utente'!$R$2:$R$492,0)),"")</f>
        <v/>
      </c>
      <c r="C129" s="23" t="str">
        <f>IFERROR(INDEX('Output Utente'!$B$2:$B$492,MATCH(126,'Output Utente'!$R$2:$R$492,0)),"")</f>
        <v/>
      </c>
      <c r="D129" s="23" t="str">
        <f>IFERROR(INDEX('Output Utente'!$C$2:$C$492,MATCH(126,'Output Utente'!$R$2:$R$492,0)),"")</f>
        <v/>
      </c>
      <c r="E129" s="23" t="str">
        <f>IFERROR(INDEX('Input Giocatori 2026_27'!$D$3:$D$493,MATCH($B129,'Input Giocatori 2026_27'!$A$3:$A$493,0)),"")</f>
        <v/>
      </c>
      <c r="F129" s="24" t="str">
        <f>IFERROR(INDEX('Output Utente'!$N$2:$N$492,MATCH(126,'Output Utente'!$R$2:$R$492,0)),"")</f>
        <v/>
      </c>
      <c r="G129" s="23" t="str">
        <f>IFERROR(INDEX('Output Utente'!$O$2:$O$492,MATCH(126,'Output Utente'!$R$2:$R$492,0)),"")</f>
        <v/>
      </c>
      <c r="H129" s="23" t="str">
        <f>IFERROR(INDEX('Output Utente'!$P$2:$P$492,MATCH(126,'Output Utente'!$R$2:$R$492,0)),"")</f>
        <v/>
      </c>
      <c r="I129" s="24" t="str">
        <f>IFERROR(INDEX('Output Utente'!$F$2:$F$492,MATCH(126,'Output Utente'!$R$2:$R$492,0)),"")</f>
        <v/>
      </c>
      <c r="J129" s="24" t="str">
        <f>IFERROR(INDEX('Output Utente'!$G$2:$G$492,MATCH(126,'Output Utente'!$R$2:$R$492,0)),"")</f>
        <v/>
      </c>
      <c r="K129" s="24" t="str">
        <f>IFERROR(INDEX('Output Utente'!$H$2:$H$492,MATCH(126,'Output Utente'!$R$2:$R$492,0)),"")</f>
        <v/>
      </c>
      <c r="L129" s="23" t="str">
        <f>IFERROR(INDEX('Output Utente'!$E$2:$E$492,MATCH(126,'Output Utente'!$R$2:$R$492,0)),"")</f>
        <v/>
      </c>
      <c r="V129" t="str">
        <f>IFERROR(INDEX('Output Utente'!$M$2:$M$492,MATCH(126,'Output Utente'!$R$2:$R$492,0)),"")</f>
        <v/>
      </c>
      <c r="W129" t="str">
        <f t="shared" si="1"/>
        <v/>
      </c>
      <c r="X129" t="str">
        <f>IFERROR(INDEX('Output Utente'!$AF$2:$AF$492,MATCH(126,'Output Utente'!$R$2:$R$492,0)),"")</f>
        <v/>
      </c>
    </row>
    <row r="130" spans="1:24" ht="15" customHeight="1" x14ac:dyDescent="0.25">
      <c r="A130" s="26">
        <v>127</v>
      </c>
      <c r="B130" s="23" t="str">
        <f>IFERROR(INDEX('Output Utente'!$A$2:$A$492,MATCH(127,'Output Utente'!$R$2:$R$492,0)),"")</f>
        <v/>
      </c>
      <c r="C130" s="23" t="str">
        <f>IFERROR(INDEX('Output Utente'!$B$2:$B$492,MATCH(127,'Output Utente'!$R$2:$R$492,0)),"")</f>
        <v/>
      </c>
      <c r="D130" s="23" t="str">
        <f>IFERROR(INDEX('Output Utente'!$C$2:$C$492,MATCH(127,'Output Utente'!$R$2:$R$492,0)),"")</f>
        <v/>
      </c>
      <c r="E130" s="23" t="str">
        <f>IFERROR(INDEX('Input Giocatori 2026_27'!$D$3:$D$493,MATCH($B130,'Input Giocatori 2026_27'!$A$3:$A$493,0)),"")</f>
        <v/>
      </c>
      <c r="F130" s="24" t="str">
        <f>IFERROR(INDEX('Output Utente'!$N$2:$N$492,MATCH(127,'Output Utente'!$R$2:$R$492,0)),"")</f>
        <v/>
      </c>
      <c r="G130" s="23" t="str">
        <f>IFERROR(INDEX('Output Utente'!$O$2:$O$492,MATCH(127,'Output Utente'!$R$2:$R$492,0)),"")</f>
        <v/>
      </c>
      <c r="H130" s="23" t="str">
        <f>IFERROR(INDEX('Output Utente'!$P$2:$P$492,MATCH(127,'Output Utente'!$R$2:$R$492,0)),"")</f>
        <v/>
      </c>
      <c r="I130" s="24" t="str">
        <f>IFERROR(INDEX('Output Utente'!$F$2:$F$492,MATCH(127,'Output Utente'!$R$2:$R$492,0)),"")</f>
        <v/>
      </c>
      <c r="J130" s="24" t="str">
        <f>IFERROR(INDEX('Output Utente'!$G$2:$G$492,MATCH(127,'Output Utente'!$R$2:$R$492,0)),"")</f>
        <v/>
      </c>
      <c r="K130" s="24" t="str">
        <f>IFERROR(INDEX('Output Utente'!$H$2:$H$492,MATCH(127,'Output Utente'!$R$2:$R$492,0)),"")</f>
        <v/>
      </c>
      <c r="L130" s="23" t="str">
        <f>IFERROR(INDEX('Output Utente'!$E$2:$E$492,MATCH(127,'Output Utente'!$R$2:$R$492,0)),"")</f>
        <v/>
      </c>
      <c r="V130" t="str">
        <f>IFERROR(INDEX('Output Utente'!$M$2:$M$492,MATCH(127,'Output Utente'!$R$2:$R$492,0)),"")</f>
        <v/>
      </c>
      <c r="W130" t="str">
        <f t="shared" si="1"/>
        <v/>
      </c>
      <c r="X130" t="str">
        <f>IFERROR(INDEX('Output Utente'!$AF$2:$AF$492,MATCH(127,'Output Utente'!$R$2:$R$492,0)),"")</f>
        <v/>
      </c>
    </row>
    <row r="131" spans="1:24" ht="15" customHeight="1" x14ac:dyDescent="0.25">
      <c r="A131" s="26">
        <v>128</v>
      </c>
      <c r="B131" s="23" t="str">
        <f>IFERROR(INDEX('Output Utente'!$A$2:$A$492,MATCH(128,'Output Utente'!$R$2:$R$492,0)),"")</f>
        <v/>
      </c>
      <c r="C131" s="23" t="str">
        <f>IFERROR(INDEX('Output Utente'!$B$2:$B$492,MATCH(128,'Output Utente'!$R$2:$R$492,0)),"")</f>
        <v/>
      </c>
      <c r="D131" s="23" t="str">
        <f>IFERROR(INDEX('Output Utente'!$C$2:$C$492,MATCH(128,'Output Utente'!$R$2:$R$492,0)),"")</f>
        <v/>
      </c>
      <c r="E131" s="23" t="str">
        <f>IFERROR(INDEX('Input Giocatori 2026_27'!$D$3:$D$493,MATCH($B131,'Input Giocatori 2026_27'!$A$3:$A$493,0)),"")</f>
        <v/>
      </c>
      <c r="F131" s="24" t="str">
        <f>IFERROR(INDEX('Output Utente'!$N$2:$N$492,MATCH(128,'Output Utente'!$R$2:$R$492,0)),"")</f>
        <v/>
      </c>
      <c r="G131" s="23" t="str">
        <f>IFERROR(INDEX('Output Utente'!$O$2:$O$492,MATCH(128,'Output Utente'!$R$2:$R$492,0)),"")</f>
        <v/>
      </c>
      <c r="H131" s="23" t="str">
        <f>IFERROR(INDEX('Output Utente'!$P$2:$P$492,MATCH(128,'Output Utente'!$R$2:$R$492,0)),"")</f>
        <v/>
      </c>
      <c r="I131" s="24" t="str">
        <f>IFERROR(INDEX('Output Utente'!$F$2:$F$492,MATCH(128,'Output Utente'!$R$2:$R$492,0)),"")</f>
        <v/>
      </c>
      <c r="J131" s="24" t="str">
        <f>IFERROR(INDEX('Output Utente'!$G$2:$G$492,MATCH(128,'Output Utente'!$R$2:$R$492,0)),"")</f>
        <v/>
      </c>
      <c r="K131" s="24" t="str">
        <f>IFERROR(INDEX('Output Utente'!$H$2:$H$492,MATCH(128,'Output Utente'!$R$2:$R$492,0)),"")</f>
        <v/>
      </c>
      <c r="L131" s="23" t="str">
        <f>IFERROR(INDEX('Output Utente'!$E$2:$E$492,MATCH(128,'Output Utente'!$R$2:$R$492,0)),"")</f>
        <v/>
      </c>
      <c r="V131" t="str">
        <f>IFERROR(INDEX('Output Utente'!$M$2:$M$492,MATCH(128,'Output Utente'!$R$2:$R$492,0)),"")</f>
        <v/>
      </c>
      <c r="W131" t="str">
        <f t="shared" si="1"/>
        <v/>
      </c>
      <c r="X131" t="str">
        <f>IFERROR(INDEX('Output Utente'!$AF$2:$AF$492,MATCH(128,'Output Utente'!$R$2:$R$492,0)),"")</f>
        <v/>
      </c>
    </row>
    <row r="132" spans="1:24" ht="15" customHeight="1" x14ac:dyDescent="0.25">
      <c r="A132" s="26">
        <v>129</v>
      </c>
      <c r="B132" s="23" t="str">
        <f>IFERROR(INDEX('Output Utente'!$A$2:$A$492,MATCH(129,'Output Utente'!$R$2:$R$492,0)),"")</f>
        <v/>
      </c>
      <c r="C132" s="23" t="str">
        <f>IFERROR(INDEX('Output Utente'!$B$2:$B$492,MATCH(129,'Output Utente'!$R$2:$R$492,0)),"")</f>
        <v/>
      </c>
      <c r="D132" s="23" t="str">
        <f>IFERROR(INDEX('Output Utente'!$C$2:$C$492,MATCH(129,'Output Utente'!$R$2:$R$492,0)),"")</f>
        <v/>
      </c>
      <c r="E132" s="23" t="str">
        <f>IFERROR(INDEX('Input Giocatori 2026_27'!$D$3:$D$493,MATCH($B132,'Input Giocatori 2026_27'!$A$3:$A$493,0)),"")</f>
        <v/>
      </c>
      <c r="F132" s="24" t="str">
        <f>IFERROR(INDEX('Output Utente'!$N$2:$N$492,MATCH(129,'Output Utente'!$R$2:$R$492,0)),"")</f>
        <v/>
      </c>
      <c r="G132" s="23" t="str">
        <f>IFERROR(INDEX('Output Utente'!$O$2:$O$492,MATCH(129,'Output Utente'!$R$2:$R$492,0)),"")</f>
        <v/>
      </c>
      <c r="H132" s="23" t="str">
        <f>IFERROR(INDEX('Output Utente'!$P$2:$P$492,MATCH(129,'Output Utente'!$R$2:$R$492,0)),"")</f>
        <v/>
      </c>
      <c r="I132" s="24" t="str">
        <f>IFERROR(INDEX('Output Utente'!$F$2:$F$492,MATCH(129,'Output Utente'!$R$2:$R$492,0)),"")</f>
        <v/>
      </c>
      <c r="J132" s="24" t="str">
        <f>IFERROR(INDEX('Output Utente'!$G$2:$G$492,MATCH(129,'Output Utente'!$R$2:$R$492,0)),"")</f>
        <v/>
      </c>
      <c r="K132" s="24" t="str">
        <f>IFERROR(INDEX('Output Utente'!$H$2:$H$492,MATCH(129,'Output Utente'!$R$2:$R$492,0)),"")</f>
        <v/>
      </c>
      <c r="L132" s="23" t="str">
        <f>IFERROR(INDEX('Output Utente'!$E$2:$E$492,MATCH(129,'Output Utente'!$R$2:$R$492,0)),"")</f>
        <v/>
      </c>
      <c r="V132" t="str">
        <f>IFERROR(INDEX('Output Utente'!$M$2:$M$492,MATCH(129,'Output Utente'!$R$2:$R$492,0)),"")</f>
        <v/>
      </c>
      <c r="W132" t="str">
        <f t="shared" ref="W132:W195" si="2">IF(OR($G132="",$V132=""),"",$G132-$V132)</f>
        <v/>
      </c>
      <c r="X132" t="str">
        <f>IFERROR(INDEX('Output Utente'!$AF$2:$AF$492,MATCH(129,'Output Utente'!$R$2:$R$492,0)),"")</f>
        <v/>
      </c>
    </row>
    <row r="133" spans="1:24" ht="15" customHeight="1" x14ac:dyDescent="0.25">
      <c r="A133" s="26">
        <v>130</v>
      </c>
      <c r="B133" s="23" t="str">
        <f>IFERROR(INDEX('Output Utente'!$A$2:$A$492,MATCH(130,'Output Utente'!$R$2:$R$492,0)),"")</f>
        <v/>
      </c>
      <c r="C133" s="23" t="str">
        <f>IFERROR(INDEX('Output Utente'!$B$2:$B$492,MATCH(130,'Output Utente'!$R$2:$R$492,0)),"")</f>
        <v/>
      </c>
      <c r="D133" s="23" t="str">
        <f>IFERROR(INDEX('Output Utente'!$C$2:$C$492,MATCH(130,'Output Utente'!$R$2:$R$492,0)),"")</f>
        <v/>
      </c>
      <c r="E133" s="23" t="str">
        <f>IFERROR(INDEX('Input Giocatori 2026_27'!$D$3:$D$493,MATCH($B133,'Input Giocatori 2026_27'!$A$3:$A$493,0)),"")</f>
        <v/>
      </c>
      <c r="F133" s="24" t="str">
        <f>IFERROR(INDEX('Output Utente'!$N$2:$N$492,MATCH(130,'Output Utente'!$R$2:$R$492,0)),"")</f>
        <v/>
      </c>
      <c r="G133" s="23" t="str">
        <f>IFERROR(INDEX('Output Utente'!$O$2:$O$492,MATCH(130,'Output Utente'!$R$2:$R$492,0)),"")</f>
        <v/>
      </c>
      <c r="H133" s="23" t="str">
        <f>IFERROR(INDEX('Output Utente'!$P$2:$P$492,MATCH(130,'Output Utente'!$R$2:$R$492,0)),"")</f>
        <v/>
      </c>
      <c r="I133" s="24" t="str">
        <f>IFERROR(INDEX('Output Utente'!$F$2:$F$492,MATCH(130,'Output Utente'!$R$2:$R$492,0)),"")</f>
        <v/>
      </c>
      <c r="J133" s="24" t="str">
        <f>IFERROR(INDEX('Output Utente'!$G$2:$G$492,MATCH(130,'Output Utente'!$R$2:$R$492,0)),"")</f>
        <v/>
      </c>
      <c r="K133" s="24" t="str">
        <f>IFERROR(INDEX('Output Utente'!$H$2:$H$492,MATCH(130,'Output Utente'!$R$2:$R$492,0)),"")</f>
        <v/>
      </c>
      <c r="L133" s="23" t="str">
        <f>IFERROR(INDEX('Output Utente'!$E$2:$E$492,MATCH(130,'Output Utente'!$R$2:$R$492,0)),"")</f>
        <v/>
      </c>
      <c r="V133" t="str">
        <f>IFERROR(INDEX('Output Utente'!$M$2:$M$492,MATCH(130,'Output Utente'!$R$2:$R$492,0)),"")</f>
        <v/>
      </c>
      <c r="W133" t="str">
        <f t="shared" si="2"/>
        <v/>
      </c>
      <c r="X133" t="str">
        <f>IFERROR(INDEX('Output Utente'!$AF$2:$AF$492,MATCH(130,'Output Utente'!$R$2:$R$492,0)),"")</f>
        <v/>
      </c>
    </row>
    <row r="134" spans="1:24" ht="15" customHeight="1" x14ac:dyDescent="0.25">
      <c r="A134" s="26">
        <v>131</v>
      </c>
      <c r="B134" s="23" t="str">
        <f>IFERROR(INDEX('Output Utente'!$A$2:$A$492,MATCH(131,'Output Utente'!$R$2:$R$492,0)),"")</f>
        <v/>
      </c>
      <c r="C134" s="23" t="str">
        <f>IFERROR(INDEX('Output Utente'!$B$2:$B$492,MATCH(131,'Output Utente'!$R$2:$R$492,0)),"")</f>
        <v/>
      </c>
      <c r="D134" s="23" t="str">
        <f>IFERROR(INDEX('Output Utente'!$C$2:$C$492,MATCH(131,'Output Utente'!$R$2:$R$492,0)),"")</f>
        <v/>
      </c>
      <c r="E134" s="23" t="str">
        <f>IFERROR(INDEX('Input Giocatori 2026_27'!$D$3:$D$493,MATCH($B134,'Input Giocatori 2026_27'!$A$3:$A$493,0)),"")</f>
        <v/>
      </c>
      <c r="F134" s="24" t="str">
        <f>IFERROR(INDEX('Output Utente'!$N$2:$N$492,MATCH(131,'Output Utente'!$R$2:$R$492,0)),"")</f>
        <v/>
      </c>
      <c r="G134" s="23" t="str">
        <f>IFERROR(INDEX('Output Utente'!$O$2:$O$492,MATCH(131,'Output Utente'!$R$2:$R$492,0)),"")</f>
        <v/>
      </c>
      <c r="H134" s="23" t="str">
        <f>IFERROR(INDEX('Output Utente'!$P$2:$P$492,MATCH(131,'Output Utente'!$R$2:$R$492,0)),"")</f>
        <v/>
      </c>
      <c r="I134" s="24" t="str">
        <f>IFERROR(INDEX('Output Utente'!$F$2:$F$492,MATCH(131,'Output Utente'!$R$2:$R$492,0)),"")</f>
        <v/>
      </c>
      <c r="J134" s="24" t="str">
        <f>IFERROR(INDEX('Output Utente'!$G$2:$G$492,MATCH(131,'Output Utente'!$R$2:$R$492,0)),"")</f>
        <v/>
      </c>
      <c r="K134" s="24" t="str">
        <f>IFERROR(INDEX('Output Utente'!$H$2:$H$492,MATCH(131,'Output Utente'!$R$2:$R$492,0)),"")</f>
        <v/>
      </c>
      <c r="L134" s="23" t="str">
        <f>IFERROR(INDEX('Output Utente'!$E$2:$E$492,MATCH(131,'Output Utente'!$R$2:$R$492,0)),"")</f>
        <v/>
      </c>
      <c r="V134" t="str">
        <f>IFERROR(INDEX('Output Utente'!$M$2:$M$492,MATCH(131,'Output Utente'!$R$2:$R$492,0)),"")</f>
        <v/>
      </c>
      <c r="W134" t="str">
        <f t="shared" si="2"/>
        <v/>
      </c>
      <c r="X134" t="str">
        <f>IFERROR(INDEX('Output Utente'!$AF$2:$AF$492,MATCH(131,'Output Utente'!$R$2:$R$492,0)),"")</f>
        <v/>
      </c>
    </row>
    <row r="135" spans="1:24" ht="15" customHeight="1" x14ac:dyDescent="0.25">
      <c r="A135" s="26">
        <v>132</v>
      </c>
      <c r="B135" s="23" t="str">
        <f>IFERROR(INDEX('Output Utente'!$A$2:$A$492,MATCH(132,'Output Utente'!$R$2:$R$492,0)),"")</f>
        <v/>
      </c>
      <c r="C135" s="23" t="str">
        <f>IFERROR(INDEX('Output Utente'!$B$2:$B$492,MATCH(132,'Output Utente'!$R$2:$R$492,0)),"")</f>
        <v/>
      </c>
      <c r="D135" s="23" t="str">
        <f>IFERROR(INDEX('Output Utente'!$C$2:$C$492,MATCH(132,'Output Utente'!$R$2:$R$492,0)),"")</f>
        <v/>
      </c>
      <c r="E135" s="23" t="str">
        <f>IFERROR(INDEX('Input Giocatori 2026_27'!$D$3:$D$493,MATCH($B135,'Input Giocatori 2026_27'!$A$3:$A$493,0)),"")</f>
        <v/>
      </c>
      <c r="F135" s="24" t="str">
        <f>IFERROR(INDEX('Output Utente'!$N$2:$N$492,MATCH(132,'Output Utente'!$R$2:$R$492,0)),"")</f>
        <v/>
      </c>
      <c r="G135" s="23" t="str">
        <f>IFERROR(INDEX('Output Utente'!$O$2:$O$492,MATCH(132,'Output Utente'!$R$2:$R$492,0)),"")</f>
        <v/>
      </c>
      <c r="H135" s="23" t="str">
        <f>IFERROR(INDEX('Output Utente'!$P$2:$P$492,MATCH(132,'Output Utente'!$R$2:$R$492,0)),"")</f>
        <v/>
      </c>
      <c r="I135" s="24" t="str">
        <f>IFERROR(INDEX('Output Utente'!$F$2:$F$492,MATCH(132,'Output Utente'!$R$2:$R$492,0)),"")</f>
        <v/>
      </c>
      <c r="J135" s="24" t="str">
        <f>IFERROR(INDEX('Output Utente'!$G$2:$G$492,MATCH(132,'Output Utente'!$R$2:$R$492,0)),"")</f>
        <v/>
      </c>
      <c r="K135" s="24" t="str">
        <f>IFERROR(INDEX('Output Utente'!$H$2:$H$492,MATCH(132,'Output Utente'!$R$2:$R$492,0)),"")</f>
        <v/>
      </c>
      <c r="L135" s="23" t="str">
        <f>IFERROR(INDEX('Output Utente'!$E$2:$E$492,MATCH(132,'Output Utente'!$R$2:$R$492,0)),"")</f>
        <v/>
      </c>
      <c r="V135" t="str">
        <f>IFERROR(INDEX('Output Utente'!$M$2:$M$492,MATCH(132,'Output Utente'!$R$2:$R$492,0)),"")</f>
        <v/>
      </c>
      <c r="W135" t="str">
        <f t="shared" si="2"/>
        <v/>
      </c>
      <c r="X135" t="str">
        <f>IFERROR(INDEX('Output Utente'!$AF$2:$AF$492,MATCH(132,'Output Utente'!$R$2:$R$492,0)),"")</f>
        <v/>
      </c>
    </row>
    <row r="136" spans="1:24" ht="15" customHeight="1" x14ac:dyDescent="0.25">
      <c r="A136" s="26">
        <v>133</v>
      </c>
      <c r="B136" s="23" t="str">
        <f>IFERROR(INDEX('Output Utente'!$A$2:$A$492,MATCH(133,'Output Utente'!$R$2:$R$492,0)),"")</f>
        <v/>
      </c>
      <c r="C136" s="23" t="str">
        <f>IFERROR(INDEX('Output Utente'!$B$2:$B$492,MATCH(133,'Output Utente'!$R$2:$R$492,0)),"")</f>
        <v/>
      </c>
      <c r="D136" s="23" t="str">
        <f>IFERROR(INDEX('Output Utente'!$C$2:$C$492,MATCH(133,'Output Utente'!$R$2:$R$492,0)),"")</f>
        <v/>
      </c>
      <c r="E136" s="23" t="str">
        <f>IFERROR(INDEX('Input Giocatori 2026_27'!$D$3:$D$493,MATCH($B136,'Input Giocatori 2026_27'!$A$3:$A$493,0)),"")</f>
        <v/>
      </c>
      <c r="F136" s="24" t="str">
        <f>IFERROR(INDEX('Output Utente'!$N$2:$N$492,MATCH(133,'Output Utente'!$R$2:$R$492,0)),"")</f>
        <v/>
      </c>
      <c r="G136" s="23" t="str">
        <f>IFERROR(INDEX('Output Utente'!$O$2:$O$492,MATCH(133,'Output Utente'!$R$2:$R$492,0)),"")</f>
        <v/>
      </c>
      <c r="H136" s="23" t="str">
        <f>IFERROR(INDEX('Output Utente'!$P$2:$P$492,MATCH(133,'Output Utente'!$R$2:$R$492,0)),"")</f>
        <v/>
      </c>
      <c r="I136" s="24" t="str">
        <f>IFERROR(INDEX('Output Utente'!$F$2:$F$492,MATCH(133,'Output Utente'!$R$2:$R$492,0)),"")</f>
        <v/>
      </c>
      <c r="J136" s="24" t="str">
        <f>IFERROR(INDEX('Output Utente'!$G$2:$G$492,MATCH(133,'Output Utente'!$R$2:$R$492,0)),"")</f>
        <v/>
      </c>
      <c r="K136" s="24" t="str">
        <f>IFERROR(INDEX('Output Utente'!$H$2:$H$492,MATCH(133,'Output Utente'!$R$2:$R$492,0)),"")</f>
        <v/>
      </c>
      <c r="L136" s="23" t="str">
        <f>IFERROR(INDEX('Output Utente'!$E$2:$E$492,MATCH(133,'Output Utente'!$R$2:$R$492,0)),"")</f>
        <v/>
      </c>
      <c r="V136" t="str">
        <f>IFERROR(INDEX('Output Utente'!$M$2:$M$492,MATCH(133,'Output Utente'!$R$2:$R$492,0)),"")</f>
        <v/>
      </c>
      <c r="W136" t="str">
        <f t="shared" si="2"/>
        <v/>
      </c>
      <c r="X136" t="str">
        <f>IFERROR(INDEX('Output Utente'!$AF$2:$AF$492,MATCH(133,'Output Utente'!$R$2:$R$492,0)),"")</f>
        <v/>
      </c>
    </row>
    <row r="137" spans="1:24" ht="15" customHeight="1" x14ac:dyDescent="0.25">
      <c r="A137" s="26">
        <v>134</v>
      </c>
      <c r="B137" s="23" t="str">
        <f>IFERROR(INDEX('Output Utente'!$A$2:$A$492,MATCH(134,'Output Utente'!$R$2:$R$492,0)),"")</f>
        <v/>
      </c>
      <c r="C137" s="23" t="str">
        <f>IFERROR(INDEX('Output Utente'!$B$2:$B$492,MATCH(134,'Output Utente'!$R$2:$R$492,0)),"")</f>
        <v/>
      </c>
      <c r="D137" s="23" t="str">
        <f>IFERROR(INDEX('Output Utente'!$C$2:$C$492,MATCH(134,'Output Utente'!$R$2:$R$492,0)),"")</f>
        <v/>
      </c>
      <c r="E137" s="23" t="str">
        <f>IFERROR(INDEX('Input Giocatori 2026_27'!$D$3:$D$493,MATCH($B137,'Input Giocatori 2026_27'!$A$3:$A$493,0)),"")</f>
        <v/>
      </c>
      <c r="F137" s="24" t="str">
        <f>IFERROR(INDEX('Output Utente'!$N$2:$N$492,MATCH(134,'Output Utente'!$R$2:$R$492,0)),"")</f>
        <v/>
      </c>
      <c r="G137" s="23" t="str">
        <f>IFERROR(INDEX('Output Utente'!$O$2:$O$492,MATCH(134,'Output Utente'!$R$2:$R$492,0)),"")</f>
        <v/>
      </c>
      <c r="H137" s="23" t="str">
        <f>IFERROR(INDEX('Output Utente'!$P$2:$P$492,MATCH(134,'Output Utente'!$R$2:$R$492,0)),"")</f>
        <v/>
      </c>
      <c r="I137" s="24" t="str">
        <f>IFERROR(INDEX('Output Utente'!$F$2:$F$492,MATCH(134,'Output Utente'!$R$2:$R$492,0)),"")</f>
        <v/>
      </c>
      <c r="J137" s="24" t="str">
        <f>IFERROR(INDEX('Output Utente'!$G$2:$G$492,MATCH(134,'Output Utente'!$R$2:$R$492,0)),"")</f>
        <v/>
      </c>
      <c r="K137" s="24" t="str">
        <f>IFERROR(INDEX('Output Utente'!$H$2:$H$492,MATCH(134,'Output Utente'!$R$2:$R$492,0)),"")</f>
        <v/>
      </c>
      <c r="L137" s="23" t="str">
        <f>IFERROR(INDEX('Output Utente'!$E$2:$E$492,MATCH(134,'Output Utente'!$R$2:$R$492,0)),"")</f>
        <v/>
      </c>
      <c r="V137" t="str">
        <f>IFERROR(INDEX('Output Utente'!$M$2:$M$492,MATCH(134,'Output Utente'!$R$2:$R$492,0)),"")</f>
        <v/>
      </c>
      <c r="W137" t="str">
        <f t="shared" si="2"/>
        <v/>
      </c>
      <c r="X137" t="str">
        <f>IFERROR(INDEX('Output Utente'!$AF$2:$AF$492,MATCH(134,'Output Utente'!$R$2:$R$492,0)),"")</f>
        <v/>
      </c>
    </row>
    <row r="138" spans="1:24" ht="15" customHeight="1" x14ac:dyDescent="0.25">
      <c r="A138" s="26">
        <v>135</v>
      </c>
      <c r="B138" s="23" t="str">
        <f>IFERROR(INDEX('Output Utente'!$A$2:$A$492,MATCH(135,'Output Utente'!$R$2:$R$492,0)),"")</f>
        <v/>
      </c>
      <c r="C138" s="23" t="str">
        <f>IFERROR(INDEX('Output Utente'!$B$2:$B$492,MATCH(135,'Output Utente'!$R$2:$R$492,0)),"")</f>
        <v/>
      </c>
      <c r="D138" s="23" t="str">
        <f>IFERROR(INDEX('Output Utente'!$C$2:$C$492,MATCH(135,'Output Utente'!$R$2:$R$492,0)),"")</f>
        <v/>
      </c>
      <c r="E138" s="23" t="str">
        <f>IFERROR(INDEX('Input Giocatori 2026_27'!$D$3:$D$493,MATCH($B138,'Input Giocatori 2026_27'!$A$3:$A$493,0)),"")</f>
        <v/>
      </c>
      <c r="F138" s="24" t="str">
        <f>IFERROR(INDEX('Output Utente'!$N$2:$N$492,MATCH(135,'Output Utente'!$R$2:$R$492,0)),"")</f>
        <v/>
      </c>
      <c r="G138" s="23" t="str">
        <f>IFERROR(INDEX('Output Utente'!$O$2:$O$492,MATCH(135,'Output Utente'!$R$2:$R$492,0)),"")</f>
        <v/>
      </c>
      <c r="H138" s="23" t="str">
        <f>IFERROR(INDEX('Output Utente'!$P$2:$P$492,MATCH(135,'Output Utente'!$R$2:$R$492,0)),"")</f>
        <v/>
      </c>
      <c r="I138" s="24" t="str">
        <f>IFERROR(INDEX('Output Utente'!$F$2:$F$492,MATCH(135,'Output Utente'!$R$2:$R$492,0)),"")</f>
        <v/>
      </c>
      <c r="J138" s="24" t="str">
        <f>IFERROR(INDEX('Output Utente'!$G$2:$G$492,MATCH(135,'Output Utente'!$R$2:$R$492,0)),"")</f>
        <v/>
      </c>
      <c r="K138" s="24" t="str">
        <f>IFERROR(INDEX('Output Utente'!$H$2:$H$492,MATCH(135,'Output Utente'!$R$2:$R$492,0)),"")</f>
        <v/>
      </c>
      <c r="L138" s="23" t="str">
        <f>IFERROR(INDEX('Output Utente'!$E$2:$E$492,MATCH(135,'Output Utente'!$R$2:$R$492,0)),"")</f>
        <v/>
      </c>
      <c r="V138" t="str">
        <f>IFERROR(INDEX('Output Utente'!$M$2:$M$492,MATCH(135,'Output Utente'!$R$2:$R$492,0)),"")</f>
        <v/>
      </c>
      <c r="W138" t="str">
        <f t="shared" si="2"/>
        <v/>
      </c>
      <c r="X138" t="str">
        <f>IFERROR(INDEX('Output Utente'!$AF$2:$AF$492,MATCH(135,'Output Utente'!$R$2:$R$492,0)),"")</f>
        <v/>
      </c>
    </row>
    <row r="139" spans="1:24" ht="15" customHeight="1" x14ac:dyDescent="0.25">
      <c r="A139" s="26">
        <v>136</v>
      </c>
      <c r="B139" s="23" t="str">
        <f>IFERROR(INDEX('Output Utente'!$A$2:$A$492,MATCH(136,'Output Utente'!$R$2:$R$492,0)),"")</f>
        <v/>
      </c>
      <c r="C139" s="23" t="str">
        <f>IFERROR(INDEX('Output Utente'!$B$2:$B$492,MATCH(136,'Output Utente'!$R$2:$R$492,0)),"")</f>
        <v/>
      </c>
      <c r="D139" s="23" t="str">
        <f>IFERROR(INDEX('Output Utente'!$C$2:$C$492,MATCH(136,'Output Utente'!$R$2:$R$492,0)),"")</f>
        <v/>
      </c>
      <c r="E139" s="23" t="str">
        <f>IFERROR(INDEX('Input Giocatori 2026_27'!$D$3:$D$493,MATCH($B139,'Input Giocatori 2026_27'!$A$3:$A$493,0)),"")</f>
        <v/>
      </c>
      <c r="F139" s="24" t="str">
        <f>IFERROR(INDEX('Output Utente'!$N$2:$N$492,MATCH(136,'Output Utente'!$R$2:$R$492,0)),"")</f>
        <v/>
      </c>
      <c r="G139" s="23" t="str">
        <f>IFERROR(INDEX('Output Utente'!$O$2:$O$492,MATCH(136,'Output Utente'!$R$2:$R$492,0)),"")</f>
        <v/>
      </c>
      <c r="H139" s="23" t="str">
        <f>IFERROR(INDEX('Output Utente'!$P$2:$P$492,MATCH(136,'Output Utente'!$R$2:$R$492,0)),"")</f>
        <v/>
      </c>
      <c r="I139" s="24" t="str">
        <f>IFERROR(INDEX('Output Utente'!$F$2:$F$492,MATCH(136,'Output Utente'!$R$2:$R$492,0)),"")</f>
        <v/>
      </c>
      <c r="J139" s="24" t="str">
        <f>IFERROR(INDEX('Output Utente'!$G$2:$G$492,MATCH(136,'Output Utente'!$R$2:$R$492,0)),"")</f>
        <v/>
      </c>
      <c r="K139" s="24" t="str">
        <f>IFERROR(INDEX('Output Utente'!$H$2:$H$492,MATCH(136,'Output Utente'!$R$2:$R$492,0)),"")</f>
        <v/>
      </c>
      <c r="L139" s="23" t="str">
        <f>IFERROR(INDEX('Output Utente'!$E$2:$E$492,MATCH(136,'Output Utente'!$R$2:$R$492,0)),"")</f>
        <v/>
      </c>
      <c r="V139" t="str">
        <f>IFERROR(INDEX('Output Utente'!$M$2:$M$492,MATCH(136,'Output Utente'!$R$2:$R$492,0)),"")</f>
        <v/>
      </c>
      <c r="W139" t="str">
        <f t="shared" si="2"/>
        <v/>
      </c>
      <c r="X139" t="str">
        <f>IFERROR(INDEX('Output Utente'!$AF$2:$AF$492,MATCH(136,'Output Utente'!$R$2:$R$492,0)),"")</f>
        <v/>
      </c>
    </row>
    <row r="140" spans="1:24" ht="15" customHeight="1" x14ac:dyDescent="0.25">
      <c r="A140" s="26">
        <v>137</v>
      </c>
      <c r="B140" s="23" t="str">
        <f>IFERROR(INDEX('Output Utente'!$A$2:$A$492,MATCH(137,'Output Utente'!$R$2:$R$492,0)),"")</f>
        <v/>
      </c>
      <c r="C140" s="23" t="str">
        <f>IFERROR(INDEX('Output Utente'!$B$2:$B$492,MATCH(137,'Output Utente'!$R$2:$R$492,0)),"")</f>
        <v/>
      </c>
      <c r="D140" s="23" t="str">
        <f>IFERROR(INDEX('Output Utente'!$C$2:$C$492,MATCH(137,'Output Utente'!$R$2:$R$492,0)),"")</f>
        <v/>
      </c>
      <c r="E140" s="23" t="str">
        <f>IFERROR(INDEX('Input Giocatori 2026_27'!$D$3:$D$493,MATCH($B140,'Input Giocatori 2026_27'!$A$3:$A$493,0)),"")</f>
        <v/>
      </c>
      <c r="F140" s="24" t="str">
        <f>IFERROR(INDEX('Output Utente'!$N$2:$N$492,MATCH(137,'Output Utente'!$R$2:$R$492,0)),"")</f>
        <v/>
      </c>
      <c r="G140" s="23" t="str">
        <f>IFERROR(INDEX('Output Utente'!$O$2:$O$492,MATCH(137,'Output Utente'!$R$2:$R$492,0)),"")</f>
        <v/>
      </c>
      <c r="H140" s="23" t="str">
        <f>IFERROR(INDEX('Output Utente'!$P$2:$P$492,MATCH(137,'Output Utente'!$R$2:$R$492,0)),"")</f>
        <v/>
      </c>
      <c r="I140" s="24" t="str">
        <f>IFERROR(INDEX('Output Utente'!$F$2:$F$492,MATCH(137,'Output Utente'!$R$2:$R$492,0)),"")</f>
        <v/>
      </c>
      <c r="J140" s="24" t="str">
        <f>IFERROR(INDEX('Output Utente'!$G$2:$G$492,MATCH(137,'Output Utente'!$R$2:$R$492,0)),"")</f>
        <v/>
      </c>
      <c r="K140" s="24" t="str">
        <f>IFERROR(INDEX('Output Utente'!$H$2:$H$492,MATCH(137,'Output Utente'!$R$2:$R$492,0)),"")</f>
        <v/>
      </c>
      <c r="L140" s="23" t="str">
        <f>IFERROR(INDEX('Output Utente'!$E$2:$E$492,MATCH(137,'Output Utente'!$R$2:$R$492,0)),"")</f>
        <v/>
      </c>
      <c r="V140" t="str">
        <f>IFERROR(INDEX('Output Utente'!$M$2:$M$492,MATCH(137,'Output Utente'!$R$2:$R$492,0)),"")</f>
        <v/>
      </c>
      <c r="W140" t="str">
        <f t="shared" si="2"/>
        <v/>
      </c>
      <c r="X140" t="str">
        <f>IFERROR(INDEX('Output Utente'!$AF$2:$AF$492,MATCH(137,'Output Utente'!$R$2:$R$492,0)),"")</f>
        <v/>
      </c>
    </row>
    <row r="141" spans="1:24" ht="15" customHeight="1" x14ac:dyDescent="0.25">
      <c r="A141" s="26">
        <v>138</v>
      </c>
      <c r="B141" s="23" t="str">
        <f>IFERROR(INDEX('Output Utente'!$A$2:$A$492,MATCH(138,'Output Utente'!$R$2:$R$492,0)),"")</f>
        <v/>
      </c>
      <c r="C141" s="23" t="str">
        <f>IFERROR(INDEX('Output Utente'!$B$2:$B$492,MATCH(138,'Output Utente'!$R$2:$R$492,0)),"")</f>
        <v/>
      </c>
      <c r="D141" s="23" t="str">
        <f>IFERROR(INDEX('Output Utente'!$C$2:$C$492,MATCH(138,'Output Utente'!$R$2:$R$492,0)),"")</f>
        <v/>
      </c>
      <c r="E141" s="23" t="str">
        <f>IFERROR(INDEX('Input Giocatori 2026_27'!$D$3:$D$493,MATCH($B141,'Input Giocatori 2026_27'!$A$3:$A$493,0)),"")</f>
        <v/>
      </c>
      <c r="F141" s="24" t="str">
        <f>IFERROR(INDEX('Output Utente'!$N$2:$N$492,MATCH(138,'Output Utente'!$R$2:$R$492,0)),"")</f>
        <v/>
      </c>
      <c r="G141" s="23" t="str">
        <f>IFERROR(INDEX('Output Utente'!$O$2:$O$492,MATCH(138,'Output Utente'!$R$2:$R$492,0)),"")</f>
        <v/>
      </c>
      <c r="H141" s="23" t="str">
        <f>IFERROR(INDEX('Output Utente'!$P$2:$P$492,MATCH(138,'Output Utente'!$R$2:$R$492,0)),"")</f>
        <v/>
      </c>
      <c r="I141" s="24" t="str">
        <f>IFERROR(INDEX('Output Utente'!$F$2:$F$492,MATCH(138,'Output Utente'!$R$2:$R$492,0)),"")</f>
        <v/>
      </c>
      <c r="J141" s="24" t="str">
        <f>IFERROR(INDEX('Output Utente'!$G$2:$G$492,MATCH(138,'Output Utente'!$R$2:$R$492,0)),"")</f>
        <v/>
      </c>
      <c r="K141" s="24" t="str">
        <f>IFERROR(INDEX('Output Utente'!$H$2:$H$492,MATCH(138,'Output Utente'!$R$2:$R$492,0)),"")</f>
        <v/>
      </c>
      <c r="L141" s="23" t="str">
        <f>IFERROR(INDEX('Output Utente'!$E$2:$E$492,MATCH(138,'Output Utente'!$R$2:$R$492,0)),"")</f>
        <v/>
      </c>
      <c r="V141" t="str">
        <f>IFERROR(INDEX('Output Utente'!$M$2:$M$492,MATCH(138,'Output Utente'!$R$2:$R$492,0)),"")</f>
        <v/>
      </c>
      <c r="W141" t="str">
        <f t="shared" si="2"/>
        <v/>
      </c>
      <c r="X141" t="str">
        <f>IFERROR(INDEX('Output Utente'!$AF$2:$AF$492,MATCH(138,'Output Utente'!$R$2:$R$492,0)),"")</f>
        <v/>
      </c>
    </row>
    <row r="142" spans="1:24" ht="15" customHeight="1" x14ac:dyDescent="0.25">
      <c r="A142" s="26">
        <v>139</v>
      </c>
      <c r="B142" s="23" t="str">
        <f>IFERROR(INDEX('Output Utente'!$A$2:$A$492,MATCH(139,'Output Utente'!$R$2:$R$492,0)),"")</f>
        <v/>
      </c>
      <c r="C142" s="23" t="str">
        <f>IFERROR(INDEX('Output Utente'!$B$2:$B$492,MATCH(139,'Output Utente'!$R$2:$R$492,0)),"")</f>
        <v/>
      </c>
      <c r="D142" s="23" t="str">
        <f>IFERROR(INDEX('Output Utente'!$C$2:$C$492,MATCH(139,'Output Utente'!$R$2:$R$492,0)),"")</f>
        <v/>
      </c>
      <c r="E142" s="23" t="str">
        <f>IFERROR(INDEX('Input Giocatori 2026_27'!$D$3:$D$493,MATCH($B142,'Input Giocatori 2026_27'!$A$3:$A$493,0)),"")</f>
        <v/>
      </c>
      <c r="F142" s="24" t="str">
        <f>IFERROR(INDEX('Output Utente'!$N$2:$N$492,MATCH(139,'Output Utente'!$R$2:$R$492,0)),"")</f>
        <v/>
      </c>
      <c r="G142" s="23" t="str">
        <f>IFERROR(INDEX('Output Utente'!$O$2:$O$492,MATCH(139,'Output Utente'!$R$2:$R$492,0)),"")</f>
        <v/>
      </c>
      <c r="H142" s="23" t="str">
        <f>IFERROR(INDEX('Output Utente'!$P$2:$P$492,MATCH(139,'Output Utente'!$R$2:$R$492,0)),"")</f>
        <v/>
      </c>
      <c r="I142" s="24" t="str">
        <f>IFERROR(INDEX('Output Utente'!$F$2:$F$492,MATCH(139,'Output Utente'!$R$2:$R$492,0)),"")</f>
        <v/>
      </c>
      <c r="J142" s="24" t="str">
        <f>IFERROR(INDEX('Output Utente'!$G$2:$G$492,MATCH(139,'Output Utente'!$R$2:$R$492,0)),"")</f>
        <v/>
      </c>
      <c r="K142" s="24" t="str">
        <f>IFERROR(INDEX('Output Utente'!$H$2:$H$492,MATCH(139,'Output Utente'!$R$2:$R$492,0)),"")</f>
        <v/>
      </c>
      <c r="L142" s="23" t="str">
        <f>IFERROR(INDEX('Output Utente'!$E$2:$E$492,MATCH(139,'Output Utente'!$R$2:$R$492,0)),"")</f>
        <v/>
      </c>
      <c r="V142" t="str">
        <f>IFERROR(INDEX('Output Utente'!$M$2:$M$492,MATCH(139,'Output Utente'!$R$2:$R$492,0)),"")</f>
        <v/>
      </c>
      <c r="W142" t="str">
        <f t="shared" si="2"/>
        <v/>
      </c>
      <c r="X142" t="str">
        <f>IFERROR(INDEX('Output Utente'!$AF$2:$AF$492,MATCH(139,'Output Utente'!$R$2:$R$492,0)),"")</f>
        <v/>
      </c>
    </row>
    <row r="143" spans="1:24" ht="15" customHeight="1" x14ac:dyDescent="0.25">
      <c r="A143" s="26">
        <v>140</v>
      </c>
      <c r="B143" s="23" t="str">
        <f>IFERROR(INDEX('Output Utente'!$A$2:$A$492,MATCH(140,'Output Utente'!$R$2:$R$492,0)),"")</f>
        <v/>
      </c>
      <c r="C143" s="23" t="str">
        <f>IFERROR(INDEX('Output Utente'!$B$2:$B$492,MATCH(140,'Output Utente'!$R$2:$R$492,0)),"")</f>
        <v/>
      </c>
      <c r="D143" s="23" t="str">
        <f>IFERROR(INDEX('Output Utente'!$C$2:$C$492,MATCH(140,'Output Utente'!$R$2:$R$492,0)),"")</f>
        <v/>
      </c>
      <c r="E143" s="23" t="str">
        <f>IFERROR(INDEX('Input Giocatori 2026_27'!$D$3:$D$493,MATCH($B143,'Input Giocatori 2026_27'!$A$3:$A$493,0)),"")</f>
        <v/>
      </c>
      <c r="F143" s="24" t="str">
        <f>IFERROR(INDEX('Output Utente'!$N$2:$N$492,MATCH(140,'Output Utente'!$R$2:$R$492,0)),"")</f>
        <v/>
      </c>
      <c r="G143" s="23" t="str">
        <f>IFERROR(INDEX('Output Utente'!$O$2:$O$492,MATCH(140,'Output Utente'!$R$2:$R$492,0)),"")</f>
        <v/>
      </c>
      <c r="H143" s="23" t="str">
        <f>IFERROR(INDEX('Output Utente'!$P$2:$P$492,MATCH(140,'Output Utente'!$R$2:$R$492,0)),"")</f>
        <v/>
      </c>
      <c r="I143" s="24" t="str">
        <f>IFERROR(INDEX('Output Utente'!$F$2:$F$492,MATCH(140,'Output Utente'!$R$2:$R$492,0)),"")</f>
        <v/>
      </c>
      <c r="J143" s="24" t="str">
        <f>IFERROR(INDEX('Output Utente'!$G$2:$G$492,MATCH(140,'Output Utente'!$R$2:$R$492,0)),"")</f>
        <v/>
      </c>
      <c r="K143" s="24" t="str">
        <f>IFERROR(INDEX('Output Utente'!$H$2:$H$492,MATCH(140,'Output Utente'!$R$2:$R$492,0)),"")</f>
        <v/>
      </c>
      <c r="L143" s="23" t="str">
        <f>IFERROR(INDEX('Output Utente'!$E$2:$E$492,MATCH(140,'Output Utente'!$R$2:$R$492,0)),"")</f>
        <v/>
      </c>
      <c r="V143" t="str">
        <f>IFERROR(INDEX('Output Utente'!$M$2:$M$492,MATCH(140,'Output Utente'!$R$2:$R$492,0)),"")</f>
        <v/>
      </c>
      <c r="W143" t="str">
        <f t="shared" si="2"/>
        <v/>
      </c>
      <c r="X143" t="str">
        <f>IFERROR(INDEX('Output Utente'!$AF$2:$AF$492,MATCH(140,'Output Utente'!$R$2:$R$492,0)),"")</f>
        <v/>
      </c>
    </row>
    <row r="144" spans="1:24" ht="15" customHeight="1" x14ac:dyDescent="0.25">
      <c r="A144" s="26">
        <v>141</v>
      </c>
      <c r="B144" s="23" t="str">
        <f>IFERROR(INDEX('Output Utente'!$A$2:$A$492,MATCH(141,'Output Utente'!$R$2:$R$492,0)),"")</f>
        <v/>
      </c>
      <c r="C144" s="23" t="str">
        <f>IFERROR(INDEX('Output Utente'!$B$2:$B$492,MATCH(141,'Output Utente'!$R$2:$R$492,0)),"")</f>
        <v/>
      </c>
      <c r="D144" s="23" t="str">
        <f>IFERROR(INDEX('Output Utente'!$C$2:$C$492,MATCH(141,'Output Utente'!$R$2:$R$492,0)),"")</f>
        <v/>
      </c>
      <c r="E144" s="23" t="str">
        <f>IFERROR(INDEX('Input Giocatori 2026_27'!$D$3:$D$493,MATCH($B144,'Input Giocatori 2026_27'!$A$3:$A$493,0)),"")</f>
        <v/>
      </c>
      <c r="F144" s="24" t="str">
        <f>IFERROR(INDEX('Output Utente'!$N$2:$N$492,MATCH(141,'Output Utente'!$R$2:$R$492,0)),"")</f>
        <v/>
      </c>
      <c r="G144" s="23" t="str">
        <f>IFERROR(INDEX('Output Utente'!$O$2:$O$492,MATCH(141,'Output Utente'!$R$2:$R$492,0)),"")</f>
        <v/>
      </c>
      <c r="H144" s="23" t="str">
        <f>IFERROR(INDEX('Output Utente'!$P$2:$P$492,MATCH(141,'Output Utente'!$R$2:$R$492,0)),"")</f>
        <v/>
      </c>
      <c r="I144" s="24" t="str">
        <f>IFERROR(INDEX('Output Utente'!$F$2:$F$492,MATCH(141,'Output Utente'!$R$2:$R$492,0)),"")</f>
        <v/>
      </c>
      <c r="J144" s="24" t="str">
        <f>IFERROR(INDEX('Output Utente'!$G$2:$G$492,MATCH(141,'Output Utente'!$R$2:$R$492,0)),"")</f>
        <v/>
      </c>
      <c r="K144" s="24" t="str">
        <f>IFERROR(INDEX('Output Utente'!$H$2:$H$492,MATCH(141,'Output Utente'!$R$2:$R$492,0)),"")</f>
        <v/>
      </c>
      <c r="L144" s="23" t="str">
        <f>IFERROR(INDEX('Output Utente'!$E$2:$E$492,MATCH(141,'Output Utente'!$R$2:$R$492,0)),"")</f>
        <v/>
      </c>
      <c r="V144" t="str">
        <f>IFERROR(INDEX('Output Utente'!$M$2:$M$492,MATCH(141,'Output Utente'!$R$2:$R$492,0)),"")</f>
        <v/>
      </c>
      <c r="W144" t="str">
        <f t="shared" si="2"/>
        <v/>
      </c>
      <c r="X144" t="str">
        <f>IFERROR(INDEX('Output Utente'!$AF$2:$AF$492,MATCH(141,'Output Utente'!$R$2:$R$492,0)),"")</f>
        <v/>
      </c>
    </row>
    <row r="145" spans="1:24" ht="15" customHeight="1" x14ac:dyDescent="0.25">
      <c r="A145" s="26">
        <v>142</v>
      </c>
      <c r="B145" s="23" t="str">
        <f>IFERROR(INDEX('Output Utente'!$A$2:$A$492,MATCH(142,'Output Utente'!$R$2:$R$492,0)),"")</f>
        <v/>
      </c>
      <c r="C145" s="23" t="str">
        <f>IFERROR(INDEX('Output Utente'!$B$2:$B$492,MATCH(142,'Output Utente'!$R$2:$R$492,0)),"")</f>
        <v/>
      </c>
      <c r="D145" s="23" t="str">
        <f>IFERROR(INDEX('Output Utente'!$C$2:$C$492,MATCH(142,'Output Utente'!$R$2:$R$492,0)),"")</f>
        <v/>
      </c>
      <c r="E145" s="23" t="str">
        <f>IFERROR(INDEX('Input Giocatori 2026_27'!$D$3:$D$493,MATCH($B145,'Input Giocatori 2026_27'!$A$3:$A$493,0)),"")</f>
        <v/>
      </c>
      <c r="F145" s="24" t="str">
        <f>IFERROR(INDEX('Output Utente'!$N$2:$N$492,MATCH(142,'Output Utente'!$R$2:$R$492,0)),"")</f>
        <v/>
      </c>
      <c r="G145" s="23" t="str">
        <f>IFERROR(INDEX('Output Utente'!$O$2:$O$492,MATCH(142,'Output Utente'!$R$2:$R$492,0)),"")</f>
        <v/>
      </c>
      <c r="H145" s="23" t="str">
        <f>IFERROR(INDEX('Output Utente'!$P$2:$P$492,MATCH(142,'Output Utente'!$R$2:$R$492,0)),"")</f>
        <v/>
      </c>
      <c r="I145" s="24" t="str">
        <f>IFERROR(INDEX('Output Utente'!$F$2:$F$492,MATCH(142,'Output Utente'!$R$2:$R$492,0)),"")</f>
        <v/>
      </c>
      <c r="J145" s="24" t="str">
        <f>IFERROR(INDEX('Output Utente'!$G$2:$G$492,MATCH(142,'Output Utente'!$R$2:$R$492,0)),"")</f>
        <v/>
      </c>
      <c r="K145" s="24" t="str">
        <f>IFERROR(INDEX('Output Utente'!$H$2:$H$492,MATCH(142,'Output Utente'!$R$2:$R$492,0)),"")</f>
        <v/>
      </c>
      <c r="L145" s="23" t="str">
        <f>IFERROR(INDEX('Output Utente'!$E$2:$E$492,MATCH(142,'Output Utente'!$R$2:$R$492,0)),"")</f>
        <v/>
      </c>
      <c r="V145" t="str">
        <f>IFERROR(INDEX('Output Utente'!$M$2:$M$492,MATCH(142,'Output Utente'!$R$2:$R$492,0)),"")</f>
        <v/>
      </c>
      <c r="W145" t="str">
        <f t="shared" si="2"/>
        <v/>
      </c>
      <c r="X145" t="str">
        <f>IFERROR(INDEX('Output Utente'!$AF$2:$AF$492,MATCH(142,'Output Utente'!$R$2:$R$492,0)),"")</f>
        <v/>
      </c>
    </row>
    <row r="146" spans="1:24" ht="15" customHeight="1" x14ac:dyDescent="0.25">
      <c r="A146" s="26">
        <v>143</v>
      </c>
      <c r="B146" s="23" t="str">
        <f>IFERROR(INDEX('Output Utente'!$A$2:$A$492,MATCH(143,'Output Utente'!$R$2:$R$492,0)),"")</f>
        <v/>
      </c>
      <c r="C146" s="23" t="str">
        <f>IFERROR(INDEX('Output Utente'!$B$2:$B$492,MATCH(143,'Output Utente'!$R$2:$R$492,0)),"")</f>
        <v/>
      </c>
      <c r="D146" s="23" t="str">
        <f>IFERROR(INDEX('Output Utente'!$C$2:$C$492,MATCH(143,'Output Utente'!$R$2:$R$492,0)),"")</f>
        <v/>
      </c>
      <c r="E146" s="23" t="str">
        <f>IFERROR(INDEX('Input Giocatori 2026_27'!$D$3:$D$493,MATCH($B146,'Input Giocatori 2026_27'!$A$3:$A$493,0)),"")</f>
        <v/>
      </c>
      <c r="F146" s="24" t="str">
        <f>IFERROR(INDEX('Output Utente'!$N$2:$N$492,MATCH(143,'Output Utente'!$R$2:$R$492,0)),"")</f>
        <v/>
      </c>
      <c r="G146" s="23" t="str">
        <f>IFERROR(INDEX('Output Utente'!$O$2:$O$492,MATCH(143,'Output Utente'!$R$2:$R$492,0)),"")</f>
        <v/>
      </c>
      <c r="H146" s="23" t="str">
        <f>IFERROR(INDEX('Output Utente'!$P$2:$P$492,MATCH(143,'Output Utente'!$R$2:$R$492,0)),"")</f>
        <v/>
      </c>
      <c r="I146" s="24" t="str">
        <f>IFERROR(INDEX('Output Utente'!$F$2:$F$492,MATCH(143,'Output Utente'!$R$2:$R$492,0)),"")</f>
        <v/>
      </c>
      <c r="J146" s="24" t="str">
        <f>IFERROR(INDEX('Output Utente'!$G$2:$G$492,MATCH(143,'Output Utente'!$R$2:$R$492,0)),"")</f>
        <v/>
      </c>
      <c r="K146" s="24" t="str">
        <f>IFERROR(INDEX('Output Utente'!$H$2:$H$492,MATCH(143,'Output Utente'!$R$2:$R$492,0)),"")</f>
        <v/>
      </c>
      <c r="L146" s="23" t="str">
        <f>IFERROR(INDEX('Output Utente'!$E$2:$E$492,MATCH(143,'Output Utente'!$R$2:$R$492,0)),"")</f>
        <v/>
      </c>
      <c r="V146" t="str">
        <f>IFERROR(INDEX('Output Utente'!$M$2:$M$492,MATCH(143,'Output Utente'!$R$2:$R$492,0)),"")</f>
        <v/>
      </c>
      <c r="W146" t="str">
        <f t="shared" si="2"/>
        <v/>
      </c>
      <c r="X146" t="str">
        <f>IFERROR(INDEX('Output Utente'!$AF$2:$AF$492,MATCH(143,'Output Utente'!$R$2:$R$492,0)),"")</f>
        <v/>
      </c>
    </row>
    <row r="147" spans="1:24" ht="15" customHeight="1" x14ac:dyDescent="0.25">
      <c r="A147" s="26">
        <v>144</v>
      </c>
      <c r="B147" s="23" t="str">
        <f>IFERROR(INDEX('Output Utente'!$A$2:$A$492,MATCH(144,'Output Utente'!$R$2:$R$492,0)),"")</f>
        <v/>
      </c>
      <c r="C147" s="23" t="str">
        <f>IFERROR(INDEX('Output Utente'!$B$2:$B$492,MATCH(144,'Output Utente'!$R$2:$R$492,0)),"")</f>
        <v/>
      </c>
      <c r="D147" s="23" t="str">
        <f>IFERROR(INDEX('Output Utente'!$C$2:$C$492,MATCH(144,'Output Utente'!$R$2:$R$492,0)),"")</f>
        <v/>
      </c>
      <c r="E147" s="23" t="str">
        <f>IFERROR(INDEX('Input Giocatori 2026_27'!$D$3:$D$493,MATCH($B147,'Input Giocatori 2026_27'!$A$3:$A$493,0)),"")</f>
        <v/>
      </c>
      <c r="F147" s="24" t="str">
        <f>IFERROR(INDEX('Output Utente'!$N$2:$N$492,MATCH(144,'Output Utente'!$R$2:$R$492,0)),"")</f>
        <v/>
      </c>
      <c r="G147" s="23" t="str">
        <f>IFERROR(INDEX('Output Utente'!$O$2:$O$492,MATCH(144,'Output Utente'!$R$2:$R$492,0)),"")</f>
        <v/>
      </c>
      <c r="H147" s="23" t="str">
        <f>IFERROR(INDEX('Output Utente'!$P$2:$P$492,MATCH(144,'Output Utente'!$R$2:$R$492,0)),"")</f>
        <v/>
      </c>
      <c r="I147" s="24" t="str">
        <f>IFERROR(INDEX('Output Utente'!$F$2:$F$492,MATCH(144,'Output Utente'!$R$2:$R$492,0)),"")</f>
        <v/>
      </c>
      <c r="J147" s="24" t="str">
        <f>IFERROR(INDEX('Output Utente'!$G$2:$G$492,MATCH(144,'Output Utente'!$R$2:$R$492,0)),"")</f>
        <v/>
      </c>
      <c r="K147" s="24" t="str">
        <f>IFERROR(INDEX('Output Utente'!$H$2:$H$492,MATCH(144,'Output Utente'!$R$2:$R$492,0)),"")</f>
        <v/>
      </c>
      <c r="L147" s="23" t="str">
        <f>IFERROR(INDEX('Output Utente'!$E$2:$E$492,MATCH(144,'Output Utente'!$R$2:$R$492,0)),"")</f>
        <v/>
      </c>
      <c r="V147" t="str">
        <f>IFERROR(INDEX('Output Utente'!$M$2:$M$492,MATCH(144,'Output Utente'!$R$2:$R$492,0)),"")</f>
        <v/>
      </c>
      <c r="W147" t="str">
        <f t="shared" si="2"/>
        <v/>
      </c>
      <c r="X147" t="str">
        <f>IFERROR(INDEX('Output Utente'!$AF$2:$AF$492,MATCH(144,'Output Utente'!$R$2:$R$492,0)),"")</f>
        <v/>
      </c>
    </row>
    <row r="148" spans="1:24" ht="15" customHeight="1" x14ac:dyDescent="0.25">
      <c r="A148" s="26">
        <v>145</v>
      </c>
      <c r="B148" s="23" t="str">
        <f>IFERROR(INDEX('Output Utente'!$A$2:$A$492,MATCH(145,'Output Utente'!$R$2:$R$492,0)),"")</f>
        <v/>
      </c>
      <c r="C148" s="23" t="str">
        <f>IFERROR(INDEX('Output Utente'!$B$2:$B$492,MATCH(145,'Output Utente'!$R$2:$R$492,0)),"")</f>
        <v/>
      </c>
      <c r="D148" s="23" t="str">
        <f>IFERROR(INDEX('Output Utente'!$C$2:$C$492,MATCH(145,'Output Utente'!$R$2:$R$492,0)),"")</f>
        <v/>
      </c>
      <c r="E148" s="23" t="str">
        <f>IFERROR(INDEX('Input Giocatori 2026_27'!$D$3:$D$493,MATCH($B148,'Input Giocatori 2026_27'!$A$3:$A$493,0)),"")</f>
        <v/>
      </c>
      <c r="F148" s="24" t="str">
        <f>IFERROR(INDEX('Output Utente'!$N$2:$N$492,MATCH(145,'Output Utente'!$R$2:$R$492,0)),"")</f>
        <v/>
      </c>
      <c r="G148" s="23" t="str">
        <f>IFERROR(INDEX('Output Utente'!$O$2:$O$492,MATCH(145,'Output Utente'!$R$2:$R$492,0)),"")</f>
        <v/>
      </c>
      <c r="H148" s="23" t="str">
        <f>IFERROR(INDEX('Output Utente'!$P$2:$P$492,MATCH(145,'Output Utente'!$R$2:$R$492,0)),"")</f>
        <v/>
      </c>
      <c r="I148" s="24" t="str">
        <f>IFERROR(INDEX('Output Utente'!$F$2:$F$492,MATCH(145,'Output Utente'!$R$2:$R$492,0)),"")</f>
        <v/>
      </c>
      <c r="J148" s="24" t="str">
        <f>IFERROR(INDEX('Output Utente'!$G$2:$G$492,MATCH(145,'Output Utente'!$R$2:$R$492,0)),"")</f>
        <v/>
      </c>
      <c r="K148" s="24" t="str">
        <f>IFERROR(INDEX('Output Utente'!$H$2:$H$492,MATCH(145,'Output Utente'!$R$2:$R$492,0)),"")</f>
        <v/>
      </c>
      <c r="L148" s="23" t="str">
        <f>IFERROR(INDEX('Output Utente'!$E$2:$E$492,MATCH(145,'Output Utente'!$R$2:$R$492,0)),"")</f>
        <v/>
      </c>
      <c r="V148" t="str">
        <f>IFERROR(INDEX('Output Utente'!$M$2:$M$492,MATCH(145,'Output Utente'!$R$2:$R$492,0)),"")</f>
        <v/>
      </c>
      <c r="W148" t="str">
        <f t="shared" si="2"/>
        <v/>
      </c>
      <c r="X148" t="str">
        <f>IFERROR(INDEX('Output Utente'!$AF$2:$AF$492,MATCH(145,'Output Utente'!$R$2:$R$492,0)),"")</f>
        <v/>
      </c>
    </row>
    <row r="149" spans="1:24" ht="15" customHeight="1" x14ac:dyDescent="0.25">
      <c r="A149" s="26">
        <v>146</v>
      </c>
      <c r="B149" s="23" t="str">
        <f>IFERROR(INDEX('Output Utente'!$A$2:$A$492,MATCH(146,'Output Utente'!$R$2:$R$492,0)),"")</f>
        <v/>
      </c>
      <c r="C149" s="23" t="str">
        <f>IFERROR(INDEX('Output Utente'!$B$2:$B$492,MATCH(146,'Output Utente'!$R$2:$R$492,0)),"")</f>
        <v/>
      </c>
      <c r="D149" s="23" t="str">
        <f>IFERROR(INDEX('Output Utente'!$C$2:$C$492,MATCH(146,'Output Utente'!$R$2:$R$492,0)),"")</f>
        <v/>
      </c>
      <c r="E149" s="23" t="str">
        <f>IFERROR(INDEX('Input Giocatori 2026_27'!$D$3:$D$493,MATCH($B149,'Input Giocatori 2026_27'!$A$3:$A$493,0)),"")</f>
        <v/>
      </c>
      <c r="F149" s="24" t="str">
        <f>IFERROR(INDEX('Output Utente'!$N$2:$N$492,MATCH(146,'Output Utente'!$R$2:$R$492,0)),"")</f>
        <v/>
      </c>
      <c r="G149" s="23" t="str">
        <f>IFERROR(INDEX('Output Utente'!$O$2:$O$492,MATCH(146,'Output Utente'!$R$2:$R$492,0)),"")</f>
        <v/>
      </c>
      <c r="H149" s="23" t="str">
        <f>IFERROR(INDEX('Output Utente'!$P$2:$P$492,MATCH(146,'Output Utente'!$R$2:$R$492,0)),"")</f>
        <v/>
      </c>
      <c r="I149" s="24" t="str">
        <f>IFERROR(INDEX('Output Utente'!$F$2:$F$492,MATCH(146,'Output Utente'!$R$2:$R$492,0)),"")</f>
        <v/>
      </c>
      <c r="J149" s="24" t="str">
        <f>IFERROR(INDEX('Output Utente'!$G$2:$G$492,MATCH(146,'Output Utente'!$R$2:$R$492,0)),"")</f>
        <v/>
      </c>
      <c r="K149" s="24" t="str">
        <f>IFERROR(INDEX('Output Utente'!$H$2:$H$492,MATCH(146,'Output Utente'!$R$2:$R$492,0)),"")</f>
        <v/>
      </c>
      <c r="L149" s="23" t="str">
        <f>IFERROR(INDEX('Output Utente'!$E$2:$E$492,MATCH(146,'Output Utente'!$R$2:$R$492,0)),"")</f>
        <v/>
      </c>
      <c r="V149" t="str">
        <f>IFERROR(INDEX('Output Utente'!$M$2:$M$492,MATCH(146,'Output Utente'!$R$2:$R$492,0)),"")</f>
        <v/>
      </c>
      <c r="W149" t="str">
        <f t="shared" si="2"/>
        <v/>
      </c>
      <c r="X149" t="str">
        <f>IFERROR(INDEX('Output Utente'!$AF$2:$AF$492,MATCH(146,'Output Utente'!$R$2:$R$492,0)),"")</f>
        <v/>
      </c>
    </row>
    <row r="150" spans="1:24" ht="15" customHeight="1" x14ac:dyDescent="0.25">
      <c r="A150" s="26">
        <v>147</v>
      </c>
      <c r="B150" s="23" t="str">
        <f>IFERROR(INDEX('Output Utente'!$A$2:$A$492,MATCH(147,'Output Utente'!$R$2:$R$492,0)),"")</f>
        <v/>
      </c>
      <c r="C150" s="23" t="str">
        <f>IFERROR(INDEX('Output Utente'!$B$2:$B$492,MATCH(147,'Output Utente'!$R$2:$R$492,0)),"")</f>
        <v/>
      </c>
      <c r="D150" s="23" t="str">
        <f>IFERROR(INDEX('Output Utente'!$C$2:$C$492,MATCH(147,'Output Utente'!$R$2:$R$492,0)),"")</f>
        <v/>
      </c>
      <c r="E150" s="23" t="str">
        <f>IFERROR(INDEX('Input Giocatori 2026_27'!$D$3:$D$493,MATCH($B150,'Input Giocatori 2026_27'!$A$3:$A$493,0)),"")</f>
        <v/>
      </c>
      <c r="F150" s="24" t="str">
        <f>IFERROR(INDEX('Output Utente'!$N$2:$N$492,MATCH(147,'Output Utente'!$R$2:$R$492,0)),"")</f>
        <v/>
      </c>
      <c r="G150" s="23" t="str">
        <f>IFERROR(INDEX('Output Utente'!$O$2:$O$492,MATCH(147,'Output Utente'!$R$2:$R$492,0)),"")</f>
        <v/>
      </c>
      <c r="H150" s="23" t="str">
        <f>IFERROR(INDEX('Output Utente'!$P$2:$P$492,MATCH(147,'Output Utente'!$R$2:$R$492,0)),"")</f>
        <v/>
      </c>
      <c r="I150" s="24" t="str">
        <f>IFERROR(INDEX('Output Utente'!$F$2:$F$492,MATCH(147,'Output Utente'!$R$2:$R$492,0)),"")</f>
        <v/>
      </c>
      <c r="J150" s="24" t="str">
        <f>IFERROR(INDEX('Output Utente'!$G$2:$G$492,MATCH(147,'Output Utente'!$R$2:$R$492,0)),"")</f>
        <v/>
      </c>
      <c r="K150" s="24" t="str">
        <f>IFERROR(INDEX('Output Utente'!$H$2:$H$492,MATCH(147,'Output Utente'!$R$2:$R$492,0)),"")</f>
        <v/>
      </c>
      <c r="L150" s="23" t="str">
        <f>IFERROR(INDEX('Output Utente'!$E$2:$E$492,MATCH(147,'Output Utente'!$R$2:$R$492,0)),"")</f>
        <v/>
      </c>
      <c r="V150" t="str">
        <f>IFERROR(INDEX('Output Utente'!$M$2:$M$492,MATCH(147,'Output Utente'!$R$2:$R$492,0)),"")</f>
        <v/>
      </c>
      <c r="W150" t="str">
        <f t="shared" si="2"/>
        <v/>
      </c>
      <c r="X150" t="str">
        <f>IFERROR(INDEX('Output Utente'!$AF$2:$AF$492,MATCH(147,'Output Utente'!$R$2:$R$492,0)),"")</f>
        <v/>
      </c>
    </row>
    <row r="151" spans="1:24" ht="15" customHeight="1" x14ac:dyDescent="0.25">
      <c r="A151" s="26">
        <v>148</v>
      </c>
      <c r="B151" s="23" t="str">
        <f>IFERROR(INDEX('Output Utente'!$A$2:$A$492,MATCH(148,'Output Utente'!$R$2:$R$492,0)),"")</f>
        <v/>
      </c>
      <c r="C151" s="23" t="str">
        <f>IFERROR(INDEX('Output Utente'!$B$2:$B$492,MATCH(148,'Output Utente'!$R$2:$R$492,0)),"")</f>
        <v/>
      </c>
      <c r="D151" s="23" t="str">
        <f>IFERROR(INDEX('Output Utente'!$C$2:$C$492,MATCH(148,'Output Utente'!$R$2:$R$492,0)),"")</f>
        <v/>
      </c>
      <c r="E151" s="23" t="str">
        <f>IFERROR(INDEX('Input Giocatori 2026_27'!$D$3:$D$493,MATCH($B151,'Input Giocatori 2026_27'!$A$3:$A$493,0)),"")</f>
        <v/>
      </c>
      <c r="F151" s="24" t="str">
        <f>IFERROR(INDEX('Output Utente'!$N$2:$N$492,MATCH(148,'Output Utente'!$R$2:$R$492,0)),"")</f>
        <v/>
      </c>
      <c r="G151" s="23" t="str">
        <f>IFERROR(INDEX('Output Utente'!$O$2:$O$492,MATCH(148,'Output Utente'!$R$2:$R$492,0)),"")</f>
        <v/>
      </c>
      <c r="H151" s="23" t="str">
        <f>IFERROR(INDEX('Output Utente'!$P$2:$P$492,MATCH(148,'Output Utente'!$R$2:$R$492,0)),"")</f>
        <v/>
      </c>
      <c r="I151" s="24" t="str">
        <f>IFERROR(INDEX('Output Utente'!$F$2:$F$492,MATCH(148,'Output Utente'!$R$2:$R$492,0)),"")</f>
        <v/>
      </c>
      <c r="J151" s="24" t="str">
        <f>IFERROR(INDEX('Output Utente'!$G$2:$G$492,MATCH(148,'Output Utente'!$R$2:$R$492,0)),"")</f>
        <v/>
      </c>
      <c r="K151" s="24" t="str">
        <f>IFERROR(INDEX('Output Utente'!$H$2:$H$492,MATCH(148,'Output Utente'!$R$2:$R$492,0)),"")</f>
        <v/>
      </c>
      <c r="L151" s="23" t="str">
        <f>IFERROR(INDEX('Output Utente'!$E$2:$E$492,MATCH(148,'Output Utente'!$R$2:$R$492,0)),"")</f>
        <v/>
      </c>
      <c r="V151" t="str">
        <f>IFERROR(INDEX('Output Utente'!$M$2:$M$492,MATCH(148,'Output Utente'!$R$2:$R$492,0)),"")</f>
        <v/>
      </c>
      <c r="W151" t="str">
        <f t="shared" si="2"/>
        <v/>
      </c>
      <c r="X151" t="str">
        <f>IFERROR(INDEX('Output Utente'!$AF$2:$AF$492,MATCH(148,'Output Utente'!$R$2:$R$492,0)),"")</f>
        <v/>
      </c>
    </row>
    <row r="152" spans="1:24" ht="15" customHeight="1" x14ac:dyDescent="0.25">
      <c r="A152" s="26">
        <v>149</v>
      </c>
      <c r="B152" s="23" t="str">
        <f>IFERROR(INDEX('Output Utente'!$A$2:$A$492,MATCH(149,'Output Utente'!$R$2:$R$492,0)),"")</f>
        <v/>
      </c>
      <c r="C152" s="23" t="str">
        <f>IFERROR(INDEX('Output Utente'!$B$2:$B$492,MATCH(149,'Output Utente'!$R$2:$R$492,0)),"")</f>
        <v/>
      </c>
      <c r="D152" s="23" t="str">
        <f>IFERROR(INDEX('Output Utente'!$C$2:$C$492,MATCH(149,'Output Utente'!$R$2:$R$492,0)),"")</f>
        <v/>
      </c>
      <c r="E152" s="23" t="str">
        <f>IFERROR(INDEX('Input Giocatori 2026_27'!$D$3:$D$493,MATCH($B152,'Input Giocatori 2026_27'!$A$3:$A$493,0)),"")</f>
        <v/>
      </c>
      <c r="F152" s="24" t="str">
        <f>IFERROR(INDEX('Output Utente'!$N$2:$N$492,MATCH(149,'Output Utente'!$R$2:$R$492,0)),"")</f>
        <v/>
      </c>
      <c r="G152" s="23" t="str">
        <f>IFERROR(INDEX('Output Utente'!$O$2:$O$492,MATCH(149,'Output Utente'!$R$2:$R$492,0)),"")</f>
        <v/>
      </c>
      <c r="H152" s="23" t="str">
        <f>IFERROR(INDEX('Output Utente'!$P$2:$P$492,MATCH(149,'Output Utente'!$R$2:$R$492,0)),"")</f>
        <v/>
      </c>
      <c r="I152" s="24" t="str">
        <f>IFERROR(INDEX('Output Utente'!$F$2:$F$492,MATCH(149,'Output Utente'!$R$2:$R$492,0)),"")</f>
        <v/>
      </c>
      <c r="J152" s="24" t="str">
        <f>IFERROR(INDEX('Output Utente'!$G$2:$G$492,MATCH(149,'Output Utente'!$R$2:$R$492,0)),"")</f>
        <v/>
      </c>
      <c r="K152" s="24" t="str">
        <f>IFERROR(INDEX('Output Utente'!$H$2:$H$492,MATCH(149,'Output Utente'!$R$2:$R$492,0)),"")</f>
        <v/>
      </c>
      <c r="L152" s="23" t="str">
        <f>IFERROR(INDEX('Output Utente'!$E$2:$E$492,MATCH(149,'Output Utente'!$R$2:$R$492,0)),"")</f>
        <v/>
      </c>
      <c r="V152" t="str">
        <f>IFERROR(INDEX('Output Utente'!$M$2:$M$492,MATCH(149,'Output Utente'!$R$2:$R$492,0)),"")</f>
        <v/>
      </c>
      <c r="W152" t="str">
        <f t="shared" si="2"/>
        <v/>
      </c>
      <c r="X152" t="str">
        <f>IFERROR(INDEX('Output Utente'!$AF$2:$AF$492,MATCH(149,'Output Utente'!$R$2:$R$492,0)),"")</f>
        <v/>
      </c>
    </row>
    <row r="153" spans="1:24" ht="15" customHeight="1" x14ac:dyDescent="0.25">
      <c r="A153" s="26">
        <v>150</v>
      </c>
      <c r="B153" s="23" t="str">
        <f>IFERROR(INDEX('Output Utente'!$A$2:$A$492,MATCH(150,'Output Utente'!$R$2:$R$492,0)),"")</f>
        <v/>
      </c>
      <c r="C153" s="23" t="str">
        <f>IFERROR(INDEX('Output Utente'!$B$2:$B$492,MATCH(150,'Output Utente'!$R$2:$R$492,0)),"")</f>
        <v/>
      </c>
      <c r="D153" s="23" t="str">
        <f>IFERROR(INDEX('Output Utente'!$C$2:$C$492,MATCH(150,'Output Utente'!$R$2:$R$492,0)),"")</f>
        <v/>
      </c>
      <c r="E153" s="23" t="str">
        <f>IFERROR(INDEX('Input Giocatori 2026_27'!$D$3:$D$493,MATCH($B153,'Input Giocatori 2026_27'!$A$3:$A$493,0)),"")</f>
        <v/>
      </c>
      <c r="F153" s="24" t="str">
        <f>IFERROR(INDEX('Output Utente'!$N$2:$N$492,MATCH(150,'Output Utente'!$R$2:$R$492,0)),"")</f>
        <v/>
      </c>
      <c r="G153" s="23" t="str">
        <f>IFERROR(INDEX('Output Utente'!$O$2:$O$492,MATCH(150,'Output Utente'!$R$2:$R$492,0)),"")</f>
        <v/>
      </c>
      <c r="H153" s="23" t="str">
        <f>IFERROR(INDEX('Output Utente'!$P$2:$P$492,MATCH(150,'Output Utente'!$R$2:$R$492,0)),"")</f>
        <v/>
      </c>
      <c r="I153" s="24" t="str">
        <f>IFERROR(INDEX('Output Utente'!$F$2:$F$492,MATCH(150,'Output Utente'!$R$2:$R$492,0)),"")</f>
        <v/>
      </c>
      <c r="J153" s="24" t="str">
        <f>IFERROR(INDEX('Output Utente'!$G$2:$G$492,MATCH(150,'Output Utente'!$R$2:$R$492,0)),"")</f>
        <v/>
      </c>
      <c r="K153" s="24" t="str">
        <f>IFERROR(INDEX('Output Utente'!$H$2:$H$492,MATCH(150,'Output Utente'!$R$2:$R$492,0)),"")</f>
        <v/>
      </c>
      <c r="L153" s="23" t="str">
        <f>IFERROR(INDEX('Output Utente'!$E$2:$E$492,MATCH(150,'Output Utente'!$R$2:$R$492,0)),"")</f>
        <v/>
      </c>
      <c r="V153" t="str">
        <f>IFERROR(INDEX('Output Utente'!$M$2:$M$492,MATCH(150,'Output Utente'!$R$2:$R$492,0)),"")</f>
        <v/>
      </c>
      <c r="W153" t="str">
        <f t="shared" si="2"/>
        <v/>
      </c>
      <c r="X153" t="str">
        <f>IFERROR(INDEX('Output Utente'!$AF$2:$AF$492,MATCH(150,'Output Utente'!$R$2:$R$492,0)),"")</f>
        <v/>
      </c>
    </row>
    <row r="154" spans="1:24" ht="15" customHeight="1" x14ac:dyDescent="0.25">
      <c r="A154" s="26">
        <v>151</v>
      </c>
      <c r="B154" s="23" t="str">
        <f>IFERROR(INDEX('Output Utente'!$A$2:$A$492,MATCH(151,'Output Utente'!$R$2:$R$492,0)),"")</f>
        <v/>
      </c>
      <c r="C154" s="23" t="str">
        <f>IFERROR(INDEX('Output Utente'!$B$2:$B$492,MATCH(151,'Output Utente'!$R$2:$R$492,0)),"")</f>
        <v/>
      </c>
      <c r="D154" s="23" t="str">
        <f>IFERROR(INDEX('Output Utente'!$C$2:$C$492,MATCH(151,'Output Utente'!$R$2:$R$492,0)),"")</f>
        <v/>
      </c>
      <c r="E154" s="23" t="str">
        <f>IFERROR(INDEX('Input Giocatori 2026_27'!$D$3:$D$493,MATCH($B154,'Input Giocatori 2026_27'!$A$3:$A$493,0)),"")</f>
        <v/>
      </c>
      <c r="F154" s="24" t="str">
        <f>IFERROR(INDEX('Output Utente'!$N$2:$N$492,MATCH(151,'Output Utente'!$R$2:$R$492,0)),"")</f>
        <v/>
      </c>
      <c r="G154" s="23" t="str">
        <f>IFERROR(INDEX('Output Utente'!$O$2:$O$492,MATCH(151,'Output Utente'!$R$2:$R$492,0)),"")</f>
        <v/>
      </c>
      <c r="H154" s="23" t="str">
        <f>IFERROR(INDEX('Output Utente'!$P$2:$P$492,MATCH(151,'Output Utente'!$R$2:$R$492,0)),"")</f>
        <v/>
      </c>
      <c r="I154" s="24" t="str">
        <f>IFERROR(INDEX('Output Utente'!$F$2:$F$492,MATCH(151,'Output Utente'!$R$2:$R$492,0)),"")</f>
        <v/>
      </c>
      <c r="J154" s="24" t="str">
        <f>IFERROR(INDEX('Output Utente'!$G$2:$G$492,MATCH(151,'Output Utente'!$R$2:$R$492,0)),"")</f>
        <v/>
      </c>
      <c r="K154" s="24" t="str">
        <f>IFERROR(INDEX('Output Utente'!$H$2:$H$492,MATCH(151,'Output Utente'!$R$2:$R$492,0)),"")</f>
        <v/>
      </c>
      <c r="L154" s="23" t="str">
        <f>IFERROR(INDEX('Output Utente'!$E$2:$E$492,MATCH(151,'Output Utente'!$R$2:$R$492,0)),"")</f>
        <v/>
      </c>
      <c r="V154" t="str">
        <f>IFERROR(INDEX('Output Utente'!$M$2:$M$492,MATCH(151,'Output Utente'!$R$2:$R$492,0)),"")</f>
        <v/>
      </c>
      <c r="W154" t="str">
        <f t="shared" si="2"/>
        <v/>
      </c>
      <c r="X154" t="str">
        <f>IFERROR(INDEX('Output Utente'!$AF$2:$AF$492,MATCH(151,'Output Utente'!$R$2:$R$492,0)),"")</f>
        <v/>
      </c>
    </row>
    <row r="155" spans="1:24" ht="15" customHeight="1" x14ac:dyDescent="0.25">
      <c r="A155" s="26">
        <v>152</v>
      </c>
      <c r="B155" s="23" t="str">
        <f>IFERROR(INDEX('Output Utente'!$A$2:$A$492,MATCH(152,'Output Utente'!$R$2:$R$492,0)),"")</f>
        <v/>
      </c>
      <c r="C155" s="23" t="str">
        <f>IFERROR(INDEX('Output Utente'!$B$2:$B$492,MATCH(152,'Output Utente'!$R$2:$R$492,0)),"")</f>
        <v/>
      </c>
      <c r="D155" s="23" t="str">
        <f>IFERROR(INDEX('Output Utente'!$C$2:$C$492,MATCH(152,'Output Utente'!$R$2:$R$492,0)),"")</f>
        <v/>
      </c>
      <c r="E155" s="23" t="str">
        <f>IFERROR(INDEX('Input Giocatori 2026_27'!$D$3:$D$493,MATCH($B155,'Input Giocatori 2026_27'!$A$3:$A$493,0)),"")</f>
        <v/>
      </c>
      <c r="F155" s="24" t="str">
        <f>IFERROR(INDEX('Output Utente'!$N$2:$N$492,MATCH(152,'Output Utente'!$R$2:$R$492,0)),"")</f>
        <v/>
      </c>
      <c r="G155" s="23" t="str">
        <f>IFERROR(INDEX('Output Utente'!$O$2:$O$492,MATCH(152,'Output Utente'!$R$2:$R$492,0)),"")</f>
        <v/>
      </c>
      <c r="H155" s="23" t="str">
        <f>IFERROR(INDEX('Output Utente'!$P$2:$P$492,MATCH(152,'Output Utente'!$R$2:$R$492,0)),"")</f>
        <v/>
      </c>
      <c r="I155" s="24" t="str">
        <f>IFERROR(INDEX('Output Utente'!$F$2:$F$492,MATCH(152,'Output Utente'!$R$2:$R$492,0)),"")</f>
        <v/>
      </c>
      <c r="J155" s="24" t="str">
        <f>IFERROR(INDEX('Output Utente'!$G$2:$G$492,MATCH(152,'Output Utente'!$R$2:$R$492,0)),"")</f>
        <v/>
      </c>
      <c r="K155" s="24" t="str">
        <f>IFERROR(INDEX('Output Utente'!$H$2:$H$492,MATCH(152,'Output Utente'!$R$2:$R$492,0)),"")</f>
        <v/>
      </c>
      <c r="L155" s="23" t="str">
        <f>IFERROR(INDEX('Output Utente'!$E$2:$E$492,MATCH(152,'Output Utente'!$R$2:$R$492,0)),"")</f>
        <v/>
      </c>
      <c r="V155" t="str">
        <f>IFERROR(INDEX('Output Utente'!$M$2:$M$492,MATCH(152,'Output Utente'!$R$2:$R$492,0)),"")</f>
        <v/>
      </c>
      <c r="W155" t="str">
        <f t="shared" si="2"/>
        <v/>
      </c>
      <c r="X155" t="str">
        <f>IFERROR(INDEX('Output Utente'!$AF$2:$AF$492,MATCH(152,'Output Utente'!$R$2:$R$492,0)),"")</f>
        <v/>
      </c>
    </row>
    <row r="156" spans="1:24" ht="15" customHeight="1" x14ac:dyDescent="0.25">
      <c r="A156" s="26">
        <v>153</v>
      </c>
      <c r="B156" s="23" t="str">
        <f>IFERROR(INDEX('Output Utente'!$A$2:$A$492,MATCH(153,'Output Utente'!$R$2:$R$492,0)),"")</f>
        <v/>
      </c>
      <c r="C156" s="23" t="str">
        <f>IFERROR(INDEX('Output Utente'!$B$2:$B$492,MATCH(153,'Output Utente'!$R$2:$R$492,0)),"")</f>
        <v/>
      </c>
      <c r="D156" s="23" t="str">
        <f>IFERROR(INDEX('Output Utente'!$C$2:$C$492,MATCH(153,'Output Utente'!$R$2:$R$492,0)),"")</f>
        <v/>
      </c>
      <c r="E156" s="23" t="str">
        <f>IFERROR(INDEX('Input Giocatori 2026_27'!$D$3:$D$493,MATCH($B156,'Input Giocatori 2026_27'!$A$3:$A$493,0)),"")</f>
        <v/>
      </c>
      <c r="F156" s="24" t="str">
        <f>IFERROR(INDEX('Output Utente'!$N$2:$N$492,MATCH(153,'Output Utente'!$R$2:$R$492,0)),"")</f>
        <v/>
      </c>
      <c r="G156" s="23" t="str">
        <f>IFERROR(INDEX('Output Utente'!$O$2:$O$492,MATCH(153,'Output Utente'!$R$2:$R$492,0)),"")</f>
        <v/>
      </c>
      <c r="H156" s="23" t="str">
        <f>IFERROR(INDEX('Output Utente'!$P$2:$P$492,MATCH(153,'Output Utente'!$R$2:$R$492,0)),"")</f>
        <v/>
      </c>
      <c r="I156" s="24" t="str">
        <f>IFERROR(INDEX('Output Utente'!$F$2:$F$492,MATCH(153,'Output Utente'!$R$2:$R$492,0)),"")</f>
        <v/>
      </c>
      <c r="J156" s="24" t="str">
        <f>IFERROR(INDEX('Output Utente'!$G$2:$G$492,MATCH(153,'Output Utente'!$R$2:$R$492,0)),"")</f>
        <v/>
      </c>
      <c r="K156" s="24" t="str">
        <f>IFERROR(INDEX('Output Utente'!$H$2:$H$492,MATCH(153,'Output Utente'!$R$2:$R$492,0)),"")</f>
        <v/>
      </c>
      <c r="L156" s="23" t="str">
        <f>IFERROR(INDEX('Output Utente'!$E$2:$E$492,MATCH(153,'Output Utente'!$R$2:$R$492,0)),"")</f>
        <v/>
      </c>
      <c r="V156" t="str">
        <f>IFERROR(INDEX('Output Utente'!$M$2:$M$492,MATCH(153,'Output Utente'!$R$2:$R$492,0)),"")</f>
        <v/>
      </c>
      <c r="W156" t="str">
        <f t="shared" si="2"/>
        <v/>
      </c>
      <c r="X156" t="str">
        <f>IFERROR(INDEX('Output Utente'!$AF$2:$AF$492,MATCH(153,'Output Utente'!$R$2:$R$492,0)),"")</f>
        <v/>
      </c>
    </row>
    <row r="157" spans="1:24" ht="15" customHeight="1" x14ac:dyDescent="0.25">
      <c r="A157" s="26">
        <v>154</v>
      </c>
      <c r="B157" s="23" t="str">
        <f>IFERROR(INDEX('Output Utente'!$A$2:$A$492,MATCH(154,'Output Utente'!$R$2:$R$492,0)),"")</f>
        <v/>
      </c>
      <c r="C157" s="23" t="str">
        <f>IFERROR(INDEX('Output Utente'!$B$2:$B$492,MATCH(154,'Output Utente'!$R$2:$R$492,0)),"")</f>
        <v/>
      </c>
      <c r="D157" s="23" t="str">
        <f>IFERROR(INDEX('Output Utente'!$C$2:$C$492,MATCH(154,'Output Utente'!$R$2:$R$492,0)),"")</f>
        <v/>
      </c>
      <c r="E157" s="23" t="str">
        <f>IFERROR(INDEX('Input Giocatori 2026_27'!$D$3:$D$493,MATCH($B157,'Input Giocatori 2026_27'!$A$3:$A$493,0)),"")</f>
        <v/>
      </c>
      <c r="F157" s="24" t="str">
        <f>IFERROR(INDEX('Output Utente'!$N$2:$N$492,MATCH(154,'Output Utente'!$R$2:$R$492,0)),"")</f>
        <v/>
      </c>
      <c r="G157" s="23" t="str">
        <f>IFERROR(INDEX('Output Utente'!$O$2:$O$492,MATCH(154,'Output Utente'!$R$2:$R$492,0)),"")</f>
        <v/>
      </c>
      <c r="H157" s="23" t="str">
        <f>IFERROR(INDEX('Output Utente'!$P$2:$P$492,MATCH(154,'Output Utente'!$R$2:$R$492,0)),"")</f>
        <v/>
      </c>
      <c r="I157" s="24" t="str">
        <f>IFERROR(INDEX('Output Utente'!$F$2:$F$492,MATCH(154,'Output Utente'!$R$2:$R$492,0)),"")</f>
        <v/>
      </c>
      <c r="J157" s="24" t="str">
        <f>IFERROR(INDEX('Output Utente'!$G$2:$G$492,MATCH(154,'Output Utente'!$R$2:$R$492,0)),"")</f>
        <v/>
      </c>
      <c r="K157" s="24" t="str">
        <f>IFERROR(INDEX('Output Utente'!$H$2:$H$492,MATCH(154,'Output Utente'!$R$2:$R$492,0)),"")</f>
        <v/>
      </c>
      <c r="L157" s="23" t="str">
        <f>IFERROR(INDEX('Output Utente'!$E$2:$E$492,MATCH(154,'Output Utente'!$R$2:$R$492,0)),"")</f>
        <v/>
      </c>
      <c r="V157" t="str">
        <f>IFERROR(INDEX('Output Utente'!$M$2:$M$492,MATCH(154,'Output Utente'!$R$2:$R$492,0)),"")</f>
        <v/>
      </c>
      <c r="W157" t="str">
        <f t="shared" si="2"/>
        <v/>
      </c>
      <c r="X157" t="str">
        <f>IFERROR(INDEX('Output Utente'!$AF$2:$AF$492,MATCH(154,'Output Utente'!$R$2:$R$492,0)),"")</f>
        <v/>
      </c>
    </row>
    <row r="158" spans="1:24" ht="15" customHeight="1" x14ac:dyDescent="0.25">
      <c r="A158" s="26">
        <v>155</v>
      </c>
      <c r="B158" s="23" t="str">
        <f>IFERROR(INDEX('Output Utente'!$A$2:$A$492,MATCH(155,'Output Utente'!$R$2:$R$492,0)),"")</f>
        <v/>
      </c>
      <c r="C158" s="23" t="str">
        <f>IFERROR(INDEX('Output Utente'!$B$2:$B$492,MATCH(155,'Output Utente'!$R$2:$R$492,0)),"")</f>
        <v/>
      </c>
      <c r="D158" s="23" t="str">
        <f>IFERROR(INDEX('Output Utente'!$C$2:$C$492,MATCH(155,'Output Utente'!$R$2:$R$492,0)),"")</f>
        <v/>
      </c>
      <c r="E158" s="23" t="str">
        <f>IFERROR(INDEX('Input Giocatori 2026_27'!$D$3:$D$493,MATCH($B158,'Input Giocatori 2026_27'!$A$3:$A$493,0)),"")</f>
        <v/>
      </c>
      <c r="F158" s="24" t="str">
        <f>IFERROR(INDEX('Output Utente'!$N$2:$N$492,MATCH(155,'Output Utente'!$R$2:$R$492,0)),"")</f>
        <v/>
      </c>
      <c r="G158" s="23" t="str">
        <f>IFERROR(INDEX('Output Utente'!$O$2:$O$492,MATCH(155,'Output Utente'!$R$2:$R$492,0)),"")</f>
        <v/>
      </c>
      <c r="H158" s="23" t="str">
        <f>IFERROR(INDEX('Output Utente'!$P$2:$P$492,MATCH(155,'Output Utente'!$R$2:$R$492,0)),"")</f>
        <v/>
      </c>
      <c r="I158" s="24" t="str">
        <f>IFERROR(INDEX('Output Utente'!$F$2:$F$492,MATCH(155,'Output Utente'!$R$2:$R$492,0)),"")</f>
        <v/>
      </c>
      <c r="J158" s="24" t="str">
        <f>IFERROR(INDEX('Output Utente'!$G$2:$G$492,MATCH(155,'Output Utente'!$R$2:$R$492,0)),"")</f>
        <v/>
      </c>
      <c r="K158" s="24" t="str">
        <f>IFERROR(INDEX('Output Utente'!$H$2:$H$492,MATCH(155,'Output Utente'!$R$2:$R$492,0)),"")</f>
        <v/>
      </c>
      <c r="L158" s="23" t="str">
        <f>IFERROR(INDEX('Output Utente'!$E$2:$E$492,MATCH(155,'Output Utente'!$R$2:$R$492,0)),"")</f>
        <v/>
      </c>
      <c r="V158" t="str">
        <f>IFERROR(INDEX('Output Utente'!$M$2:$M$492,MATCH(155,'Output Utente'!$R$2:$R$492,0)),"")</f>
        <v/>
      </c>
      <c r="W158" t="str">
        <f t="shared" si="2"/>
        <v/>
      </c>
      <c r="X158" t="str">
        <f>IFERROR(INDEX('Output Utente'!$AF$2:$AF$492,MATCH(155,'Output Utente'!$R$2:$R$492,0)),"")</f>
        <v/>
      </c>
    </row>
    <row r="159" spans="1:24" ht="15" customHeight="1" x14ac:dyDescent="0.25">
      <c r="A159" s="26">
        <v>156</v>
      </c>
      <c r="B159" s="23" t="str">
        <f>IFERROR(INDEX('Output Utente'!$A$2:$A$492,MATCH(156,'Output Utente'!$R$2:$R$492,0)),"")</f>
        <v/>
      </c>
      <c r="C159" s="23" t="str">
        <f>IFERROR(INDEX('Output Utente'!$B$2:$B$492,MATCH(156,'Output Utente'!$R$2:$R$492,0)),"")</f>
        <v/>
      </c>
      <c r="D159" s="23" t="str">
        <f>IFERROR(INDEX('Output Utente'!$C$2:$C$492,MATCH(156,'Output Utente'!$R$2:$R$492,0)),"")</f>
        <v/>
      </c>
      <c r="E159" s="23" t="str">
        <f>IFERROR(INDEX('Input Giocatori 2026_27'!$D$3:$D$493,MATCH($B159,'Input Giocatori 2026_27'!$A$3:$A$493,0)),"")</f>
        <v/>
      </c>
      <c r="F159" s="24" t="str">
        <f>IFERROR(INDEX('Output Utente'!$N$2:$N$492,MATCH(156,'Output Utente'!$R$2:$R$492,0)),"")</f>
        <v/>
      </c>
      <c r="G159" s="23" t="str">
        <f>IFERROR(INDEX('Output Utente'!$O$2:$O$492,MATCH(156,'Output Utente'!$R$2:$R$492,0)),"")</f>
        <v/>
      </c>
      <c r="H159" s="23" t="str">
        <f>IFERROR(INDEX('Output Utente'!$P$2:$P$492,MATCH(156,'Output Utente'!$R$2:$R$492,0)),"")</f>
        <v/>
      </c>
      <c r="I159" s="24" t="str">
        <f>IFERROR(INDEX('Output Utente'!$F$2:$F$492,MATCH(156,'Output Utente'!$R$2:$R$492,0)),"")</f>
        <v/>
      </c>
      <c r="J159" s="24" t="str">
        <f>IFERROR(INDEX('Output Utente'!$G$2:$G$492,MATCH(156,'Output Utente'!$R$2:$R$492,0)),"")</f>
        <v/>
      </c>
      <c r="K159" s="24" t="str">
        <f>IFERROR(INDEX('Output Utente'!$H$2:$H$492,MATCH(156,'Output Utente'!$R$2:$R$492,0)),"")</f>
        <v/>
      </c>
      <c r="L159" s="23" t="str">
        <f>IFERROR(INDEX('Output Utente'!$E$2:$E$492,MATCH(156,'Output Utente'!$R$2:$R$492,0)),"")</f>
        <v/>
      </c>
      <c r="V159" t="str">
        <f>IFERROR(INDEX('Output Utente'!$M$2:$M$492,MATCH(156,'Output Utente'!$R$2:$R$492,0)),"")</f>
        <v/>
      </c>
      <c r="W159" t="str">
        <f t="shared" si="2"/>
        <v/>
      </c>
      <c r="X159" t="str">
        <f>IFERROR(INDEX('Output Utente'!$AF$2:$AF$492,MATCH(156,'Output Utente'!$R$2:$R$492,0)),"")</f>
        <v/>
      </c>
    </row>
    <row r="160" spans="1:24" ht="15" customHeight="1" x14ac:dyDescent="0.25">
      <c r="A160" s="26">
        <v>157</v>
      </c>
      <c r="B160" s="23" t="str">
        <f>IFERROR(INDEX('Output Utente'!$A$2:$A$492,MATCH(157,'Output Utente'!$R$2:$R$492,0)),"")</f>
        <v/>
      </c>
      <c r="C160" s="23" t="str">
        <f>IFERROR(INDEX('Output Utente'!$B$2:$B$492,MATCH(157,'Output Utente'!$R$2:$R$492,0)),"")</f>
        <v/>
      </c>
      <c r="D160" s="23" t="str">
        <f>IFERROR(INDEX('Output Utente'!$C$2:$C$492,MATCH(157,'Output Utente'!$R$2:$R$492,0)),"")</f>
        <v/>
      </c>
      <c r="E160" s="23" t="str">
        <f>IFERROR(INDEX('Input Giocatori 2026_27'!$D$3:$D$493,MATCH($B160,'Input Giocatori 2026_27'!$A$3:$A$493,0)),"")</f>
        <v/>
      </c>
      <c r="F160" s="24" t="str">
        <f>IFERROR(INDEX('Output Utente'!$N$2:$N$492,MATCH(157,'Output Utente'!$R$2:$R$492,0)),"")</f>
        <v/>
      </c>
      <c r="G160" s="23" t="str">
        <f>IFERROR(INDEX('Output Utente'!$O$2:$O$492,MATCH(157,'Output Utente'!$R$2:$R$492,0)),"")</f>
        <v/>
      </c>
      <c r="H160" s="23" t="str">
        <f>IFERROR(INDEX('Output Utente'!$P$2:$P$492,MATCH(157,'Output Utente'!$R$2:$R$492,0)),"")</f>
        <v/>
      </c>
      <c r="I160" s="24" t="str">
        <f>IFERROR(INDEX('Output Utente'!$F$2:$F$492,MATCH(157,'Output Utente'!$R$2:$R$492,0)),"")</f>
        <v/>
      </c>
      <c r="J160" s="24" t="str">
        <f>IFERROR(INDEX('Output Utente'!$G$2:$G$492,MATCH(157,'Output Utente'!$R$2:$R$492,0)),"")</f>
        <v/>
      </c>
      <c r="K160" s="24" t="str">
        <f>IFERROR(INDEX('Output Utente'!$H$2:$H$492,MATCH(157,'Output Utente'!$R$2:$R$492,0)),"")</f>
        <v/>
      </c>
      <c r="L160" s="23" t="str">
        <f>IFERROR(INDEX('Output Utente'!$E$2:$E$492,MATCH(157,'Output Utente'!$R$2:$R$492,0)),"")</f>
        <v/>
      </c>
      <c r="V160" t="str">
        <f>IFERROR(INDEX('Output Utente'!$M$2:$M$492,MATCH(157,'Output Utente'!$R$2:$R$492,0)),"")</f>
        <v/>
      </c>
      <c r="W160" t="str">
        <f t="shared" si="2"/>
        <v/>
      </c>
      <c r="X160" t="str">
        <f>IFERROR(INDEX('Output Utente'!$AF$2:$AF$492,MATCH(157,'Output Utente'!$R$2:$R$492,0)),"")</f>
        <v/>
      </c>
    </row>
    <row r="161" spans="1:24" ht="15" customHeight="1" x14ac:dyDescent="0.25">
      <c r="A161" s="26">
        <v>158</v>
      </c>
      <c r="B161" s="23" t="str">
        <f>IFERROR(INDEX('Output Utente'!$A$2:$A$492,MATCH(158,'Output Utente'!$R$2:$R$492,0)),"")</f>
        <v/>
      </c>
      <c r="C161" s="23" t="str">
        <f>IFERROR(INDEX('Output Utente'!$B$2:$B$492,MATCH(158,'Output Utente'!$R$2:$R$492,0)),"")</f>
        <v/>
      </c>
      <c r="D161" s="23" t="str">
        <f>IFERROR(INDEX('Output Utente'!$C$2:$C$492,MATCH(158,'Output Utente'!$R$2:$R$492,0)),"")</f>
        <v/>
      </c>
      <c r="E161" s="23" t="str">
        <f>IFERROR(INDEX('Input Giocatori 2026_27'!$D$3:$D$493,MATCH($B161,'Input Giocatori 2026_27'!$A$3:$A$493,0)),"")</f>
        <v/>
      </c>
      <c r="F161" s="24" t="str">
        <f>IFERROR(INDEX('Output Utente'!$N$2:$N$492,MATCH(158,'Output Utente'!$R$2:$R$492,0)),"")</f>
        <v/>
      </c>
      <c r="G161" s="23" t="str">
        <f>IFERROR(INDEX('Output Utente'!$O$2:$O$492,MATCH(158,'Output Utente'!$R$2:$R$492,0)),"")</f>
        <v/>
      </c>
      <c r="H161" s="23" t="str">
        <f>IFERROR(INDEX('Output Utente'!$P$2:$P$492,MATCH(158,'Output Utente'!$R$2:$R$492,0)),"")</f>
        <v/>
      </c>
      <c r="I161" s="24" t="str">
        <f>IFERROR(INDEX('Output Utente'!$F$2:$F$492,MATCH(158,'Output Utente'!$R$2:$R$492,0)),"")</f>
        <v/>
      </c>
      <c r="J161" s="24" t="str">
        <f>IFERROR(INDEX('Output Utente'!$G$2:$G$492,MATCH(158,'Output Utente'!$R$2:$R$492,0)),"")</f>
        <v/>
      </c>
      <c r="K161" s="24" t="str">
        <f>IFERROR(INDEX('Output Utente'!$H$2:$H$492,MATCH(158,'Output Utente'!$R$2:$R$492,0)),"")</f>
        <v/>
      </c>
      <c r="L161" s="23" t="str">
        <f>IFERROR(INDEX('Output Utente'!$E$2:$E$492,MATCH(158,'Output Utente'!$R$2:$R$492,0)),"")</f>
        <v/>
      </c>
      <c r="V161" t="str">
        <f>IFERROR(INDEX('Output Utente'!$M$2:$M$492,MATCH(158,'Output Utente'!$R$2:$R$492,0)),"")</f>
        <v/>
      </c>
      <c r="W161" t="str">
        <f t="shared" si="2"/>
        <v/>
      </c>
      <c r="X161" t="str">
        <f>IFERROR(INDEX('Output Utente'!$AF$2:$AF$492,MATCH(158,'Output Utente'!$R$2:$R$492,0)),"")</f>
        <v/>
      </c>
    </row>
    <row r="162" spans="1:24" ht="15" customHeight="1" x14ac:dyDescent="0.25">
      <c r="A162" s="26">
        <v>159</v>
      </c>
      <c r="B162" s="23" t="str">
        <f>IFERROR(INDEX('Output Utente'!$A$2:$A$492,MATCH(159,'Output Utente'!$R$2:$R$492,0)),"")</f>
        <v/>
      </c>
      <c r="C162" s="23" t="str">
        <f>IFERROR(INDEX('Output Utente'!$B$2:$B$492,MATCH(159,'Output Utente'!$R$2:$R$492,0)),"")</f>
        <v/>
      </c>
      <c r="D162" s="23" t="str">
        <f>IFERROR(INDEX('Output Utente'!$C$2:$C$492,MATCH(159,'Output Utente'!$R$2:$R$492,0)),"")</f>
        <v/>
      </c>
      <c r="E162" s="23" t="str">
        <f>IFERROR(INDEX('Input Giocatori 2026_27'!$D$3:$D$493,MATCH($B162,'Input Giocatori 2026_27'!$A$3:$A$493,0)),"")</f>
        <v/>
      </c>
      <c r="F162" s="24" t="str">
        <f>IFERROR(INDEX('Output Utente'!$N$2:$N$492,MATCH(159,'Output Utente'!$R$2:$R$492,0)),"")</f>
        <v/>
      </c>
      <c r="G162" s="23" t="str">
        <f>IFERROR(INDEX('Output Utente'!$O$2:$O$492,MATCH(159,'Output Utente'!$R$2:$R$492,0)),"")</f>
        <v/>
      </c>
      <c r="H162" s="23" t="str">
        <f>IFERROR(INDEX('Output Utente'!$P$2:$P$492,MATCH(159,'Output Utente'!$R$2:$R$492,0)),"")</f>
        <v/>
      </c>
      <c r="I162" s="24" t="str">
        <f>IFERROR(INDEX('Output Utente'!$F$2:$F$492,MATCH(159,'Output Utente'!$R$2:$R$492,0)),"")</f>
        <v/>
      </c>
      <c r="J162" s="24" t="str">
        <f>IFERROR(INDEX('Output Utente'!$G$2:$G$492,MATCH(159,'Output Utente'!$R$2:$R$492,0)),"")</f>
        <v/>
      </c>
      <c r="K162" s="24" t="str">
        <f>IFERROR(INDEX('Output Utente'!$H$2:$H$492,MATCH(159,'Output Utente'!$R$2:$R$492,0)),"")</f>
        <v/>
      </c>
      <c r="L162" s="23" t="str">
        <f>IFERROR(INDEX('Output Utente'!$E$2:$E$492,MATCH(159,'Output Utente'!$R$2:$R$492,0)),"")</f>
        <v/>
      </c>
      <c r="V162" t="str">
        <f>IFERROR(INDEX('Output Utente'!$M$2:$M$492,MATCH(159,'Output Utente'!$R$2:$R$492,0)),"")</f>
        <v/>
      </c>
      <c r="W162" t="str">
        <f t="shared" si="2"/>
        <v/>
      </c>
      <c r="X162" t="str">
        <f>IFERROR(INDEX('Output Utente'!$AF$2:$AF$492,MATCH(159,'Output Utente'!$R$2:$R$492,0)),"")</f>
        <v/>
      </c>
    </row>
    <row r="163" spans="1:24" ht="15" customHeight="1" x14ac:dyDescent="0.25">
      <c r="A163" s="26">
        <v>160</v>
      </c>
      <c r="B163" s="23" t="str">
        <f>IFERROR(INDEX('Output Utente'!$A$2:$A$492,MATCH(160,'Output Utente'!$R$2:$R$492,0)),"")</f>
        <v/>
      </c>
      <c r="C163" s="23" t="str">
        <f>IFERROR(INDEX('Output Utente'!$B$2:$B$492,MATCH(160,'Output Utente'!$R$2:$R$492,0)),"")</f>
        <v/>
      </c>
      <c r="D163" s="23" t="str">
        <f>IFERROR(INDEX('Output Utente'!$C$2:$C$492,MATCH(160,'Output Utente'!$R$2:$R$492,0)),"")</f>
        <v/>
      </c>
      <c r="E163" s="23" t="str">
        <f>IFERROR(INDEX('Input Giocatori 2026_27'!$D$3:$D$493,MATCH($B163,'Input Giocatori 2026_27'!$A$3:$A$493,0)),"")</f>
        <v/>
      </c>
      <c r="F163" s="24" t="str">
        <f>IFERROR(INDEX('Output Utente'!$N$2:$N$492,MATCH(160,'Output Utente'!$R$2:$R$492,0)),"")</f>
        <v/>
      </c>
      <c r="G163" s="23" t="str">
        <f>IFERROR(INDEX('Output Utente'!$O$2:$O$492,MATCH(160,'Output Utente'!$R$2:$R$492,0)),"")</f>
        <v/>
      </c>
      <c r="H163" s="23" t="str">
        <f>IFERROR(INDEX('Output Utente'!$P$2:$P$492,MATCH(160,'Output Utente'!$R$2:$R$492,0)),"")</f>
        <v/>
      </c>
      <c r="I163" s="24" t="str">
        <f>IFERROR(INDEX('Output Utente'!$F$2:$F$492,MATCH(160,'Output Utente'!$R$2:$R$492,0)),"")</f>
        <v/>
      </c>
      <c r="J163" s="24" t="str">
        <f>IFERROR(INDEX('Output Utente'!$G$2:$G$492,MATCH(160,'Output Utente'!$R$2:$R$492,0)),"")</f>
        <v/>
      </c>
      <c r="K163" s="24" t="str">
        <f>IFERROR(INDEX('Output Utente'!$H$2:$H$492,MATCH(160,'Output Utente'!$R$2:$R$492,0)),"")</f>
        <v/>
      </c>
      <c r="L163" s="23" t="str">
        <f>IFERROR(INDEX('Output Utente'!$E$2:$E$492,MATCH(160,'Output Utente'!$R$2:$R$492,0)),"")</f>
        <v/>
      </c>
      <c r="V163" t="str">
        <f>IFERROR(INDEX('Output Utente'!$M$2:$M$492,MATCH(160,'Output Utente'!$R$2:$R$492,0)),"")</f>
        <v/>
      </c>
      <c r="W163" t="str">
        <f t="shared" si="2"/>
        <v/>
      </c>
      <c r="X163" t="str">
        <f>IFERROR(INDEX('Output Utente'!$AF$2:$AF$492,MATCH(160,'Output Utente'!$R$2:$R$492,0)),"")</f>
        <v/>
      </c>
    </row>
    <row r="164" spans="1:24" ht="15" customHeight="1" x14ac:dyDescent="0.25">
      <c r="A164" s="26">
        <v>161</v>
      </c>
      <c r="B164" s="23" t="str">
        <f>IFERROR(INDEX('Output Utente'!$A$2:$A$492,MATCH(161,'Output Utente'!$R$2:$R$492,0)),"")</f>
        <v/>
      </c>
      <c r="C164" s="23" t="str">
        <f>IFERROR(INDEX('Output Utente'!$B$2:$B$492,MATCH(161,'Output Utente'!$R$2:$R$492,0)),"")</f>
        <v/>
      </c>
      <c r="D164" s="23" t="str">
        <f>IFERROR(INDEX('Output Utente'!$C$2:$C$492,MATCH(161,'Output Utente'!$R$2:$R$492,0)),"")</f>
        <v/>
      </c>
      <c r="E164" s="23" t="str">
        <f>IFERROR(INDEX('Input Giocatori 2026_27'!$D$3:$D$493,MATCH($B164,'Input Giocatori 2026_27'!$A$3:$A$493,0)),"")</f>
        <v/>
      </c>
      <c r="F164" s="24" t="str">
        <f>IFERROR(INDEX('Output Utente'!$N$2:$N$492,MATCH(161,'Output Utente'!$R$2:$R$492,0)),"")</f>
        <v/>
      </c>
      <c r="G164" s="23" t="str">
        <f>IFERROR(INDEX('Output Utente'!$O$2:$O$492,MATCH(161,'Output Utente'!$R$2:$R$492,0)),"")</f>
        <v/>
      </c>
      <c r="H164" s="23" t="str">
        <f>IFERROR(INDEX('Output Utente'!$P$2:$P$492,MATCH(161,'Output Utente'!$R$2:$R$492,0)),"")</f>
        <v/>
      </c>
      <c r="I164" s="24" t="str">
        <f>IFERROR(INDEX('Output Utente'!$F$2:$F$492,MATCH(161,'Output Utente'!$R$2:$R$492,0)),"")</f>
        <v/>
      </c>
      <c r="J164" s="24" t="str">
        <f>IFERROR(INDEX('Output Utente'!$G$2:$G$492,MATCH(161,'Output Utente'!$R$2:$R$492,0)),"")</f>
        <v/>
      </c>
      <c r="K164" s="24" t="str">
        <f>IFERROR(INDEX('Output Utente'!$H$2:$H$492,MATCH(161,'Output Utente'!$R$2:$R$492,0)),"")</f>
        <v/>
      </c>
      <c r="L164" s="23" t="str">
        <f>IFERROR(INDEX('Output Utente'!$E$2:$E$492,MATCH(161,'Output Utente'!$R$2:$R$492,0)),"")</f>
        <v/>
      </c>
      <c r="V164" t="str">
        <f>IFERROR(INDEX('Output Utente'!$M$2:$M$492,MATCH(161,'Output Utente'!$R$2:$R$492,0)),"")</f>
        <v/>
      </c>
      <c r="W164" t="str">
        <f t="shared" si="2"/>
        <v/>
      </c>
      <c r="X164" t="str">
        <f>IFERROR(INDEX('Output Utente'!$AF$2:$AF$492,MATCH(161,'Output Utente'!$R$2:$R$492,0)),"")</f>
        <v/>
      </c>
    </row>
    <row r="165" spans="1:24" ht="15" customHeight="1" x14ac:dyDescent="0.25">
      <c r="A165" s="26">
        <v>162</v>
      </c>
      <c r="B165" s="23" t="str">
        <f>IFERROR(INDEX('Output Utente'!$A$2:$A$492,MATCH(162,'Output Utente'!$R$2:$R$492,0)),"")</f>
        <v/>
      </c>
      <c r="C165" s="23" t="str">
        <f>IFERROR(INDEX('Output Utente'!$B$2:$B$492,MATCH(162,'Output Utente'!$R$2:$R$492,0)),"")</f>
        <v/>
      </c>
      <c r="D165" s="23" t="str">
        <f>IFERROR(INDEX('Output Utente'!$C$2:$C$492,MATCH(162,'Output Utente'!$R$2:$R$492,0)),"")</f>
        <v/>
      </c>
      <c r="E165" s="23" t="str">
        <f>IFERROR(INDEX('Input Giocatori 2026_27'!$D$3:$D$493,MATCH($B165,'Input Giocatori 2026_27'!$A$3:$A$493,0)),"")</f>
        <v/>
      </c>
      <c r="F165" s="24" t="str">
        <f>IFERROR(INDEX('Output Utente'!$N$2:$N$492,MATCH(162,'Output Utente'!$R$2:$R$492,0)),"")</f>
        <v/>
      </c>
      <c r="G165" s="23" t="str">
        <f>IFERROR(INDEX('Output Utente'!$O$2:$O$492,MATCH(162,'Output Utente'!$R$2:$R$492,0)),"")</f>
        <v/>
      </c>
      <c r="H165" s="23" t="str">
        <f>IFERROR(INDEX('Output Utente'!$P$2:$P$492,MATCH(162,'Output Utente'!$R$2:$R$492,0)),"")</f>
        <v/>
      </c>
      <c r="I165" s="24" t="str">
        <f>IFERROR(INDEX('Output Utente'!$F$2:$F$492,MATCH(162,'Output Utente'!$R$2:$R$492,0)),"")</f>
        <v/>
      </c>
      <c r="J165" s="24" t="str">
        <f>IFERROR(INDEX('Output Utente'!$G$2:$G$492,MATCH(162,'Output Utente'!$R$2:$R$492,0)),"")</f>
        <v/>
      </c>
      <c r="K165" s="24" t="str">
        <f>IFERROR(INDEX('Output Utente'!$H$2:$H$492,MATCH(162,'Output Utente'!$R$2:$R$492,0)),"")</f>
        <v/>
      </c>
      <c r="L165" s="23" t="str">
        <f>IFERROR(INDEX('Output Utente'!$E$2:$E$492,MATCH(162,'Output Utente'!$R$2:$R$492,0)),"")</f>
        <v/>
      </c>
      <c r="V165" t="str">
        <f>IFERROR(INDEX('Output Utente'!$M$2:$M$492,MATCH(162,'Output Utente'!$R$2:$R$492,0)),"")</f>
        <v/>
      </c>
      <c r="W165" t="str">
        <f t="shared" si="2"/>
        <v/>
      </c>
      <c r="X165" t="str">
        <f>IFERROR(INDEX('Output Utente'!$AF$2:$AF$492,MATCH(162,'Output Utente'!$R$2:$R$492,0)),"")</f>
        <v/>
      </c>
    </row>
    <row r="166" spans="1:24" ht="15" customHeight="1" x14ac:dyDescent="0.25">
      <c r="A166" s="26">
        <v>163</v>
      </c>
      <c r="B166" s="23" t="str">
        <f>IFERROR(INDEX('Output Utente'!$A$2:$A$492,MATCH(163,'Output Utente'!$R$2:$R$492,0)),"")</f>
        <v/>
      </c>
      <c r="C166" s="23" t="str">
        <f>IFERROR(INDEX('Output Utente'!$B$2:$B$492,MATCH(163,'Output Utente'!$R$2:$R$492,0)),"")</f>
        <v/>
      </c>
      <c r="D166" s="23" t="str">
        <f>IFERROR(INDEX('Output Utente'!$C$2:$C$492,MATCH(163,'Output Utente'!$R$2:$R$492,0)),"")</f>
        <v/>
      </c>
      <c r="E166" s="23" t="str">
        <f>IFERROR(INDEX('Input Giocatori 2026_27'!$D$3:$D$493,MATCH($B166,'Input Giocatori 2026_27'!$A$3:$A$493,0)),"")</f>
        <v/>
      </c>
      <c r="F166" s="24" t="str">
        <f>IFERROR(INDEX('Output Utente'!$N$2:$N$492,MATCH(163,'Output Utente'!$R$2:$R$492,0)),"")</f>
        <v/>
      </c>
      <c r="G166" s="23" t="str">
        <f>IFERROR(INDEX('Output Utente'!$O$2:$O$492,MATCH(163,'Output Utente'!$R$2:$R$492,0)),"")</f>
        <v/>
      </c>
      <c r="H166" s="23" t="str">
        <f>IFERROR(INDEX('Output Utente'!$P$2:$P$492,MATCH(163,'Output Utente'!$R$2:$R$492,0)),"")</f>
        <v/>
      </c>
      <c r="I166" s="24" t="str">
        <f>IFERROR(INDEX('Output Utente'!$F$2:$F$492,MATCH(163,'Output Utente'!$R$2:$R$492,0)),"")</f>
        <v/>
      </c>
      <c r="J166" s="24" t="str">
        <f>IFERROR(INDEX('Output Utente'!$G$2:$G$492,MATCH(163,'Output Utente'!$R$2:$R$492,0)),"")</f>
        <v/>
      </c>
      <c r="K166" s="24" t="str">
        <f>IFERROR(INDEX('Output Utente'!$H$2:$H$492,MATCH(163,'Output Utente'!$R$2:$R$492,0)),"")</f>
        <v/>
      </c>
      <c r="L166" s="23" t="str">
        <f>IFERROR(INDEX('Output Utente'!$E$2:$E$492,MATCH(163,'Output Utente'!$R$2:$R$492,0)),"")</f>
        <v/>
      </c>
      <c r="V166" t="str">
        <f>IFERROR(INDEX('Output Utente'!$M$2:$M$492,MATCH(163,'Output Utente'!$R$2:$R$492,0)),"")</f>
        <v/>
      </c>
      <c r="W166" t="str">
        <f t="shared" si="2"/>
        <v/>
      </c>
      <c r="X166" t="str">
        <f>IFERROR(INDEX('Output Utente'!$AF$2:$AF$492,MATCH(163,'Output Utente'!$R$2:$R$492,0)),"")</f>
        <v/>
      </c>
    </row>
    <row r="167" spans="1:24" ht="15" customHeight="1" x14ac:dyDescent="0.25">
      <c r="A167" s="26">
        <v>164</v>
      </c>
      <c r="B167" s="23" t="str">
        <f>IFERROR(INDEX('Output Utente'!$A$2:$A$492,MATCH(164,'Output Utente'!$R$2:$R$492,0)),"")</f>
        <v/>
      </c>
      <c r="C167" s="23" t="str">
        <f>IFERROR(INDEX('Output Utente'!$B$2:$B$492,MATCH(164,'Output Utente'!$R$2:$R$492,0)),"")</f>
        <v/>
      </c>
      <c r="D167" s="23" t="str">
        <f>IFERROR(INDEX('Output Utente'!$C$2:$C$492,MATCH(164,'Output Utente'!$R$2:$R$492,0)),"")</f>
        <v/>
      </c>
      <c r="E167" s="23" t="str">
        <f>IFERROR(INDEX('Input Giocatori 2026_27'!$D$3:$D$493,MATCH($B167,'Input Giocatori 2026_27'!$A$3:$A$493,0)),"")</f>
        <v/>
      </c>
      <c r="F167" s="24" t="str">
        <f>IFERROR(INDEX('Output Utente'!$N$2:$N$492,MATCH(164,'Output Utente'!$R$2:$R$492,0)),"")</f>
        <v/>
      </c>
      <c r="G167" s="23" t="str">
        <f>IFERROR(INDEX('Output Utente'!$O$2:$O$492,MATCH(164,'Output Utente'!$R$2:$R$492,0)),"")</f>
        <v/>
      </c>
      <c r="H167" s="23" t="str">
        <f>IFERROR(INDEX('Output Utente'!$P$2:$P$492,MATCH(164,'Output Utente'!$R$2:$R$492,0)),"")</f>
        <v/>
      </c>
      <c r="I167" s="24" t="str">
        <f>IFERROR(INDEX('Output Utente'!$F$2:$F$492,MATCH(164,'Output Utente'!$R$2:$R$492,0)),"")</f>
        <v/>
      </c>
      <c r="J167" s="24" t="str">
        <f>IFERROR(INDEX('Output Utente'!$G$2:$G$492,MATCH(164,'Output Utente'!$R$2:$R$492,0)),"")</f>
        <v/>
      </c>
      <c r="K167" s="24" t="str">
        <f>IFERROR(INDEX('Output Utente'!$H$2:$H$492,MATCH(164,'Output Utente'!$R$2:$R$492,0)),"")</f>
        <v/>
      </c>
      <c r="L167" s="23" t="str">
        <f>IFERROR(INDEX('Output Utente'!$E$2:$E$492,MATCH(164,'Output Utente'!$R$2:$R$492,0)),"")</f>
        <v/>
      </c>
      <c r="V167" t="str">
        <f>IFERROR(INDEX('Output Utente'!$M$2:$M$492,MATCH(164,'Output Utente'!$R$2:$R$492,0)),"")</f>
        <v/>
      </c>
      <c r="W167" t="str">
        <f t="shared" si="2"/>
        <v/>
      </c>
      <c r="X167" t="str">
        <f>IFERROR(INDEX('Output Utente'!$AF$2:$AF$492,MATCH(164,'Output Utente'!$R$2:$R$492,0)),"")</f>
        <v/>
      </c>
    </row>
    <row r="168" spans="1:24" ht="15" customHeight="1" x14ac:dyDescent="0.25">
      <c r="A168" s="26">
        <v>165</v>
      </c>
      <c r="B168" s="23" t="str">
        <f>IFERROR(INDEX('Output Utente'!$A$2:$A$492,MATCH(165,'Output Utente'!$R$2:$R$492,0)),"")</f>
        <v/>
      </c>
      <c r="C168" s="23" t="str">
        <f>IFERROR(INDEX('Output Utente'!$B$2:$B$492,MATCH(165,'Output Utente'!$R$2:$R$492,0)),"")</f>
        <v/>
      </c>
      <c r="D168" s="23" t="str">
        <f>IFERROR(INDEX('Output Utente'!$C$2:$C$492,MATCH(165,'Output Utente'!$R$2:$R$492,0)),"")</f>
        <v/>
      </c>
      <c r="E168" s="23" t="str">
        <f>IFERROR(INDEX('Input Giocatori 2026_27'!$D$3:$D$493,MATCH($B168,'Input Giocatori 2026_27'!$A$3:$A$493,0)),"")</f>
        <v/>
      </c>
      <c r="F168" s="24" t="str">
        <f>IFERROR(INDEX('Output Utente'!$N$2:$N$492,MATCH(165,'Output Utente'!$R$2:$R$492,0)),"")</f>
        <v/>
      </c>
      <c r="G168" s="23" t="str">
        <f>IFERROR(INDEX('Output Utente'!$O$2:$O$492,MATCH(165,'Output Utente'!$R$2:$R$492,0)),"")</f>
        <v/>
      </c>
      <c r="H168" s="23" t="str">
        <f>IFERROR(INDEX('Output Utente'!$P$2:$P$492,MATCH(165,'Output Utente'!$R$2:$R$492,0)),"")</f>
        <v/>
      </c>
      <c r="I168" s="24" t="str">
        <f>IFERROR(INDEX('Output Utente'!$F$2:$F$492,MATCH(165,'Output Utente'!$R$2:$R$492,0)),"")</f>
        <v/>
      </c>
      <c r="J168" s="24" t="str">
        <f>IFERROR(INDEX('Output Utente'!$G$2:$G$492,MATCH(165,'Output Utente'!$R$2:$R$492,0)),"")</f>
        <v/>
      </c>
      <c r="K168" s="24" t="str">
        <f>IFERROR(INDEX('Output Utente'!$H$2:$H$492,MATCH(165,'Output Utente'!$R$2:$R$492,0)),"")</f>
        <v/>
      </c>
      <c r="L168" s="23" t="str">
        <f>IFERROR(INDEX('Output Utente'!$E$2:$E$492,MATCH(165,'Output Utente'!$R$2:$R$492,0)),"")</f>
        <v/>
      </c>
      <c r="V168" t="str">
        <f>IFERROR(INDEX('Output Utente'!$M$2:$M$492,MATCH(165,'Output Utente'!$R$2:$R$492,0)),"")</f>
        <v/>
      </c>
      <c r="W168" t="str">
        <f t="shared" si="2"/>
        <v/>
      </c>
      <c r="X168" t="str">
        <f>IFERROR(INDEX('Output Utente'!$AF$2:$AF$492,MATCH(165,'Output Utente'!$R$2:$R$492,0)),"")</f>
        <v/>
      </c>
    </row>
    <row r="169" spans="1:24" ht="15" customHeight="1" x14ac:dyDescent="0.25">
      <c r="A169" s="26">
        <v>166</v>
      </c>
      <c r="B169" s="23" t="str">
        <f>IFERROR(INDEX('Output Utente'!$A$2:$A$492,MATCH(166,'Output Utente'!$R$2:$R$492,0)),"")</f>
        <v/>
      </c>
      <c r="C169" s="23" t="str">
        <f>IFERROR(INDEX('Output Utente'!$B$2:$B$492,MATCH(166,'Output Utente'!$R$2:$R$492,0)),"")</f>
        <v/>
      </c>
      <c r="D169" s="23" t="str">
        <f>IFERROR(INDEX('Output Utente'!$C$2:$C$492,MATCH(166,'Output Utente'!$R$2:$R$492,0)),"")</f>
        <v/>
      </c>
      <c r="E169" s="23" t="str">
        <f>IFERROR(INDEX('Input Giocatori 2026_27'!$D$3:$D$493,MATCH($B169,'Input Giocatori 2026_27'!$A$3:$A$493,0)),"")</f>
        <v/>
      </c>
      <c r="F169" s="24" t="str">
        <f>IFERROR(INDEX('Output Utente'!$N$2:$N$492,MATCH(166,'Output Utente'!$R$2:$R$492,0)),"")</f>
        <v/>
      </c>
      <c r="G169" s="23" t="str">
        <f>IFERROR(INDEX('Output Utente'!$O$2:$O$492,MATCH(166,'Output Utente'!$R$2:$R$492,0)),"")</f>
        <v/>
      </c>
      <c r="H169" s="23" t="str">
        <f>IFERROR(INDEX('Output Utente'!$P$2:$P$492,MATCH(166,'Output Utente'!$R$2:$R$492,0)),"")</f>
        <v/>
      </c>
      <c r="I169" s="24" t="str">
        <f>IFERROR(INDEX('Output Utente'!$F$2:$F$492,MATCH(166,'Output Utente'!$R$2:$R$492,0)),"")</f>
        <v/>
      </c>
      <c r="J169" s="24" t="str">
        <f>IFERROR(INDEX('Output Utente'!$G$2:$G$492,MATCH(166,'Output Utente'!$R$2:$R$492,0)),"")</f>
        <v/>
      </c>
      <c r="K169" s="24" t="str">
        <f>IFERROR(INDEX('Output Utente'!$H$2:$H$492,MATCH(166,'Output Utente'!$R$2:$R$492,0)),"")</f>
        <v/>
      </c>
      <c r="L169" s="23" t="str">
        <f>IFERROR(INDEX('Output Utente'!$E$2:$E$492,MATCH(166,'Output Utente'!$R$2:$R$492,0)),"")</f>
        <v/>
      </c>
      <c r="V169" t="str">
        <f>IFERROR(INDEX('Output Utente'!$M$2:$M$492,MATCH(166,'Output Utente'!$R$2:$R$492,0)),"")</f>
        <v/>
      </c>
      <c r="W169" t="str">
        <f t="shared" si="2"/>
        <v/>
      </c>
      <c r="X169" t="str">
        <f>IFERROR(INDEX('Output Utente'!$AF$2:$AF$492,MATCH(166,'Output Utente'!$R$2:$R$492,0)),"")</f>
        <v/>
      </c>
    </row>
    <row r="170" spans="1:24" ht="15" customHeight="1" x14ac:dyDescent="0.25">
      <c r="A170" s="26">
        <v>167</v>
      </c>
      <c r="B170" s="23" t="str">
        <f>IFERROR(INDEX('Output Utente'!$A$2:$A$492,MATCH(167,'Output Utente'!$R$2:$R$492,0)),"")</f>
        <v/>
      </c>
      <c r="C170" s="23" t="str">
        <f>IFERROR(INDEX('Output Utente'!$B$2:$B$492,MATCH(167,'Output Utente'!$R$2:$R$492,0)),"")</f>
        <v/>
      </c>
      <c r="D170" s="23" t="str">
        <f>IFERROR(INDEX('Output Utente'!$C$2:$C$492,MATCH(167,'Output Utente'!$R$2:$R$492,0)),"")</f>
        <v/>
      </c>
      <c r="E170" s="23" t="str">
        <f>IFERROR(INDEX('Input Giocatori 2026_27'!$D$3:$D$493,MATCH($B170,'Input Giocatori 2026_27'!$A$3:$A$493,0)),"")</f>
        <v/>
      </c>
      <c r="F170" s="24" t="str">
        <f>IFERROR(INDEX('Output Utente'!$N$2:$N$492,MATCH(167,'Output Utente'!$R$2:$R$492,0)),"")</f>
        <v/>
      </c>
      <c r="G170" s="23" t="str">
        <f>IFERROR(INDEX('Output Utente'!$O$2:$O$492,MATCH(167,'Output Utente'!$R$2:$R$492,0)),"")</f>
        <v/>
      </c>
      <c r="H170" s="23" t="str">
        <f>IFERROR(INDEX('Output Utente'!$P$2:$P$492,MATCH(167,'Output Utente'!$R$2:$R$492,0)),"")</f>
        <v/>
      </c>
      <c r="I170" s="24" t="str">
        <f>IFERROR(INDEX('Output Utente'!$F$2:$F$492,MATCH(167,'Output Utente'!$R$2:$R$492,0)),"")</f>
        <v/>
      </c>
      <c r="J170" s="24" t="str">
        <f>IFERROR(INDEX('Output Utente'!$G$2:$G$492,MATCH(167,'Output Utente'!$R$2:$R$492,0)),"")</f>
        <v/>
      </c>
      <c r="K170" s="24" t="str">
        <f>IFERROR(INDEX('Output Utente'!$H$2:$H$492,MATCH(167,'Output Utente'!$R$2:$R$492,0)),"")</f>
        <v/>
      </c>
      <c r="L170" s="23" t="str">
        <f>IFERROR(INDEX('Output Utente'!$E$2:$E$492,MATCH(167,'Output Utente'!$R$2:$R$492,0)),"")</f>
        <v/>
      </c>
      <c r="V170" t="str">
        <f>IFERROR(INDEX('Output Utente'!$M$2:$M$492,MATCH(167,'Output Utente'!$R$2:$R$492,0)),"")</f>
        <v/>
      </c>
      <c r="W170" t="str">
        <f t="shared" si="2"/>
        <v/>
      </c>
      <c r="X170" t="str">
        <f>IFERROR(INDEX('Output Utente'!$AF$2:$AF$492,MATCH(167,'Output Utente'!$R$2:$R$492,0)),"")</f>
        <v/>
      </c>
    </row>
    <row r="171" spans="1:24" ht="15" customHeight="1" x14ac:dyDescent="0.25">
      <c r="A171" s="26">
        <v>168</v>
      </c>
      <c r="B171" s="23" t="str">
        <f>IFERROR(INDEX('Output Utente'!$A$2:$A$492,MATCH(168,'Output Utente'!$R$2:$R$492,0)),"")</f>
        <v/>
      </c>
      <c r="C171" s="23" t="str">
        <f>IFERROR(INDEX('Output Utente'!$B$2:$B$492,MATCH(168,'Output Utente'!$R$2:$R$492,0)),"")</f>
        <v/>
      </c>
      <c r="D171" s="23" t="str">
        <f>IFERROR(INDEX('Output Utente'!$C$2:$C$492,MATCH(168,'Output Utente'!$R$2:$R$492,0)),"")</f>
        <v/>
      </c>
      <c r="E171" s="23" t="str">
        <f>IFERROR(INDEX('Input Giocatori 2026_27'!$D$3:$D$493,MATCH($B171,'Input Giocatori 2026_27'!$A$3:$A$493,0)),"")</f>
        <v/>
      </c>
      <c r="F171" s="24" t="str">
        <f>IFERROR(INDEX('Output Utente'!$N$2:$N$492,MATCH(168,'Output Utente'!$R$2:$R$492,0)),"")</f>
        <v/>
      </c>
      <c r="G171" s="23" t="str">
        <f>IFERROR(INDEX('Output Utente'!$O$2:$O$492,MATCH(168,'Output Utente'!$R$2:$R$492,0)),"")</f>
        <v/>
      </c>
      <c r="H171" s="23" t="str">
        <f>IFERROR(INDEX('Output Utente'!$P$2:$P$492,MATCH(168,'Output Utente'!$R$2:$R$492,0)),"")</f>
        <v/>
      </c>
      <c r="I171" s="24" t="str">
        <f>IFERROR(INDEX('Output Utente'!$F$2:$F$492,MATCH(168,'Output Utente'!$R$2:$R$492,0)),"")</f>
        <v/>
      </c>
      <c r="J171" s="24" t="str">
        <f>IFERROR(INDEX('Output Utente'!$G$2:$G$492,MATCH(168,'Output Utente'!$R$2:$R$492,0)),"")</f>
        <v/>
      </c>
      <c r="K171" s="24" t="str">
        <f>IFERROR(INDEX('Output Utente'!$H$2:$H$492,MATCH(168,'Output Utente'!$R$2:$R$492,0)),"")</f>
        <v/>
      </c>
      <c r="L171" s="23" t="str">
        <f>IFERROR(INDEX('Output Utente'!$E$2:$E$492,MATCH(168,'Output Utente'!$R$2:$R$492,0)),"")</f>
        <v/>
      </c>
      <c r="V171" t="str">
        <f>IFERROR(INDEX('Output Utente'!$M$2:$M$492,MATCH(168,'Output Utente'!$R$2:$R$492,0)),"")</f>
        <v/>
      </c>
      <c r="W171" t="str">
        <f t="shared" si="2"/>
        <v/>
      </c>
      <c r="X171" t="str">
        <f>IFERROR(INDEX('Output Utente'!$AF$2:$AF$492,MATCH(168,'Output Utente'!$R$2:$R$492,0)),"")</f>
        <v/>
      </c>
    </row>
    <row r="172" spans="1:24" ht="15" customHeight="1" x14ac:dyDescent="0.25">
      <c r="A172" s="26">
        <v>169</v>
      </c>
      <c r="B172" s="23" t="str">
        <f>IFERROR(INDEX('Output Utente'!$A$2:$A$492,MATCH(169,'Output Utente'!$R$2:$R$492,0)),"")</f>
        <v/>
      </c>
      <c r="C172" s="23" t="str">
        <f>IFERROR(INDEX('Output Utente'!$B$2:$B$492,MATCH(169,'Output Utente'!$R$2:$R$492,0)),"")</f>
        <v/>
      </c>
      <c r="D172" s="23" t="str">
        <f>IFERROR(INDEX('Output Utente'!$C$2:$C$492,MATCH(169,'Output Utente'!$R$2:$R$492,0)),"")</f>
        <v/>
      </c>
      <c r="E172" s="23" t="str">
        <f>IFERROR(INDEX('Input Giocatori 2026_27'!$D$3:$D$493,MATCH($B172,'Input Giocatori 2026_27'!$A$3:$A$493,0)),"")</f>
        <v/>
      </c>
      <c r="F172" s="24" t="str">
        <f>IFERROR(INDEX('Output Utente'!$N$2:$N$492,MATCH(169,'Output Utente'!$R$2:$R$492,0)),"")</f>
        <v/>
      </c>
      <c r="G172" s="23" t="str">
        <f>IFERROR(INDEX('Output Utente'!$O$2:$O$492,MATCH(169,'Output Utente'!$R$2:$R$492,0)),"")</f>
        <v/>
      </c>
      <c r="H172" s="23" t="str">
        <f>IFERROR(INDEX('Output Utente'!$P$2:$P$492,MATCH(169,'Output Utente'!$R$2:$R$492,0)),"")</f>
        <v/>
      </c>
      <c r="I172" s="24" t="str">
        <f>IFERROR(INDEX('Output Utente'!$F$2:$F$492,MATCH(169,'Output Utente'!$R$2:$R$492,0)),"")</f>
        <v/>
      </c>
      <c r="J172" s="24" t="str">
        <f>IFERROR(INDEX('Output Utente'!$G$2:$G$492,MATCH(169,'Output Utente'!$R$2:$R$492,0)),"")</f>
        <v/>
      </c>
      <c r="K172" s="24" t="str">
        <f>IFERROR(INDEX('Output Utente'!$H$2:$H$492,MATCH(169,'Output Utente'!$R$2:$R$492,0)),"")</f>
        <v/>
      </c>
      <c r="L172" s="23" t="str">
        <f>IFERROR(INDEX('Output Utente'!$E$2:$E$492,MATCH(169,'Output Utente'!$R$2:$R$492,0)),"")</f>
        <v/>
      </c>
      <c r="V172" t="str">
        <f>IFERROR(INDEX('Output Utente'!$M$2:$M$492,MATCH(169,'Output Utente'!$R$2:$R$492,0)),"")</f>
        <v/>
      </c>
      <c r="W172" t="str">
        <f t="shared" si="2"/>
        <v/>
      </c>
      <c r="X172" t="str">
        <f>IFERROR(INDEX('Output Utente'!$AF$2:$AF$492,MATCH(169,'Output Utente'!$R$2:$R$492,0)),"")</f>
        <v/>
      </c>
    </row>
    <row r="173" spans="1:24" ht="15" customHeight="1" x14ac:dyDescent="0.25">
      <c r="A173" s="26">
        <v>170</v>
      </c>
      <c r="B173" s="23" t="str">
        <f>IFERROR(INDEX('Output Utente'!$A$2:$A$492,MATCH(170,'Output Utente'!$R$2:$R$492,0)),"")</f>
        <v/>
      </c>
      <c r="C173" s="23" t="str">
        <f>IFERROR(INDEX('Output Utente'!$B$2:$B$492,MATCH(170,'Output Utente'!$R$2:$R$492,0)),"")</f>
        <v/>
      </c>
      <c r="D173" s="23" t="str">
        <f>IFERROR(INDEX('Output Utente'!$C$2:$C$492,MATCH(170,'Output Utente'!$R$2:$R$492,0)),"")</f>
        <v/>
      </c>
      <c r="E173" s="23" t="str">
        <f>IFERROR(INDEX('Input Giocatori 2026_27'!$D$3:$D$493,MATCH($B173,'Input Giocatori 2026_27'!$A$3:$A$493,0)),"")</f>
        <v/>
      </c>
      <c r="F173" s="24" t="str">
        <f>IFERROR(INDEX('Output Utente'!$N$2:$N$492,MATCH(170,'Output Utente'!$R$2:$R$492,0)),"")</f>
        <v/>
      </c>
      <c r="G173" s="23" t="str">
        <f>IFERROR(INDEX('Output Utente'!$O$2:$O$492,MATCH(170,'Output Utente'!$R$2:$R$492,0)),"")</f>
        <v/>
      </c>
      <c r="H173" s="23" t="str">
        <f>IFERROR(INDEX('Output Utente'!$P$2:$P$492,MATCH(170,'Output Utente'!$R$2:$R$492,0)),"")</f>
        <v/>
      </c>
      <c r="I173" s="24" t="str">
        <f>IFERROR(INDEX('Output Utente'!$F$2:$F$492,MATCH(170,'Output Utente'!$R$2:$R$492,0)),"")</f>
        <v/>
      </c>
      <c r="J173" s="24" t="str">
        <f>IFERROR(INDEX('Output Utente'!$G$2:$G$492,MATCH(170,'Output Utente'!$R$2:$R$492,0)),"")</f>
        <v/>
      </c>
      <c r="K173" s="24" t="str">
        <f>IFERROR(INDEX('Output Utente'!$H$2:$H$492,MATCH(170,'Output Utente'!$R$2:$R$492,0)),"")</f>
        <v/>
      </c>
      <c r="L173" s="23" t="str">
        <f>IFERROR(INDEX('Output Utente'!$E$2:$E$492,MATCH(170,'Output Utente'!$R$2:$R$492,0)),"")</f>
        <v/>
      </c>
      <c r="V173" t="str">
        <f>IFERROR(INDEX('Output Utente'!$M$2:$M$492,MATCH(170,'Output Utente'!$R$2:$R$492,0)),"")</f>
        <v/>
      </c>
      <c r="W173" t="str">
        <f t="shared" si="2"/>
        <v/>
      </c>
      <c r="X173" t="str">
        <f>IFERROR(INDEX('Output Utente'!$AF$2:$AF$492,MATCH(170,'Output Utente'!$R$2:$R$492,0)),"")</f>
        <v/>
      </c>
    </row>
    <row r="174" spans="1:24" ht="15" customHeight="1" x14ac:dyDescent="0.25">
      <c r="A174" s="26">
        <v>171</v>
      </c>
      <c r="B174" s="23" t="str">
        <f>IFERROR(INDEX('Output Utente'!$A$2:$A$492,MATCH(171,'Output Utente'!$R$2:$R$492,0)),"")</f>
        <v/>
      </c>
      <c r="C174" s="23" t="str">
        <f>IFERROR(INDEX('Output Utente'!$B$2:$B$492,MATCH(171,'Output Utente'!$R$2:$R$492,0)),"")</f>
        <v/>
      </c>
      <c r="D174" s="23" t="str">
        <f>IFERROR(INDEX('Output Utente'!$C$2:$C$492,MATCH(171,'Output Utente'!$R$2:$R$492,0)),"")</f>
        <v/>
      </c>
      <c r="E174" s="23" t="str">
        <f>IFERROR(INDEX('Input Giocatori 2026_27'!$D$3:$D$493,MATCH($B174,'Input Giocatori 2026_27'!$A$3:$A$493,0)),"")</f>
        <v/>
      </c>
      <c r="F174" s="24" t="str">
        <f>IFERROR(INDEX('Output Utente'!$N$2:$N$492,MATCH(171,'Output Utente'!$R$2:$R$492,0)),"")</f>
        <v/>
      </c>
      <c r="G174" s="23" t="str">
        <f>IFERROR(INDEX('Output Utente'!$O$2:$O$492,MATCH(171,'Output Utente'!$R$2:$R$492,0)),"")</f>
        <v/>
      </c>
      <c r="H174" s="23" t="str">
        <f>IFERROR(INDEX('Output Utente'!$P$2:$P$492,MATCH(171,'Output Utente'!$R$2:$R$492,0)),"")</f>
        <v/>
      </c>
      <c r="I174" s="24" t="str">
        <f>IFERROR(INDEX('Output Utente'!$F$2:$F$492,MATCH(171,'Output Utente'!$R$2:$R$492,0)),"")</f>
        <v/>
      </c>
      <c r="J174" s="24" t="str">
        <f>IFERROR(INDEX('Output Utente'!$G$2:$G$492,MATCH(171,'Output Utente'!$R$2:$R$492,0)),"")</f>
        <v/>
      </c>
      <c r="K174" s="24" t="str">
        <f>IFERROR(INDEX('Output Utente'!$H$2:$H$492,MATCH(171,'Output Utente'!$R$2:$R$492,0)),"")</f>
        <v/>
      </c>
      <c r="L174" s="23" t="str">
        <f>IFERROR(INDEX('Output Utente'!$E$2:$E$492,MATCH(171,'Output Utente'!$R$2:$R$492,0)),"")</f>
        <v/>
      </c>
      <c r="V174" t="str">
        <f>IFERROR(INDEX('Output Utente'!$M$2:$M$492,MATCH(171,'Output Utente'!$R$2:$R$492,0)),"")</f>
        <v/>
      </c>
      <c r="W174" t="str">
        <f t="shared" si="2"/>
        <v/>
      </c>
      <c r="X174" t="str">
        <f>IFERROR(INDEX('Output Utente'!$AF$2:$AF$492,MATCH(171,'Output Utente'!$R$2:$R$492,0)),"")</f>
        <v/>
      </c>
    </row>
    <row r="175" spans="1:24" ht="15" customHeight="1" x14ac:dyDescent="0.25">
      <c r="A175" s="26">
        <v>172</v>
      </c>
      <c r="B175" s="23" t="str">
        <f>IFERROR(INDEX('Output Utente'!$A$2:$A$492,MATCH(172,'Output Utente'!$R$2:$R$492,0)),"")</f>
        <v/>
      </c>
      <c r="C175" s="23" t="str">
        <f>IFERROR(INDEX('Output Utente'!$B$2:$B$492,MATCH(172,'Output Utente'!$R$2:$R$492,0)),"")</f>
        <v/>
      </c>
      <c r="D175" s="23" t="str">
        <f>IFERROR(INDEX('Output Utente'!$C$2:$C$492,MATCH(172,'Output Utente'!$R$2:$R$492,0)),"")</f>
        <v/>
      </c>
      <c r="E175" s="23" t="str">
        <f>IFERROR(INDEX('Input Giocatori 2026_27'!$D$3:$D$493,MATCH($B175,'Input Giocatori 2026_27'!$A$3:$A$493,0)),"")</f>
        <v/>
      </c>
      <c r="F175" s="24" t="str">
        <f>IFERROR(INDEX('Output Utente'!$N$2:$N$492,MATCH(172,'Output Utente'!$R$2:$R$492,0)),"")</f>
        <v/>
      </c>
      <c r="G175" s="23" t="str">
        <f>IFERROR(INDEX('Output Utente'!$O$2:$O$492,MATCH(172,'Output Utente'!$R$2:$R$492,0)),"")</f>
        <v/>
      </c>
      <c r="H175" s="23" t="str">
        <f>IFERROR(INDEX('Output Utente'!$P$2:$P$492,MATCH(172,'Output Utente'!$R$2:$R$492,0)),"")</f>
        <v/>
      </c>
      <c r="I175" s="24" t="str">
        <f>IFERROR(INDEX('Output Utente'!$F$2:$F$492,MATCH(172,'Output Utente'!$R$2:$R$492,0)),"")</f>
        <v/>
      </c>
      <c r="J175" s="24" t="str">
        <f>IFERROR(INDEX('Output Utente'!$G$2:$G$492,MATCH(172,'Output Utente'!$R$2:$R$492,0)),"")</f>
        <v/>
      </c>
      <c r="K175" s="24" t="str">
        <f>IFERROR(INDEX('Output Utente'!$H$2:$H$492,MATCH(172,'Output Utente'!$R$2:$R$492,0)),"")</f>
        <v/>
      </c>
      <c r="L175" s="23" t="str">
        <f>IFERROR(INDEX('Output Utente'!$E$2:$E$492,MATCH(172,'Output Utente'!$R$2:$R$492,0)),"")</f>
        <v/>
      </c>
      <c r="V175" t="str">
        <f>IFERROR(INDEX('Output Utente'!$M$2:$M$492,MATCH(172,'Output Utente'!$R$2:$R$492,0)),"")</f>
        <v/>
      </c>
      <c r="W175" t="str">
        <f t="shared" si="2"/>
        <v/>
      </c>
      <c r="X175" t="str">
        <f>IFERROR(INDEX('Output Utente'!$AF$2:$AF$492,MATCH(172,'Output Utente'!$R$2:$R$492,0)),"")</f>
        <v/>
      </c>
    </row>
    <row r="176" spans="1:24" ht="15" customHeight="1" x14ac:dyDescent="0.25">
      <c r="A176" s="26">
        <v>173</v>
      </c>
      <c r="B176" s="23" t="str">
        <f>IFERROR(INDEX('Output Utente'!$A$2:$A$492,MATCH(173,'Output Utente'!$R$2:$R$492,0)),"")</f>
        <v/>
      </c>
      <c r="C176" s="23" t="str">
        <f>IFERROR(INDEX('Output Utente'!$B$2:$B$492,MATCH(173,'Output Utente'!$R$2:$R$492,0)),"")</f>
        <v/>
      </c>
      <c r="D176" s="23" t="str">
        <f>IFERROR(INDEX('Output Utente'!$C$2:$C$492,MATCH(173,'Output Utente'!$R$2:$R$492,0)),"")</f>
        <v/>
      </c>
      <c r="E176" s="23" t="str">
        <f>IFERROR(INDEX('Input Giocatori 2026_27'!$D$3:$D$493,MATCH($B176,'Input Giocatori 2026_27'!$A$3:$A$493,0)),"")</f>
        <v/>
      </c>
      <c r="F176" s="24" t="str">
        <f>IFERROR(INDEX('Output Utente'!$N$2:$N$492,MATCH(173,'Output Utente'!$R$2:$R$492,0)),"")</f>
        <v/>
      </c>
      <c r="G176" s="23" t="str">
        <f>IFERROR(INDEX('Output Utente'!$O$2:$O$492,MATCH(173,'Output Utente'!$R$2:$R$492,0)),"")</f>
        <v/>
      </c>
      <c r="H176" s="23" t="str">
        <f>IFERROR(INDEX('Output Utente'!$P$2:$P$492,MATCH(173,'Output Utente'!$R$2:$R$492,0)),"")</f>
        <v/>
      </c>
      <c r="I176" s="24" t="str">
        <f>IFERROR(INDEX('Output Utente'!$F$2:$F$492,MATCH(173,'Output Utente'!$R$2:$R$492,0)),"")</f>
        <v/>
      </c>
      <c r="J176" s="24" t="str">
        <f>IFERROR(INDEX('Output Utente'!$G$2:$G$492,MATCH(173,'Output Utente'!$R$2:$R$492,0)),"")</f>
        <v/>
      </c>
      <c r="K176" s="24" t="str">
        <f>IFERROR(INDEX('Output Utente'!$H$2:$H$492,MATCH(173,'Output Utente'!$R$2:$R$492,0)),"")</f>
        <v/>
      </c>
      <c r="L176" s="23" t="str">
        <f>IFERROR(INDEX('Output Utente'!$E$2:$E$492,MATCH(173,'Output Utente'!$R$2:$R$492,0)),"")</f>
        <v/>
      </c>
      <c r="V176" t="str">
        <f>IFERROR(INDEX('Output Utente'!$M$2:$M$492,MATCH(173,'Output Utente'!$R$2:$R$492,0)),"")</f>
        <v/>
      </c>
      <c r="W176" t="str">
        <f t="shared" si="2"/>
        <v/>
      </c>
      <c r="X176" t="str">
        <f>IFERROR(INDEX('Output Utente'!$AF$2:$AF$492,MATCH(173,'Output Utente'!$R$2:$R$492,0)),"")</f>
        <v/>
      </c>
    </row>
    <row r="177" spans="1:24" ht="15" customHeight="1" x14ac:dyDescent="0.25">
      <c r="A177" s="26">
        <v>174</v>
      </c>
      <c r="B177" s="23" t="str">
        <f>IFERROR(INDEX('Output Utente'!$A$2:$A$492,MATCH(174,'Output Utente'!$R$2:$R$492,0)),"")</f>
        <v/>
      </c>
      <c r="C177" s="23" t="str">
        <f>IFERROR(INDEX('Output Utente'!$B$2:$B$492,MATCH(174,'Output Utente'!$R$2:$R$492,0)),"")</f>
        <v/>
      </c>
      <c r="D177" s="23" t="str">
        <f>IFERROR(INDEX('Output Utente'!$C$2:$C$492,MATCH(174,'Output Utente'!$R$2:$R$492,0)),"")</f>
        <v/>
      </c>
      <c r="E177" s="23" t="str">
        <f>IFERROR(INDEX('Input Giocatori 2026_27'!$D$3:$D$493,MATCH($B177,'Input Giocatori 2026_27'!$A$3:$A$493,0)),"")</f>
        <v/>
      </c>
      <c r="F177" s="24" t="str">
        <f>IFERROR(INDEX('Output Utente'!$N$2:$N$492,MATCH(174,'Output Utente'!$R$2:$R$492,0)),"")</f>
        <v/>
      </c>
      <c r="G177" s="23" t="str">
        <f>IFERROR(INDEX('Output Utente'!$O$2:$O$492,MATCH(174,'Output Utente'!$R$2:$R$492,0)),"")</f>
        <v/>
      </c>
      <c r="H177" s="23" t="str">
        <f>IFERROR(INDEX('Output Utente'!$P$2:$P$492,MATCH(174,'Output Utente'!$R$2:$R$492,0)),"")</f>
        <v/>
      </c>
      <c r="I177" s="24" t="str">
        <f>IFERROR(INDEX('Output Utente'!$F$2:$F$492,MATCH(174,'Output Utente'!$R$2:$R$492,0)),"")</f>
        <v/>
      </c>
      <c r="J177" s="24" t="str">
        <f>IFERROR(INDEX('Output Utente'!$G$2:$G$492,MATCH(174,'Output Utente'!$R$2:$R$492,0)),"")</f>
        <v/>
      </c>
      <c r="K177" s="24" t="str">
        <f>IFERROR(INDEX('Output Utente'!$H$2:$H$492,MATCH(174,'Output Utente'!$R$2:$R$492,0)),"")</f>
        <v/>
      </c>
      <c r="L177" s="23" t="str">
        <f>IFERROR(INDEX('Output Utente'!$E$2:$E$492,MATCH(174,'Output Utente'!$R$2:$R$492,0)),"")</f>
        <v/>
      </c>
      <c r="V177" t="str">
        <f>IFERROR(INDEX('Output Utente'!$M$2:$M$492,MATCH(174,'Output Utente'!$R$2:$R$492,0)),"")</f>
        <v/>
      </c>
      <c r="W177" t="str">
        <f t="shared" si="2"/>
        <v/>
      </c>
      <c r="X177" t="str">
        <f>IFERROR(INDEX('Output Utente'!$AF$2:$AF$492,MATCH(174,'Output Utente'!$R$2:$R$492,0)),"")</f>
        <v/>
      </c>
    </row>
    <row r="178" spans="1:24" ht="15" customHeight="1" x14ac:dyDescent="0.25">
      <c r="A178" s="26">
        <v>175</v>
      </c>
      <c r="B178" s="23" t="str">
        <f>IFERROR(INDEX('Output Utente'!$A$2:$A$492,MATCH(175,'Output Utente'!$R$2:$R$492,0)),"")</f>
        <v/>
      </c>
      <c r="C178" s="23" t="str">
        <f>IFERROR(INDEX('Output Utente'!$B$2:$B$492,MATCH(175,'Output Utente'!$R$2:$R$492,0)),"")</f>
        <v/>
      </c>
      <c r="D178" s="23" t="str">
        <f>IFERROR(INDEX('Output Utente'!$C$2:$C$492,MATCH(175,'Output Utente'!$R$2:$R$492,0)),"")</f>
        <v/>
      </c>
      <c r="E178" s="23" t="str">
        <f>IFERROR(INDEX('Input Giocatori 2026_27'!$D$3:$D$493,MATCH($B178,'Input Giocatori 2026_27'!$A$3:$A$493,0)),"")</f>
        <v/>
      </c>
      <c r="F178" s="24" t="str">
        <f>IFERROR(INDEX('Output Utente'!$N$2:$N$492,MATCH(175,'Output Utente'!$R$2:$R$492,0)),"")</f>
        <v/>
      </c>
      <c r="G178" s="23" t="str">
        <f>IFERROR(INDEX('Output Utente'!$O$2:$O$492,MATCH(175,'Output Utente'!$R$2:$R$492,0)),"")</f>
        <v/>
      </c>
      <c r="H178" s="23" t="str">
        <f>IFERROR(INDEX('Output Utente'!$P$2:$P$492,MATCH(175,'Output Utente'!$R$2:$R$492,0)),"")</f>
        <v/>
      </c>
      <c r="I178" s="24" t="str">
        <f>IFERROR(INDEX('Output Utente'!$F$2:$F$492,MATCH(175,'Output Utente'!$R$2:$R$492,0)),"")</f>
        <v/>
      </c>
      <c r="J178" s="24" t="str">
        <f>IFERROR(INDEX('Output Utente'!$G$2:$G$492,MATCH(175,'Output Utente'!$R$2:$R$492,0)),"")</f>
        <v/>
      </c>
      <c r="K178" s="24" t="str">
        <f>IFERROR(INDEX('Output Utente'!$H$2:$H$492,MATCH(175,'Output Utente'!$R$2:$R$492,0)),"")</f>
        <v/>
      </c>
      <c r="L178" s="23" t="str">
        <f>IFERROR(INDEX('Output Utente'!$E$2:$E$492,MATCH(175,'Output Utente'!$R$2:$R$492,0)),"")</f>
        <v/>
      </c>
      <c r="V178" t="str">
        <f>IFERROR(INDEX('Output Utente'!$M$2:$M$492,MATCH(175,'Output Utente'!$R$2:$R$492,0)),"")</f>
        <v/>
      </c>
      <c r="W178" t="str">
        <f t="shared" si="2"/>
        <v/>
      </c>
      <c r="X178" t="str">
        <f>IFERROR(INDEX('Output Utente'!$AF$2:$AF$492,MATCH(175,'Output Utente'!$R$2:$R$492,0)),"")</f>
        <v/>
      </c>
    </row>
    <row r="179" spans="1:24" ht="15" customHeight="1" x14ac:dyDescent="0.25">
      <c r="A179" s="26">
        <v>176</v>
      </c>
      <c r="B179" s="23" t="str">
        <f>IFERROR(INDEX('Output Utente'!$A$2:$A$492,MATCH(176,'Output Utente'!$R$2:$R$492,0)),"")</f>
        <v/>
      </c>
      <c r="C179" s="23" t="str">
        <f>IFERROR(INDEX('Output Utente'!$B$2:$B$492,MATCH(176,'Output Utente'!$R$2:$R$492,0)),"")</f>
        <v/>
      </c>
      <c r="D179" s="23" t="str">
        <f>IFERROR(INDEX('Output Utente'!$C$2:$C$492,MATCH(176,'Output Utente'!$R$2:$R$492,0)),"")</f>
        <v/>
      </c>
      <c r="E179" s="23" t="str">
        <f>IFERROR(INDEX('Input Giocatori 2026_27'!$D$3:$D$493,MATCH($B179,'Input Giocatori 2026_27'!$A$3:$A$493,0)),"")</f>
        <v/>
      </c>
      <c r="F179" s="24" t="str">
        <f>IFERROR(INDEX('Output Utente'!$N$2:$N$492,MATCH(176,'Output Utente'!$R$2:$R$492,0)),"")</f>
        <v/>
      </c>
      <c r="G179" s="23" t="str">
        <f>IFERROR(INDEX('Output Utente'!$O$2:$O$492,MATCH(176,'Output Utente'!$R$2:$R$492,0)),"")</f>
        <v/>
      </c>
      <c r="H179" s="23" t="str">
        <f>IFERROR(INDEX('Output Utente'!$P$2:$P$492,MATCH(176,'Output Utente'!$R$2:$R$492,0)),"")</f>
        <v/>
      </c>
      <c r="I179" s="24" t="str">
        <f>IFERROR(INDEX('Output Utente'!$F$2:$F$492,MATCH(176,'Output Utente'!$R$2:$R$492,0)),"")</f>
        <v/>
      </c>
      <c r="J179" s="24" t="str">
        <f>IFERROR(INDEX('Output Utente'!$G$2:$G$492,MATCH(176,'Output Utente'!$R$2:$R$492,0)),"")</f>
        <v/>
      </c>
      <c r="K179" s="24" t="str">
        <f>IFERROR(INDEX('Output Utente'!$H$2:$H$492,MATCH(176,'Output Utente'!$R$2:$R$492,0)),"")</f>
        <v/>
      </c>
      <c r="L179" s="23" t="str">
        <f>IFERROR(INDEX('Output Utente'!$E$2:$E$492,MATCH(176,'Output Utente'!$R$2:$R$492,0)),"")</f>
        <v/>
      </c>
      <c r="V179" t="str">
        <f>IFERROR(INDEX('Output Utente'!$M$2:$M$492,MATCH(176,'Output Utente'!$R$2:$R$492,0)),"")</f>
        <v/>
      </c>
      <c r="W179" t="str">
        <f t="shared" si="2"/>
        <v/>
      </c>
      <c r="X179" t="str">
        <f>IFERROR(INDEX('Output Utente'!$AF$2:$AF$492,MATCH(176,'Output Utente'!$R$2:$R$492,0)),"")</f>
        <v/>
      </c>
    </row>
    <row r="180" spans="1:24" ht="15" customHeight="1" x14ac:dyDescent="0.25">
      <c r="A180" s="26">
        <v>177</v>
      </c>
      <c r="B180" s="23" t="str">
        <f>IFERROR(INDEX('Output Utente'!$A$2:$A$492,MATCH(177,'Output Utente'!$R$2:$R$492,0)),"")</f>
        <v/>
      </c>
      <c r="C180" s="23" t="str">
        <f>IFERROR(INDEX('Output Utente'!$B$2:$B$492,MATCH(177,'Output Utente'!$R$2:$R$492,0)),"")</f>
        <v/>
      </c>
      <c r="D180" s="23" t="str">
        <f>IFERROR(INDEX('Output Utente'!$C$2:$C$492,MATCH(177,'Output Utente'!$R$2:$R$492,0)),"")</f>
        <v/>
      </c>
      <c r="E180" s="23" t="str">
        <f>IFERROR(INDEX('Input Giocatori 2026_27'!$D$3:$D$493,MATCH($B180,'Input Giocatori 2026_27'!$A$3:$A$493,0)),"")</f>
        <v/>
      </c>
      <c r="F180" s="24" t="str">
        <f>IFERROR(INDEX('Output Utente'!$N$2:$N$492,MATCH(177,'Output Utente'!$R$2:$R$492,0)),"")</f>
        <v/>
      </c>
      <c r="G180" s="23" t="str">
        <f>IFERROR(INDEX('Output Utente'!$O$2:$O$492,MATCH(177,'Output Utente'!$R$2:$R$492,0)),"")</f>
        <v/>
      </c>
      <c r="H180" s="23" t="str">
        <f>IFERROR(INDEX('Output Utente'!$P$2:$P$492,MATCH(177,'Output Utente'!$R$2:$R$492,0)),"")</f>
        <v/>
      </c>
      <c r="I180" s="24" t="str">
        <f>IFERROR(INDEX('Output Utente'!$F$2:$F$492,MATCH(177,'Output Utente'!$R$2:$R$492,0)),"")</f>
        <v/>
      </c>
      <c r="J180" s="24" t="str">
        <f>IFERROR(INDEX('Output Utente'!$G$2:$G$492,MATCH(177,'Output Utente'!$R$2:$R$492,0)),"")</f>
        <v/>
      </c>
      <c r="K180" s="24" t="str">
        <f>IFERROR(INDEX('Output Utente'!$H$2:$H$492,MATCH(177,'Output Utente'!$R$2:$R$492,0)),"")</f>
        <v/>
      </c>
      <c r="L180" s="23" t="str">
        <f>IFERROR(INDEX('Output Utente'!$E$2:$E$492,MATCH(177,'Output Utente'!$R$2:$R$492,0)),"")</f>
        <v/>
      </c>
      <c r="V180" t="str">
        <f>IFERROR(INDEX('Output Utente'!$M$2:$M$492,MATCH(177,'Output Utente'!$R$2:$R$492,0)),"")</f>
        <v/>
      </c>
      <c r="W180" t="str">
        <f t="shared" si="2"/>
        <v/>
      </c>
      <c r="X180" t="str">
        <f>IFERROR(INDEX('Output Utente'!$AF$2:$AF$492,MATCH(177,'Output Utente'!$R$2:$R$492,0)),"")</f>
        <v/>
      </c>
    </row>
    <row r="181" spans="1:24" ht="15" customHeight="1" x14ac:dyDescent="0.25">
      <c r="A181" s="26">
        <v>178</v>
      </c>
      <c r="B181" s="23" t="str">
        <f>IFERROR(INDEX('Output Utente'!$A$2:$A$492,MATCH(178,'Output Utente'!$R$2:$R$492,0)),"")</f>
        <v/>
      </c>
      <c r="C181" s="23" t="str">
        <f>IFERROR(INDEX('Output Utente'!$B$2:$B$492,MATCH(178,'Output Utente'!$R$2:$R$492,0)),"")</f>
        <v/>
      </c>
      <c r="D181" s="23" t="str">
        <f>IFERROR(INDEX('Output Utente'!$C$2:$C$492,MATCH(178,'Output Utente'!$R$2:$R$492,0)),"")</f>
        <v/>
      </c>
      <c r="E181" s="23" t="str">
        <f>IFERROR(INDEX('Input Giocatori 2026_27'!$D$3:$D$493,MATCH($B181,'Input Giocatori 2026_27'!$A$3:$A$493,0)),"")</f>
        <v/>
      </c>
      <c r="F181" s="24" t="str">
        <f>IFERROR(INDEX('Output Utente'!$N$2:$N$492,MATCH(178,'Output Utente'!$R$2:$R$492,0)),"")</f>
        <v/>
      </c>
      <c r="G181" s="23" t="str">
        <f>IFERROR(INDEX('Output Utente'!$O$2:$O$492,MATCH(178,'Output Utente'!$R$2:$R$492,0)),"")</f>
        <v/>
      </c>
      <c r="H181" s="23" t="str">
        <f>IFERROR(INDEX('Output Utente'!$P$2:$P$492,MATCH(178,'Output Utente'!$R$2:$R$492,0)),"")</f>
        <v/>
      </c>
      <c r="I181" s="24" t="str">
        <f>IFERROR(INDEX('Output Utente'!$F$2:$F$492,MATCH(178,'Output Utente'!$R$2:$R$492,0)),"")</f>
        <v/>
      </c>
      <c r="J181" s="24" t="str">
        <f>IFERROR(INDEX('Output Utente'!$G$2:$G$492,MATCH(178,'Output Utente'!$R$2:$R$492,0)),"")</f>
        <v/>
      </c>
      <c r="K181" s="24" t="str">
        <f>IFERROR(INDEX('Output Utente'!$H$2:$H$492,MATCH(178,'Output Utente'!$R$2:$R$492,0)),"")</f>
        <v/>
      </c>
      <c r="L181" s="23" t="str">
        <f>IFERROR(INDEX('Output Utente'!$E$2:$E$492,MATCH(178,'Output Utente'!$R$2:$R$492,0)),"")</f>
        <v/>
      </c>
      <c r="V181" t="str">
        <f>IFERROR(INDEX('Output Utente'!$M$2:$M$492,MATCH(178,'Output Utente'!$R$2:$R$492,0)),"")</f>
        <v/>
      </c>
      <c r="W181" t="str">
        <f t="shared" si="2"/>
        <v/>
      </c>
      <c r="X181" t="str">
        <f>IFERROR(INDEX('Output Utente'!$AF$2:$AF$492,MATCH(178,'Output Utente'!$R$2:$R$492,0)),"")</f>
        <v/>
      </c>
    </row>
    <row r="182" spans="1:24" ht="15" customHeight="1" x14ac:dyDescent="0.25">
      <c r="A182" s="26">
        <v>179</v>
      </c>
      <c r="B182" s="23" t="str">
        <f>IFERROR(INDEX('Output Utente'!$A$2:$A$492,MATCH(179,'Output Utente'!$R$2:$R$492,0)),"")</f>
        <v/>
      </c>
      <c r="C182" s="23" t="str">
        <f>IFERROR(INDEX('Output Utente'!$B$2:$B$492,MATCH(179,'Output Utente'!$R$2:$R$492,0)),"")</f>
        <v/>
      </c>
      <c r="D182" s="23" t="str">
        <f>IFERROR(INDEX('Output Utente'!$C$2:$C$492,MATCH(179,'Output Utente'!$R$2:$R$492,0)),"")</f>
        <v/>
      </c>
      <c r="E182" s="23" t="str">
        <f>IFERROR(INDEX('Input Giocatori 2026_27'!$D$3:$D$493,MATCH($B182,'Input Giocatori 2026_27'!$A$3:$A$493,0)),"")</f>
        <v/>
      </c>
      <c r="F182" s="24" t="str">
        <f>IFERROR(INDEX('Output Utente'!$N$2:$N$492,MATCH(179,'Output Utente'!$R$2:$R$492,0)),"")</f>
        <v/>
      </c>
      <c r="G182" s="23" t="str">
        <f>IFERROR(INDEX('Output Utente'!$O$2:$O$492,MATCH(179,'Output Utente'!$R$2:$R$492,0)),"")</f>
        <v/>
      </c>
      <c r="H182" s="23" t="str">
        <f>IFERROR(INDEX('Output Utente'!$P$2:$P$492,MATCH(179,'Output Utente'!$R$2:$R$492,0)),"")</f>
        <v/>
      </c>
      <c r="I182" s="24" t="str">
        <f>IFERROR(INDEX('Output Utente'!$F$2:$F$492,MATCH(179,'Output Utente'!$R$2:$R$492,0)),"")</f>
        <v/>
      </c>
      <c r="J182" s="24" t="str">
        <f>IFERROR(INDEX('Output Utente'!$G$2:$G$492,MATCH(179,'Output Utente'!$R$2:$R$492,0)),"")</f>
        <v/>
      </c>
      <c r="K182" s="24" t="str">
        <f>IFERROR(INDEX('Output Utente'!$H$2:$H$492,MATCH(179,'Output Utente'!$R$2:$R$492,0)),"")</f>
        <v/>
      </c>
      <c r="L182" s="23" t="str">
        <f>IFERROR(INDEX('Output Utente'!$E$2:$E$492,MATCH(179,'Output Utente'!$R$2:$R$492,0)),"")</f>
        <v/>
      </c>
      <c r="V182" t="str">
        <f>IFERROR(INDEX('Output Utente'!$M$2:$M$492,MATCH(179,'Output Utente'!$R$2:$R$492,0)),"")</f>
        <v/>
      </c>
      <c r="W182" t="str">
        <f t="shared" si="2"/>
        <v/>
      </c>
      <c r="X182" t="str">
        <f>IFERROR(INDEX('Output Utente'!$AF$2:$AF$492,MATCH(179,'Output Utente'!$R$2:$R$492,0)),"")</f>
        <v/>
      </c>
    </row>
    <row r="183" spans="1:24" ht="15" customHeight="1" x14ac:dyDescent="0.25">
      <c r="A183" s="26">
        <v>180</v>
      </c>
      <c r="B183" s="23" t="str">
        <f>IFERROR(INDEX('Output Utente'!$A$2:$A$492,MATCH(180,'Output Utente'!$R$2:$R$492,0)),"")</f>
        <v/>
      </c>
      <c r="C183" s="23" t="str">
        <f>IFERROR(INDEX('Output Utente'!$B$2:$B$492,MATCH(180,'Output Utente'!$R$2:$R$492,0)),"")</f>
        <v/>
      </c>
      <c r="D183" s="23" t="str">
        <f>IFERROR(INDEX('Output Utente'!$C$2:$C$492,MATCH(180,'Output Utente'!$R$2:$R$492,0)),"")</f>
        <v/>
      </c>
      <c r="E183" s="23" t="str">
        <f>IFERROR(INDEX('Input Giocatori 2026_27'!$D$3:$D$493,MATCH($B183,'Input Giocatori 2026_27'!$A$3:$A$493,0)),"")</f>
        <v/>
      </c>
      <c r="F183" s="24" t="str">
        <f>IFERROR(INDEX('Output Utente'!$N$2:$N$492,MATCH(180,'Output Utente'!$R$2:$R$492,0)),"")</f>
        <v/>
      </c>
      <c r="G183" s="23" t="str">
        <f>IFERROR(INDEX('Output Utente'!$O$2:$O$492,MATCH(180,'Output Utente'!$R$2:$R$492,0)),"")</f>
        <v/>
      </c>
      <c r="H183" s="23" t="str">
        <f>IFERROR(INDEX('Output Utente'!$P$2:$P$492,MATCH(180,'Output Utente'!$R$2:$R$492,0)),"")</f>
        <v/>
      </c>
      <c r="I183" s="24" t="str">
        <f>IFERROR(INDEX('Output Utente'!$F$2:$F$492,MATCH(180,'Output Utente'!$R$2:$R$492,0)),"")</f>
        <v/>
      </c>
      <c r="J183" s="24" t="str">
        <f>IFERROR(INDEX('Output Utente'!$G$2:$G$492,MATCH(180,'Output Utente'!$R$2:$R$492,0)),"")</f>
        <v/>
      </c>
      <c r="K183" s="24" t="str">
        <f>IFERROR(INDEX('Output Utente'!$H$2:$H$492,MATCH(180,'Output Utente'!$R$2:$R$492,0)),"")</f>
        <v/>
      </c>
      <c r="L183" s="23" t="str">
        <f>IFERROR(INDEX('Output Utente'!$E$2:$E$492,MATCH(180,'Output Utente'!$R$2:$R$492,0)),"")</f>
        <v/>
      </c>
      <c r="V183" t="str">
        <f>IFERROR(INDEX('Output Utente'!$M$2:$M$492,MATCH(180,'Output Utente'!$R$2:$R$492,0)),"")</f>
        <v/>
      </c>
      <c r="W183" t="str">
        <f t="shared" si="2"/>
        <v/>
      </c>
      <c r="X183" t="str">
        <f>IFERROR(INDEX('Output Utente'!$AF$2:$AF$492,MATCH(180,'Output Utente'!$R$2:$R$492,0)),"")</f>
        <v/>
      </c>
    </row>
    <row r="184" spans="1:24" ht="15" customHeight="1" x14ac:dyDescent="0.25">
      <c r="A184" s="26">
        <v>181</v>
      </c>
      <c r="B184" s="23" t="str">
        <f>IFERROR(INDEX('Output Utente'!$A$2:$A$492,MATCH(181,'Output Utente'!$R$2:$R$492,0)),"")</f>
        <v/>
      </c>
      <c r="C184" s="23" t="str">
        <f>IFERROR(INDEX('Output Utente'!$B$2:$B$492,MATCH(181,'Output Utente'!$R$2:$R$492,0)),"")</f>
        <v/>
      </c>
      <c r="D184" s="23" t="str">
        <f>IFERROR(INDEX('Output Utente'!$C$2:$C$492,MATCH(181,'Output Utente'!$R$2:$R$492,0)),"")</f>
        <v/>
      </c>
      <c r="E184" s="23" t="str">
        <f>IFERROR(INDEX('Input Giocatori 2026_27'!$D$3:$D$493,MATCH($B184,'Input Giocatori 2026_27'!$A$3:$A$493,0)),"")</f>
        <v/>
      </c>
      <c r="F184" s="24" t="str">
        <f>IFERROR(INDEX('Output Utente'!$N$2:$N$492,MATCH(181,'Output Utente'!$R$2:$R$492,0)),"")</f>
        <v/>
      </c>
      <c r="G184" s="23" t="str">
        <f>IFERROR(INDEX('Output Utente'!$O$2:$O$492,MATCH(181,'Output Utente'!$R$2:$R$492,0)),"")</f>
        <v/>
      </c>
      <c r="H184" s="23" t="str">
        <f>IFERROR(INDEX('Output Utente'!$P$2:$P$492,MATCH(181,'Output Utente'!$R$2:$R$492,0)),"")</f>
        <v/>
      </c>
      <c r="I184" s="24" t="str">
        <f>IFERROR(INDEX('Output Utente'!$F$2:$F$492,MATCH(181,'Output Utente'!$R$2:$R$492,0)),"")</f>
        <v/>
      </c>
      <c r="J184" s="24" t="str">
        <f>IFERROR(INDEX('Output Utente'!$G$2:$G$492,MATCH(181,'Output Utente'!$R$2:$R$492,0)),"")</f>
        <v/>
      </c>
      <c r="K184" s="24" t="str">
        <f>IFERROR(INDEX('Output Utente'!$H$2:$H$492,MATCH(181,'Output Utente'!$R$2:$R$492,0)),"")</f>
        <v/>
      </c>
      <c r="L184" s="23" t="str">
        <f>IFERROR(INDEX('Output Utente'!$E$2:$E$492,MATCH(181,'Output Utente'!$R$2:$R$492,0)),"")</f>
        <v/>
      </c>
      <c r="V184" t="str">
        <f>IFERROR(INDEX('Output Utente'!$M$2:$M$492,MATCH(181,'Output Utente'!$R$2:$R$492,0)),"")</f>
        <v/>
      </c>
      <c r="W184" t="str">
        <f t="shared" si="2"/>
        <v/>
      </c>
      <c r="X184" t="str">
        <f>IFERROR(INDEX('Output Utente'!$AF$2:$AF$492,MATCH(181,'Output Utente'!$R$2:$R$492,0)),"")</f>
        <v/>
      </c>
    </row>
    <row r="185" spans="1:24" ht="15" customHeight="1" x14ac:dyDescent="0.25">
      <c r="A185" s="26">
        <v>182</v>
      </c>
      <c r="B185" s="23" t="str">
        <f>IFERROR(INDEX('Output Utente'!$A$2:$A$492,MATCH(182,'Output Utente'!$R$2:$R$492,0)),"")</f>
        <v/>
      </c>
      <c r="C185" s="23" t="str">
        <f>IFERROR(INDEX('Output Utente'!$B$2:$B$492,MATCH(182,'Output Utente'!$R$2:$R$492,0)),"")</f>
        <v/>
      </c>
      <c r="D185" s="23" t="str">
        <f>IFERROR(INDEX('Output Utente'!$C$2:$C$492,MATCH(182,'Output Utente'!$R$2:$R$492,0)),"")</f>
        <v/>
      </c>
      <c r="E185" s="23" t="str">
        <f>IFERROR(INDEX('Input Giocatori 2026_27'!$D$3:$D$493,MATCH($B185,'Input Giocatori 2026_27'!$A$3:$A$493,0)),"")</f>
        <v/>
      </c>
      <c r="F185" s="24" t="str">
        <f>IFERROR(INDEX('Output Utente'!$N$2:$N$492,MATCH(182,'Output Utente'!$R$2:$R$492,0)),"")</f>
        <v/>
      </c>
      <c r="G185" s="23" t="str">
        <f>IFERROR(INDEX('Output Utente'!$O$2:$O$492,MATCH(182,'Output Utente'!$R$2:$R$492,0)),"")</f>
        <v/>
      </c>
      <c r="H185" s="23" t="str">
        <f>IFERROR(INDEX('Output Utente'!$P$2:$P$492,MATCH(182,'Output Utente'!$R$2:$R$492,0)),"")</f>
        <v/>
      </c>
      <c r="I185" s="24" t="str">
        <f>IFERROR(INDEX('Output Utente'!$F$2:$F$492,MATCH(182,'Output Utente'!$R$2:$R$492,0)),"")</f>
        <v/>
      </c>
      <c r="J185" s="24" t="str">
        <f>IFERROR(INDEX('Output Utente'!$G$2:$G$492,MATCH(182,'Output Utente'!$R$2:$R$492,0)),"")</f>
        <v/>
      </c>
      <c r="K185" s="24" t="str">
        <f>IFERROR(INDEX('Output Utente'!$H$2:$H$492,MATCH(182,'Output Utente'!$R$2:$R$492,0)),"")</f>
        <v/>
      </c>
      <c r="L185" s="23" t="str">
        <f>IFERROR(INDEX('Output Utente'!$E$2:$E$492,MATCH(182,'Output Utente'!$R$2:$R$492,0)),"")</f>
        <v/>
      </c>
      <c r="V185" t="str">
        <f>IFERROR(INDEX('Output Utente'!$M$2:$M$492,MATCH(182,'Output Utente'!$R$2:$R$492,0)),"")</f>
        <v/>
      </c>
      <c r="W185" t="str">
        <f t="shared" si="2"/>
        <v/>
      </c>
      <c r="X185" t="str">
        <f>IFERROR(INDEX('Output Utente'!$AF$2:$AF$492,MATCH(182,'Output Utente'!$R$2:$R$492,0)),"")</f>
        <v/>
      </c>
    </row>
    <row r="186" spans="1:24" ht="15" customHeight="1" x14ac:dyDescent="0.25">
      <c r="A186" s="26">
        <v>183</v>
      </c>
      <c r="B186" s="23" t="str">
        <f>IFERROR(INDEX('Output Utente'!$A$2:$A$492,MATCH(183,'Output Utente'!$R$2:$R$492,0)),"")</f>
        <v/>
      </c>
      <c r="C186" s="23" t="str">
        <f>IFERROR(INDEX('Output Utente'!$B$2:$B$492,MATCH(183,'Output Utente'!$R$2:$R$492,0)),"")</f>
        <v/>
      </c>
      <c r="D186" s="23" t="str">
        <f>IFERROR(INDEX('Output Utente'!$C$2:$C$492,MATCH(183,'Output Utente'!$R$2:$R$492,0)),"")</f>
        <v/>
      </c>
      <c r="E186" s="23" t="str">
        <f>IFERROR(INDEX('Input Giocatori 2026_27'!$D$3:$D$493,MATCH($B186,'Input Giocatori 2026_27'!$A$3:$A$493,0)),"")</f>
        <v/>
      </c>
      <c r="F186" s="24" t="str">
        <f>IFERROR(INDEX('Output Utente'!$N$2:$N$492,MATCH(183,'Output Utente'!$R$2:$R$492,0)),"")</f>
        <v/>
      </c>
      <c r="G186" s="23" t="str">
        <f>IFERROR(INDEX('Output Utente'!$O$2:$O$492,MATCH(183,'Output Utente'!$R$2:$R$492,0)),"")</f>
        <v/>
      </c>
      <c r="H186" s="23" t="str">
        <f>IFERROR(INDEX('Output Utente'!$P$2:$P$492,MATCH(183,'Output Utente'!$R$2:$R$492,0)),"")</f>
        <v/>
      </c>
      <c r="I186" s="24" t="str">
        <f>IFERROR(INDEX('Output Utente'!$F$2:$F$492,MATCH(183,'Output Utente'!$R$2:$R$492,0)),"")</f>
        <v/>
      </c>
      <c r="J186" s="24" t="str">
        <f>IFERROR(INDEX('Output Utente'!$G$2:$G$492,MATCH(183,'Output Utente'!$R$2:$R$492,0)),"")</f>
        <v/>
      </c>
      <c r="K186" s="24" t="str">
        <f>IFERROR(INDEX('Output Utente'!$H$2:$H$492,MATCH(183,'Output Utente'!$R$2:$R$492,0)),"")</f>
        <v/>
      </c>
      <c r="L186" s="23" t="str">
        <f>IFERROR(INDEX('Output Utente'!$E$2:$E$492,MATCH(183,'Output Utente'!$R$2:$R$492,0)),"")</f>
        <v/>
      </c>
      <c r="V186" t="str">
        <f>IFERROR(INDEX('Output Utente'!$M$2:$M$492,MATCH(183,'Output Utente'!$R$2:$R$492,0)),"")</f>
        <v/>
      </c>
      <c r="W186" t="str">
        <f t="shared" si="2"/>
        <v/>
      </c>
      <c r="X186" t="str">
        <f>IFERROR(INDEX('Output Utente'!$AF$2:$AF$492,MATCH(183,'Output Utente'!$R$2:$R$492,0)),"")</f>
        <v/>
      </c>
    </row>
    <row r="187" spans="1:24" ht="15" customHeight="1" x14ac:dyDescent="0.25">
      <c r="A187" s="26">
        <v>184</v>
      </c>
      <c r="B187" s="23" t="str">
        <f>IFERROR(INDEX('Output Utente'!$A$2:$A$492,MATCH(184,'Output Utente'!$R$2:$R$492,0)),"")</f>
        <v/>
      </c>
      <c r="C187" s="23" t="str">
        <f>IFERROR(INDEX('Output Utente'!$B$2:$B$492,MATCH(184,'Output Utente'!$R$2:$R$492,0)),"")</f>
        <v/>
      </c>
      <c r="D187" s="23" t="str">
        <f>IFERROR(INDEX('Output Utente'!$C$2:$C$492,MATCH(184,'Output Utente'!$R$2:$R$492,0)),"")</f>
        <v/>
      </c>
      <c r="E187" s="23" t="str">
        <f>IFERROR(INDEX('Input Giocatori 2026_27'!$D$3:$D$493,MATCH($B187,'Input Giocatori 2026_27'!$A$3:$A$493,0)),"")</f>
        <v/>
      </c>
      <c r="F187" s="24" t="str">
        <f>IFERROR(INDEX('Output Utente'!$N$2:$N$492,MATCH(184,'Output Utente'!$R$2:$R$492,0)),"")</f>
        <v/>
      </c>
      <c r="G187" s="23" t="str">
        <f>IFERROR(INDEX('Output Utente'!$O$2:$O$492,MATCH(184,'Output Utente'!$R$2:$R$492,0)),"")</f>
        <v/>
      </c>
      <c r="H187" s="23" t="str">
        <f>IFERROR(INDEX('Output Utente'!$P$2:$P$492,MATCH(184,'Output Utente'!$R$2:$R$492,0)),"")</f>
        <v/>
      </c>
      <c r="I187" s="24" t="str">
        <f>IFERROR(INDEX('Output Utente'!$F$2:$F$492,MATCH(184,'Output Utente'!$R$2:$R$492,0)),"")</f>
        <v/>
      </c>
      <c r="J187" s="24" t="str">
        <f>IFERROR(INDEX('Output Utente'!$G$2:$G$492,MATCH(184,'Output Utente'!$R$2:$R$492,0)),"")</f>
        <v/>
      </c>
      <c r="K187" s="24" t="str">
        <f>IFERROR(INDEX('Output Utente'!$H$2:$H$492,MATCH(184,'Output Utente'!$R$2:$R$492,0)),"")</f>
        <v/>
      </c>
      <c r="L187" s="23" t="str">
        <f>IFERROR(INDEX('Output Utente'!$E$2:$E$492,MATCH(184,'Output Utente'!$R$2:$R$492,0)),"")</f>
        <v/>
      </c>
      <c r="V187" t="str">
        <f>IFERROR(INDEX('Output Utente'!$M$2:$M$492,MATCH(184,'Output Utente'!$R$2:$R$492,0)),"")</f>
        <v/>
      </c>
      <c r="W187" t="str">
        <f t="shared" si="2"/>
        <v/>
      </c>
      <c r="X187" t="str">
        <f>IFERROR(INDEX('Output Utente'!$AF$2:$AF$492,MATCH(184,'Output Utente'!$R$2:$R$492,0)),"")</f>
        <v/>
      </c>
    </row>
    <row r="188" spans="1:24" ht="15" customHeight="1" x14ac:dyDescent="0.25">
      <c r="A188" s="26">
        <v>185</v>
      </c>
      <c r="B188" s="23" t="str">
        <f>IFERROR(INDEX('Output Utente'!$A$2:$A$492,MATCH(185,'Output Utente'!$R$2:$R$492,0)),"")</f>
        <v/>
      </c>
      <c r="C188" s="23" t="str">
        <f>IFERROR(INDEX('Output Utente'!$B$2:$B$492,MATCH(185,'Output Utente'!$R$2:$R$492,0)),"")</f>
        <v/>
      </c>
      <c r="D188" s="23" t="str">
        <f>IFERROR(INDEX('Output Utente'!$C$2:$C$492,MATCH(185,'Output Utente'!$R$2:$R$492,0)),"")</f>
        <v/>
      </c>
      <c r="E188" s="23" t="str">
        <f>IFERROR(INDEX('Input Giocatori 2026_27'!$D$3:$D$493,MATCH($B188,'Input Giocatori 2026_27'!$A$3:$A$493,0)),"")</f>
        <v/>
      </c>
      <c r="F188" s="24" t="str">
        <f>IFERROR(INDEX('Output Utente'!$N$2:$N$492,MATCH(185,'Output Utente'!$R$2:$R$492,0)),"")</f>
        <v/>
      </c>
      <c r="G188" s="23" t="str">
        <f>IFERROR(INDEX('Output Utente'!$O$2:$O$492,MATCH(185,'Output Utente'!$R$2:$R$492,0)),"")</f>
        <v/>
      </c>
      <c r="H188" s="23" t="str">
        <f>IFERROR(INDEX('Output Utente'!$P$2:$P$492,MATCH(185,'Output Utente'!$R$2:$R$492,0)),"")</f>
        <v/>
      </c>
      <c r="I188" s="24" t="str">
        <f>IFERROR(INDEX('Output Utente'!$F$2:$F$492,MATCH(185,'Output Utente'!$R$2:$R$492,0)),"")</f>
        <v/>
      </c>
      <c r="J188" s="24" t="str">
        <f>IFERROR(INDEX('Output Utente'!$G$2:$G$492,MATCH(185,'Output Utente'!$R$2:$R$492,0)),"")</f>
        <v/>
      </c>
      <c r="K188" s="24" t="str">
        <f>IFERROR(INDEX('Output Utente'!$H$2:$H$492,MATCH(185,'Output Utente'!$R$2:$R$492,0)),"")</f>
        <v/>
      </c>
      <c r="L188" s="23" t="str">
        <f>IFERROR(INDEX('Output Utente'!$E$2:$E$492,MATCH(185,'Output Utente'!$R$2:$R$492,0)),"")</f>
        <v/>
      </c>
      <c r="V188" t="str">
        <f>IFERROR(INDEX('Output Utente'!$M$2:$M$492,MATCH(185,'Output Utente'!$R$2:$R$492,0)),"")</f>
        <v/>
      </c>
      <c r="W188" t="str">
        <f t="shared" si="2"/>
        <v/>
      </c>
      <c r="X188" t="str">
        <f>IFERROR(INDEX('Output Utente'!$AF$2:$AF$492,MATCH(185,'Output Utente'!$R$2:$R$492,0)),"")</f>
        <v/>
      </c>
    </row>
    <row r="189" spans="1:24" ht="15" customHeight="1" x14ac:dyDescent="0.25">
      <c r="A189" s="26">
        <v>186</v>
      </c>
      <c r="B189" s="23" t="str">
        <f>IFERROR(INDEX('Output Utente'!$A$2:$A$492,MATCH(186,'Output Utente'!$R$2:$R$492,0)),"")</f>
        <v/>
      </c>
      <c r="C189" s="23" t="str">
        <f>IFERROR(INDEX('Output Utente'!$B$2:$B$492,MATCH(186,'Output Utente'!$R$2:$R$492,0)),"")</f>
        <v/>
      </c>
      <c r="D189" s="23" t="str">
        <f>IFERROR(INDEX('Output Utente'!$C$2:$C$492,MATCH(186,'Output Utente'!$R$2:$R$492,0)),"")</f>
        <v/>
      </c>
      <c r="E189" s="23" t="str">
        <f>IFERROR(INDEX('Input Giocatori 2026_27'!$D$3:$D$493,MATCH($B189,'Input Giocatori 2026_27'!$A$3:$A$493,0)),"")</f>
        <v/>
      </c>
      <c r="F189" s="24" t="str">
        <f>IFERROR(INDEX('Output Utente'!$N$2:$N$492,MATCH(186,'Output Utente'!$R$2:$R$492,0)),"")</f>
        <v/>
      </c>
      <c r="G189" s="23" t="str">
        <f>IFERROR(INDEX('Output Utente'!$O$2:$O$492,MATCH(186,'Output Utente'!$R$2:$R$492,0)),"")</f>
        <v/>
      </c>
      <c r="H189" s="23" t="str">
        <f>IFERROR(INDEX('Output Utente'!$P$2:$P$492,MATCH(186,'Output Utente'!$R$2:$R$492,0)),"")</f>
        <v/>
      </c>
      <c r="I189" s="24" t="str">
        <f>IFERROR(INDEX('Output Utente'!$F$2:$F$492,MATCH(186,'Output Utente'!$R$2:$R$492,0)),"")</f>
        <v/>
      </c>
      <c r="J189" s="24" t="str">
        <f>IFERROR(INDEX('Output Utente'!$G$2:$G$492,MATCH(186,'Output Utente'!$R$2:$R$492,0)),"")</f>
        <v/>
      </c>
      <c r="K189" s="24" t="str">
        <f>IFERROR(INDEX('Output Utente'!$H$2:$H$492,MATCH(186,'Output Utente'!$R$2:$R$492,0)),"")</f>
        <v/>
      </c>
      <c r="L189" s="23" t="str">
        <f>IFERROR(INDEX('Output Utente'!$E$2:$E$492,MATCH(186,'Output Utente'!$R$2:$R$492,0)),"")</f>
        <v/>
      </c>
      <c r="V189" t="str">
        <f>IFERROR(INDEX('Output Utente'!$M$2:$M$492,MATCH(186,'Output Utente'!$R$2:$R$492,0)),"")</f>
        <v/>
      </c>
      <c r="W189" t="str">
        <f t="shared" si="2"/>
        <v/>
      </c>
      <c r="X189" t="str">
        <f>IFERROR(INDEX('Output Utente'!$AF$2:$AF$492,MATCH(186,'Output Utente'!$R$2:$R$492,0)),"")</f>
        <v/>
      </c>
    </row>
    <row r="190" spans="1:24" ht="15" customHeight="1" x14ac:dyDescent="0.25">
      <c r="A190" s="26">
        <v>187</v>
      </c>
      <c r="B190" s="23" t="str">
        <f>IFERROR(INDEX('Output Utente'!$A$2:$A$492,MATCH(187,'Output Utente'!$R$2:$R$492,0)),"")</f>
        <v/>
      </c>
      <c r="C190" s="23" t="str">
        <f>IFERROR(INDEX('Output Utente'!$B$2:$B$492,MATCH(187,'Output Utente'!$R$2:$R$492,0)),"")</f>
        <v/>
      </c>
      <c r="D190" s="23" t="str">
        <f>IFERROR(INDEX('Output Utente'!$C$2:$C$492,MATCH(187,'Output Utente'!$R$2:$R$492,0)),"")</f>
        <v/>
      </c>
      <c r="E190" s="23" t="str">
        <f>IFERROR(INDEX('Input Giocatori 2026_27'!$D$3:$D$493,MATCH($B190,'Input Giocatori 2026_27'!$A$3:$A$493,0)),"")</f>
        <v/>
      </c>
      <c r="F190" s="24" t="str">
        <f>IFERROR(INDEX('Output Utente'!$N$2:$N$492,MATCH(187,'Output Utente'!$R$2:$R$492,0)),"")</f>
        <v/>
      </c>
      <c r="G190" s="23" t="str">
        <f>IFERROR(INDEX('Output Utente'!$O$2:$O$492,MATCH(187,'Output Utente'!$R$2:$R$492,0)),"")</f>
        <v/>
      </c>
      <c r="H190" s="23" t="str">
        <f>IFERROR(INDEX('Output Utente'!$P$2:$P$492,MATCH(187,'Output Utente'!$R$2:$R$492,0)),"")</f>
        <v/>
      </c>
      <c r="I190" s="24" t="str">
        <f>IFERROR(INDEX('Output Utente'!$F$2:$F$492,MATCH(187,'Output Utente'!$R$2:$R$492,0)),"")</f>
        <v/>
      </c>
      <c r="J190" s="24" t="str">
        <f>IFERROR(INDEX('Output Utente'!$G$2:$G$492,MATCH(187,'Output Utente'!$R$2:$R$492,0)),"")</f>
        <v/>
      </c>
      <c r="K190" s="24" t="str">
        <f>IFERROR(INDEX('Output Utente'!$H$2:$H$492,MATCH(187,'Output Utente'!$R$2:$R$492,0)),"")</f>
        <v/>
      </c>
      <c r="L190" s="23" t="str">
        <f>IFERROR(INDEX('Output Utente'!$E$2:$E$492,MATCH(187,'Output Utente'!$R$2:$R$492,0)),"")</f>
        <v/>
      </c>
      <c r="V190" t="str">
        <f>IFERROR(INDEX('Output Utente'!$M$2:$M$492,MATCH(187,'Output Utente'!$R$2:$R$492,0)),"")</f>
        <v/>
      </c>
      <c r="W190" t="str">
        <f t="shared" si="2"/>
        <v/>
      </c>
      <c r="X190" t="str">
        <f>IFERROR(INDEX('Output Utente'!$AF$2:$AF$492,MATCH(187,'Output Utente'!$R$2:$R$492,0)),"")</f>
        <v/>
      </c>
    </row>
    <row r="191" spans="1:24" ht="15" customHeight="1" x14ac:dyDescent="0.25">
      <c r="A191" s="26">
        <v>188</v>
      </c>
      <c r="B191" s="23" t="str">
        <f>IFERROR(INDEX('Output Utente'!$A$2:$A$492,MATCH(188,'Output Utente'!$R$2:$R$492,0)),"")</f>
        <v/>
      </c>
      <c r="C191" s="23" t="str">
        <f>IFERROR(INDEX('Output Utente'!$B$2:$B$492,MATCH(188,'Output Utente'!$R$2:$R$492,0)),"")</f>
        <v/>
      </c>
      <c r="D191" s="23" t="str">
        <f>IFERROR(INDEX('Output Utente'!$C$2:$C$492,MATCH(188,'Output Utente'!$R$2:$R$492,0)),"")</f>
        <v/>
      </c>
      <c r="E191" s="23" t="str">
        <f>IFERROR(INDEX('Input Giocatori 2026_27'!$D$3:$D$493,MATCH($B191,'Input Giocatori 2026_27'!$A$3:$A$493,0)),"")</f>
        <v/>
      </c>
      <c r="F191" s="24" t="str">
        <f>IFERROR(INDEX('Output Utente'!$N$2:$N$492,MATCH(188,'Output Utente'!$R$2:$R$492,0)),"")</f>
        <v/>
      </c>
      <c r="G191" s="23" t="str">
        <f>IFERROR(INDEX('Output Utente'!$O$2:$O$492,MATCH(188,'Output Utente'!$R$2:$R$492,0)),"")</f>
        <v/>
      </c>
      <c r="H191" s="23" t="str">
        <f>IFERROR(INDEX('Output Utente'!$P$2:$P$492,MATCH(188,'Output Utente'!$R$2:$R$492,0)),"")</f>
        <v/>
      </c>
      <c r="I191" s="24" t="str">
        <f>IFERROR(INDEX('Output Utente'!$F$2:$F$492,MATCH(188,'Output Utente'!$R$2:$R$492,0)),"")</f>
        <v/>
      </c>
      <c r="J191" s="24" t="str">
        <f>IFERROR(INDEX('Output Utente'!$G$2:$G$492,MATCH(188,'Output Utente'!$R$2:$R$492,0)),"")</f>
        <v/>
      </c>
      <c r="K191" s="24" t="str">
        <f>IFERROR(INDEX('Output Utente'!$H$2:$H$492,MATCH(188,'Output Utente'!$R$2:$R$492,0)),"")</f>
        <v/>
      </c>
      <c r="L191" s="23" t="str">
        <f>IFERROR(INDEX('Output Utente'!$E$2:$E$492,MATCH(188,'Output Utente'!$R$2:$R$492,0)),"")</f>
        <v/>
      </c>
      <c r="V191" t="str">
        <f>IFERROR(INDEX('Output Utente'!$M$2:$M$492,MATCH(188,'Output Utente'!$R$2:$R$492,0)),"")</f>
        <v/>
      </c>
      <c r="W191" t="str">
        <f t="shared" si="2"/>
        <v/>
      </c>
      <c r="X191" t="str">
        <f>IFERROR(INDEX('Output Utente'!$AF$2:$AF$492,MATCH(188,'Output Utente'!$R$2:$R$492,0)),"")</f>
        <v/>
      </c>
    </row>
    <row r="192" spans="1:24" ht="15" customHeight="1" x14ac:dyDescent="0.25">
      <c r="A192" s="26">
        <v>189</v>
      </c>
      <c r="B192" s="23" t="str">
        <f>IFERROR(INDEX('Output Utente'!$A$2:$A$492,MATCH(189,'Output Utente'!$R$2:$R$492,0)),"")</f>
        <v/>
      </c>
      <c r="C192" s="23" t="str">
        <f>IFERROR(INDEX('Output Utente'!$B$2:$B$492,MATCH(189,'Output Utente'!$R$2:$R$492,0)),"")</f>
        <v/>
      </c>
      <c r="D192" s="23" t="str">
        <f>IFERROR(INDEX('Output Utente'!$C$2:$C$492,MATCH(189,'Output Utente'!$R$2:$R$492,0)),"")</f>
        <v/>
      </c>
      <c r="E192" s="23" t="str">
        <f>IFERROR(INDEX('Input Giocatori 2026_27'!$D$3:$D$493,MATCH($B192,'Input Giocatori 2026_27'!$A$3:$A$493,0)),"")</f>
        <v/>
      </c>
      <c r="F192" s="24" t="str">
        <f>IFERROR(INDEX('Output Utente'!$N$2:$N$492,MATCH(189,'Output Utente'!$R$2:$R$492,0)),"")</f>
        <v/>
      </c>
      <c r="G192" s="23" t="str">
        <f>IFERROR(INDEX('Output Utente'!$O$2:$O$492,MATCH(189,'Output Utente'!$R$2:$R$492,0)),"")</f>
        <v/>
      </c>
      <c r="H192" s="23" t="str">
        <f>IFERROR(INDEX('Output Utente'!$P$2:$P$492,MATCH(189,'Output Utente'!$R$2:$R$492,0)),"")</f>
        <v/>
      </c>
      <c r="I192" s="24" t="str">
        <f>IFERROR(INDEX('Output Utente'!$F$2:$F$492,MATCH(189,'Output Utente'!$R$2:$R$492,0)),"")</f>
        <v/>
      </c>
      <c r="J192" s="24" t="str">
        <f>IFERROR(INDEX('Output Utente'!$G$2:$G$492,MATCH(189,'Output Utente'!$R$2:$R$492,0)),"")</f>
        <v/>
      </c>
      <c r="K192" s="24" t="str">
        <f>IFERROR(INDEX('Output Utente'!$H$2:$H$492,MATCH(189,'Output Utente'!$R$2:$R$492,0)),"")</f>
        <v/>
      </c>
      <c r="L192" s="23" t="str">
        <f>IFERROR(INDEX('Output Utente'!$E$2:$E$492,MATCH(189,'Output Utente'!$R$2:$R$492,0)),"")</f>
        <v/>
      </c>
      <c r="V192" t="str">
        <f>IFERROR(INDEX('Output Utente'!$M$2:$M$492,MATCH(189,'Output Utente'!$R$2:$R$492,0)),"")</f>
        <v/>
      </c>
      <c r="W192" t="str">
        <f t="shared" si="2"/>
        <v/>
      </c>
      <c r="X192" t="str">
        <f>IFERROR(INDEX('Output Utente'!$AF$2:$AF$492,MATCH(189,'Output Utente'!$R$2:$R$492,0)),"")</f>
        <v/>
      </c>
    </row>
    <row r="193" spans="1:24" ht="15" customHeight="1" x14ac:dyDescent="0.25">
      <c r="A193" s="26">
        <v>190</v>
      </c>
      <c r="B193" s="23" t="str">
        <f>IFERROR(INDEX('Output Utente'!$A$2:$A$492,MATCH(190,'Output Utente'!$R$2:$R$492,0)),"")</f>
        <v/>
      </c>
      <c r="C193" s="23" t="str">
        <f>IFERROR(INDEX('Output Utente'!$B$2:$B$492,MATCH(190,'Output Utente'!$R$2:$R$492,0)),"")</f>
        <v/>
      </c>
      <c r="D193" s="23" t="str">
        <f>IFERROR(INDEX('Output Utente'!$C$2:$C$492,MATCH(190,'Output Utente'!$R$2:$R$492,0)),"")</f>
        <v/>
      </c>
      <c r="E193" s="23" t="str">
        <f>IFERROR(INDEX('Input Giocatori 2026_27'!$D$3:$D$493,MATCH($B193,'Input Giocatori 2026_27'!$A$3:$A$493,0)),"")</f>
        <v/>
      </c>
      <c r="F193" s="24" t="str">
        <f>IFERROR(INDEX('Output Utente'!$N$2:$N$492,MATCH(190,'Output Utente'!$R$2:$R$492,0)),"")</f>
        <v/>
      </c>
      <c r="G193" s="23" t="str">
        <f>IFERROR(INDEX('Output Utente'!$O$2:$O$492,MATCH(190,'Output Utente'!$R$2:$R$492,0)),"")</f>
        <v/>
      </c>
      <c r="H193" s="23" t="str">
        <f>IFERROR(INDEX('Output Utente'!$P$2:$P$492,MATCH(190,'Output Utente'!$R$2:$R$492,0)),"")</f>
        <v/>
      </c>
      <c r="I193" s="24" t="str">
        <f>IFERROR(INDEX('Output Utente'!$F$2:$F$492,MATCH(190,'Output Utente'!$R$2:$R$492,0)),"")</f>
        <v/>
      </c>
      <c r="J193" s="24" t="str">
        <f>IFERROR(INDEX('Output Utente'!$G$2:$G$492,MATCH(190,'Output Utente'!$R$2:$R$492,0)),"")</f>
        <v/>
      </c>
      <c r="K193" s="24" t="str">
        <f>IFERROR(INDEX('Output Utente'!$H$2:$H$492,MATCH(190,'Output Utente'!$R$2:$R$492,0)),"")</f>
        <v/>
      </c>
      <c r="L193" s="23" t="str">
        <f>IFERROR(INDEX('Output Utente'!$E$2:$E$492,MATCH(190,'Output Utente'!$R$2:$R$492,0)),"")</f>
        <v/>
      </c>
      <c r="V193" t="str">
        <f>IFERROR(INDEX('Output Utente'!$M$2:$M$492,MATCH(190,'Output Utente'!$R$2:$R$492,0)),"")</f>
        <v/>
      </c>
      <c r="W193" t="str">
        <f t="shared" si="2"/>
        <v/>
      </c>
      <c r="X193" t="str">
        <f>IFERROR(INDEX('Output Utente'!$AF$2:$AF$492,MATCH(190,'Output Utente'!$R$2:$R$492,0)),"")</f>
        <v/>
      </c>
    </row>
    <row r="194" spans="1:24" ht="15" customHeight="1" x14ac:dyDescent="0.25">
      <c r="A194" s="26">
        <v>191</v>
      </c>
      <c r="B194" s="23" t="str">
        <f>IFERROR(INDEX('Output Utente'!$A$2:$A$492,MATCH(191,'Output Utente'!$R$2:$R$492,0)),"")</f>
        <v/>
      </c>
      <c r="C194" s="23" t="str">
        <f>IFERROR(INDEX('Output Utente'!$B$2:$B$492,MATCH(191,'Output Utente'!$R$2:$R$492,0)),"")</f>
        <v/>
      </c>
      <c r="D194" s="23" t="str">
        <f>IFERROR(INDEX('Output Utente'!$C$2:$C$492,MATCH(191,'Output Utente'!$R$2:$R$492,0)),"")</f>
        <v/>
      </c>
      <c r="E194" s="23" t="str">
        <f>IFERROR(INDEX('Input Giocatori 2026_27'!$D$3:$D$493,MATCH($B194,'Input Giocatori 2026_27'!$A$3:$A$493,0)),"")</f>
        <v/>
      </c>
      <c r="F194" s="24" t="str">
        <f>IFERROR(INDEX('Output Utente'!$N$2:$N$492,MATCH(191,'Output Utente'!$R$2:$R$492,0)),"")</f>
        <v/>
      </c>
      <c r="G194" s="23" t="str">
        <f>IFERROR(INDEX('Output Utente'!$O$2:$O$492,MATCH(191,'Output Utente'!$R$2:$R$492,0)),"")</f>
        <v/>
      </c>
      <c r="H194" s="23" t="str">
        <f>IFERROR(INDEX('Output Utente'!$P$2:$P$492,MATCH(191,'Output Utente'!$R$2:$R$492,0)),"")</f>
        <v/>
      </c>
      <c r="I194" s="24" t="str">
        <f>IFERROR(INDEX('Output Utente'!$F$2:$F$492,MATCH(191,'Output Utente'!$R$2:$R$492,0)),"")</f>
        <v/>
      </c>
      <c r="J194" s="24" t="str">
        <f>IFERROR(INDEX('Output Utente'!$G$2:$G$492,MATCH(191,'Output Utente'!$R$2:$R$492,0)),"")</f>
        <v/>
      </c>
      <c r="K194" s="24" t="str">
        <f>IFERROR(INDEX('Output Utente'!$H$2:$H$492,MATCH(191,'Output Utente'!$R$2:$R$492,0)),"")</f>
        <v/>
      </c>
      <c r="L194" s="23" t="str">
        <f>IFERROR(INDEX('Output Utente'!$E$2:$E$492,MATCH(191,'Output Utente'!$R$2:$R$492,0)),"")</f>
        <v/>
      </c>
      <c r="V194" t="str">
        <f>IFERROR(INDEX('Output Utente'!$M$2:$M$492,MATCH(191,'Output Utente'!$R$2:$R$492,0)),"")</f>
        <v/>
      </c>
      <c r="W194" t="str">
        <f t="shared" si="2"/>
        <v/>
      </c>
      <c r="X194" t="str">
        <f>IFERROR(INDEX('Output Utente'!$AF$2:$AF$492,MATCH(191,'Output Utente'!$R$2:$R$492,0)),"")</f>
        <v/>
      </c>
    </row>
    <row r="195" spans="1:24" ht="15" customHeight="1" x14ac:dyDescent="0.25">
      <c r="A195" s="26">
        <v>192</v>
      </c>
      <c r="B195" s="23" t="str">
        <f>IFERROR(INDEX('Output Utente'!$A$2:$A$492,MATCH(192,'Output Utente'!$R$2:$R$492,0)),"")</f>
        <v/>
      </c>
      <c r="C195" s="23" t="str">
        <f>IFERROR(INDEX('Output Utente'!$B$2:$B$492,MATCH(192,'Output Utente'!$R$2:$R$492,0)),"")</f>
        <v/>
      </c>
      <c r="D195" s="23" t="str">
        <f>IFERROR(INDEX('Output Utente'!$C$2:$C$492,MATCH(192,'Output Utente'!$R$2:$R$492,0)),"")</f>
        <v/>
      </c>
      <c r="E195" s="23" t="str">
        <f>IFERROR(INDEX('Input Giocatori 2026_27'!$D$3:$D$493,MATCH($B195,'Input Giocatori 2026_27'!$A$3:$A$493,0)),"")</f>
        <v/>
      </c>
      <c r="F195" s="24" t="str">
        <f>IFERROR(INDEX('Output Utente'!$N$2:$N$492,MATCH(192,'Output Utente'!$R$2:$R$492,0)),"")</f>
        <v/>
      </c>
      <c r="G195" s="23" t="str">
        <f>IFERROR(INDEX('Output Utente'!$O$2:$O$492,MATCH(192,'Output Utente'!$R$2:$R$492,0)),"")</f>
        <v/>
      </c>
      <c r="H195" s="23" t="str">
        <f>IFERROR(INDEX('Output Utente'!$P$2:$P$492,MATCH(192,'Output Utente'!$R$2:$R$492,0)),"")</f>
        <v/>
      </c>
      <c r="I195" s="24" t="str">
        <f>IFERROR(INDEX('Output Utente'!$F$2:$F$492,MATCH(192,'Output Utente'!$R$2:$R$492,0)),"")</f>
        <v/>
      </c>
      <c r="J195" s="24" t="str">
        <f>IFERROR(INDEX('Output Utente'!$G$2:$G$492,MATCH(192,'Output Utente'!$R$2:$R$492,0)),"")</f>
        <v/>
      </c>
      <c r="K195" s="24" t="str">
        <f>IFERROR(INDEX('Output Utente'!$H$2:$H$492,MATCH(192,'Output Utente'!$R$2:$R$492,0)),"")</f>
        <v/>
      </c>
      <c r="L195" s="23" t="str">
        <f>IFERROR(INDEX('Output Utente'!$E$2:$E$492,MATCH(192,'Output Utente'!$R$2:$R$492,0)),"")</f>
        <v/>
      </c>
      <c r="V195" t="str">
        <f>IFERROR(INDEX('Output Utente'!$M$2:$M$492,MATCH(192,'Output Utente'!$R$2:$R$492,0)),"")</f>
        <v/>
      </c>
      <c r="W195" t="str">
        <f t="shared" si="2"/>
        <v/>
      </c>
      <c r="X195" t="str">
        <f>IFERROR(INDEX('Output Utente'!$AF$2:$AF$492,MATCH(192,'Output Utente'!$R$2:$R$492,0)),"")</f>
        <v/>
      </c>
    </row>
    <row r="196" spans="1:24" ht="15" customHeight="1" x14ac:dyDescent="0.25">
      <c r="A196" s="26">
        <v>193</v>
      </c>
      <c r="B196" s="23" t="str">
        <f>IFERROR(INDEX('Output Utente'!$A$2:$A$492,MATCH(193,'Output Utente'!$R$2:$R$492,0)),"")</f>
        <v/>
      </c>
      <c r="C196" s="23" t="str">
        <f>IFERROR(INDEX('Output Utente'!$B$2:$B$492,MATCH(193,'Output Utente'!$R$2:$R$492,0)),"")</f>
        <v/>
      </c>
      <c r="D196" s="23" t="str">
        <f>IFERROR(INDEX('Output Utente'!$C$2:$C$492,MATCH(193,'Output Utente'!$R$2:$R$492,0)),"")</f>
        <v/>
      </c>
      <c r="E196" s="23" t="str">
        <f>IFERROR(INDEX('Input Giocatori 2026_27'!$D$3:$D$493,MATCH($B196,'Input Giocatori 2026_27'!$A$3:$A$493,0)),"")</f>
        <v/>
      </c>
      <c r="F196" s="24" t="str">
        <f>IFERROR(INDEX('Output Utente'!$N$2:$N$492,MATCH(193,'Output Utente'!$R$2:$R$492,0)),"")</f>
        <v/>
      </c>
      <c r="G196" s="23" t="str">
        <f>IFERROR(INDEX('Output Utente'!$O$2:$O$492,MATCH(193,'Output Utente'!$R$2:$R$492,0)),"")</f>
        <v/>
      </c>
      <c r="H196" s="23" t="str">
        <f>IFERROR(INDEX('Output Utente'!$P$2:$P$492,MATCH(193,'Output Utente'!$R$2:$R$492,0)),"")</f>
        <v/>
      </c>
      <c r="I196" s="24" t="str">
        <f>IFERROR(INDEX('Output Utente'!$F$2:$F$492,MATCH(193,'Output Utente'!$R$2:$R$492,0)),"")</f>
        <v/>
      </c>
      <c r="J196" s="24" t="str">
        <f>IFERROR(INDEX('Output Utente'!$G$2:$G$492,MATCH(193,'Output Utente'!$R$2:$R$492,0)),"")</f>
        <v/>
      </c>
      <c r="K196" s="24" t="str">
        <f>IFERROR(INDEX('Output Utente'!$H$2:$H$492,MATCH(193,'Output Utente'!$R$2:$R$492,0)),"")</f>
        <v/>
      </c>
      <c r="L196" s="23" t="str">
        <f>IFERROR(INDEX('Output Utente'!$E$2:$E$492,MATCH(193,'Output Utente'!$R$2:$R$492,0)),"")</f>
        <v/>
      </c>
      <c r="V196" t="str">
        <f>IFERROR(INDEX('Output Utente'!$M$2:$M$492,MATCH(193,'Output Utente'!$R$2:$R$492,0)),"")</f>
        <v/>
      </c>
      <c r="W196" t="str">
        <f t="shared" ref="W196:W259" si="3">IF(OR($G196="",$V196=""),"",$G196-$V196)</f>
        <v/>
      </c>
      <c r="X196" t="str">
        <f>IFERROR(INDEX('Output Utente'!$AF$2:$AF$492,MATCH(193,'Output Utente'!$R$2:$R$492,0)),"")</f>
        <v/>
      </c>
    </row>
    <row r="197" spans="1:24" ht="15" customHeight="1" x14ac:dyDescent="0.25">
      <c r="A197" s="26">
        <v>194</v>
      </c>
      <c r="B197" s="23" t="str">
        <f>IFERROR(INDEX('Output Utente'!$A$2:$A$492,MATCH(194,'Output Utente'!$R$2:$R$492,0)),"")</f>
        <v/>
      </c>
      <c r="C197" s="23" t="str">
        <f>IFERROR(INDEX('Output Utente'!$B$2:$B$492,MATCH(194,'Output Utente'!$R$2:$R$492,0)),"")</f>
        <v/>
      </c>
      <c r="D197" s="23" t="str">
        <f>IFERROR(INDEX('Output Utente'!$C$2:$C$492,MATCH(194,'Output Utente'!$R$2:$R$492,0)),"")</f>
        <v/>
      </c>
      <c r="E197" s="23" t="str">
        <f>IFERROR(INDEX('Input Giocatori 2026_27'!$D$3:$D$493,MATCH($B197,'Input Giocatori 2026_27'!$A$3:$A$493,0)),"")</f>
        <v/>
      </c>
      <c r="F197" s="24" t="str">
        <f>IFERROR(INDEX('Output Utente'!$N$2:$N$492,MATCH(194,'Output Utente'!$R$2:$R$492,0)),"")</f>
        <v/>
      </c>
      <c r="G197" s="23" t="str">
        <f>IFERROR(INDEX('Output Utente'!$O$2:$O$492,MATCH(194,'Output Utente'!$R$2:$R$492,0)),"")</f>
        <v/>
      </c>
      <c r="H197" s="23" t="str">
        <f>IFERROR(INDEX('Output Utente'!$P$2:$P$492,MATCH(194,'Output Utente'!$R$2:$R$492,0)),"")</f>
        <v/>
      </c>
      <c r="I197" s="24" t="str">
        <f>IFERROR(INDEX('Output Utente'!$F$2:$F$492,MATCH(194,'Output Utente'!$R$2:$R$492,0)),"")</f>
        <v/>
      </c>
      <c r="J197" s="24" t="str">
        <f>IFERROR(INDEX('Output Utente'!$G$2:$G$492,MATCH(194,'Output Utente'!$R$2:$R$492,0)),"")</f>
        <v/>
      </c>
      <c r="K197" s="24" t="str">
        <f>IFERROR(INDEX('Output Utente'!$H$2:$H$492,MATCH(194,'Output Utente'!$R$2:$R$492,0)),"")</f>
        <v/>
      </c>
      <c r="L197" s="23" t="str">
        <f>IFERROR(INDEX('Output Utente'!$E$2:$E$492,MATCH(194,'Output Utente'!$R$2:$R$492,0)),"")</f>
        <v/>
      </c>
      <c r="V197" t="str">
        <f>IFERROR(INDEX('Output Utente'!$M$2:$M$492,MATCH(194,'Output Utente'!$R$2:$R$492,0)),"")</f>
        <v/>
      </c>
      <c r="W197" t="str">
        <f t="shared" si="3"/>
        <v/>
      </c>
      <c r="X197" t="str">
        <f>IFERROR(INDEX('Output Utente'!$AF$2:$AF$492,MATCH(194,'Output Utente'!$R$2:$R$492,0)),"")</f>
        <v/>
      </c>
    </row>
    <row r="198" spans="1:24" ht="15" customHeight="1" x14ac:dyDescent="0.25">
      <c r="A198" s="26">
        <v>195</v>
      </c>
      <c r="B198" s="23" t="str">
        <f>IFERROR(INDEX('Output Utente'!$A$2:$A$492,MATCH(195,'Output Utente'!$R$2:$R$492,0)),"")</f>
        <v/>
      </c>
      <c r="C198" s="23" t="str">
        <f>IFERROR(INDEX('Output Utente'!$B$2:$B$492,MATCH(195,'Output Utente'!$R$2:$R$492,0)),"")</f>
        <v/>
      </c>
      <c r="D198" s="23" t="str">
        <f>IFERROR(INDEX('Output Utente'!$C$2:$C$492,MATCH(195,'Output Utente'!$R$2:$R$492,0)),"")</f>
        <v/>
      </c>
      <c r="E198" s="23" t="str">
        <f>IFERROR(INDEX('Input Giocatori 2026_27'!$D$3:$D$493,MATCH($B198,'Input Giocatori 2026_27'!$A$3:$A$493,0)),"")</f>
        <v/>
      </c>
      <c r="F198" s="24" t="str">
        <f>IFERROR(INDEX('Output Utente'!$N$2:$N$492,MATCH(195,'Output Utente'!$R$2:$R$492,0)),"")</f>
        <v/>
      </c>
      <c r="G198" s="23" t="str">
        <f>IFERROR(INDEX('Output Utente'!$O$2:$O$492,MATCH(195,'Output Utente'!$R$2:$R$492,0)),"")</f>
        <v/>
      </c>
      <c r="H198" s="23" t="str">
        <f>IFERROR(INDEX('Output Utente'!$P$2:$P$492,MATCH(195,'Output Utente'!$R$2:$R$492,0)),"")</f>
        <v/>
      </c>
      <c r="I198" s="24" t="str">
        <f>IFERROR(INDEX('Output Utente'!$F$2:$F$492,MATCH(195,'Output Utente'!$R$2:$R$492,0)),"")</f>
        <v/>
      </c>
      <c r="J198" s="24" t="str">
        <f>IFERROR(INDEX('Output Utente'!$G$2:$G$492,MATCH(195,'Output Utente'!$R$2:$R$492,0)),"")</f>
        <v/>
      </c>
      <c r="K198" s="24" t="str">
        <f>IFERROR(INDEX('Output Utente'!$H$2:$H$492,MATCH(195,'Output Utente'!$R$2:$R$492,0)),"")</f>
        <v/>
      </c>
      <c r="L198" s="23" t="str">
        <f>IFERROR(INDEX('Output Utente'!$E$2:$E$492,MATCH(195,'Output Utente'!$R$2:$R$492,0)),"")</f>
        <v/>
      </c>
      <c r="V198" t="str">
        <f>IFERROR(INDEX('Output Utente'!$M$2:$M$492,MATCH(195,'Output Utente'!$R$2:$R$492,0)),"")</f>
        <v/>
      </c>
      <c r="W198" t="str">
        <f t="shared" si="3"/>
        <v/>
      </c>
      <c r="X198" t="str">
        <f>IFERROR(INDEX('Output Utente'!$AF$2:$AF$492,MATCH(195,'Output Utente'!$R$2:$R$492,0)),"")</f>
        <v/>
      </c>
    </row>
    <row r="199" spans="1:24" ht="15" customHeight="1" x14ac:dyDescent="0.25">
      <c r="A199" s="26">
        <v>196</v>
      </c>
      <c r="B199" s="23" t="str">
        <f>IFERROR(INDEX('Output Utente'!$A$2:$A$492,MATCH(196,'Output Utente'!$R$2:$R$492,0)),"")</f>
        <v/>
      </c>
      <c r="C199" s="23" t="str">
        <f>IFERROR(INDEX('Output Utente'!$B$2:$B$492,MATCH(196,'Output Utente'!$R$2:$R$492,0)),"")</f>
        <v/>
      </c>
      <c r="D199" s="23" t="str">
        <f>IFERROR(INDEX('Output Utente'!$C$2:$C$492,MATCH(196,'Output Utente'!$R$2:$R$492,0)),"")</f>
        <v/>
      </c>
      <c r="E199" s="23" t="str">
        <f>IFERROR(INDEX('Input Giocatori 2026_27'!$D$3:$D$493,MATCH($B199,'Input Giocatori 2026_27'!$A$3:$A$493,0)),"")</f>
        <v/>
      </c>
      <c r="F199" s="24" t="str">
        <f>IFERROR(INDEX('Output Utente'!$N$2:$N$492,MATCH(196,'Output Utente'!$R$2:$R$492,0)),"")</f>
        <v/>
      </c>
      <c r="G199" s="23" t="str">
        <f>IFERROR(INDEX('Output Utente'!$O$2:$O$492,MATCH(196,'Output Utente'!$R$2:$R$492,0)),"")</f>
        <v/>
      </c>
      <c r="H199" s="23" t="str">
        <f>IFERROR(INDEX('Output Utente'!$P$2:$P$492,MATCH(196,'Output Utente'!$R$2:$R$492,0)),"")</f>
        <v/>
      </c>
      <c r="I199" s="24" t="str">
        <f>IFERROR(INDEX('Output Utente'!$F$2:$F$492,MATCH(196,'Output Utente'!$R$2:$R$492,0)),"")</f>
        <v/>
      </c>
      <c r="J199" s="24" t="str">
        <f>IFERROR(INDEX('Output Utente'!$G$2:$G$492,MATCH(196,'Output Utente'!$R$2:$R$492,0)),"")</f>
        <v/>
      </c>
      <c r="K199" s="24" t="str">
        <f>IFERROR(INDEX('Output Utente'!$H$2:$H$492,MATCH(196,'Output Utente'!$R$2:$R$492,0)),"")</f>
        <v/>
      </c>
      <c r="L199" s="23" t="str">
        <f>IFERROR(INDEX('Output Utente'!$E$2:$E$492,MATCH(196,'Output Utente'!$R$2:$R$492,0)),"")</f>
        <v/>
      </c>
      <c r="V199" t="str">
        <f>IFERROR(INDEX('Output Utente'!$M$2:$M$492,MATCH(196,'Output Utente'!$R$2:$R$492,0)),"")</f>
        <v/>
      </c>
      <c r="W199" t="str">
        <f t="shared" si="3"/>
        <v/>
      </c>
      <c r="X199" t="str">
        <f>IFERROR(INDEX('Output Utente'!$AF$2:$AF$492,MATCH(196,'Output Utente'!$R$2:$R$492,0)),"")</f>
        <v/>
      </c>
    </row>
    <row r="200" spans="1:24" ht="15" customHeight="1" x14ac:dyDescent="0.25">
      <c r="A200" s="26">
        <v>197</v>
      </c>
      <c r="B200" s="23" t="str">
        <f>IFERROR(INDEX('Output Utente'!$A$2:$A$492,MATCH(197,'Output Utente'!$R$2:$R$492,0)),"")</f>
        <v/>
      </c>
      <c r="C200" s="23" t="str">
        <f>IFERROR(INDEX('Output Utente'!$B$2:$B$492,MATCH(197,'Output Utente'!$R$2:$R$492,0)),"")</f>
        <v/>
      </c>
      <c r="D200" s="23" t="str">
        <f>IFERROR(INDEX('Output Utente'!$C$2:$C$492,MATCH(197,'Output Utente'!$R$2:$R$492,0)),"")</f>
        <v/>
      </c>
      <c r="E200" s="23" t="str">
        <f>IFERROR(INDEX('Input Giocatori 2026_27'!$D$3:$D$493,MATCH($B200,'Input Giocatori 2026_27'!$A$3:$A$493,0)),"")</f>
        <v/>
      </c>
      <c r="F200" s="24" t="str">
        <f>IFERROR(INDEX('Output Utente'!$N$2:$N$492,MATCH(197,'Output Utente'!$R$2:$R$492,0)),"")</f>
        <v/>
      </c>
      <c r="G200" s="23" t="str">
        <f>IFERROR(INDEX('Output Utente'!$O$2:$O$492,MATCH(197,'Output Utente'!$R$2:$R$492,0)),"")</f>
        <v/>
      </c>
      <c r="H200" s="23" t="str">
        <f>IFERROR(INDEX('Output Utente'!$P$2:$P$492,MATCH(197,'Output Utente'!$R$2:$R$492,0)),"")</f>
        <v/>
      </c>
      <c r="I200" s="24" t="str">
        <f>IFERROR(INDEX('Output Utente'!$F$2:$F$492,MATCH(197,'Output Utente'!$R$2:$R$492,0)),"")</f>
        <v/>
      </c>
      <c r="J200" s="24" t="str">
        <f>IFERROR(INDEX('Output Utente'!$G$2:$G$492,MATCH(197,'Output Utente'!$R$2:$R$492,0)),"")</f>
        <v/>
      </c>
      <c r="K200" s="24" t="str">
        <f>IFERROR(INDEX('Output Utente'!$H$2:$H$492,MATCH(197,'Output Utente'!$R$2:$R$492,0)),"")</f>
        <v/>
      </c>
      <c r="L200" s="23" t="str">
        <f>IFERROR(INDEX('Output Utente'!$E$2:$E$492,MATCH(197,'Output Utente'!$R$2:$R$492,0)),"")</f>
        <v/>
      </c>
      <c r="V200" t="str">
        <f>IFERROR(INDEX('Output Utente'!$M$2:$M$492,MATCH(197,'Output Utente'!$R$2:$R$492,0)),"")</f>
        <v/>
      </c>
      <c r="W200" t="str">
        <f t="shared" si="3"/>
        <v/>
      </c>
      <c r="X200" t="str">
        <f>IFERROR(INDEX('Output Utente'!$AF$2:$AF$492,MATCH(197,'Output Utente'!$R$2:$R$492,0)),"")</f>
        <v/>
      </c>
    </row>
    <row r="201" spans="1:24" ht="15" customHeight="1" x14ac:dyDescent="0.25">
      <c r="A201" s="26">
        <v>198</v>
      </c>
      <c r="B201" s="23" t="str">
        <f>IFERROR(INDEX('Output Utente'!$A$2:$A$492,MATCH(198,'Output Utente'!$R$2:$R$492,0)),"")</f>
        <v/>
      </c>
      <c r="C201" s="23" t="str">
        <f>IFERROR(INDEX('Output Utente'!$B$2:$B$492,MATCH(198,'Output Utente'!$R$2:$R$492,0)),"")</f>
        <v/>
      </c>
      <c r="D201" s="23" t="str">
        <f>IFERROR(INDEX('Output Utente'!$C$2:$C$492,MATCH(198,'Output Utente'!$R$2:$R$492,0)),"")</f>
        <v/>
      </c>
      <c r="E201" s="23" t="str">
        <f>IFERROR(INDEX('Input Giocatori 2026_27'!$D$3:$D$493,MATCH($B201,'Input Giocatori 2026_27'!$A$3:$A$493,0)),"")</f>
        <v/>
      </c>
      <c r="F201" s="24" t="str">
        <f>IFERROR(INDEX('Output Utente'!$N$2:$N$492,MATCH(198,'Output Utente'!$R$2:$R$492,0)),"")</f>
        <v/>
      </c>
      <c r="G201" s="23" t="str">
        <f>IFERROR(INDEX('Output Utente'!$O$2:$O$492,MATCH(198,'Output Utente'!$R$2:$R$492,0)),"")</f>
        <v/>
      </c>
      <c r="H201" s="23" t="str">
        <f>IFERROR(INDEX('Output Utente'!$P$2:$P$492,MATCH(198,'Output Utente'!$R$2:$R$492,0)),"")</f>
        <v/>
      </c>
      <c r="I201" s="24" t="str">
        <f>IFERROR(INDEX('Output Utente'!$F$2:$F$492,MATCH(198,'Output Utente'!$R$2:$R$492,0)),"")</f>
        <v/>
      </c>
      <c r="J201" s="24" t="str">
        <f>IFERROR(INDEX('Output Utente'!$G$2:$G$492,MATCH(198,'Output Utente'!$R$2:$R$492,0)),"")</f>
        <v/>
      </c>
      <c r="K201" s="24" t="str">
        <f>IFERROR(INDEX('Output Utente'!$H$2:$H$492,MATCH(198,'Output Utente'!$R$2:$R$492,0)),"")</f>
        <v/>
      </c>
      <c r="L201" s="23" t="str">
        <f>IFERROR(INDEX('Output Utente'!$E$2:$E$492,MATCH(198,'Output Utente'!$R$2:$R$492,0)),"")</f>
        <v/>
      </c>
      <c r="V201" t="str">
        <f>IFERROR(INDEX('Output Utente'!$M$2:$M$492,MATCH(198,'Output Utente'!$R$2:$R$492,0)),"")</f>
        <v/>
      </c>
      <c r="W201" t="str">
        <f t="shared" si="3"/>
        <v/>
      </c>
      <c r="X201" t="str">
        <f>IFERROR(INDEX('Output Utente'!$AF$2:$AF$492,MATCH(198,'Output Utente'!$R$2:$R$492,0)),"")</f>
        <v/>
      </c>
    </row>
    <row r="202" spans="1:24" ht="15" customHeight="1" x14ac:dyDescent="0.25">
      <c r="A202" s="26">
        <v>199</v>
      </c>
      <c r="B202" s="23" t="str">
        <f>IFERROR(INDEX('Output Utente'!$A$2:$A$492,MATCH(199,'Output Utente'!$R$2:$R$492,0)),"")</f>
        <v/>
      </c>
      <c r="C202" s="23" t="str">
        <f>IFERROR(INDEX('Output Utente'!$B$2:$B$492,MATCH(199,'Output Utente'!$R$2:$R$492,0)),"")</f>
        <v/>
      </c>
      <c r="D202" s="23" t="str">
        <f>IFERROR(INDEX('Output Utente'!$C$2:$C$492,MATCH(199,'Output Utente'!$R$2:$R$492,0)),"")</f>
        <v/>
      </c>
      <c r="E202" s="23" t="str">
        <f>IFERROR(INDEX('Input Giocatori 2026_27'!$D$3:$D$493,MATCH($B202,'Input Giocatori 2026_27'!$A$3:$A$493,0)),"")</f>
        <v/>
      </c>
      <c r="F202" s="24" t="str">
        <f>IFERROR(INDEX('Output Utente'!$N$2:$N$492,MATCH(199,'Output Utente'!$R$2:$R$492,0)),"")</f>
        <v/>
      </c>
      <c r="G202" s="23" t="str">
        <f>IFERROR(INDEX('Output Utente'!$O$2:$O$492,MATCH(199,'Output Utente'!$R$2:$R$492,0)),"")</f>
        <v/>
      </c>
      <c r="H202" s="23" t="str">
        <f>IFERROR(INDEX('Output Utente'!$P$2:$P$492,MATCH(199,'Output Utente'!$R$2:$R$492,0)),"")</f>
        <v/>
      </c>
      <c r="I202" s="24" t="str">
        <f>IFERROR(INDEX('Output Utente'!$F$2:$F$492,MATCH(199,'Output Utente'!$R$2:$R$492,0)),"")</f>
        <v/>
      </c>
      <c r="J202" s="24" t="str">
        <f>IFERROR(INDEX('Output Utente'!$G$2:$G$492,MATCH(199,'Output Utente'!$R$2:$R$492,0)),"")</f>
        <v/>
      </c>
      <c r="K202" s="24" t="str">
        <f>IFERROR(INDEX('Output Utente'!$H$2:$H$492,MATCH(199,'Output Utente'!$R$2:$R$492,0)),"")</f>
        <v/>
      </c>
      <c r="L202" s="23" t="str">
        <f>IFERROR(INDEX('Output Utente'!$E$2:$E$492,MATCH(199,'Output Utente'!$R$2:$R$492,0)),"")</f>
        <v/>
      </c>
      <c r="V202" t="str">
        <f>IFERROR(INDEX('Output Utente'!$M$2:$M$492,MATCH(199,'Output Utente'!$R$2:$R$492,0)),"")</f>
        <v/>
      </c>
      <c r="W202" t="str">
        <f t="shared" si="3"/>
        <v/>
      </c>
      <c r="X202" t="str">
        <f>IFERROR(INDEX('Output Utente'!$AF$2:$AF$492,MATCH(199,'Output Utente'!$R$2:$R$492,0)),"")</f>
        <v/>
      </c>
    </row>
    <row r="203" spans="1:24" ht="15" customHeight="1" x14ac:dyDescent="0.25">
      <c r="A203" s="26">
        <v>200</v>
      </c>
      <c r="B203" s="23" t="str">
        <f>IFERROR(INDEX('Output Utente'!$A$2:$A$492,MATCH(200,'Output Utente'!$R$2:$R$492,0)),"")</f>
        <v/>
      </c>
      <c r="C203" s="23" t="str">
        <f>IFERROR(INDEX('Output Utente'!$B$2:$B$492,MATCH(200,'Output Utente'!$R$2:$R$492,0)),"")</f>
        <v/>
      </c>
      <c r="D203" s="23" t="str">
        <f>IFERROR(INDEX('Output Utente'!$C$2:$C$492,MATCH(200,'Output Utente'!$R$2:$R$492,0)),"")</f>
        <v/>
      </c>
      <c r="E203" s="23" t="str">
        <f>IFERROR(INDEX('Input Giocatori 2026_27'!$D$3:$D$493,MATCH($B203,'Input Giocatori 2026_27'!$A$3:$A$493,0)),"")</f>
        <v/>
      </c>
      <c r="F203" s="24" t="str">
        <f>IFERROR(INDEX('Output Utente'!$N$2:$N$492,MATCH(200,'Output Utente'!$R$2:$R$492,0)),"")</f>
        <v/>
      </c>
      <c r="G203" s="23" t="str">
        <f>IFERROR(INDEX('Output Utente'!$O$2:$O$492,MATCH(200,'Output Utente'!$R$2:$R$492,0)),"")</f>
        <v/>
      </c>
      <c r="H203" s="23" t="str">
        <f>IFERROR(INDEX('Output Utente'!$P$2:$P$492,MATCH(200,'Output Utente'!$R$2:$R$492,0)),"")</f>
        <v/>
      </c>
      <c r="I203" s="24" t="str">
        <f>IFERROR(INDEX('Output Utente'!$F$2:$F$492,MATCH(200,'Output Utente'!$R$2:$R$492,0)),"")</f>
        <v/>
      </c>
      <c r="J203" s="24" t="str">
        <f>IFERROR(INDEX('Output Utente'!$G$2:$G$492,MATCH(200,'Output Utente'!$R$2:$R$492,0)),"")</f>
        <v/>
      </c>
      <c r="K203" s="24" t="str">
        <f>IFERROR(INDEX('Output Utente'!$H$2:$H$492,MATCH(200,'Output Utente'!$R$2:$R$492,0)),"")</f>
        <v/>
      </c>
      <c r="L203" s="23" t="str">
        <f>IFERROR(INDEX('Output Utente'!$E$2:$E$492,MATCH(200,'Output Utente'!$R$2:$R$492,0)),"")</f>
        <v/>
      </c>
      <c r="V203" t="str">
        <f>IFERROR(INDEX('Output Utente'!$M$2:$M$492,MATCH(200,'Output Utente'!$R$2:$R$492,0)),"")</f>
        <v/>
      </c>
      <c r="W203" t="str">
        <f t="shared" si="3"/>
        <v/>
      </c>
      <c r="X203" t="str">
        <f>IFERROR(INDEX('Output Utente'!$AF$2:$AF$492,MATCH(200,'Output Utente'!$R$2:$R$492,0)),"")</f>
        <v/>
      </c>
    </row>
    <row r="204" spans="1:24" ht="15" customHeight="1" x14ac:dyDescent="0.25">
      <c r="A204" s="26">
        <v>201</v>
      </c>
      <c r="B204" s="23" t="str">
        <f>IFERROR(INDEX('Output Utente'!$A$2:$A$492,MATCH(201,'Output Utente'!$R$2:$R$492,0)),"")</f>
        <v/>
      </c>
      <c r="C204" s="23" t="str">
        <f>IFERROR(INDEX('Output Utente'!$B$2:$B$492,MATCH(201,'Output Utente'!$R$2:$R$492,0)),"")</f>
        <v/>
      </c>
      <c r="D204" s="23" t="str">
        <f>IFERROR(INDEX('Output Utente'!$C$2:$C$492,MATCH(201,'Output Utente'!$R$2:$R$492,0)),"")</f>
        <v/>
      </c>
      <c r="E204" s="23" t="str">
        <f>IFERROR(INDEX('Input Giocatori 2026_27'!$D$3:$D$493,MATCH($B204,'Input Giocatori 2026_27'!$A$3:$A$493,0)),"")</f>
        <v/>
      </c>
      <c r="F204" s="24" t="str">
        <f>IFERROR(INDEX('Output Utente'!$N$2:$N$492,MATCH(201,'Output Utente'!$R$2:$R$492,0)),"")</f>
        <v/>
      </c>
      <c r="G204" s="23" t="str">
        <f>IFERROR(INDEX('Output Utente'!$O$2:$O$492,MATCH(201,'Output Utente'!$R$2:$R$492,0)),"")</f>
        <v/>
      </c>
      <c r="H204" s="23" t="str">
        <f>IFERROR(INDEX('Output Utente'!$P$2:$P$492,MATCH(201,'Output Utente'!$R$2:$R$492,0)),"")</f>
        <v/>
      </c>
      <c r="I204" s="24" t="str">
        <f>IFERROR(INDEX('Output Utente'!$F$2:$F$492,MATCH(201,'Output Utente'!$R$2:$R$492,0)),"")</f>
        <v/>
      </c>
      <c r="J204" s="24" t="str">
        <f>IFERROR(INDEX('Output Utente'!$G$2:$G$492,MATCH(201,'Output Utente'!$R$2:$R$492,0)),"")</f>
        <v/>
      </c>
      <c r="K204" s="24" t="str">
        <f>IFERROR(INDEX('Output Utente'!$H$2:$H$492,MATCH(201,'Output Utente'!$R$2:$R$492,0)),"")</f>
        <v/>
      </c>
      <c r="L204" s="23" t="str">
        <f>IFERROR(INDEX('Output Utente'!$E$2:$E$492,MATCH(201,'Output Utente'!$R$2:$R$492,0)),"")</f>
        <v/>
      </c>
      <c r="V204" t="str">
        <f>IFERROR(INDEX('Output Utente'!$M$2:$M$492,MATCH(201,'Output Utente'!$R$2:$R$492,0)),"")</f>
        <v/>
      </c>
      <c r="W204" t="str">
        <f t="shared" si="3"/>
        <v/>
      </c>
      <c r="X204" t="str">
        <f>IFERROR(INDEX('Output Utente'!$AF$2:$AF$492,MATCH(201,'Output Utente'!$R$2:$R$492,0)),"")</f>
        <v/>
      </c>
    </row>
    <row r="205" spans="1:24" ht="15" customHeight="1" x14ac:dyDescent="0.25">
      <c r="A205" s="26">
        <v>202</v>
      </c>
      <c r="B205" s="23" t="str">
        <f>IFERROR(INDEX('Output Utente'!$A$2:$A$492,MATCH(202,'Output Utente'!$R$2:$R$492,0)),"")</f>
        <v/>
      </c>
      <c r="C205" s="23" t="str">
        <f>IFERROR(INDEX('Output Utente'!$B$2:$B$492,MATCH(202,'Output Utente'!$R$2:$R$492,0)),"")</f>
        <v/>
      </c>
      <c r="D205" s="23" t="str">
        <f>IFERROR(INDEX('Output Utente'!$C$2:$C$492,MATCH(202,'Output Utente'!$R$2:$R$492,0)),"")</f>
        <v/>
      </c>
      <c r="E205" s="23" t="str">
        <f>IFERROR(INDEX('Input Giocatori 2026_27'!$D$3:$D$493,MATCH($B205,'Input Giocatori 2026_27'!$A$3:$A$493,0)),"")</f>
        <v/>
      </c>
      <c r="F205" s="24" t="str">
        <f>IFERROR(INDEX('Output Utente'!$N$2:$N$492,MATCH(202,'Output Utente'!$R$2:$R$492,0)),"")</f>
        <v/>
      </c>
      <c r="G205" s="23" t="str">
        <f>IFERROR(INDEX('Output Utente'!$O$2:$O$492,MATCH(202,'Output Utente'!$R$2:$R$492,0)),"")</f>
        <v/>
      </c>
      <c r="H205" s="23" t="str">
        <f>IFERROR(INDEX('Output Utente'!$P$2:$P$492,MATCH(202,'Output Utente'!$R$2:$R$492,0)),"")</f>
        <v/>
      </c>
      <c r="I205" s="24" t="str">
        <f>IFERROR(INDEX('Output Utente'!$F$2:$F$492,MATCH(202,'Output Utente'!$R$2:$R$492,0)),"")</f>
        <v/>
      </c>
      <c r="J205" s="24" t="str">
        <f>IFERROR(INDEX('Output Utente'!$G$2:$G$492,MATCH(202,'Output Utente'!$R$2:$R$492,0)),"")</f>
        <v/>
      </c>
      <c r="K205" s="24" t="str">
        <f>IFERROR(INDEX('Output Utente'!$H$2:$H$492,MATCH(202,'Output Utente'!$R$2:$R$492,0)),"")</f>
        <v/>
      </c>
      <c r="L205" s="23" t="str">
        <f>IFERROR(INDEX('Output Utente'!$E$2:$E$492,MATCH(202,'Output Utente'!$R$2:$R$492,0)),"")</f>
        <v/>
      </c>
      <c r="V205" t="str">
        <f>IFERROR(INDEX('Output Utente'!$M$2:$M$492,MATCH(202,'Output Utente'!$R$2:$R$492,0)),"")</f>
        <v/>
      </c>
      <c r="W205" t="str">
        <f t="shared" si="3"/>
        <v/>
      </c>
      <c r="X205" t="str">
        <f>IFERROR(INDEX('Output Utente'!$AF$2:$AF$492,MATCH(202,'Output Utente'!$R$2:$R$492,0)),"")</f>
        <v/>
      </c>
    </row>
    <row r="206" spans="1:24" ht="15" customHeight="1" x14ac:dyDescent="0.25">
      <c r="A206" s="26">
        <v>203</v>
      </c>
      <c r="B206" s="23" t="str">
        <f>IFERROR(INDEX('Output Utente'!$A$2:$A$492,MATCH(203,'Output Utente'!$R$2:$R$492,0)),"")</f>
        <v/>
      </c>
      <c r="C206" s="23" t="str">
        <f>IFERROR(INDEX('Output Utente'!$B$2:$B$492,MATCH(203,'Output Utente'!$R$2:$R$492,0)),"")</f>
        <v/>
      </c>
      <c r="D206" s="23" t="str">
        <f>IFERROR(INDEX('Output Utente'!$C$2:$C$492,MATCH(203,'Output Utente'!$R$2:$R$492,0)),"")</f>
        <v/>
      </c>
      <c r="E206" s="23" t="str">
        <f>IFERROR(INDEX('Input Giocatori 2026_27'!$D$3:$D$493,MATCH($B206,'Input Giocatori 2026_27'!$A$3:$A$493,0)),"")</f>
        <v/>
      </c>
      <c r="F206" s="24" t="str">
        <f>IFERROR(INDEX('Output Utente'!$N$2:$N$492,MATCH(203,'Output Utente'!$R$2:$R$492,0)),"")</f>
        <v/>
      </c>
      <c r="G206" s="23" t="str">
        <f>IFERROR(INDEX('Output Utente'!$O$2:$O$492,MATCH(203,'Output Utente'!$R$2:$R$492,0)),"")</f>
        <v/>
      </c>
      <c r="H206" s="23" t="str">
        <f>IFERROR(INDEX('Output Utente'!$P$2:$P$492,MATCH(203,'Output Utente'!$R$2:$R$492,0)),"")</f>
        <v/>
      </c>
      <c r="I206" s="24" t="str">
        <f>IFERROR(INDEX('Output Utente'!$F$2:$F$492,MATCH(203,'Output Utente'!$R$2:$R$492,0)),"")</f>
        <v/>
      </c>
      <c r="J206" s="24" t="str">
        <f>IFERROR(INDEX('Output Utente'!$G$2:$G$492,MATCH(203,'Output Utente'!$R$2:$R$492,0)),"")</f>
        <v/>
      </c>
      <c r="K206" s="24" t="str">
        <f>IFERROR(INDEX('Output Utente'!$H$2:$H$492,MATCH(203,'Output Utente'!$R$2:$R$492,0)),"")</f>
        <v/>
      </c>
      <c r="L206" s="23" t="str">
        <f>IFERROR(INDEX('Output Utente'!$E$2:$E$492,MATCH(203,'Output Utente'!$R$2:$R$492,0)),"")</f>
        <v/>
      </c>
      <c r="V206" t="str">
        <f>IFERROR(INDEX('Output Utente'!$M$2:$M$492,MATCH(203,'Output Utente'!$R$2:$R$492,0)),"")</f>
        <v/>
      </c>
      <c r="W206" t="str">
        <f t="shared" si="3"/>
        <v/>
      </c>
      <c r="X206" t="str">
        <f>IFERROR(INDEX('Output Utente'!$AF$2:$AF$492,MATCH(203,'Output Utente'!$R$2:$R$492,0)),"")</f>
        <v/>
      </c>
    </row>
    <row r="207" spans="1:24" ht="15" customHeight="1" x14ac:dyDescent="0.25">
      <c r="A207" s="26">
        <v>204</v>
      </c>
      <c r="B207" s="23" t="str">
        <f>IFERROR(INDEX('Output Utente'!$A$2:$A$492,MATCH(204,'Output Utente'!$R$2:$R$492,0)),"")</f>
        <v/>
      </c>
      <c r="C207" s="23" t="str">
        <f>IFERROR(INDEX('Output Utente'!$B$2:$B$492,MATCH(204,'Output Utente'!$R$2:$R$492,0)),"")</f>
        <v/>
      </c>
      <c r="D207" s="23" t="str">
        <f>IFERROR(INDEX('Output Utente'!$C$2:$C$492,MATCH(204,'Output Utente'!$R$2:$R$492,0)),"")</f>
        <v/>
      </c>
      <c r="E207" s="23" t="str">
        <f>IFERROR(INDEX('Input Giocatori 2026_27'!$D$3:$D$493,MATCH($B207,'Input Giocatori 2026_27'!$A$3:$A$493,0)),"")</f>
        <v/>
      </c>
      <c r="F207" s="24" t="str">
        <f>IFERROR(INDEX('Output Utente'!$N$2:$N$492,MATCH(204,'Output Utente'!$R$2:$R$492,0)),"")</f>
        <v/>
      </c>
      <c r="G207" s="23" t="str">
        <f>IFERROR(INDEX('Output Utente'!$O$2:$O$492,MATCH(204,'Output Utente'!$R$2:$R$492,0)),"")</f>
        <v/>
      </c>
      <c r="H207" s="23" t="str">
        <f>IFERROR(INDEX('Output Utente'!$P$2:$P$492,MATCH(204,'Output Utente'!$R$2:$R$492,0)),"")</f>
        <v/>
      </c>
      <c r="I207" s="24" t="str">
        <f>IFERROR(INDEX('Output Utente'!$F$2:$F$492,MATCH(204,'Output Utente'!$R$2:$R$492,0)),"")</f>
        <v/>
      </c>
      <c r="J207" s="24" t="str">
        <f>IFERROR(INDEX('Output Utente'!$G$2:$G$492,MATCH(204,'Output Utente'!$R$2:$R$492,0)),"")</f>
        <v/>
      </c>
      <c r="K207" s="24" t="str">
        <f>IFERROR(INDEX('Output Utente'!$H$2:$H$492,MATCH(204,'Output Utente'!$R$2:$R$492,0)),"")</f>
        <v/>
      </c>
      <c r="L207" s="23" t="str">
        <f>IFERROR(INDEX('Output Utente'!$E$2:$E$492,MATCH(204,'Output Utente'!$R$2:$R$492,0)),"")</f>
        <v/>
      </c>
      <c r="V207" t="str">
        <f>IFERROR(INDEX('Output Utente'!$M$2:$M$492,MATCH(204,'Output Utente'!$R$2:$R$492,0)),"")</f>
        <v/>
      </c>
      <c r="W207" t="str">
        <f t="shared" si="3"/>
        <v/>
      </c>
      <c r="X207" t="str">
        <f>IFERROR(INDEX('Output Utente'!$AF$2:$AF$492,MATCH(204,'Output Utente'!$R$2:$R$492,0)),"")</f>
        <v/>
      </c>
    </row>
    <row r="208" spans="1:24" ht="15" customHeight="1" x14ac:dyDescent="0.25">
      <c r="A208" s="26">
        <v>205</v>
      </c>
      <c r="B208" s="23" t="str">
        <f>IFERROR(INDEX('Output Utente'!$A$2:$A$492,MATCH(205,'Output Utente'!$R$2:$R$492,0)),"")</f>
        <v/>
      </c>
      <c r="C208" s="23" t="str">
        <f>IFERROR(INDEX('Output Utente'!$B$2:$B$492,MATCH(205,'Output Utente'!$R$2:$R$492,0)),"")</f>
        <v/>
      </c>
      <c r="D208" s="23" t="str">
        <f>IFERROR(INDEX('Output Utente'!$C$2:$C$492,MATCH(205,'Output Utente'!$R$2:$R$492,0)),"")</f>
        <v/>
      </c>
      <c r="E208" s="23" t="str">
        <f>IFERROR(INDEX('Input Giocatori 2026_27'!$D$3:$D$493,MATCH($B208,'Input Giocatori 2026_27'!$A$3:$A$493,0)),"")</f>
        <v/>
      </c>
      <c r="F208" s="24" t="str">
        <f>IFERROR(INDEX('Output Utente'!$N$2:$N$492,MATCH(205,'Output Utente'!$R$2:$R$492,0)),"")</f>
        <v/>
      </c>
      <c r="G208" s="23" t="str">
        <f>IFERROR(INDEX('Output Utente'!$O$2:$O$492,MATCH(205,'Output Utente'!$R$2:$R$492,0)),"")</f>
        <v/>
      </c>
      <c r="H208" s="23" t="str">
        <f>IFERROR(INDEX('Output Utente'!$P$2:$P$492,MATCH(205,'Output Utente'!$R$2:$R$492,0)),"")</f>
        <v/>
      </c>
      <c r="I208" s="24" t="str">
        <f>IFERROR(INDEX('Output Utente'!$F$2:$F$492,MATCH(205,'Output Utente'!$R$2:$R$492,0)),"")</f>
        <v/>
      </c>
      <c r="J208" s="24" t="str">
        <f>IFERROR(INDEX('Output Utente'!$G$2:$G$492,MATCH(205,'Output Utente'!$R$2:$R$492,0)),"")</f>
        <v/>
      </c>
      <c r="K208" s="24" t="str">
        <f>IFERROR(INDEX('Output Utente'!$H$2:$H$492,MATCH(205,'Output Utente'!$R$2:$R$492,0)),"")</f>
        <v/>
      </c>
      <c r="L208" s="23" t="str">
        <f>IFERROR(INDEX('Output Utente'!$E$2:$E$492,MATCH(205,'Output Utente'!$R$2:$R$492,0)),"")</f>
        <v/>
      </c>
      <c r="V208" t="str">
        <f>IFERROR(INDEX('Output Utente'!$M$2:$M$492,MATCH(205,'Output Utente'!$R$2:$R$492,0)),"")</f>
        <v/>
      </c>
      <c r="W208" t="str">
        <f t="shared" si="3"/>
        <v/>
      </c>
      <c r="X208" t="str">
        <f>IFERROR(INDEX('Output Utente'!$AF$2:$AF$492,MATCH(205,'Output Utente'!$R$2:$R$492,0)),"")</f>
        <v/>
      </c>
    </row>
    <row r="209" spans="1:24" ht="15" customHeight="1" x14ac:dyDescent="0.25">
      <c r="A209" s="26">
        <v>206</v>
      </c>
      <c r="B209" s="23" t="str">
        <f>IFERROR(INDEX('Output Utente'!$A$2:$A$492,MATCH(206,'Output Utente'!$R$2:$R$492,0)),"")</f>
        <v/>
      </c>
      <c r="C209" s="23" t="str">
        <f>IFERROR(INDEX('Output Utente'!$B$2:$B$492,MATCH(206,'Output Utente'!$R$2:$R$492,0)),"")</f>
        <v/>
      </c>
      <c r="D209" s="23" t="str">
        <f>IFERROR(INDEX('Output Utente'!$C$2:$C$492,MATCH(206,'Output Utente'!$R$2:$R$492,0)),"")</f>
        <v/>
      </c>
      <c r="E209" s="23" t="str">
        <f>IFERROR(INDEX('Input Giocatori 2026_27'!$D$3:$D$493,MATCH($B209,'Input Giocatori 2026_27'!$A$3:$A$493,0)),"")</f>
        <v/>
      </c>
      <c r="F209" s="24" t="str">
        <f>IFERROR(INDEX('Output Utente'!$N$2:$N$492,MATCH(206,'Output Utente'!$R$2:$R$492,0)),"")</f>
        <v/>
      </c>
      <c r="G209" s="23" t="str">
        <f>IFERROR(INDEX('Output Utente'!$O$2:$O$492,MATCH(206,'Output Utente'!$R$2:$R$492,0)),"")</f>
        <v/>
      </c>
      <c r="H209" s="23" t="str">
        <f>IFERROR(INDEX('Output Utente'!$P$2:$P$492,MATCH(206,'Output Utente'!$R$2:$R$492,0)),"")</f>
        <v/>
      </c>
      <c r="I209" s="24" t="str">
        <f>IFERROR(INDEX('Output Utente'!$F$2:$F$492,MATCH(206,'Output Utente'!$R$2:$R$492,0)),"")</f>
        <v/>
      </c>
      <c r="J209" s="24" t="str">
        <f>IFERROR(INDEX('Output Utente'!$G$2:$G$492,MATCH(206,'Output Utente'!$R$2:$R$492,0)),"")</f>
        <v/>
      </c>
      <c r="K209" s="24" t="str">
        <f>IFERROR(INDEX('Output Utente'!$H$2:$H$492,MATCH(206,'Output Utente'!$R$2:$R$492,0)),"")</f>
        <v/>
      </c>
      <c r="L209" s="23" t="str">
        <f>IFERROR(INDEX('Output Utente'!$E$2:$E$492,MATCH(206,'Output Utente'!$R$2:$R$492,0)),"")</f>
        <v/>
      </c>
      <c r="V209" t="str">
        <f>IFERROR(INDEX('Output Utente'!$M$2:$M$492,MATCH(206,'Output Utente'!$R$2:$R$492,0)),"")</f>
        <v/>
      </c>
      <c r="W209" t="str">
        <f t="shared" si="3"/>
        <v/>
      </c>
      <c r="X209" t="str">
        <f>IFERROR(INDEX('Output Utente'!$AF$2:$AF$492,MATCH(206,'Output Utente'!$R$2:$R$492,0)),"")</f>
        <v/>
      </c>
    </row>
    <row r="210" spans="1:24" ht="15" customHeight="1" x14ac:dyDescent="0.25">
      <c r="A210" s="26">
        <v>207</v>
      </c>
      <c r="B210" s="23" t="str">
        <f>IFERROR(INDEX('Output Utente'!$A$2:$A$492,MATCH(207,'Output Utente'!$R$2:$R$492,0)),"")</f>
        <v/>
      </c>
      <c r="C210" s="23" t="str">
        <f>IFERROR(INDEX('Output Utente'!$B$2:$B$492,MATCH(207,'Output Utente'!$R$2:$R$492,0)),"")</f>
        <v/>
      </c>
      <c r="D210" s="23" t="str">
        <f>IFERROR(INDEX('Output Utente'!$C$2:$C$492,MATCH(207,'Output Utente'!$R$2:$R$492,0)),"")</f>
        <v/>
      </c>
      <c r="E210" s="23" t="str">
        <f>IFERROR(INDEX('Input Giocatori 2026_27'!$D$3:$D$493,MATCH($B210,'Input Giocatori 2026_27'!$A$3:$A$493,0)),"")</f>
        <v/>
      </c>
      <c r="F210" s="24" t="str">
        <f>IFERROR(INDEX('Output Utente'!$N$2:$N$492,MATCH(207,'Output Utente'!$R$2:$R$492,0)),"")</f>
        <v/>
      </c>
      <c r="G210" s="23" t="str">
        <f>IFERROR(INDEX('Output Utente'!$O$2:$O$492,MATCH(207,'Output Utente'!$R$2:$R$492,0)),"")</f>
        <v/>
      </c>
      <c r="H210" s="23" t="str">
        <f>IFERROR(INDEX('Output Utente'!$P$2:$P$492,MATCH(207,'Output Utente'!$R$2:$R$492,0)),"")</f>
        <v/>
      </c>
      <c r="I210" s="24" t="str">
        <f>IFERROR(INDEX('Output Utente'!$F$2:$F$492,MATCH(207,'Output Utente'!$R$2:$R$492,0)),"")</f>
        <v/>
      </c>
      <c r="J210" s="24" t="str">
        <f>IFERROR(INDEX('Output Utente'!$G$2:$G$492,MATCH(207,'Output Utente'!$R$2:$R$492,0)),"")</f>
        <v/>
      </c>
      <c r="K210" s="24" t="str">
        <f>IFERROR(INDEX('Output Utente'!$H$2:$H$492,MATCH(207,'Output Utente'!$R$2:$R$492,0)),"")</f>
        <v/>
      </c>
      <c r="L210" s="23" t="str">
        <f>IFERROR(INDEX('Output Utente'!$E$2:$E$492,MATCH(207,'Output Utente'!$R$2:$R$492,0)),"")</f>
        <v/>
      </c>
      <c r="V210" t="str">
        <f>IFERROR(INDEX('Output Utente'!$M$2:$M$492,MATCH(207,'Output Utente'!$R$2:$R$492,0)),"")</f>
        <v/>
      </c>
      <c r="W210" t="str">
        <f t="shared" si="3"/>
        <v/>
      </c>
      <c r="X210" t="str">
        <f>IFERROR(INDEX('Output Utente'!$AF$2:$AF$492,MATCH(207,'Output Utente'!$R$2:$R$492,0)),"")</f>
        <v/>
      </c>
    </row>
    <row r="211" spans="1:24" ht="15" customHeight="1" x14ac:dyDescent="0.25">
      <c r="A211" s="26">
        <v>208</v>
      </c>
      <c r="B211" s="23" t="str">
        <f>IFERROR(INDEX('Output Utente'!$A$2:$A$492,MATCH(208,'Output Utente'!$R$2:$R$492,0)),"")</f>
        <v/>
      </c>
      <c r="C211" s="23" t="str">
        <f>IFERROR(INDEX('Output Utente'!$B$2:$B$492,MATCH(208,'Output Utente'!$R$2:$R$492,0)),"")</f>
        <v/>
      </c>
      <c r="D211" s="23" t="str">
        <f>IFERROR(INDEX('Output Utente'!$C$2:$C$492,MATCH(208,'Output Utente'!$R$2:$R$492,0)),"")</f>
        <v/>
      </c>
      <c r="E211" s="23" t="str">
        <f>IFERROR(INDEX('Input Giocatori 2026_27'!$D$3:$D$493,MATCH($B211,'Input Giocatori 2026_27'!$A$3:$A$493,0)),"")</f>
        <v/>
      </c>
      <c r="F211" s="24" t="str">
        <f>IFERROR(INDEX('Output Utente'!$N$2:$N$492,MATCH(208,'Output Utente'!$R$2:$R$492,0)),"")</f>
        <v/>
      </c>
      <c r="G211" s="23" t="str">
        <f>IFERROR(INDEX('Output Utente'!$O$2:$O$492,MATCH(208,'Output Utente'!$R$2:$R$492,0)),"")</f>
        <v/>
      </c>
      <c r="H211" s="23" t="str">
        <f>IFERROR(INDEX('Output Utente'!$P$2:$P$492,MATCH(208,'Output Utente'!$R$2:$R$492,0)),"")</f>
        <v/>
      </c>
      <c r="I211" s="24" t="str">
        <f>IFERROR(INDEX('Output Utente'!$F$2:$F$492,MATCH(208,'Output Utente'!$R$2:$R$492,0)),"")</f>
        <v/>
      </c>
      <c r="J211" s="24" t="str">
        <f>IFERROR(INDEX('Output Utente'!$G$2:$G$492,MATCH(208,'Output Utente'!$R$2:$R$492,0)),"")</f>
        <v/>
      </c>
      <c r="K211" s="24" t="str">
        <f>IFERROR(INDEX('Output Utente'!$H$2:$H$492,MATCH(208,'Output Utente'!$R$2:$R$492,0)),"")</f>
        <v/>
      </c>
      <c r="L211" s="23" t="str">
        <f>IFERROR(INDEX('Output Utente'!$E$2:$E$492,MATCH(208,'Output Utente'!$R$2:$R$492,0)),"")</f>
        <v/>
      </c>
      <c r="V211" t="str">
        <f>IFERROR(INDEX('Output Utente'!$M$2:$M$492,MATCH(208,'Output Utente'!$R$2:$R$492,0)),"")</f>
        <v/>
      </c>
      <c r="W211" t="str">
        <f t="shared" si="3"/>
        <v/>
      </c>
      <c r="X211" t="str">
        <f>IFERROR(INDEX('Output Utente'!$AF$2:$AF$492,MATCH(208,'Output Utente'!$R$2:$R$492,0)),"")</f>
        <v/>
      </c>
    </row>
    <row r="212" spans="1:24" ht="15" customHeight="1" x14ac:dyDescent="0.25">
      <c r="A212" s="26">
        <v>209</v>
      </c>
      <c r="B212" s="23" t="str">
        <f>IFERROR(INDEX('Output Utente'!$A$2:$A$492,MATCH(209,'Output Utente'!$R$2:$R$492,0)),"")</f>
        <v/>
      </c>
      <c r="C212" s="23" t="str">
        <f>IFERROR(INDEX('Output Utente'!$B$2:$B$492,MATCH(209,'Output Utente'!$R$2:$R$492,0)),"")</f>
        <v/>
      </c>
      <c r="D212" s="23" t="str">
        <f>IFERROR(INDEX('Output Utente'!$C$2:$C$492,MATCH(209,'Output Utente'!$R$2:$R$492,0)),"")</f>
        <v/>
      </c>
      <c r="E212" s="23" t="str">
        <f>IFERROR(INDEX('Input Giocatori 2026_27'!$D$3:$D$493,MATCH($B212,'Input Giocatori 2026_27'!$A$3:$A$493,0)),"")</f>
        <v/>
      </c>
      <c r="F212" s="24" t="str">
        <f>IFERROR(INDEX('Output Utente'!$N$2:$N$492,MATCH(209,'Output Utente'!$R$2:$R$492,0)),"")</f>
        <v/>
      </c>
      <c r="G212" s="23" t="str">
        <f>IFERROR(INDEX('Output Utente'!$O$2:$O$492,MATCH(209,'Output Utente'!$R$2:$R$492,0)),"")</f>
        <v/>
      </c>
      <c r="H212" s="23" t="str">
        <f>IFERROR(INDEX('Output Utente'!$P$2:$P$492,MATCH(209,'Output Utente'!$R$2:$R$492,0)),"")</f>
        <v/>
      </c>
      <c r="I212" s="24" t="str">
        <f>IFERROR(INDEX('Output Utente'!$F$2:$F$492,MATCH(209,'Output Utente'!$R$2:$R$492,0)),"")</f>
        <v/>
      </c>
      <c r="J212" s="24" t="str">
        <f>IFERROR(INDEX('Output Utente'!$G$2:$G$492,MATCH(209,'Output Utente'!$R$2:$R$492,0)),"")</f>
        <v/>
      </c>
      <c r="K212" s="24" t="str">
        <f>IFERROR(INDEX('Output Utente'!$H$2:$H$492,MATCH(209,'Output Utente'!$R$2:$R$492,0)),"")</f>
        <v/>
      </c>
      <c r="L212" s="23" t="str">
        <f>IFERROR(INDEX('Output Utente'!$E$2:$E$492,MATCH(209,'Output Utente'!$R$2:$R$492,0)),"")</f>
        <v/>
      </c>
      <c r="V212" t="str">
        <f>IFERROR(INDEX('Output Utente'!$M$2:$M$492,MATCH(209,'Output Utente'!$R$2:$R$492,0)),"")</f>
        <v/>
      </c>
      <c r="W212" t="str">
        <f t="shared" si="3"/>
        <v/>
      </c>
      <c r="X212" t="str">
        <f>IFERROR(INDEX('Output Utente'!$AF$2:$AF$492,MATCH(209,'Output Utente'!$R$2:$R$492,0)),"")</f>
        <v/>
      </c>
    </row>
    <row r="213" spans="1:24" ht="15" customHeight="1" x14ac:dyDescent="0.25">
      <c r="A213" s="26">
        <v>210</v>
      </c>
      <c r="B213" s="23" t="str">
        <f>IFERROR(INDEX('Output Utente'!$A$2:$A$492,MATCH(210,'Output Utente'!$R$2:$R$492,0)),"")</f>
        <v/>
      </c>
      <c r="C213" s="23" t="str">
        <f>IFERROR(INDEX('Output Utente'!$B$2:$B$492,MATCH(210,'Output Utente'!$R$2:$R$492,0)),"")</f>
        <v/>
      </c>
      <c r="D213" s="23" t="str">
        <f>IFERROR(INDEX('Output Utente'!$C$2:$C$492,MATCH(210,'Output Utente'!$R$2:$R$492,0)),"")</f>
        <v/>
      </c>
      <c r="E213" s="23" t="str">
        <f>IFERROR(INDEX('Input Giocatori 2026_27'!$D$3:$D$493,MATCH($B213,'Input Giocatori 2026_27'!$A$3:$A$493,0)),"")</f>
        <v/>
      </c>
      <c r="F213" s="24" t="str">
        <f>IFERROR(INDEX('Output Utente'!$N$2:$N$492,MATCH(210,'Output Utente'!$R$2:$R$492,0)),"")</f>
        <v/>
      </c>
      <c r="G213" s="23" t="str">
        <f>IFERROR(INDEX('Output Utente'!$O$2:$O$492,MATCH(210,'Output Utente'!$R$2:$R$492,0)),"")</f>
        <v/>
      </c>
      <c r="H213" s="23" t="str">
        <f>IFERROR(INDEX('Output Utente'!$P$2:$P$492,MATCH(210,'Output Utente'!$R$2:$R$492,0)),"")</f>
        <v/>
      </c>
      <c r="I213" s="24" t="str">
        <f>IFERROR(INDEX('Output Utente'!$F$2:$F$492,MATCH(210,'Output Utente'!$R$2:$R$492,0)),"")</f>
        <v/>
      </c>
      <c r="J213" s="24" t="str">
        <f>IFERROR(INDEX('Output Utente'!$G$2:$G$492,MATCH(210,'Output Utente'!$R$2:$R$492,0)),"")</f>
        <v/>
      </c>
      <c r="K213" s="24" t="str">
        <f>IFERROR(INDEX('Output Utente'!$H$2:$H$492,MATCH(210,'Output Utente'!$R$2:$R$492,0)),"")</f>
        <v/>
      </c>
      <c r="L213" s="23" t="str">
        <f>IFERROR(INDEX('Output Utente'!$E$2:$E$492,MATCH(210,'Output Utente'!$R$2:$R$492,0)),"")</f>
        <v/>
      </c>
      <c r="V213" t="str">
        <f>IFERROR(INDEX('Output Utente'!$M$2:$M$492,MATCH(210,'Output Utente'!$R$2:$R$492,0)),"")</f>
        <v/>
      </c>
      <c r="W213" t="str">
        <f t="shared" si="3"/>
        <v/>
      </c>
      <c r="X213" t="str">
        <f>IFERROR(INDEX('Output Utente'!$AF$2:$AF$492,MATCH(210,'Output Utente'!$R$2:$R$492,0)),"")</f>
        <v/>
      </c>
    </row>
    <row r="214" spans="1:24" ht="15" customHeight="1" x14ac:dyDescent="0.25">
      <c r="A214" s="26">
        <v>211</v>
      </c>
      <c r="B214" s="23" t="str">
        <f>IFERROR(INDEX('Output Utente'!$A$2:$A$492,MATCH(211,'Output Utente'!$R$2:$R$492,0)),"")</f>
        <v/>
      </c>
      <c r="C214" s="23" t="str">
        <f>IFERROR(INDEX('Output Utente'!$B$2:$B$492,MATCH(211,'Output Utente'!$R$2:$R$492,0)),"")</f>
        <v/>
      </c>
      <c r="D214" s="23" t="str">
        <f>IFERROR(INDEX('Output Utente'!$C$2:$C$492,MATCH(211,'Output Utente'!$R$2:$R$492,0)),"")</f>
        <v/>
      </c>
      <c r="E214" s="23" t="str">
        <f>IFERROR(INDEX('Input Giocatori 2026_27'!$D$3:$D$493,MATCH($B214,'Input Giocatori 2026_27'!$A$3:$A$493,0)),"")</f>
        <v/>
      </c>
      <c r="F214" s="24" t="str">
        <f>IFERROR(INDEX('Output Utente'!$N$2:$N$492,MATCH(211,'Output Utente'!$R$2:$R$492,0)),"")</f>
        <v/>
      </c>
      <c r="G214" s="23" t="str">
        <f>IFERROR(INDEX('Output Utente'!$O$2:$O$492,MATCH(211,'Output Utente'!$R$2:$R$492,0)),"")</f>
        <v/>
      </c>
      <c r="H214" s="23" t="str">
        <f>IFERROR(INDEX('Output Utente'!$P$2:$P$492,MATCH(211,'Output Utente'!$R$2:$R$492,0)),"")</f>
        <v/>
      </c>
      <c r="I214" s="24" t="str">
        <f>IFERROR(INDEX('Output Utente'!$F$2:$F$492,MATCH(211,'Output Utente'!$R$2:$R$492,0)),"")</f>
        <v/>
      </c>
      <c r="J214" s="24" t="str">
        <f>IFERROR(INDEX('Output Utente'!$G$2:$G$492,MATCH(211,'Output Utente'!$R$2:$R$492,0)),"")</f>
        <v/>
      </c>
      <c r="K214" s="24" t="str">
        <f>IFERROR(INDEX('Output Utente'!$H$2:$H$492,MATCH(211,'Output Utente'!$R$2:$R$492,0)),"")</f>
        <v/>
      </c>
      <c r="L214" s="23" t="str">
        <f>IFERROR(INDEX('Output Utente'!$E$2:$E$492,MATCH(211,'Output Utente'!$R$2:$R$492,0)),"")</f>
        <v/>
      </c>
      <c r="V214" t="str">
        <f>IFERROR(INDEX('Output Utente'!$M$2:$M$492,MATCH(211,'Output Utente'!$R$2:$R$492,0)),"")</f>
        <v/>
      </c>
      <c r="W214" t="str">
        <f t="shared" si="3"/>
        <v/>
      </c>
      <c r="X214" t="str">
        <f>IFERROR(INDEX('Output Utente'!$AF$2:$AF$492,MATCH(211,'Output Utente'!$R$2:$R$492,0)),"")</f>
        <v/>
      </c>
    </row>
    <row r="215" spans="1:24" ht="15" customHeight="1" x14ac:dyDescent="0.25">
      <c r="A215" s="26">
        <v>212</v>
      </c>
      <c r="B215" s="23" t="str">
        <f>IFERROR(INDEX('Output Utente'!$A$2:$A$492,MATCH(212,'Output Utente'!$R$2:$R$492,0)),"")</f>
        <v/>
      </c>
      <c r="C215" s="23" t="str">
        <f>IFERROR(INDEX('Output Utente'!$B$2:$B$492,MATCH(212,'Output Utente'!$R$2:$R$492,0)),"")</f>
        <v/>
      </c>
      <c r="D215" s="23" t="str">
        <f>IFERROR(INDEX('Output Utente'!$C$2:$C$492,MATCH(212,'Output Utente'!$R$2:$R$492,0)),"")</f>
        <v/>
      </c>
      <c r="E215" s="23" t="str">
        <f>IFERROR(INDEX('Input Giocatori 2026_27'!$D$3:$D$493,MATCH($B215,'Input Giocatori 2026_27'!$A$3:$A$493,0)),"")</f>
        <v/>
      </c>
      <c r="F215" s="24" t="str">
        <f>IFERROR(INDEX('Output Utente'!$N$2:$N$492,MATCH(212,'Output Utente'!$R$2:$R$492,0)),"")</f>
        <v/>
      </c>
      <c r="G215" s="23" t="str">
        <f>IFERROR(INDEX('Output Utente'!$O$2:$O$492,MATCH(212,'Output Utente'!$R$2:$R$492,0)),"")</f>
        <v/>
      </c>
      <c r="H215" s="23" t="str">
        <f>IFERROR(INDEX('Output Utente'!$P$2:$P$492,MATCH(212,'Output Utente'!$R$2:$R$492,0)),"")</f>
        <v/>
      </c>
      <c r="I215" s="24" t="str">
        <f>IFERROR(INDEX('Output Utente'!$F$2:$F$492,MATCH(212,'Output Utente'!$R$2:$R$492,0)),"")</f>
        <v/>
      </c>
      <c r="J215" s="24" t="str">
        <f>IFERROR(INDEX('Output Utente'!$G$2:$G$492,MATCH(212,'Output Utente'!$R$2:$R$492,0)),"")</f>
        <v/>
      </c>
      <c r="K215" s="24" t="str">
        <f>IFERROR(INDEX('Output Utente'!$H$2:$H$492,MATCH(212,'Output Utente'!$R$2:$R$492,0)),"")</f>
        <v/>
      </c>
      <c r="L215" s="23" t="str">
        <f>IFERROR(INDEX('Output Utente'!$E$2:$E$492,MATCH(212,'Output Utente'!$R$2:$R$492,0)),"")</f>
        <v/>
      </c>
      <c r="V215" t="str">
        <f>IFERROR(INDEX('Output Utente'!$M$2:$M$492,MATCH(212,'Output Utente'!$R$2:$R$492,0)),"")</f>
        <v/>
      </c>
      <c r="W215" t="str">
        <f t="shared" si="3"/>
        <v/>
      </c>
      <c r="X215" t="str">
        <f>IFERROR(INDEX('Output Utente'!$AF$2:$AF$492,MATCH(212,'Output Utente'!$R$2:$R$492,0)),"")</f>
        <v/>
      </c>
    </row>
    <row r="216" spans="1:24" ht="15" customHeight="1" x14ac:dyDescent="0.25">
      <c r="A216" s="26">
        <v>213</v>
      </c>
      <c r="B216" s="23" t="str">
        <f>IFERROR(INDEX('Output Utente'!$A$2:$A$492,MATCH(213,'Output Utente'!$R$2:$R$492,0)),"")</f>
        <v/>
      </c>
      <c r="C216" s="23" t="str">
        <f>IFERROR(INDEX('Output Utente'!$B$2:$B$492,MATCH(213,'Output Utente'!$R$2:$R$492,0)),"")</f>
        <v/>
      </c>
      <c r="D216" s="23" t="str">
        <f>IFERROR(INDEX('Output Utente'!$C$2:$C$492,MATCH(213,'Output Utente'!$R$2:$R$492,0)),"")</f>
        <v/>
      </c>
      <c r="E216" s="23" t="str">
        <f>IFERROR(INDEX('Input Giocatori 2026_27'!$D$3:$D$493,MATCH($B216,'Input Giocatori 2026_27'!$A$3:$A$493,0)),"")</f>
        <v/>
      </c>
      <c r="F216" s="24" t="str">
        <f>IFERROR(INDEX('Output Utente'!$N$2:$N$492,MATCH(213,'Output Utente'!$R$2:$R$492,0)),"")</f>
        <v/>
      </c>
      <c r="G216" s="23" t="str">
        <f>IFERROR(INDEX('Output Utente'!$O$2:$O$492,MATCH(213,'Output Utente'!$R$2:$R$492,0)),"")</f>
        <v/>
      </c>
      <c r="H216" s="23" t="str">
        <f>IFERROR(INDEX('Output Utente'!$P$2:$P$492,MATCH(213,'Output Utente'!$R$2:$R$492,0)),"")</f>
        <v/>
      </c>
      <c r="I216" s="24" t="str">
        <f>IFERROR(INDEX('Output Utente'!$F$2:$F$492,MATCH(213,'Output Utente'!$R$2:$R$492,0)),"")</f>
        <v/>
      </c>
      <c r="J216" s="24" t="str">
        <f>IFERROR(INDEX('Output Utente'!$G$2:$G$492,MATCH(213,'Output Utente'!$R$2:$R$492,0)),"")</f>
        <v/>
      </c>
      <c r="K216" s="24" t="str">
        <f>IFERROR(INDEX('Output Utente'!$H$2:$H$492,MATCH(213,'Output Utente'!$R$2:$R$492,0)),"")</f>
        <v/>
      </c>
      <c r="L216" s="23" t="str">
        <f>IFERROR(INDEX('Output Utente'!$E$2:$E$492,MATCH(213,'Output Utente'!$R$2:$R$492,0)),"")</f>
        <v/>
      </c>
      <c r="V216" t="str">
        <f>IFERROR(INDEX('Output Utente'!$M$2:$M$492,MATCH(213,'Output Utente'!$R$2:$R$492,0)),"")</f>
        <v/>
      </c>
      <c r="W216" t="str">
        <f t="shared" si="3"/>
        <v/>
      </c>
      <c r="X216" t="str">
        <f>IFERROR(INDEX('Output Utente'!$AF$2:$AF$492,MATCH(213,'Output Utente'!$R$2:$R$492,0)),"")</f>
        <v/>
      </c>
    </row>
    <row r="217" spans="1:24" ht="15" customHeight="1" x14ac:dyDescent="0.25">
      <c r="A217" s="26">
        <v>214</v>
      </c>
      <c r="B217" s="23" t="str">
        <f>IFERROR(INDEX('Output Utente'!$A$2:$A$492,MATCH(214,'Output Utente'!$R$2:$R$492,0)),"")</f>
        <v/>
      </c>
      <c r="C217" s="23" t="str">
        <f>IFERROR(INDEX('Output Utente'!$B$2:$B$492,MATCH(214,'Output Utente'!$R$2:$R$492,0)),"")</f>
        <v/>
      </c>
      <c r="D217" s="23" t="str">
        <f>IFERROR(INDEX('Output Utente'!$C$2:$C$492,MATCH(214,'Output Utente'!$R$2:$R$492,0)),"")</f>
        <v/>
      </c>
      <c r="E217" s="23" t="str">
        <f>IFERROR(INDEX('Input Giocatori 2026_27'!$D$3:$D$493,MATCH($B217,'Input Giocatori 2026_27'!$A$3:$A$493,0)),"")</f>
        <v/>
      </c>
      <c r="F217" s="24" t="str">
        <f>IFERROR(INDEX('Output Utente'!$N$2:$N$492,MATCH(214,'Output Utente'!$R$2:$R$492,0)),"")</f>
        <v/>
      </c>
      <c r="G217" s="23" t="str">
        <f>IFERROR(INDEX('Output Utente'!$O$2:$O$492,MATCH(214,'Output Utente'!$R$2:$R$492,0)),"")</f>
        <v/>
      </c>
      <c r="H217" s="23" t="str">
        <f>IFERROR(INDEX('Output Utente'!$P$2:$P$492,MATCH(214,'Output Utente'!$R$2:$R$492,0)),"")</f>
        <v/>
      </c>
      <c r="I217" s="24" t="str">
        <f>IFERROR(INDEX('Output Utente'!$F$2:$F$492,MATCH(214,'Output Utente'!$R$2:$R$492,0)),"")</f>
        <v/>
      </c>
      <c r="J217" s="24" t="str">
        <f>IFERROR(INDEX('Output Utente'!$G$2:$G$492,MATCH(214,'Output Utente'!$R$2:$R$492,0)),"")</f>
        <v/>
      </c>
      <c r="K217" s="24" t="str">
        <f>IFERROR(INDEX('Output Utente'!$H$2:$H$492,MATCH(214,'Output Utente'!$R$2:$R$492,0)),"")</f>
        <v/>
      </c>
      <c r="L217" s="23" t="str">
        <f>IFERROR(INDEX('Output Utente'!$E$2:$E$492,MATCH(214,'Output Utente'!$R$2:$R$492,0)),"")</f>
        <v/>
      </c>
      <c r="V217" t="str">
        <f>IFERROR(INDEX('Output Utente'!$M$2:$M$492,MATCH(214,'Output Utente'!$R$2:$R$492,0)),"")</f>
        <v/>
      </c>
      <c r="W217" t="str">
        <f t="shared" si="3"/>
        <v/>
      </c>
      <c r="X217" t="str">
        <f>IFERROR(INDEX('Output Utente'!$AF$2:$AF$492,MATCH(214,'Output Utente'!$R$2:$R$492,0)),"")</f>
        <v/>
      </c>
    </row>
    <row r="218" spans="1:24" ht="15" customHeight="1" x14ac:dyDescent="0.25">
      <c r="A218" s="26">
        <v>215</v>
      </c>
      <c r="B218" s="23" t="str">
        <f>IFERROR(INDEX('Output Utente'!$A$2:$A$492,MATCH(215,'Output Utente'!$R$2:$R$492,0)),"")</f>
        <v/>
      </c>
      <c r="C218" s="23" t="str">
        <f>IFERROR(INDEX('Output Utente'!$B$2:$B$492,MATCH(215,'Output Utente'!$R$2:$R$492,0)),"")</f>
        <v/>
      </c>
      <c r="D218" s="23" t="str">
        <f>IFERROR(INDEX('Output Utente'!$C$2:$C$492,MATCH(215,'Output Utente'!$R$2:$R$492,0)),"")</f>
        <v/>
      </c>
      <c r="E218" s="23" t="str">
        <f>IFERROR(INDEX('Input Giocatori 2026_27'!$D$3:$D$493,MATCH($B218,'Input Giocatori 2026_27'!$A$3:$A$493,0)),"")</f>
        <v/>
      </c>
      <c r="F218" s="24" t="str">
        <f>IFERROR(INDEX('Output Utente'!$N$2:$N$492,MATCH(215,'Output Utente'!$R$2:$R$492,0)),"")</f>
        <v/>
      </c>
      <c r="G218" s="23" t="str">
        <f>IFERROR(INDEX('Output Utente'!$O$2:$O$492,MATCH(215,'Output Utente'!$R$2:$R$492,0)),"")</f>
        <v/>
      </c>
      <c r="H218" s="23" t="str">
        <f>IFERROR(INDEX('Output Utente'!$P$2:$P$492,MATCH(215,'Output Utente'!$R$2:$R$492,0)),"")</f>
        <v/>
      </c>
      <c r="I218" s="24" t="str">
        <f>IFERROR(INDEX('Output Utente'!$F$2:$F$492,MATCH(215,'Output Utente'!$R$2:$R$492,0)),"")</f>
        <v/>
      </c>
      <c r="J218" s="24" t="str">
        <f>IFERROR(INDEX('Output Utente'!$G$2:$G$492,MATCH(215,'Output Utente'!$R$2:$R$492,0)),"")</f>
        <v/>
      </c>
      <c r="K218" s="24" t="str">
        <f>IFERROR(INDEX('Output Utente'!$H$2:$H$492,MATCH(215,'Output Utente'!$R$2:$R$492,0)),"")</f>
        <v/>
      </c>
      <c r="L218" s="23" t="str">
        <f>IFERROR(INDEX('Output Utente'!$E$2:$E$492,MATCH(215,'Output Utente'!$R$2:$R$492,0)),"")</f>
        <v/>
      </c>
      <c r="V218" t="str">
        <f>IFERROR(INDEX('Output Utente'!$M$2:$M$492,MATCH(215,'Output Utente'!$R$2:$R$492,0)),"")</f>
        <v/>
      </c>
      <c r="W218" t="str">
        <f t="shared" si="3"/>
        <v/>
      </c>
      <c r="X218" t="str">
        <f>IFERROR(INDEX('Output Utente'!$AF$2:$AF$492,MATCH(215,'Output Utente'!$R$2:$R$492,0)),"")</f>
        <v/>
      </c>
    </row>
    <row r="219" spans="1:24" ht="15" customHeight="1" x14ac:dyDescent="0.25">
      <c r="A219" s="26">
        <v>216</v>
      </c>
      <c r="B219" s="23" t="str">
        <f>IFERROR(INDEX('Output Utente'!$A$2:$A$492,MATCH(216,'Output Utente'!$R$2:$R$492,0)),"")</f>
        <v/>
      </c>
      <c r="C219" s="23" t="str">
        <f>IFERROR(INDEX('Output Utente'!$B$2:$B$492,MATCH(216,'Output Utente'!$R$2:$R$492,0)),"")</f>
        <v/>
      </c>
      <c r="D219" s="23" t="str">
        <f>IFERROR(INDEX('Output Utente'!$C$2:$C$492,MATCH(216,'Output Utente'!$R$2:$R$492,0)),"")</f>
        <v/>
      </c>
      <c r="E219" s="23" t="str">
        <f>IFERROR(INDEX('Input Giocatori 2026_27'!$D$3:$D$493,MATCH($B219,'Input Giocatori 2026_27'!$A$3:$A$493,0)),"")</f>
        <v/>
      </c>
      <c r="F219" s="24" t="str">
        <f>IFERROR(INDEX('Output Utente'!$N$2:$N$492,MATCH(216,'Output Utente'!$R$2:$R$492,0)),"")</f>
        <v/>
      </c>
      <c r="G219" s="23" t="str">
        <f>IFERROR(INDEX('Output Utente'!$O$2:$O$492,MATCH(216,'Output Utente'!$R$2:$R$492,0)),"")</f>
        <v/>
      </c>
      <c r="H219" s="23" t="str">
        <f>IFERROR(INDEX('Output Utente'!$P$2:$P$492,MATCH(216,'Output Utente'!$R$2:$R$492,0)),"")</f>
        <v/>
      </c>
      <c r="I219" s="24" t="str">
        <f>IFERROR(INDEX('Output Utente'!$F$2:$F$492,MATCH(216,'Output Utente'!$R$2:$R$492,0)),"")</f>
        <v/>
      </c>
      <c r="J219" s="24" t="str">
        <f>IFERROR(INDEX('Output Utente'!$G$2:$G$492,MATCH(216,'Output Utente'!$R$2:$R$492,0)),"")</f>
        <v/>
      </c>
      <c r="K219" s="24" t="str">
        <f>IFERROR(INDEX('Output Utente'!$H$2:$H$492,MATCH(216,'Output Utente'!$R$2:$R$492,0)),"")</f>
        <v/>
      </c>
      <c r="L219" s="23" t="str">
        <f>IFERROR(INDEX('Output Utente'!$E$2:$E$492,MATCH(216,'Output Utente'!$R$2:$R$492,0)),"")</f>
        <v/>
      </c>
      <c r="V219" t="str">
        <f>IFERROR(INDEX('Output Utente'!$M$2:$M$492,MATCH(216,'Output Utente'!$R$2:$R$492,0)),"")</f>
        <v/>
      </c>
      <c r="W219" t="str">
        <f t="shared" si="3"/>
        <v/>
      </c>
      <c r="X219" t="str">
        <f>IFERROR(INDEX('Output Utente'!$AF$2:$AF$492,MATCH(216,'Output Utente'!$R$2:$R$492,0)),"")</f>
        <v/>
      </c>
    </row>
    <row r="220" spans="1:24" ht="15" customHeight="1" x14ac:dyDescent="0.25">
      <c r="A220" s="26">
        <v>217</v>
      </c>
      <c r="B220" s="23" t="str">
        <f>IFERROR(INDEX('Output Utente'!$A$2:$A$492,MATCH(217,'Output Utente'!$R$2:$R$492,0)),"")</f>
        <v/>
      </c>
      <c r="C220" s="23" t="str">
        <f>IFERROR(INDEX('Output Utente'!$B$2:$B$492,MATCH(217,'Output Utente'!$R$2:$R$492,0)),"")</f>
        <v/>
      </c>
      <c r="D220" s="23" t="str">
        <f>IFERROR(INDEX('Output Utente'!$C$2:$C$492,MATCH(217,'Output Utente'!$R$2:$R$492,0)),"")</f>
        <v/>
      </c>
      <c r="E220" s="23" t="str">
        <f>IFERROR(INDEX('Input Giocatori 2026_27'!$D$3:$D$493,MATCH($B220,'Input Giocatori 2026_27'!$A$3:$A$493,0)),"")</f>
        <v/>
      </c>
      <c r="F220" s="24" t="str">
        <f>IFERROR(INDEX('Output Utente'!$N$2:$N$492,MATCH(217,'Output Utente'!$R$2:$R$492,0)),"")</f>
        <v/>
      </c>
      <c r="G220" s="23" t="str">
        <f>IFERROR(INDEX('Output Utente'!$O$2:$O$492,MATCH(217,'Output Utente'!$R$2:$R$492,0)),"")</f>
        <v/>
      </c>
      <c r="H220" s="23" t="str">
        <f>IFERROR(INDEX('Output Utente'!$P$2:$P$492,MATCH(217,'Output Utente'!$R$2:$R$492,0)),"")</f>
        <v/>
      </c>
      <c r="I220" s="24" t="str">
        <f>IFERROR(INDEX('Output Utente'!$F$2:$F$492,MATCH(217,'Output Utente'!$R$2:$R$492,0)),"")</f>
        <v/>
      </c>
      <c r="J220" s="24" t="str">
        <f>IFERROR(INDEX('Output Utente'!$G$2:$G$492,MATCH(217,'Output Utente'!$R$2:$R$492,0)),"")</f>
        <v/>
      </c>
      <c r="K220" s="24" t="str">
        <f>IFERROR(INDEX('Output Utente'!$H$2:$H$492,MATCH(217,'Output Utente'!$R$2:$R$492,0)),"")</f>
        <v/>
      </c>
      <c r="L220" s="23" t="str">
        <f>IFERROR(INDEX('Output Utente'!$E$2:$E$492,MATCH(217,'Output Utente'!$R$2:$R$492,0)),"")</f>
        <v/>
      </c>
      <c r="V220" t="str">
        <f>IFERROR(INDEX('Output Utente'!$M$2:$M$492,MATCH(217,'Output Utente'!$R$2:$R$492,0)),"")</f>
        <v/>
      </c>
      <c r="W220" t="str">
        <f t="shared" si="3"/>
        <v/>
      </c>
      <c r="X220" t="str">
        <f>IFERROR(INDEX('Output Utente'!$AF$2:$AF$492,MATCH(217,'Output Utente'!$R$2:$R$492,0)),"")</f>
        <v/>
      </c>
    </row>
    <row r="221" spans="1:24" ht="15" customHeight="1" x14ac:dyDescent="0.25">
      <c r="A221" s="26">
        <v>218</v>
      </c>
      <c r="B221" s="23" t="str">
        <f>IFERROR(INDEX('Output Utente'!$A$2:$A$492,MATCH(218,'Output Utente'!$R$2:$R$492,0)),"")</f>
        <v/>
      </c>
      <c r="C221" s="23" t="str">
        <f>IFERROR(INDEX('Output Utente'!$B$2:$B$492,MATCH(218,'Output Utente'!$R$2:$R$492,0)),"")</f>
        <v/>
      </c>
      <c r="D221" s="23" t="str">
        <f>IFERROR(INDEX('Output Utente'!$C$2:$C$492,MATCH(218,'Output Utente'!$R$2:$R$492,0)),"")</f>
        <v/>
      </c>
      <c r="E221" s="23" t="str">
        <f>IFERROR(INDEX('Input Giocatori 2026_27'!$D$3:$D$493,MATCH($B221,'Input Giocatori 2026_27'!$A$3:$A$493,0)),"")</f>
        <v/>
      </c>
      <c r="F221" s="24" t="str">
        <f>IFERROR(INDEX('Output Utente'!$N$2:$N$492,MATCH(218,'Output Utente'!$R$2:$R$492,0)),"")</f>
        <v/>
      </c>
      <c r="G221" s="23" t="str">
        <f>IFERROR(INDEX('Output Utente'!$O$2:$O$492,MATCH(218,'Output Utente'!$R$2:$R$492,0)),"")</f>
        <v/>
      </c>
      <c r="H221" s="23" t="str">
        <f>IFERROR(INDEX('Output Utente'!$P$2:$P$492,MATCH(218,'Output Utente'!$R$2:$R$492,0)),"")</f>
        <v/>
      </c>
      <c r="I221" s="24" t="str">
        <f>IFERROR(INDEX('Output Utente'!$F$2:$F$492,MATCH(218,'Output Utente'!$R$2:$R$492,0)),"")</f>
        <v/>
      </c>
      <c r="J221" s="24" t="str">
        <f>IFERROR(INDEX('Output Utente'!$G$2:$G$492,MATCH(218,'Output Utente'!$R$2:$R$492,0)),"")</f>
        <v/>
      </c>
      <c r="K221" s="24" t="str">
        <f>IFERROR(INDEX('Output Utente'!$H$2:$H$492,MATCH(218,'Output Utente'!$R$2:$R$492,0)),"")</f>
        <v/>
      </c>
      <c r="L221" s="23" t="str">
        <f>IFERROR(INDEX('Output Utente'!$E$2:$E$492,MATCH(218,'Output Utente'!$R$2:$R$492,0)),"")</f>
        <v/>
      </c>
      <c r="V221" t="str">
        <f>IFERROR(INDEX('Output Utente'!$M$2:$M$492,MATCH(218,'Output Utente'!$R$2:$R$492,0)),"")</f>
        <v/>
      </c>
      <c r="W221" t="str">
        <f t="shared" si="3"/>
        <v/>
      </c>
      <c r="X221" t="str">
        <f>IFERROR(INDEX('Output Utente'!$AF$2:$AF$492,MATCH(218,'Output Utente'!$R$2:$R$492,0)),"")</f>
        <v/>
      </c>
    </row>
    <row r="222" spans="1:24" ht="15" customHeight="1" x14ac:dyDescent="0.25">
      <c r="A222" s="26">
        <v>219</v>
      </c>
      <c r="B222" s="23" t="str">
        <f>IFERROR(INDEX('Output Utente'!$A$2:$A$492,MATCH(219,'Output Utente'!$R$2:$R$492,0)),"")</f>
        <v/>
      </c>
      <c r="C222" s="23" t="str">
        <f>IFERROR(INDEX('Output Utente'!$B$2:$B$492,MATCH(219,'Output Utente'!$R$2:$R$492,0)),"")</f>
        <v/>
      </c>
      <c r="D222" s="23" t="str">
        <f>IFERROR(INDEX('Output Utente'!$C$2:$C$492,MATCH(219,'Output Utente'!$R$2:$R$492,0)),"")</f>
        <v/>
      </c>
      <c r="E222" s="23" t="str">
        <f>IFERROR(INDEX('Input Giocatori 2026_27'!$D$3:$D$493,MATCH($B222,'Input Giocatori 2026_27'!$A$3:$A$493,0)),"")</f>
        <v/>
      </c>
      <c r="F222" s="24" t="str">
        <f>IFERROR(INDEX('Output Utente'!$N$2:$N$492,MATCH(219,'Output Utente'!$R$2:$R$492,0)),"")</f>
        <v/>
      </c>
      <c r="G222" s="23" t="str">
        <f>IFERROR(INDEX('Output Utente'!$O$2:$O$492,MATCH(219,'Output Utente'!$R$2:$R$492,0)),"")</f>
        <v/>
      </c>
      <c r="H222" s="23" t="str">
        <f>IFERROR(INDEX('Output Utente'!$P$2:$P$492,MATCH(219,'Output Utente'!$R$2:$R$492,0)),"")</f>
        <v/>
      </c>
      <c r="I222" s="24" t="str">
        <f>IFERROR(INDEX('Output Utente'!$F$2:$F$492,MATCH(219,'Output Utente'!$R$2:$R$492,0)),"")</f>
        <v/>
      </c>
      <c r="J222" s="24" t="str">
        <f>IFERROR(INDEX('Output Utente'!$G$2:$G$492,MATCH(219,'Output Utente'!$R$2:$R$492,0)),"")</f>
        <v/>
      </c>
      <c r="K222" s="24" t="str">
        <f>IFERROR(INDEX('Output Utente'!$H$2:$H$492,MATCH(219,'Output Utente'!$R$2:$R$492,0)),"")</f>
        <v/>
      </c>
      <c r="L222" s="23" t="str">
        <f>IFERROR(INDEX('Output Utente'!$E$2:$E$492,MATCH(219,'Output Utente'!$R$2:$R$492,0)),"")</f>
        <v/>
      </c>
      <c r="V222" t="str">
        <f>IFERROR(INDEX('Output Utente'!$M$2:$M$492,MATCH(219,'Output Utente'!$R$2:$R$492,0)),"")</f>
        <v/>
      </c>
      <c r="W222" t="str">
        <f t="shared" si="3"/>
        <v/>
      </c>
      <c r="X222" t="str">
        <f>IFERROR(INDEX('Output Utente'!$AF$2:$AF$492,MATCH(219,'Output Utente'!$R$2:$R$492,0)),"")</f>
        <v/>
      </c>
    </row>
    <row r="223" spans="1:24" ht="15" customHeight="1" x14ac:dyDescent="0.25">
      <c r="A223" s="26">
        <v>220</v>
      </c>
      <c r="B223" s="23" t="str">
        <f>IFERROR(INDEX('Output Utente'!$A$2:$A$492,MATCH(220,'Output Utente'!$R$2:$R$492,0)),"")</f>
        <v/>
      </c>
      <c r="C223" s="23" t="str">
        <f>IFERROR(INDEX('Output Utente'!$B$2:$B$492,MATCH(220,'Output Utente'!$R$2:$R$492,0)),"")</f>
        <v/>
      </c>
      <c r="D223" s="23" t="str">
        <f>IFERROR(INDEX('Output Utente'!$C$2:$C$492,MATCH(220,'Output Utente'!$R$2:$R$492,0)),"")</f>
        <v/>
      </c>
      <c r="E223" s="23" t="str">
        <f>IFERROR(INDEX('Input Giocatori 2026_27'!$D$3:$D$493,MATCH($B223,'Input Giocatori 2026_27'!$A$3:$A$493,0)),"")</f>
        <v/>
      </c>
      <c r="F223" s="24" t="str">
        <f>IFERROR(INDEX('Output Utente'!$N$2:$N$492,MATCH(220,'Output Utente'!$R$2:$R$492,0)),"")</f>
        <v/>
      </c>
      <c r="G223" s="23" t="str">
        <f>IFERROR(INDEX('Output Utente'!$O$2:$O$492,MATCH(220,'Output Utente'!$R$2:$R$492,0)),"")</f>
        <v/>
      </c>
      <c r="H223" s="23" t="str">
        <f>IFERROR(INDEX('Output Utente'!$P$2:$P$492,MATCH(220,'Output Utente'!$R$2:$R$492,0)),"")</f>
        <v/>
      </c>
      <c r="I223" s="24" t="str">
        <f>IFERROR(INDEX('Output Utente'!$F$2:$F$492,MATCH(220,'Output Utente'!$R$2:$R$492,0)),"")</f>
        <v/>
      </c>
      <c r="J223" s="24" t="str">
        <f>IFERROR(INDEX('Output Utente'!$G$2:$G$492,MATCH(220,'Output Utente'!$R$2:$R$492,0)),"")</f>
        <v/>
      </c>
      <c r="K223" s="24" t="str">
        <f>IFERROR(INDEX('Output Utente'!$H$2:$H$492,MATCH(220,'Output Utente'!$R$2:$R$492,0)),"")</f>
        <v/>
      </c>
      <c r="L223" s="23" t="str">
        <f>IFERROR(INDEX('Output Utente'!$E$2:$E$492,MATCH(220,'Output Utente'!$R$2:$R$492,0)),"")</f>
        <v/>
      </c>
      <c r="V223" t="str">
        <f>IFERROR(INDEX('Output Utente'!$M$2:$M$492,MATCH(220,'Output Utente'!$R$2:$R$492,0)),"")</f>
        <v/>
      </c>
      <c r="W223" t="str">
        <f t="shared" si="3"/>
        <v/>
      </c>
      <c r="X223" t="str">
        <f>IFERROR(INDEX('Output Utente'!$AF$2:$AF$492,MATCH(220,'Output Utente'!$R$2:$R$492,0)),"")</f>
        <v/>
      </c>
    </row>
    <row r="224" spans="1:24" ht="15" customHeight="1" x14ac:dyDescent="0.25">
      <c r="A224" s="26">
        <v>221</v>
      </c>
      <c r="B224" s="23" t="str">
        <f>IFERROR(INDEX('Output Utente'!$A$2:$A$492,MATCH(221,'Output Utente'!$R$2:$R$492,0)),"")</f>
        <v/>
      </c>
      <c r="C224" s="23" t="str">
        <f>IFERROR(INDEX('Output Utente'!$B$2:$B$492,MATCH(221,'Output Utente'!$R$2:$R$492,0)),"")</f>
        <v/>
      </c>
      <c r="D224" s="23" t="str">
        <f>IFERROR(INDEX('Output Utente'!$C$2:$C$492,MATCH(221,'Output Utente'!$R$2:$R$492,0)),"")</f>
        <v/>
      </c>
      <c r="E224" s="23" t="str">
        <f>IFERROR(INDEX('Input Giocatori 2026_27'!$D$3:$D$493,MATCH($B224,'Input Giocatori 2026_27'!$A$3:$A$493,0)),"")</f>
        <v/>
      </c>
      <c r="F224" s="24" t="str">
        <f>IFERROR(INDEX('Output Utente'!$N$2:$N$492,MATCH(221,'Output Utente'!$R$2:$R$492,0)),"")</f>
        <v/>
      </c>
      <c r="G224" s="23" t="str">
        <f>IFERROR(INDEX('Output Utente'!$O$2:$O$492,MATCH(221,'Output Utente'!$R$2:$R$492,0)),"")</f>
        <v/>
      </c>
      <c r="H224" s="23" t="str">
        <f>IFERROR(INDEX('Output Utente'!$P$2:$P$492,MATCH(221,'Output Utente'!$R$2:$R$492,0)),"")</f>
        <v/>
      </c>
      <c r="I224" s="24" t="str">
        <f>IFERROR(INDEX('Output Utente'!$F$2:$F$492,MATCH(221,'Output Utente'!$R$2:$R$492,0)),"")</f>
        <v/>
      </c>
      <c r="J224" s="24" t="str">
        <f>IFERROR(INDEX('Output Utente'!$G$2:$G$492,MATCH(221,'Output Utente'!$R$2:$R$492,0)),"")</f>
        <v/>
      </c>
      <c r="K224" s="24" t="str">
        <f>IFERROR(INDEX('Output Utente'!$H$2:$H$492,MATCH(221,'Output Utente'!$R$2:$R$492,0)),"")</f>
        <v/>
      </c>
      <c r="L224" s="23" t="str">
        <f>IFERROR(INDEX('Output Utente'!$E$2:$E$492,MATCH(221,'Output Utente'!$R$2:$R$492,0)),"")</f>
        <v/>
      </c>
      <c r="V224" t="str">
        <f>IFERROR(INDEX('Output Utente'!$M$2:$M$492,MATCH(221,'Output Utente'!$R$2:$R$492,0)),"")</f>
        <v/>
      </c>
      <c r="W224" t="str">
        <f t="shared" si="3"/>
        <v/>
      </c>
      <c r="X224" t="str">
        <f>IFERROR(INDEX('Output Utente'!$AF$2:$AF$492,MATCH(221,'Output Utente'!$R$2:$R$492,0)),"")</f>
        <v/>
      </c>
    </row>
    <row r="225" spans="1:24" ht="15" customHeight="1" x14ac:dyDescent="0.25">
      <c r="A225" s="26">
        <v>222</v>
      </c>
      <c r="B225" s="23" t="str">
        <f>IFERROR(INDEX('Output Utente'!$A$2:$A$492,MATCH(222,'Output Utente'!$R$2:$R$492,0)),"")</f>
        <v/>
      </c>
      <c r="C225" s="23" t="str">
        <f>IFERROR(INDEX('Output Utente'!$B$2:$B$492,MATCH(222,'Output Utente'!$R$2:$R$492,0)),"")</f>
        <v/>
      </c>
      <c r="D225" s="23" t="str">
        <f>IFERROR(INDEX('Output Utente'!$C$2:$C$492,MATCH(222,'Output Utente'!$R$2:$R$492,0)),"")</f>
        <v/>
      </c>
      <c r="E225" s="23" t="str">
        <f>IFERROR(INDEX('Input Giocatori 2026_27'!$D$3:$D$493,MATCH($B225,'Input Giocatori 2026_27'!$A$3:$A$493,0)),"")</f>
        <v/>
      </c>
      <c r="F225" s="24" t="str">
        <f>IFERROR(INDEX('Output Utente'!$N$2:$N$492,MATCH(222,'Output Utente'!$R$2:$R$492,0)),"")</f>
        <v/>
      </c>
      <c r="G225" s="23" t="str">
        <f>IFERROR(INDEX('Output Utente'!$O$2:$O$492,MATCH(222,'Output Utente'!$R$2:$R$492,0)),"")</f>
        <v/>
      </c>
      <c r="H225" s="23" t="str">
        <f>IFERROR(INDEX('Output Utente'!$P$2:$P$492,MATCH(222,'Output Utente'!$R$2:$R$492,0)),"")</f>
        <v/>
      </c>
      <c r="I225" s="24" t="str">
        <f>IFERROR(INDEX('Output Utente'!$F$2:$F$492,MATCH(222,'Output Utente'!$R$2:$R$492,0)),"")</f>
        <v/>
      </c>
      <c r="J225" s="24" t="str">
        <f>IFERROR(INDEX('Output Utente'!$G$2:$G$492,MATCH(222,'Output Utente'!$R$2:$R$492,0)),"")</f>
        <v/>
      </c>
      <c r="K225" s="24" t="str">
        <f>IFERROR(INDEX('Output Utente'!$H$2:$H$492,MATCH(222,'Output Utente'!$R$2:$R$492,0)),"")</f>
        <v/>
      </c>
      <c r="L225" s="23" t="str">
        <f>IFERROR(INDEX('Output Utente'!$E$2:$E$492,MATCH(222,'Output Utente'!$R$2:$R$492,0)),"")</f>
        <v/>
      </c>
      <c r="V225" t="str">
        <f>IFERROR(INDEX('Output Utente'!$M$2:$M$492,MATCH(222,'Output Utente'!$R$2:$R$492,0)),"")</f>
        <v/>
      </c>
      <c r="W225" t="str">
        <f t="shared" si="3"/>
        <v/>
      </c>
      <c r="X225" t="str">
        <f>IFERROR(INDEX('Output Utente'!$AF$2:$AF$492,MATCH(222,'Output Utente'!$R$2:$R$492,0)),"")</f>
        <v/>
      </c>
    </row>
    <row r="226" spans="1:24" ht="15" customHeight="1" x14ac:dyDescent="0.25">
      <c r="A226" s="26">
        <v>223</v>
      </c>
      <c r="B226" s="23" t="str">
        <f>IFERROR(INDEX('Output Utente'!$A$2:$A$492,MATCH(223,'Output Utente'!$R$2:$R$492,0)),"")</f>
        <v/>
      </c>
      <c r="C226" s="23" t="str">
        <f>IFERROR(INDEX('Output Utente'!$B$2:$B$492,MATCH(223,'Output Utente'!$R$2:$R$492,0)),"")</f>
        <v/>
      </c>
      <c r="D226" s="23" t="str">
        <f>IFERROR(INDEX('Output Utente'!$C$2:$C$492,MATCH(223,'Output Utente'!$R$2:$R$492,0)),"")</f>
        <v/>
      </c>
      <c r="E226" s="23" t="str">
        <f>IFERROR(INDEX('Input Giocatori 2026_27'!$D$3:$D$493,MATCH($B226,'Input Giocatori 2026_27'!$A$3:$A$493,0)),"")</f>
        <v/>
      </c>
      <c r="F226" s="24" t="str">
        <f>IFERROR(INDEX('Output Utente'!$N$2:$N$492,MATCH(223,'Output Utente'!$R$2:$R$492,0)),"")</f>
        <v/>
      </c>
      <c r="G226" s="23" t="str">
        <f>IFERROR(INDEX('Output Utente'!$O$2:$O$492,MATCH(223,'Output Utente'!$R$2:$R$492,0)),"")</f>
        <v/>
      </c>
      <c r="H226" s="23" t="str">
        <f>IFERROR(INDEX('Output Utente'!$P$2:$P$492,MATCH(223,'Output Utente'!$R$2:$R$492,0)),"")</f>
        <v/>
      </c>
      <c r="I226" s="24" t="str">
        <f>IFERROR(INDEX('Output Utente'!$F$2:$F$492,MATCH(223,'Output Utente'!$R$2:$R$492,0)),"")</f>
        <v/>
      </c>
      <c r="J226" s="24" t="str">
        <f>IFERROR(INDEX('Output Utente'!$G$2:$G$492,MATCH(223,'Output Utente'!$R$2:$R$492,0)),"")</f>
        <v/>
      </c>
      <c r="K226" s="24" t="str">
        <f>IFERROR(INDEX('Output Utente'!$H$2:$H$492,MATCH(223,'Output Utente'!$R$2:$R$492,0)),"")</f>
        <v/>
      </c>
      <c r="L226" s="23" t="str">
        <f>IFERROR(INDEX('Output Utente'!$E$2:$E$492,MATCH(223,'Output Utente'!$R$2:$R$492,0)),"")</f>
        <v/>
      </c>
      <c r="V226" t="str">
        <f>IFERROR(INDEX('Output Utente'!$M$2:$M$492,MATCH(223,'Output Utente'!$R$2:$R$492,0)),"")</f>
        <v/>
      </c>
      <c r="W226" t="str">
        <f t="shared" si="3"/>
        <v/>
      </c>
      <c r="X226" t="str">
        <f>IFERROR(INDEX('Output Utente'!$AF$2:$AF$492,MATCH(223,'Output Utente'!$R$2:$R$492,0)),"")</f>
        <v/>
      </c>
    </row>
    <row r="227" spans="1:24" ht="15" customHeight="1" x14ac:dyDescent="0.25">
      <c r="A227" s="26">
        <v>224</v>
      </c>
      <c r="B227" s="23" t="str">
        <f>IFERROR(INDEX('Output Utente'!$A$2:$A$492,MATCH(224,'Output Utente'!$R$2:$R$492,0)),"")</f>
        <v/>
      </c>
      <c r="C227" s="23" t="str">
        <f>IFERROR(INDEX('Output Utente'!$B$2:$B$492,MATCH(224,'Output Utente'!$R$2:$R$492,0)),"")</f>
        <v/>
      </c>
      <c r="D227" s="23" t="str">
        <f>IFERROR(INDEX('Output Utente'!$C$2:$C$492,MATCH(224,'Output Utente'!$R$2:$R$492,0)),"")</f>
        <v/>
      </c>
      <c r="E227" s="23" t="str">
        <f>IFERROR(INDEX('Input Giocatori 2026_27'!$D$3:$D$493,MATCH($B227,'Input Giocatori 2026_27'!$A$3:$A$493,0)),"")</f>
        <v/>
      </c>
      <c r="F227" s="24" t="str">
        <f>IFERROR(INDEX('Output Utente'!$N$2:$N$492,MATCH(224,'Output Utente'!$R$2:$R$492,0)),"")</f>
        <v/>
      </c>
      <c r="G227" s="23" t="str">
        <f>IFERROR(INDEX('Output Utente'!$O$2:$O$492,MATCH(224,'Output Utente'!$R$2:$R$492,0)),"")</f>
        <v/>
      </c>
      <c r="H227" s="23" t="str">
        <f>IFERROR(INDEX('Output Utente'!$P$2:$P$492,MATCH(224,'Output Utente'!$R$2:$R$492,0)),"")</f>
        <v/>
      </c>
      <c r="I227" s="24" t="str">
        <f>IFERROR(INDEX('Output Utente'!$F$2:$F$492,MATCH(224,'Output Utente'!$R$2:$R$492,0)),"")</f>
        <v/>
      </c>
      <c r="J227" s="24" t="str">
        <f>IFERROR(INDEX('Output Utente'!$G$2:$G$492,MATCH(224,'Output Utente'!$R$2:$R$492,0)),"")</f>
        <v/>
      </c>
      <c r="K227" s="24" t="str">
        <f>IFERROR(INDEX('Output Utente'!$H$2:$H$492,MATCH(224,'Output Utente'!$R$2:$R$492,0)),"")</f>
        <v/>
      </c>
      <c r="L227" s="23" t="str">
        <f>IFERROR(INDEX('Output Utente'!$E$2:$E$492,MATCH(224,'Output Utente'!$R$2:$R$492,0)),"")</f>
        <v/>
      </c>
      <c r="V227" t="str">
        <f>IFERROR(INDEX('Output Utente'!$M$2:$M$492,MATCH(224,'Output Utente'!$R$2:$R$492,0)),"")</f>
        <v/>
      </c>
      <c r="W227" t="str">
        <f t="shared" si="3"/>
        <v/>
      </c>
      <c r="X227" t="str">
        <f>IFERROR(INDEX('Output Utente'!$AF$2:$AF$492,MATCH(224,'Output Utente'!$R$2:$R$492,0)),"")</f>
        <v/>
      </c>
    </row>
    <row r="228" spans="1:24" ht="15" customHeight="1" x14ac:dyDescent="0.25">
      <c r="A228" s="26">
        <v>225</v>
      </c>
      <c r="B228" s="23" t="str">
        <f>IFERROR(INDEX('Output Utente'!$A$2:$A$492,MATCH(225,'Output Utente'!$R$2:$R$492,0)),"")</f>
        <v/>
      </c>
      <c r="C228" s="23" t="str">
        <f>IFERROR(INDEX('Output Utente'!$B$2:$B$492,MATCH(225,'Output Utente'!$R$2:$R$492,0)),"")</f>
        <v/>
      </c>
      <c r="D228" s="23" t="str">
        <f>IFERROR(INDEX('Output Utente'!$C$2:$C$492,MATCH(225,'Output Utente'!$R$2:$R$492,0)),"")</f>
        <v/>
      </c>
      <c r="E228" s="23" t="str">
        <f>IFERROR(INDEX('Input Giocatori 2026_27'!$D$3:$D$493,MATCH($B228,'Input Giocatori 2026_27'!$A$3:$A$493,0)),"")</f>
        <v/>
      </c>
      <c r="F228" s="24" t="str">
        <f>IFERROR(INDEX('Output Utente'!$N$2:$N$492,MATCH(225,'Output Utente'!$R$2:$R$492,0)),"")</f>
        <v/>
      </c>
      <c r="G228" s="23" t="str">
        <f>IFERROR(INDEX('Output Utente'!$O$2:$O$492,MATCH(225,'Output Utente'!$R$2:$R$492,0)),"")</f>
        <v/>
      </c>
      <c r="H228" s="23" t="str">
        <f>IFERROR(INDEX('Output Utente'!$P$2:$P$492,MATCH(225,'Output Utente'!$R$2:$R$492,0)),"")</f>
        <v/>
      </c>
      <c r="I228" s="24" t="str">
        <f>IFERROR(INDEX('Output Utente'!$F$2:$F$492,MATCH(225,'Output Utente'!$R$2:$R$492,0)),"")</f>
        <v/>
      </c>
      <c r="J228" s="24" t="str">
        <f>IFERROR(INDEX('Output Utente'!$G$2:$G$492,MATCH(225,'Output Utente'!$R$2:$R$492,0)),"")</f>
        <v/>
      </c>
      <c r="K228" s="24" t="str">
        <f>IFERROR(INDEX('Output Utente'!$H$2:$H$492,MATCH(225,'Output Utente'!$R$2:$R$492,0)),"")</f>
        <v/>
      </c>
      <c r="L228" s="23" t="str">
        <f>IFERROR(INDEX('Output Utente'!$E$2:$E$492,MATCH(225,'Output Utente'!$R$2:$R$492,0)),"")</f>
        <v/>
      </c>
      <c r="V228" t="str">
        <f>IFERROR(INDEX('Output Utente'!$M$2:$M$492,MATCH(225,'Output Utente'!$R$2:$R$492,0)),"")</f>
        <v/>
      </c>
      <c r="W228" t="str">
        <f t="shared" si="3"/>
        <v/>
      </c>
      <c r="X228" t="str">
        <f>IFERROR(INDEX('Output Utente'!$AF$2:$AF$492,MATCH(225,'Output Utente'!$R$2:$R$492,0)),"")</f>
        <v/>
      </c>
    </row>
    <row r="229" spans="1:24" ht="15" customHeight="1" x14ac:dyDescent="0.25">
      <c r="A229" s="26">
        <v>226</v>
      </c>
      <c r="B229" s="23" t="str">
        <f>IFERROR(INDEX('Output Utente'!$A$2:$A$492,MATCH(226,'Output Utente'!$R$2:$R$492,0)),"")</f>
        <v/>
      </c>
      <c r="C229" s="23" t="str">
        <f>IFERROR(INDEX('Output Utente'!$B$2:$B$492,MATCH(226,'Output Utente'!$R$2:$R$492,0)),"")</f>
        <v/>
      </c>
      <c r="D229" s="23" t="str">
        <f>IFERROR(INDEX('Output Utente'!$C$2:$C$492,MATCH(226,'Output Utente'!$R$2:$R$492,0)),"")</f>
        <v/>
      </c>
      <c r="E229" s="23" t="str">
        <f>IFERROR(INDEX('Input Giocatori 2026_27'!$D$3:$D$493,MATCH($B229,'Input Giocatori 2026_27'!$A$3:$A$493,0)),"")</f>
        <v/>
      </c>
      <c r="F229" s="24" t="str">
        <f>IFERROR(INDEX('Output Utente'!$N$2:$N$492,MATCH(226,'Output Utente'!$R$2:$R$492,0)),"")</f>
        <v/>
      </c>
      <c r="G229" s="23" t="str">
        <f>IFERROR(INDEX('Output Utente'!$O$2:$O$492,MATCH(226,'Output Utente'!$R$2:$R$492,0)),"")</f>
        <v/>
      </c>
      <c r="H229" s="23" t="str">
        <f>IFERROR(INDEX('Output Utente'!$P$2:$P$492,MATCH(226,'Output Utente'!$R$2:$R$492,0)),"")</f>
        <v/>
      </c>
      <c r="I229" s="24" t="str">
        <f>IFERROR(INDEX('Output Utente'!$F$2:$F$492,MATCH(226,'Output Utente'!$R$2:$R$492,0)),"")</f>
        <v/>
      </c>
      <c r="J229" s="24" t="str">
        <f>IFERROR(INDEX('Output Utente'!$G$2:$G$492,MATCH(226,'Output Utente'!$R$2:$R$492,0)),"")</f>
        <v/>
      </c>
      <c r="K229" s="24" t="str">
        <f>IFERROR(INDEX('Output Utente'!$H$2:$H$492,MATCH(226,'Output Utente'!$R$2:$R$492,0)),"")</f>
        <v/>
      </c>
      <c r="L229" s="23" t="str">
        <f>IFERROR(INDEX('Output Utente'!$E$2:$E$492,MATCH(226,'Output Utente'!$R$2:$R$492,0)),"")</f>
        <v/>
      </c>
      <c r="V229" t="str">
        <f>IFERROR(INDEX('Output Utente'!$M$2:$M$492,MATCH(226,'Output Utente'!$R$2:$R$492,0)),"")</f>
        <v/>
      </c>
      <c r="W229" t="str">
        <f t="shared" si="3"/>
        <v/>
      </c>
      <c r="X229" t="str">
        <f>IFERROR(INDEX('Output Utente'!$AF$2:$AF$492,MATCH(226,'Output Utente'!$R$2:$R$492,0)),"")</f>
        <v/>
      </c>
    </row>
    <row r="230" spans="1:24" ht="15" customHeight="1" x14ac:dyDescent="0.25">
      <c r="A230" s="26">
        <v>227</v>
      </c>
      <c r="B230" s="23" t="str">
        <f>IFERROR(INDEX('Output Utente'!$A$2:$A$492,MATCH(227,'Output Utente'!$R$2:$R$492,0)),"")</f>
        <v/>
      </c>
      <c r="C230" s="23" t="str">
        <f>IFERROR(INDEX('Output Utente'!$B$2:$B$492,MATCH(227,'Output Utente'!$R$2:$R$492,0)),"")</f>
        <v/>
      </c>
      <c r="D230" s="23" t="str">
        <f>IFERROR(INDEX('Output Utente'!$C$2:$C$492,MATCH(227,'Output Utente'!$R$2:$R$492,0)),"")</f>
        <v/>
      </c>
      <c r="E230" s="23" t="str">
        <f>IFERROR(INDEX('Input Giocatori 2026_27'!$D$3:$D$493,MATCH($B230,'Input Giocatori 2026_27'!$A$3:$A$493,0)),"")</f>
        <v/>
      </c>
      <c r="F230" s="24" t="str">
        <f>IFERROR(INDEX('Output Utente'!$N$2:$N$492,MATCH(227,'Output Utente'!$R$2:$R$492,0)),"")</f>
        <v/>
      </c>
      <c r="G230" s="23" t="str">
        <f>IFERROR(INDEX('Output Utente'!$O$2:$O$492,MATCH(227,'Output Utente'!$R$2:$R$492,0)),"")</f>
        <v/>
      </c>
      <c r="H230" s="23" t="str">
        <f>IFERROR(INDEX('Output Utente'!$P$2:$P$492,MATCH(227,'Output Utente'!$R$2:$R$492,0)),"")</f>
        <v/>
      </c>
      <c r="I230" s="24" t="str">
        <f>IFERROR(INDEX('Output Utente'!$F$2:$F$492,MATCH(227,'Output Utente'!$R$2:$R$492,0)),"")</f>
        <v/>
      </c>
      <c r="J230" s="24" t="str">
        <f>IFERROR(INDEX('Output Utente'!$G$2:$G$492,MATCH(227,'Output Utente'!$R$2:$R$492,0)),"")</f>
        <v/>
      </c>
      <c r="K230" s="24" t="str">
        <f>IFERROR(INDEX('Output Utente'!$H$2:$H$492,MATCH(227,'Output Utente'!$R$2:$R$492,0)),"")</f>
        <v/>
      </c>
      <c r="L230" s="23" t="str">
        <f>IFERROR(INDEX('Output Utente'!$E$2:$E$492,MATCH(227,'Output Utente'!$R$2:$R$492,0)),"")</f>
        <v/>
      </c>
      <c r="V230" t="str">
        <f>IFERROR(INDEX('Output Utente'!$M$2:$M$492,MATCH(227,'Output Utente'!$R$2:$R$492,0)),"")</f>
        <v/>
      </c>
      <c r="W230" t="str">
        <f t="shared" si="3"/>
        <v/>
      </c>
      <c r="X230" t="str">
        <f>IFERROR(INDEX('Output Utente'!$AF$2:$AF$492,MATCH(227,'Output Utente'!$R$2:$R$492,0)),"")</f>
        <v/>
      </c>
    </row>
    <row r="231" spans="1:24" ht="15" customHeight="1" x14ac:dyDescent="0.25">
      <c r="A231" s="26">
        <v>228</v>
      </c>
      <c r="B231" s="23" t="str">
        <f>IFERROR(INDEX('Output Utente'!$A$2:$A$492,MATCH(228,'Output Utente'!$R$2:$R$492,0)),"")</f>
        <v/>
      </c>
      <c r="C231" s="23" t="str">
        <f>IFERROR(INDEX('Output Utente'!$B$2:$B$492,MATCH(228,'Output Utente'!$R$2:$R$492,0)),"")</f>
        <v/>
      </c>
      <c r="D231" s="23" t="str">
        <f>IFERROR(INDEX('Output Utente'!$C$2:$C$492,MATCH(228,'Output Utente'!$R$2:$R$492,0)),"")</f>
        <v/>
      </c>
      <c r="E231" s="23" t="str">
        <f>IFERROR(INDEX('Input Giocatori 2026_27'!$D$3:$D$493,MATCH($B231,'Input Giocatori 2026_27'!$A$3:$A$493,0)),"")</f>
        <v/>
      </c>
      <c r="F231" s="24" t="str">
        <f>IFERROR(INDEX('Output Utente'!$N$2:$N$492,MATCH(228,'Output Utente'!$R$2:$R$492,0)),"")</f>
        <v/>
      </c>
      <c r="G231" s="23" t="str">
        <f>IFERROR(INDEX('Output Utente'!$O$2:$O$492,MATCH(228,'Output Utente'!$R$2:$R$492,0)),"")</f>
        <v/>
      </c>
      <c r="H231" s="23" t="str">
        <f>IFERROR(INDEX('Output Utente'!$P$2:$P$492,MATCH(228,'Output Utente'!$R$2:$R$492,0)),"")</f>
        <v/>
      </c>
      <c r="I231" s="24" t="str">
        <f>IFERROR(INDEX('Output Utente'!$F$2:$F$492,MATCH(228,'Output Utente'!$R$2:$R$492,0)),"")</f>
        <v/>
      </c>
      <c r="J231" s="24" t="str">
        <f>IFERROR(INDEX('Output Utente'!$G$2:$G$492,MATCH(228,'Output Utente'!$R$2:$R$492,0)),"")</f>
        <v/>
      </c>
      <c r="K231" s="24" t="str">
        <f>IFERROR(INDEX('Output Utente'!$H$2:$H$492,MATCH(228,'Output Utente'!$R$2:$R$492,0)),"")</f>
        <v/>
      </c>
      <c r="L231" s="23" t="str">
        <f>IFERROR(INDEX('Output Utente'!$E$2:$E$492,MATCH(228,'Output Utente'!$R$2:$R$492,0)),"")</f>
        <v/>
      </c>
      <c r="V231" t="str">
        <f>IFERROR(INDEX('Output Utente'!$M$2:$M$492,MATCH(228,'Output Utente'!$R$2:$R$492,0)),"")</f>
        <v/>
      </c>
      <c r="W231" t="str">
        <f t="shared" si="3"/>
        <v/>
      </c>
      <c r="X231" t="str">
        <f>IFERROR(INDEX('Output Utente'!$AF$2:$AF$492,MATCH(228,'Output Utente'!$R$2:$R$492,0)),"")</f>
        <v/>
      </c>
    </row>
    <row r="232" spans="1:24" ht="15" customHeight="1" x14ac:dyDescent="0.25">
      <c r="A232" s="26">
        <v>229</v>
      </c>
      <c r="B232" s="23" t="str">
        <f>IFERROR(INDEX('Output Utente'!$A$2:$A$492,MATCH(229,'Output Utente'!$R$2:$R$492,0)),"")</f>
        <v/>
      </c>
      <c r="C232" s="23" t="str">
        <f>IFERROR(INDEX('Output Utente'!$B$2:$B$492,MATCH(229,'Output Utente'!$R$2:$R$492,0)),"")</f>
        <v/>
      </c>
      <c r="D232" s="23" t="str">
        <f>IFERROR(INDEX('Output Utente'!$C$2:$C$492,MATCH(229,'Output Utente'!$R$2:$R$492,0)),"")</f>
        <v/>
      </c>
      <c r="E232" s="23" t="str">
        <f>IFERROR(INDEX('Input Giocatori 2026_27'!$D$3:$D$493,MATCH($B232,'Input Giocatori 2026_27'!$A$3:$A$493,0)),"")</f>
        <v/>
      </c>
      <c r="F232" s="24" t="str">
        <f>IFERROR(INDEX('Output Utente'!$N$2:$N$492,MATCH(229,'Output Utente'!$R$2:$R$492,0)),"")</f>
        <v/>
      </c>
      <c r="G232" s="23" t="str">
        <f>IFERROR(INDEX('Output Utente'!$O$2:$O$492,MATCH(229,'Output Utente'!$R$2:$R$492,0)),"")</f>
        <v/>
      </c>
      <c r="H232" s="23" t="str">
        <f>IFERROR(INDEX('Output Utente'!$P$2:$P$492,MATCH(229,'Output Utente'!$R$2:$R$492,0)),"")</f>
        <v/>
      </c>
      <c r="I232" s="24" t="str">
        <f>IFERROR(INDEX('Output Utente'!$F$2:$F$492,MATCH(229,'Output Utente'!$R$2:$R$492,0)),"")</f>
        <v/>
      </c>
      <c r="J232" s="24" t="str">
        <f>IFERROR(INDEX('Output Utente'!$G$2:$G$492,MATCH(229,'Output Utente'!$R$2:$R$492,0)),"")</f>
        <v/>
      </c>
      <c r="K232" s="24" t="str">
        <f>IFERROR(INDEX('Output Utente'!$H$2:$H$492,MATCH(229,'Output Utente'!$R$2:$R$492,0)),"")</f>
        <v/>
      </c>
      <c r="L232" s="23" t="str">
        <f>IFERROR(INDEX('Output Utente'!$E$2:$E$492,MATCH(229,'Output Utente'!$R$2:$R$492,0)),"")</f>
        <v/>
      </c>
      <c r="V232" t="str">
        <f>IFERROR(INDEX('Output Utente'!$M$2:$M$492,MATCH(229,'Output Utente'!$R$2:$R$492,0)),"")</f>
        <v/>
      </c>
      <c r="W232" t="str">
        <f t="shared" si="3"/>
        <v/>
      </c>
      <c r="X232" t="str">
        <f>IFERROR(INDEX('Output Utente'!$AF$2:$AF$492,MATCH(229,'Output Utente'!$R$2:$R$492,0)),"")</f>
        <v/>
      </c>
    </row>
    <row r="233" spans="1:24" ht="15" customHeight="1" x14ac:dyDescent="0.25">
      <c r="A233" s="26">
        <v>230</v>
      </c>
      <c r="B233" s="23" t="str">
        <f>IFERROR(INDEX('Output Utente'!$A$2:$A$492,MATCH(230,'Output Utente'!$R$2:$R$492,0)),"")</f>
        <v/>
      </c>
      <c r="C233" s="23" t="str">
        <f>IFERROR(INDEX('Output Utente'!$B$2:$B$492,MATCH(230,'Output Utente'!$R$2:$R$492,0)),"")</f>
        <v/>
      </c>
      <c r="D233" s="23" t="str">
        <f>IFERROR(INDEX('Output Utente'!$C$2:$C$492,MATCH(230,'Output Utente'!$R$2:$R$492,0)),"")</f>
        <v/>
      </c>
      <c r="E233" s="23" t="str">
        <f>IFERROR(INDEX('Input Giocatori 2026_27'!$D$3:$D$493,MATCH($B233,'Input Giocatori 2026_27'!$A$3:$A$493,0)),"")</f>
        <v/>
      </c>
      <c r="F233" s="24" t="str">
        <f>IFERROR(INDEX('Output Utente'!$N$2:$N$492,MATCH(230,'Output Utente'!$R$2:$R$492,0)),"")</f>
        <v/>
      </c>
      <c r="G233" s="23" t="str">
        <f>IFERROR(INDEX('Output Utente'!$O$2:$O$492,MATCH(230,'Output Utente'!$R$2:$R$492,0)),"")</f>
        <v/>
      </c>
      <c r="H233" s="23" t="str">
        <f>IFERROR(INDEX('Output Utente'!$P$2:$P$492,MATCH(230,'Output Utente'!$R$2:$R$492,0)),"")</f>
        <v/>
      </c>
      <c r="I233" s="24" t="str">
        <f>IFERROR(INDEX('Output Utente'!$F$2:$F$492,MATCH(230,'Output Utente'!$R$2:$R$492,0)),"")</f>
        <v/>
      </c>
      <c r="J233" s="24" t="str">
        <f>IFERROR(INDEX('Output Utente'!$G$2:$G$492,MATCH(230,'Output Utente'!$R$2:$R$492,0)),"")</f>
        <v/>
      </c>
      <c r="K233" s="24" t="str">
        <f>IFERROR(INDEX('Output Utente'!$H$2:$H$492,MATCH(230,'Output Utente'!$R$2:$R$492,0)),"")</f>
        <v/>
      </c>
      <c r="L233" s="23" t="str">
        <f>IFERROR(INDEX('Output Utente'!$E$2:$E$492,MATCH(230,'Output Utente'!$R$2:$R$492,0)),"")</f>
        <v/>
      </c>
      <c r="V233" t="str">
        <f>IFERROR(INDEX('Output Utente'!$M$2:$M$492,MATCH(230,'Output Utente'!$R$2:$R$492,0)),"")</f>
        <v/>
      </c>
      <c r="W233" t="str">
        <f t="shared" si="3"/>
        <v/>
      </c>
      <c r="X233" t="str">
        <f>IFERROR(INDEX('Output Utente'!$AF$2:$AF$492,MATCH(230,'Output Utente'!$R$2:$R$492,0)),"")</f>
        <v/>
      </c>
    </row>
    <row r="234" spans="1:24" ht="15" customHeight="1" x14ac:dyDescent="0.25">
      <c r="A234" s="26">
        <v>231</v>
      </c>
      <c r="B234" s="23" t="str">
        <f>IFERROR(INDEX('Output Utente'!$A$2:$A$492,MATCH(231,'Output Utente'!$R$2:$R$492,0)),"")</f>
        <v/>
      </c>
      <c r="C234" s="23" t="str">
        <f>IFERROR(INDEX('Output Utente'!$B$2:$B$492,MATCH(231,'Output Utente'!$R$2:$R$492,0)),"")</f>
        <v/>
      </c>
      <c r="D234" s="23" t="str">
        <f>IFERROR(INDEX('Output Utente'!$C$2:$C$492,MATCH(231,'Output Utente'!$R$2:$R$492,0)),"")</f>
        <v/>
      </c>
      <c r="E234" s="23" t="str">
        <f>IFERROR(INDEX('Input Giocatori 2026_27'!$D$3:$D$493,MATCH($B234,'Input Giocatori 2026_27'!$A$3:$A$493,0)),"")</f>
        <v/>
      </c>
      <c r="F234" s="24" t="str">
        <f>IFERROR(INDEX('Output Utente'!$N$2:$N$492,MATCH(231,'Output Utente'!$R$2:$R$492,0)),"")</f>
        <v/>
      </c>
      <c r="G234" s="23" t="str">
        <f>IFERROR(INDEX('Output Utente'!$O$2:$O$492,MATCH(231,'Output Utente'!$R$2:$R$492,0)),"")</f>
        <v/>
      </c>
      <c r="H234" s="23" t="str">
        <f>IFERROR(INDEX('Output Utente'!$P$2:$P$492,MATCH(231,'Output Utente'!$R$2:$R$492,0)),"")</f>
        <v/>
      </c>
      <c r="I234" s="24" t="str">
        <f>IFERROR(INDEX('Output Utente'!$F$2:$F$492,MATCH(231,'Output Utente'!$R$2:$R$492,0)),"")</f>
        <v/>
      </c>
      <c r="J234" s="24" t="str">
        <f>IFERROR(INDEX('Output Utente'!$G$2:$G$492,MATCH(231,'Output Utente'!$R$2:$R$492,0)),"")</f>
        <v/>
      </c>
      <c r="K234" s="24" t="str">
        <f>IFERROR(INDEX('Output Utente'!$H$2:$H$492,MATCH(231,'Output Utente'!$R$2:$R$492,0)),"")</f>
        <v/>
      </c>
      <c r="L234" s="23" t="str">
        <f>IFERROR(INDEX('Output Utente'!$E$2:$E$492,MATCH(231,'Output Utente'!$R$2:$R$492,0)),"")</f>
        <v/>
      </c>
      <c r="V234" t="str">
        <f>IFERROR(INDEX('Output Utente'!$M$2:$M$492,MATCH(231,'Output Utente'!$R$2:$R$492,0)),"")</f>
        <v/>
      </c>
      <c r="W234" t="str">
        <f t="shared" si="3"/>
        <v/>
      </c>
      <c r="X234" t="str">
        <f>IFERROR(INDEX('Output Utente'!$AF$2:$AF$492,MATCH(231,'Output Utente'!$R$2:$R$492,0)),"")</f>
        <v/>
      </c>
    </row>
    <row r="235" spans="1:24" ht="15" customHeight="1" x14ac:dyDescent="0.25">
      <c r="A235" s="26">
        <v>232</v>
      </c>
      <c r="B235" s="23" t="str">
        <f>IFERROR(INDEX('Output Utente'!$A$2:$A$492,MATCH(232,'Output Utente'!$R$2:$R$492,0)),"")</f>
        <v/>
      </c>
      <c r="C235" s="23" t="str">
        <f>IFERROR(INDEX('Output Utente'!$B$2:$B$492,MATCH(232,'Output Utente'!$R$2:$R$492,0)),"")</f>
        <v/>
      </c>
      <c r="D235" s="23" t="str">
        <f>IFERROR(INDEX('Output Utente'!$C$2:$C$492,MATCH(232,'Output Utente'!$R$2:$R$492,0)),"")</f>
        <v/>
      </c>
      <c r="E235" s="23" t="str">
        <f>IFERROR(INDEX('Input Giocatori 2026_27'!$D$3:$D$493,MATCH($B235,'Input Giocatori 2026_27'!$A$3:$A$493,0)),"")</f>
        <v/>
      </c>
      <c r="F235" s="24" t="str">
        <f>IFERROR(INDEX('Output Utente'!$N$2:$N$492,MATCH(232,'Output Utente'!$R$2:$R$492,0)),"")</f>
        <v/>
      </c>
      <c r="G235" s="23" t="str">
        <f>IFERROR(INDEX('Output Utente'!$O$2:$O$492,MATCH(232,'Output Utente'!$R$2:$R$492,0)),"")</f>
        <v/>
      </c>
      <c r="H235" s="23" t="str">
        <f>IFERROR(INDEX('Output Utente'!$P$2:$P$492,MATCH(232,'Output Utente'!$R$2:$R$492,0)),"")</f>
        <v/>
      </c>
      <c r="I235" s="24" t="str">
        <f>IFERROR(INDEX('Output Utente'!$F$2:$F$492,MATCH(232,'Output Utente'!$R$2:$R$492,0)),"")</f>
        <v/>
      </c>
      <c r="J235" s="24" t="str">
        <f>IFERROR(INDEX('Output Utente'!$G$2:$G$492,MATCH(232,'Output Utente'!$R$2:$R$492,0)),"")</f>
        <v/>
      </c>
      <c r="K235" s="24" t="str">
        <f>IFERROR(INDEX('Output Utente'!$H$2:$H$492,MATCH(232,'Output Utente'!$R$2:$R$492,0)),"")</f>
        <v/>
      </c>
      <c r="L235" s="23" t="str">
        <f>IFERROR(INDEX('Output Utente'!$E$2:$E$492,MATCH(232,'Output Utente'!$R$2:$R$492,0)),"")</f>
        <v/>
      </c>
      <c r="V235" t="str">
        <f>IFERROR(INDEX('Output Utente'!$M$2:$M$492,MATCH(232,'Output Utente'!$R$2:$R$492,0)),"")</f>
        <v/>
      </c>
      <c r="W235" t="str">
        <f t="shared" si="3"/>
        <v/>
      </c>
      <c r="X235" t="str">
        <f>IFERROR(INDEX('Output Utente'!$AF$2:$AF$492,MATCH(232,'Output Utente'!$R$2:$R$492,0)),"")</f>
        <v/>
      </c>
    </row>
    <row r="236" spans="1:24" ht="15" customHeight="1" x14ac:dyDescent="0.25">
      <c r="A236" s="26">
        <v>233</v>
      </c>
      <c r="B236" s="23" t="str">
        <f>IFERROR(INDEX('Output Utente'!$A$2:$A$492,MATCH(233,'Output Utente'!$R$2:$R$492,0)),"")</f>
        <v/>
      </c>
      <c r="C236" s="23" t="str">
        <f>IFERROR(INDEX('Output Utente'!$B$2:$B$492,MATCH(233,'Output Utente'!$R$2:$R$492,0)),"")</f>
        <v/>
      </c>
      <c r="D236" s="23" t="str">
        <f>IFERROR(INDEX('Output Utente'!$C$2:$C$492,MATCH(233,'Output Utente'!$R$2:$R$492,0)),"")</f>
        <v/>
      </c>
      <c r="E236" s="23" t="str">
        <f>IFERROR(INDEX('Input Giocatori 2026_27'!$D$3:$D$493,MATCH($B236,'Input Giocatori 2026_27'!$A$3:$A$493,0)),"")</f>
        <v/>
      </c>
      <c r="F236" s="24" t="str">
        <f>IFERROR(INDEX('Output Utente'!$N$2:$N$492,MATCH(233,'Output Utente'!$R$2:$R$492,0)),"")</f>
        <v/>
      </c>
      <c r="G236" s="23" t="str">
        <f>IFERROR(INDEX('Output Utente'!$O$2:$O$492,MATCH(233,'Output Utente'!$R$2:$R$492,0)),"")</f>
        <v/>
      </c>
      <c r="H236" s="23" t="str">
        <f>IFERROR(INDEX('Output Utente'!$P$2:$P$492,MATCH(233,'Output Utente'!$R$2:$R$492,0)),"")</f>
        <v/>
      </c>
      <c r="I236" s="24" t="str">
        <f>IFERROR(INDEX('Output Utente'!$F$2:$F$492,MATCH(233,'Output Utente'!$R$2:$R$492,0)),"")</f>
        <v/>
      </c>
      <c r="J236" s="24" t="str">
        <f>IFERROR(INDEX('Output Utente'!$G$2:$G$492,MATCH(233,'Output Utente'!$R$2:$R$492,0)),"")</f>
        <v/>
      </c>
      <c r="K236" s="24" t="str">
        <f>IFERROR(INDEX('Output Utente'!$H$2:$H$492,MATCH(233,'Output Utente'!$R$2:$R$492,0)),"")</f>
        <v/>
      </c>
      <c r="L236" s="23" t="str">
        <f>IFERROR(INDEX('Output Utente'!$E$2:$E$492,MATCH(233,'Output Utente'!$R$2:$R$492,0)),"")</f>
        <v/>
      </c>
      <c r="V236" t="str">
        <f>IFERROR(INDEX('Output Utente'!$M$2:$M$492,MATCH(233,'Output Utente'!$R$2:$R$492,0)),"")</f>
        <v/>
      </c>
      <c r="W236" t="str">
        <f t="shared" si="3"/>
        <v/>
      </c>
      <c r="X236" t="str">
        <f>IFERROR(INDEX('Output Utente'!$AF$2:$AF$492,MATCH(233,'Output Utente'!$R$2:$R$492,0)),"")</f>
        <v/>
      </c>
    </row>
    <row r="237" spans="1:24" ht="15" customHeight="1" x14ac:dyDescent="0.25">
      <c r="A237" s="26">
        <v>234</v>
      </c>
      <c r="B237" s="23" t="str">
        <f>IFERROR(INDEX('Output Utente'!$A$2:$A$492,MATCH(234,'Output Utente'!$R$2:$R$492,0)),"")</f>
        <v/>
      </c>
      <c r="C237" s="23" t="str">
        <f>IFERROR(INDEX('Output Utente'!$B$2:$B$492,MATCH(234,'Output Utente'!$R$2:$R$492,0)),"")</f>
        <v/>
      </c>
      <c r="D237" s="23" t="str">
        <f>IFERROR(INDEX('Output Utente'!$C$2:$C$492,MATCH(234,'Output Utente'!$R$2:$R$492,0)),"")</f>
        <v/>
      </c>
      <c r="E237" s="23" t="str">
        <f>IFERROR(INDEX('Input Giocatori 2026_27'!$D$3:$D$493,MATCH($B237,'Input Giocatori 2026_27'!$A$3:$A$493,0)),"")</f>
        <v/>
      </c>
      <c r="F237" s="24" t="str">
        <f>IFERROR(INDEX('Output Utente'!$N$2:$N$492,MATCH(234,'Output Utente'!$R$2:$R$492,0)),"")</f>
        <v/>
      </c>
      <c r="G237" s="23" t="str">
        <f>IFERROR(INDEX('Output Utente'!$O$2:$O$492,MATCH(234,'Output Utente'!$R$2:$R$492,0)),"")</f>
        <v/>
      </c>
      <c r="H237" s="23" t="str">
        <f>IFERROR(INDEX('Output Utente'!$P$2:$P$492,MATCH(234,'Output Utente'!$R$2:$R$492,0)),"")</f>
        <v/>
      </c>
      <c r="I237" s="24" t="str">
        <f>IFERROR(INDEX('Output Utente'!$F$2:$F$492,MATCH(234,'Output Utente'!$R$2:$R$492,0)),"")</f>
        <v/>
      </c>
      <c r="J237" s="24" t="str">
        <f>IFERROR(INDEX('Output Utente'!$G$2:$G$492,MATCH(234,'Output Utente'!$R$2:$R$492,0)),"")</f>
        <v/>
      </c>
      <c r="K237" s="24" t="str">
        <f>IFERROR(INDEX('Output Utente'!$H$2:$H$492,MATCH(234,'Output Utente'!$R$2:$R$492,0)),"")</f>
        <v/>
      </c>
      <c r="L237" s="23" t="str">
        <f>IFERROR(INDEX('Output Utente'!$E$2:$E$492,MATCH(234,'Output Utente'!$R$2:$R$492,0)),"")</f>
        <v/>
      </c>
      <c r="V237" t="str">
        <f>IFERROR(INDEX('Output Utente'!$M$2:$M$492,MATCH(234,'Output Utente'!$R$2:$R$492,0)),"")</f>
        <v/>
      </c>
      <c r="W237" t="str">
        <f t="shared" si="3"/>
        <v/>
      </c>
      <c r="X237" t="str">
        <f>IFERROR(INDEX('Output Utente'!$AF$2:$AF$492,MATCH(234,'Output Utente'!$R$2:$R$492,0)),"")</f>
        <v/>
      </c>
    </row>
    <row r="238" spans="1:24" ht="15" customHeight="1" x14ac:dyDescent="0.25">
      <c r="A238" s="26">
        <v>235</v>
      </c>
      <c r="B238" s="23" t="str">
        <f>IFERROR(INDEX('Output Utente'!$A$2:$A$492,MATCH(235,'Output Utente'!$R$2:$R$492,0)),"")</f>
        <v/>
      </c>
      <c r="C238" s="23" t="str">
        <f>IFERROR(INDEX('Output Utente'!$B$2:$B$492,MATCH(235,'Output Utente'!$R$2:$R$492,0)),"")</f>
        <v/>
      </c>
      <c r="D238" s="23" t="str">
        <f>IFERROR(INDEX('Output Utente'!$C$2:$C$492,MATCH(235,'Output Utente'!$R$2:$R$492,0)),"")</f>
        <v/>
      </c>
      <c r="E238" s="23" t="str">
        <f>IFERROR(INDEX('Input Giocatori 2026_27'!$D$3:$D$493,MATCH($B238,'Input Giocatori 2026_27'!$A$3:$A$493,0)),"")</f>
        <v/>
      </c>
      <c r="F238" s="24" t="str">
        <f>IFERROR(INDEX('Output Utente'!$N$2:$N$492,MATCH(235,'Output Utente'!$R$2:$R$492,0)),"")</f>
        <v/>
      </c>
      <c r="G238" s="23" t="str">
        <f>IFERROR(INDEX('Output Utente'!$O$2:$O$492,MATCH(235,'Output Utente'!$R$2:$R$492,0)),"")</f>
        <v/>
      </c>
      <c r="H238" s="23" t="str">
        <f>IFERROR(INDEX('Output Utente'!$P$2:$P$492,MATCH(235,'Output Utente'!$R$2:$R$492,0)),"")</f>
        <v/>
      </c>
      <c r="I238" s="24" t="str">
        <f>IFERROR(INDEX('Output Utente'!$F$2:$F$492,MATCH(235,'Output Utente'!$R$2:$R$492,0)),"")</f>
        <v/>
      </c>
      <c r="J238" s="24" t="str">
        <f>IFERROR(INDEX('Output Utente'!$G$2:$G$492,MATCH(235,'Output Utente'!$R$2:$R$492,0)),"")</f>
        <v/>
      </c>
      <c r="K238" s="24" t="str">
        <f>IFERROR(INDEX('Output Utente'!$H$2:$H$492,MATCH(235,'Output Utente'!$R$2:$R$492,0)),"")</f>
        <v/>
      </c>
      <c r="L238" s="23" t="str">
        <f>IFERROR(INDEX('Output Utente'!$E$2:$E$492,MATCH(235,'Output Utente'!$R$2:$R$492,0)),"")</f>
        <v/>
      </c>
      <c r="V238" t="str">
        <f>IFERROR(INDEX('Output Utente'!$M$2:$M$492,MATCH(235,'Output Utente'!$R$2:$R$492,0)),"")</f>
        <v/>
      </c>
      <c r="W238" t="str">
        <f t="shared" si="3"/>
        <v/>
      </c>
      <c r="X238" t="str">
        <f>IFERROR(INDEX('Output Utente'!$AF$2:$AF$492,MATCH(235,'Output Utente'!$R$2:$R$492,0)),"")</f>
        <v/>
      </c>
    </row>
    <row r="239" spans="1:24" ht="15" customHeight="1" x14ac:dyDescent="0.25">
      <c r="A239" s="26">
        <v>236</v>
      </c>
      <c r="B239" s="23" t="str">
        <f>IFERROR(INDEX('Output Utente'!$A$2:$A$492,MATCH(236,'Output Utente'!$R$2:$R$492,0)),"")</f>
        <v/>
      </c>
      <c r="C239" s="23" t="str">
        <f>IFERROR(INDEX('Output Utente'!$B$2:$B$492,MATCH(236,'Output Utente'!$R$2:$R$492,0)),"")</f>
        <v/>
      </c>
      <c r="D239" s="23" t="str">
        <f>IFERROR(INDEX('Output Utente'!$C$2:$C$492,MATCH(236,'Output Utente'!$R$2:$R$492,0)),"")</f>
        <v/>
      </c>
      <c r="E239" s="23" t="str">
        <f>IFERROR(INDEX('Input Giocatori 2026_27'!$D$3:$D$493,MATCH($B239,'Input Giocatori 2026_27'!$A$3:$A$493,0)),"")</f>
        <v/>
      </c>
      <c r="F239" s="24" t="str">
        <f>IFERROR(INDEX('Output Utente'!$N$2:$N$492,MATCH(236,'Output Utente'!$R$2:$R$492,0)),"")</f>
        <v/>
      </c>
      <c r="G239" s="23" t="str">
        <f>IFERROR(INDEX('Output Utente'!$O$2:$O$492,MATCH(236,'Output Utente'!$R$2:$R$492,0)),"")</f>
        <v/>
      </c>
      <c r="H239" s="23" t="str">
        <f>IFERROR(INDEX('Output Utente'!$P$2:$P$492,MATCH(236,'Output Utente'!$R$2:$R$492,0)),"")</f>
        <v/>
      </c>
      <c r="I239" s="24" t="str">
        <f>IFERROR(INDEX('Output Utente'!$F$2:$F$492,MATCH(236,'Output Utente'!$R$2:$R$492,0)),"")</f>
        <v/>
      </c>
      <c r="J239" s="24" t="str">
        <f>IFERROR(INDEX('Output Utente'!$G$2:$G$492,MATCH(236,'Output Utente'!$R$2:$R$492,0)),"")</f>
        <v/>
      </c>
      <c r="K239" s="24" t="str">
        <f>IFERROR(INDEX('Output Utente'!$H$2:$H$492,MATCH(236,'Output Utente'!$R$2:$R$492,0)),"")</f>
        <v/>
      </c>
      <c r="L239" s="23" t="str">
        <f>IFERROR(INDEX('Output Utente'!$E$2:$E$492,MATCH(236,'Output Utente'!$R$2:$R$492,0)),"")</f>
        <v/>
      </c>
      <c r="V239" t="str">
        <f>IFERROR(INDEX('Output Utente'!$M$2:$M$492,MATCH(236,'Output Utente'!$R$2:$R$492,0)),"")</f>
        <v/>
      </c>
      <c r="W239" t="str">
        <f t="shared" si="3"/>
        <v/>
      </c>
      <c r="X239" t="str">
        <f>IFERROR(INDEX('Output Utente'!$AF$2:$AF$492,MATCH(236,'Output Utente'!$R$2:$R$492,0)),"")</f>
        <v/>
      </c>
    </row>
    <row r="240" spans="1:24" ht="15" customHeight="1" x14ac:dyDescent="0.25">
      <c r="A240" s="26">
        <v>237</v>
      </c>
      <c r="B240" s="23" t="str">
        <f>IFERROR(INDEX('Output Utente'!$A$2:$A$492,MATCH(237,'Output Utente'!$R$2:$R$492,0)),"")</f>
        <v/>
      </c>
      <c r="C240" s="23" t="str">
        <f>IFERROR(INDEX('Output Utente'!$B$2:$B$492,MATCH(237,'Output Utente'!$R$2:$R$492,0)),"")</f>
        <v/>
      </c>
      <c r="D240" s="23" t="str">
        <f>IFERROR(INDEX('Output Utente'!$C$2:$C$492,MATCH(237,'Output Utente'!$R$2:$R$492,0)),"")</f>
        <v/>
      </c>
      <c r="E240" s="23" t="str">
        <f>IFERROR(INDEX('Input Giocatori 2026_27'!$D$3:$D$493,MATCH($B240,'Input Giocatori 2026_27'!$A$3:$A$493,0)),"")</f>
        <v/>
      </c>
      <c r="F240" s="24" t="str">
        <f>IFERROR(INDEX('Output Utente'!$N$2:$N$492,MATCH(237,'Output Utente'!$R$2:$R$492,0)),"")</f>
        <v/>
      </c>
      <c r="G240" s="23" t="str">
        <f>IFERROR(INDEX('Output Utente'!$O$2:$O$492,MATCH(237,'Output Utente'!$R$2:$R$492,0)),"")</f>
        <v/>
      </c>
      <c r="H240" s="23" t="str">
        <f>IFERROR(INDEX('Output Utente'!$P$2:$P$492,MATCH(237,'Output Utente'!$R$2:$R$492,0)),"")</f>
        <v/>
      </c>
      <c r="I240" s="24" t="str">
        <f>IFERROR(INDEX('Output Utente'!$F$2:$F$492,MATCH(237,'Output Utente'!$R$2:$R$492,0)),"")</f>
        <v/>
      </c>
      <c r="J240" s="24" t="str">
        <f>IFERROR(INDEX('Output Utente'!$G$2:$G$492,MATCH(237,'Output Utente'!$R$2:$R$492,0)),"")</f>
        <v/>
      </c>
      <c r="K240" s="24" t="str">
        <f>IFERROR(INDEX('Output Utente'!$H$2:$H$492,MATCH(237,'Output Utente'!$R$2:$R$492,0)),"")</f>
        <v/>
      </c>
      <c r="L240" s="23" t="str">
        <f>IFERROR(INDEX('Output Utente'!$E$2:$E$492,MATCH(237,'Output Utente'!$R$2:$R$492,0)),"")</f>
        <v/>
      </c>
      <c r="V240" t="str">
        <f>IFERROR(INDEX('Output Utente'!$M$2:$M$492,MATCH(237,'Output Utente'!$R$2:$R$492,0)),"")</f>
        <v/>
      </c>
      <c r="W240" t="str">
        <f t="shared" si="3"/>
        <v/>
      </c>
      <c r="X240" t="str">
        <f>IFERROR(INDEX('Output Utente'!$AF$2:$AF$492,MATCH(237,'Output Utente'!$R$2:$R$492,0)),"")</f>
        <v/>
      </c>
    </row>
    <row r="241" spans="1:24" ht="15" customHeight="1" x14ac:dyDescent="0.25">
      <c r="A241" s="26">
        <v>238</v>
      </c>
      <c r="B241" s="23" t="str">
        <f>IFERROR(INDEX('Output Utente'!$A$2:$A$492,MATCH(238,'Output Utente'!$R$2:$R$492,0)),"")</f>
        <v/>
      </c>
      <c r="C241" s="23" t="str">
        <f>IFERROR(INDEX('Output Utente'!$B$2:$B$492,MATCH(238,'Output Utente'!$R$2:$R$492,0)),"")</f>
        <v/>
      </c>
      <c r="D241" s="23" t="str">
        <f>IFERROR(INDEX('Output Utente'!$C$2:$C$492,MATCH(238,'Output Utente'!$R$2:$R$492,0)),"")</f>
        <v/>
      </c>
      <c r="E241" s="23" t="str">
        <f>IFERROR(INDEX('Input Giocatori 2026_27'!$D$3:$D$493,MATCH($B241,'Input Giocatori 2026_27'!$A$3:$A$493,0)),"")</f>
        <v/>
      </c>
      <c r="F241" s="24" t="str">
        <f>IFERROR(INDEX('Output Utente'!$N$2:$N$492,MATCH(238,'Output Utente'!$R$2:$R$492,0)),"")</f>
        <v/>
      </c>
      <c r="G241" s="23" t="str">
        <f>IFERROR(INDEX('Output Utente'!$O$2:$O$492,MATCH(238,'Output Utente'!$R$2:$R$492,0)),"")</f>
        <v/>
      </c>
      <c r="H241" s="23" t="str">
        <f>IFERROR(INDEX('Output Utente'!$P$2:$P$492,MATCH(238,'Output Utente'!$R$2:$R$492,0)),"")</f>
        <v/>
      </c>
      <c r="I241" s="24" t="str">
        <f>IFERROR(INDEX('Output Utente'!$F$2:$F$492,MATCH(238,'Output Utente'!$R$2:$R$492,0)),"")</f>
        <v/>
      </c>
      <c r="J241" s="24" t="str">
        <f>IFERROR(INDEX('Output Utente'!$G$2:$G$492,MATCH(238,'Output Utente'!$R$2:$R$492,0)),"")</f>
        <v/>
      </c>
      <c r="K241" s="24" t="str">
        <f>IFERROR(INDEX('Output Utente'!$H$2:$H$492,MATCH(238,'Output Utente'!$R$2:$R$492,0)),"")</f>
        <v/>
      </c>
      <c r="L241" s="23" t="str">
        <f>IFERROR(INDEX('Output Utente'!$E$2:$E$492,MATCH(238,'Output Utente'!$R$2:$R$492,0)),"")</f>
        <v/>
      </c>
      <c r="V241" t="str">
        <f>IFERROR(INDEX('Output Utente'!$M$2:$M$492,MATCH(238,'Output Utente'!$R$2:$R$492,0)),"")</f>
        <v/>
      </c>
      <c r="W241" t="str">
        <f t="shared" si="3"/>
        <v/>
      </c>
      <c r="X241" t="str">
        <f>IFERROR(INDEX('Output Utente'!$AF$2:$AF$492,MATCH(238,'Output Utente'!$R$2:$R$492,0)),"")</f>
        <v/>
      </c>
    </row>
    <row r="242" spans="1:24" ht="15" customHeight="1" x14ac:dyDescent="0.25">
      <c r="A242" s="26">
        <v>239</v>
      </c>
      <c r="B242" s="23" t="str">
        <f>IFERROR(INDEX('Output Utente'!$A$2:$A$492,MATCH(239,'Output Utente'!$R$2:$R$492,0)),"")</f>
        <v/>
      </c>
      <c r="C242" s="23" t="str">
        <f>IFERROR(INDEX('Output Utente'!$B$2:$B$492,MATCH(239,'Output Utente'!$R$2:$R$492,0)),"")</f>
        <v/>
      </c>
      <c r="D242" s="23" t="str">
        <f>IFERROR(INDEX('Output Utente'!$C$2:$C$492,MATCH(239,'Output Utente'!$R$2:$R$492,0)),"")</f>
        <v/>
      </c>
      <c r="E242" s="23" t="str">
        <f>IFERROR(INDEX('Input Giocatori 2026_27'!$D$3:$D$493,MATCH($B242,'Input Giocatori 2026_27'!$A$3:$A$493,0)),"")</f>
        <v/>
      </c>
      <c r="F242" s="24" t="str">
        <f>IFERROR(INDEX('Output Utente'!$N$2:$N$492,MATCH(239,'Output Utente'!$R$2:$R$492,0)),"")</f>
        <v/>
      </c>
      <c r="G242" s="23" t="str">
        <f>IFERROR(INDEX('Output Utente'!$O$2:$O$492,MATCH(239,'Output Utente'!$R$2:$R$492,0)),"")</f>
        <v/>
      </c>
      <c r="H242" s="23" t="str">
        <f>IFERROR(INDEX('Output Utente'!$P$2:$P$492,MATCH(239,'Output Utente'!$R$2:$R$492,0)),"")</f>
        <v/>
      </c>
      <c r="I242" s="24" t="str">
        <f>IFERROR(INDEX('Output Utente'!$F$2:$F$492,MATCH(239,'Output Utente'!$R$2:$R$492,0)),"")</f>
        <v/>
      </c>
      <c r="J242" s="24" t="str">
        <f>IFERROR(INDEX('Output Utente'!$G$2:$G$492,MATCH(239,'Output Utente'!$R$2:$R$492,0)),"")</f>
        <v/>
      </c>
      <c r="K242" s="24" t="str">
        <f>IFERROR(INDEX('Output Utente'!$H$2:$H$492,MATCH(239,'Output Utente'!$R$2:$R$492,0)),"")</f>
        <v/>
      </c>
      <c r="L242" s="23" t="str">
        <f>IFERROR(INDEX('Output Utente'!$E$2:$E$492,MATCH(239,'Output Utente'!$R$2:$R$492,0)),"")</f>
        <v/>
      </c>
      <c r="V242" t="str">
        <f>IFERROR(INDEX('Output Utente'!$M$2:$M$492,MATCH(239,'Output Utente'!$R$2:$R$492,0)),"")</f>
        <v/>
      </c>
      <c r="W242" t="str">
        <f t="shared" si="3"/>
        <v/>
      </c>
      <c r="X242" t="str">
        <f>IFERROR(INDEX('Output Utente'!$AF$2:$AF$492,MATCH(239,'Output Utente'!$R$2:$R$492,0)),"")</f>
        <v/>
      </c>
    </row>
    <row r="243" spans="1:24" ht="15" customHeight="1" x14ac:dyDescent="0.25">
      <c r="A243" s="26">
        <v>240</v>
      </c>
      <c r="B243" s="23" t="str">
        <f>IFERROR(INDEX('Output Utente'!$A$2:$A$492,MATCH(240,'Output Utente'!$R$2:$R$492,0)),"")</f>
        <v/>
      </c>
      <c r="C243" s="23" t="str">
        <f>IFERROR(INDEX('Output Utente'!$B$2:$B$492,MATCH(240,'Output Utente'!$R$2:$R$492,0)),"")</f>
        <v/>
      </c>
      <c r="D243" s="23" t="str">
        <f>IFERROR(INDEX('Output Utente'!$C$2:$C$492,MATCH(240,'Output Utente'!$R$2:$R$492,0)),"")</f>
        <v/>
      </c>
      <c r="E243" s="23" t="str">
        <f>IFERROR(INDEX('Input Giocatori 2026_27'!$D$3:$D$493,MATCH($B243,'Input Giocatori 2026_27'!$A$3:$A$493,0)),"")</f>
        <v/>
      </c>
      <c r="F243" s="24" t="str">
        <f>IFERROR(INDEX('Output Utente'!$N$2:$N$492,MATCH(240,'Output Utente'!$R$2:$R$492,0)),"")</f>
        <v/>
      </c>
      <c r="G243" s="23" t="str">
        <f>IFERROR(INDEX('Output Utente'!$O$2:$O$492,MATCH(240,'Output Utente'!$R$2:$R$492,0)),"")</f>
        <v/>
      </c>
      <c r="H243" s="23" t="str">
        <f>IFERROR(INDEX('Output Utente'!$P$2:$P$492,MATCH(240,'Output Utente'!$R$2:$R$492,0)),"")</f>
        <v/>
      </c>
      <c r="I243" s="24" t="str">
        <f>IFERROR(INDEX('Output Utente'!$F$2:$F$492,MATCH(240,'Output Utente'!$R$2:$R$492,0)),"")</f>
        <v/>
      </c>
      <c r="J243" s="24" t="str">
        <f>IFERROR(INDEX('Output Utente'!$G$2:$G$492,MATCH(240,'Output Utente'!$R$2:$R$492,0)),"")</f>
        <v/>
      </c>
      <c r="K243" s="24" t="str">
        <f>IFERROR(INDEX('Output Utente'!$H$2:$H$492,MATCH(240,'Output Utente'!$R$2:$R$492,0)),"")</f>
        <v/>
      </c>
      <c r="L243" s="23" t="str">
        <f>IFERROR(INDEX('Output Utente'!$E$2:$E$492,MATCH(240,'Output Utente'!$R$2:$R$492,0)),"")</f>
        <v/>
      </c>
      <c r="V243" t="str">
        <f>IFERROR(INDEX('Output Utente'!$M$2:$M$492,MATCH(240,'Output Utente'!$R$2:$R$492,0)),"")</f>
        <v/>
      </c>
      <c r="W243" t="str">
        <f t="shared" si="3"/>
        <v/>
      </c>
      <c r="X243" t="str">
        <f>IFERROR(INDEX('Output Utente'!$AF$2:$AF$492,MATCH(240,'Output Utente'!$R$2:$R$492,0)),"")</f>
        <v/>
      </c>
    </row>
    <row r="244" spans="1:24" ht="15" customHeight="1" x14ac:dyDescent="0.25">
      <c r="A244" s="26">
        <v>241</v>
      </c>
      <c r="B244" s="23" t="str">
        <f>IFERROR(INDEX('Output Utente'!$A$2:$A$492,MATCH(241,'Output Utente'!$R$2:$R$492,0)),"")</f>
        <v/>
      </c>
      <c r="C244" s="23" t="str">
        <f>IFERROR(INDEX('Output Utente'!$B$2:$B$492,MATCH(241,'Output Utente'!$R$2:$R$492,0)),"")</f>
        <v/>
      </c>
      <c r="D244" s="23" t="str">
        <f>IFERROR(INDEX('Output Utente'!$C$2:$C$492,MATCH(241,'Output Utente'!$R$2:$R$492,0)),"")</f>
        <v/>
      </c>
      <c r="E244" s="23" t="str">
        <f>IFERROR(INDEX('Input Giocatori 2026_27'!$D$3:$D$493,MATCH($B244,'Input Giocatori 2026_27'!$A$3:$A$493,0)),"")</f>
        <v/>
      </c>
      <c r="F244" s="24" t="str">
        <f>IFERROR(INDEX('Output Utente'!$N$2:$N$492,MATCH(241,'Output Utente'!$R$2:$R$492,0)),"")</f>
        <v/>
      </c>
      <c r="G244" s="23" t="str">
        <f>IFERROR(INDEX('Output Utente'!$O$2:$O$492,MATCH(241,'Output Utente'!$R$2:$R$492,0)),"")</f>
        <v/>
      </c>
      <c r="H244" s="23" t="str">
        <f>IFERROR(INDEX('Output Utente'!$P$2:$P$492,MATCH(241,'Output Utente'!$R$2:$R$492,0)),"")</f>
        <v/>
      </c>
      <c r="I244" s="24" t="str">
        <f>IFERROR(INDEX('Output Utente'!$F$2:$F$492,MATCH(241,'Output Utente'!$R$2:$R$492,0)),"")</f>
        <v/>
      </c>
      <c r="J244" s="24" t="str">
        <f>IFERROR(INDEX('Output Utente'!$G$2:$G$492,MATCH(241,'Output Utente'!$R$2:$R$492,0)),"")</f>
        <v/>
      </c>
      <c r="K244" s="24" t="str">
        <f>IFERROR(INDEX('Output Utente'!$H$2:$H$492,MATCH(241,'Output Utente'!$R$2:$R$492,0)),"")</f>
        <v/>
      </c>
      <c r="L244" s="23" t="str">
        <f>IFERROR(INDEX('Output Utente'!$E$2:$E$492,MATCH(241,'Output Utente'!$R$2:$R$492,0)),"")</f>
        <v/>
      </c>
      <c r="V244" t="str">
        <f>IFERROR(INDEX('Output Utente'!$M$2:$M$492,MATCH(241,'Output Utente'!$R$2:$R$492,0)),"")</f>
        <v/>
      </c>
      <c r="W244" t="str">
        <f t="shared" si="3"/>
        <v/>
      </c>
      <c r="X244" t="str">
        <f>IFERROR(INDEX('Output Utente'!$AF$2:$AF$492,MATCH(241,'Output Utente'!$R$2:$R$492,0)),"")</f>
        <v/>
      </c>
    </row>
    <row r="245" spans="1:24" ht="15" customHeight="1" x14ac:dyDescent="0.25">
      <c r="A245" s="26">
        <v>242</v>
      </c>
      <c r="B245" s="23" t="str">
        <f>IFERROR(INDEX('Output Utente'!$A$2:$A$492,MATCH(242,'Output Utente'!$R$2:$R$492,0)),"")</f>
        <v/>
      </c>
      <c r="C245" s="23" t="str">
        <f>IFERROR(INDEX('Output Utente'!$B$2:$B$492,MATCH(242,'Output Utente'!$R$2:$R$492,0)),"")</f>
        <v/>
      </c>
      <c r="D245" s="23" t="str">
        <f>IFERROR(INDEX('Output Utente'!$C$2:$C$492,MATCH(242,'Output Utente'!$R$2:$R$492,0)),"")</f>
        <v/>
      </c>
      <c r="E245" s="23" t="str">
        <f>IFERROR(INDEX('Input Giocatori 2026_27'!$D$3:$D$493,MATCH($B245,'Input Giocatori 2026_27'!$A$3:$A$493,0)),"")</f>
        <v/>
      </c>
      <c r="F245" s="24" t="str">
        <f>IFERROR(INDEX('Output Utente'!$N$2:$N$492,MATCH(242,'Output Utente'!$R$2:$R$492,0)),"")</f>
        <v/>
      </c>
      <c r="G245" s="23" t="str">
        <f>IFERROR(INDEX('Output Utente'!$O$2:$O$492,MATCH(242,'Output Utente'!$R$2:$R$492,0)),"")</f>
        <v/>
      </c>
      <c r="H245" s="23" t="str">
        <f>IFERROR(INDEX('Output Utente'!$P$2:$P$492,MATCH(242,'Output Utente'!$R$2:$R$492,0)),"")</f>
        <v/>
      </c>
      <c r="I245" s="24" t="str">
        <f>IFERROR(INDEX('Output Utente'!$F$2:$F$492,MATCH(242,'Output Utente'!$R$2:$R$492,0)),"")</f>
        <v/>
      </c>
      <c r="J245" s="24" t="str">
        <f>IFERROR(INDEX('Output Utente'!$G$2:$G$492,MATCH(242,'Output Utente'!$R$2:$R$492,0)),"")</f>
        <v/>
      </c>
      <c r="K245" s="24" t="str">
        <f>IFERROR(INDEX('Output Utente'!$H$2:$H$492,MATCH(242,'Output Utente'!$R$2:$R$492,0)),"")</f>
        <v/>
      </c>
      <c r="L245" s="23" t="str">
        <f>IFERROR(INDEX('Output Utente'!$E$2:$E$492,MATCH(242,'Output Utente'!$R$2:$R$492,0)),"")</f>
        <v/>
      </c>
      <c r="V245" t="str">
        <f>IFERROR(INDEX('Output Utente'!$M$2:$M$492,MATCH(242,'Output Utente'!$R$2:$R$492,0)),"")</f>
        <v/>
      </c>
      <c r="W245" t="str">
        <f t="shared" si="3"/>
        <v/>
      </c>
      <c r="X245" t="str">
        <f>IFERROR(INDEX('Output Utente'!$AF$2:$AF$492,MATCH(242,'Output Utente'!$R$2:$R$492,0)),"")</f>
        <v/>
      </c>
    </row>
    <row r="246" spans="1:24" ht="15" customHeight="1" x14ac:dyDescent="0.25">
      <c r="A246" s="26">
        <v>243</v>
      </c>
      <c r="B246" s="23" t="str">
        <f>IFERROR(INDEX('Output Utente'!$A$2:$A$492,MATCH(243,'Output Utente'!$R$2:$R$492,0)),"")</f>
        <v/>
      </c>
      <c r="C246" s="23" t="str">
        <f>IFERROR(INDEX('Output Utente'!$B$2:$B$492,MATCH(243,'Output Utente'!$R$2:$R$492,0)),"")</f>
        <v/>
      </c>
      <c r="D246" s="23" t="str">
        <f>IFERROR(INDEX('Output Utente'!$C$2:$C$492,MATCH(243,'Output Utente'!$R$2:$R$492,0)),"")</f>
        <v/>
      </c>
      <c r="E246" s="23" t="str">
        <f>IFERROR(INDEX('Input Giocatori 2026_27'!$D$3:$D$493,MATCH($B246,'Input Giocatori 2026_27'!$A$3:$A$493,0)),"")</f>
        <v/>
      </c>
      <c r="F246" s="24" t="str">
        <f>IFERROR(INDEX('Output Utente'!$N$2:$N$492,MATCH(243,'Output Utente'!$R$2:$R$492,0)),"")</f>
        <v/>
      </c>
      <c r="G246" s="23" t="str">
        <f>IFERROR(INDEX('Output Utente'!$O$2:$O$492,MATCH(243,'Output Utente'!$R$2:$R$492,0)),"")</f>
        <v/>
      </c>
      <c r="H246" s="23" t="str">
        <f>IFERROR(INDEX('Output Utente'!$P$2:$P$492,MATCH(243,'Output Utente'!$R$2:$R$492,0)),"")</f>
        <v/>
      </c>
      <c r="I246" s="24" t="str">
        <f>IFERROR(INDEX('Output Utente'!$F$2:$F$492,MATCH(243,'Output Utente'!$R$2:$R$492,0)),"")</f>
        <v/>
      </c>
      <c r="J246" s="24" t="str">
        <f>IFERROR(INDEX('Output Utente'!$G$2:$G$492,MATCH(243,'Output Utente'!$R$2:$R$492,0)),"")</f>
        <v/>
      </c>
      <c r="K246" s="24" t="str">
        <f>IFERROR(INDEX('Output Utente'!$H$2:$H$492,MATCH(243,'Output Utente'!$R$2:$R$492,0)),"")</f>
        <v/>
      </c>
      <c r="L246" s="23" t="str">
        <f>IFERROR(INDEX('Output Utente'!$E$2:$E$492,MATCH(243,'Output Utente'!$R$2:$R$492,0)),"")</f>
        <v/>
      </c>
      <c r="V246" t="str">
        <f>IFERROR(INDEX('Output Utente'!$M$2:$M$492,MATCH(243,'Output Utente'!$R$2:$R$492,0)),"")</f>
        <v/>
      </c>
      <c r="W246" t="str">
        <f t="shared" si="3"/>
        <v/>
      </c>
      <c r="X246" t="str">
        <f>IFERROR(INDEX('Output Utente'!$AF$2:$AF$492,MATCH(243,'Output Utente'!$R$2:$R$492,0)),"")</f>
        <v/>
      </c>
    </row>
    <row r="247" spans="1:24" ht="15" customHeight="1" x14ac:dyDescent="0.25">
      <c r="A247" s="26">
        <v>244</v>
      </c>
      <c r="B247" s="23" t="str">
        <f>IFERROR(INDEX('Output Utente'!$A$2:$A$492,MATCH(244,'Output Utente'!$R$2:$R$492,0)),"")</f>
        <v/>
      </c>
      <c r="C247" s="23" t="str">
        <f>IFERROR(INDEX('Output Utente'!$B$2:$B$492,MATCH(244,'Output Utente'!$R$2:$R$492,0)),"")</f>
        <v/>
      </c>
      <c r="D247" s="23" t="str">
        <f>IFERROR(INDEX('Output Utente'!$C$2:$C$492,MATCH(244,'Output Utente'!$R$2:$R$492,0)),"")</f>
        <v/>
      </c>
      <c r="E247" s="23" t="str">
        <f>IFERROR(INDEX('Input Giocatori 2026_27'!$D$3:$D$493,MATCH($B247,'Input Giocatori 2026_27'!$A$3:$A$493,0)),"")</f>
        <v/>
      </c>
      <c r="F247" s="24" t="str">
        <f>IFERROR(INDEX('Output Utente'!$N$2:$N$492,MATCH(244,'Output Utente'!$R$2:$R$492,0)),"")</f>
        <v/>
      </c>
      <c r="G247" s="23" t="str">
        <f>IFERROR(INDEX('Output Utente'!$O$2:$O$492,MATCH(244,'Output Utente'!$R$2:$R$492,0)),"")</f>
        <v/>
      </c>
      <c r="H247" s="23" t="str">
        <f>IFERROR(INDEX('Output Utente'!$P$2:$P$492,MATCH(244,'Output Utente'!$R$2:$R$492,0)),"")</f>
        <v/>
      </c>
      <c r="I247" s="24" t="str">
        <f>IFERROR(INDEX('Output Utente'!$F$2:$F$492,MATCH(244,'Output Utente'!$R$2:$R$492,0)),"")</f>
        <v/>
      </c>
      <c r="J247" s="24" t="str">
        <f>IFERROR(INDEX('Output Utente'!$G$2:$G$492,MATCH(244,'Output Utente'!$R$2:$R$492,0)),"")</f>
        <v/>
      </c>
      <c r="K247" s="24" t="str">
        <f>IFERROR(INDEX('Output Utente'!$H$2:$H$492,MATCH(244,'Output Utente'!$R$2:$R$492,0)),"")</f>
        <v/>
      </c>
      <c r="L247" s="23" t="str">
        <f>IFERROR(INDEX('Output Utente'!$E$2:$E$492,MATCH(244,'Output Utente'!$R$2:$R$492,0)),"")</f>
        <v/>
      </c>
      <c r="V247" t="str">
        <f>IFERROR(INDEX('Output Utente'!$M$2:$M$492,MATCH(244,'Output Utente'!$R$2:$R$492,0)),"")</f>
        <v/>
      </c>
      <c r="W247" t="str">
        <f t="shared" si="3"/>
        <v/>
      </c>
      <c r="X247" t="str">
        <f>IFERROR(INDEX('Output Utente'!$AF$2:$AF$492,MATCH(244,'Output Utente'!$R$2:$R$492,0)),"")</f>
        <v/>
      </c>
    </row>
    <row r="248" spans="1:24" ht="15" customHeight="1" x14ac:dyDescent="0.25">
      <c r="A248" s="26">
        <v>245</v>
      </c>
      <c r="B248" s="23" t="str">
        <f>IFERROR(INDEX('Output Utente'!$A$2:$A$492,MATCH(245,'Output Utente'!$R$2:$R$492,0)),"")</f>
        <v/>
      </c>
      <c r="C248" s="23" t="str">
        <f>IFERROR(INDEX('Output Utente'!$B$2:$B$492,MATCH(245,'Output Utente'!$R$2:$R$492,0)),"")</f>
        <v/>
      </c>
      <c r="D248" s="23" t="str">
        <f>IFERROR(INDEX('Output Utente'!$C$2:$C$492,MATCH(245,'Output Utente'!$R$2:$R$492,0)),"")</f>
        <v/>
      </c>
      <c r="E248" s="23" t="str">
        <f>IFERROR(INDEX('Input Giocatori 2026_27'!$D$3:$D$493,MATCH($B248,'Input Giocatori 2026_27'!$A$3:$A$493,0)),"")</f>
        <v/>
      </c>
      <c r="F248" s="24" t="str">
        <f>IFERROR(INDEX('Output Utente'!$N$2:$N$492,MATCH(245,'Output Utente'!$R$2:$R$492,0)),"")</f>
        <v/>
      </c>
      <c r="G248" s="23" t="str">
        <f>IFERROR(INDEX('Output Utente'!$O$2:$O$492,MATCH(245,'Output Utente'!$R$2:$R$492,0)),"")</f>
        <v/>
      </c>
      <c r="H248" s="23" t="str">
        <f>IFERROR(INDEX('Output Utente'!$P$2:$P$492,MATCH(245,'Output Utente'!$R$2:$R$492,0)),"")</f>
        <v/>
      </c>
      <c r="I248" s="24" t="str">
        <f>IFERROR(INDEX('Output Utente'!$F$2:$F$492,MATCH(245,'Output Utente'!$R$2:$R$492,0)),"")</f>
        <v/>
      </c>
      <c r="J248" s="24" t="str">
        <f>IFERROR(INDEX('Output Utente'!$G$2:$G$492,MATCH(245,'Output Utente'!$R$2:$R$492,0)),"")</f>
        <v/>
      </c>
      <c r="K248" s="24" t="str">
        <f>IFERROR(INDEX('Output Utente'!$H$2:$H$492,MATCH(245,'Output Utente'!$R$2:$R$492,0)),"")</f>
        <v/>
      </c>
      <c r="L248" s="23" t="str">
        <f>IFERROR(INDEX('Output Utente'!$E$2:$E$492,MATCH(245,'Output Utente'!$R$2:$R$492,0)),"")</f>
        <v/>
      </c>
      <c r="V248" t="str">
        <f>IFERROR(INDEX('Output Utente'!$M$2:$M$492,MATCH(245,'Output Utente'!$R$2:$R$492,0)),"")</f>
        <v/>
      </c>
      <c r="W248" t="str">
        <f t="shared" si="3"/>
        <v/>
      </c>
      <c r="X248" t="str">
        <f>IFERROR(INDEX('Output Utente'!$AF$2:$AF$492,MATCH(245,'Output Utente'!$R$2:$R$492,0)),"")</f>
        <v/>
      </c>
    </row>
    <row r="249" spans="1:24" ht="15" customHeight="1" x14ac:dyDescent="0.25">
      <c r="A249" s="26">
        <v>246</v>
      </c>
      <c r="B249" s="23" t="str">
        <f>IFERROR(INDEX('Output Utente'!$A$2:$A$492,MATCH(246,'Output Utente'!$R$2:$R$492,0)),"")</f>
        <v/>
      </c>
      <c r="C249" s="23" t="str">
        <f>IFERROR(INDEX('Output Utente'!$B$2:$B$492,MATCH(246,'Output Utente'!$R$2:$R$492,0)),"")</f>
        <v/>
      </c>
      <c r="D249" s="23" t="str">
        <f>IFERROR(INDEX('Output Utente'!$C$2:$C$492,MATCH(246,'Output Utente'!$R$2:$R$492,0)),"")</f>
        <v/>
      </c>
      <c r="E249" s="23" t="str">
        <f>IFERROR(INDEX('Input Giocatori 2026_27'!$D$3:$D$493,MATCH($B249,'Input Giocatori 2026_27'!$A$3:$A$493,0)),"")</f>
        <v/>
      </c>
      <c r="F249" s="24" t="str">
        <f>IFERROR(INDEX('Output Utente'!$N$2:$N$492,MATCH(246,'Output Utente'!$R$2:$R$492,0)),"")</f>
        <v/>
      </c>
      <c r="G249" s="23" t="str">
        <f>IFERROR(INDEX('Output Utente'!$O$2:$O$492,MATCH(246,'Output Utente'!$R$2:$R$492,0)),"")</f>
        <v/>
      </c>
      <c r="H249" s="23" t="str">
        <f>IFERROR(INDEX('Output Utente'!$P$2:$P$492,MATCH(246,'Output Utente'!$R$2:$R$492,0)),"")</f>
        <v/>
      </c>
      <c r="I249" s="24" t="str">
        <f>IFERROR(INDEX('Output Utente'!$F$2:$F$492,MATCH(246,'Output Utente'!$R$2:$R$492,0)),"")</f>
        <v/>
      </c>
      <c r="J249" s="24" t="str">
        <f>IFERROR(INDEX('Output Utente'!$G$2:$G$492,MATCH(246,'Output Utente'!$R$2:$R$492,0)),"")</f>
        <v/>
      </c>
      <c r="K249" s="24" t="str">
        <f>IFERROR(INDEX('Output Utente'!$H$2:$H$492,MATCH(246,'Output Utente'!$R$2:$R$492,0)),"")</f>
        <v/>
      </c>
      <c r="L249" s="23" t="str">
        <f>IFERROR(INDEX('Output Utente'!$E$2:$E$492,MATCH(246,'Output Utente'!$R$2:$R$492,0)),"")</f>
        <v/>
      </c>
      <c r="V249" t="str">
        <f>IFERROR(INDEX('Output Utente'!$M$2:$M$492,MATCH(246,'Output Utente'!$R$2:$R$492,0)),"")</f>
        <v/>
      </c>
      <c r="W249" t="str">
        <f t="shared" si="3"/>
        <v/>
      </c>
      <c r="X249" t="str">
        <f>IFERROR(INDEX('Output Utente'!$AF$2:$AF$492,MATCH(246,'Output Utente'!$R$2:$R$492,0)),"")</f>
        <v/>
      </c>
    </row>
    <row r="250" spans="1:24" ht="15" customHeight="1" x14ac:dyDescent="0.25">
      <c r="A250" s="26">
        <v>247</v>
      </c>
      <c r="B250" s="23" t="str">
        <f>IFERROR(INDEX('Output Utente'!$A$2:$A$492,MATCH(247,'Output Utente'!$R$2:$R$492,0)),"")</f>
        <v/>
      </c>
      <c r="C250" s="23" t="str">
        <f>IFERROR(INDEX('Output Utente'!$B$2:$B$492,MATCH(247,'Output Utente'!$R$2:$R$492,0)),"")</f>
        <v/>
      </c>
      <c r="D250" s="23" t="str">
        <f>IFERROR(INDEX('Output Utente'!$C$2:$C$492,MATCH(247,'Output Utente'!$R$2:$R$492,0)),"")</f>
        <v/>
      </c>
      <c r="E250" s="23" t="str">
        <f>IFERROR(INDEX('Input Giocatori 2026_27'!$D$3:$D$493,MATCH($B250,'Input Giocatori 2026_27'!$A$3:$A$493,0)),"")</f>
        <v/>
      </c>
      <c r="F250" s="24" t="str">
        <f>IFERROR(INDEX('Output Utente'!$N$2:$N$492,MATCH(247,'Output Utente'!$R$2:$R$492,0)),"")</f>
        <v/>
      </c>
      <c r="G250" s="23" t="str">
        <f>IFERROR(INDEX('Output Utente'!$O$2:$O$492,MATCH(247,'Output Utente'!$R$2:$R$492,0)),"")</f>
        <v/>
      </c>
      <c r="H250" s="23" t="str">
        <f>IFERROR(INDEX('Output Utente'!$P$2:$P$492,MATCH(247,'Output Utente'!$R$2:$R$492,0)),"")</f>
        <v/>
      </c>
      <c r="I250" s="24" t="str">
        <f>IFERROR(INDEX('Output Utente'!$F$2:$F$492,MATCH(247,'Output Utente'!$R$2:$R$492,0)),"")</f>
        <v/>
      </c>
      <c r="J250" s="24" t="str">
        <f>IFERROR(INDEX('Output Utente'!$G$2:$G$492,MATCH(247,'Output Utente'!$R$2:$R$492,0)),"")</f>
        <v/>
      </c>
      <c r="K250" s="24" t="str">
        <f>IFERROR(INDEX('Output Utente'!$H$2:$H$492,MATCH(247,'Output Utente'!$R$2:$R$492,0)),"")</f>
        <v/>
      </c>
      <c r="L250" s="23" t="str">
        <f>IFERROR(INDEX('Output Utente'!$E$2:$E$492,MATCH(247,'Output Utente'!$R$2:$R$492,0)),"")</f>
        <v/>
      </c>
      <c r="V250" t="str">
        <f>IFERROR(INDEX('Output Utente'!$M$2:$M$492,MATCH(247,'Output Utente'!$R$2:$R$492,0)),"")</f>
        <v/>
      </c>
      <c r="W250" t="str">
        <f t="shared" si="3"/>
        <v/>
      </c>
      <c r="X250" t="str">
        <f>IFERROR(INDEX('Output Utente'!$AF$2:$AF$492,MATCH(247,'Output Utente'!$R$2:$R$492,0)),"")</f>
        <v/>
      </c>
    </row>
    <row r="251" spans="1:24" ht="15" customHeight="1" x14ac:dyDescent="0.25">
      <c r="A251" s="26">
        <v>248</v>
      </c>
      <c r="B251" s="23" t="str">
        <f>IFERROR(INDEX('Output Utente'!$A$2:$A$492,MATCH(248,'Output Utente'!$R$2:$R$492,0)),"")</f>
        <v/>
      </c>
      <c r="C251" s="23" t="str">
        <f>IFERROR(INDEX('Output Utente'!$B$2:$B$492,MATCH(248,'Output Utente'!$R$2:$R$492,0)),"")</f>
        <v/>
      </c>
      <c r="D251" s="23" t="str">
        <f>IFERROR(INDEX('Output Utente'!$C$2:$C$492,MATCH(248,'Output Utente'!$R$2:$R$492,0)),"")</f>
        <v/>
      </c>
      <c r="E251" s="23" t="str">
        <f>IFERROR(INDEX('Input Giocatori 2026_27'!$D$3:$D$493,MATCH($B251,'Input Giocatori 2026_27'!$A$3:$A$493,0)),"")</f>
        <v/>
      </c>
      <c r="F251" s="24" t="str">
        <f>IFERROR(INDEX('Output Utente'!$N$2:$N$492,MATCH(248,'Output Utente'!$R$2:$R$492,0)),"")</f>
        <v/>
      </c>
      <c r="G251" s="23" t="str">
        <f>IFERROR(INDEX('Output Utente'!$O$2:$O$492,MATCH(248,'Output Utente'!$R$2:$R$492,0)),"")</f>
        <v/>
      </c>
      <c r="H251" s="23" t="str">
        <f>IFERROR(INDEX('Output Utente'!$P$2:$P$492,MATCH(248,'Output Utente'!$R$2:$R$492,0)),"")</f>
        <v/>
      </c>
      <c r="I251" s="24" t="str">
        <f>IFERROR(INDEX('Output Utente'!$F$2:$F$492,MATCH(248,'Output Utente'!$R$2:$R$492,0)),"")</f>
        <v/>
      </c>
      <c r="J251" s="24" t="str">
        <f>IFERROR(INDEX('Output Utente'!$G$2:$G$492,MATCH(248,'Output Utente'!$R$2:$R$492,0)),"")</f>
        <v/>
      </c>
      <c r="K251" s="24" t="str">
        <f>IFERROR(INDEX('Output Utente'!$H$2:$H$492,MATCH(248,'Output Utente'!$R$2:$R$492,0)),"")</f>
        <v/>
      </c>
      <c r="L251" s="23" t="str">
        <f>IFERROR(INDEX('Output Utente'!$E$2:$E$492,MATCH(248,'Output Utente'!$R$2:$R$492,0)),"")</f>
        <v/>
      </c>
      <c r="V251" t="str">
        <f>IFERROR(INDEX('Output Utente'!$M$2:$M$492,MATCH(248,'Output Utente'!$R$2:$R$492,0)),"")</f>
        <v/>
      </c>
      <c r="W251" t="str">
        <f t="shared" si="3"/>
        <v/>
      </c>
      <c r="X251" t="str">
        <f>IFERROR(INDEX('Output Utente'!$AF$2:$AF$492,MATCH(248,'Output Utente'!$R$2:$R$492,0)),"")</f>
        <v/>
      </c>
    </row>
    <row r="252" spans="1:24" ht="15" customHeight="1" x14ac:dyDescent="0.25">
      <c r="A252" s="26">
        <v>249</v>
      </c>
      <c r="B252" s="23" t="str">
        <f>IFERROR(INDEX('Output Utente'!$A$2:$A$492,MATCH(249,'Output Utente'!$R$2:$R$492,0)),"")</f>
        <v/>
      </c>
      <c r="C252" s="23" t="str">
        <f>IFERROR(INDEX('Output Utente'!$B$2:$B$492,MATCH(249,'Output Utente'!$R$2:$R$492,0)),"")</f>
        <v/>
      </c>
      <c r="D252" s="23" t="str">
        <f>IFERROR(INDEX('Output Utente'!$C$2:$C$492,MATCH(249,'Output Utente'!$R$2:$R$492,0)),"")</f>
        <v/>
      </c>
      <c r="E252" s="23" t="str">
        <f>IFERROR(INDEX('Input Giocatori 2026_27'!$D$3:$D$493,MATCH($B252,'Input Giocatori 2026_27'!$A$3:$A$493,0)),"")</f>
        <v/>
      </c>
      <c r="F252" s="24" t="str">
        <f>IFERROR(INDEX('Output Utente'!$N$2:$N$492,MATCH(249,'Output Utente'!$R$2:$R$492,0)),"")</f>
        <v/>
      </c>
      <c r="G252" s="23" t="str">
        <f>IFERROR(INDEX('Output Utente'!$O$2:$O$492,MATCH(249,'Output Utente'!$R$2:$R$492,0)),"")</f>
        <v/>
      </c>
      <c r="H252" s="23" t="str">
        <f>IFERROR(INDEX('Output Utente'!$P$2:$P$492,MATCH(249,'Output Utente'!$R$2:$R$492,0)),"")</f>
        <v/>
      </c>
      <c r="I252" s="24" t="str">
        <f>IFERROR(INDEX('Output Utente'!$F$2:$F$492,MATCH(249,'Output Utente'!$R$2:$R$492,0)),"")</f>
        <v/>
      </c>
      <c r="J252" s="24" t="str">
        <f>IFERROR(INDEX('Output Utente'!$G$2:$G$492,MATCH(249,'Output Utente'!$R$2:$R$492,0)),"")</f>
        <v/>
      </c>
      <c r="K252" s="24" t="str">
        <f>IFERROR(INDEX('Output Utente'!$H$2:$H$492,MATCH(249,'Output Utente'!$R$2:$R$492,0)),"")</f>
        <v/>
      </c>
      <c r="L252" s="23" t="str">
        <f>IFERROR(INDEX('Output Utente'!$E$2:$E$492,MATCH(249,'Output Utente'!$R$2:$R$492,0)),"")</f>
        <v/>
      </c>
      <c r="V252" t="str">
        <f>IFERROR(INDEX('Output Utente'!$M$2:$M$492,MATCH(249,'Output Utente'!$R$2:$R$492,0)),"")</f>
        <v/>
      </c>
      <c r="W252" t="str">
        <f t="shared" si="3"/>
        <v/>
      </c>
      <c r="X252" t="str">
        <f>IFERROR(INDEX('Output Utente'!$AF$2:$AF$492,MATCH(249,'Output Utente'!$R$2:$R$492,0)),"")</f>
        <v/>
      </c>
    </row>
    <row r="253" spans="1:24" ht="15" customHeight="1" x14ac:dyDescent="0.25">
      <c r="A253" s="26">
        <v>250</v>
      </c>
      <c r="B253" s="23" t="str">
        <f>IFERROR(INDEX('Output Utente'!$A$2:$A$492,MATCH(250,'Output Utente'!$R$2:$R$492,0)),"")</f>
        <v/>
      </c>
      <c r="C253" s="23" t="str">
        <f>IFERROR(INDEX('Output Utente'!$B$2:$B$492,MATCH(250,'Output Utente'!$R$2:$R$492,0)),"")</f>
        <v/>
      </c>
      <c r="D253" s="23" t="str">
        <f>IFERROR(INDEX('Output Utente'!$C$2:$C$492,MATCH(250,'Output Utente'!$R$2:$R$492,0)),"")</f>
        <v/>
      </c>
      <c r="E253" s="23" t="str">
        <f>IFERROR(INDEX('Input Giocatori 2026_27'!$D$3:$D$493,MATCH($B253,'Input Giocatori 2026_27'!$A$3:$A$493,0)),"")</f>
        <v/>
      </c>
      <c r="F253" s="24" t="str">
        <f>IFERROR(INDEX('Output Utente'!$N$2:$N$492,MATCH(250,'Output Utente'!$R$2:$R$492,0)),"")</f>
        <v/>
      </c>
      <c r="G253" s="23" t="str">
        <f>IFERROR(INDEX('Output Utente'!$O$2:$O$492,MATCH(250,'Output Utente'!$R$2:$R$492,0)),"")</f>
        <v/>
      </c>
      <c r="H253" s="23" t="str">
        <f>IFERROR(INDEX('Output Utente'!$P$2:$P$492,MATCH(250,'Output Utente'!$R$2:$R$492,0)),"")</f>
        <v/>
      </c>
      <c r="I253" s="24" t="str">
        <f>IFERROR(INDEX('Output Utente'!$F$2:$F$492,MATCH(250,'Output Utente'!$R$2:$R$492,0)),"")</f>
        <v/>
      </c>
      <c r="J253" s="24" t="str">
        <f>IFERROR(INDEX('Output Utente'!$G$2:$G$492,MATCH(250,'Output Utente'!$R$2:$R$492,0)),"")</f>
        <v/>
      </c>
      <c r="K253" s="24" t="str">
        <f>IFERROR(INDEX('Output Utente'!$H$2:$H$492,MATCH(250,'Output Utente'!$R$2:$R$492,0)),"")</f>
        <v/>
      </c>
      <c r="L253" s="23" t="str">
        <f>IFERROR(INDEX('Output Utente'!$E$2:$E$492,MATCH(250,'Output Utente'!$R$2:$R$492,0)),"")</f>
        <v/>
      </c>
      <c r="V253" t="str">
        <f>IFERROR(INDEX('Output Utente'!$M$2:$M$492,MATCH(250,'Output Utente'!$R$2:$R$492,0)),"")</f>
        <v/>
      </c>
      <c r="W253" t="str">
        <f t="shared" si="3"/>
        <v/>
      </c>
      <c r="X253" t="str">
        <f>IFERROR(INDEX('Output Utente'!$AF$2:$AF$492,MATCH(250,'Output Utente'!$R$2:$R$492,0)),"")</f>
        <v/>
      </c>
    </row>
    <row r="254" spans="1:24" ht="15" customHeight="1" x14ac:dyDescent="0.25">
      <c r="A254" s="26">
        <v>251</v>
      </c>
      <c r="B254" s="23" t="str">
        <f>IFERROR(INDEX('Output Utente'!$A$2:$A$492,MATCH(251,'Output Utente'!$R$2:$R$492,0)),"")</f>
        <v/>
      </c>
      <c r="C254" s="23" t="str">
        <f>IFERROR(INDEX('Output Utente'!$B$2:$B$492,MATCH(251,'Output Utente'!$R$2:$R$492,0)),"")</f>
        <v/>
      </c>
      <c r="D254" s="23" t="str">
        <f>IFERROR(INDEX('Output Utente'!$C$2:$C$492,MATCH(251,'Output Utente'!$R$2:$R$492,0)),"")</f>
        <v/>
      </c>
      <c r="E254" s="23" t="str">
        <f>IFERROR(INDEX('Input Giocatori 2026_27'!$D$3:$D$493,MATCH($B254,'Input Giocatori 2026_27'!$A$3:$A$493,0)),"")</f>
        <v/>
      </c>
      <c r="F254" s="24" t="str">
        <f>IFERROR(INDEX('Output Utente'!$N$2:$N$492,MATCH(251,'Output Utente'!$R$2:$R$492,0)),"")</f>
        <v/>
      </c>
      <c r="G254" s="23" t="str">
        <f>IFERROR(INDEX('Output Utente'!$O$2:$O$492,MATCH(251,'Output Utente'!$R$2:$R$492,0)),"")</f>
        <v/>
      </c>
      <c r="H254" s="23" t="str">
        <f>IFERROR(INDEX('Output Utente'!$P$2:$P$492,MATCH(251,'Output Utente'!$R$2:$R$492,0)),"")</f>
        <v/>
      </c>
      <c r="I254" s="24" t="str">
        <f>IFERROR(INDEX('Output Utente'!$F$2:$F$492,MATCH(251,'Output Utente'!$R$2:$R$492,0)),"")</f>
        <v/>
      </c>
      <c r="J254" s="24" t="str">
        <f>IFERROR(INDEX('Output Utente'!$G$2:$G$492,MATCH(251,'Output Utente'!$R$2:$R$492,0)),"")</f>
        <v/>
      </c>
      <c r="K254" s="24" t="str">
        <f>IFERROR(INDEX('Output Utente'!$H$2:$H$492,MATCH(251,'Output Utente'!$R$2:$R$492,0)),"")</f>
        <v/>
      </c>
      <c r="L254" s="23" t="str">
        <f>IFERROR(INDEX('Output Utente'!$E$2:$E$492,MATCH(251,'Output Utente'!$R$2:$R$492,0)),"")</f>
        <v/>
      </c>
      <c r="V254" t="str">
        <f>IFERROR(INDEX('Output Utente'!$M$2:$M$492,MATCH(251,'Output Utente'!$R$2:$R$492,0)),"")</f>
        <v/>
      </c>
      <c r="W254" t="str">
        <f t="shared" si="3"/>
        <v/>
      </c>
      <c r="X254" t="str">
        <f>IFERROR(INDEX('Output Utente'!$AF$2:$AF$492,MATCH(251,'Output Utente'!$R$2:$R$492,0)),"")</f>
        <v/>
      </c>
    </row>
    <row r="255" spans="1:24" ht="15" customHeight="1" x14ac:dyDescent="0.25">
      <c r="A255" s="26">
        <v>252</v>
      </c>
      <c r="B255" s="23" t="str">
        <f>IFERROR(INDEX('Output Utente'!$A$2:$A$492,MATCH(252,'Output Utente'!$R$2:$R$492,0)),"")</f>
        <v/>
      </c>
      <c r="C255" s="23" t="str">
        <f>IFERROR(INDEX('Output Utente'!$B$2:$B$492,MATCH(252,'Output Utente'!$R$2:$R$492,0)),"")</f>
        <v/>
      </c>
      <c r="D255" s="23" t="str">
        <f>IFERROR(INDEX('Output Utente'!$C$2:$C$492,MATCH(252,'Output Utente'!$R$2:$R$492,0)),"")</f>
        <v/>
      </c>
      <c r="E255" s="23" t="str">
        <f>IFERROR(INDEX('Input Giocatori 2026_27'!$D$3:$D$493,MATCH($B255,'Input Giocatori 2026_27'!$A$3:$A$493,0)),"")</f>
        <v/>
      </c>
      <c r="F255" s="24" t="str">
        <f>IFERROR(INDEX('Output Utente'!$N$2:$N$492,MATCH(252,'Output Utente'!$R$2:$R$492,0)),"")</f>
        <v/>
      </c>
      <c r="G255" s="23" t="str">
        <f>IFERROR(INDEX('Output Utente'!$O$2:$O$492,MATCH(252,'Output Utente'!$R$2:$R$492,0)),"")</f>
        <v/>
      </c>
      <c r="H255" s="23" t="str">
        <f>IFERROR(INDEX('Output Utente'!$P$2:$P$492,MATCH(252,'Output Utente'!$R$2:$R$492,0)),"")</f>
        <v/>
      </c>
      <c r="I255" s="24" t="str">
        <f>IFERROR(INDEX('Output Utente'!$F$2:$F$492,MATCH(252,'Output Utente'!$R$2:$R$492,0)),"")</f>
        <v/>
      </c>
      <c r="J255" s="24" t="str">
        <f>IFERROR(INDEX('Output Utente'!$G$2:$G$492,MATCH(252,'Output Utente'!$R$2:$R$492,0)),"")</f>
        <v/>
      </c>
      <c r="K255" s="24" t="str">
        <f>IFERROR(INDEX('Output Utente'!$H$2:$H$492,MATCH(252,'Output Utente'!$R$2:$R$492,0)),"")</f>
        <v/>
      </c>
      <c r="L255" s="23" t="str">
        <f>IFERROR(INDEX('Output Utente'!$E$2:$E$492,MATCH(252,'Output Utente'!$R$2:$R$492,0)),"")</f>
        <v/>
      </c>
      <c r="V255" t="str">
        <f>IFERROR(INDEX('Output Utente'!$M$2:$M$492,MATCH(252,'Output Utente'!$R$2:$R$492,0)),"")</f>
        <v/>
      </c>
      <c r="W255" t="str">
        <f t="shared" si="3"/>
        <v/>
      </c>
      <c r="X255" t="str">
        <f>IFERROR(INDEX('Output Utente'!$AF$2:$AF$492,MATCH(252,'Output Utente'!$R$2:$R$492,0)),"")</f>
        <v/>
      </c>
    </row>
    <row r="256" spans="1:24" ht="15" customHeight="1" x14ac:dyDescent="0.25">
      <c r="A256" s="26">
        <v>253</v>
      </c>
      <c r="B256" s="23" t="str">
        <f>IFERROR(INDEX('Output Utente'!$A$2:$A$492,MATCH(253,'Output Utente'!$R$2:$R$492,0)),"")</f>
        <v/>
      </c>
      <c r="C256" s="23" t="str">
        <f>IFERROR(INDEX('Output Utente'!$B$2:$B$492,MATCH(253,'Output Utente'!$R$2:$R$492,0)),"")</f>
        <v/>
      </c>
      <c r="D256" s="23" t="str">
        <f>IFERROR(INDEX('Output Utente'!$C$2:$C$492,MATCH(253,'Output Utente'!$R$2:$R$492,0)),"")</f>
        <v/>
      </c>
      <c r="E256" s="23" t="str">
        <f>IFERROR(INDEX('Input Giocatori 2026_27'!$D$3:$D$493,MATCH($B256,'Input Giocatori 2026_27'!$A$3:$A$493,0)),"")</f>
        <v/>
      </c>
      <c r="F256" s="24" t="str">
        <f>IFERROR(INDEX('Output Utente'!$N$2:$N$492,MATCH(253,'Output Utente'!$R$2:$R$492,0)),"")</f>
        <v/>
      </c>
      <c r="G256" s="23" t="str">
        <f>IFERROR(INDEX('Output Utente'!$O$2:$O$492,MATCH(253,'Output Utente'!$R$2:$R$492,0)),"")</f>
        <v/>
      </c>
      <c r="H256" s="23" t="str">
        <f>IFERROR(INDEX('Output Utente'!$P$2:$P$492,MATCH(253,'Output Utente'!$R$2:$R$492,0)),"")</f>
        <v/>
      </c>
      <c r="I256" s="24" t="str">
        <f>IFERROR(INDEX('Output Utente'!$F$2:$F$492,MATCH(253,'Output Utente'!$R$2:$R$492,0)),"")</f>
        <v/>
      </c>
      <c r="J256" s="24" t="str">
        <f>IFERROR(INDEX('Output Utente'!$G$2:$G$492,MATCH(253,'Output Utente'!$R$2:$R$492,0)),"")</f>
        <v/>
      </c>
      <c r="K256" s="24" t="str">
        <f>IFERROR(INDEX('Output Utente'!$H$2:$H$492,MATCH(253,'Output Utente'!$R$2:$R$492,0)),"")</f>
        <v/>
      </c>
      <c r="L256" s="23" t="str">
        <f>IFERROR(INDEX('Output Utente'!$E$2:$E$492,MATCH(253,'Output Utente'!$R$2:$R$492,0)),"")</f>
        <v/>
      </c>
      <c r="V256" t="str">
        <f>IFERROR(INDEX('Output Utente'!$M$2:$M$492,MATCH(253,'Output Utente'!$R$2:$R$492,0)),"")</f>
        <v/>
      </c>
      <c r="W256" t="str">
        <f t="shared" si="3"/>
        <v/>
      </c>
      <c r="X256" t="str">
        <f>IFERROR(INDEX('Output Utente'!$AF$2:$AF$492,MATCH(253,'Output Utente'!$R$2:$R$492,0)),"")</f>
        <v/>
      </c>
    </row>
    <row r="257" spans="1:24" ht="15" customHeight="1" x14ac:dyDescent="0.25">
      <c r="A257" s="26">
        <v>254</v>
      </c>
      <c r="B257" s="23" t="str">
        <f>IFERROR(INDEX('Output Utente'!$A$2:$A$492,MATCH(254,'Output Utente'!$R$2:$R$492,0)),"")</f>
        <v/>
      </c>
      <c r="C257" s="23" t="str">
        <f>IFERROR(INDEX('Output Utente'!$B$2:$B$492,MATCH(254,'Output Utente'!$R$2:$R$492,0)),"")</f>
        <v/>
      </c>
      <c r="D257" s="23" t="str">
        <f>IFERROR(INDEX('Output Utente'!$C$2:$C$492,MATCH(254,'Output Utente'!$R$2:$R$492,0)),"")</f>
        <v/>
      </c>
      <c r="E257" s="23" t="str">
        <f>IFERROR(INDEX('Input Giocatori 2026_27'!$D$3:$D$493,MATCH($B257,'Input Giocatori 2026_27'!$A$3:$A$493,0)),"")</f>
        <v/>
      </c>
      <c r="F257" s="24" t="str">
        <f>IFERROR(INDEX('Output Utente'!$N$2:$N$492,MATCH(254,'Output Utente'!$R$2:$R$492,0)),"")</f>
        <v/>
      </c>
      <c r="G257" s="23" t="str">
        <f>IFERROR(INDEX('Output Utente'!$O$2:$O$492,MATCH(254,'Output Utente'!$R$2:$R$492,0)),"")</f>
        <v/>
      </c>
      <c r="H257" s="23" t="str">
        <f>IFERROR(INDEX('Output Utente'!$P$2:$P$492,MATCH(254,'Output Utente'!$R$2:$R$492,0)),"")</f>
        <v/>
      </c>
      <c r="I257" s="24" t="str">
        <f>IFERROR(INDEX('Output Utente'!$F$2:$F$492,MATCH(254,'Output Utente'!$R$2:$R$492,0)),"")</f>
        <v/>
      </c>
      <c r="J257" s="24" t="str">
        <f>IFERROR(INDEX('Output Utente'!$G$2:$G$492,MATCH(254,'Output Utente'!$R$2:$R$492,0)),"")</f>
        <v/>
      </c>
      <c r="K257" s="24" t="str">
        <f>IFERROR(INDEX('Output Utente'!$H$2:$H$492,MATCH(254,'Output Utente'!$R$2:$R$492,0)),"")</f>
        <v/>
      </c>
      <c r="L257" s="23" t="str">
        <f>IFERROR(INDEX('Output Utente'!$E$2:$E$492,MATCH(254,'Output Utente'!$R$2:$R$492,0)),"")</f>
        <v/>
      </c>
      <c r="V257" t="str">
        <f>IFERROR(INDEX('Output Utente'!$M$2:$M$492,MATCH(254,'Output Utente'!$R$2:$R$492,0)),"")</f>
        <v/>
      </c>
      <c r="W257" t="str">
        <f t="shared" si="3"/>
        <v/>
      </c>
      <c r="X257" t="str">
        <f>IFERROR(INDEX('Output Utente'!$AF$2:$AF$492,MATCH(254,'Output Utente'!$R$2:$R$492,0)),"")</f>
        <v/>
      </c>
    </row>
    <row r="258" spans="1:24" ht="15" customHeight="1" x14ac:dyDescent="0.25">
      <c r="A258" s="26">
        <v>255</v>
      </c>
      <c r="B258" s="23" t="str">
        <f>IFERROR(INDEX('Output Utente'!$A$2:$A$492,MATCH(255,'Output Utente'!$R$2:$R$492,0)),"")</f>
        <v/>
      </c>
      <c r="C258" s="23" t="str">
        <f>IFERROR(INDEX('Output Utente'!$B$2:$B$492,MATCH(255,'Output Utente'!$R$2:$R$492,0)),"")</f>
        <v/>
      </c>
      <c r="D258" s="23" t="str">
        <f>IFERROR(INDEX('Output Utente'!$C$2:$C$492,MATCH(255,'Output Utente'!$R$2:$R$492,0)),"")</f>
        <v/>
      </c>
      <c r="E258" s="23" t="str">
        <f>IFERROR(INDEX('Input Giocatori 2026_27'!$D$3:$D$493,MATCH($B258,'Input Giocatori 2026_27'!$A$3:$A$493,0)),"")</f>
        <v/>
      </c>
      <c r="F258" s="24" t="str">
        <f>IFERROR(INDEX('Output Utente'!$N$2:$N$492,MATCH(255,'Output Utente'!$R$2:$R$492,0)),"")</f>
        <v/>
      </c>
      <c r="G258" s="23" t="str">
        <f>IFERROR(INDEX('Output Utente'!$O$2:$O$492,MATCH(255,'Output Utente'!$R$2:$R$492,0)),"")</f>
        <v/>
      </c>
      <c r="H258" s="23" t="str">
        <f>IFERROR(INDEX('Output Utente'!$P$2:$P$492,MATCH(255,'Output Utente'!$R$2:$R$492,0)),"")</f>
        <v/>
      </c>
      <c r="I258" s="24" t="str">
        <f>IFERROR(INDEX('Output Utente'!$F$2:$F$492,MATCH(255,'Output Utente'!$R$2:$R$492,0)),"")</f>
        <v/>
      </c>
      <c r="J258" s="24" t="str">
        <f>IFERROR(INDEX('Output Utente'!$G$2:$G$492,MATCH(255,'Output Utente'!$R$2:$R$492,0)),"")</f>
        <v/>
      </c>
      <c r="K258" s="24" t="str">
        <f>IFERROR(INDEX('Output Utente'!$H$2:$H$492,MATCH(255,'Output Utente'!$R$2:$R$492,0)),"")</f>
        <v/>
      </c>
      <c r="L258" s="23" t="str">
        <f>IFERROR(INDEX('Output Utente'!$E$2:$E$492,MATCH(255,'Output Utente'!$R$2:$R$492,0)),"")</f>
        <v/>
      </c>
      <c r="V258" t="str">
        <f>IFERROR(INDEX('Output Utente'!$M$2:$M$492,MATCH(255,'Output Utente'!$R$2:$R$492,0)),"")</f>
        <v/>
      </c>
      <c r="W258" t="str">
        <f t="shared" si="3"/>
        <v/>
      </c>
      <c r="X258" t="str">
        <f>IFERROR(INDEX('Output Utente'!$AF$2:$AF$492,MATCH(255,'Output Utente'!$R$2:$R$492,0)),"")</f>
        <v/>
      </c>
    </row>
    <row r="259" spans="1:24" ht="15" customHeight="1" x14ac:dyDescent="0.25">
      <c r="A259" s="26">
        <v>256</v>
      </c>
      <c r="B259" s="23" t="str">
        <f>IFERROR(INDEX('Output Utente'!$A$2:$A$492,MATCH(256,'Output Utente'!$R$2:$R$492,0)),"")</f>
        <v/>
      </c>
      <c r="C259" s="23" t="str">
        <f>IFERROR(INDEX('Output Utente'!$B$2:$B$492,MATCH(256,'Output Utente'!$R$2:$R$492,0)),"")</f>
        <v/>
      </c>
      <c r="D259" s="23" t="str">
        <f>IFERROR(INDEX('Output Utente'!$C$2:$C$492,MATCH(256,'Output Utente'!$R$2:$R$492,0)),"")</f>
        <v/>
      </c>
      <c r="E259" s="23" t="str">
        <f>IFERROR(INDEX('Input Giocatori 2026_27'!$D$3:$D$493,MATCH($B259,'Input Giocatori 2026_27'!$A$3:$A$493,0)),"")</f>
        <v/>
      </c>
      <c r="F259" s="24" t="str">
        <f>IFERROR(INDEX('Output Utente'!$N$2:$N$492,MATCH(256,'Output Utente'!$R$2:$R$492,0)),"")</f>
        <v/>
      </c>
      <c r="G259" s="23" t="str">
        <f>IFERROR(INDEX('Output Utente'!$O$2:$O$492,MATCH(256,'Output Utente'!$R$2:$R$492,0)),"")</f>
        <v/>
      </c>
      <c r="H259" s="23" t="str">
        <f>IFERROR(INDEX('Output Utente'!$P$2:$P$492,MATCH(256,'Output Utente'!$R$2:$R$492,0)),"")</f>
        <v/>
      </c>
      <c r="I259" s="24" t="str">
        <f>IFERROR(INDEX('Output Utente'!$F$2:$F$492,MATCH(256,'Output Utente'!$R$2:$R$492,0)),"")</f>
        <v/>
      </c>
      <c r="J259" s="24" t="str">
        <f>IFERROR(INDEX('Output Utente'!$G$2:$G$492,MATCH(256,'Output Utente'!$R$2:$R$492,0)),"")</f>
        <v/>
      </c>
      <c r="K259" s="24" t="str">
        <f>IFERROR(INDEX('Output Utente'!$H$2:$H$492,MATCH(256,'Output Utente'!$R$2:$R$492,0)),"")</f>
        <v/>
      </c>
      <c r="L259" s="23" t="str">
        <f>IFERROR(INDEX('Output Utente'!$E$2:$E$492,MATCH(256,'Output Utente'!$R$2:$R$492,0)),"")</f>
        <v/>
      </c>
      <c r="V259" t="str">
        <f>IFERROR(INDEX('Output Utente'!$M$2:$M$492,MATCH(256,'Output Utente'!$R$2:$R$492,0)),"")</f>
        <v/>
      </c>
      <c r="W259" t="str">
        <f t="shared" si="3"/>
        <v/>
      </c>
      <c r="X259" t="str">
        <f>IFERROR(INDEX('Output Utente'!$AF$2:$AF$492,MATCH(256,'Output Utente'!$R$2:$R$492,0)),"")</f>
        <v/>
      </c>
    </row>
    <row r="260" spans="1:24" ht="15" customHeight="1" x14ac:dyDescent="0.25">
      <c r="A260" s="26">
        <v>257</v>
      </c>
      <c r="B260" s="23" t="str">
        <f>IFERROR(INDEX('Output Utente'!$A$2:$A$492,MATCH(257,'Output Utente'!$R$2:$R$492,0)),"")</f>
        <v/>
      </c>
      <c r="C260" s="23" t="str">
        <f>IFERROR(INDEX('Output Utente'!$B$2:$B$492,MATCH(257,'Output Utente'!$R$2:$R$492,0)),"")</f>
        <v/>
      </c>
      <c r="D260" s="23" t="str">
        <f>IFERROR(INDEX('Output Utente'!$C$2:$C$492,MATCH(257,'Output Utente'!$R$2:$R$492,0)),"")</f>
        <v/>
      </c>
      <c r="E260" s="23" t="str">
        <f>IFERROR(INDEX('Input Giocatori 2026_27'!$D$3:$D$493,MATCH($B260,'Input Giocatori 2026_27'!$A$3:$A$493,0)),"")</f>
        <v/>
      </c>
      <c r="F260" s="24" t="str">
        <f>IFERROR(INDEX('Output Utente'!$N$2:$N$492,MATCH(257,'Output Utente'!$R$2:$R$492,0)),"")</f>
        <v/>
      </c>
      <c r="G260" s="23" t="str">
        <f>IFERROR(INDEX('Output Utente'!$O$2:$O$492,MATCH(257,'Output Utente'!$R$2:$R$492,0)),"")</f>
        <v/>
      </c>
      <c r="H260" s="23" t="str">
        <f>IFERROR(INDEX('Output Utente'!$P$2:$P$492,MATCH(257,'Output Utente'!$R$2:$R$492,0)),"")</f>
        <v/>
      </c>
      <c r="I260" s="24" t="str">
        <f>IFERROR(INDEX('Output Utente'!$F$2:$F$492,MATCH(257,'Output Utente'!$R$2:$R$492,0)),"")</f>
        <v/>
      </c>
      <c r="J260" s="24" t="str">
        <f>IFERROR(INDEX('Output Utente'!$G$2:$G$492,MATCH(257,'Output Utente'!$R$2:$R$492,0)),"")</f>
        <v/>
      </c>
      <c r="K260" s="24" t="str">
        <f>IFERROR(INDEX('Output Utente'!$H$2:$H$492,MATCH(257,'Output Utente'!$R$2:$R$492,0)),"")</f>
        <v/>
      </c>
      <c r="L260" s="23" t="str">
        <f>IFERROR(INDEX('Output Utente'!$E$2:$E$492,MATCH(257,'Output Utente'!$R$2:$R$492,0)),"")</f>
        <v/>
      </c>
      <c r="V260" t="str">
        <f>IFERROR(INDEX('Output Utente'!$M$2:$M$492,MATCH(257,'Output Utente'!$R$2:$R$492,0)),"")</f>
        <v/>
      </c>
      <c r="W260" t="str">
        <f t="shared" ref="W260:W323" si="4">IF(OR($G260="",$V260=""),"",$G260-$V260)</f>
        <v/>
      </c>
      <c r="X260" t="str">
        <f>IFERROR(INDEX('Output Utente'!$AF$2:$AF$492,MATCH(257,'Output Utente'!$R$2:$R$492,0)),"")</f>
        <v/>
      </c>
    </row>
    <row r="261" spans="1:24" ht="15" customHeight="1" x14ac:dyDescent="0.25">
      <c r="A261" s="26">
        <v>258</v>
      </c>
      <c r="B261" s="23" t="str">
        <f>IFERROR(INDEX('Output Utente'!$A$2:$A$492,MATCH(258,'Output Utente'!$R$2:$R$492,0)),"")</f>
        <v/>
      </c>
      <c r="C261" s="23" t="str">
        <f>IFERROR(INDEX('Output Utente'!$B$2:$B$492,MATCH(258,'Output Utente'!$R$2:$R$492,0)),"")</f>
        <v/>
      </c>
      <c r="D261" s="23" t="str">
        <f>IFERROR(INDEX('Output Utente'!$C$2:$C$492,MATCH(258,'Output Utente'!$R$2:$R$492,0)),"")</f>
        <v/>
      </c>
      <c r="E261" s="23" t="str">
        <f>IFERROR(INDEX('Input Giocatori 2026_27'!$D$3:$D$493,MATCH($B261,'Input Giocatori 2026_27'!$A$3:$A$493,0)),"")</f>
        <v/>
      </c>
      <c r="F261" s="24" t="str">
        <f>IFERROR(INDEX('Output Utente'!$N$2:$N$492,MATCH(258,'Output Utente'!$R$2:$R$492,0)),"")</f>
        <v/>
      </c>
      <c r="G261" s="23" t="str">
        <f>IFERROR(INDEX('Output Utente'!$O$2:$O$492,MATCH(258,'Output Utente'!$R$2:$R$492,0)),"")</f>
        <v/>
      </c>
      <c r="H261" s="23" t="str">
        <f>IFERROR(INDEX('Output Utente'!$P$2:$P$492,MATCH(258,'Output Utente'!$R$2:$R$492,0)),"")</f>
        <v/>
      </c>
      <c r="I261" s="24" t="str">
        <f>IFERROR(INDEX('Output Utente'!$F$2:$F$492,MATCH(258,'Output Utente'!$R$2:$R$492,0)),"")</f>
        <v/>
      </c>
      <c r="J261" s="24" t="str">
        <f>IFERROR(INDEX('Output Utente'!$G$2:$G$492,MATCH(258,'Output Utente'!$R$2:$R$492,0)),"")</f>
        <v/>
      </c>
      <c r="K261" s="24" t="str">
        <f>IFERROR(INDEX('Output Utente'!$H$2:$H$492,MATCH(258,'Output Utente'!$R$2:$R$492,0)),"")</f>
        <v/>
      </c>
      <c r="L261" s="23" t="str">
        <f>IFERROR(INDEX('Output Utente'!$E$2:$E$492,MATCH(258,'Output Utente'!$R$2:$R$492,0)),"")</f>
        <v/>
      </c>
      <c r="V261" t="str">
        <f>IFERROR(INDEX('Output Utente'!$M$2:$M$492,MATCH(258,'Output Utente'!$R$2:$R$492,0)),"")</f>
        <v/>
      </c>
      <c r="W261" t="str">
        <f t="shared" si="4"/>
        <v/>
      </c>
      <c r="X261" t="str">
        <f>IFERROR(INDEX('Output Utente'!$AF$2:$AF$492,MATCH(258,'Output Utente'!$R$2:$R$492,0)),"")</f>
        <v/>
      </c>
    </row>
    <row r="262" spans="1:24" ht="15" customHeight="1" x14ac:dyDescent="0.25">
      <c r="A262" s="26">
        <v>259</v>
      </c>
      <c r="B262" s="23" t="str">
        <f>IFERROR(INDEX('Output Utente'!$A$2:$A$492,MATCH(259,'Output Utente'!$R$2:$R$492,0)),"")</f>
        <v/>
      </c>
      <c r="C262" s="23" t="str">
        <f>IFERROR(INDEX('Output Utente'!$B$2:$B$492,MATCH(259,'Output Utente'!$R$2:$R$492,0)),"")</f>
        <v/>
      </c>
      <c r="D262" s="23" t="str">
        <f>IFERROR(INDEX('Output Utente'!$C$2:$C$492,MATCH(259,'Output Utente'!$R$2:$R$492,0)),"")</f>
        <v/>
      </c>
      <c r="E262" s="23" t="str">
        <f>IFERROR(INDEX('Input Giocatori 2026_27'!$D$3:$D$493,MATCH($B262,'Input Giocatori 2026_27'!$A$3:$A$493,0)),"")</f>
        <v/>
      </c>
      <c r="F262" s="24" t="str">
        <f>IFERROR(INDEX('Output Utente'!$N$2:$N$492,MATCH(259,'Output Utente'!$R$2:$R$492,0)),"")</f>
        <v/>
      </c>
      <c r="G262" s="23" t="str">
        <f>IFERROR(INDEX('Output Utente'!$O$2:$O$492,MATCH(259,'Output Utente'!$R$2:$R$492,0)),"")</f>
        <v/>
      </c>
      <c r="H262" s="23" t="str">
        <f>IFERROR(INDEX('Output Utente'!$P$2:$P$492,MATCH(259,'Output Utente'!$R$2:$R$492,0)),"")</f>
        <v/>
      </c>
      <c r="I262" s="24" t="str">
        <f>IFERROR(INDEX('Output Utente'!$F$2:$F$492,MATCH(259,'Output Utente'!$R$2:$R$492,0)),"")</f>
        <v/>
      </c>
      <c r="J262" s="24" t="str">
        <f>IFERROR(INDEX('Output Utente'!$G$2:$G$492,MATCH(259,'Output Utente'!$R$2:$R$492,0)),"")</f>
        <v/>
      </c>
      <c r="K262" s="24" t="str">
        <f>IFERROR(INDEX('Output Utente'!$H$2:$H$492,MATCH(259,'Output Utente'!$R$2:$R$492,0)),"")</f>
        <v/>
      </c>
      <c r="L262" s="23" t="str">
        <f>IFERROR(INDEX('Output Utente'!$E$2:$E$492,MATCH(259,'Output Utente'!$R$2:$R$492,0)),"")</f>
        <v/>
      </c>
      <c r="V262" t="str">
        <f>IFERROR(INDEX('Output Utente'!$M$2:$M$492,MATCH(259,'Output Utente'!$R$2:$R$492,0)),"")</f>
        <v/>
      </c>
      <c r="W262" t="str">
        <f t="shared" si="4"/>
        <v/>
      </c>
      <c r="X262" t="str">
        <f>IFERROR(INDEX('Output Utente'!$AF$2:$AF$492,MATCH(259,'Output Utente'!$R$2:$R$492,0)),"")</f>
        <v/>
      </c>
    </row>
    <row r="263" spans="1:24" ht="15" customHeight="1" x14ac:dyDescent="0.25">
      <c r="A263" s="26">
        <v>260</v>
      </c>
      <c r="B263" s="23" t="str">
        <f>IFERROR(INDEX('Output Utente'!$A$2:$A$492,MATCH(260,'Output Utente'!$R$2:$R$492,0)),"")</f>
        <v/>
      </c>
      <c r="C263" s="23" t="str">
        <f>IFERROR(INDEX('Output Utente'!$B$2:$B$492,MATCH(260,'Output Utente'!$R$2:$R$492,0)),"")</f>
        <v/>
      </c>
      <c r="D263" s="23" t="str">
        <f>IFERROR(INDEX('Output Utente'!$C$2:$C$492,MATCH(260,'Output Utente'!$R$2:$R$492,0)),"")</f>
        <v/>
      </c>
      <c r="E263" s="23" t="str">
        <f>IFERROR(INDEX('Input Giocatori 2026_27'!$D$3:$D$493,MATCH($B263,'Input Giocatori 2026_27'!$A$3:$A$493,0)),"")</f>
        <v/>
      </c>
      <c r="F263" s="24" t="str">
        <f>IFERROR(INDEX('Output Utente'!$N$2:$N$492,MATCH(260,'Output Utente'!$R$2:$R$492,0)),"")</f>
        <v/>
      </c>
      <c r="G263" s="23" t="str">
        <f>IFERROR(INDEX('Output Utente'!$O$2:$O$492,MATCH(260,'Output Utente'!$R$2:$R$492,0)),"")</f>
        <v/>
      </c>
      <c r="H263" s="23" t="str">
        <f>IFERROR(INDEX('Output Utente'!$P$2:$P$492,MATCH(260,'Output Utente'!$R$2:$R$492,0)),"")</f>
        <v/>
      </c>
      <c r="I263" s="24" t="str">
        <f>IFERROR(INDEX('Output Utente'!$F$2:$F$492,MATCH(260,'Output Utente'!$R$2:$R$492,0)),"")</f>
        <v/>
      </c>
      <c r="J263" s="24" t="str">
        <f>IFERROR(INDEX('Output Utente'!$G$2:$G$492,MATCH(260,'Output Utente'!$R$2:$R$492,0)),"")</f>
        <v/>
      </c>
      <c r="K263" s="24" t="str">
        <f>IFERROR(INDEX('Output Utente'!$H$2:$H$492,MATCH(260,'Output Utente'!$R$2:$R$492,0)),"")</f>
        <v/>
      </c>
      <c r="L263" s="23" t="str">
        <f>IFERROR(INDEX('Output Utente'!$E$2:$E$492,MATCH(260,'Output Utente'!$R$2:$R$492,0)),"")</f>
        <v/>
      </c>
      <c r="V263" t="str">
        <f>IFERROR(INDEX('Output Utente'!$M$2:$M$492,MATCH(260,'Output Utente'!$R$2:$R$492,0)),"")</f>
        <v/>
      </c>
      <c r="W263" t="str">
        <f t="shared" si="4"/>
        <v/>
      </c>
      <c r="X263" t="str">
        <f>IFERROR(INDEX('Output Utente'!$AF$2:$AF$492,MATCH(260,'Output Utente'!$R$2:$R$492,0)),"")</f>
        <v/>
      </c>
    </row>
    <row r="264" spans="1:24" ht="15" customHeight="1" x14ac:dyDescent="0.25">
      <c r="A264" s="26">
        <v>261</v>
      </c>
      <c r="B264" s="23" t="str">
        <f>IFERROR(INDEX('Output Utente'!$A$2:$A$492,MATCH(261,'Output Utente'!$R$2:$R$492,0)),"")</f>
        <v/>
      </c>
      <c r="C264" s="23" t="str">
        <f>IFERROR(INDEX('Output Utente'!$B$2:$B$492,MATCH(261,'Output Utente'!$R$2:$R$492,0)),"")</f>
        <v/>
      </c>
      <c r="D264" s="23" t="str">
        <f>IFERROR(INDEX('Output Utente'!$C$2:$C$492,MATCH(261,'Output Utente'!$R$2:$R$492,0)),"")</f>
        <v/>
      </c>
      <c r="E264" s="23" t="str">
        <f>IFERROR(INDEX('Input Giocatori 2026_27'!$D$3:$D$493,MATCH($B264,'Input Giocatori 2026_27'!$A$3:$A$493,0)),"")</f>
        <v/>
      </c>
      <c r="F264" s="24" t="str">
        <f>IFERROR(INDEX('Output Utente'!$N$2:$N$492,MATCH(261,'Output Utente'!$R$2:$R$492,0)),"")</f>
        <v/>
      </c>
      <c r="G264" s="23" t="str">
        <f>IFERROR(INDEX('Output Utente'!$O$2:$O$492,MATCH(261,'Output Utente'!$R$2:$R$492,0)),"")</f>
        <v/>
      </c>
      <c r="H264" s="23" t="str">
        <f>IFERROR(INDEX('Output Utente'!$P$2:$P$492,MATCH(261,'Output Utente'!$R$2:$R$492,0)),"")</f>
        <v/>
      </c>
      <c r="I264" s="24" t="str">
        <f>IFERROR(INDEX('Output Utente'!$F$2:$F$492,MATCH(261,'Output Utente'!$R$2:$R$492,0)),"")</f>
        <v/>
      </c>
      <c r="J264" s="24" t="str">
        <f>IFERROR(INDEX('Output Utente'!$G$2:$G$492,MATCH(261,'Output Utente'!$R$2:$R$492,0)),"")</f>
        <v/>
      </c>
      <c r="K264" s="24" t="str">
        <f>IFERROR(INDEX('Output Utente'!$H$2:$H$492,MATCH(261,'Output Utente'!$R$2:$R$492,0)),"")</f>
        <v/>
      </c>
      <c r="L264" s="23" t="str">
        <f>IFERROR(INDEX('Output Utente'!$E$2:$E$492,MATCH(261,'Output Utente'!$R$2:$R$492,0)),"")</f>
        <v/>
      </c>
      <c r="V264" t="str">
        <f>IFERROR(INDEX('Output Utente'!$M$2:$M$492,MATCH(261,'Output Utente'!$R$2:$R$492,0)),"")</f>
        <v/>
      </c>
      <c r="W264" t="str">
        <f t="shared" si="4"/>
        <v/>
      </c>
      <c r="X264" t="str">
        <f>IFERROR(INDEX('Output Utente'!$AF$2:$AF$492,MATCH(261,'Output Utente'!$R$2:$R$492,0)),"")</f>
        <v/>
      </c>
    </row>
    <row r="265" spans="1:24" ht="15" customHeight="1" x14ac:dyDescent="0.25">
      <c r="A265" s="26">
        <v>262</v>
      </c>
      <c r="B265" s="23" t="str">
        <f>IFERROR(INDEX('Output Utente'!$A$2:$A$492,MATCH(262,'Output Utente'!$R$2:$R$492,0)),"")</f>
        <v/>
      </c>
      <c r="C265" s="23" t="str">
        <f>IFERROR(INDEX('Output Utente'!$B$2:$B$492,MATCH(262,'Output Utente'!$R$2:$R$492,0)),"")</f>
        <v/>
      </c>
      <c r="D265" s="23" t="str">
        <f>IFERROR(INDEX('Output Utente'!$C$2:$C$492,MATCH(262,'Output Utente'!$R$2:$R$492,0)),"")</f>
        <v/>
      </c>
      <c r="E265" s="23" t="str">
        <f>IFERROR(INDEX('Input Giocatori 2026_27'!$D$3:$D$493,MATCH($B265,'Input Giocatori 2026_27'!$A$3:$A$493,0)),"")</f>
        <v/>
      </c>
      <c r="F265" s="24" t="str">
        <f>IFERROR(INDEX('Output Utente'!$N$2:$N$492,MATCH(262,'Output Utente'!$R$2:$R$492,0)),"")</f>
        <v/>
      </c>
      <c r="G265" s="23" t="str">
        <f>IFERROR(INDEX('Output Utente'!$O$2:$O$492,MATCH(262,'Output Utente'!$R$2:$R$492,0)),"")</f>
        <v/>
      </c>
      <c r="H265" s="23" t="str">
        <f>IFERROR(INDEX('Output Utente'!$P$2:$P$492,MATCH(262,'Output Utente'!$R$2:$R$492,0)),"")</f>
        <v/>
      </c>
      <c r="I265" s="24" t="str">
        <f>IFERROR(INDEX('Output Utente'!$F$2:$F$492,MATCH(262,'Output Utente'!$R$2:$R$492,0)),"")</f>
        <v/>
      </c>
      <c r="J265" s="24" t="str">
        <f>IFERROR(INDEX('Output Utente'!$G$2:$G$492,MATCH(262,'Output Utente'!$R$2:$R$492,0)),"")</f>
        <v/>
      </c>
      <c r="K265" s="24" t="str">
        <f>IFERROR(INDEX('Output Utente'!$H$2:$H$492,MATCH(262,'Output Utente'!$R$2:$R$492,0)),"")</f>
        <v/>
      </c>
      <c r="L265" s="23" t="str">
        <f>IFERROR(INDEX('Output Utente'!$E$2:$E$492,MATCH(262,'Output Utente'!$R$2:$R$492,0)),"")</f>
        <v/>
      </c>
      <c r="V265" t="str">
        <f>IFERROR(INDEX('Output Utente'!$M$2:$M$492,MATCH(262,'Output Utente'!$R$2:$R$492,0)),"")</f>
        <v/>
      </c>
      <c r="W265" t="str">
        <f t="shared" si="4"/>
        <v/>
      </c>
      <c r="X265" t="str">
        <f>IFERROR(INDEX('Output Utente'!$AF$2:$AF$492,MATCH(262,'Output Utente'!$R$2:$R$492,0)),"")</f>
        <v/>
      </c>
    </row>
    <row r="266" spans="1:24" ht="15" customHeight="1" x14ac:dyDescent="0.25">
      <c r="A266" s="26">
        <v>263</v>
      </c>
      <c r="B266" s="23" t="str">
        <f>IFERROR(INDEX('Output Utente'!$A$2:$A$492,MATCH(263,'Output Utente'!$R$2:$R$492,0)),"")</f>
        <v/>
      </c>
      <c r="C266" s="23" t="str">
        <f>IFERROR(INDEX('Output Utente'!$B$2:$B$492,MATCH(263,'Output Utente'!$R$2:$R$492,0)),"")</f>
        <v/>
      </c>
      <c r="D266" s="23" t="str">
        <f>IFERROR(INDEX('Output Utente'!$C$2:$C$492,MATCH(263,'Output Utente'!$R$2:$R$492,0)),"")</f>
        <v/>
      </c>
      <c r="E266" s="23" t="str">
        <f>IFERROR(INDEX('Input Giocatori 2026_27'!$D$3:$D$493,MATCH($B266,'Input Giocatori 2026_27'!$A$3:$A$493,0)),"")</f>
        <v/>
      </c>
      <c r="F266" s="24" t="str">
        <f>IFERROR(INDEX('Output Utente'!$N$2:$N$492,MATCH(263,'Output Utente'!$R$2:$R$492,0)),"")</f>
        <v/>
      </c>
      <c r="G266" s="23" t="str">
        <f>IFERROR(INDEX('Output Utente'!$O$2:$O$492,MATCH(263,'Output Utente'!$R$2:$R$492,0)),"")</f>
        <v/>
      </c>
      <c r="H266" s="23" t="str">
        <f>IFERROR(INDEX('Output Utente'!$P$2:$P$492,MATCH(263,'Output Utente'!$R$2:$R$492,0)),"")</f>
        <v/>
      </c>
      <c r="I266" s="24" t="str">
        <f>IFERROR(INDEX('Output Utente'!$F$2:$F$492,MATCH(263,'Output Utente'!$R$2:$R$492,0)),"")</f>
        <v/>
      </c>
      <c r="J266" s="24" t="str">
        <f>IFERROR(INDEX('Output Utente'!$G$2:$G$492,MATCH(263,'Output Utente'!$R$2:$R$492,0)),"")</f>
        <v/>
      </c>
      <c r="K266" s="24" t="str">
        <f>IFERROR(INDEX('Output Utente'!$H$2:$H$492,MATCH(263,'Output Utente'!$R$2:$R$492,0)),"")</f>
        <v/>
      </c>
      <c r="L266" s="23" t="str">
        <f>IFERROR(INDEX('Output Utente'!$E$2:$E$492,MATCH(263,'Output Utente'!$R$2:$R$492,0)),"")</f>
        <v/>
      </c>
      <c r="V266" t="str">
        <f>IFERROR(INDEX('Output Utente'!$M$2:$M$492,MATCH(263,'Output Utente'!$R$2:$R$492,0)),"")</f>
        <v/>
      </c>
      <c r="W266" t="str">
        <f t="shared" si="4"/>
        <v/>
      </c>
      <c r="X266" t="str">
        <f>IFERROR(INDEX('Output Utente'!$AF$2:$AF$492,MATCH(263,'Output Utente'!$R$2:$R$492,0)),"")</f>
        <v/>
      </c>
    </row>
    <row r="267" spans="1:24" ht="15" customHeight="1" x14ac:dyDescent="0.25">
      <c r="A267" s="26">
        <v>264</v>
      </c>
      <c r="B267" s="23" t="str">
        <f>IFERROR(INDEX('Output Utente'!$A$2:$A$492,MATCH(264,'Output Utente'!$R$2:$R$492,0)),"")</f>
        <v/>
      </c>
      <c r="C267" s="23" t="str">
        <f>IFERROR(INDEX('Output Utente'!$B$2:$B$492,MATCH(264,'Output Utente'!$R$2:$R$492,0)),"")</f>
        <v/>
      </c>
      <c r="D267" s="23" t="str">
        <f>IFERROR(INDEX('Output Utente'!$C$2:$C$492,MATCH(264,'Output Utente'!$R$2:$R$492,0)),"")</f>
        <v/>
      </c>
      <c r="E267" s="23" t="str">
        <f>IFERROR(INDEX('Input Giocatori 2026_27'!$D$3:$D$493,MATCH($B267,'Input Giocatori 2026_27'!$A$3:$A$493,0)),"")</f>
        <v/>
      </c>
      <c r="F267" s="24" t="str">
        <f>IFERROR(INDEX('Output Utente'!$N$2:$N$492,MATCH(264,'Output Utente'!$R$2:$R$492,0)),"")</f>
        <v/>
      </c>
      <c r="G267" s="23" t="str">
        <f>IFERROR(INDEX('Output Utente'!$O$2:$O$492,MATCH(264,'Output Utente'!$R$2:$R$492,0)),"")</f>
        <v/>
      </c>
      <c r="H267" s="23" t="str">
        <f>IFERROR(INDEX('Output Utente'!$P$2:$P$492,MATCH(264,'Output Utente'!$R$2:$R$492,0)),"")</f>
        <v/>
      </c>
      <c r="I267" s="24" t="str">
        <f>IFERROR(INDEX('Output Utente'!$F$2:$F$492,MATCH(264,'Output Utente'!$R$2:$R$492,0)),"")</f>
        <v/>
      </c>
      <c r="J267" s="24" t="str">
        <f>IFERROR(INDEX('Output Utente'!$G$2:$G$492,MATCH(264,'Output Utente'!$R$2:$R$492,0)),"")</f>
        <v/>
      </c>
      <c r="K267" s="24" t="str">
        <f>IFERROR(INDEX('Output Utente'!$H$2:$H$492,MATCH(264,'Output Utente'!$R$2:$R$492,0)),"")</f>
        <v/>
      </c>
      <c r="L267" s="23" t="str">
        <f>IFERROR(INDEX('Output Utente'!$E$2:$E$492,MATCH(264,'Output Utente'!$R$2:$R$492,0)),"")</f>
        <v/>
      </c>
      <c r="V267" t="str">
        <f>IFERROR(INDEX('Output Utente'!$M$2:$M$492,MATCH(264,'Output Utente'!$R$2:$R$492,0)),"")</f>
        <v/>
      </c>
      <c r="W267" t="str">
        <f t="shared" si="4"/>
        <v/>
      </c>
      <c r="X267" t="str">
        <f>IFERROR(INDEX('Output Utente'!$AF$2:$AF$492,MATCH(264,'Output Utente'!$R$2:$R$492,0)),"")</f>
        <v/>
      </c>
    </row>
    <row r="268" spans="1:24" ht="15" customHeight="1" x14ac:dyDescent="0.25">
      <c r="A268" s="26">
        <v>265</v>
      </c>
      <c r="B268" s="23" t="str">
        <f>IFERROR(INDEX('Output Utente'!$A$2:$A$492,MATCH(265,'Output Utente'!$R$2:$R$492,0)),"")</f>
        <v/>
      </c>
      <c r="C268" s="23" t="str">
        <f>IFERROR(INDEX('Output Utente'!$B$2:$B$492,MATCH(265,'Output Utente'!$R$2:$R$492,0)),"")</f>
        <v/>
      </c>
      <c r="D268" s="23" t="str">
        <f>IFERROR(INDEX('Output Utente'!$C$2:$C$492,MATCH(265,'Output Utente'!$R$2:$R$492,0)),"")</f>
        <v/>
      </c>
      <c r="E268" s="23" t="str">
        <f>IFERROR(INDEX('Input Giocatori 2026_27'!$D$3:$D$493,MATCH($B268,'Input Giocatori 2026_27'!$A$3:$A$493,0)),"")</f>
        <v/>
      </c>
      <c r="F268" s="24" t="str">
        <f>IFERROR(INDEX('Output Utente'!$N$2:$N$492,MATCH(265,'Output Utente'!$R$2:$R$492,0)),"")</f>
        <v/>
      </c>
      <c r="G268" s="23" t="str">
        <f>IFERROR(INDEX('Output Utente'!$O$2:$O$492,MATCH(265,'Output Utente'!$R$2:$R$492,0)),"")</f>
        <v/>
      </c>
      <c r="H268" s="23" t="str">
        <f>IFERROR(INDEX('Output Utente'!$P$2:$P$492,MATCH(265,'Output Utente'!$R$2:$R$492,0)),"")</f>
        <v/>
      </c>
      <c r="I268" s="24" t="str">
        <f>IFERROR(INDEX('Output Utente'!$F$2:$F$492,MATCH(265,'Output Utente'!$R$2:$R$492,0)),"")</f>
        <v/>
      </c>
      <c r="J268" s="24" t="str">
        <f>IFERROR(INDEX('Output Utente'!$G$2:$G$492,MATCH(265,'Output Utente'!$R$2:$R$492,0)),"")</f>
        <v/>
      </c>
      <c r="K268" s="24" t="str">
        <f>IFERROR(INDEX('Output Utente'!$H$2:$H$492,MATCH(265,'Output Utente'!$R$2:$R$492,0)),"")</f>
        <v/>
      </c>
      <c r="L268" s="23" t="str">
        <f>IFERROR(INDEX('Output Utente'!$E$2:$E$492,MATCH(265,'Output Utente'!$R$2:$R$492,0)),"")</f>
        <v/>
      </c>
      <c r="V268" t="str">
        <f>IFERROR(INDEX('Output Utente'!$M$2:$M$492,MATCH(265,'Output Utente'!$R$2:$R$492,0)),"")</f>
        <v/>
      </c>
      <c r="W268" t="str">
        <f t="shared" si="4"/>
        <v/>
      </c>
      <c r="X268" t="str">
        <f>IFERROR(INDEX('Output Utente'!$AF$2:$AF$492,MATCH(265,'Output Utente'!$R$2:$R$492,0)),"")</f>
        <v/>
      </c>
    </row>
    <row r="269" spans="1:24" ht="15" customHeight="1" x14ac:dyDescent="0.25">
      <c r="A269" s="26">
        <v>266</v>
      </c>
      <c r="B269" s="23" t="str">
        <f>IFERROR(INDEX('Output Utente'!$A$2:$A$492,MATCH(266,'Output Utente'!$R$2:$R$492,0)),"")</f>
        <v/>
      </c>
      <c r="C269" s="23" t="str">
        <f>IFERROR(INDEX('Output Utente'!$B$2:$B$492,MATCH(266,'Output Utente'!$R$2:$R$492,0)),"")</f>
        <v/>
      </c>
      <c r="D269" s="23" t="str">
        <f>IFERROR(INDEX('Output Utente'!$C$2:$C$492,MATCH(266,'Output Utente'!$R$2:$R$492,0)),"")</f>
        <v/>
      </c>
      <c r="E269" s="23" t="str">
        <f>IFERROR(INDEX('Input Giocatori 2026_27'!$D$3:$D$493,MATCH($B269,'Input Giocatori 2026_27'!$A$3:$A$493,0)),"")</f>
        <v/>
      </c>
      <c r="F269" s="24" t="str">
        <f>IFERROR(INDEX('Output Utente'!$N$2:$N$492,MATCH(266,'Output Utente'!$R$2:$R$492,0)),"")</f>
        <v/>
      </c>
      <c r="G269" s="23" t="str">
        <f>IFERROR(INDEX('Output Utente'!$O$2:$O$492,MATCH(266,'Output Utente'!$R$2:$R$492,0)),"")</f>
        <v/>
      </c>
      <c r="H269" s="23" t="str">
        <f>IFERROR(INDEX('Output Utente'!$P$2:$P$492,MATCH(266,'Output Utente'!$R$2:$R$492,0)),"")</f>
        <v/>
      </c>
      <c r="I269" s="24" t="str">
        <f>IFERROR(INDEX('Output Utente'!$F$2:$F$492,MATCH(266,'Output Utente'!$R$2:$R$492,0)),"")</f>
        <v/>
      </c>
      <c r="J269" s="24" t="str">
        <f>IFERROR(INDEX('Output Utente'!$G$2:$G$492,MATCH(266,'Output Utente'!$R$2:$R$492,0)),"")</f>
        <v/>
      </c>
      <c r="K269" s="24" t="str">
        <f>IFERROR(INDEX('Output Utente'!$H$2:$H$492,MATCH(266,'Output Utente'!$R$2:$R$492,0)),"")</f>
        <v/>
      </c>
      <c r="L269" s="23" t="str">
        <f>IFERROR(INDEX('Output Utente'!$E$2:$E$492,MATCH(266,'Output Utente'!$R$2:$R$492,0)),"")</f>
        <v/>
      </c>
      <c r="V269" t="str">
        <f>IFERROR(INDEX('Output Utente'!$M$2:$M$492,MATCH(266,'Output Utente'!$R$2:$R$492,0)),"")</f>
        <v/>
      </c>
      <c r="W269" t="str">
        <f t="shared" si="4"/>
        <v/>
      </c>
      <c r="X269" t="str">
        <f>IFERROR(INDEX('Output Utente'!$AF$2:$AF$492,MATCH(266,'Output Utente'!$R$2:$R$492,0)),"")</f>
        <v/>
      </c>
    </row>
    <row r="270" spans="1:24" ht="15" customHeight="1" x14ac:dyDescent="0.25">
      <c r="A270" s="26">
        <v>267</v>
      </c>
      <c r="B270" s="23" t="str">
        <f>IFERROR(INDEX('Output Utente'!$A$2:$A$492,MATCH(267,'Output Utente'!$R$2:$R$492,0)),"")</f>
        <v/>
      </c>
      <c r="C270" s="23" t="str">
        <f>IFERROR(INDEX('Output Utente'!$B$2:$B$492,MATCH(267,'Output Utente'!$R$2:$R$492,0)),"")</f>
        <v/>
      </c>
      <c r="D270" s="23" t="str">
        <f>IFERROR(INDEX('Output Utente'!$C$2:$C$492,MATCH(267,'Output Utente'!$R$2:$R$492,0)),"")</f>
        <v/>
      </c>
      <c r="E270" s="23" t="str">
        <f>IFERROR(INDEX('Input Giocatori 2026_27'!$D$3:$D$493,MATCH($B270,'Input Giocatori 2026_27'!$A$3:$A$493,0)),"")</f>
        <v/>
      </c>
      <c r="F270" s="24" t="str">
        <f>IFERROR(INDEX('Output Utente'!$N$2:$N$492,MATCH(267,'Output Utente'!$R$2:$R$492,0)),"")</f>
        <v/>
      </c>
      <c r="G270" s="23" t="str">
        <f>IFERROR(INDEX('Output Utente'!$O$2:$O$492,MATCH(267,'Output Utente'!$R$2:$R$492,0)),"")</f>
        <v/>
      </c>
      <c r="H270" s="23" t="str">
        <f>IFERROR(INDEX('Output Utente'!$P$2:$P$492,MATCH(267,'Output Utente'!$R$2:$R$492,0)),"")</f>
        <v/>
      </c>
      <c r="I270" s="24" t="str">
        <f>IFERROR(INDEX('Output Utente'!$F$2:$F$492,MATCH(267,'Output Utente'!$R$2:$R$492,0)),"")</f>
        <v/>
      </c>
      <c r="J270" s="24" t="str">
        <f>IFERROR(INDEX('Output Utente'!$G$2:$G$492,MATCH(267,'Output Utente'!$R$2:$R$492,0)),"")</f>
        <v/>
      </c>
      <c r="K270" s="24" t="str">
        <f>IFERROR(INDEX('Output Utente'!$H$2:$H$492,MATCH(267,'Output Utente'!$R$2:$R$492,0)),"")</f>
        <v/>
      </c>
      <c r="L270" s="23" t="str">
        <f>IFERROR(INDEX('Output Utente'!$E$2:$E$492,MATCH(267,'Output Utente'!$R$2:$R$492,0)),"")</f>
        <v/>
      </c>
      <c r="V270" t="str">
        <f>IFERROR(INDEX('Output Utente'!$M$2:$M$492,MATCH(267,'Output Utente'!$R$2:$R$492,0)),"")</f>
        <v/>
      </c>
      <c r="W270" t="str">
        <f t="shared" si="4"/>
        <v/>
      </c>
      <c r="X270" t="str">
        <f>IFERROR(INDEX('Output Utente'!$AF$2:$AF$492,MATCH(267,'Output Utente'!$R$2:$R$492,0)),"")</f>
        <v/>
      </c>
    </row>
    <row r="271" spans="1:24" ht="15" customHeight="1" x14ac:dyDescent="0.25">
      <c r="A271" s="26">
        <v>268</v>
      </c>
      <c r="B271" s="23" t="str">
        <f>IFERROR(INDEX('Output Utente'!$A$2:$A$492,MATCH(268,'Output Utente'!$R$2:$R$492,0)),"")</f>
        <v/>
      </c>
      <c r="C271" s="23" t="str">
        <f>IFERROR(INDEX('Output Utente'!$B$2:$B$492,MATCH(268,'Output Utente'!$R$2:$R$492,0)),"")</f>
        <v/>
      </c>
      <c r="D271" s="23" t="str">
        <f>IFERROR(INDEX('Output Utente'!$C$2:$C$492,MATCH(268,'Output Utente'!$R$2:$R$492,0)),"")</f>
        <v/>
      </c>
      <c r="E271" s="23" t="str">
        <f>IFERROR(INDEX('Input Giocatori 2026_27'!$D$3:$D$493,MATCH($B271,'Input Giocatori 2026_27'!$A$3:$A$493,0)),"")</f>
        <v/>
      </c>
      <c r="F271" s="24" t="str">
        <f>IFERROR(INDEX('Output Utente'!$N$2:$N$492,MATCH(268,'Output Utente'!$R$2:$R$492,0)),"")</f>
        <v/>
      </c>
      <c r="G271" s="23" t="str">
        <f>IFERROR(INDEX('Output Utente'!$O$2:$O$492,MATCH(268,'Output Utente'!$R$2:$R$492,0)),"")</f>
        <v/>
      </c>
      <c r="H271" s="23" t="str">
        <f>IFERROR(INDEX('Output Utente'!$P$2:$P$492,MATCH(268,'Output Utente'!$R$2:$R$492,0)),"")</f>
        <v/>
      </c>
      <c r="I271" s="24" t="str">
        <f>IFERROR(INDEX('Output Utente'!$F$2:$F$492,MATCH(268,'Output Utente'!$R$2:$R$492,0)),"")</f>
        <v/>
      </c>
      <c r="J271" s="24" t="str">
        <f>IFERROR(INDEX('Output Utente'!$G$2:$G$492,MATCH(268,'Output Utente'!$R$2:$R$492,0)),"")</f>
        <v/>
      </c>
      <c r="K271" s="24" t="str">
        <f>IFERROR(INDEX('Output Utente'!$H$2:$H$492,MATCH(268,'Output Utente'!$R$2:$R$492,0)),"")</f>
        <v/>
      </c>
      <c r="L271" s="23" t="str">
        <f>IFERROR(INDEX('Output Utente'!$E$2:$E$492,MATCH(268,'Output Utente'!$R$2:$R$492,0)),"")</f>
        <v/>
      </c>
      <c r="V271" t="str">
        <f>IFERROR(INDEX('Output Utente'!$M$2:$M$492,MATCH(268,'Output Utente'!$R$2:$R$492,0)),"")</f>
        <v/>
      </c>
      <c r="W271" t="str">
        <f t="shared" si="4"/>
        <v/>
      </c>
      <c r="X271" t="str">
        <f>IFERROR(INDEX('Output Utente'!$AF$2:$AF$492,MATCH(268,'Output Utente'!$R$2:$R$492,0)),"")</f>
        <v/>
      </c>
    </row>
    <row r="272" spans="1:24" ht="15" customHeight="1" x14ac:dyDescent="0.25">
      <c r="A272" s="26">
        <v>269</v>
      </c>
      <c r="B272" s="23" t="str">
        <f>IFERROR(INDEX('Output Utente'!$A$2:$A$492,MATCH(269,'Output Utente'!$R$2:$R$492,0)),"")</f>
        <v/>
      </c>
      <c r="C272" s="23" t="str">
        <f>IFERROR(INDEX('Output Utente'!$B$2:$B$492,MATCH(269,'Output Utente'!$R$2:$R$492,0)),"")</f>
        <v/>
      </c>
      <c r="D272" s="23" t="str">
        <f>IFERROR(INDEX('Output Utente'!$C$2:$C$492,MATCH(269,'Output Utente'!$R$2:$R$492,0)),"")</f>
        <v/>
      </c>
      <c r="E272" s="23" t="str">
        <f>IFERROR(INDEX('Input Giocatori 2026_27'!$D$3:$D$493,MATCH($B272,'Input Giocatori 2026_27'!$A$3:$A$493,0)),"")</f>
        <v/>
      </c>
      <c r="F272" s="24" t="str">
        <f>IFERROR(INDEX('Output Utente'!$N$2:$N$492,MATCH(269,'Output Utente'!$R$2:$R$492,0)),"")</f>
        <v/>
      </c>
      <c r="G272" s="23" t="str">
        <f>IFERROR(INDEX('Output Utente'!$O$2:$O$492,MATCH(269,'Output Utente'!$R$2:$R$492,0)),"")</f>
        <v/>
      </c>
      <c r="H272" s="23" t="str">
        <f>IFERROR(INDEX('Output Utente'!$P$2:$P$492,MATCH(269,'Output Utente'!$R$2:$R$492,0)),"")</f>
        <v/>
      </c>
      <c r="I272" s="24" t="str">
        <f>IFERROR(INDEX('Output Utente'!$F$2:$F$492,MATCH(269,'Output Utente'!$R$2:$R$492,0)),"")</f>
        <v/>
      </c>
      <c r="J272" s="24" t="str">
        <f>IFERROR(INDEX('Output Utente'!$G$2:$G$492,MATCH(269,'Output Utente'!$R$2:$R$492,0)),"")</f>
        <v/>
      </c>
      <c r="K272" s="24" t="str">
        <f>IFERROR(INDEX('Output Utente'!$H$2:$H$492,MATCH(269,'Output Utente'!$R$2:$R$492,0)),"")</f>
        <v/>
      </c>
      <c r="L272" s="23" t="str">
        <f>IFERROR(INDEX('Output Utente'!$E$2:$E$492,MATCH(269,'Output Utente'!$R$2:$R$492,0)),"")</f>
        <v/>
      </c>
      <c r="V272" t="str">
        <f>IFERROR(INDEX('Output Utente'!$M$2:$M$492,MATCH(269,'Output Utente'!$R$2:$R$492,0)),"")</f>
        <v/>
      </c>
      <c r="W272" t="str">
        <f t="shared" si="4"/>
        <v/>
      </c>
      <c r="X272" t="str">
        <f>IFERROR(INDEX('Output Utente'!$AF$2:$AF$492,MATCH(269,'Output Utente'!$R$2:$R$492,0)),"")</f>
        <v/>
      </c>
    </row>
    <row r="273" spans="1:24" ht="15" customHeight="1" x14ac:dyDescent="0.25">
      <c r="A273" s="26">
        <v>270</v>
      </c>
      <c r="B273" s="23" t="str">
        <f>IFERROR(INDEX('Output Utente'!$A$2:$A$492,MATCH(270,'Output Utente'!$R$2:$R$492,0)),"")</f>
        <v/>
      </c>
      <c r="C273" s="23" t="str">
        <f>IFERROR(INDEX('Output Utente'!$B$2:$B$492,MATCH(270,'Output Utente'!$R$2:$R$492,0)),"")</f>
        <v/>
      </c>
      <c r="D273" s="23" t="str">
        <f>IFERROR(INDEX('Output Utente'!$C$2:$C$492,MATCH(270,'Output Utente'!$R$2:$R$492,0)),"")</f>
        <v/>
      </c>
      <c r="E273" s="23" t="str">
        <f>IFERROR(INDEX('Input Giocatori 2026_27'!$D$3:$D$493,MATCH($B273,'Input Giocatori 2026_27'!$A$3:$A$493,0)),"")</f>
        <v/>
      </c>
      <c r="F273" s="24" t="str">
        <f>IFERROR(INDEX('Output Utente'!$N$2:$N$492,MATCH(270,'Output Utente'!$R$2:$R$492,0)),"")</f>
        <v/>
      </c>
      <c r="G273" s="23" t="str">
        <f>IFERROR(INDEX('Output Utente'!$O$2:$O$492,MATCH(270,'Output Utente'!$R$2:$R$492,0)),"")</f>
        <v/>
      </c>
      <c r="H273" s="23" t="str">
        <f>IFERROR(INDEX('Output Utente'!$P$2:$P$492,MATCH(270,'Output Utente'!$R$2:$R$492,0)),"")</f>
        <v/>
      </c>
      <c r="I273" s="24" t="str">
        <f>IFERROR(INDEX('Output Utente'!$F$2:$F$492,MATCH(270,'Output Utente'!$R$2:$R$492,0)),"")</f>
        <v/>
      </c>
      <c r="J273" s="24" t="str">
        <f>IFERROR(INDEX('Output Utente'!$G$2:$G$492,MATCH(270,'Output Utente'!$R$2:$R$492,0)),"")</f>
        <v/>
      </c>
      <c r="K273" s="24" t="str">
        <f>IFERROR(INDEX('Output Utente'!$H$2:$H$492,MATCH(270,'Output Utente'!$R$2:$R$492,0)),"")</f>
        <v/>
      </c>
      <c r="L273" s="23" t="str">
        <f>IFERROR(INDEX('Output Utente'!$E$2:$E$492,MATCH(270,'Output Utente'!$R$2:$R$492,0)),"")</f>
        <v/>
      </c>
      <c r="V273" t="str">
        <f>IFERROR(INDEX('Output Utente'!$M$2:$M$492,MATCH(270,'Output Utente'!$R$2:$R$492,0)),"")</f>
        <v/>
      </c>
      <c r="W273" t="str">
        <f t="shared" si="4"/>
        <v/>
      </c>
      <c r="X273" t="str">
        <f>IFERROR(INDEX('Output Utente'!$AF$2:$AF$492,MATCH(270,'Output Utente'!$R$2:$R$492,0)),"")</f>
        <v/>
      </c>
    </row>
    <row r="274" spans="1:24" ht="15" customHeight="1" x14ac:dyDescent="0.25">
      <c r="A274" s="26">
        <v>271</v>
      </c>
      <c r="B274" s="23" t="str">
        <f>IFERROR(INDEX('Output Utente'!$A$2:$A$492,MATCH(271,'Output Utente'!$R$2:$R$492,0)),"")</f>
        <v/>
      </c>
      <c r="C274" s="23" t="str">
        <f>IFERROR(INDEX('Output Utente'!$B$2:$B$492,MATCH(271,'Output Utente'!$R$2:$R$492,0)),"")</f>
        <v/>
      </c>
      <c r="D274" s="23" t="str">
        <f>IFERROR(INDEX('Output Utente'!$C$2:$C$492,MATCH(271,'Output Utente'!$R$2:$R$492,0)),"")</f>
        <v/>
      </c>
      <c r="E274" s="23" t="str">
        <f>IFERROR(INDEX('Input Giocatori 2026_27'!$D$3:$D$493,MATCH($B274,'Input Giocatori 2026_27'!$A$3:$A$493,0)),"")</f>
        <v/>
      </c>
      <c r="F274" s="24" t="str">
        <f>IFERROR(INDEX('Output Utente'!$N$2:$N$492,MATCH(271,'Output Utente'!$R$2:$R$492,0)),"")</f>
        <v/>
      </c>
      <c r="G274" s="23" t="str">
        <f>IFERROR(INDEX('Output Utente'!$O$2:$O$492,MATCH(271,'Output Utente'!$R$2:$R$492,0)),"")</f>
        <v/>
      </c>
      <c r="H274" s="23" t="str">
        <f>IFERROR(INDEX('Output Utente'!$P$2:$P$492,MATCH(271,'Output Utente'!$R$2:$R$492,0)),"")</f>
        <v/>
      </c>
      <c r="I274" s="24" t="str">
        <f>IFERROR(INDEX('Output Utente'!$F$2:$F$492,MATCH(271,'Output Utente'!$R$2:$R$492,0)),"")</f>
        <v/>
      </c>
      <c r="J274" s="24" t="str">
        <f>IFERROR(INDEX('Output Utente'!$G$2:$G$492,MATCH(271,'Output Utente'!$R$2:$R$492,0)),"")</f>
        <v/>
      </c>
      <c r="K274" s="24" t="str">
        <f>IFERROR(INDEX('Output Utente'!$H$2:$H$492,MATCH(271,'Output Utente'!$R$2:$R$492,0)),"")</f>
        <v/>
      </c>
      <c r="L274" s="23" t="str">
        <f>IFERROR(INDEX('Output Utente'!$E$2:$E$492,MATCH(271,'Output Utente'!$R$2:$R$492,0)),"")</f>
        <v/>
      </c>
      <c r="V274" t="str">
        <f>IFERROR(INDEX('Output Utente'!$M$2:$M$492,MATCH(271,'Output Utente'!$R$2:$R$492,0)),"")</f>
        <v/>
      </c>
      <c r="W274" t="str">
        <f t="shared" si="4"/>
        <v/>
      </c>
      <c r="X274" t="str">
        <f>IFERROR(INDEX('Output Utente'!$AF$2:$AF$492,MATCH(271,'Output Utente'!$R$2:$R$492,0)),"")</f>
        <v/>
      </c>
    </row>
    <row r="275" spans="1:24" ht="15" customHeight="1" x14ac:dyDescent="0.25">
      <c r="A275" s="26">
        <v>272</v>
      </c>
      <c r="B275" s="23" t="str">
        <f>IFERROR(INDEX('Output Utente'!$A$2:$A$492,MATCH(272,'Output Utente'!$R$2:$R$492,0)),"")</f>
        <v/>
      </c>
      <c r="C275" s="23" t="str">
        <f>IFERROR(INDEX('Output Utente'!$B$2:$B$492,MATCH(272,'Output Utente'!$R$2:$R$492,0)),"")</f>
        <v/>
      </c>
      <c r="D275" s="23" t="str">
        <f>IFERROR(INDEX('Output Utente'!$C$2:$C$492,MATCH(272,'Output Utente'!$R$2:$R$492,0)),"")</f>
        <v/>
      </c>
      <c r="E275" s="23" t="str">
        <f>IFERROR(INDEX('Input Giocatori 2026_27'!$D$3:$D$493,MATCH($B275,'Input Giocatori 2026_27'!$A$3:$A$493,0)),"")</f>
        <v/>
      </c>
      <c r="F275" s="24" t="str">
        <f>IFERROR(INDEX('Output Utente'!$N$2:$N$492,MATCH(272,'Output Utente'!$R$2:$R$492,0)),"")</f>
        <v/>
      </c>
      <c r="G275" s="23" t="str">
        <f>IFERROR(INDEX('Output Utente'!$O$2:$O$492,MATCH(272,'Output Utente'!$R$2:$R$492,0)),"")</f>
        <v/>
      </c>
      <c r="H275" s="23" t="str">
        <f>IFERROR(INDEX('Output Utente'!$P$2:$P$492,MATCH(272,'Output Utente'!$R$2:$R$492,0)),"")</f>
        <v/>
      </c>
      <c r="I275" s="24" t="str">
        <f>IFERROR(INDEX('Output Utente'!$F$2:$F$492,MATCH(272,'Output Utente'!$R$2:$R$492,0)),"")</f>
        <v/>
      </c>
      <c r="J275" s="24" t="str">
        <f>IFERROR(INDEX('Output Utente'!$G$2:$G$492,MATCH(272,'Output Utente'!$R$2:$R$492,0)),"")</f>
        <v/>
      </c>
      <c r="K275" s="24" t="str">
        <f>IFERROR(INDEX('Output Utente'!$H$2:$H$492,MATCH(272,'Output Utente'!$R$2:$R$492,0)),"")</f>
        <v/>
      </c>
      <c r="L275" s="23" t="str">
        <f>IFERROR(INDEX('Output Utente'!$E$2:$E$492,MATCH(272,'Output Utente'!$R$2:$R$492,0)),"")</f>
        <v/>
      </c>
      <c r="V275" t="str">
        <f>IFERROR(INDEX('Output Utente'!$M$2:$M$492,MATCH(272,'Output Utente'!$R$2:$R$492,0)),"")</f>
        <v/>
      </c>
      <c r="W275" t="str">
        <f t="shared" si="4"/>
        <v/>
      </c>
      <c r="X275" t="str">
        <f>IFERROR(INDEX('Output Utente'!$AF$2:$AF$492,MATCH(272,'Output Utente'!$R$2:$R$492,0)),"")</f>
        <v/>
      </c>
    </row>
    <row r="276" spans="1:24" ht="15" customHeight="1" x14ac:dyDescent="0.25">
      <c r="A276" s="26">
        <v>273</v>
      </c>
      <c r="B276" s="23" t="str">
        <f>IFERROR(INDEX('Output Utente'!$A$2:$A$492,MATCH(273,'Output Utente'!$R$2:$R$492,0)),"")</f>
        <v/>
      </c>
      <c r="C276" s="23" t="str">
        <f>IFERROR(INDEX('Output Utente'!$B$2:$B$492,MATCH(273,'Output Utente'!$R$2:$R$492,0)),"")</f>
        <v/>
      </c>
      <c r="D276" s="23" t="str">
        <f>IFERROR(INDEX('Output Utente'!$C$2:$C$492,MATCH(273,'Output Utente'!$R$2:$R$492,0)),"")</f>
        <v/>
      </c>
      <c r="E276" s="23" t="str">
        <f>IFERROR(INDEX('Input Giocatori 2026_27'!$D$3:$D$493,MATCH($B276,'Input Giocatori 2026_27'!$A$3:$A$493,0)),"")</f>
        <v/>
      </c>
      <c r="F276" s="24" t="str">
        <f>IFERROR(INDEX('Output Utente'!$N$2:$N$492,MATCH(273,'Output Utente'!$R$2:$R$492,0)),"")</f>
        <v/>
      </c>
      <c r="G276" s="23" t="str">
        <f>IFERROR(INDEX('Output Utente'!$O$2:$O$492,MATCH(273,'Output Utente'!$R$2:$R$492,0)),"")</f>
        <v/>
      </c>
      <c r="H276" s="23" t="str">
        <f>IFERROR(INDEX('Output Utente'!$P$2:$P$492,MATCH(273,'Output Utente'!$R$2:$R$492,0)),"")</f>
        <v/>
      </c>
      <c r="I276" s="24" t="str">
        <f>IFERROR(INDEX('Output Utente'!$F$2:$F$492,MATCH(273,'Output Utente'!$R$2:$R$492,0)),"")</f>
        <v/>
      </c>
      <c r="J276" s="24" t="str">
        <f>IFERROR(INDEX('Output Utente'!$G$2:$G$492,MATCH(273,'Output Utente'!$R$2:$R$492,0)),"")</f>
        <v/>
      </c>
      <c r="K276" s="24" t="str">
        <f>IFERROR(INDEX('Output Utente'!$H$2:$H$492,MATCH(273,'Output Utente'!$R$2:$R$492,0)),"")</f>
        <v/>
      </c>
      <c r="L276" s="23" t="str">
        <f>IFERROR(INDEX('Output Utente'!$E$2:$E$492,MATCH(273,'Output Utente'!$R$2:$R$492,0)),"")</f>
        <v/>
      </c>
      <c r="V276" t="str">
        <f>IFERROR(INDEX('Output Utente'!$M$2:$M$492,MATCH(273,'Output Utente'!$R$2:$R$492,0)),"")</f>
        <v/>
      </c>
      <c r="W276" t="str">
        <f t="shared" si="4"/>
        <v/>
      </c>
      <c r="X276" t="str">
        <f>IFERROR(INDEX('Output Utente'!$AF$2:$AF$492,MATCH(273,'Output Utente'!$R$2:$R$492,0)),"")</f>
        <v/>
      </c>
    </row>
    <row r="277" spans="1:24" ht="15" customHeight="1" x14ac:dyDescent="0.25">
      <c r="A277" s="26">
        <v>274</v>
      </c>
      <c r="B277" s="23" t="str">
        <f>IFERROR(INDEX('Output Utente'!$A$2:$A$492,MATCH(274,'Output Utente'!$R$2:$R$492,0)),"")</f>
        <v/>
      </c>
      <c r="C277" s="23" t="str">
        <f>IFERROR(INDEX('Output Utente'!$B$2:$B$492,MATCH(274,'Output Utente'!$R$2:$R$492,0)),"")</f>
        <v/>
      </c>
      <c r="D277" s="23" t="str">
        <f>IFERROR(INDEX('Output Utente'!$C$2:$C$492,MATCH(274,'Output Utente'!$R$2:$R$492,0)),"")</f>
        <v/>
      </c>
      <c r="E277" s="23" t="str">
        <f>IFERROR(INDEX('Input Giocatori 2026_27'!$D$3:$D$493,MATCH($B277,'Input Giocatori 2026_27'!$A$3:$A$493,0)),"")</f>
        <v/>
      </c>
      <c r="F277" s="24" t="str">
        <f>IFERROR(INDEX('Output Utente'!$N$2:$N$492,MATCH(274,'Output Utente'!$R$2:$R$492,0)),"")</f>
        <v/>
      </c>
      <c r="G277" s="23" t="str">
        <f>IFERROR(INDEX('Output Utente'!$O$2:$O$492,MATCH(274,'Output Utente'!$R$2:$R$492,0)),"")</f>
        <v/>
      </c>
      <c r="H277" s="23" t="str">
        <f>IFERROR(INDEX('Output Utente'!$P$2:$P$492,MATCH(274,'Output Utente'!$R$2:$R$492,0)),"")</f>
        <v/>
      </c>
      <c r="I277" s="24" t="str">
        <f>IFERROR(INDEX('Output Utente'!$F$2:$F$492,MATCH(274,'Output Utente'!$R$2:$R$492,0)),"")</f>
        <v/>
      </c>
      <c r="J277" s="24" t="str">
        <f>IFERROR(INDEX('Output Utente'!$G$2:$G$492,MATCH(274,'Output Utente'!$R$2:$R$492,0)),"")</f>
        <v/>
      </c>
      <c r="K277" s="24" t="str">
        <f>IFERROR(INDEX('Output Utente'!$H$2:$H$492,MATCH(274,'Output Utente'!$R$2:$R$492,0)),"")</f>
        <v/>
      </c>
      <c r="L277" s="23" t="str">
        <f>IFERROR(INDEX('Output Utente'!$E$2:$E$492,MATCH(274,'Output Utente'!$R$2:$R$492,0)),"")</f>
        <v/>
      </c>
      <c r="V277" t="str">
        <f>IFERROR(INDEX('Output Utente'!$M$2:$M$492,MATCH(274,'Output Utente'!$R$2:$R$492,0)),"")</f>
        <v/>
      </c>
      <c r="W277" t="str">
        <f t="shared" si="4"/>
        <v/>
      </c>
      <c r="X277" t="str">
        <f>IFERROR(INDEX('Output Utente'!$AF$2:$AF$492,MATCH(274,'Output Utente'!$R$2:$R$492,0)),"")</f>
        <v/>
      </c>
    </row>
    <row r="278" spans="1:24" ht="15" customHeight="1" x14ac:dyDescent="0.25">
      <c r="A278" s="26">
        <v>275</v>
      </c>
      <c r="B278" s="23" t="str">
        <f>IFERROR(INDEX('Output Utente'!$A$2:$A$492,MATCH(275,'Output Utente'!$R$2:$R$492,0)),"")</f>
        <v/>
      </c>
      <c r="C278" s="23" t="str">
        <f>IFERROR(INDEX('Output Utente'!$B$2:$B$492,MATCH(275,'Output Utente'!$R$2:$R$492,0)),"")</f>
        <v/>
      </c>
      <c r="D278" s="23" t="str">
        <f>IFERROR(INDEX('Output Utente'!$C$2:$C$492,MATCH(275,'Output Utente'!$R$2:$R$492,0)),"")</f>
        <v/>
      </c>
      <c r="E278" s="23" t="str">
        <f>IFERROR(INDEX('Input Giocatori 2026_27'!$D$3:$D$493,MATCH($B278,'Input Giocatori 2026_27'!$A$3:$A$493,0)),"")</f>
        <v/>
      </c>
      <c r="F278" s="24" t="str">
        <f>IFERROR(INDEX('Output Utente'!$N$2:$N$492,MATCH(275,'Output Utente'!$R$2:$R$492,0)),"")</f>
        <v/>
      </c>
      <c r="G278" s="23" t="str">
        <f>IFERROR(INDEX('Output Utente'!$O$2:$O$492,MATCH(275,'Output Utente'!$R$2:$R$492,0)),"")</f>
        <v/>
      </c>
      <c r="H278" s="23" t="str">
        <f>IFERROR(INDEX('Output Utente'!$P$2:$P$492,MATCH(275,'Output Utente'!$R$2:$R$492,0)),"")</f>
        <v/>
      </c>
      <c r="I278" s="24" t="str">
        <f>IFERROR(INDEX('Output Utente'!$F$2:$F$492,MATCH(275,'Output Utente'!$R$2:$R$492,0)),"")</f>
        <v/>
      </c>
      <c r="J278" s="24" t="str">
        <f>IFERROR(INDEX('Output Utente'!$G$2:$G$492,MATCH(275,'Output Utente'!$R$2:$R$492,0)),"")</f>
        <v/>
      </c>
      <c r="K278" s="24" t="str">
        <f>IFERROR(INDEX('Output Utente'!$H$2:$H$492,MATCH(275,'Output Utente'!$R$2:$R$492,0)),"")</f>
        <v/>
      </c>
      <c r="L278" s="23" t="str">
        <f>IFERROR(INDEX('Output Utente'!$E$2:$E$492,MATCH(275,'Output Utente'!$R$2:$R$492,0)),"")</f>
        <v/>
      </c>
      <c r="V278" t="str">
        <f>IFERROR(INDEX('Output Utente'!$M$2:$M$492,MATCH(275,'Output Utente'!$R$2:$R$492,0)),"")</f>
        <v/>
      </c>
      <c r="W278" t="str">
        <f t="shared" si="4"/>
        <v/>
      </c>
      <c r="X278" t="str">
        <f>IFERROR(INDEX('Output Utente'!$AF$2:$AF$492,MATCH(275,'Output Utente'!$R$2:$R$492,0)),"")</f>
        <v/>
      </c>
    </row>
    <row r="279" spans="1:24" ht="15" customHeight="1" x14ac:dyDescent="0.25">
      <c r="A279" s="26">
        <v>276</v>
      </c>
      <c r="B279" s="23" t="str">
        <f>IFERROR(INDEX('Output Utente'!$A$2:$A$492,MATCH(276,'Output Utente'!$R$2:$R$492,0)),"")</f>
        <v/>
      </c>
      <c r="C279" s="23" t="str">
        <f>IFERROR(INDEX('Output Utente'!$B$2:$B$492,MATCH(276,'Output Utente'!$R$2:$R$492,0)),"")</f>
        <v/>
      </c>
      <c r="D279" s="23" t="str">
        <f>IFERROR(INDEX('Output Utente'!$C$2:$C$492,MATCH(276,'Output Utente'!$R$2:$R$492,0)),"")</f>
        <v/>
      </c>
      <c r="E279" s="23" t="str">
        <f>IFERROR(INDEX('Input Giocatori 2026_27'!$D$3:$D$493,MATCH($B279,'Input Giocatori 2026_27'!$A$3:$A$493,0)),"")</f>
        <v/>
      </c>
      <c r="F279" s="24" t="str">
        <f>IFERROR(INDEX('Output Utente'!$N$2:$N$492,MATCH(276,'Output Utente'!$R$2:$R$492,0)),"")</f>
        <v/>
      </c>
      <c r="G279" s="23" t="str">
        <f>IFERROR(INDEX('Output Utente'!$O$2:$O$492,MATCH(276,'Output Utente'!$R$2:$R$492,0)),"")</f>
        <v/>
      </c>
      <c r="H279" s="23" t="str">
        <f>IFERROR(INDEX('Output Utente'!$P$2:$P$492,MATCH(276,'Output Utente'!$R$2:$R$492,0)),"")</f>
        <v/>
      </c>
      <c r="I279" s="24" t="str">
        <f>IFERROR(INDEX('Output Utente'!$F$2:$F$492,MATCH(276,'Output Utente'!$R$2:$R$492,0)),"")</f>
        <v/>
      </c>
      <c r="J279" s="24" t="str">
        <f>IFERROR(INDEX('Output Utente'!$G$2:$G$492,MATCH(276,'Output Utente'!$R$2:$R$492,0)),"")</f>
        <v/>
      </c>
      <c r="K279" s="24" t="str">
        <f>IFERROR(INDEX('Output Utente'!$H$2:$H$492,MATCH(276,'Output Utente'!$R$2:$R$492,0)),"")</f>
        <v/>
      </c>
      <c r="L279" s="23" t="str">
        <f>IFERROR(INDEX('Output Utente'!$E$2:$E$492,MATCH(276,'Output Utente'!$R$2:$R$492,0)),"")</f>
        <v/>
      </c>
      <c r="V279" t="str">
        <f>IFERROR(INDEX('Output Utente'!$M$2:$M$492,MATCH(276,'Output Utente'!$R$2:$R$492,0)),"")</f>
        <v/>
      </c>
      <c r="W279" t="str">
        <f t="shared" si="4"/>
        <v/>
      </c>
      <c r="X279" t="str">
        <f>IFERROR(INDEX('Output Utente'!$AF$2:$AF$492,MATCH(276,'Output Utente'!$R$2:$R$492,0)),"")</f>
        <v/>
      </c>
    </row>
    <row r="280" spans="1:24" ht="15" customHeight="1" x14ac:dyDescent="0.25">
      <c r="A280" s="26">
        <v>277</v>
      </c>
      <c r="B280" s="23" t="str">
        <f>IFERROR(INDEX('Output Utente'!$A$2:$A$492,MATCH(277,'Output Utente'!$R$2:$R$492,0)),"")</f>
        <v/>
      </c>
      <c r="C280" s="23" t="str">
        <f>IFERROR(INDEX('Output Utente'!$B$2:$B$492,MATCH(277,'Output Utente'!$R$2:$R$492,0)),"")</f>
        <v/>
      </c>
      <c r="D280" s="23" t="str">
        <f>IFERROR(INDEX('Output Utente'!$C$2:$C$492,MATCH(277,'Output Utente'!$R$2:$R$492,0)),"")</f>
        <v/>
      </c>
      <c r="E280" s="23" t="str">
        <f>IFERROR(INDEX('Input Giocatori 2026_27'!$D$3:$D$493,MATCH($B280,'Input Giocatori 2026_27'!$A$3:$A$493,0)),"")</f>
        <v/>
      </c>
      <c r="F280" s="24" t="str">
        <f>IFERROR(INDEX('Output Utente'!$N$2:$N$492,MATCH(277,'Output Utente'!$R$2:$R$492,0)),"")</f>
        <v/>
      </c>
      <c r="G280" s="23" t="str">
        <f>IFERROR(INDEX('Output Utente'!$O$2:$O$492,MATCH(277,'Output Utente'!$R$2:$R$492,0)),"")</f>
        <v/>
      </c>
      <c r="H280" s="23" t="str">
        <f>IFERROR(INDEX('Output Utente'!$P$2:$P$492,MATCH(277,'Output Utente'!$R$2:$R$492,0)),"")</f>
        <v/>
      </c>
      <c r="I280" s="24" t="str">
        <f>IFERROR(INDEX('Output Utente'!$F$2:$F$492,MATCH(277,'Output Utente'!$R$2:$R$492,0)),"")</f>
        <v/>
      </c>
      <c r="J280" s="24" t="str">
        <f>IFERROR(INDEX('Output Utente'!$G$2:$G$492,MATCH(277,'Output Utente'!$R$2:$R$492,0)),"")</f>
        <v/>
      </c>
      <c r="K280" s="24" t="str">
        <f>IFERROR(INDEX('Output Utente'!$H$2:$H$492,MATCH(277,'Output Utente'!$R$2:$R$492,0)),"")</f>
        <v/>
      </c>
      <c r="L280" s="23" t="str">
        <f>IFERROR(INDEX('Output Utente'!$E$2:$E$492,MATCH(277,'Output Utente'!$R$2:$R$492,0)),"")</f>
        <v/>
      </c>
      <c r="V280" t="str">
        <f>IFERROR(INDEX('Output Utente'!$M$2:$M$492,MATCH(277,'Output Utente'!$R$2:$R$492,0)),"")</f>
        <v/>
      </c>
      <c r="W280" t="str">
        <f t="shared" si="4"/>
        <v/>
      </c>
      <c r="X280" t="str">
        <f>IFERROR(INDEX('Output Utente'!$AF$2:$AF$492,MATCH(277,'Output Utente'!$R$2:$R$492,0)),"")</f>
        <v/>
      </c>
    </row>
    <row r="281" spans="1:24" ht="15" customHeight="1" x14ac:dyDescent="0.25">
      <c r="A281" s="26">
        <v>278</v>
      </c>
      <c r="B281" s="23" t="str">
        <f>IFERROR(INDEX('Output Utente'!$A$2:$A$492,MATCH(278,'Output Utente'!$R$2:$R$492,0)),"")</f>
        <v/>
      </c>
      <c r="C281" s="23" t="str">
        <f>IFERROR(INDEX('Output Utente'!$B$2:$B$492,MATCH(278,'Output Utente'!$R$2:$R$492,0)),"")</f>
        <v/>
      </c>
      <c r="D281" s="23" t="str">
        <f>IFERROR(INDEX('Output Utente'!$C$2:$C$492,MATCH(278,'Output Utente'!$R$2:$R$492,0)),"")</f>
        <v/>
      </c>
      <c r="E281" s="23" t="str">
        <f>IFERROR(INDEX('Input Giocatori 2026_27'!$D$3:$D$493,MATCH($B281,'Input Giocatori 2026_27'!$A$3:$A$493,0)),"")</f>
        <v/>
      </c>
      <c r="F281" s="24" t="str">
        <f>IFERROR(INDEX('Output Utente'!$N$2:$N$492,MATCH(278,'Output Utente'!$R$2:$R$492,0)),"")</f>
        <v/>
      </c>
      <c r="G281" s="23" t="str">
        <f>IFERROR(INDEX('Output Utente'!$O$2:$O$492,MATCH(278,'Output Utente'!$R$2:$R$492,0)),"")</f>
        <v/>
      </c>
      <c r="H281" s="23" t="str">
        <f>IFERROR(INDEX('Output Utente'!$P$2:$P$492,MATCH(278,'Output Utente'!$R$2:$R$492,0)),"")</f>
        <v/>
      </c>
      <c r="I281" s="24" t="str">
        <f>IFERROR(INDEX('Output Utente'!$F$2:$F$492,MATCH(278,'Output Utente'!$R$2:$R$492,0)),"")</f>
        <v/>
      </c>
      <c r="J281" s="24" t="str">
        <f>IFERROR(INDEX('Output Utente'!$G$2:$G$492,MATCH(278,'Output Utente'!$R$2:$R$492,0)),"")</f>
        <v/>
      </c>
      <c r="K281" s="24" t="str">
        <f>IFERROR(INDEX('Output Utente'!$H$2:$H$492,MATCH(278,'Output Utente'!$R$2:$R$492,0)),"")</f>
        <v/>
      </c>
      <c r="L281" s="23" t="str">
        <f>IFERROR(INDEX('Output Utente'!$E$2:$E$492,MATCH(278,'Output Utente'!$R$2:$R$492,0)),"")</f>
        <v/>
      </c>
      <c r="V281" t="str">
        <f>IFERROR(INDEX('Output Utente'!$M$2:$M$492,MATCH(278,'Output Utente'!$R$2:$R$492,0)),"")</f>
        <v/>
      </c>
      <c r="W281" t="str">
        <f t="shared" si="4"/>
        <v/>
      </c>
      <c r="X281" t="str">
        <f>IFERROR(INDEX('Output Utente'!$AF$2:$AF$492,MATCH(278,'Output Utente'!$R$2:$R$492,0)),"")</f>
        <v/>
      </c>
    </row>
    <row r="282" spans="1:24" ht="15" customHeight="1" x14ac:dyDescent="0.25">
      <c r="A282" s="26">
        <v>279</v>
      </c>
      <c r="B282" s="23" t="str">
        <f>IFERROR(INDEX('Output Utente'!$A$2:$A$492,MATCH(279,'Output Utente'!$R$2:$R$492,0)),"")</f>
        <v/>
      </c>
      <c r="C282" s="23" t="str">
        <f>IFERROR(INDEX('Output Utente'!$B$2:$B$492,MATCH(279,'Output Utente'!$R$2:$R$492,0)),"")</f>
        <v/>
      </c>
      <c r="D282" s="23" t="str">
        <f>IFERROR(INDEX('Output Utente'!$C$2:$C$492,MATCH(279,'Output Utente'!$R$2:$R$492,0)),"")</f>
        <v/>
      </c>
      <c r="E282" s="23" t="str">
        <f>IFERROR(INDEX('Input Giocatori 2026_27'!$D$3:$D$493,MATCH($B282,'Input Giocatori 2026_27'!$A$3:$A$493,0)),"")</f>
        <v/>
      </c>
      <c r="F282" s="24" t="str">
        <f>IFERROR(INDEX('Output Utente'!$N$2:$N$492,MATCH(279,'Output Utente'!$R$2:$R$492,0)),"")</f>
        <v/>
      </c>
      <c r="G282" s="23" t="str">
        <f>IFERROR(INDEX('Output Utente'!$O$2:$O$492,MATCH(279,'Output Utente'!$R$2:$R$492,0)),"")</f>
        <v/>
      </c>
      <c r="H282" s="23" t="str">
        <f>IFERROR(INDEX('Output Utente'!$P$2:$P$492,MATCH(279,'Output Utente'!$R$2:$R$492,0)),"")</f>
        <v/>
      </c>
      <c r="I282" s="24" t="str">
        <f>IFERROR(INDEX('Output Utente'!$F$2:$F$492,MATCH(279,'Output Utente'!$R$2:$R$492,0)),"")</f>
        <v/>
      </c>
      <c r="J282" s="24" t="str">
        <f>IFERROR(INDEX('Output Utente'!$G$2:$G$492,MATCH(279,'Output Utente'!$R$2:$R$492,0)),"")</f>
        <v/>
      </c>
      <c r="K282" s="24" t="str">
        <f>IFERROR(INDEX('Output Utente'!$H$2:$H$492,MATCH(279,'Output Utente'!$R$2:$R$492,0)),"")</f>
        <v/>
      </c>
      <c r="L282" s="23" t="str">
        <f>IFERROR(INDEX('Output Utente'!$E$2:$E$492,MATCH(279,'Output Utente'!$R$2:$R$492,0)),"")</f>
        <v/>
      </c>
      <c r="V282" t="str">
        <f>IFERROR(INDEX('Output Utente'!$M$2:$M$492,MATCH(279,'Output Utente'!$R$2:$R$492,0)),"")</f>
        <v/>
      </c>
      <c r="W282" t="str">
        <f t="shared" si="4"/>
        <v/>
      </c>
      <c r="X282" t="str">
        <f>IFERROR(INDEX('Output Utente'!$AF$2:$AF$492,MATCH(279,'Output Utente'!$R$2:$R$492,0)),"")</f>
        <v/>
      </c>
    </row>
    <row r="283" spans="1:24" ht="15" customHeight="1" x14ac:dyDescent="0.25">
      <c r="A283" s="26">
        <v>280</v>
      </c>
      <c r="B283" s="23" t="str">
        <f>IFERROR(INDEX('Output Utente'!$A$2:$A$492,MATCH(280,'Output Utente'!$R$2:$R$492,0)),"")</f>
        <v/>
      </c>
      <c r="C283" s="23" t="str">
        <f>IFERROR(INDEX('Output Utente'!$B$2:$B$492,MATCH(280,'Output Utente'!$R$2:$R$492,0)),"")</f>
        <v/>
      </c>
      <c r="D283" s="23" t="str">
        <f>IFERROR(INDEX('Output Utente'!$C$2:$C$492,MATCH(280,'Output Utente'!$R$2:$R$492,0)),"")</f>
        <v/>
      </c>
      <c r="E283" s="23" t="str">
        <f>IFERROR(INDEX('Input Giocatori 2026_27'!$D$3:$D$493,MATCH($B283,'Input Giocatori 2026_27'!$A$3:$A$493,0)),"")</f>
        <v/>
      </c>
      <c r="F283" s="24" t="str">
        <f>IFERROR(INDEX('Output Utente'!$N$2:$N$492,MATCH(280,'Output Utente'!$R$2:$R$492,0)),"")</f>
        <v/>
      </c>
      <c r="G283" s="23" t="str">
        <f>IFERROR(INDEX('Output Utente'!$O$2:$O$492,MATCH(280,'Output Utente'!$R$2:$R$492,0)),"")</f>
        <v/>
      </c>
      <c r="H283" s="23" t="str">
        <f>IFERROR(INDEX('Output Utente'!$P$2:$P$492,MATCH(280,'Output Utente'!$R$2:$R$492,0)),"")</f>
        <v/>
      </c>
      <c r="I283" s="24" t="str">
        <f>IFERROR(INDEX('Output Utente'!$F$2:$F$492,MATCH(280,'Output Utente'!$R$2:$R$492,0)),"")</f>
        <v/>
      </c>
      <c r="J283" s="24" t="str">
        <f>IFERROR(INDEX('Output Utente'!$G$2:$G$492,MATCH(280,'Output Utente'!$R$2:$R$492,0)),"")</f>
        <v/>
      </c>
      <c r="K283" s="24" t="str">
        <f>IFERROR(INDEX('Output Utente'!$H$2:$H$492,MATCH(280,'Output Utente'!$R$2:$R$492,0)),"")</f>
        <v/>
      </c>
      <c r="L283" s="23" t="str">
        <f>IFERROR(INDEX('Output Utente'!$E$2:$E$492,MATCH(280,'Output Utente'!$R$2:$R$492,0)),"")</f>
        <v/>
      </c>
      <c r="V283" t="str">
        <f>IFERROR(INDEX('Output Utente'!$M$2:$M$492,MATCH(280,'Output Utente'!$R$2:$R$492,0)),"")</f>
        <v/>
      </c>
      <c r="W283" t="str">
        <f t="shared" si="4"/>
        <v/>
      </c>
      <c r="X283" t="str">
        <f>IFERROR(INDEX('Output Utente'!$AF$2:$AF$492,MATCH(280,'Output Utente'!$R$2:$R$492,0)),"")</f>
        <v/>
      </c>
    </row>
    <row r="284" spans="1:24" ht="15" customHeight="1" x14ac:dyDescent="0.25">
      <c r="A284" s="26">
        <v>281</v>
      </c>
      <c r="B284" s="23" t="str">
        <f>IFERROR(INDEX('Output Utente'!$A$2:$A$492,MATCH(281,'Output Utente'!$R$2:$R$492,0)),"")</f>
        <v/>
      </c>
      <c r="C284" s="23" t="str">
        <f>IFERROR(INDEX('Output Utente'!$B$2:$B$492,MATCH(281,'Output Utente'!$R$2:$R$492,0)),"")</f>
        <v/>
      </c>
      <c r="D284" s="23" t="str">
        <f>IFERROR(INDEX('Output Utente'!$C$2:$C$492,MATCH(281,'Output Utente'!$R$2:$R$492,0)),"")</f>
        <v/>
      </c>
      <c r="E284" s="23" t="str">
        <f>IFERROR(INDEX('Input Giocatori 2026_27'!$D$3:$D$493,MATCH($B284,'Input Giocatori 2026_27'!$A$3:$A$493,0)),"")</f>
        <v/>
      </c>
      <c r="F284" s="24" t="str">
        <f>IFERROR(INDEX('Output Utente'!$N$2:$N$492,MATCH(281,'Output Utente'!$R$2:$R$492,0)),"")</f>
        <v/>
      </c>
      <c r="G284" s="23" t="str">
        <f>IFERROR(INDEX('Output Utente'!$O$2:$O$492,MATCH(281,'Output Utente'!$R$2:$R$492,0)),"")</f>
        <v/>
      </c>
      <c r="H284" s="23" t="str">
        <f>IFERROR(INDEX('Output Utente'!$P$2:$P$492,MATCH(281,'Output Utente'!$R$2:$R$492,0)),"")</f>
        <v/>
      </c>
      <c r="I284" s="24" t="str">
        <f>IFERROR(INDEX('Output Utente'!$F$2:$F$492,MATCH(281,'Output Utente'!$R$2:$R$492,0)),"")</f>
        <v/>
      </c>
      <c r="J284" s="24" t="str">
        <f>IFERROR(INDEX('Output Utente'!$G$2:$G$492,MATCH(281,'Output Utente'!$R$2:$R$492,0)),"")</f>
        <v/>
      </c>
      <c r="K284" s="24" t="str">
        <f>IFERROR(INDEX('Output Utente'!$H$2:$H$492,MATCH(281,'Output Utente'!$R$2:$R$492,0)),"")</f>
        <v/>
      </c>
      <c r="L284" s="23" t="str">
        <f>IFERROR(INDEX('Output Utente'!$E$2:$E$492,MATCH(281,'Output Utente'!$R$2:$R$492,0)),"")</f>
        <v/>
      </c>
      <c r="V284" t="str">
        <f>IFERROR(INDEX('Output Utente'!$M$2:$M$492,MATCH(281,'Output Utente'!$R$2:$R$492,0)),"")</f>
        <v/>
      </c>
      <c r="W284" t="str">
        <f t="shared" si="4"/>
        <v/>
      </c>
      <c r="X284" t="str">
        <f>IFERROR(INDEX('Output Utente'!$AF$2:$AF$492,MATCH(281,'Output Utente'!$R$2:$R$492,0)),"")</f>
        <v/>
      </c>
    </row>
    <row r="285" spans="1:24" ht="15" customHeight="1" x14ac:dyDescent="0.25">
      <c r="A285" s="26">
        <v>282</v>
      </c>
      <c r="B285" s="23" t="str">
        <f>IFERROR(INDEX('Output Utente'!$A$2:$A$492,MATCH(282,'Output Utente'!$R$2:$R$492,0)),"")</f>
        <v/>
      </c>
      <c r="C285" s="23" t="str">
        <f>IFERROR(INDEX('Output Utente'!$B$2:$B$492,MATCH(282,'Output Utente'!$R$2:$R$492,0)),"")</f>
        <v/>
      </c>
      <c r="D285" s="23" t="str">
        <f>IFERROR(INDEX('Output Utente'!$C$2:$C$492,MATCH(282,'Output Utente'!$R$2:$R$492,0)),"")</f>
        <v/>
      </c>
      <c r="E285" s="23" t="str">
        <f>IFERROR(INDEX('Input Giocatori 2026_27'!$D$3:$D$493,MATCH($B285,'Input Giocatori 2026_27'!$A$3:$A$493,0)),"")</f>
        <v/>
      </c>
      <c r="F285" s="24" t="str">
        <f>IFERROR(INDEX('Output Utente'!$N$2:$N$492,MATCH(282,'Output Utente'!$R$2:$R$492,0)),"")</f>
        <v/>
      </c>
      <c r="G285" s="23" t="str">
        <f>IFERROR(INDEX('Output Utente'!$O$2:$O$492,MATCH(282,'Output Utente'!$R$2:$R$492,0)),"")</f>
        <v/>
      </c>
      <c r="H285" s="23" t="str">
        <f>IFERROR(INDEX('Output Utente'!$P$2:$P$492,MATCH(282,'Output Utente'!$R$2:$R$492,0)),"")</f>
        <v/>
      </c>
      <c r="I285" s="24" t="str">
        <f>IFERROR(INDEX('Output Utente'!$F$2:$F$492,MATCH(282,'Output Utente'!$R$2:$R$492,0)),"")</f>
        <v/>
      </c>
      <c r="J285" s="24" t="str">
        <f>IFERROR(INDEX('Output Utente'!$G$2:$G$492,MATCH(282,'Output Utente'!$R$2:$R$492,0)),"")</f>
        <v/>
      </c>
      <c r="K285" s="24" t="str">
        <f>IFERROR(INDEX('Output Utente'!$H$2:$H$492,MATCH(282,'Output Utente'!$R$2:$R$492,0)),"")</f>
        <v/>
      </c>
      <c r="L285" s="23" t="str">
        <f>IFERROR(INDEX('Output Utente'!$E$2:$E$492,MATCH(282,'Output Utente'!$R$2:$R$492,0)),"")</f>
        <v/>
      </c>
      <c r="V285" t="str">
        <f>IFERROR(INDEX('Output Utente'!$M$2:$M$492,MATCH(282,'Output Utente'!$R$2:$R$492,0)),"")</f>
        <v/>
      </c>
      <c r="W285" t="str">
        <f t="shared" si="4"/>
        <v/>
      </c>
      <c r="X285" t="str">
        <f>IFERROR(INDEX('Output Utente'!$AF$2:$AF$492,MATCH(282,'Output Utente'!$R$2:$R$492,0)),"")</f>
        <v/>
      </c>
    </row>
    <row r="286" spans="1:24" ht="15" customHeight="1" x14ac:dyDescent="0.25">
      <c r="A286" s="26">
        <v>283</v>
      </c>
      <c r="B286" s="23" t="str">
        <f>IFERROR(INDEX('Output Utente'!$A$2:$A$492,MATCH(283,'Output Utente'!$R$2:$R$492,0)),"")</f>
        <v/>
      </c>
      <c r="C286" s="23" t="str">
        <f>IFERROR(INDEX('Output Utente'!$B$2:$B$492,MATCH(283,'Output Utente'!$R$2:$R$492,0)),"")</f>
        <v/>
      </c>
      <c r="D286" s="23" t="str">
        <f>IFERROR(INDEX('Output Utente'!$C$2:$C$492,MATCH(283,'Output Utente'!$R$2:$R$492,0)),"")</f>
        <v/>
      </c>
      <c r="E286" s="23" t="str">
        <f>IFERROR(INDEX('Input Giocatori 2026_27'!$D$3:$D$493,MATCH($B286,'Input Giocatori 2026_27'!$A$3:$A$493,0)),"")</f>
        <v/>
      </c>
      <c r="F286" s="24" t="str">
        <f>IFERROR(INDEX('Output Utente'!$N$2:$N$492,MATCH(283,'Output Utente'!$R$2:$R$492,0)),"")</f>
        <v/>
      </c>
      <c r="G286" s="23" t="str">
        <f>IFERROR(INDEX('Output Utente'!$O$2:$O$492,MATCH(283,'Output Utente'!$R$2:$R$492,0)),"")</f>
        <v/>
      </c>
      <c r="H286" s="23" t="str">
        <f>IFERROR(INDEX('Output Utente'!$P$2:$P$492,MATCH(283,'Output Utente'!$R$2:$R$492,0)),"")</f>
        <v/>
      </c>
      <c r="I286" s="24" t="str">
        <f>IFERROR(INDEX('Output Utente'!$F$2:$F$492,MATCH(283,'Output Utente'!$R$2:$R$492,0)),"")</f>
        <v/>
      </c>
      <c r="J286" s="24" t="str">
        <f>IFERROR(INDEX('Output Utente'!$G$2:$G$492,MATCH(283,'Output Utente'!$R$2:$R$492,0)),"")</f>
        <v/>
      </c>
      <c r="K286" s="24" t="str">
        <f>IFERROR(INDEX('Output Utente'!$H$2:$H$492,MATCH(283,'Output Utente'!$R$2:$R$492,0)),"")</f>
        <v/>
      </c>
      <c r="L286" s="23" t="str">
        <f>IFERROR(INDEX('Output Utente'!$E$2:$E$492,MATCH(283,'Output Utente'!$R$2:$R$492,0)),"")</f>
        <v/>
      </c>
      <c r="V286" t="str">
        <f>IFERROR(INDEX('Output Utente'!$M$2:$M$492,MATCH(283,'Output Utente'!$R$2:$R$492,0)),"")</f>
        <v/>
      </c>
      <c r="W286" t="str">
        <f t="shared" si="4"/>
        <v/>
      </c>
      <c r="X286" t="str">
        <f>IFERROR(INDEX('Output Utente'!$AF$2:$AF$492,MATCH(283,'Output Utente'!$R$2:$R$492,0)),"")</f>
        <v/>
      </c>
    </row>
    <row r="287" spans="1:24" ht="15" customHeight="1" x14ac:dyDescent="0.25">
      <c r="A287" s="26">
        <v>284</v>
      </c>
      <c r="B287" s="23" t="str">
        <f>IFERROR(INDEX('Output Utente'!$A$2:$A$492,MATCH(284,'Output Utente'!$R$2:$R$492,0)),"")</f>
        <v/>
      </c>
      <c r="C287" s="23" t="str">
        <f>IFERROR(INDEX('Output Utente'!$B$2:$B$492,MATCH(284,'Output Utente'!$R$2:$R$492,0)),"")</f>
        <v/>
      </c>
      <c r="D287" s="23" t="str">
        <f>IFERROR(INDEX('Output Utente'!$C$2:$C$492,MATCH(284,'Output Utente'!$R$2:$R$492,0)),"")</f>
        <v/>
      </c>
      <c r="E287" s="23" t="str">
        <f>IFERROR(INDEX('Input Giocatori 2026_27'!$D$3:$D$493,MATCH($B287,'Input Giocatori 2026_27'!$A$3:$A$493,0)),"")</f>
        <v/>
      </c>
      <c r="F287" s="24" t="str">
        <f>IFERROR(INDEX('Output Utente'!$N$2:$N$492,MATCH(284,'Output Utente'!$R$2:$R$492,0)),"")</f>
        <v/>
      </c>
      <c r="G287" s="23" t="str">
        <f>IFERROR(INDEX('Output Utente'!$O$2:$O$492,MATCH(284,'Output Utente'!$R$2:$R$492,0)),"")</f>
        <v/>
      </c>
      <c r="H287" s="23" t="str">
        <f>IFERROR(INDEX('Output Utente'!$P$2:$P$492,MATCH(284,'Output Utente'!$R$2:$R$492,0)),"")</f>
        <v/>
      </c>
      <c r="I287" s="24" t="str">
        <f>IFERROR(INDEX('Output Utente'!$F$2:$F$492,MATCH(284,'Output Utente'!$R$2:$R$492,0)),"")</f>
        <v/>
      </c>
      <c r="J287" s="24" t="str">
        <f>IFERROR(INDEX('Output Utente'!$G$2:$G$492,MATCH(284,'Output Utente'!$R$2:$R$492,0)),"")</f>
        <v/>
      </c>
      <c r="K287" s="24" t="str">
        <f>IFERROR(INDEX('Output Utente'!$H$2:$H$492,MATCH(284,'Output Utente'!$R$2:$R$492,0)),"")</f>
        <v/>
      </c>
      <c r="L287" s="23" t="str">
        <f>IFERROR(INDEX('Output Utente'!$E$2:$E$492,MATCH(284,'Output Utente'!$R$2:$R$492,0)),"")</f>
        <v/>
      </c>
      <c r="V287" t="str">
        <f>IFERROR(INDEX('Output Utente'!$M$2:$M$492,MATCH(284,'Output Utente'!$R$2:$R$492,0)),"")</f>
        <v/>
      </c>
      <c r="W287" t="str">
        <f t="shared" si="4"/>
        <v/>
      </c>
      <c r="X287" t="str">
        <f>IFERROR(INDEX('Output Utente'!$AF$2:$AF$492,MATCH(284,'Output Utente'!$R$2:$R$492,0)),"")</f>
        <v/>
      </c>
    </row>
    <row r="288" spans="1:24" ht="15" customHeight="1" x14ac:dyDescent="0.25">
      <c r="A288" s="26">
        <v>285</v>
      </c>
      <c r="B288" s="23" t="str">
        <f>IFERROR(INDEX('Output Utente'!$A$2:$A$492,MATCH(285,'Output Utente'!$R$2:$R$492,0)),"")</f>
        <v/>
      </c>
      <c r="C288" s="23" t="str">
        <f>IFERROR(INDEX('Output Utente'!$B$2:$B$492,MATCH(285,'Output Utente'!$R$2:$R$492,0)),"")</f>
        <v/>
      </c>
      <c r="D288" s="23" t="str">
        <f>IFERROR(INDEX('Output Utente'!$C$2:$C$492,MATCH(285,'Output Utente'!$R$2:$R$492,0)),"")</f>
        <v/>
      </c>
      <c r="E288" s="23" t="str">
        <f>IFERROR(INDEX('Input Giocatori 2026_27'!$D$3:$D$493,MATCH($B288,'Input Giocatori 2026_27'!$A$3:$A$493,0)),"")</f>
        <v/>
      </c>
      <c r="F288" s="24" t="str">
        <f>IFERROR(INDEX('Output Utente'!$N$2:$N$492,MATCH(285,'Output Utente'!$R$2:$R$492,0)),"")</f>
        <v/>
      </c>
      <c r="G288" s="23" t="str">
        <f>IFERROR(INDEX('Output Utente'!$O$2:$O$492,MATCH(285,'Output Utente'!$R$2:$R$492,0)),"")</f>
        <v/>
      </c>
      <c r="H288" s="23" t="str">
        <f>IFERROR(INDEX('Output Utente'!$P$2:$P$492,MATCH(285,'Output Utente'!$R$2:$R$492,0)),"")</f>
        <v/>
      </c>
      <c r="I288" s="24" t="str">
        <f>IFERROR(INDEX('Output Utente'!$F$2:$F$492,MATCH(285,'Output Utente'!$R$2:$R$492,0)),"")</f>
        <v/>
      </c>
      <c r="J288" s="24" t="str">
        <f>IFERROR(INDEX('Output Utente'!$G$2:$G$492,MATCH(285,'Output Utente'!$R$2:$R$492,0)),"")</f>
        <v/>
      </c>
      <c r="K288" s="24" t="str">
        <f>IFERROR(INDEX('Output Utente'!$H$2:$H$492,MATCH(285,'Output Utente'!$R$2:$R$492,0)),"")</f>
        <v/>
      </c>
      <c r="L288" s="23" t="str">
        <f>IFERROR(INDEX('Output Utente'!$E$2:$E$492,MATCH(285,'Output Utente'!$R$2:$R$492,0)),"")</f>
        <v/>
      </c>
      <c r="V288" t="str">
        <f>IFERROR(INDEX('Output Utente'!$M$2:$M$492,MATCH(285,'Output Utente'!$R$2:$R$492,0)),"")</f>
        <v/>
      </c>
      <c r="W288" t="str">
        <f t="shared" si="4"/>
        <v/>
      </c>
      <c r="X288" t="str">
        <f>IFERROR(INDEX('Output Utente'!$AF$2:$AF$492,MATCH(285,'Output Utente'!$R$2:$R$492,0)),"")</f>
        <v/>
      </c>
    </row>
    <row r="289" spans="1:24" ht="15" customHeight="1" x14ac:dyDescent="0.25">
      <c r="A289" s="26">
        <v>286</v>
      </c>
      <c r="B289" s="23" t="str">
        <f>IFERROR(INDEX('Output Utente'!$A$2:$A$492,MATCH(286,'Output Utente'!$R$2:$R$492,0)),"")</f>
        <v/>
      </c>
      <c r="C289" s="23" t="str">
        <f>IFERROR(INDEX('Output Utente'!$B$2:$B$492,MATCH(286,'Output Utente'!$R$2:$R$492,0)),"")</f>
        <v/>
      </c>
      <c r="D289" s="23" t="str">
        <f>IFERROR(INDEX('Output Utente'!$C$2:$C$492,MATCH(286,'Output Utente'!$R$2:$R$492,0)),"")</f>
        <v/>
      </c>
      <c r="E289" s="23" t="str">
        <f>IFERROR(INDEX('Input Giocatori 2026_27'!$D$3:$D$493,MATCH($B289,'Input Giocatori 2026_27'!$A$3:$A$493,0)),"")</f>
        <v/>
      </c>
      <c r="F289" s="24" t="str">
        <f>IFERROR(INDEX('Output Utente'!$N$2:$N$492,MATCH(286,'Output Utente'!$R$2:$R$492,0)),"")</f>
        <v/>
      </c>
      <c r="G289" s="23" t="str">
        <f>IFERROR(INDEX('Output Utente'!$O$2:$O$492,MATCH(286,'Output Utente'!$R$2:$R$492,0)),"")</f>
        <v/>
      </c>
      <c r="H289" s="23" t="str">
        <f>IFERROR(INDEX('Output Utente'!$P$2:$P$492,MATCH(286,'Output Utente'!$R$2:$R$492,0)),"")</f>
        <v/>
      </c>
      <c r="I289" s="24" t="str">
        <f>IFERROR(INDEX('Output Utente'!$F$2:$F$492,MATCH(286,'Output Utente'!$R$2:$R$492,0)),"")</f>
        <v/>
      </c>
      <c r="J289" s="24" t="str">
        <f>IFERROR(INDEX('Output Utente'!$G$2:$G$492,MATCH(286,'Output Utente'!$R$2:$R$492,0)),"")</f>
        <v/>
      </c>
      <c r="K289" s="24" t="str">
        <f>IFERROR(INDEX('Output Utente'!$H$2:$H$492,MATCH(286,'Output Utente'!$R$2:$R$492,0)),"")</f>
        <v/>
      </c>
      <c r="L289" s="23" t="str">
        <f>IFERROR(INDEX('Output Utente'!$E$2:$E$492,MATCH(286,'Output Utente'!$R$2:$R$492,0)),"")</f>
        <v/>
      </c>
      <c r="V289" t="str">
        <f>IFERROR(INDEX('Output Utente'!$M$2:$M$492,MATCH(286,'Output Utente'!$R$2:$R$492,0)),"")</f>
        <v/>
      </c>
      <c r="W289" t="str">
        <f t="shared" si="4"/>
        <v/>
      </c>
      <c r="X289" t="str">
        <f>IFERROR(INDEX('Output Utente'!$AF$2:$AF$492,MATCH(286,'Output Utente'!$R$2:$R$492,0)),"")</f>
        <v/>
      </c>
    </row>
    <row r="290" spans="1:24" ht="15" customHeight="1" x14ac:dyDescent="0.25">
      <c r="A290" s="26">
        <v>287</v>
      </c>
      <c r="B290" s="23" t="str">
        <f>IFERROR(INDEX('Output Utente'!$A$2:$A$492,MATCH(287,'Output Utente'!$R$2:$R$492,0)),"")</f>
        <v/>
      </c>
      <c r="C290" s="23" t="str">
        <f>IFERROR(INDEX('Output Utente'!$B$2:$B$492,MATCH(287,'Output Utente'!$R$2:$R$492,0)),"")</f>
        <v/>
      </c>
      <c r="D290" s="23" t="str">
        <f>IFERROR(INDEX('Output Utente'!$C$2:$C$492,MATCH(287,'Output Utente'!$R$2:$R$492,0)),"")</f>
        <v/>
      </c>
      <c r="E290" s="23" t="str">
        <f>IFERROR(INDEX('Input Giocatori 2026_27'!$D$3:$D$493,MATCH($B290,'Input Giocatori 2026_27'!$A$3:$A$493,0)),"")</f>
        <v/>
      </c>
      <c r="F290" s="24" t="str">
        <f>IFERROR(INDEX('Output Utente'!$N$2:$N$492,MATCH(287,'Output Utente'!$R$2:$R$492,0)),"")</f>
        <v/>
      </c>
      <c r="G290" s="23" t="str">
        <f>IFERROR(INDEX('Output Utente'!$O$2:$O$492,MATCH(287,'Output Utente'!$R$2:$R$492,0)),"")</f>
        <v/>
      </c>
      <c r="H290" s="23" t="str">
        <f>IFERROR(INDEX('Output Utente'!$P$2:$P$492,MATCH(287,'Output Utente'!$R$2:$R$492,0)),"")</f>
        <v/>
      </c>
      <c r="I290" s="24" t="str">
        <f>IFERROR(INDEX('Output Utente'!$F$2:$F$492,MATCH(287,'Output Utente'!$R$2:$R$492,0)),"")</f>
        <v/>
      </c>
      <c r="J290" s="24" t="str">
        <f>IFERROR(INDEX('Output Utente'!$G$2:$G$492,MATCH(287,'Output Utente'!$R$2:$R$492,0)),"")</f>
        <v/>
      </c>
      <c r="K290" s="24" t="str">
        <f>IFERROR(INDEX('Output Utente'!$H$2:$H$492,MATCH(287,'Output Utente'!$R$2:$R$492,0)),"")</f>
        <v/>
      </c>
      <c r="L290" s="23" t="str">
        <f>IFERROR(INDEX('Output Utente'!$E$2:$E$492,MATCH(287,'Output Utente'!$R$2:$R$492,0)),"")</f>
        <v/>
      </c>
      <c r="V290" t="str">
        <f>IFERROR(INDEX('Output Utente'!$M$2:$M$492,MATCH(287,'Output Utente'!$R$2:$R$492,0)),"")</f>
        <v/>
      </c>
      <c r="W290" t="str">
        <f t="shared" si="4"/>
        <v/>
      </c>
      <c r="X290" t="str">
        <f>IFERROR(INDEX('Output Utente'!$AF$2:$AF$492,MATCH(287,'Output Utente'!$R$2:$R$492,0)),"")</f>
        <v/>
      </c>
    </row>
    <row r="291" spans="1:24" ht="15" customHeight="1" x14ac:dyDescent="0.25">
      <c r="A291" s="26">
        <v>288</v>
      </c>
      <c r="B291" s="23" t="str">
        <f>IFERROR(INDEX('Output Utente'!$A$2:$A$492,MATCH(288,'Output Utente'!$R$2:$R$492,0)),"")</f>
        <v/>
      </c>
      <c r="C291" s="23" t="str">
        <f>IFERROR(INDEX('Output Utente'!$B$2:$B$492,MATCH(288,'Output Utente'!$R$2:$R$492,0)),"")</f>
        <v/>
      </c>
      <c r="D291" s="23" t="str">
        <f>IFERROR(INDEX('Output Utente'!$C$2:$C$492,MATCH(288,'Output Utente'!$R$2:$R$492,0)),"")</f>
        <v/>
      </c>
      <c r="E291" s="23" t="str">
        <f>IFERROR(INDEX('Input Giocatori 2026_27'!$D$3:$D$493,MATCH($B291,'Input Giocatori 2026_27'!$A$3:$A$493,0)),"")</f>
        <v/>
      </c>
      <c r="F291" s="24" t="str">
        <f>IFERROR(INDEX('Output Utente'!$N$2:$N$492,MATCH(288,'Output Utente'!$R$2:$R$492,0)),"")</f>
        <v/>
      </c>
      <c r="G291" s="23" t="str">
        <f>IFERROR(INDEX('Output Utente'!$O$2:$O$492,MATCH(288,'Output Utente'!$R$2:$R$492,0)),"")</f>
        <v/>
      </c>
      <c r="H291" s="23" t="str">
        <f>IFERROR(INDEX('Output Utente'!$P$2:$P$492,MATCH(288,'Output Utente'!$R$2:$R$492,0)),"")</f>
        <v/>
      </c>
      <c r="I291" s="24" t="str">
        <f>IFERROR(INDEX('Output Utente'!$F$2:$F$492,MATCH(288,'Output Utente'!$R$2:$R$492,0)),"")</f>
        <v/>
      </c>
      <c r="J291" s="24" t="str">
        <f>IFERROR(INDEX('Output Utente'!$G$2:$G$492,MATCH(288,'Output Utente'!$R$2:$R$492,0)),"")</f>
        <v/>
      </c>
      <c r="K291" s="24" t="str">
        <f>IFERROR(INDEX('Output Utente'!$H$2:$H$492,MATCH(288,'Output Utente'!$R$2:$R$492,0)),"")</f>
        <v/>
      </c>
      <c r="L291" s="23" t="str">
        <f>IFERROR(INDEX('Output Utente'!$E$2:$E$492,MATCH(288,'Output Utente'!$R$2:$R$492,0)),"")</f>
        <v/>
      </c>
      <c r="V291" t="str">
        <f>IFERROR(INDEX('Output Utente'!$M$2:$M$492,MATCH(288,'Output Utente'!$R$2:$R$492,0)),"")</f>
        <v/>
      </c>
      <c r="W291" t="str">
        <f t="shared" si="4"/>
        <v/>
      </c>
      <c r="X291" t="str">
        <f>IFERROR(INDEX('Output Utente'!$AF$2:$AF$492,MATCH(288,'Output Utente'!$R$2:$R$492,0)),"")</f>
        <v/>
      </c>
    </row>
    <row r="292" spans="1:24" ht="15" customHeight="1" x14ac:dyDescent="0.25">
      <c r="A292" s="26">
        <v>289</v>
      </c>
      <c r="B292" s="23" t="str">
        <f>IFERROR(INDEX('Output Utente'!$A$2:$A$492,MATCH(289,'Output Utente'!$R$2:$R$492,0)),"")</f>
        <v/>
      </c>
      <c r="C292" s="23" t="str">
        <f>IFERROR(INDEX('Output Utente'!$B$2:$B$492,MATCH(289,'Output Utente'!$R$2:$R$492,0)),"")</f>
        <v/>
      </c>
      <c r="D292" s="23" t="str">
        <f>IFERROR(INDEX('Output Utente'!$C$2:$C$492,MATCH(289,'Output Utente'!$R$2:$R$492,0)),"")</f>
        <v/>
      </c>
      <c r="E292" s="23" t="str">
        <f>IFERROR(INDEX('Input Giocatori 2026_27'!$D$3:$D$493,MATCH($B292,'Input Giocatori 2026_27'!$A$3:$A$493,0)),"")</f>
        <v/>
      </c>
      <c r="F292" s="24" t="str">
        <f>IFERROR(INDEX('Output Utente'!$N$2:$N$492,MATCH(289,'Output Utente'!$R$2:$R$492,0)),"")</f>
        <v/>
      </c>
      <c r="G292" s="23" t="str">
        <f>IFERROR(INDEX('Output Utente'!$O$2:$O$492,MATCH(289,'Output Utente'!$R$2:$R$492,0)),"")</f>
        <v/>
      </c>
      <c r="H292" s="23" t="str">
        <f>IFERROR(INDEX('Output Utente'!$P$2:$P$492,MATCH(289,'Output Utente'!$R$2:$R$492,0)),"")</f>
        <v/>
      </c>
      <c r="I292" s="24" t="str">
        <f>IFERROR(INDEX('Output Utente'!$F$2:$F$492,MATCH(289,'Output Utente'!$R$2:$R$492,0)),"")</f>
        <v/>
      </c>
      <c r="J292" s="24" t="str">
        <f>IFERROR(INDEX('Output Utente'!$G$2:$G$492,MATCH(289,'Output Utente'!$R$2:$R$492,0)),"")</f>
        <v/>
      </c>
      <c r="K292" s="24" t="str">
        <f>IFERROR(INDEX('Output Utente'!$H$2:$H$492,MATCH(289,'Output Utente'!$R$2:$R$492,0)),"")</f>
        <v/>
      </c>
      <c r="L292" s="23" t="str">
        <f>IFERROR(INDEX('Output Utente'!$E$2:$E$492,MATCH(289,'Output Utente'!$R$2:$R$492,0)),"")</f>
        <v/>
      </c>
      <c r="V292" t="str">
        <f>IFERROR(INDEX('Output Utente'!$M$2:$M$492,MATCH(289,'Output Utente'!$R$2:$R$492,0)),"")</f>
        <v/>
      </c>
      <c r="W292" t="str">
        <f t="shared" si="4"/>
        <v/>
      </c>
      <c r="X292" t="str">
        <f>IFERROR(INDEX('Output Utente'!$AF$2:$AF$492,MATCH(289,'Output Utente'!$R$2:$R$492,0)),"")</f>
        <v/>
      </c>
    </row>
    <row r="293" spans="1:24" ht="15" customHeight="1" x14ac:dyDescent="0.25">
      <c r="A293" s="26">
        <v>290</v>
      </c>
      <c r="B293" s="23" t="str">
        <f>IFERROR(INDEX('Output Utente'!$A$2:$A$492,MATCH(290,'Output Utente'!$R$2:$R$492,0)),"")</f>
        <v/>
      </c>
      <c r="C293" s="23" t="str">
        <f>IFERROR(INDEX('Output Utente'!$B$2:$B$492,MATCH(290,'Output Utente'!$R$2:$R$492,0)),"")</f>
        <v/>
      </c>
      <c r="D293" s="23" t="str">
        <f>IFERROR(INDEX('Output Utente'!$C$2:$C$492,MATCH(290,'Output Utente'!$R$2:$R$492,0)),"")</f>
        <v/>
      </c>
      <c r="E293" s="23" t="str">
        <f>IFERROR(INDEX('Input Giocatori 2026_27'!$D$3:$D$493,MATCH($B293,'Input Giocatori 2026_27'!$A$3:$A$493,0)),"")</f>
        <v/>
      </c>
      <c r="F293" s="24" t="str">
        <f>IFERROR(INDEX('Output Utente'!$N$2:$N$492,MATCH(290,'Output Utente'!$R$2:$R$492,0)),"")</f>
        <v/>
      </c>
      <c r="G293" s="23" t="str">
        <f>IFERROR(INDEX('Output Utente'!$O$2:$O$492,MATCH(290,'Output Utente'!$R$2:$R$492,0)),"")</f>
        <v/>
      </c>
      <c r="H293" s="23" t="str">
        <f>IFERROR(INDEX('Output Utente'!$P$2:$P$492,MATCH(290,'Output Utente'!$R$2:$R$492,0)),"")</f>
        <v/>
      </c>
      <c r="I293" s="24" t="str">
        <f>IFERROR(INDEX('Output Utente'!$F$2:$F$492,MATCH(290,'Output Utente'!$R$2:$R$492,0)),"")</f>
        <v/>
      </c>
      <c r="J293" s="24" t="str">
        <f>IFERROR(INDEX('Output Utente'!$G$2:$G$492,MATCH(290,'Output Utente'!$R$2:$R$492,0)),"")</f>
        <v/>
      </c>
      <c r="K293" s="24" t="str">
        <f>IFERROR(INDEX('Output Utente'!$H$2:$H$492,MATCH(290,'Output Utente'!$R$2:$R$492,0)),"")</f>
        <v/>
      </c>
      <c r="L293" s="23" t="str">
        <f>IFERROR(INDEX('Output Utente'!$E$2:$E$492,MATCH(290,'Output Utente'!$R$2:$R$492,0)),"")</f>
        <v/>
      </c>
      <c r="V293" t="str">
        <f>IFERROR(INDEX('Output Utente'!$M$2:$M$492,MATCH(290,'Output Utente'!$R$2:$R$492,0)),"")</f>
        <v/>
      </c>
      <c r="W293" t="str">
        <f t="shared" si="4"/>
        <v/>
      </c>
      <c r="X293" t="str">
        <f>IFERROR(INDEX('Output Utente'!$AF$2:$AF$492,MATCH(290,'Output Utente'!$R$2:$R$492,0)),"")</f>
        <v/>
      </c>
    </row>
    <row r="294" spans="1:24" ht="15" customHeight="1" x14ac:dyDescent="0.25">
      <c r="A294" s="26">
        <v>291</v>
      </c>
      <c r="B294" s="23" t="str">
        <f>IFERROR(INDEX('Output Utente'!$A$2:$A$492,MATCH(291,'Output Utente'!$R$2:$R$492,0)),"")</f>
        <v/>
      </c>
      <c r="C294" s="23" t="str">
        <f>IFERROR(INDEX('Output Utente'!$B$2:$B$492,MATCH(291,'Output Utente'!$R$2:$R$492,0)),"")</f>
        <v/>
      </c>
      <c r="D294" s="23" t="str">
        <f>IFERROR(INDEX('Output Utente'!$C$2:$C$492,MATCH(291,'Output Utente'!$R$2:$R$492,0)),"")</f>
        <v/>
      </c>
      <c r="E294" s="23" t="str">
        <f>IFERROR(INDEX('Input Giocatori 2026_27'!$D$3:$D$493,MATCH($B294,'Input Giocatori 2026_27'!$A$3:$A$493,0)),"")</f>
        <v/>
      </c>
      <c r="F294" s="24" t="str">
        <f>IFERROR(INDEX('Output Utente'!$N$2:$N$492,MATCH(291,'Output Utente'!$R$2:$R$492,0)),"")</f>
        <v/>
      </c>
      <c r="G294" s="23" t="str">
        <f>IFERROR(INDEX('Output Utente'!$O$2:$O$492,MATCH(291,'Output Utente'!$R$2:$R$492,0)),"")</f>
        <v/>
      </c>
      <c r="H294" s="23" t="str">
        <f>IFERROR(INDEX('Output Utente'!$P$2:$P$492,MATCH(291,'Output Utente'!$R$2:$R$492,0)),"")</f>
        <v/>
      </c>
      <c r="I294" s="24" t="str">
        <f>IFERROR(INDEX('Output Utente'!$F$2:$F$492,MATCH(291,'Output Utente'!$R$2:$R$492,0)),"")</f>
        <v/>
      </c>
      <c r="J294" s="24" t="str">
        <f>IFERROR(INDEX('Output Utente'!$G$2:$G$492,MATCH(291,'Output Utente'!$R$2:$R$492,0)),"")</f>
        <v/>
      </c>
      <c r="K294" s="24" t="str">
        <f>IFERROR(INDEX('Output Utente'!$H$2:$H$492,MATCH(291,'Output Utente'!$R$2:$R$492,0)),"")</f>
        <v/>
      </c>
      <c r="L294" s="23" t="str">
        <f>IFERROR(INDEX('Output Utente'!$E$2:$E$492,MATCH(291,'Output Utente'!$R$2:$R$492,0)),"")</f>
        <v/>
      </c>
      <c r="V294" t="str">
        <f>IFERROR(INDEX('Output Utente'!$M$2:$M$492,MATCH(291,'Output Utente'!$R$2:$R$492,0)),"")</f>
        <v/>
      </c>
      <c r="W294" t="str">
        <f t="shared" si="4"/>
        <v/>
      </c>
      <c r="X294" t="str">
        <f>IFERROR(INDEX('Output Utente'!$AF$2:$AF$492,MATCH(291,'Output Utente'!$R$2:$R$492,0)),"")</f>
        <v/>
      </c>
    </row>
    <row r="295" spans="1:24" ht="15" customHeight="1" x14ac:dyDescent="0.25">
      <c r="A295" s="26">
        <v>292</v>
      </c>
      <c r="B295" s="23" t="str">
        <f>IFERROR(INDEX('Output Utente'!$A$2:$A$492,MATCH(292,'Output Utente'!$R$2:$R$492,0)),"")</f>
        <v/>
      </c>
      <c r="C295" s="23" t="str">
        <f>IFERROR(INDEX('Output Utente'!$B$2:$B$492,MATCH(292,'Output Utente'!$R$2:$R$492,0)),"")</f>
        <v/>
      </c>
      <c r="D295" s="23" t="str">
        <f>IFERROR(INDEX('Output Utente'!$C$2:$C$492,MATCH(292,'Output Utente'!$R$2:$R$492,0)),"")</f>
        <v/>
      </c>
      <c r="E295" s="23" t="str">
        <f>IFERROR(INDEX('Input Giocatori 2026_27'!$D$3:$D$493,MATCH($B295,'Input Giocatori 2026_27'!$A$3:$A$493,0)),"")</f>
        <v/>
      </c>
      <c r="F295" s="24" t="str">
        <f>IFERROR(INDEX('Output Utente'!$N$2:$N$492,MATCH(292,'Output Utente'!$R$2:$R$492,0)),"")</f>
        <v/>
      </c>
      <c r="G295" s="23" t="str">
        <f>IFERROR(INDEX('Output Utente'!$O$2:$O$492,MATCH(292,'Output Utente'!$R$2:$R$492,0)),"")</f>
        <v/>
      </c>
      <c r="H295" s="23" t="str">
        <f>IFERROR(INDEX('Output Utente'!$P$2:$P$492,MATCH(292,'Output Utente'!$R$2:$R$492,0)),"")</f>
        <v/>
      </c>
      <c r="I295" s="24" t="str">
        <f>IFERROR(INDEX('Output Utente'!$F$2:$F$492,MATCH(292,'Output Utente'!$R$2:$R$492,0)),"")</f>
        <v/>
      </c>
      <c r="J295" s="24" t="str">
        <f>IFERROR(INDEX('Output Utente'!$G$2:$G$492,MATCH(292,'Output Utente'!$R$2:$R$492,0)),"")</f>
        <v/>
      </c>
      <c r="K295" s="24" t="str">
        <f>IFERROR(INDEX('Output Utente'!$H$2:$H$492,MATCH(292,'Output Utente'!$R$2:$R$492,0)),"")</f>
        <v/>
      </c>
      <c r="L295" s="23" t="str">
        <f>IFERROR(INDEX('Output Utente'!$E$2:$E$492,MATCH(292,'Output Utente'!$R$2:$R$492,0)),"")</f>
        <v/>
      </c>
      <c r="V295" t="str">
        <f>IFERROR(INDEX('Output Utente'!$M$2:$M$492,MATCH(292,'Output Utente'!$R$2:$R$492,0)),"")</f>
        <v/>
      </c>
      <c r="W295" t="str">
        <f t="shared" si="4"/>
        <v/>
      </c>
      <c r="X295" t="str">
        <f>IFERROR(INDEX('Output Utente'!$AF$2:$AF$492,MATCH(292,'Output Utente'!$R$2:$R$492,0)),"")</f>
        <v/>
      </c>
    </row>
    <row r="296" spans="1:24" ht="15" customHeight="1" x14ac:dyDescent="0.25">
      <c r="A296" s="26">
        <v>293</v>
      </c>
      <c r="B296" s="23" t="str">
        <f>IFERROR(INDEX('Output Utente'!$A$2:$A$492,MATCH(293,'Output Utente'!$R$2:$R$492,0)),"")</f>
        <v/>
      </c>
      <c r="C296" s="23" t="str">
        <f>IFERROR(INDEX('Output Utente'!$B$2:$B$492,MATCH(293,'Output Utente'!$R$2:$R$492,0)),"")</f>
        <v/>
      </c>
      <c r="D296" s="23" t="str">
        <f>IFERROR(INDEX('Output Utente'!$C$2:$C$492,MATCH(293,'Output Utente'!$R$2:$R$492,0)),"")</f>
        <v/>
      </c>
      <c r="E296" s="23" t="str">
        <f>IFERROR(INDEX('Input Giocatori 2026_27'!$D$3:$D$493,MATCH($B296,'Input Giocatori 2026_27'!$A$3:$A$493,0)),"")</f>
        <v/>
      </c>
      <c r="F296" s="24" t="str">
        <f>IFERROR(INDEX('Output Utente'!$N$2:$N$492,MATCH(293,'Output Utente'!$R$2:$R$492,0)),"")</f>
        <v/>
      </c>
      <c r="G296" s="23" t="str">
        <f>IFERROR(INDEX('Output Utente'!$O$2:$O$492,MATCH(293,'Output Utente'!$R$2:$R$492,0)),"")</f>
        <v/>
      </c>
      <c r="H296" s="23" t="str">
        <f>IFERROR(INDEX('Output Utente'!$P$2:$P$492,MATCH(293,'Output Utente'!$R$2:$R$492,0)),"")</f>
        <v/>
      </c>
      <c r="I296" s="24" t="str">
        <f>IFERROR(INDEX('Output Utente'!$F$2:$F$492,MATCH(293,'Output Utente'!$R$2:$R$492,0)),"")</f>
        <v/>
      </c>
      <c r="J296" s="24" t="str">
        <f>IFERROR(INDEX('Output Utente'!$G$2:$G$492,MATCH(293,'Output Utente'!$R$2:$R$492,0)),"")</f>
        <v/>
      </c>
      <c r="K296" s="24" t="str">
        <f>IFERROR(INDEX('Output Utente'!$H$2:$H$492,MATCH(293,'Output Utente'!$R$2:$R$492,0)),"")</f>
        <v/>
      </c>
      <c r="L296" s="23" t="str">
        <f>IFERROR(INDEX('Output Utente'!$E$2:$E$492,MATCH(293,'Output Utente'!$R$2:$R$492,0)),"")</f>
        <v/>
      </c>
      <c r="V296" t="str">
        <f>IFERROR(INDEX('Output Utente'!$M$2:$M$492,MATCH(293,'Output Utente'!$R$2:$R$492,0)),"")</f>
        <v/>
      </c>
      <c r="W296" t="str">
        <f t="shared" si="4"/>
        <v/>
      </c>
      <c r="X296" t="str">
        <f>IFERROR(INDEX('Output Utente'!$AF$2:$AF$492,MATCH(293,'Output Utente'!$R$2:$R$492,0)),"")</f>
        <v/>
      </c>
    </row>
    <row r="297" spans="1:24" ht="15" customHeight="1" x14ac:dyDescent="0.25">
      <c r="A297" s="26">
        <v>294</v>
      </c>
      <c r="B297" s="23" t="str">
        <f>IFERROR(INDEX('Output Utente'!$A$2:$A$492,MATCH(294,'Output Utente'!$R$2:$R$492,0)),"")</f>
        <v/>
      </c>
      <c r="C297" s="23" t="str">
        <f>IFERROR(INDEX('Output Utente'!$B$2:$B$492,MATCH(294,'Output Utente'!$R$2:$R$492,0)),"")</f>
        <v/>
      </c>
      <c r="D297" s="23" t="str">
        <f>IFERROR(INDEX('Output Utente'!$C$2:$C$492,MATCH(294,'Output Utente'!$R$2:$R$492,0)),"")</f>
        <v/>
      </c>
      <c r="E297" s="23" t="str">
        <f>IFERROR(INDEX('Input Giocatori 2026_27'!$D$3:$D$493,MATCH($B297,'Input Giocatori 2026_27'!$A$3:$A$493,0)),"")</f>
        <v/>
      </c>
      <c r="F297" s="24" t="str">
        <f>IFERROR(INDEX('Output Utente'!$N$2:$N$492,MATCH(294,'Output Utente'!$R$2:$R$492,0)),"")</f>
        <v/>
      </c>
      <c r="G297" s="23" t="str">
        <f>IFERROR(INDEX('Output Utente'!$O$2:$O$492,MATCH(294,'Output Utente'!$R$2:$R$492,0)),"")</f>
        <v/>
      </c>
      <c r="H297" s="23" t="str">
        <f>IFERROR(INDEX('Output Utente'!$P$2:$P$492,MATCH(294,'Output Utente'!$R$2:$R$492,0)),"")</f>
        <v/>
      </c>
      <c r="I297" s="24" t="str">
        <f>IFERROR(INDEX('Output Utente'!$F$2:$F$492,MATCH(294,'Output Utente'!$R$2:$R$492,0)),"")</f>
        <v/>
      </c>
      <c r="J297" s="24" t="str">
        <f>IFERROR(INDEX('Output Utente'!$G$2:$G$492,MATCH(294,'Output Utente'!$R$2:$R$492,0)),"")</f>
        <v/>
      </c>
      <c r="K297" s="24" t="str">
        <f>IFERROR(INDEX('Output Utente'!$H$2:$H$492,MATCH(294,'Output Utente'!$R$2:$R$492,0)),"")</f>
        <v/>
      </c>
      <c r="L297" s="23" t="str">
        <f>IFERROR(INDEX('Output Utente'!$E$2:$E$492,MATCH(294,'Output Utente'!$R$2:$R$492,0)),"")</f>
        <v/>
      </c>
      <c r="V297" t="str">
        <f>IFERROR(INDEX('Output Utente'!$M$2:$M$492,MATCH(294,'Output Utente'!$R$2:$R$492,0)),"")</f>
        <v/>
      </c>
      <c r="W297" t="str">
        <f t="shared" si="4"/>
        <v/>
      </c>
      <c r="X297" t="str">
        <f>IFERROR(INDEX('Output Utente'!$AF$2:$AF$492,MATCH(294,'Output Utente'!$R$2:$R$492,0)),"")</f>
        <v/>
      </c>
    </row>
    <row r="298" spans="1:24" ht="15" customHeight="1" x14ac:dyDescent="0.25">
      <c r="A298" s="26">
        <v>295</v>
      </c>
      <c r="B298" s="23" t="str">
        <f>IFERROR(INDEX('Output Utente'!$A$2:$A$492,MATCH(295,'Output Utente'!$R$2:$R$492,0)),"")</f>
        <v/>
      </c>
      <c r="C298" s="23" t="str">
        <f>IFERROR(INDEX('Output Utente'!$B$2:$B$492,MATCH(295,'Output Utente'!$R$2:$R$492,0)),"")</f>
        <v/>
      </c>
      <c r="D298" s="23" t="str">
        <f>IFERROR(INDEX('Output Utente'!$C$2:$C$492,MATCH(295,'Output Utente'!$R$2:$R$492,0)),"")</f>
        <v/>
      </c>
      <c r="E298" s="23" t="str">
        <f>IFERROR(INDEX('Input Giocatori 2026_27'!$D$3:$D$493,MATCH($B298,'Input Giocatori 2026_27'!$A$3:$A$493,0)),"")</f>
        <v/>
      </c>
      <c r="F298" s="24" t="str">
        <f>IFERROR(INDEX('Output Utente'!$N$2:$N$492,MATCH(295,'Output Utente'!$R$2:$R$492,0)),"")</f>
        <v/>
      </c>
      <c r="G298" s="23" t="str">
        <f>IFERROR(INDEX('Output Utente'!$O$2:$O$492,MATCH(295,'Output Utente'!$R$2:$R$492,0)),"")</f>
        <v/>
      </c>
      <c r="H298" s="23" t="str">
        <f>IFERROR(INDEX('Output Utente'!$P$2:$P$492,MATCH(295,'Output Utente'!$R$2:$R$492,0)),"")</f>
        <v/>
      </c>
      <c r="I298" s="24" t="str">
        <f>IFERROR(INDEX('Output Utente'!$F$2:$F$492,MATCH(295,'Output Utente'!$R$2:$R$492,0)),"")</f>
        <v/>
      </c>
      <c r="J298" s="24" t="str">
        <f>IFERROR(INDEX('Output Utente'!$G$2:$G$492,MATCH(295,'Output Utente'!$R$2:$R$492,0)),"")</f>
        <v/>
      </c>
      <c r="K298" s="24" t="str">
        <f>IFERROR(INDEX('Output Utente'!$H$2:$H$492,MATCH(295,'Output Utente'!$R$2:$R$492,0)),"")</f>
        <v/>
      </c>
      <c r="L298" s="23" t="str">
        <f>IFERROR(INDEX('Output Utente'!$E$2:$E$492,MATCH(295,'Output Utente'!$R$2:$R$492,0)),"")</f>
        <v/>
      </c>
      <c r="V298" t="str">
        <f>IFERROR(INDEX('Output Utente'!$M$2:$M$492,MATCH(295,'Output Utente'!$R$2:$R$492,0)),"")</f>
        <v/>
      </c>
      <c r="W298" t="str">
        <f t="shared" si="4"/>
        <v/>
      </c>
      <c r="X298" t="str">
        <f>IFERROR(INDEX('Output Utente'!$AF$2:$AF$492,MATCH(295,'Output Utente'!$R$2:$R$492,0)),"")</f>
        <v/>
      </c>
    </row>
    <row r="299" spans="1:24" ht="15" customHeight="1" x14ac:dyDescent="0.25">
      <c r="A299" s="26">
        <v>296</v>
      </c>
      <c r="B299" s="23" t="str">
        <f>IFERROR(INDEX('Output Utente'!$A$2:$A$492,MATCH(296,'Output Utente'!$R$2:$R$492,0)),"")</f>
        <v/>
      </c>
      <c r="C299" s="23" t="str">
        <f>IFERROR(INDEX('Output Utente'!$B$2:$B$492,MATCH(296,'Output Utente'!$R$2:$R$492,0)),"")</f>
        <v/>
      </c>
      <c r="D299" s="23" t="str">
        <f>IFERROR(INDEX('Output Utente'!$C$2:$C$492,MATCH(296,'Output Utente'!$R$2:$R$492,0)),"")</f>
        <v/>
      </c>
      <c r="E299" s="23" t="str">
        <f>IFERROR(INDEX('Input Giocatori 2026_27'!$D$3:$D$493,MATCH($B299,'Input Giocatori 2026_27'!$A$3:$A$493,0)),"")</f>
        <v/>
      </c>
      <c r="F299" s="24" t="str">
        <f>IFERROR(INDEX('Output Utente'!$N$2:$N$492,MATCH(296,'Output Utente'!$R$2:$R$492,0)),"")</f>
        <v/>
      </c>
      <c r="G299" s="23" t="str">
        <f>IFERROR(INDEX('Output Utente'!$O$2:$O$492,MATCH(296,'Output Utente'!$R$2:$R$492,0)),"")</f>
        <v/>
      </c>
      <c r="H299" s="23" t="str">
        <f>IFERROR(INDEX('Output Utente'!$P$2:$P$492,MATCH(296,'Output Utente'!$R$2:$R$492,0)),"")</f>
        <v/>
      </c>
      <c r="I299" s="24" t="str">
        <f>IFERROR(INDEX('Output Utente'!$F$2:$F$492,MATCH(296,'Output Utente'!$R$2:$R$492,0)),"")</f>
        <v/>
      </c>
      <c r="J299" s="24" t="str">
        <f>IFERROR(INDEX('Output Utente'!$G$2:$G$492,MATCH(296,'Output Utente'!$R$2:$R$492,0)),"")</f>
        <v/>
      </c>
      <c r="K299" s="24" t="str">
        <f>IFERROR(INDEX('Output Utente'!$H$2:$H$492,MATCH(296,'Output Utente'!$R$2:$R$492,0)),"")</f>
        <v/>
      </c>
      <c r="L299" s="23" t="str">
        <f>IFERROR(INDEX('Output Utente'!$E$2:$E$492,MATCH(296,'Output Utente'!$R$2:$R$492,0)),"")</f>
        <v/>
      </c>
      <c r="V299" t="str">
        <f>IFERROR(INDEX('Output Utente'!$M$2:$M$492,MATCH(296,'Output Utente'!$R$2:$R$492,0)),"")</f>
        <v/>
      </c>
      <c r="W299" t="str">
        <f t="shared" si="4"/>
        <v/>
      </c>
      <c r="X299" t="str">
        <f>IFERROR(INDEX('Output Utente'!$AF$2:$AF$492,MATCH(296,'Output Utente'!$R$2:$R$492,0)),"")</f>
        <v/>
      </c>
    </row>
    <row r="300" spans="1:24" ht="15" customHeight="1" x14ac:dyDescent="0.25">
      <c r="A300" s="26">
        <v>297</v>
      </c>
      <c r="B300" s="23" t="str">
        <f>IFERROR(INDEX('Output Utente'!$A$2:$A$492,MATCH(297,'Output Utente'!$R$2:$R$492,0)),"")</f>
        <v/>
      </c>
      <c r="C300" s="23" t="str">
        <f>IFERROR(INDEX('Output Utente'!$B$2:$B$492,MATCH(297,'Output Utente'!$R$2:$R$492,0)),"")</f>
        <v/>
      </c>
      <c r="D300" s="23" t="str">
        <f>IFERROR(INDEX('Output Utente'!$C$2:$C$492,MATCH(297,'Output Utente'!$R$2:$R$492,0)),"")</f>
        <v/>
      </c>
      <c r="E300" s="23" t="str">
        <f>IFERROR(INDEX('Input Giocatori 2026_27'!$D$3:$D$493,MATCH($B300,'Input Giocatori 2026_27'!$A$3:$A$493,0)),"")</f>
        <v/>
      </c>
      <c r="F300" s="24" t="str">
        <f>IFERROR(INDEX('Output Utente'!$N$2:$N$492,MATCH(297,'Output Utente'!$R$2:$R$492,0)),"")</f>
        <v/>
      </c>
      <c r="G300" s="23" t="str">
        <f>IFERROR(INDEX('Output Utente'!$O$2:$O$492,MATCH(297,'Output Utente'!$R$2:$R$492,0)),"")</f>
        <v/>
      </c>
      <c r="H300" s="23" t="str">
        <f>IFERROR(INDEX('Output Utente'!$P$2:$P$492,MATCH(297,'Output Utente'!$R$2:$R$492,0)),"")</f>
        <v/>
      </c>
      <c r="I300" s="24" t="str">
        <f>IFERROR(INDEX('Output Utente'!$F$2:$F$492,MATCH(297,'Output Utente'!$R$2:$R$492,0)),"")</f>
        <v/>
      </c>
      <c r="J300" s="24" t="str">
        <f>IFERROR(INDEX('Output Utente'!$G$2:$G$492,MATCH(297,'Output Utente'!$R$2:$R$492,0)),"")</f>
        <v/>
      </c>
      <c r="K300" s="24" t="str">
        <f>IFERROR(INDEX('Output Utente'!$H$2:$H$492,MATCH(297,'Output Utente'!$R$2:$R$492,0)),"")</f>
        <v/>
      </c>
      <c r="L300" s="23" t="str">
        <f>IFERROR(INDEX('Output Utente'!$E$2:$E$492,MATCH(297,'Output Utente'!$R$2:$R$492,0)),"")</f>
        <v/>
      </c>
      <c r="V300" t="str">
        <f>IFERROR(INDEX('Output Utente'!$M$2:$M$492,MATCH(297,'Output Utente'!$R$2:$R$492,0)),"")</f>
        <v/>
      </c>
      <c r="W300" t="str">
        <f t="shared" si="4"/>
        <v/>
      </c>
      <c r="X300" t="str">
        <f>IFERROR(INDEX('Output Utente'!$AF$2:$AF$492,MATCH(297,'Output Utente'!$R$2:$R$492,0)),"")</f>
        <v/>
      </c>
    </row>
    <row r="301" spans="1:24" ht="15" customHeight="1" x14ac:dyDescent="0.25">
      <c r="A301" s="26">
        <v>298</v>
      </c>
      <c r="B301" s="23" t="str">
        <f>IFERROR(INDEX('Output Utente'!$A$2:$A$492,MATCH(298,'Output Utente'!$R$2:$R$492,0)),"")</f>
        <v/>
      </c>
      <c r="C301" s="23" t="str">
        <f>IFERROR(INDEX('Output Utente'!$B$2:$B$492,MATCH(298,'Output Utente'!$R$2:$R$492,0)),"")</f>
        <v/>
      </c>
      <c r="D301" s="23" t="str">
        <f>IFERROR(INDEX('Output Utente'!$C$2:$C$492,MATCH(298,'Output Utente'!$R$2:$R$492,0)),"")</f>
        <v/>
      </c>
      <c r="E301" s="23" t="str">
        <f>IFERROR(INDEX('Input Giocatori 2026_27'!$D$3:$D$493,MATCH($B301,'Input Giocatori 2026_27'!$A$3:$A$493,0)),"")</f>
        <v/>
      </c>
      <c r="F301" s="24" t="str">
        <f>IFERROR(INDEX('Output Utente'!$N$2:$N$492,MATCH(298,'Output Utente'!$R$2:$R$492,0)),"")</f>
        <v/>
      </c>
      <c r="G301" s="23" t="str">
        <f>IFERROR(INDEX('Output Utente'!$O$2:$O$492,MATCH(298,'Output Utente'!$R$2:$R$492,0)),"")</f>
        <v/>
      </c>
      <c r="H301" s="23" t="str">
        <f>IFERROR(INDEX('Output Utente'!$P$2:$P$492,MATCH(298,'Output Utente'!$R$2:$R$492,0)),"")</f>
        <v/>
      </c>
      <c r="I301" s="24" t="str">
        <f>IFERROR(INDEX('Output Utente'!$F$2:$F$492,MATCH(298,'Output Utente'!$R$2:$R$492,0)),"")</f>
        <v/>
      </c>
      <c r="J301" s="24" t="str">
        <f>IFERROR(INDEX('Output Utente'!$G$2:$G$492,MATCH(298,'Output Utente'!$R$2:$R$492,0)),"")</f>
        <v/>
      </c>
      <c r="K301" s="24" t="str">
        <f>IFERROR(INDEX('Output Utente'!$H$2:$H$492,MATCH(298,'Output Utente'!$R$2:$R$492,0)),"")</f>
        <v/>
      </c>
      <c r="L301" s="23" t="str">
        <f>IFERROR(INDEX('Output Utente'!$E$2:$E$492,MATCH(298,'Output Utente'!$R$2:$R$492,0)),"")</f>
        <v/>
      </c>
      <c r="V301" t="str">
        <f>IFERROR(INDEX('Output Utente'!$M$2:$M$492,MATCH(298,'Output Utente'!$R$2:$R$492,0)),"")</f>
        <v/>
      </c>
      <c r="W301" t="str">
        <f t="shared" si="4"/>
        <v/>
      </c>
      <c r="X301" t="str">
        <f>IFERROR(INDEX('Output Utente'!$AF$2:$AF$492,MATCH(298,'Output Utente'!$R$2:$R$492,0)),"")</f>
        <v/>
      </c>
    </row>
    <row r="302" spans="1:24" ht="15" customHeight="1" x14ac:dyDescent="0.25">
      <c r="A302" s="26">
        <v>299</v>
      </c>
      <c r="B302" s="23" t="str">
        <f>IFERROR(INDEX('Output Utente'!$A$2:$A$492,MATCH(299,'Output Utente'!$R$2:$R$492,0)),"")</f>
        <v/>
      </c>
      <c r="C302" s="23" t="str">
        <f>IFERROR(INDEX('Output Utente'!$B$2:$B$492,MATCH(299,'Output Utente'!$R$2:$R$492,0)),"")</f>
        <v/>
      </c>
      <c r="D302" s="23" t="str">
        <f>IFERROR(INDEX('Output Utente'!$C$2:$C$492,MATCH(299,'Output Utente'!$R$2:$R$492,0)),"")</f>
        <v/>
      </c>
      <c r="E302" s="23" t="str">
        <f>IFERROR(INDEX('Input Giocatori 2026_27'!$D$3:$D$493,MATCH($B302,'Input Giocatori 2026_27'!$A$3:$A$493,0)),"")</f>
        <v/>
      </c>
      <c r="F302" s="24" t="str">
        <f>IFERROR(INDEX('Output Utente'!$N$2:$N$492,MATCH(299,'Output Utente'!$R$2:$R$492,0)),"")</f>
        <v/>
      </c>
      <c r="G302" s="23" t="str">
        <f>IFERROR(INDEX('Output Utente'!$O$2:$O$492,MATCH(299,'Output Utente'!$R$2:$R$492,0)),"")</f>
        <v/>
      </c>
      <c r="H302" s="23" t="str">
        <f>IFERROR(INDEX('Output Utente'!$P$2:$P$492,MATCH(299,'Output Utente'!$R$2:$R$492,0)),"")</f>
        <v/>
      </c>
      <c r="I302" s="24" t="str">
        <f>IFERROR(INDEX('Output Utente'!$F$2:$F$492,MATCH(299,'Output Utente'!$R$2:$R$492,0)),"")</f>
        <v/>
      </c>
      <c r="J302" s="24" t="str">
        <f>IFERROR(INDEX('Output Utente'!$G$2:$G$492,MATCH(299,'Output Utente'!$R$2:$R$492,0)),"")</f>
        <v/>
      </c>
      <c r="K302" s="24" t="str">
        <f>IFERROR(INDEX('Output Utente'!$H$2:$H$492,MATCH(299,'Output Utente'!$R$2:$R$492,0)),"")</f>
        <v/>
      </c>
      <c r="L302" s="23" t="str">
        <f>IFERROR(INDEX('Output Utente'!$E$2:$E$492,MATCH(299,'Output Utente'!$R$2:$R$492,0)),"")</f>
        <v/>
      </c>
      <c r="V302" t="str">
        <f>IFERROR(INDEX('Output Utente'!$M$2:$M$492,MATCH(299,'Output Utente'!$R$2:$R$492,0)),"")</f>
        <v/>
      </c>
      <c r="W302" t="str">
        <f t="shared" si="4"/>
        <v/>
      </c>
      <c r="X302" t="str">
        <f>IFERROR(INDEX('Output Utente'!$AF$2:$AF$492,MATCH(299,'Output Utente'!$R$2:$R$492,0)),"")</f>
        <v/>
      </c>
    </row>
    <row r="303" spans="1:24" ht="15" customHeight="1" x14ac:dyDescent="0.25">
      <c r="A303" s="26">
        <v>300</v>
      </c>
      <c r="B303" s="23" t="str">
        <f>IFERROR(INDEX('Output Utente'!$A$2:$A$492,MATCH(300,'Output Utente'!$R$2:$R$492,0)),"")</f>
        <v/>
      </c>
      <c r="C303" s="23" t="str">
        <f>IFERROR(INDEX('Output Utente'!$B$2:$B$492,MATCH(300,'Output Utente'!$R$2:$R$492,0)),"")</f>
        <v/>
      </c>
      <c r="D303" s="23" t="str">
        <f>IFERROR(INDEX('Output Utente'!$C$2:$C$492,MATCH(300,'Output Utente'!$R$2:$R$492,0)),"")</f>
        <v/>
      </c>
      <c r="E303" s="23" t="str">
        <f>IFERROR(INDEX('Input Giocatori 2026_27'!$D$3:$D$493,MATCH($B303,'Input Giocatori 2026_27'!$A$3:$A$493,0)),"")</f>
        <v/>
      </c>
      <c r="F303" s="24" t="str">
        <f>IFERROR(INDEX('Output Utente'!$N$2:$N$492,MATCH(300,'Output Utente'!$R$2:$R$492,0)),"")</f>
        <v/>
      </c>
      <c r="G303" s="23" t="str">
        <f>IFERROR(INDEX('Output Utente'!$O$2:$O$492,MATCH(300,'Output Utente'!$R$2:$R$492,0)),"")</f>
        <v/>
      </c>
      <c r="H303" s="23" t="str">
        <f>IFERROR(INDEX('Output Utente'!$P$2:$P$492,MATCH(300,'Output Utente'!$R$2:$R$492,0)),"")</f>
        <v/>
      </c>
      <c r="I303" s="24" t="str">
        <f>IFERROR(INDEX('Output Utente'!$F$2:$F$492,MATCH(300,'Output Utente'!$R$2:$R$492,0)),"")</f>
        <v/>
      </c>
      <c r="J303" s="24" t="str">
        <f>IFERROR(INDEX('Output Utente'!$G$2:$G$492,MATCH(300,'Output Utente'!$R$2:$R$492,0)),"")</f>
        <v/>
      </c>
      <c r="K303" s="24" t="str">
        <f>IFERROR(INDEX('Output Utente'!$H$2:$H$492,MATCH(300,'Output Utente'!$R$2:$R$492,0)),"")</f>
        <v/>
      </c>
      <c r="L303" s="23" t="str">
        <f>IFERROR(INDEX('Output Utente'!$E$2:$E$492,MATCH(300,'Output Utente'!$R$2:$R$492,0)),"")</f>
        <v/>
      </c>
      <c r="V303" t="str">
        <f>IFERROR(INDEX('Output Utente'!$M$2:$M$492,MATCH(300,'Output Utente'!$R$2:$R$492,0)),"")</f>
        <v/>
      </c>
      <c r="W303" t="str">
        <f t="shared" si="4"/>
        <v/>
      </c>
      <c r="X303" t="str">
        <f>IFERROR(INDEX('Output Utente'!$AF$2:$AF$492,MATCH(300,'Output Utente'!$R$2:$R$492,0)),"")</f>
        <v/>
      </c>
    </row>
    <row r="304" spans="1:24" ht="15" customHeight="1" x14ac:dyDescent="0.25">
      <c r="A304" s="26">
        <v>301</v>
      </c>
      <c r="B304" s="23" t="str">
        <f>IFERROR(INDEX('Output Utente'!$A$2:$A$492,MATCH(301,'Output Utente'!$R$2:$R$492,0)),"")</f>
        <v/>
      </c>
      <c r="C304" s="23" t="str">
        <f>IFERROR(INDEX('Output Utente'!$B$2:$B$492,MATCH(301,'Output Utente'!$R$2:$R$492,0)),"")</f>
        <v/>
      </c>
      <c r="D304" s="23" t="str">
        <f>IFERROR(INDEX('Output Utente'!$C$2:$C$492,MATCH(301,'Output Utente'!$R$2:$R$492,0)),"")</f>
        <v/>
      </c>
      <c r="E304" s="23" t="str">
        <f>IFERROR(INDEX('Input Giocatori 2026_27'!$D$3:$D$493,MATCH($B304,'Input Giocatori 2026_27'!$A$3:$A$493,0)),"")</f>
        <v/>
      </c>
      <c r="F304" s="24" t="str">
        <f>IFERROR(INDEX('Output Utente'!$N$2:$N$492,MATCH(301,'Output Utente'!$R$2:$R$492,0)),"")</f>
        <v/>
      </c>
      <c r="G304" s="23" t="str">
        <f>IFERROR(INDEX('Output Utente'!$O$2:$O$492,MATCH(301,'Output Utente'!$R$2:$R$492,0)),"")</f>
        <v/>
      </c>
      <c r="H304" s="23" t="str">
        <f>IFERROR(INDEX('Output Utente'!$P$2:$P$492,MATCH(301,'Output Utente'!$R$2:$R$492,0)),"")</f>
        <v/>
      </c>
      <c r="I304" s="24" t="str">
        <f>IFERROR(INDEX('Output Utente'!$F$2:$F$492,MATCH(301,'Output Utente'!$R$2:$R$492,0)),"")</f>
        <v/>
      </c>
      <c r="J304" s="24" t="str">
        <f>IFERROR(INDEX('Output Utente'!$G$2:$G$492,MATCH(301,'Output Utente'!$R$2:$R$492,0)),"")</f>
        <v/>
      </c>
      <c r="K304" s="24" t="str">
        <f>IFERROR(INDEX('Output Utente'!$H$2:$H$492,MATCH(301,'Output Utente'!$R$2:$R$492,0)),"")</f>
        <v/>
      </c>
      <c r="L304" s="23" t="str">
        <f>IFERROR(INDEX('Output Utente'!$E$2:$E$492,MATCH(301,'Output Utente'!$R$2:$R$492,0)),"")</f>
        <v/>
      </c>
      <c r="V304" t="str">
        <f>IFERROR(INDEX('Output Utente'!$M$2:$M$492,MATCH(301,'Output Utente'!$R$2:$R$492,0)),"")</f>
        <v/>
      </c>
      <c r="W304" t="str">
        <f t="shared" si="4"/>
        <v/>
      </c>
      <c r="X304" t="str">
        <f>IFERROR(INDEX('Output Utente'!$AF$2:$AF$492,MATCH(301,'Output Utente'!$R$2:$R$492,0)),"")</f>
        <v/>
      </c>
    </row>
    <row r="305" spans="1:24" ht="15" customHeight="1" x14ac:dyDescent="0.25">
      <c r="A305" s="26">
        <v>302</v>
      </c>
      <c r="B305" s="23" t="str">
        <f>IFERROR(INDEX('Output Utente'!$A$2:$A$492,MATCH(302,'Output Utente'!$R$2:$R$492,0)),"")</f>
        <v/>
      </c>
      <c r="C305" s="23" t="str">
        <f>IFERROR(INDEX('Output Utente'!$B$2:$B$492,MATCH(302,'Output Utente'!$R$2:$R$492,0)),"")</f>
        <v/>
      </c>
      <c r="D305" s="23" t="str">
        <f>IFERROR(INDEX('Output Utente'!$C$2:$C$492,MATCH(302,'Output Utente'!$R$2:$R$492,0)),"")</f>
        <v/>
      </c>
      <c r="E305" s="23" t="str">
        <f>IFERROR(INDEX('Input Giocatori 2026_27'!$D$3:$D$493,MATCH($B305,'Input Giocatori 2026_27'!$A$3:$A$493,0)),"")</f>
        <v/>
      </c>
      <c r="F305" s="24" t="str">
        <f>IFERROR(INDEX('Output Utente'!$N$2:$N$492,MATCH(302,'Output Utente'!$R$2:$R$492,0)),"")</f>
        <v/>
      </c>
      <c r="G305" s="23" t="str">
        <f>IFERROR(INDEX('Output Utente'!$O$2:$O$492,MATCH(302,'Output Utente'!$R$2:$R$492,0)),"")</f>
        <v/>
      </c>
      <c r="H305" s="23" t="str">
        <f>IFERROR(INDEX('Output Utente'!$P$2:$P$492,MATCH(302,'Output Utente'!$R$2:$R$492,0)),"")</f>
        <v/>
      </c>
      <c r="I305" s="24" t="str">
        <f>IFERROR(INDEX('Output Utente'!$F$2:$F$492,MATCH(302,'Output Utente'!$R$2:$R$492,0)),"")</f>
        <v/>
      </c>
      <c r="J305" s="24" t="str">
        <f>IFERROR(INDEX('Output Utente'!$G$2:$G$492,MATCH(302,'Output Utente'!$R$2:$R$492,0)),"")</f>
        <v/>
      </c>
      <c r="K305" s="24" t="str">
        <f>IFERROR(INDEX('Output Utente'!$H$2:$H$492,MATCH(302,'Output Utente'!$R$2:$R$492,0)),"")</f>
        <v/>
      </c>
      <c r="L305" s="23" t="str">
        <f>IFERROR(INDEX('Output Utente'!$E$2:$E$492,MATCH(302,'Output Utente'!$R$2:$R$492,0)),"")</f>
        <v/>
      </c>
      <c r="V305" t="str">
        <f>IFERROR(INDEX('Output Utente'!$M$2:$M$492,MATCH(302,'Output Utente'!$R$2:$R$492,0)),"")</f>
        <v/>
      </c>
      <c r="W305" t="str">
        <f t="shared" si="4"/>
        <v/>
      </c>
      <c r="X305" t="str">
        <f>IFERROR(INDEX('Output Utente'!$AF$2:$AF$492,MATCH(302,'Output Utente'!$R$2:$R$492,0)),"")</f>
        <v/>
      </c>
    </row>
    <row r="306" spans="1:24" ht="15" customHeight="1" x14ac:dyDescent="0.25">
      <c r="A306" s="26">
        <v>303</v>
      </c>
      <c r="B306" s="23" t="str">
        <f>IFERROR(INDEX('Output Utente'!$A$2:$A$492,MATCH(303,'Output Utente'!$R$2:$R$492,0)),"")</f>
        <v/>
      </c>
      <c r="C306" s="23" t="str">
        <f>IFERROR(INDEX('Output Utente'!$B$2:$B$492,MATCH(303,'Output Utente'!$R$2:$R$492,0)),"")</f>
        <v/>
      </c>
      <c r="D306" s="23" t="str">
        <f>IFERROR(INDEX('Output Utente'!$C$2:$C$492,MATCH(303,'Output Utente'!$R$2:$R$492,0)),"")</f>
        <v/>
      </c>
      <c r="E306" s="23" t="str">
        <f>IFERROR(INDEX('Input Giocatori 2026_27'!$D$3:$D$493,MATCH($B306,'Input Giocatori 2026_27'!$A$3:$A$493,0)),"")</f>
        <v/>
      </c>
      <c r="F306" s="24" t="str">
        <f>IFERROR(INDEX('Output Utente'!$N$2:$N$492,MATCH(303,'Output Utente'!$R$2:$R$492,0)),"")</f>
        <v/>
      </c>
      <c r="G306" s="23" t="str">
        <f>IFERROR(INDEX('Output Utente'!$O$2:$O$492,MATCH(303,'Output Utente'!$R$2:$R$492,0)),"")</f>
        <v/>
      </c>
      <c r="H306" s="23" t="str">
        <f>IFERROR(INDEX('Output Utente'!$P$2:$P$492,MATCH(303,'Output Utente'!$R$2:$R$492,0)),"")</f>
        <v/>
      </c>
      <c r="I306" s="24" t="str">
        <f>IFERROR(INDEX('Output Utente'!$F$2:$F$492,MATCH(303,'Output Utente'!$R$2:$R$492,0)),"")</f>
        <v/>
      </c>
      <c r="J306" s="24" t="str">
        <f>IFERROR(INDEX('Output Utente'!$G$2:$G$492,MATCH(303,'Output Utente'!$R$2:$R$492,0)),"")</f>
        <v/>
      </c>
      <c r="K306" s="24" t="str">
        <f>IFERROR(INDEX('Output Utente'!$H$2:$H$492,MATCH(303,'Output Utente'!$R$2:$R$492,0)),"")</f>
        <v/>
      </c>
      <c r="L306" s="23" t="str">
        <f>IFERROR(INDEX('Output Utente'!$E$2:$E$492,MATCH(303,'Output Utente'!$R$2:$R$492,0)),"")</f>
        <v/>
      </c>
      <c r="V306" t="str">
        <f>IFERROR(INDEX('Output Utente'!$M$2:$M$492,MATCH(303,'Output Utente'!$R$2:$R$492,0)),"")</f>
        <v/>
      </c>
      <c r="W306" t="str">
        <f t="shared" si="4"/>
        <v/>
      </c>
      <c r="X306" t="str">
        <f>IFERROR(INDEX('Output Utente'!$AF$2:$AF$492,MATCH(303,'Output Utente'!$R$2:$R$492,0)),"")</f>
        <v/>
      </c>
    </row>
    <row r="307" spans="1:24" ht="15" customHeight="1" x14ac:dyDescent="0.25">
      <c r="A307" s="26">
        <v>304</v>
      </c>
      <c r="B307" s="23" t="str">
        <f>IFERROR(INDEX('Output Utente'!$A$2:$A$492,MATCH(304,'Output Utente'!$R$2:$R$492,0)),"")</f>
        <v/>
      </c>
      <c r="C307" s="23" t="str">
        <f>IFERROR(INDEX('Output Utente'!$B$2:$B$492,MATCH(304,'Output Utente'!$R$2:$R$492,0)),"")</f>
        <v/>
      </c>
      <c r="D307" s="23" t="str">
        <f>IFERROR(INDEX('Output Utente'!$C$2:$C$492,MATCH(304,'Output Utente'!$R$2:$R$492,0)),"")</f>
        <v/>
      </c>
      <c r="E307" s="23" t="str">
        <f>IFERROR(INDEX('Input Giocatori 2026_27'!$D$3:$D$493,MATCH($B307,'Input Giocatori 2026_27'!$A$3:$A$493,0)),"")</f>
        <v/>
      </c>
      <c r="F307" s="24" t="str">
        <f>IFERROR(INDEX('Output Utente'!$N$2:$N$492,MATCH(304,'Output Utente'!$R$2:$R$492,0)),"")</f>
        <v/>
      </c>
      <c r="G307" s="23" t="str">
        <f>IFERROR(INDEX('Output Utente'!$O$2:$O$492,MATCH(304,'Output Utente'!$R$2:$R$492,0)),"")</f>
        <v/>
      </c>
      <c r="H307" s="23" t="str">
        <f>IFERROR(INDEX('Output Utente'!$P$2:$P$492,MATCH(304,'Output Utente'!$R$2:$R$492,0)),"")</f>
        <v/>
      </c>
      <c r="I307" s="24" t="str">
        <f>IFERROR(INDEX('Output Utente'!$F$2:$F$492,MATCH(304,'Output Utente'!$R$2:$R$492,0)),"")</f>
        <v/>
      </c>
      <c r="J307" s="24" t="str">
        <f>IFERROR(INDEX('Output Utente'!$G$2:$G$492,MATCH(304,'Output Utente'!$R$2:$R$492,0)),"")</f>
        <v/>
      </c>
      <c r="K307" s="24" t="str">
        <f>IFERROR(INDEX('Output Utente'!$H$2:$H$492,MATCH(304,'Output Utente'!$R$2:$R$492,0)),"")</f>
        <v/>
      </c>
      <c r="L307" s="23" t="str">
        <f>IFERROR(INDEX('Output Utente'!$E$2:$E$492,MATCH(304,'Output Utente'!$R$2:$R$492,0)),"")</f>
        <v/>
      </c>
      <c r="V307" t="str">
        <f>IFERROR(INDEX('Output Utente'!$M$2:$M$492,MATCH(304,'Output Utente'!$R$2:$R$492,0)),"")</f>
        <v/>
      </c>
      <c r="W307" t="str">
        <f t="shared" si="4"/>
        <v/>
      </c>
      <c r="X307" t="str">
        <f>IFERROR(INDEX('Output Utente'!$AF$2:$AF$492,MATCH(304,'Output Utente'!$R$2:$R$492,0)),"")</f>
        <v/>
      </c>
    </row>
    <row r="308" spans="1:24" ht="15" customHeight="1" x14ac:dyDescent="0.25">
      <c r="A308" s="26">
        <v>305</v>
      </c>
      <c r="B308" s="23" t="str">
        <f>IFERROR(INDEX('Output Utente'!$A$2:$A$492,MATCH(305,'Output Utente'!$R$2:$R$492,0)),"")</f>
        <v/>
      </c>
      <c r="C308" s="23" t="str">
        <f>IFERROR(INDEX('Output Utente'!$B$2:$B$492,MATCH(305,'Output Utente'!$R$2:$R$492,0)),"")</f>
        <v/>
      </c>
      <c r="D308" s="23" t="str">
        <f>IFERROR(INDEX('Output Utente'!$C$2:$C$492,MATCH(305,'Output Utente'!$R$2:$R$492,0)),"")</f>
        <v/>
      </c>
      <c r="E308" s="23" t="str">
        <f>IFERROR(INDEX('Input Giocatori 2026_27'!$D$3:$D$493,MATCH($B308,'Input Giocatori 2026_27'!$A$3:$A$493,0)),"")</f>
        <v/>
      </c>
      <c r="F308" s="24" t="str">
        <f>IFERROR(INDEX('Output Utente'!$N$2:$N$492,MATCH(305,'Output Utente'!$R$2:$R$492,0)),"")</f>
        <v/>
      </c>
      <c r="G308" s="23" t="str">
        <f>IFERROR(INDEX('Output Utente'!$O$2:$O$492,MATCH(305,'Output Utente'!$R$2:$R$492,0)),"")</f>
        <v/>
      </c>
      <c r="H308" s="23" t="str">
        <f>IFERROR(INDEX('Output Utente'!$P$2:$P$492,MATCH(305,'Output Utente'!$R$2:$R$492,0)),"")</f>
        <v/>
      </c>
      <c r="I308" s="24" t="str">
        <f>IFERROR(INDEX('Output Utente'!$F$2:$F$492,MATCH(305,'Output Utente'!$R$2:$R$492,0)),"")</f>
        <v/>
      </c>
      <c r="J308" s="24" t="str">
        <f>IFERROR(INDEX('Output Utente'!$G$2:$G$492,MATCH(305,'Output Utente'!$R$2:$R$492,0)),"")</f>
        <v/>
      </c>
      <c r="K308" s="24" t="str">
        <f>IFERROR(INDEX('Output Utente'!$H$2:$H$492,MATCH(305,'Output Utente'!$R$2:$R$492,0)),"")</f>
        <v/>
      </c>
      <c r="L308" s="23" t="str">
        <f>IFERROR(INDEX('Output Utente'!$E$2:$E$492,MATCH(305,'Output Utente'!$R$2:$R$492,0)),"")</f>
        <v/>
      </c>
      <c r="V308" t="str">
        <f>IFERROR(INDEX('Output Utente'!$M$2:$M$492,MATCH(305,'Output Utente'!$R$2:$R$492,0)),"")</f>
        <v/>
      </c>
      <c r="W308" t="str">
        <f t="shared" si="4"/>
        <v/>
      </c>
      <c r="X308" t="str">
        <f>IFERROR(INDEX('Output Utente'!$AF$2:$AF$492,MATCH(305,'Output Utente'!$R$2:$R$492,0)),"")</f>
        <v/>
      </c>
    </row>
    <row r="309" spans="1:24" ht="15" customHeight="1" x14ac:dyDescent="0.25">
      <c r="A309" s="26">
        <v>306</v>
      </c>
      <c r="B309" s="23" t="str">
        <f>IFERROR(INDEX('Output Utente'!$A$2:$A$492,MATCH(306,'Output Utente'!$R$2:$R$492,0)),"")</f>
        <v/>
      </c>
      <c r="C309" s="23" t="str">
        <f>IFERROR(INDEX('Output Utente'!$B$2:$B$492,MATCH(306,'Output Utente'!$R$2:$R$492,0)),"")</f>
        <v/>
      </c>
      <c r="D309" s="23" t="str">
        <f>IFERROR(INDEX('Output Utente'!$C$2:$C$492,MATCH(306,'Output Utente'!$R$2:$R$492,0)),"")</f>
        <v/>
      </c>
      <c r="E309" s="23" t="str">
        <f>IFERROR(INDEX('Input Giocatori 2026_27'!$D$3:$D$493,MATCH($B309,'Input Giocatori 2026_27'!$A$3:$A$493,0)),"")</f>
        <v/>
      </c>
      <c r="F309" s="24" t="str">
        <f>IFERROR(INDEX('Output Utente'!$N$2:$N$492,MATCH(306,'Output Utente'!$R$2:$R$492,0)),"")</f>
        <v/>
      </c>
      <c r="G309" s="23" t="str">
        <f>IFERROR(INDEX('Output Utente'!$O$2:$O$492,MATCH(306,'Output Utente'!$R$2:$R$492,0)),"")</f>
        <v/>
      </c>
      <c r="H309" s="23" t="str">
        <f>IFERROR(INDEX('Output Utente'!$P$2:$P$492,MATCH(306,'Output Utente'!$R$2:$R$492,0)),"")</f>
        <v/>
      </c>
      <c r="I309" s="24" t="str">
        <f>IFERROR(INDEX('Output Utente'!$F$2:$F$492,MATCH(306,'Output Utente'!$R$2:$R$492,0)),"")</f>
        <v/>
      </c>
      <c r="J309" s="24" t="str">
        <f>IFERROR(INDEX('Output Utente'!$G$2:$G$492,MATCH(306,'Output Utente'!$R$2:$R$492,0)),"")</f>
        <v/>
      </c>
      <c r="K309" s="24" t="str">
        <f>IFERROR(INDEX('Output Utente'!$H$2:$H$492,MATCH(306,'Output Utente'!$R$2:$R$492,0)),"")</f>
        <v/>
      </c>
      <c r="L309" s="23" t="str">
        <f>IFERROR(INDEX('Output Utente'!$E$2:$E$492,MATCH(306,'Output Utente'!$R$2:$R$492,0)),"")</f>
        <v/>
      </c>
      <c r="V309" t="str">
        <f>IFERROR(INDEX('Output Utente'!$M$2:$M$492,MATCH(306,'Output Utente'!$R$2:$R$492,0)),"")</f>
        <v/>
      </c>
      <c r="W309" t="str">
        <f t="shared" si="4"/>
        <v/>
      </c>
      <c r="X309" t="str">
        <f>IFERROR(INDEX('Output Utente'!$AF$2:$AF$492,MATCH(306,'Output Utente'!$R$2:$R$492,0)),"")</f>
        <v/>
      </c>
    </row>
    <row r="310" spans="1:24" ht="15" customHeight="1" x14ac:dyDescent="0.25">
      <c r="A310" s="26">
        <v>307</v>
      </c>
      <c r="B310" s="23" t="str">
        <f>IFERROR(INDEX('Output Utente'!$A$2:$A$492,MATCH(307,'Output Utente'!$R$2:$R$492,0)),"")</f>
        <v/>
      </c>
      <c r="C310" s="23" t="str">
        <f>IFERROR(INDEX('Output Utente'!$B$2:$B$492,MATCH(307,'Output Utente'!$R$2:$R$492,0)),"")</f>
        <v/>
      </c>
      <c r="D310" s="23" t="str">
        <f>IFERROR(INDEX('Output Utente'!$C$2:$C$492,MATCH(307,'Output Utente'!$R$2:$R$492,0)),"")</f>
        <v/>
      </c>
      <c r="E310" s="23" t="str">
        <f>IFERROR(INDEX('Input Giocatori 2026_27'!$D$3:$D$493,MATCH($B310,'Input Giocatori 2026_27'!$A$3:$A$493,0)),"")</f>
        <v/>
      </c>
      <c r="F310" s="24" t="str">
        <f>IFERROR(INDEX('Output Utente'!$N$2:$N$492,MATCH(307,'Output Utente'!$R$2:$R$492,0)),"")</f>
        <v/>
      </c>
      <c r="G310" s="23" t="str">
        <f>IFERROR(INDEX('Output Utente'!$O$2:$O$492,MATCH(307,'Output Utente'!$R$2:$R$492,0)),"")</f>
        <v/>
      </c>
      <c r="H310" s="23" t="str">
        <f>IFERROR(INDEX('Output Utente'!$P$2:$P$492,MATCH(307,'Output Utente'!$R$2:$R$492,0)),"")</f>
        <v/>
      </c>
      <c r="I310" s="24" t="str">
        <f>IFERROR(INDEX('Output Utente'!$F$2:$F$492,MATCH(307,'Output Utente'!$R$2:$R$492,0)),"")</f>
        <v/>
      </c>
      <c r="J310" s="24" t="str">
        <f>IFERROR(INDEX('Output Utente'!$G$2:$G$492,MATCH(307,'Output Utente'!$R$2:$R$492,0)),"")</f>
        <v/>
      </c>
      <c r="K310" s="24" t="str">
        <f>IFERROR(INDEX('Output Utente'!$H$2:$H$492,MATCH(307,'Output Utente'!$R$2:$R$492,0)),"")</f>
        <v/>
      </c>
      <c r="L310" s="23" t="str">
        <f>IFERROR(INDEX('Output Utente'!$E$2:$E$492,MATCH(307,'Output Utente'!$R$2:$R$492,0)),"")</f>
        <v/>
      </c>
      <c r="V310" t="str">
        <f>IFERROR(INDEX('Output Utente'!$M$2:$M$492,MATCH(307,'Output Utente'!$R$2:$R$492,0)),"")</f>
        <v/>
      </c>
      <c r="W310" t="str">
        <f t="shared" si="4"/>
        <v/>
      </c>
      <c r="X310" t="str">
        <f>IFERROR(INDEX('Output Utente'!$AF$2:$AF$492,MATCH(307,'Output Utente'!$R$2:$R$492,0)),"")</f>
        <v/>
      </c>
    </row>
    <row r="311" spans="1:24" ht="15" customHeight="1" x14ac:dyDescent="0.25">
      <c r="A311" s="26">
        <v>308</v>
      </c>
      <c r="B311" s="23" t="str">
        <f>IFERROR(INDEX('Output Utente'!$A$2:$A$492,MATCH(308,'Output Utente'!$R$2:$R$492,0)),"")</f>
        <v/>
      </c>
      <c r="C311" s="23" t="str">
        <f>IFERROR(INDEX('Output Utente'!$B$2:$B$492,MATCH(308,'Output Utente'!$R$2:$R$492,0)),"")</f>
        <v/>
      </c>
      <c r="D311" s="23" t="str">
        <f>IFERROR(INDEX('Output Utente'!$C$2:$C$492,MATCH(308,'Output Utente'!$R$2:$R$492,0)),"")</f>
        <v/>
      </c>
      <c r="E311" s="23" t="str">
        <f>IFERROR(INDEX('Input Giocatori 2026_27'!$D$3:$D$493,MATCH($B311,'Input Giocatori 2026_27'!$A$3:$A$493,0)),"")</f>
        <v/>
      </c>
      <c r="F311" s="24" t="str">
        <f>IFERROR(INDEX('Output Utente'!$N$2:$N$492,MATCH(308,'Output Utente'!$R$2:$R$492,0)),"")</f>
        <v/>
      </c>
      <c r="G311" s="23" t="str">
        <f>IFERROR(INDEX('Output Utente'!$O$2:$O$492,MATCH(308,'Output Utente'!$R$2:$R$492,0)),"")</f>
        <v/>
      </c>
      <c r="H311" s="23" t="str">
        <f>IFERROR(INDEX('Output Utente'!$P$2:$P$492,MATCH(308,'Output Utente'!$R$2:$R$492,0)),"")</f>
        <v/>
      </c>
      <c r="I311" s="24" t="str">
        <f>IFERROR(INDEX('Output Utente'!$F$2:$F$492,MATCH(308,'Output Utente'!$R$2:$R$492,0)),"")</f>
        <v/>
      </c>
      <c r="J311" s="24" t="str">
        <f>IFERROR(INDEX('Output Utente'!$G$2:$G$492,MATCH(308,'Output Utente'!$R$2:$R$492,0)),"")</f>
        <v/>
      </c>
      <c r="K311" s="24" t="str">
        <f>IFERROR(INDEX('Output Utente'!$H$2:$H$492,MATCH(308,'Output Utente'!$R$2:$R$492,0)),"")</f>
        <v/>
      </c>
      <c r="L311" s="23" t="str">
        <f>IFERROR(INDEX('Output Utente'!$E$2:$E$492,MATCH(308,'Output Utente'!$R$2:$R$492,0)),"")</f>
        <v/>
      </c>
      <c r="V311" t="str">
        <f>IFERROR(INDEX('Output Utente'!$M$2:$M$492,MATCH(308,'Output Utente'!$R$2:$R$492,0)),"")</f>
        <v/>
      </c>
      <c r="W311" t="str">
        <f t="shared" si="4"/>
        <v/>
      </c>
      <c r="X311" t="str">
        <f>IFERROR(INDEX('Output Utente'!$AF$2:$AF$492,MATCH(308,'Output Utente'!$R$2:$R$492,0)),"")</f>
        <v/>
      </c>
    </row>
    <row r="312" spans="1:24" ht="15" customHeight="1" x14ac:dyDescent="0.25">
      <c r="A312" s="26">
        <v>309</v>
      </c>
      <c r="B312" s="23" t="str">
        <f>IFERROR(INDEX('Output Utente'!$A$2:$A$492,MATCH(309,'Output Utente'!$R$2:$R$492,0)),"")</f>
        <v/>
      </c>
      <c r="C312" s="23" t="str">
        <f>IFERROR(INDEX('Output Utente'!$B$2:$B$492,MATCH(309,'Output Utente'!$R$2:$R$492,0)),"")</f>
        <v/>
      </c>
      <c r="D312" s="23" t="str">
        <f>IFERROR(INDEX('Output Utente'!$C$2:$C$492,MATCH(309,'Output Utente'!$R$2:$R$492,0)),"")</f>
        <v/>
      </c>
      <c r="E312" s="23" t="str">
        <f>IFERROR(INDEX('Input Giocatori 2026_27'!$D$3:$D$493,MATCH($B312,'Input Giocatori 2026_27'!$A$3:$A$493,0)),"")</f>
        <v/>
      </c>
      <c r="F312" s="24" t="str">
        <f>IFERROR(INDEX('Output Utente'!$N$2:$N$492,MATCH(309,'Output Utente'!$R$2:$R$492,0)),"")</f>
        <v/>
      </c>
      <c r="G312" s="23" t="str">
        <f>IFERROR(INDEX('Output Utente'!$O$2:$O$492,MATCH(309,'Output Utente'!$R$2:$R$492,0)),"")</f>
        <v/>
      </c>
      <c r="H312" s="23" t="str">
        <f>IFERROR(INDEX('Output Utente'!$P$2:$P$492,MATCH(309,'Output Utente'!$R$2:$R$492,0)),"")</f>
        <v/>
      </c>
      <c r="I312" s="24" t="str">
        <f>IFERROR(INDEX('Output Utente'!$F$2:$F$492,MATCH(309,'Output Utente'!$R$2:$R$492,0)),"")</f>
        <v/>
      </c>
      <c r="J312" s="24" t="str">
        <f>IFERROR(INDEX('Output Utente'!$G$2:$G$492,MATCH(309,'Output Utente'!$R$2:$R$492,0)),"")</f>
        <v/>
      </c>
      <c r="K312" s="24" t="str">
        <f>IFERROR(INDEX('Output Utente'!$H$2:$H$492,MATCH(309,'Output Utente'!$R$2:$R$492,0)),"")</f>
        <v/>
      </c>
      <c r="L312" s="23" t="str">
        <f>IFERROR(INDEX('Output Utente'!$E$2:$E$492,MATCH(309,'Output Utente'!$R$2:$R$492,0)),"")</f>
        <v/>
      </c>
      <c r="V312" t="str">
        <f>IFERROR(INDEX('Output Utente'!$M$2:$M$492,MATCH(309,'Output Utente'!$R$2:$R$492,0)),"")</f>
        <v/>
      </c>
      <c r="W312" t="str">
        <f t="shared" si="4"/>
        <v/>
      </c>
      <c r="X312" t="str">
        <f>IFERROR(INDEX('Output Utente'!$AF$2:$AF$492,MATCH(309,'Output Utente'!$R$2:$R$492,0)),"")</f>
        <v/>
      </c>
    </row>
    <row r="313" spans="1:24" ht="15" customHeight="1" x14ac:dyDescent="0.25">
      <c r="A313" s="26">
        <v>310</v>
      </c>
      <c r="B313" s="23" t="str">
        <f>IFERROR(INDEX('Output Utente'!$A$2:$A$492,MATCH(310,'Output Utente'!$R$2:$R$492,0)),"")</f>
        <v/>
      </c>
      <c r="C313" s="23" t="str">
        <f>IFERROR(INDEX('Output Utente'!$B$2:$B$492,MATCH(310,'Output Utente'!$R$2:$R$492,0)),"")</f>
        <v/>
      </c>
      <c r="D313" s="23" t="str">
        <f>IFERROR(INDEX('Output Utente'!$C$2:$C$492,MATCH(310,'Output Utente'!$R$2:$R$492,0)),"")</f>
        <v/>
      </c>
      <c r="E313" s="23" t="str">
        <f>IFERROR(INDEX('Input Giocatori 2026_27'!$D$3:$D$493,MATCH($B313,'Input Giocatori 2026_27'!$A$3:$A$493,0)),"")</f>
        <v/>
      </c>
      <c r="F313" s="24" t="str">
        <f>IFERROR(INDEX('Output Utente'!$N$2:$N$492,MATCH(310,'Output Utente'!$R$2:$R$492,0)),"")</f>
        <v/>
      </c>
      <c r="G313" s="23" t="str">
        <f>IFERROR(INDEX('Output Utente'!$O$2:$O$492,MATCH(310,'Output Utente'!$R$2:$R$492,0)),"")</f>
        <v/>
      </c>
      <c r="H313" s="23" t="str">
        <f>IFERROR(INDEX('Output Utente'!$P$2:$P$492,MATCH(310,'Output Utente'!$R$2:$R$492,0)),"")</f>
        <v/>
      </c>
      <c r="I313" s="24" t="str">
        <f>IFERROR(INDEX('Output Utente'!$F$2:$F$492,MATCH(310,'Output Utente'!$R$2:$R$492,0)),"")</f>
        <v/>
      </c>
      <c r="J313" s="24" t="str">
        <f>IFERROR(INDEX('Output Utente'!$G$2:$G$492,MATCH(310,'Output Utente'!$R$2:$R$492,0)),"")</f>
        <v/>
      </c>
      <c r="K313" s="24" t="str">
        <f>IFERROR(INDEX('Output Utente'!$H$2:$H$492,MATCH(310,'Output Utente'!$R$2:$R$492,0)),"")</f>
        <v/>
      </c>
      <c r="L313" s="23" t="str">
        <f>IFERROR(INDEX('Output Utente'!$E$2:$E$492,MATCH(310,'Output Utente'!$R$2:$R$492,0)),"")</f>
        <v/>
      </c>
      <c r="V313" t="str">
        <f>IFERROR(INDEX('Output Utente'!$M$2:$M$492,MATCH(310,'Output Utente'!$R$2:$R$492,0)),"")</f>
        <v/>
      </c>
      <c r="W313" t="str">
        <f t="shared" si="4"/>
        <v/>
      </c>
      <c r="X313" t="str">
        <f>IFERROR(INDEX('Output Utente'!$AF$2:$AF$492,MATCH(310,'Output Utente'!$R$2:$R$492,0)),"")</f>
        <v/>
      </c>
    </row>
    <row r="314" spans="1:24" ht="15" customHeight="1" x14ac:dyDescent="0.25">
      <c r="A314" s="26">
        <v>311</v>
      </c>
      <c r="B314" s="23" t="str">
        <f>IFERROR(INDEX('Output Utente'!$A$2:$A$492,MATCH(311,'Output Utente'!$R$2:$R$492,0)),"")</f>
        <v/>
      </c>
      <c r="C314" s="23" t="str">
        <f>IFERROR(INDEX('Output Utente'!$B$2:$B$492,MATCH(311,'Output Utente'!$R$2:$R$492,0)),"")</f>
        <v/>
      </c>
      <c r="D314" s="23" t="str">
        <f>IFERROR(INDEX('Output Utente'!$C$2:$C$492,MATCH(311,'Output Utente'!$R$2:$R$492,0)),"")</f>
        <v/>
      </c>
      <c r="E314" s="23" t="str">
        <f>IFERROR(INDEX('Input Giocatori 2026_27'!$D$3:$D$493,MATCH($B314,'Input Giocatori 2026_27'!$A$3:$A$493,0)),"")</f>
        <v/>
      </c>
      <c r="F314" s="24" t="str">
        <f>IFERROR(INDEX('Output Utente'!$N$2:$N$492,MATCH(311,'Output Utente'!$R$2:$R$492,0)),"")</f>
        <v/>
      </c>
      <c r="G314" s="23" t="str">
        <f>IFERROR(INDEX('Output Utente'!$O$2:$O$492,MATCH(311,'Output Utente'!$R$2:$R$492,0)),"")</f>
        <v/>
      </c>
      <c r="H314" s="23" t="str">
        <f>IFERROR(INDEX('Output Utente'!$P$2:$P$492,MATCH(311,'Output Utente'!$R$2:$R$492,0)),"")</f>
        <v/>
      </c>
      <c r="I314" s="24" t="str">
        <f>IFERROR(INDEX('Output Utente'!$F$2:$F$492,MATCH(311,'Output Utente'!$R$2:$R$492,0)),"")</f>
        <v/>
      </c>
      <c r="J314" s="24" t="str">
        <f>IFERROR(INDEX('Output Utente'!$G$2:$G$492,MATCH(311,'Output Utente'!$R$2:$R$492,0)),"")</f>
        <v/>
      </c>
      <c r="K314" s="24" t="str">
        <f>IFERROR(INDEX('Output Utente'!$H$2:$H$492,MATCH(311,'Output Utente'!$R$2:$R$492,0)),"")</f>
        <v/>
      </c>
      <c r="L314" s="23" t="str">
        <f>IFERROR(INDEX('Output Utente'!$E$2:$E$492,MATCH(311,'Output Utente'!$R$2:$R$492,0)),"")</f>
        <v/>
      </c>
      <c r="V314" t="str">
        <f>IFERROR(INDEX('Output Utente'!$M$2:$M$492,MATCH(311,'Output Utente'!$R$2:$R$492,0)),"")</f>
        <v/>
      </c>
      <c r="W314" t="str">
        <f t="shared" si="4"/>
        <v/>
      </c>
      <c r="X314" t="str">
        <f>IFERROR(INDEX('Output Utente'!$AF$2:$AF$492,MATCH(311,'Output Utente'!$R$2:$R$492,0)),"")</f>
        <v/>
      </c>
    </row>
    <row r="315" spans="1:24" ht="15" customHeight="1" x14ac:dyDescent="0.25">
      <c r="A315" s="26">
        <v>312</v>
      </c>
      <c r="B315" s="23" t="str">
        <f>IFERROR(INDEX('Output Utente'!$A$2:$A$492,MATCH(312,'Output Utente'!$R$2:$R$492,0)),"")</f>
        <v/>
      </c>
      <c r="C315" s="23" t="str">
        <f>IFERROR(INDEX('Output Utente'!$B$2:$B$492,MATCH(312,'Output Utente'!$R$2:$R$492,0)),"")</f>
        <v/>
      </c>
      <c r="D315" s="23" t="str">
        <f>IFERROR(INDEX('Output Utente'!$C$2:$C$492,MATCH(312,'Output Utente'!$R$2:$R$492,0)),"")</f>
        <v/>
      </c>
      <c r="E315" s="23" t="str">
        <f>IFERROR(INDEX('Input Giocatori 2026_27'!$D$3:$D$493,MATCH($B315,'Input Giocatori 2026_27'!$A$3:$A$493,0)),"")</f>
        <v/>
      </c>
      <c r="F315" s="24" t="str">
        <f>IFERROR(INDEX('Output Utente'!$N$2:$N$492,MATCH(312,'Output Utente'!$R$2:$R$492,0)),"")</f>
        <v/>
      </c>
      <c r="G315" s="23" t="str">
        <f>IFERROR(INDEX('Output Utente'!$O$2:$O$492,MATCH(312,'Output Utente'!$R$2:$R$492,0)),"")</f>
        <v/>
      </c>
      <c r="H315" s="23" t="str">
        <f>IFERROR(INDEX('Output Utente'!$P$2:$P$492,MATCH(312,'Output Utente'!$R$2:$R$492,0)),"")</f>
        <v/>
      </c>
      <c r="I315" s="24" t="str">
        <f>IFERROR(INDEX('Output Utente'!$F$2:$F$492,MATCH(312,'Output Utente'!$R$2:$R$492,0)),"")</f>
        <v/>
      </c>
      <c r="J315" s="24" t="str">
        <f>IFERROR(INDEX('Output Utente'!$G$2:$G$492,MATCH(312,'Output Utente'!$R$2:$R$492,0)),"")</f>
        <v/>
      </c>
      <c r="K315" s="24" t="str">
        <f>IFERROR(INDEX('Output Utente'!$H$2:$H$492,MATCH(312,'Output Utente'!$R$2:$R$492,0)),"")</f>
        <v/>
      </c>
      <c r="L315" s="23" t="str">
        <f>IFERROR(INDEX('Output Utente'!$E$2:$E$492,MATCH(312,'Output Utente'!$R$2:$R$492,0)),"")</f>
        <v/>
      </c>
      <c r="V315" t="str">
        <f>IFERROR(INDEX('Output Utente'!$M$2:$M$492,MATCH(312,'Output Utente'!$R$2:$R$492,0)),"")</f>
        <v/>
      </c>
      <c r="W315" t="str">
        <f t="shared" si="4"/>
        <v/>
      </c>
      <c r="X315" t="str">
        <f>IFERROR(INDEX('Output Utente'!$AF$2:$AF$492,MATCH(312,'Output Utente'!$R$2:$R$492,0)),"")</f>
        <v/>
      </c>
    </row>
    <row r="316" spans="1:24" ht="15" customHeight="1" x14ac:dyDescent="0.25">
      <c r="A316" s="26">
        <v>313</v>
      </c>
      <c r="B316" s="23" t="str">
        <f>IFERROR(INDEX('Output Utente'!$A$2:$A$492,MATCH(313,'Output Utente'!$R$2:$R$492,0)),"")</f>
        <v/>
      </c>
      <c r="C316" s="23" t="str">
        <f>IFERROR(INDEX('Output Utente'!$B$2:$B$492,MATCH(313,'Output Utente'!$R$2:$R$492,0)),"")</f>
        <v/>
      </c>
      <c r="D316" s="23" t="str">
        <f>IFERROR(INDEX('Output Utente'!$C$2:$C$492,MATCH(313,'Output Utente'!$R$2:$R$492,0)),"")</f>
        <v/>
      </c>
      <c r="E316" s="23" t="str">
        <f>IFERROR(INDEX('Input Giocatori 2026_27'!$D$3:$D$493,MATCH($B316,'Input Giocatori 2026_27'!$A$3:$A$493,0)),"")</f>
        <v/>
      </c>
      <c r="F316" s="24" t="str">
        <f>IFERROR(INDEX('Output Utente'!$N$2:$N$492,MATCH(313,'Output Utente'!$R$2:$R$492,0)),"")</f>
        <v/>
      </c>
      <c r="G316" s="23" t="str">
        <f>IFERROR(INDEX('Output Utente'!$O$2:$O$492,MATCH(313,'Output Utente'!$R$2:$R$492,0)),"")</f>
        <v/>
      </c>
      <c r="H316" s="23" t="str">
        <f>IFERROR(INDEX('Output Utente'!$P$2:$P$492,MATCH(313,'Output Utente'!$R$2:$R$492,0)),"")</f>
        <v/>
      </c>
      <c r="I316" s="24" t="str">
        <f>IFERROR(INDEX('Output Utente'!$F$2:$F$492,MATCH(313,'Output Utente'!$R$2:$R$492,0)),"")</f>
        <v/>
      </c>
      <c r="J316" s="24" t="str">
        <f>IFERROR(INDEX('Output Utente'!$G$2:$G$492,MATCH(313,'Output Utente'!$R$2:$R$492,0)),"")</f>
        <v/>
      </c>
      <c r="K316" s="24" t="str">
        <f>IFERROR(INDEX('Output Utente'!$H$2:$H$492,MATCH(313,'Output Utente'!$R$2:$R$492,0)),"")</f>
        <v/>
      </c>
      <c r="L316" s="23" t="str">
        <f>IFERROR(INDEX('Output Utente'!$E$2:$E$492,MATCH(313,'Output Utente'!$R$2:$R$492,0)),"")</f>
        <v/>
      </c>
      <c r="V316" t="str">
        <f>IFERROR(INDEX('Output Utente'!$M$2:$M$492,MATCH(313,'Output Utente'!$R$2:$R$492,0)),"")</f>
        <v/>
      </c>
      <c r="W316" t="str">
        <f t="shared" si="4"/>
        <v/>
      </c>
      <c r="X316" t="str">
        <f>IFERROR(INDEX('Output Utente'!$AF$2:$AF$492,MATCH(313,'Output Utente'!$R$2:$R$492,0)),"")</f>
        <v/>
      </c>
    </row>
    <row r="317" spans="1:24" ht="15" customHeight="1" x14ac:dyDescent="0.25">
      <c r="A317" s="26">
        <v>314</v>
      </c>
      <c r="B317" s="23" t="str">
        <f>IFERROR(INDEX('Output Utente'!$A$2:$A$492,MATCH(314,'Output Utente'!$R$2:$R$492,0)),"")</f>
        <v/>
      </c>
      <c r="C317" s="23" t="str">
        <f>IFERROR(INDEX('Output Utente'!$B$2:$B$492,MATCH(314,'Output Utente'!$R$2:$R$492,0)),"")</f>
        <v/>
      </c>
      <c r="D317" s="23" t="str">
        <f>IFERROR(INDEX('Output Utente'!$C$2:$C$492,MATCH(314,'Output Utente'!$R$2:$R$492,0)),"")</f>
        <v/>
      </c>
      <c r="E317" s="23" t="str">
        <f>IFERROR(INDEX('Input Giocatori 2026_27'!$D$3:$D$493,MATCH($B317,'Input Giocatori 2026_27'!$A$3:$A$493,0)),"")</f>
        <v/>
      </c>
      <c r="F317" s="24" t="str">
        <f>IFERROR(INDEX('Output Utente'!$N$2:$N$492,MATCH(314,'Output Utente'!$R$2:$R$492,0)),"")</f>
        <v/>
      </c>
      <c r="G317" s="23" t="str">
        <f>IFERROR(INDEX('Output Utente'!$O$2:$O$492,MATCH(314,'Output Utente'!$R$2:$R$492,0)),"")</f>
        <v/>
      </c>
      <c r="H317" s="23" t="str">
        <f>IFERROR(INDEX('Output Utente'!$P$2:$P$492,MATCH(314,'Output Utente'!$R$2:$R$492,0)),"")</f>
        <v/>
      </c>
      <c r="I317" s="24" t="str">
        <f>IFERROR(INDEX('Output Utente'!$F$2:$F$492,MATCH(314,'Output Utente'!$R$2:$R$492,0)),"")</f>
        <v/>
      </c>
      <c r="J317" s="24" t="str">
        <f>IFERROR(INDEX('Output Utente'!$G$2:$G$492,MATCH(314,'Output Utente'!$R$2:$R$492,0)),"")</f>
        <v/>
      </c>
      <c r="K317" s="24" t="str">
        <f>IFERROR(INDEX('Output Utente'!$H$2:$H$492,MATCH(314,'Output Utente'!$R$2:$R$492,0)),"")</f>
        <v/>
      </c>
      <c r="L317" s="23" t="str">
        <f>IFERROR(INDEX('Output Utente'!$E$2:$E$492,MATCH(314,'Output Utente'!$R$2:$R$492,0)),"")</f>
        <v/>
      </c>
      <c r="V317" t="str">
        <f>IFERROR(INDEX('Output Utente'!$M$2:$M$492,MATCH(314,'Output Utente'!$R$2:$R$492,0)),"")</f>
        <v/>
      </c>
      <c r="W317" t="str">
        <f t="shared" si="4"/>
        <v/>
      </c>
      <c r="X317" t="str">
        <f>IFERROR(INDEX('Output Utente'!$AF$2:$AF$492,MATCH(314,'Output Utente'!$R$2:$R$492,0)),"")</f>
        <v/>
      </c>
    </row>
    <row r="318" spans="1:24" ht="15" customHeight="1" x14ac:dyDescent="0.25">
      <c r="A318" s="26">
        <v>315</v>
      </c>
      <c r="B318" s="23" t="str">
        <f>IFERROR(INDEX('Output Utente'!$A$2:$A$492,MATCH(315,'Output Utente'!$R$2:$R$492,0)),"")</f>
        <v/>
      </c>
      <c r="C318" s="23" t="str">
        <f>IFERROR(INDEX('Output Utente'!$B$2:$B$492,MATCH(315,'Output Utente'!$R$2:$R$492,0)),"")</f>
        <v/>
      </c>
      <c r="D318" s="23" t="str">
        <f>IFERROR(INDEX('Output Utente'!$C$2:$C$492,MATCH(315,'Output Utente'!$R$2:$R$492,0)),"")</f>
        <v/>
      </c>
      <c r="E318" s="23" t="str">
        <f>IFERROR(INDEX('Input Giocatori 2026_27'!$D$3:$D$493,MATCH($B318,'Input Giocatori 2026_27'!$A$3:$A$493,0)),"")</f>
        <v/>
      </c>
      <c r="F318" s="24" t="str">
        <f>IFERROR(INDEX('Output Utente'!$N$2:$N$492,MATCH(315,'Output Utente'!$R$2:$R$492,0)),"")</f>
        <v/>
      </c>
      <c r="G318" s="23" t="str">
        <f>IFERROR(INDEX('Output Utente'!$O$2:$O$492,MATCH(315,'Output Utente'!$R$2:$R$492,0)),"")</f>
        <v/>
      </c>
      <c r="H318" s="23" t="str">
        <f>IFERROR(INDEX('Output Utente'!$P$2:$P$492,MATCH(315,'Output Utente'!$R$2:$R$492,0)),"")</f>
        <v/>
      </c>
      <c r="I318" s="24" t="str">
        <f>IFERROR(INDEX('Output Utente'!$F$2:$F$492,MATCH(315,'Output Utente'!$R$2:$R$492,0)),"")</f>
        <v/>
      </c>
      <c r="J318" s="24" t="str">
        <f>IFERROR(INDEX('Output Utente'!$G$2:$G$492,MATCH(315,'Output Utente'!$R$2:$R$492,0)),"")</f>
        <v/>
      </c>
      <c r="K318" s="24" t="str">
        <f>IFERROR(INDEX('Output Utente'!$H$2:$H$492,MATCH(315,'Output Utente'!$R$2:$R$492,0)),"")</f>
        <v/>
      </c>
      <c r="L318" s="23" t="str">
        <f>IFERROR(INDEX('Output Utente'!$E$2:$E$492,MATCH(315,'Output Utente'!$R$2:$R$492,0)),"")</f>
        <v/>
      </c>
      <c r="V318" t="str">
        <f>IFERROR(INDEX('Output Utente'!$M$2:$M$492,MATCH(315,'Output Utente'!$R$2:$R$492,0)),"")</f>
        <v/>
      </c>
      <c r="W318" t="str">
        <f t="shared" si="4"/>
        <v/>
      </c>
      <c r="X318" t="str">
        <f>IFERROR(INDEX('Output Utente'!$AF$2:$AF$492,MATCH(315,'Output Utente'!$R$2:$R$492,0)),"")</f>
        <v/>
      </c>
    </row>
    <row r="319" spans="1:24" ht="15" customHeight="1" x14ac:dyDescent="0.25">
      <c r="A319" s="26">
        <v>316</v>
      </c>
      <c r="B319" s="23" t="str">
        <f>IFERROR(INDEX('Output Utente'!$A$2:$A$492,MATCH(316,'Output Utente'!$R$2:$R$492,0)),"")</f>
        <v/>
      </c>
      <c r="C319" s="23" t="str">
        <f>IFERROR(INDEX('Output Utente'!$B$2:$B$492,MATCH(316,'Output Utente'!$R$2:$R$492,0)),"")</f>
        <v/>
      </c>
      <c r="D319" s="23" t="str">
        <f>IFERROR(INDEX('Output Utente'!$C$2:$C$492,MATCH(316,'Output Utente'!$R$2:$R$492,0)),"")</f>
        <v/>
      </c>
      <c r="E319" s="23" t="str">
        <f>IFERROR(INDEX('Input Giocatori 2026_27'!$D$3:$D$493,MATCH($B319,'Input Giocatori 2026_27'!$A$3:$A$493,0)),"")</f>
        <v/>
      </c>
      <c r="F319" s="24" t="str">
        <f>IFERROR(INDEX('Output Utente'!$N$2:$N$492,MATCH(316,'Output Utente'!$R$2:$R$492,0)),"")</f>
        <v/>
      </c>
      <c r="G319" s="23" t="str">
        <f>IFERROR(INDEX('Output Utente'!$O$2:$O$492,MATCH(316,'Output Utente'!$R$2:$R$492,0)),"")</f>
        <v/>
      </c>
      <c r="H319" s="23" t="str">
        <f>IFERROR(INDEX('Output Utente'!$P$2:$P$492,MATCH(316,'Output Utente'!$R$2:$R$492,0)),"")</f>
        <v/>
      </c>
      <c r="I319" s="24" t="str">
        <f>IFERROR(INDEX('Output Utente'!$F$2:$F$492,MATCH(316,'Output Utente'!$R$2:$R$492,0)),"")</f>
        <v/>
      </c>
      <c r="J319" s="24" t="str">
        <f>IFERROR(INDEX('Output Utente'!$G$2:$G$492,MATCH(316,'Output Utente'!$R$2:$R$492,0)),"")</f>
        <v/>
      </c>
      <c r="K319" s="24" t="str">
        <f>IFERROR(INDEX('Output Utente'!$H$2:$H$492,MATCH(316,'Output Utente'!$R$2:$R$492,0)),"")</f>
        <v/>
      </c>
      <c r="L319" s="23" t="str">
        <f>IFERROR(INDEX('Output Utente'!$E$2:$E$492,MATCH(316,'Output Utente'!$R$2:$R$492,0)),"")</f>
        <v/>
      </c>
      <c r="V319" t="str">
        <f>IFERROR(INDEX('Output Utente'!$M$2:$M$492,MATCH(316,'Output Utente'!$R$2:$R$492,0)),"")</f>
        <v/>
      </c>
      <c r="W319" t="str">
        <f t="shared" si="4"/>
        <v/>
      </c>
      <c r="X319" t="str">
        <f>IFERROR(INDEX('Output Utente'!$AF$2:$AF$492,MATCH(316,'Output Utente'!$R$2:$R$492,0)),"")</f>
        <v/>
      </c>
    </row>
    <row r="320" spans="1:24" ht="15" customHeight="1" x14ac:dyDescent="0.25">
      <c r="A320" s="26">
        <v>317</v>
      </c>
      <c r="B320" s="23" t="str">
        <f>IFERROR(INDEX('Output Utente'!$A$2:$A$492,MATCH(317,'Output Utente'!$R$2:$R$492,0)),"")</f>
        <v/>
      </c>
      <c r="C320" s="23" t="str">
        <f>IFERROR(INDEX('Output Utente'!$B$2:$B$492,MATCH(317,'Output Utente'!$R$2:$R$492,0)),"")</f>
        <v/>
      </c>
      <c r="D320" s="23" t="str">
        <f>IFERROR(INDEX('Output Utente'!$C$2:$C$492,MATCH(317,'Output Utente'!$R$2:$R$492,0)),"")</f>
        <v/>
      </c>
      <c r="E320" s="23" t="str">
        <f>IFERROR(INDEX('Input Giocatori 2026_27'!$D$3:$D$493,MATCH($B320,'Input Giocatori 2026_27'!$A$3:$A$493,0)),"")</f>
        <v/>
      </c>
      <c r="F320" s="24" t="str">
        <f>IFERROR(INDEX('Output Utente'!$N$2:$N$492,MATCH(317,'Output Utente'!$R$2:$R$492,0)),"")</f>
        <v/>
      </c>
      <c r="G320" s="23" t="str">
        <f>IFERROR(INDEX('Output Utente'!$O$2:$O$492,MATCH(317,'Output Utente'!$R$2:$R$492,0)),"")</f>
        <v/>
      </c>
      <c r="H320" s="23" t="str">
        <f>IFERROR(INDEX('Output Utente'!$P$2:$P$492,MATCH(317,'Output Utente'!$R$2:$R$492,0)),"")</f>
        <v/>
      </c>
      <c r="I320" s="24" t="str">
        <f>IFERROR(INDEX('Output Utente'!$F$2:$F$492,MATCH(317,'Output Utente'!$R$2:$R$492,0)),"")</f>
        <v/>
      </c>
      <c r="J320" s="24" t="str">
        <f>IFERROR(INDEX('Output Utente'!$G$2:$G$492,MATCH(317,'Output Utente'!$R$2:$R$492,0)),"")</f>
        <v/>
      </c>
      <c r="K320" s="24" t="str">
        <f>IFERROR(INDEX('Output Utente'!$H$2:$H$492,MATCH(317,'Output Utente'!$R$2:$R$492,0)),"")</f>
        <v/>
      </c>
      <c r="L320" s="23" t="str">
        <f>IFERROR(INDEX('Output Utente'!$E$2:$E$492,MATCH(317,'Output Utente'!$R$2:$R$492,0)),"")</f>
        <v/>
      </c>
      <c r="V320" t="str">
        <f>IFERROR(INDEX('Output Utente'!$M$2:$M$492,MATCH(317,'Output Utente'!$R$2:$R$492,0)),"")</f>
        <v/>
      </c>
      <c r="W320" t="str">
        <f t="shared" si="4"/>
        <v/>
      </c>
      <c r="X320" t="str">
        <f>IFERROR(INDEX('Output Utente'!$AF$2:$AF$492,MATCH(317,'Output Utente'!$R$2:$R$492,0)),"")</f>
        <v/>
      </c>
    </row>
    <row r="321" spans="1:24" ht="15" customHeight="1" x14ac:dyDescent="0.25">
      <c r="A321" s="26">
        <v>318</v>
      </c>
      <c r="B321" s="23" t="str">
        <f>IFERROR(INDEX('Output Utente'!$A$2:$A$492,MATCH(318,'Output Utente'!$R$2:$R$492,0)),"")</f>
        <v/>
      </c>
      <c r="C321" s="23" t="str">
        <f>IFERROR(INDEX('Output Utente'!$B$2:$B$492,MATCH(318,'Output Utente'!$R$2:$R$492,0)),"")</f>
        <v/>
      </c>
      <c r="D321" s="23" t="str">
        <f>IFERROR(INDEX('Output Utente'!$C$2:$C$492,MATCH(318,'Output Utente'!$R$2:$R$492,0)),"")</f>
        <v/>
      </c>
      <c r="E321" s="23" t="str">
        <f>IFERROR(INDEX('Input Giocatori 2026_27'!$D$3:$D$493,MATCH($B321,'Input Giocatori 2026_27'!$A$3:$A$493,0)),"")</f>
        <v/>
      </c>
      <c r="F321" s="24" t="str">
        <f>IFERROR(INDEX('Output Utente'!$N$2:$N$492,MATCH(318,'Output Utente'!$R$2:$R$492,0)),"")</f>
        <v/>
      </c>
      <c r="G321" s="23" t="str">
        <f>IFERROR(INDEX('Output Utente'!$O$2:$O$492,MATCH(318,'Output Utente'!$R$2:$R$492,0)),"")</f>
        <v/>
      </c>
      <c r="H321" s="23" t="str">
        <f>IFERROR(INDEX('Output Utente'!$P$2:$P$492,MATCH(318,'Output Utente'!$R$2:$R$492,0)),"")</f>
        <v/>
      </c>
      <c r="I321" s="24" t="str">
        <f>IFERROR(INDEX('Output Utente'!$F$2:$F$492,MATCH(318,'Output Utente'!$R$2:$R$492,0)),"")</f>
        <v/>
      </c>
      <c r="J321" s="24" t="str">
        <f>IFERROR(INDEX('Output Utente'!$G$2:$G$492,MATCH(318,'Output Utente'!$R$2:$R$492,0)),"")</f>
        <v/>
      </c>
      <c r="K321" s="24" t="str">
        <f>IFERROR(INDEX('Output Utente'!$H$2:$H$492,MATCH(318,'Output Utente'!$R$2:$R$492,0)),"")</f>
        <v/>
      </c>
      <c r="L321" s="23" t="str">
        <f>IFERROR(INDEX('Output Utente'!$E$2:$E$492,MATCH(318,'Output Utente'!$R$2:$R$492,0)),"")</f>
        <v/>
      </c>
      <c r="V321" t="str">
        <f>IFERROR(INDEX('Output Utente'!$M$2:$M$492,MATCH(318,'Output Utente'!$R$2:$R$492,0)),"")</f>
        <v/>
      </c>
      <c r="W321" t="str">
        <f t="shared" si="4"/>
        <v/>
      </c>
      <c r="X321" t="str">
        <f>IFERROR(INDEX('Output Utente'!$AF$2:$AF$492,MATCH(318,'Output Utente'!$R$2:$R$492,0)),"")</f>
        <v/>
      </c>
    </row>
    <row r="322" spans="1:24" ht="15" customHeight="1" x14ac:dyDescent="0.25">
      <c r="A322" s="26">
        <v>319</v>
      </c>
      <c r="B322" s="23" t="str">
        <f>IFERROR(INDEX('Output Utente'!$A$2:$A$492,MATCH(319,'Output Utente'!$R$2:$R$492,0)),"")</f>
        <v/>
      </c>
      <c r="C322" s="23" t="str">
        <f>IFERROR(INDEX('Output Utente'!$B$2:$B$492,MATCH(319,'Output Utente'!$R$2:$R$492,0)),"")</f>
        <v/>
      </c>
      <c r="D322" s="23" t="str">
        <f>IFERROR(INDEX('Output Utente'!$C$2:$C$492,MATCH(319,'Output Utente'!$R$2:$R$492,0)),"")</f>
        <v/>
      </c>
      <c r="E322" s="23" t="str">
        <f>IFERROR(INDEX('Input Giocatori 2026_27'!$D$3:$D$493,MATCH($B322,'Input Giocatori 2026_27'!$A$3:$A$493,0)),"")</f>
        <v/>
      </c>
      <c r="F322" s="24" t="str">
        <f>IFERROR(INDEX('Output Utente'!$N$2:$N$492,MATCH(319,'Output Utente'!$R$2:$R$492,0)),"")</f>
        <v/>
      </c>
      <c r="G322" s="23" t="str">
        <f>IFERROR(INDEX('Output Utente'!$O$2:$O$492,MATCH(319,'Output Utente'!$R$2:$R$492,0)),"")</f>
        <v/>
      </c>
      <c r="H322" s="23" t="str">
        <f>IFERROR(INDEX('Output Utente'!$P$2:$P$492,MATCH(319,'Output Utente'!$R$2:$R$492,0)),"")</f>
        <v/>
      </c>
      <c r="I322" s="24" t="str">
        <f>IFERROR(INDEX('Output Utente'!$F$2:$F$492,MATCH(319,'Output Utente'!$R$2:$R$492,0)),"")</f>
        <v/>
      </c>
      <c r="J322" s="24" t="str">
        <f>IFERROR(INDEX('Output Utente'!$G$2:$G$492,MATCH(319,'Output Utente'!$R$2:$R$492,0)),"")</f>
        <v/>
      </c>
      <c r="K322" s="24" t="str">
        <f>IFERROR(INDEX('Output Utente'!$H$2:$H$492,MATCH(319,'Output Utente'!$R$2:$R$492,0)),"")</f>
        <v/>
      </c>
      <c r="L322" s="23" t="str">
        <f>IFERROR(INDEX('Output Utente'!$E$2:$E$492,MATCH(319,'Output Utente'!$R$2:$R$492,0)),"")</f>
        <v/>
      </c>
      <c r="V322" t="str">
        <f>IFERROR(INDEX('Output Utente'!$M$2:$M$492,MATCH(319,'Output Utente'!$R$2:$R$492,0)),"")</f>
        <v/>
      </c>
      <c r="W322" t="str">
        <f t="shared" si="4"/>
        <v/>
      </c>
      <c r="X322" t="str">
        <f>IFERROR(INDEX('Output Utente'!$AF$2:$AF$492,MATCH(319,'Output Utente'!$R$2:$R$492,0)),"")</f>
        <v/>
      </c>
    </row>
    <row r="323" spans="1:24" ht="15" customHeight="1" x14ac:dyDescent="0.25">
      <c r="A323" s="26">
        <v>320</v>
      </c>
      <c r="B323" s="23" t="str">
        <f>IFERROR(INDEX('Output Utente'!$A$2:$A$492,MATCH(320,'Output Utente'!$R$2:$R$492,0)),"")</f>
        <v/>
      </c>
      <c r="C323" s="23" t="str">
        <f>IFERROR(INDEX('Output Utente'!$B$2:$B$492,MATCH(320,'Output Utente'!$R$2:$R$492,0)),"")</f>
        <v/>
      </c>
      <c r="D323" s="23" t="str">
        <f>IFERROR(INDEX('Output Utente'!$C$2:$C$492,MATCH(320,'Output Utente'!$R$2:$R$492,0)),"")</f>
        <v/>
      </c>
      <c r="E323" s="23" t="str">
        <f>IFERROR(INDEX('Input Giocatori 2026_27'!$D$3:$D$493,MATCH($B323,'Input Giocatori 2026_27'!$A$3:$A$493,0)),"")</f>
        <v/>
      </c>
      <c r="F323" s="24" t="str">
        <f>IFERROR(INDEX('Output Utente'!$N$2:$N$492,MATCH(320,'Output Utente'!$R$2:$R$492,0)),"")</f>
        <v/>
      </c>
      <c r="G323" s="23" t="str">
        <f>IFERROR(INDEX('Output Utente'!$O$2:$O$492,MATCH(320,'Output Utente'!$R$2:$R$492,0)),"")</f>
        <v/>
      </c>
      <c r="H323" s="23" t="str">
        <f>IFERROR(INDEX('Output Utente'!$P$2:$P$492,MATCH(320,'Output Utente'!$R$2:$R$492,0)),"")</f>
        <v/>
      </c>
      <c r="I323" s="24" t="str">
        <f>IFERROR(INDEX('Output Utente'!$F$2:$F$492,MATCH(320,'Output Utente'!$R$2:$R$492,0)),"")</f>
        <v/>
      </c>
      <c r="J323" s="24" t="str">
        <f>IFERROR(INDEX('Output Utente'!$G$2:$G$492,MATCH(320,'Output Utente'!$R$2:$R$492,0)),"")</f>
        <v/>
      </c>
      <c r="K323" s="24" t="str">
        <f>IFERROR(INDEX('Output Utente'!$H$2:$H$492,MATCH(320,'Output Utente'!$R$2:$R$492,0)),"")</f>
        <v/>
      </c>
      <c r="L323" s="23" t="str">
        <f>IFERROR(INDEX('Output Utente'!$E$2:$E$492,MATCH(320,'Output Utente'!$R$2:$R$492,0)),"")</f>
        <v/>
      </c>
      <c r="V323" t="str">
        <f>IFERROR(INDEX('Output Utente'!$M$2:$M$492,MATCH(320,'Output Utente'!$R$2:$R$492,0)),"")</f>
        <v/>
      </c>
      <c r="W323" t="str">
        <f t="shared" si="4"/>
        <v/>
      </c>
      <c r="X323" t="str">
        <f>IFERROR(INDEX('Output Utente'!$AF$2:$AF$492,MATCH(320,'Output Utente'!$R$2:$R$492,0)),"")</f>
        <v/>
      </c>
    </row>
    <row r="324" spans="1:24" ht="15" customHeight="1" x14ac:dyDescent="0.25">
      <c r="A324" s="26">
        <v>321</v>
      </c>
      <c r="B324" s="23" t="str">
        <f>IFERROR(INDEX('Output Utente'!$A$2:$A$492,MATCH(321,'Output Utente'!$R$2:$R$492,0)),"")</f>
        <v/>
      </c>
      <c r="C324" s="23" t="str">
        <f>IFERROR(INDEX('Output Utente'!$B$2:$B$492,MATCH(321,'Output Utente'!$R$2:$R$492,0)),"")</f>
        <v/>
      </c>
      <c r="D324" s="23" t="str">
        <f>IFERROR(INDEX('Output Utente'!$C$2:$C$492,MATCH(321,'Output Utente'!$R$2:$R$492,0)),"")</f>
        <v/>
      </c>
      <c r="E324" s="23" t="str">
        <f>IFERROR(INDEX('Input Giocatori 2026_27'!$D$3:$D$493,MATCH($B324,'Input Giocatori 2026_27'!$A$3:$A$493,0)),"")</f>
        <v/>
      </c>
      <c r="F324" s="24" t="str">
        <f>IFERROR(INDEX('Output Utente'!$N$2:$N$492,MATCH(321,'Output Utente'!$R$2:$R$492,0)),"")</f>
        <v/>
      </c>
      <c r="G324" s="23" t="str">
        <f>IFERROR(INDEX('Output Utente'!$O$2:$O$492,MATCH(321,'Output Utente'!$R$2:$R$492,0)),"")</f>
        <v/>
      </c>
      <c r="H324" s="23" t="str">
        <f>IFERROR(INDEX('Output Utente'!$P$2:$P$492,MATCH(321,'Output Utente'!$R$2:$R$492,0)),"")</f>
        <v/>
      </c>
      <c r="I324" s="24" t="str">
        <f>IFERROR(INDEX('Output Utente'!$F$2:$F$492,MATCH(321,'Output Utente'!$R$2:$R$492,0)),"")</f>
        <v/>
      </c>
      <c r="J324" s="24" t="str">
        <f>IFERROR(INDEX('Output Utente'!$G$2:$G$492,MATCH(321,'Output Utente'!$R$2:$R$492,0)),"")</f>
        <v/>
      </c>
      <c r="K324" s="24" t="str">
        <f>IFERROR(INDEX('Output Utente'!$H$2:$H$492,MATCH(321,'Output Utente'!$R$2:$R$492,0)),"")</f>
        <v/>
      </c>
      <c r="L324" s="23" t="str">
        <f>IFERROR(INDEX('Output Utente'!$E$2:$E$492,MATCH(321,'Output Utente'!$R$2:$R$492,0)),"")</f>
        <v/>
      </c>
      <c r="V324" t="str">
        <f>IFERROR(INDEX('Output Utente'!$M$2:$M$492,MATCH(321,'Output Utente'!$R$2:$R$492,0)),"")</f>
        <v/>
      </c>
      <c r="W324" t="str">
        <f t="shared" ref="W324:W387" si="5">IF(OR($G324="",$V324=""),"",$G324-$V324)</f>
        <v/>
      </c>
      <c r="X324" t="str">
        <f>IFERROR(INDEX('Output Utente'!$AF$2:$AF$492,MATCH(321,'Output Utente'!$R$2:$R$492,0)),"")</f>
        <v/>
      </c>
    </row>
    <row r="325" spans="1:24" ht="15" customHeight="1" x14ac:dyDescent="0.25">
      <c r="A325" s="26">
        <v>322</v>
      </c>
      <c r="B325" s="23" t="str">
        <f>IFERROR(INDEX('Output Utente'!$A$2:$A$492,MATCH(322,'Output Utente'!$R$2:$R$492,0)),"")</f>
        <v/>
      </c>
      <c r="C325" s="23" t="str">
        <f>IFERROR(INDEX('Output Utente'!$B$2:$B$492,MATCH(322,'Output Utente'!$R$2:$R$492,0)),"")</f>
        <v/>
      </c>
      <c r="D325" s="23" t="str">
        <f>IFERROR(INDEX('Output Utente'!$C$2:$C$492,MATCH(322,'Output Utente'!$R$2:$R$492,0)),"")</f>
        <v/>
      </c>
      <c r="E325" s="23" t="str">
        <f>IFERROR(INDEX('Input Giocatori 2026_27'!$D$3:$D$493,MATCH($B325,'Input Giocatori 2026_27'!$A$3:$A$493,0)),"")</f>
        <v/>
      </c>
      <c r="F325" s="24" t="str">
        <f>IFERROR(INDEX('Output Utente'!$N$2:$N$492,MATCH(322,'Output Utente'!$R$2:$R$492,0)),"")</f>
        <v/>
      </c>
      <c r="G325" s="23" t="str">
        <f>IFERROR(INDEX('Output Utente'!$O$2:$O$492,MATCH(322,'Output Utente'!$R$2:$R$492,0)),"")</f>
        <v/>
      </c>
      <c r="H325" s="23" t="str">
        <f>IFERROR(INDEX('Output Utente'!$P$2:$P$492,MATCH(322,'Output Utente'!$R$2:$R$492,0)),"")</f>
        <v/>
      </c>
      <c r="I325" s="24" t="str">
        <f>IFERROR(INDEX('Output Utente'!$F$2:$F$492,MATCH(322,'Output Utente'!$R$2:$R$492,0)),"")</f>
        <v/>
      </c>
      <c r="J325" s="24" t="str">
        <f>IFERROR(INDEX('Output Utente'!$G$2:$G$492,MATCH(322,'Output Utente'!$R$2:$R$492,0)),"")</f>
        <v/>
      </c>
      <c r="K325" s="24" t="str">
        <f>IFERROR(INDEX('Output Utente'!$H$2:$H$492,MATCH(322,'Output Utente'!$R$2:$R$492,0)),"")</f>
        <v/>
      </c>
      <c r="L325" s="23" t="str">
        <f>IFERROR(INDEX('Output Utente'!$E$2:$E$492,MATCH(322,'Output Utente'!$R$2:$R$492,0)),"")</f>
        <v/>
      </c>
      <c r="V325" t="str">
        <f>IFERROR(INDEX('Output Utente'!$M$2:$M$492,MATCH(322,'Output Utente'!$R$2:$R$492,0)),"")</f>
        <v/>
      </c>
      <c r="W325" t="str">
        <f t="shared" si="5"/>
        <v/>
      </c>
      <c r="X325" t="str">
        <f>IFERROR(INDEX('Output Utente'!$AF$2:$AF$492,MATCH(322,'Output Utente'!$R$2:$R$492,0)),"")</f>
        <v/>
      </c>
    </row>
    <row r="326" spans="1:24" ht="15" customHeight="1" x14ac:dyDescent="0.25">
      <c r="A326" s="26">
        <v>323</v>
      </c>
      <c r="B326" s="23" t="str">
        <f>IFERROR(INDEX('Output Utente'!$A$2:$A$492,MATCH(323,'Output Utente'!$R$2:$R$492,0)),"")</f>
        <v/>
      </c>
      <c r="C326" s="23" t="str">
        <f>IFERROR(INDEX('Output Utente'!$B$2:$B$492,MATCH(323,'Output Utente'!$R$2:$R$492,0)),"")</f>
        <v/>
      </c>
      <c r="D326" s="23" t="str">
        <f>IFERROR(INDEX('Output Utente'!$C$2:$C$492,MATCH(323,'Output Utente'!$R$2:$R$492,0)),"")</f>
        <v/>
      </c>
      <c r="E326" s="23" t="str">
        <f>IFERROR(INDEX('Input Giocatori 2026_27'!$D$3:$D$493,MATCH($B326,'Input Giocatori 2026_27'!$A$3:$A$493,0)),"")</f>
        <v/>
      </c>
      <c r="F326" s="24" t="str">
        <f>IFERROR(INDEX('Output Utente'!$N$2:$N$492,MATCH(323,'Output Utente'!$R$2:$R$492,0)),"")</f>
        <v/>
      </c>
      <c r="G326" s="23" t="str">
        <f>IFERROR(INDEX('Output Utente'!$O$2:$O$492,MATCH(323,'Output Utente'!$R$2:$R$492,0)),"")</f>
        <v/>
      </c>
      <c r="H326" s="23" t="str">
        <f>IFERROR(INDEX('Output Utente'!$P$2:$P$492,MATCH(323,'Output Utente'!$R$2:$R$492,0)),"")</f>
        <v/>
      </c>
      <c r="I326" s="24" t="str">
        <f>IFERROR(INDEX('Output Utente'!$F$2:$F$492,MATCH(323,'Output Utente'!$R$2:$R$492,0)),"")</f>
        <v/>
      </c>
      <c r="J326" s="24" t="str">
        <f>IFERROR(INDEX('Output Utente'!$G$2:$G$492,MATCH(323,'Output Utente'!$R$2:$R$492,0)),"")</f>
        <v/>
      </c>
      <c r="K326" s="24" t="str">
        <f>IFERROR(INDEX('Output Utente'!$H$2:$H$492,MATCH(323,'Output Utente'!$R$2:$R$492,0)),"")</f>
        <v/>
      </c>
      <c r="L326" s="23" t="str">
        <f>IFERROR(INDEX('Output Utente'!$E$2:$E$492,MATCH(323,'Output Utente'!$R$2:$R$492,0)),"")</f>
        <v/>
      </c>
      <c r="V326" t="str">
        <f>IFERROR(INDEX('Output Utente'!$M$2:$M$492,MATCH(323,'Output Utente'!$R$2:$R$492,0)),"")</f>
        <v/>
      </c>
      <c r="W326" t="str">
        <f t="shared" si="5"/>
        <v/>
      </c>
      <c r="X326" t="str">
        <f>IFERROR(INDEX('Output Utente'!$AF$2:$AF$492,MATCH(323,'Output Utente'!$R$2:$R$492,0)),"")</f>
        <v/>
      </c>
    </row>
    <row r="327" spans="1:24" ht="15" customHeight="1" x14ac:dyDescent="0.25">
      <c r="A327" s="26">
        <v>324</v>
      </c>
      <c r="B327" s="23" t="str">
        <f>IFERROR(INDEX('Output Utente'!$A$2:$A$492,MATCH(324,'Output Utente'!$R$2:$R$492,0)),"")</f>
        <v/>
      </c>
      <c r="C327" s="23" t="str">
        <f>IFERROR(INDEX('Output Utente'!$B$2:$B$492,MATCH(324,'Output Utente'!$R$2:$R$492,0)),"")</f>
        <v/>
      </c>
      <c r="D327" s="23" t="str">
        <f>IFERROR(INDEX('Output Utente'!$C$2:$C$492,MATCH(324,'Output Utente'!$R$2:$R$492,0)),"")</f>
        <v/>
      </c>
      <c r="E327" s="23" t="str">
        <f>IFERROR(INDEX('Input Giocatori 2026_27'!$D$3:$D$493,MATCH($B327,'Input Giocatori 2026_27'!$A$3:$A$493,0)),"")</f>
        <v/>
      </c>
      <c r="F327" s="24" t="str">
        <f>IFERROR(INDEX('Output Utente'!$N$2:$N$492,MATCH(324,'Output Utente'!$R$2:$R$492,0)),"")</f>
        <v/>
      </c>
      <c r="G327" s="23" t="str">
        <f>IFERROR(INDEX('Output Utente'!$O$2:$O$492,MATCH(324,'Output Utente'!$R$2:$R$492,0)),"")</f>
        <v/>
      </c>
      <c r="H327" s="23" t="str">
        <f>IFERROR(INDEX('Output Utente'!$P$2:$P$492,MATCH(324,'Output Utente'!$R$2:$R$492,0)),"")</f>
        <v/>
      </c>
      <c r="I327" s="24" t="str">
        <f>IFERROR(INDEX('Output Utente'!$F$2:$F$492,MATCH(324,'Output Utente'!$R$2:$R$492,0)),"")</f>
        <v/>
      </c>
      <c r="J327" s="24" t="str">
        <f>IFERROR(INDEX('Output Utente'!$G$2:$G$492,MATCH(324,'Output Utente'!$R$2:$R$492,0)),"")</f>
        <v/>
      </c>
      <c r="K327" s="24" t="str">
        <f>IFERROR(INDEX('Output Utente'!$H$2:$H$492,MATCH(324,'Output Utente'!$R$2:$R$492,0)),"")</f>
        <v/>
      </c>
      <c r="L327" s="23" t="str">
        <f>IFERROR(INDEX('Output Utente'!$E$2:$E$492,MATCH(324,'Output Utente'!$R$2:$R$492,0)),"")</f>
        <v/>
      </c>
      <c r="V327" t="str">
        <f>IFERROR(INDEX('Output Utente'!$M$2:$M$492,MATCH(324,'Output Utente'!$R$2:$R$492,0)),"")</f>
        <v/>
      </c>
      <c r="W327" t="str">
        <f t="shared" si="5"/>
        <v/>
      </c>
      <c r="X327" t="str">
        <f>IFERROR(INDEX('Output Utente'!$AF$2:$AF$492,MATCH(324,'Output Utente'!$R$2:$R$492,0)),"")</f>
        <v/>
      </c>
    </row>
    <row r="328" spans="1:24" ht="15" customHeight="1" x14ac:dyDescent="0.25">
      <c r="A328" s="26">
        <v>325</v>
      </c>
      <c r="B328" s="23" t="str">
        <f>IFERROR(INDEX('Output Utente'!$A$2:$A$492,MATCH(325,'Output Utente'!$R$2:$R$492,0)),"")</f>
        <v/>
      </c>
      <c r="C328" s="23" t="str">
        <f>IFERROR(INDEX('Output Utente'!$B$2:$B$492,MATCH(325,'Output Utente'!$R$2:$R$492,0)),"")</f>
        <v/>
      </c>
      <c r="D328" s="23" t="str">
        <f>IFERROR(INDEX('Output Utente'!$C$2:$C$492,MATCH(325,'Output Utente'!$R$2:$R$492,0)),"")</f>
        <v/>
      </c>
      <c r="E328" s="23" t="str">
        <f>IFERROR(INDEX('Input Giocatori 2026_27'!$D$3:$D$493,MATCH($B328,'Input Giocatori 2026_27'!$A$3:$A$493,0)),"")</f>
        <v/>
      </c>
      <c r="F328" s="24" t="str">
        <f>IFERROR(INDEX('Output Utente'!$N$2:$N$492,MATCH(325,'Output Utente'!$R$2:$R$492,0)),"")</f>
        <v/>
      </c>
      <c r="G328" s="23" t="str">
        <f>IFERROR(INDEX('Output Utente'!$O$2:$O$492,MATCH(325,'Output Utente'!$R$2:$R$492,0)),"")</f>
        <v/>
      </c>
      <c r="H328" s="23" t="str">
        <f>IFERROR(INDEX('Output Utente'!$P$2:$P$492,MATCH(325,'Output Utente'!$R$2:$R$492,0)),"")</f>
        <v/>
      </c>
      <c r="I328" s="24" t="str">
        <f>IFERROR(INDEX('Output Utente'!$F$2:$F$492,MATCH(325,'Output Utente'!$R$2:$R$492,0)),"")</f>
        <v/>
      </c>
      <c r="J328" s="24" t="str">
        <f>IFERROR(INDEX('Output Utente'!$G$2:$G$492,MATCH(325,'Output Utente'!$R$2:$R$492,0)),"")</f>
        <v/>
      </c>
      <c r="K328" s="24" t="str">
        <f>IFERROR(INDEX('Output Utente'!$H$2:$H$492,MATCH(325,'Output Utente'!$R$2:$R$492,0)),"")</f>
        <v/>
      </c>
      <c r="L328" s="23" t="str">
        <f>IFERROR(INDEX('Output Utente'!$E$2:$E$492,MATCH(325,'Output Utente'!$R$2:$R$492,0)),"")</f>
        <v/>
      </c>
      <c r="V328" t="str">
        <f>IFERROR(INDEX('Output Utente'!$M$2:$M$492,MATCH(325,'Output Utente'!$R$2:$R$492,0)),"")</f>
        <v/>
      </c>
      <c r="W328" t="str">
        <f t="shared" si="5"/>
        <v/>
      </c>
      <c r="X328" t="str">
        <f>IFERROR(INDEX('Output Utente'!$AF$2:$AF$492,MATCH(325,'Output Utente'!$R$2:$R$492,0)),"")</f>
        <v/>
      </c>
    </row>
    <row r="329" spans="1:24" ht="15" customHeight="1" x14ac:dyDescent="0.25">
      <c r="A329" s="26">
        <v>326</v>
      </c>
      <c r="B329" s="23" t="str">
        <f>IFERROR(INDEX('Output Utente'!$A$2:$A$492,MATCH(326,'Output Utente'!$R$2:$R$492,0)),"")</f>
        <v/>
      </c>
      <c r="C329" s="23" t="str">
        <f>IFERROR(INDEX('Output Utente'!$B$2:$B$492,MATCH(326,'Output Utente'!$R$2:$R$492,0)),"")</f>
        <v/>
      </c>
      <c r="D329" s="23" t="str">
        <f>IFERROR(INDEX('Output Utente'!$C$2:$C$492,MATCH(326,'Output Utente'!$R$2:$R$492,0)),"")</f>
        <v/>
      </c>
      <c r="E329" s="23" t="str">
        <f>IFERROR(INDEX('Input Giocatori 2026_27'!$D$3:$D$493,MATCH($B329,'Input Giocatori 2026_27'!$A$3:$A$493,0)),"")</f>
        <v/>
      </c>
      <c r="F329" s="24" t="str">
        <f>IFERROR(INDEX('Output Utente'!$N$2:$N$492,MATCH(326,'Output Utente'!$R$2:$R$492,0)),"")</f>
        <v/>
      </c>
      <c r="G329" s="23" t="str">
        <f>IFERROR(INDEX('Output Utente'!$O$2:$O$492,MATCH(326,'Output Utente'!$R$2:$R$492,0)),"")</f>
        <v/>
      </c>
      <c r="H329" s="23" t="str">
        <f>IFERROR(INDEX('Output Utente'!$P$2:$P$492,MATCH(326,'Output Utente'!$R$2:$R$492,0)),"")</f>
        <v/>
      </c>
      <c r="I329" s="24" t="str">
        <f>IFERROR(INDEX('Output Utente'!$F$2:$F$492,MATCH(326,'Output Utente'!$R$2:$R$492,0)),"")</f>
        <v/>
      </c>
      <c r="J329" s="24" t="str">
        <f>IFERROR(INDEX('Output Utente'!$G$2:$G$492,MATCH(326,'Output Utente'!$R$2:$R$492,0)),"")</f>
        <v/>
      </c>
      <c r="K329" s="24" t="str">
        <f>IFERROR(INDEX('Output Utente'!$H$2:$H$492,MATCH(326,'Output Utente'!$R$2:$R$492,0)),"")</f>
        <v/>
      </c>
      <c r="L329" s="23" t="str">
        <f>IFERROR(INDEX('Output Utente'!$E$2:$E$492,MATCH(326,'Output Utente'!$R$2:$R$492,0)),"")</f>
        <v/>
      </c>
      <c r="V329" t="str">
        <f>IFERROR(INDEX('Output Utente'!$M$2:$M$492,MATCH(326,'Output Utente'!$R$2:$R$492,0)),"")</f>
        <v/>
      </c>
      <c r="W329" t="str">
        <f t="shared" si="5"/>
        <v/>
      </c>
      <c r="X329" t="str">
        <f>IFERROR(INDEX('Output Utente'!$AF$2:$AF$492,MATCH(326,'Output Utente'!$R$2:$R$492,0)),"")</f>
        <v/>
      </c>
    </row>
    <row r="330" spans="1:24" ht="15" customHeight="1" x14ac:dyDescent="0.25">
      <c r="A330" s="26">
        <v>327</v>
      </c>
      <c r="B330" s="23" t="str">
        <f>IFERROR(INDEX('Output Utente'!$A$2:$A$492,MATCH(327,'Output Utente'!$R$2:$R$492,0)),"")</f>
        <v/>
      </c>
      <c r="C330" s="23" t="str">
        <f>IFERROR(INDEX('Output Utente'!$B$2:$B$492,MATCH(327,'Output Utente'!$R$2:$R$492,0)),"")</f>
        <v/>
      </c>
      <c r="D330" s="23" t="str">
        <f>IFERROR(INDEX('Output Utente'!$C$2:$C$492,MATCH(327,'Output Utente'!$R$2:$R$492,0)),"")</f>
        <v/>
      </c>
      <c r="E330" s="23" t="str">
        <f>IFERROR(INDEX('Input Giocatori 2026_27'!$D$3:$D$493,MATCH($B330,'Input Giocatori 2026_27'!$A$3:$A$493,0)),"")</f>
        <v/>
      </c>
      <c r="F330" s="24" t="str">
        <f>IFERROR(INDEX('Output Utente'!$N$2:$N$492,MATCH(327,'Output Utente'!$R$2:$R$492,0)),"")</f>
        <v/>
      </c>
      <c r="G330" s="23" t="str">
        <f>IFERROR(INDEX('Output Utente'!$O$2:$O$492,MATCH(327,'Output Utente'!$R$2:$R$492,0)),"")</f>
        <v/>
      </c>
      <c r="H330" s="23" t="str">
        <f>IFERROR(INDEX('Output Utente'!$P$2:$P$492,MATCH(327,'Output Utente'!$R$2:$R$492,0)),"")</f>
        <v/>
      </c>
      <c r="I330" s="24" t="str">
        <f>IFERROR(INDEX('Output Utente'!$F$2:$F$492,MATCH(327,'Output Utente'!$R$2:$R$492,0)),"")</f>
        <v/>
      </c>
      <c r="J330" s="24" t="str">
        <f>IFERROR(INDEX('Output Utente'!$G$2:$G$492,MATCH(327,'Output Utente'!$R$2:$R$492,0)),"")</f>
        <v/>
      </c>
      <c r="K330" s="24" t="str">
        <f>IFERROR(INDEX('Output Utente'!$H$2:$H$492,MATCH(327,'Output Utente'!$R$2:$R$492,0)),"")</f>
        <v/>
      </c>
      <c r="L330" s="23" t="str">
        <f>IFERROR(INDEX('Output Utente'!$E$2:$E$492,MATCH(327,'Output Utente'!$R$2:$R$492,0)),"")</f>
        <v/>
      </c>
      <c r="V330" t="str">
        <f>IFERROR(INDEX('Output Utente'!$M$2:$M$492,MATCH(327,'Output Utente'!$R$2:$R$492,0)),"")</f>
        <v/>
      </c>
      <c r="W330" t="str">
        <f t="shared" si="5"/>
        <v/>
      </c>
      <c r="X330" t="str">
        <f>IFERROR(INDEX('Output Utente'!$AF$2:$AF$492,MATCH(327,'Output Utente'!$R$2:$R$492,0)),"")</f>
        <v/>
      </c>
    </row>
    <row r="331" spans="1:24" ht="15" customHeight="1" x14ac:dyDescent="0.25">
      <c r="A331" s="26">
        <v>328</v>
      </c>
      <c r="B331" s="23" t="str">
        <f>IFERROR(INDEX('Output Utente'!$A$2:$A$492,MATCH(328,'Output Utente'!$R$2:$R$492,0)),"")</f>
        <v/>
      </c>
      <c r="C331" s="23" t="str">
        <f>IFERROR(INDEX('Output Utente'!$B$2:$B$492,MATCH(328,'Output Utente'!$R$2:$R$492,0)),"")</f>
        <v/>
      </c>
      <c r="D331" s="23" t="str">
        <f>IFERROR(INDEX('Output Utente'!$C$2:$C$492,MATCH(328,'Output Utente'!$R$2:$R$492,0)),"")</f>
        <v/>
      </c>
      <c r="E331" s="23" t="str">
        <f>IFERROR(INDEX('Input Giocatori 2026_27'!$D$3:$D$493,MATCH($B331,'Input Giocatori 2026_27'!$A$3:$A$493,0)),"")</f>
        <v/>
      </c>
      <c r="F331" s="24" t="str">
        <f>IFERROR(INDEX('Output Utente'!$N$2:$N$492,MATCH(328,'Output Utente'!$R$2:$R$492,0)),"")</f>
        <v/>
      </c>
      <c r="G331" s="23" t="str">
        <f>IFERROR(INDEX('Output Utente'!$O$2:$O$492,MATCH(328,'Output Utente'!$R$2:$R$492,0)),"")</f>
        <v/>
      </c>
      <c r="H331" s="23" t="str">
        <f>IFERROR(INDEX('Output Utente'!$P$2:$P$492,MATCH(328,'Output Utente'!$R$2:$R$492,0)),"")</f>
        <v/>
      </c>
      <c r="I331" s="24" t="str">
        <f>IFERROR(INDEX('Output Utente'!$F$2:$F$492,MATCH(328,'Output Utente'!$R$2:$R$492,0)),"")</f>
        <v/>
      </c>
      <c r="J331" s="24" t="str">
        <f>IFERROR(INDEX('Output Utente'!$G$2:$G$492,MATCH(328,'Output Utente'!$R$2:$R$492,0)),"")</f>
        <v/>
      </c>
      <c r="K331" s="24" t="str">
        <f>IFERROR(INDEX('Output Utente'!$H$2:$H$492,MATCH(328,'Output Utente'!$R$2:$R$492,0)),"")</f>
        <v/>
      </c>
      <c r="L331" s="23" t="str">
        <f>IFERROR(INDEX('Output Utente'!$E$2:$E$492,MATCH(328,'Output Utente'!$R$2:$R$492,0)),"")</f>
        <v/>
      </c>
      <c r="V331" t="str">
        <f>IFERROR(INDEX('Output Utente'!$M$2:$M$492,MATCH(328,'Output Utente'!$R$2:$R$492,0)),"")</f>
        <v/>
      </c>
      <c r="W331" t="str">
        <f t="shared" si="5"/>
        <v/>
      </c>
      <c r="X331" t="str">
        <f>IFERROR(INDEX('Output Utente'!$AF$2:$AF$492,MATCH(328,'Output Utente'!$R$2:$R$492,0)),"")</f>
        <v/>
      </c>
    </row>
    <row r="332" spans="1:24" ht="15" customHeight="1" x14ac:dyDescent="0.25">
      <c r="A332" s="26">
        <v>329</v>
      </c>
      <c r="B332" s="23" t="str">
        <f>IFERROR(INDEX('Output Utente'!$A$2:$A$492,MATCH(329,'Output Utente'!$R$2:$R$492,0)),"")</f>
        <v/>
      </c>
      <c r="C332" s="23" t="str">
        <f>IFERROR(INDEX('Output Utente'!$B$2:$B$492,MATCH(329,'Output Utente'!$R$2:$R$492,0)),"")</f>
        <v/>
      </c>
      <c r="D332" s="23" t="str">
        <f>IFERROR(INDEX('Output Utente'!$C$2:$C$492,MATCH(329,'Output Utente'!$R$2:$R$492,0)),"")</f>
        <v/>
      </c>
      <c r="E332" s="23" t="str">
        <f>IFERROR(INDEX('Input Giocatori 2026_27'!$D$3:$D$493,MATCH($B332,'Input Giocatori 2026_27'!$A$3:$A$493,0)),"")</f>
        <v/>
      </c>
      <c r="F332" s="24" t="str">
        <f>IFERROR(INDEX('Output Utente'!$N$2:$N$492,MATCH(329,'Output Utente'!$R$2:$R$492,0)),"")</f>
        <v/>
      </c>
      <c r="G332" s="23" t="str">
        <f>IFERROR(INDEX('Output Utente'!$O$2:$O$492,MATCH(329,'Output Utente'!$R$2:$R$492,0)),"")</f>
        <v/>
      </c>
      <c r="H332" s="23" t="str">
        <f>IFERROR(INDEX('Output Utente'!$P$2:$P$492,MATCH(329,'Output Utente'!$R$2:$R$492,0)),"")</f>
        <v/>
      </c>
      <c r="I332" s="24" t="str">
        <f>IFERROR(INDEX('Output Utente'!$F$2:$F$492,MATCH(329,'Output Utente'!$R$2:$R$492,0)),"")</f>
        <v/>
      </c>
      <c r="J332" s="24" t="str">
        <f>IFERROR(INDEX('Output Utente'!$G$2:$G$492,MATCH(329,'Output Utente'!$R$2:$R$492,0)),"")</f>
        <v/>
      </c>
      <c r="K332" s="24" t="str">
        <f>IFERROR(INDEX('Output Utente'!$H$2:$H$492,MATCH(329,'Output Utente'!$R$2:$R$492,0)),"")</f>
        <v/>
      </c>
      <c r="L332" s="23" t="str">
        <f>IFERROR(INDEX('Output Utente'!$E$2:$E$492,MATCH(329,'Output Utente'!$R$2:$R$492,0)),"")</f>
        <v/>
      </c>
      <c r="V332" t="str">
        <f>IFERROR(INDEX('Output Utente'!$M$2:$M$492,MATCH(329,'Output Utente'!$R$2:$R$492,0)),"")</f>
        <v/>
      </c>
      <c r="W332" t="str">
        <f t="shared" si="5"/>
        <v/>
      </c>
      <c r="X332" t="str">
        <f>IFERROR(INDEX('Output Utente'!$AF$2:$AF$492,MATCH(329,'Output Utente'!$R$2:$R$492,0)),"")</f>
        <v/>
      </c>
    </row>
    <row r="333" spans="1:24" ht="15" customHeight="1" x14ac:dyDescent="0.25">
      <c r="A333" s="26">
        <v>330</v>
      </c>
      <c r="B333" s="23" t="str">
        <f>IFERROR(INDEX('Output Utente'!$A$2:$A$492,MATCH(330,'Output Utente'!$R$2:$R$492,0)),"")</f>
        <v/>
      </c>
      <c r="C333" s="23" t="str">
        <f>IFERROR(INDEX('Output Utente'!$B$2:$B$492,MATCH(330,'Output Utente'!$R$2:$R$492,0)),"")</f>
        <v/>
      </c>
      <c r="D333" s="23" t="str">
        <f>IFERROR(INDEX('Output Utente'!$C$2:$C$492,MATCH(330,'Output Utente'!$R$2:$R$492,0)),"")</f>
        <v/>
      </c>
      <c r="E333" s="23" t="str">
        <f>IFERROR(INDEX('Input Giocatori 2026_27'!$D$3:$D$493,MATCH($B333,'Input Giocatori 2026_27'!$A$3:$A$493,0)),"")</f>
        <v/>
      </c>
      <c r="F333" s="24" t="str">
        <f>IFERROR(INDEX('Output Utente'!$N$2:$N$492,MATCH(330,'Output Utente'!$R$2:$R$492,0)),"")</f>
        <v/>
      </c>
      <c r="G333" s="23" t="str">
        <f>IFERROR(INDEX('Output Utente'!$O$2:$O$492,MATCH(330,'Output Utente'!$R$2:$R$492,0)),"")</f>
        <v/>
      </c>
      <c r="H333" s="23" t="str">
        <f>IFERROR(INDEX('Output Utente'!$P$2:$P$492,MATCH(330,'Output Utente'!$R$2:$R$492,0)),"")</f>
        <v/>
      </c>
      <c r="I333" s="24" t="str">
        <f>IFERROR(INDEX('Output Utente'!$F$2:$F$492,MATCH(330,'Output Utente'!$R$2:$R$492,0)),"")</f>
        <v/>
      </c>
      <c r="J333" s="24" t="str">
        <f>IFERROR(INDEX('Output Utente'!$G$2:$G$492,MATCH(330,'Output Utente'!$R$2:$R$492,0)),"")</f>
        <v/>
      </c>
      <c r="K333" s="24" t="str">
        <f>IFERROR(INDEX('Output Utente'!$H$2:$H$492,MATCH(330,'Output Utente'!$R$2:$R$492,0)),"")</f>
        <v/>
      </c>
      <c r="L333" s="23" t="str">
        <f>IFERROR(INDEX('Output Utente'!$E$2:$E$492,MATCH(330,'Output Utente'!$R$2:$R$492,0)),"")</f>
        <v/>
      </c>
      <c r="V333" t="str">
        <f>IFERROR(INDEX('Output Utente'!$M$2:$M$492,MATCH(330,'Output Utente'!$R$2:$R$492,0)),"")</f>
        <v/>
      </c>
      <c r="W333" t="str">
        <f t="shared" si="5"/>
        <v/>
      </c>
      <c r="X333" t="str">
        <f>IFERROR(INDEX('Output Utente'!$AF$2:$AF$492,MATCH(330,'Output Utente'!$R$2:$R$492,0)),"")</f>
        <v/>
      </c>
    </row>
    <row r="334" spans="1:24" ht="15" customHeight="1" x14ac:dyDescent="0.25">
      <c r="A334" s="26">
        <v>331</v>
      </c>
      <c r="B334" s="23" t="str">
        <f>IFERROR(INDEX('Output Utente'!$A$2:$A$492,MATCH(331,'Output Utente'!$R$2:$R$492,0)),"")</f>
        <v/>
      </c>
      <c r="C334" s="23" t="str">
        <f>IFERROR(INDEX('Output Utente'!$B$2:$B$492,MATCH(331,'Output Utente'!$R$2:$R$492,0)),"")</f>
        <v/>
      </c>
      <c r="D334" s="23" t="str">
        <f>IFERROR(INDEX('Output Utente'!$C$2:$C$492,MATCH(331,'Output Utente'!$R$2:$R$492,0)),"")</f>
        <v/>
      </c>
      <c r="E334" s="23" t="str">
        <f>IFERROR(INDEX('Input Giocatori 2026_27'!$D$3:$D$493,MATCH($B334,'Input Giocatori 2026_27'!$A$3:$A$493,0)),"")</f>
        <v/>
      </c>
      <c r="F334" s="24" t="str">
        <f>IFERROR(INDEX('Output Utente'!$N$2:$N$492,MATCH(331,'Output Utente'!$R$2:$R$492,0)),"")</f>
        <v/>
      </c>
      <c r="G334" s="23" t="str">
        <f>IFERROR(INDEX('Output Utente'!$O$2:$O$492,MATCH(331,'Output Utente'!$R$2:$R$492,0)),"")</f>
        <v/>
      </c>
      <c r="H334" s="23" t="str">
        <f>IFERROR(INDEX('Output Utente'!$P$2:$P$492,MATCH(331,'Output Utente'!$R$2:$R$492,0)),"")</f>
        <v/>
      </c>
      <c r="I334" s="24" t="str">
        <f>IFERROR(INDEX('Output Utente'!$F$2:$F$492,MATCH(331,'Output Utente'!$R$2:$R$492,0)),"")</f>
        <v/>
      </c>
      <c r="J334" s="24" t="str">
        <f>IFERROR(INDEX('Output Utente'!$G$2:$G$492,MATCH(331,'Output Utente'!$R$2:$R$492,0)),"")</f>
        <v/>
      </c>
      <c r="K334" s="24" t="str">
        <f>IFERROR(INDEX('Output Utente'!$H$2:$H$492,MATCH(331,'Output Utente'!$R$2:$R$492,0)),"")</f>
        <v/>
      </c>
      <c r="L334" s="23" t="str">
        <f>IFERROR(INDEX('Output Utente'!$E$2:$E$492,MATCH(331,'Output Utente'!$R$2:$R$492,0)),"")</f>
        <v/>
      </c>
      <c r="V334" t="str">
        <f>IFERROR(INDEX('Output Utente'!$M$2:$M$492,MATCH(331,'Output Utente'!$R$2:$R$492,0)),"")</f>
        <v/>
      </c>
      <c r="W334" t="str">
        <f t="shared" si="5"/>
        <v/>
      </c>
      <c r="X334" t="str">
        <f>IFERROR(INDEX('Output Utente'!$AF$2:$AF$492,MATCH(331,'Output Utente'!$R$2:$R$492,0)),"")</f>
        <v/>
      </c>
    </row>
    <row r="335" spans="1:24" ht="15" customHeight="1" x14ac:dyDescent="0.25">
      <c r="A335" s="26">
        <v>332</v>
      </c>
      <c r="B335" s="23" t="str">
        <f>IFERROR(INDEX('Output Utente'!$A$2:$A$492,MATCH(332,'Output Utente'!$R$2:$R$492,0)),"")</f>
        <v/>
      </c>
      <c r="C335" s="23" t="str">
        <f>IFERROR(INDEX('Output Utente'!$B$2:$B$492,MATCH(332,'Output Utente'!$R$2:$R$492,0)),"")</f>
        <v/>
      </c>
      <c r="D335" s="23" t="str">
        <f>IFERROR(INDEX('Output Utente'!$C$2:$C$492,MATCH(332,'Output Utente'!$R$2:$R$492,0)),"")</f>
        <v/>
      </c>
      <c r="E335" s="23" t="str">
        <f>IFERROR(INDEX('Input Giocatori 2026_27'!$D$3:$D$493,MATCH($B335,'Input Giocatori 2026_27'!$A$3:$A$493,0)),"")</f>
        <v/>
      </c>
      <c r="F335" s="24" t="str">
        <f>IFERROR(INDEX('Output Utente'!$N$2:$N$492,MATCH(332,'Output Utente'!$R$2:$R$492,0)),"")</f>
        <v/>
      </c>
      <c r="G335" s="23" t="str">
        <f>IFERROR(INDEX('Output Utente'!$O$2:$O$492,MATCH(332,'Output Utente'!$R$2:$R$492,0)),"")</f>
        <v/>
      </c>
      <c r="H335" s="23" t="str">
        <f>IFERROR(INDEX('Output Utente'!$P$2:$P$492,MATCH(332,'Output Utente'!$R$2:$R$492,0)),"")</f>
        <v/>
      </c>
      <c r="I335" s="24" t="str">
        <f>IFERROR(INDEX('Output Utente'!$F$2:$F$492,MATCH(332,'Output Utente'!$R$2:$R$492,0)),"")</f>
        <v/>
      </c>
      <c r="J335" s="24" t="str">
        <f>IFERROR(INDEX('Output Utente'!$G$2:$G$492,MATCH(332,'Output Utente'!$R$2:$R$492,0)),"")</f>
        <v/>
      </c>
      <c r="K335" s="24" t="str">
        <f>IFERROR(INDEX('Output Utente'!$H$2:$H$492,MATCH(332,'Output Utente'!$R$2:$R$492,0)),"")</f>
        <v/>
      </c>
      <c r="L335" s="23" t="str">
        <f>IFERROR(INDEX('Output Utente'!$E$2:$E$492,MATCH(332,'Output Utente'!$R$2:$R$492,0)),"")</f>
        <v/>
      </c>
      <c r="V335" t="str">
        <f>IFERROR(INDEX('Output Utente'!$M$2:$M$492,MATCH(332,'Output Utente'!$R$2:$R$492,0)),"")</f>
        <v/>
      </c>
      <c r="W335" t="str">
        <f t="shared" si="5"/>
        <v/>
      </c>
      <c r="X335" t="str">
        <f>IFERROR(INDEX('Output Utente'!$AF$2:$AF$492,MATCH(332,'Output Utente'!$R$2:$R$492,0)),"")</f>
        <v/>
      </c>
    </row>
    <row r="336" spans="1:24" ht="15" customHeight="1" x14ac:dyDescent="0.25">
      <c r="A336" s="26">
        <v>333</v>
      </c>
      <c r="B336" s="23" t="str">
        <f>IFERROR(INDEX('Output Utente'!$A$2:$A$492,MATCH(333,'Output Utente'!$R$2:$R$492,0)),"")</f>
        <v/>
      </c>
      <c r="C336" s="23" t="str">
        <f>IFERROR(INDEX('Output Utente'!$B$2:$B$492,MATCH(333,'Output Utente'!$R$2:$R$492,0)),"")</f>
        <v/>
      </c>
      <c r="D336" s="23" t="str">
        <f>IFERROR(INDEX('Output Utente'!$C$2:$C$492,MATCH(333,'Output Utente'!$R$2:$R$492,0)),"")</f>
        <v/>
      </c>
      <c r="E336" s="23" t="str">
        <f>IFERROR(INDEX('Input Giocatori 2026_27'!$D$3:$D$493,MATCH($B336,'Input Giocatori 2026_27'!$A$3:$A$493,0)),"")</f>
        <v/>
      </c>
      <c r="F336" s="24" t="str">
        <f>IFERROR(INDEX('Output Utente'!$N$2:$N$492,MATCH(333,'Output Utente'!$R$2:$R$492,0)),"")</f>
        <v/>
      </c>
      <c r="G336" s="23" t="str">
        <f>IFERROR(INDEX('Output Utente'!$O$2:$O$492,MATCH(333,'Output Utente'!$R$2:$R$492,0)),"")</f>
        <v/>
      </c>
      <c r="H336" s="23" t="str">
        <f>IFERROR(INDEX('Output Utente'!$P$2:$P$492,MATCH(333,'Output Utente'!$R$2:$R$492,0)),"")</f>
        <v/>
      </c>
      <c r="I336" s="24" t="str">
        <f>IFERROR(INDEX('Output Utente'!$F$2:$F$492,MATCH(333,'Output Utente'!$R$2:$R$492,0)),"")</f>
        <v/>
      </c>
      <c r="J336" s="24" t="str">
        <f>IFERROR(INDEX('Output Utente'!$G$2:$G$492,MATCH(333,'Output Utente'!$R$2:$R$492,0)),"")</f>
        <v/>
      </c>
      <c r="K336" s="24" t="str">
        <f>IFERROR(INDEX('Output Utente'!$H$2:$H$492,MATCH(333,'Output Utente'!$R$2:$R$492,0)),"")</f>
        <v/>
      </c>
      <c r="L336" s="23" t="str">
        <f>IFERROR(INDEX('Output Utente'!$E$2:$E$492,MATCH(333,'Output Utente'!$R$2:$R$492,0)),"")</f>
        <v/>
      </c>
      <c r="V336" t="str">
        <f>IFERROR(INDEX('Output Utente'!$M$2:$M$492,MATCH(333,'Output Utente'!$R$2:$R$492,0)),"")</f>
        <v/>
      </c>
      <c r="W336" t="str">
        <f t="shared" si="5"/>
        <v/>
      </c>
      <c r="X336" t="str">
        <f>IFERROR(INDEX('Output Utente'!$AF$2:$AF$492,MATCH(333,'Output Utente'!$R$2:$R$492,0)),"")</f>
        <v/>
      </c>
    </row>
    <row r="337" spans="1:24" ht="15" customHeight="1" x14ac:dyDescent="0.25">
      <c r="A337" s="26">
        <v>334</v>
      </c>
      <c r="B337" s="23" t="str">
        <f>IFERROR(INDEX('Output Utente'!$A$2:$A$492,MATCH(334,'Output Utente'!$R$2:$R$492,0)),"")</f>
        <v/>
      </c>
      <c r="C337" s="23" t="str">
        <f>IFERROR(INDEX('Output Utente'!$B$2:$B$492,MATCH(334,'Output Utente'!$R$2:$R$492,0)),"")</f>
        <v/>
      </c>
      <c r="D337" s="23" t="str">
        <f>IFERROR(INDEX('Output Utente'!$C$2:$C$492,MATCH(334,'Output Utente'!$R$2:$R$492,0)),"")</f>
        <v/>
      </c>
      <c r="E337" s="23" t="str">
        <f>IFERROR(INDEX('Input Giocatori 2026_27'!$D$3:$D$493,MATCH($B337,'Input Giocatori 2026_27'!$A$3:$A$493,0)),"")</f>
        <v/>
      </c>
      <c r="F337" s="24" t="str">
        <f>IFERROR(INDEX('Output Utente'!$N$2:$N$492,MATCH(334,'Output Utente'!$R$2:$R$492,0)),"")</f>
        <v/>
      </c>
      <c r="G337" s="23" t="str">
        <f>IFERROR(INDEX('Output Utente'!$O$2:$O$492,MATCH(334,'Output Utente'!$R$2:$R$492,0)),"")</f>
        <v/>
      </c>
      <c r="H337" s="23" t="str">
        <f>IFERROR(INDEX('Output Utente'!$P$2:$P$492,MATCH(334,'Output Utente'!$R$2:$R$492,0)),"")</f>
        <v/>
      </c>
      <c r="I337" s="24" t="str">
        <f>IFERROR(INDEX('Output Utente'!$F$2:$F$492,MATCH(334,'Output Utente'!$R$2:$R$492,0)),"")</f>
        <v/>
      </c>
      <c r="J337" s="24" t="str">
        <f>IFERROR(INDEX('Output Utente'!$G$2:$G$492,MATCH(334,'Output Utente'!$R$2:$R$492,0)),"")</f>
        <v/>
      </c>
      <c r="K337" s="24" t="str">
        <f>IFERROR(INDEX('Output Utente'!$H$2:$H$492,MATCH(334,'Output Utente'!$R$2:$R$492,0)),"")</f>
        <v/>
      </c>
      <c r="L337" s="23" t="str">
        <f>IFERROR(INDEX('Output Utente'!$E$2:$E$492,MATCH(334,'Output Utente'!$R$2:$R$492,0)),"")</f>
        <v/>
      </c>
      <c r="V337" t="str">
        <f>IFERROR(INDEX('Output Utente'!$M$2:$M$492,MATCH(334,'Output Utente'!$R$2:$R$492,0)),"")</f>
        <v/>
      </c>
      <c r="W337" t="str">
        <f t="shared" si="5"/>
        <v/>
      </c>
      <c r="X337" t="str">
        <f>IFERROR(INDEX('Output Utente'!$AF$2:$AF$492,MATCH(334,'Output Utente'!$R$2:$R$492,0)),"")</f>
        <v/>
      </c>
    </row>
    <row r="338" spans="1:24" ht="15" customHeight="1" x14ac:dyDescent="0.25">
      <c r="A338" s="26">
        <v>335</v>
      </c>
      <c r="B338" s="23" t="str">
        <f>IFERROR(INDEX('Output Utente'!$A$2:$A$492,MATCH(335,'Output Utente'!$R$2:$R$492,0)),"")</f>
        <v/>
      </c>
      <c r="C338" s="23" t="str">
        <f>IFERROR(INDEX('Output Utente'!$B$2:$B$492,MATCH(335,'Output Utente'!$R$2:$R$492,0)),"")</f>
        <v/>
      </c>
      <c r="D338" s="23" t="str">
        <f>IFERROR(INDEX('Output Utente'!$C$2:$C$492,MATCH(335,'Output Utente'!$R$2:$R$492,0)),"")</f>
        <v/>
      </c>
      <c r="E338" s="23" t="str">
        <f>IFERROR(INDEX('Input Giocatori 2026_27'!$D$3:$D$493,MATCH($B338,'Input Giocatori 2026_27'!$A$3:$A$493,0)),"")</f>
        <v/>
      </c>
      <c r="F338" s="24" t="str">
        <f>IFERROR(INDEX('Output Utente'!$N$2:$N$492,MATCH(335,'Output Utente'!$R$2:$R$492,0)),"")</f>
        <v/>
      </c>
      <c r="G338" s="23" t="str">
        <f>IFERROR(INDEX('Output Utente'!$O$2:$O$492,MATCH(335,'Output Utente'!$R$2:$R$492,0)),"")</f>
        <v/>
      </c>
      <c r="H338" s="23" t="str">
        <f>IFERROR(INDEX('Output Utente'!$P$2:$P$492,MATCH(335,'Output Utente'!$R$2:$R$492,0)),"")</f>
        <v/>
      </c>
      <c r="I338" s="24" t="str">
        <f>IFERROR(INDEX('Output Utente'!$F$2:$F$492,MATCH(335,'Output Utente'!$R$2:$R$492,0)),"")</f>
        <v/>
      </c>
      <c r="J338" s="24" t="str">
        <f>IFERROR(INDEX('Output Utente'!$G$2:$G$492,MATCH(335,'Output Utente'!$R$2:$R$492,0)),"")</f>
        <v/>
      </c>
      <c r="K338" s="24" t="str">
        <f>IFERROR(INDEX('Output Utente'!$H$2:$H$492,MATCH(335,'Output Utente'!$R$2:$R$492,0)),"")</f>
        <v/>
      </c>
      <c r="L338" s="23" t="str">
        <f>IFERROR(INDEX('Output Utente'!$E$2:$E$492,MATCH(335,'Output Utente'!$R$2:$R$492,0)),"")</f>
        <v/>
      </c>
      <c r="V338" t="str">
        <f>IFERROR(INDEX('Output Utente'!$M$2:$M$492,MATCH(335,'Output Utente'!$R$2:$R$492,0)),"")</f>
        <v/>
      </c>
      <c r="W338" t="str">
        <f t="shared" si="5"/>
        <v/>
      </c>
      <c r="X338" t="str">
        <f>IFERROR(INDEX('Output Utente'!$AF$2:$AF$492,MATCH(335,'Output Utente'!$R$2:$R$492,0)),"")</f>
        <v/>
      </c>
    </row>
    <row r="339" spans="1:24" ht="15" customHeight="1" x14ac:dyDescent="0.25">
      <c r="A339" s="26">
        <v>336</v>
      </c>
      <c r="B339" s="23" t="str">
        <f>IFERROR(INDEX('Output Utente'!$A$2:$A$492,MATCH(336,'Output Utente'!$R$2:$R$492,0)),"")</f>
        <v/>
      </c>
      <c r="C339" s="23" t="str">
        <f>IFERROR(INDEX('Output Utente'!$B$2:$B$492,MATCH(336,'Output Utente'!$R$2:$R$492,0)),"")</f>
        <v/>
      </c>
      <c r="D339" s="23" t="str">
        <f>IFERROR(INDEX('Output Utente'!$C$2:$C$492,MATCH(336,'Output Utente'!$R$2:$R$492,0)),"")</f>
        <v/>
      </c>
      <c r="E339" s="23" t="str">
        <f>IFERROR(INDEX('Input Giocatori 2026_27'!$D$3:$D$493,MATCH($B339,'Input Giocatori 2026_27'!$A$3:$A$493,0)),"")</f>
        <v/>
      </c>
      <c r="F339" s="24" t="str">
        <f>IFERROR(INDEX('Output Utente'!$N$2:$N$492,MATCH(336,'Output Utente'!$R$2:$R$492,0)),"")</f>
        <v/>
      </c>
      <c r="G339" s="23" t="str">
        <f>IFERROR(INDEX('Output Utente'!$O$2:$O$492,MATCH(336,'Output Utente'!$R$2:$R$492,0)),"")</f>
        <v/>
      </c>
      <c r="H339" s="23" t="str">
        <f>IFERROR(INDEX('Output Utente'!$P$2:$P$492,MATCH(336,'Output Utente'!$R$2:$R$492,0)),"")</f>
        <v/>
      </c>
      <c r="I339" s="24" t="str">
        <f>IFERROR(INDEX('Output Utente'!$F$2:$F$492,MATCH(336,'Output Utente'!$R$2:$R$492,0)),"")</f>
        <v/>
      </c>
      <c r="J339" s="24" t="str">
        <f>IFERROR(INDEX('Output Utente'!$G$2:$G$492,MATCH(336,'Output Utente'!$R$2:$R$492,0)),"")</f>
        <v/>
      </c>
      <c r="K339" s="24" t="str">
        <f>IFERROR(INDEX('Output Utente'!$H$2:$H$492,MATCH(336,'Output Utente'!$R$2:$R$492,0)),"")</f>
        <v/>
      </c>
      <c r="L339" s="23" t="str">
        <f>IFERROR(INDEX('Output Utente'!$E$2:$E$492,MATCH(336,'Output Utente'!$R$2:$R$492,0)),"")</f>
        <v/>
      </c>
      <c r="V339" t="str">
        <f>IFERROR(INDEX('Output Utente'!$M$2:$M$492,MATCH(336,'Output Utente'!$R$2:$R$492,0)),"")</f>
        <v/>
      </c>
      <c r="W339" t="str">
        <f t="shared" si="5"/>
        <v/>
      </c>
      <c r="X339" t="str">
        <f>IFERROR(INDEX('Output Utente'!$AF$2:$AF$492,MATCH(336,'Output Utente'!$R$2:$R$492,0)),"")</f>
        <v/>
      </c>
    </row>
    <row r="340" spans="1:24" ht="15" customHeight="1" x14ac:dyDescent="0.25">
      <c r="A340" s="26">
        <v>337</v>
      </c>
      <c r="B340" s="23" t="str">
        <f>IFERROR(INDEX('Output Utente'!$A$2:$A$492,MATCH(337,'Output Utente'!$R$2:$R$492,0)),"")</f>
        <v/>
      </c>
      <c r="C340" s="23" t="str">
        <f>IFERROR(INDEX('Output Utente'!$B$2:$B$492,MATCH(337,'Output Utente'!$R$2:$R$492,0)),"")</f>
        <v/>
      </c>
      <c r="D340" s="23" t="str">
        <f>IFERROR(INDEX('Output Utente'!$C$2:$C$492,MATCH(337,'Output Utente'!$R$2:$R$492,0)),"")</f>
        <v/>
      </c>
      <c r="E340" s="23" t="str">
        <f>IFERROR(INDEX('Input Giocatori 2026_27'!$D$3:$D$493,MATCH($B340,'Input Giocatori 2026_27'!$A$3:$A$493,0)),"")</f>
        <v/>
      </c>
      <c r="F340" s="24" t="str">
        <f>IFERROR(INDEX('Output Utente'!$N$2:$N$492,MATCH(337,'Output Utente'!$R$2:$R$492,0)),"")</f>
        <v/>
      </c>
      <c r="G340" s="23" t="str">
        <f>IFERROR(INDEX('Output Utente'!$O$2:$O$492,MATCH(337,'Output Utente'!$R$2:$R$492,0)),"")</f>
        <v/>
      </c>
      <c r="H340" s="23" t="str">
        <f>IFERROR(INDEX('Output Utente'!$P$2:$P$492,MATCH(337,'Output Utente'!$R$2:$R$492,0)),"")</f>
        <v/>
      </c>
      <c r="I340" s="24" t="str">
        <f>IFERROR(INDEX('Output Utente'!$F$2:$F$492,MATCH(337,'Output Utente'!$R$2:$R$492,0)),"")</f>
        <v/>
      </c>
      <c r="J340" s="24" t="str">
        <f>IFERROR(INDEX('Output Utente'!$G$2:$G$492,MATCH(337,'Output Utente'!$R$2:$R$492,0)),"")</f>
        <v/>
      </c>
      <c r="K340" s="24" t="str">
        <f>IFERROR(INDEX('Output Utente'!$H$2:$H$492,MATCH(337,'Output Utente'!$R$2:$R$492,0)),"")</f>
        <v/>
      </c>
      <c r="L340" s="23" t="str">
        <f>IFERROR(INDEX('Output Utente'!$E$2:$E$492,MATCH(337,'Output Utente'!$R$2:$R$492,0)),"")</f>
        <v/>
      </c>
      <c r="V340" t="str">
        <f>IFERROR(INDEX('Output Utente'!$M$2:$M$492,MATCH(337,'Output Utente'!$R$2:$R$492,0)),"")</f>
        <v/>
      </c>
      <c r="W340" t="str">
        <f t="shared" si="5"/>
        <v/>
      </c>
      <c r="X340" t="str">
        <f>IFERROR(INDEX('Output Utente'!$AF$2:$AF$492,MATCH(337,'Output Utente'!$R$2:$R$492,0)),"")</f>
        <v/>
      </c>
    </row>
    <row r="341" spans="1:24" ht="15" customHeight="1" x14ac:dyDescent="0.25">
      <c r="A341" s="26">
        <v>338</v>
      </c>
      <c r="B341" s="23" t="str">
        <f>IFERROR(INDEX('Output Utente'!$A$2:$A$492,MATCH(338,'Output Utente'!$R$2:$R$492,0)),"")</f>
        <v/>
      </c>
      <c r="C341" s="23" t="str">
        <f>IFERROR(INDEX('Output Utente'!$B$2:$B$492,MATCH(338,'Output Utente'!$R$2:$R$492,0)),"")</f>
        <v/>
      </c>
      <c r="D341" s="23" t="str">
        <f>IFERROR(INDEX('Output Utente'!$C$2:$C$492,MATCH(338,'Output Utente'!$R$2:$R$492,0)),"")</f>
        <v/>
      </c>
      <c r="E341" s="23" t="str">
        <f>IFERROR(INDEX('Input Giocatori 2026_27'!$D$3:$D$493,MATCH($B341,'Input Giocatori 2026_27'!$A$3:$A$493,0)),"")</f>
        <v/>
      </c>
      <c r="F341" s="24" t="str">
        <f>IFERROR(INDEX('Output Utente'!$N$2:$N$492,MATCH(338,'Output Utente'!$R$2:$R$492,0)),"")</f>
        <v/>
      </c>
      <c r="G341" s="23" t="str">
        <f>IFERROR(INDEX('Output Utente'!$O$2:$O$492,MATCH(338,'Output Utente'!$R$2:$R$492,0)),"")</f>
        <v/>
      </c>
      <c r="H341" s="23" t="str">
        <f>IFERROR(INDEX('Output Utente'!$P$2:$P$492,MATCH(338,'Output Utente'!$R$2:$R$492,0)),"")</f>
        <v/>
      </c>
      <c r="I341" s="24" t="str">
        <f>IFERROR(INDEX('Output Utente'!$F$2:$F$492,MATCH(338,'Output Utente'!$R$2:$R$492,0)),"")</f>
        <v/>
      </c>
      <c r="J341" s="24" t="str">
        <f>IFERROR(INDEX('Output Utente'!$G$2:$G$492,MATCH(338,'Output Utente'!$R$2:$R$492,0)),"")</f>
        <v/>
      </c>
      <c r="K341" s="24" t="str">
        <f>IFERROR(INDEX('Output Utente'!$H$2:$H$492,MATCH(338,'Output Utente'!$R$2:$R$492,0)),"")</f>
        <v/>
      </c>
      <c r="L341" s="23" t="str">
        <f>IFERROR(INDEX('Output Utente'!$E$2:$E$492,MATCH(338,'Output Utente'!$R$2:$R$492,0)),"")</f>
        <v/>
      </c>
      <c r="V341" t="str">
        <f>IFERROR(INDEX('Output Utente'!$M$2:$M$492,MATCH(338,'Output Utente'!$R$2:$R$492,0)),"")</f>
        <v/>
      </c>
      <c r="W341" t="str">
        <f t="shared" si="5"/>
        <v/>
      </c>
      <c r="X341" t="str">
        <f>IFERROR(INDEX('Output Utente'!$AF$2:$AF$492,MATCH(338,'Output Utente'!$R$2:$R$492,0)),"")</f>
        <v/>
      </c>
    </row>
    <row r="342" spans="1:24" ht="15" customHeight="1" x14ac:dyDescent="0.25">
      <c r="A342" s="26">
        <v>339</v>
      </c>
      <c r="B342" s="23" t="str">
        <f>IFERROR(INDEX('Output Utente'!$A$2:$A$492,MATCH(339,'Output Utente'!$R$2:$R$492,0)),"")</f>
        <v/>
      </c>
      <c r="C342" s="23" t="str">
        <f>IFERROR(INDEX('Output Utente'!$B$2:$B$492,MATCH(339,'Output Utente'!$R$2:$R$492,0)),"")</f>
        <v/>
      </c>
      <c r="D342" s="23" t="str">
        <f>IFERROR(INDEX('Output Utente'!$C$2:$C$492,MATCH(339,'Output Utente'!$R$2:$R$492,0)),"")</f>
        <v/>
      </c>
      <c r="E342" s="23" t="str">
        <f>IFERROR(INDEX('Input Giocatori 2026_27'!$D$3:$D$493,MATCH($B342,'Input Giocatori 2026_27'!$A$3:$A$493,0)),"")</f>
        <v/>
      </c>
      <c r="F342" s="24" t="str">
        <f>IFERROR(INDEX('Output Utente'!$N$2:$N$492,MATCH(339,'Output Utente'!$R$2:$R$492,0)),"")</f>
        <v/>
      </c>
      <c r="G342" s="23" t="str">
        <f>IFERROR(INDEX('Output Utente'!$O$2:$O$492,MATCH(339,'Output Utente'!$R$2:$R$492,0)),"")</f>
        <v/>
      </c>
      <c r="H342" s="23" t="str">
        <f>IFERROR(INDEX('Output Utente'!$P$2:$P$492,MATCH(339,'Output Utente'!$R$2:$R$492,0)),"")</f>
        <v/>
      </c>
      <c r="I342" s="24" t="str">
        <f>IFERROR(INDEX('Output Utente'!$F$2:$F$492,MATCH(339,'Output Utente'!$R$2:$R$492,0)),"")</f>
        <v/>
      </c>
      <c r="J342" s="24" t="str">
        <f>IFERROR(INDEX('Output Utente'!$G$2:$G$492,MATCH(339,'Output Utente'!$R$2:$R$492,0)),"")</f>
        <v/>
      </c>
      <c r="K342" s="24" t="str">
        <f>IFERROR(INDEX('Output Utente'!$H$2:$H$492,MATCH(339,'Output Utente'!$R$2:$R$492,0)),"")</f>
        <v/>
      </c>
      <c r="L342" s="23" t="str">
        <f>IFERROR(INDEX('Output Utente'!$E$2:$E$492,MATCH(339,'Output Utente'!$R$2:$R$492,0)),"")</f>
        <v/>
      </c>
      <c r="V342" t="str">
        <f>IFERROR(INDEX('Output Utente'!$M$2:$M$492,MATCH(339,'Output Utente'!$R$2:$R$492,0)),"")</f>
        <v/>
      </c>
      <c r="W342" t="str">
        <f t="shared" si="5"/>
        <v/>
      </c>
      <c r="X342" t="str">
        <f>IFERROR(INDEX('Output Utente'!$AF$2:$AF$492,MATCH(339,'Output Utente'!$R$2:$R$492,0)),"")</f>
        <v/>
      </c>
    </row>
    <row r="343" spans="1:24" ht="15" customHeight="1" x14ac:dyDescent="0.25">
      <c r="A343" s="26">
        <v>340</v>
      </c>
      <c r="B343" s="23" t="str">
        <f>IFERROR(INDEX('Output Utente'!$A$2:$A$492,MATCH(340,'Output Utente'!$R$2:$R$492,0)),"")</f>
        <v/>
      </c>
      <c r="C343" s="23" t="str">
        <f>IFERROR(INDEX('Output Utente'!$B$2:$B$492,MATCH(340,'Output Utente'!$R$2:$R$492,0)),"")</f>
        <v/>
      </c>
      <c r="D343" s="23" t="str">
        <f>IFERROR(INDEX('Output Utente'!$C$2:$C$492,MATCH(340,'Output Utente'!$R$2:$R$492,0)),"")</f>
        <v/>
      </c>
      <c r="E343" s="23" t="str">
        <f>IFERROR(INDEX('Input Giocatori 2026_27'!$D$3:$D$493,MATCH($B343,'Input Giocatori 2026_27'!$A$3:$A$493,0)),"")</f>
        <v/>
      </c>
      <c r="F343" s="24" t="str">
        <f>IFERROR(INDEX('Output Utente'!$N$2:$N$492,MATCH(340,'Output Utente'!$R$2:$R$492,0)),"")</f>
        <v/>
      </c>
      <c r="G343" s="23" t="str">
        <f>IFERROR(INDEX('Output Utente'!$O$2:$O$492,MATCH(340,'Output Utente'!$R$2:$R$492,0)),"")</f>
        <v/>
      </c>
      <c r="H343" s="23" t="str">
        <f>IFERROR(INDEX('Output Utente'!$P$2:$P$492,MATCH(340,'Output Utente'!$R$2:$R$492,0)),"")</f>
        <v/>
      </c>
      <c r="I343" s="24" t="str">
        <f>IFERROR(INDEX('Output Utente'!$F$2:$F$492,MATCH(340,'Output Utente'!$R$2:$R$492,0)),"")</f>
        <v/>
      </c>
      <c r="J343" s="24" t="str">
        <f>IFERROR(INDEX('Output Utente'!$G$2:$G$492,MATCH(340,'Output Utente'!$R$2:$R$492,0)),"")</f>
        <v/>
      </c>
      <c r="K343" s="24" t="str">
        <f>IFERROR(INDEX('Output Utente'!$H$2:$H$492,MATCH(340,'Output Utente'!$R$2:$R$492,0)),"")</f>
        <v/>
      </c>
      <c r="L343" s="23" t="str">
        <f>IFERROR(INDEX('Output Utente'!$E$2:$E$492,MATCH(340,'Output Utente'!$R$2:$R$492,0)),"")</f>
        <v/>
      </c>
      <c r="V343" t="str">
        <f>IFERROR(INDEX('Output Utente'!$M$2:$M$492,MATCH(340,'Output Utente'!$R$2:$R$492,0)),"")</f>
        <v/>
      </c>
      <c r="W343" t="str">
        <f t="shared" si="5"/>
        <v/>
      </c>
      <c r="X343" t="str">
        <f>IFERROR(INDEX('Output Utente'!$AF$2:$AF$492,MATCH(340,'Output Utente'!$R$2:$R$492,0)),"")</f>
        <v/>
      </c>
    </row>
    <row r="344" spans="1:24" ht="15" customHeight="1" x14ac:dyDescent="0.25">
      <c r="A344" s="26">
        <v>341</v>
      </c>
      <c r="B344" s="23" t="str">
        <f>IFERROR(INDEX('Output Utente'!$A$2:$A$492,MATCH(341,'Output Utente'!$R$2:$R$492,0)),"")</f>
        <v/>
      </c>
      <c r="C344" s="23" t="str">
        <f>IFERROR(INDEX('Output Utente'!$B$2:$B$492,MATCH(341,'Output Utente'!$R$2:$R$492,0)),"")</f>
        <v/>
      </c>
      <c r="D344" s="23" t="str">
        <f>IFERROR(INDEX('Output Utente'!$C$2:$C$492,MATCH(341,'Output Utente'!$R$2:$R$492,0)),"")</f>
        <v/>
      </c>
      <c r="E344" s="23" t="str">
        <f>IFERROR(INDEX('Input Giocatori 2026_27'!$D$3:$D$493,MATCH($B344,'Input Giocatori 2026_27'!$A$3:$A$493,0)),"")</f>
        <v/>
      </c>
      <c r="F344" s="24" t="str">
        <f>IFERROR(INDEX('Output Utente'!$N$2:$N$492,MATCH(341,'Output Utente'!$R$2:$R$492,0)),"")</f>
        <v/>
      </c>
      <c r="G344" s="23" t="str">
        <f>IFERROR(INDEX('Output Utente'!$O$2:$O$492,MATCH(341,'Output Utente'!$R$2:$R$492,0)),"")</f>
        <v/>
      </c>
      <c r="H344" s="23" t="str">
        <f>IFERROR(INDEX('Output Utente'!$P$2:$P$492,MATCH(341,'Output Utente'!$R$2:$R$492,0)),"")</f>
        <v/>
      </c>
      <c r="I344" s="24" t="str">
        <f>IFERROR(INDEX('Output Utente'!$F$2:$F$492,MATCH(341,'Output Utente'!$R$2:$R$492,0)),"")</f>
        <v/>
      </c>
      <c r="J344" s="24" t="str">
        <f>IFERROR(INDEX('Output Utente'!$G$2:$G$492,MATCH(341,'Output Utente'!$R$2:$R$492,0)),"")</f>
        <v/>
      </c>
      <c r="K344" s="24" t="str">
        <f>IFERROR(INDEX('Output Utente'!$H$2:$H$492,MATCH(341,'Output Utente'!$R$2:$R$492,0)),"")</f>
        <v/>
      </c>
      <c r="L344" s="23" t="str">
        <f>IFERROR(INDEX('Output Utente'!$E$2:$E$492,MATCH(341,'Output Utente'!$R$2:$R$492,0)),"")</f>
        <v/>
      </c>
      <c r="V344" t="str">
        <f>IFERROR(INDEX('Output Utente'!$M$2:$M$492,MATCH(341,'Output Utente'!$R$2:$R$492,0)),"")</f>
        <v/>
      </c>
      <c r="W344" t="str">
        <f t="shared" si="5"/>
        <v/>
      </c>
      <c r="X344" t="str">
        <f>IFERROR(INDEX('Output Utente'!$AF$2:$AF$492,MATCH(341,'Output Utente'!$R$2:$R$492,0)),"")</f>
        <v/>
      </c>
    </row>
    <row r="345" spans="1:24" ht="15" customHeight="1" x14ac:dyDescent="0.25">
      <c r="A345" s="26">
        <v>342</v>
      </c>
      <c r="B345" s="23" t="str">
        <f>IFERROR(INDEX('Output Utente'!$A$2:$A$492,MATCH(342,'Output Utente'!$R$2:$R$492,0)),"")</f>
        <v/>
      </c>
      <c r="C345" s="23" t="str">
        <f>IFERROR(INDEX('Output Utente'!$B$2:$B$492,MATCH(342,'Output Utente'!$R$2:$R$492,0)),"")</f>
        <v/>
      </c>
      <c r="D345" s="23" t="str">
        <f>IFERROR(INDEX('Output Utente'!$C$2:$C$492,MATCH(342,'Output Utente'!$R$2:$R$492,0)),"")</f>
        <v/>
      </c>
      <c r="E345" s="23" t="str">
        <f>IFERROR(INDEX('Input Giocatori 2026_27'!$D$3:$D$493,MATCH($B345,'Input Giocatori 2026_27'!$A$3:$A$493,0)),"")</f>
        <v/>
      </c>
      <c r="F345" s="24" t="str">
        <f>IFERROR(INDEX('Output Utente'!$N$2:$N$492,MATCH(342,'Output Utente'!$R$2:$R$492,0)),"")</f>
        <v/>
      </c>
      <c r="G345" s="23" t="str">
        <f>IFERROR(INDEX('Output Utente'!$O$2:$O$492,MATCH(342,'Output Utente'!$R$2:$R$492,0)),"")</f>
        <v/>
      </c>
      <c r="H345" s="23" t="str">
        <f>IFERROR(INDEX('Output Utente'!$P$2:$P$492,MATCH(342,'Output Utente'!$R$2:$R$492,0)),"")</f>
        <v/>
      </c>
      <c r="I345" s="24" t="str">
        <f>IFERROR(INDEX('Output Utente'!$F$2:$F$492,MATCH(342,'Output Utente'!$R$2:$R$492,0)),"")</f>
        <v/>
      </c>
      <c r="J345" s="24" t="str">
        <f>IFERROR(INDEX('Output Utente'!$G$2:$G$492,MATCH(342,'Output Utente'!$R$2:$R$492,0)),"")</f>
        <v/>
      </c>
      <c r="K345" s="24" t="str">
        <f>IFERROR(INDEX('Output Utente'!$H$2:$H$492,MATCH(342,'Output Utente'!$R$2:$R$492,0)),"")</f>
        <v/>
      </c>
      <c r="L345" s="23" t="str">
        <f>IFERROR(INDEX('Output Utente'!$E$2:$E$492,MATCH(342,'Output Utente'!$R$2:$R$492,0)),"")</f>
        <v/>
      </c>
      <c r="V345" t="str">
        <f>IFERROR(INDEX('Output Utente'!$M$2:$M$492,MATCH(342,'Output Utente'!$R$2:$R$492,0)),"")</f>
        <v/>
      </c>
      <c r="W345" t="str">
        <f t="shared" si="5"/>
        <v/>
      </c>
      <c r="X345" t="str">
        <f>IFERROR(INDEX('Output Utente'!$AF$2:$AF$492,MATCH(342,'Output Utente'!$R$2:$R$492,0)),"")</f>
        <v/>
      </c>
    </row>
    <row r="346" spans="1:24" ht="15" customHeight="1" x14ac:dyDescent="0.25">
      <c r="A346" s="26">
        <v>343</v>
      </c>
      <c r="B346" s="23" t="str">
        <f>IFERROR(INDEX('Output Utente'!$A$2:$A$492,MATCH(343,'Output Utente'!$R$2:$R$492,0)),"")</f>
        <v/>
      </c>
      <c r="C346" s="23" t="str">
        <f>IFERROR(INDEX('Output Utente'!$B$2:$B$492,MATCH(343,'Output Utente'!$R$2:$R$492,0)),"")</f>
        <v/>
      </c>
      <c r="D346" s="23" t="str">
        <f>IFERROR(INDEX('Output Utente'!$C$2:$C$492,MATCH(343,'Output Utente'!$R$2:$R$492,0)),"")</f>
        <v/>
      </c>
      <c r="E346" s="23" t="str">
        <f>IFERROR(INDEX('Input Giocatori 2026_27'!$D$3:$D$493,MATCH($B346,'Input Giocatori 2026_27'!$A$3:$A$493,0)),"")</f>
        <v/>
      </c>
      <c r="F346" s="24" t="str">
        <f>IFERROR(INDEX('Output Utente'!$N$2:$N$492,MATCH(343,'Output Utente'!$R$2:$R$492,0)),"")</f>
        <v/>
      </c>
      <c r="G346" s="23" t="str">
        <f>IFERROR(INDEX('Output Utente'!$O$2:$O$492,MATCH(343,'Output Utente'!$R$2:$R$492,0)),"")</f>
        <v/>
      </c>
      <c r="H346" s="23" t="str">
        <f>IFERROR(INDEX('Output Utente'!$P$2:$P$492,MATCH(343,'Output Utente'!$R$2:$R$492,0)),"")</f>
        <v/>
      </c>
      <c r="I346" s="24" t="str">
        <f>IFERROR(INDEX('Output Utente'!$F$2:$F$492,MATCH(343,'Output Utente'!$R$2:$R$492,0)),"")</f>
        <v/>
      </c>
      <c r="J346" s="24" t="str">
        <f>IFERROR(INDEX('Output Utente'!$G$2:$G$492,MATCH(343,'Output Utente'!$R$2:$R$492,0)),"")</f>
        <v/>
      </c>
      <c r="K346" s="24" t="str">
        <f>IFERROR(INDEX('Output Utente'!$H$2:$H$492,MATCH(343,'Output Utente'!$R$2:$R$492,0)),"")</f>
        <v/>
      </c>
      <c r="L346" s="23" t="str">
        <f>IFERROR(INDEX('Output Utente'!$E$2:$E$492,MATCH(343,'Output Utente'!$R$2:$R$492,0)),"")</f>
        <v/>
      </c>
      <c r="V346" t="str">
        <f>IFERROR(INDEX('Output Utente'!$M$2:$M$492,MATCH(343,'Output Utente'!$R$2:$R$492,0)),"")</f>
        <v/>
      </c>
      <c r="W346" t="str">
        <f t="shared" si="5"/>
        <v/>
      </c>
      <c r="X346" t="str">
        <f>IFERROR(INDEX('Output Utente'!$AF$2:$AF$492,MATCH(343,'Output Utente'!$R$2:$R$492,0)),"")</f>
        <v/>
      </c>
    </row>
    <row r="347" spans="1:24" ht="15" customHeight="1" x14ac:dyDescent="0.25">
      <c r="A347" s="26">
        <v>344</v>
      </c>
      <c r="B347" s="23" t="str">
        <f>IFERROR(INDEX('Output Utente'!$A$2:$A$492,MATCH(344,'Output Utente'!$R$2:$R$492,0)),"")</f>
        <v/>
      </c>
      <c r="C347" s="23" t="str">
        <f>IFERROR(INDEX('Output Utente'!$B$2:$B$492,MATCH(344,'Output Utente'!$R$2:$R$492,0)),"")</f>
        <v/>
      </c>
      <c r="D347" s="23" t="str">
        <f>IFERROR(INDEX('Output Utente'!$C$2:$C$492,MATCH(344,'Output Utente'!$R$2:$R$492,0)),"")</f>
        <v/>
      </c>
      <c r="E347" s="23" t="str">
        <f>IFERROR(INDEX('Input Giocatori 2026_27'!$D$3:$D$493,MATCH($B347,'Input Giocatori 2026_27'!$A$3:$A$493,0)),"")</f>
        <v/>
      </c>
      <c r="F347" s="24" t="str">
        <f>IFERROR(INDEX('Output Utente'!$N$2:$N$492,MATCH(344,'Output Utente'!$R$2:$R$492,0)),"")</f>
        <v/>
      </c>
      <c r="G347" s="23" t="str">
        <f>IFERROR(INDEX('Output Utente'!$O$2:$O$492,MATCH(344,'Output Utente'!$R$2:$R$492,0)),"")</f>
        <v/>
      </c>
      <c r="H347" s="23" t="str">
        <f>IFERROR(INDEX('Output Utente'!$P$2:$P$492,MATCH(344,'Output Utente'!$R$2:$R$492,0)),"")</f>
        <v/>
      </c>
      <c r="I347" s="24" t="str">
        <f>IFERROR(INDEX('Output Utente'!$F$2:$F$492,MATCH(344,'Output Utente'!$R$2:$R$492,0)),"")</f>
        <v/>
      </c>
      <c r="J347" s="24" t="str">
        <f>IFERROR(INDEX('Output Utente'!$G$2:$G$492,MATCH(344,'Output Utente'!$R$2:$R$492,0)),"")</f>
        <v/>
      </c>
      <c r="K347" s="24" t="str">
        <f>IFERROR(INDEX('Output Utente'!$H$2:$H$492,MATCH(344,'Output Utente'!$R$2:$R$492,0)),"")</f>
        <v/>
      </c>
      <c r="L347" s="23" t="str">
        <f>IFERROR(INDEX('Output Utente'!$E$2:$E$492,MATCH(344,'Output Utente'!$R$2:$R$492,0)),"")</f>
        <v/>
      </c>
      <c r="V347" t="str">
        <f>IFERROR(INDEX('Output Utente'!$M$2:$M$492,MATCH(344,'Output Utente'!$R$2:$R$492,0)),"")</f>
        <v/>
      </c>
      <c r="W347" t="str">
        <f t="shared" si="5"/>
        <v/>
      </c>
      <c r="X347" t="str">
        <f>IFERROR(INDEX('Output Utente'!$AF$2:$AF$492,MATCH(344,'Output Utente'!$R$2:$R$492,0)),"")</f>
        <v/>
      </c>
    </row>
    <row r="348" spans="1:24" ht="15" customHeight="1" x14ac:dyDescent="0.25">
      <c r="A348" s="26">
        <v>345</v>
      </c>
      <c r="B348" s="23" t="str">
        <f>IFERROR(INDEX('Output Utente'!$A$2:$A$492,MATCH(345,'Output Utente'!$R$2:$R$492,0)),"")</f>
        <v/>
      </c>
      <c r="C348" s="23" t="str">
        <f>IFERROR(INDEX('Output Utente'!$B$2:$B$492,MATCH(345,'Output Utente'!$R$2:$R$492,0)),"")</f>
        <v/>
      </c>
      <c r="D348" s="23" t="str">
        <f>IFERROR(INDEX('Output Utente'!$C$2:$C$492,MATCH(345,'Output Utente'!$R$2:$R$492,0)),"")</f>
        <v/>
      </c>
      <c r="E348" s="23" t="str">
        <f>IFERROR(INDEX('Input Giocatori 2026_27'!$D$3:$D$493,MATCH($B348,'Input Giocatori 2026_27'!$A$3:$A$493,0)),"")</f>
        <v/>
      </c>
      <c r="F348" s="24" t="str">
        <f>IFERROR(INDEX('Output Utente'!$N$2:$N$492,MATCH(345,'Output Utente'!$R$2:$R$492,0)),"")</f>
        <v/>
      </c>
      <c r="G348" s="23" t="str">
        <f>IFERROR(INDEX('Output Utente'!$O$2:$O$492,MATCH(345,'Output Utente'!$R$2:$R$492,0)),"")</f>
        <v/>
      </c>
      <c r="H348" s="23" t="str">
        <f>IFERROR(INDEX('Output Utente'!$P$2:$P$492,MATCH(345,'Output Utente'!$R$2:$R$492,0)),"")</f>
        <v/>
      </c>
      <c r="I348" s="24" t="str">
        <f>IFERROR(INDEX('Output Utente'!$F$2:$F$492,MATCH(345,'Output Utente'!$R$2:$R$492,0)),"")</f>
        <v/>
      </c>
      <c r="J348" s="24" t="str">
        <f>IFERROR(INDEX('Output Utente'!$G$2:$G$492,MATCH(345,'Output Utente'!$R$2:$R$492,0)),"")</f>
        <v/>
      </c>
      <c r="K348" s="24" t="str">
        <f>IFERROR(INDEX('Output Utente'!$H$2:$H$492,MATCH(345,'Output Utente'!$R$2:$R$492,0)),"")</f>
        <v/>
      </c>
      <c r="L348" s="23" t="str">
        <f>IFERROR(INDEX('Output Utente'!$E$2:$E$492,MATCH(345,'Output Utente'!$R$2:$R$492,0)),"")</f>
        <v/>
      </c>
      <c r="V348" t="str">
        <f>IFERROR(INDEX('Output Utente'!$M$2:$M$492,MATCH(345,'Output Utente'!$R$2:$R$492,0)),"")</f>
        <v/>
      </c>
      <c r="W348" t="str">
        <f t="shared" si="5"/>
        <v/>
      </c>
      <c r="X348" t="str">
        <f>IFERROR(INDEX('Output Utente'!$AF$2:$AF$492,MATCH(345,'Output Utente'!$R$2:$R$492,0)),"")</f>
        <v/>
      </c>
    </row>
    <row r="349" spans="1:24" ht="15" customHeight="1" x14ac:dyDescent="0.25">
      <c r="A349" s="26">
        <v>346</v>
      </c>
      <c r="B349" s="23" t="str">
        <f>IFERROR(INDEX('Output Utente'!$A$2:$A$492,MATCH(346,'Output Utente'!$R$2:$R$492,0)),"")</f>
        <v/>
      </c>
      <c r="C349" s="23" t="str">
        <f>IFERROR(INDEX('Output Utente'!$B$2:$B$492,MATCH(346,'Output Utente'!$R$2:$R$492,0)),"")</f>
        <v/>
      </c>
      <c r="D349" s="23" t="str">
        <f>IFERROR(INDEX('Output Utente'!$C$2:$C$492,MATCH(346,'Output Utente'!$R$2:$R$492,0)),"")</f>
        <v/>
      </c>
      <c r="E349" s="23" t="str">
        <f>IFERROR(INDEX('Input Giocatori 2026_27'!$D$3:$D$493,MATCH($B349,'Input Giocatori 2026_27'!$A$3:$A$493,0)),"")</f>
        <v/>
      </c>
      <c r="F349" s="24" t="str">
        <f>IFERROR(INDEX('Output Utente'!$N$2:$N$492,MATCH(346,'Output Utente'!$R$2:$R$492,0)),"")</f>
        <v/>
      </c>
      <c r="G349" s="23" t="str">
        <f>IFERROR(INDEX('Output Utente'!$O$2:$O$492,MATCH(346,'Output Utente'!$R$2:$R$492,0)),"")</f>
        <v/>
      </c>
      <c r="H349" s="23" t="str">
        <f>IFERROR(INDEX('Output Utente'!$P$2:$P$492,MATCH(346,'Output Utente'!$R$2:$R$492,0)),"")</f>
        <v/>
      </c>
      <c r="I349" s="24" t="str">
        <f>IFERROR(INDEX('Output Utente'!$F$2:$F$492,MATCH(346,'Output Utente'!$R$2:$R$492,0)),"")</f>
        <v/>
      </c>
      <c r="J349" s="24" t="str">
        <f>IFERROR(INDEX('Output Utente'!$G$2:$G$492,MATCH(346,'Output Utente'!$R$2:$R$492,0)),"")</f>
        <v/>
      </c>
      <c r="K349" s="24" t="str">
        <f>IFERROR(INDEX('Output Utente'!$H$2:$H$492,MATCH(346,'Output Utente'!$R$2:$R$492,0)),"")</f>
        <v/>
      </c>
      <c r="L349" s="23" t="str">
        <f>IFERROR(INDEX('Output Utente'!$E$2:$E$492,MATCH(346,'Output Utente'!$R$2:$R$492,0)),"")</f>
        <v/>
      </c>
      <c r="V349" t="str">
        <f>IFERROR(INDEX('Output Utente'!$M$2:$M$492,MATCH(346,'Output Utente'!$R$2:$R$492,0)),"")</f>
        <v/>
      </c>
      <c r="W349" t="str">
        <f t="shared" si="5"/>
        <v/>
      </c>
      <c r="X349" t="str">
        <f>IFERROR(INDEX('Output Utente'!$AF$2:$AF$492,MATCH(346,'Output Utente'!$R$2:$R$492,0)),"")</f>
        <v/>
      </c>
    </row>
    <row r="350" spans="1:24" ht="15" customHeight="1" x14ac:dyDescent="0.25">
      <c r="A350" s="26">
        <v>347</v>
      </c>
      <c r="B350" s="23" t="str">
        <f>IFERROR(INDEX('Output Utente'!$A$2:$A$492,MATCH(347,'Output Utente'!$R$2:$R$492,0)),"")</f>
        <v/>
      </c>
      <c r="C350" s="23" t="str">
        <f>IFERROR(INDEX('Output Utente'!$B$2:$B$492,MATCH(347,'Output Utente'!$R$2:$R$492,0)),"")</f>
        <v/>
      </c>
      <c r="D350" s="23" t="str">
        <f>IFERROR(INDEX('Output Utente'!$C$2:$C$492,MATCH(347,'Output Utente'!$R$2:$R$492,0)),"")</f>
        <v/>
      </c>
      <c r="E350" s="23" t="str">
        <f>IFERROR(INDEX('Input Giocatori 2026_27'!$D$3:$D$493,MATCH($B350,'Input Giocatori 2026_27'!$A$3:$A$493,0)),"")</f>
        <v/>
      </c>
      <c r="F350" s="24" t="str">
        <f>IFERROR(INDEX('Output Utente'!$N$2:$N$492,MATCH(347,'Output Utente'!$R$2:$R$492,0)),"")</f>
        <v/>
      </c>
      <c r="G350" s="23" t="str">
        <f>IFERROR(INDEX('Output Utente'!$O$2:$O$492,MATCH(347,'Output Utente'!$R$2:$R$492,0)),"")</f>
        <v/>
      </c>
      <c r="H350" s="23" t="str">
        <f>IFERROR(INDEX('Output Utente'!$P$2:$P$492,MATCH(347,'Output Utente'!$R$2:$R$492,0)),"")</f>
        <v/>
      </c>
      <c r="I350" s="24" t="str">
        <f>IFERROR(INDEX('Output Utente'!$F$2:$F$492,MATCH(347,'Output Utente'!$R$2:$R$492,0)),"")</f>
        <v/>
      </c>
      <c r="J350" s="24" t="str">
        <f>IFERROR(INDEX('Output Utente'!$G$2:$G$492,MATCH(347,'Output Utente'!$R$2:$R$492,0)),"")</f>
        <v/>
      </c>
      <c r="K350" s="24" t="str">
        <f>IFERROR(INDEX('Output Utente'!$H$2:$H$492,MATCH(347,'Output Utente'!$R$2:$R$492,0)),"")</f>
        <v/>
      </c>
      <c r="L350" s="23" t="str">
        <f>IFERROR(INDEX('Output Utente'!$E$2:$E$492,MATCH(347,'Output Utente'!$R$2:$R$492,0)),"")</f>
        <v/>
      </c>
      <c r="V350" t="str">
        <f>IFERROR(INDEX('Output Utente'!$M$2:$M$492,MATCH(347,'Output Utente'!$R$2:$R$492,0)),"")</f>
        <v/>
      </c>
      <c r="W350" t="str">
        <f t="shared" si="5"/>
        <v/>
      </c>
      <c r="X350" t="str">
        <f>IFERROR(INDEX('Output Utente'!$AF$2:$AF$492,MATCH(347,'Output Utente'!$R$2:$R$492,0)),"")</f>
        <v/>
      </c>
    </row>
    <row r="351" spans="1:24" ht="15" customHeight="1" x14ac:dyDescent="0.25">
      <c r="A351" s="26">
        <v>348</v>
      </c>
      <c r="B351" s="23" t="str">
        <f>IFERROR(INDEX('Output Utente'!$A$2:$A$492,MATCH(348,'Output Utente'!$R$2:$R$492,0)),"")</f>
        <v/>
      </c>
      <c r="C351" s="23" t="str">
        <f>IFERROR(INDEX('Output Utente'!$B$2:$B$492,MATCH(348,'Output Utente'!$R$2:$R$492,0)),"")</f>
        <v/>
      </c>
      <c r="D351" s="23" t="str">
        <f>IFERROR(INDEX('Output Utente'!$C$2:$C$492,MATCH(348,'Output Utente'!$R$2:$R$492,0)),"")</f>
        <v/>
      </c>
      <c r="E351" s="23" t="str">
        <f>IFERROR(INDEX('Input Giocatori 2026_27'!$D$3:$D$493,MATCH($B351,'Input Giocatori 2026_27'!$A$3:$A$493,0)),"")</f>
        <v/>
      </c>
      <c r="F351" s="24" t="str">
        <f>IFERROR(INDEX('Output Utente'!$N$2:$N$492,MATCH(348,'Output Utente'!$R$2:$R$492,0)),"")</f>
        <v/>
      </c>
      <c r="G351" s="23" t="str">
        <f>IFERROR(INDEX('Output Utente'!$O$2:$O$492,MATCH(348,'Output Utente'!$R$2:$R$492,0)),"")</f>
        <v/>
      </c>
      <c r="H351" s="23" t="str">
        <f>IFERROR(INDEX('Output Utente'!$P$2:$P$492,MATCH(348,'Output Utente'!$R$2:$R$492,0)),"")</f>
        <v/>
      </c>
      <c r="I351" s="24" t="str">
        <f>IFERROR(INDEX('Output Utente'!$F$2:$F$492,MATCH(348,'Output Utente'!$R$2:$R$492,0)),"")</f>
        <v/>
      </c>
      <c r="J351" s="24" t="str">
        <f>IFERROR(INDEX('Output Utente'!$G$2:$G$492,MATCH(348,'Output Utente'!$R$2:$R$492,0)),"")</f>
        <v/>
      </c>
      <c r="K351" s="24" t="str">
        <f>IFERROR(INDEX('Output Utente'!$H$2:$H$492,MATCH(348,'Output Utente'!$R$2:$R$492,0)),"")</f>
        <v/>
      </c>
      <c r="L351" s="23" t="str">
        <f>IFERROR(INDEX('Output Utente'!$E$2:$E$492,MATCH(348,'Output Utente'!$R$2:$R$492,0)),"")</f>
        <v/>
      </c>
      <c r="V351" t="str">
        <f>IFERROR(INDEX('Output Utente'!$M$2:$M$492,MATCH(348,'Output Utente'!$R$2:$R$492,0)),"")</f>
        <v/>
      </c>
      <c r="W351" t="str">
        <f t="shared" si="5"/>
        <v/>
      </c>
      <c r="X351" t="str">
        <f>IFERROR(INDEX('Output Utente'!$AF$2:$AF$492,MATCH(348,'Output Utente'!$R$2:$R$492,0)),"")</f>
        <v/>
      </c>
    </row>
    <row r="352" spans="1:24" ht="15" customHeight="1" x14ac:dyDescent="0.25">
      <c r="A352" s="26">
        <v>349</v>
      </c>
      <c r="B352" s="23" t="str">
        <f>IFERROR(INDEX('Output Utente'!$A$2:$A$492,MATCH(349,'Output Utente'!$R$2:$R$492,0)),"")</f>
        <v/>
      </c>
      <c r="C352" s="23" t="str">
        <f>IFERROR(INDEX('Output Utente'!$B$2:$B$492,MATCH(349,'Output Utente'!$R$2:$R$492,0)),"")</f>
        <v/>
      </c>
      <c r="D352" s="23" t="str">
        <f>IFERROR(INDEX('Output Utente'!$C$2:$C$492,MATCH(349,'Output Utente'!$R$2:$R$492,0)),"")</f>
        <v/>
      </c>
      <c r="E352" s="23" t="str">
        <f>IFERROR(INDEX('Input Giocatori 2026_27'!$D$3:$D$493,MATCH($B352,'Input Giocatori 2026_27'!$A$3:$A$493,0)),"")</f>
        <v/>
      </c>
      <c r="F352" s="24" t="str">
        <f>IFERROR(INDEX('Output Utente'!$N$2:$N$492,MATCH(349,'Output Utente'!$R$2:$R$492,0)),"")</f>
        <v/>
      </c>
      <c r="G352" s="23" t="str">
        <f>IFERROR(INDEX('Output Utente'!$O$2:$O$492,MATCH(349,'Output Utente'!$R$2:$R$492,0)),"")</f>
        <v/>
      </c>
      <c r="H352" s="23" t="str">
        <f>IFERROR(INDEX('Output Utente'!$P$2:$P$492,MATCH(349,'Output Utente'!$R$2:$R$492,0)),"")</f>
        <v/>
      </c>
      <c r="I352" s="24" t="str">
        <f>IFERROR(INDEX('Output Utente'!$F$2:$F$492,MATCH(349,'Output Utente'!$R$2:$R$492,0)),"")</f>
        <v/>
      </c>
      <c r="J352" s="24" t="str">
        <f>IFERROR(INDEX('Output Utente'!$G$2:$G$492,MATCH(349,'Output Utente'!$R$2:$R$492,0)),"")</f>
        <v/>
      </c>
      <c r="K352" s="24" t="str">
        <f>IFERROR(INDEX('Output Utente'!$H$2:$H$492,MATCH(349,'Output Utente'!$R$2:$R$492,0)),"")</f>
        <v/>
      </c>
      <c r="L352" s="23" t="str">
        <f>IFERROR(INDEX('Output Utente'!$E$2:$E$492,MATCH(349,'Output Utente'!$R$2:$R$492,0)),"")</f>
        <v/>
      </c>
      <c r="V352" t="str">
        <f>IFERROR(INDEX('Output Utente'!$M$2:$M$492,MATCH(349,'Output Utente'!$R$2:$R$492,0)),"")</f>
        <v/>
      </c>
      <c r="W352" t="str">
        <f t="shared" si="5"/>
        <v/>
      </c>
      <c r="X352" t="str">
        <f>IFERROR(INDEX('Output Utente'!$AF$2:$AF$492,MATCH(349,'Output Utente'!$R$2:$R$492,0)),"")</f>
        <v/>
      </c>
    </row>
    <row r="353" spans="1:24" ht="15" customHeight="1" x14ac:dyDescent="0.25">
      <c r="A353" s="26">
        <v>350</v>
      </c>
      <c r="B353" s="23" t="str">
        <f>IFERROR(INDEX('Output Utente'!$A$2:$A$492,MATCH(350,'Output Utente'!$R$2:$R$492,0)),"")</f>
        <v/>
      </c>
      <c r="C353" s="23" t="str">
        <f>IFERROR(INDEX('Output Utente'!$B$2:$B$492,MATCH(350,'Output Utente'!$R$2:$R$492,0)),"")</f>
        <v/>
      </c>
      <c r="D353" s="23" t="str">
        <f>IFERROR(INDEX('Output Utente'!$C$2:$C$492,MATCH(350,'Output Utente'!$R$2:$R$492,0)),"")</f>
        <v/>
      </c>
      <c r="E353" s="23" t="str">
        <f>IFERROR(INDEX('Input Giocatori 2026_27'!$D$3:$D$493,MATCH($B353,'Input Giocatori 2026_27'!$A$3:$A$493,0)),"")</f>
        <v/>
      </c>
      <c r="F353" s="24" t="str">
        <f>IFERROR(INDEX('Output Utente'!$N$2:$N$492,MATCH(350,'Output Utente'!$R$2:$R$492,0)),"")</f>
        <v/>
      </c>
      <c r="G353" s="23" t="str">
        <f>IFERROR(INDEX('Output Utente'!$O$2:$O$492,MATCH(350,'Output Utente'!$R$2:$R$492,0)),"")</f>
        <v/>
      </c>
      <c r="H353" s="23" t="str">
        <f>IFERROR(INDEX('Output Utente'!$P$2:$P$492,MATCH(350,'Output Utente'!$R$2:$R$492,0)),"")</f>
        <v/>
      </c>
      <c r="I353" s="24" t="str">
        <f>IFERROR(INDEX('Output Utente'!$F$2:$F$492,MATCH(350,'Output Utente'!$R$2:$R$492,0)),"")</f>
        <v/>
      </c>
      <c r="J353" s="24" t="str">
        <f>IFERROR(INDEX('Output Utente'!$G$2:$G$492,MATCH(350,'Output Utente'!$R$2:$R$492,0)),"")</f>
        <v/>
      </c>
      <c r="K353" s="24" t="str">
        <f>IFERROR(INDEX('Output Utente'!$H$2:$H$492,MATCH(350,'Output Utente'!$R$2:$R$492,0)),"")</f>
        <v/>
      </c>
      <c r="L353" s="23" t="str">
        <f>IFERROR(INDEX('Output Utente'!$E$2:$E$492,MATCH(350,'Output Utente'!$R$2:$R$492,0)),"")</f>
        <v/>
      </c>
      <c r="V353" t="str">
        <f>IFERROR(INDEX('Output Utente'!$M$2:$M$492,MATCH(350,'Output Utente'!$R$2:$R$492,0)),"")</f>
        <v/>
      </c>
      <c r="W353" t="str">
        <f t="shared" si="5"/>
        <v/>
      </c>
      <c r="X353" t="str">
        <f>IFERROR(INDEX('Output Utente'!$AF$2:$AF$492,MATCH(350,'Output Utente'!$R$2:$R$492,0)),"")</f>
        <v/>
      </c>
    </row>
    <row r="354" spans="1:24" ht="15" customHeight="1" x14ac:dyDescent="0.25">
      <c r="A354" s="26">
        <v>351</v>
      </c>
      <c r="B354" s="23" t="str">
        <f>IFERROR(INDEX('Output Utente'!$A$2:$A$492,MATCH(351,'Output Utente'!$R$2:$R$492,0)),"")</f>
        <v/>
      </c>
      <c r="C354" s="23" t="str">
        <f>IFERROR(INDEX('Output Utente'!$B$2:$B$492,MATCH(351,'Output Utente'!$R$2:$R$492,0)),"")</f>
        <v/>
      </c>
      <c r="D354" s="23" t="str">
        <f>IFERROR(INDEX('Output Utente'!$C$2:$C$492,MATCH(351,'Output Utente'!$R$2:$R$492,0)),"")</f>
        <v/>
      </c>
      <c r="E354" s="23" t="str">
        <f>IFERROR(INDEX('Input Giocatori 2026_27'!$D$3:$D$493,MATCH($B354,'Input Giocatori 2026_27'!$A$3:$A$493,0)),"")</f>
        <v/>
      </c>
      <c r="F354" s="24" t="str">
        <f>IFERROR(INDEX('Output Utente'!$N$2:$N$492,MATCH(351,'Output Utente'!$R$2:$R$492,0)),"")</f>
        <v/>
      </c>
      <c r="G354" s="23" t="str">
        <f>IFERROR(INDEX('Output Utente'!$O$2:$O$492,MATCH(351,'Output Utente'!$R$2:$R$492,0)),"")</f>
        <v/>
      </c>
      <c r="H354" s="23" t="str">
        <f>IFERROR(INDEX('Output Utente'!$P$2:$P$492,MATCH(351,'Output Utente'!$R$2:$R$492,0)),"")</f>
        <v/>
      </c>
      <c r="I354" s="24" t="str">
        <f>IFERROR(INDEX('Output Utente'!$F$2:$F$492,MATCH(351,'Output Utente'!$R$2:$R$492,0)),"")</f>
        <v/>
      </c>
      <c r="J354" s="24" t="str">
        <f>IFERROR(INDEX('Output Utente'!$G$2:$G$492,MATCH(351,'Output Utente'!$R$2:$R$492,0)),"")</f>
        <v/>
      </c>
      <c r="K354" s="24" t="str">
        <f>IFERROR(INDEX('Output Utente'!$H$2:$H$492,MATCH(351,'Output Utente'!$R$2:$R$492,0)),"")</f>
        <v/>
      </c>
      <c r="L354" s="23" t="str">
        <f>IFERROR(INDEX('Output Utente'!$E$2:$E$492,MATCH(351,'Output Utente'!$R$2:$R$492,0)),"")</f>
        <v/>
      </c>
      <c r="V354" t="str">
        <f>IFERROR(INDEX('Output Utente'!$M$2:$M$492,MATCH(351,'Output Utente'!$R$2:$R$492,0)),"")</f>
        <v/>
      </c>
      <c r="W354" t="str">
        <f t="shared" si="5"/>
        <v/>
      </c>
      <c r="X354" t="str">
        <f>IFERROR(INDEX('Output Utente'!$AF$2:$AF$492,MATCH(351,'Output Utente'!$R$2:$R$492,0)),"")</f>
        <v/>
      </c>
    </row>
    <row r="355" spans="1:24" ht="15" customHeight="1" x14ac:dyDescent="0.25">
      <c r="A355" s="26">
        <v>352</v>
      </c>
      <c r="B355" s="23" t="str">
        <f>IFERROR(INDEX('Output Utente'!$A$2:$A$492,MATCH(352,'Output Utente'!$R$2:$R$492,0)),"")</f>
        <v/>
      </c>
      <c r="C355" s="23" t="str">
        <f>IFERROR(INDEX('Output Utente'!$B$2:$B$492,MATCH(352,'Output Utente'!$R$2:$R$492,0)),"")</f>
        <v/>
      </c>
      <c r="D355" s="23" t="str">
        <f>IFERROR(INDEX('Output Utente'!$C$2:$C$492,MATCH(352,'Output Utente'!$R$2:$R$492,0)),"")</f>
        <v/>
      </c>
      <c r="E355" s="23" t="str">
        <f>IFERROR(INDEX('Input Giocatori 2026_27'!$D$3:$D$493,MATCH($B355,'Input Giocatori 2026_27'!$A$3:$A$493,0)),"")</f>
        <v/>
      </c>
      <c r="F355" s="24" t="str">
        <f>IFERROR(INDEX('Output Utente'!$N$2:$N$492,MATCH(352,'Output Utente'!$R$2:$R$492,0)),"")</f>
        <v/>
      </c>
      <c r="G355" s="23" t="str">
        <f>IFERROR(INDEX('Output Utente'!$O$2:$O$492,MATCH(352,'Output Utente'!$R$2:$R$492,0)),"")</f>
        <v/>
      </c>
      <c r="H355" s="23" t="str">
        <f>IFERROR(INDEX('Output Utente'!$P$2:$P$492,MATCH(352,'Output Utente'!$R$2:$R$492,0)),"")</f>
        <v/>
      </c>
      <c r="I355" s="24" t="str">
        <f>IFERROR(INDEX('Output Utente'!$F$2:$F$492,MATCH(352,'Output Utente'!$R$2:$R$492,0)),"")</f>
        <v/>
      </c>
      <c r="J355" s="24" t="str">
        <f>IFERROR(INDEX('Output Utente'!$G$2:$G$492,MATCH(352,'Output Utente'!$R$2:$R$492,0)),"")</f>
        <v/>
      </c>
      <c r="K355" s="24" t="str">
        <f>IFERROR(INDEX('Output Utente'!$H$2:$H$492,MATCH(352,'Output Utente'!$R$2:$R$492,0)),"")</f>
        <v/>
      </c>
      <c r="L355" s="23" t="str">
        <f>IFERROR(INDEX('Output Utente'!$E$2:$E$492,MATCH(352,'Output Utente'!$R$2:$R$492,0)),"")</f>
        <v/>
      </c>
      <c r="V355" t="str">
        <f>IFERROR(INDEX('Output Utente'!$M$2:$M$492,MATCH(352,'Output Utente'!$R$2:$R$492,0)),"")</f>
        <v/>
      </c>
      <c r="W355" t="str">
        <f t="shared" si="5"/>
        <v/>
      </c>
      <c r="X355" t="str">
        <f>IFERROR(INDEX('Output Utente'!$AF$2:$AF$492,MATCH(352,'Output Utente'!$R$2:$R$492,0)),"")</f>
        <v/>
      </c>
    </row>
    <row r="356" spans="1:24" ht="15" customHeight="1" x14ac:dyDescent="0.25">
      <c r="A356" s="26">
        <v>353</v>
      </c>
      <c r="B356" s="23" t="str">
        <f>IFERROR(INDEX('Output Utente'!$A$2:$A$492,MATCH(353,'Output Utente'!$R$2:$R$492,0)),"")</f>
        <v/>
      </c>
      <c r="C356" s="23" t="str">
        <f>IFERROR(INDEX('Output Utente'!$B$2:$B$492,MATCH(353,'Output Utente'!$R$2:$R$492,0)),"")</f>
        <v/>
      </c>
      <c r="D356" s="23" t="str">
        <f>IFERROR(INDEX('Output Utente'!$C$2:$C$492,MATCH(353,'Output Utente'!$R$2:$R$492,0)),"")</f>
        <v/>
      </c>
      <c r="E356" s="23" t="str">
        <f>IFERROR(INDEX('Input Giocatori 2026_27'!$D$3:$D$493,MATCH($B356,'Input Giocatori 2026_27'!$A$3:$A$493,0)),"")</f>
        <v/>
      </c>
      <c r="F356" s="24" t="str">
        <f>IFERROR(INDEX('Output Utente'!$N$2:$N$492,MATCH(353,'Output Utente'!$R$2:$R$492,0)),"")</f>
        <v/>
      </c>
      <c r="G356" s="23" t="str">
        <f>IFERROR(INDEX('Output Utente'!$O$2:$O$492,MATCH(353,'Output Utente'!$R$2:$R$492,0)),"")</f>
        <v/>
      </c>
      <c r="H356" s="23" t="str">
        <f>IFERROR(INDEX('Output Utente'!$P$2:$P$492,MATCH(353,'Output Utente'!$R$2:$R$492,0)),"")</f>
        <v/>
      </c>
      <c r="I356" s="24" t="str">
        <f>IFERROR(INDEX('Output Utente'!$F$2:$F$492,MATCH(353,'Output Utente'!$R$2:$R$492,0)),"")</f>
        <v/>
      </c>
      <c r="J356" s="24" t="str">
        <f>IFERROR(INDEX('Output Utente'!$G$2:$G$492,MATCH(353,'Output Utente'!$R$2:$R$492,0)),"")</f>
        <v/>
      </c>
      <c r="K356" s="24" t="str">
        <f>IFERROR(INDEX('Output Utente'!$H$2:$H$492,MATCH(353,'Output Utente'!$R$2:$R$492,0)),"")</f>
        <v/>
      </c>
      <c r="L356" s="23" t="str">
        <f>IFERROR(INDEX('Output Utente'!$E$2:$E$492,MATCH(353,'Output Utente'!$R$2:$R$492,0)),"")</f>
        <v/>
      </c>
      <c r="V356" t="str">
        <f>IFERROR(INDEX('Output Utente'!$M$2:$M$492,MATCH(353,'Output Utente'!$R$2:$R$492,0)),"")</f>
        <v/>
      </c>
      <c r="W356" t="str">
        <f t="shared" si="5"/>
        <v/>
      </c>
      <c r="X356" t="str">
        <f>IFERROR(INDEX('Output Utente'!$AF$2:$AF$492,MATCH(353,'Output Utente'!$R$2:$R$492,0)),"")</f>
        <v/>
      </c>
    </row>
    <row r="357" spans="1:24" ht="15" customHeight="1" x14ac:dyDescent="0.25">
      <c r="A357" s="26">
        <v>354</v>
      </c>
      <c r="B357" s="23" t="str">
        <f>IFERROR(INDEX('Output Utente'!$A$2:$A$492,MATCH(354,'Output Utente'!$R$2:$R$492,0)),"")</f>
        <v/>
      </c>
      <c r="C357" s="23" t="str">
        <f>IFERROR(INDEX('Output Utente'!$B$2:$B$492,MATCH(354,'Output Utente'!$R$2:$R$492,0)),"")</f>
        <v/>
      </c>
      <c r="D357" s="23" t="str">
        <f>IFERROR(INDEX('Output Utente'!$C$2:$C$492,MATCH(354,'Output Utente'!$R$2:$R$492,0)),"")</f>
        <v/>
      </c>
      <c r="E357" s="23" t="str">
        <f>IFERROR(INDEX('Input Giocatori 2026_27'!$D$3:$D$493,MATCH($B357,'Input Giocatori 2026_27'!$A$3:$A$493,0)),"")</f>
        <v/>
      </c>
      <c r="F357" s="24" t="str">
        <f>IFERROR(INDEX('Output Utente'!$N$2:$N$492,MATCH(354,'Output Utente'!$R$2:$R$492,0)),"")</f>
        <v/>
      </c>
      <c r="G357" s="23" t="str">
        <f>IFERROR(INDEX('Output Utente'!$O$2:$O$492,MATCH(354,'Output Utente'!$R$2:$R$492,0)),"")</f>
        <v/>
      </c>
      <c r="H357" s="23" t="str">
        <f>IFERROR(INDEX('Output Utente'!$P$2:$P$492,MATCH(354,'Output Utente'!$R$2:$R$492,0)),"")</f>
        <v/>
      </c>
      <c r="I357" s="24" t="str">
        <f>IFERROR(INDEX('Output Utente'!$F$2:$F$492,MATCH(354,'Output Utente'!$R$2:$R$492,0)),"")</f>
        <v/>
      </c>
      <c r="J357" s="24" t="str">
        <f>IFERROR(INDEX('Output Utente'!$G$2:$G$492,MATCH(354,'Output Utente'!$R$2:$R$492,0)),"")</f>
        <v/>
      </c>
      <c r="K357" s="24" t="str">
        <f>IFERROR(INDEX('Output Utente'!$H$2:$H$492,MATCH(354,'Output Utente'!$R$2:$R$492,0)),"")</f>
        <v/>
      </c>
      <c r="L357" s="23" t="str">
        <f>IFERROR(INDEX('Output Utente'!$E$2:$E$492,MATCH(354,'Output Utente'!$R$2:$R$492,0)),"")</f>
        <v/>
      </c>
      <c r="V357" t="str">
        <f>IFERROR(INDEX('Output Utente'!$M$2:$M$492,MATCH(354,'Output Utente'!$R$2:$R$492,0)),"")</f>
        <v/>
      </c>
      <c r="W357" t="str">
        <f t="shared" si="5"/>
        <v/>
      </c>
      <c r="X357" t="str">
        <f>IFERROR(INDEX('Output Utente'!$AF$2:$AF$492,MATCH(354,'Output Utente'!$R$2:$R$492,0)),"")</f>
        <v/>
      </c>
    </row>
    <row r="358" spans="1:24" ht="15" customHeight="1" x14ac:dyDescent="0.25">
      <c r="A358" s="26">
        <v>355</v>
      </c>
      <c r="B358" s="23" t="str">
        <f>IFERROR(INDEX('Output Utente'!$A$2:$A$492,MATCH(355,'Output Utente'!$R$2:$R$492,0)),"")</f>
        <v/>
      </c>
      <c r="C358" s="23" t="str">
        <f>IFERROR(INDEX('Output Utente'!$B$2:$B$492,MATCH(355,'Output Utente'!$R$2:$R$492,0)),"")</f>
        <v/>
      </c>
      <c r="D358" s="23" t="str">
        <f>IFERROR(INDEX('Output Utente'!$C$2:$C$492,MATCH(355,'Output Utente'!$R$2:$R$492,0)),"")</f>
        <v/>
      </c>
      <c r="E358" s="23" t="str">
        <f>IFERROR(INDEX('Input Giocatori 2026_27'!$D$3:$D$493,MATCH($B358,'Input Giocatori 2026_27'!$A$3:$A$493,0)),"")</f>
        <v/>
      </c>
      <c r="F358" s="24" t="str">
        <f>IFERROR(INDEX('Output Utente'!$N$2:$N$492,MATCH(355,'Output Utente'!$R$2:$R$492,0)),"")</f>
        <v/>
      </c>
      <c r="G358" s="23" t="str">
        <f>IFERROR(INDEX('Output Utente'!$O$2:$O$492,MATCH(355,'Output Utente'!$R$2:$R$492,0)),"")</f>
        <v/>
      </c>
      <c r="H358" s="23" t="str">
        <f>IFERROR(INDEX('Output Utente'!$P$2:$P$492,MATCH(355,'Output Utente'!$R$2:$R$492,0)),"")</f>
        <v/>
      </c>
      <c r="I358" s="24" t="str">
        <f>IFERROR(INDEX('Output Utente'!$F$2:$F$492,MATCH(355,'Output Utente'!$R$2:$R$492,0)),"")</f>
        <v/>
      </c>
      <c r="J358" s="24" t="str">
        <f>IFERROR(INDEX('Output Utente'!$G$2:$G$492,MATCH(355,'Output Utente'!$R$2:$R$492,0)),"")</f>
        <v/>
      </c>
      <c r="K358" s="24" t="str">
        <f>IFERROR(INDEX('Output Utente'!$H$2:$H$492,MATCH(355,'Output Utente'!$R$2:$R$492,0)),"")</f>
        <v/>
      </c>
      <c r="L358" s="23" t="str">
        <f>IFERROR(INDEX('Output Utente'!$E$2:$E$492,MATCH(355,'Output Utente'!$R$2:$R$492,0)),"")</f>
        <v/>
      </c>
      <c r="V358" t="str">
        <f>IFERROR(INDEX('Output Utente'!$M$2:$M$492,MATCH(355,'Output Utente'!$R$2:$R$492,0)),"")</f>
        <v/>
      </c>
      <c r="W358" t="str">
        <f t="shared" si="5"/>
        <v/>
      </c>
      <c r="X358" t="str">
        <f>IFERROR(INDEX('Output Utente'!$AF$2:$AF$492,MATCH(355,'Output Utente'!$R$2:$R$492,0)),"")</f>
        <v/>
      </c>
    </row>
    <row r="359" spans="1:24" ht="15" customHeight="1" x14ac:dyDescent="0.25">
      <c r="A359" s="26">
        <v>356</v>
      </c>
      <c r="B359" s="23" t="str">
        <f>IFERROR(INDEX('Output Utente'!$A$2:$A$492,MATCH(356,'Output Utente'!$R$2:$R$492,0)),"")</f>
        <v/>
      </c>
      <c r="C359" s="23" t="str">
        <f>IFERROR(INDEX('Output Utente'!$B$2:$B$492,MATCH(356,'Output Utente'!$R$2:$R$492,0)),"")</f>
        <v/>
      </c>
      <c r="D359" s="23" t="str">
        <f>IFERROR(INDEX('Output Utente'!$C$2:$C$492,MATCH(356,'Output Utente'!$R$2:$R$492,0)),"")</f>
        <v/>
      </c>
      <c r="E359" s="23" t="str">
        <f>IFERROR(INDEX('Input Giocatori 2026_27'!$D$3:$D$493,MATCH($B359,'Input Giocatori 2026_27'!$A$3:$A$493,0)),"")</f>
        <v/>
      </c>
      <c r="F359" s="24" t="str">
        <f>IFERROR(INDEX('Output Utente'!$N$2:$N$492,MATCH(356,'Output Utente'!$R$2:$R$492,0)),"")</f>
        <v/>
      </c>
      <c r="G359" s="23" t="str">
        <f>IFERROR(INDEX('Output Utente'!$O$2:$O$492,MATCH(356,'Output Utente'!$R$2:$R$492,0)),"")</f>
        <v/>
      </c>
      <c r="H359" s="23" t="str">
        <f>IFERROR(INDEX('Output Utente'!$P$2:$P$492,MATCH(356,'Output Utente'!$R$2:$R$492,0)),"")</f>
        <v/>
      </c>
      <c r="I359" s="24" t="str">
        <f>IFERROR(INDEX('Output Utente'!$F$2:$F$492,MATCH(356,'Output Utente'!$R$2:$R$492,0)),"")</f>
        <v/>
      </c>
      <c r="J359" s="24" t="str">
        <f>IFERROR(INDEX('Output Utente'!$G$2:$G$492,MATCH(356,'Output Utente'!$R$2:$R$492,0)),"")</f>
        <v/>
      </c>
      <c r="K359" s="24" t="str">
        <f>IFERROR(INDEX('Output Utente'!$H$2:$H$492,MATCH(356,'Output Utente'!$R$2:$R$492,0)),"")</f>
        <v/>
      </c>
      <c r="L359" s="23" t="str">
        <f>IFERROR(INDEX('Output Utente'!$E$2:$E$492,MATCH(356,'Output Utente'!$R$2:$R$492,0)),"")</f>
        <v/>
      </c>
      <c r="V359" t="str">
        <f>IFERROR(INDEX('Output Utente'!$M$2:$M$492,MATCH(356,'Output Utente'!$R$2:$R$492,0)),"")</f>
        <v/>
      </c>
      <c r="W359" t="str">
        <f t="shared" si="5"/>
        <v/>
      </c>
      <c r="X359" t="str">
        <f>IFERROR(INDEX('Output Utente'!$AF$2:$AF$492,MATCH(356,'Output Utente'!$R$2:$R$492,0)),"")</f>
        <v/>
      </c>
    </row>
    <row r="360" spans="1:24" ht="15" customHeight="1" x14ac:dyDescent="0.25">
      <c r="A360" s="26">
        <v>357</v>
      </c>
      <c r="B360" s="23" t="str">
        <f>IFERROR(INDEX('Output Utente'!$A$2:$A$492,MATCH(357,'Output Utente'!$R$2:$R$492,0)),"")</f>
        <v/>
      </c>
      <c r="C360" s="23" t="str">
        <f>IFERROR(INDEX('Output Utente'!$B$2:$B$492,MATCH(357,'Output Utente'!$R$2:$R$492,0)),"")</f>
        <v/>
      </c>
      <c r="D360" s="23" t="str">
        <f>IFERROR(INDEX('Output Utente'!$C$2:$C$492,MATCH(357,'Output Utente'!$R$2:$R$492,0)),"")</f>
        <v/>
      </c>
      <c r="E360" s="23" t="str">
        <f>IFERROR(INDEX('Input Giocatori 2026_27'!$D$3:$D$493,MATCH($B360,'Input Giocatori 2026_27'!$A$3:$A$493,0)),"")</f>
        <v/>
      </c>
      <c r="F360" s="24" t="str">
        <f>IFERROR(INDEX('Output Utente'!$N$2:$N$492,MATCH(357,'Output Utente'!$R$2:$R$492,0)),"")</f>
        <v/>
      </c>
      <c r="G360" s="23" t="str">
        <f>IFERROR(INDEX('Output Utente'!$O$2:$O$492,MATCH(357,'Output Utente'!$R$2:$R$492,0)),"")</f>
        <v/>
      </c>
      <c r="H360" s="23" t="str">
        <f>IFERROR(INDEX('Output Utente'!$P$2:$P$492,MATCH(357,'Output Utente'!$R$2:$R$492,0)),"")</f>
        <v/>
      </c>
      <c r="I360" s="24" t="str">
        <f>IFERROR(INDEX('Output Utente'!$F$2:$F$492,MATCH(357,'Output Utente'!$R$2:$R$492,0)),"")</f>
        <v/>
      </c>
      <c r="J360" s="24" t="str">
        <f>IFERROR(INDEX('Output Utente'!$G$2:$G$492,MATCH(357,'Output Utente'!$R$2:$R$492,0)),"")</f>
        <v/>
      </c>
      <c r="K360" s="24" t="str">
        <f>IFERROR(INDEX('Output Utente'!$H$2:$H$492,MATCH(357,'Output Utente'!$R$2:$R$492,0)),"")</f>
        <v/>
      </c>
      <c r="L360" s="23" t="str">
        <f>IFERROR(INDEX('Output Utente'!$E$2:$E$492,MATCH(357,'Output Utente'!$R$2:$R$492,0)),"")</f>
        <v/>
      </c>
      <c r="V360" t="str">
        <f>IFERROR(INDEX('Output Utente'!$M$2:$M$492,MATCH(357,'Output Utente'!$R$2:$R$492,0)),"")</f>
        <v/>
      </c>
      <c r="W360" t="str">
        <f t="shared" si="5"/>
        <v/>
      </c>
      <c r="X360" t="str">
        <f>IFERROR(INDEX('Output Utente'!$AF$2:$AF$492,MATCH(357,'Output Utente'!$R$2:$R$492,0)),"")</f>
        <v/>
      </c>
    </row>
    <row r="361" spans="1:24" ht="15" customHeight="1" x14ac:dyDescent="0.25">
      <c r="A361" s="26">
        <v>358</v>
      </c>
      <c r="B361" s="23" t="str">
        <f>IFERROR(INDEX('Output Utente'!$A$2:$A$492,MATCH(358,'Output Utente'!$R$2:$R$492,0)),"")</f>
        <v/>
      </c>
      <c r="C361" s="23" t="str">
        <f>IFERROR(INDEX('Output Utente'!$B$2:$B$492,MATCH(358,'Output Utente'!$R$2:$R$492,0)),"")</f>
        <v/>
      </c>
      <c r="D361" s="23" t="str">
        <f>IFERROR(INDEX('Output Utente'!$C$2:$C$492,MATCH(358,'Output Utente'!$R$2:$R$492,0)),"")</f>
        <v/>
      </c>
      <c r="E361" s="23" t="str">
        <f>IFERROR(INDEX('Input Giocatori 2026_27'!$D$3:$D$493,MATCH($B361,'Input Giocatori 2026_27'!$A$3:$A$493,0)),"")</f>
        <v/>
      </c>
      <c r="F361" s="24" t="str">
        <f>IFERROR(INDEX('Output Utente'!$N$2:$N$492,MATCH(358,'Output Utente'!$R$2:$R$492,0)),"")</f>
        <v/>
      </c>
      <c r="G361" s="23" t="str">
        <f>IFERROR(INDEX('Output Utente'!$O$2:$O$492,MATCH(358,'Output Utente'!$R$2:$R$492,0)),"")</f>
        <v/>
      </c>
      <c r="H361" s="23" t="str">
        <f>IFERROR(INDEX('Output Utente'!$P$2:$P$492,MATCH(358,'Output Utente'!$R$2:$R$492,0)),"")</f>
        <v/>
      </c>
      <c r="I361" s="24" t="str">
        <f>IFERROR(INDEX('Output Utente'!$F$2:$F$492,MATCH(358,'Output Utente'!$R$2:$R$492,0)),"")</f>
        <v/>
      </c>
      <c r="J361" s="24" t="str">
        <f>IFERROR(INDEX('Output Utente'!$G$2:$G$492,MATCH(358,'Output Utente'!$R$2:$R$492,0)),"")</f>
        <v/>
      </c>
      <c r="K361" s="24" t="str">
        <f>IFERROR(INDEX('Output Utente'!$H$2:$H$492,MATCH(358,'Output Utente'!$R$2:$R$492,0)),"")</f>
        <v/>
      </c>
      <c r="L361" s="23" t="str">
        <f>IFERROR(INDEX('Output Utente'!$E$2:$E$492,MATCH(358,'Output Utente'!$R$2:$R$492,0)),"")</f>
        <v/>
      </c>
      <c r="V361" t="str">
        <f>IFERROR(INDEX('Output Utente'!$M$2:$M$492,MATCH(358,'Output Utente'!$R$2:$R$492,0)),"")</f>
        <v/>
      </c>
      <c r="W361" t="str">
        <f t="shared" si="5"/>
        <v/>
      </c>
      <c r="X361" t="str">
        <f>IFERROR(INDEX('Output Utente'!$AF$2:$AF$492,MATCH(358,'Output Utente'!$R$2:$R$492,0)),"")</f>
        <v/>
      </c>
    </row>
    <row r="362" spans="1:24" ht="15" customHeight="1" x14ac:dyDescent="0.25">
      <c r="A362" s="26">
        <v>359</v>
      </c>
      <c r="B362" s="23" t="str">
        <f>IFERROR(INDEX('Output Utente'!$A$2:$A$492,MATCH(359,'Output Utente'!$R$2:$R$492,0)),"")</f>
        <v/>
      </c>
      <c r="C362" s="23" t="str">
        <f>IFERROR(INDEX('Output Utente'!$B$2:$B$492,MATCH(359,'Output Utente'!$R$2:$R$492,0)),"")</f>
        <v/>
      </c>
      <c r="D362" s="23" t="str">
        <f>IFERROR(INDEX('Output Utente'!$C$2:$C$492,MATCH(359,'Output Utente'!$R$2:$R$492,0)),"")</f>
        <v/>
      </c>
      <c r="E362" s="23" t="str">
        <f>IFERROR(INDEX('Input Giocatori 2026_27'!$D$3:$D$493,MATCH($B362,'Input Giocatori 2026_27'!$A$3:$A$493,0)),"")</f>
        <v/>
      </c>
      <c r="F362" s="24" t="str">
        <f>IFERROR(INDEX('Output Utente'!$N$2:$N$492,MATCH(359,'Output Utente'!$R$2:$R$492,0)),"")</f>
        <v/>
      </c>
      <c r="G362" s="23" t="str">
        <f>IFERROR(INDEX('Output Utente'!$O$2:$O$492,MATCH(359,'Output Utente'!$R$2:$R$492,0)),"")</f>
        <v/>
      </c>
      <c r="H362" s="23" t="str">
        <f>IFERROR(INDEX('Output Utente'!$P$2:$P$492,MATCH(359,'Output Utente'!$R$2:$R$492,0)),"")</f>
        <v/>
      </c>
      <c r="I362" s="24" t="str">
        <f>IFERROR(INDEX('Output Utente'!$F$2:$F$492,MATCH(359,'Output Utente'!$R$2:$R$492,0)),"")</f>
        <v/>
      </c>
      <c r="J362" s="24" t="str">
        <f>IFERROR(INDEX('Output Utente'!$G$2:$G$492,MATCH(359,'Output Utente'!$R$2:$R$492,0)),"")</f>
        <v/>
      </c>
      <c r="K362" s="24" t="str">
        <f>IFERROR(INDEX('Output Utente'!$H$2:$H$492,MATCH(359,'Output Utente'!$R$2:$R$492,0)),"")</f>
        <v/>
      </c>
      <c r="L362" s="23" t="str">
        <f>IFERROR(INDEX('Output Utente'!$E$2:$E$492,MATCH(359,'Output Utente'!$R$2:$R$492,0)),"")</f>
        <v/>
      </c>
      <c r="V362" t="str">
        <f>IFERROR(INDEX('Output Utente'!$M$2:$M$492,MATCH(359,'Output Utente'!$R$2:$R$492,0)),"")</f>
        <v/>
      </c>
      <c r="W362" t="str">
        <f t="shared" si="5"/>
        <v/>
      </c>
      <c r="X362" t="str">
        <f>IFERROR(INDEX('Output Utente'!$AF$2:$AF$492,MATCH(359,'Output Utente'!$R$2:$R$492,0)),"")</f>
        <v/>
      </c>
    </row>
    <row r="363" spans="1:24" ht="15" customHeight="1" x14ac:dyDescent="0.25">
      <c r="A363" s="26">
        <v>360</v>
      </c>
      <c r="B363" s="23" t="str">
        <f>IFERROR(INDEX('Output Utente'!$A$2:$A$492,MATCH(360,'Output Utente'!$R$2:$R$492,0)),"")</f>
        <v/>
      </c>
      <c r="C363" s="23" t="str">
        <f>IFERROR(INDEX('Output Utente'!$B$2:$B$492,MATCH(360,'Output Utente'!$R$2:$R$492,0)),"")</f>
        <v/>
      </c>
      <c r="D363" s="23" t="str">
        <f>IFERROR(INDEX('Output Utente'!$C$2:$C$492,MATCH(360,'Output Utente'!$R$2:$R$492,0)),"")</f>
        <v/>
      </c>
      <c r="E363" s="23" t="str">
        <f>IFERROR(INDEX('Input Giocatori 2026_27'!$D$3:$D$493,MATCH($B363,'Input Giocatori 2026_27'!$A$3:$A$493,0)),"")</f>
        <v/>
      </c>
      <c r="F363" s="24" t="str">
        <f>IFERROR(INDEX('Output Utente'!$N$2:$N$492,MATCH(360,'Output Utente'!$R$2:$R$492,0)),"")</f>
        <v/>
      </c>
      <c r="G363" s="23" t="str">
        <f>IFERROR(INDEX('Output Utente'!$O$2:$O$492,MATCH(360,'Output Utente'!$R$2:$R$492,0)),"")</f>
        <v/>
      </c>
      <c r="H363" s="23" t="str">
        <f>IFERROR(INDEX('Output Utente'!$P$2:$P$492,MATCH(360,'Output Utente'!$R$2:$R$492,0)),"")</f>
        <v/>
      </c>
      <c r="I363" s="24" t="str">
        <f>IFERROR(INDEX('Output Utente'!$F$2:$F$492,MATCH(360,'Output Utente'!$R$2:$R$492,0)),"")</f>
        <v/>
      </c>
      <c r="J363" s="24" t="str">
        <f>IFERROR(INDEX('Output Utente'!$G$2:$G$492,MATCH(360,'Output Utente'!$R$2:$R$492,0)),"")</f>
        <v/>
      </c>
      <c r="K363" s="24" t="str">
        <f>IFERROR(INDEX('Output Utente'!$H$2:$H$492,MATCH(360,'Output Utente'!$R$2:$R$492,0)),"")</f>
        <v/>
      </c>
      <c r="L363" s="23" t="str">
        <f>IFERROR(INDEX('Output Utente'!$E$2:$E$492,MATCH(360,'Output Utente'!$R$2:$R$492,0)),"")</f>
        <v/>
      </c>
      <c r="V363" t="str">
        <f>IFERROR(INDEX('Output Utente'!$M$2:$M$492,MATCH(360,'Output Utente'!$R$2:$R$492,0)),"")</f>
        <v/>
      </c>
      <c r="W363" t="str">
        <f t="shared" si="5"/>
        <v/>
      </c>
      <c r="X363" t="str">
        <f>IFERROR(INDEX('Output Utente'!$AF$2:$AF$492,MATCH(360,'Output Utente'!$R$2:$R$492,0)),"")</f>
        <v/>
      </c>
    </row>
    <row r="364" spans="1:24" ht="15" customHeight="1" x14ac:dyDescent="0.25">
      <c r="A364" s="26">
        <v>361</v>
      </c>
      <c r="B364" s="23" t="str">
        <f>IFERROR(INDEX('Output Utente'!$A$2:$A$492,MATCH(361,'Output Utente'!$R$2:$R$492,0)),"")</f>
        <v/>
      </c>
      <c r="C364" s="23" t="str">
        <f>IFERROR(INDEX('Output Utente'!$B$2:$B$492,MATCH(361,'Output Utente'!$R$2:$R$492,0)),"")</f>
        <v/>
      </c>
      <c r="D364" s="23" t="str">
        <f>IFERROR(INDEX('Output Utente'!$C$2:$C$492,MATCH(361,'Output Utente'!$R$2:$R$492,0)),"")</f>
        <v/>
      </c>
      <c r="E364" s="23" t="str">
        <f>IFERROR(INDEX('Input Giocatori 2026_27'!$D$3:$D$493,MATCH($B364,'Input Giocatori 2026_27'!$A$3:$A$493,0)),"")</f>
        <v/>
      </c>
      <c r="F364" s="24" t="str">
        <f>IFERROR(INDEX('Output Utente'!$N$2:$N$492,MATCH(361,'Output Utente'!$R$2:$R$492,0)),"")</f>
        <v/>
      </c>
      <c r="G364" s="23" t="str">
        <f>IFERROR(INDEX('Output Utente'!$O$2:$O$492,MATCH(361,'Output Utente'!$R$2:$R$492,0)),"")</f>
        <v/>
      </c>
      <c r="H364" s="23" t="str">
        <f>IFERROR(INDEX('Output Utente'!$P$2:$P$492,MATCH(361,'Output Utente'!$R$2:$R$492,0)),"")</f>
        <v/>
      </c>
      <c r="I364" s="24" t="str">
        <f>IFERROR(INDEX('Output Utente'!$F$2:$F$492,MATCH(361,'Output Utente'!$R$2:$R$492,0)),"")</f>
        <v/>
      </c>
      <c r="J364" s="24" t="str">
        <f>IFERROR(INDEX('Output Utente'!$G$2:$G$492,MATCH(361,'Output Utente'!$R$2:$R$492,0)),"")</f>
        <v/>
      </c>
      <c r="K364" s="24" t="str">
        <f>IFERROR(INDEX('Output Utente'!$H$2:$H$492,MATCH(361,'Output Utente'!$R$2:$R$492,0)),"")</f>
        <v/>
      </c>
      <c r="L364" s="23" t="str">
        <f>IFERROR(INDEX('Output Utente'!$E$2:$E$492,MATCH(361,'Output Utente'!$R$2:$R$492,0)),"")</f>
        <v/>
      </c>
      <c r="V364" t="str">
        <f>IFERROR(INDEX('Output Utente'!$M$2:$M$492,MATCH(361,'Output Utente'!$R$2:$R$492,0)),"")</f>
        <v/>
      </c>
      <c r="W364" t="str">
        <f t="shared" si="5"/>
        <v/>
      </c>
      <c r="X364" t="str">
        <f>IFERROR(INDEX('Output Utente'!$AF$2:$AF$492,MATCH(361,'Output Utente'!$R$2:$R$492,0)),"")</f>
        <v/>
      </c>
    </row>
    <row r="365" spans="1:24" ht="15" customHeight="1" x14ac:dyDescent="0.25">
      <c r="A365" s="26">
        <v>362</v>
      </c>
      <c r="B365" s="23" t="str">
        <f>IFERROR(INDEX('Output Utente'!$A$2:$A$492,MATCH(362,'Output Utente'!$R$2:$R$492,0)),"")</f>
        <v/>
      </c>
      <c r="C365" s="23" t="str">
        <f>IFERROR(INDEX('Output Utente'!$B$2:$B$492,MATCH(362,'Output Utente'!$R$2:$R$492,0)),"")</f>
        <v/>
      </c>
      <c r="D365" s="23" t="str">
        <f>IFERROR(INDEX('Output Utente'!$C$2:$C$492,MATCH(362,'Output Utente'!$R$2:$R$492,0)),"")</f>
        <v/>
      </c>
      <c r="E365" s="23" t="str">
        <f>IFERROR(INDEX('Input Giocatori 2026_27'!$D$3:$D$493,MATCH($B365,'Input Giocatori 2026_27'!$A$3:$A$493,0)),"")</f>
        <v/>
      </c>
      <c r="F365" s="24" t="str">
        <f>IFERROR(INDEX('Output Utente'!$N$2:$N$492,MATCH(362,'Output Utente'!$R$2:$R$492,0)),"")</f>
        <v/>
      </c>
      <c r="G365" s="23" t="str">
        <f>IFERROR(INDEX('Output Utente'!$O$2:$O$492,MATCH(362,'Output Utente'!$R$2:$R$492,0)),"")</f>
        <v/>
      </c>
      <c r="H365" s="23" t="str">
        <f>IFERROR(INDEX('Output Utente'!$P$2:$P$492,MATCH(362,'Output Utente'!$R$2:$R$492,0)),"")</f>
        <v/>
      </c>
      <c r="I365" s="24" t="str">
        <f>IFERROR(INDEX('Output Utente'!$F$2:$F$492,MATCH(362,'Output Utente'!$R$2:$R$492,0)),"")</f>
        <v/>
      </c>
      <c r="J365" s="24" t="str">
        <f>IFERROR(INDEX('Output Utente'!$G$2:$G$492,MATCH(362,'Output Utente'!$R$2:$R$492,0)),"")</f>
        <v/>
      </c>
      <c r="K365" s="24" t="str">
        <f>IFERROR(INDEX('Output Utente'!$H$2:$H$492,MATCH(362,'Output Utente'!$R$2:$R$492,0)),"")</f>
        <v/>
      </c>
      <c r="L365" s="23" t="str">
        <f>IFERROR(INDEX('Output Utente'!$E$2:$E$492,MATCH(362,'Output Utente'!$R$2:$R$492,0)),"")</f>
        <v/>
      </c>
      <c r="V365" t="str">
        <f>IFERROR(INDEX('Output Utente'!$M$2:$M$492,MATCH(362,'Output Utente'!$R$2:$R$492,0)),"")</f>
        <v/>
      </c>
      <c r="W365" t="str">
        <f t="shared" si="5"/>
        <v/>
      </c>
      <c r="X365" t="str">
        <f>IFERROR(INDEX('Output Utente'!$AF$2:$AF$492,MATCH(362,'Output Utente'!$R$2:$R$492,0)),"")</f>
        <v/>
      </c>
    </row>
    <row r="366" spans="1:24" ht="15" customHeight="1" x14ac:dyDescent="0.25">
      <c r="A366" s="26">
        <v>363</v>
      </c>
      <c r="B366" s="23" t="str">
        <f>IFERROR(INDEX('Output Utente'!$A$2:$A$492,MATCH(363,'Output Utente'!$R$2:$R$492,0)),"")</f>
        <v/>
      </c>
      <c r="C366" s="23" t="str">
        <f>IFERROR(INDEX('Output Utente'!$B$2:$B$492,MATCH(363,'Output Utente'!$R$2:$R$492,0)),"")</f>
        <v/>
      </c>
      <c r="D366" s="23" t="str">
        <f>IFERROR(INDEX('Output Utente'!$C$2:$C$492,MATCH(363,'Output Utente'!$R$2:$R$492,0)),"")</f>
        <v/>
      </c>
      <c r="E366" s="23" t="str">
        <f>IFERROR(INDEX('Input Giocatori 2026_27'!$D$3:$D$493,MATCH($B366,'Input Giocatori 2026_27'!$A$3:$A$493,0)),"")</f>
        <v/>
      </c>
      <c r="F366" s="24" t="str">
        <f>IFERROR(INDEX('Output Utente'!$N$2:$N$492,MATCH(363,'Output Utente'!$R$2:$R$492,0)),"")</f>
        <v/>
      </c>
      <c r="G366" s="23" t="str">
        <f>IFERROR(INDEX('Output Utente'!$O$2:$O$492,MATCH(363,'Output Utente'!$R$2:$R$492,0)),"")</f>
        <v/>
      </c>
      <c r="H366" s="23" t="str">
        <f>IFERROR(INDEX('Output Utente'!$P$2:$P$492,MATCH(363,'Output Utente'!$R$2:$R$492,0)),"")</f>
        <v/>
      </c>
      <c r="I366" s="24" t="str">
        <f>IFERROR(INDEX('Output Utente'!$F$2:$F$492,MATCH(363,'Output Utente'!$R$2:$R$492,0)),"")</f>
        <v/>
      </c>
      <c r="J366" s="24" t="str">
        <f>IFERROR(INDEX('Output Utente'!$G$2:$G$492,MATCH(363,'Output Utente'!$R$2:$R$492,0)),"")</f>
        <v/>
      </c>
      <c r="K366" s="24" t="str">
        <f>IFERROR(INDEX('Output Utente'!$H$2:$H$492,MATCH(363,'Output Utente'!$R$2:$R$492,0)),"")</f>
        <v/>
      </c>
      <c r="L366" s="23" t="str">
        <f>IFERROR(INDEX('Output Utente'!$E$2:$E$492,MATCH(363,'Output Utente'!$R$2:$R$492,0)),"")</f>
        <v/>
      </c>
      <c r="V366" t="str">
        <f>IFERROR(INDEX('Output Utente'!$M$2:$M$492,MATCH(363,'Output Utente'!$R$2:$R$492,0)),"")</f>
        <v/>
      </c>
      <c r="W366" t="str">
        <f t="shared" si="5"/>
        <v/>
      </c>
      <c r="X366" t="str">
        <f>IFERROR(INDEX('Output Utente'!$AF$2:$AF$492,MATCH(363,'Output Utente'!$R$2:$R$492,0)),"")</f>
        <v/>
      </c>
    </row>
    <row r="367" spans="1:24" ht="15" customHeight="1" x14ac:dyDescent="0.25">
      <c r="A367" s="26">
        <v>364</v>
      </c>
      <c r="B367" s="23" t="str">
        <f>IFERROR(INDEX('Output Utente'!$A$2:$A$492,MATCH(364,'Output Utente'!$R$2:$R$492,0)),"")</f>
        <v/>
      </c>
      <c r="C367" s="23" t="str">
        <f>IFERROR(INDEX('Output Utente'!$B$2:$B$492,MATCH(364,'Output Utente'!$R$2:$R$492,0)),"")</f>
        <v/>
      </c>
      <c r="D367" s="23" t="str">
        <f>IFERROR(INDEX('Output Utente'!$C$2:$C$492,MATCH(364,'Output Utente'!$R$2:$R$492,0)),"")</f>
        <v/>
      </c>
      <c r="E367" s="23" t="str">
        <f>IFERROR(INDEX('Input Giocatori 2026_27'!$D$3:$D$493,MATCH($B367,'Input Giocatori 2026_27'!$A$3:$A$493,0)),"")</f>
        <v/>
      </c>
      <c r="F367" s="24" t="str">
        <f>IFERROR(INDEX('Output Utente'!$N$2:$N$492,MATCH(364,'Output Utente'!$R$2:$R$492,0)),"")</f>
        <v/>
      </c>
      <c r="G367" s="23" t="str">
        <f>IFERROR(INDEX('Output Utente'!$O$2:$O$492,MATCH(364,'Output Utente'!$R$2:$R$492,0)),"")</f>
        <v/>
      </c>
      <c r="H367" s="23" t="str">
        <f>IFERROR(INDEX('Output Utente'!$P$2:$P$492,MATCH(364,'Output Utente'!$R$2:$R$492,0)),"")</f>
        <v/>
      </c>
      <c r="I367" s="24" t="str">
        <f>IFERROR(INDEX('Output Utente'!$F$2:$F$492,MATCH(364,'Output Utente'!$R$2:$R$492,0)),"")</f>
        <v/>
      </c>
      <c r="J367" s="24" t="str">
        <f>IFERROR(INDEX('Output Utente'!$G$2:$G$492,MATCH(364,'Output Utente'!$R$2:$R$492,0)),"")</f>
        <v/>
      </c>
      <c r="K367" s="24" t="str">
        <f>IFERROR(INDEX('Output Utente'!$H$2:$H$492,MATCH(364,'Output Utente'!$R$2:$R$492,0)),"")</f>
        <v/>
      </c>
      <c r="L367" s="23" t="str">
        <f>IFERROR(INDEX('Output Utente'!$E$2:$E$492,MATCH(364,'Output Utente'!$R$2:$R$492,0)),"")</f>
        <v/>
      </c>
      <c r="V367" t="str">
        <f>IFERROR(INDEX('Output Utente'!$M$2:$M$492,MATCH(364,'Output Utente'!$R$2:$R$492,0)),"")</f>
        <v/>
      </c>
      <c r="W367" t="str">
        <f t="shared" si="5"/>
        <v/>
      </c>
      <c r="X367" t="str">
        <f>IFERROR(INDEX('Output Utente'!$AF$2:$AF$492,MATCH(364,'Output Utente'!$R$2:$R$492,0)),"")</f>
        <v/>
      </c>
    </row>
    <row r="368" spans="1:24" ht="15" customHeight="1" x14ac:dyDescent="0.25">
      <c r="A368" s="26">
        <v>365</v>
      </c>
      <c r="B368" s="23" t="str">
        <f>IFERROR(INDEX('Output Utente'!$A$2:$A$492,MATCH(365,'Output Utente'!$R$2:$R$492,0)),"")</f>
        <v/>
      </c>
      <c r="C368" s="23" t="str">
        <f>IFERROR(INDEX('Output Utente'!$B$2:$B$492,MATCH(365,'Output Utente'!$R$2:$R$492,0)),"")</f>
        <v/>
      </c>
      <c r="D368" s="23" t="str">
        <f>IFERROR(INDEX('Output Utente'!$C$2:$C$492,MATCH(365,'Output Utente'!$R$2:$R$492,0)),"")</f>
        <v/>
      </c>
      <c r="E368" s="23" t="str">
        <f>IFERROR(INDEX('Input Giocatori 2026_27'!$D$3:$D$493,MATCH($B368,'Input Giocatori 2026_27'!$A$3:$A$493,0)),"")</f>
        <v/>
      </c>
      <c r="F368" s="24" t="str">
        <f>IFERROR(INDEX('Output Utente'!$N$2:$N$492,MATCH(365,'Output Utente'!$R$2:$R$492,0)),"")</f>
        <v/>
      </c>
      <c r="G368" s="23" t="str">
        <f>IFERROR(INDEX('Output Utente'!$O$2:$O$492,MATCH(365,'Output Utente'!$R$2:$R$492,0)),"")</f>
        <v/>
      </c>
      <c r="H368" s="23" t="str">
        <f>IFERROR(INDEX('Output Utente'!$P$2:$P$492,MATCH(365,'Output Utente'!$R$2:$R$492,0)),"")</f>
        <v/>
      </c>
      <c r="I368" s="24" t="str">
        <f>IFERROR(INDEX('Output Utente'!$F$2:$F$492,MATCH(365,'Output Utente'!$R$2:$R$492,0)),"")</f>
        <v/>
      </c>
      <c r="J368" s="24" t="str">
        <f>IFERROR(INDEX('Output Utente'!$G$2:$G$492,MATCH(365,'Output Utente'!$R$2:$R$492,0)),"")</f>
        <v/>
      </c>
      <c r="K368" s="24" t="str">
        <f>IFERROR(INDEX('Output Utente'!$H$2:$H$492,MATCH(365,'Output Utente'!$R$2:$R$492,0)),"")</f>
        <v/>
      </c>
      <c r="L368" s="23" t="str">
        <f>IFERROR(INDEX('Output Utente'!$E$2:$E$492,MATCH(365,'Output Utente'!$R$2:$R$492,0)),"")</f>
        <v/>
      </c>
      <c r="V368" t="str">
        <f>IFERROR(INDEX('Output Utente'!$M$2:$M$492,MATCH(365,'Output Utente'!$R$2:$R$492,0)),"")</f>
        <v/>
      </c>
      <c r="W368" t="str">
        <f t="shared" si="5"/>
        <v/>
      </c>
      <c r="X368" t="str">
        <f>IFERROR(INDEX('Output Utente'!$AF$2:$AF$492,MATCH(365,'Output Utente'!$R$2:$R$492,0)),"")</f>
        <v/>
      </c>
    </row>
    <row r="369" spans="1:24" ht="15" customHeight="1" x14ac:dyDescent="0.25">
      <c r="A369" s="26">
        <v>366</v>
      </c>
      <c r="B369" s="23" t="str">
        <f>IFERROR(INDEX('Output Utente'!$A$2:$A$492,MATCH(366,'Output Utente'!$R$2:$R$492,0)),"")</f>
        <v/>
      </c>
      <c r="C369" s="23" t="str">
        <f>IFERROR(INDEX('Output Utente'!$B$2:$B$492,MATCH(366,'Output Utente'!$R$2:$R$492,0)),"")</f>
        <v/>
      </c>
      <c r="D369" s="23" t="str">
        <f>IFERROR(INDEX('Output Utente'!$C$2:$C$492,MATCH(366,'Output Utente'!$R$2:$R$492,0)),"")</f>
        <v/>
      </c>
      <c r="E369" s="23" t="str">
        <f>IFERROR(INDEX('Input Giocatori 2026_27'!$D$3:$D$493,MATCH($B369,'Input Giocatori 2026_27'!$A$3:$A$493,0)),"")</f>
        <v/>
      </c>
      <c r="F369" s="24" t="str">
        <f>IFERROR(INDEX('Output Utente'!$N$2:$N$492,MATCH(366,'Output Utente'!$R$2:$R$492,0)),"")</f>
        <v/>
      </c>
      <c r="G369" s="23" t="str">
        <f>IFERROR(INDEX('Output Utente'!$O$2:$O$492,MATCH(366,'Output Utente'!$R$2:$R$492,0)),"")</f>
        <v/>
      </c>
      <c r="H369" s="23" t="str">
        <f>IFERROR(INDEX('Output Utente'!$P$2:$P$492,MATCH(366,'Output Utente'!$R$2:$R$492,0)),"")</f>
        <v/>
      </c>
      <c r="I369" s="24" t="str">
        <f>IFERROR(INDEX('Output Utente'!$F$2:$F$492,MATCH(366,'Output Utente'!$R$2:$R$492,0)),"")</f>
        <v/>
      </c>
      <c r="J369" s="24" t="str">
        <f>IFERROR(INDEX('Output Utente'!$G$2:$G$492,MATCH(366,'Output Utente'!$R$2:$R$492,0)),"")</f>
        <v/>
      </c>
      <c r="K369" s="24" t="str">
        <f>IFERROR(INDEX('Output Utente'!$H$2:$H$492,MATCH(366,'Output Utente'!$R$2:$R$492,0)),"")</f>
        <v/>
      </c>
      <c r="L369" s="23" t="str">
        <f>IFERROR(INDEX('Output Utente'!$E$2:$E$492,MATCH(366,'Output Utente'!$R$2:$R$492,0)),"")</f>
        <v/>
      </c>
      <c r="V369" t="str">
        <f>IFERROR(INDEX('Output Utente'!$M$2:$M$492,MATCH(366,'Output Utente'!$R$2:$R$492,0)),"")</f>
        <v/>
      </c>
      <c r="W369" t="str">
        <f t="shared" si="5"/>
        <v/>
      </c>
      <c r="X369" t="str">
        <f>IFERROR(INDEX('Output Utente'!$AF$2:$AF$492,MATCH(366,'Output Utente'!$R$2:$R$492,0)),"")</f>
        <v/>
      </c>
    </row>
    <row r="370" spans="1:24" ht="15" customHeight="1" x14ac:dyDescent="0.25">
      <c r="A370" s="26">
        <v>367</v>
      </c>
      <c r="B370" s="23" t="str">
        <f>IFERROR(INDEX('Output Utente'!$A$2:$A$492,MATCH(367,'Output Utente'!$R$2:$R$492,0)),"")</f>
        <v/>
      </c>
      <c r="C370" s="23" t="str">
        <f>IFERROR(INDEX('Output Utente'!$B$2:$B$492,MATCH(367,'Output Utente'!$R$2:$R$492,0)),"")</f>
        <v/>
      </c>
      <c r="D370" s="23" t="str">
        <f>IFERROR(INDEX('Output Utente'!$C$2:$C$492,MATCH(367,'Output Utente'!$R$2:$R$492,0)),"")</f>
        <v/>
      </c>
      <c r="E370" s="23" t="str">
        <f>IFERROR(INDEX('Input Giocatori 2026_27'!$D$3:$D$493,MATCH($B370,'Input Giocatori 2026_27'!$A$3:$A$493,0)),"")</f>
        <v/>
      </c>
      <c r="F370" s="24" t="str">
        <f>IFERROR(INDEX('Output Utente'!$N$2:$N$492,MATCH(367,'Output Utente'!$R$2:$R$492,0)),"")</f>
        <v/>
      </c>
      <c r="G370" s="23" t="str">
        <f>IFERROR(INDEX('Output Utente'!$O$2:$O$492,MATCH(367,'Output Utente'!$R$2:$R$492,0)),"")</f>
        <v/>
      </c>
      <c r="H370" s="23" t="str">
        <f>IFERROR(INDEX('Output Utente'!$P$2:$P$492,MATCH(367,'Output Utente'!$R$2:$R$492,0)),"")</f>
        <v/>
      </c>
      <c r="I370" s="24" t="str">
        <f>IFERROR(INDEX('Output Utente'!$F$2:$F$492,MATCH(367,'Output Utente'!$R$2:$R$492,0)),"")</f>
        <v/>
      </c>
      <c r="J370" s="24" t="str">
        <f>IFERROR(INDEX('Output Utente'!$G$2:$G$492,MATCH(367,'Output Utente'!$R$2:$R$492,0)),"")</f>
        <v/>
      </c>
      <c r="K370" s="24" t="str">
        <f>IFERROR(INDEX('Output Utente'!$H$2:$H$492,MATCH(367,'Output Utente'!$R$2:$R$492,0)),"")</f>
        <v/>
      </c>
      <c r="L370" s="23" t="str">
        <f>IFERROR(INDEX('Output Utente'!$E$2:$E$492,MATCH(367,'Output Utente'!$R$2:$R$492,0)),"")</f>
        <v/>
      </c>
      <c r="V370" t="str">
        <f>IFERROR(INDEX('Output Utente'!$M$2:$M$492,MATCH(367,'Output Utente'!$R$2:$R$492,0)),"")</f>
        <v/>
      </c>
      <c r="W370" t="str">
        <f t="shared" si="5"/>
        <v/>
      </c>
      <c r="X370" t="str">
        <f>IFERROR(INDEX('Output Utente'!$AF$2:$AF$492,MATCH(367,'Output Utente'!$R$2:$R$492,0)),"")</f>
        <v/>
      </c>
    </row>
    <row r="371" spans="1:24" ht="15" customHeight="1" x14ac:dyDescent="0.25">
      <c r="A371" s="26">
        <v>368</v>
      </c>
      <c r="B371" s="23" t="str">
        <f>IFERROR(INDEX('Output Utente'!$A$2:$A$492,MATCH(368,'Output Utente'!$R$2:$R$492,0)),"")</f>
        <v/>
      </c>
      <c r="C371" s="23" t="str">
        <f>IFERROR(INDEX('Output Utente'!$B$2:$B$492,MATCH(368,'Output Utente'!$R$2:$R$492,0)),"")</f>
        <v/>
      </c>
      <c r="D371" s="23" t="str">
        <f>IFERROR(INDEX('Output Utente'!$C$2:$C$492,MATCH(368,'Output Utente'!$R$2:$R$492,0)),"")</f>
        <v/>
      </c>
      <c r="E371" s="23" t="str">
        <f>IFERROR(INDEX('Input Giocatori 2026_27'!$D$3:$D$493,MATCH($B371,'Input Giocatori 2026_27'!$A$3:$A$493,0)),"")</f>
        <v/>
      </c>
      <c r="F371" s="24" t="str">
        <f>IFERROR(INDEX('Output Utente'!$N$2:$N$492,MATCH(368,'Output Utente'!$R$2:$R$492,0)),"")</f>
        <v/>
      </c>
      <c r="G371" s="23" t="str">
        <f>IFERROR(INDEX('Output Utente'!$O$2:$O$492,MATCH(368,'Output Utente'!$R$2:$R$492,0)),"")</f>
        <v/>
      </c>
      <c r="H371" s="23" t="str">
        <f>IFERROR(INDEX('Output Utente'!$P$2:$P$492,MATCH(368,'Output Utente'!$R$2:$R$492,0)),"")</f>
        <v/>
      </c>
      <c r="I371" s="24" t="str">
        <f>IFERROR(INDEX('Output Utente'!$F$2:$F$492,MATCH(368,'Output Utente'!$R$2:$R$492,0)),"")</f>
        <v/>
      </c>
      <c r="J371" s="24" t="str">
        <f>IFERROR(INDEX('Output Utente'!$G$2:$G$492,MATCH(368,'Output Utente'!$R$2:$R$492,0)),"")</f>
        <v/>
      </c>
      <c r="K371" s="24" t="str">
        <f>IFERROR(INDEX('Output Utente'!$H$2:$H$492,MATCH(368,'Output Utente'!$R$2:$R$492,0)),"")</f>
        <v/>
      </c>
      <c r="L371" s="23" t="str">
        <f>IFERROR(INDEX('Output Utente'!$E$2:$E$492,MATCH(368,'Output Utente'!$R$2:$R$492,0)),"")</f>
        <v/>
      </c>
      <c r="V371" t="str">
        <f>IFERROR(INDEX('Output Utente'!$M$2:$M$492,MATCH(368,'Output Utente'!$R$2:$R$492,0)),"")</f>
        <v/>
      </c>
      <c r="W371" t="str">
        <f t="shared" si="5"/>
        <v/>
      </c>
      <c r="X371" t="str">
        <f>IFERROR(INDEX('Output Utente'!$AF$2:$AF$492,MATCH(368,'Output Utente'!$R$2:$R$492,0)),"")</f>
        <v/>
      </c>
    </row>
    <row r="372" spans="1:24" ht="15" customHeight="1" x14ac:dyDescent="0.25">
      <c r="A372" s="26">
        <v>369</v>
      </c>
      <c r="B372" s="23" t="str">
        <f>IFERROR(INDEX('Output Utente'!$A$2:$A$492,MATCH(369,'Output Utente'!$R$2:$R$492,0)),"")</f>
        <v/>
      </c>
      <c r="C372" s="23" t="str">
        <f>IFERROR(INDEX('Output Utente'!$B$2:$B$492,MATCH(369,'Output Utente'!$R$2:$R$492,0)),"")</f>
        <v/>
      </c>
      <c r="D372" s="23" t="str">
        <f>IFERROR(INDEX('Output Utente'!$C$2:$C$492,MATCH(369,'Output Utente'!$R$2:$R$492,0)),"")</f>
        <v/>
      </c>
      <c r="E372" s="23" t="str">
        <f>IFERROR(INDEX('Input Giocatori 2026_27'!$D$3:$D$493,MATCH($B372,'Input Giocatori 2026_27'!$A$3:$A$493,0)),"")</f>
        <v/>
      </c>
      <c r="F372" s="24" t="str">
        <f>IFERROR(INDEX('Output Utente'!$N$2:$N$492,MATCH(369,'Output Utente'!$R$2:$R$492,0)),"")</f>
        <v/>
      </c>
      <c r="G372" s="23" t="str">
        <f>IFERROR(INDEX('Output Utente'!$O$2:$O$492,MATCH(369,'Output Utente'!$R$2:$R$492,0)),"")</f>
        <v/>
      </c>
      <c r="H372" s="23" t="str">
        <f>IFERROR(INDEX('Output Utente'!$P$2:$P$492,MATCH(369,'Output Utente'!$R$2:$R$492,0)),"")</f>
        <v/>
      </c>
      <c r="I372" s="24" t="str">
        <f>IFERROR(INDEX('Output Utente'!$F$2:$F$492,MATCH(369,'Output Utente'!$R$2:$R$492,0)),"")</f>
        <v/>
      </c>
      <c r="J372" s="24" t="str">
        <f>IFERROR(INDEX('Output Utente'!$G$2:$G$492,MATCH(369,'Output Utente'!$R$2:$R$492,0)),"")</f>
        <v/>
      </c>
      <c r="K372" s="24" t="str">
        <f>IFERROR(INDEX('Output Utente'!$H$2:$H$492,MATCH(369,'Output Utente'!$R$2:$R$492,0)),"")</f>
        <v/>
      </c>
      <c r="L372" s="23" t="str">
        <f>IFERROR(INDEX('Output Utente'!$E$2:$E$492,MATCH(369,'Output Utente'!$R$2:$R$492,0)),"")</f>
        <v/>
      </c>
      <c r="V372" t="str">
        <f>IFERROR(INDEX('Output Utente'!$M$2:$M$492,MATCH(369,'Output Utente'!$R$2:$R$492,0)),"")</f>
        <v/>
      </c>
      <c r="W372" t="str">
        <f t="shared" si="5"/>
        <v/>
      </c>
      <c r="X372" t="str">
        <f>IFERROR(INDEX('Output Utente'!$AF$2:$AF$492,MATCH(369,'Output Utente'!$R$2:$R$492,0)),"")</f>
        <v/>
      </c>
    </row>
    <row r="373" spans="1:24" ht="15" customHeight="1" x14ac:dyDescent="0.25">
      <c r="A373" s="26">
        <v>370</v>
      </c>
      <c r="B373" s="23" t="str">
        <f>IFERROR(INDEX('Output Utente'!$A$2:$A$492,MATCH(370,'Output Utente'!$R$2:$R$492,0)),"")</f>
        <v/>
      </c>
      <c r="C373" s="23" t="str">
        <f>IFERROR(INDEX('Output Utente'!$B$2:$B$492,MATCH(370,'Output Utente'!$R$2:$R$492,0)),"")</f>
        <v/>
      </c>
      <c r="D373" s="23" t="str">
        <f>IFERROR(INDEX('Output Utente'!$C$2:$C$492,MATCH(370,'Output Utente'!$R$2:$R$492,0)),"")</f>
        <v/>
      </c>
      <c r="E373" s="23" t="str">
        <f>IFERROR(INDEX('Input Giocatori 2026_27'!$D$3:$D$493,MATCH($B373,'Input Giocatori 2026_27'!$A$3:$A$493,0)),"")</f>
        <v/>
      </c>
      <c r="F373" s="24" t="str">
        <f>IFERROR(INDEX('Output Utente'!$N$2:$N$492,MATCH(370,'Output Utente'!$R$2:$R$492,0)),"")</f>
        <v/>
      </c>
      <c r="G373" s="23" t="str">
        <f>IFERROR(INDEX('Output Utente'!$O$2:$O$492,MATCH(370,'Output Utente'!$R$2:$R$492,0)),"")</f>
        <v/>
      </c>
      <c r="H373" s="23" t="str">
        <f>IFERROR(INDEX('Output Utente'!$P$2:$P$492,MATCH(370,'Output Utente'!$R$2:$R$492,0)),"")</f>
        <v/>
      </c>
      <c r="I373" s="24" t="str">
        <f>IFERROR(INDEX('Output Utente'!$F$2:$F$492,MATCH(370,'Output Utente'!$R$2:$R$492,0)),"")</f>
        <v/>
      </c>
      <c r="J373" s="24" t="str">
        <f>IFERROR(INDEX('Output Utente'!$G$2:$G$492,MATCH(370,'Output Utente'!$R$2:$R$492,0)),"")</f>
        <v/>
      </c>
      <c r="K373" s="24" t="str">
        <f>IFERROR(INDEX('Output Utente'!$H$2:$H$492,MATCH(370,'Output Utente'!$R$2:$R$492,0)),"")</f>
        <v/>
      </c>
      <c r="L373" s="23" t="str">
        <f>IFERROR(INDEX('Output Utente'!$E$2:$E$492,MATCH(370,'Output Utente'!$R$2:$R$492,0)),"")</f>
        <v/>
      </c>
      <c r="V373" t="str">
        <f>IFERROR(INDEX('Output Utente'!$M$2:$M$492,MATCH(370,'Output Utente'!$R$2:$R$492,0)),"")</f>
        <v/>
      </c>
      <c r="W373" t="str">
        <f t="shared" si="5"/>
        <v/>
      </c>
      <c r="X373" t="str">
        <f>IFERROR(INDEX('Output Utente'!$AF$2:$AF$492,MATCH(370,'Output Utente'!$R$2:$R$492,0)),"")</f>
        <v/>
      </c>
    </row>
    <row r="374" spans="1:24" ht="15" customHeight="1" x14ac:dyDescent="0.25">
      <c r="A374" s="26">
        <v>371</v>
      </c>
      <c r="B374" s="23" t="str">
        <f>IFERROR(INDEX('Output Utente'!$A$2:$A$492,MATCH(371,'Output Utente'!$R$2:$R$492,0)),"")</f>
        <v/>
      </c>
      <c r="C374" s="23" t="str">
        <f>IFERROR(INDEX('Output Utente'!$B$2:$B$492,MATCH(371,'Output Utente'!$R$2:$R$492,0)),"")</f>
        <v/>
      </c>
      <c r="D374" s="23" t="str">
        <f>IFERROR(INDEX('Output Utente'!$C$2:$C$492,MATCH(371,'Output Utente'!$R$2:$R$492,0)),"")</f>
        <v/>
      </c>
      <c r="E374" s="23" t="str">
        <f>IFERROR(INDEX('Input Giocatori 2026_27'!$D$3:$D$493,MATCH($B374,'Input Giocatori 2026_27'!$A$3:$A$493,0)),"")</f>
        <v/>
      </c>
      <c r="F374" s="24" t="str">
        <f>IFERROR(INDEX('Output Utente'!$N$2:$N$492,MATCH(371,'Output Utente'!$R$2:$R$492,0)),"")</f>
        <v/>
      </c>
      <c r="G374" s="23" t="str">
        <f>IFERROR(INDEX('Output Utente'!$O$2:$O$492,MATCH(371,'Output Utente'!$R$2:$R$492,0)),"")</f>
        <v/>
      </c>
      <c r="H374" s="23" t="str">
        <f>IFERROR(INDEX('Output Utente'!$P$2:$P$492,MATCH(371,'Output Utente'!$R$2:$R$492,0)),"")</f>
        <v/>
      </c>
      <c r="I374" s="24" t="str">
        <f>IFERROR(INDEX('Output Utente'!$F$2:$F$492,MATCH(371,'Output Utente'!$R$2:$R$492,0)),"")</f>
        <v/>
      </c>
      <c r="J374" s="24" t="str">
        <f>IFERROR(INDEX('Output Utente'!$G$2:$G$492,MATCH(371,'Output Utente'!$R$2:$R$492,0)),"")</f>
        <v/>
      </c>
      <c r="K374" s="24" t="str">
        <f>IFERROR(INDEX('Output Utente'!$H$2:$H$492,MATCH(371,'Output Utente'!$R$2:$R$492,0)),"")</f>
        <v/>
      </c>
      <c r="L374" s="23" t="str">
        <f>IFERROR(INDEX('Output Utente'!$E$2:$E$492,MATCH(371,'Output Utente'!$R$2:$R$492,0)),"")</f>
        <v/>
      </c>
      <c r="V374" t="str">
        <f>IFERROR(INDEX('Output Utente'!$M$2:$M$492,MATCH(371,'Output Utente'!$R$2:$R$492,0)),"")</f>
        <v/>
      </c>
      <c r="W374" t="str">
        <f t="shared" si="5"/>
        <v/>
      </c>
      <c r="X374" t="str">
        <f>IFERROR(INDEX('Output Utente'!$AF$2:$AF$492,MATCH(371,'Output Utente'!$R$2:$R$492,0)),"")</f>
        <v/>
      </c>
    </row>
    <row r="375" spans="1:24" ht="15" customHeight="1" x14ac:dyDescent="0.25">
      <c r="A375" s="26">
        <v>372</v>
      </c>
      <c r="B375" s="23" t="str">
        <f>IFERROR(INDEX('Output Utente'!$A$2:$A$492,MATCH(372,'Output Utente'!$R$2:$R$492,0)),"")</f>
        <v/>
      </c>
      <c r="C375" s="23" t="str">
        <f>IFERROR(INDEX('Output Utente'!$B$2:$B$492,MATCH(372,'Output Utente'!$R$2:$R$492,0)),"")</f>
        <v/>
      </c>
      <c r="D375" s="23" t="str">
        <f>IFERROR(INDEX('Output Utente'!$C$2:$C$492,MATCH(372,'Output Utente'!$R$2:$R$492,0)),"")</f>
        <v/>
      </c>
      <c r="E375" s="23" t="str">
        <f>IFERROR(INDEX('Input Giocatori 2026_27'!$D$3:$D$493,MATCH($B375,'Input Giocatori 2026_27'!$A$3:$A$493,0)),"")</f>
        <v/>
      </c>
      <c r="F375" s="24" t="str">
        <f>IFERROR(INDEX('Output Utente'!$N$2:$N$492,MATCH(372,'Output Utente'!$R$2:$R$492,0)),"")</f>
        <v/>
      </c>
      <c r="G375" s="23" t="str">
        <f>IFERROR(INDEX('Output Utente'!$O$2:$O$492,MATCH(372,'Output Utente'!$R$2:$R$492,0)),"")</f>
        <v/>
      </c>
      <c r="H375" s="23" t="str">
        <f>IFERROR(INDEX('Output Utente'!$P$2:$P$492,MATCH(372,'Output Utente'!$R$2:$R$492,0)),"")</f>
        <v/>
      </c>
      <c r="I375" s="24" t="str">
        <f>IFERROR(INDEX('Output Utente'!$F$2:$F$492,MATCH(372,'Output Utente'!$R$2:$R$492,0)),"")</f>
        <v/>
      </c>
      <c r="J375" s="24" t="str">
        <f>IFERROR(INDEX('Output Utente'!$G$2:$G$492,MATCH(372,'Output Utente'!$R$2:$R$492,0)),"")</f>
        <v/>
      </c>
      <c r="K375" s="24" t="str">
        <f>IFERROR(INDEX('Output Utente'!$H$2:$H$492,MATCH(372,'Output Utente'!$R$2:$R$492,0)),"")</f>
        <v/>
      </c>
      <c r="L375" s="23" t="str">
        <f>IFERROR(INDEX('Output Utente'!$E$2:$E$492,MATCH(372,'Output Utente'!$R$2:$R$492,0)),"")</f>
        <v/>
      </c>
      <c r="V375" t="str">
        <f>IFERROR(INDEX('Output Utente'!$M$2:$M$492,MATCH(372,'Output Utente'!$R$2:$R$492,0)),"")</f>
        <v/>
      </c>
      <c r="W375" t="str">
        <f t="shared" si="5"/>
        <v/>
      </c>
      <c r="X375" t="str">
        <f>IFERROR(INDEX('Output Utente'!$AF$2:$AF$492,MATCH(372,'Output Utente'!$R$2:$R$492,0)),"")</f>
        <v/>
      </c>
    </row>
    <row r="376" spans="1:24" ht="15" customHeight="1" x14ac:dyDescent="0.25">
      <c r="A376" s="26">
        <v>373</v>
      </c>
      <c r="B376" s="23" t="str">
        <f>IFERROR(INDEX('Output Utente'!$A$2:$A$492,MATCH(373,'Output Utente'!$R$2:$R$492,0)),"")</f>
        <v/>
      </c>
      <c r="C376" s="23" t="str">
        <f>IFERROR(INDEX('Output Utente'!$B$2:$B$492,MATCH(373,'Output Utente'!$R$2:$R$492,0)),"")</f>
        <v/>
      </c>
      <c r="D376" s="23" t="str">
        <f>IFERROR(INDEX('Output Utente'!$C$2:$C$492,MATCH(373,'Output Utente'!$R$2:$R$492,0)),"")</f>
        <v/>
      </c>
      <c r="E376" s="23" t="str">
        <f>IFERROR(INDEX('Input Giocatori 2026_27'!$D$3:$D$493,MATCH($B376,'Input Giocatori 2026_27'!$A$3:$A$493,0)),"")</f>
        <v/>
      </c>
      <c r="F376" s="24" t="str">
        <f>IFERROR(INDEX('Output Utente'!$N$2:$N$492,MATCH(373,'Output Utente'!$R$2:$R$492,0)),"")</f>
        <v/>
      </c>
      <c r="G376" s="23" t="str">
        <f>IFERROR(INDEX('Output Utente'!$O$2:$O$492,MATCH(373,'Output Utente'!$R$2:$R$492,0)),"")</f>
        <v/>
      </c>
      <c r="H376" s="23" t="str">
        <f>IFERROR(INDEX('Output Utente'!$P$2:$P$492,MATCH(373,'Output Utente'!$R$2:$R$492,0)),"")</f>
        <v/>
      </c>
      <c r="I376" s="24" t="str">
        <f>IFERROR(INDEX('Output Utente'!$F$2:$F$492,MATCH(373,'Output Utente'!$R$2:$R$492,0)),"")</f>
        <v/>
      </c>
      <c r="J376" s="24" t="str">
        <f>IFERROR(INDEX('Output Utente'!$G$2:$G$492,MATCH(373,'Output Utente'!$R$2:$R$492,0)),"")</f>
        <v/>
      </c>
      <c r="K376" s="24" t="str">
        <f>IFERROR(INDEX('Output Utente'!$H$2:$H$492,MATCH(373,'Output Utente'!$R$2:$R$492,0)),"")</f>
        <v/>
      </c>
      <c r="L376" s="23" t="str">
        <f>IFERROR(INDEX('Output Utente'!$E$2:$E$492,MATCH(373,'Output Utente'!$R$2:$R$492,0)),"")</f>
        <v/>
      </c>
      <c r="V376" t="str">
        <f>IFERROR(INDEX('Output Utente'!$M$2:$M$492,MATCH(373,'Output Utente'!$R$2:$R$492,0)),"")</f>
        <v/>
      </c>
      <c r="W376" t="str">
        <f t="shared" si="5"/>
        <v/>
      </c>
      <c r="X376" t="str">
        <f>IFERROR(INDEX('Output Utente'!$AF$2:$AF$492,MATCH(373,'Output Utente'!$R$2:$R$492,0)),"")</f>
        <v/>
      </c>
    </row>
    <row r="377" spans="1:24" ht="15" customHeight="1" x14ac:dyDescent="0.25">
      <c r="A377" s="26">
        <v>374</v>
      </c>
      <c r="B377" s="23" t="str">
        <f>IFERROR(INDEX('Output Utente'!$A$2:$A$492,MATCH(374,'Output Utente'!$R$2:$R$492,0)),"")</f>
        <v/>
      </c>
      <c r="C377" s="23" t="str">
        <f>IFERROR(INDEX('Output Utente'!$B$2:$B$492,MATCH(374,'Output Utente'!$R$2:$R$492,0)),"")</f>
        <v/>
      </c>
      <c r="D377" s="23" t="str">
        <f>IFERROR(INDEX('Output Utente'!$C$2:$C$492,MATCH(374,'Output Utente'!$R$2:$R$492,0)),"")</f>
        <v/>
      </c>
      <c r="E377" s="23" t="str">
        <f>IFERROR(INDEX('Input Giocatori 2026_27'!$D$3:$D$493,MATCH($B377,'Input Giocatori 2026_27'!$A$3:$A$493,0)),"")</f>
        <v/>
      </c>
      <c r="F377" s="24" t="str">
        <f>IFERROR(INDEX('Output Utente'!$N$2:$N$492,MATCH(374,'Output Utente'!$R$2:$R$492,0)),"")</f>
        <v/>
      </c>
      <c r="G377" s="23" t="str">
        <f>IFERROR(INDEX('Output Utente'!$O$2:$O$492,MATCH(374,'Output Utente'!$R$2:$R$492,0)),"")</f>
        <v/>
      </c>
      <c r="H377" s="23" t="str">
        <f>IFERROR(INDEX('Output Utente'!$P$2:$P$492,MATCH(374,'Output Utente'!$R$2:$R$492,0)),"")</f>
        <v/>
      </c>
      <c r="I377" s="24" t="str">
        <f>IFERROR(INDEX('Output Utente'!$F$2:$F$492,MATCH(374,'Output Utente'!$R$2:$R$492,0)),"")</f>
        <v/>
      </c>
      <c r="J377" s="24" t="str">
        <f>IFERROR(INDEX('Output Utente'!$G$2:$G$492,MATCH(374,'Output Utente'!$R$2:$R$492,0)),"")</f>
        <v/>
      </c>
      <c r="K377" s="24" t="str">
        <f>IFERROR(INDEX('Output Utente'!$H$2:$H$492,MATCH(374,'Output Utente'!$R$2:$R$492,0)),"")</f>
        <v/>
      </c>
      <c r="L377" s="23" t="str">
        <f>IFERROR(INDEX('Output Utente'!$E$2:$E$492,MATCH(374,'Output Utente'!$R$2:$R$492,0)),"")</f>
        <v/>
      </c>
      <c r="V377" t="str">
        <f>IFERROR(INDEX('Output Utente'!$M$2:$M$492,MATCH(374,'Output Utente'!$R$2:$R$492,0)),"")</f>
        <v/>
      </c>
      <c r="W377" t="str">
        <f t="shared" si="5"/>
        <v/>
      </c>
      <c r="X377" t="str">
        <f>IFERROR(INDEX('Output Utente'!$AF$2:$AF$492,MATCH(374,'Output Utente'!$R$2:$R$492,0)),"")</f>
        <v/>
      </c>
    </row>
    <row r="378" spans="1:24" ht="15" customHeight="1" x14ac:dyDescent="0.25">
      <c r="A378" s="26">
        <v>375</v>
      </c>
      <c r="B378" s="23" t="str">
        <f>IFERROR(INDEX('Output Utente'!$A$2:$A$492,MATCH(375,'Output Utente'!$R$2:$R$492,0)),"")</f>
        <v/>
      </c>
      <c r="C378" s="23" t="str">
        <f>IFERROR(INDEX('Output Utente'!$B$2:$B$492,MATCH(375,'Output Utente'!$R$2:$R$492,0)),"")</f>
        <v/>
      </c>
      <c r="D378" s="23" t="str">
        <f>IFERROR(INDEX('Output Utente'!$C$2:$C$492,MATCH(375,'Output Utente'!$R$2:$R$492,0)),"")</f>
        <v/>
      </c>
      <c r="E378" s="23" t="str">
        <f>IFERROR(INDEX('Input Giocatori 2026_27'!$D$3:$D$493,MATCH($B378,'Input Giocatori 2026_27'!$A$3:$A$493,0)),"")</f>
        <v/>
      </c>
      <c r="F378" s="24" t="str">
        <f>IFERROR(INDEX('Output Utente'!$N$2:$N$492,MATCH(375,'Output Utente'!$R$2:$R$492,0)),"")</f>
        <v/>
      </c>
      <c r="G378" s="23" t="str">
        <f>IFERROR(INDEX('Output Utente'!$O$2:$O$492,MATCH(375,'Output Utente'!$R$2:$R$492,0)),"")</f>
        <v/>
      </c>
      <c r="H378" s="23" t="str">
        <f>IFERROR(INDEX('Output Utente'!$P$2:$P$492,MATCH(375,'Output Utente'!$R$2:$R$492,0)),"")</f>
        <v/>
      </c>
      <c r="I378" s="24" t="str">
        <f>IFERROR(INDEX('Output Utente'!$F$2:$F$492,MATCH(375,'Output Utente'!$R$2:$R$492,0)),"")</f>
        <v/>
      </c>
      <c r="J378" s="24" t="str">
        <f>IFERROR(INDEX('Output Utente'!$G$2:$G$492,MATCH(375,'Output Utente'!$R$2:$R$492,0)),"")</f>
        <v/>
      </c>
      <c r="K378" s="24" t="str">
        <f>IFERROR(INDEX('Output Utente'!$H$2:$H$492,MATCH(375,'Output Utente'!$R$2:$R$492,0)),"")</f>
        <v/>
      </c>
      <c r="L378" s="23" t="str">
        <f>IFERROR(INDEX('Output Utente'!$E$2:$E$492,MATCH(375,'Output Utente'!$R$2:$R$492,0)),"")</f>
        <v/>
      </c>
      <c r="V378" t="str">
        <f>IFERROR(INDEX('Output Utente'!$M$2:$M$492,MATCH(375,'Output Utente'!$R$2:$R$492,0)),"")</f>
        <v/>
      </c>
      <c r="W378" t="str">
        <f t="shared" si="5"/>
        <v/>
      </c>
      <c r="X378" t="str">
        <f>IFERROR(INDEX('Output Utente'!$AF$2:$AF$492,MATCH(375,'Output Utente'!$R$2:$R$492,0)),"")</f>
        <v/>
      </c>
    </row>
    <row r="379" spans="1:24" ht="15" customHeight="1" x14ac:dyDescent="0.25">
      <c r="A379" s="26">
        <v>376</v>
      </c>
      <c r="B379" s="23" t="str">
        <f>IFERROR(INDEX('Output Utente'!$A$2:$A$492,MATCH(376,'Output Utente'!$R$2:$R$492,0)),"")</f>
        <v/>
      </c>
      <c r="C379" s="23" t="str">
        <f>IFERROR(INDEX('Output Utente'!$B$2:$B$492,MATCH(376,'Output Utente'!$R$2:$R$492,0)),"")</f>
        <v/>
      </c>
      <c r="D379" s="23" t="str">
        <f>IFERROR(INDEX('Output Utente'!$C$2:$C$492,MATCH(376,'Output Utente'!$R$2:$R$492,0)),"")</f>
        <v/>
      </c>
      <c r="E379" s="23" t="str">
        <f>IFERROR(INDEX('Input Giocatori 2026_27'!$D$3:$D$493,MATCH($B379,'Input Giocatori 2026_27'!$A$3:$A$493,0)),"")</f>
        <v/>
      </c>
      <c r="F379" s="24" t="str">
        <f>IFERROR(INDEX('Output Utente'!$N$2:$N$492,MATCH(376,'Output Utente'!$R$2:$R$492,0)),"")</f>
        <v/>
      </c>
      <c r="G379" s="23" t="str">
        <f>IFERROR(INDEX('Output Utente'!$O$2:$O$492,MATCH(376,'Output Utente'!$R$2:$R$492,0)),"")</f>
        <v/>
      </c>
      <c r="H379" s="23" t="str">
        <f>IFERROR(INDEX('Output Utente'!$P$2:$P$492,MATCH(376,'Output Utente'!$R$2:$R$492,0)),"")</f>
        <v/>
      </c>
      <c r="I379" s="24" t="str">
        <f>IFERROR(INDEX('Output Utente'!$F$2:$F$492,MATCH(376,'Output Utente'!$R$2:$R$492,0)),"")</f>
        <v/>
      </c>
      <c r="J379" s="24" t="str">
        <f>IFERROR(INDEX('Output Utente'!$G$2:$G$492,MATCH(376,'Output Utente'!$R$2:$R$492,0)),"")</f>
        <v/>
      </c>
      <c r="K379" s="24" t="str">
        <f>IFERROR(INDEX('Output Utente'!$H$2:$H$492,MATCH(376,'Output Utente'!$R$2:$R$492,0)),"")</f>
        <v/>
      </c>
      <c r="L379" s="23" t="str">
        <f>IFERROR(INDEX('Output Utente'!$E$2:$E$492,MATCH(376,'Output Utente'!$R$2:$R$492,0)),"")</f>
        <v/>
      </c>
      <c r="V379" t="str">
        <f>IFERROR(INDEX('Output Utente'!$M$2:$M$492,MATCH(376,'Output Utente'!$R$2:$R$492,0)),"")</f>
        <v/>
      </c>
      <c r="W379" t="str">
        <f t="shared" si="5"/>
        <v/>
      </c>
      <c r="X379" t="str">
        <f>IFERROR(INDEX('Output Utente'!$AF$2:$AF$492,MATCH(376,'Output Utente'!$R$2:$R$492,0)),"")</f>
        <v/>
      </c>
    </row>
    <row r="380" spans="1:24" ht="15" customHeight="1" x14ac:dyDescent="0.25">
      <c r="A380" s="26">
        <v>377</v>
      </c>
      <c r="B380" s="23" t="str">
        <f>IFERROR(INDEX('Output Utente'!$A$2:$A$492,MATCH(377,'Output Utente'!$R$2:$R$492,0)),"")</f>
        <v/>
      </c>
      <c r="C380" s="23" t="str">
        <f>IFERROR(INDEX('Output Utente'!$B$2:$B$492,MATCH(377,'Output Utente'!$R$2:$R$492,0)),"")</f>
        <v/>
      </c>
      <c r="D380" s="23" t="str">
        <f>IFERROR(INDEX('Output Utente'!$C$2:$C$492,MATCH(377,'Output Utente'!$R$2:$R$492,0)),"")</f>
        <v/>
      </c>
      <c r="E380" s="23" t="str">
        <f>IFERROR(INDEX('Input Giocatori 2026_27'!$D$3:$D$493,MATCH($B380,'Input Giocatori 2026_27'!$A$3:$A$493,0)),"")</f>
        <v/>
      </c>
      <c r="F380" s="24" t="str">
        <f>IFERROR(INDEX('Output Utente'!$N$2:$N$492,MATCH(377,'Output Utente'!$R$2:$R$492,0)),"")</f>
        <v/>
      </c>
      <c r="G380" s="23" t="str">
        <f>IFERROR(INDEX('Output Utente'!$O$2:$O$492,MATCH(377,'Output Utente'!$R$2:$R$492,0)),"")</f>
        <v/>
      </c>
      <c r="H380" s="23" t="str">
        <f>IFERROR(INDEX('Output Utente'!$P$2:$P$492,MATCH(377,'Output Utente'!$R$2:$R$492,0)),"")</f>
        <v/>
      </c>
      <c r="I380" s="24" t="str">
        <f>IFERROR(INDEX('Output Utente'!$F$2:$F$492,MATCH(377,'Output Utente'!$R$2:$R$492,0)),"")</f>
        <v/>
      </c>
      <c r="J380" s="24" t="str">
        <f>IFERROR(INDEX('Output Utente'!$G$2:$G$492,MATCH(377,'Output Utente'!$R$2:$R$492,0)),"")</f>
        <v/>
      </c>
      <c r="K380" s="24" t="str">
        <f>IFERROR(INDEX('Output Utente'!$H$2:$H$492,MATCH(377,'Output Utente'!$R$2:$R$492,0)),"")</f>
        <v/>
      </c>
      <c r="L380" s="23" t="str">
        <f>IFERROR(INDEX('Output Utente'!$E$2:$E$492,MATCH(377,'Output Utente'!$R$2:$R$492,0)),"")</f>
        <v/>
      </c>
      <c r="V380" t="str">
        <f>IFERROR(INDEX('Output Utente'!$M$2:$M$492,MATCH(377,'Output Utente'!$R$2:$R$492,0)),"")</f>
        <v/>
      </c>
      <c r="W380" t="str">
        <f t="shared" si="5"/>
        <v/>
      </c>
      <c r="X380" t="str">
        <f>IFERROR(INDEX('Output Utente'!$AF$2:$AF$492,MATCH(377,'Output Utente'!$R$2:$R$492,0)),"")</f>
        <v/>
      </c>
    </row>
    <row r="381" spans="1:24" ht="15" customHeight="1" x14ac:dyDescent="0.25">
      <c r="A381" s="26">
        <v>378</v>
      </c>
      <c r="B381" s="23" t="str">
        <f>IFERROR(INDEX('Output Utente'!$A$2:$A$492,MATCH(378,'Output Utente'!$R$2:$R$492,0)),"")</f>
        <v/>
      </c>
      <c r="C381" s="23" t="str">
        <f>IFERROR(INDEX('Output Utente'!$B$2:$B$492,MATCH(378,'Output Utente'!$R$2:$R$492,0)),"")</f>
        <v/>
      </c>
      <c r="D381" s="23" t="str">
        <f>IFERROR(INDEX('Output Utente'!$C$2:$C$492,MATCH(378,'Output Utente'!$R$2:$R$492,0)),"")</f>
        <v/>
      </c>
      <c r="E381" s="23" t="str">
        <f>IFERROR(INDEX('Input Giocatori 2026_27'!$D$3:$D$493,MATCH($B381,'Input Giocatori 2026_27'!$A$3:$A$493,0)),"")</f>
        <v/>
      </c>
      <c r="F381" s="24" t="str">
        <f>IFERROR(INDEX('Output Utente'!$N$2:$N$492,MATCH(378,'Output Utente'!$R$2:$R$492,0)),"")</f>
        <v/>
      </c>
      <c r="G381" s="23" t="str">
        <f>IFERROR(INDEX('Output Utente'!$O$2:$O$492,MATCH(378,'Output Utente'!$R$2:$R$492,0)),"")</f>
        <v/>
      </c>
      <c r="H381" s="23" t="str">
        <f>IFERROR(INDEX('Output Utente'!$P$2:$P$492,MATCH(378,'Output Utente'!$R$2:$R$492,0)),"")</f>
        <v/>
      </c>
      <c r="I381" s="24" t="str">
        <f>IFERROR(INDEX('Output Utente'!$F$2:$F$492,MATCH(378,'Output Utente'!$R$2:$R$492,0)),"")</f>
        <v/>
      </c>
      <c r="J381" s="24" t="str">
        <f>IFERROR(INDEX('Output Utente'!$G$2:$G$492,MATCH(378,'Output Utente'!$R$2:$R$492,0)),"")</f>
        <v/>
      </c>
      <c r="K381" s="24" t="str">
        <f>IFERROR(INDEX('Output Utente'!$H$2:$H$492,MATCH(378,'Output Utente'!$R$2:$R$492,0)),"")</f>
        <v/>
      </c>
      <c r="L381" s="23" t="str">
        <f>IFERROR(INDEX('Output Utente'!$E$2:$E$492,MATCH(378,'Output Utente'!$R$2:$R$492,0)),"")</f>
        <v/>
      </c>
      <c r="V381" t="str">
        <f>IFERROR(INDEX('Output Utente'!$M$2:$M$492,MATCH(378,'Output Utente'!$R$2:$R$492,0)),"")</f>
        <v/>
      </c>
      <c r="W381" t="str">
        <f t="shared" si="5"/>
        <v/>
      </c>
      <c r="X381" t="str">
        <f>IFERROR(INDEX('Output Utente'!$AF$2:$AF$492,MATCH(378,'Output Utente'!$R$2:$R$492,0)),"")</f>
        <v/>
      </c>
    </row>
    <row r="382" spans="1:24" ht="15" customHeight="1" x14ac:dyDescent="0.25">
      <c r="A382" s="26">
        <v>379</v>
      </c>
      <c r="B382" s="23" t="str">
        <f>IFERROR(INDEX('Output Utente'!$A$2:$A$492,MATCH(379,'Output Utente'!$R$2:$R$492,0)),"")</f>
        <v/>
      </c>
      <c r="C382" s="23" t="str">
        <f>IFERROR(INDEX('Output Utente'!$B$2:$B$492,MATCH(379,'Output Utente'!$R$2:$R$492,0)),"")</f>
        <v/>
      </c>
      <c r="D382" s="23" t="str">
        <f>IFERROR(INDEX('Output Utente'!$C$2:$C$492,MATCH(379,'Output Utente'!$R$2:$R$492,0)),"")</f>
        <v/>
      </c>
      <c r="E382" s="23" t="str">
        <f>IFERROR(INDEX('Input Giocatori 2026_27'!$D$3:$D$493,MATCH($B382,'Input Giocatori 2026_27'!$A$3:$A$493,0)),"")</f>
        <v/>
      </c>
      <c r="F382" s="24" t="str">
        <f>IFERROR(INDEX('Output Utente'!$N$2:$N$492,MATCH(379,'Output Utente'!$R$2:$R$492,0)),"")</f>
        <v/>
      </c>
      <c r="G382" s="23" t="str">
        <f>IFERROR(INDEX('Output Utente'!$O$2:$O$492,MATCH(379,'Output Utente'!$R$2:$R$492,0)),"")</f>
        <v/>
      </c>
      <c r="H382" s="23" t="str">
        <f>IFERROR(INDEX('Output Utente'!$P$2:$P$492,MATCH(379,'Output Utente'!$R$2:$R$492,0)),"")</f>
        <v/>
      </c>
      <c r="I382" s="24" t="str">
        <f>IFERROR(INDEX('Output Utente'!$F$2:$F$492,MATCH(379,'Output Utente'!$R$2:$R$492,0)),"")</f>
        <v/>
      </c>
      <c r="J382" s="24" t="str">
        <f>IFERROR(INDEX('Output Utente'!$G$2:$G$492,MATCH(379,'Output Utente'!$R$2:$R$492,0)),"")</f>
        <v/>
      </c>
      <c r="K382" s="24" t="str">
        <f>IFERROR(INDEX('Output Utente'!$H$2:$H$492,MATCH(379,'Output Utente'!$R$2:$R$492,0)),"")</f>
        <v/>
      </c>
      <c r="L382" s="23" t="str">
        <f>IFERROR(INDEX('Output Utente'!$E$2:$E$492,MATCH(379,'Output Utente'!$R$2:$R$492,0)),"")</f>
        <v/>
      </c>
      <c r="V382" t="str">
        <f>IFERROR(INDEX('Output Utente'!$M$2:$M$492,MATCH(379,'Output Utente'!$R$2:$R$492,0)),"")</f>
        <v/>
      </c>
      <c r="W382" t="str">
        <f t="shared" si="5"/>
        <v/>
      </c>
      <c r="X382" t="str">
        <f>IFERROR(INDEX('Output Utente'!$AF$2:$AF$492,MATCH(379,'Output Utente'!$R$2:$R$492,0)),"")</f>
        <v/>
      </c>
    </row>
    <row r="383" spans="1:24" ht="15" customHeight="1" x14ac:dyDescent="0.25">
      <c r="A383" s="26">
        <v>380</v>
      </c>
      <c r="B383" s="23" t="str">
        <f>IFERROR(INDEX('Output Utente'!$A$2:$A$492,MATCH(380,'Output Utente'!$R$2:$R$492,0)),"")</f>
        <v/>
      </c>
      <c r="C383" s="23" t="str">
        <f>IFERROR(INDEX('Output Utente'!$B$2:$B$492,MATCH(380,'Output Utente'!$R$2:$R$492,0)),"")</f>
        <v/>
      </c>
      <c r="D383" s="23" t="str">
        <f>IFERROR(INDEX('Output Utente'!$C$2:$C$492,MATCH(380,'Output Utente'!$R$2:$R$492,0)),"")</f>
        <v/>
      </c>
      <c r="E383" s="23" t="str">
        <f>IFERROR(INDEX('Input Giocatori 2026_27'!$D$3:$D$493,MATCH($B383,'Input Giocatori 2026_27'!$A$3:$A$493,0)),"")</f>
        <v/>
      </c>
      <c r="F383" s="24" t="str">
        <f>IFERROR(INDEX('Output Utente'!$N$2:$N$492,MATCH(380,'Output Utente'!$R$2:$R$492,0)),"")</f>
        <v/>
      </c>
      <c r="G383" s="23" t="str">
        <f>IFERROR(INDEX('Output Utente'!$O$2:$O$492,MATCH(380,'Output Utente'!$R$2:$R$492,0)),"")</f>
        <v/>
      </c>
      <c r="H383" s="23" t="str">
        <f>IFERROR(INDEX('Output Utente'!$P$2:$P$492,MATCH(380,'Output Utente'!$R$2:$R$492,0)),"")</f>
        <v/>
      </c>
      <c r="I383" s="24" t="str">
        <f>IFERROR(INDEX('Output Utente'!$F$2:$F$492,MATCH(380,'Output Utente'!$R$2:$R$492,0)),"")</f>
        <v/>
      </c>
      <c r="J383" s="24" t="str">
        <f>IFERROR(INDEX('Output Utente'!$G$2:$G$492,MATCH(380,'Output Utente'!$R$2:$R$492,0)),"")</f>
        <v/>
      </c>
      <c r="K383" s="24" t="str">
        <f>IFERROR(INDEX('Output Utente'!$H$2:$H$492,MATCH(380,'Output Utente'!$R$2:$R$492,0)),"")</f>
        <v/>
      </c>
      <c r="L383" s="23" t="str">
        <f>IFERROR(INDEX('Output Utente'!$E$2:$E$492,MATCH(380,'Output Utente'!$R$2:$R$492,0)),"")</f>
        <v/>
      </c>
      <c r="V383" t="str">
        <f>IFERROR(INDEX('Output Utente'!$M$2:$M$492,MATCH(380,'Output Utente'!$R$2:$R$492,0)),"")</f>
        <v/>
      </c>
      <c r="W383" t="str">
        <f t="shared" si="5"/>
        <v/>
      </c>
      <c r="X383" t="str">
        <f>IFERROR(INDEX('Output Utente'!$AF$2:$AF$492,MATCH(380,'Output Utente'!$R$2:$R$492,0)),"")</f>
        <v/>
      </c>
    </row>
    <row r="384" spans="1:24" ht="15" customHeight="1" x14ac:dyDescent="0.25">
      <c r="A384" s="26">
        <v>381</v>
      </c>
      <c r="B384" s="23" t="str">
        <f>IFERROR(INDEX('Output Utente'!$A$2:$A$492,MATCH(381,'Output Utente'!$R$2:$R$492,0)),"")</f>
        <v/>
      </c>
      <c r="C384" s="23" t="str">
        <f>IFERROR(INDEX('Output Utente'!$B$2:$B$492,MATCH(381,'Output Utente'!$R$2:$R$492,0)),"")</f>
        <v/>
      </c>
      <c r="D384" s="23" t="str">
        <f>IFERROR(INDEX('Output Utente'!$C$2:$C$492,MATCH(381,'Output Utente'!$R$2:$R$492,0)),"")</f>
        <v/>
      </c>
      <c r="E384" s="23" t="str">
        <f>IFERROR(INDEX('Input Giocatori 2026_27'!$D$3:$D$493,MATCH($B384,'Input Giocatori 2026_27'!$A$3:$A$493,0)),"")</f>
        <v/>
      </c>
      <c r="F384" s="24" t="str">
        <f>IFERROR(INDEX('Output Utente'!$N$2:$N$492,MATCH(381,'Output Utente'!$R$2:$R$492,0)),"")</f>
        <v/>
      </c>
      <c r="G384" s="23" t="str">
        <f>IFERROR(INDEX('Output Utente'!$O$2:$O$492,MATCH(381,'Output Utente'!$R$2:$R$492,0)),"")</f>
        <v/>
      </c>
      <c r="H384" s="23" t="str">
        <f>IFERROR(INDEX('Output Utente'!$P$2:$P$492,MATCH(381,'Output Utente'!$R$2:$R$492,0)),"")</f>
        <v/>
      </c>
      <c r="I384" s="24" t="str">
        <f>IFERROR(INDEX('Output Utente'!$F$2:$F$492,MATCH(381,'Output Utente'!$R$2:$R$492,0)),"")</f>
        <v/>
      </c>
      <c r="J384" s="24" t="str">
        <f>IFERROR(INDEX('Output Utente'!$G$2:$G$492,MATCH(381,'Output Utente'!$R$2:$R$492,0)),"")</f>
        <v/>
      </c>
      <c r="K384" s="24" t="str">
        <f>IFERROR(INDEX('Output Utente'!$H$2:$H$492,MATCH(381,'Output Utente'!$R$2:$R$492,0)),"")</f>
        <v/>
      </c>
      <c r="L384" s="23" t="str">
        <f>IFERROR(INDEX('Output Utente'!$E$2:$E$492,MATCH(381,'Output Utente'!$R$2:$R$492,0)),"")</f>
        <v/>
      </c>
      <c r="V384" t="str">
        <f>IFERROR(INDEX('Output Utente'!$M$2:$M$492,MATCH(381,'Output Utente'!$R$2:$R$492,0)),"")</f>
        <v/>
      </c>
      <c r="W384" t="str">
        <f t="shared" si="5"/>
        <v/>
      </c>
      <c r="X384" t="str">
        <f>IFERROR(INDEX('Output Utente'!$AF$2:$AF$492,MATCH(381,'Output Utente'!$R$2:$R$492,0)),"")</f>
        <v/>
      </c>
    </row>
    <row r="385" spans="1:24" ht="15" customHeight="1" x14ac:dyDescent="0.25">
      <c r="A385" s="26">
        <v>382</v>
      </c>
      <c r="B385" s="23" t="str">
        <f>IFERROR(INDEX('Output Utente'!$A$2:$A$492,MATCH(382,'Output Utente'!$R$2:$R$492,0)),"")</f>
        <v/>
      </c>
      <c r="C385" s="23" t="str">
        <f>IFERROR(INDEX('Output Utente'!$B$2:$B$492,MATCH(382,'Output Utente'!$R$2:$R$492,0)),"")</f>
        <v/>
      </c>
      <c r="D385" s="23" t="str">
        <f>IFERROR(INDEX('Output Utente'!$C$2:$C$492,MATCH(382,'Output Utente'!$R$2:$R$492,0)),"")</f>
        <v/>
      </c>
      <c r="E385" s="23" t="str">
        <f>IFERROR(INDEX('Input Giocatori 2026_27'!$D$3:$D$493,MATCH($B385,'Input Giocatori 2026_27'!$A$3:$A$493,0)),"")</f>
        <v/>
      </c>
      <c r="F385" s="24" t="str">
        <f>IFERROR(INDEX('Output Utente'!$N$2:$N$492,MATCH(382,'Output Utente'!$R$2:$R$492,0)),"")</f>
        <v/>
      </c>
      <c r="G385" s="23" t="str">
        <f>IFERROR(INDEX('Output Utente'!$O$2:$O$492,MATCH(382,'Output Utente'!$R$2:$R$492,0)),"")</f>
        <v/>
      </c>
      <c r="H385" s="23" t="str">
        <f>IFERROR(INDEX('Output Utente'!$P$2:$P$492,MATCH(382,'Output Utente'!$R$2:$R$492,0)),"")</f>
        <v/>
      </c>
      <c r="I385" s="24" t="str">
        <f>IFERROR(INDEX('Output Utente'!$F$2:$F$492,MATCH(382,'Output Utente'!$R$2:$R$492,0)),"")</f>
        <v/>
      </c>
      <c r="J385" s="24" t="str">
        <f>IFERROR(INDEX('Output Utente'!$G$2:$G$492,MATCH(382,'Output Utente'!$R$2:$R$492,0)),"")</f>
        <v/>
      </c>
      <c r="K385" s="24" t="str">
        <f>IFERROR(INDEX('Output Utente'!$H$2:$H$492,MATCH(382,'Output Utente'!$R$2:$R$492,0)),"")</f>
        <v/>
      </c>
      <c r="L385" s="23" t="str">
        <f>IFERROR(INDEX('Output Utente'!$E$2:$E$492,MATCH(382,'Output Utente'!$R$2:$R$492,0)),"")</f>
        <v/>
      </c>
      <c r="V385" t="str">
        <f>IFERROR(INDEX('Output Utente'!$M$2:$M$492,MATCH(382,'Output Utente'!$R$2:$R$492,0)),"")</f>
        <v/>
      </c>
      <c r="W385" t="str">
        <f t="shared" si="5"/>
        <v/>
      </c>
      <c r="X385" t="str">
        <f>IFERROR(INDEX('Output Utente'!$AF$2:$AF$492,MATCH(382,'Output Utente'!$R$2:$R$492,0)),"")</f>
        <v/>
      </c>
    </row>
    <row r="386" spans="1:24" ht="15" customHeight="1" x14ac:dyDescent="0.25">
      <c r="A386" s="26">
        <v>383</v>
      </c>
      <c r="B386" s="23" t="str">
        <f>IFERROR(INDEX('Output Utente'!$A$2:$A$492,MATCH(383,'Output Utente'!$R$2:$R$492,0)),"")</f>
        <v/>
      </c>
      <c r="C386" s="23" t="str">
        <f>IFERROR(INDEX('Output Utente'!$B$2:$B$492,MATCH(383,'Output Utente'!$R$2:$R$492,0)),"")</f>
        <v/>
      </c>
      <c r="D386" s="23" t="str">
        <f>IFERROR(INDEX('Output Utente'!$C$2:$C$492,MATCH(383,'Output Utente'!$R$2:$R$492,0)),"")</f>
        <v/>
      </c>
      <c r="E386" s="23" t="str">
        <f>IFERROR(INDEX('Input Giocatori 2026_27'!$D$3:$D$493,MATCH($B386,'Input Giocatori 2026_27'!$A$3:$A$493,0)),"")</f>
        <v/>
      </c>
      <c r="F386" s="24" t="str">
        <f>IFERROR(INDEX('Output Utente'!$N$2:$N$492,MATCH(383,'Output Utente'!$R$2:$R$492,0)),"")</f>
        <v/>
      </c>
      <c r="G386" s="23" t="str">
        <f>IFERROR(INDEX('Output Utente'!$O$2:$O$492,MATCH(383,'Output Utente'!$R$2:$R$492,0)),"")</f>
        <v/>
      </c>
      <c r="H386" s="23" t="str">
        <f>IFERROR(INDEX('Output Utente'!$P$2:$P$492,MATCH(383,'Output Utente'!$R$2:$R$492,0)),"")</f>
        <v/>
      </c>
      <c r="I386" s="24" t="str">
        <f>IFERROR(INDEX('Output Utente'!$F$2:$F$492,MATCH(383,'Output Utente'!$R$2:$R$492,0)),"")</f>
        <v/>
      </c>
      <c r="J386" s="24" t="str">
        <f>IFERROR(INDEX('Output Utente'!$G$2:$G$492,MATCH(383,'Output Utente'!$R$2:$R$492,0)),"")</f>
        <v/>
      </c>
      <c r="K386" s="24" t="str">
        <f>IFERROR(INDEX('Output Utente'!$H$2:$H$492,MATCH(383,'Output Utente'!$R$2:$R$492,0)),"")</f>
        <v/>
      </c>
      <c r="L386" s="23" t="str">
        <f>IFERROR(INDEX('Output Utente'!$E$2:$E$492,MATCH(383,'Output Utente'!$R$2:$R$492,0)),"")</f>
        <v/>
      </c>
      <c r="V386" t="str">
        <f>IFERROR(INDEX('Output Utente'!$M$2:$M$492,MATCH(383,'Output Utente'!$R$2:$R$492,0)),"")</f>
        <v/>
      </c>
      <c r="W386" t="str">
        <f t="shared" si="5"/>
        <v/>
      </c>
      <c r="X386" t="str">
        <f>IFERROR(INDEX('Output Utente'!$AF$2:$AF$492,MATCH(383,'Output Utente'!$R$2:$R$492,0)),"")</f>
        <v/>
      </c>
    </row>
    <row r="387" spans="1:24" ht="15" customHeight="1" x14ac:dyDescent="0.25">
      <c r="A387" s="26">
        <v>384</v>
      </c>
      <c r="B387" s="23" t="str">
        <f>IFERROR(INDEX('Output Utente'!$A$2:$A$492,MATCH(384,'Output Utente'!$R$2:$R$492,0)),"")</f>
        <v/>
      </c>
      <c r="C387" s="23" t="str">
        <f>IFERROR(INDEX('Output Utente'!$B$2:$B$492,MATCH(384,'Output Utente'!$R$2:$R$492,0)),"")</f>
        <v/>
      </c>
      <c r="D387" s="23" t="str">
        <f>IFERROR(INDEX('Output Utente'!$C$2:$C$492,MATCH(384,'Output Utente'!$R$2:$R$492,0)),"")</f>
        <v/>
      </c>
      <c r="E387" s="23" t="str">
        <f>IFERROR(INDEX('Input Giocatori 2026_27'!$D$3:$D$493,MATCH($B387,'Input Giocatori 2026_27'!$A$3:$A$493,0)),"")</f>
        <v/>
      </c>
      <c r="F387" s="24" t="str">
        <f>IFERROR(INDEX('Output Utente'!$N$2:$N$492,MATCH(384,'Output Utente'!$R$2:$R$492,0)),"")</f>
        <v/>
      </c>
      <c r="G387" s="23" t="str">
        <f>IFERROR(INDEX('Output Utente'!$O$2:$O$492,MATCH(384,'Output Utente'!$R$2:$R$492,0)),"")</f>
        <v/>
      </c>
      <c r="H387" s="23" t="str">
        <f>IFERROR(INDEX('Output Utente'!$P$2:$P$492,MATCH(384,'Output Utente'!$R$2:$R$492,0)),"")</f>
        <v/>
      </c>
      <c r="I387" s="24" t="str">
        <f>IFERROR(INDEX('Output Utente'!$F$2:$F$492,MATCH(384,'Output Utente'!$R$2:$R$492,0)),"")</f>
        <v/>
      </c>
      <c r="J387" s="24" t="str">
        <f>IFERROR(INDEX('Output Utente'!$G$2:$G$492,MATCH(384,'Output Utente'!$R$2:$R$492,0)),"")</f>
        <v/>
      </c>
      <c r="K387" s="24" t="str">
        <f>IFERROR(INDEX('Output Utente'!$H$2:$H$492,MATCH(384,'Output Utente'!$R$2:$R$492,0)),"")</f>
        <v/>
      </c>
      <c r="L387" s="23" t="str">
        <f>IFERROR(INDEX('Output Utente'!$E$2:$E$492,MATCH(384,'Output Utente'!$R$2:$R$492,0)),"")</f>
        <v/>
      </c>
      <c r="V387" t="str">
        <f>IFERROR(INDEX('Output Utente'!$M$2:$M$492,MATCH(384,'Output Utente'!$R$2:$R$492,0)),"")</f>
        <v/>
      </c>
      <c r="W387" t="str">
        <f t="shared" si="5"/>
        <v/>
      </c>
      <c r="X387" t="str">
        <f>IFERROR(INDEX('Output Utente'!$AF$2:$AF$492,MATCH(384,'Output Utente'!$R$2:$R$492,0)),"")</f>
        <v/>
      </c>
    </row>
    <row r="388" spans="1:24" ht="15" customHeight="1" x14ac:dyDescent="0.25">
      <c r="A388" s="26">
        <v>385</v>
      </c>
      <c r="B388" s="23" t="str">
        <f>IFERROR(INDEX('Output Utente'!$A$2:$A$492,MATCH(385,'Output Utente'!$R$2:$R$492,0)),"")</f>
        <v/>
      </c>
      <c r="C388" s="23" t="str">
        <f>IFERROR(INDEX('Output Utente'!$B$2:$B$492,MATCH(385,'Output Utente'!$R$2:$R$492,0)),"")</f>
        <v/>
      </c>
      <c r="D388" s="23" t="str">
        <f>IFERROR(INDEX('Output Utente'!$C$2:$C$492,MATCH(385,'Output Utente'!$R$2:$R$492,0)),"")</f>
        <v/>
      </c>
      <c r="E388" s="23" t="str">
        <f>IFERROR(INDEX('Input Giocatori 2026_27'!$D$3:$D$493,MATCH($B388,'Input Giocatori 2026_27'!$A$3:$A$493,0)),"")</f>
        <v/>
      </c>
      <c r="F388" s="24" t="str">
        <f>IFERROR(INDEX('Output Utente'!$N$2:$N$492,MATCH(385,'Output Utente'!$R$2:$R$492,0)),"")</f>
        <v/>
      </c>
      <c r="G388" s="23" t="str">
        <f>IFERROR(INDEX('Output Utente'!$O$2:$O$492,MATCH(385,'Output Utente'!$R$2:$R$492,0)),"")</f>
        <v/>
      </c>
      <c r="H388" s="23" t="str">
        <f>IFERROR(INDEX('Output Utente'!$P$2:$P$492,MATCH(385,'Output Utente'!$R$2:$R$492,0)),"")</f>
        <v/>
      </c>
      <c r="I388" s="24" t="str">
        <f>IFERROR(INDEX('Output Utente'!$F$2:$F$492,MATCH(385,'Output Utente'!$R$2:$R$492,0)),"")</f>
        <v/>
      </c>
      <c r="J388" s="24" t="str">
        <f>IFERROR(INDEX('Output Utente'!$G$2:$G$492,MATCH(385,'Output Utente'!$R$2:$R$492,0)),"")</f>
        <v/>
      </c>
      <c r="K388" s="24" t="str">
        <f>IFERROR(INDEX('Output Utente'!$H$2:$H$492,MATCH(385,'Output Utente'!$R$2:$R$492,0)),"")</f>
        <v/>
      </c>
      <c r="L388" s="23" t="str">
        <f>IFERROR(INDEX('Output Utente'!$E$2:$E$492,MATCH(385,'Output Utente'!$R$2:$R$492,0)),"")</f>
        <v/>
      </c>
      <c r="V388" t="str">
        <f>IFERROR(INDEX('Output Utente'!$M$2:$M$492,MATCH(385,'Output Utente'!$R$2:$R$492,0)),"")</f>
        <v/>
      </c>
      <c r="W388" t="str">
        <f t="shared" ref="W388:W451" si="6">IF(OR($G388="",$V388=""),"",$G388-$V388)</f>
        <v/>
      </c>
      <c r="X388" t="str">
        <f>IFERROR(INDEX('Output Utente'!$AF$2:$AF$492,MATCH(385,'Output Utente'!$R$2:$R$492,0)),"")</f>
        <v/>
      </c>
    </row>
    <row r="389" spans="1:24" ht="15" customHeight="1" x14ac:dyDescent="0.25">
      <c r="A389" s="26">
        <v>386</v>
      </c>
      <c r="B389" s="23" t="str">
        <f>IFERROR(INDEX('Output Utente'!$A$2:$A$492,MATCH(386,'Output Utente'!$R$2:$R$492,0)),"")</f>
        <v/>
      </c>
      <c r="C389" s="23" t="str">
        <f>IFERROR(INDEX('Output Utente'!$B$2:$B$492,MATCH(386,'Output Utente'!$R$2:$R$492,0)),"")</f>
        <v/>
      </c>
      <c r="D389" s="23" t="str">
        <f>IFERROR(INDEX('Output Utente'!$C$2:$C$492,MATCH(386,'Output Utente'!$R$2:$R$492,0)),"")</f>
        <v/>
      </c>
      <c r="E389" s="23" t="str">
        <f>IFERROR(INDEX('Input Giocatori 2026_27'!$D$3:$D$493,MATCH($B389,'Input Giocatori 2026_27'!$A$3:$A$493,0)),"")</f>
        <v/>
      </c>
      <c r="F389" s="24" t="str">
        <f>IFERROR(INDEX('Output Utente'!$N$2:$N$492,MATCH(386,'Output Utente'!$R$2:$R$492,0)),"")</f>
        <v/>
      </c>
      <c r="G389" s="23" t="str">
        <f>IFERROR(INDEX('Output Utente'!$O$2:$O$492,MATCH(386,'Output Utente'!$R$2:$R$492,0)),"")</f>
        <v/>
      </c>
      <c r="H389" s="23" t="str">
        <f>IFERROR(INDEX('Output Utente'!$P$2:$P$492,MATCH(386,'Output Utente'!$R$2:$R$492,0)),"")</f>
        <v/>
      </c>
      <c r="I389" s="24" t="str">
        <f>IFERROR(INDEX('Output Utente'!$F$2:$F$492,MATCH(386,'Output Utente'!$R$2:$R$492,0)),"")</f>
        <v/>
      </c>
      <c r="J389" s="24" t="str">
        <f>IFERROR(INDEX('Output Utente'!$G$2:$G$492,MATCH(386,'Output Utente'!$R$2:$R$492,0)),"")</f>
        <v/>
      </c>
      <c r="K389" s="24" t="str">
        <f>IFERROR(INDEX('Output Utente'!$H$2:$H$492,MATCH(386,'Output Utente'!$R$2:$R$492,0)),"")</f>
        <v/>
      </c>
      <c r="L389" s="23" t="str">
        <f>IFERROR(INDEX('Output Utente'!$E$2:$E$492,MATCH(386,'Output Utente'!$R$2:$R$492,0)),"")</f>
        <v/>
      </c>
      <c r="V389" t="str">
        <f>IFERROR(INDEX('Output Utente'!$M$2:$M$492,MATCH(386,'Output Utente'!$R$2:$R$492,0)),"")</f>
        <v/>
      </c>
      <c r="W389" t="str">
        <f t="shared" si="6"/>
        <v/>
      </c>
      <c r="X389" t="str">
        <f>IFERROR(INDEX('Output Utente'!$AF$2:$AF$492,MATCH(386,'Output Utente'!$R$2:$R$492,0)),"")</f>
        <v/>
      </c>
    </row>
    <row r="390" spans="1:24" ht="15" customHeight="1" x14ac:dyDescent="0.25">
      <c r="A390" s="26">
        <v>387</v>
      </c>
      <c r="B390" s="23" t="str">
        <f>IFERROR(INDEX('Output Utente'!$A$2:$A$492,MATCH(387,'Output Utente'!$R$2:$R$492,0)),"")</f>
        <v/>
      </c>
      <c r="C390" s="23" t="str">
        <f>IFERROR(INDEX('Output Utente'!$B$2:$B$492,MATCH(387,'Output Utente'!$R$2:$R$492,0)),"")</f>
        <v/>
      </c>
      <c r="D390" s="23" t="str">
        <f>IFERROR(INDEX('Output Utente'!$C$2:$C$492,MATCH(387,'Output Utente'!$R$2:$R$492,0)),"")</f>
        <v/>
      </c>
      <c r="E390" s="23" t="str">
        <f>IFERROR(INDEX('Input Giocatori 2026_27'!$D$3:$D$493,MATCH($B390,'Input Giocatori 2026_27'!$A$3:$A$493,0)),"")</f>
        <v/>
      </c>
      <c r="F390" s="24" t="str">
        <f>IFERROR(INDEX('Output Utente'!$N$2:$N$492,MATCH(387,'Output Utente'!$R$2:$R$492,0)),"")</f>
        <v/>
      </c>
      <c r="G390" s="23" t="str">
        <f>IFERROR(INDEX('Output Utente'!$O$2:$O$492,MATCH(387,'Output Utente'!$R$2:$R$492,0)),"")</f>
        <v/>
      </c>
      <c r="H390" s="23" t="str">
        <f>IFERROR(INDEX('Output Utente'!$P$2:$P$492,MATCH(387,'Output Utente'!$R$2:$R$492,0)),"")</f>
        <v/>
      </c>
      <c r="I390" s="24" t="str">
        <f>IFERROR(INDEX('Output Utente'!$F$2:$F$492,MATCH(387,'Output Utente'!$R$2:$R$492,0)),"")</f>
        <v/>
      </c>
      <c r="J390" s="24" t="str">
        <f>IFERROR(INDEX('Output Utente'!$G$2:$G$492,MATCH(387,'Output Utente'!$R$2:$R$492,0)),"")</f>
        <v/>
      </c>
      <c r="K390" s="24" t="str">
        <f>IFERROR(INDEX('Output Utente'!$H$2:$H$492,MATCH(387,'Output Utente'!$R$2:$R$492,0)),"")</f>
        <v/>
      </c>
      <c r="L390" s="23" t="str">
        <f>IFERROR(INDEX('Output Utente'!$E$2:$E$492,MATCH(387,'Output Utente'!$R$2:$R$492,0)),"")</f>
        <v/>
      </c>
      <c r="V390" t="str">
        <f>IFERROR(INDEX('Output Utente'!$M$2:$M$492,MATCH(387,'Output Utente'!$R$2:$R$492,0)),"")</f>
        <v/>
      </c>
      <c r="W390" t="str">
        <f t="shared" si="6"/>
        <v/>
      </c>
      <c r="X390" t="str">
        <f>IFERROR(INDEX('Output Utente'!$AF$2:$AF$492,MATCH(387,'Output Utente'!$R$2:$R$492,0)),"")</f>
        <v/>
      </c>
    </row>
    <row r="391" spans="1:24" ht="15" customHeight="1" x14ac:dyDescent="0.25">
      <c r="A391" s="26">
        <v>388</v>
      </c>
      <c r="B391" s="23" t="str">
        <f>IFERROR(INDEX('Output Utente'!$A$2:$A$492,MATCH(388,'Output Utente'!$R$2:$R$492,0)),"")</f>
        <v/>
      </c>
      <c r="C391" s="23" t="str">
        <f>IFERROR(INDEX('Output Utente'!$B$2:$B$492,MATCH(388,'Output Utente'!$R$2:$R$492,0)),"")</f>
        <v/>
      </c>
      <c r="D391" s="23" t="str">
        <f>IFERROR(INDEX('Output Utente'!$C$2:$C$492,MATCH(388,'Output Utente'!$R$2:$R$492,0)),"")</f>
        <v/>
      </c>
      <c r="E391" s="23" t="str">
        <f>IFERROR(INDEX('Input Giocatori 2026_27'!$D$3:$D$493,MATCH($B391,'Input Giocatori 2026_27'!$A$3:$A$493,0)),"")</f>
        <v/>
      </c>
      <c r="F391" s="24" t="str">
        <f>IFERROR(INDEX('Output Utente'!$N$2:$N$492,MATCH(388,'Output Utente'!$R$2:$R$492,0)),"")</f>
        <v/>
      </c>
      <c r="G391" s="23" t="str">
        <f>IFERROR(INDEX('Output Utente'!$O$2:$O$492,MATCH(388,'Output Utente'!$R$2:$R$492,0)),"")</f>
        <v/>
      </c>
      <c r="H391" s="23" t="str">
        <f>IFERROR(INDEX('Output Utente'!$P$2:$P$492,MATCH(388,'Output Utente'!$R$2:$R$492,0)),"")</f>
        <v/>
      </c>
      <c r="I391" s="24" t="str">
        <f>IFERROR(INDEX('Output Utente'!$F$2:$F$492,MATCH(388,'Output Utente'!$R$2:$R$492,0)),"")</f>
        <v/>
      </c>
      <c r="J391" s="24" t="str">
        <f>IFERROR(INDEX('Output Utente'!$G$2:$G$492,MATCH(388,'Output Utente'!$R$2:$R$492,0)),"")</f>
        <v/>
      </c>
      <c r="K391" s="24" t="str">
        <f>IFERROR(INDEX('Output Utente'!$H$2:$H$492,MATCH(388,'Output Utente'!$R$2:$R$492,0)),"")</f>
        <v/>
      </c>
      <c r="L391" s="23" t="str">
        <f>IFERROR(INDEX('Output Utente'!$E$2:$E$492,MATCH(388,'Output Utente'!$R$2:$R$492,0)),"")</f>
        <v/>
      </c>
      <c r="V391" t="str">
        <f>IFERROR(INDEX('Output Utente'!$M$2:$M$492,MATCH(388,'Output Utente'!$R$2:$R$492,0)),"")</f>
        <v/>
      </c>
      <c r="W391" t="str">
        <f t="shared" si="6"/>
        <v/>
      </c>
      <c r="X391" t="str">
        <f>IFERROR(INDEX('Output Utente'!$AF$2:$AF$492,MATCH(388,'Output Utente'!$R$2:$R$492,0)),"")</f>
        <v/>
      </c>
    </row>
    <row r="392" spans="1:24" ht="15" customHeight="1" x14ac:dyDescent="0.25">
      <c r="A392" s="26">
        <v>389</v>
      </c>
      <c r="B392" s="23" t="str">
        <f>IFERROR(INDEX('Output Utente'!$A$2:$A$492,MATCH(389,'Output Utente'!$R$2:$R$492,0)),"")</f>
        <v/>
      </c>
      <c r="C392" s="23" t="str">
        <f>IFERROR(INDEX('Output Utente'!$B$2:$B$492,MATCH(389,'Output Utente'!$R$2:$R$492,0)),"")</f>
        <v/>
      </c>
      <c r="D392" s="23" t="str">
        <f>IFERROR(INDEX('Output Utente'!$C$2:$C$492,MATCH(389,'Output Utente'!$R$2:$R$492,0)),"")</f>
        <v/>
      </c>
      <c r="E392" s="23" t="str">
        <f>IFERROR(INDEX('Input Giocatori 2026_27'!$D$3:$D$493,MATCH($B392,'Input Giocatori 2026_27'!$A$3:$A$493,0)),"")</f>
        <v/>
      </c>
      <c r="F392" s="24" t="str">
        <f>IFERROR(INDEX('Output Utente'!$N$2:$N$492,MATCH(389,'Output Utente'!$R$2:$R$492,0)),"")</f>
        <v/>
      </c>
      <c r="G392" s="23" t="str">
        <f>IFERROR(INDEX('Output Utente'!$O$2:$O$492,MATCH(389,'Output Utente'!$R$2:$R$492,0)),"")</f>
        <v/>
      </c>
      <c r="H392" s="23" t="str">
        <f>IFERROR(INDEX('Output Utente'!$P$2:$P$492,MATCH(389,'Output Utente'!$R$2:$R$492,0)),"")</f>
        <v/>
      </c>
      <c r="I392" s="24" t="str">
        <f>IFERROR(INDEX('Output Utente'!$F$2:$F$492,MATCH(389,'Output Utente'!$R$2:$R$492,0)),"")</f>
        <v/>
      </c>
      <c r="J392" s="24" t="str">
        <f>IFERROR(INDEX('Output Utente'!$G$2:$G$492,MATCH(389,'Output Utente'!$R$2:$R$492,0)),"")</f>
        <v/>
      </c>
      <c r="K392" s="24" t="str">
        <f>IFERROR(INDEX('Output Utente'!$H$2:$H$492,MATCH(389,'Output Utente'!$R$2:$R$492,0)),"")</f>
        <v/>
      </c>
      <c r="L392" s="23" t="str">
        <f>IFERROR(INDEX('Output Utente'!$E$2:$E$492,MATCH(389,'Output Utente'!$R$2:$R$492,0)),"")</f>
        <v/>
      </c>
      <c r="V392" t="str">
        <f>IFERROR(INDEX('Output Utente'!$M$2:$M$492,MATCH(389,'Output Utente'!$R$2:$R$492,0)),"")</f>
        <v/>
      </c>
      <c r="W392" t="str">
        <f t="shared" si="6"/>
        <v/>
      </c>
      <c r="X392" t="str">
        <f>IFERROR(INDEX('Output Utente'!$AF$2:$AF$492,MATCH(389,'Output Utente'!$R$2:$R$492,0)),"")</f>
        <v/>
      </c>
    </row>
    <row r="393" spans="1:24" ht="15" customHeight="1" x14ac:dyDescent="0.25">
      <c r="A393" s="26">
        <v>390</v>
      </c>
      <c r="B393" s="23" t="str">
        <f>IFERROR(INDEX('Output Utente'!$A$2:$A$492,MATCH(390,'Output Utente'!$R$2:$R$492,0)),"")</f>
        <v/>
      </c>
      <c r="C393" s="23" t="str">
        <f>IFERROR(INDEX('Output Utente'!$B$2:$B$492,MATCH(390,'Output Utente'!$R$2:$R$492,0)),"")</f>
        <v/>
      </c>
      <c r="D393" s="23" t="str">
        <f>IFERROR(INDEX('Output Utente'!$C$2:$C$492,MATCH(390,'Output Utente'!$R$2:$R$492,0)),"")</f>
        <v/>
      </c>
      <c r="E393" s="23" t="str">
        <f>IFERROR(INDEX('Input Giocatori 2026_27'!$D$3:$D$493,MATCH($B393,'Input Giocatori 2026_27'!$A$3:$A$493,0)),"")</f>
        <v/>
      </c>
      <c r="F393" s="24" t="str">
        <f>IFERROR(INDEX('Output Utente'!$N$2:$N$492,MATCH(390,'Output Utente'!$R$2:$R$492,0)),"")</f>
        <v/>
      </c>
      <c r="G393" s="23" t="str">
        <f>IFERROR(INDEX('Output Utente'!$O$2:$O$492,MATCH(390,'Output Utente'!$R$2:$R$492,0)),"")</f>
        <v/>
      </c>
      <c r="H393" s="23" t="str">
        <f>IFERROR(INDEX('Output Utente'!$P$2:$P$492,MATCH(390,'Output Utente'!$R$2:$R$492,0)),"")</f>
        <v/>
      </c>
      <c r="I393" s="24" t="str">
        <f>IFERROR(INDEX('Output Utente'!$F$2:$F$492,MATCH(390,'Output Utente'!$R$2:$R$492,0)),"")</f>
        <v/>
      </c>
      <c r="J393" s="24" t="str">
        <f>IFERROR(INDEX('Output Utente'!$G$2:$G$492,MATCH(390,'Output Utente'!$R$2:$R$492,0)),"")</f>
        <v/>
      </c>
      <c r="K393" s="24" t="str">
        <f>IFERROR(INDEX('Output Utente'!$H$2:$H$492,MATCH(390,'Output Utente'!$R$2:$R$492,0)),"")</f>
        <v/>
      </c>
      <c r="L393" s="23" t="str">
        <f>IFERROR(INDEX('Output Utente'!$E$2:$E$492,MATCH(390,'Output Utente'!$R$2:$R$492,0)),"")</f>
        <v/>
      </c>
      <c r="V393" t="str">
        <f>IFERROR(INDEX('Output Utente'!$M$2:$M$492,MATCH(390,'Output Utente'!$R$2:$R$492,0)),"")</f>
        <v/>
      </c>
      <c r="W393" t="str">
        <f t="shared" si="6"/>
        <v/>
      </c>
      <c r="X393" t="str">
        <f>IFERROR(INDEX('Output Utente'!$AF$2:$AF$492,MATCH(390,'Output Utente'!$R$2:$R$492,0)),"")</f>
        <v/>
      </c>
    </row>
    <row r="394" spans="1:24" ht="15" customHeight="1" x14ac:dyDescent="0.25">
      <c r="A394" s="26">
        <v>391</v>
      </c>
      <c r="B394" s="23" t="str">
        <f>IFERROR(INDEX('Output Utente'!$A$2:$A$492,MATCH(391,'Output Utente'!$R$2:$R$492,0)),"")</f>
        <v/>
      </c>
      <c r="C394" s="23" t="str">
        <f>IFERROR(INDEX('Output Utente'!$B$2:$B$492,MATCH(391,'Output Utente'!$R$2:$R$492,0)),"")</f>
        <v/>
      </c>
      <c r="D394" s="23" t="str">
        <f>IFERROR(INDEX('Output Utente'!$C$2:$C$492,MATCH(391,'Output Utente'!$R$2:$R$492,0)),"")</f>
        <v/>
      </c>
      <c r="E394" s="23" t="str">
        <f>IFERROR(INDEX('Input Giocatori 2026_27'!$D$3:$D$493,MATCH($B394,'Input Giocatori 2026_27'!$A$3:$A$493,0)),"")</f>
        <v/>
      </c>
      <c r="F394" s="24" t="str">
        <f>IFERROR(INDEX('Output Utente'!$N$2:$N$492,MATCH(391,'Output Utente'!$R$2:$R$492,0)),"")</f>
        <v/>
      </c>
      <c r="G394" s="23" t="str">
        <f>IFERROR(INDEX('Output Utente'!$O$2:$O$492,MATCH(391,'Output Utente'!$R$2:$R$492,0)),"")</f>
        <v/>
      </c>
      <c r="H394" s="23" t="str">
        <f>IFERROR(INDEX('Output Utente'!$P$2:$P$492,MATCH(391,'Output Utente'!$R$2:$R$492,0)),"")</f>
        <v/>
      </c>
      <c r="I394" s="24" t="str">
        <f>IFERROR(INDEX('Output Utente'!$F$2:$F$492,MATCH(391,'Output Utente'!$R$2:$R$492,0)),"")</f>
        <v/>
      </c>
      <c r="J394" s="24" t="str">
        <f>IFERROR(INDEX('Output Utente'!$G$2:$G$492,MATCH(391,'Output Utente'!$R$2:$R$492,0)),"")</f>
        <v/>
      </c>
      <c r="K394" s="24" t="str">
        <f>IFERROR(INDEX('Output Utente'!$H$2:$H$492,MATCH(391,'Output Utente'!$R$2:$R$492,0)),"")</f>
        <v/>
      </c>
      <c r="L394" s="23" t="str">
        <f>IFERROR(INDEX('Output Utente'!$E$2:$E$492,MATCH(391,'Output Utente'!$R$2:$R$492,0)),"")</f>
        <v/>
      </c>
      <c r="V394" t="str">
        <f>IFERROR(INDEX('Output Utente'!$M$2:$M$492,MATCH(391,'Output Utente'!$R$2:$R$492,0)),"")</f>
        <v/>
      </c>
      <c r="W394" t="str">
        <f t="shared" si="6"/>
        <v/>
      </c>
      <c r="X394" t="str">
        <f>IFERROR(INDEX('Output Utente'!$AF$2:$AF$492,MATCH(391,'Output Utente'!$R$2:$R$492,0)),"")</f>
        <v/>
      </c>
    </row>
    <row r="395" spans="1:24" ht="15" customHeight="1" x14ac:dyDescent="0.25">
      <c r="A395" s="26">
        <v>392</v>
      </c>
      <c r="B395" s="23" t="str">
        <f>IFERROR(INDEX('Output Utente'!$A$2:$A$492,MATCH(392,'Output Utente'!$R$2:$R$492,0)),"")</f>
        <v/>
      </c>
      <c r="C395" s="23" t="str">
        <f>IFERROR(INDEX('Output Utente'!$B$2:$B$492,MATCH(392,'Output Utente'!$R$2:$R$492,0)),"")</f>
        <v/>
      </c>
      <c r="D395" s="23" t="str">
        <f>IFERROR(INDEX('Output Utente'!$C$2:$C$492,MATCH(392,'Output Utente'!$R$2:$R$492,0)),"")</f>
        <v/>
      </c>
      <c r="E395" s="23" t="str">
        <f>IFERROR(INDEX('Input Giocatori 2026_27'!$D$3:$D$493,MATCH($B395,'Input Giocatori 2026_27'!$A$3:$A$493,0)),"")</f>
        <v/>
      </c>
      <c r="F395" s="24" t="str">
        <f>IFERROR(INDEX('Output Utente'!$N$2:$N$492,MATCH(392,'Output Utente'!$R$2:$R$492,0)),"")</f>
        <v/>
      </c>
      <c r="G395" s="23" t="str">
        <f>IFERROR(INDEX('Output Utente'!$O$2:$O$492,MATCH(392,'Output Utente'!$R$2:$R$492,0)),"")</f>
        <v/>
      </c>
      <c r="H395" s="23" t="str">
        <f>IFERROR(INDEX('Output Utente'!$P$2:$P$492,MATCH(392,'Output Utente'!$R$2:$R$492,0)),"")</f>
        <v/>
      </c>
      <c r="I395" s="24" t="str">
        <f>IFERROR(INDEX('Output Utente'!$F$2:$F$492,MATCH(392,'Output Utente'!$R$2:$R$492,0)),"")</f>
        <v/>
      </c>
      <c r="J395" s="24" t="str">
        <f>IFERROR(INDEX('Output Utente'!$G$2:$G$492,MATCH(392,'Output Utente'!$R$2:$R$492,0)),"")</f>
        <v/>
      </c>
      <c r="K395" s="24" t="str">
        <f>IFERROR(INDEX('Output Utente'!$H$2:$H$492,MATCH(392,'Output Utente'!$R$2:$R$492,0)),"")</f>
        <v/>
      </c>
      <c r="L395" s="23" t="str">
        <f>IFERROR(INDEX('Output Utente'!$E$2:$E$492,MATCH(392,'Output Utente'!$R$2:$R$492,0)),"")</f>
        <v/>
      </c>
      <c r="V395" t="str">
        <f>IFERROR(INDEX('Output Utente'!$M$2:$M$492,MATCH(392,'Output Utente'!$R$2:$R$492,0)),"")</f>
        <v/>
      </c>
      <c r="W395" t="str">
        <f t="shared" si="6"/>
        <v/>
      </c>
      <c r="X395" t="str">
        <f>IFERROR(INDEX('Output Utente'!$AF$2:$AF$492,MATCH(392,'Output Utente'!$R$2:$R$492,0)),"")</f>
        <v/>
      </c>
    </row>
    <row r="396" spans="1:24" ht="15" customHeight="1" x14ac:dyDescent="0.25">
      <c r="A396" s="26">
        <v>393</v>
      </c>
      <c r="B396" s="23" t="str">
        <f>IFERROR(INDEX('Output Utente'!$A$2:$A$492,MATCH(393,'Output Utente'!$R$2:$R$492,0)),"")</f>
        <v/>
      </c>
      <c r="C396" s="23" t="str">
        <f>IFERROR(INDEX('Output Utente'!$B$2:$B$492,MATCH(393,'Output Utente'!$R$2:$R$492,0)),"")</f>
        <v/>
      </c>
      <c r="D396" s="23" t="str">
        <f>IFERROR(INDEX('Output Utente'!$C$2:$C$492,MATCH(393,'Output Utente'!$R$2:$R$492,0)),"")</f>
        <v/>
      </c>
      <c r="E396" s="23" t="str">
        <f>IFERROR(INDEX('Input Giocatori 2026_27'!$D$3:$D$493,MATCH($B396,'Input Giocatori 2026_27'!$A$3:$A$493,0)),"")</f>
        <v/>
      </c>
      <c r="F396" s="24" t="str">
        <f>IFERROR(INDEX('Output Utente'!$N$2:$N$492,MATCH(393,'Output Utente'!$R$2:$R$492,0)),"")</f>
        <v/>
      </c>
      <c r="G396" s="23" t="str">
        <f>IFERROR(INDEX('Output Utente'!$O$2:$O$492,MATCH(393,'Output Utente'!$R$2:$R$492,0)),"")</f>
        <v/>
      </c>
      <c r="H396" s="23" t="str">
        <f>IFERROR(INDEX('Output Utente'!$P$2:$P$492,MATCH(393,'Output Utente'!$R$2:$R$492,0)),"")</f>
        <v/>
      </c>
      <c r="I396" s="24" t="str">
        <f>IFERROR(INDEX('Output Utente'!$F$2:$F$492,MATCH(393,'Output Utente'!$R$2:$R$492,0)),"")</f>
        <v/>
      </c>
      <c r="J396" s="24" t="str">
        <f>IFERROR(INDEX('Output Utente'!$G$2:$G$492,MATCH(393,'Output Utente'!$R$2:$R$492,0)),"")</f>
        <v/>
      </c>
      <c r="K396" s="24" t="str">
        <f>IFERROR(INDEX('Output Utente'!$H$2:$H$492,MATCH(393,'Output Utente'!$R$2:$R$492,0)),"")</f>
        <v/>
      </c>
      <c r="L396" s="23" t="str">
        <f>IFERROR(INDEX('Output Utente'!$E$2:$E$492,MATCH(393,'Output Utente'!$R$2:$R$492,0)),"")</f>
        <v/>
      </c>
      <c r="V396" t="str">
        <f>IFERROR(INDEX('Output Utente'!$M$2:$M$492,MATCH(393,'Output Utente'!$R$2:$R$492,0)),"")</f>
        <v/>
      </c>
      <c r="W396" t="str">
        <f t="shared" si="6"/>
        <v/>
      </c>
      <c r="X396" t="str">
        <f>IFERROR(INDEX('Output Utente'!$AF$2:$AF$492,MATCH(393,'Output Utente'!$R$2:$R$492,0)),"")</f>
        <v/>
      </c>
    </row>
    <row r="397" spans="1:24" ht="15" customHeight="1" x14ac:dyDescent="0.25">
      <c r="A397" s="26">
        <v>394</v>
      </c>
      <c r="B397" s="23" t="str">
        <f>IFERROR(INDEX('Output Utente'!$A$2:$A$492,MATCH(394,'Output Utente'!$R$2:$R$492,0)),"")</f>
        <v/>
      </c>
      <c r="C397" s="23" t="str">
        <f>IFERROR(INDEX('Output Utente'!$B$2:$B$492,MATCH(394,'Output Utente'!$R$2:$R$492,0)),"")</f>
        <v/>
      </c>
      <c r="D397" s="23" t="str">
        <f>IFERROR(INDEX('Output Utente'!$C$2:$C$492,MATCH(394,'Output Utente'!$R$2:$R$492,0)),"")</f>
        <v/>
      </c>
      <c r="E397" s="23" t="str">
        <f>IFERROR(INDEX('Input Giocatori 2026_27'!$D$3:$D$493,MATCH($B397,'Input Giocatori 2026_27'!$A$3:$A$493,0)),"")</f>
        <v/>
      </c>
      <c r="F397" s="24" t="str">
        <f>IFERROR(INDEX('Output Utente'!$N$2:$N$492,MATCH(394,'Output Utente'!$R$2:$R$492,0)),"")</f>
        <v/>
      </c>
      <c r="G397" s="23" t="str">
        <f>IFERROR(INDEX('Output Utente'!$O$2:$O$492,MATCH(394,'Output Utente'!$R$2:$R$492,0)),"")</f>
        <v/>
      </c>
      <c r="H397" s="23" t="str">
        <f>IFERROR(INDEX('Output Utente'!$P$2:$P$492,MATCH(394,'Output Utente'!$R$2:$R$492,0)),"")</f>
        <v/>
      </c>
      <c r="I397" s="24" t="str">
        <f>IFERROR(INDEX('Output Utente'!$F$2:$F$492,MATCH(394,'Output Utente'!$R$2:$R$492,0)),"")</f>
        <v/>
      </c>
      <c r="J397" s="24" t="str">
        <f>IFERROR(INDEX('Output Utente'!$G$2:$G$492,MATCH(394,'Output Utente'!$R$2:$R$492,0)),"")</f>
        <v/>
      </c>
      <c r="K397" s="24" t="str">
        <f>IFERROR(INDEX('Output Utente'!$H$2:$H$492,MATCH(394,'Output Utente'!$R$2:$R$492,0)),"")</f>
        <v/>
      </c>
      <c r="L397" s="23" t="str">
        <f>IFERROR(INDEX('Output Utente'!$E$2:$E$492,MATCH(394,'Output Utente'!$R$2:$R$492,0)),"")</f>
        <v/>
      </c>
      <c r="V397" t="str">
        <f>IFERROR(INDEX('Output Utente'!$M$2:$M$492,MATCH(394,'Output Utente'!$R$2:$R$492,0)),"")</f>
        <v/>
      </c>
      <c r="W397" t="str">
        <f t="shared" si="6"/>
        <v/>
      </c>
      <c r="X397" t="str">
        <f>IFERROR(INDEX('Output Utente'!$AF$2:$AF$492,MATCH(394,'Output Utente'!$R$2:$R$492,0)),"")</f>
        <v/>
      </c>
    </row>
    <row r="398" spans="1:24" ht="15" customHeight="1" x14ac:dyDescent="0.25">
      <c r="A398" s="26">
        <v>395</v>
      </c>
      <c r="B398" s="23" t="str">
        <f>IFERROR(INDEX('Output Utente'!$A$2:$A$492,MATCH(395,'Output Utente'!$R$2:$R$492,0)),"")</f>
        <v/>
      </c>
      <c r="C398" s="23" t="str">
        <f>IFERROR(INDEX('Output Utente'!$B$2:$B$492,MATCH(395,'Output Utente'!$R$2:$R$492,0)),"")</f>
        <v/>
      </c>
      <c r="D398" s="23" t="str">
        <f>IFERROR(INDEX('Output Utente'!$C$2:$C$492,MATCH(395,'Output Utente'!$R$2:$R$492,0)),"")</f>
        <v/>
      </c>
      <c r="E398" s="23" t="str">
        <f>IFERROR(INDEX('Input Giocatori 2026_27'!$D$3:$D$493,MATCH($B398,'Input Giocatori 2026_27'!$A$3:$A$493,0)),"")</f>
        <v/>
      </c>
      <c r="F398" s="24" t="str">
        <f>IFERROR(INDEX('Output Utente'!$N$2:$N$492,MATCH(395,'Output Utente'!$R$2:$R$492,0)),"")</f>
        <v/>
      </c>
      <c r="G398" s="23" t="str">
        <f>IFERROR(INDEX('Output Utente'!$O$2:$O$492,MATCH(395,'Output Utente'!$R$2:$R$492,0)),"")</f>
        <v/>
      </c>
      <c r="H398" s="23" t="str">
        <f>IFERROR(INDEX('Output Utente'!$P$2:$P$492,MATCH(395,'Output Utente'!$R$2:$R$492,0)),"")</f>
        <v/>
      </c>
      <c r="I398" s="24" t="str">
        <f>IFERROR(INDEX('Output Utente'!$F$2:$F$492,MATCH(395,'Output Utente'!$R$2:$R$492,0)),"")</f>
        <v/>
      </c>
      <c r="J398" s="24" t="str">
        <f>IFERROR(INDEX('Output Utente'!$G$2:$G$492,MATCH(395,'Output Utente'!$R$2:$R$492,0)),"")</f>
        <v/>
      </c>
      <c r="K398" s="24" t="str">
        <f>IFERROR(INDEX('Output Utente'!$H$2:$H$492,MATCH(395,'Output Utente'!$R$2:$R$492,0)),"")</f>
        <v/>
      </c>
      <c r="L398" s="23" t="str">
        <f>IFERROR(INDEX('Output Utente'!$E$2:$E$492,MATCH(395,'Output Utente'!$R$2:$R$492,0)),"")</f>
        <v/>
      </c>
      <c r="V398" t="str">
        <f>IFERROR(INDEX('Output Utente'!$M$2:$M$492,MATCH(395,'Output Utente'!$R$2:$R$492,0)),"")</f>
        <v/>
      </c>
      <c r="W398" t="str">
        <f t="shared" si="6"/>
        <v/>
      </c>
      <c r="X398" t="str">
        <f>IFERROR(INDEX('Output Utente'!$AF$2:$AF$492,MATCH(395,'Output Utente'!$R$2:$R$492,0)),"")</f>
        <v/>
      </c>
    </row>
    <row r="399" spans="1:24" ht="15" customHeight="1" x14ac:dyDescent="0.25">
      <c r="A399" s="26">
        <v>396</v>
      </c>
      <c r="B399" s="23" t="str">
        <f>IFERROR(INDEX('Output Utente'!$A$2:$A$492,MATCH(396,'Output Utente'!$R$2:$R$492,0)),"")</f>
        <v/>
      </c>
      <c r="C399" s="23" t="str">
        <f>IFERROR(INDEX('Output Utente'!$B$2:$B$492,MATCH(396,'Output Utente'!$R$2:$R$492,0)),"")</f>
        <v/>
      </c>
      <c r="D399" s="23" t="str">
        <f>IFERROR(INDEX('Output Utente'!$C$2:$C$492,MATCH(396,'Output Utente'!$R$2:$R$492,0)),"")</f>
        <v/>
      </c>
      <c r="E399" s="23" t="str">
        <f>IFERROR(INDEX('Input Giocatori 2026_27'!$D$3:$D$493,MATCH($B399,'Input Giocatori 2026_27'!$A$3:$A$493,0)),"")</f>
        <v/>
      </c>
      <c r="F399" s="24" t="str">
        <f>IFERROR(INDEX('Output Utente'!$N$2:$N$492,MATCH(396,'Output Utente'!$R$2:$R$492,0)),"")</f>
        <v/>
      </c>
      <c r="G399" s="23" t="str">
        <f>IFERROR(INDEX('Output Utente'!$O$2:$O$492,MATCH(396,'Output Utente'!$R$2:$R$492,0)),"")</f>
        <v/>
      </c>
      <c r="H399" s="23" t="str">
        <f>IFERROR(INDEX('Output Utente'!$P$2:$P$492,MATCH(396,'Output Utente'!$R$2:$R$492,0)),"")</f>
        <v/>
      </c>
      <c r="I399" s="24" t="str">
        <f>IFERROR(INDEX('Output Utente'!$F$2:$F$492,MATCH(396,'Output Utente'!$R$2:$R$492,0)),"")</f>
        <v/>
      </c>
      <c r="J399" s="24" t="str">
        <f>IFERROR(INDEX('Output Utente'!$G$2:$G$492,MATCH(396,'Output Utente'!$R$2:$R$492,0)),"")</f>
        <v/>
      </c>
      <c r="K399" s="24" t="str">
        <f>IFERROR(INDEX('Output Utente'!$H$2:$H$492,MATCH(396,'Output Utente'!$R$2:$R$492,0)),"")</f>
        <v/>
      </c>
      <c r="L399" s="23" t="str">
        <f>IFERROR(INDEX('Output Utente'!$E$2:$E$492,MATCH(396,'Output Utente'!$R$2:$R$492,0)),"")</f>
        <v/>
      </c>
      <c r="V399" t="str">
        <f>IFERROR(INDEX('Output Utente'!$M$2:$M$492,MATCH(396,'Output Utente'!$R$2:$R$492,0)),"")</f>
        <v/>
      </c>
      <c r="W399" t="str">
        <f t="shared" si="6"/>
        <v/>
      </c>
      <c r="X399" t="str">
        <f>IFERROR(INDEX('Output Utente'!$AF$2:$AF$492,MATCH(396,'Output Utente'!$R$2:$R$492,0)),"")</f>
        <v/>
      </c>
    </row>
    <row r="400" spans="1:24" ht="15" customHeight="1" x14ac:dyDescent="0.25">
      <c r="A400" s="26">
        <v>397</v>
      </c>
      <c r="B400" s="23" t="str">
        <f>IFERROR(INDEX('Output Utente'!$A$2:$A$492,MATCH(397,'Output Utente'!$R$2:$R$492,0)),"")</f>
        <v/>
      </c>
      <c r="C400" s="23" t="str">
        <f>IFERROR(INDEX('Output Utente'!$B$2:$B$492,MATCH(397,'Output Utente'!$R$2:$R$492,0)),"")</f>
        <v/>
      </c>
      <c r="D400" s="23" t="str">
        <f>IFERROR(INDEX('Output Utente'!$C$2:$C$492,MATCH(397,'Output Utente'!$R$2:$R$492,0)),"")</f>
        <v/>
      </c>
      <c r="E400" s="23" t="str">
        <f>IFERROR(INDEX('Input Giocatori 2026_27'!$D$3:$D$493,MATCH($B400,'Input Giocatori 2026_27'!$A$3:$A$493,0)),"")</f>
        <v/>
      </c>
      <c r="F400" s="24" t="str">
        <f>IFERROR(INDEX('Output Utente'!$N$2:$N$492,MATCH(397,'Output Utente'!$R$2:$R$492,0)),"")</f>
        <v/>
      </c>
      <c r="G400" s="23" t="str">
        <f>IFERROR(INDEX('Output Utente'!$O$2:$O$492,MATCH(397,'Output Utente'!$R$2:$R$492,0)),"")</f>
        <v/>
      </c>
      <c r="H400" s="23" t="str">
        <f>IFERROR(INDEX('Output Utente'!$P$2:$P$492,MATCH(397,'Output Utente'!$R$2:$R$492,0)),"")</f>
        <v/>
      </c>
      <c r="I400" s="24" t="str">
        <f>IFERROR(INDEX('Output Utente'!$F$2:$F$492,MATCH(397,'Output Utente'!$R$2:$R$492,0)),"")</f>
        <v/>
      </c>
      <c r="J400" s="24" t="str">
        <f>IFERROR(INDEX('Output Utente'!$G$2:$G$492,MATCH(397,'Output Utente'!$R$2:$R$492,0)),"")</f>
        <v/>
      </c>
      <c r="K400" s="24" t="str">
        <f>IFERROR(INDEX('Output Utente'!$H$2:$H$492,MATCH(397,'Output Utente'!$R$2:$R$492,0)),"")</f>
        <v/>
      </c>
      <c r="L400" s="23" t="str">
        <f>IFERROR(INDEX('Output Utente'!$E$2:$E$492,MATCH(397,'Output Utente'!$R$2:$R$492,0)),"")</f>
        <v/>
      </c>
      <c r="V400" t="str">
        <f>IFERROR(INDEX('Output Utente'!$M$2:$M$492,MATCH(397,'Output Utente'!$R$2:$R$492,0)),"")</f>
        <v/>
      </c>
      <c r="W400" t="str">
        <f t="shared" si="6"/>
        <v/>
      </c>
      <c r="X400" t="str">
        <f>IFERROR(INDEX('Output Utente'!$AF$2:$AF$492,MATCH(397,'Output Utente'!$R$2:$R$492,0)),"")</f>
        <v/>
      </c>
    </row>
    <row r="401" spans="1:24" ht="15" customHeight="1" x14ac:dyDescent="0.25">
      <c r="A401" s="26">
        <v>398</v>
      </c>
      <c r="B401" s="23" t="str">
        <f>IFERROR(INDEX('Output Utente'!$A$2:$A$492,MATCH(398,'Output Utente'!$R$2:$R$492,0)),"")</f>
        <v/>
      </c>
      <c r="C401" s="23" t="str">
        <f>IFERROR(INDEX('Output Utente'!$B$2:$B$492,MATCH(398,'Output Utente'!$R$2:$R$492,0)),"")</f>
        <v/>
      </c>
      <c r="D401" s="23" t="str">
        <f>IFERROR(INDEX('Output Utente'!$C$2:$C$492,MATCH(398,'Output Utente'!$R$2:$R$492,0)),"")</f>
        <v/>
      </c>
      <c r="E401" s="23" t="str">
        <f>IFERROR(INDEX('Input Giocatori 2026_27'!$D$3:$D$493,MATCH($B401,'Input Giocatori 2026_27'!$A$3:$A$493,0)),"")</f>
        <v/>
      </c>
      <c r="F401" s="24" t="str">
        <f>IFERROR(INDEX('Output Utente'!$N$2:$N$492,MATCH(398,'Output Utente'!$R$2:$R$492,0)),"")</f>
        <v/>
      </c>
      <c r="G401" s="23" t="str">
        <f>IFERROR(INDEX('Output Utente'!$O$2:$O$492,MATCH(398,'Output Utente'!$R$2:$R$492,0)),"")</f>
        <v/>
      </c>
      <c r="H401" s="23" t="str">
        <f>IFERROR(INDEX('Output Utente'!$P$2:$P$492,MATCH(398,'Output Utente'!$R$2:$R$492,0)),"")</f>
        <v/>
      </c>
      <c r="I401" s="24" t="str">
        <f>IFERROR(INDEX('Output Utente'!$F$2:$F$492,MATCH(398,'Output Utente'!$R$2:$R$492,0)),"")</f>
        <v/>
      </c>
      <c r="J401" s="24" t="str">
        <f>IFERROR(INDEX('Output Utente'!$G$2:$G$492,MATCH(398,'Output Utente'!$R$2:$R$492,0)),"")</f>
        <v/>
      </c>
      <c r="K401" s="24" t="str">
        <f>IFERROR(INDEX('Output Utente'!$H$2:$H$492,MATCH(398,'Output Utente'!$R$2:$R$492,0)),"")</f>
        <v/>
      </c>
      <c r="L401" s="23" t="str">
        <f>IFERROR(INDEX('Output Utente'!$E$2:$E$492,MATCH(398,'Output Utente'!$R$2:$R$492,0)),"")</f>
        <v/>
      </c>
      <c r="V401" t="str">
        <f>IFERROR(INDEX('Output Utente'!$M$2:$M$492,MATCH(398,'Output Utente'!$R$2:$R$492,0)),"")</f>
        <v/>
      </c>
      <c r="W401" t="str">
        <f t="shared" si="6"/>
        <v/>
      </c>
      <c r="X401" t="str">
        <f>IFERROR(INDEX('Output Utente'!$AF$2:$AF$492,MATCH(398,'Output Utente'!$R$2:$R$492,0)),"")</f>
        <v/>
      </c>
    </row>
    <row r="402" spans="1:24" ht="15" customHeight="1" x14ac:dyDescent="0.25">
      <c r="A402" s="26">
        <v>399</v>
      </c>
      <c r="B402" s="23" t="str">
        <f>IFERROR(INDEX('Output Utente'!$A$2:$A$492,MATCH(399,'Output Utente'!$R$2:$R$492,0)),"")</f>
        <v/>
      </c>
      <c r="C402" s="23" t="str">
        <f>IFERROR(INDEX('Output Utente'!$B$2:$B$492,MATCH(399,'Output Utente'!$R$2:$R$492,0)),"")</f>
        <v/>
      </c>
      <c r="D402" s="23" t="str">
        <f>IFERROR(INDEX('Output Utente'!$C$2:$C$492,MATCH(399,'Output Utente'!$R$2:$R$492,0)),"")</f>
        <v/>
      </c>
      <c r="E402" s="23" t="str">
        <f>IFERROR(INDEX('Input Giocatori 2026_27'!$D$3:$D$493,MATCH($B402,'Input Giocatori 2026_27'!$A$3:$A$493,0)),"")</f>
        <v/>
      </c>
      <c r="F402" s="24" t="str">
        <f>IFERROR(INDEX('Output Utente'!$N$2:$N$492,MATCH(399,'Output Utente'!$R$2:$R$492,0)),"")</f>
        <v/>
      </c>
      <c r="G402" s="23" t="str">
        <f>IFERROR(INDEX('Output Utente'!$O$2:$O$492,MATCH(399,'Output Utente'!$R$2:$R$492,0)),"")</f>
        <v/>
      </c>
      <c r="H402" s="23" t="str">
        <f>IFERROR(INDEX('Output Utente'!$P$2:$P$492,MATCH(399,'Output Utente'!$R$2:$R$492,0)),"")</f>
        <v/>
      </c>
      <c r="I402" s="24" t="str">
        <f>IFERROR(INDEX('Output Utente'!$F$2:$F$492,MATCH(399,'Output Utente'!$R$2:$R$492,0)),"")</f>
        <v/>
      </c>
      <c r="J402" s="24" t="str">
        <f>IFERROR(INDEX('Output Utente'!$G$2:$G$492,MATCH(399,'Output Utente'!$R$2:$R$492,0)),"")</f>
        <v/>
      </c>
      <c r="K402" s="24" t="str">
        <f>IFERROR(INDEX('Output Utente'!$H$2:$H$492,MATCH(399,'Output Utente'!$R$2:$R$492,0)),"")</f>
        <v/>
      </c>
      <c r="L402" s="23" t="str">
        <f>IFERROR(INDEX('Output Utente'!$E$2:$E$492,MATCH(399,'Output Utente'!$R$2:$R$492,0)),"")</f>
        <v/>
      </c>
      <c r="V402" t="str">
        <f>IFERROR(INDEX('Output Utente'!$M$2:$M$492,MATCH(399,'Output Utente'!$R$2:$R$492,0)),"")</f>
        <v/>
      </c>
      <c r="W402" t="str">
        <f t="shared" si="6"/>
        <v/>
      </c>
      <c r="X402" t="str">
        <f>IFERROR(INDEX('Output Utente'!$AF$2:$AF$492,MATCH(399,'Output Utente'!$R$2:$R$492,0)),"")</f>
        <v/>
      </c>
    </row>
    <row r="403" spans="1:24" ht="15" customHeight="1" x14ac:dyDescent="0.25">
      <c r="A403" s="26">
        <v>400</v>
      </c>
      <c r="B403" s="23" t="str">
        <f>IFERROR(INDEX('Output Utente'!$A$2:$A$492,MATCH(400,'Output Utente'!$R$2:$R$492,0)),"")</f>
        <v/>
      </c>
      <c r="C403" s="23" t="str">
        <f>IFERROR(INDEX('Output Utente'!$B$2:$B$492,MATCH(400,'Output Utente'!$R$2:$R$492,0)),"")</f>
        <v/>
      </c>
      <c r="D403" s="23" t="str">
        <f>IFERROR(INDEX('Output Utente'!$C$2:$C$492,MATCH(400,'Output Utente'!$R$2:$R$492,0)),"")</f>
        <v/>
      </c>
      <c r="E403" s="23" t="str">
        <f>IFERROR(INDEX('Input Giocatori 2026_27'!$D$3:$D$493,MATCH($B403,'Input Giocatori 2026_27'!$A$3:$A$493,0)),"")</f>
        <v/>
      </c>
      <c r="F403" s="24" t="str">
        <f>IFERROR(INDEX('Output Utente'!$N$2:$N$492,MATCH(400,'Output Utente'!$R$2:$R$492,0)),"")</f>
        <v/>
      </c>
      <c r="G403" s="23" t="str">
        <f>IFERROR(INDEX('Output Utente'!$O$2:$O$492,MATCH(400,'Output Utente'!$R$2:$R$492,0)),"")</f>
        <v/>
      </c>
      <c r="H403" s="23" t="str">
        <f>IFERROR(INDEX('Output Utente'!$P$2:$P$492,MATCH(400,'Output Utente'!$R$2:$R$492,0)),"")</f>
        <v/>
      </c>
      <c r="I403" s="24" t="str">
        <f>IFERROR(INDEX('Output Utente'!$F$2:$F$492,MATCH(400,'Output Utente'!$R$2:$R$492,0)),"")</f>
        <v/>
      </c>
      <c r="J403" s="24" t="str">
        <f>IFERROR(INDEX('Output Utente'!$G$2:$G$492,MATCH(400,'Output Utente'!$R$2:$R$492,0)),"")</f>
        <v/>
      </c>
      <c r="K403" s="24" t="str">
        <f>IFERROR(INDEX('Output Utente'!$H$2:$H$492,MATCH(400,'Output Utente'!$R$2:$R$492,0)),"")</f>
        <v/>
      </c>
      <c r="L403" s="23" t="str">
        <f>IFERROR(INDEX('Output Utente'!$E$2:$E$492,MATCH(400,'Output Utente'!$R$2:$R$492,0)),"")</f>
        <v/>
      </c>
      <c r="V403" t="str">
        <f>IFERROR(INDEX('Output Utente'!$M$2:$M$492,MATCH(400,'Output Utente'!$R$2:$R$492,0)),"")</f>
        <v/>
      </c>
      <c r="W403" t="str">
        <f t="shared" si="6"/>
        <v/>
      </c>
      <c r="X403" t="str">
        <f>IFERROR(INDEX('Output Utente'!$AF$2:$AF$492,MATCH(400,'Output Utente'!$R$2:$R$492,0)),"")</f>
        <v/>
      </c>
    </row>
    <row r="404" spans="1:24" ht="15" customHeight="1" x14ac:dyDescent="0.25">
      <c r="A404" s="26">
        <v>401</v>
      </c>
      <c r="B404" s="23" t="str">
        <f>IFERROR(INDEX('Output Utente'!$A$2:$A$492,MATCH(401,'Output Utente'!$R$2:$R$492,0)),"")</f>
        <v/>
      </c>
      <c r="C404" s="23" t="str">
        <f>IFERROR(INDEX('Output Utente'!$B$2:$B$492,MATCH(401,'Output Utente'!$R$2:$R$492,0)),"")</f>
        <v/>
      </c>
      <c r="D404" s="23" t="str">
        <f>IFERROR(INDEX('Output Utente'!$C$2:$C$492,MATCH(401,'Output Utente'!$R$2:$R$492,0)),"")</f>
        <v/>
      </c>
      <c r="E404" s="23" t="str">
        <f>IFERROR(INDEX('Input Giocatori 2026_27'!$D$3:$D$493,MATCH($B404,'Input Giocatori 2026_27'!$A$3:$A$493,0)),"")</f>
        <v/>
      </c>
      <c r="F404" s="24" t="str">
        <f>IFERROR(INDEX('Output Utente'!$N$2:$N$492,MATCH(401,'Output Utente'!$R$2:$R$492,0)),"")</f>
        <v/>
      </c>
      <c r="G404" s="23" t="str">
        <f>IFERROR(INDEX('Output Utente'!$O$2:$O$492,MATCH(401,'Output Utente'!$R$2:$R$492,0)),"")</f>
        <v/>
      </c>
      <c r="H404" s="23" t="str">
        <f>IFERROR(INDEX('Output Utente'!$P$2:$P$492,MATCH(401,'Output Utente'!$R$2:$R$492,0)),"")</f>
        <v/>
      </c>
      <c r="I404" s="24" t="str">
        <f>IFERROR(INDEX('Output Utente'!$F$2:$F$492,MATCH(401,'Output Utente'!$R$2:$R$492,0)),"")</f>
        <v/>
      </c>
      <c r="J404" s="24" t="str">
        <f>IFERROR(INDEX('Output Utente'!$G$2:$G$492,MATCH(401,'Output Utente'!$R$2:$R$492,0)),"")</f>
        <v/>
      </c>
      <c r="K404" s="24" t="str">
        <f>IFERROR(INDEX('Output Utente'!$H$2:$H$492,MATCH(401,'Output Utente'!$R$2:$R$492,0)),"")</f>
        <v/>
      </c>
      <c r="L404" s="23" t="str">
        <f>IFERROR(INDEX('Output Utente'!$E$2:$E$492,MATCH(401,'Output Utente'!$R$2:$R$492,0)),"")</f>
        <v/>
      </c>
      <c r="V404" t="str">
        <f>IFERROR(INDEX('Output Utente'!$M$2:$M$492,MATCH(401,'Output Utente'!$R$2:$R$492,0)),"")</f>
        <v/>
      </c>
      <c r="W404" t="str">
        <f t="shared" si="6"/>
        <v/>
      </c>
      <c r="X404" t="str">
        <f>IFERROR(INDEX('Output Utente'!$AF$2:$AF$492,MATCH(401,'Output Utente'!$R$2:$R$492,0)),"")</f>
        <v/>
      </c>
    </row>
    <row r="405" spans="1:24" ht="15" customHeight="1" x14ac:dyDescent="0.25">
      <c r="A405" s="26">
        <v>402</v>
      </c>
      <c r="B405" s="23" t="str">
        <f>IFERROR(INDEX('Output Utente'!$A$2:$A$492,MATCH(402,'Output Utente'!$R$2:$R$492,0)),"")</f>
        <v/>
      </c>
      <c r="C405" s="23" t="str">
        <f>IFERROR(INDEX('Output Utente'!$B$2:$B$492,MATCH(402,'Output Utente'!$R$2:$R$492,0)),"")</f>
        <v/>
      </c>
      <c r="D405" s="23" t="str">
        <f>IFERROR(INDEX('Output Utente'!$C$2:$C$492,MATCH(402,'Output Utente'!$R$2:$R$492,0)),"")</f>
        <v/>
      </c>
      <c r="E405" s="23" t="str">
        <f>IFERROR(INDEX('Input Giocatori 2026_27'!$D$3:$D$493,MATCH($B405,'Input Giocatori 2026_27'!$A$3:$A$493,0)),"")</f>
        <v/>
      </c>
      <c r="F405" s="24" t="str">
        <f>IFERROR(INDEX('Output Utente'!$N$2:$N$492,MATCH(402,'Output Utente'!$R$2:$R$492,0)),"")</f>
        <v/>
      </c>
      <c r="G405" s="23" t="str">
        <f>IFERROR(INDEX('Output Utente'!$O$2:$O$492,MATCH(402,'Output Utente'!$R$2:$R$492,0)),"")</f>
        <v/>
      </c>
      <c r="H405" s="23" t="str">
        <f>IFERROR(INDEX('Output Utente'!$P$2:$P$492,MATCH(402,'Output Utente'!$R$2:$R$492,0)),"")</f>
        <v/>
      </c>
      <c r="I405" s="24" t="str">
        <f>IFERROR(INDEX('Output Utente'!$F$2:$F$492,MATCH(402,'Output Utente'!$R$2:$R$492,0)),"")</f>
        <v/>
      </c>
      <c r="J405" s="24" t="str">
        <f>IFERROR(INDEX('Output Utente'!$G$2:$G$492,MATCH(402,'Output Utente'!$R$2:$R$492,0)),"")</f>
        <v/>
      </c>
      <c r="K405" s="24" t="str">
        <f>IFERROR(INDEX('Output Utente'!$H$2:$H$492,MATCH(402,'Output Utente'!$R$2:$R$492,0)),"")</f>
        <v/>
      </c>
      <c r="L405" s="23" t="str">
        <f>IFERROR(INDEX('Output Utente'!$E$2:$E$492,MATCH(402,'Output Utente'!$R$2:$R$492,0)),"")</f>
        <v/>
      </c>
      <c r="V405" t="str">
        <f>IFERROR(INDEX('Output Utente'!$M$2:$M$492,MATCH(402,'Output Utente'!$R$2:$R$492,0)),"")</f>
        <v/>
      </c>
      <c r="W405" t="str">
        <f t="shared" si="6"/>
        <v/>
      </c>
      <c r="X405" t="str">
        <f>IFERROR(INDEX('Output Utente'!$AF$2:$AF$492,MATCH(402,'Output Utente'!$R$2:$R$492,0)),"")</f>
        <v/>
      </c>
    </row>
    <row r="406" spans="1:24" ht="15" customHeight="1" x14ac:dyDescent="0.25">
      <c r="A406" s="26">
        <v>403</v>
      </c>
      <c r="B406" s="23" t="str">
        <f>IFERROR(INDEX('Output Utente'!$A$2:$A$492,MATCH(403,'Output Utente'!$R$2:$R$492,0)),"")</f>
        <v/>
      </c>
      <c r="C406" s="23" t="str">
        <f>IFERROR(INDEX('Output Utente'!$B$2:$B$492,MATCH(403,'Output Utente'!$R$2:$R$492,0)),"")</f>
        <v/>
      </c>
      <c r="D406" s="23" t="str">
        <f>IFERROR(INDEX('Output Utente'!$C$2:$C$492,MATCH(403,'Output Utente'!$R$2:$R$492,0)),"")</f>
        <v/>
      </c>
      <c r="E406" s="23" t="str">
        <f>IFERROR(INDEX('Input Giocatori 2026_27'!$D$3:$D$493,MATCH($B406,'Input Giocatori 2026_27'!$A$3:$A$493,0)),"")</f>
        <v/>
      </c>
      <c r="F406" s="24" t="str">
        <f>IFERROR(INDEX('Output Utente'!$N$2:$N$492,MATCH(403,'Output Utente'!$R$2:$R$492,0)),"")</f>
        <v/>
      </c>
      <c r="G406" s="23" t="str">
        <f>IFERROR(INDEX('Output Utente'!$O$2:$O$492,MATCH(403,'Output Utente'!$R$2:$R$492,0)),"")</f>
        <v/>
      </c>
      <c r="H406" s="23" t="str">
        <f>IFERROR(INDEX('Output Utente'!$P$2:$P$492,MATCH(403,'Output Utente'!$R$2:$R$492,0)),"")</f>
        <v/>
      </c>
      <c r="I406" s="24" t="str">
        <f>IFERROR(INDEX('Output Utente'!$F$2:$F$492,MATCH(403,'Output Utente'!$R$2:$R$492,0)),"")</f>
        <v/>
      </c>
      <c r="J406" s="24" t="str">
        <f>IFERROR(INDEX('Output Utente'!$G$2:$G$492,MATCH(403,'Output Utente'!$R$2:$R$492,0)),"")</f>
        <v/>
      </c>
      <c r="K406" s="24" t="str">
        <f>IFERROR(INDEX('Output Utente'!$H$2:$H$492,MATCH(403,'Output Utente'!$R$2:$R$492,0)),"")</f>
        <v/>
      </c>
      <c r="L406" s="23" t="str">
        <f>IFERROR(INDEX('Output Utente'!$E$2:$E$492,MATCH(403,'Output Utente'!$R$2:$R$492,0)),"")</f>
        <v/>
      </c>
      <c r="V406" t="str">
        <f>IFERROR(INDEX('Output Utente'!$M$2:$M$492,MATCH(403,'Output Utente'!$R$2:$R$492,0)),"")</f>
        <v/>
      </c>
      <c r="W406" t="str">
        <f t="shared" si="6"/>
        <v/>
      </c>
      <c r="X406" t="str">
        <f>IFERROR(INDEX('Output Utente'!$AF$2:$AF$492,MATCH(403,'Output Utente'!$R$2:$R$492,0)),"")</f>
        <v/>
      </c>
    </row>
    <row r="407" spans="1:24" ht="15" customHeight="1" x14ac:dyDescent="0.25">
      <c r="A407" s="26">
        <v>404</v>
      </c>
      <c r="B407" s="23" t="str">
        <f>IFERROR(INDEX('Output Utente'!$A$2:$A$492,MATCH(404,'Output Utente'!$R$2:$R$492,0)),"")</f>
        <v/>
      </c>
      <c r="C407" s="23" t="str">
        <f>IFERROR(INDEX('Output Utente'!$B$2:$B$492,MATCH(404,'Output Utente'!$R$2:$R$492,0)),"")</f>
        <v/>
      </c>
      <c r="D407" s="23" t="str">
        <f>IFERROR(INDEX('Output Utente'!$C$2:$C$492,MATCH(404,'Output Utente'!$R$2:$R$492,0)),"")</f>
        <v/>
      </c>
      <c r="E407" s="23" t="str">
        <f>IFERROR(INDEX('Input Giocatori 2026_27'!$D$3:$D$493,MATCH($B407,'Input Giocatori 2026_27'!$A$3:$A$493,0)),"")</f>
        <v/>
      </c>
      <c r="F407" s="24" t="str">
        <f>IFERROR(INDEX('Output Utente'!$N$2:$N$492,MATCH(404,'Output Utente'!$R$2:$R$492,0)),"")</f>
        <v/>
      </c>
      <c r="G407" s="23" t="str">
        <f>IFERROR(INDEX('Output Utente'!$O$2:$O$492,MATCH(404,'Output Utente'!$R$2:$R$492,0)),"")</f>
        <v/>
      </c>
      <c r="H407" s="23" t="str">
        <f>IFERROR(INDEX('Output Utente'!$P$2:$P$492,MATCH(404,'Output Utente'!$R$2:$R$492,0)),"")</f>
        <v/>
      </c>
      <c r="I407" s="24" t="str">
        <f>IFERROR(INDEX('Output Utente'!$F$2:$F$492,MATCH(404,'Output Utente'!$R$2:$R$492,0)),"")</f>
        <v/>
      </c>
      <c r="J407" s="24" t="str">
        <f>IFERROR(INDEX('Output Utente'!$G$2:$G$492,MATCH(404,'Output Utente'!$R$2:$R$492,0)),"")</f>
        <v/>
      </c>
      <c r="K407" s="24" t="str">
        <f>IFERROR(INDEX('Output Utente'!$H$2:$H$492,MATCH(404,'Output Utente'!$R$2:$R$492,0)),"")</f>
        <v/>
      </c>
      <c r="L407" s="23" t="str">
        <f>IFERROR(INDEX('Output Utente'!$E$2:$E$492,MATCH(404,'Output Utente'!$R$2:$R$492,0)),"")</f>
        <v/>
      </c>
      <c r="V407" t="str">
        <f>IFERROR(INDEX('Output Utente'!$M$2:$M$492,MATCH(404,'Output Utente'!$R$2:$R$492,0)),"")</f>
        <v/>
      </c>
      <c r="W407" t="str">
        <f t="shared" si="6"/>
        <v/>
      </c>
      <c r="X407" t="str">
        <f>IFERROR(INDEX('Output Utente'!$AF$2:$AF$492,MATCH(404,'Output Utente'!$R$2:$R$492,0)),"")</f>
        <v/>
      </c>
    </row>
    <row r="408" spans="1:24" ht="15" customHeight="1" x14ac:dyDescent="0.25">
      <c r="A408" s="26">
        <v>405</v>
      </c>
      <c r="B408" s="23" t="str">
        <f>IFERROR(INDEX('Output Utente'!$A$2:$A$492,MATCH(405,'Output Utente'!$R$2:$R$492,0)),"")</f>
        <v/>
      </c>
      <c r="C408" s="23" t="str">
        <f>IFERROR(INDEX('Output Utente'!$B$2:$B$492,MATCH(405,'Output Utente'!$R$2:$R$492,0)),"")</f>
        <v/>
      </c>
      <c r="D408" s="23" t="str">
        <f>IFERROR(INDEX('Output Utente'!$C$2:$C$492,MATCH(405,'Output Utente'!$R$2:$R$492,0)),"")</f>
        <v/>
      </c>
      <c r="E408" s="23" t="str">
        <f>IFERROR(INDEX('Input Giocatori 2026_27'!$D$3:$D$493,MATCH($B408,'Input Giocatori 2026_27'!$A$3:$A$493,0)),"")</f>
        <v/>
      </c>
      <c r="F408" s="24" t="str">
        <f>IFERROR(INDEX('Output Utente'!$N$2:$N$492,MATCH(405,'Output Utente'!$R$2:$R$492,0)),"")</f>
        <v/>
      </c>
      <c r="G408" s="23" t="str">
        <f>IFERROR(INDEX('Output Utente'!$O$2:$O$492,MATCH(405,'Output Utente'!$R$2:$R$492,0)),"")</f>
        <v/>
      </c>
      <c r="H408" s="23" t="str">
        <f>IFERROR(INDEX('Output Utente'!$P$2:$P$492,MATCH(405,'Output Utente'!$R$2:$R$492,0)),"")</f>
        <v/>
      </c>
      <c r="I408" s="24" t="str">
        <f>IFERROR(INDEX('Output Utente'!$F$2:$F$492,MATCH(405,'Output Utente'!$R$2:$R$492,0)),"")</f>
        <v/>
      </c>
      <c r="J408" s="24" t="str">
        <f>IFERROR(INDEX('Output Utente'!$G$2:$G$492,MATCH(405,'Output Utente'!$R$2:$R$492,0)),"")</f>
        <v/>
      </c>
      <c r="K408" s="24" t="str">
        <f>IFERROR(INDEX('Output Utente'!$H$2:$H$492,MATCH(405,'Output Utente'!$R$2:$R$492,0)),"")</f>
        <v/>
      </c>
      <c r="L408" s="23" t="str">
        <f>IFERROR(INDEX('Output Utente'!$E$2:$E$492,MATCH(405,'Output Utente'!$R$2:$R$492,0)),"")</f>
        <v/>
      </c>
      <c r="V408" t="str">
        <f>IFERROR(INDEX('Output Utente'!$M$2:$M$492,MATCH(405,'Output Utente'!$R$2:$R$492,0)),"")</f>
        <v/>
      </c>
      <c r="W408" t="str">
        <f t="shared" si="6"/>
        <v/>
      </c>
      <c r="X408" t="str">
        <f>IFERROR(INDEX('Output Utente'!$AF$2:$AF$492,MATCH(405,'Output Utente'!$R$2:$R$492,0)),"")</f>
        <v/>
      </c>
    </row>
    <row r="409" spans="1:24" ht="15" customHeight="1" x14ac:dyDescent="0.25">
      <c r="A409" s="26">
        <v>406</v>
      </c>
      <c r="B409" s="23" t="str">
        <f>IFERROR(INDEX('Output Utente'!$A$2:$A$492,MATCH(406,'Output Utente'!$R$2:$R$492,0)),"")</f>
        <v/>
      </c>
      <c r="C409" s="23" t="str">
        <f>IFERROR(INDEX('Output Utente'!$B$2:$B$492,MATCH(406,'Output Utente'!$R$2:$R$492,0)),"")</f>
        <v/>
      </c>
      <c r="D409" s="23" t="str">
        <f>IFERROR(INDEX('Output Utente'!$C$2:$C$492,MATCH(406,'Output Utente'!$R$2:$R$492,0)),"")</f>
        <v/>
      </c>
      <c r="E409" s="23" t="str">
        <f>IFERROR(INDEX('Input Giocatori 2026_27'!$D$3:$D$493,MATCH($B409,'Input Giocatori 2026_27'!$A$3:$A$493,0)),"")</f>
        <v/>
      </c>
      <c r="F409" s="24" t="str">
        <f>IFERROR(INDEX('Output Utente'!$N$2:$N$492,MATCH(406,'Output Utente'!$R$2:$R$492,0)),"")</f>
        <v/>
      </c>
      <c r="G409" s="23" t="str">
        <f>IFERROR(INDEX('Output Utente'!$O$2:$O$492,MATCH(406,'Output Utente'!$R$2:$R$492,0)),"")</f>
        <v/>
      </c>
      <c r="H409" s="23" t="str">
        <f>IFERROR(INDEX('Output Utente'!$P$2:$P$492,MATCH(406,'Output Utente'!$R$2:$R$492,0)),"")</f>
        <v/>
      </c>
      <c r="I409" s="24" t="str">
        <f>IFERROR(INDEX('Output Utente'!$F$2:$F$492,MATCH(406,'Output Utente'!$R$2:$R$492,0)),"")</f>
        <v/>
      </c>
      <c r="J409" s="24" t="str">
        <f>IFERROR(INDEX('Output Utente'!$G$2:$G$492,MATCH(406,'Output Utente'!$R$2:$R$492,0)),"")</f>
        <v/>
      </c>
      <c r="K409" s="24" t="str">
        <f>IFERROR(INDEX('Output Utente'!$H$2:$H$492,MATCH(406,'Output Utente'!$R$2:$R$492,0)),"")</f>
        <v/>
      </c>
      <c r="L409" s="23" t="str">
        <f>IFERROR(INDEX('Output Utente'!$E$2:$E$492,MATCH(406,'Output Utente'!$R$2:$R$492,0)),"")</f>
        <v/>
      </c>
      <c r="V409" t="str">
        <f>IFERROR(INDEX('Output Utente'!$M$2:$M$492,MATCH(406,'Output Utente'!$R$2:$R$492,0)),"")</f>
        <v/>
      </c>
      <c r="W409" t="str">
        <f t="shared" si="6"/>
        <v/>
      </c>
      <c r="X409" t="str">
        <f>IFERROR(INDEX('Output Utente'!$AF$2:$AF$492,MATCH(406,'Output Utente'!$R$2:$R$492,0)),"")</f>
        <v/>
      </c>
    </row>
    <row r="410" spans="1:24" ht="15" customHeight="1" x14ac:dyDescent="0.25">
      <c r="A410" s="26">
        <v>407</v>
      </c>
      <c r="B410" s="23" t="str">
        <f>IFERROR(INDEX('Output Utente'!$A$2:$A$492,MATCH(407,'Output Utente'!$R$2:$R$492,0)),"")</f>
        <v/>
      </c>
      <c r="C410" s="23" t="str">
        <f>IFERROR(INDEX('Output Utente'!$B$2:$B$492,MATCH(407,'Output Utente'!$R$2:$R$492,0)),"")</f>
        <v/>
      </c>
      <c r="D410" s="23" t="str">
        <f>IFERROR(INDEX('Output Utente'!$C$2:$C$492,MATCH(407,'Output Utente'!$R$2:$R$492,0)),"")</f>
        <v/>
      </c>
      <c r="E410" s="23" t="str">
        <f>IFERROR(INDEX('Input Giocatori 2026_27'!$D$3:$D$493,MATCH($B410,'Input Giocatori 2026_27'!$A$3:$A$493,0)),"")</f>
        <v/>
      </c>
      <c r="F410" s="24" t="str">
        <f>IFERROR(INDEX('Output Utente'!$N$2:$N$492,MATCH(407,'Output Utente'!$R$2:$R$492,0)),"")</f>
        <v/>
      </c>
      <c r="G410" s="23" t="str">
        <f>IFERROR(INDEX('Output Utente'!$O$2:$O$492,MATCH(407,'Output Utente'!$R$2:$R$492,0)),"")</f>
        <v/>
      </c>
      <c r="H410" s="23" t="str">
        <f>IFERROR(INDEX('Output Utente'!$P$2:$P$492,MATCH(407,'Output Utente'!$R$2:$R$492,0)),"")</f>
        <v/>
      </c>
      <c r="I410" s="24" t="str">
        <f>IFERROR(INDEX('Output Utente'!$F$2:$F$492,MATCH(407,'Output Utente'!$R$2:$R$492,0)),"")</f>
        <v/>
      </c>
      <c r="J410" s="24" t="str">
        <f>IFERROR(INDEX('Output Utente'!$G$2:$G$492,MATCH(407,'Output Utente'!$R$2:$R$492,0)),"")</f>
        <v/>
      </c>
      <c r="K410" s="24" t="str">
        <f>IFERROR(INDEX('Output Utente'!$H$2:$H$492,MATCH(407,'Output Utente'!$R$2:$R$492,0)),"")</f>
        <v/>
      </c>
      <c r="L410" s="23" t="str">
        <f>IFERROR(INDEX('Output Utente'!$E$2:$E$492,MATCH(407,'Output Utente'!$R$2:$R$492,0)),"")</f>
        <v/>
      </c>
      <c r="V410" t="str">
        <f>IFERROR(INDEX('Output Utente'!$M$2:$M$492,MATCH(407,'Output Utente'!$R$2:$R$492,0)),"")</f>
        <v/>
      </c>
      <c r="W410" t="str">
        <f t="shared" si="6"/>
        <v/>
      </c>
      <c r="X410" t="str">
        <f>IFERROR(INDEX('Output Utente'!$AF$2:$AF$492,MATCH(407,'Output Utente'!$R$2:$R$492,0)),"")</f>
        <v/>
      </c>
    </row>
    <row r="411" spans="1:24" ht="15" customHeight="1" x14ac:dyDescent="0.25">
      <c r="A411" s="26">
        <v>408</v>
      </c>
      <c r="B411" s="23" t="str">
        <f>IFERROR(INDEX('Output Utente'!$A$2:$A$492,MATCH(408,'Output Utente'!$R$2:$R$492,0)),"")</f>
        <v/>
      </c>
      <c r="C411" s="23" t="str">
        <f>IFERROR(INDEX('Output Utente'!$B$2:$B$492,MATCH(408,'Output Utente'!$R$2:$R$492,0)),"")</f>
        <v/>
      </c>
      <c r="D411" s="23" t="str">
        <f>IFERROR(INDEX('Output Utente'!$C$2:$C$492,MATCH(408,'Output Utente'!$R$2:$R$492,0)),"")</f>
        <v/>
      </c>
      <c r="E411" s="23" t="str">
        <f>IFERROR(INDEX('Input Giocatori 2026_27'!$D$3:$D$493,MATCH($B411,'Input Giocatori 2026_27'!$A$3:$A$493,0)),"")</f>
        <v/>
      </c>
      <c r="F411" s="24" t="str">
        <f>IFERROR(INDEX('Output Utente'!$N$2:$N$492,MATCH(408,'Output Utente'!$R$2:$R$492,0)),"")</f>
        <v/>
      </c>
      <c r="G411" s="23" t="str">
        <f>IFERROR(INDEX('Output Utente'!$O$2:$O$492,MATCH(408,'Output Utente'!$R$2:$R$492,0)),"")</f>
        <v/>
      </c>
      <c r="H411" s="23" t="str">
        <f>IFERROR(INDEX('Output Utente'!$P$2:$P$492,MATCH(408,'Output Utente'!$R$2:$R$492,0)),"")</f>
        <v/>
      </c>
      <c r="I411" s="24" t="str">
        <f>IFERROR(INDEX('Output Utente'!$F$2:$F$492,MATCH(408,'Output Utente'!$R$2:$R$492,0)),"")</f>
        <v/>
      </c>
      <c r="J411" s="24" t="str">
        <f>IFERROR(INDEX('Output Utente'!$G$2:$G$492,MATCH(408,'Output Utente'!$R$2:$R$492,0)),"")</f>
        <v/>
      </c>
      <c r="K411" s="24" t="str">
        <f>IFERROR(INDEX('Output Utente'!$H$2:$H$492,MATCH(408,'Output Utente'!$R$2:$R$492,0)),"")</f>
        <v/>
      </c>
      <c r="L411" s="23" t="str">
        <f>IFERROR(INDEX('Output Utente'!$E$2:$E$492,MATCH(408,'Output Utente'!$R$2:$R$492,0)),"")</f>
        <v/>
      </c>
      <c r="V411" t="str">
        <f>IFERROR(INDEX('Output Utente'!$M$2:$M$492,MATCH(408,'Output Utente'!$R$2:$R$492,0)),"")</f>
        <v/>
      </c>
      <c r="W411" t="str">
        <f t="shared" si="6"/>
        <v/>
      </c>
      <c r="X411" t="str">
        <f>IFERROR(INDEX('Output Utente'!$AF$2:$AF$492,MATCH(408,'Output Utente'!$R$2:$R$492,0)),"")</f>
        <v/>
      </c>
    </row>
    <row r="412" spans="1:24" ht="15" customHeight="1" x14ac:dyDescent="0.25">
      <c r="A412" s="26">
        <v>409</v>
      </c>
      <c r="B412" s="23" t="str">
        <f>IFERROR(INDEX('Output Utente'!$A$2:$A$492,MATCH(409,'Output Utente'!$R$2:$R$492,0)),"")</f>
        <v/>
      </c>
      <c r="C412" s="23" t="str">
        <f>IFERROR(INDEX('Output Utente'!$B$2:$B$492,MATCH(409,'Output Utente'!$R$2:$R$492,0)),"")</f>
        <v/>
      </c>
      <c r="D412" s="23" t="str">
        <f>IFERROR(INDEX('Output Utente'!$C$2:$C$492,MATCH(409,'Output Utente'!$R$2:$R$492,0)),"")</f>
        <v/>
      </c>
      <c r="E412" s="23" t="str">
        <f>IFERROR(INDEX('Input Giocatori 2026_27'!$D$3:$D$493,MATCH($B412,'Input Giocatori 2026_27'!$A$3:$A$493,0)),"")</f>
        <v/>
      </c>
      <c r="F412" s="24" t="str">
        <f>IFERROR(INDEX('Output Utente'!$N$2:$N$492,MATCH(409,'Output Utente'!$R$2:$R$492,0)),"")</f>
        <v/>
      </c>
      <c r="G412" s="23" t="str">
        <f>IFERROR(INDEX('Output Utente'!$O$2:$O$492,MATCH(409,'Output Utente'!$R$2:$R$492,0)),"")</f>
        <v/>
      </c>
      <c r="H412" s="23" t="str">
        <f>IFERROR(INDEX('Output Utente'!$P$2:$P$492,MATCH(409,'Output Utente'!$R$2:$R$492,0)),"")</f>
        <v/>
      </c>
      <c r="I412" s="24" t="str">
        <f>IFERROR(INDEX('Output Utente'!$F$2:$F$492,MATCH(409,'Output Utente'!$R$2:$R$492,0)),"")</f>
        <v/>
      </c>
      <c r="J412" s="24" t="str">
        <f>IFERROR(INDEX('Output Utente'!$G$2:$G$492,MATCH(409,'Output Utente'!$R$2:$R$492,0)),"")</f>
        <v/>
      </c>
      <c r="K412" s="24" t="str">
        <f>IFERROR(INDEX('Output Utente'!$H$2:$H$492,MATCH(409,'Output Utente'!$R$2:$R$492,0)),"")</f>
        <v/>
      </c>
      <c r="L412" s="23" t="str">
        <f>IFERROR(INDEX('Output Utente'!$E$2:$E$492,MATCH(409,'Output Utente'!$R$2:$R$492,0)),"")</f>
        <v/>
      </c>
      <c r="V412" t="str">
        <f>IFERROR(INDEX('Output Utente'!$M$2:$M$492,MATCH(409,'Output Utente'!$R$2:$R$492,0)),"")</f>
        <v/>
      </c>
      <c r="W412" t="str">
        <f t="shared" si="6"/>
        <v/>
      </c>
      <c r="X412" t="str">
        <f>IFERROR(INDEX('Output Utente'!$AF$2:$AF$492,MATCH(409,'Output Utente'!$R$2:$R$492,0)),"")</f>
        <v/>
      </c>
    </row>
    <row r="413" spans="1:24" ht="15" customHeight="1" x14ac:dyDescent="0.25">
      <c r="A413" s="26">
        <v>410</v>
      </c>
      <c r="B413" s="23" t="str">
        <f>IFERROR(INDEX('Output Utente'!$A$2:$A$492,MATCH(410,'Output Utente'!$R$2:$R$492,0)),"")</f>
        <v/>
      </c>
      <c r="C413" s="23" t="str">
        <f>IFERROR(INDEX('Output Utente'!$B$2:$B$492,MATCH(410,'Output Utente'!$R$2:$R$492,0)),"")</f>
        <v/>
      </c>
      <c r="D413" s="23" t="str">
        <f>IFERROR(INDEX('Output Utente'!$C$2:$C$492,MATCH(410,'Output Utente'!$R$2:$R$492,0)),"")</f>
        <v/>
      </c>
      <c r="E413" s="23" t="str">
        <f>IFERROR(INDEX('Input Giocatori 2026_27'!$D$3:$D$493,MATCH($B413,'Input Giocatori 2026_27'!$A$3:$A$493,0)),"")</f>
        <v/>
      </c>
      <c r="F413" s="24" t="str">
        <f>IFERROR(INDEX('Output Utente'!$N$2:$N$492,MATCH(410,'Output Utente'!$R$2:$R$492,0)),"")</f>
        <v/>
      </c>
      <c r="G413" s="23" t="str">
        <f>IFERROR(INDEX('Output Utente'!$O$2:$O$492,MATCH(410,'Output Utente'!$R$2:$R$492,0)),"")</f>
        <v/>
      </c>
      <c r="H413" s="23" t="str">
        <f>IFERROR(INDEX('Output Utente'!$P$2:$P$492,MATCH(410,'Output Utente'!$R$2:$R$492,0)),"")</f>
        <v/>
      </c>
      <c r="I413" s="24" t="str">
        <f>IFERROR(INDEX('Output Utente'!$F$2:$F$492,MATCH(410,'Output Utente'!$R$2:$R$492,0)),"")</f>
        <v/>
      </c>
      <c r="J413" s="24" t="str">
        <f>IFERROR(INDEX('Output Utente'!$G$2:$G$492,MATCH(410,'Output Utente'!$R$2:$R$492,0)),"")</f>
        <v/>
      </c>
      <c r="K413" s="24" t="str">
        <f>IFERROR(INDEX('Output Utente'!$H$2:$H$492,MATCH(410,'Output Utente'!$R$2:$R$492,0)),"")</f>
        <v/>
      </c>
      <c r="L413" s="23" t="str">
        <f>IFERROR(INDEX('Output Utente'!$E$2:$E$492,MATCH(410,'Output Utente'!$R$2:$R$492,0)),"")</f>
        <v/>
      </c>
      <c r="V413" t="str">
        <f>IFERROR(INDEX('Output Utente'!$M$2:$M$492,MATCH(410,'Output Utente'!$R$2:$R$492,0)),"")</f>
        <v/>
      </c>
      <c r="W413" t="str">
        <f t="shared" si="6"/>
        <v/>
      </c>
      <c r="X413" t="str">
        <f>IFERROR(INDEX('Output Utente'!$AF$2:$AF$492,MATCH(410,'Output Utente'!$R$2:$R$492,0)),"")</f>
        <v/>
      </c>
    </row>
    <row r="414" spans="1:24" ht="15" customHeight="1" x14ac:dyDescent="0.25">
      <c r="A414" s="26">
        <v>411</v>
      </c>
      <c r="B414" s="23" t="str">
        <f>IFERROR(INDEX('Output Utente'!$A$2:$A$492,MATCH(411,'Output Utente'!$R$2:$R$492,0)),"")</f>
        <v/>
      </c>
      <c r="C414" s="23" t="str">
        <f>IFERROR(INDEX('Output Utente'!$B$2:$B$492,MATCH(411,'Output Utente'!$R$2:$R$492,0)),"")</f>
        <v/>
      </c>
      <c r="D414" s="23" t="str">
        <f>IFERROR(INDEX('Output Utente'!$C$2:$C$492,MATCH(411,'Output Utente'!$R$2:$R$492,0)),"")</f>
        <v/>
      </c>
      <c r="E414" s="23" t="str">
        <f>IFERROR(INDEX('Input Giocatori 2026_27'!$D$3:$D$493,MATCH($B414,'Input Giocatori 2026_27'!$A$3:$A$493,0)),"")</f>
        <v/>
      </c>
      <c r="F414" s="24" t="str">
        <f>IFERROR(INDEX('Output Utente'!$N$2:$N$492,MATCH(411,'Output Utente'!$R$2:$R$492,0)),"")</f>
        <v/>
      </c>
      <c r="G414" s="23" t="str">
        <f>IFERROR(INDEX('Output Utente'!$O$2:$O$492,MATCH(411,'Output Utente'!$R$2:$R$492,0)),"")</f>
        <v/>
      </c>
      <c r="H414" s="23" t="str">
        <f>IFERROR(INDEX('Output Utente'!$P$2:$P$492,MATCH(411,'Output Utente'!$R$2:$R$492,0)),"")</f>
        <v/>
      </c>
      <c r="I414" s="24" t="str">
        <f>IFERROR(INDEX('Output Utente'!$F$2:$F$492,MATCH(411,'Output Utente'!$R$2:$R$492,0)),"")</f>
        <v/>
      </c>
      <c r="J414" s="24" t="str">
        <f>IFERROR(INDEX('Output Utente'!$G$2:$G$492,MATCH(411,'Output Utente'!$R$2:$R$492,0)),"")</f>
        <v/>
      </c>
      <c r="K414" s="24" t="str">
        <f>IFERROR(INDEX('Output Utente'!$H$2:$H$492,MATCH(411,'Output Utente'!$R$2:$R$492,0)),"")</f>
        <v/>
      </c>
      <c r="L414" s="23" t="str">
        <f>IFERROR(INDEX('Output Utente'!$E$2:$E$492,MATCH(411,'Output Utente'!$R$2:$R$492,0)),"")</f>
        <v/>
      </c>
      <c r="V414" t="str">
        <f>IFERROR(INDEX('Output Utente'!$M$2:$M$492,MATCH(411,'Output Utente'!$R$2:$R$492,0)),"")</f>
        <v/>
      </c>
      <c r="W414" t="str">
        <f t="shared" si="6"/>
        <v/>
      </c>
      <c r="X414" t="str">
        <f>IFERROR(INDEX('Output Utente'!$AF$2:$AF$492,MATCH(411,'Output Utente'!$R$2:$R$492,0)),"")</f>
        <v/>
      </c>
    </row>
    <row r="415" spans="1:24" ht="15" customHeight="1" x14ac:dyDescent="0.25">
      <c r="A415" s="26">
        <v>412</v>
      </c>
      <c r="B415" s="23" t="str">
        <f>IFERROR(INDEX('Output Utente'!$A$2:$A$492,MATCH(412,'Output Utente'!$R$2:$R$492,0)),"")</f>
        <v/>
      </c>
      <c r="C415" s="23" t="str">
        <f>IFERROR(INDEX('Output Utente'!$B$2:$B$492,MATCH(412,'Output Utente'!$R$2:$R$492,0)),"")</f>
        <v/>
      </c>
      <c r="D415" s="23" t="str">
        <f>IFERROR(INDEX('Output Utente'!$C$2:$C$492,MATCH(412,'Output Utente'!$R$2:$R$492,0)),"")</f>
        <v/>
      </c>
      <c r="E415" s="23" t="str">
        <f>IFERROR(INDEX('Input Giocatori 2026_27'!$D$3:$D$493,MATCH($B415,'Input Giocatori 2026_27'!$A$3:$A$493,0)),"")</f>
        <v/>
      </c>
      <c r="F415" s="24" t="str">
        <f>IFERROR(INDEX('Output Utente'!$N$2:$N$492,MATCH(412,'Output Utente'!$R$2:$R$492,0)),"")</f>
        <v/>
      </c>
      <c r="G415" s="23" t="str">
        <f>IFERROR(INDEX('Output Utente'!$O$2:$O$492,MATCH(412,'Output Utente'!$R$2:$R$492,0)),"")</f>
        <v/>
      </c>
      <c r="H415" s="23" t="str">
        <f>IFERROR(INDEX('Output Utente'!$P$2:$P$492,MATCH(412,'Output Utente'!$R$2:$R$492,0)),"")</f>
        <v/>
      </c>
      <c r="I415" s="24" t="str">
        <f>IFERROR(INDEX('Output Utente'!$F$2:$F$492,MATCH(412,'Output Utente'!$R$2:$R$492,0)),"")</f>
        <v/>
      </c>
      <c r="J415" s="24" t="str">
        <f>IFERROR(INDEX('Output Utente'!$G$2:$G$492,MATCH(412,'Output Utente'!$R$2:$R$492,0)),"")</f>
        <v/>
      </c>
      <c r="K415" s="24" t="str">
        <f>IFERROR(INDEX('Output Utente'!$H$2:$H$492,MATCH(412,'Output Utente'!$R$2:$R$492,0)),"")</f>
        <v/>
      </c>
      <c r="L415" s="23" t="str">
        <f>IFERROR(INDEX('Output Utente'!$E$2:$E$492,MATCH(412,'Output Utente'!$R$2:$R$492,0)),"")</f>
        <v/>
      </c>
      <c r="V415" t="str">
        <f>IFERROR(INDEX('Output Utente'!$M$2:$M$492,MATCH(412,'Output Utente'!$R$2:$R$492,0)),"")</f>
        <v/>
      </c>
      <c r="W415" t="str">
        <f t="shared" si="6"/>
        <v/>
      </c>
      <c r="X415" t="str">
        <f>IFERROR(INDEX('Output Utente'!$AF$2:$AF$492,MATCH(412,'Output Utente'!$R$2:$R$492,0)),"")</f>
        <v/>
      </c>
    </row>
    <row r="416" spans="1:24" ht="15" customHeight="1" x14ac:dyDescent="0.25">
      <c r="A416" s="26">
        <v>413</v>
      </c>
      <c r="B416" s="23" t="str">
        <f>IFERROR(INDEX('Output Utente'!$A$2:$A$492,MATCH(413,'Output Utente'!$R$2:$R$492,0)),"")</f>
        <v/>
      </c>
      <c r="C416" s="23" t="str">
        <f>IFERROR(INDEX('Output Utente'!$B$2:$B$492,MATCH(413,'Output Utente'!$R$2:$R$492,0)),"")</f>
        <v/>
      </c>
      <c r="D416" s="23" t="str">
        <f>IFERROR(INDEX('Output Utente'!$C$2:$C$492,MATCH(413,'Output Utente'!$R$2:$R$492,0)),"")</f>
        <v/>
      </c>
      <c r="E416" s="23" t="str">
        <f>IFERROR(INDEX('Input Giocatori 2026_27'!$D$3:$D$493,MATCH($B416,'Input Giocatori 2026_27'!$A$3:$A$493,0)),"")</f>
        <v/>
      </c>
      <c r="F416" s="24" t="str">
        <f>IFERROR(INDEX('Output Utente'!$N$2:$N$492,MATCH(413,'Output Utente'!$R$2:$R$492,0)),"")</f>
        <v/>
      </c>
      <c r="G416" s="23" t="str">
        <f>IFERROR(INDEX('Output Utente'!$O$2:$O$492,MATCH(413,'Output Utente'!$R$2:$R$492,0)),"")</f>
        <v/>
      </c>
      <c r="H416" s="23" t="str">
        <f>IFERROR(INDEX('Output Utente'!$P$2:$P$492,MATCH(413,'Output Utente'!$R$2:$R$492,0)),"")</f>
        <v/>
      </c>
      <c r="I416" s="24" t="str">
        <f>IFERROR(INDEX('Output Utente'!$F$2:$F$492,MATCH(413,'Output Utente'!$R$2:$R$492,0)),"")</f>
        <v/>
      </c>
      <c r="J416" s="24" t="str">
        <f>IFERROR(INDEX('Output Utente'!$G$2:$G$492,MATCH(413,'Output Utente'!$R$2:$R$492,0)),"")</f>
        <v/>
      </c>
      <c r="K416" s="24" t="str">
        <f>IFERROR(INDEX('Output Utente'!$H$2:$H$492,MATCH(413,'Output Utente'!$R$2:$R$492,0)),"")</f>
        <v/>
      </c>
      <c r="L416" s="23" t="str">
        <f>IFERROR(INDEX('Output Utente'!$E$2:$E$492,MATCH(413,'Output Utente'!$R$2:$R$492,0)),"")</f>
        <v/>
      </c>
      <c r="V416" t="str">
        <f>IFERROR(INDEX('Output Utente'!$M$2:$M$492,MATCH(413,'Output Utente'!$R$2:$R$492,0)),"")</f>
        <v/>
      </c>
      <c r="W416" t="str">
        <f t="shared" si="6"/>
        <v/>
      </c>
      <c r="X416" t="str">
        <f>IFERROR(INDEX('Output Utente'!$AF$2:$AF$492,MATCH(413,'Output Utente'!$R$2:$R$492,0)),"")</f>
        <v/>
      </c>
    </row>
    <row r="417" spans="1:24" ht="15" customHeight="1" x14ac:dyDescent="0.25">
      <c r="A417" s="26">
        <v>414</v>
      </c>
      <c r="B417" s="23" t="str">
        <f>IFERROR(INDEX('Output Utente'!$A$2:$A$492,MATCH(414,'Output Utente'!$R$2:$R$492,0)),"")</f>
        <v/>
      </c>
      <c r="C417" s="23" t="str">
        <f>IFERROR(INDEX('Output Utente'!$B$2:$B$492,MATCH(414,'Output Utente'!$R$2:$R$492,0)),"")</f>
        <v/>
      </c>
      <c r="D417" s="23" t="str">
        <f>IFERROR(INDEX('Output Utente'!$C$2:$C$492,MATCH(414,'Output Utente'!$R$2:$R$492,0)),"")</f>
        <v/>
      </c>
      <c r="E417" s="23" t="str">
        <f>IFERROR(INDEX('Input Giocatori 2026_27'!$D$3:$D$493,MATCH($B417,'Input Giocatori 2026_27'!$A$3:$A$493,0)),"")</f>
        <v/>
      </c>
      <c r="F417" s="24" t="str">
        <f>IFERROR(INDEX('Output Utente'!$N$2:$N$492,MATCH(414,'Output Utente'!$R$2:$R$492,0)),"")</f>
        <v/>
      </c>
      <c r="G417" s="23" t="str">
        <f>IFERROR(INDEX('Output Utente'!$O$2:$O$492,MATCH(414,'Output Utente'!$R$2:$R$492,0)),"")</f>
        <v/>
      </c>
      <c r="H417" s="23" t="str">
        <f>IFERROR(INDEX('Output Utente'!$P$2:$P$492,MATCH(414,'Output Utente'!$R$2:$R$492,0)),"")</f>
        <v/>
      </c>
      <c r="I417" s="24" t="str">
        <f>IFERROR(INDEX('Output Utente'!$F$2:$F$492,MATCH(414,'Output Utente'!$R$2:$R$492,0)),"")</f>
        <v/>
      </c>
      <c r="J417" s="24" t="str">
        <f>IFERROR(INDEX('Output Utente'!$G$2:$G$492,MATCH(414,'Output Utente'!$R$2:$R$492,0)),"")</f>
        <v/>
      </c>
      <c r="K417" s="24" t="str">
        <f>IFERROR(INDEX('Output Utente'!$H$2:$H$492,MATCH(414,'Output Utente'!$R$2:$R$492,0)),"")</f>
        <v/>
      </c>
      <c r="L417" s="23" t="str">
        <f>IFERROR(INDEX('Output Utente'!$E$2:$E$492,MATCH(414,'Output Utente'!$R$2:$R$492,0)),"")</f>
        <v/>
      </c>
      <c r="V417" t="str">
        <f>IFERROR(INDEX('Output Utente'!$M$2:$M$492,MATCH(414,'Output Utente'!$R$2:$R$492,0)),"")</f>
        <v/>
      </c>
      <c r="W417" t="str">
        <f t="shared" si="6"/>
        <v/>
      </c>
      <c r="X417" t="str">
        <f>IFERROR(INDEX('Output Utente'!$AF$2:$AF$492,MATCH(414,'Output Utente'!$R$2:$R$492,0)),"")</f>
        <v/>
      </c>
    </row>
    <row r="418" spans="1:24" ht="15" customHeight="1" x14ac:dyDescent="0.25">
      <c r="A418" s="26">
        <v>415</v>
      </c>
      <c r="B418" s="23" t="str">
        <f>IFERROR(INDEX('Output Utente'!$A$2:$A$492,MATCH(415,'Output Utente'!$R$2:$R$492,0)),"")</f>
        <v/>
      </c>
      <c r="C418" s="23" t="str">
        <f>IFERROR(INDEX('Output Utente'!$B$2:$B$492,MATCH(415,'Output Utente'!$R$2:$R$492,0)),"")</f>
        <v/>
      </c>
      <c r="D418" s="23" t="str">
        <f>IFERROR(INDEX('Output Utente'!$C$2:$C$492,MATCH(415,'Output Utente'!$R$2:$R$492,0)),"")</f>
        <v/>
      </c>
      <c r="E418" s="23" t="str">
        <f>IFERROR(INDEX('Input Giocatori 2026_27'!$D$3:$D$493,MATCH($B418,'Input Giocatori 2026_27'!$A$3:$A$493,0)),"")</f>
        <v/>
      </c>
      <c r="F418" s="24" t="str">
        <f>IFERROR(INDEX('Output Utente'!$N$2:$N$492,MATCH(415,'Output Utente'!$R$2:$R$492,0)),"")</f>
        <v/>
      </c>
      <c r="G418" s="23" t="str">
        <f>IFERROR(INDEX('Output Utente'!$O$2:$O$492,MATCH(415,'Output Utente'!$R$2:$R$492,0)),"")</f>
        <v/>
      </c>
      <c r="H418" s="23" t="str">
        <f>IFERROR(INDEX('Output Utente'!$P$2:$P$492,MATCH(415,'Output Utente'!$R$2:$R$492,0)),"")</f>
        <v/>
      </c>
      <c r="I418" s="24" t="str">
        <f>IFERROR(INDEX('Output Utente'!$F$2:$F$492,MATCH(415,'Output Utente'!$R$2:$R$492,0)),"")</f>
        <v/>
      </c>
      <c r="J418" s="24" t="str">
        <f>IFERROR(INDEX('Output Utente'!$G$2:$G$492,MATCH(415,'Output Utente'!$R$2:$R$492,0)),"")</f>
        <v/>
      </c>
      <c r="K418" s="24" t="str">
        <f>IFERROR(INDEX('Output Utente'!$H$2:$H$492,MATCH(415,'Output Utente'!$R$2:$R$492,0)),"")</f>
        <v/>
      </c>
      <c r="L418" s="23" t="str">
        <f>IFERROR(INDEX('Output Utente'!$E$2:$E$492,MATCH(415,'Output Utente'!$R$2:$R$492,0)),"")</f>
        <v/>
      </c>
      <c r="V418" t="str">
        <f>IFERROR(INDEX('Output Utente'!$M$2:$M$492,MATCH(415,'Output Utente'!$R$2:$R$492,0)),"")</f>
        <v/>
      </c>
      <c r="W418" t="str">
        <f t="shared" si="6"/>
        <v/>
      </c>
      <c r="X418" t="str">
        <f>IFERROR(INDEX('Output Utente'!$AF$2:$AF$492,MATCH(415,'Output Utente'!$R$2:$R$492,0)),"")</f>
        <v/>
      </c>
    </row>
    <row r="419" spans="1:24" ht="15" customHeight="1" x14ac:dyDescent="0.25">
      <c r="A419" s="26">
        <v>416</v>
      </c>
      <c r="B419" s="23" t="str">
        <f>IFERROR(INDEX('Output Utente'!$A$2:$A$492,MATCH(416,'Output Utente'!$R$2:$R$492,0)),"")</f>
        <v/>
      </c>
      <c r="C419" s="23" t="str">
        <f>IFERROR(INDEX('Output Utente'!$B$2:$B$492,MATCH(416,'Output Utente'!$R$2:$R$492,0)),"")</f>
        <v/>
      </c>
      <c r="D419" s="23" t="str">
        <f>IFERROR(INDEX('Output Utente'!$C$2:$C$492,MATCH(416,'Output Utente'!$R$2:$R$492,0)),"")</f>
        <v/>
      </c>
      <c r="E419" s="23" t="str">
        <f>IFERROR(INDEX('Input Giocatori 2026_27'!$D$3:$D$493,MATCH($B419,'Input Giocatori 2026_27'!$A$3:$A$493,0)),"")</f>
        <v/>
      </c>
      <c r="F419" s="24" t="str">
        <f>IFERROR(INDEX('Output Utente'!$N$2:$N$492,MATCH(416,'Output Utente'!$R$2:$R$492,0)),"")</f>
        <v/>
      </c>
      <c r="G419" s="23" t="str">
        <f>IFERROR(INDEX('Output Utente'!$O$2:$O$492,MATCH(416,'Output Utente'!$R$2:$R$492,0)),"")</f>
        <v/>
      </c>
      <c r="H419" s="23" t="str">
        <f>IFERROR(INDEX('Output Utente'!$P$2:$P$492,MATCH(416,'Output Utente'!$R$2:$R$492,0)),"")</f>
        <v/>
      </c>
      <c r="I419" s="24" t="str">
        <f>IFERROR(INDEX('Output Utente'!$F$2:$F$492,MATCH(416,'Output Utente'!$R$2:$R$492,0)),"")</f>
        <v/>
      </c>
      <c r="J419" s="24" t="str">
        <f>IFERROR(INDEX('Output Utente'!$G$2:$G$492,MATCH(416,'Output Utente'!$R$2:$R$492,0)),"")</f>
        <v/>
      </c>
      <c r="K419" s="24" t="str">
        <f>IFERROR(INDEX('Output Utente'!$H$2:$H$492,MATCH(416,'Output Utente'!$R$2:$R$492,0)),"")</f>
        <v/>
      </c>
      <c r="L419" s="23" t="str">
        <f>IFERROR(INDEX('Output Utente'!$E$2:$E$492,MATCH(416,'Output Utente'!$R$2:$R$492,0)),"")</f>
        <v/>
      </c>
      <c r="V419" t="str">
        <f>IFERROR(INDEX('Output Utente'!$M$2:$M$492,MATCH(416,'Output Utente'!$R$2:$R$492,0)),"")</f>
        <v/>
      </c>
      <c r="W419" t="str">
        <f t="shared" si="6"/>
        <v/>
      </c>
      <c r="X419" t="str">
        <f>IFERROR(INDEX('Output Utente'!$AF$2:$AF$492,MATCH(416,'Output Utente'!$R$2:$R$492,0)),"")</f>
        <v/>
      </c>
    </row>
    <row r="420" spans="1:24" ht="15" customHeight="1" x14ac:dyDescent="0.25">
      <c r="A420" s="26">
        <v>417</v>
      </c>
      <c r="B420" s="23" t="str">
        <f>IFERROR(INDEX('Output Utente'!$A$2:$A$492,MATCH(417,'Output Utente'!$R$2:$R$492,0)),"")</f>
        <v/>
      </c>
      <c r="C420" s="23" t="str">
        <f>IFERROR(INDEX('Output Utente'!$B$2:$B$492,MATCH(417,'Output Utente'!$R$2:$R$492,0)),"")</f>
        <v/>
      </c>
      <c r="D420" s="23" t="str">
        <f>IFERROR(INDEX('Output Utente'!$C$2:$C$492,MATCH(417,'Output Utente'!$R$2:$R$492,0)),"")</f>
        <v/>
      </c>
      <c r="E420" s="23" t="str">
        <f>IFERROR(INDEX('Input Giocatori 2026_27'!$D$3:$D$493,MATCH($B420,'Input Giocatori 2026_27'!$A$3:$A$493,0)),"")</f>
        <v/>
      </c>
      <c r="F420" s="24" t="str">
        <f>IFERROR(INDEX('Output Utente'!$N$2:$N$492,MATCH(417,'Output Utente'!$R$2:$R$492,0)),"")</f>
        <v/>
      </c>
      <c r="G420" s="23" t="str">
        <f>IFERROR(INDEX('Output Utente'!$O$2:$O$492,MATCH(417,'Output Utente'!$R$2:$R$492,0)),"")</f>
        <v/>
      </c>
      <c r="H420" s="23" t="str">
        <f>IFERROR(INDEX('Output Utente'!$P$2:$P$492,MATCH(417,'Output Utente'!$R$2:$R$492,0)),"")</f>
        <v/>
      </c>
      <c r="I420" s="24" t="str">
        <f>IFERROR(INDEX('Output Utente'!$F$2:$F$492,MATCH(417,'Output Utente'!$R$2:$R$492,0)),"")</f>
        <v/>
      </c>
      <c r="J420" s="24" t="str">
        <f>IFERROR(INDEX('Output Utente'!$G$2:$G$492,MATCH(417,'Output Utente'!$R$2:$R$492,0)),"")</f>
        <v/>
      </c>
      <c r="K420" s="24" t="str">
        <f>IFERROR(INDEX('Output Utente'!$H$2:$H$492,MATCH(417,'Output Utente'!$R$2:$R$492,0)),"")</f>
        <v/>
      </c>
      <c r="L420" s="23" t="str">
        <f>IFERROR(INDEX('Output Utente'!$E$2:$E$492,MATCH(417,'Output Utente'!$R$2:$R$492,0)),"")</f>
        <v/>
      </c>
      <c r="V420" t="str">
        <f>IFERROR(INDEX('Output Utente'!$M$2:$M$492,MATCH(417,'Output Utente'!$R$2:$R$492,0)),"")</f>
        <v/>
      </c>
      <c r="W420" t="str">
        <f t="shared" si="6"/>
        <v/>
      </c>
      <c r="X420" t="str">
        <f>IFERROR(INDEX('Output Utente'!$AF$2:$AF$492,MATCH(417,'Output Utente'!$R$2:$R$492,0)),"")</f>
        <v/>
      </c>
    </row>
    <row r="421" spans="1:24" ht="15" customHeight="1" x14ac:dyDescent="0.25">
      <c r="A421" s="26">
        <v>418</v>
      </c>
      <c r="B421" s="23" t="str">
        <f>IFERROR(INDEX('Output Utente'!$A$2:$A$492,MATCH(418,'Output Utente'!$R$2:$R$492,0)),"")</f>
        <v/>
      </c>
      <c r="C421" s="23" t="str">
        <f>IFERROR(INDEX('Output Utente'!$B$2:$B$492,MATCH(418,'Output Utente'!$R$2:$R$492,0)),"")</f>
        <v/>
      </c>
      <c r="D421" s="23" t="str">
        <f>IFERROR(INDEX('Output Utente'!$C$2:$C$492,MATCH(418,'Output Utente'!$R$2:$R$492,0)),"")</f>
        <v/>
      </c>
      <c r="E421" s="23" t="str">
        <f>IFERROR(INDEX('Input Giocatori 2026_27'!$D$3:$D$493,MATCH($B421,'Input Giocatori 2026_27'!$A$3:$A$493,0)),"")</f>
        <v/>
      </c>
      <c r="F421" s="24" t="str">
        <f>IFERROR(INDEX('Output Utente'!$N$2:$N$492,MATCH(418,'Output Utente'!$R$2:$R$492,0)),"")</f>
        <v/>
      </c>
      <c r="G421" s="23" t="str">
        <f>IFERROR(INDEX('Output Utente'!$O$2:$O$492,MATCH(418,'Output Utente'!$R$2:$R$492,0)),"")</f>
        <v/>
      </c>
      <c r="H421" s="23" t="str">
        <f>IFERROR(INDEX('Output Utente'!$P$2:$P$492,MATCH(418,'Output Utente'!$R$2:$R$492,0)),"")</f>
        <v/>
      </c>
      <c r="I421" s="24" t="str">
        <f>IFERROR(INDEX('Output Utente'!$F$2:$F$492,MATCH(418,'Output Utente'!$R$2:$R$492,0)),"")</f>
        <v/>
      </c>
      <c r="J421" s="24" t="str">
        <f>IFERROR(INDEX('Output Utente'!$G$2:$G$492,MATCH(418,'Output Utente'!$R$2:$R$492,0)),"")</f>
        <v/>
      </c>
      <c r="K421" s="24" t="str">
        <f>IFERROR(INDEX('Output Utente'!$H$2:$H$492,MATCH(418,'Output Utente'!$R$2:$R$492,0)),"")</f>
        <v/>
      </c>
      <c r="L421" s="23" t="str">
        <f>IFERROR(INDEX('Output Utente'!$E$2:$E$492,MATCH(418,'Output Utente'!$R$2:$R$492,0)),"")</f>
        <v/>
      </c>
      <c r="V421" t="str">
        <f>IFERROR(INDEX('Output Utente'!$M$2:$M$492,MATCH(418,'Output Utente'!$R$2:$R$492,0)),"")</f>
        <v/>
      </c>
      <c r="W421" t="str">
        <f t="shared" si="6"/>
        <v/>
      </c>
      <c r="X421" t="str">
        <f>IFERROR(INDEX('Output Utente'!$AF$2:$AF$492,MATCH(418,'Output Utente'!$R$2:$R$492,0)),"")</f>
        <v/>
      </c>
    </row>
    <row r="422" spans="1:24" ht="15" customHeight="1" x14ac:dyDescent="0.25">
      <c r="A422" s="26">
        <v>419</v>
      </c>
      <c r="B422" s="23" t="str">
        <f>IFERROR(INDEX('Output Utente'!$A$2:$A$492,MATCH(419,'Output Utente'!$R$2:$R$492,0)),"")</f>
        <v/>
      </c>
      <c r="C422" s="23" t="str">
        <f>IFERROR(INDEX('Output Utente'!$B$2:$B$492,MATCH(419,'Output Utente'!$R$2:$R$492,0)),"")</f>
        <v/>
      </c>
      <c r="D422" s="23" t="str">
        <f>IFERROR(INDEX('Output Utente'!$C$2:$C$492,MATCH(419,'Output Utente'!$R$2:$R$492,0)),"")</f>
        <v/>
      </c>
      <c r="E422" s="23" t="str">
        <f>IFERROR(INDEX('Input Giocatori 2026_27'!$D$3:$D$493,MATCH($B422,'Input Giocatori 2026_27'!$A$3:$A$493,0)),"")</f>
        <v/>
      </c>
      <c r="F422" s="24" t="str">
        <f>IFERROR(INDEX('Output Utente'!$N$2:$N$492,MATCH(419,'Output Utente'!$R$2:$R$492,0)),"")</f>
        <v/>
      </c>
      <c r="G422" s="23" t="str">
        <f>IFERROR(INDEX('Output Utente'!$O$2:$O$492,MATCH(419,'Output Utente'!$R$2:$R$492,0)),"")</f>
        <v/>
      </c>
      <c r="H422" s="23" t="str">
        <f>IFERROR(INDEX('Output Utente'!$P$2:$P$492,MATCH(419,'Output Utente'!$R$2:$R$492,0)),"")</f>
        <v/>
      </c>
      <c r="I422" s="24" t="str">
        <f>IFERROR(INDEX('Output Utente'!$F$2:$F$492,MATCH(419,'Output Utente'!$R$2:$R$492,0)),"")</f>
        <v/>
      </c>
      <c r="J422" s="24" t="str">
        <f>IFERROR(INDEX('Output Utente'!$G$2:$G$492,MATCH(419,'Output Utente'!$R$2:$R$492,0)),"")</f>
        <v/>
      </c>
      <c r="K422" s="24" t="str">
        <f>IFERROR(INDEX('Output Utente'!$H$2:$H$492,MATCH(419,'Output Utente'!$R$2:$R$492,0)),"")</f>
        <v/>
      </c>
      <c r="L422" s="23" t="str">
        <f>IFERROR(INDEX('Output Utente'!$E$2:$E$492,MATCH(419,'Output Utente'!$R$2:$R$492,0)),"")</f>
        <v/>
      </c>
      <c r="V422" t="str">
        <f>IFERROR(INDEX('Output Utente'!$M$2:$M$492,MATCH(419,'Output Utente'!$R$2:$R$492,0)),"")</f>
        <v/>
      </c>
      <c r="W422" t="str">
        <f t="shared" si="6"/>
        <v/>
      </c>
      <c r="X422" t="str">
        <f>IFERROR(INDEX('Output Utente'!$AF$2:$AF$492,MATCH(419,'Output Utente'!$R$2:$R$492,0)),"")</f>
        <v/>
      </c>
    </row>
    <row r="423" spans="1:24" ht="15" customHeight="1" x14ac:dyDescent="0.25">
      <c r="A423" s="26">
        <v>420</v>
      </c>
      <c r="B423" s="23" t="str">
        <f>IFERROR(INDEX('Output Utente'!$A$2:$A$492,MATCH(420,'Output Utente'!$R$2:$R$492,0)),"")</f>
        <v/>
      </c>
      <c r="C423" s="23" t="str">
        <f>IFERROR(INDEX('Output Utente'!$B$2:$B$492,MATCH(420,'Output Utente'!$R$2:$R$492,0)),"")</f>
        <v/>
      </c>
      <c r="D423" s="23" t="str">
        <f>IFERROR(INDEX('Output Utente'!$C$2:$C$492,MATCH(420,'Output Utente'!$R$2:$R$492,0)),"")</f>
        <v/>
      </c>
      <c r="E423" s="23" t="str">
        <f>IFERROR(INDEX('Input Giocatori 2026_27'!$D$3:$D$493,MATCH($B423,'Input Giocatori 2026_27'!$A$3:$A$493,0)),"")</f>
        <v/>
      </c>
      <c r="F423" s="24" t="str">
        <f>IFERROR(INDEX('Output Utente'!$N$2:$N$492,MATCH(420,'Output Utente'!$R$2:$R$492,0)),"")</f>
        <v/>
      </c>
      <c r="G423" s="23" t="str">
        <f>IFERROR(INDEX('Output Utente'!$O$2:$O$492,MATCH(420,'Output Utente'!$R$2:$R$492,0)),"")</f>
        <v/>
      </c>
      <c r="H423" s="23" t="str">
        <f>IFERROR(INDEX('Output Utente'!$P$2:$P$492,MATCH(420,'Output Utente'!$R$2:$R$492,0)),"")</f>
        <v/>
      </c>
      <c r="I423" s="24" t="str">
        <f>IFERROR(INDEX('Output Utente'!$F$2:$F$492,MATCH(420,'Output Utente'!$R$2:$R$492,0)),"")</f>
        <v/>
      </c>
      <c r="J423" s="24" t="str">
        <f>IFERROR(INDEX('Output Utente'!$G$2:$G$492,MATCH(420,'Output Utente'!$R$2:$R$492,0)),"")</f>
        <v/>
      </c>
      <c r="K423" s="24" t="str">
        <f>IFERROR(INDEX('Output Utente'!$H$2:$H$492,MATCH(420,'Output Utente'!$R$2:$R$492,0)),"")</f>
        <v/>
      </c>
      <c r="L423" s="23" t="str">
        <f>IFERROR(INDEX('Output Utente'!$E$2:$E$492,MATCH(420,'Output Utente'!$R$2:$R$492,0)),"")</f>
        <v/>
      </c>
      <c r="V423" t="str">
        <f>IFERROR(INDEX('Output Utente'!$M$2:$M$492,MATCH(420,'Output Utente'!$R$2:$R$492,0)),"")</f>
        <v/>
      </c>
      <c r="W423" t="str">
        <f t="shared" si="6"/>
        <v/>
      </c>
      <c r="X423" t="str">
        <f>IFERROR(INDEX('Output Utente'!$AF$2:$AF$492,MATCH(420,'Output Utente'!$R$2:$R$492,0)),"")</f>
        <v/>
      </c>
    </row>
    <row r="424" spans="1:24" ht="15" customHeight="1" x14ac:dyDescent="0.25">
      <c r="A424" s="26">
        <v>421</v>
      </c>
      <c r="B424" s="23" t="str">
        <f>IFERROR(INDEX('Output Utente'!$A$2:$A$492,MATCH(421,'Output Utente'!$R$2:$R$492,0)),"")</f>
        <v/>
      </c>
      <c r="C424" s="23" t="str">
        <f>IFERROR(INDEX('Output Utente'!$B$2:$B$492,MATCH(421,'Output Utente'!$R$2:$R$492,0)),"")</f>
        <v/>
      </c>
      <c r="D424" s="23" t="str">
        <f>IFERROR(INDEX('Output Utente'!$C$2:$C$492,MATCH(421,'Output Utente'!$R$2:$R$492,0)),"")</f>
        <v/>
      </c>
      <c r="E424" s="23" t="str">
        <f>IFERROR(INDEX('Input Giocatori 2026_27'!$D$3:$D$493,MATCH($B424,'Input Giocatori 2026_27'!$A$3:$A$493,0)),"")</f>
        <v/>
      </c>
      <c r="F424" s="24" t="str">
        <f>IFERROR(INDEX('Output Utente'!$N$2:$N$492,MATCH(421,'Output Utente'!$R$2:$R$492,0)),"")</f>
        <v/>
      </c>
      <c r="G424" s="23" t="str">
        <f>IFERROR(INDEX('Output Utente'!$O$2:$O$492,MATCH(421,'Output Utente'!$R$2:$R$492,0)),"")</f>
        <v/>
      </c>
      <c r="H424" s="23" t="str">
        <f>IFERROR(INDEX('Output Utente'!$P$2:$P$492,MATCH(421,'Output Utente'!$R$2:$R$492,0)),"")</f>
        <v/>
      </c>
      <c r="I424" s="24" t="str">
        <f>IFERROR(INDEX('Output Utente'!$F$2:$F$492,MATCH(421,'Output Utente'!$R$2:$R$492,0)),"")</f>
        <v/>
      </c>
      <c r="J424" s="24" t="str">
        <f>IFERROR(INDEX('Output Utente'!$G$2:$G$492,MATCH(421,'Output Utente'!$R$2:$R$492,0)),"")</f>
        <v/>
      </c>
      <c r="K424" s="24" t="str">
        <f>IFERROR(INDEX('Output Utente'!$H$2:$H$492,MATCH(421,'Output Utente'!$R$2:$R$492,0)),"")</f>
        <v/>
      </c>
      <c r="L424" s="23" t="str">
        <f>IFERROR(INDEX('Output Utente'!$E$2:$E$492,MATCH(421,'Output Utente'!$R$2:$R$492,0)),"")</f>
        <v/>
      </c>
      <c r="V424" t="str">
        <f>IFERROR(INDEX('Output Utente'!$M$2:$M$492,MATCH(421,'Output Utente'!$R$2:$R$492,0)),"")</f>
        <v/>
      </c>
      <c r="W424" t="str">
        <f t="shared" si="6"/>
        <v/>
      </c>
      <c r="X424" t="str">
        <f>IFERROR(INDEX('Output Utente'!$AF$2:$AF$492,MATCH(421,'Output Utente'!$R$2:$R$492,0)),"")</f>
        <v/>
      </c>
    </row>
    <row r="425" spans="1:24" ht="15" customHeight="1" x14ac:dyDescent="0.25">
      <c r="A425" s="26">
        <v>422</v>
      </c>
      <c r="B425" s="23" t="str">
        <f>IFERROR(INDEX('Output Utente'!$A$2:$A$492,MATCH(422,'Output Utente'!$R$2:$R$492,0)),"")</f>
        <v/>
      </c>
      <c r="C425" s="23" t="str">
        <f>IFERROR(INDEX('Output Utente'!$B$2:$B$492,MATCH(422,'Output Utente'!$R$2:$R$492,0)),"")</f>
        <v/>
      </c>
      <c r="D425" s="23" t="str">
        <f>IFERROR(INDEX('Output Utente'!$C$2:$C$492,MATCH(422,'Output Utente'!$R$2:$R$492,0)),"")</f>
        <v/>
      </c>
      <c r="E425" s="23" t="str">
        <f>IFERROR(INDEX('Input Giocatori 2026_27'!$D$3:$D$493,MATCH($B425,'Input Giocatori 2026_27'!$A$3:$A$493,0)),"")</f>
        <v/>
      </c>
      <c r="F425" s="24" t="str">
        <f>IFERROR(INDEX('Output Utente'!$N$2:$N$492,MATCH(422,'Output Utente'!$R$2:$R$492,0)),"")</f>
        <v/>
      </c>
      <c r="G425" s="23" t="str">
        <f>IFERROR(INDEX('Output Utente'!$O$2:$O$492,MATCH(422,'Output Utente'!$R$2:$R$492,0)),"")</f>
        <v/>
      </c>
      <c r="H425" s="23" t="str">
        <f>IFERROR(INDEX('Output Utente'!$P$2:$P$492,MATCH(422,'Output Utente'!$R$2:$R$492,0)),"")</f>
        <v/>
      </c>
      <c r="I425" s="24" t="str">
        <f>IFERROR(INDEX('Output Utente'!$F$2:$F$492,MATCH(422,'Output Utente'!$R$2:$R$492,0)),"")</f>
        <v/>
      </c>
      <c r="J425" s="24" t="str">
        <f>IFERROR(INDEX('Output Utente'!$G$2:$G$492,MATCH(422,'Output Utente'!$R$2:$R$492,0)),"")</f>
        <v/>
      </c>
      <c r="K425" s="24" t="str">
        <f>IFERROR(INDEX('Output Utente'!$H$2:$H$492,MATCH(422,'Output Utente'!$R$2:$R$492,0)),"")</f>
        <v/>
      </c>
      <c r="L425" s="23" t="str">
        <f>IFERROR(INDEX('Output Utente'!$E$2:$E$492,MATCH(422,'Output Utente'!$R$2:$R$492,0)),"")</f>
        <v/>
      </c>
      <c r="V425" t="str">
        <f>IFERROR(INDEX('Output Utente'!$M$2:$M$492,MATCH(422,'Output Utente'!$R$2:$R$492,0)),"")</f>
        <v/>
      </c>
      <c r="W425" t="str">
        <f t="shared" si="6"/>
        <v/>
      </c>
      <c r="X425" t="str">
        <f>IFERROR(INDEX('Output Utente'!$AF$2:$AF$492,MATCH(422,'Output Utente'!$R$2:$R$492,0)),"")</f>
        <v/>
      </c>
    </row>
    <row r="426" spans="1:24" ht="15" customHeight="1" x14ac:dyDescent="0.25">
      <c r="A426" s="26">
        <v>423</v>
      </c>
      <c r="B426" s="23" t="str">
        <f>IFERROR(INDEX('Output Utente'!$A$2:$A$492,MATCH(423,'Output Utente'!$R$2:$R$492,0)),"")</f>
        <v/>
      </c>
      <c r="C426" s="23" t="str">
        <f>IFERROR(INDEX('Output Utente'!$B$2:$B$492,MATCH(423,'Output Utente'!$R$2:$R$492,0)),"")</f>
        <v/>
      </c>
      <c r="D426" s="23" t="str">
        <f>IFERROR(INDEX('Output Utente'!$C$2:$C$492,MATCH(423,'Output Utente'!$R$2:$R$492,0)),"")</f>
        <v/>
      </c>
      <c r="E426" s="23" t="str">
        <f>IFERROR(INDEX('Input Giocatori 2026_27'!$D$3:$D$493,MATCH($B426,'Input Giocatori 2026_27'!$A$3:$A$493,0)),"")</f>
        <v/>
      </c>
      <c r="F426" s="24" t="str">
        <f>IFERROR(INDEX('Output Utente'!$N$2:$N$492,MATCH(423,'Output Utente'!$R$2:$R$492,0)),"")</f>
        <v/>
      </c>
      <c r="G426" s="23" t="str">
        <f>IFERROR(INDEX('Output Utente'!$O$2:$O$492,MATCH(423,'Output Utente'!$R$2:$R$492,0)),"")</f>
        <v/>
      </c>
      <c r="H426" s="23" t="str">
        <f>IFERROR(INDEX('Output Utente'!$P$2:$P$492,MATCH(423,'Output Utente'!$R$2:$R$492,0)),"")</f>
        <v/>
      </c>
      <c r="I426" s="24" t="str">
        <f>IFERROR(INDEX('Output Utente'!$F$2:$F$492,MATCH(423,'Output Utente'!$R$2:$R$492,0)),"")</f>
        <v/>
      </c>
      <c r="J426" s="24" t="str">
        <f>IFERROR(INDEX('Output Utente'!$G$2:$G$492,MATCH(423,'Output Utente'!$R$2:$R$492,0)),"")</f>
        <v/>
      </c>
      <c r="K426" s="24" t="str">
        <f>IFERROR(INDEX('Output Utente'!$H$2:$H$492,MATCH(423,'Output Utente'!$R$2:$R$492,0)),"")</f>
        <v/>
      </c>
      <c r="L426" s="23" t="str">
        <f>IFERROR(INDEX('Output Utente'!$E$2:$E$492,MATCH(423,'Output Utente'!$R$2:$R$492,0)),"")</f>
        <v/>
      </c>
      <c r="V426" t="str">
        <f>IFERROR(INDEX('Output Utente'!$M$2:$M$492,MATCH(423,'Output Utente'!$R$2:$R$492,0)),"")</f>
        <v/>
      </c>
      <c r="W426" t="str">
        <f t="shared" si="6"/>
        <v/>
      </c>
      <c r="X426" t="str">
        <f>IFERROR(INDEX('Output Utente'!$AF$2:$AF$492,MATCH(423,'Output Utente'!$R$2:$R$492,0)),"")</f>
        <v/>
      </c>
    </row>
    <row r="427" spans="1:24" ht="15" customHeight="1" x14ac:dyDescent="0.25">
      <c r="A427" s="26">
        <v>424</v>
      </c>
      <c r="B427" s="23" t="str">
        <f>IFERROR(INDEX('Output Utente'!$A$2:$A$492,MATCH(424,'Output Utente'!$R$2:$R$492,0)),"")</f>
        <v/>
      </c>
      <c r="C427" s="23" t="str">
        <f>IFERROR(INDEX('Output Utente'!$B$2:$B$492,MATCH(424,'Output Utente'!$R$2:$R$492,0)),"")</f>
        <v/>
      </c>
      <c r="D427" s="23" t="str">
        <f>IFERROR(INDEX('Output Utente'!$C$2:$C$492,MATCH(424,'Output Utente'!$R$2:$R$492,0)),"")</f>
        <v/>
      </c>
      <c r="E427" s="23" t="str">
        <f>IFERROR(INDEX('Input Giocatori 2026_27'!$D$3:$D$493,MATCH($B427,'Input Giocatori 2026_27'!$A$3:$A$493,0)),"")</f>
        <v/>
      </c>
      <c r="F427" s="24" t="str">
        <f>IFERROR(INDEX('Output Utente'!$N$2:$N$492,MATCH(424,'Output Utente'!$R$2:$R$492,0)),"")</f>
        <v/>
      </c>
      <c r="G427" s="23" t="str">
        <f>IFERROR(INDEX('Output Utente'!$O$2:$O$492,MATCH(424,'Output Utente'!$R$2:$R$492,0)),"")</f>
        <v/>
      </c>
      <c r="H427" s="23" t="str">
        <f>IFERROR(INDEX('Output Utente'!$P$2:$P$492,MATCH(424,'Output Utente'!$R$2:$R$492,0)),"")</f>
        <v/>
      </c>
      <c r="I427" s="24" t="str">
        <f>IFERROR(INDEX('Output Utente'!$F$2:$F$492,MATCH(424,'Output Utente'!$R$2:$R$492,0)),"")</f>
        <v/>
      </c>
      <c r="J427" s="24" t="str">
        <f>IFERROR(INDEX('Output Utente'!$G$2:$G$492,MATCH(424,'Output Utente'!$R$2:$R$492,0)),"")</f>
        <v/>
      </c>
      <c r="K427" s="24" t="str">
        <f>IFERROR(INDEX('Output Utente'!$H$2:$H$492,MATCH(424,'Output Utente'!$R$2:$R$492,0)),"")</f>
        <v/>
      </c>
      <c r="L427" s="23" t="str">
        <f>IFERROR(INDEX('Output Utente'!$E$2:$E$492,MATCH(424,'Output Utente'!$R$2:$R$492,0)),"")</f>
        <v/>
      </c>
      <c r="V427" t="str">
        <f>IFERROR(INDEX('Output Utente'!$M$2:$M$492,MATCH(424,'Output Utente'!$R$2:$R$492,0)),"")</f>
        <v/>
      </c>
      <c r="W427" t="str">
        <f t="shared" si="6"/>
        <v/>
      </c>
      <c r="X427" t="str">
        <f>IFERROR(INDEX('Output Utente'!$AF$2:$AF$492,MATCH(424,'Output Utente'!$R$2:$R$492,0)),"")</f>
        <v/>
      </c>
    </row>
    <row r="428" spans="1:24" ht="15" customHeight="1" x14ac:dyDescent="0.25">
      <c r="A428" s="26">
        <v>425</v>
      </c>
      <c r="B428" s="23" t="str">
        <f>IFERROR(INDEX('Output Utente'!$A$2:$A$492,MATCH(425,'Output Utente'!$R$2:$R$492,0)),"")</f>
        <v/>
      </c>
      <c r="C428" s="23" t="str">
        <f>IFERROR(INDEX('Output Utente'!$B$2:$B$492,MATCH(425,'Output Utente'!$R$2:$R$492,0)),"")</f>
        <v/>
      </c>
      <c r="D428" s="23" t="str">
        <f>IFERROR(INDEX('Output Utente'!$C$2:$C$492,MATCH(425,'Output Utente'!$R$2:$R$492,0)),"")</f>
        <v/>
      </c>
      <c r="E428" s="23" t="str">
        <f>IFERROR(INDEX('Input Giocatori 2026_27'!$D$3:$D$493,MATCH($B428,'Input Giocatori 2026_27'!$A$3:$A$493,0)),"")</f>
        <v/>
      </c>
      <c r="F428" s="24" t="str">
        <f>IFERROR(INDEX('Output Utente'!$N$2:$N$492,MATCH(425,'Output Utente'!$R$2:$R$492,0)),"")</f>
        <v/>
      </c>
      <c r="G428" s="23" t="str">
        <f>IFERROR(INDEX('Output Utente'!$O$2:$O$492,MATCH(425,'Output Utente'!$R$2:$R$492,0)),"")</f>
        <v/>
      </c>
      <c r="H428" s="23" t="str">
        <f>IFERROR(INDEX('Output Utente'!$P$2:$P$492,MATCH(425,'Output Utente'!$R$2:$R$492,0)),"")</f>
        <v/>
      </c>
      <c r="I428" s="24" t="str">
        <f>IFERROR(INDEX('Output Utente'!$F$2:$F$492,MATCH(425,'Output Utente'!$R$2:$R$492,0)),"")</f>
        <v/>
      </c>
      <c r="J428" s="24" t="str">
        <f>IFERROR(INDEX('Output Utente'!$G$2:$G$492,MATCH(425,'Output Utente'!$R$2:$R$492,0)),"")</f>
        <v/>
      </c>
      <c r="K428" s="24" t="str">
        <f>IFERROR(INDEX('Output Utente'!$H$2:$H$492,MATCH(425,'Output Utente'!$R$2:$R$492,0)),"")</f>
        <v/>
      </c>
      <c r="L428" s="23" t="str">
        <f>IFERROR(INDEX('Output Utente'!$E$2:$E$492,MATCH(425,'Output Utente'!$R$2:$R$492,0)),"")</f>
        <v/>
      </c>
      <c r="V428" t="str">
        <f>IFERROR(INDEX('Output Utente'!$M$2:$M$492,MATCH(425,'Output Utente'!$R$2:$R$492,0)),"")</f>
        <v/>
      </c>
      <c r="W428" t="str">
        <f t="shared" si="6"/>
        <v/>
      </c>
      <c r="X428" t="str">
        <f>IFERROR(INDEX('Output Utente'!$AF$2:$AF$492,MATCH(425,'Output Utente'!$R$2:$R$492,0)),"")</f>
        <v/>
      </c>
    </row>
    <row r="429" spans="1:24" ht="15" customHeight="1" x14ac:dyDescent="0.25">
      <c r="A429" s="26">
        <v>426</v>
      </c>
      <c r="B429" s="23" t="str">
        <f>IFERROR(INDEX('Output Utente'!$A$2:$A$492,MATCH(426,'Output Utente'!$R$2:$R$492,0)),"")</f>
        <v/>
      </c>
      <c r="C429" s="23" t="str">
        <f>IFERROR(INDEX('Output Utente'!$B$2:$B$492,MATCH(426,'Output Utente'!$R$2:$R$492,0)),"")</f>
        <v/>
      </c>
      <c r="D429" s="23" t="str">
        <f>IFERROR(INDEX('Output Utente'!$C$2:$C$492,MATCH(426,'Output Utente'!$R$2:$R$492,0)),"")</f>
        <v/>
      </c>
      <c r="E429" s="23" t="str">
        <f>IFERROR(INDEX('Input Giocatori 2026_27'!$D$3:$D$493,MATCH($B429,'Input Giocatori 2026_27'!$A$3:$A$493,0)),"")</f>
        <v/>
      </c>
      <c r="F429" s="24" t="str">
        <f>IFERROR(INDEX('Output Utente'!$N$2:$N$492,MATCH(426,'Output Utente'!$R$2:$R$492,0)),"")</f>
        <v/>
      </c>
      <c r="G429" s="23" t="str">
        <f>IFERROR(INDEX('Output Utente'!$O$2:$O$492,MATCH(426,'Output Utente'!$R$2:$R$492,0)),"")</f>
        <v/>
      </c>
      <c r="H429" s="23" t="str">
        <f>IFERROR(INDEX('Output Utente'!$P$2:$P$492,MATCH(426,'Output Utente'!$R$2:$R$492,0)),"")</f>
        <v/>
      </c>
      <c r="I429" s="24" t="str">
        <f>IFERROR(INDEX('Output Utente'!$F$2:$F$492,MATCH(426,'Output Utente'!$R$2:$R$492,0)),"")</f>
        <v/>
      </c>
      <c r="J429" s="24" t="str">
        <f>IFERROR(INDEX('Output Utente'!$G$2:$G$492,MATCH(426,'Output Utente'!$R$2:$R$492,0)),"")</f>
        <v/>
      </c>
      <c r="K429" s="24" t="str">
        <f>IFERROR(INDEX('Output Utente'!$H$2:$H$492,MATCH(426,'Output Utente'!$R$2:$R$492,0)),"")</f>
        <v/>
      </c>
      <c r="L429" s="23" t="str">
        <f>IFERROR(INDEX('Output Utente'!$E$2:$E$492,MATCH(426,'Output Utente'!$R$2:$R$492,0)),"")</f>
        <v/>
      </c>
      <c r="V429" t="str">
        <f>IFERROR(INDEX('Output Utente'!$M$2:$M$492,MATCH(426,'Output Utente'!$R$2:$R$492,0)),"")</f>
        <v/>
      </c>
      <c r="W429" t="str">
        <f t="shared" si="6"/>
        <v/>
      </c>
      <c r="X429" t="str">
        <f>IFERROR(INDEX('Output Utente'!$AF$2:$AF$492,MATCH(426,'Output Utente'!$R$2:$R$492,0)),"")</f>
        <v/>
      </c>
    </row>
    <row r="430" spans="1:24" ht="15" customHeight="1" x14ac:dyDescent="0.25">
      <c r="A430" s="26">
        <v>427</v>
      </c>
      <c r="B430" s="23" t="str">
        <f>IFERROR(INDEX('Output Utente'!$A$2:$A$492,MATCH(427,'Output Utente'!$R$2:$R$492,0)),"")</f>
        <v/>
      </c>
      <c r="C430" s="23" t="str">
        <f>IFERROR(INDEX('Output Utente'!$B$2:$B$492,MATCH(427,'Output Utente'!$R$2:$R$492,0)),"")</f>
        <v/>
      </c>
      <c r="D430" s="23" t="str">
        <f>IFERROR(INDEX('Output Utente'!$C$2:$C$492,MATCH(427,'Output Utente'!$R$2:$R$492,0)),"")</f>
        <v/>
      </c>
      <c r="E430" s="23" t="str">
        <f>IFERROR(INDEX('Input Giocatori 2026_27'!$D$3:$D$493,MATCH($B430,'Input Giocatori 2026_27'!$A$3:$A$493,0)),"")</f>
        <v/>
      </c>
      <c r="F430" s="24" t="str">
        <f>IFERROR(INDEX('Output Utente'!$N$2:$N$492,MATCH(427,'Output Utente'!$R$2:$R$492,0)),"")</f>
        <v/>
      </c>
      <c r="G430" s="23" t="str">
        <f>IFERROR(INDEX('Output Utente'!$O$2:$O$492,MATCH(427,'Output Utente'!$R$2:$R$492,0)),"")</f>
        <v/>
      </c>
      <c r="H430" s="23" t="str">
        <f>IFERROR(INDEX('Output Utente'!$P$2:$P$492,MATCH(427,'Output Utente'!$R$2:$R$492,0)),"")</f>
        <v/>
      </c>
      <c r="I430" s="24" t="str">
        <f>IFERROR(INDEX('Output Utente'!$F$2:$F$492,MATCH(427,'Output Utente'!$R$2:$R$492,0)),"")</f>
        <v/>
      </c>
      <c r="J430" s="24" t="str">
        <f>IFERROR(INDEX('Output Utente'!$G$2:$G$492,MATCH(427,'Output Utente'!$R$2:$R$492,0)),"")</f>
        <v/>
      </c>
      <c r="K430" s="24" t="str">
        <f>IFERROR(INDEX('Output Utente'!$H$2:$H$492,MATCH(427,'Output Utente'!$R$2:$R$492,0)),"")</f>
        <v/>
      </c>
      <c r="L430" s="23" t="str">
        <f>IFERROR(INDEX('Output Utente'!$E$2:$E$492,MATCH(427,'Output Utente'!$R$2:$R$492,0)),"")</f>
        <v/>
      </c>
      <c r="V430" t="str">
        <f>IFERROR(INDEX('Output Utente'!$M$2:$M$492,MATCH(427,'Output Utente'!$R$2:$R$492,0)),"")</f>
        <v/>
      </c>
      <c r="W430" t="str">
        <f t="shared" si="6"/>
        <v/>
      </c>
      <c r="X430" t="str">
        <f>IFERROR(INDEX('Output Utente'!$AF$2:$AF$492,MATCH(427,'Output Utente'!$R$2:$R$492,0)),"")</f>
        <v/>
      </c>
    </row>
    <row r="431" spans="1:24" ht="15" customHeight="1" x14ac:dyDescent="0.25">
      <c r="A431" s="26">
        <v>428</v>
      </c>
      <c r="B431" s="23" t="str">
        <f>IFERROR(INDEX('Output Utente'!$A$2:$A$492,MATCH(428,'Output Utente'!$R$2:$R$492,0)),"")</f>
        <v/>
      </c>
      <c r="C431" s="23" t="str">
        <f>IFERROR(INDEX('Output Utente'!$B$2:$B$492,MATCH(428,'Output Utente'!$R$2:$R$492,0)),"")</f>
        <v/>
      </c>
      <c r="D431" s="23" t="str">
        <f>IFERROR(INDEX('Output Utente'!$C$2:$C$492,MATCH(428,'Output Utente'!$R$2:$R$492,0)),"")</f>
        <v/>
      </c>
      <c r="E431" s="23" t="str">
        <f>IFERROR(INDEX('Input Giocatori 2026_27'!$D$3:$D$493,MATCH($B431,'Input Giocatori 2026_27'!$A$3:$A$493,0)),"")</f>
        <v/>
      </c>
      <c r="F431" s="24" t="str">
        <f>IFERROR(INDEX('Output Utente'!$N$2:$N$492,MATCH(428,'Output Utente'!$R$2:$R$492,0)),"")</f>
        <v/>
      </c>
      <c r="G431" s="23" t="str">
        <f>IFERROR(INDEX('Output Utente'!$O$2:$O$492,MATCH(428,'Output Utente'!$R$2:$R$492,0)),"")</f>
        <v/>
      </c>
      <c r="H431" s="23" t="str">
        <f>IFERROR(INDEX('Output Utente'!$P$2:$P$492,MATCH(428,'Output Utente'!$R$2:$R$492,0)),"")</f>
        <v/>
      </c>
      <c r="I431" s="24" t="str">
        <f>IFERROR(INDEX('Output Utente'!$F$2:$F$492,MATCH(428,'Output Utente'!$R$2:$R$492,0)),"")</f>
        <v/>
      </c>
      <c r="J431" s="24" t="str">
        <f>IFERROR(INDEX('Output Utente'!$G$2:$G$492,MATCH(428,'Output Utente'!$R$2:$R$492,0)),"")</f>
        <v/>
      </c>
      <c r="K431" s="24" t="str">
        <f>IFERROR(INDEX('Output Utente'!$H$2:$H$492,MATCH(428,'Output Utente'!$R$2:$R$492,0)),"")</f>
        <v/>
      </c>
      <c r="L431" s="23" t="str">
        <f>IFERROR(INDEX('Output Utente'!$E$2:$E$492,MATCH(428,'Output Utente'!$R$2:$R$492,0)),"")</f>
        <v/>
      </c>
      <c r="V431" t="str">
        <f>IFERROR(INDEX('Output Utente'!$M$2:$M$492,MATCH(428,'Output Utente'!$R$2:$R$492,0)),"")</f>
        <v/>
      </c>
      <c r="W431" t="str">
        <f t="shared" si="6"/>
        <v/>
      </c>
      <c r="X431" t="str">
        <f>IFERROR(INDEX('Output Utente'!$AF$2:$AF$492,MATCH(428,'Output Utente'!$R$2:$R$492,0)),"")</f>
        <v/>
      </c>
    </row>
    <row r="432" spans="1:24" ht="15" customHeight="1" x14ac:dyDescent="0.25">
      <c r="A432" s="26">
        <v>429</v>
      </c>
      <c r="B432" s="23" t="str">
        <f>IFERROR(INDEX('Output Utente'!$A$2:$A$492,MATCH(429,'Output Utente'!$R$2:$R$492,0)),"")</f>
        <v/>
      </c>
      <c r="C432" s="23" t="str">
        <f>IFERROR(INDEX('Output Utente'!$B$2:$B$492,MATCH(429,'Output Utente'!$R$2:$R$492,0)),"")</f>
        <v/>
      </c>
      <c r="D432" s="23" t="str">
        <f>IFERROR(INDEX('Output Utente'!$C$2:$C$492,MATCH(429,'Output Utente'!$R$2:$R$492,0)),"")</f>
        <v/>
      </c>
      <c r="E432" s="23" t="str">
        <f>IFERROR(INDEX('Input Giocatori 2026_27'!$D$3:$D$493,MATCH($B432,'Input Giocatori 2026_27'!$A$3:$A$493,0)),"")</f>
        <v/>
      </c>
      <c r="F432" s="24" t="str">
        <f>IFERROR(INDEX('Output Utente'!$N$2:$N$492,MATCH(429,'Output Utente'!$R$2:$R$492,0)),"")</f>
        <v/>
      </c>
      <c r="G432" s="23" t="str">
        <f>IFERROR(INDEX('Output Utente'!$O$2:$O$492,MATCH(429,'Output Utente'!$R$2:$R$492,0)),"")</f>
        <v/>
      </c>
      <c r="H432" s="23" t="str">
        <f>IFERROR(INDEX('Output Utente'!$P$2:$P$492,MATCH(429,'Output Utente'!$R$2:$R$492,0)),"")</f>
        <v/>
      </c>
      <c r="I432" s="24" t="str">
        <f>IFERROR(INDEX('Output Utente'!$F$2:$F$492,MATCH(429,'Output Utente'!$R$2:$R$492,0)),"")</f>
        <v/>
      </c>
      <c r="J432" s="24" t="str">
        <f>IFERROR(INDEX('Output Utente'!$G$2:$G$492,MATCH(429,'Output Utente'!$R$2:$R$492,0)),"")</f>
        <v/>
      </c>
      <c r="K432" s="24" t="str">
        <f>IFERROR(INDEX('Output Utente'!$H$2:$H$492,MATCH(429,'Output Utente'!$R$2:$R$492,0)),"")</f>
        <v/>
      </c>
      <c r="L432" s="23" t="str">
        <f>IFERROR(INDEX('Output Utente'!$E$2:$E$492,MATCH(429,'Output Utente'!$R$2:$R$492,0)),"")</f>
        <v/>
      </c>
      <c r="V432" t="str">
        <f>IFERROR(INDEX('Output Utente'!$M$2:$M$492,MATCH(429,'Output Utente'!$R$2:$R$492,0)),"")</f>
        <v/>
      </c>
      <c r="W432" t="str">
        <f t="shared" si="6"/>
        <v/>
      </c>
      <c r="X432" t="str">
        <f>IFERROR(INDEX('Output Utente'!$AF$2:$AF$492,MATCH(429,'Output Utente'!$R$2:$R$492,0)),"")</f>
        <v/>
      </c>
    </row>
    <row r="433" spans="1:24" ht="15" customHeight="1" x14ac:dyDescent="0.25">
      <c r="A433" s="26">
        <v>430</v>
      </c>
      <c r="B433" s="23" t="str">
        <f>IFERROR(INDEX('Output Utente'!$A$2:$A$492,MATCH(430,'Output Utente'!$R$2:$R$492,0)),"")</f>
        <v/>
      </c>
      <c r="C433" s="23" t="str">
        <f>IFERROR(INDEX('Output Utente'!$B$2:$B$492,MATCH(430,'Output Utente'!$R$2:$R$492,0)),"")</f>
        <v/>
      </c>
      <c r="D433" s="23" t="str">
        <f>IFERROR(INDEX('Output Utente'!$C$2:$C$492,MATCH(430,'Output Utente'!$R$2:$R$492,0)),"")</f>
        <v/>
      </c>
      <c r="E433" s="23" t="str">
        <f>IFERROR(INDEX('Input Giocatori 2026_27'!$D$3:$D$493,MATCH($B433,'Input Giocatori 2026_27'!$A$3:$A$493,0)),"")</f>
        <v/>
      </c>
      <c r="F433" s="24" t="str">
        <f>IFERROR(INDEX('Output Utente'!$N$2:$N$492,MATCH(430,'Output Utente'!$R$2:$R$492,0)),"")</f>
        <v/>
      </c>
      <c r="G433" s="23" t="str">
        <f>IFERROR(INDEX('Output Utente'!$O$2:$O$492,MATCH(430,'Output Utente'!$R$2:$R$492,0)),"")</f>
        <v/>
      </c>
      <c r="H433" s="23" t="str">
        <f>IFERROR(INDEX('Output Utente'!$P$2:$P$492,MATCH(430,'Output Utente'!$R$2:$R$492,0)),"")</f>
        <v/>
      </c>
      <c r="I433" s="24" t="str">
        <f>IFERROR(INDEX('Output Utente'!$F$2:$F$492,MATCH(430,'Output Utente'!$R$2:$R$492,0)),"")</f>
        <v/>
      </c>
      <c r="J433" s="24" t="str">
        <f>IFERROR(INDEX('Output Utente'!$G$2:$G$492,MATCH(430,'Output Utente'!$R$2:$R$492,0)),"")</f>
        <v/>
      </c>
      <c r="K433" s="24" t="str">
        <f>IFERROR(INDEX('Output Utente'!$H$2:$H$492,MATCH(430,'Output Utente'!$R$2:$R$492,0)),"")</f>
        <v/>
      </c>
      <c r="L433" s="23" t="str">
        <f>IFERROR(INDEX('Output Utente'!$E$2:$E$492,MATCH(430,'Output Utente'!$R$2:$R$492,0)),"")</f>
        <v/>
      </c>
      <c r="V433" t="str">
        <f>IFERROR(INDEX('Output Utente'!$M$2:$M$492,MATCH(430,'Output Utente'!$R$2:$R$492,0)),"")</f>
        <v/>
      </c>
      <c r="W433" t="str">
        <f t="shared" si="6"/>
        <v/>
      </c>
      <c r="X433" t="str">
        <f>IFERROR(INDEX('Output Utente'!$AF$2:$AF$492,MATCH(430,'Output Utente'!$R$2:$R$492,0)),"")</f>
        <v/>
      </c>
    </row>
    <row r="434" spans="1:24" ht="15" customHeight="1" x14ac:dyDescent="0.25">
      <c r="A434" s="26">
        <v>431</v>
      </c>
      <c r="B434" s="23" t="str">
        <f>IFERROR(INDEX('Output Utente'!$A$2:$A$492,MATCH(431,'Output Utente'!$R$2:$R$492,0)),"")</f>
        <v/>
      </c>
      <c r="C434" s="23" t="str">
        <f>IFERROR(INDEX('Output Utente'!$B$2:$B$492,MATCH(431,'Output Utente'!$R$2:$R$492,0)),"")</f>
        <v/>
      </c>
      <c r="D434" s="23" t="str">
        <f>IFERROR(INDEX('Output Utente'!$C$2:$C$492,MATCH(431,'Output Utente'!$R$2:$R$492,0)),"")</f>
        <v/>
      </c>
      <c r="E434" s="23" t="str">
        <f>IFERROR(INDEX('Input Giocatori 2026_27'!$D$3:$D$493,MATCH($B434,'Input Giocatori 2026_27'!$A$3:$A$493,0)),"")</f>
        <v/>
      </c>
      <c r="F434" s="24" t="str">
        <f>IFERROR(INDEX('Output Utente'!$N$2:$N$492,MATCH(431,'Output Utente'!$R$2:$R$492,0)),"")</f>
        <v/>
      </c>
      <c r="G434" s="23" t="str">
        <f>IFERROR(INDEX('Output Utente'!$O$2:$O$492,MATCH(431,'Output Utente'!$R$2:$R$492,0)),"")</f>
        <v/>
      </c>
      <c r="H434" s="23" t="str">
        <f>IFERROR(INDEX('Output Utente'!$P$2:$P$492,MATCH(431,'Output Utente'!$R$2:$R$492,0)),"")</f>
        <v/>
      </c>
      <c r="I434" s="24" t="str">
        <f>IFERROR(INDEX('Output Utente'!$F$2:$F$492,MATCH(431,'Output Utente'!$R$2:$R$492,0)),"")</f>
        <v/>
      </c>
      <c r="J434" s="24" t="str">
        <f>IFERROR(INDEX('Output Utente'!$G$2:$G$492,MATCH(431,'Output Utente'!$R$2:$R$492,0)),"")</f>
        <v/>
      </c>
      <c r="K434" s="24" t="str">
        <f>IFERROR(INDEX('Output Utente'!$H$2:$H$492,MATCH(431,'Output Utente'!$R$2:$R$492,0)),"")</f>
        <v/>
      </c>
      <c r="L434" s="23" t="str">
        <f>IFERROR(INDEX('Output Utente'!$E$2:$E$492,MATCH(431,'Output Utente'!$R$2:$R$492,0)),"")</f>
        <v/>
      </c>
      <c r="V434" t="str">
        <f>IFERROR(INDEX('Output Utente'!$M$2:$M$492,MATCH(431,'Output Utente'!$R$2:$R$492,0)),"")</f>
        <v/>
      </c>
      <c r="W434" t="str">
        <f t="shared" si="6"/>
        <v/>
      </c>
      <c r="X434" t="str">
        <f>IFERROR(INDEX('Output Utente'!$AF$2:$AF$492,MATCH(431,'Output Utente'!$R$2:$R$492,0)),"")</f>
        <v/>
      </c>
    </row>
    <row r="435" spans="1:24" ht="15" customHeight="1" x14ac:dyDescent="0.25">
      <c r="A435" s="26">
        <v>432</v>
      </c>
      <c r="B435" s="23" t="str">
        <f>IFERROR(INDEX('Output Utente'!$A$2:$A$492,MATCH(432,'Output Utente'!$R$2:$R$492,0)),"")</f>
        <v/>
      </c>
      <c r="C435" s="23" t="str">
        <f>IFERROR(INDEX('Output Utente'!$B$2:$B$492,MATCH(432,'Output Utente'!$R$2:$R$492,0)),"")</f>
        <v/>
      </c>
      <c r="D435" s="23" t="str">
        <f>IFERROR(INDEX('Output Utente'!$C$2:$C$492,MATCH(432,'Output Utente'!$R$2:$R$492,0)),"")</f>
        <v/>
      </c>
      <c r="E435" s="23" t="str">
        <f>IFERROR(INDEX('Input Giocatori 2026_27'!$D$3:$D$493,MATCH($B435,'Input Giocatori 2026_27'!$A$3:$A$493,0)),"")</f>
        <v/>
      </c>
      <c r="F435" s="24" t="str">
        <f>IFERROR(INDEX('Output Utente'!$N$2:$N$492,MATCH(432,'Output Utente'!$R$2:$R$492,0)),"")</f>
        <v/>
      </c>
      <c r="G435" s="23" t="str">
        <f>IFERROR(INDEX('Output Utente'!$O$2:$O$492,MATCH(432,'Output Utente'!$R$2:$R$492,0)),"")</f>
        <v/>
      </c>
      <c r="H435" s="23" t="str">
        <f>IFERROR(INDEX('Output Utente'!$P$2:$P$492,MATCH(432,'Output Utente'!$R$2:$R$492,0)),"")</f>
        <v/>
      </c>
      <c r="I435" s="24" t="str">
        <f>IFERROR(INDEX('Output Utente'!$F$2:$F$492,MATCH(432,'Output Utente'!$R$2:$R$492,0)),"")</f>
        <v/>
      </c>
      <c r="J435" s="24" t="str">
        <f>IFERROR(INDEX('Output Utente'!$G$2:$G$492,MATCH(432,'Output Utente'!$R$2:$R$492,0)),"")</f>
        <v/>
      </c>
      <c r="K435" s="24" t="str">
        <f>IFERROR(INDEX('Output Utente'!$H$2:$H$492,MATCH(432,'Output Utente'!$R$2:$R$492,0)),"")</f>
        <v/>
      </c>
      <c r="L435" s="23" t="str">
        <f>IFERROR(INDEX('Output Utente'!$E$2:$E$492,MATCH(432,'Output Utente'!$R$2:$R$492,0)),"")</f>
        <v/>
      </c>
      <c r="V435" t="str">
        <f>IFERROR(INDEX('Output Utente'!$M$2:$M$492,MATCH(432,'Output Utente'!$R$2:$R$492,0)),"")</f>
        <v/>
      </c>
      <c r="W435" t="str">
        <f t="shared" si="6"/>
        <v/>
      </c>
      <c r="X435" t="str">
        <f>IFERROR(INDEX('Output Utente'!$AF$2:$AF$492,MATCH(432,'Output Utente'!$R$2:$R$492,0)),"")</f>
        <v/>
      </c>
    </row>
    <row r="436" spans="1:24" ht="15" customHeight="1" x14ac:dyDescent="0.25">
      <c r="A436" s="26">
        <v>433</v>
      </c>
      <c r="B436" s="23" t="str">
        <f>IFERROR(INDEX('Output Utente'!$A$2:$A$492,MATCH(433,'Output Utente'!$R$2:$R$492,0)),"")</f>
        <v/>
      </c>
      <c r="C436" s="23" t="str">
        <f>IFERROR(INDEX('Output Utente'!$B$2:$B$492,MATCH(433,'Output Utente'!$R$2:$R$492,0)),"")</f>
        <v/>
      </c>
      <c r="D436" s="23" t="str">
        <f>IFERROR(INDEX('Output Utente'!$C$2:$C$492,MATCH(433,'Output Utente'!$R$2:$R$492,0)),"")</f>
        <v/>
      </c>
      <c r="E436" s="23" t="str">
        <f>IFERROR(INDEX('Input Giocatori 2026_27'!$D$3:$D$493,MATCH($B436,'Input Giocatori 2026_27'!$A$3:$A$493,0)),"")</f>
        <v/>
      </c>
      <c r="F436" s="24" t="str">
        <f>IFERROR(INDEX('Output Utente'!$N$2:$N$492,MATCH(433,'Output Utente'!$R$2:$R$492,0)),"")</f>
        <v/>
      </c>
      <c r="G436" s="23" t="str">
        <f>IFERROR(INDEX('Output Utente'!$O$2:$O$492,MATCH(433,'Output Utente'!$R$2:$R$492,0)),"")</f>
        <v/>
      </c>
      <c r="H436" s="23" t="str">
        <f>IFERROR(INDEX('Output Utente'!$P$2:$P$492,MATCH(433,'Output Utente'!$R$2:$R$492,0)),"")</f>
        <v/>
      </c>
      <c r="I436" s="24" t="str">
        <f>IFERROR(INDEX('Output Utente'!$F$2:$F$492,MATCH(433,'Output Utente'!$R$2:$R$492,0)),"")</f>
        <v/>
      </c>
      <c r="J436" s="24" t="str">
        <f>IFERROR(INDEX('Output Utente'!$G$2:$G$492,MATCH(433,'Output Utente'!$R$2:$R$492,0)),"")</f>
        <v/>
      </c>
      <c r="K436" s="24" t="str">
        <f>IFERROR(INDEX('Output Utente'!$H$2:$H$492,MATCH(433,'Output Utente'!$R$2:$R$492,0)),"")</f>
        <v/>
      </c>
      <c r="L436" s="23" t="str">
        <f>IFERROR(INDEX('Output Utente'!$E$2:$E$492,MATCH(433,'Output Utente'!$R$2:$R$492,0)),"")</f>
        <v/>
      </c>
      <c r="V436" t="str">
        <f>IFERROR(INDEX('Output Utente'!$M$2:$M$492,MATCH(433,'Output Utente'!$R$2:$R$492,0)),"")</f>
        <v/>
      </c>
      <c r="W436" t="str">
        <f t="shared" si="6"/>
        <v/>
      </c>
      <c r="X436" t="str">
        <f>IFERROR(INDEX('Output Utente'!$AF$2:$AF$492,MATCH(433,'Output Utente'!$R$2:$R$492,0)),"")</f>
        <v/>
      </c>
    </row>
    <row r="437" spans="1:24" ht="15" customHeight="1" x14ac:dyDescent="0.25">
      <c r="A437" s="26">
        <v>434</v>
      </c>
      <c r="B437" s="23" t="str">
        <f>IFERROR(INDEX('Output Utente'!$A$2:$A$492,MATCH(434,'Output Utente'!$R$2:$R$492,0)),"")</f>
        <v/>
      </c>
      <c r="C437" s="23" t="str">
        <f>IFERROR(INDEX('Output Utente'!$B$2:$B$492,MATCH(434,'Output Utente'!$R$2:$R$492,0)),"")</f>
        <v/>
      </c>
      <c r="D437" s="23" t="str">
        <f>IFERROR(INDEX('Output Utente'!$C$2:$C$492,MATCH(434,'Output Utente'!$R$2:$R$492,0)),"")</f>
        <v/>
      </c>
      <c r="E437" s="23" t="str">
        <f>IFERROR(INDEX('Input Giocatori 2026_27'!$D$3:$D$493,MATCH($B437,'Input Giocatori 2026_27'!$A$3:$A$493,0)),"")</f>
        <v/>
      </c>
      <c r="F437" s="24" t="str">
        <f>IFERROR(INDEX('Output Utente'!$N$2:$N$492,MATCH(434,'Output Utente'!$R$2:$R$492,0)),"")</f>
        <v/>
      </c>
      <c r="G437" s="23" t="str">
        <f>IFERROR(INDEX('Output Utente'!$O$2:$O$492,MATCH(434,'Output Utente'!$R$2:$R$492,0)),"")</f>
        <v/>
      </c>
      <c r="H437" s="23" t="str">
        <f>IFERROR(INDEX('Output Utente'!$P$2:$P$492,MATCH(434,'Output Utente'!$R$2:$R$492,0)),"")</f>
        <v/>
      </c>
      <c r="I437" s="24" t="str">
        <f>IFERROR(INDEX('Output Utente'!$F$2:$F$492,MATCH(434,'Output Utente'!$R$2:$R$492,0)),"")</f>
        <v/>
      </c>
      <c r="J437" s="24" t="str">
        <f>IFERROR(INDEX('Output Utente'!$G$2:$G$492,MATCH(434,'Output Utente'!$R$2:$R$492,0)),"")</f>
        <v/>
      </c>
      <c r="K437" s="24" t="str">
        <f>IFERROR(INDEX('Output Utente'!$H$2:$H$492,MATCH(434,'Output Utente'!$R$2:$R$492,0)),"")</f>
        <v/>
      </c>
      <c r="L437" s="23" t="str">
        <f>IFERROR(INDEX('Output Utente'!$E$2:$E$492,MATCH(434,'Output Utente'!$R$2:$R$492,0)),"")</f>
        <v/>
      </c>
      <c r="V437" t="str">
        <f>IFERROR(INDEX('Output Utente'!$M$2:$M$492,MATCH(434,'Output Utente'!$R$2:$R$492,0)),"")</f>
        <v/>
      </c>
      <c r="W437" t="str">
        <f t="shared" si="6"/>
        <v/>
      </c>
      <c r="X437" t="str">
        <f>IFERROR(INDEX('Output Utente'!$AF$2:$AF$492,MATCH(434,'Output Utente'!$R$2:$R$492,0)),"")</f>
        <v/>
      </c>
    </row>
    <row r="438" spans="1:24" ht="15" customHeight="1" x14ac:dyDescent="0.25">
      <c r="A438" s="26">
        <v>435</v>
      </c>
      <c r="B438" s="23" t="str">
        <f>IFERROR(INDEX('Output Utente'!$A$2:$A$492,MATCH(435,'Output Utente'!$R$2:$R$492,0)),"")</f>
        <v/>
      </c>
      <c r="C438" s="23" t="str">
        <f>IFERROR(INDEX('Output Utente'!$B$2:$B$492,MATCH(435,'Output Utente'!$R$2:$R$492,0)),"")</f>
        <v/>
      </c>
      <c r="D438" s="23" t="str">
        <f>IFERROR(INDEX('Output Utente'!$C$2:$C$492,MATCH(435,'Output Utente'!$R$2:$R$492,0)),"")</f>
        <v/>
      </c>
      <c r="E438" s="23" t="str">
        <f>IFERROR(INDEX('Input Giocatori 2026_27'!$D$3:$D$493,MATCH($B438,'Input Giocatori 2026_27'!$A$3:$A$493,0)),"")</f>
        <v/>
      </c>
      <c r="F438" s="24" t="str">
        <f>IFERROR(INDEX('Output Utente'!$N$2:$N$492,MATCH(435,'Output Utente'!$R$2:$R$492,0)),"")</f>
        <v/>
      </c>
      <c r="G438" s="23" t="str">
        <f>IFERROR(INDEX('Output Utente'!$O$2:$O$492,MATCH(435,'Output Utente'!$R$2:$R$492,0)),"")</f>
        <v/>
      </c>
      <c r="H438" s="23" t="str">
        <f>IFERROR(INDEX('Output Utente'!$P$2:$P$492,MATCH(435,'Output Utente'!$R$2:$R$492,0)),"")</f>
        <v/>
      </c>
      <c r="I438" s="24" t="str">
        <f>IFERROR(INDEX('Output Utente'!$F$2:$F$492,MATCH(435,'Output Utente'!$R$2:$R$492,0)),"")</f>
        <v/>
      </c>
      <c r="J438" s="24" t="str">
        <f>IFERROR(INDEX('Output Utente'!$G$2:$G$492,MATCH(435,'Output Utente'!$R$2:$R$492,0)),"")</f>
        <v/>
      </c>
      <c r="K438" s="24" t="str">
        <f>IFERROR(INDEX('Output Utente'!$H$2:$H$492,MATCH(435,'Output Utente'!$R$2:$R$492,0)),"")</f>
        <v/>
      </c>
      <c r="L438" s="23" t="str">
        <f>IFERROR(INDEX('Output Utente'!$E$2:$E$492,MATCH(435,'Output Utente'!$R$2:$R$492,0)),"")</f>
        <v/>
      </c>
      <c r="V438" t="str">
        <f>IFERROR(INDEX('Output Utente'!$M$2:$M$492,MATCH(435,'Output Utente'!$R$2:$R$492,0)),"")</f>
        <v/>
      </c>
      <c r="W438" t="str">
        <f t="shared" si="6"/>
        <v/>
      </c>
      <c r="X438" t="str">
        <f>IFERROR(INDEX('Output Utente'!$AF$2:$AF$492,MATCH(435,'Output Utente'!$R$2:$R$492,0)),"")</f>
        <v/>
      </c>
    </row>
    <row r="439" spans="1:24" ht="15" customHeight="1" x14ac:dyDescent="0.25">
      <c r="A439" s="26">
        <v>436</v>
      </c>
      <c r="B439" s="23" t="str">
        <f>IFERROR(INDEX('Output Utente'!$A$2:$A$492,MATCH(436,'Output Utente'!$R$2:$R$492,0)),"")</f>
        <v/>
      </c>
      <c r="C439" s="23" t="str">
        <f>IFERROR(INDEX('Output Utente'!$B$2:$B$492,MATCH(436,'Output Utente'!$R$2:$R$492,0)),"")</f>
        <v/>
      </c>
      <c r="D439" s="23" t="str">
        <f>IFERROR(INDEX('Output Utente'!$C$2:$C$492,MATCH(436,'Output Utente'!$R$2:$R$492,0)),"")</f>
        <v/>
      </c>
      <c r="E439" s="23" t="str">
        <f>IFERROR(INDEX('Input Giocatori 2026_27'!$D$3:$D$493,MATCH($B439,'Input Giocatori 2026_27'!$A$3:$A$493,0)),"")</f>
        <v/>
      </c>
      <c r="F439" s="24" t="str">
        <f>IFERROR(INDEX('Output Utente'!$N$2:$N$492,MATCH(436,'Output Utente'!$R$2:$R$492,0)),"")</f>
        <v/>
      </c>
      <c r="G439" s="23" t="str">
        <f>IFERROR(INDEX('Output Utente'!$O$2:$O$492,MATCH(436,'Output Utente'!$R$2:$R$492,0)),"")</f>
        <v/>
      </c>
      <c r="H439" s="23" t="str">
        <f>IFERROR(INDEX('Output Utente'!$P$2:$P$492,MATCH(436,'Output Utente'!$R$2:$R$492,0)),"")</f>
        <v/>
      </c>
      <c r="I439" s="24" t="str">
        <f>IFERROR(INDEX('Output Utente'!$F$2:$F$492,MATCH(436,'Output Utente'!$R$2:$R$492,0)),"")</f>
        <v/>
      </c>
      <c r="J439" s="24" t="str">
        <f>IFERROR(INDEX('Output Utente'!$G$2:$G$492,MATCH(436,'Output Utente'!$R$2:$R$492,0)),"")</f>
        <v/>
      </c>
      <c r="K439" s="24" t="str">
        <f>IFERROR(INDEX('Output Utente'!$H$2:$H$492,MATCH(436,'Output Utente'!$R$2:$R$492,0)),"")</f>
        <v/>
      </c>
      <c r="L439" s="23" t="str">
        <f>IFERROR(INDEX('Output Utente'!$E$2:$E$492,MATCH(436,'Output Utente'!$R$2:$R$492,0)),"")</f>
        <v/>
      </c>
      <c r="V439" t="str">
        <f>IFERROR(INDEX('Output Utente'!$M$2:$M$492,MATCH(436,'Output Utente'!$R$2:$R$492,0)),"")</f>
        <v/>
      </c>
      <c r="W439" t="str">
        <f t="shared" si="6"/>
        <v/>
      </c>
      <c r="X439" t="str">
        <f>IFERROR(INDEX('Output Utente'!$AF$2:$AF$492,MATCH(436,'Output Utente'!$R$2:$R$492,0)),"")</f>
        <v/>
      </c>
    </row>
    <row r="440" spans="1:24" ht="15" customHeight="1" x14ac:dyDescent="0.25">
      <c r="A440" s="26">
        <v>437</v>
      </c>
      <c r="B440" s="23" t="str">
        <f>IFERROR(INDEX('Output Utente'!$A$2:$A$492,MATCH(437,'Output Utente'!$R$2:$R$492,0)),"")</f>
        <v/>
      </c>
      <c r="C440" s="23" t="str">
        <f>IFERROR(INDEX('Output Utente'!$B$2:$B$492,MATCH(437,'Output Utente'!$R$2:$R$492,0)),"")</f>
        <v/>
      </c>
      <c r="D440" s="23" t="str">
        <f>IFERROR(INDEX('Output Utente'!$C$2:$C$492,MATCH(437,'Output Utente'!$R$2:$R$492,0)),"")</f>
        <v/>
      </c>
      <c r="E440" s="23" t="str">
        <f>IFERROR(INDEX('Input Giocatori 2026_27'!$D$3:$D$493,MATCH($B440,'Input Giocatori 2026_27'!$A$3:$A$493,0)),"")</f>
        <v/>
      </c>
      <c r="F440" s="24" t="str">
        <f>IFERROR(INDEX('Output Utente'!$N$2:$N$492,MATCH(437,'Output Utente'!$R$2:$R$492,0)),"")</f>
        <v/>
      </c>
      <c r="G440" s="23" t="str">
        <f>IFERROR(INDEX('Output Utente'!$O$2:$O$492,MATCH(437,'Output Utente'!$R$2:$R$492,0)),"")</f>
        <v/>
      </c>
      <c r="H440" s="23" t="str">
        <f>IFERROR(INDEX('Output Utente'!$P$2:$P$492,MATCH(437,'Output Utente'!$R$2:$R$492,0)),"")</f>
        <v/>
      </c>
      <c r="I440" s="24" t="str">
        <f>IFERROR(INDEX('Output Utente'!$F$2:$F$492,MATCH(437,'Output Utente'!$R$2:$R$492,0)),"")</f>
        <v/>
      </c>
      <c r="J440" s="24" t="str">
        <f>IFERROR(INDEX('Output Utente'!$G$2:$G$492,MATCH(437,'Output Utente'!$R$2:$R$492,0)),"")</f>
        <v/>
      </c>
      <c r="K440" s="24" t="str">
        <f>IFERROR(INDEX('Output Utente'!$H$2:$H$492,MATCH(437,'Output Utente'!$R$2:$R$492,0)),"")</f>
        <v/>
      </c>
      <c r="L440" s="23" t="str">
        <f>IFERROR(INDEX('Output Utente'!$E$2:$E$492,MATCH(437,'Output Utente'!$R$2:$R$492,0)),"")</f>
        <v/>
      </c>
      <c r="V440" t="str">
        <f>IFERROR(INDEX('Output Utente'!$M$2:$M$492,MATCH(437,'Output Utente'!$R$2:$R$492,0)),"")</f>
        <v/>
      </c>
      <c r="W440" t="str">
        <f t="shared" si="6"/>
        <v/>
      </c>
      <c r="X440" t="str">
        <f>IFERROR(INDEX('Output Utente'!$AF$2:$AF$492,MATCH(437,'Output Utente'!$R$2:$R$492,0)),"")</f>
        <v/>
      </c>
    </row>
    <row r="441" spans="1:24" ht="15" customHeight="1" x14ac:dyDescent="0.25">
      <c r="A441" s="26">
        <v>438</v>
      </c>
      <c r="B441" s="23" t="str">
        <f>IFERROR(INDEX('Output Utente'!$A$2:$A$492,MATCH(438,'Output Utente'!$R$2:$R$492,0)),"")</f>
        <v/>
      </c>
      <c r="C441" s="23" t="str">
        <f>IFERROR(INDEX('Output Utente'!$B$2:$B$492,MATCH(438,'Output Utente'!$R$2:$R$492,0)),"")</f>
        <v/>
      </c>
      <c r="D441" s="23" t="str">
        <f>IFERROR(INDEX('Output Utente'!$C$2:$C$492,MATCH(438,'Output Utente'!$R$2:$R$492,0)),"")</f>
        <v/>
      </c>
      <c r="E441" s="23" t="str">
        <f>IFERROR(INDEX('Input Giocatori 2026_27'!$D$3:$D$493,MATCH($B441,'Input Giocatori 2026_27'!$A$3:$A$493,0)),"")</f>
        <v/>
      </c>
      <c r="F441" s="24" t="str">
        <f>IFERROR(INDEX('Output Utente'!$N$2:$N$492,MATCH(438,'Output Utente'!$R$2:$R$492,0)),"")</f>
        <v/>
      </c>
      <c r="G441" s="23" t="str">
        <f>IFERROR(INDEX('Output Utente'!$O$2:$O$492,MATCH(438,'Output Utente'!$R$2:$R$492,0)),"")</f>
        <v/>
      </c>
      <c r="H441" s="23" t="str">
        <f>IFERROR(INDEX('Output Utente'!$P$2:$P$492,MATCH(438,'Output Utente'!$R$2:$R$492,0)),"")</f>
        <v/>
      </c>
      <c r="I441" s="24" t="str">
        <f>IFERROR(INDEX('Output Utente'!$F$2:$F$492,MATCH(438,'Output Utente'!$R$2:$R$492,0)),"")</f>
        <v/>
      </c>
      <c r="J441" s="24" t="str">
        <f>IFERROR(INDEX('Output Utente'!$G$2:$G$492,MATCH(438,'Output Utente'!$R$2:$R$492,0)),"")</f>
        <v/>
      </c>
      <c r="K441" s="24" t="str">
        <f>IFERROR(INDEX('Output Utente'!$H$2:$H$492,MATCH(438,'Output Utente'!$R$2:$R$492,0)),"")</f>
        <v/>
      </c>
      <c r="L441" s="23" t="str">
        <f>IFERROR(INDEX('Output Utente'!$E$2:$E$492,MATCH(438,'Output Utente'!$R$2:$R$492,0)),"")</f>
        <v/>
      </c>
      <c r="V441" t="str">
        <f>IFERROR(INDEX('Output Utente'!$M$2:$M$492,MATCH(438,'Output Utente'!$R$2:$R$492,0)),"")</f>
        <v/>
      </c>
      <c r="W441" t="str">
        <f t="shared" si="6"/>
        <v/>
      </c>
      <c r="X441" t="str">
        <f>IFERROR(INDEX('Output Utente'!$AF$2:$AF$492,MATCH(438,'Output Utente'!$R$2:$R$492,0)),"")</f>
        <v/>
      </c>
    </row>
    <row r="442" spans="1:24" ht="15" customHeight="1" x14ac:dyDescent="0.25">
      <c r="A442" s="26">
        <v>439</v>
      </c>
      <c r="B442" s="23" t="str">
        <f>IFERROR(INDEX('Output Utente'!$A$2:$A$492,MATCH(439,'Output Utente'!$R$2:$R$492,0)),"")</f>
        <v/>
      </c>
      <c r="C442" s="23" t="str">
        <f>IFERROR(INDEX('Output Utente'!$B$2:$B$492,MATCH(439,'Output Utente'!$R$2:$R$492,0)),"")</f>
        <v/>
      </c>
      <c r="D442" s="23" t="str">
        <f>IFERROR(INDEX('Output Utente'!$C$2:$C$492,MATCH(439,'Output Utente'!$R$2:$R$492,0)),"")</f>
        <v/>
      </c>
      <c r="E442" s="23" t="str">
        <f>IFERROR(INDEX('Input Giocatori 2026_27'!$D$3:$D$493,MATCH($B442,'Input Giocatori 2026_27'!$A$3:$A$493,0)),"")</f>
        <v/>
      </c>
      <c r="F442" s="24" t="str">
        <f>IFERROR(INDEX('Output Utente'!$N$2:$N$492,MATCH(439,'Output Utente'!$R$2:$R$492,0)),"")</f>
        <v/>
      </c>
      <c r="G442" s="23" t="str">
        <f>IFERROR(INDEX('Output Utente'!$O$2:$O$492,MATCH(439,'Output Utente'!$R$2:$R$492,0)),"")</f>
        <v/>
      </c>
      <c r="H442" s="23" t="str">
        <f>IFERROR(INDEX('Output Utente'!$P$2:$P$492,MATCH(439,'Output Utente'!$R$2:$R$492,0)),"")</f>
        <v/>
      </c>
      <c r="I442" s="24" t="str">
        <f>IFERROR(INDEX('Output Utente'!$F$2:$F$492,MATCH(439,'Output Utente'!$R$2:$R$492,0)),"")</f>
        <v/>
      </c>
      <c r="J442" s="24" t="str">
        <f>IFERROR(INDEX('Output Utente'!$G$2:$G$492,MATCH(439,'Output Utente'!$R$2:$R$492,0)),"")</f>
        <v/>
      </c>
      <c r="K442" s="24" t="str">
        <f>IFERROR(INDEX('Output Utente'!$H$2:$H$492,MATCH(439,'Output Utente'!$R$2:$R$492,0)),"")</f>
        <v/>
      </c>
      <c r="L442" s="23" t="str">
        <f>IFERROR(INDEX('Output Utente'!$E$2:$E$492,MATCH(439,'Output Utente'!$R$2:$R$492,0)),"")</f>
        <v/>
      </c>
      <c r="V442" t="str">
        <f>IFERROR(INDEX('Output Utente'!$M$2:$M$492,MATCH(439,'Output Utente'!$R$2:$R$492,0)),"")</f>
        <v/>
      </c>
      <c r="W442" t="str">
        <f t="shared" si="6"/>
        <v/>
      </c>
      <c r="X442" t="str">
        <f>IFERROR(INDEX('Output Utente'!$AF$2:$AF$492,MATCH(439,'Output Utente'!$R$2:$R$492,0)),"")</f>
        <v/>
      </c>
    </row>
    <row r="443" spans="1:24" ht="15" customHeight="1" x14ac:dyDescent="0.25">
      <c r="A443" s="26">
        <v>440</v>
      </c>
      <c r="B443" s="23" t="str">
        <f>IFERROR(INDEX('Output Utente'!$A$2:$A$492,MATCH(440,'Output Utente'!$R$2:$R$492,0)),"")</f>
        <v/>
      </c>
      <c r="C443" s="23" t="str">
        <f>IFERROR(INDEX('Output Utente'!$B$2:$B$492,MATCH(440,'Output Utente'!$R$2:$R$492,0)),"")</f>
        <v/>
      </c>
      <c r="D443" s="23" t="str">
        <f>IFERROR(INDEX('Output Utente'!$C$2:$C$492,MATCH(440,'Output Utente'!$R$2:$R$492,0)),"")</f>
        <v/>
      </c>
      <c r="E443" s="23" t="str">
        <f>IFERROR(INDEX('Input Giocatori 2026_27'!$D$3:$D$493,MATCH($B443,'Input Giocatori 2026_27'!$A$3:$A$493,0)),"")</f>
        <v/>
      </c>
      <c r="F443" s="24" t="str">
        <f>IFERROR(INDEX('Output Utente'!$N$2:$N$492,MATCH(440,'Output Utente'!$R$2:$R$492,0)),"")</f>
        <v/>
      </c>
      <c r="G443" s="23" t="str">
        <f>IFERROR(INDEX('Output Utente'!$O$2:$O$492,MATCH(440,'Output Utente'!$R$2:$R$492,0)),"")</f>
        <v/>
      </c>
      <c r="H443" s="23" t="str">
        <f>IFERROR(INDEX('Output Utente'!$P$2:$P$492,MATCH(440,'Output Utente'!$R$2:$R$492,0)),"")</f>
        <v/>
      </c>
      <c r="I443" s="24" t="str">
        <f>IFERROR(INDEX('Output Utente'!$F$2:$F$492,MATCH(440,'Output Utente'!$R$2:$R$492,0)),"")</f>
        <v/>
      </c>
      <c r="J443" s="24" t="str">
        <f>IFERROR(INDEX('Output Utente'!$G$2:$G$492,MATCH(440,'Output Utente'!$R$2:$R$492,0)),"")</f>
        <v/>
      </c>
      <c r="K443" s="24" t="str">
        <f>IFERROR(INDEX('Output Utente'!$H$2:$H$492,MATCH(440,'Output Utente'!$R$2:$R$492,0)),"")</f>
        <v/>
      </c>
      <c r="L443" s="23" t="str">
        <f>IFERROR(INDEX('Output Utente'!$E$2:$E$492,MATCH(440,'Output Utente'!$R$2:$R$492,0)),"")</f>
        <v/>
      </c>
      <c r="V443" t="str">
        <f>IFERROR(INDEX('Output Utente'!$M$2:$M$492,MATCH(440,'Output Utente'!$R$2:$R$492,0)),"")</f>
        <v/>
      </c>
      <c r="W443" t="str">
        <f t="shared" si="6"/>
        <v/>
      </c>
      <c r="X443" t="str">
        <f>IFERROR(INDEX('Output Utente'!$AF$2:$AF$492,MATCH(440,'Output Utente'!$R$2:$R$492,0)),"")</f>
        <v/>
      </c>
    </row>
    <row r="444" spans="1:24" ht="15" customHeight="1" x14ac:dyDescent="0.25">
      <c r="A444" s="26">
        <v>441</v>
      </c>
      <c r="B444" s="23" t="str">
        <f>IFERROR(INDEX('Output Utente'!$A$2:$A$492,MATCH(441,'Output Utente'!$R$2:$R$492,0)),"")</f>
        <v/>
      </c>
      <c r="C444" s="23" t="str">
        <f>IFERROR(INDEX('Output Utente'!$B$2:$B$492,MATCH(441,'Output Utente'!$R$2:$R$492,0)),"")</f>
        <v/>
      </c>
      <c r="D444" s="23" t="str">
        <f>IFERROR(INDEX('Output Utente'!$C$2:$C$492,MATCH(441,'Output Utente'!$R$2:$R$492,0)),"")</f>
        <v/>
      </c>
      <c r="E444" s="23" t="str">
        <f>IFERROR(INDEX('Input Giocatori 2026_27'!$D$3:$D$493,MATCH($B444,'Input Giocatori 2026_27'!$A$3:$A$493,0)),"")</f>
        <v/>
      </c>
      <c r="F444" s="24" t="str">
        <f>IFERROR(INDEX('Output Utente'!$N$2:$N$492,MATCH(441,'Output Utente'!$R$2:$R$492,0)),"")</f>
        <v/>
      </c>
      <c r="G444" s="23" t="str">
        <f>IFERROR(INDEX('Output Utente'!$O$2:$O$492,MATCH(441,'Output Utente'!$R$2:$R$492,0)),"")</f>
        <v/>
      </c>
      <c r="H444" s="23" t="str">
        <f>IFERROR(INDEX('Output Utente'!$P$2:$P$492,MATCH(441,'Output Utente'!$R$2:$R$492,0)),"")</f>
        <v/>
      </c>
      <c r="I444" s="24" t="str">
        <f>IFERROR(INDEX('Output Utente'!$F$2:$F$492,MATCH(441,'Output Utente'!$R$2:$R$492,0)),"")</f>
        <v/>
      </c>
      <c r="J444" s="24" t="str">
        <f>IFERROR(INDEX('Output Utente'!$G$2:$G$492,MATCH(441,'Output Utente'!$R$2:$R$492,0)),"")</f>
        <v/>
      </c>
      <c r="K444" s="24" t="str">
        <f>IFERROR(INDEX('Output Utente'!$H$2:$H$492,MATCH(441,'Output Utente'!$R$2:$R$492,0)),"")</f>
        <v/>
      </c>
      <c r="L444" s="23" t="str">
        <f>IFERROR(INDEX('Output Utente'!$E$2:$E$492,MATCH(441,'Output Utente'!$R$2:$R$492,0)),"")</f>
        <v/>
      </c>
      <c r="V444" t="str">
        <f>IFERROR(INDEX('Output Utente'!$M$2:$M$492,MATCH(441,'Output Utente'!$R$2:$R$492,0)),"")</f>
        <v/>
      </c>
      <c r="W444" t="str">
        <f t="shared" si="6"/>
        <v/>
      </c>
      <c r="X444" t="str">
        <f>IFERROR(INDEX('Output Utente'!$AF$2:$AF$492,MATCH(441,'Output Utente'!$R$2:$R$492,0)),"")</f>
        <v/>
      </c>
    </row>
    <row r="445" spans="1:24" ht="15" customHeight="1" x14ac:dyDescent="0.25">
      <c r="A445" s="26">
        <v>442</v>
      </c>
      <c r="B445" s="23" t="str">
        <f>IFERROR(INDEX('Output Utente'!$A$2:$A$492,MATCH(442,'Output Utente'!$R$2:$R$492,0)),"")</f>
        <v/>
      </c>
      <c r="C445" s="23" t="str">
        <f>IFERROR(INDEX('Output Utente'!$B$2:$B$492,MATCH(442,'Output Utente'!$R$2:$R$492,0)),"")</f>
        <v/>
      </c>
      <c r="D445" s="23" t="str">
        <f>IFERROR(INDEX('Output Utente'!$C$2:$C$492,MATCH(442,'Output Utente'!$R$2:$R$492,0)),"")</f>
        <v/>
      </c>
      <c r="E445" s="23" t="str">
        <f>IFERROR(INDEX('Input Giocatori 2026_27'!$D$3:$D$493,MATCH($B445,'Input Giocatori 2026_27'!$A$3:$A$493,0)),"")</f>
        <v/>
      </c>
      <c r="F445" s="24" t="str">
        <f>IFERROR(INDEX('Output Utente'!$N$2:$N$492,MATCH(442,'Output Utente'!$R$2:$R$492,0)),"")</f>
        <v/>
      </c>
      <c r="G445" s="23" t="str">
        <f>IFERROR(INDEX('Output Utente'!$O$2:$O$492,MATCH(442,'Output Utente'!$R$2:$R$492,0)),"")</f>
        <v/>
      </c>
      <c r="H445" s="23" t="str">
        <f>IFERROR(INDEX('Output Utente'!$P$2:$P$492,MATCH(442,'Output Utente'!$R$2:$R$492,0)),"")</f>
        <v/>
      </c>
      <c r="I445" s="24" t="str">
        <f>IFERROR(INDEX('Output Utente'!$F$2:$F$492,MATCH(442,'Output Utente'!$R$2:$R$492,0)),"")</f>
        <v/>
      </c>
      <c r="J445" s="24" t="str">
        <f>IFERROR(INDEX('Output Utente'!$G$2:$G$492,MATCH(442,'Output Utente'!$R$2:$R$492,0)),"")</f>
        <v/>
      </c>
      <c r="K445" s="24" t="str">
        <f>IFERROR(INDEX('Output Utente'!$H$2:$H$492,MATCH(442,'Output Utente'!$R$2:$R$492,0)),"")</f>
        <v/>
      </c>
      <c r="L445" s="23" t="str">
        <f>IFERROR(INDEX('Output Utente'!$E$2:$E$492,MATCH(442,'Output Utente'!$R$2:$R$492,0)),"")</f>
        <v/>
      </c>
      <c r="V445" t="str">
        <f>IFERROR(INDEX('Output Utente'!$M$2:$M$492,MATCH(442,'Output Utente'!$R$2:$R$492,0)),"")</f>
        <v/>
      </c>
      <c r="W445" t="str">
        <f t="shared" si="6"/>
        <v/>
      </c>
      <c r="X445" t="str">
        <f>IFERROR(INDEX('Output Utente'!$AF$2:$AF$492,MATCH(442,'Output Utente'!$R$2:$R$492,0)),"")</f>
        <v/>
      </c>
    </row>
    <row r="446" spans="1:24" ht="15" customHeight="1" x14ac:dyDescent="0.25">
      <c r="A446" s="26">
        <v>443</v>
      </c>
      <c r="B446" s="23" t="str">
        <f>IFERROR(INDEX('Output Utente'!$A$2:$A$492,MATCH(443,'Output Utente'!$R$2:$R$492,0)),"")</f>
        <v/>
      </c>
      <c r="C446" s="23" t="str">
        <f>IFERROR(INDEX('Output Utente'!$B$2:$B$492,MATCH(443,'Output Utente'!$R$2:$R$492,0)),"")</f>
        <v/>
      </c>
      <c r="D446" s="23" t="str">
        <f>IFERROR(INDEX('Output Utente'!$C$2:$C$492,MATCH(443,'Output Utente'!$R$2:$R$492,0)),"")</f>
        <v/>
      </c>
      <c r="E446" s="23" t="str">
        <f>IFERROR(INDEX('Input Giocatori 2026_27'!$D$3:$D$493,MATCH($B446,'Input Giocatori 2026_27'!$A$3:$A$493,0)),"")</f>
        <v/>
      </c>
      <c r="F446" s="24" t="str">
        <f>IFERROR(INDEX('Output Utente'!$N$2:$N$492,MATCH(443,'Output Utente'!$R$2:$R$492,0)),"")</f>
        <v/>
      </c>
      <c r="G446" s="23" t="str">
        <f>IFERROR(INDEX('Output Utente'!$O$2:$O$492,MATCH(443,'Output Utente'!$R$2:$R$492,0)),"")</f>
        <v/>
      </c>
      <c r="H446" s="23" t="str">
        <f>IFERROR(INDEX('Output Utente'!$P$2:$P$492,MATCH(443,'Output Utente'!$R$2:$R$492,0)),"")</f>
        <v/>
      </c>
      <c r="I446" s="24" t="str">
        <f>IFERROR(INDEX('Output Utente'!$F$2:$F$492,MATCH(443,'Output Utente'!$R$2:$R$492,0)),"")</f>
        <v/>
      </c>
      <c r="J446" s="24" t="str">
        <f>IFERROR(INDEX('Output Utente'!$G$2:$G$492,MATCH(443,'Output Utente'!$R$2:$R$492,0)),"")</f>
        <v/>
      </c>
      <c r="K446" s="24" t="str">
        <f>IFERROR(INDEX('Output Utente'!$H$2:$H$492,MATCH(443,'Output Utente'!$R$2:$R$492,0)),"")</f>
        <v/>
      </c>
      <c r="L446" s="23" t="str">
        <f>IFERROR(INDEX('Output Utente'!$E$2:$E$492,MATCH(443,'Output Utente'!$R$2:$R$492,0)),"")</f>
        <v/>
      </c>
      <c r="V446" t="str">
        <f>IFERROR(INDEX('Output Utente'!$M$2:$M$492,MATCH(443,'Output Utente'!$R$2:$R$492,0)),"")</f>
        <v/>
      </c>
      <c r="W446" t="str">
        <f t="shared" si="6"/>
        <v/>
      </c>
      <c r="X446" t="str">
        <f>IFERROR(INDEX('Output Utente'!$AF$2:$AF$492,MATCH(443,'Output Utente'!$R$2:$R$492,0)),"")</f>
        <v/>
      </c>
    </row>
    <row r="447" spans="1:24" ht="15" customHeight="1" x14ac:dyDescent="0.25">
      <c r="A447" s="26">
        <v>444</v>
      </c>
      <c r="B447" s="23" t="str">
        <f>IFERROR(INDEX('Output Utente'!$A$2:$A$492,MATCH(444,'Output Utente'!$R$2:$R$492,0)),"")</f>
        <v/>
      </c>
      <c r="C447" s="23" t="str">
        <f>IFERROR(INDEX('Output Utente'!$B$2:$B$492,MATCH(444,'Output Utente'!$R$2:$R$492,0)),"")</f>
        <v/>
      </c>
      <c r="D447" s="23" t="str">
        <f>IFERROR(INDEX('Output Utente'!$C$2:$C$492,MATCH(444,'Output Utente'!$R$2:$R$492,0)),"")</f>
        <v/>
      </c>
      <c r="E447" s="23" t="str">
        <f>IFERROR(INDEX('Input Giocatori 2026_27'!$D$3:$D$493,MATCH($B447,'Input Giocatori 2026_27'!$A$3:$A$493,0)),"")</f>
        <v/>
      </c>
      <c r="F447" s="24" t="str">
        <f>IFERROR(INDEX('Output Utente'!$N$2:$N$492,MATCH(444,'Output Utente'!$R$2:$R$492,0)),"")</f>
        <v/>
      </c>
      <c r="G447" s="23" t="str">
        <f>IFERROR(INDEX('Output Utente'!$O$2:$O$492,MATCH(444,'Output Utente'!$R$2:$R$492,0)),"")</f>
        <v/>
      </c>
      <c r="H447" s="23" t="str">
        <f>IFERROR(INDEX('Output Utente'!$P$2:$P$492,MATCH(444,'Output Utente'!$R$2:$R$492,0)),"")</f>
        <v/>
      </c>
      <c r="I447" s="24" t="str">
        <f>IFERROR(INDEX('Output Utente'!$F$2:$F$492,MATCH(444,'Output Utente'!$R$2:$R$492,0)),"")</f>
        <v/>
      </c>
      <c r="J447" s="24" t="str">
        <f>IFERROR(INDEX('Output Utente'!$G$2:$G$492,MATCH(444,'Output Utente'!$R$2:$R$492,0)),"")</f>
        <v/>
      </c>
      <c r="K447" s="24" t="str">
        <f>IFERROR(INDEX('Output Utente'!$H$2:$H$492,MATCH(444,'Output Utente'!$R$2:$R$492,0)),"")</f>
        <v/>
      </c>
      <c r="L447" s="23" t="str">
        <f>IFERROR(INDEX('Output Utente'!$E$2:$E$492,MATCH(444,'Output Utente'!$R$2:$R$492,0)),"")</f>
        <v/>
      </c>
      <c r="V447" t="str">
        <f>IFERROR(INDEX('Output Utente'!$M$2:$M$492,MATCH(444,'Output Utente'!$R$2:$R$492,0)),"")</f>
        <v/>
      </c>
      <c r="W447" t="str">
        <f t="shared" si="6"/>
        <v/>
      </c>
      <c r="X447" t="str">
        <f>IFERROR(INDEX('Output Utente'!$AF$2:$AF$492,MATCH(444,'Output Utente'!$R$2:$R$492,0)),"")</f>
        <v/>
      </c>
    </row>
    <row r="448" spans="1:24" ht="15" customHeight="1" x14ac:dyDescent="0.25">
      <c r="A448" s="26">
        <v>445</v>
      </c>
      <c r="B448" s="23" t="str">
        <f>IFERROR(INDEX('Output Utente'!$A$2:$A$492,MATCH(445,'Output Utente'!$R$2:$R$492,0)),"")</f>
        <v/>
      </c>
      <c r="C448" s="23" t="str">
        <f>IFERROR(INDEX('Output Utente'!$B$2:$B$492,MATCH(445,'Output Utente'!$R$2:$R$492,0)),"")</f>
        <v/>
      </c>
      <c r="D448" s="23" t="str">
        <f>IFERROR(INDEX('Output Utente'!$C$2:$C$492,MATCH(445,'Output Utente'!$R$2:$R$492,0)),"")</f>
        <v/>
      </c>
      <c r="E448" s="23" t="str">
        <f>IFERROR(INDEX('Input Giocatori 2026_27'!$D$3:$D$493,MATCH($B448,'Input Giocatori 2026_27'!$A$3:$A$493,0)),"")</f>
        <v/>
      </c>
      <c r="F448" s="24" t="str">
        <f>IFERROR(INDEX('Output Utente'!$N$2:$N$492,MATCH(445,'Output Utente'!$R$2:$R$492,0)),"")</f>
        <v/>
      </c>
      <c r="G448" s="23" t="str">
        <f>IFERROR(INDEX('Output Utente'!$O$2:$O$492,MATCH(445,'Output Utente'!$R$2:$R$492,0)),"")</f>
        <v/>
      </c>
      <c r="H448" s="23" t="str">
        <f>IFERROR(INDEX('Output Utente'!$P$2:$P$492,MATCH(445,'Output Utente'!$R$2:$R$492,0)),"")</f>
        <v/>
      </c>
      <c r="I448" s="24" t="str">
        <f>IFERROR(INDEX('Output Utente'!$F$2:$F$492,MATCH(445,'Output Utente'!$R$2:$R$492,0)),"")</f>
        <v/>
      </c>
      <c r="J448" s="24" t="str">
        <f>IFERROR(INDEX('Output Utente'!$G$2:$G$492,MATCH(445,'Output Utente'!$R$2:$R$492,0)),"")</f>
        <v/>
      </c>
      <c r="K448" s="24" t="str">
        <f>IFERROR(INDEX('Output Utente'!$H$2:$H$492,MATCH(445,'Output Utente'!$R$2:$R$492,0)),"")</f>
        <v/>
      </c>
      <c r="L448" s="23" t="str">
        <f>IFERROR(INDEX('Output Utente'!$E$2:$E$492,MATCH(445,'Output Utente'!$R$2:$R$492,0)),"")</f>
        <v/>
      </c>
      <c r="V448" t="str">
        <f>IFERROR(INDEX('Output Utente'!$M$2:$M$492,MATCH(445,'Output Utente'!$R$2:$R$492,0)),"")</f>
        <v/>
      </c>
      <c r="W448" t="str">
        <f t="shared" si="6"/>
        <v/>
      </c>
      <c r="X448" t="str">
        <f>IFERROR(INDEX('Output Utente'!$AF$2:$AF$492,MATCH(445,'Output Utente'!$R$2:$R$492,0)),"")</f>
        <v/>
      </c>
    </row>
    <row r="449" spans="1:24" ht="15" customHeight="1" x14ac:dyDescent="0.25">
      <c r="A449" s="26">
        <v>446</v>
      </c>
      <c r="B449" s="23" t="str">
        <f>IFERROR(INDEX('Output Utente'!$A$2:$A$492,MATCH(446,'Output Utente'!$R$2:$R$492,0)),"")</f>
        <v/>
      </c>
      <c r="C449" s="23" t="str">
        <f>IFERROR(INDEX('Output Utente'!$B$2:$B$492,MATCH(446,'Output Utente'!$R$2:$R$492,0)),"")</f>
        <v/>
      </c>
      <c r="D449" s="23" t="str">
        <f>IFERROR(INDEX('Output Utente'!$C$2:$C$492,MATCH(446,'Output Utente'!$R$2:$R$492,0)),"")</f>
        <v/>
      </c>
      <c r="E449" s="23" t="str">
        <f>IFERROR(INDEX('Input Giocatori 2026_27'!$D$3:$D$493,MATCH($B449,'Input Giocatori 2026_27'!$A$3:$A$493,0)),"")</f>
        <v/>
      </c>
      <c r="F449" s="24" t="str">
        <f>IFERROR(INDEX('Output Utente'!$N$2:$N$492,MATCH(446,'Output Utente'!$R$2:$R$492,0)),"")</f>
        <v/>
      </c>
      <c r="G449" s="23" t="str">
        <f>IFERROR(INDEX('Output Utente'!$O$2:$O$492,MATCH(446,'Output Utente'!$R$2:$R$492,0)),"")</f>
        <v/>
      </c>
      <c r="H449" s="23" t="str">
        <f>IFERROR(INDEX('Output Utente'!$P$2:$P$492,MATCH(446,'Output Utente'!$R$2:$R$492,0)),"")</f>
        <v/>
      </c>
      <c r="I449" s="24" t="str">
        <f>IFERROR(INDEX('Output Utente'!$F$2:$F$492,MATCH(446,'Output Utente'!$R$2:$R$492,0)),"")</f>
        <v/>
      </c>
      <c r="J449" s="24" t="str">
        <f>IFERROR(INDEX('Output Utente'!$G$2:$G$492,MATCH(446,'Output Utente'!$R$2:$R$492,0)),"")</f>
        <v/>
      </c>
      <c r="K449" s="24" t="str">
        <f>IFERROR(INDEX('Output Utente'!$H$2:$H$492,MATCH(446,'Output Utente'!$R$2:$R$492,0)),"")</f>
        <v/>
      </c>
      <c r="L449" s="23" t="str">
        <f>IFERROR(INDEX('Output Utente'!$E$2:$E$492,MATCH(446,'Output Utente'!$R$2:$R$492,0)),"")</f>
        <v/>
      </c>
      <c r="V449" t="str">
        <f>IFERROR(INDEX('Output Utente'!$M$2:$M$492,MATCH(446,'Output Utente'!$R$2:$R$492,0)),"")</f>
        <v/>
      </c>
      <c r="W449" t="str">
        <f t="shared" si="6"/>
        <v/>
      </c>
      <c r="X449" t="str">
        <f>IFERROR(INDEX('Output Utente'!$AF$2:$AF$492,MATCH(446,'Output Utente'!$R$2:$R$492,0)),"")</f>
        <v/>
      </c>
    </row>
    <row r="450" spans="1:24" ht="15" customHeight="1" x14ac:dyDescent="0.25">
      <c r="A450" s="26">
        <v>447</v>
      </c>
      <c r="B450" s="23" t="str">
        <f>IFERROR(INDEX('Output Utente'!$A$2:$A$492,MATCH(447,'Output Utente'!$R$2:$R$492,0)),"")</f>
        <v/>
      </c>
      <c r="C450" s="23" t="str">
        <f>IFERROR(INDEX('Output Utente'!$B$2:$B$492,MATCH(447,'Output Utente'!$R$2:$R$492,0)),"")</f>
        <v/>
      </c>
      <c r="D450" s="23" t="str">
        <f>IFERROR(INDEX('Output Utente'!$C$2:$C$492,MATCH(447,'Output Utente'!$R$2:$R$492,0)),"")</f>
        <v/>
      </c>
      <c r="E450" s="23" t="str">
        <f>IFERROR(INDEX('Input Giocatori 2026_27'!$D$3:$D$493,MATCH($B450,'Input Giocatori 2026_27'!$A$3:$A$493,0)),"")</f>
        <v/>
      </c>
      <c r="F450" s="24" t="str">
        <f>IFERROR(INDEX('Output Utente'!$N$2:$N$492,MATCH(447,'Output Utente'!$R$2:$R$492,0)),"")</f>
        <v/>
      </c>
      <c r="G450" s="23" t="str">
        <f>IFERROR(INDEX('Output Utente'!$O$2:$O$492,MATCH(447,'Output Utente'!$R$2:$R$492,0)),"")</f>
        <v/>
      </c>
      <c r="H450" s="23" t="str">
        <f>IFERROR(INDEX('Output Utente'!$P$2:$P$492,MATCH(447,'Output Utente'!$R$2:$R$492,0)),"")</f>
        <v/>
      </c>
      <c r="I450" s="24" t="str">
        <f>IFERROR(INDEX('Output Utente'!$F$2:$F$492,MATCH(447,'Output Utente'!$R$2:$R$492,0)),"")</f>
        <v/>
      </c>
      <c r="J450" s="24" t="str">
        <f>IFERROR(INDEX('Output Utente'!$G$2:$G$492,MATCH(447,'Output Utente'!$R$2:$R$492,0)),"")</f>
        <v/>
      </c>
      <c r="K450" s="24" t="str">
        <f>IFERROR(INDEX('Output Utente'!$H$2:$H$492,MATCH(447,'Output Utente'!$R$2:$R$492,0)),"")</f>
        <v/>
      </c>
      <c r="L450" s="23" t="str">
        <f>IFERROR(INDEX('Output Utente'!$E$2:$E$492,MATCH(447,'Output Utente'!$R$2:$R$492,0)),"")</f>
        <v/>
      </c>
      <c r="V450" t="str">
        <f>IFERROR(INDEX('Output Utente'!$M$2:$M$492,MATCH(447,'Output Utente'!$R$2:$R$492,0)),"")</f>
        <v/>
      </c>
      <c r="W450" t="str">
        <f t="shared" si="6"/>
        <v/>
      </c>
      <c r="X450" t="str">
        <f>IFERROR(INDEX('Output Utente'!$AF$2:$AF$492,MATCH(447,'Output Utente'!$R$2:$R$492,0)),"")</f>
        <v/>
      </c>
    </row>
    <row r="451" spans="1:24" ht="15" customHeight="1" x14ac:dyDescent="0.25">
      <c r="A451" s="26">
        <v>448</v>
      </c>
      <c r="B451" s="23" t="str">
        <f>IFERROR(INDEX('Output Utente'!$A$2:$A$492,MATCH(448,'Output Utente'!$R$2:$R$492,0)),"")</f>
        <v/>
      </c>
      <c r="C451" s="23" t="str">
        <f>IFERROR(INDEX('Output Utente'!$B$2:$B$492,MATCH(448,'Output Utente'!$R$2:$R$492,0)),"")</f>
        <v/>
      </c>
      <c r="D451" s="23" t="str">
        <f>IFERROR(INDEX('Output Utente'!$C$2:$C$492,MATCH(448,'Output Utente'!$R$2:$R$492,0)),"")</f>
        <v/>
      </c>
      <c r="E451" s="23" t="str">
        <f>IFERROR(INDEX('Input Giocatori 2026_27'!$D$3:$D$493,MATCH($B451,'Input Giocatori 2026_27'!$A$3:$A$493,0)),"")</f>
        <v/>
      </c>
      <c r="F451" s="24" t="str">
        <f>IFERROR(INDEX('Output Utente'!$N$2:$N$492,MATCH(448,'Output Utente'!$R$2:$R$492,0)),"")</f>
        <v/>
      </c>
      <c r="G451" s="23" t="str">
        <f>IFERROR(INDEX('Output Utente'!$O$2:$O$492,MATCH(448,'Output Utente'!$R$2:$R$492,0)),"")</f>
        <v/>
      </c>
      <c r="H451" s="23" t="str">
        <f>IFERROR(INDEX('Output Utente'!$P$2:$P$492,MATCH(448,'Output Utente'!$R$2:$R$492,0)),"")</f>
        <v/>
      </c>
      <c r="I451" s="24" t="str">
        <f>IFERROR(INDEX('Output Utente'!$F$2:$F$492,MATCH(448,'Output Utente'!$R$2:$R$492,0)),"")</f>
        <v/>
      </c>
      <c r="J451" s="24" t="str">
        <f>IFERROR(INDEX('Output Utente'!$G$2:$G$492,MATCH(448,'Output Utente'!$R$2:$R$492,0)),"")</f>
        <v/>
      </c>
      <c r="K451" s="24" t="str">
        <f>IFERROR(INDEX('Output Utente'!$H$2:$H$492,MATCH(448,'Output Utente'!$R$2:$R$492,0)),"")</f>
        <v/>
      </c>
      <c r="L451" s="23" t="str">
        <f>IFERROR(INDEX('Output Utente'!$E$2:$E$492,MATCH(448,'Output Utente'!$R$2:$R$492,0)),"")</f>
        <v/>
      </c>
      <c r="V451" t="str">
        <f>IFERROR(INDEX('Output Utente'!$M$2:$M$492,MATCH(448,'Output Utente'!$R$2:$R$492,0)),"")</f>
        <v/>
      </c>
      <c r="W451" t="str">
        <f t="shared" si="6"/>
        <v/>
      </c>
      <c r="X451" t="str">
        <f>IFERROR(INDEX('Output Utente'!$AF$2:$AF$492,MATCH(448,'Output Utente'!$R$2:$R$492,0)),"")</f>
        <v/>
      </c>
    </row>
    <row r="452" spans="1:24" ht="15" customHeight="1" x14ac:dyDescent="0.25">
      <c r="A452" s="26">
        <v>449</v>
      </c>
      <c r="B452" s="23" t="str">
        <f>IFERROR(INDEX('Output Utente'!$A$2:$A$492,MATCH(449,'Output Utente'!$R$2:$R$492,0)),"")</f>
        <v/>
      </c>
      <c r="C452" s="23" t="str">
        <f>IFERROR(INDEX('Output Utente'!$B$2:$B$492,MATCH(449,'Output Utente'!$R$2:$R$492,0)),"")</f>
        <v/>
      </c>
      <c r="D452" s="23" t="str">
        <f>IFERROR(INDEX('Output Utente'!$C$2:$C$492,MATCH(449,'Output Utente'!$R$2:$R$492,0)),"")</f>
        <v/>
      </c>
      <c r="E452" s="23" t="str">
        <f>IFERROR(INDEX('Input Giocatori 2026_27'!$D$3:$D$493,MATCH($B452,'Input Giocatori 2026_27'!$A$3:$A$493,0)),"")</f>
        <v/>
      </c>
      <c r="F452" s="24" t="str">
        <f>IFERROR(INDEX('Output Utente'!$N$2:$N$492,MATCH(449,'Output Utente'!$R$2:$R$492,0)),"")</f>
        <v/>
      </c>
      <c r="G452" s="23" t="str">
        <f>IFERROR(INDEX('Output Utente'!$O$2:$O$492,MATCH(449,'Output Utente'!$R$2:$R$492,0)),"")</f>
        <v/>
      </c>
      <c r="H452" s="23" t="str">
        <f>IFERROR(INDEX('Output Utente'!$P$2:$P$492,MATCH(449,'Output Utente'!$R$2:$R$492,0)),"")</f>
        <v/>
      </c>
      <c r="I452" s="24" t="str">
        <f>IFERROR(INDEX('Output Utente'!$F$2:$F$492,MATCH(449,'Output Utente'!$R$2:$R$492,0)),"")</f>
        <v/>
      </c>
      <c r="J452" s="24" t="str">
        <f>IFERROR(INDEX('Output Utente'!$G$2:$G$492,MATCH(449,'Output Utente'!$R$2:$R$492,0)),"")</f>
        <v/>
      </c>
      <c r="K452" s="24" t="str">
        <f>IFERROR(INDEX('Output Utente'!$H$2:$H$492,MATCH(449,'Output Utente'!$R$2:$R$492,0)),"")</f>
        <v/>
      </c>
      <c r="L452" s="23" t="str">
        <f>IFERROR(INDEX('Output Utente'!$E$2:$E$492,MATCH(449,'Output Utente'!$R$2:$R$492,0)),"")</f>
        <v/>
      </c>
      <c r="V452" t="str">
        <f>IFERROR(INDEX('Output Utente'!$M$2:$M$492,MATCH(449,'Output Utente'!$R$2:$R$492,0)),"")</f>
        <v/>
      </c>
      <c r="W452" t="str">
        <f t="shared" ref="W452:W494" si="7">IF(OR($G452="",$V452=""),"",$G452-$V452)</f>
        <v/>
      </c>
      <c r="X452" t="str">
        <f>IFERROR(INDEX('Output Utente'!$AF$2:$AF$492,MATCH(449,'Output Utente'!$R$2:$R$492,0)),"")</f>
        <v/>
      </c>
    </row>
    <row r="453" spans="1:24" ht="15" customHeight="1" x14ac:dyDescent="0.25">
      <c r="A453" s="26">
        <v>450</v>
      </c>
      <c r="B453" s="23" t="str">
        <f>IFERROR(INDEX('Output Utente'!$A$2:$A$492,MATCH(450,'Output Utente'!$R$2:$R$492,0)),"")</f>
        <v/>
      </c>
      <c r="C453" s="23" t="str">
        <f>IFERROR(INDEX('Output Utente'!$B$2:$B$492,MATCH(450,'Output Utente'!$R$2:$R$492,0)),"")</f>
        <v/>
      </c>
      <c r="D453" s="23" t="str">
        <f>IFERROR(INDEX('Output Utente'!$C$2:$C$492,MATCH(450,'Output Utente'!$R$2:$R$492,0)),"")</f>
        <v/>
      </c>
      <c r="E453" s="23" t="str">
        <f>IFERROR(INDEX('Input Giocatori 2026_27'!$D$3:$D$493,MATCH($B453,'Input Giocatori 2026_27'!$A$3:$A$493,0)),"")</f>
        <v/>
      </c>
      <c r="F453" s="24" t="str">
        <f>IFERROR(INDEX('Output Utente'!$N$2:$N$492,MATCH(450,'Output Utente'!$R$2:$R$492,0)),"")</f>
        <v/>
      </c>
      <c r="G453" s="23" t="str">
        <f>IFERROR(INDEX('Output Utente'!$O$2:$O$492,MATCH(450,'Output Utente'!$R$2:$R$492,0)),"")</f>
        <v/>
      </c>
      <c r="H453" s="23" t="str">
        <f>IFERROR(INDEX('Output Utente'!$P$2:$P$492,MATCH(450,'Output Utente'!$R$2:$R$492,0)),"")</f>
        <v/>
      </c>
      <c r="I453" s="24" t="str">
        <f>IFERROR(INDEX('Output Utente'!$F$2:$F$492,MATCH(450,'Output Utente'!$R$2:$R$492,0)),"")</f>
        <v/>
      </c>
      <c r="J453" s="24" t="str">
        <f>IFERROR(INDEX('Output Utente'!$G$2:$G$492,MATCH(450,'Output Utente'!$R$2:$R$492,0)),"")</f>
        <v/>
      </c>
      <c r="K453" s="24" t="str">
        <f>IFERROR(INDEX('Output Utente'!$H$2:$H$492,MATCH(450,'Output Utente'!$R$2:$R$492,0)),"")</f>
        <v/>
      </c>
      <c r="L453" s="23" t="str">
        <f>IFERROR(INDEX('Output Utente'!$E$2:$E$492,MATCH(450,'Output Utente'!$R$2:$R$492,0)),"")</f>
        <v/>
      </c>
      <c r="V453" t="str">
        <f>IFERROR(INDEX('Output Utente'!$M$2:$M$492,MATCH(450,'Output Utente'!$R$2:$R$492,0)),"")</f>
        <v/>
      </c>
      <c r="W453" t="str">
        <f t="shared" si="7"/>
        <v/>
      </c>
      <c r="X453" t="str">
        <f>IFERROR(INDEX('Output Utente'!$AF$2:$AF$492,MATCH(450,'Output Utente'!$R$2:$R$492,0)),"")</f>
        <v/>
      </c>
    </row>
    <row r="454" spans="1:24" ht="15" customHeight="1" x14ac:dyDescent="0.25">
      <c r="A454" s="26">
        <v>451</v>
      </c>
      <c r="B454" s="23" t="str">
        <f>IFERROR(INDEX('Output Utente'!$A$2:$A$492,MATCH(451,'Output Utente'!$R$2:$R$492,0)),"")</f>
        <v/>
      </c>
      <c r="C454" s="23" t="str">
        <f>IFERROR(INDEX('Output Utente'!$B$2:$B$492,MATCH(451,'Output Utente'!$R$2:$R$492,0)),"")</f>
        <v/>
      </c>
      <c r="D454" s="23" t="str">
        <f>IFERROR(INDEX('Output Utente'!$C$2:$C$492,MATCH(451,'Output Utente'!$R$2:$R$492,0)),"")</f>
        <v/>
      </c>
      <c r="E454" s="23" t="str">
        <f>IFERROR(INDEX('Input Giocatori 2026_27'!$D$3:$D$493,MATCH($B454,'Input Giocatori 2026_27'!$A$3:$A$493,0)),"")</f>
        <v/>
      </c>
      <c r="F454" s="24" t="str">
        <f>IFERROR(INDEX('Output Utente'!$N$2:$N$492,MATCH(451,'Output Utente'!$R$2:$R$492,0)),"")</f>
        <v/>
      </c>
      <c r="G454" s="23" t="str">
        <f>IFERROR(INDEX('Output Utente'!$O$2:$O$492,MATCH(451,'Output Utente'!$R$2:$R$492,0)),"")</f>
        <v/>
      </c>
      <c r="H454" s="23" t="str">
        <f>IFERROR(INDEX('Output Utente'!$P$2:$P$492,MATCH(451,'Output Utente'!$R$2:$R$492,0)),"")</f>
        <v/>
      </c>
      <c r="I454" s="24" t="str">
        <f>IFERROR(INDEX('Output Utente'!$F$2:$F$492,MATCH(451,'Output Utente'!$R$2:$R$492,0)),"")</f>
        <v/>
      </c>
      <c r="J454" s="24" t="str">
        <f>IFERROR(INDEX('Output Utente'!$G$2:$G$492,MATCH(451,'Output Utente'!$R$2:$R$492,0)),"")</f>
        <v/>
      </c>
      <c r="K454" s="24" t="str">
        <f>IFERROR(INDEX('Output Utente'!$H$2:$H$492,MATCH(451,'Output Utente'!$R$2:$R$492,0)),"")</f>
        <v/>
      </c>
      <c r="L454" s="23" t="str">
        <f>IFERROR(INDEX('Output Utente'!$E$2:$E$492,MATCH(451,'Output Utente'!$R$2:$R$492,0)),"")</f>
        <v/>
      </c>
      <c r="V454" t="str">
        <f>IFERROR(INDEX('Output Utente'!$M$2:$M$492,MATCH(451,'Output Utente'!$R$2:$R$492,0)),"")</f>
        <v/>
      </c>
      <c r="W454" t="str">
        <f t="shared" si="7"/>
        <v/>
      </c>
      <c r="X454" t="str">
        <f>IFERROR(INDEX('Output Utente'!$AF$2:$AF$492,MATCH(451,'Output Utente'!$R$2:$R$492,0)),"")</f>
        <v/>
      </c>
    </row>
    <row r="455" spans="1:24" ht="15" customHeight="1" x14ac:dyDescent="0.25">
      <c r="A455" s="26">
        <v>452</v>
      </c>
      <c r="B455" s="23" t="str">
        <f>IFERROR(INDEX('Output Utente'!$A$2:$A$492,MATCH(452,'Output Utente'!$R$2:$R$492,0)),"")</f>
        <v/>
      </c>
      <c r="C455" s="23" t="str">
        <f>IFERROR(INDEX('Output Utente'!$B$2:$B$492,MATCH(452,'Output Utente'!$R$2:$R$492,0)),"")</f>
        <v/>
      </c>
      <c r="D455" s="23" t="str">
        <f>IFERROR(INDEX('Output Utente'!$C$2:$C$492,MATCH(452,'Output Utente'!$R$2:$R$492,0)),"")</f>
        <v/>
      </c>
      <c r="E455" s="23" t="str">
        <f>IFERROR(INDEX('Input Giocatori 2026_27'!$D$3:$D$493,MATCH($B455,'Input Giocatori 2026_27'!$A$3:$A$493,0)),"")</f>
        <v/>
      </c>
      <c r="F455" s="24" t="str">
        <f>IFERROR(INDEX('Output Utente'!$N$2:$N$492,MATCH(452,'Output Utente'!$R$2:$R$492,0)),"")</f>
        <v/>
      </c>
      <c r="G455" s="23" t="str">
        <f>IFERROR(INDEX('Output Utente'!$O$2:$O$492,MATCH(452,'Output Utente'!$R$2:$R$492,0)),"")</f>
        <v/>
      </c>
      <c r="H455" s="23" t="str">
        <f>IFERROR(INDEX('Output Utente'!$P$2:$P$492,MATCH(452,'Output Utente'!$R$2:$R$492,0)),"")</f>
        <v/>
      </c>
      <c r="I455" s="24" t="str">
        <f>IFERROR(INDEX('Output Utente'!$F$2:$F$492,MATCH(452,'Output Utente'!$R$2:$R$492,0)),"")</f>
        <v/>
      </c>
      <c r="J455" s="24" t="str">
        <f>IFERROR(INDEX('Output Utente'!$G$2:$G$492,MATCH(452,'Output Utente'!$R$2:$R$492,0)),"")</f>
        <v/>
      </c>
      <c r="K455" s="24" t="str">
        <f>IFERROR(INDEX('Output Utente'!$H$2:$H$492,MATCH(452,'Output Utente'!$R$2:$R$492,0)),"")</f>
        <v/>
      </c>
      <c r="L455" s="23" t="str">
        <f>IFERROR(INDEX('Output Utente'!$E$2:$E$492,MATCH(452,'Output Utente'!$R$2:$R$492,0)),"")</f>
        <v/>
      </c>
      <c r="V455" t="str">
        <f>IFERROR(INDEX('Output Utente'!$M$2:$M$492,MATCH(452,'Output Utente'!$R$2:$R$492,0)),"")</f>
        <v/>
      </c>
      <c r="W455" t="str">
        <f t="shared" si="7"/>
        <v/>
      </c>
      <c r="X455" t="str">
        <f>IFERROR(INDEX('Output Utente'!$AF$2:$AF$492,MATCH(452,'Output Utente'!$R$2:$R$492,0)),"")</f>
        <v/>
      </c>
    </row>
    <row r="456" spans="1:24" ht="15" customHeight="1" x14ac:dyDescent="0.25">
      <c r="A456" s="26">
        <v>453</v>
      </c>
      <c r="B456" s="23" t="str">
        <f>IFERROR(INDEX('Output Utente'!$A$2:$A$492,MATCH(453,'Output Utente'!$R$2:$R$492,0)),"")</f>
        <v/>
      </c>
      <c r="C456" s="23" t="str">
        <f>IFERROR(INDEX('Output Utente'!$B$2:$B$492,MATCH(453,'Output Utente'!$R$2:$R$492,0)),"")</f>
        <v/>
      </c>
      <c r="D456" s="23" t="str">
        <f>IFERROR(INDEX('Output Utente'!$C$2:$C$492,MATCH(453,'Output Utente'!$R$2:$R$492,0)),"")</f>
        <v/>
      </c>
      <c r="E456" s="23" t="str">
        <f>IFERROR(INDEX('Input Giocatori 2026_27'!$D$3:$D$493,MATCH($B456,'Input Giocatori 2026_27'!$A$3:$A$493,0)),"")</f>
        <v/>
      </c>
      <c r="F456" s="24" t="str">
        <f>IFERROR(INDEX('Output Utente'!$N$2:$N$492,MATCH(453,'Output Utente'!$R$2:$R$492,0)),"")</f>
        <v/>
      </c>
      <c r="G456" s="23" t="str">
        <f>IFERROR(INDEX('Output Utente'!$O$2:$O$492,MATCH(453,'Output Utente'!$R$2:$R$492,0)),"")</f>
        <v/>
      </c>
      <c r="H456" s="23" t="str">
        <f>IFERROR(INDEX('Output Utente'!$P$2:$P$492,MATCH(453,'Output Utente'!$R$2:$R$492,0)),"")</f>
        <v/>
      </c>
      <c r="I456" s="24" t="str">
        <f>IFERROR(INDEX('Output Utente'!$F$2:$F$492,MATCH(453,'Output Utente'!$R$2:$R$492,0)),"")</f>
        <v/>
      </c>
      <c r="J456" s="24" t="str">
        <f>IFERROR(INDEX('Output Utente'!$G$2:$G$492,MATCH(453,'Output Utente'!$R$2:$R$492,0)),"")</f>
        <v/>
      </c>
      <c r="K456" s="24" t="str">
        <f>IFERROR(INDEX('Output Utente'!$H$2:$H$492,MATCH(453,'Output Utente'!$R$2:$R$492,0)),"")</f>
        <v/>
      </c>
      <c r="L456" s="23" t="str">
        <f>IFERROR(INDEX('Output Utente'!$E$2:$E$492,MATCH(453,'Output Utente'!$R$2:$R$492,0)),"")</f>
        <v/>
      </c>
      <c r="V456" t="str">
        <f>IFERROR(INDEX('Output Utente'!$M$2:$M$492,MATCH(453,'Output Utente'!$R$2:$R$492,0)),"")</f>
        <v/>
      </c>
      <c r="W456" t="str">
        <f t="shared" si="7"/>
        <v/>
      </c>
      <c r="X456" t="str">
        <f>IFERROR(INDEX('Output Utente'!$AF$2:$AF$492,MATCH(453,'Output Utente'!$R$2:$R$492,0)),"")</f>
        <v/>
      </c>
    </row>
    <row r="457" spans="1:24" ht="15" customHeight="1" x14ac:dyDescent="0.25">
      <c r="A457" s="26">
        <v>454</v>
      </c>
      <c r="B457" s="23" t="str">
        <f>IFERROR(INDEX('Output Utente'!$A$2:$A$492,MATCH(454,'Output Utente'!$R$2:$R$492,0)),"")</f>
        <v/>
      </c>
      <c r="C457" s="23" t="str">
        <f>IFERROR(INDEX('Output Utente'!$B$2:$B$492,MATCH(454,'Output Utente'!$R$2:$R$492,0)),"")</f>
        <v/>
      </c>
      <c r="D457" s="23" t="str">
        <f>IFERROR(INDEX('Output Utente'!$C$2:$C$492,MATCH(454,'Output Utente'!$R$2:$R$492,0)),"")</f>
        <v/>
      </c>
      <c r="E457" s="23" t="str">
        <f>IFERROR(INDEX('Input Giocatori 2026_27'!$D$3:$D$493,MATCH($B457,'Input Giocatori 2026_27'!$A$3:$A$493,0)),"")</f>
        <v/>
      </c>
      <c r="F457" s="24" t="str">
        <f>IFERROR(INDEX('Output Utente'!$N$2:$N$492,MATCH(454,'Output Utente'!$R$2:$R$492,0)),"")</f>
        <v/>
      </c>
      <c r="G457" s="23" t="str">
        <f>IFERROR(INDEX('Output Utente'!$O$2:$O$492,MATCH(454,'Output Utente'!$R$2:$R$492,0)),"")</f>
        <v/>
      </c>
      <c r="H457" s="23" t="str">
        <f>IFERROR(INDEX('Output Utente'!$P$2:$P$492,MATCH(454,'Output Utente'!$R$2:$R$492,0)),"")</f>
        <v/>
      </c>
      <c r="I457" s="24" t="str">
        <f>IFERROR(INDEX('Output Utente'!$F$2:$F$492,MATCH(454,'Output Utente'!$R$2:$R$492,0)),"")</f>
        <v/>
      </c>
      <c r="J457" s="24" t="str">
        <f>IFERROR(INDEX('Output Utente'!$G$2:$G$492,MATCH(454,'Output Utente'!$R$2:$R$492,0)),"")</f>
        <v/>
      </c>
      <c r="K457" s="24" t="str">
        <f>IFERROR(INDEX('Output Utente'!$H$2:$H$492,MATCH(454,'Output Utente'!$R$2:$R$492,0)),"")</f>
        <v/>
      </c>
      <c r="L457" s="23" t="str">
        <f>IFERROR(INDEX('Output Utente'!$E$2:$E$492,MATCH(454,'Output Utente'!$R$2:$R$492,0)),"")</f>
        <v/>
      </c>
      <c r="V457" t="str">
        <f>IFERROR(INDEX('Output Utente'!$M$2:$M$492,MATCH(454,'Output Utente'!$R$2:$R$492,0)),"")</f>
        <v/>
      </c>
      <c r="W457" t="str">
        <f t="shared" si="7"/>
        <v/>
      </c>
      <c r="X457" t="str">
        <f>IFERROR(INDEX('Output Utente'!$AF$2:$AF$492,MATCH(454,'Output Utente'!$R$2:$R$492,0)),"")</f>
        <v/>
      </c>
    </row>
    <row r="458" spans="1:24" ht="15" customHeight="1" x14ac:dyDescent="0.25">
      <c r="A458" s="26">
        <v>455</v>
      </c>
      <c r="B458" s="23" t="str">
        <f>IFERROR(INDEX('Output Utente'!$A$2:$A$492,MATCH(455,'Output Utente'!$R$2:$R$492,0)),"")</f>
        <v/>
      </c>
      <c r="C458" s="23" t="str">
        <f>IFERROR(INDEX('Output Utente'!$B$2:$B$492,MATCH(455,'Output Utente'!$R$2:$R$492,0)),"")</f>
        <v/>
      </c>
      <c r="D458" s="23" t="str">
        <f>IFERROR(INDEX('Output Utente'!$C$2:$C$492,MATCH(455,'Output Utente'!$R$2:$R$492,0)),"")</f>
        <v/>
      </c>
      <c r="E458" s="23" t="str">
        <f>IFERROR(INDEX('Input Giocatori 2026_27'!$D$3:$D$493,MATCH($B458,'Input Giocatori 2026_27'!$A$3:$A$493,0)),"")</f>
        <v/>
      </c>
      <c r="F458" s="24" t="str">
        <f>IFERROR(INDEX('Output Utente'!$N$2:$N$492,MATCH(455,'Output Utente'!$R$2:$R$492,0)),"")</f>
        <v/>
      </c>
      <c r="G458" s="23" t="str">
        <f>IFERROR(INDEX('Output Utente'!$O$2:$O$492,MATCH(455,'Output Utente'!$R$2:$R$492,0)),"")</f>
        <v/>
      </c>
      <c r="H458" s="23" t="str">
        <f>IFERROR(INDEX('Output Utente'!$P$2:$P$492,MATCH(455,'Output Utente'!$R$2:$R$492,0)),"")</f>
        <v/>
      </c>
      <c r="I458" s="24" t="str">
        <f>IFERROR(INDEX('Output Utente'!$F$2:$F$492,MATCH(455,'Output Utente'!$R$2:$R$492,0)),"")</f>
        <v/>
      </c>
      <c r="J458" s="24" t="str">
        <f>IFERROR(INDEX('Output Utente'!$G$2:$G$492,MATCH(455,'Output Utente'!$R$2:$R$492,0)),"")</f>
        <v/>
      </c>
      <c r="K458" s="24" t="str">
        <f>IFERROR(INDEX('Output Utente'!$H$2:$H$492,MATCH(455,'Output Utente'!$R$2:$R$492,0)),"")</f>
        <v/>
      </c>
      <c r="L458" s="23" t="str">
        <f>IFERROR(INDEX('Output Utente'!$E$2:$E$492,MATCH(455,'Output Utente'!$R$2:$R$492,0)),"")</f>
        <v/>
      </c>
      <c r="V458" t="str">
        <f>IFERROR(INDEX('Output Utente'!$M$2:$M$492,MATCH(455,'Output Utente'!$R$2:$R$492,0)),"")</f>
        <v/>
      </c>
      <c r="W458" t="str">
        <f t="shared" si="7"/>
        <v/>
      </c>
      <c r="X458" t="str">
        <f>IFERROR(INDEX('Output Utente'!$AF$2:$AF$492,MATCH(455,'Output Utente'!$R$2:$R$492,0)),"")</f>
        <v/>
      </c>
    </row>
    <row r="459" spans="1:24" ht="15" customHeight="1" x14ac:dyDescent="0.25">
      <c r="A459" s="26">
        <v>456</v>
      </c>
      <c r="B459" s="23" t="str">
        <f>IFERROR(INDEX('Output Utente'!$A$2:$A$492,MATCH(456,'Output Utente'!$R$2:$R$492,0)),"")</f>
        <v/>
      </c>
      <c r="C459" s="23" t="str">
        <f>IFERROR(INDEX('Output Utente'!$B$2:$B$492,MATCH(456,'Output Utente'!$R$2:$R$492,0)),"")</f>
        <v/>
      </c>
      <c r="D459" s="23" t="str">
        <f>IFERROR(INDEX('Output Utente'!$C$2:$C$492,MATCH(456,'Output Utente'!$R$2:$R$492,0)),"")</f>
        <v/>
      </c>
      <c r="E459" s="23" t="str">
        <f>IFERROR(INDEX('Input Giocatori 2026_27'!$D$3:$D$493,MATCH($B459,'Input Giocatori 2026_27'!$A$3:$A$493,0)),"")</f>
        <v/>
      </c>
      <c r="F459" s="24" t="str">
        <f>IFERROR(INDEX('Output Utente'!$N$2:$N$492,MATCH(456,'Output Utente'!$R$2:$R$492,0)),"")</f>
        <v/>
      </c>
      <c r="G459" s="23" t="str">
        <f>IFERROR(INDEX('Output Utente'!$O$2:$O$492,MATCH(456,'Output Utente'!$R$2:$R$492,0)),"")</f>
        <v/>
      </c>
      <c r="H459" s="23" t="str">
        <f>IFERROR(INDEX('Output Utente'!$P$2:$P$492,MATCH(456,'Output Utente'!$R$2:$R$492,0)),"")</f>
        <v/>
      </c>
      <c r="I459" s="24" t="str">
        <f>IFERROR(INDEX('Output Utente'!$F$2:$F$492,MATCH(456,'Output Utente'!$R$2:$R$492,0)),"")</f>
        <v/>
      </c>
      <c r="J459" s="24" t="str">
        <f>IFERROR(INDEX('Output Utente'!$G$2:$G$492,MATCH(456,'Output Utente'!$R$2:$R$492,0)),"")</f>
        <v/>
      </c>
      <c r="K459" s="24" t="str">
        <f>IFERROR(INDEX('Output Utente'!$H$2:$H$492,MATCH(456,'Output Utente'!$R$2:$R$492,0)),"")</f>
        <v/>
      </c>
      <c r="L459" s="23" t="str">
        <f>IFERROR(INDEX('Output Utente'!$E$2:$E$492,MATCH(456,'Output Utente'!$R$2:$R$492,0)),"")</f>
        <v/>
      </c>
      <c r="V459" t="str">
        <f>IFERROR(INDEX('Output Utente'!$M$2:$M$492,MATCH(456,'Output Utente'!$R$2:$R$492,0)),"")</f>
        <v/>
      </c>
      <c r="W459" t="str">
        <f t="shared" si="7"/>
        <v/>
      </c>
      <c r="X459" t="str">
        <f>IFERROR(INDEX('Output Utente'!$AF$2:$AF$492,MATCH(456,'Output Utente'!$R$2:$R$492,0)),"")</f>
        <v/>
      </c>
    </row>
    <row r="460" spans="1:24" ht="15" customHeight="1" x14ac:dyDescent="0.25">
      <c r="A460" s="26">
        <v>457</v>
      </c>
      <c r="B460" s="23" t="str">
        <f>IFERROR(INDEX('Output Utente'!$A$2:$A$492,MATCH(457,'Output Utente'!$R$2:$R$492,0)),"")</f>
        <v/>
      </c>
      <c r="C460" s="23" t="str">
        <f>IFERROR(INDEX('Output Utente'!$B$2:$B$492,MATCH(457,'Output Utente'!$R$2:$R$492,0)),"")</f>
        <v/>
      </c>
      <c r="D460" s="23" t="str">
        <f>IFERROR(INDEX('Output Utente'!$C$2:$C$492,MATCH(457,'Output Utente'!$R$2:$R$492,0)),"")</f>
        <v/>
      </c>
      <c r="E460" s="23" t="str">
        <f>IFERROR(INDEX('Input Giocatori 2026_27'!$D$3:$D$493,MATCH($B460,'Input Giocatori 2026_27'!$A$3:$A$493,0)),"")</f>
        <v/>
      </c>
      <c r="F460" s="24" t="str">
        <f>IFERROR(INDEX('Output Utente'!$N$2:$N$492,MATCH(457,'Output Utente'!$R$2:$R$492,0)),"")</f>
        <v/>
      </c>
      <c r="G460" s="23" t="str">
        <f>IFERROR(INDEX('Output Utente'!$O$2:$O$492,MATCH(457,'Output Utente'!$R$2:$R$492,0)),"")</f>
        <v/>
      </c>
      <c r="H460" s="23" t="str">
        <f>IFERROR(INDEX('Output Utente'!$P$2:$P$492,MATCH(457,'Output Utente'!$R$2:$R$492,0)),"")</f>
        <v/>
      </c>
      <c r="I460" s="24" t="str">
        <f>IFERROR(INDEX('Output Utente'!$F$2:$F$492,MATCH(457,'Output Utente'!$R$2:$R$492,0)),"")</f>
        <v/>
      </c>
      <c r="J460" s="24" t="str">
        <f>IFERROR(INDEX('Output Utente'!$G$2:$G$492,MATCH(457,'Output Utente'!$R$2:$R$492,0)),"")</f>
        <v/>
      </c>
      <c r="K460" s="24" t="str">
        <f>IFERROR(INDEX('Output Utente'!$H$2:$H$492,MATCH(457,'Output Utente'!$R$2:$R$492,0)),"")</f>
        <v/>
      </c>
      <c r="L460" s="23" t="str">
        <f>IFERROR(INDEX('Output Utente'!$E$2:$E$492,MATCH(457,'Output Utente'!$R$2:$R$492,0)),"")</f>
        <v/>
      </c>
      <c r="V460" t="str">
        <f>IFERROR(INDEX('Output Utente'!$M$2:$M$492,MATCH(457,'Output Utente'!$R$2:$R$492,0)),"")</f>
        <v/>
      </c>
      <c r="W460" t="str">
        <f t="shared" si="7"/>
        <v/>
      </c>
      <c r="X460" t="str">
        <f>IFERROR(INDEX('Output Utente'!$AF$2:$AF$492,MATCH(457,'Output Utente'!$R$2:$R$492,0)),"")</f>
        <v/>
      </c>
    </row>
    <row r="461" spans="1:24" ht="15" customHeight="1" x14ac:dyDescent="0.25">
      <c r="A461" s="26">
        <v>458</v>
      </c>
      <c r="B461" s="23" t="str">
        <f>IFERROR(INDEX('Output Utente'!$A$2:$A$492,MATCH(458,'Output Utente'!$R$2:$R$492,0)),"")</f>
        <v/>
      </c>
      <c r="C461" s="23" t="str">
        <f>IFERROR(INDEX('Output Utente'!$B$2:$B$492,MATCH(458,'Output Utente'!$R$2:$R$492,0)),"")</f>
        <v/>
      </c>
      <c r="D461" s="23" t="str">
        <f>IFERROR(INDEX('Output Utente'!$C$2:$C$492,MATCH(458,'Output Utente'!$R$2:$R$492,0)),"")</f>
        <v/>
      </c>
      <c r="E461" s="23" t="str">
        <f>IFERROR(INDEX('Input Giocatori 2026_27'!$D$3:$D$493,MATCH($B461,'Input Giocatori 2026_27'!$A$3:$A$493,0)),"")</f>
        <v/>
      </c>
      <c r="F461" s="24" t="str">
        <f>IFERROR(INDEX('Output Utente'!$N$2:$N$492,MATCH(458,'Output Utente'!$R$2:$R$492,0)),"")</f>
        <v/>
      </c>
      <c r="G461" s="23" t="str">
        <f>IFERROR(INDEX('Output Utente'!$O$2:$O$492,MATCH(458,'Output Utente'!$R$2:$R$492,0)),"")</f>
        <v/>
      </c>
      <c r="H461" s="23" t="str">
        <f>IFERROR(INDEX('Output Utente'!$P$2:$P$492,MATCH(458,'Output Utente'!$R$2:$R$492,0)),"")</f>
        <v/>
      </c>
      <c r="I461" s="24" t="str">
        <f>IFERROR(INDEX('Output Utente'!$F$2:$F$492,MATCH(458,'Output Utente'!$R$2:$R$492,0)),"")</f>
        <v/>
      </c>
      <c r="J461" s="24" t="str">
        <f>IFERROR(INDEX('Output Utente'!$G$2:$G$492,MATCH(458,'Output Utente'!$R$2:$R$492,0)),"")</f>
        <v/>
      </c>
      <c r="K461" s="24" t="str">
        <f>IFERROR(INDEX('Output Utente'!$H$2:$H$492,MATCH(458,'Output Utente'!$R$2:$R$492,0)),"")</f>
        <v/>
      </c>
      <c r="L461" s="23" t="str">
        <f>IFERROR(INDEX('Output Utente'!$E$2:$E$492,MATCH(458,'Output Utente'!$R$2:$R$492,0)),"")</f>
        <v/>
      </c>
      <c r="V461" t="str">
        <f>IFERROR(INDEX('Output Utente'!$M$2:$M$492,MATCH(458,'Output Utente'!$R$2:$R$492,0)),"")</f>
        <v/>
      </c>
      <c r="W461" t="str">
        <f t="shared" si="7"/>
        <v/>
      </c>
      <c r="X461" t="str">
        <f>IFERROR(INDEX('Output Utente'!$AF$2:$AF$492,MATCH(458,'Output Utente'!$R$2:$R$492,0)),"")</f>
        <v/>
      </c>
    </row>
    <row r="462" spans="1:24" ht="15" customHeight="1" x14ac:dyDescent="0.25">
      <c r="A462" s="26">
        <v>459</v>
      </c>
      <c r="B462" s="23" t="str">
        <f>IFERROR(INDEX('Output Utente'!$A$2:$A$492,MATCH(459,'Output Utente'!$R$2:$R$492,0)),"")</f>
        <v/>
      </c>
      <c r="C462" s="23" t="str">
        <f>IFERROR(INDEX('Output Utente'!$B$2:$B$492,MATCH(459,'Output Utente'!$R$2:$R$492,0)),"")</f>
        <v/>
      </c>
      <c r="D462" s="23" t="str">
        <f>IFERROR(INDEX('Output Utente'!$C$2:$C$492,MATCH(459,'Output Utente'!$R$2:$R$492,0)),"")</f>
        <v/>
      </c>
      <c r="E462" s="23" t="str">
        <f>IFERROR(INDEX('Input Giocatori 2026_27'!$D$3:$D$493,MATCH($B462,'Input Giocatori 2026_27'!$A$3:$A$493,0)),"")</f>
        <v/>
      </c>
      <c r="F462" s="24" t="str">
        <f>IFERROR(INDEX('Output Utente'!$N$2:$N$492,MATCH(459,'Output Utente'!$R$2:$R$492,0)),"")</f>
        <v/>
      </c>
      <c r="G462" s="23" t="str">
        <f>IFERROR(INDEX('Output Utente'!$O$2:$O$492,MATCH(459,'Output Utente'!$R$2:$R$492,0)),"")</f>
        <v/>
      </c>
      <c r="H462" s="23" t="str">
        <f>IFERROR(INDEX('Output Utente'!$P$2:$P$492,MATCH(459,'Output Utente'!$R$2:$R$492,0)),"")</f>
        <v/>
      </c>
      <c r="I462" s="24" t="str">
        <f>IFERROR(INDEX('Output Utente'!$F$2:$F$492,MATCH(459,'Output Utente'!$R$2:$R$492,0)),"")</f>
        <v/>
      </c>
      <c r="J462" s="24" t="str">
        <f>IFERROR(INDEX('Output Utente'!$G$2:$G$492,MATCH(459,'Output Utente'!$R$2:$R$492,0)),"")</f>
        <v/>
      </c>
      <c r="K462" s="24" t="str">
        <f>IFERROR(INDEX('Output Utente'!$H$2:$H$492,MATCH(459,'Output Utente'!$R$2:$R$492,0)),"")</f>
        <v/>
      </c>
      <c r="L462" s="23" t="str">
        <f>IFERROR(INDEX('Output Utente'!$E$2:$E$492,MATCH(459,'Output Utente'!$R$2:$R$492,0)),"")</f>
        <v/>
      </c>
      <c r="V462" t="str">
        <f>IFERROR(INDEX('Output Utente'!$M$2:$M$492,MATCH(459,'Output Utente'!$R$2:$R$492,0)),"")</f>
        <v/>
      </c>
      <c r="W462" t="str">
        <f t="shared" si="7"/>
        <v/>
      </c>
      <c r="X462" t="str">
        <f>IFERROR(INDEX('Output Utente'!$AF$2:$AF$492,MATCH(459,'Output Utente'!$R$2:$R$492,0)),"")</f>
        <v/>
      </c>
    </row>
    <row r="463" spans="1:24" ht="15" customHeight="1" x14ac:dyDescent="0.25">
      <c r="A463" s="26">
        <v>460</v>
      </c>
      <c r="B463" s="23" t="str">
        <f>IFERROR(INDEX('Output Utente'!$A$2:$A$492,MATCH(460,'Output Utente'!$R$2:$R$492,0)),"")</f>
        <v/>
      </c>
      <c r="C463" s="23" t="str">
        <f>IFERROR(INDEX('Output Utente'!$B$2:$B$492,MATCH(460,'Output Utente'!$R$2:$R$492,0)),"")</f>
        <v/>
      </c>
      <c r="D463" s="23" t="str">
        <f>IFERROR(INDEX('Output Utente'!$C$2:$C$492,MATCH(460,'Output Utente'!$R$2:$R$492,0)),"")</f>
        <v/>
      </c>
      <c r="E463" s="23" t="str">
        <f>IFERROR(INDEX('Input Giocatori 2026_27'!$D$3:$D$493,MATCH($B463,'Input Giocatori 2026_27'!$A$3:$A$493,0)),"")</f>
        <v/>
      </c>
      <c r="F463" s="24" t="str">
        <f>IFERROR(INDEX('Output Utente'!$N$2:$N$492,MATCH(460,'Output Utente'!$R$2:$R$492,0)),"")</f>
        <v/>
      </c>
      <c r="G463" s="23" t="str">
        <f>IFERROR(INDEX('Output Utente'!$O$2:$O$492,MATCH(460,'Output Utente'!$R$2:$R$492,0)),"")</f>
        <v/>
      </c>
      <c r="H463" s="23" t="str">
        <f>IFERROR(INDEX('Output Utente'!$P$2:$P$492,MATCH(460,'Output Utente'!$R$2:$R$492,0)),"")</f>
        <v/>
      </c>
      <c r="I463" s="24" t="str">
        <f>IFERROR(INDEX('Output Utente'!$F$2:$F$492,MATCH(460,'Output Utente'!$R$2:$R$492,0)),"")</f>
        <v/>
      </c>
      <c r="J463" s="24" t="str">
        <f>IFERROR(INDEX('Output Utente'!$G$2:$G$492,MATCH(460,'Output Utente'!$R$2:$R$492,0)),"")</f>
        <v/>
      </c>
      <c r="K463" s="24" t="str">
        <f>IFERROR(INDEX('Output Utente'!$H$2:$H$492,MATCH(460,'Output Utente'!$R$2:$R$492,0)),"")</f>
        <v/>
      </c>
      <c r="L463" s="23" t="str">
        <f>IFERROR(INDEX('Output Utente'!$E$2:$E$492,MATCH(460,'Output Utente'!$R$2:$R$492,0)),"")</f>
        <v/>
      </c>
      <c r="V463" t="str">
        <f>IFERROR(INDEX('Output Utente'!$M$2:$M$492,MATCH(460,'Output Utente'!$R$2:$R$492,0)),"")</f>
        <v/>
      </c>
      <c r="W463" t="str">
        <f t="shared" si="7"/>
        <v/>
      </c>
      <c r="X463" t="str">
        <f>IFERROR(INDEX('Output Utente'!$AF$2:$AF$492,MATCH(460,'Output Utente'!$R$2:$R$492,0)),"")</f>
        <v/>
      </c>
    </row>
    <row r="464" spans="1:24" ht="15" customHeight="1" x14ac:dyDescent="0.25">
      <c r="A464" s="26">
        <v>461</v>
      </c>
      <c r="B464" s="23" t="str">
        <f>IFERROR(INDEX('Output Utente'!$A$2:$A$492,MATCH(461,'Output Utente'!$R$2:$R$492,0)),"")</f>
        <v/>
      </c>
      <c r="C464" s="23" t="str">
        <f>IFERROR(INDEX('Output Utente'!$B$2:$B$492,MATCH(461,'Output Utente'!$R$2:$R$492,0)),"")</f>
        <v/>
      </c>
      <c r="D464" s="23" t="str">
        <f>IFERROR(INDEX('Output Utente'!$C$2:$C$492,MATCH(461,'Output Utente'!$R$2:$R$492,0)),"")</f>
        <v/>
      </c>
      <c r="E464" s="23" t="str">
        <f>IFERROR(INDEX('Input Giocatori 2026_27'!$D$3:$D$493,MATCH($B464,'Input Giocatori 2026_27'!$A$3:$A$493,0)),"")</f>
        <v/>
      </c>
      <c r="F464" s="24" t="str">
        <f>IFERROR(INDEX('Output Utente'!$N$2:$N$492,MATCH(461,'Output Utente'!$R$2:$R$492,0)),"")</f>
        <v/>
      </c>
      <c r="G464" s="23" t="str">
        <f>IFERROR(INDEX('Output Utente'!$O$2:$O$492,MATCH(461,'Output Utente'!$R$2:$R$492,0)),"")</f>
        <v/>
      </c>
      <c r="H464" s="23" t="str">
        <f>IFERROR(INDEX('Output Utente'!$P$2:$P$492,MATCH(461,'Output Utente'!$R$2:$R$492,0)),"")</f>
        <v/>
      </c>
      <c r="I464" s="24" t="str">
        <f>IFERROR(INDEX('Output Utente'!$F$2:$F$492,MATCH(461,'Output Utente'!$R$2:$R$492,0)),"")</f>
        <v/>
      </c>
      <c r="J464" s="24" t="str">
        <f>IFERROR(INDEX('Output Utente'!$G$2:$G$492,MATCH(461,'Output Utente'!$R$2:$R$492,0)),"")</f>
        <v/>
      </c>
      <c r="K464" s="24" t="str">
        <f>IFERROR(INDEX('Output Utente'!$H$2:$H$492,MATCH(461,'Output Utente'!$R$2:$R$492,0)),"")</f>
        <v/>
      </c>
      <c r="L464" s="23" t="str">
        <f>IFERROR(INDEX('Output Utente'!$E$2:$E$492,MATCH(461,'Output Utente'!$R$2:$R$492,0)),"")</f>
        <v/>
      </c>
      <c r="V464" t="str">
        <f>IFERROR(INDEX('Output Utente'!$M$2:$M$492,MATCH(461,'Output Utente'!$R$2:$R$492,0)),"")</f>
        <v/>
      </c>
      <c r="W464" t="str">
        <f t="shared" si="7"/>
        <v/>
      </c>
      <c r="X464" t="str">
        <f>IFERROR(INDEX('Output Utente'!$AF$2:$AF$492,MATCH(461,'Output Utente'!$R$2:$R$492,0)),"")</f>
        <v/>
      </c>
    </row>
    <row r="465" spans="1:24" ht="15" customHeight="1" x14ac:dyDescent="0.25">
      <c r="A465" s="26">
        <v>462</v>
      </c>
      <c r="B465" s="23" t="str">
        <f>IFERROR(INDEX('Output Utente'!$A$2:$A$492,MATCH(462,'Output Utente'!$R$2:$R$492,0)),"")</f>
        <v/>
      </c>
      <c r="C465" s="23" t="str">
        <f>IFERROR(INDEX('Output Utente'!$B$2:$B$492,MATCH(462,'Output Utente'!$R$2:$R$492,0)),"")</f>
        <v/>
      </c>
      <c r="D465" s="23" t="str">
        <f>IFERROR(INDEX('Output Utente'!$C$2:$C$492,MATCH(462,'Output Utente'!$R$2:$R$492,0)),"")</f>
        <v/>
      </c>
      <c r="E465" s="23" t="str">
        <f>IFERROR(INDEX('Input Giocatori 2026_27'!$D$3:$D$493,MATCH($B465,'Input Giocatori 2026_27'!$A$3:$A$493,0)),"")</f>
        <v/>
      </c>
      <c r="F465" s="24" t="str">
        <f>IFERROR(INDEX('Output Utente'!$N$2:$N$492,MATCH(462,'Output Utente'!$R$2:$R$492,0)),"")</f>
        <v/>
      </c>
      <c r="G465" s="23" t="str">
        <f>IFERROR(INDEX('Output Utente'!$O$2:$O$492,MATCH(462,'Output Utente'!$R$2:$R$492,0)),"")</f>
        <v/>
      </c>
      <c r="H465" s="23" t="str">
        <f>IFERROR(INDEX('Output Utente'!$P$2:$P$492,MATCH(462,'Output Utente'!$R$2:$R$492,0)),"")</f>
        <v/>
      </c>
      <c r="I465" s="24" t="str">
        <f>IFERROR(INDEX('Output Utente'!$F$2:$F$492,MATCH(462,'Output Utente'!$R$2:$R$492,0)),"")</f>
        <v/>
      </c>
      <c r="J465" s="24" t="str">
        <f>IFERROR(INDEX('Output Utente'!$G$2:$G$492,MATCH(462,'Output Utente'!$R$2:$R$492,0)),"")</f>
        <v/>
      </c>
      <c r="K465" s="24" t="str">
        <f>IFERROR(INDEX('Output Utente'!$H$2:$H$492,MATCH(462,'Output Utente'!$R$2:$R$492,0)),"")</f>
        <v/>
      </c>
      <c r="L465" s="23" t="str">
        <f>IFERROR(INDEX('Output Utente'!$E$2:$E$492,MATCH(462,'Output Utente'!$R$2:$R$492,0)),"")</f>
        <v/>
      </c>
      <c r="V465" t="str">
        <f>IFERROR(INDEX('Output Utente'!$M$2:$M$492,MATCH(462,'Output Utente'!$R$2:$R$492,0)),"")</f>
        <v/>
      </c>
      <c r="W465" t="str">
        <f t="shared" si="7"/>
        <v/>
      </c>
      <c r="X465" t="str">
        <f>IFERROR(INDEX('Output Utente'!$AF$2:$AF$492,MATCH(462,'Output Utente'!$R$2:$R$492,0)),"")</f>
        <v/>
      </c>
    </row>
    <row r="466" spans="1:24" ht="15" customHeight="1" x14ac:dyDescent="0.25">
      <c r="A466" s="26">
        <v>463</v>
      </c>
      <c r="B466" s="23" t="str">
        <f>IFERROR(INDEX('Output Utente'!$A$2:$A$492,MATCH(463,'Output Utente'!$R$2:$R$492,0)),"")</f>
        <v/>
      </c>
      <c r="C466" s="23" t="str">
        <f>IFERROR(INDEX('Output Utente'!$B$2:$B$492,MATCH(463,'Output Utente'!$R$2:$R$492,0)),"")</f>
        <v/>
      </c>
      <c r="D466" s="23" t="str">
        <f>IFERROR(INDEX('Output Utente'!$C$2:$C$492,MATCH(463,'Output Utente'!$R$2:$R$492,0)),"")</f>
        <v/>
      </c>
      <c r="E466" s="23" t="str">
        <f>IFERROR(INDEX('Input Giocatori 2026_27'!$D$3:$D$493,MATCH($B466,'Input Giocatori 2026_27'!$A$3:$A$493,0)),"")</f>
        <v/>
      </c>
      <c r="F466" s="24" t="str">
        <f>IFERROR(INDEX('Output Utente'!$N$2:$N$492,MATCH(463,'Output Utente'!$R$2:$R$492,0)),"")</f>
        <v/>
      </c>
      <c r="G466" s="23" t="str">
        <f>IFERROR(INDEX('Output Utente'!$O$2:$O$492,MATCH(463,'Output Utente'!$R$2:$R$492,0)),"")</f>
        <v/>
      </c>
      <c r="H466" s="23" t="str">
        <f>IFERROR(INDEX('Output Utente'!$P$2:$P$492,MATCH(463,'Output Utente'!$R$2:$R$492,0)),"")</f>
        <v/>
      </c>
      <c r="I466" s="24" t="str">
        <f>IFERROR(INDEX('Output Utente'!$F$2:$F$492,MATCH(463,'Output Utente'!$R$2:$R$492,0)),"")</f>
        <v/>
      </c>
      <c r="J466" s="24" t="str">
        <f>IFERROR(INDEX('Output Utente'!$G$2:$G$492,MATCH(463,'Output Utente'!$R$2:$R$492,0)),"")</f>
        <v/>
      </c>
      <c r="K466" s="24" t="str">
        <f>IFERROR(INDEX('Output Utente'!$H$2:$H$492,MATCH(463,'Output Utente'!$R$2:$R$492,0)),"")</f>
        <v/>
      </c>
      <c r="L466" s="23" t="str">
        <f>IFERROR(INDEX('Output Utente'!$E$2:$E$492,MATCH(463,'Output Utente'!$R$2:$R$492,0)),"")</f>
        <v/>
      </c>
      <c r="V466" t="str">
        <f>IFERROR(INDEX('Output Utente'!$M$2:$M$492,MATCH(463,'Output Utente'!$R$2:$R$492,0)),"")</f>
        <v/>
      </c>
      <c r="W466" t="str">
        <f t="shared" si="7"/>
        <v/>
      </c>
      <c r="X466" t="str">
        <f>IFERROR(INDEX('Output Utente'!$AF$2:$AF$492,MATCH(463,'Output Utente'!$R$2:$R$492,0)),"")</f>
        <v/>
      </c>
    </row>
    <row r="467" spans="1:24" ht="15" customHeight="1" x14ac:dyDescent="0.25">
      <c r="A467" s="26">
        <v>464</v>
      </c>
      <c r="B467" s="23" t="str">
        <f>IFERROR(INDEX('Output Utente'!$A$2:$A$492,MATCH(464,'Output Utente'!$R$2:$R$492,0)),"")</f>
        <v/>
      </c>
      <c r="C467" s="23" t="str">
        <f>IFERROR(INDEX('Output Utente'!$B$2:$B$492,MATCH(464,'Output Utente'!$R$2:$R$492,0)),"")</f>
        <v/>
      </c>
      <c r="D467" s="23" t="str">
        <f>IFERROR(INDEX('Output Utente'!$C$2:$C$492,MATCH(464,'Output Utente'!$R$2:$R$492,0)),"")</f>
        <v/>
      </c>
      <c r="E467" s="23" t="str">
        <f>IFERROR(INDEX('Input Giocatori 2026_27'!$D$3:$D$493,MATCH($B467,'Input Giocatori 2026_27'!$A$3:$A$493,0)),"")</f>
        <v/>
      </c>
      <c r="F467" s="24" t="str">
        <f>IFERROR(INDEX('Output Utente'!$N$2:$N$492,MATCH(464,'Output Utente'!$R$2:$R$492,0)),"")</f>
        <v/>
      </c>
      <c r="G467" s="23" t="str">
        <f>IFERROR(INDEX('Output Utente'!$O$2:$O$492,MATCH(464,'Output Utente'!$R$2:$R$492,0)),"")</f>
        <v/>
      </c>
      <c r="H467" s="23" t="str">
        <f>IFERROR(INDEX('Output Utente'!$P$2:$P$492,MATCH(464,'Output Utente'!$R$2:$R$492,0)),"")</f>
        <v/>
      </c>
      <c r="I467" s="24" t="str">
        <f>IFERROR(INDEX('Output Utente'!$F$2:$F$492,MATCH(464,'Output Utente'!$R$2:$R$492,0)),"")</f>
        <v/>
      </c>
      <c r="J467" s="24" t="str">
        <f>IFERROR(INDEX('Output Utente'!$G$2:$G$492,MATCH(464,'Output Utente'!$R$2:$R$492,0)),"")</f>
        <v/>
      </c>
      <c r="K467" s="24" t="str">
        <f>IFERROR(INDEX('Output Utente'!$H$2:$H$492,MATCH(464,'Output Utente'!$R$2:$R$492,0)),"")</f>
        <v/>
      </c>
      <c r="L467" s="23" t="str">
        <f>IFERROR(INDEX('Output Utente'!$E$2:$E$492,MATCH(464,'Output Utente'!$R$2:$R$492,0)),"")</f>
        <v/>
      </c>
      <c r="V467" t="str">
        <f>IFERROR(INDEX('Output Utente'!$M$2:$M$492,MATCH(464,'Output Utente'!$R$2:$R$492,0)),"")</f>
        <v/>
      </c>
      <c r="W467" t="str">
        <f t="shared" si="7"/>
        <v/>
      </c>
      <c r="X467" t="str">
        <f>IFERROR(INDEX('Output Utente'!$AF$2:$AF$492,MATCH(464,'Output Utente'!$R$2:$R$492,0)),"")</f>
        <v/>
      </c>
    </row>
    <row r="468" spans="1:24" ht="15" customHeight="1" x14ac:dyDescent="0.25">
      <c r="A468" s="26">
        <v>465</v>
      </c>
      <c r="B468" s="23" t="str">
        <f>IFERROR(INDEX('Output Utente'!$A$2:$A$492,MATCH(465,'Output Utente'!$R$2:$R$492,0)),"")</f>
        <v/>
      </c>
      <c r="C468" s="23" t="str">
        <f>IFERROR(INDEX('Output Utente'!$B$2:$B$492,MATCH(465,'Output Utente'!$R$2:$R$492,0)),"")</f>
        <v/>
      </c>
      <c r="D468" s="23" t="str">
        <f>IFERROR(INDEX('Output Utente'!$C$2:$C$492,MATCH(465,'Output Utente'!$R$2:$R$492,0)),"")</f>
        <v/>
      </c>
      <c r="E468" s="23" t="str">
        <f>IFERROR(INDEX('Input Giocatori 2026_27'!$D$3:$D$493,MATCH($B468,'Input Giocatori 2026_27'!$A$3:$A$493,0)),"")</f>
        <v/>
      </c>
      <c r="F468" s="24" t="str">
        <f>IFERROR(INDEX('Output Utente'!$N$2:$N$492,MATCH(465,'Output Utente'!$R$2:$R$492,0)),"")</f>
        <v/>
      </c>
      <c r="G468" s="23" t="str">
        <f>IFERROR(INDEX('Output Utente'!$O$2:$O$492,MATCH(465,'Output Utente'!$R$2:$R$492,0)),"")</f>
        <v/>
      </c>
      <c r="H468" s="23" t="str">
        <f>IFERROR(INDEX('Output Utente'!$P$2:$P$492,MATCH(465,'Output Utente'!$R$2:$R$492,0)),"")</f>
        <v/>
      </c>
      <c r="I468" s="24" t="str">
        <f>IFERROR(INDEX('Output Utente'!$F$2:$F$492,MATCH(465,'Output Utente'!$R$2:$R$492,0)),"")</f>
        <v/>
      </c>
      <c r="J468" s="24" t="str">
        <f>IFERROR(INDEX('Output Utente'!$G$2:$G$492,MATCH(465,'Output Utente'!$R$2:$R$492,0)),"")</f>
        <v/>
      </c>
      <c r="K468" s="24" t="str">
        <f>IFERROR(INDEX('Output Utente'!$H$2:$H$492,MATCH(465,'Output Utente'!$R$2:$R$492,0)),"")</f>
        <v/>
      </c>
      <c r="L468" s="23" t="str">
        <f>IFERROR(INDEX('Output Utente'!$E$2:$E$492,MATCH(465,'Output Utente'!$R$2:$R$492,0)),"")</f>
        <v/>
      </c>
      <c r="V468" t="str">
        <f>IFERROR(INDEX('Output Utente'!$M$2:$M$492,MATCH(465,'Output Utente'!$R$2:$R$492,0)),"")</f>
        <v/>
      </c>
      <c r="W468" t="str">
        <f t="shared" si="7"/>
        <v/>
      </c>
      <c r="X468" t="str">
        <f>IFERROR(INDEX('Output Utente'!$AF$2:$AF$492,MATCH(465,'Output Utente'!$R$2:$R$492,0)),"")</f>
        <v/>
      </c>
    </row>
    <row r="469" spans="1:24" ht="15" customHeight="1" x14ac:dyDescent="0.25">
      <c r="A469" s="26">
        <v>466</v>
      </c>
      <c r="B469" s="23" t="str">
        <f>IFERROR(INDEX('Output Utente'!$A$2:$A$492,MATCH(466,'Output Utente'!$R$2:$R$492,0)),"")</f>
        <v/>
      </c>
      <c r="C469" s="23" t="str">
        <f>IFERROR(INDEX('Output Utente'!$B$2:$B$492,MATCH(466,'Output Utente'!$R$2:$R$492,0)),"")</f>
        <v/>
      </c>
      <c r="D469" s="23" t="str">
        <f>IFERROR(INDEX('Output Utente'!$C$2:$C$492,MATCH(466,'Output Utente'!$R$2:$R$492,0)),"")</f>
        <v/>
      </c>
      <c r="E469" s="23" t="str">
        <f>IFERROR(INDEX('Input Giocatori 2026_27'!$D$3:$D$493,MATCH($B469,'Input Giocatori 2026_27'!$A$3:$A$493,0)),"")</f>
        <v/>
      </c>
      <c r="F469" s="24" t="str">
        <f>IFERROR(INDEX('Output Utente'!$N$2:$N$492,MATCH(466,'Output Utente'!$R$2:$R$492,0)),"")</f>
        <v/>
      </c>
      <c r="G469" s="23" t="str">
        <f>IFERROR(INDEX('Output Utente'!$O$2:$O$492,MATCH(466,'Output Utente'!$R$2:$R$492,0)),"")</f>
        <v/>
      </c>
      <c r="H469" s="23" t="str">
        <f>IFERROR(INDEX('Output Utente'!$P$2:$P$492,MATCH(466,'Output Utente'!$R$2:$R$492,0)),"")</f>
        <v/>
      </c>
      <c r="I469" s="24" t="str">
        <f>IFERROR(INDEX('Output Utente'!$F$2:$F$492,MATCH(466,'Output Utente'!$R$2:$R$492,0)),"")</f>
        <v/>
      </c>
      <c r="J469" s="24" t="str">
        <f>IFERROR(INDEX('Output Utente'!$G$2:$G$492,MATCH(466,'Output Utente'!$R$2:$R$492,0)),"")</f>
        <v/>
      </c>
      <c r="K469" s="24" t="str">
        <f>IFERROR(INDEX('Output Utente'!$H$2:$H$492,MATCH(466,'Output Utente'!$R$2:$R$492,0)),"")</f>
        <v/>
      </c>
      <c r="L469" s="23" t="str">
        <f>IFERROR(INDEX('Output Utente'!$E$2:$E$492,MATCH(466,'Output Utente'!$R$2:$R$492,0)),"")</f>
        <v/>
      </c>
      <c r="V469" t="str">
        <f>IFERROR(INDEX('Output Utente'!$M$2:$M$492,MATCH(466,'Output Utente'!$R$2:$R$492,0)),"")</f>
        <v/>
      </c>
      <c r="W469" t="str">
        <f t="shared" si="7"/>
        <v/>
      </c>
      <c r="X469" t="str">
        <f>IFERROR(INDEX('Output Utente'!$AF$2:$AF$492,MATCH(466,'Output Utente'!$R$2:$R$492,0)),"")</f>
        <v/>
      </c>
    </row>
    <row r="470" spans="1:24" ht="15" customHeight="1" x14ac:dyDescent="0.25">
      <c r="A470" s="26">
        <v>467</v>
      </c>
      <c r="B470" s="23" t="str">
        <f>IFERROR(INDEX('Output Utente'!$A$2:$A$492,MATCH(467,'Output Utente'!$R$2:$R$492,0)),"")</f>
        <v/>
      </c>
      <c r="C470" s="23" t="str">
        <f>IFERROR(INDEX('Output Utente'!$B$2:$B$492,MATCH(467,'Output Utente'!$R$2:$R$492,0)),"")</f>
        <v/>
      </c>
      <c r="D470" s="23" t="str">
        <f>IFERROR(INDEX('Output Utente'!$C$2:$C$492,MATCH(467,'Output Utente'!$R$2:$R$492,0)),"")</f>
        <v/>
      </c>
      <c r="E470" s="23" t="str">
        <f>IFERROR(INDEX('Input Giocatori 2026_27'!$D$3:$D$493,MATCH($B470,'Input Giocatori 2026_27'!$A$3:$A$493,0)),"")</f>
        <v/>
      </c>
      <c r="F470" s="24" t="str">
        <f>IFERROR(INDEX('Output Utente'!$N$2:$N$492,MATCH(467,'Output Utente'!$R$2:$R$492,0)),"")</f>
        <v/>
      </c>
      <c r="G470" s="23" t="str">
        <f>IFERROR(INDEX('Output Utente'!$O$2:$O$492,MATCH(467,'Output Utente'!$R$2:$R$492,0)),"")</f>
        <v/>
      </c>
      <c r="H470" s="23" t="str">
        <f>IFERROR(INDEX('Output Utente'!$P$2:$P$492,MATCH(467,'Output Utente'!$R$2:$R$492,0)),"")</f>
        <v/>
      </c>
      <c r="I470" s="24" t="str">
        <f>IFERROR(INDEX('Output Utente'!$F$2:$F$492,MATCH(467,'Output Utente'!$R$2:$R$492,0)),"")</f>
        <v/>
      </c>
      <c r="J470" s="24" t="str">
        <f>IFERROR(INDEX('Output Utente'!$G$2:$G$492,MATCH(467,'Output Utente'!$R$2:$R$492,0)),"")</f>
        <v/>
      </c>
      <c r="K470" s="24" t="str">
        <f>IFERROR(INDEX('Output Utente'!$H$2:$H$492,MATCH(467,'Output Utente'!$R$2:$R$492,0)),"")</f>
        <v/>
      </c>
      <c r="L470" s="23" t="str">
        <f>IFERROR(INDEX('Output Utente'!$E$2:$E$492,MATCH(467,'Output Utente'!$R$2:$R$492,0)),"")</f>
        <v/>
      </c>
      <c r="V470" t="str">
        <f>IFERROR(INDEX('Output Utente'!$M$2:$M$492,MATCH(467,'Output Utente'!$R$2:$R$492,0)),"")</f>
        <v/>
      </c>
      <c r="W470" t="str">
        <f t="shared" si="7"/>
        <v/>
      </c>
      <c r="X470" t="str">
        <f>IFERROR(INDEX('Output Utente'!$AF$2:$AF$492,MATCH(467,'Output Utente'!$R$2:$R$492,0)),"")</f>
        <v/>
      </c>
    </row>
    <row r="471" spans="1:24" ht="15" customHeight="1" x14ac:dyDescent="0.25">
      <c r="A471" s="26">
        <v>468</v>
      </c>
      <c r="B471" s="23" t="str">
        <f>IFERROR(INDEX('Output Utente'!$A$2:$A$492,MATCH(468,'Output Utente'!$R$2:$R$492,0)),"")</f>
        <v/>
      </c>
      <c r="C471" s="23" t="str">
        <f>IFERROR(INDEX('Output Utente'!$B$2:$B$492,MATCH(468,'Output Utente'!$R$2:$R$492,0)),"")</f>
        <v/>
      </c>
      <c r="D471" s="23" t="str">
        <f>IFERROR(INDEX('Output Utente'!$C$2:$C$492,MATCH(468,'Output Utente'!$R$2:$R$492,0)),"")</f>
        <v/>
      </c>
      <c r="E471" s="23" t="str">
        <f>IFERROR(INDEX('Input Giocatori 2026_27'!$D$3:$D$493,MATCH($B471,'Input Giocatori 2026_27'!$A$3:$A$493,0)),"")</f>
        <v/>
      </c>
      <c r="F471" s="24" t="str">
        <f>IFERROR(INDEX('Output Utente'!$N$2:$N$492,MATCH(468,'Output Utente'!$R$2:$R$492,0)),"")</f>
        <v/>
      </c>
      <c r="G471" s="23" t="str">
        <f>IFERROR(INDEX('Output Utente'!$O$2:$O$492,MATCH(468,'Output Utente'!$R$2:$R$492,0)),"")</f>
        <v/>
      </c>
      <c r="H471" s="23" t="str">
        <f>IFERROR(INDEX('Output Utente'!$P$2:$P$492,MATCH(468,'Output Utente'!$R$2:$R$492,0)),"")</f>
        <v/>
      </c>
      <c r="I471" s="24" t="str">
        <f>IFERROR(INDEX('Output Utente'!$F$2:$F$492,MATCH(468,'Output Utente'!$R$2:$R$492,0)),"")</f>
        <v/>
      </c>
      <c r="J471" s="24" t="str">
        <f>IFERROR(INDEX('Output Utente'!$G$2:$G$492,MATCH(468,'Output Utente'!$R$2:$R$492,0)),"")</f>
        <v/>
      </c>
      <c r="K471" s="24" t="str">
        <f>IFERROR(INDEX('Output Utente'!$H$2:$H$492,MATCH(468,'Output Utente'!$R$2:$R$492,0)),"")</f>
        <v/>
      </c>
      <c r="L471" s="23" t="str">
        <f>IFERROR(INDEX('Output Utente'!$E$2:$E$492,MATCH(468,'Output Utente'!$R$2:$R$492,0)),"")</f>
        <v/>
      </c>
      <c r="V471" t="str">
        <f>IFERROR(INDEX('Output Utente'!$M$2:$M$492,MATCH(468,'Output Utente'!$R$2:$R$492,0)),"")</f>
        <v/>
      </c>
      <c r="W471" t="str">
        <f t="shared" si="7"/>
        <v/>
      </c>
      <c r="X471" t="str">
        <f>IFERROR(INDEX('Output Utente'!$AF$2:$AF$492,MATCH(468,'Output Utente'!$R$2:$R$492,0)),"")</f>
        <v/>
      </c>
    </row>
    <row r="472" spans="1:24" ht="15" customHeight="1" x14ac:dyDescent="0.25">
      <c r="A472" s="26">
        <v>469</v>
      </c>
      <c r="B472" s="23" t="str">
        <f>IFERROR(INDEX('Output Utente'!$A$2:$A$492,MATCH(469,'Output Utente'!$R$2:$R$492,0)),"")</f>
        <v/>
      </c>
      <c r="C472" s="23" t="str">
        <f>IFERROR(INDEX('Output Utente'!$B$2:$B$492,MATCH(469,'Output Utente'!$R$2:$R$492,0)),"")</f>
        <v/>
      </c>
      <c r="D472" s="23" t="str">
        <f>IFERROR(INDEX('Output Utente'!$C$2:$C$492,MATCH(469,'Output Utente'!$R$2:$R$492,0)),"")</f>
        <v/>
      </c>
      <c r="E472" s="23" t="str">
        <f>IFERROR(INDEX('Input Giocatori 2026_27'!$D$3:$D$493,MATCH($B472,'Input Giocatori 2026_27'!$A$3:$A$493,0)),"")</f>
        <v/>
      </c>
      <c r="F472" s="24" t="str">
        <f>IFERROR(INDEX('Output Utente'!$N$2:$N$492,MATCH(469,'Output Utente'!$R$2:$R$492,0)),"")</f>
        <v/>
      </c>
      <c r="G472" s="23" t="str">
        <f>IFERROR(INDEX('Output Utente'!$O$2:$O$492,MATCH(469,'Output Utente'!$R$2:$R$492,0)),"")</f>
        <v/>
      </c>
      <c r="H472" s="23" t="str">
        <f>IFERROR(INDEX('Output Utente'!$P$2:$P$492,MATCH(469,'Output Utente'!$R$2:$R$492,0)),"")</f>
        <v/>
      </c>
      <c r="I472" s="24" t="str">
        <f>IFERROR(INDEX('Output Utente'!$F$2:$F$492,MATCH(469,'Output Utente'!$R$2:$R$492,0)),"")</f>
        <v/>
      </c>
      <c r="J472" s="24" t="str">
        <f>IFERROR(INDEX('Output Utente'!$G$2:$G$492,MATCH(469,'Output Utente'!$R$2:$R$492,0)),"")</f>
        <v/>
      </c>
      <c r="K472" s="24" t="str">
        <f>IFERROR(INDEX('Output Utente'!$H$2:$H$492,MATCH(469,'Output Utente'!$R$2:$R$492,0)),"")</f>
        <v/>
      </c>
      <c r="L472" s="23" t="str">
        <f>IFERROR(INDEX('Output Utente'!$E$2:$E$492,MATCH(469,'Output Utente'!$R$2:$R$492,0)),"")</f>
        <v/>
      </c>
      <c r="V472" t="str">
        <f>IFERROR(INDEX('Output Utente'!$M$2:$M$492,MATCH(469,'Output Utente'!$R$2:$R$492,0)),"")</f>
        <v/>
      </c>
      <c r="W472" t="str">
        <f t="shared" si="7"/>
        <v/>
      </c>
      <c r="X472" t="str">
        <f>IFERROR(INDEX('Output Utente'!$AF$2:$AF$492,MATCH(469,'Output Utente'!$R$2:$R$492,0)),"")</f>
        <v/>
      </c>
    </row>
    <row r="473" spans="1:24" ht="15" customHeight="1" x14ac:dyDescent="0.25">
      <c r="A473" s="26">
        <v>470</v>
      </c>
      <c r="B473" s="23" t="str">
        <f>IFERROR(INDEX('Output Utente'!$A$2:$A$492,MATCH(470,'Output Utente'!$R$2:$R$492,0)),"")</f>
        <v/>
      </c>
      <c r="C473" s="23" t="str">
        <f>IFERROR(INDEX('Output Utente'!$B$2:$B$492,MATCH(470,'Output Utente'!$R$2:$R$492,0)),"")</f>
        <v/>
      </c>
      <c r="D473" s="23" t="str">
        <f>IFERROR(INDEX('Output Utente'!$C$2:$C$492,MATCH(470,'Output Utente'!$R$2:$R$492,0)),"")</f>
        <v/>
      </c>
      <c r="E473" s="23" t="str">
        <f>IFERROR(INDEX('Input Giocatori 2026_27'!$D$3:$D$493,MATCH($B473,'Input Giocatori 2026_27'!$A$3:$A$493,0)),"")</f>
        <v/>
      </c>
      <c r="F473" s="24" t="str">
        <f>IFERROR(INDEX('Output Utente'!$N$2:$N$492,MATCH(470,'Output Utente'!$R$2:$R$492,0)),"")</f>
        <v/>
      </c>
      <c r="G473" s="23" t="str">
        <f>IFERROR(INDEX('Output Utente'!$O$2:$O$492,MATCH(470,'Output Utente'!$R$2:$R$492,0)),"")</f>
        <v/>
      </c>
      <c r="H473" s="23" t="str">
        <f>IFERROR(INDEX('Output Utente'!$P$2:$P$492,MATCH(470,'Output Utente'!$R$2:$R$492,0)),"")</f>
        <v/>
      </c>
      <c r="I473" s="24" t="str">
        <f>IFERROR(INDEX('Output Utente'!$F$2:$F$492,MATCH(470,'Output Utente'!$R$2:$R$492,0)),"")</f>
        <v/>
      </c>
      <c r="J473" s="24" t="str">
        <f>IFERROR(INDEX('Output Utente'!$G$2:$G$492,MATCH(470,'Output Utente'!$R$2:$R$492,0)),"")</f>
        <v/>
      </c>
      <c r="K473" s="24" t="str">
        <f>IFERROR(INDEX('Output Utente'!$H$2:$H$492,MATCH(470,'Output Utente'!$R$2:$R$492,0)),"")</f>
        <v/>
      </c>
      <c r="L473" s="23" t="str">
        <f>IFERROR(INDEX('Output Utente'!$E$2:$E$492,MATCH(470,'Output Utente'!$R$2:$R$492,0)),"")</f>
        <v/>
      </c>
      <c r="V473" t="str">
        <f>IFERROR(INDEX('Output Utente'!$M$2:$M$492,MATCH(470,'Output Utente'!$R$2:$R$492,0)),"")</f>
        <v/>
      </c>
      <c r="W473" t="str">
        <f t="shared" si="7"/>
        <v/>
      </c>
      <c r="X473" t="str">
        <f>IFERROR(INDEX('Output Utente'!$AF$2:$AF$492,MATCH(470,'Output Utente'!$R$2:$R$492,0)),"")</f>
        <v/>
      </c>
    </row>
    <row r="474" spans="1:24" ht="15" customHeight="1" x14ac:dyDescent="0.25">
      <c r="A474" s="26">
        <v>471</v>
      </c>
      <c r="B474" s="23" t="str">
        <f>IFERROR(INDEX('Output Utente'!$A$2:$A$492,MATCH(471,'Output Utente'!$R$2:$R$492,0)),"")</f>
        <v/>
      </c>
      <c r="C474" s="23" t="str">
        <f>IFERROR(INDEX('Output Utente'!$B$2:$B$492,MATCH(471,'Output Utente'!$R$2:$R$492,0)),"")</f>
        <v/>
      </c>
      <c r="D474" s="23" t="str">
        <f>IFERROR(INDEX('Output Utente'!$C$2:$C$492,MATCH(471,'Output Utente'!$R$2:$R$492,0)),"")</f>
        <v/>
      </c>
      <c r="E474" s="23" t="str">
        <f>IFERROR(INDEX('Input Giocatori 2026_27'!$D$3:$D$493,MATCH($B474,'Input Giocatori 2026_27'!$A$3:$A$493,0)),"")</f>
        <v/>
      </c>
      <c r="F474" s="24" t="str">
        <f>IFERROR(INDEX('Output Utente'!$N$2:$N$492,MATCH(471,'Output Utente'!$R$2:$R$492,0)),"")</f>
        <v/>
      </c>
      <c r="G474" s="23" t="str">
        <f>IFERROR(INDEX('Output Utente'!$O$2:$O$492,MATCH(471,'Output Utente'!$R$2:$R$492,0)),"")</f>
        <v/>
      </c>
      <c r="H474" s="23" t="str">
        <f>IFERROR(INDEX('Output Utente'!$P$2:$P$492,MATCH(471,'Output Utente'!$R$2:$R$492,0)),"")</f>
        <v/>
      </c>
      <c r="I474" s="24" t="str">
        <f>IFERROR(INDEX('Output Utente'!$F$2:$F$492,MATCH(471,'Output Utente'!$R$2:$R$492,0)),"")</f>
        <v/>
      </c>
      <c r="J474" s="24" t="str">
        <f>IFERROR(INDEX('Output Utente'!$G$2:$G$492,MATCH(471,'Output Utente'!$R$2:$R$492,0)),"")</f>
        <v/>
      </c>
      <c r="K474" s="24" t="str">
        <f>IFERROR(INDEX('Output Utente'!$H$2:$H$492,MATCH(471,'Output Utente'!$R$2:$R$492,0)),"")</f>
        <v/>
      </c>
      <c r="L474" s="23" t="str">
        <f>IFERROR(INDEX('Output Utente'!$E$2:$E$492,MATCH(471,'Output Utente'!$R$2:$R$492,0)),"")</f>
        <v/>
      </c>
      <c r="V474" t="str">
        <f>IFERROR(INDEX('Output Utente'!$M$2:$M$492,MATCH(471,'Output Utente'!$R$2:$R$492,0)),"")</f>
        <v/>
      </c>
      <c r="W474" t="str">
        <f t="shared" si="7"/>
        <v/>
      </c>
      <c r="X474" t="str">
        <f>IFERROR(INDEX('Output Utente'!$AF$2:$AF$492,MATCH(471,'Output Utente'!$R$2:$R$492,0)),"")</f>
        <v/>
      </c>
    </row>
    <row r="475" spans="1:24" ht="15" customHeight="1" x14ac:dyDescent="0.25">
      <c r="A475" s="26">
        <v>472</v>
      </c>
      <c r="B475" s="23" t="str">
        <f>IFERROR(INDEX('Output Utente'!$A$2:$A$492,MATCH(472,'Output Utente'!$R$2:$R$492,0)),"")</f>
        <v/>
      </c>
      <c r="C475" s="23" t="str">
        <f>IFERROR(INDEX('Output Utente'!$B$2:$B$492,MATCH(472,'Output Utente'!$R$2:$R$492,0)),"")</f>
        <v/>
      </c>
      <c r="D475" s="23" t="str">
        <f>IFERROR(INDEX('Output Utente'!$C$2:$C$492,MATCH(472,'Output Utente'!$R$2:$R$492,0)),"")</f>
        <v/>
      </c>
      <c r="E475" s="23" t="str">
        <f>IFERROR(INDEX('Input Giocatori 2026_27'!$D$3:$D$493,MATCH($B475,'Input Giocatori 2026_27'!$A$3:$A$493,0)),"")</f>
        <v/>
      </c>
      <c r="F475" s="24" t="str">
        <f>IFERROR(INDEX('Output Utente'!$N$2:$N$492,MATCH(472,'Output Utente'!$R$2:$R$492,0)),"")</f>
        <v/>
      </c>
      <c r="G475" s="23" t="str">
        <f>IFERROR(INDEX('Output Utente'!$O$2:$O$492,MATCH(472,'Output Utente'!$R$2:$R$492,0)),"")</f>
        <v/>
      </c>
      <c r="H475" s="23" t="str">
        <f>IFERROR(INDEX('Output Utente'!$P$2:$P$492,MATCH(472,'Output Utente'!$R$2:$R$492,0)),"")</f>
        <v/>
      </c>
      <c r="I475" s="24" t="str">
        <f>IFERROR(INDEX('Output Utente'!$F$2:$F$492,MATCH(472,'Output Utente'!$R$2:$R$492,0)),"")</f>
        <v/>
      </c>
      <c r="J475" s="24" t="str">
        <f>IFERROR(INDEX('Output Utente'!$G$2:$G$492,MATCH(472,'Output Utente'!$R$2:$R$492,0)),"")</f>
        <v/>
      </c>
      <c r="K475" s="24" t="str">
        <f>IFERROR(INDEX('Output Utente'!$H$2:$H$492,MATCH(472,'Output Utente'!$R$2:$R$492,0)),"")</f>
        <v/>
      </c>
      <c r="L475" s="23" t="str">
        <f>IFERROR(INDEX('Output Utente'!$E$2:$E$492,MATCH(472,'Output Utente'!$R$2:$R$492,0)),"")</f>
        <v/>
      </c>
      <c r="V475" t="str">
        <f>IFERROR(INDEX('Output Utente'!$M$2:$M$492,MATCH(472,'Output Utente'!$R$2:$R$492,0)),"")</f>
        <v/>
      </c>
      <c r="W475" t="str">
        <f t="shared" si="7"/>
        <v/>
      </c>
      <c r="X475" t="str">
        <f>IFERROR(INDEX('Output Utente'!$AF$2:$AF$492,MATCH(472,'Output Utente'!$R$2:$R$492,0)),"")</f>
        <v/>
      </c>
    </row>
    <row r="476" spans="1:24" ht="15" customHeight="1" x14ac:dyDescent="0.25">
      <c r="A476" s="26">
        <v>473</v>
      </c>
      <c r="B476" s="23" t="str">
        <f>IFERROR(INDEX('Output Utente'!$A$2:$A$492,MATCH(473,'Output Utente'!$R$2:$R$492,0)),"")</f>
        <v/>
      </c>
      <c r="C476" s="23" t="str">
        <f>IFERROR(INDEX('Output Utente'!$B$2:$B$492,MATCH(473,'Output Utente'!$R$2:$R$492,0)),"")</f>
        <v/>
      </c>
      <c r="D476" s="23" t="str">
        <f>IFERROR(INDEX('Output Utente'!$C$2:$C$492,MATCH(473,'Output Utente'!$R$2:$R$492,0)),"")</f>
        <v/>
      </c>
      <c r="E476" s="23" t="str">
        <f>IFERROR(INDEX('Input Giocatori 2026_27'!$D$3:$D$493,MATCH($B476,'Input Giocatori 2026_27'!$A$3:$A$493,0)),"")</f>
        <v/>
      </c>
      <c r="F476" s="24" t="str">
        <f>IFERROR(INDEX('Output Utente'!$N$2:$N$492,MATCH(473,'Output Utente'!$R$2:$R$492,0)),"")</f>
        <v/>
      </c>
      <c r="G476" s="23" t="str">
        <f>IFERROR(INDEX('Output Utente'!$O$2:$O$492,MATCH(473,'Output Utente'!$R$2:$R$492,0)),"")</f>
        <v/>
      </c>
      <c r="H476" s="23" t="str">
        <f>IFERROR(INDEX('Output Utente'!$P$2:$P$492,MATCH(473,'Output Utente'!$R$2:$R$492,0)),"")</f>
        <v/>
      </c>
      <c r="I476" s="24" t="str">
        <f>IFERROR(INDEX('Output Utente'!$F$2:$F$492,MATCH(473,'Output Utente'!$R$2:$R$492,0)),"")</f>
        <v/>
      </c>
      <c r="J476" s="24" t="str">
        <f>IFERROR(INDEX('Output Utente'!$G$2:$G$492,MATCH(473,'Output Utente'!$R$2:$R$492,0)),"")</f>
        <v/>
      </c>
      <c r="K476" s="24" t="str">
        <f>IFERROR(INDEX('Output Utente'!$H$2:$H$492,MATCH(473,'Output Utente'!$R$2:$R$492,0)),"")</f>
        <v/>
      </c>
      <c r="L476" s="23" t="str">
        <f>IFERROR(INDEX('Output Utente'!$E$2:$E$492,MATCH(473,'Output Utente'!$R$2:$R$492,0)),"")</f>
        <v/>
      </c>
      <c r="V476" t="str">
        <f>IFERROR(INDEX('Output Utente'!$M$2:$M$492,MATCH(473,'Output Utente'!$R$2:$R$492,0)),"")</f>
        <v/>
      </c>
      <c r="W476" t="str">
        <f t="shared" si="7"/>
        <v/>
      </c>
      <c r="X476" t="str">
        <f>IFERROR(INDEX('Output Utente'!$AF$2:$AF$492,MATCH(473,'Output Utente'!$R$2:$R$492,0)),"")</f>
        <v/>
      </c>
    </row>
    <row r="477" spans="1:24" ht="15" customHeight="1" x14ac:dyDescent="0.25">
      <c r="A477" s="26">
        <v>474</v>
      </c>
      <c r="B477" s="23" t="str">
        <f>IFERROR(INDEX('Output Utente'!$A$2:$A$492,MATCH(474,'Output Utente'!$R$2:$R$492,0)),"")</f>
        <v/>
      </c>
      <c r="C477" s="23" t="str">
        <f>IFERROR(INDEX('Output Utente'!$B$2:$B$492,MATCH(474,'Output Utente'!$R$2:$R$492,0)),"")</f>
        <v/>
      </c>
      <c r="D477" s="23" t="str">
        <f>IFERROR(INDEX('Output Utente'!$C$2:$C$492,MATCH(474,'Output Utente'!$R$2:$R$492,0)),"")</f>
        <v/>
      </c>
      <c r="E477" s="23" t="str">
        <f>IFERROR(INDEX('Input Giocatori 2026_27'!$D$3:$D$493,MATCH($B477,'Input Giocatori 2026_27'!$A$3:$A$493,0)),"")</f>
        <v/>
      </c>
      <c r="F477" s="24" t="str">
        <f>IFERROR(INDEX('Output Utente'!$N$2:$N$492,MATCH(474,'Output Utente'!$R$2:$R$492,0)),"")</f>
        <v/>
      </c>
      <c r="G477" s="23" t="str">
        <f>IFERROR(INDEX('Output Utente'!$O$2:$O$492,MATCH(474,'Output Utente'!$R$2:$R$492,0)),"")</f>
        <v/>
      </c>
      <c r="H477" s="23" t="str">
        <f>IFERROR(INDEX('Output Utente'!$P$2:$P$492,MATCH(474,'Output Utente'!$R$2:$R$492,0)),"")</f>
        <v/>
      </c>
      <c r="I477" s="24" t="str">
        <f>IFERROR(INDEX('Output Utente'!$F$2:$F$492,MATCH(474,'Output Utente'!$R$2:$R$492,0)),"")</f>
        <v/>
      </c>
      <c r="J477" s="24" t="str">
        <f>IFERROR(INDEX('Output Utente'!$G$2:$G$492,MATCH(474,'Output Utente'!$R$2:$R$492,0)),"")</f>
        <v/>
      </c>
      <c r="K477" s="24" t="str">
        <f>IFERROR(INDEX('Output Utente'!$H$2:$H$492,MATCH(474,'Output Utente'!$R$2:$R$492,0)),"")</f>
        <v/>
      </c>
      <c r="L477" s="23" t="str">
        <f>IFERROR(INDEX('Output Utente'!$E$2:$E$492,MATCH(474,'Output Utente'!$R$2:$R$492,0)),"")</f>
        <v/>
      </c>
      <c r="V477" t="str">
        <f>IFERROR(INDEX('Output Utente'!$M$2:$M$492,MATCH(474,'Output Utente'!$R$2:$R$492,0)),"")</f>
        <v/>
      </c>
      <c r="W477" t="str">
        <f t="shared" si="7"/>
        <v/>
      </c>
      <c r="X477" t="str">
        <f>IFERROR(INDEX('Output Utente'!$AF$2:$AF$492,MATCH(474,'Output Utente'!$R$2:$R$492,0)),"")</f>
        <v/>
      </c>
    </row>
    <row r="478" spans="1:24" ht="15" customHeight="1" x14ac:dyDescent="0.25">
      <c r="A478" s="26">
        <v>475</v>
      </c>
      <c r="B478" s="23" t="str">
        <f>IFERROR(INDEX('Output Utente'!$A$2:$A$492,MATCH(475,'Output Utente'!$R$2:$R$492,0)),"")</f>
        <v/>
      </c>
      <c r="C478" s="23" t="str">
        <f>IFERROR(INDEX('Output Utente'!$B$2:$B$492,MATCH(475,'Output Utente'!$R$2:$R$492,0)),"")</f>
        <v/>
      </c>
      <c r="D478" s="23" t="str">
        <f>IFERROR(INDEX('Output Utente'!$C$2:$C$492,MATCH(475,'Output Utente'!$R$2:$R$492,0)),"")</f>
        <v/>
      </c>
      <c r="E478" s="23" t="str">
        <f>IFERROR(INDEX('Input Giocatori 2026_27'!$D$3:$D$493,MATCH($B478,'Input Giocatori 2026_27'!$A$3:$A$493,0)),"")</f>
        <v/>
      </c>
      <c r="F478" s="24" t="str">
        <f>IFERROR(INDEX('Output Utente'!$N$2:$N$492,MATCH(475,'Output Utente'!$R$2:$R$492,0)),"")</f>
        <v/>
      </c>
      <c r="G478" s="23" t="str">
        <f>IFERROR(INDEX('Output Utente'!$O$2:$O$492,MATCH(475,'Output Utente'!$R$2:$R$492,0)),"")</f>
        <v/>
      </c>
      <c r="H478" s="23" t="str">
        <f>IFERROR(INDEX('Output Utente'!$P$2:$P$492,MATCH(475,'Output Utente'!$R$2:$R$492,0)),"")</f>
        <v/>
      </c>
      <c r="I478" s="24" t="str">
        <f>IFERROR(INDEX('Output Utente'!$F$2:$F$492,MATCH(475,'Output Utente'!$R$2:$R$492,0)),"")</f>
        <v/>
      </c>
      <c r="J478" s="24" t="str">
        <f>IFERROR(INDEX('Output Utente'!$G$2:$G$492,MATCH(475,'Output Utente'!$R$2:$R$492,0)),"")</f>
        <v/>
      </c>
      <c r="K478" s="24" t="str">
        <f>IFERROR(INDEX('Output Utente'!$H$2:$H$492,MATCH(475,'Output Utente'!$R$2:$R$492,0)),"")</f>
        <v/>
      </c>
      <c r="L478" s="23" t="str">
        <f>IFERROR(INDEX('Output Utente'!$E$2:$E$492,MATCH(475,'Output Utente'!$R$2:$R$492,0)),"")</f>
        <v/>
      </c>
      <c r="V478" t="str">
        <f>IFERROR(INDEX('Output Utente'!$M$2:$M$492,MATCH(475,'Output Utente'!$R$2:$R$492,0)),"")</f>
        <v/>
      </c>
      <c r="W478" t="str">
        <f t="shared" si="7"/>
        <v/>
      </c>
      <c r="X478" t="str">
        <f>IFERROR(INDEX('Output Utente'!$AF$2:$AF$492,MATCH(475,'Output Utente'!$R$2:$R$492,0)),"")</f>
        <v/>
      </c>
    </row>
    <row r="479" spans="1:24" ht="15" customHeight="1" x14ac:dyDescent="0.25">
      <c r="A479" s="26">
        <v>476</v>
      </c>
      <c r="B479" s="23" t="str">
        <f>IFERROR(INDEX('Output Utente'!$A$2:$A$492,MATCH(476,'Output Utente'!$R$2:$R$492,0)),"")</f>
        <v/>
      </c>
      <c r="C479" s="23" t="str">
        <f>IFERROR(INDEX('Output Utente'!$B$2:$B$492,MATCH(476,'Output Utente'!$R$2:$R$492,0)),"")</f>
        <v/>
      </c>
      <c r="D479" s="23" t="str">
        <f>IFERROR(INDEX('Output Utente'!$C$2:$C$492,MATCH(476,'Output Utente'!$R$2:$R$492,0)),"")</f>
        <v/>
      </c>
      <c r="E479" s="23" t="str">
        <f>IFERROR(INDEX('Input Giocatori 2026_27'!$D$3:$D$493,MATCH($B479,'Input Giocatori 2026_27'!$A$3:$A$493,0)),"")</f>
        <v/>
      </c>
      <c r="F479" s="24" t="str">
        <f>IFERROR(INDEX('Output Utente'!$N$2:$N$492,MATCH(476,'Output Utente'!$R$2:$R$492,0)),"")</f>
        <v/>
      </c>
      <c r="G479" s="23" t="str">
        <f>IFERROR(INDEX('Output Utente'!$O$2:$O$492,MATCH(476,'Output Utente'!$R$2:$R$492,0)),"")</f>
        <v/>
      </c>
      <c r="H479" s="23" t="str">
        <f>IFERROR(INDEX('Output Utente'!$P$2:$P$492,MATCH(476,'Output Utente'!$R$2:$R$492,0)),"")</f>
        <v/>
      </c>
      <c r="I479" s="24" t="str">
        <f>IFERROR(INDEX('Output Utente'!$F$2:$F$492,MATCH(476,'Output Utente'!$R$2:$R$492,0)),"")</f>
        <v/>
      </c>
      <c r="J479" s="24" t="str">
        <f>IFERROR(INDEX('Output Utente'!$G$2:$G$492,MATCH(476,'Output Utente'!$R$2:$R$492,0)),"")</f>
        <v/>
      </c>
      <c r="K479" s="24" t="str">
        <f>IFERROR(INDEX('Output Utente'!$H$2:$H$492,MATCH(476,'Output Utente'!$R$2:$R$492,0)),"")</f>
        <v/>
      </c>
      <c r="L479" s="23" t="str">
        <f>IFERROR(INDEX('Output Utente'!$E$2:$E$492,MATCH(476,'Output Utente'!$R$2:$R$492,0)),"")</f>
        <v/>
      </c>
      <c r="V479" t="str">
        <f>IFERROR(INDEX('Output Utente'!$M$2:$M$492,MATCH(476,'Output Utente'!$R$2:$R$492,0)),"")</f>
        <v/>
      </c>
      <c r="W479" t="str">
        <f t="shared" si="7"/>
        <v/>
      </c>
      <c r="X479" t="str">
        <f>IFERROR(INDEX('Output Utente'!$AF$2:$AF$492,MATCH(476,'Output Utente'!$R$2:$R$492,0)),"")</f>
        <v/>
      </c>
    </row>
    <row r="480" spans="1:24" ht="15" customHeight="1" x14ac:dyDescent="0.25">
      <c r="A480" s="26">
        <v>477</v>
      </c>
      <c r="B480" s="23" t="str">
        <f>IFERROR(INDEX('Output Utente'!$A$2:$A$492,MATCH(477,'Output Utente'!$R$2:$R$492,0)),"")</f>
        <v/>
      </c>
      <c r="C480" s="23" t="str">
        <f>IFERROR(INDEX('Output Utente'!$B$2:$B$492,MATCH(477,'Output Utente'!$R$2:$R$492,0)),"")</f>
        <v/>
      </c>
      <c r="D480" s="23" t="str">
        <f>IFERROR(INDEX('Output Utente'!$C$2:$C$492,MATCH(477,'Output Utente'!$R$2:$R$492,0)),"")</f>
        <v/>
      </c>
      <c r="E480" s="23" t="str">
        <f>IFERROR(INDEX('Input Giocatori 2026_27'!$D$3:$D$493,MATCH($B480,'Input Giocatori 2026_27'!$A$3:$A$493,0)),"")</f>
        <v/>
      </c>
      <c r="F480" s="24" t="str">
        <f>IFERROR(INDEX('Output Utente'!$N$2:$N$492,MATCH(477,'Output Utente'!$R$2:$R$492,0)),"")</f>
        <v/>
      </c>
      <c r="G480" s="23" t="str">
        <f>IFERROR(INDEX('Output Utente'!$O$2:$O$492,MATCH(477,'Output Utente'!$R$2:$R$492,0)),"")</f>
        <v/>
      </c>
      <c r="H480" s="23" t="str">
        <f>IFERROR(INDEX('Output Utente'!$P$2:$P$492,MATCH(477,'Output Utente'!$R$2:$R$492,0)),"")</f>
        <v/>
      </c>
      <c r="I480" s="24" t="str">
        <f>IFERROR(INDEX('Output Utente'!$F$2:$F$492,MATCH(477,'Output Utente'!$R$2:$R$492,0)),"")</f>
        <v/>
      </c>
      <c r="J480" s="24" t="str">
        <f>IFERROR(INDEX('Output Utente'!$G$2:$G$492,MATCH(477,'Output Utente'!$R$2:$R$492,0)),"")</f>
        <v/>
      </c>
      <c r="K480" s="24" t="str">
        <f>IFERROR(INDEX('Output Utente'!$H$2:$H$492,MATCH(477,'Output Utente'!$R$2:$R$492,0)),"")</f>
        <v/>
      </c>
      <c r="L480" s="23" t="str">
        <f>IFERROR(INDEX('Output Utente'!$E$2:$E$492,MATCH(477,'Output Utente'!$R$2:$R$492,0)),"")</f>
        <v/>
      </c>
      <c r="V480" t="str">
        <f>IFERROR(INDEX('Output Utente'!$M$2:$M$492,MATCH(477,'Output Utente'!$R$2:$R$492,0)),"")</f>
        <v/>
      </c>
      <c r="W480" t="str">
        <f t="shared" si="7"/>
        <v/>
      </c>
      <c r="X480" t="str">
        <f>IFERROR(INDEX('Output Utente'!$AF$2:$AF$492,MATCH(477,'Output Utente'!$R$2:$R$492,0)),"")</f>
        <v/>
      </c>
    </row>
    <row r="481" spans="1:24" ht="15" customHeight="1" x14ac:dyDescent="0.25">
      <c r="A481" s="26">
        <v>478</v>
      </c>
      <c r="B481" s="23" t="str">
        <f>IFERROR(INDEX('Output Utente'!$A$2:$A$492,MATCH(478,'Output Utente'!$R$2:$R$492,0)),"")</f>
        <v/>
      </c>
      <c r="C481" s="23" t="str">
        <f>IFERROR(INDEX('Output Utente'!$B$2:$B$492,MATCH(478,'Output Utente'!$R$2:$R$492,0)),"")</f>
        <v/>
      </c>
      <c r="D481" s="23" t="str">
        <f>IFERROR(INDEX('Output Utente'!$C$2:$C$492,MATCH(478,'Output Utente'!$R$2:$R$492,0)),"")</f>
        <v/>
      </c>
      <c r="E481" s="23" t="str">
        <f>IFERROR(INDEX('Input Giocatori 2026_27'!$D$3:$D$493,MATCH($B481,'Input Giocatori 2026_27'!$A$3:$A$493,0)),"")</f>
        <v/>
      </c>
      <c r="F481" s="24" t="str">
        <f>IFERROR(INDEX('Output Utente'!$N$2:$N$492,MATCH(478,'Output Utente'!$R$2:$R$492,0)),"")</f>
        <v/>
      </c>
      <c r="G481" s="23" t="str">
        <f>IFERROR(INDEX('Output Utente'!$O$2:$O$492,MATCH(478,'Output Utente'!$R$2:$R$492,0)),"")</f>
        <v/>
      </c>
      <c r="H481" s="23" t="str">
        <f>IFERROR(INDEX('Output Utente'!$P$2:$P$492,MATCH(478,'Output Utente'!$R$2:$R$492,0)),"")</f>
        <v/>
      </c>
      <c r="I481" s="24" t="str">
        <f>IFERROR(INDEX('Output Utente'!$F$2:$F$492,MATCH(478,'Output Utente'!$R$2:$R$492,0)),"")</f>
        <v/>
      </c>
      <c r="J481" s="24" t="str">
        <f>IFERROR(INDEX('Output Utente'!$G$2:$G$492,MATCH(478,'Output Utente'!$R$2:$R$492,0)),"")</f>
        <v/>
      </c>
      <c r="K481" s="24" t="str">
        <f>IFERROR(INDEX('Output Utente'!$H$2:$H$492,MATCH(478,'Output Utente'!$R$2:$R$492,0)),"")</f>
        <v/>
      </c>
      <c r="L481" s="23" t="str">
        <f>IFERROR(INDEX('Output Utente'!$E$2:$E$492,MATCH(478,'Output Utente'!$R$2:$R$492,0)),"")</f>
        <v/>
      </c>
      <c r="V481" t="str">
        <f>IFERROR(INDEX('Output Utente'!$M$2:$M$492,MATCH(478,'Output Utente'!$R$2:$R$492,0)),"")</f>
        <v/>
      </c>
      <c r="W481" t="str">
        <f t="shared" si="7"/>
        <v/>
      </c>
      <c r="X481" t="str">
        <f>IFERROR(INDEX('Output Utente'!$AF$2:$AF$492,MATCH(478,'Output Utente'!$R$2:$R$492,0)),"")</f>
        <v/>
      </c>
    </row>
    <row r="482" spans="1:24" ht="15" customHeight="1" x14ac:dyDescent="0.25">
      <c r="A482" s="26">
        <v>479</v>
      </c>
      <c r="B482" s="23" t="str">
        <f>IFERROR(INDEX('Output Utente'!$A$2:$A$492,MATCH(479,'Output Utente'!$R$2:$R$492,0)),"")</f>
        <v/>
      </c>
      <c r="C482" s="23" t="str">
        <f>IFERROR(INDEX('Output Utente'!$B$2:$B$492,MATCH(479,'Output Utente'!$R$2:$R$492,0)),"")</f>
        <v/>
      </c>
      <c r="D482" s="23" t="str">
        <f>IFERROR(INDEX('Output Utente'!$C$2:$C$492,MATCH(479,'Output Utente'!$R$2:$R$492,0)),"")</f>
        <v/>
      </c>
      <c r="E482" s="23" t="str">
        <f>IFERROR(INDEX('Input Giocatori 2026_27'!$D$3:$D$493,MATCH($B482,'Input Giocatori 2026_27'!$A$3:$A$493,0)),"")</f>
        <v/>
      </c>
      <c r="F482" s="24" t="str">
        <f>IFERROR(INDEX('Output Utente'!$N$2:$N$492,MATCH(479,'Output Utente'!$R$2:$R$492,0)),"")</f>
        <v/>
      </c>
      <c r="G482" s="23" t="str">
        <f>IFERROR(INDEX('Output Utente'!$O$2:$O$492,MATCH(479,'Output Utente'!$R$2:$R$492,0)),"")</f>
        <v/>
      </c>
      <c r="H482" s="23" t="str">
        <f>IFERROR(INDEX('Output Utente'!$P$2:$P$492,MATCH(479,'Output Utente'!$R$2:$R$492,0)),"")</f>
        <v/>
      </c>
      <c r="I482" s="24" t="str">
        <f>IFERROR(INDEX('Output Utente'!$F$2:$F$492,MATCH(479,'Output Utente'!$R$2:$R$492,0)),"")</f>
        <v/>
      </c>
      <c r="J482" s="24" t="str">
        <f>IFERROR(INDEX('Output Utente'!$G$2:$G$492,MATCH(479,'Output Utente'!$R$2:$R$492,0)),"")</f>
        <v/>
      </c>
      <c r="K482" s="24" t="str">
        <f>IFERROR(INDEX('Output Utente'!$H$2:$H$492,MATCH(479,'Output Utente'!$R$2:$R$492,0)),"")</f>
        <v/>
      </c>
      <c r="L482" s="23" t="str">
        <f>IFERROR(INDEX('Output Utente'!$E$2:$E$492,MATCH(479,'Output Utente'!$R$2:$R$492,0)),"")</f>
        <v/>
      </c>
      <c r="V482" t="str">
        <f>IFERROR(INDEX('Output Utente'!$M$2:$M$492,MATCH(479,'Output Utente'!$R$2:$R$492,0)),"")</f>
        <v/>
      </c>
      <c r="W482" t="str">
        <f t="shared" si="7"/>
        <v/>
      </c>
      <c r="X482" t="str">
        <f>IFERROR(INDEX('Output Utente'!$AF$2:$AF$492,MATCH(479,'Output Utente'!$R$2:$R$492,0)),"")</f>
        <v/>
      </c>
    </row>
    <row r="483" spans="1:24" ht="15" customHeight="1" x14ac:dyDescent="0.25">
      <c r="A483" s="26">
        <v>480</v>
      </c>
      <c r="B483" s="23" t="str">
        <f>IFERROR(INDEX('Output Utente'!$A$2:$A$492,MATCH(480,'Output Utente'!$R$2:$R$492,0)),"")</f>
        <v/>
      </c>
      <c r="C483" s="23" t="str">
        <f>IFERROR(INDEX('Output Utente'!$B$2:$B$492,MATCH(480,'Output Utente'!$R$2:$R$492,0)),"")</f>
        <v/>
      </c>
      <c r="D483" s="23" t="str">
        <f>IFERROR(INDEX('Output Utente'!$C$2:$C$492,MATCH(480,'Output Utente'!$R$2:$R$492,0)),"")</f>
        <v/>
      </c>
      <c r="E483" s="23" t="str">
        <f>IFERROR(INDEX('Input Giocatori 2026_27'!$D$3:$D$493,MATCH($B483,'Input Giocatori 2026_27'!$A$3:$A$493,0)),"")</f>
        <v/>
      </c>
      <c r="F483" s="24" t="str">
        <f>IFERROR(INDEX('Output Utente'!$N$2:$N$492,MATCH(480,'Output Utente'!$R$2:$R$492,0)),"")</f>
        <v/>
      </c>
      <c r="G483" s="23" t="str">
        <f>IFERROR(INDEX('Output Utente'!$O$2:$O$492,MATCH(480,'Output Utente'!$R$2:$R$492,0)),"")</f>
        <v/>
      </c>
      <c r="H483" s="23" t="str">
        <f>IFERROR(INDEX('Output Utente'!$P$2:$P$492,MATCH(480,'Output Utente'!$R$2:$R$492,0)),"")</f>
        <v/>
      </c>
      <c r="I483" s="24" t="str">
        <f>IFERROR(INDEX('Output Utente'!$F$2:$F$492,MATCH(480,'Output Utente'!$R$2:$R$492,0)),"")</f>
        <v/>
      </c>
      <c r="J483" s="24" t="str">
        <f>IFERROR(INDEX('Output Utente'!$G$2:$G$492,MATCH(480,'Output Utente'!$R$2:$R$492,0)),"")</f>
        <v/>
      </c>
      <c r="K483" s="24" t="str">
        <f>IFERROR(INDEX('Output Utente'!$H$2:$H$492,MATCH(480,'Output Utente'!$R$2:$R$492,0)),"")</f>
        <v/>
      </c>
      <c r="L483" s="23" t="str">
        <f>IFERROR(INDEX('Output Utente'!$E$2:$E$492,MATCH(480,'Output Utente'!$R$2:$R$492,0)),"")</f>
        <v/>
      </c>
      <c r="V483" t="str">
        <f>IFERROR(INDEX('Output Utente'!$M$2:$M$492,MATCH(480,'Output Utente'!$R$2:$R$492,0)),"")</f>
        <v/>
      </c>
      <c r="W483" t="str">
        <f t="shared" si="7"/>
        <v/>
      </c>
      <c r="X483" t="str">
        <f>IFERROR(INDEX('Output Utente'!$AF$2:$AF$492,MATCH(480,'Output Utente'!$R$2:$R$492,0)),"")</f>
        <v/>
      </c>
    </row>
    <row r="484" spans="1:24" ht="15" customHeight="1" x14ac:dyDescent="0.25">
      <c r="A484" s="26">
        <v>481</v>
      </c>
      <c r="B484" s="23" t="str">
        <f>IFERROR(INDEX('Output Utente'!$A$2:$A$492,MATCH(481,'Output Utente'!$R$2:$R$492,0)),"")</f>
        <v/>
      </c>
      <c r="C484" s="23" t="str">
        <f>IFERROR(INDEX('Output Utente'!$B$2:$B$492,MATCH(481,'Output Utente'!$R$2:$R$492,0)),"")</f>
        <v/>
      </c>
      <c r="D484" s="23" t="str">
        <f>IFERROR(INDEX('Output Utente'!$C$2:$C$492,MATCH(481,'Output Utente'!$R$2:$R$492,0)),"")</f>
        <v/>
      </c>
      <c r="E484" s="23" t="str">
        <f>IFERROR(INDEX('Input Giocatori 2026_27'!$D$3:$D$493,MATCH($B484,'Input Giocatori 2026_27'!$A$3:$A$493,0)),"")</f>
        <v/>
      </c>
      <c r="F484" s="24" t="str">
        <f>IFERROR(INDEX('Output Utente'!$N$2:$N$492,MATCH(481,'Output Utente'!$R$2:$R$492,0)),"")</f>
        <v/>
      </c>
      <c r="G484" s="23" t="str">
        <f>IFERROR(INDEX('Output Utente'!$O$2:$O$492,MATCH(481,'Output Utente'!$R$2:$R$492,0)),"")</f>
        <v/>
      </c>
      <c r="H484" s="23" t="str">
        <f>IFERROR(INDEX('Output Utente'!$P$2:$P$492,MATCH(481,'Output Utente'!$R$2:$R$492,0)),"")</f>
        <v/>
      </c>
      <c r="I484" s="24" t="str">
        <f>IFERROR(INDEX('Output Utente'!$F$2:$F$492,MATCH(481,'Output Utente'!$R$2:$R$492,0)),"")</f>
        <v/>
      </c>
      <c r="J484" s="24" t="str">
        <f>IFERROR(INDEX('Output Utente'!$G$2:$G$492,MATCH(481,'Output Utente'!$R$2:$R$492,0)),"")</f>
        <v/>
      </c>
      <c r="K484" s="24" t="str">
        <f>IFERROR(INDEX('Output Utente'!$H$2:$H$492,MATCH(481,'Output Utente'!$R$2:$R$492,0)),"")</f>
        <v/>
      </c>
      <c r="L484" s="23" t="str">
        <f>IFERROR(INDEX('Output Utente'!$E$2:$E$492,MATCH(481,'Output Utente'!$R$2:$R$492,0)),"")</f>
        <v/>
      </c>
      <c r="V484" t="str">
        <f>IFERROR(INDEX('Output Utente'!$M$2:$M$492,MATCH(481,'Output Utente'!$R$2:$R$492,0)),"")</f>
        <v/>
      </c>
      <c r="W484" t="str">
        <f t="shared" si="7"/>
        <v/>
      </c>
      <c r="X484" t="str">
        <f>IFERROR(INDEX('Output Utente'!$AF$2:$AF$492,MATCH(481,'Output Utente'!$R$2:$R$492,0)),"")</f>
        <v/>
      </c>
    </row>
    <row r="485" spans="1:24" ht="15" customHeight="1" x14ac:dyDescent="0.25">
      <c r="A485" s="26">
        <v>482</v>
      </c>
      <c r="B485" s="23" t="str">
        <f>IFERROR(INDEX('Output Utente'!$A$2:$A$492,MATCH(482,'Output Utente'!$R$2:$R$492,0)),"")</f>
        <v/>
      </c>
      <c r="C485" s="23" t="str">
        <f>IFERROR(INDEX('Output Utente'!$B$2:$B$492,MATCH(482,'Output Utente'!$R$2:$R$492,0)),"")</f>
        <v/>
      </c>
      <c r="D485" s="23" t="str">
        <f>IFERROR(INDEX('Output Utente'!$C$2:$C$492,MATCH(482,'Output Utente'!$R$2:$R$492,0)),"")</f>
        <v/>
      </c>
      <c r="E485" s="23" t="str">
        <f>IFERROR(INDEX('Input Giocatori 2026_27'!$D$3:$D$493,MATCH($B485,'Input Giocatori 2026_27'!$A$3:$A$493,0)),"")</f>
        <v/>
      </c>
      <c r="F485" s="24" t="str">
        <f>IFERROR(INDEX('Output Utente'!$N$2:$N$492,MATCH(482,'Output Utente'!$R$2:$R$492,0)),"")</f>
        <v/>
      </c>
      <c r="G485" s="23" t="str">
        <f>IFERROR(INDEX('Output Utente'!$O$2:$O$492,MATCH(482,'Output Utente'!$R$2:$R$492,0)),"")</f>
        <v/>
      </c>
      <c r="H485" s="23" t="str">
        <f>IFERROR(INDEX('Output Utente'!$P$2:$P$492,MATCH(482,'Output Utente'!$R$2:$R$492,0)),"")</f>
        <v/>
      </c>
      <c r="I485" s="24" t="str">
        <f>IFERROR(INDEX('Output Utente'!$F$2:$F$492,MATCH(482,'Output Utente'!$R$2:$R$492,0)),"")</f>
        <v/>
      </c>
      <c r="J485" s="24" t="str">
        <f>IFERROR(INDEX('Output Utente'!$G$2:$G$492,MATCH(482,'Output Utente'!$R$2:$R$492,0)),"")</f>
        <v/>
      </c>
      <c r="K485" s="24" t="str">
        <f>IFERROR(INDEX('Output Utente'!$H$2:$H$492,MATCH(482,'Output Utente'!$R$2:$R$492,0)),"")</f>
        <v/>
      </c>
      <c r="L485" s="23" t="str">
        <f>IFERROR(INDEX('Output Utente'!$E$2:$E$492,MATCH(482,'Output Utente'!$R$2:$R$492,0)),"")</f>
        <v/>
      </c>
      <c r="V485" t="str">
        <f>IFERROR(INDEX('Output Utente'!$M$2:$M$492,MATCH(482,'Output Utente'!$R$2:$R$492,0)),"")</f>
        <v/>
      </c>
      <c r="W485" t="str">
        <f t="shared" si="7"/>
        <v/>
      </c>
      <c r="X485" t="str">
        <f>IFERROR(INDEX('Output Utente'!$AF$2:$AF$492,MATCH(482,'Output Utente'!$R$2:$R$492,0)),"")</f>
        <v/>
      </c>
    </row>
    <row r="486" spans="1:24" ht="15" customHeight="1" x14ac:dyDescent="0.25">
      <c r="A486" s="26">
        <v>483</v>
      </c>
      <c r="B486" s="23" t="str">
        <f>IFERROR(INDEX('Output Utente'!$A$2:$A$492,MATCH(483,'Output Utente'!$R$2:$R$492,0)),"")</f>
        <v/>
      </c>
      <c r="C486" s="23" t="str">
        <f>IFERROR(INDEX('Output Utente'!$B$2:$B$492,MATCH(483,'Output Utente'!$R$2:$R$492,0)),"")</f>
        <v/>
      </c>
      <c r="D486" s="23" t="str">
        <f>IFERROR(INDEX('Output Utente'!$C$2:$C$492,MATCH(483,'Output Utente'!$R$2:$R$492,0)),"")</f>
        <v/>
      </c>
      <c r="E486" s="23" t="str">
        <f>IFERROR(INDEX('Input Giocatori 2026_27'!$D$3:$D$493,MATCH($B486,'Input Giocatori 2026_27'!$A$3:$A$493,0)),"")</f>
        <v/>
      </c>
      <c r="F486" s="24" t="str">
        <f>IFERROR(INDEX('Output Utente'!$N$2:$N$492,MATCH(483,'Output Utente'!$R$2:$R$492,0)),"")</f>
        <v/>
      </c>
      <c r="G486" s="23" t="str">
        <f>IFERROR(INDEX('Output Utente'!$O$2:$O$492,MATCH(483,'Output Utente'!$R$2:$R$492,0)),"")</f>
        <v/>
      </c>
      <c r="H486" s="23" t="str">
        <f>IFERROR(INDEX('Output Utente'!$P$2:$P$492,MATCH(483,'Output Utente'!$R$2:$R$492,0)),"")</f>
        <v/>
      </c>
      <c r="I486" s="24" t="str">
        <f>IFERROR(INDEX('Output Utente'!$F$2:$F$492,MATCH(483,'Output Utente'!$R$2:$R$492,0)),"")</f>
        <v/>
      </c>
      <c r="J486" s="24" t="str">
        <f>IFERROR(INDEX('Output Utente'!$G$2:$G$492,MATCH(483,'Output Utente'!$R$2:$R$492,0)),"")</f>
        <v/>
      </c>
      <c r="K486" s="24" t="str">
        <f>IFERROR(INDEX('Output Utente'!$H$2:$H$492,MATCH(483,'Output Utente'!$R$2:$R$492,0)),"")</f>
        <v/>
      </c>
      <c r="L486" s="23" t="str">
        <f>IFERROR(INDEX('Output Utente'!$E$2:$E$492,MATCH(483,'Output Utente'!$R$2:$R$492,0)),"")</f>
        <v/>
      </c>
      <c r="V486" t="str">
        <f>IFERROR(INDEX('Output Utente'!$M$2:$M$492,MATCH(483,'Output Utente'!$R$2:$R$492,0)),"")</f>
        <v/>
      </c>
      <c r="W486" t="str">
        <f t="shared" si="7"/>
        <v/>
      </c>
      <c r="X486" t="str">
        <f>IFERROR(INDEX('Output Utente'!$AF$2:$AF$492,MATCH(483,'Output Utente'!$R$2:$R$492,0)),"")</f>
        <v/>
      </c>
    </row>
    <row r="487" spans="1:24" ht="15" customHeight="1" x14ac:dyDescent="0.25">
      <c r="A487" s="26">
        <v>484</v>
      </c>
      <c r="B487" s="23" t="str">
        <f>IFERROR(INDEX('Output Utente'!$A$2:$A$492,MATCH(484,'Output Utente'!$R$2:$R$492,0)),"")</f>
        <v/>
      </c>
      <c r="C487" s="23" t="str">
        <f>IFERROR(INDEX('Output Utente'!$B$2:$B$492,MATCH(484,'Output Utente'!$R$2:$R$492,0)),"")</f>
        <v/>
      </c>
      <c r="D487" s="23" t="str">
        <f>IFERROR(INDEX('Output Utente'!$C$2:$C$492,MATCH(484,'Output Utente'!$R$2:$R$492,0)),"")</f>
        <v/>
      </c>
      <c r="E487" s="23" t="str">
        <f>IFERROR(INDEX('Input Giocatori 2026_27'!$D$3:$D$493,MATCH($B487,'Input Giocatori 2026_27'!$A$3:$A$493,0)),"")</f>
        <v/>
      </c>
      <c r="F487" s="24" t="str">
        <f>IFERROR(INDEX('Output Utente'!$N$2:$N$492,MATCH(484,'Output Utente'!$R$2:$R$492,0)),"")</f>
        <v/>
      </c>
      <c r="G487" s="23" t="str">
        <f>IFERROR(INDEX('Output Utente'!$O$2:$O$492,MATCH(484,'Output Utente'!$R$2:$R$492,0)),"")</f>
        <v/>
      </c>
      <c r="H487" s="23" t="str">
        <f>IFERROR(INDEX('Output Utente'!$P$2:$P$492,MATCH(484,'Output Utente'!$R$2:$R$492,0)),"")</f>
        <v/>
      </c>
      <c r="I487" s="24" t="str">
        <f>IFERROR(INDEX('Output Utente'!$F$2:$F$492,MATCH(484,'Output Utente'!$R$2:$R$492,0)),"")</f>
        <v/>
      </c>
      <c r="J487" s="24" t="str">
        <f>IFERROR(INDEX('Output Utente'!$G$2:$G$492,MATCH(484,'Output Utente'!$R$2:$R$492,0)),"")</f>
        <v/>
      </c>
      <c r="K487" s="24" t="str">
        <f>IFERROR(INDEX('Output Utente'!$H$2:$H$492,MATCH(484,'Output Utente'!$R$2:$R$492,0)),"")</f>
        <v/>
      </c>
      <c r="L487" s="23" t="str">
        <f>IFERROR(INDEX('Output Utente'!$E$2:$E$492,MATCH(484,'Output Utente'!$R$2:$R$492,0)),"")</f>
        <v/>
      </c>
      <c r="V487" t="str">
        <f>IFERROR(INDEX('Output Utente'!$M$2:$M$492,MATCH(484,'Output Utente'!$R$2:$R$492,0)),"")</f>
        <v/>
      </c>
      <c r="W487" t="str">
        <f t="shared" si="7"/>
        <v/>
      </c>
      <c r="X487" t="str">
        <f>IFERROR(INDEX('Output Utente'!$AF$2:$AF$492,MATCH(484,'Output Utente'!$R$2:$R$492,0)),"")</f>
        <v/>
      </c>
    </row>
    <row r="488" spans="1:24" ht="15" customHeight="1" x14ac:dyDescent="0.25">
      <c r="A488" s="26">
        <v>485</v>
      </c>
      <c r="B488" s="23" t="str">
        <f>IFERROR(INDEX('Output Utente'!$A$2:$A$492,MATCH(485,'Output Utente'!$R$2:$R$492,0)),"")</f>
        <v/>
      </c>
      <c r="C488" s="23" t="str">
        <f>IFERROR(INDEX('Output Utente'!$B$2:$B$492,MATCH(485,'Output Utente'!$R$2:$R$492,0)),"")</f>
        <v/>
      </c>
      <c r="D488" s="23" t="str">
        <f>IFERROR(INDEX('Output Utente'!$C$2:$C$492,MATCH(485,'Output Utente'!$R$2:$R$492,0)),"")</f>
        <v/>
      </c>
      <c r="E488" s="23" t="str">
        <f>IFERROR(INDEX('Input Giocatori 2026_27'!$D$3:$D$493,MATCH($B488,'Input Giocatori 2026_27'!$A$3:$A$493,0)),"")</f>
        <v/>
      </c>
      <c r="F488" s="24" t="str">
        <f>IFERROR(INDEX('Output Utente'!$N$2:$N$492,MATCH(485,'Output Utente'!$R$2:$R$492,0)),"")</f>
        <v/>
      </c>
      <c r="G488" s="23" t="str">
        <f>IFERROR(INDEX('Output Utente'!$O$2:$O$492,MATCH(485,'Output Utente'!$R$2:$R$492,0)),"")</f>
        <v/>
      </c>
      <c r="H488" s="23" t="str">
        <f>IFERROR(INDEX('Output Utente'!$P$2:$P$492,MATCH(485,'Output Utente'!$R$2:$R$492,0)),"")</f>
        <v/>
      </c>
      <c r="I488" s="24" t="str">
        <f>IFERROR(INDEX('Output Utente'!$F$2:$F$492,MATCH(485,'Output Utente'!$R$2:$R$492,0)),"")</f>
        <v/>
      </c>
      <c r="J488" s="24" t="str">
        <f>IFERROR(INDEX('Output Utente'!$G$2:$G$492,MATCH(485,'Output Utente'!$R$2:$R$492,0)),"")</f>
        <v/>
      </c>
      <c r="K488" s="24" t="str">
        <f>IFERROR(INDEX('Output Utente'!$H$2:$H$492,MATCH(485,'Output Utente'!$R$2:$R$492,0)),"")</f>
        <v/>
      </c>
      <c r="L488" s="23" t="str">
        <f>IFERROR(INDEX('Output Utente'!$E$2:$E$492,MATCH(485,'Output Utente'!$R$2:$R$492,0)),"")</f>
        <v/>
      </c>
      <c r="V488" t="str">
        <f>IFERROR(INDEX('Output Utente'!$M$2:$M$492,MATCH(485,'Output Utente'!$R$2:$R$492,0)),"")</f>
        <v/>
      </c>
      <c r="W488" t="str">
        <f t="shared" si="7"/>
        <v/>
      </c>
      <c r="X488" t="str">
        <f>IFERROR(INDEX('Output Utente'!$AF$2:$AF$492,MATCH(485,'Output Utente'!$R$2:$R$492,0)),"")</f>
        <v/>
      </c>
    </row>
    <row r="489" spans="1:24" ht="15" customHeight="1" x14ac:dyDescent="0.25">
      <c r="A489" s="26">
        <v>486</v>
      </c>
      <c r="B489" s="23" t="str">
        <f>IFERROR(INDEX('Output Utente'!$A$2:$A$492,MATCH(486,'Output Utente'!$R$2:$R$492,0)),"")</f>
        <v/>
      </c>
      <c r="C489" s="23" t="str">
        <f>IFERROR(INDEX('Output Utente'!$B$2:$B$492,MATCH(486,'Output Utente'!$R$2:$R$492,0)),"")</f>
        <v/>
      </c>
      <c r="D489" s="23" t="str">
        <f>IFERROR(INDEX('Output Utente'!$C$2:$C$492,MATCH(486,'Output Utente'!$R$2:$R$492,0)),"")</f>
        <v/>
      </c>
      <c r="E489" s="23" t="str">
        <f>IFERROR(INDEX('Input Giocatori 2026_27'!$D$3:$D$493,MATCH($B489,'Input Giocatori 2026_27'!$A$3:$A$493,0)),"")</f>
        <v/>
      </c>
      <c r="F489" s="24" t="str">
        <f>IFERROR(INDEX('Output Utente'!$N$2:$N$492,MATCH(486,'Output Utente'!$R$2:$R$492,0)),"")</f>
        <v/>
      </c>
      <c r="G489" s="23" t="str">
        <f>IFERROR(INDEX('Output Utente'!$O$2:$O$492,MATCH(486,'Output Utente'!$R$2:$R$492,0)),"")</f>
        <v/>
      </c>
      <c r="H489" s="23" t="str">
        <f>IFERROR(INDEX('Output Utente'!$P$2:$P$492,MATCH(486,'Output Utente'!$R$2:$R$492,0)),"")</f>
        <v/>
      </c>
      <c r="I489" s="24" t="str">
        <f>IFERROR(INDEX('Output Utente'!$F$2:$F$492,MATCH(486,'Output Utente'!$R$2:$R$492,0)),"")</f>
        <v/>
      </c>
      <c r="J489" s="24" t="str">
        <f>IFERROR(INDEX('Output Utente'!$G$2:$G$492,MATCH(486,'Output Utente'!$R$2:$R$492,0)),"")</f>
        <v/>
      </c>
      <c r="K489" s="24" t="str">
        <f>IFERROR(INDEX('Output Utente'!$H$2:$H$492,MATCH(486,'Output Utente'!$R$2:$R$492,0)),"")</f>
        <v/>
      </c>
      <c r="L489" s="23" t="str">
        <f>IFERROR(INDEX('Output Utente'!$E$2:$E$492,MATCH(486,'Output Utente'!$R$2:$R$492,0)),"")</f>
        <v/>
      </c>
      <c r="V489" t="str">
        <f>IFERROR(INDEX('Output Utente'!$M$2:$M$492,MATCH(486,'Output Utente'!$R$2:$R$492,0)),"")</f>
        <v/>
      </c>
      <c r="W489" t="str">
        <f t="shared" si="7"/>
        <v/>
      </c>
      <c r="X489" t="str">
        <f>IFERROR(INDEX('Output Utente'!$AF$2:$AF$492,MATCH(486,'Output Utente'!$R$2:$R$492,0)),"")</f>
        <v/>
      </c>
    </row>
    <row r="490" spans="1:24" ht="15" customHeight="1" x14ac:dyDescent="0.25">
      <c r="A490" s="26">
        <v>487</v>
      </c>
      <c r="B490" s="23" t="str">
        <f>IFERROR(INDEX('Output Utente'!$A$2:$A$492,MATCH(487,'Output Utente'!$R$2:$R$492,0)),"")</f>
        <v/>
      </c>
      <c r="C490" s="23" t="str">
        <f>IFERROR(INDEX('Output Utente'!$B$2:$B$492,MATCH(487,'Output Utente'!$R$2:$R$492,0)),"")</f>
        <v/>
      </c>
      <c r="D490" s="23" t="str">
        <f>IFERROR(INDEX('Output Utente'!$C$2:$C$492,MATCH(487,'Output Utente'!$R$2:$R$492,0)),"")</f>
        <v/>
      </c>
      <c r="E490" s="23" t="str">
        <f>IFERROR(INDEX('Input Giocatori 2026_27'!$D$3:$D$493,MATCH($B490,'Input Giocatori 2026_27'!$A$3:$A$493,0)),"")</f>
        <v/>
      </c>
      <c r="F490" s="24" t="str">
        <f>IFERROR(INDEX('Output Utente'!$N$2:$N$492,MATCH(487,'Output Utente'!$R$2:$R$492,0)),"")</f>
        <v/>
      </c>
      <c r="G490" s="23" t="str">
        <f>IFERROR(INDEX('Output Utente'!$O$2:$O$492,MATCH(487,'Output Utente'!$R$2:$R$492,0)),"")</f>
        <v/>
      </c>
      <c r="H490" s="23" t="str">
        <f>IFERROR(INDEX('Output Utente'!$P$2:$P$492,MATCH(487,'Output Utente'!$R$2:$R$492,0)),"")</f>
        <v/>
      </c>
      <c r="I490" s="24" t="str">
        <f>IFERROR(INDEX('Output Utente'!$F$2:$F$492,MATCH(487,'Output Utente'!$R$2:$R$492,0)),"")</f>
        <v/>
      </c>
      <c r="J490" s="24" t="str">
        <f>IFERROR(INDEX('Output Utente'!$G$2:$G$492,MATCH(487,'Output Utente'!$R$2:$R$492,0)),"")</f>
        <v/>
      </c>
      <c r="K490" s="24" t="str">
        <f>IFERROR(INDEX('Output Utente'!$H$2:$H$492,MATCH(487,'Output Utente'!$R$2:$R$492,0)),"")</f>
        <v/>
      </c>
      <c r="L490" s="23" t="str">
        <f>IFERROR(INDEX('Output Utente'!$E$2:$E$492,MATCH(487,'Output Utente'!$R$2:$R$492,0)),"")</f>
        <v/>
      </c>
      <c r="V490" t="str">
        <f>IFERROR(INDEX('Output Utente'!$M$2:$M$492,MATCH(487,'Output Utente'!$R$2:$R$492,0)),"")</f>
        <v/>
      </c>
      <c r="W490" t="str">
        <f t="shared" si="7"/>
        <v/>
      </c>
      <c r="X490" t="str">
        <f>IFERROR(INDEX('Output Utente'!$AF$2:$AF$492,MATCH(487,'Output Utente'!$R$2:$R$492,0)),"")</f>
        <v/>
      </c>
    </row>
    <row r="491" spans="1:24" ht="15" customHeight="1" x14ac:dyDescent="0.25">
      <c r="A491" s="26">
        <v>488</v>
      </c>
      <c r="B491" s="23" t="str">
        <f>IFERROR(INDEX('Output Utente'!$A$2:$A$492,MATCH(488,'Output Utente'!$R$2:$R$492,0)),"")</f>
        <v/>
      </c>
      <c r="C491" s="23" t="str">
        <f>IFERROR(INDEX('Output Utente'!$B$2:$B$492,MATCH(488,'Output Utente'!$R$2:$R$492,0)),"")</f>
        <v/>
      </c>
      <c r="D491" s="23" t="str">
        <f>IFERROR(INDEX('Output Utente'!$C$2:$C$492,MATCH(488,'Output Utente'!$R$2:$R$492,0)),"")</f>
        <v/>
      </c>
      <c r="E491" s="23" t="str">
        <f>IFERROR(INDEX('Input Giocatori 2026_27'!$D$3:$D$493,MATCH($B491,'Input Giocatori 2026_27'!$A$3:$A$493,0)),"")</f>
        <v/>
      </c>
      <c r="F491" s="24" t="str">
        <f>IFERROR(INDEX('Output Utente'!$N$2:$N$492,MATCH(488,'Output Utente'!$R$2:$R$492,0)),"")</f>
        <v/>
      </c>
      <c r="G491" s="23" t="str">
        <f>IFERROR(INDEX('Output Utente'!$O$2:$O$492,MATCH(488,'Output Utente'!$R$2:$R$492,0)),"")</f>
        <v/>
      </c>
      <c r="H491" s="23" t="str">
        <f>IFERROR(INDEX('Output Utente'!$P$2:$P$492,MATCH(488,'Output Utente'!$R$2:$R$492,0)),"")</f>
        <v/>
      </c>
      <c r="I491" s="24" t="str">
        <f>IFERROR(INDEX('Output Utente'!$F$2:$F$492,MATCH(488,'Output Utente'!$R$2:$R$492,0)),"")</f>
        <v/>
      </c>
      <c r="J491" s="24" t="str">
        <f>IFERROR(INDEX('Output Utente'!$G$2:$G$492,MATCH(488,'Output Utente'!$R$2:$R$492,0)),"")</f>
        <v/>
      </c>
      <c r="K491" s="24" t="str">
        <f>IFERROR(INDEX('Output Utente'!$H$2:$H$492,MATCH(488,'Output Utente'!$R$2:$R$492,0)),"")</f>
        <v/>
      </c>
      <c r="L491" s="23" t="str">
        <f>IFERROR(INDEX('Output Utente'!$E$2:$E$492,MATCH(488,'Output Utente'!$R$2:$R$492,0)),"")</f>
        <v/>
      </c>
      <c r="V491" t="str">
        <f>IFERROR(INDEX('Output Utente'!$M$2:$M$492,MATCH(488,'Output Utente'!$R$2:$R$492,0)),"")</f>
        <v/>
      </c>
      <c r="W491" t="str">
        <f t="shared" si="7"/>
        <v/>
      </c>
      <c r="X491" t="str">
        <f>IFERROR(INDEX('Output Utente'!$AF$2:$AF$492,MATCH(488,'Output Utente'!$R$2:$R$492,0)),"")</f>
        <v/>
      </c>
    </row>
    <row r="492" spans="1:24" ht="15" customHeight="1" x14ac:dyDescent="0.25">
      <c r="A492" s="26">
        <v>489</v>
      </c>
      <c r="B492" s="23" t="str">
        <f>IFERROR(INDEX('Output Utente'!$A$2:$A$492,MATCH(489,'Output Utente'!$R$2:$R$492,0)),"")</f>
        <v/>
      </c>
      <c r="C492" s="23" t="str">
        <f>IFERROR(INDEX('Output Utente'!$B$2:$B$492,MATCH(489,'Output Utente'!$R$2:$R$492,0)),"")</f>
        <v/>
      </c>
      <c r="D492" s="23" t="str">
        <f>IFERROR(INDEX('Output Utente'!$C$2:$C$492,MATCH(489,'Output Utente'!$R$2:$R$492,0)),"")</f>
        <v/>
      </c>
      <c r="E492" s="23" t="str">
        <f>IFERROR(INDEX('Input Giocatori 2026_27'!$D$3:$D$493,MATCH($B492,'Input Giocatori 2026_27'!$A$3:$A$493,0)),"")</f>
        <v/>
      </c>
      <c r="F492" s="24" t="str">
        <f>IFERROR(INDEX('Output Utente'!$N$2:$N$492,MATCH(489,'Output Utente'!$R$2:$R$492,0)),"")</f>
        <v/>
      </c>
      <c r="G492" s="23" t="str">
        <f>IFERROR(INDEX('Output Utente'!$O$2:$O$492,MATCH(489,'Output Utente'!$R$2:$R$492,0)),"")</f>
        <v/>
      </c>
      <c r="H492" s="23" t="str">
        <f>IFERROR(INDEX('Output Utente'!$P$2:$P$492,MATCH(489,'Output Utente'!$R$2:$R$492,0)),"")</f>
        <v/>
      </c>
      <c r="I492" s="24" t="str">
        <f>IFERROR(INDEX('Output Utente'!$F$2:$F$492,MATCH(489,'Output Utente'!$R$2:$R$492,0)),"")</f>
        <v/>
      </c>
      <c r="J492" s="24" t="str">
        <f>IFERROR(INDEX('Output Utente'!$G$2:$G$492,MATCH(489,'Output Utente'!$R$2:$R$492,0)),"")</f>
        <v/>
      </c>
      <c r="K492" s="24" t="str">
        <f>IFERROR(INDEX('Output Utente'!$H$2:$H$492,MATCH(489,'Output Utente'!$R$2:$R$492,0)),"")</f>
        <v/>
      </c>
      <c r="L492" s="23" t="str">
        <f>IFERROR(INDEX('Output Utente'!$E$2:$E$492,MATCH(489,'Output Utente'!$R$2:$R$492,0)),"")</f>
        <v/>
      </c>
      <c r="V492" t="str">
        <f>IFERROR(INDEX('Output Utente'!$M$2:$M$492,MATCH(489,'Output Utente'!$R$2:$R$492,0)),"")</f>
        <v/>
      </c>
      <c r="W492" t="str">
        <f t="shared" si="7"/>
        <v/>
      </c>
      <c r="X492" t="str">
        <f>IFERROR(INDEX('Output Utente'!$AF$2:$AF$492,MATCH(489,'Output Utente'!$R$2:$R$492,0)),"")</f>
        <v/>
      </c>
    </row>
    <row r="493" spans="1:24" ht="15" customHeight="1" x14ac:dyDescent="0.25">
      <c r="A493" s="26">
        <v>490</v>
      </c>
      <c r="B493" s="23" t="str">
        <f>IFERROR(INDEX('Output Utente'!$A$2:$A$492,MATCH(490,'Output Utente'!$R$2:$R$492,0)),"")</f>
        <v/>
      </c>
      <c r="C493" s="23" t="str">
        <f>IFERROR(INDEX('Output Utente'!$B$2:$B$492,MATCH(490,'Output Utente'!$R$2:$R$492,0)),"")</f>
        <v/>
      </c>
      <c r="D493" s="23" t="str">
        <f>IFERROR(INDEX('Output Utente'!$C$2:$C$492,MATCH(490,'Output Utente'!$R$2:$R$492,0)),"")</f>
        <v/>
      </c>
      <c r="E493" s="23" t="str">
        <f>IFERROR(INDEX('Input Giocatori 2026_27'!$D$3:$D$493,MATCH($B493,'Input Giocatori 2026_27'!$A$3:$A$493,0)),"")</f>
        <v/>
      </c>
      <c r="F493" s="24" t="str">
        <f>IFERROR(INDEX('Output Utente'!$N$2:$N$492,MATCH(490,'Output Utente'!$R$2:$R$492,0)),"")</f>
        <v/>
      </c>
      <c r="G493" s="23" t="str">
        <f>IFERROR(INDEX('Output Utente'!$O$2:$O$492,MATCH(490,'Output Utente'!$R$2:$R$492,0)),"")</f>
        <v/>
      </c>
      <c r="H493" s="23" t="str">
        <f>IFERROR(INDEX('Output Utente'!$P$2:$P$492,MATCH(490,'Output Utente'!$R$2:$R$492,0)),"")</f>
        <v/>
      </c>
      <c r="I493" s="24" t="str">
        <f>IFERROR(INDEX('Output Utente'!$F$2:$F$492,MATCH(490,'Output Utente'!$R$2:$R$492,0)),"")</f>
        <v/>
      </c>
      <c r="J493" s="24" t="str">
        <f>IFERROR(INDEX('Output Utente'!$G$2:$G$492,MATCH(490,'Output Utente'!$R$2:$R$492,0)),"")</f>
        <v/>
      </c>
      <c r="K493" s="24" t="str">
        <f>IFERROR(INDEX('Output Utente'!$H$2:$H$492,MATCH(490,'Output Utente'!$R$2:$R$492,0)),"")</f>
        <v/>
      </c>
      <c r="L493" s="23" t="str">
        <f>IFERROR(INDEX('Output Utente'!$E$2:$E$492,MATCH(490,'Output Utente'!$R$2:$R$492,0)),"")</f>
        <v/>
      </c>
      <c r="V493" t="str">
        <f>IFERROR(INDEX('Output Utente'!$M$2:$M$492,MATCH(490,'Output Utente'!$R$2:$R$492,0)),"")</f>
        <v/>
      </c>
      <c r="W493" t="str">
        <f t="shared" si="7"/>
        <v/>
      </c>
      <c r="X493" t="str">
        <f>IFERROR(INDEX('Output Utente'!$AF$2:$AF$492,MATCH(490,'Output Utente'!$R$2:$R$492,0)),"")</f>
        <v/>
      </c>
    </row>
    <row r="494" spans="1:24" ht="15" customHeight="1" x14ac:dyDescent="0.25">
      <c r="A494" s="26">
        <v>491</v>
      </c>
      <c r="B494" s="23" t="str">
        <f>IFERROR(INDEX('Output Utente'!$A$2:$A$492,MATCH(491,'Output Utente'!$R$2:$R$492,0)),"")</f>
        <v/>
      </c>
      <c r="C494" s="23" t="str">
        <f>IFERROR(INDEX('Output Utente'!$B$2:$B$492,MATCH(491,'Output Utente'!$R$2:$R$492,0)),"")</f>
        <v/>
      </c>
      <c r="D494" s="23" t="str">
        <f>IFERROR(INDEX('Output Utente'!$C$2:$C$492,MATCH(491,'Output Utente'!$R$2:$R$492,0)),"")</f>
        <v/>
      </c>
      <c r="E494" s="23" t="str">
        <f>IFERROR(INDEX('Input Giocatori 2026_27'!$D$3:$D$493,MATCH($B494,'Input Giocatori 2026_27'!$A$3:$A$493,0)),"")</f>
        <v/>
      </c>
      <c r="F494" s="24" t="str">
        <f>IFERROR(INDEX('Output Utente'!$N$2:$N$492,MATCH(491,'Output Utente'!$R$2:$R$492,0)),"")</f>
        <v/>
      </c>
      <c r="G494" s="23" t="str">
        <f>IFERROR(INDEX('Output Utente'!$O$2:$O$492,MATCH(491,'Output Utente'!$R$2:$R$492,0)),"")</f>
        <v/>
      </c>
      <c r="H494" s="23" t="str">
        <f>IFERROR(INDEX('Output Utente'!$P$2:$P$492,MATCH(491,'Output Utente'!$R$2:$R$492,0)),"")</f>
        <v/>
      </c>
      <c r="I494" s="24" t="str">
        <f>IFERROR(INDEX('Output Utente'!$F$2:$F$492,MATCH(491,'Output Utente'!$R$2:$R$492,0)),"")</f>
        <v/>
      </c>
      <c r="J494" s="24" t="str">
        <f>IFERROR(INDEX('Output Utente'!$G$2:$G$492,MATCH(491,'Output Utente'!$R$2:$R$492,0)),"")</f>
        <v/>
      </c>
      <c r="K494" s="24" t="str">
        <f>IFERROR(INDEX('Output Utente'!$H$2:$H$492,MATCH(491,'Output Utente'!$R$2:$R$492,0)),"")</f>
        <v/>
      </c>
      <c r="L494" s="23" t="str">
        <f>IFERROR(INDEX('Output Utente'!$E$2:$E$492,MATCH(491,'Output Utente'!$R$2:$R$492,0)),"")</f>
        <v/>
      </c>
      <c r="V494" t="str">
        <f>IFERROR(INDEX('Output Utente'!$M$2:$M$492,MATCH(491,'Output Utente'!$R$2:$R$492,0)),"")</f>
        <v/>
      </c>
      <c r="W494" t="str">
        <f t="shared" si="7"/>
        <v/>
      </c>
      <c r="X494" t="str">
        <f>IFERROR(INDEX('Output Utente'!$AF$2:$AF$492,MATCH(491,'Output Utente'!$R$2:$R$492,0)),"")</f>
        <v/>
      </c>
    </row>
  </sheetData>
  <autoFilter ref="A3:L494" xr:uid="{00000000-0009-0000-0000-00000C000000}"/>
  <mergeCells count="4">
    <mergeCell ref="Q11:U11"/>
    <mergeCell ref="A1:K1"/>
    <mergeCell ref="N1:P1"/>
    <mergeCell ref="R9:U9"/>
  </mergeCells>
  <pageMargins left="0.75" right="0.75" top="1" bottom="1" header="0.511811023622047" footer="0.511811023622047"/>
  <pageSetup paperSize="9" orientation="portrait" horizontalDpi="300" verticalDpi="300"/>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493"/>
  <sheetViews>
    <sheetView tabSelected="1" topLeftCell="A379" zoomScaleNormal="100" workbookViewId="0">
      <selection activeCell="C464" sqref="C464"/>
    </sheetView>
  </sheetViews>
  <sheetFormatPr defaultColWidth="8.5703125" defaultRowHeight="15" x14ac:dyDescent="0.25"/>
  <cols>
    <col min="1" max="1" width="6" customWidth="1"/>
    <col min="2" max="2" width="3" customWidth="1"/>
    <col min="3" max="3" width="21" customWidth="1"/>
    <col min="4" max="4" width="12" customWidth="1"/>
    <col min="5" max="6" width="6" customWidth="1"/>
    <col min="7" max="7" width="7" customWidth="1"/>
  </cols>
  <sheetData>
    <row r="1" spans="1:7" ht="14.25" customHeight="1" x14ac:dyDescent="0.25">
      <c r="A1" s="75" t="s">
        <v>822</v>
      </c>
      <c r="B1" s="76"/>
      <c r="C1" s="76"/>
      <c r="D1" s="76"/>
      <c r="E1" s="76"/>
      <c r="F1" s="76"/>
      <c r="G1" s="76"/>
    </row>
    <row r="2" spans="1:7" ht="14.25" customHeight="1" x14ac:dyDescent="0.25">
      <c r="A2" t="s">
        <v>107</v>
      </c>
      <c r="B2" t="s">
        <v>108</v>
      </c>
      <c r="C2" t="s">
        <v>109</v>
      </c>
      <c r="D2" t="s">
        <v>804</v>
      </c>
      <c r="E2" t="s">
        <v>120</v>
      </c>
      <c r="F2" t="s">
        <v>823</v>
      </c>
      <c r="G2" t="s">
        <v>121</v>
      </c>
    </row>
    <row r="3" spans="1:7" ht="14.25" customHeight="1" x14ac:dyDescent="0.25">
      <c r="A3">
        <v>5841</v>
      </c>
      <c r="B3" t="s">
        <v>15</v>
      </c>
      <c r="C3" t="s">
        <v>180</v>
      </c>
      <c r="D3" t="s">
        <v>824</v>
      </c>
      <c r="E3">
        <v>18</v>
      </c>
      <c r="F3">
        <v>18</v>
      </c>
      <c r="G3">
        <v>65</v>
      </c>
    </row>
    <row r="4" spans="1:7" ht="14.25" customHeight="1" x14ac:dyDescent="0.25">
      <c r="A4">
        <v>5116</v>
      </c>
      <c r="B4" t="s">
        <v>15</v>
      </c>
      <c r="C4" t="s">
        <v>182</v>
      </c>
      <c r="D4" t="s">
        <v>825</v>
      </c>
      <c r="E4">
        <v>17</v>
      </c>
      <c r="F4">
        <v>17</v>
      </c>
      <c r="G4">
        <v>63</v>
      </c>
    </row>
    <row r="5" spans="1:7" ht="14.25" customHeight="1" x14ac:dyDescent="0.25">
      <c r="A5">
        <v>4431</v>
      </c>
      <c r="B5" t="s">
        <v>15</v>
      </c>
      <c r="C5" t="s">
        <v>194</v>
      </c>
      <c r="D5" t="s">
        <v>826</v>
      </c>
      <c r="E5">
        <v>16</v>
      </c>
      <c r="F5">
        <v>16</v>
      </c>
      <c r="G5">
        <v>52</v>
      </c>
    </row>
    <row r="6" spans="1:7" ht="14.25" customHeight="1" x14ac:dyDescent="0.25">
      <c r="A6">
        <v>6966</v>
      </c>
      <c r="B6" t="s">
        <v>15</v>
      </c>
      <c r="C6" t="s">
        <v>190</v>
      </c>
      <c r="D6" t="s">
        <v>827</v>
      </c>
      <c r="E6">
        <v>16</v>
      </c>
      <c r="F6">
        <v>16</v>
      </c>
      <c r="G6">
        <v>56</v>
      </c>
    </row>
    <row r="7" spans="1:7" ht="14.25" customHeight="1" x14ac:dyDescent="0.25">
      <c r="A7">
        <v>4312</v>
      </c>
      <c r="B7" t="s">
        <v>15</v>
      </c>
      <c r="C7" t="s">
        <v>197</v>
      </c>
      <c r="D7" t="s">
        <v>828</v>
      </c>
      <c r="E7">
        <v>15</v>
      </c>
      <c r="F7">
        <v>15</v>
      </c>
      <c r="G7">
        <v>50</v>
      </c>
    </row>
    <row r="8" spans="1:7" ht="14.25" customHeight="1" x14ac:dyDescent="0.25">
      <c r="A8">
        <v>2521</v>
      </c>
      <c r="B8" t="s">
        <v>15</v>
      </c>
      <c r="C8" t="s">
        <v>208</v>
      </c>
      <c r="D8" t="s">
        <v>829</v>
      </c>
      <c r="E8">
        <v>13</v>
      </c>
      <c r="F8">
        <v>13</v>
      </c>
      <c r="G8">
        <v>45</v>
      </c>
    </row>
    <row r="9" spans="1:7" ht="14.25" customHeight="1" x14ac:dyDescent="0.25">
      <c r="A9">
        <v>572</v>
      </c>
      <c r="B9" t="s">
        <v>15</v>
      </c>
      <c r="C9" t="s">
        <v>209</v>
      </c>
      <c r="D9" t="s">
        <v>830</v>
      </c>
      <c r="E9">
        <v>11</v>
      </c>
      <c r="F9">
        <v>11</v>
      </c>
      <c r="G9">
        <v>45</v>
      </c>
    </row>
    <row r="10" spans="1:7" ht="14.25" customHeight="1" x14ac:dyDescent="0.25">
      <c r="A10">
        <v>133</v>
      </c>
      <c r="B10" t="s">
        <v>15</v>
      </c>
      <c r="C10" t="s">
        <v>228</v>
      </c>
      <c r="D10" t="s">
        <v>831</v>
      </c>
      <c r="E10">
        <v>10</v>
      </c>
      <c r="F10">
        <v>10</v>
      </c>
      <c r="G10">
        <v>37</v>
      </c>
    </row>
    <row r="11" spans="1:7" ht="14.25" customHeight="1" x14ac:dyDescent="0.25">
      <c r="A11">
        <v>4360</v>
      </c>
      <c r="B11" t="s">
        <v>15</v>
      </c>
      <c r="C11" t="s">
        <v>255</v>
      </c>
      <c r="D11" t="s">
        <v>832</v>
      </c>
      <c r="E11">
        <v>9</v>
      </c>
      <c r="F11">
        <v>9</v>
      </c>
      <c r="G11">
        <v>27</v>
      </c>
    </row>
    <row r="12" spans="1:7" ht="14.25" customHeight="1" x14ac:dyDescent="0.25">
      <c r="A12">
        <v>5876</v>
      </c>
      <c r="B12" t="s">
        <v>15</v>
      </c>
      <c r="C12" t="s">
        <v>221</v>
      </c>
      <c r="D12" t="s">
        <v>833</v>
      </c>
      <c r="E12">
        <v>9</v>
      </c>
      <c r="F12">
        <v>9</v>
      </c>
      <c r="G12">
        <v>40</v>
      </c>
    </row>
    <row r="13" spans="1:7" ht="14.25" customHeight="1" x14ac:dyDescent="0.25">
      <c r="A13">
        <v>6482</v>
      </c>
      <c r="B13" t="s">
        <v>15</v>
      </c>
      <c r="C13" t="s">
        <v>245</v>
      </c>
      <c r="D13" t="s">
        <v>834</v>
      </c>
      <c r="E13">
        <v>9</v>
      </c>
      <c r="F13">
        <v>9</v>
      </c>
      <c r="G13">
        <v>30</v>
      </c>
    </row>
    <row r="14" spans="1:7" ht="14.25" customHeight="1" x14ac:dyDescent="0.25">
      <c r="A14">
        <v>6462</v>
      </c>
      <c r="B14" t="s">
        <v>15</v>
      </c>
      <c r="C14" t="s">
        <v>249</v>
      </c>
      <c r="D14" t="s">
        <v>835</v>
      </c>
      <c r="E14">
        <v>9</v>
      </c>
      <c r="F14">
        <v>9</v>
      </c>
      <c r="G14">
        <v>29</v>
      </c>
    </row>
    <row r="15" spans="1:7" ht="14.25" customHeight="1" x14ac:dyDescent="0.25">
      <c r="A15">
        <v>7332</v>
      </c>
      <c r="B15" t="s">
        <v>15</v>
      </c>
      <c r="C15" t="s">
        <v>319</v>
      </c>
      <c r="D15" t="s">
        <v>836</v>
      </c>
      <c r="E15">
        <v>8</v>
      </c>
      <c r="F15">
        <v>8</v>
      </c>
      <c r="G15">
        <v>18</v>
      </c>
    </row>
    <row r="16" spans="1:7" ht="14.25" customHeight="1" x14ac:dyDescent="0.25">
      <c r="A16">
        <v>2134</v>
      </c>
      <c r="B16" t="s">
        <v>15</v>
      </c>
      <c r="C16" t="s">
        <v>262</v>
      </c>
      <c r="D16" t="s">
        <v>837</v>
      </c>
      <c r="E16">
        <v>8</v>
      </c>
      <c r="F16">
        <v>8</v>
      </c>
      <c r="G16">
        <v>25</v>
      </c>
    </row>
    <row r="17" spans="1:7" ht="14.25" customHeight="1" x14ac:dyDescent="0.25">
      <c r="A17">
        <v>7411</v>
      </c>
      <c r="B17" t="s">
        <v>15</v>
      </c>
      <c r="C17" t="s">
        <v>518</v>
      </c>
      <c r="D17" t="s">
        <v>838</v>
      </c>
      <c r="E17">
        <v>7</v>
      </c>
      <c r="F17">
        <v>7</v>
      </c>
      <c r="G17">
        <v>5</v>
      </c>
    </row>
    <row r="18" spans="1:7" ht="14.25" customHeight="1" x14ac:dyDescent="0.25">
      <c r="A18">
        <v>6641</v>
      </c>
      <c r="B18" t="s">
        <v>15</v>
      </c>
      <c r="C18" t="s">
        <v>297</v>
      </c>
      <c r="D18" t="s">
        <v>838</v>
      </c>
      <c r="E18">
        <v>7</v>
      </c>
      <c r="F18">
        <v>7</v>
      </c>
      <c r="G18">
        <v>20</v>
      </c>
    </row>
    <row r="19" spans="1:7" ht="14.25" customHeight="1" x14ac:dyDescent="0.25">
      <c r="A19">
        <v>4236</v>
      </c>
      <c r="B19" t="s">
        <v>15</v>
      </c>
      <c r="C19" t="s">
        <v>354</v>
      </c>
      <c r="D19" t="s">
        <v>839</v>
      </c>
      <c r="E19">
        <v>7</v>
      </c>
      <c r="F19">
        <v>7</v>
      </c>
      <c r="G19">
        <v>15</v>
      </c>
    </row>
    <row r="20" spans="1:7" ht="14.25" customHeight="1" x14ac:dyDescent="0.25">
      <c r="A20">
        <v>218</v>
      </c>
      <c r="B20" t="s">
        <v>15</v>
      </c>
      <c r="C20" t="s">
        <v>442</v>
      </c>
      <c r="D20" t="s">
        <v>833</v>
      </c>
      <c r="E20">
        <v>6</v>
      </c>
      <c r="F20">
        <v>6</v>
      </c>
      <c r="G20">
        <v>10</v>
      </c>
    </row>
    <row r="21" spans="1:7" ht="14.25" customHeight="1" x14ac:dyDescent="0.25">
      <c r="A21">
        <v>6248</v>
      </c>
      <c r="B21" t="s">
        <v>15</v>
      </c>
      <c r="C21" t="s">
        <v>365</v>
      </c>
      <c r="D21" t="s">
        <v>840</v>
      </c>
      <c r="E21">
        <v>6</v>
      </c>
      <c r="F21">
        <v>6</v>
      </c>
      <c r="G21">
        <v>14</v>
      </c>
    </row>
    <row r="22" spans="1:7" ht="14.25" customHeight="1" x14ac:dyDescent="0.25">
      <c r="A22">
        <v>4485</v>
      </c>
      <c r="B22" t="s">
        <v>15</v>
      </c>
      <c r="C22" t="s">
        <v>400</v>
      </c>
      <c r="D22" t="s">
        <v>841</v>
      </c>
      <c r="E22">
        <v>5</v>
      </c>
      <c r="F22">
        <v>5</v>
      </c>
      <c r="G22">
        <v>12</v>
      </c>
    </row>
    <row r="23" spans="1:7" ht="14.25" customHeight="1" x14ac:dyDescent="0.25">
      <c r="A23">
        <v>2170</v>
      </c>
      <c r="B23" t="s">
        <v>15</v>
      </c>
      <c r="C23" t="s">
        <v>443</v>
      </c>
      <c r="D23" t="s">
        <v>830</v>
      </c>
      <c r="E23">
        <v>5</v>
      </c>
      <c r="F23">
        <v>5</v>
      </c>
      <c r="G23">
        <v>10</v>
      </c>
    </row>
    <row r="24" spans="1:7" ht="14.25" customHeight="1" x14ac:dyDescent="0.25">
      <c r="A24">
        <v>6415</v>
      </c>
      <c r="B24" t="s">
        <v>15</v>
      </c>
      <c r="C24" t="s">
        <v>481</v>
      </c>
      <c r="D24" t="s">
        <v>842</v>
      </c>
      <c r="E24">
        <v>4</v>
      </c>
      <c r="F24">
        <v>4</v>
      </c>
      <c r="G24">
        <v>8</v>
      </c>
    </row>
    <row r="25" spans="1:7" ht="14.25" customHeight="1" x14ac:dyDescent="0.25">
      <c r="A25">
        <v>7463</v>
      </c>
      <c r="B25" t="s">
        <v>15</v>
      </c>
      <c r="C25" t="s">
        <v>482</v>
      </c>
      <c r="D25" t="s">
        <v>842</v>
      </c>
      <c r="E25">
        <v>2</v>
      </c>
      <c r="F25">
        <v>2</v>
      </c>
      <c r="G25">
        <v>8</v>
      </c>
    </row>
    <row r="26" spans="1:7" ht="14.25" customHeight="1" x14ac:dyDescent="0.25">
      <c r="A26">
        <v>2814</v>
      </c>
      <c r="B26" t="s">
        <v>15</v>
      </c>
      <c r="C26" t="s">
        <v>519</v>
      </c>
      <c r="D26" t="s">
        <v>825</v>
      </c>
      <c r="E26">
        <v>2</v>
      </c>
      <c r="F26">
        <v>2</v>
      </c>
      <c r="G26">
        <v>5</v>
      </c>
    </row>
    <row r="27" spans="1:7" ht="14.25" customHeight="1" x14ac:dyDescent="0.25">
      <c r="A27">
        <v>2297</v>
      </c>
      <c r="B27" t="s">
        <v>15</v>
      </c>
      <c r="C27" t="s">
        <v>580</v>
      </c>
      <c r="D27" t="s">
        <v>826</v>
      </c>
      <c r="E27">
        <v>1</v>
      </c>
      <c r="F27">
        <v>1</v>
      </c>
      <c r="G27">
        <v>1</v>
      </c>
    </row>
    <row r="28" spans="1:7" ht="14.25" customHeight="1" x14ac:dyDescent="0.25">
      <c r="A28">
        <v>4</v>
      </c>
      <c r="B28" t="s">
        <v>15</v>
      </c>
      <c r="C28" t="s">
        <v>581</v>
      </c>
      <c r="D28" t="s">
        <v>826</v>
      </c>
      <c r="E28">
        <v>1</v>
      </c>
      <c r="F28">
        <v>1</v>
      </c>
      <c r="G28">
        <v>1</v>
      </c>
    </row>
    <row r="29" spans="1:7" ht="14.25" customHeight="1" x14ac:dyDescent="0.25">
      <c r="A29">
        <v>7533</v>
      </c>
      <c r="B29" t="s">
        <v>15</v>
      </c>
      <c r="C29" t="s">
        <v>582</v>
      </c>
      <c r="D29" t="s">
        <v>831</v>
      </c>
      <c r="E29">
        <v>1</v>
      </c>
      <c r="F29">
        <v>1</v>
      </c>
      <c r="G29">
        <v>1</v>
      </c>
    </row>
    <row r="30" spans="1:7" ht="14.25" customHeight="1" x14ac:dyDescent="0.25">
      <c r="A30">
        <v>7172</v>
      </c>
      <c r="B30" t="s">
        <v>15</v>
      </c>
      <c r="C30" t="s">
        <v>583</v>
      </c>
      <c r="D30" t="s">
        <v>831</v>
      </c>
      <c r="E30">
        <v>1</v>
      </c>
      <c r="F30">
        <v>1</v>
      </c>
      <c r="G30">
        <v>1</v>
      </c>
    </row>
    <row r="31" spans="1:7" ht="14.25" customHeight="1" x14ac:dyDescent="0.25">
      <c r="A31">
        <v>4929</v>
      </c>
      <c r="B31" t="s">
        <v>15</v>
      </c>
      <c r="C31" t="s">
        <v>584</v>
      </c>
      <c r="D31" t="s">
        <v>832</v>
      </c>
      <c r="E31">
        <v>1</v>
      </c>
      <c r="F31">
        <v>1</v>
      </c>
      <c r="G31">
        <v>1</v>
      </c>
    </row>
    <row r="32" spans="1:7" ht="14.25" customHeight="1" x14ac:dyDescent="0.25">
      <c r="A32">
        <v>6650</v>
      </c>
      <c r="B32" t="s">
        <v>15</v>
      </c>
      <c r="C32" t="s">
        <v>585</v>
      </c>
      <c r="D32" t="s">
        <v>832</v>
      </c>
      <c r="E32">
        <v>1</v>
      </c>
      <c r="F32">
        <v>1</v>
      </c>
      <c r="G32">
        <v>1</v>
      </c>
    </row>
    <row r="33" spans="1:7" ht="14.25" customHeight="1" x14ac:dyDescent="0.25">
      <c r="A33">
        <v>7301</v>
      </c>
      <c r="B33" t="s">
        <v>15</v>
      </c>
      <c r="C33" t="s">
        <v>586</v>
      </c>
      <c r="D33" t="s">
        <v>827</v>
      </c>
      <c r="E33">
        <v>1</v>
      </c>
      <c r="F33">
        <v>1</v>
      </c>
      <c r="G33">
        <v>1</v>
      </c>
    </row>
    <row r="34" spans="1:7" ht="14.25" customHeight="1" x14ac:dyDescent="0.25">
      <c r="A34">
        <v>2809</v>
      </c>
      <c r="B34" t="s">
        <v>15</v>
      </c>
      <c r="C34" t="s">
        <v>587</v>
      </c>
      <c r="D34" t="s">
        <v>827</v>
      </c>
      <c r="E34">
        <v>1</v>
      </c>
      <c r="F34">
        <v>1</v>
      </c>
      <c r="G34">
        <v>1</v>
      </c>
    </row>
    <row r="35" spans="1:7" ht="14.25" customHeight="1" x14ac:dyDescent="0.25">
      <c r="A35">
        <v>6403</v>
      </c>
      <c r="B35" t="s">
        <v>15</v>
      </c>
      <c r="C35" t="s">
        <v>588</v>
      </c>
      <c r="D35" t="s">
        <v>829</v>
      </c>
      <c r="E35">
        <v>1</v>
      </c>
      <c r="F35">
        <v>1</v>
      </c>
      <c r="G35">
        <v>1</v>
      </c>
    </row>
    <row r="36" spans="1:7" ht="14.25" customHeight="1" x14ac:dyDescent="0.25">
      <c r="A36">
        <v>158</v>
      </c>
      <c r="B36" t="s">
        <v>15</v>
      </c>
      <c r="C36" t="s">
        <v>589</v>
      </c>
      <c r="D36" t="s">
        <v>829</v>
      </c>
      <c r="E36">
        <v>1</v>
      </c>
      <c r="F36">
        <v>1</v>
      </c>
      <c r="G36">
        <v>1</v>
      </c>
    </row>
    <row r="37" spans="1:7" ht="14.25" customHeight="1" x14ac:dyDescent="0.25">
      <c r="A37">
        <v>7466</v>
      </c>
      <c r="B37" t="s">
        <v>15</v>
      </c>
      <c r="C37" t="s">
        <v>590</v>
      </c>
      <c r="D37" t="s">
        <v>842</v>
      </c>
      <c r="E37">
        <v>1</v>
      </c>
      <c r="F37">
        <v>1</v>
      </c>
      <c r="G37">
        <v>1</v>
      </c>
    </row>
    <row r="38" spans="1:7" ht="14.25" customHeight="1" x14ac:dyDescent="0.25">
      <c r="A38">
        <v>219</v>
      </c>
      <c r="B38" t="s">
        <v>15</v>
      </c>
      <c r="C38" t="s">
        <v>591</v>
      </c>
      <c r="D38" t="s">
        <v>836</v>
      </c>
      <c r="E38">
        <v>1</v>
      </c>
      <c r="F38">
        <v>1</v>
      </c>
      <c r="G38">
        <v>1</v>
      </c>
    </row>
    <row r="39" spans="1:7" ht="14.25" customHeight="1" x14ac:dyDescent="0.25">
      <c r="A39">
        <v>6569</v>
      </c>
      <c r="B39" t="s">
        <v>15</v>
      </c>
      <c r="C39" t="s">
        <v>592</v>
      </c>
      <c r="D39" t="s">
        <v>836</v>
      </c>
      <c r="E39">
        <v>1</v>
      </c>
      <c r="F39">
        <v>1</v>
      </c>
      <c r="G39">
        <v>1</v>
      </c>
    </row>
    <row r="40" spans="1:7" ht="14.25" customHeight="1" x14ac:dyDescent="0.25">
      <c r="A40">
        <v>1926</v>
      </c>
      <c r="B40" t="s">
        <v>15</v>
      </c>
      <c r="C40" t="s">
        <v>593</v>
      </c>
      <c r="D40" t="s">
        <v>825</v>
      </c>
      <c r="E40">
        <v>1</v>
      </c>
      <c r="F40">
        <v>1</v>
      </c>
      <c r="G40">
        <v>1</v>
      </c>
    </row>
    <row r="41" spans="1:7" ht="14.25" customHeight="1" x14ac:dyDescent="0.25">
      <c r="A41">
        <v>1930</v>
      </c>
      <c r="B41" t="s">
        <v>15</v>
      </c>
      <c r="C41" t="s">
        <v>594</v>
      </c>
      <c r="D41" t="s">
        <v>833</v>
      </c>
      <c r="E41">
        <v>1</v>
      </c>
      <c r="F41">
        <v>1</v>
      </c>
      <c r="G41">
        <v>1</v>
      </c>
    </row>
    <row r="42" spans="1:7" ht="14.25" customHeight="1" x14ac:dyDescent="0.25">
      <c r="A42">
        <v>7337</v>
      </c>
      <c r="B42" t="s">
        <v>15</v>
      </c>
      <c r="C42" t="s">
        <v>595</v>
      </c>
      <c r="D42" t="s">
        <v>834</v>
      </c>
      <c r="E42">
        <v>1</v>
      </c>
      <c r="F42">
        <v>1</v>
      </c>
      <c r="G42">
        <v>1</v>
      </c>
    </row>
    <row r="43" spans="1:7" ht="14.25" customHeight="1" x14ac:dyDescent="0.25">
      <c r="A43">
        <v>7534</v>
      </c>
      <c r="B43" t="s">
        <v>15</v>
      </c>
      <c r="C43" t="s">
        <v>596</v>
      </c>
      <c r="D43" t="s">
        <v>834</v>
      </c>
      <c r="E43">
        <v>1</v>
      </c>
      <c r="F43">
        <v>1</v>
      </c>
      <c r="G43">
        <v>1</v>
      </c>
    </row>
    <row r="44" spans="1:7" ht="14.25" customHeight="1" x14ac:dyDescent="0.25">
      <c r="A44">
        <v>6523</v>
      </c>
      <c r="B44" t="s">
        <v>15</v>
      </c>
      <c r="C44" t="s">
        <v>597</v>
      </c>
      <c r="D44" t="s">
        <v>837</v>
      </c>
      <c r="E44">
        <v>1</v>
      </c>
      <c r="F44">
        <v>1</v>
      </c>
      <c r="G44">
        <v>1</v>
      </c>
    </row>
    <row r="45" spans="1:7" ht="14.25" customHeight="1" x14ac:dyDescent="0.25">
      <c r="A45">
        <v>2815</v>
      </c>
      <c r="B45" t="s">
        <v>15</v>
      </c>
      <c r="C45" t="s">
        <v>598</v>
      </c>
      <c r="D45" t="s">
        <v>828</v>
      </c>
      <c r="E45">
        <v>1</v>
      </c>
      <c r="F45">
        <v>1</v>
      </c>
      <c r="G45">
        <v>1</v>
      </c>
    </row>
    <row r="46" spans="1:7" ht="14.25" customHeight="1" x14ac:dyDescent="0.25">
      <c r="A46">
        <v>6813</v>
      </c>
      <c r="B46" t="s">
        <v>15</v>
      </c>
      <c r="C46" t="s">
        <v>599</v>
      </c>
      <c r="D46" t="s">
        <v>828</v>
      </c>
      <c r="E46">
        <v>1</v>
      </c>
      <c r="F46">
        <v>1</v>
      </c>
      <c r="G46">
        <v>1</v>
      </c>
    </row>
    <row r="47" spans="1:7" ht="14.25" customHeight="1" x14ac:dyDescent="0.25">
      <c r="A47">
        <v>6682</v>
      </c>
      <c r="B47" t="s">
        <v>15</v>
      </c>
      <c r="C47" t="s">
        <v>600</v>
      </c>
      <c r="D47" t="s">
        <v>841</v>
      </c>
      <c r="E47">
        <v>1</v>
      </c>
      <c r="F47">
        <v>1</v>
      </c>
      <c r="G47">
        <v>1</v>
      </c>
    </row>
    <row r="48" spans="1:7" ht="14.25" customHeight="1" x14ac:dyDescent="0.25">
      <c r="A48">
        <v>7475</v>
      </c>
      <c r="B48" t="s">
        <v>15</v>
      </c>
      <c r="C48" t="s">
        <v>601</v>
      </c>
      <c r="D48" t="s">
        <v>841</v>
      </c>
      <c r="E48">
        <v>1</v>
      </c>
      <c r="F48">
        <v>1</v>
      </c>
      <c r="G48">
        <v>1</v>
      </c>
    </row>
    <row r="49" spans="1:7" ht="14.25" customHeight="1" x14ac:dyDescent="0.25">
      <c r="A49">
        <v>2845</v>
      </c>
      <c r="B49" t="s">
        <v>15</v>
      </c>
      <c r="C49" t="s">
        <v>602</v>
      </c>
      <c r="D49" t="s">
        <v>830</v>
      </c>
      <c r="E49">
        <v>1</v>
      </c>
      <c r="F49">
        <v>1</v>
      </c>
      <c r="G49">
        <v>1</v>
      </c>
    </row>
    <row r="50" spans="1:7" ht="14.25" customHeight="1" x14ac:dyDescent="0.25">
      <c r="A50">
        <v>6662</v>
      </c>
      <c r="B50" t="s">
        <v>15</v>
      </c>
      <c r="C50" t="s">
        <v>603</v>
      </c>
      <c r="D50" t="s">
        <v>838</v>
      </c>
      <c r="E50">
        <v>1</v>
      </c>
      <c r="F50">
        <v>1</v>
      </c>
      <c r="G50">
        <v>1</v>
      </c>
    </row>
    <row r="51" spans="1:7" ht="14.25" customHeight="1" x14ac:dyDescent="0.25">
      <c r="A51">
        <v>7048</v>
      </c>
      <c r="B51" t="s">
        <v>15</v>
      </c>
      <c r="C51" t="s">
        <v>604</v>
      </c>
      <c r="D51" t="s">
        <v>824</v>
      </c>
      <c r="E51">
        <v>1</v>
      </c>
      <c r="F51">
        <v>1</v>
      </c>
      <c r="G51">
        <v>1</v>
      </c>
    </row>
    <row r="52" spans="1:7" ht="14.25" customHeight="1" x14ac:dyDescent="0.25">
      <c r="A52">
        <v>610</v>
      </c>
      <c r="B52" t="s">
        <v>15</v>
      </c>
      <c r="C52" t="s">
        <v>605</v>
      </c>
      <c r="D52" t="s">
        <v>824</v>
      </c>
      <c r="E52">
        <v>1</v>
      </c>
      <c r="F52">
        <v>1</v>
      </c>
      <c r="G52">
        <v>1</v>
      </c>
    </row>
    <row r="53" spans="1:7" ht="14.25" customHeight="1" x14ac:dyDescent="0.25">
      <c r="A53">
        <v>4518</v>
      </c>
      <c r="B53" t="s">
        <v>15</v>
      </c>
      <c r="C53" t="s">
        <v>606</v>
      </c>
      <c r="D53" t="s">
        <v>839</v>
      </c>
      <c r="E53">
        <v>1</v>
      </c>
      <c r="F53">
        <v>1</v>
      </c>
      <c r="G53">
        <v>1</v>
      </c>
    </row>
    <row r="54" spans="1:7" ht="14.25" customHeight="1" x14ac:dyDescent="0.25">
      <c r="A54">
        <v>4867</v>
      </c>
      <c r="B54" t="s">
        <v>15</v>
      </c>
      <c r="C54" t="s">
        <v>557</v>
      </c>
      <c r="D54" t="s">
        <v>839</v>
      </c>
      <c r="E54">
        <v>1</v>
      </c>
      <c r="F54">
        <v>1</v>
      </c>
      <c r="G54">
        <v>3</v>
      </c>
    </row>
    <row r="55" spans="1:7" ht="14.25" customHeight="1" x14ac:dyDescent="0.25">
      <c r="A55">
        <v>7457</v>
      </c>
      <c r="B55" t="s">
        <v>15</v>
      </c>
      <c r="C55" t="s">
        <v>607</v>
      </c>
      <c r="D55" t="s">
        <v>843</v>
      </c>
      <c r="E55">
        <v>1</v>
      </c>
      <c r="F55">
        <v>1</v>
      </c>
      <c r="G55">
        <v>1</v>
      </c>
    </row>
    <row r="56" spans="1:7" ht="14.25" customHeight="1" x14ac:dyDescent="0.25">
      <c r="A56">
        <v>5320</v>
      </c>
      <c r="B56" t="s">
        <v>15</v>
      </c>
      <c r="C56" t="s">
        <v>608</v>
      </c>
      <c r="D56" t="s">
        <v>843</v>
      </c>
      <c r="E56">
        <v>1</v>
      </c>
      <c r="F56">
        <v>1</v>
      </c>
      <c r="G56">
        <v>1</v>
      </c>
    </row>
    <row r="57" spans="1:7" ht="14.25" customHeight="1" x14ac:dyDescent="0.25">
      <c r="A57">
        <v>7363</v>
      </c>
      <c r="B57" t="s">
        <v>15</v>
      </c>
      <c r="C57" t="s">
        <v>609</v>
      </c>
      <c r="D57" t="s">
        <v>843</v>
      </c>
      <c r="E57">
        <v>1</v>
      </c>
      <c r="F57">
        <v>1</v>
      </c>
      <c r="G57">
        <v>1</v>
      </c>
    </row>
    <row r="58" spans="1:7" ht="14.25" customHeight="1" x14ac:dyDescent="0.25">
      <c r="A58">
        <v>543</v>
      </c>
      <c r="B58" t="s">
        <v>15</v>
      </c>
      <c r="C58" t="s">
        <v>610</v>
      </c>
      <c r="D58" t="s">
        <v>835</v>
      </c>
      <c r="E58">
        <v>1</v>
      </c>
      <c r="F58">
        <v>1</v>
      </c>
      <c r="G58">
        <v>1</v>
      </c>
    </row>
    <row r="59" spans="1:7" ht="14.25" customHeight="1" x14ac:dyDescent="0.25">
      <c r="A59">
        <v>5707</v>
      </c>
      <c r="B59" t="s">
        <v>15</v>
      </c>
      <c r="C59" t="s">
        <v>611</v>
      </c>
      <c r="D59" t="s">
        <v>835</v>
      </c>
      <c r="E59">
        <v>1</v>
      </c>
      <c r="F59">
        <v>1</v>
      </c>
      <c r="G59">
        <v>1</v>
      </c>
    </row>
    <row r="60" spans="1:7" ht="14.25" customHeight="1" x14ac:dyDescent="0.25">
      <c r="A60">
        <v>6671</v>
      </c>
      <c r="B60" t="s">
        <v>15</v>
      </c>
      <c r="C60" t="s">
        <v>612</v>
      </c>
      <c r="D60" t="s">
        <v>840</v>
      </c>
      <c r="E60">
        <v>1</v>
      </c>
      <c r="F60">
        <v>1</v>
      </c>
      <c r="G60">
        <v>1</v>
      </c>
    </row>
    <row r="61" spans="1:7" ht="14.25" customHeight="1" x14ac:dyDescent="0.25">
      <c r="A61">
        <v>7531</v>
      </c>
      <c r="B61" t="s">
        <v>15</v>
      </c>
      <c r="C61" t="s">
        <v>613</v>
      </c>
      <c r="D61" t="s">
        <v>840</v>
      </c>
      <c r="E61">
        <v>1</v>
      </c>
      <c r="F61">
        <v>1</v>
      </c>
      <c r="G61">
        <v>1</v>
      </c>
    </row>
    <row r="62" spans="1:7" ht="14.25" customHeight="1" x14ac:dyDescent="0.25">
      <c r="A62">
        <v>254</v>
      </c>
      <c r="B62" t="s">
        <v>16</v>
      </c>
      <c r="C62" t="s">
        <v>145</v>
      </c>
      <c r="D62" t="s">
        <v>825</v>
      </c>
      <c r="E62">
        <v>32</v>
      </c>
      <c r="F62">
        <v>32</v>
      </c>
      <c r="G62">
        <v>265</v>
      </c>
    </row>
    <row r="63" spans="1:7" ht="14.25" customHeight="1" x14ac:dyDescent="0.25">
      <c r="A63">
        <v>7181</v>
      </c>
      <c r="B63" t="s">
        <v>16</v>
      </c>
      <c r="C63" t="s">
        <v>167</v>
      </c>
      <c r="D63" t="s">
        <v>824</v>
      </c>
      <c r="E63">
        <v>17</v>
      </c>
      <c r="F63">
        <v>17</v>
      </c>
      <c r="G63">
        <v>90</v>
      </c>
    </row>
    <row r="64" spans="1:7" ht="14.25" customHeight="1" x14ac:dyDescent="0.25">
      <c r="A64">
        <v>4159</v>
      </c>
      <c r="B64" t="s">
        <v>16</v>
      </c>
      <c r="C64" t="s">
        <v>191</v>
      </c>
      <c r="D64" t="s">
        <v>825</v>
      </c>
      <c r="E64">
        <v>16</v>
      </c>
      <c r="F64">
        <v>16</v>
      </c>
      <c r="G64">
        <v>55</v>
      </c>
    </row>
    <row r="65" spans="1:7" ht="14.25" customHeight="1" x14ac:dyDescent="0.25">
      <c r="A65">
        <v>2788</v>
      </c>
      <c r="B65" t="s">
        <v>16</v>
      </c>
      <c r="C65" t="s">
        <v>198</v>
      </c>
      <c r="D65" t="s">
        <v>833</v>
      </c>
      <c r="E65">
        <v>15</v>
      </c>
      <c r="F65">
        <v>15</v>
      </c>
      <c r="G65">
        <v>50</v>
      </c>
    </row>
    <row r="66" spans="1:7" ht="14.25" customHeight="1" x14ac:dyDescent="0.25">
      <c r="A66">
        <v>2296</v>
      </c>
      <c r="B66" t="s">
        <v>16</v>
      </c>
      <c r="C66" t="s">
        <v>202</v>
      </c>
      <c r="D66" t="s">
        <v>824</v>
      </c>
      <c r="E66">
        <v>15</v>
      </c>
      <c r="F66">
        <v>15</v>
      </c>
      <c r="G66">
        <v>49</v>
      </c>
    </row>
    <row r="67" spans="1:7" ht="14.25" customHeight="1" x14ac:dyDescent="0.25">
      <c r="A67">
        <v>2120</v>
      </c>
      <c r="B67" t="s">
        <v>16</v>
      </c>
      <c r="C67" t="s">
        <v>212</v>
      </c>
      <c r="D67" t="s">
        <v>825</v>
      </c>
      <c r="E67">
        <v>14</v>
      </c>
      <c r="F67">
        <v>14</v>
      </c>
      <c r="G67">
        <v>44</v>
      </c>
    </row>
    <row r="68" spans="1:7" ht="14.25" customHeight="1" x14ac:dyDescent="0.25">
      <c r="A68">
        <v>5022</v>
      </c>
      <c r="B68" t="s">
        <v>16</v>
      </c>
      <c r="C68" t="s">
        <v>203</v>
      </c>
      <c r="D68" t="s">
        <v>828</v>
      </c>
      <c r="E68">
        <v>14</v>
      </c>
      <c r="F68">
        <v>14</v>
      </c>
      <c r="G68">
        <v>48</v>
      </c>
    </row>
    <row r="69" spans="1:7" ht="14.25" customHeight="1" x14ac:dyDescent="0.25">
      <c r="A69">
        <v>4409</v>
      </c>
      <c r="B69" t="s">
        <v>16</v>
      </c>
      <c r="C69" t="s">
        <v>204</v>
      </c>
      <c r="D69" t="s">
        <v>830</v>
      </c>
      <c r="E69">
        <v>14</v>
      </c>
      <c r="F69">
        <v>14</v>
      </c>
      <c r="G69">
        <v>47</v>
      </c>
    </row>
    <row r="70" spans="1:7" ht="14.25" customHeight="1" x14ac:dyDescent="0.25">
      <c r="A70">
        <v>4976</v>
      </c>
      <c r="B70" t="s">
        <v>16</v>
      </c>
      <c r="C70" t="s">
        <v>206</v>
      </c>
      <c r="D70" t="s">
        <v>833</v>
      </c>
      <c r="E70">
        <v>13</v>
      </c>
      <c r="F70">
        <v>13</v>
      </c>
      <c r="G70">
        <v>46</v>
      </c>
    </row>
    <row r="71" spans="1:7" ht="14.25" customHeight="1" x14ac:dyDescent="0.25">
      <c r="A71">
        <v>4317</v>
      </c>
      <c r="B71" t="s">
        <v>16</v>
      </c>
      <c r="C71" t="s">
        <v>213</v>
      </c>
      <c r="D71" t="s">
        <v>824</v>
      </c>
      <c r="E71">
        <v>13</v>
      </c>
      <c r="F71">
        <v>13</v>
      </c>
      <c r="G71">
        <v>44</v>
      </c>
    </row>
    <row r="72" spans="1:7" ht="14.25" customHeight="1" x14ac:dyDescent="0.25">
      <c r="A72">
        <v>6956</v>
      </c>
      <c r="B72" t="s">
        <v>16</v>
      </c>
      <c r="C72" t="s">
        <v>207</v>
      </c>
      <c r="D72" t="s">
        <v>835</v>
      </c>
      <c r="E72">
        <v>13</v>
      </c>
      <c r="F72">
        <v>13</v>
      </c>
      <c r="G72">
        <v>46</v>
      </c>
    </row>
    <row r="73" spans="1:7" ht="14.25" customHeight="1" x14ac:dyDescent="0.25">
      <c r="A73">
        <v>2514</v>
      </c>
      <c r="B73" t="s">
        <v>16</v>
      </c>
      <c r="C73" t="s">
        <v>226</v>
      </c>
      <c r="D73" t="s">
        <v>825</v>
      </c>
      <c r="E73">
        <v>12</v>
      </c>
      <c r="F73">
        <v>12</v>
      </c>
      <c r="G73">
        <v>38</v>
      </c>
    </row>
    <row r="74" spans="1:7" ht="14.25" customHeight="1" x14ac:dyDescent="0.25">
      <c r="A74">
        <v>5833</v>
      </c>
      <c r="B74" t="s">
        <v>16</v>
      </c>
      <c r="C74" t="s">
        <v>243</v>
      </c>
      <c r="D74" t="s">
        <v>828</v>
      </c>
      <c r="E74">
        <v>12</v>
      </c>
      <c r="F74">
        <v>12</v>
      </c>
      <c r="G74">
        <v>31</v>
      </c>
    </row>
    <row r="75" spans="1:7" ht="14.25" customHeight="1" x14ac:dyDescent="0.25">
      <c r="A75">
        <v>2816</v>
      </c>
      <c r="B75" t="s">
        <v>16</v>
      </c>
      <c r="C75" t="s">
        <v>222</v>
      </c>
      <c r="D75" t="s">
        <v>830</v>
      </c>
      <c r="E75">
        <v>12</v>
      </c>
      <c r="F75">
        <v>12</v>
      </c>
      <c r="G75">
        <v>40</v>
      </c>
    </row>
    <row r="76" spans="1:7" ht="14.25" customHeight="1" x14ac:dyDescent="0.25">
      <c r="A76">
        <v>5750</v>
      </c>
      <c r="B76" t="s">
        <v>16</v>
      </c>
      <c r="C76" t="s">
        <v>223</v>
      </c>
      <c r="D76" t="s">
        <v>836</v>
      </c>
      <c r="E76">
        <v>11</v>
      </c>
      <c r="F76">
        <v>11</v>
      </c>
      <c r="G76">
        <v>40</v>
      </c>
    </row>
    <row r="77" spans="1:7" ht="14.25" customHeight="1" x14ac:dyDescent="0.25">
      <c r="A77">
        <v>6217</v>
      </c>
      <c r="B77" t="s">
        <v>16</v>
      </c>
      <c r="C77" t="s">
        <v>234</v>
      </c>
      <c r="D77" t="s">
        <v>825</v>
      </c>
      <c r="E77">
        <v>11</v>
      </c>
      <c r="F77">
        <v>11</v>
      </c>
      <c r="G77">
        <v>33</v>
      </c>
    </row>
    <row r="78" spans="1:7" ht="14.25" customHeight="1" x14ac:dyDescent="0.25">
      <c r="A78">
        <v>5526</v>
      </c>
      <c r="B78" t="s">
        <v>16</v>
      </c>
      <c r="C78" t="s">
        <v>251</v>
      </c>
      <c r="D78" t="s">
        <v>826</v>
      </c>
      <c r="E78">
        <v>10</v>
      </c>
      <c r="F78">
        <v>10</v>
      </c>
      <c r="G78">
        <v>28</v>
      </c>
    </row>
    <row r="79" spans="1:7" ht="14.25" customHeight="1" x14ac:dyDescent="0.25">
      <c r="A79">
        <v>6869</v>
      </c>
      <c r="B79" t="s">
        <v>16</v>
      </c>
      <c r="C79" t="s">
        <v>237</v>
      </c>
      <c r="D79" t="s">
        <v>827</v>
      </c>
      <c r="E79">
        <v>10</v>
      </c>
      <c r="F79">
        <v>10</v>
      </c>
      <c r="G79">
        <v>32</v>
      </c>
    </row>
    <row r="80" spans="1:7" ht="14.25" customHeight="1" x14ac:dyDescent="0.25">
      <c r="A80">
        <v>5885</v>
      </c>
      <c r="B80" t="s">
        <v>16</v>
      </c>
      <c r="C80" t="s">
        <v>246</v>
      </c>
      <c r="D80" t="s">
        <v>829</v>
      </c>
      <c r="E80">
        <v>10</v>
      </c>
      <c r="F80">
        <v>10</v>
      </c>
      <c r="G80">
        <v>30</v>
      </c>
    </row>
    <row r="81" spans="1:7" ht="14.25" customHeight="1" x14ac:dyDescent="0.25">
      <c r="A81">
        <v>4807</v>
      </c>
      <c r="B81" t="s">
        <v>16</v>
      </c>
      <c r="C81" t="s">
        <v>260</v>
      </c>
      <c r="D81" t="s">
        <v>824</v>
      </c>
      <c r="E81">
        <v>10</v>
      </c>
      <c r="F81">
        <v>10</v>
      </c>
      <c r="G81">
        <v>26</v>
      </c>
    </row>
    <row r="82" spans="1:7" ht="14.25" customHeight="1" x14ac:dyDescent="0.25">
      <c r="A82">
        <v>5514</v>
      </c>
      <c r="B82" t="s">
        <v>16</v>
      </c>
      <c r="C82" t="s">
        <v>235</v>
      </c>
      <c r="D82" t="s">
        <v>836</v>
      </c>
      <c r="E82">
        <v>9</v>
      </c>
      <c r="F82">
        <v>9</v>
      </c>
      <c r="G82">
        <v>33</v>
      </c>
    </row>
    <row r="83" spans="1:7" ht="14.25" customHeight="1" x14ac:dyDescent="0.25">
      <c r="A83">
        <v>5520</v>
      </c>
      <c r="B83" t="s">
        <v>16</v>
      </c>
      <c r="C83" t="s">
        <v>256</v>
      </c>
      <c r="D83" t="s">
        <v>833</v>
      </c>
      <c r="E83">
        <v>9</v>
      </c>
      <c r="F83">
        <v>9</v>
      </c>
      <c r="G83">
        <v>27</v>
      </c>
    </row>
    <row r="84" spans="1:7" ht="14.25" customHeight="1" x14ac:dyDescent="0.25">
      <c r="A84">
        <v>6046</v>
      </c>
      <c r="B84" t="s">
        <v>16</v>
      </c>
      <c r="C84" t="s">
        <v>344</v>
      </c>
      <c r="D84" t="s">
        <v>826</v>
      </c>
      <c r="E84">
        <v>8</v>
      </c>
      <c r="F84">
        <v>8</v>
      </c>
      <c r="G84">
        <v>16</v>
      </c>
    </row>
    <row r="85" spans="1:7" ht="14.25" customHeight="1" x14ac:dyDescent="0.25">
      <c r="A85">
        <v>554</v>
      </c>
      <c r="B85" t="s">
        <v>16</v>
      </c>
      <c r="C85" t="s">
        <v>271</v>
      </c>
      <c r="D85" t="s">
        <v>826</v>
      </c>
      <c r="E85">
        <v>8</v>
      </c>
      <c r="F85">
        <v>8</v>
      </c>
      <c r="G85">
        <v>24</v>
      </c>
    </row>
    <row r="86" spans="1:7" ht="14.25" customHeight="1" x14ac:dyDescent="0.25">
      <c r="A86">
        <v>6042</v>
      </c>
      <c r="B86" t="s">
        <v>16</v>
      </c>
      <c r="C86" t="s">
        <v>320</v>
      </c>
      <c r="D86" t="s">
        <v>831</v>
      </c>
      <c r="E86">
        <v>8</v>
      </c>
      <c r="F86">
        <v>8</v>
      </c>
      <c r="G86">
        <v>18</v>
      </c>
    </row>
    <row r="87" spans="1:7" ht="14.25" customHeight="1" x14ac:dyDescent="0.25">
      <c r="A87">
        <v>4734</v>
      </c>
      <c r="B87" t="s">
        <v>16</v>
      </c>
      <c r="C87" t="s">
        <v>272</v>
      </c>
      <c r="D87" t="s">
        <v>831</v>
      </c>
      <c r="E87">
        <v>8</v>
      </c>
      <c r="F87">
        <v>8</v>
      </c>
      <c r="G87">
        <v>24</v>
      </c>
    </row>
    <row r="88" spans="1:7" ht="14.25" customHeight="1" x14ac:dyDescent="0.25">
      <c r="A88">
        <v>4210</v>
      </c>
      <c r="B88" t="s">
        <v>16</v>
      </c>
      <c r="C88" t="s">
        <v>298</v>
      </c>
      <c r="D88" t="s">
        <v>832</v>
      </c>
      <c r="E88">
        <v>8</v>
      </c>
      <c r="F88">
        <v>8</v>
      </c>
      <c r="G88">
        <v>20</v>
      </c>
    </row>
    <row r="89" spans="1:7" ht="14.25" customHeight="1" x14ac:dyDescent="0.25">
      <c r="A89">
        <v>5365</v>
      </c>
      <c r="B89" t="s">
        <v>16</v>
      </c>
      <c r="C89" t="s">
        <v>257</v>
      </c>
      <c r="D89" t="s">
        <v>829</v>
      </c>
      <c r="E89">
        <v>8</v>
      </c>
      <c r="F89">
        <v>8</v>
      </c>
      <c r="G89">
        <v>27</v>
      </c>
    </row>
    <row r="90" spans="1:7" ht="14.25" customHeight="1" x14ac:dyDescent="0.25">
      <c r="A90">
        <v>6531</v>
      </c>
      <c r="B90" t="s">
        <v>16</v>
      </c>
      <c r="C90" t="s">
        <v>279</v>
      </c>
      <c r="D90" t="s">
        <v>829</v>
      </c>
      <c r="E90">
        <v>8</v>
      </c>
      <c r="F90">
        <v>8</v>
      </c>
      <c r="G90">
        <v>23</v>
      </c>
    </row>
    <row r="91" spans="1:7" ht="14.25" customHeight="1" x14ac:dyDescent="0.25">
      <c r="A91">
        <v>6814</v>
      </c>
      <c r="B91" t="s">
        <v>16</v>
      </c>
      <c r="C91" t="s">
        <v>287</v>
      </c>
      <c r="D91" t="s">
        <v>836</v>
      </c>
      <c r="E91">
        <v>8</v>
      </c>
      <c r="F91">
        <v>8</v>
      </c>
      <c r="G91">
        <v>22</v>
      </c>
    </row>
    <row r="92" spans="1:7" ht="14.25" customHeight="1" x14ac:dyDescent="0.25">
      <c r="A92">
        <v>4657</v>
      </c>
      <c r="B92" t="s">
        <v>16</v>
      </c>
      <c r="C92" t="s">
        <v>292</v>
      </c>
      <c r="D92" t="s">
        <v>833</v>
      </c>
      <c r="E92">
        <v>8</v>
      </c>
      <c r="F92">
        <v>8</v>
      </c>
      <c r="G92">
        <v>21</v>
      </c>
    </row>
    <row r="93" spans="1:7" ht="14.25" customHeight="1" x14ac:dyDescent="0.25">
      <c r="A93">
        <v>6496</v>
      </c>
      <c r="B93" t="s">
        <v>16</v>
      </c>
      <c r="C93" t="s">
        <v>263</v>
      </c>
      <c r="D93" t="s">
        <v>828</v>
      </c>
      <c r="E93">
        <v>8</v>
      </c>
      <c r="F93">
        <v>8</v>
      </c>
      <c r="G93">
        <v>25</v>
      </c>
    </row>
    <row r="94" spans="1:7" ht="14.25" customHeight="1" x14ac:dyDescent="0.25">
      <c r="A94">
        <v>1852</v>
      </c>
      <c r="B94" t="s">
        <v>16</v>
      </c>
      <c r="C94" t="s">
        <v>273</v>
      </c>
      <c r="D94" t="s">
        <v>830</v>
      </c>
      <c r="E94">
        <v>8</v>
      </c>
      <c r="F94">
        <v>8</v>
      </c>
      <c r="G94">
        <v>24</v>
      </c>
    </row>
    <row r="95" spans="1:7" ht="14.25" customHeight="1" x14ac:dyDescent="0.25">
      <c r="A95">
        <v>6664</v>
      </c>
      <c r="B95" t="s">
        <v>16</v>
      </c>
      <c r="C95" t="s">
        <v>293</v>
      </c>
      <c r="D95" t="s">
        <v>838</v>
      </c>
      <c r="E95">
        <v>8</v>
      </c>
      <c r="F95">
        <v>8</v>
      </c>
      <c r="G95">
        <v>21</v>
      </c>
    </row>
    <row r="96" spans="1:7" ht="14.25" customHeight="1" x14ac:dyDescent="0.25">
      <c r="A96">
        <v>5862</v>
      </c>
      <c r="B96" t="s">
        <v>16</v>
      </c>
      <c r="C96" t="s">
        <v>274</v>
      </c>
      <c r="D96" t="s">
        <v>838</v>
      </c>
      <c r="E96">
        <v>8</v>
      </c>
      <c r="F96">
        <v>8</v>
      </c>
      <c r="G96">
        <v>24</v>
      </c>
    </row>
    <row r="97" spans="1:7" ht="14.25" customHeight="1" x14ac:dyDescent="0.25">
      <c r="A97">
        <v>7529</v>
      </c>
      <c r="B97" t="s">
        <v>16</v>
      </c>
      <c r="C97" t="s">
        <v>299</v>
      </c>
      <c r="D97" t="s">
        <v>824</v>
      </c>
      <c r="E97">
        <v>8</v>
      </c>
      <c r="F97">
        <v>8</v>
      </c>
      <c r="G97">
        <v>20</v>
      </c>
    </row>
    <row r="98" spans="1:7" ht="14.25" customHeight="1" x14ac:dyDescent="0.25">
      <c r="A98">
        <v>4994</v>
      </c>
      <c r="B98" t="s">
        <v>16</v>
      </c>
      <c r="C98" t="s">
        <v>310</v>
      </c>
      <c r="D98" t="s">
        <v>835</v>
      </c>
      <c r="E98">
        <v>8</v>
      </c>
      <c r="F98">
        <v>8</v>
      </c>
      <c r="G98">
        <v>19</v>
      </c>
    </row>
    <row r="99" spans="1:7" ht="14.25" customHeight="1" x14ac:dyDescent="0.25">
      <c r="A99">
        <v>787</v>
      </c>
      <c r="B99" t="s">
        <v>16</v>
      </c>
      <c r="C99" t="s">
        <v>345</v>
      </c>
      <c r="D99" t="s">
        <v>826</v>
      </c>
      <c r="E99">
        <v>7</v>
      </c>
      <c r="F99">
        <v>7</v>
      </c>
      <c r="G99">
        <v>16</v>
      </c>
    </row>
    <row r="100" spans="1:7" ht="14.25" customHeight="1" x14ac:dyDescent="0.25">
      <c r="A100">
        <v>5701</v>
      </c>
      <c r="B100" t="s">
        <v>16</v>
      </c>
      <c r="C100" t="s">
        <v>366</v>
      </c>
      <c r="D100" t="s">
        <v>832</v>
      </c>
      <c r="E100">
        <v>7</v>
      </c>
      <c r="F100">
        <v>7</v>
      </c>
      <c r="G100">
        <v>14</v>
      </c>
    </row>
    <row r="101" spans="1:7" ht="14.25" customHeight="1" x14ac:dyDescent="0.25">
      <c r="A101">
        <v>7414</v>
      </c>
      <c r="B101" t="s">
        <v>16</v>
      </c>
      <c r="C101" t="s">
        <v>280</v>
      </c>
      <c r="D101" t="s">
        <v>827</v>
      </c>
      <c r="E101">
        <v>7</v>
      </c>
      <c r="F101">
        <v>7</v>
      </c>
      <c r="G101">
        <v>23</v>
      </c>
    </row>
    <row r="102" spans="1:7" ht="14.25" customHeight="1" x14ac:dyDescent="0.25">
      <c r="A102">
        <v>5877</v>
      </c>
      <c r="B102" t="s">
        <v>16</v>
      </c>
      <c r="C102" t="s">
        <v>258</v>
      </c>
      <c r="D102" t="s">
        <v>825</v>
      </c>
      <c r="E102">
        <v>7</v>
      </c>
      <c r="F102">
        <v>7</v>
      </c>
      <c r="G102">
        <v>27</v>
      </c>
    </row>
    <row r="103" spans="1:7" ht="14.25" customHeight="1" x14ac:dyDescent="0.25">
      <c r="A103">
        <v>6320</v>
      </c>
      <c r="B103" t="s">
        <v>16</v>
      </c>
      <c r="C103" t="s">
        <v>288</v>
      </c>
      <c r="D103" t="s">
        <v>834</v>
      </c>
      <c r="E103">
        <v>7</v>
      </c>
      <c r="F103">
        <v>7</v>
      </c>
      <c r="G103">
        <v>22</v>
      </c>
    </row>
    <row r="104" spans="1:7" ht="14.25" customHeight="1" x14ac:dyDescent="0.25">
      <c r="A104">
        <v>460</v>
      </c>
      <c r="B104" t="s">
        <v>16</v>
      </c>
      <c r="C104" t="s">
        <v>275</v>
      </c>
      <c r="D104" t="s">
        <v>834</v>
      </c>
      <c r="E104">
        <v>7</v>
      </c>
      <c r="F104">
        <v>7</v>
      </c>
      <c r="G104">
        <v>24</v>
      </c>
    </row>
    <row r="105" spans="1:7" ht="14.25" customHeight="1" x14ac:dyDescent="0.25">
      <c r="A105">
        <v>6989</v>
      </c>
      <c r="B105" t="s">
        <v>16</v>
      </c>
      <c r="C105" t="s">
        <v>339</v>
      </c>
      <c r="D105" t="s">
        <v>837</v>
      </c>
      <c r="E105">
        <v>7</v>
      </c>
      <c r="F105">
        <v>7</v>
      </c>
      <c r="G105">
        <v>17</v>
      </c>
    </row>
    <row r="106" spans="1:7" ht="14.25" customHeight="1" x14ac:dyDescent="0.25">
      <c r="A106">
        <v>4401</v>
      </c>
      <c r="B106" t="s">
        <v>16</v>
      </c>
      <c r="C106" t="s">
        <v>281</v>
      </c>
      <c r="D106" t="s">
        <v>828</v>
      </c>
      <c r="E106">
        <v>7</v>
      </c>
      <c r="F106">
        <v>7</v>
      </c>
      <c r="G106">
        <v>23</v>
      </c>
    </row>
    <row r="107" spans="1:7" ht="14.25" customHeight="1" x14ac:dyDescent="0.25">
      <c r="A107">
        <v>4751</v>
      </c>
      <c r="B107" t="s">
        <v>16</v>
      </c>
      <c r="C107" t="s">
        <v>300</v>
      </c>
      <c r="D107" t="s">
        <v>828</v>
      </c>
      <c r="E107">
        <v>7</v>
      </c>
      <c r="F107">
        <v>7</v>
      </c>
      <c r="G107">
        <v>20</v>
      </c>
    </row>
    <row r="108" spans="1:7" ht="14.25" customHeight="1" x14ac:dyDescent="0.25">
      <c r="A108">
        <v>2724</v>
      </c>
      <c r="B108" t="s">
        <v>16</v>
      </c>
      <c r="C108" t="s">
        <v>321</v>
      </c>
      <c r="D108" t="s">
        <v>830</v>
      </c>
      <c r="E108">
        <v>7</v>
      </c>
      <c r="F108">
        <v>7</v>
      </c>
      <c r="G108">
        <v>18</v>
      </c>
    </row>
    <row r="109" spans="1:7" ht="14.25" customHeight="1" x14ac:dyDescent="0.25">
      <c r="A109">
        <v>6672</v>
      </c>
      <c r="B109" t="s">
        <v>16</v>
      </c>
      <c r="C109" t="s">
        <v>614</v>
      </c>
      <c r="D109" t="s">
        <v>839</v>
      </c>
      <c r="E109">
        <v>7</v>
      </c>
      <c r="F109">
        <v>7</v>
      </c>
      <c r="G109">
        <v>1</v>
      </c>
    </row>
    <row r="110" spans="1:7" ht="14.25" customHeight="1" x14ac:dyDescent="0.25">
      <c r="A110">
        <v>6642</v>
      </c>
      <c r="B110" t="s">
        <v>16</v>
      </c>
      <c r="C110" t="s">
        <v>322</v>
      </c>
      <c r="D110" t="s">
        <v>843</v>
      </c>
      <c r="E110">
        <v>7</v>
      </c>
      <c r="F110">
        <v>7</v>
      </c>
      <c r="G110">
        <v>18</v>
      </c>
    </row>
    <row r="111" spans="1:7" ht="14.25" customHeight="1" x14ac:dyDescent="0.25">
      <c r="A111">
        <v>5010</v>
      </c>
      <c r="B111" t="s">
        <v>16</v>
      </c>
      <c r="C111" t="s">
        <v>323</v>
      </c>
      <c r="D111" t="s">
        <v>843</v>
      </c>
      <c r="E111">
        <v>7</v>
      </c>
      <c r="F111">
        <v>7</v>
      </c>
      <c r="G111">
        <v>18</v>
      </c>
    </row>
    <row r="112" spans="1:7" ht="14.25" customHeight="1" x14ac:dyDescent="0.25">
      <c r="A112">
        <v>6485</v>
      </c>
      <c r="B112" t="s">
        <v>16</v>
      </c>
      <c r="C112" t="s">
        <v>355</v>
      </c>
      <c r="D112" t="s">
        <v>835</v>
      </c>
      <c r="E112">
        <v>7</v>
      </c>
      <c r="F112">
        <v>7</v>
      </c>
      <c r="G112">
        <v>15</v>
      </c>
    </row>
    <row r="113" spans="1:7" ht="14.25" customHeight="1" x14ac:dyDescent="0.25">
      <c r="A113">
        <v>6916</v>
      </c>
      <c r="B113" t="s">
        <v>16</v>
      </c>
      <c r="C113" t="s">
        <v>346</v>
      </c>
      <c r="D113" t="s">
        <v>826</v>
      </c>
      <c r="E113">
        <v>6</v>
      </c>
      <c r="F113">
        <v>6</v>
      </c>
      <c r="G113">
        <v>16</v>
      </c>
    </row>
    <row r="114" spans="1:7" ht="14.25" customHeight="1" x14ac:dyDescent="0.25">
      <c r="A114">
        <v>4887</v>
      </c>
      <c r="B114" t="s">
        <v>16</v>
      </c>
      <c r="C114" t="s">
        <v>356</v>
      </c>
      <c r="D114" t="s">
        <v>826</v>
      </c>
      <c r="E114">
        <v>6</v>
      </c>
      <c r="F114">
        <v>6</v>
      </c>
      <c r="G114">
        <v>15</v>
      </c>
    </row>
    <row r="115" spans="1:7" ht="14.25" customHeight="1" x14ac:dyDescent="0.25">
      <c r="A115">
        <v>7219</v>
      </c>
      <c r="B115" t="s">
        <v>16</v>
      </c>
      <c r="C115" t="s">
        <v>340</v>
      </c>
      <c r="D115" t="s">
        <v>826</v>
      </c>
      <c r="E115">
        <v>6</v>
      </c>
      <c r="F115">
        <v>6</v>
      </c>
      <c r="G115">
        <v>17</v>
      </c>
    </row>
    <row r="116" spans="1:7" ht="14.25" customHeight="1" x14ac:dyDescent="0.25">
      <c r="A116">
        <v>7212</v>
      </c>
      <c r="B116" t="s">
        <v>16</v>
      </c>
      <c r="C116" t="s">
        <v>357</v>
      </c>
      <c r="D116" t="s">
        <v>831</v>
      </c>
      <c r="E116">
        <v>6</v>
      </c>
      <c r="F116">
        <v>6</v>
      </c>
      <c r="G116">
        <v>15</v>
      </c>
    </row>
    <row r="117" spans="1:7" ht="14.25" customHeight="1" x14ac:dyDescent="0.25">
      <c r="A117">
        <v>4433</v>
      </c>
      <c r="B117" t="s">
        <v>16</v>
      </c>
      <c r="C117" t="s">
        <v>311</v>
      </c>
      <c r="D117" t="s">
        <v>831</v>
      </c>
      <c r="E117">
        <v>6</v>
      </c>
      <c r="F117">
        <v>6</v>
      </c>
      <c r="G117">
        <v>19</v>
      </c>
    </row>
    <row r="118" spans="1:7" ht="14.25" customHeight="1" x14ac:dyDescent="0.25">
      <c r="A118">
        <v>6867</v>
      </c>
      <c r="B118" t="s">
        <v>16</v>
      </c>
      <c r="C118" t="s">
        <v>324</v>
      </c>
      <c r="D118" t="s">
        <v>827</v>
      </c>
      <c r="E118">
        <v>6</v>
      </c>
      <c r="F118">
        <v>6</v>
      </c>
      <c r="G118">
        <v>18</v>
      </c>
    </row>
    <row r="119" spans="1:7" ht="14.25" customHeight="1" x14ac:dyDescent="0.25">
      <c r="A119">
        <v>7294</v>
      </c>
      <c r="B119" t="s">
        <v>16</v>
      </c>
      <c r="C119" t="s">
        <v>325</v>
      </c>
      <c r="D119" t="s">
        <v>829</v>
      </c>
      <c r="E119">
        <v>6</v>
      </c>
      <c r="F119">
        <v>6</v>
      </c>
      <c r="G119">
        <v>18</v>
      </c>
    </row>
    <row r="120" spans="1:7" ht="14.25" customHeight="1" x14ac:dyDescent="0.25">
      <c r="A120">
        <v>7410</v>
      </c>
      <c r="B120" t="s">
        <v>16</v>
      </c>
      <c r="C120" t="s">
        <v>312</v>
      </c>
      <c r="D120" t="s">
        <v>829</v>
      </c>
      <c r="E120">
        <v>6</v>
      </c>
      <c r="F120">
        <v>6</v>
      </c>
      <c r="G120">
        <v>19</v>
      </c>
    </row>
    <row r="121" spans="1:7" ht="14.25" customHeight="1" x14ac:dyDescent="0.25">
      <c r="A121">
        <v>4952</v>
      </c>
      <c r="B121" t="s">
        <v>16</v>
      </c>
      <c r="C121" t="s">
        <v>367</v>
      </c>
      <c r="D121" t="s">
        <v>842</v>
      </c>
      <c r="E121">
        <v>6</v>
      </c>
      <c r="F121">
        <v>6</v>
      </c>
      <c r="G121">
        <v>14</v>
      </c>
    </row>
    <row r="122" spans="1:7" ht="14.25" customHeight="1" x14ac:dyDescent="0.25">
      <c r="A122">
        <v>6660</v>
      </c>
      <c r="B122" t="s">
        <v>16</v>
      </c>
      <c r="C122" t="s">
        <v>383</v>
      </c>
      <c r="D122" t="s">
        <v>836</v>
      </c>
      <c r="E122">
        <v>6</v>
      </c>
      <c r="F122">
        <v>6</v>
      </c>
      <c r="G122">
        <v>13</v>
      </c>
    </row>
    <row r="123" spans="1:7" ht="14.25" customHeight="1" x14ac:dyDescent="0.25">
      <c r="A123">
        <v>4177</v>
      </c>
      <c r="B123" t="s">
        <v>16</v>
      </c>
      <c r="C123" t="s">
        <v>326</v>
      </c>
      <c r="D123" t="s">
        <v>825</v>
      </c>
      <c r="E123">
        <v>6</v>
      </c>
      <c r="F123">
        <v>6</v>
      </c>
      <c r="G123">
        <v>18</v>
      </c>
    </row>
    <row r="124" spans="1:7" ht="14.25" customHeight="1" x14ac:dyDescent="0.25">
      <c r="A124">
        <v>5620</v>
      </c>
      <c r="B124" t="s">
        <v>16</v>
      </c>
      <c r="C124" t="s">
        <v>341</v>
      </c>
      <c r="D124" t="s">
        <v>834</v>
      </c>
      <c r="E124">
        <v>6</v>
      </c>
      <c r="F124">
        <v>6</v>
      </c>
      <c r="G124">
        <v>17</v>
      </c>
    </row>
    <row r="125" spans="1:7" ht="14.25" customHeight="1" x14ac:dyDescent="0.25">
      <c r="A125">
        <v>2188</v>
      </c>
      <c r="B125" t="s">
        <v>16</v>
      </c>
      <c r="C125" t="s">
        <v>301</v>
      </c>
      <c r="D125" t="s">
        <v>834</v>
      </c>
      <c r="E125">
        <v>6</v>
      </c>
      <c r="F125">
        <v>6</v>
      </c>
      <c r="G125">
        <v>20</v>
      </c>
    </row>
    <row r="126" spans="1:7" ht="14.25" customHeight="1" x14ac:dyDescent="0.25">
      <c r="A126">
        <v>4502</v>
      </c>
      <c r="B126" t="s">
        <v>16</v>
      </c>
      <c r="C126" t="s">
        <v>384</v>
      </c>
      <c r="D126" t="s">
        <v>837</v>
      </c>
      <c r="E126">
        <v>6</v>
      </c>
      <c r="F126">
        <v>6</v>
      </c>
      <c r="G126">
        <v>13</v>
      </c>
    </row>
    <row r="127" spans="1:7" ht="14.25" customHeight="1" x14ac:dyDescent="0.25">
      <c r="A127">
        <v>7485</v>
      </c>
      <c r="B127" t="s">
        <v>16</v>
      </c>
      <c r="C127" t="s">
        <v>358</v>
      </c>
      <c r="D127" t="s">
        <v>841</v>
      </c>
      <c r="E127">
        <v>6</v>
      </c>
      <c r="F127">
        <v>6</v>
      </c>
      <c r="G127">
        <v>15</v>
      </c>
    </row>
    <row r="128" spans="1:7" ht="14.25" customHeight="1" x14ac:dyDescent="0.25">
      <c r="A128">
        <v>6202</v>
      </c>
      <c r="B128" t="s">
        <v>16</v>
      </c>
      <c r="C128" t="s">
        <v>347</v>
      </c>
      <c r="D128" t="s">
        <v>830</v>
      </c>
      <c r="E128">
        <v>6</v>
      </c>
      <c r="F128">
        <v>6</v>
      </c>
      <c r="G128">
        <v>16</v>
      </c>
    </row>
    <row r="129" spans="1:7" ht="14.25" customHeight="1" x14ac:dyDescent="0.25">
      <c r="A129">
        <v>6663</v>
      </c>
      <c r="B129" t="s">
        <v>16</v>
      </c>
      <c r="C129" t="s">
        <v>327</v>
      </c>
      <c r="D129" t="s">
        <v>838</v>
      </c>
      <c r="E129">
        <v>6</v>
      </c>
      <c r="F129">
        <v>6</v>
      </c>
      <c r="G129">
        <v>18</v>
      </c>
    </row>
    <row r="130" spans="1:7" ht="14.25" customHeight="1" x14ac:dyDescent="0.25">
      <c r="A130">
        <v>6495</v>
      </c>
      <c r="B130" t="s">
        <v>16</v>
      </c>
      <c r="C130" t="s">
        <v>423</v>
      </c>
      <c r="D130" t="s">
        <v>843</v>
      </c>
      <c r="E130">
        <v>6</v>
      </c>
      <c r="F130">
        <v>6</v>
      </c>
      <c r="G130">
        <v>11</v>
      </c>
    </row>
    <row r="131" spans="1:7" ht="14.25" customHeight="1" x14ac:dyDescent="0.25">
      <c r="A131">
        <v>5555</v>
      </c>
      <c r="B131" t="s">
        <v>16</v>
      </c>
      <c r="C131" t="s">
        <v>401</v>
      </c>
      <c r="D131" t="s">
        <v>835</v>
      </c>
      <c r="E131">
        <v>6</v>
      </c>
      <c r="F131">
        <v>6</v>
      </c>
      <c r="G131">
        <v>12</v>
      </c>
    </row>
    <row r="132" spans="1:7" ht="14.25" customHeight="1" x14ac:dyDescent="0.25">
      <c r="A132">
        <v>7253</v>
      </c>
      <c r="B132" t="s">
        <v>16</v>
      </c>
      <c r="C132" t="s">
        <v>385</v>
      </c>
      <c r="D132" t="s">
        <v>840</v>
      </c>
      <c r="E132">
        <v>6</v>
      </c>
      <c r="F132">
        <v>6</v>
      </c>
      <c r="G132">
        <v>13</v>
      </c>
    </row>
    <row r="133" spans="1:7" ht="14.25" customHeight="1" x14ac:dyDescent="0.25">
      <c r="A133">
        <v>2640</v>
      </c>
      <c r="B133" t="s">
        <v>16</v>
      </c>
      <c r="C133" t="s">
        <v>402</v>
      </c>
      <c r="D133" t="s">
        <v>826</v>
      </c>
      <c r="E133">
        <v>5</v>
      </c>
      <c r="F133">
        <v>5</v>
      </c>
      <c r="G133">
        <v>12</v>
      </c>
    </row>
    <row r="134" spans="1:7" ht="14.25" customHeight="1" x14ac:dyDescent="0.25">
      <c r="A134">
        <v>7068</v>
      </c>
      <c r="B134" t="s">
        <v>16</v>
      </c>
      <c r="C134" t="s">
        <v>424</v>
      </c>
      <c r="D134" t="s">
        <v>831</v>
      </c>
      <c r="E134">
        <v>5</v>
      </c>
      <c r="F134">
        <v>5</v>
      </c>
      <c r="G134">
        <v>11</v>
      </c>
    </row>
    <row r="135" spans="1:7" ht="14.25" customHeight="1" x14ac:dyDescent="0.25">
      <c r="A135">
        <v>5678</v>
      </c>
      <c r="B135" t="s">
        <v>16</v>
      </c>
      <c r="C135" t="s">
        <v>386</v>
      </c>
      <c r="D135" t="s">
        <v>831</v>
      </c>
      <c r="E135">
        <v>5</v>
      </c>
      <c r="F135">
        <v>5</v>
      </c>
      <c r="G135">
        <v>13</v>
      </c>
    </row>
    <row r="136" spans="1:7" ht="14.25" customHeight="1" x14ac:dyDescent="0.25">
      <c r="A136">
        <v>7532</v>
      </c>
      <c r="B136" t="s">
        <v>16</v>
      </c>
      <c r="C136" t="s">
        <v>425</v>
      </c>
      <c r="D136" t="s">
        <v>832</v>
      </c>
      <c r="E136">
        <v>5</v>
      </c>
      <c r="F136">
        <v>5</v>
      </c>
      <c r="G136">
        <v>11</v>
      </c>
    </row>
    <row r="137" spans="1:7" ht="14.25" customHeight="1" x14ac:dyDescent="0.25">
      <c r="A137">
        <v>7274</v>
      </c>
      <c r="B137" t="s">
        <v>16</v>
      </c>
      <c r="C137" t="s">
        <v>426</v>
      </c>
      <c r="D137" t="s">
        <v>832</v>
      </c>
      <c r="E137">
        <v>5</v>
      </c>
      <c r="F137">
        <v>5</v>
      </c>
      <c r="G137">
        <v>11</v>
      </c>
    </row>
    <row r="138" spans="1:7" ht="14.25" customHeight="1" x14ac:dyDescent="0.25">
      <c r="A138">
        <v>6893</v>
      </c>
      <c r="B138" t="s">
        <v>16</v>
      </c>
      <c r="C138" t="s">
        <v>387</v>
      </c>
      <c r="D138" t="s">
        <v>827</v>
      </c>
      <c r="E138">
        <v>5</v>
      </c>
      <c r="F138">
        <v>5</v>
      </c>
      <c r="G138">
        <v>13</v>
      </c>
    </row>
    <row r="139" spans="1:7" ht="14.25" customHeight="1" x14ac:dyDescent="0.25">
      <c r="A139">
        <v>5449</v>
      </c>
      <c r="B139" t="s">
        <v>16</v>
      </c>
      <c r="C139" t="s">
        <v>403</v>
      </c>
      <c r="D139" t="s">
        <v>829</v>
      </c>
      <c r="E139">
        <v>5</v>
      </c>
      <c r="F139">
        <v>5</v>
      </c>
      <c r="G139">
        <v>12</v>
      </c>
    </row>
    <row r="140" spans="1:7" ht="14.25" customHeight="1" x14ac:dyDescent="0.25">
      <c r="A140">
        <v>7469</v>
      </c>
      <c r="B140" t="s">
        <v>16</v>
      </c>
      <c r="C140" t="s">
        <v>427</v>
      </c>
      <c r="D140" t="s">
        <v>842</v>
      </c>
      <c r="E140">
        <v>5</v>
      </c>
      <c r="F140">
        <v>5</v>
      </c>
      <c r="G140">
        <v>11</v>
      </c>
    </row>
    <row r="141" spans="1:7" ht="14.25" customHeight="1" x14ac:dyDescent="0.25">
      <c r="A141">
        <v>6238</v>
      </c>
      <c r="B141" t="s">
        <v>16</v>
      </c>
      <c r="C141" t="s">
        <v>404</v>
      </c>
      <c r="D141" t="s">
        <v>842</v>
      </c>
      <c r="E141">
        <v>5</v>
      </c>
      <c r="F141">
        <v>5</v>
      </c>
      <c r="G141">
        <v>12</v>
      </c>
    </row>
    <row r="142" spans="1:7" ht="14.25" customHeight="1" x14ac:dyDescent="0.25">
      <c r="A142">
        <v>2593</v>
      </c>
      <c r="B142" t="s">
        <v>16</v>
      </c>
      <c r="C142" t="s">
        <v>359</v>
      </c>
      <c r="D142" t="s">
        <v>836</v>
      </c>
      <c r="E142">
        <v>5</v>
      </c>
      <c r="F142">
        <v>5</v>
      </c>
      <c r="G142">
        <v>15</v>
      </c>
    </row>
    <row r="143" spans="1:7" ht="14.25" customHeight="1" x14ac:dyDescent="0.25">
      <c r="A143">
        <v>6766</v>
      </c>
      <c r="B143" t="s">
        <v>16</v>
      </c>
      <c r="C143" t="s">
        <v>388</v>
      </c>
      <c r="D143" t="s">
        <v>833</v>
      </c>
      <c r="E143">
        <v>5</v>
      </c>
      <c r="F143">
        <v>5</v>
      </c>
      <c r="G143">
        <v>13</v>
      </c>
    </row>
    <row r="144" spans="1:7" ht="14.25" customHeight="1" x14ac:dyDescent="0.25">
      <c r="A144">
        <v>4817</v>
      </c>
      <c r="B144" t="s">
        <v>16</v>
      </c>
      <c r="C144" t="s">
        <v>360</v>
      </c>
      <c r="D144" t="s">
        <v>834</v>
      </c>
      <c r="E144">
        <v>5</v>
      </c>
      <c r="F144">
        <v>5</v>
      </c>
      <c r="G144">
        <v>15</v>
      </c>
    </row>
    <row r="145" spans="1:7" ht="14.25" customHeight="1" x14ac:dyDescent="0.25">
      <c r="A145">
        <v>6632</v>
      </c>
      <c r="B145" t="s">
        <v>16</v>
      </c>
      <c r="C145" t="s">
        <v>405</v>
      </c>
      <c r="D145" t="s">
        <v>837</v>
      </c>
      <c r="E145">
        <v>5</v>
      </c>
      <c r="F145">
        <v>5</v>
      </c>
      <c r="G145">
        <v>12</v>
      </c>
    </row>
    <row r="146" spans="1:7" ht="14.25" customHeight="1" x14ac:dyDescent="0.25">
      <c r="A146">
        <v>6990</v>
      </c>
      <c r="B146" t="s">
        <v>16</v>
      </c>
      <c r="C146" t="s">
        <v>428</v>
      </c>
      <c r="D146" t="s">
        <v>837</v>
      </c>
      <c r="E146">
        <v>5</v>
      </c>
      <c r="F146">
        <v>5</v>
      </c>
      <c r="G146">
        <v>11</v>
      </c>
    </row>
    <row r="147" spans="1:7" ht="14.25" customHeight="1" x14ac:dyDescent="0.25">
      <c r="A147">
        <v>5840</v>
      </c>
      <c r="B147" t="s">
        <v>16</v>
      </c>
      <c r="C147" t="s">
        <v>389</v>
      </c>
      <c r="D147" t="s">
        <v>830</v>
      </c>
      <c r="E147">
        <v>5</v>
      </c>
      <c r="F147">
        <v>5</v>
      </c>
      <c r="G147">
        <v>13</v>
      </c>
    </row>
    <row r="148" spans="1:7" ht="14.25" customHeight="1" x14ac:dyDescent="0.25">
      <c r="A148">
        <v>6986</v>
      </c>
      <c r="B148" t="s">
        <v>16</v>
      </c>
      <c r="C148" t="s">
        <v>348</v>
      </c>
      <c r="D148" t="s">
        <v>824</v>
      </c>
      <c r="E148">
        <v>5</v>
      </c>
      <c r="F148">
        <v>5</v>
      </c>
      <c r="G148">
        <v>16</v>
      </c>
    </row>
    <row r="149" spans="1:7" ht="14.25" customHeight="1" x14ac:dyDescent="0.25">
      <c r="A149">
        <v>6426</v>
      </c>
      <c r="B149" t="s">
        <v>16</v>
      </c>
      <c r="C149" t="s">
        <v>390</v>
      </c>
      <c r="D149" t="s">
        <v>843</v>
      </c>
      <c r="E149">
        <v>5</v>
      </c>
      <c r="F149">
        <v>5</v>
      </c>
      <c r="G149">
        <v>13</v>
      </c>
    </row>
    <row r="150" spans="1:7" ht="14.25" customHeight="1" x14ac:dyDescent="0.25">
      <c r="A150">
        <v>6890</v>
      </c>
      <c r="B150" t="s">
        <v>16</v>
      </c>
      <c r="C150" t="s">
        <v>429</v>
      </c>
      <c r="D150" t="s">
        <v>840</v>
      </c>
      <c r="E150">
        <v>5</v>
      </c>
      <c r="F150">
        <v>5</v>
      </c>
      <c r="G150">
        <v>11</v>
      </c>
    </row>
    <row r="151" spans="1:7" ht="14.25" customHeight="1" x14ac:dyDescent="0.25">
      <c r="A151">
        <v>5695</v>
      </c>
      <c r="B151" t="s">
        <v>16</v>
      </c>
      <c r="C151" t="s">
        <v>430</v>
      </c>
      <c r="D151" t="s">
        <v>840</v>
      </c>
      <c r="E151">
        <v>5</v>
      </c>
      <c r="F151">
        <v>5</v>
      </c>
      <c r="G151">
        <v>11</v>
      </c>
    </row>
    <row r="152" spans="1:7" ht="14.25" customHeight="1" x14ac:dyDescent="0.25">
      <c r="A152">
        <v>4461</v>
      </c>
      <c r="B152" t="s">
        <v>16</v>
      </c>
      <c r="C152" t="s">
        <v>468</v>
      </c>
      <c r="D152" t="s">
        <v>832</v>
      </c>
      <c r="E152">
        <v>4</v>
      </c>
      <c r="F152">
        <v>4</v>
      </c>
      <c r="G152">
        <v>9</v>
      </c>
    </row>
    <row r="153" spans="1:7" ht="14.25" customHeight="1" x14ac:dyDescent="0.25">
      <c r="A153">
        <v>7014</v>
      </c>
      <c r="B153" t="s">
        <v>16</v>
      </c>
      <c r="C153" t="s">
        <v>444</v>
      </c>
      <c r="D153" t="s">
        <v>827</v>
      </c>
      <c r="E153">
        <v>4</v>
      </c>
      <c r="F153">
        <v>4</v>
      </c>
      <c r="G153">
        <v>10</v>
      </c>
    </row>
    <row r="154" spans="1:7" ht="14.25" customHeight="1" x14ac:dyDescent="0.25">
      <c r="A154">
        <v>5603</v>
      </c>
      <c r="B154" t="s">
        <v>16</v>
      </c>
      <c r="C154" t="s">
        <v>483</v>
      </c>
      <c r="D154" t="s">
        <v>829</v>
      </c>
      <c r="E154">
        <v>4</v>
      </c>
      <c r="F154">
        <v>4</v>
      </c>
      <c r="G154">
        <v>8</v>
      </c>
    </row>
    <row r="155" spans="1:7" ht="14.25" customHeight="1" x14ac:dyDescent="0.25">
      <c r="A155">
        <v>7467</v>
      </c>
      <c r="B155" t="s">
        <v>16</v>
      </c>
      <c r="C155" t="s">
        <v>445</v>
      </c>
      <c r="D155" t="s">
        <v>842</v>
      </c>
      <c r="E155">
        <v>4</v>
      </c>
      <c r="F155">
        <v>4</v>
      </c>
      <c r="G155">
        <v>10</v>
      </c>
    </row>
    <row r="156" spans="1:7" ht="14.25" customHeight="1" x14ac:dyDescent="0.25">
      <c r="A156">
        <v>7537</v>
      </c>
      <c r="B156" t="s">
        <v>16</v>
      </c>
      <c r="C156" t="s">
        <v>469</v>
      </c>
      <c r="D156" t="s">
        <v>836</v>
      </c>
      <c r="E156">
        <v>4</v>
      </c>
      <c r="F156">
        <v>4</v>
      </c>
      <c r="G156">
        <v>9</v>
      </c>
    </row>
    <row r="157" spans="1:7" ht="14.25" customHeight="1" x14ac:dyDescent="0.25">
      <c r="A157">
        <v>5831</v>
      </c>
      <c r="B157" t="s">
        <v>16</v>
      </c>
      <c r="C157" t="s">
        <v>446</v>
      </c>
      <c r="D157" t="s">
        <v>833</v>
      </c>
      <c r="E157">
        <v>4</v>
      </c>
      <c r="F157">
        <v>4</v>
      </c>
      <c r="G157">
        <v>10</v>
      </c>
    </row>
    <row r="158" spans="1:7" ht="14.25" customHeight="1" x14ac:dyDescent="0.25">
      <c r="A158">
        <v>7240</v>
      </c>
      <c r="B158" t="s">
        <v>16</v>
      </c>
      <c r="C158" t="s">
        <v>406</v>
      </c>
      <c r="D158" t="s">
        <v>837</v>
      </c>
      <c r="E158">
        <v>4</v>
      </c>
      <c r="F158">
        <v>4</v>
      </c>
      <c r="G158">
        <v>12</v>
      </c>
    </row>
    <row r="159" spans="1:7" ht="14.25" customHeight="1" x14ac:dyDescent="0.25">
      <c r="A159">
        <v>2115</v>
      </c>
      <c r="B159" t="s">
        <v>16</v>
      </c>
      <c r="C159" t="s">
        <v>431</v>
      </c>
      <c r="D159" t="s">
        <v>841</v>
      </c>
      <c r="E159">
        <v>4</v>
      </c>
      <c r="F159">
        <v>4</v>
      </c>
      <c r="G159">
        <v>11</v>
      </c>
    </row>
    <row r="160" spans="1:7" ht="14.25" customHeight="1" x14ac:dyDescent="0.25">
      <c r="A160">
        <v>6659</v>
      </c>
      <c r="B160" t="s">
        <v>16</v>
      </c>
      <c r="C160" t="s">
        <v>407</v>
      </c>
      <c r="D160" t="s">
        <v>841</v>
      </c>
      <c r="E160">
        <v>4</v>
      </c>
      <c r="F160">
        <v>4</v>
      </c>
      <c r="G160">
        <v>12</v>
      </c>
    </row>
    <row r="161" spans="1:7" ht="14.25" customHeight="1" x14ac:dyDescent="0.25">
      <c r="A161">
        <v>5838</v>
      </c>
      <c r="B161" t="s">
        <v>16</v>
      </c>
      <c r="C161" t="s">
        <v>408</v>
      </c>
      <c r="D161" t="s">
        <v>841</v>
      </c>
      <c r="E161">
        <v>4</v>
      </c>
      <c r="F161">
        <v>4</v>
      </c>
      <c r="G161">
        <v>12</v>
      </c>
    </row>
    <row r="162" spans="1:7" ht="14.25" customHeight="1" x14ac:dyDescent="0.25">
      <c r="A162">
        <v>5307</v>
      </c>
      <c r="B162" t="s">
        <v>16</v>
      </c>
      <c r="C162" t="s">
        <v>447</v>
      </c>
      <c r="D162" t="s">
        <v>838</v>
      </c>
      <c r="E162">
        <v>4</v>
      </c>
      <c r="F162">
        <v>4</v>
      </c>
      <c r="G162">
        <v>10</v>
      </c>
    </row>
    <row r="163" spans="1:7" ht="14.25" customHeight="1" x14ac:dyDescent="0.25">
      <c r="A163">
        <v>6631</v>
      </c>
      <c r="B163" t="s">
        <v>16</v>
      </c>
      <c r="C163" t="s">
        <v>448</v>
      </c>
      <c r="D163" t="s">
        <v>824</v>
      </c>
      <c r="E163">
        <v>4</v>
      </c>
      <c r="F163">
        <v>4</v>
      </c>
      <c r="G163">
        <v>10</v>
      </c>
    </row>
    <row r="164" spans="1:7" ht="14.25" customHeight="1" x14ac:dyDescent="0.25">
      <c r="A164">
        <v>4374</v>
      </c>
      <c r="B164" t="s">
        <v>16</v>
      </c>
      <c r="C164" t="s">
        <v>449</v>
      </c>
      <c r="D164" t="s">
        <v>839</v>
      </c>
      <c r="E164">
        <v>4</v>
      </c>
      <c r="F164">
        <v>4</v>
      </c>
      <c r="G164">
        <v>10</v>
      </c>
    </row>
    <row r="165" spans="1:7" ht="14.25" customHeight="1" x14ac:dyDescent="0.25">
      <c r="A165">
        <v>5851</v>
      </c>
      <c r="B165" t="s">
        <v>16</v>
      </c>
      <c r="C165" t="s">
        <v>391</v>
      </c>
      <c r="D165" t="s">
        <v>839</v>
      </c>
      <c r="E165">
        <v>4</v>
      </c>
      <c r="F165">
        <v>4</v>
      </c>
      <c r="G165">
        <v>13</v>
      </c>
    </row>
    <row r="166" spans="1:7" ht="14.25" customHeight="1" x14ac:dyDescent="0.25">
      <c r="A166">
        <v>7526</v>
      </c>
      <c r="B166" t="s">
        <v>16</v>
      </c>
      <c r="C166" t="s">
        <v>450</v>
      </c>
      <c r="D166" t="s">
        <v>843</v>
      </c>
      <c r="E166">
        <v>4</v>
      </c>
      <c r="F166">
        <v>4</v>
      </c>
      <c r="G166">
        <v>10</v>
      </c>
    </row>
    <row r="167" spans="1:7" ht="14.25" customHeight="1" x14ac:dyDescent="0.25">
      <c r="A167">
        <v>4263</v>
      </c>
      <c r="B167" t="s">
        <v>16</v>
      </c>
      <c r="C167" t="s">
        <v>470</v>
      </c>
      <c r="D167" t="s">
        <v>835</v>
      </c>
      <c r="E167">
        <v>4</v>
      </c>
      <c r="F167">
        <v>4</v>
      </c>
      <c r="G167">
        <v>9</v>
      </c>
    </row>
    <row r="168" spans="1:7" ht="14.25" customHeight="1" x14ac:dyDescent="0.25">
      <c r="A168">
        <v>5820</v>
      </c>
      <c r="B168" t="s">
        <v>16</v>
      </c>
      <c r="C168" t="s">
        <v>451</v>
      </c>
      <c r="D168" t="s">
        <v>835</v>
      </c>
      <c r="E168">
        <v>4</v>
      </c>
      <c r="F168">
        <v>4</v>
      </c>
      <c r="G168">
        <v>10</v>
      </c>
    </row>
    <row r="169" spans="1:7" ht="14.25" customHeight="1" x14ac:dyDescent="0.25">
      <c r="A169">
        <v>5527</v>
      </c>
      <c r="B169" t="s">
        <v>16</v>
      </c>
      <c r="C169" t="s">
        <v>452</v>
      </c>
      <c r="D169" t="s">
        <v>835</v>
      </c>
      <c r="E169">
        <v>4</v>
      </c>
      <c r="F169">
        <v>4</v>
      </c>
      <c r="G169">
        <v>10</v>
      </c>
    </row>
    <row r="170" spans="1:7" ht="14.25" customHeight="1" x14ac:dyDescent="0.25">
      <c r="A170">
        <v>7312</v>
      </c>
      <c r="B170" t="s">
        <v>16</v>
      </c>
      <c r="C170" t="s">
        <v>484</v>
      </c>
      <c r="D170" t="s">
        <v>835</v>
      </c>
      <c r="E170">
        <v>4</v>
      </c>
      <c r="F170">
        <v>4</v>
      </c>
      <c r="G170">
        <v>8</v>
      </c>
    </row>
    <row r="171" spans="1:7" ht="14.25" customHeight="1" x14ac:dyDescent="0.25">
      <c r="A171">
        <v>7538</v>
      </c>
      <c r="B171" t="s">
        <v>16</v>
      </c>
      <c r="C171" t="s">
        <v>453</v>
      </c>
      <c r="D171" t="s">
        <v>840</v>
      </c>
      <c r="E171">
        <v>4</v>
      </c>
      <c r="F171">
        <v>4</v>
      </c>
      <c r="G171">
        <v>10</v>
      </c>
    </row>
    <row r="172" spans="1:7" ht="14.25" customHeight="1" x14ac:dyDescent="0.25">
      <c r="A172">
        <v>4845</v>
      </c>
      <c r="B172" t="s">
        <v>16</v>
      </c>
      <c r="C172" t="s">
        <v>409</v>
      </c>
      <c r="D172" t="s">
        <v>840</v>
      </c>
      <c r="E172">
        <v>4</v>
      </c>
      <c r="F172">
        <v>4</v>
      </c>
      <c r="G172">
        <v>12</v>
      </c>
    </row>
    <row r="173" spans="1:7" ht="14.25" customHeight="1" x14ac:dyDescent="0.25">
      <c r="A173">
        <v>5578</v>
      </c>
      <c r="B173" t="s">
        <v>16</v>
      </c>
      <c r="C173" t="s">
        <v>495</v>
      </c>
      <c r="D173" t="s">
        <v>826</v>
      </c>
      <c r="E173">
        <v>3</v>
      </c>
      <c r="F173">
        <v>3</v>
      </c>
      <c r="G173">
        <v>7</v>
      </c>
    </row>
    <row r="174" spans="1:7" ht="14.25" customHeight="1" x14ac:dyDescent="0.25">
      <c r="A174">
        <v>5498</v>
      </c>
      <c r="B174" t="s">
        <v>16</v>
      </c>
      <c r="C174" t="s">
        <v>511</v>
      </c>
      <c r="D174" t="s">
        <v>831</v>
      </c>
      <c r="E174">
        <v>3</v>
      </c>
      <c r="F174">
        <v>3</v>
      </c>
      <c r="G174">
        <v>6</v>
      </c>
    </row>
    <row r="175" spans="1:7" ht="14.25" customHeight="1" x14ac:dyDescent="0.25">
      <c r="A175">
        <v>7268</v>
      </c>
      <c r="B175" t="s">
        <v>16</v>
      </c>
      <c r="C175" t="s">
        <v>454</v>
      </c>
      <c r="D175" t="s">
        <v>832</v>
      </c>
      <c r="E175">
        <v>3</v>
      </c>
      <c r="F175">
        <v>3</v>
      </c>
      <c r="G175">
        <v>10</v>
      </c>
    </row>
    <row r="176" spans="1:7" ht="14.25" customHeight="1" x14ac:dyDescent="0.25">
      <c r="A176">
        <v>7125</v>
      </c>
      <c r="B176" t="s">
        <v>16</v>
      </c>
      <c r="C176" t="s">
        <v>496</v>
      </c>
      <c r="D176" t="s">
        <v>832</v>
      </c>
      <c r="E176">
        <v>3</v>
      </c>
      <c r="F176">
        <v>3</v>
      </c>
      <c r="G176">
        <v>7</v>
      </c>
    </row>
    <row r="177" spans="1:7" ht="14.25" customHeight="1" x14ac:dyDescent="0.25">
      <c r="A177">
        <v>4378</v>
      </c>
      <c r="B177" t="s">
        <v>16</v>
      </c>
      <c r="C177" t="s">
        <v>497</v>
      </c>
      <c r="D177" t="s">
        <v>829</v>
      </c>
      <c r="E177">
        <v>3</v>
      </c>
      <c r="F177">
        <v>3</v>
      </c>
      <c r="G177">
        <v>7</v>
      </c>
    </row>
    <row r="178" spans="1:7" ht="14.25" customHeight="1" x14ac:dyDescent="0.25">
      <c r="A178">
        <v>7175</v>
      </c>
      <c r="B178" t="s">
        <v>16</v>
      </c>
      <c r="C178" t="s">
        <v>498</v>
      </c>
      <c r="D178" t="s">
        <v>829</v>
      </c>
      <c r="E178">
        <v>3</v>
      </c>
      <c r="F178">
        <v>3</v>
      </c>
      <c r="G178">
        <v>7</v>
      </c>
    </row>
    <row r="179" spans="1:7" ht="14.25" customHeight="1" x14ac:dyDescent="0.25">
      <c r="A179">
        <v>7540</v>
      </c>
      <c r="B179" t="s">
        <v>16</v>
      </c>
      <c r="C179" t="s">
        <v>499</v>
      </c>
      <c r="D179" t="s">
        <v>842</v>
      </c>
      <c r="E179">
        <v>3</v>
      </c>
      <c r="F179">
        <v>3</v>
      </c>
      <c r="G179">
        <v>7</v>
      </c>
    </row>
    <row r="180" spans="1:7" ht="14.25" customHeight="1" x14ac:dyDescent="0.25">
      <c r="A180">
        <v>5757</v>
      </c>
      <c r="B180" t="s">
        <v>16</v>
      </c>
      <c r="C180" t="s">
        <v>485</v>
      </c>
      <c r="D180" t="s">
        <v>842</v>
      </c>
      <c r="E180">
        <v>3</v>
      </c>
      <c r="F180">
        <v>3</v>
      </c>
      <c r="G180">
        <v>8</v>
      </c>
    </row>
    <row r="181" spans="1:7" ht="14.25" customHeight="1" x14ac:dyDescent="0.25">
      <c r="A181">
        <v>7012</v>
      </c>
      <c r="B181" t="s">
        <v>16</v>
      </c>
      <c r="C181" t="s">
        <v>455</v>
      </c>
      <c r="D181" t="s">
        <v>834</v>
      </c>
      <c r="E181">
        <v>3</v>
      </c>
      <c r="F181">
        <v>3</v>
      </c>
      <c r="G181">
        <v>10</v>
      </c>
    </row>
    <row r="182" spans="1:7" ht="14.25" customHeight="1" x14ac:dyDescent="0.25">
      <c r="A182">
        <v>7131</v>
      </c>
      <c r="B182" t="s">
        <v>16</v>
      </c>
      <c r="C182" t="s">
        <v>410</v>
      </c>
      <c r="D182" t="s">
        <v>834</v>
      </c>
      <c r="E182">
        <v>3</v>
      </c>
      <c r="F182">
        <v>3</v>
      </c>
      <c r="G182">
        <v>12</v>
      </c>
    </row>
    <row r="183" spans="1:7" ht="14.25" customHeight="1" x14ac:dyDescent="0.25">
      <c r="A183">
        <v>5739</v>
      </c>
      <c r="B183" t="s">
        <v>16</v>
      </c>
      <c r="C183" t="s">
        <v>411</v>
      </c>
      <c r="D183" t="s">
        <v>828</v>
      </c>
      <c r="E183">
        <v>3</v>
      </c>
      <c r="F183">
        <v>3</v>
      </c>
      <c r="G183">
        <v>12</v>
      </c>
    </row>
    <row r="184" spans="1:7" ht="14.25" customHeight="1" x14ac:dyDescent="0.25">
      <c r="A184">
        <v>7211</v>
      </c>
      <c r="B184" t="s">
        <v>16</v>
      </c>
      <c r="C184" t="s">
        <v>486</v>
      </c>
      <c r="D184" t="s">
        <v>828</v>
      </c>
      <c r="E184">
        <v>3</v>
      </c>
      <c r="F184">
        <v>3</v>
      </c>
      <c r="G184">
        <v>8</v>
      </c>
    </row>
    <row r="185" spans="1:7" ht="14.25" customHeight="1" x14ac:dyDescent="0.25">
      <c r="A185">
        <v>5273</v>
      </c>
      <c r="B185" t="s">
        <v>16</v>
      </c>
      <c r="C185" t="s">
        <v>471</v>
      </c>
      <c r="D185" t="s">
        <v>828</v>
      </c>
      <c r="E185">
        <v>3</v>
      </c>
      <c r="F185">
        <v>3</v>
      </c>
      <c r="G185">
        <v>9</v>
      </c>
    </row>
    <row r="186" spans="1:7" ht="14.25" customHeight="1" x14ac:dyDescent="0.25">
      <c r="A186">
        <v>7238</v>
      </c>
      <c r="B186" t="s">
        <v>16</v>
      </c>
      <c r="C186" t="s">
        <v>472</v>
      </c>
      <c r="D186" t="s">
        <v>841</v>
      </c>
      <c r="E186">
        <v>3</v>
      </c>
      <c r="F186">
        <v>3</v>
      </c>
      <c r="G186">
        <v>9</v>
      </c>
    </row>
    <row r="187" spans="1:7" ht="14.25" customHeight="1" x14ac:dyDescent="0.25">
      <c r="A187">
        <v>4925</v>
      </c>
      <c r="B187" t="s">
        <v>16</v>
      </c>
      <c r="C187" t="s">
        <v>473</v>
      </c>
      <c r="D187" t="s">
        <v>841</v>
      </c>
      <c r="E187">
        <v>3</v>
      </c>
      <c r="F187">
        <v>3</v>
      </c>
      <c r="G187">
        <v>9</v>
      </c>
    </row>
    <row r="188" spans="1:7" ht="14.25" customHeight="1" x14ac:dyDescent="0.25">
      <c r="A188">
        <v>7235</v>
      </c>
      <c r="B188" t="s">
        <v>16</v>
      </c>
      <c r="C188" t="s">
        <v>487</v>
      </c>
      <c r="D188" t="s">
        <v>838</v>
      </c>
      <c r="E188">
        <v>3</v>
      </c>
      <c r="F188">
        <v>3</v>
      </c>
      <c r="G188">
        <v>8</v>
      </c>
    </row>
    <row r="189" spans="1:7" ht="14.25" customHeight="1" x14ac:dyDescent="0.25">
      <c r="A189">
        <v>7255</v>
      </c>
      <c r="B189" t="s">
        <v>16</v>
      </c>
      <c r="C189" t="s">
        <v>456</v>
      </c>
      <c r="D189" t="s">
        <v>838</v>
      </c>
      <c r="E189">
        <v>3</v>
      </c>
      <c r="F189">
        <v>3</v>
      </c>
      <c r="G189">
        <v>10</v>
      </c>
    </row>
    <row r="190" spans="1:7" ht="14.25" customHeight="1" x14ac:dyDescent="0.25">
      <c r="A190">
        <v>6985</v>
      </c>
      <c r="B190" t="s">
        <v>16</v>
      </c>
      <c r="C190" t="s">
        <v>412</v>
      </c>
      <c r="D190" t="s">
        <v>839</v>
      </c>
      <c r="E190">
        <v>3</v>
      </c>
      <c r="F190">
        <v>3</v>
      </c>
      <c r="G190">
        <v>12</v>
      </c>
    </row>
    <row r="191" spans="1:7" ht="14.25" customHeight="1" x14ac:dyDescent="0.25">
      <c r="A191">
        <v>6892</v>
      </c>
      <c r="B191" t="s">
        <v>16</v>
      </c>
      <c r="C191" t="s">
        <v>500</v>
      </c>
      <c r="D191" t="s">
        <v>840</v>
      </c>
      <c r="E191">
        <v>3</v>
      </c>
      <c r="F191">
        <v>3</v>
      </c>
      <c r="G191">
        <v>7</v>
      </c>
    </row>
    <row r="192" spans="1:7" ht="14.25" customHeight="1" x14ac:dyDescent="0.25">
      <c r="A192">
        <v>6673</v>
      </c>
      <c r="B192" t="s">
        <v>16</v>
      </c>
      <c r="C192" t="s">
        <v>501</v>
      </c>
      <c r="D192" t="s">
        <v>840</v>
      </c>
      <c r="E192">
        <v>3</v>
      </c>
      <c r="F192">
        <v>3</v>
      </c>
      <c r="G192">
        <v>7</v>
      </c>
    </row>
    <row r="193" spans="1:7" ht="14.25" customHeight="1" x14ac:dyDescent="0.25">
      <c r="A193">
        <v>6821</v>
      </c>
      <c r="B193" t="s">
        <v>16</v>
      </c>
      <c r="C193" t="s">
        <v>502</v>
      </c>
      <c r="D193" t="s">
        <v>840</v>
      </c>
      <c r="E193">
        <v>3</v>
      </c>
      <c r="F193">
        <v>3</v>
      </c>
      <c r="G193">
        <v>7</v>
      </c>
    </row>
    <row r="194" spans="1:7" ht="14.25" customHeight="1" x14ac:dyDescent="0.25">
      <c r="A194">
        <v>7326</v>
      </c>
      <c r="B194" t="s">
        <v>16</v>
      </c>
      <c r="C194" t="s">
        <v>520</v>
      </c>
      <c r="D194" t="s">
        <v>831</v>
      </c>
      <c r="E194">
        <v>2</v>
      </c>
      <c r="F194">
        <v>2</v>
      </c>
      <c r="G194">
        <v>5</v>
      </c>
    </row>
    <row r="195" spans="1:7" ht="14.25" customHeight="1" x14ac:dyDescent="0.25">
      <c r="A195">
        <v>7483</v>
      </c>
      <c r="B195" t="s">
        <v>16</v>
      </c>
      <c r="C195" t="s">
        <v>512</v>
      </c>
      <c r="D195" t="s">
        <v>831</v>
      </c>
      <c r="E195">
        <v>2</v>
      </c>
      <c r="F195">
        <v>2</v>
      </c>
      <c r="G195">
        <v>6</v>
      </c>
    </row>
    <row r="196" spans="1:7" ht="14.25" customHeight="1" x14ac:dyDescent="0.25">
      <c r="A196">
        <v>6896</v>
      </c>
      <c r="B196" t="s">
        <v>16</v>
      </c>
      <c r="C196" t="s">
        <v>521</v>
      </c>
      <c r="D196" t="s">
        <v>827</v>
      </c>
      <c r="E196">
        <v>2</v>
      </c>
      <c r="F196">
        <v>2</v>
      </c>
      <c r="G196">
        <v>5</v>
      </c>
    </row>
    <row r="197" spans="1:7" ht="14.25" customHeight="1" x14ac:dyDescent="0.25">
      <c r="A197">
        <v>6977</v>
      </c>
      <c r="B197" t="s">
        <v>16</v>
      </c>
      <c r="C197" t="s">
        <v>522</v>
      </c>
      <c r="D197" t="s">
        <v>836</v>
      </c>
      <c r="E197">
        <v>2</v>
      </c>
      <c r="F197">
        <v>2</v>
      </c>
      <c r="G197">
        <v>5</v>
      </c>
    </row>
    <row r="198" spans="1:7" ht="14.25" customHeight="1" x14ac:dyDescent="0.25">
      <c r="A198">
        <v>7413</v>
      </c>
      <c r="B198" t="s">
        <v>16</v>
      </c>
      <c r="C198" t="s">
        <v>503</v>
      </c>
      <c r="D198" t="s">
        <v>836</v>
      </c>
      <c r="E198">
        <v>2</v>
      </c>
      <c r="F198">
        <v>2</v>
      </c>
      <c r="G198">
        <v>7</v>
      </c>
    </row>
    <row r="199" spans="1:7" ht="14.25" customHeight="1" x14ac:dyDescent="0.25">
      <c r="A199">
        <v>791</v>
      </c>
      <c r="B199" t="s">
        <v>16</v>
      </c>
      <c r="C199" t="s">
        <v>523</v>
      </c>
      <c r="D199" t="s">
        <v>836</v>
      </c>
      <c r="E199">
        <v>2</v>
      </c>
      <c r="F199">
        <v>2</v>
      </c>
      <c r="G199">
        <v>5</v>
      </c>
    </row>
    <row r="200" spans="1:7" ht="14.25" customHeight="1" x14ac:dyDescent="0.25">
      <c r="A200">
        <v>2263</v>
      </c>
      <c r="B200" t="s">
        <v>16</v>
      </c>
      <c r="C200" t="s">
        <v>488</v>
      </c>
      <c r="D200" t="s">
        <v>834</v>
      </c>
      <c r="E200">
        <v>2</v>
      </c>
      <c r="F200">
        <v>2</v>
      </c>
      <c r="G200">
        <v>8</v>
      </c>
    </row>
    <row r="201" spans="1:7" ht="14.25" customHeight="1" x14ac:dyDescent="0.25">
      <c r="A201">
        <v>2728</v>
      </c>
      <c r="B201" t="s">
        <v>16</v>
      </c>
      <c r="C201" t="s">
        <v>524</v>
      </c>
      <c r="D201" t="s">
        <v>834</v>
      </c>
      <c r="E201">
        <v>2</v>
      </c>
      <c r="F201">
        <v>2</v>
      </c>
      <c r="G201">
        <v>5</v>
      </c>
    </row>
    <row r="202" spans="1:7" ht="14.25" customHeight="1" x14ac:dyDescent="0.25">
      <c r="A202">
        <v>6883</v>
      </c>
      <c r="B202" t="s">
        <v>16</v>
      </c>
      <c r="C202" t="s">
        <v>538</v>
      </c>
      <c r="D202" t="s">
        <v>837</v>
      </c>
      <c r="E202">
        <v>2</v>
      </c>
      <c r="F202">
        <v>2</v>
      </c>
      <c r="G202">
        <v>4</v>
      </c>
    </row>
    <row r="203" spans="1:7" ht="14.25" customHeight="1" x14ac:dyDescent="0.25">
      <c r="A203">
        <v>7525</v>
      </c>
      <c r="B203" t="s">
        <v>16</v>
      </c>
      <c r="C203" t="s">
        <v>539</v>
      </c>
      <c r="D203" t="s">
        <v>828</v>
      </c>
      <c r="E203">
        <v>2</v>
      </c>
      <c r="F203">
        <v>2</v>
      </c>
      <c r="G203">
        <v>4</v>
      </c>
    </row>
    <row r="204" spans="1:7" ht="14.25" customHeight="1" x14ac:dyDescent="0.25">
      <c r="A204">
        <v>6638</v>
      </c>
      <c r="B204" t="s">
        <v>16</v>
      </c>
      <c r="C204" t="s">
        <v>513</v>
      </c>
      <c r="D204" t="s">
        <v>830</v>
      </c>
      <c r="E204">
        <v>2</v>
      </c>
      <c r="F204">
        <v>2</v>
      </c>
      <c r="G204">
        <v>6</v>
      </c>
    </row>
    <row r="205" spans="1:7" ht="14.25" customHeight="1" x14ac:dyDescent="0.25">
      <c r="A205">
        <v>252</v>
      </c>
      <c r="B205" t="s">
        <v>16</v>
      </c>
      <c r="C205" t="s">
        <v>525</v>
      </c>
      <c r="D205" t="s">
        <v>843</v>
      </c>
      <c r="E205">
        <v>2</v>
      </c>
      <c r="F205">
        <v>2</v>
      </c>
      <c r="G205">
        <v>5</v>
      </c>
    </row>
    <row r="206" spans="1:7" ht="14.25" customHeight="1" x14ac:dyDescent="0.25">
      <c r="A206">
        <v>6925</v>
      </c>
      <c r="B206" t="s">
        <v>16</v>
      </c>
      <c r="C206" t="s">
        <v>526</v>
      </c>
      <c r="D206" t="s">
        <v>835</v>
      </c>
      <c r="E206">
        <v>2</v>
      </c>
      <c r="F206">
        <v>2</v>
      </c>
      <c r="G206">
        <v>5</v>
      </c>
    </row>
    <row r="207" spans="1:7" ht="14.25" customHeight="1" x14ac:dyDescent="0.25">
      <c r="A207">
        <v>5994</v>
      </c>
      <c r="B207" t="s">
        <v>16</v>
      </c>
      <c r="C207" t="s">
        <v>540</v>
      </c>
      <c r="D207" t="s">
        <v>835</v>
      </c>
      <c r="E207">
        <v>2</v>
      </c>
      <c r="F207">
        <v>2</v>
      </c>
      <c r="G207">
        <v>4</v>
      </c>
    </row>
    <row r="208" spans="1:7" ht="14.25" customHeight="1" x14ac:dyDescent="0.25">
      <c r="A208">
        <v>7478</v>
      </c>
      <c r="B208" t="s">
        <v>16</v>
      </c>
      <c r="C208" t="s">
        <v>541</v>
      </c>
      <c r="D208" t="s">
        <v>840</v>
      </c>
      <c r="E208">
        <v>2</v>
      </c>
      <c r="F208">
        <v>2</v>
      </c>
      <c r="G208">
        <v>4</v>
      </c>
    </row>
    <row r="209" spans="1:7" ht="14.25" customHeight="1" x14ac:dyDescent="0.25">
      <c r="A209">
        <v>6681</v>
      </c>
      <c r="B209" t="s">
        <v>16</v>
      </c>
      <c r="C209" t="s">
        <v>542</v>
      </c>
      <c r="D209" t="s">
        <v>840</v>
      </c>
      <c r="E209">
        <v>2</v>
      </c>
      <c r="F209">
        <v>2</v>
      </c>
      <c r="G209">
        <v>4</v>
      </c>
    </row>
    <row r="210" spans="1:7" ht="14.25" customHeight="1" x14ac:dyDescent="0.25">
      <c r="A210">
        <v>487</v>
      </c>
      <c r="B210" t="s">
        <v>16</v>
      </c>
      <c r="C210" t="s">
        <v>543</v>
      </c>
      <c r="D210" t="s">
        <v>831</v>
      </c>
      <c r="E210">
        <v>1</v>
      </c>
      <c r="F210">
        <v>1</v>
      </c>
      <c r="G210">
        <v>4</v>
      </c>
    </row>
    <row r="211" spans="1:7" ht="14.25" customHeight="1" x14ac:dyDescent="0.25">
      <c r="A211">
        <v>7346</v>
      </c>
      <c r="B211" t="s">
        <v>16</v>
      </c>
      <c r="C211" t="s">
        <v>615</v>
      </c>
      <c r="D211" t="s">
        <v>832</v>
      </c>
      <c r="E211">
        <v>1</v>
      </c>
      <c r="F211">
        <v>1</v>
      </c>
      <c r="G211">
        <v>1</v>
      </c>
    </row>
    <row r="212" spans="1:7" ht="14.25" customHeight="1" x14ac:dyDescent="0.25">
      <c r="A212">
        <v>418</v>
      </c>
      <c r="B212" t="s">
        <v>16</v>
      </c>
      <c r="C212" t="s">
        <v>616</v>
      </c>
      <c r="D212" t="s">
        <v>827</v>
      </c>
      <c r="E212">
        <v>1</v>
      </c>
      <c r="F212">
        <v>1</v>
      </c>
      <c r="G212">
        <v>1</v>
      </c>
    </row>
    <row r="213" spans="1:7" ht="14.25" customHeight="1" x14ac:dyDescent="0.25">
      <c r="A213">
        <v>7407</v>
      </c>
      <c r="B213" t="s">
        <v>16</v>
      </c>
      <c r="C213" t="s">
        <v>489</v>
      </c>
      <c r="D213" t="s">
        <v>827</v>
      </c>
      <c r="E213">
        <v>1</v>
      </c>
      <c r="F213">
        <v>1</v>
      </c>
      <c r="G213">
        <v>8</v>
      </c>
    </row>
    <row r="214" spans="1:7" ht="14.25" customHeight="1" x14ac:dyDescent="0.25">
      <c r="A214">
        <v>5424</v>
      </c>
      <c r="B214" t="s">
        <v>16</v>
      </c>
      <c r="C214" t="s">
        <v>617</v>
      </c>
      <c r="D214" t="s">
        <v>842</v>
      </c>
      <c r="E214">
        <v>1</v>
      </c>
      <c r="F214">
        <v>1</v>
      </c>
      <c r="G214">
        <v>1</v>
      </c>
    </row>
    <row r="215" spans="1:7" ht="14.25" customHeight="1" x14ac:dyDescent="0.25">
      <c r="A215">
        <v>7468</v>
      </c>
      <c r="B215" t="s">
        <v>16</v>
      </c>
      <c r="C215" t="s">
        <v>618</v>
      </c>
      <c r="D215" t="s">
        <v>842</v>
      </c>
      <c r="E215">
        <v>1</v>
      </c>
      <c r="F215">
        <v>1</v>
      </c>
      <c r="G215">
        <v>1</v>
      </c>
    </row>
    <row r="216" spans="1:7" ht="14.25" customHeight="1" x14ac:dyDescent="0.25">
      <c r="A216">
        <v>7470</v>
      </c>
      <c r="B216" t="s">
        <v>16</v>
      </c>
      <c r="C216" t="s">
        <v>558</v>
      </c>
      <c r="D216" t="s">
        <v>842</v>
      </c>
      <c r="E216">
        <v>1</v>
      </c>
      <c r="F216">
        <v>1</v>
      </c>
      <c r="G216">
        <v>3</v>
      </c>
    </row>
    <row r="217" spans="1:7" ht="14.25" customHeight="1" x14ac:dyDescent="0.25">
      <c r="A217">
        <v>7471</v>
      </c>
      <c r="B217" t="s">
        <v>16</v>
      </c>
      <c r="C217" t="s">
        <v>559</v>
      </c>
      <c r="D217" t="s">
        <v>842</v>
      </c>
      <c r="E217">
        <v>1</v>
      </c>
      <c r="F217">
        <v>1</v>
      </c>
      <c r="G217">
        <v>3</v>
      </c>
    </row>
    <row r="218" spans="1:7" ht="14.25" customHeight="1" x14ac:dyDescent="0.25">
      <c r="A218">
        <v>6245</v>
      </c>
      <c r="B218" t="s">
        <v>16</v>
      </c>
      <c r="C218" t="s">
        <v>573</v>
      </c>
      <c r="D218" t="s">
        <v>836</v>
      </c>
      <c r="E218">
        <v>1</v>
      </c>
      <c r="F218">
        <v>1</v>
      </c>
      <c r="G218">
        <v>2</v>
      </c>
    </row>
    <row r="219" spans="1:7" ht="14.25" customHeight="1" x14ac:dyDescent="0.25">
      <c r="A219">
        <v>6244</v>
      </c>
      <c r="B219" t="s">
        <v>16</v>
      </c>
      <c r="C219" t="s">
        <v>574</v>
      </c>
      <c r="D219" t="s">
        <v>836</v>
      </c>
      <c r="E219">
        <v>1</v>
      </c>
      <c r="F219">
        <v>1</v>
      </c>
      <c r="G219">
        <v>2</v>
      </c>
    </row>
    <row r="220" spans="1:7" ht="14.25" customHeight="1" x14ac:dyDescent="0.25">
      <c r="A220">
        <v>294</v>
      </c>
      <c r="B220" t="s">
        <v>16</v>
      </c>
      <c r="C220" t="s">
        <v>560</v>
      </c>
      <c r="D220" t="s">
        <v>833</v>
      </c>
      <c r="E220">
        <v>1</v>
      </c>
      <c r="F220">
        <v>1</v>
      </c>
      <c r="G220">
        <v>3</v>
      </c>
    </row>
    <row r="221" spans="1:7" ht="14.25" customHeight="1" x14ac:dyDescent="0.25">
      <c r="A221">
        <v>6039</v>
      </c>
      <c r="B221" t="s">
        <v>16</v>
      </c>
      <c r="C221" t="s">
        <v>544</v>
      </c>
      <c r="D221" t="s">
        <v>833</v>
      </c>
      <c r="E221">
        <v>1</v>
      </c>
      <c r="F221">
        <v>1</v>
      </c>
      <c r="G221">
        <v>4</v>
      </c>
    </row>
    <row r="222" spans="1:7" ht="14.25" customHeight="1" x14ac:dyDescent="0.25">
      <c r="A222">
        <v>327</v>
      </c>
      <c r="B222" t="s">
        <v>16</v>
      </c>
      <c r="C222" t="s">
        <v>545</v>
      </c>
      <c r="D222" t="s">
        <v>834</v>
      </c>
      <c r="E222">
        <v>1</v>
      </c>
      <c r="F222">
        <v>1</v>
      </c>
      <c r="G222">
        <v>4</v>
      </c>
    </row>
    <row r="223" spans="1:7" ht="14.25" customHeight="1" x14ac:dyDescent="0.25">
      <c r="A223">
        <v>7164</v>
      </c>
      <c r="B223" t="s">
        <v>16</v>
      </c>
      <c r="C223" t="s">
        <v>619</v>
      </c>
      <c r="D223" t="s">
        <v>837</v>
      </c>
      <c r="E223">
        <v>1</v>
      </c>
      <c r="F223">
        <v>1</v>
      </c>
      <c r="G223">
        <v>1</v>
      </c>
    </row>
    <row r="224" spans="1:7" ht="14.25" customHeight="1" x14ac:dyDescent="0.25">
      <c r="A224">
        <v>7182</v>
      </c>
      <c r="B224" t="s">
        <v>16</v>
      </c>
      <c r="C224" t="s">
        <v>546</v>
      </c>
      <c r="D224" t="s">
        <v>837</v>
      </c>
      <c r="E224">
        <v>1</v>
      </c>
      <c r="F224">
        <v>1</v>
      </c>
      <c r="G224">
        <v>4</v>
      </c>
    </row>
    <row r="225" spans="1:7" ht="14.25" customHeight="1" x14ac:dyDescent="0.25">
      <c r="A225">
        <v>5399</v>
      </c>
      <c r="B225" t="s">
        <v>16</v>
      </c>
      <c r="C225" t="s">
        <v>575</v>
      </c>
      <c r="D225" t="s">
        <v>841</v>
      </c>
      <c r="E225">
        <v>1</v>
      </c>
      <c r="F225">
        <v>1</v>
      </c>
      <c r="G225">
        <v>2</v>
      </c>
    </row>
    <row r="226" spans="1:7" ht="14.25" customHeight="1" x14ac:dyDescent="0.25">
      <c r="A226">
        <v>7476</v>
      </c>
      <c r="B226" t="s">
        <v>16</v>
      </c>
      <c r="C226" t="s">
        <v>547</v>
      </c>
      <c r="D226" t="s">
        <v>841</v>
      </c>
      <c r="E226">
        <v>1</v>
      </c>
      <c r="F226">
        <v>1</v>
      </c>
      <c r="G226">
        <v>4</v>
      </c>
    </row>
    <row r="227" spans="1:7" ht="14.25" customHeight="1" x14ac:dyDescent="0.25">
      <c r="A227">
        <v>6809</v>
      </c>
      <c r="B227" t="s">
        <v>16</v>
      </c>
      <c r="C227" t="s">
        <v>527</v>
      </c>
      <c r="D227" t="s">
        <v>830</v>
      </c>
      <c r="E227">
        <v>1</v>
      </c>
      <c r="F227">
        <v>1</v>
      </c>
      <c r="G227">
        <v>5</v>
      </c>
    </row>
    <row r="228" spans="1:7" ht="14.25" customHeight="1" x14ac:dyDescent="0.25">
      <c r="A228">
        <v>5481</v>
      </c>
      <c r="B228" t="s">
        <v>16</v>
      </c>
      <c r="C228" t="s">
        <v>561</v>
      </c>
      <c r="D228" t="s">
        <v>830</v>
      </c>
      <c r="E228">
        <v>1</v>
      </c>
      <c r="F228">
        <v>1</v>
      </c>
      <c r="G228">
        <v>3</v>
      </c>
    </row>
    <row r="229" spans="1:7" ht="14.25" customHeight="1" x14ac:dyDescent="0.25">
      <c r="A229">
        <v>7202</v>
      </c>
      <c r="B229" t="s">
        <v>16</v>
      </c>
      <c r="C229" t="s">
        <v>548</v>
      </c>
      <c r="D229" t="s">
        <v>838</v>
      </c>
      <c r="E229">
        <v>1</v>
      </c>
      <c r="F229">
        <v>1</v>
      </c>
      <c r="G229">
        <v>4</v>
      </c>
    </row>
    <row r="230" spans="1:7" ht="14.25" customHeight="1" x14ac:dyDescent="0.25">
      <c r="A230">
        <v>6149</v>
      </c>
      <c r="B230" t="s">
        <v>16</v>
      </c>
      <c r="C230" t="s">
        <v>562</v>
      </c>
      <c r="D230" t="s">
        <v>838</v>
      </c>
      <c r="E230">
        <v>1</v>
      </c>
      <c r="F230">
        <v>1</v>
      </c>
      <c r="G230">
        <v>3</v>
      </c>
    </row>
    <row r="231" spans="1:7" ht="14.25" customHeight="1" x14ac:dyDescent="0.25">
      <c r="A231">
        <v>7260</v>
      </c>
      <c r="B231" t="s">
        <v>16</v>
      </c>
      <c r="C231" t="s">
        <v>576</v>
      </c>
      <c r="D231" t="s">
        <v>824</v>
      </c>
      <c r="E231">
        <v>1</v>
      </c>
      <c r="F231">
        <v>1</v>
      </c>
      <c r="G231">
        <v>2</v>
      </c>
    </row>
    <row r="232" spans="1:7" ht="14.25" customHeight="1" x14ac:dyDescent="0.25">
      <c r="A232">
        <v>6189</v>
      </c>
      <c r="B232" t="s">
        <v>16</v>
      </c>
      <c r="C232" t="s">
        <v>577</v>
      </c>
      <c r="D232" t="s">
        <v>839</v>
      </c>
      <c r="E232">
        <v>1</v>
      </c>
      <c r="F232">
        <v>1</v>
      </c>
      <c r="G232">
        <v>2</v>
      </c>
    </row>
    <row r="233" spans="1:7" ht="14.25" customHeight="1" x14ac:dyDescent="0.25">
      <c r="A233">
        <v>7156</v>
      </c>
      <c r="B233" t="s">
        <v>16</v>
      </c>
      <c r="C233" t="s">
        <v>620</v>
      </c>
      <c r="D233" t="s">
        <v>839</v>
      </c>
      <c r="E233">
        <v>1</v>
      </c>
      <c r="F233">
        <v>1</v>
      </c>
      <c r="G233">
        <v>1</v>
      </c>
    </row>
    <row r="234" spans="1:7" ht="14.25" customHeight="1" x14ac:dyDescent="0.25">
      <c r="A234">
        <v>7356</v>
      </c>
      <c r="B234" t="s">
        <v>16</v>
      </c>
      <c r="C234" t="s">
        <v>563</v>
      </c>
      <c r="D234" t="s">
        <v>835</v>
      </c>
      <c r="E234">
        <v>1</v>
      </c>
      <c r="F234">
        <v>1</v>
      </c>
      <c r="G234">
        <v>3</v>
      </c>
    </row>
    <row r="235" spans="1:7" ht="14.25" customHeight="1" x14ac:dyDescent="0.25">
      <c r="A235">
        <v>6021</v>
      </c>
      <c r="B235" t="s">
        <v>16</v>
      </c>
      <c r="C235" t="s">
        <v>564</v>
      </c>
      <c r="D235" t="s">
        <v>835</v>
      </c>
      <c r="E235">
        <v>1</v>
      </c>
      <c r="F235">
        <v>1</v>
      </c>
      <c r="G235">
        <v>3</v>
      </c>
    </row>
    <row r="236" spans="1:7" ht="14.25" customHeight="1" x14ac:dyDescent="0.25">
      <c r="A236">
        <v>7454</v>
      </c>
      <c r="B236" t="s">
        <v>16</v>
      </c>
      <c r="C236" t="s">
        <v>621</v>
      </c>
      <c r="D236" t="s">
        <v>840</v>
      </c>
      <c r="E236">
        <v>1</v>
      </c>
      <c r="F236">
        <v>1</v>
      </c>
      <c r="G236">
        <v>1</v>
      </c>
    </row>
    <row r="237" spans="1:7" ht="14.25" customHeight="1" x14ac:dyDescent="0.25">
      <c r="A237">
        <v>6875</v>
      </c>
      <c r="B237" t="s">
        <v>17</v>
      </c>
      <c r="C237" t="s">
        <v>146</v>
      </c>
      <c r="D237" t="s">
        <v>827</v>
      </c>
      <c r="E237">
        <v>30</v>
      </c>
      <c r="F237">
        <v>30</v>
      </c>
      <c r="G237">
        <v>250</v>
      </c>
    </row>
    <row r="238" spans="1:7" ht="14.25" customHeight="1" x14ac:dyDescent="0.25">
      <c r="A238">
        <v>4777</v>
      </c>
      <c r="B238" t="s">
        <v>17</v>
      </c>
      <c r="C238" t="s">
        <v>147</v>
      </c>
      <c r="D238" t="s">
        <v>830</v>
      </c>
      <c r="E238">
        <v>28</v>
      </c>
      <c r="F238">
        <v>28</v>
      </c>
      <c r="G238">
        <v>240</v>
      </c>
    </row>
    <row r="239" spans="1:7" ht="14.25" customHeight="1" x14ac:dyDescent="0.25">
      <c r="A239">
        <v>2194</v>
      </c>
      <c r="B239" t="s">
        <v>17</v>
      </c>
      <c r="C239" t="s">
        <v>149</v>
      </c>
      <c r="D239" t="s">
        <v>825</v>
      </c>
      <c r="E239">
        <v>27</v>
      </c>
      <c r="F239">
        <v>27</v>
      </c>
      <c r="G239">
        <v>230</v>
      </c>
    </row>
    <row r="240" spans="1:7" ht="14.25" customHeight="1" x14ac:dyDescent="0.25">
      <c r="A240">
        <v>2167</v>
      </c>
      <c r="B240" t="s">
        <v>17</v>
      </c>
      <c r="C240" t="s">
        <v>152</v>
      </c>
      <c r="D240" t="s">
        <v>831</v>
      </c>
      <c r="E240">
        <v>26</v>
      </c>
      <c r="F240">
        <v>26</v>
      </c>
      <c r="G240">
        <v>200</v>
      </c>
    </row>
    <row r="241" spans="1:7" ht="14.25" customHeight="1" x14ac:dyDescent="0.25">
      <c r="A241">
        <v>2423</v>
      </c>
      <c r="B241" t="s">
        <v>17</v>
      </c>
      <c r="C241" t="s">
        <v>154</v>
      </c>
      <c r="D241" t="s">
        <v>828</v>
      </c>
      <c r="E241">
        <v>25</v>
      </c>
      <c r="F241">
        <v>25</v>
      </c>
      <c r="G241">
        <v>180</v>
      </c>
    </row>
    <row r="242" spans="1:7" ht="14.25" customHeight="1" x14ac:dyDescent="0.25">
      <c r="A242">
        <v>2379</v>
      </c>
      <c r="B242" t="s">
        <v>17</v>
      </c>
      <c r="C242" t="s">
        <v>156</v>
      </c>
      <c r="D242" t="s">
        <v>828</v>
      </c>
      <c r="E242">
        <v>22</v>
      </c>
      <c r="F242">
        <v>22</v>
      </c>
      <c r="G242">
        <v>128</v>
      </c>
    </row>
    <row r="243" spans="1:7" ht="14.25" customHeight="1" x14ac:dyDescent="0.25">
      <c r="A243">
        <v>7126</v>
      </c>
      <c r="B243" t="s">
        <v>17</v>
      </c>
      <c r="C243" t="s">
        <v>162</v>
      </c>
      <c r="D243" t="s">
        <v>827</v>
      </c>
      <c r="E243">
        <v>19</v>
      </c>
      <c r="F243">
        <v>19</v>
      </c>
      <c r="G243">
        <v>102</v>
      </c>
    </row>
    <row r="244" spans="1:7" ht="14.25" customHeight="1" x14ac:dyDescent="0.25">
      <c r="A244">
        <v>5559</v>
      </c>
      <c r="B244" t="s">
        <v>17</v>
      </c>
      <c r="C244" t="s">
        <v>168</v>
      </c>
      <c r="D244" t="s">
        <v>827</v>
      </c>
      <c r="E244">
        <v>18</v>
      </c>
      <c r="F244">
        <v>18</v>
      </c>
      <c r="G244">
        <v>90</v>
      </c>
    </row>
    <row r="245" spans="1:7" ht="14.25" customHeight="1" x14ac:dyDescent="0.25">
      <c r="A245">
        <v>2766</v>
      </c>
      <c r="B245" t="s">
        <v>17</v>
      </c>
      <c r="C245" t="s">
        <v>169</v>
      </c>
      <c r="D245" t="s">
        <v>835</v>
      </c>
      <c r="E245">
        <v>18</v>
      </c>
      <c r="F245">
        <v>18</v>
      </c>
      <c r="G245">
        <v>90</v>
      </c>
    </row>
    <row r="246" spans="1:7" ht="14.25" customHeight="1" x14ac:dyDescent="0.25">
      <c r="A246">
        <v>6908</v>
      </c>
      <c r="B246" t="s">
        <v>17</v>
      </c>
      <c r="C246" t="s">
        <v>171</v>
      </c>
      <c r="D246" t="s">
        <v>829</v>
      </c>
      <c r="E246">
        <v>17</v>
      </c>
      <c r="F246">
        <v>17</v>
      </c>
      <c r="G246">
        <v>87</v>
      </c>
    </row>
    <row r="247" spans="1:7" ht="14.25" customHeight="1" x14ac:dyDescent="0.25">
      <c r="A247">
        <v>1870</v>
      </c>
      <c r="B247" t="s">
        <v>17</v>
      </c>
      <c r="C247" t="s">
        <v>174</v>
      </c>
      <c r="D247" t="s">
        <v>825</v>
      </c>
      <c r="E247">
        <v>17</v>
      </c>
      <c r="F247">
        <v>17</v>
      </c>
      <c r="G247">
        <v>82</v>
      </c>
    </row>
    <row r="248" spans="1:7" ht="14.25" customHeight="1" x14ac:dyDescent="0.25">
      <c r="A248">
        <v>4973</v>
      </c>
      <c r="B248" t="s">
        <v>17</v>
      </c>
      <c r="C248" t="s">
        <v>178</v>
      </c>
      <c r="D248" t="s">
        <v>833</v>
      </c>
      <c r="E248">
        <v>17</v>
      </c>
      <c r="F248">
        <v>17</v>
      </c>
      <c r="G248">
        <v>68</v>
      </c>
    </row>
    <row r="249" spans="1:7" ht="14.25" customHeight="1" x14ac:dyDescent="0.25">
      <c r="A249">
        <v>632</v>
      </c>
      <c r="B249" t="s">
        <v>17</v>
      </c>
      <c r="C249" t="s">
        <v>166</v>
      </c>
      <c r="D249" t="s">
        <v>834</v>
      </c>
      <c r="E249">
        <v>16</v>
      </c>
      <c r="F249">
        <v>16</v>
      </c>
      <c r="G249">
        <v>91</v>
      </c>
    </row>
    <row r="250" spans="1:7" ht="14.25" customHeight="1" x14ac:dyDescent="0.25">
      <c r="A250">
        <v>2517</v>
      </c>
      <c r="B250" t="s">
        <v>17</v>
      </c>
      <c r="C250" t="s">
        <v>163</v>
      </c>
      <c r="D250" t="s">
        <v>830</v>
      </c>
      <c r="E250">
        <v>15</v>
      </c>
      <c r="F250">
        <v>15</v>
      </c>
      <c r="G250">
        <v>100</v>
      </c>
    </row>
    <row r="251" spans="1:7" ht="14.25" customHeight="1" x14ac:dyDescent="0.25">
      <c r="A251">
        <v>5687</v>
      </c>
      <c r="B251" t="s">
        <v>17</v>
      </c>
      <c r="C251" t="s">
        <v>177</v>
      </c>
      <c r="D251" t="s">
        <v>843</v>
      </c>
      <c r="E251">
        <v>14</v>
      </c>
      <c r="F251">
        <v>14</v>
      </c>
      <c r="G251">
        <v>80</v>
      </c>
    </row>
    <row r="252" spans="1:7" ht="14.25" customHeight="1" x14ac:dyDescent="0.25">
      <c r="A252">
        <v>5800</v>
      </c>
      <c r="B252" t="s">
        <v>17</v>
      </c>
      <c r="C252" t="s">
        <v>185</v>
      </c>
      <c r="D252" t="s">
        <v>829</v>
      </c>
      <c r="E252">
        <v>13</v>
      </c>
      <c r="F252">
        <v>13</v>
      </c>
      <c r="G252">
        <v>61</v>
      </c>
    </row>
    <row r="253" spans="1:7" ht="14.25" customHeight="1" x14ac:dyDescent="0.25">
      <c r="A253">
        <v>7314</v>
      </c>
      <c r="B253" t="s">
        <v>17</v>
      </c>
      <c r="C253" t="s">
        <v>181</v>
      </c>
      <c r="D253" t="s">
        <v>834</v>
      </c>
      <c r="E253">
        <v>13</v>
      </c>
      <c r="F253">
        <v>13</v>
      </c>
      <c r="G253">
        <v>64</v>
      </c>
    </row>
    <row r="254" spans="1:7" ht="14.25" customHeight="1" x14ac:dyDescent="0.25">
      <c r="A254">
        <v>5792</v>
      </c>
      <c r="B254" t="s">
        <v>17</v>
      </c>
      <c r="C254" t="s">
        <v>210</v>
      </c>
      <c r="D254" t="s">
        <v>826</v>
      </c>
      <c r="E254">
        <v>12</v>
      </c>
      <c r="F254">
        <v>12</v>
      </c>
      <c r="G254">
        <v>45</v>
      </c>
    </row>
    <row r="255" spans="1:7" ht="14.25" customHeight="1" x14ac:dyDescent="0.25">
      <c r="A255">
        <v>5119</v>
      </c>
      <c r="B255" t="s">
        <v>17</v>
      </c>
      <c r="C255" t="s">
        <v>215</v>
      </c>
      <c r="D255" t="s">
        <v>826</v>
      </c>
      <c r="E255">
        <v>12</v>
      </c>
      <c r="F255">
        <v>12</v>
      </c>
      <c r="G255">
        <v>42</v>
      </c>
    </row>
    <row r="256" spans="1:7" ht="14.25" customHeight="1" x14ac:dyDescent="0.25">
      <c r="A256">
        <v>7129</v>
      </c>
      <c r="B256" t="s">
        <v>17</v>
      </c>
      <c r="C256" t="s">
        <v>238</v>
      </c>
      <c r="D256" t="s">
        <v>827</v>
      </c>
      <c r="E256">
        <v>12</v>
      </c>
      <c r="F256">
        <v>12</v>
      </c>
      <c r="G256">
        <v>32</v>
      </c>
    </row>
    <row r="257" spans="1:7" ht="14.25" customHeight="1" x14ac:dyDescent="0.25">
      <c r="A257">
        <v>7436</v>
      </c>
      <c r="B257" t="s">
        <v>17</v>
      </c>
      <c r="C257" t="s">
        <v>189</v>
      </c>
      <c r="D257" t="s">
        <v>833</v>
      </c>
      <c r="E257">
        <v>12</v>
      </c>
      <c r="F257">
        <v>12</v>
      </c>
      <c r="G257">
        <v>57</v>
      </c>
    </row>
    <row r="258" spans="1:7" ht="14.25" customHeight="1" x14ac:dyDescent="0.25">
      <c r="A258">
        <v>6884</v>
      </c>
      <c r="B258" t="s">
        <v>17</v>
      </c>
      <c r="C258" t="s">
        <v>186</v>
      </c>
      <c r="D258" t="s">
        <v>833</v>
      </c>
      <c r="E258">
        <v>12</v>
      </c>
      <c r="F258">
        <v>12</v>
      </c>
      <c r="G258">
        <v>60</v>
      </c>
    </row>
    <row r="259" spans="1:7" ht="14.25" customHeight="1" x14ac:dyDescent="0.25">
      <c r="A259">
        <v>2606</v>
      </c>
      <c r="B259" t="s">
        <v>17</v>
      </c>
      <c r="C259" t="s">
        <v>199</v>
      </c>
      <c r="D259" t="s">
        <v>828</v>
      </c>
      <c r="E259">
        <v>12</v>
      </c>
      <c r="F259">
        <v>12</v>
      </c>
      <c r="G259">
        <v>50</v>
      </c>
    </row>
    <row r="260" spans="1:7" ht="14.25" customHeight="1" x14ac:dyDescent="0.25">
      <c r="A260">
        <v>6844</v>
      </c>
      <c r="B260" t="s">
        <v>17</v>
      </c>
      <c r="C260" t="s">
        <v>229</v>
      </c>
      <c r="D260" t="s">
        <v>831</v>
      </c>
      <c r="E260">
        <v>11</v>
      </c>
      <c r="F260">
        <v>11</v>
      </c>
      <c r="G260">
        <v>37</v>
      </c>
    </row>
    <row r="261" spans="1:7" ht="14.25" customHeight="1" x14ac:dyDescent="0.25">
      <c r="A261">
        <v>5823</v>
      </c>
      <c r="B261" t="s">
        <v>17</v>
      </c>
      <c r="C261" t="s">
        <v>247</v>
      </c>
      <c r="D261" t="s">
        <v>836</v>
      </c>
      <c r="E261">
        <v>11</v>
      </c>
      <c r="F261">
        <v>11</v>
      </c>
      <c r="G261">
        <v>30</v>
      </c>
    </row>
    <row r="262" spans="1:7" ht="14.25" customHeight="1" x14ac:dyDescent="0.25">
      <c r="A262">
        <v>4220</v>
      </c>
      <c r="B262" t="s">
        <v>17</v>
      </c>
      <c r="C262" t="s">
        <v>192</v>
      </c>
      <c r="D262" t="s">
        <v>830</v>
      </c>
      <c r="E262">
        <v>11</v>
      </c>
      <c r="F262">
        <v>11</v>
      </c>
      <c r="G262">
        <v>55</v>
      </c>
    </row>
    <row r="263" spans="1:7" ht="14.25" customHeight="1" x14ac:dyDescent="0.25">
      <c r="A263">
        <v>6151</v>
      </c>
      <c r="B263" t="s">
        <v>17</v>
      </c>
      <c r="C263" t="s">
        <v>227</v>
      </c>
      <c r="D263" t="s">
        <v>827</v>
      </c>
      <c r="E263">
        <v>10</v>
      </c>
      <c r="F263">
        <v>10</v>
      </c>
      <c r="G263">
        <v>38</v>
      </c>
    </row>
    <row r="264" spans="1:7" ht="14.25" customHeight="1" x14ac:dyDescent="0.25">
      <c r="A264">
        <v>152</v>
      </c>
      <c r="B264" t="s">
        <v>17</v>
      </c>
      <c r="C264" t="s">
        <v>217</v>
      </c>
      <c r="D264" t="s">
        <v>825</v>
      </c>
      <c r="E264">
        <v>10</v>
      </c>
      <c r="F264">
        <v>10</v>
      </c>
      <c r="G264">
        <v>41</v>
      </c>
    </row>
    <row r="265" spans="1:7" ht="14.25" customHeight="1" x14ac:dyDescent="0.25">
      <c r="A265">
        <v>5562</v>
      </c>
      <c r="B265" t="s">
        <v>17</v>
      </c>
      <c r="C265" t="s">
        <v>218</v>
      </c>
      <c r="D265" t="s">
        <v>833</v>
      </c>
      <c r="E265">
        <v>10</v>
      </c>
      <c r="F265">
        <v>10</v>
      </c>
      <c r="G265">
        <v>41</v>
      </c>
    </row>
    <row r="266" spans="1:7" ht="14.25" customHeight="1" x14ac:dyDescent="0.25">
      <c r="A266">
        <v>4892</v>
      </c>
      <c r="B266" t="s">
        <v>17</v>
      </c>
      <c r="C266" t="s">
        <v>214</v>
      </c>
      <c r="D266" t="s">
        <v>828</v>
      </c>
      <c r="E266">
        <v>10</v>
      </c>
      <c r="F266">
        <v>10</v>
      </c>
      <c r="G266">
        <v>43</v>
      </c>
    </row>
    <row r="267" spans="1:7" ht="14.25" customHeight="1" x14ac:dyDescent="0.25">
      <c r="A267">
        <v>536</v>
      </c>
      <c r="B267" t="s">
        <v>17</v>
      </c>
      <c r="C267" t="s">
        <v>205</v>
      </c>
      <c r="D267" t="s">
        <v>830</v>
      </c>
      <c r="E267">
        <v>10</v>
      </c>
      <c r="F267">
        <v>10</v>
      </c>
      <c r="G267">
        <v>47</v>
      </c>
    </row>
    <row r="268" spans="1:7" ht="14.25" customHeight="1" x14ac:dyDescent="0.25">
      <c r="A268">
        <v>5589</v>
      </c>
      <c r="B268" t="s">
        <v>17</v>
      </c>
      <c r="C268" t="s">
        <v>216</v>
      </c>
      <c r="D268" t="s">
        <v>824</v>
      </c>
      <c r="E268">
        <v>10</v>
      </c>
      <c r="F268">
        <v>10</v>
      </c>
      <c r="G268">
        <v>42</v>
      </c>
    </row>
    <row r="269" spans="1:7" ht="14.25" customHeight="1" x14ac:dyDescent="0.25">
      <c r="A269">
        <v>5844</v>
      </c>
      <c r="B269" t="s">
        <v>17</v>
      </c>
      <c r="C269" t="s">
        <v>219</v>
      </c>
      <c r="D269" t="s">
        <v>839</v>
      </c>
      <c r="E269">
        <v>10</v>
      </c>
      <c r="F269">
        <v>10</v>
      </c>
      <c r="G269">
        <v>41</v>
      </c>
    </row>
    <row r="270" spans="1:7" ht="14.25" customHeight="1" x14ac:dyDescent="0.25">
      <c r="A270">
        <v>5888</v>
      </c>
      <c r="B270" t="s">
        <v>17</v>
      </c>
      <c r="C270" t="s">
        <v>230</v>
      </c>
      <c r="D270" t="s">
        <v>843</v>
      </c>
      <c r="E270">
        <v>10</v>
      </c>
      <c r="F270">
        <v>10</v>
      </c>
      <c r="G270">
        <v>37</v>
      </c>
    </row>
    <row r="271" spans="1:7" ht="14.25" customHeight="1" x14ac:dyDescent="0.25">
      <c r="A271">
        <v>6684</v>
      </c>
      <c r="B271" t="s">
        <v>17</v>
      </c>
      <c r="C271" t="s">
        <v>220</v>
      </c>
      <c r="D271" t="s">
        <v>835</v>
      </c>
      <c r="E271">
        <v>10</v>
      </c>
      <c r="F271">
        <v>10</v>
      </c>
      <c r="G271">
        <v>41</v>
      </c>
    </row>
    <row r="272" spans="1:7" ht="14.25" customHeight="1" x14ac:dyDescent="0.25">
      <c r="A272">
        <v>2077</v>
      </c>
      <c r="B272" t="s">
        <v>17</v>
      </c>
      <c r="C272" t="s">
        <v>239</v>
      </c>
      <c r="D272" t="s">
        <v>826</v>
      </c>
      <c r="E272">
        <v>9</v>
      </c>
      <c r="F272">
        <v>9</v>
      </c>
      <c r="G272">
        <v>32</v>
      </c>
    </row>
    <row r="273" spans="1:7" ht="14.25" customHeight="1" x14ac:dyDescent="0.25">
      <c r="A273">
        <v>184</v>
      </c>
      <c r="B273" t="s">
        <v>17</v>
      </c>
      <c r="C273" t="s">
        <v>294</v>
      </c>
      <c r="D273" t="s">
        <v>831</v>
      </c>
      <c r="E273">
        <v>9</v>
      </c>
      <c r="F273">
        <v>9</v>
      </c>
      <c r="G273">
        <v>21</v>
      </c>
    </row>
    <row r="274" spans="1:7" ht="14.25" customHeight="1" x14ac:dyDescent="0.25">
      <c r="A274">
        <v>1933</v>
      </c>
      <c r="B274" t="s">
        <v>17</v>
      </c>
      <c r="C274" t="s">
        <v>252</v>
      </c>
      <c r="D274" t="s">
        <v>829</v>
      </c>
      <c r="E274">
        <v>9</v>
      </c>
      <c r="F274">
        <v>9</v>
      </c>
      <c r="G274">
        <v>28</v>
      </c>
    </row>
    <row r="275" spans="1:7" ht="14.25" customHeight="1" x14ac:dyDescent="0.25">
      <c r="A275">
        <v>5500</v>
      </c>
      <c r="B275" t="s">
        <v>17</v>
      </c>
      <c r="C275" t="s">
        <v>253</v>
      </c>
      <c r="D275" t="s">
        <v>834</v>
      </c>
      <c r="E275">
        <v>9</v>
      </c>
      <c r="F275">
        <v>9</v>
      </c>
      <c r="G275">
        <v>28</v>
      </c>
    </row>
    <row r="276" spans="1:7" ht="14.25" customHeight="1" x14ac:dyDescent="0.25">
      <c r="A276">
        <v>6398</v>
      </c>
      <c r="B276" t="s">
        <v>17</v>
      </c>
      <c r="C276" t="s">
        <v>264</v>
      </c>
      <c r="D276" t="s">
        <v>834</v>
      </c>
      <c r="E276">
        <v>9</v>
      </c>
      <c r="F276">
        <v>9</v>
      </c>
      <c r="G276">
        <v>25</v>
      </c>
    </row>
    <row r="277" spans="1:7" ht="14.25" customHeight="1" x14ac:dyDescent="0.25">
      <c r="A277">
        <v>6717</v>
      </c>
      <c r="B277" t="s">
        <v>17</v>
      </c>
      <c r="C277" t="s">
        <v>302</v>
      </c>
      <c r="D277" t="s">
        <v>839</v>
      </c>
      <c r="E277">
        <v>9</v>
      </c>
      <c r="F277">
        <v>9</v>
      </c>
      <c r="G277">
        <v>20</v>
      </c>
    </row>
    <row r="278" spans="1:7" ht="14.25" customHeight="1" x14ac:dyDescent="0.25">
      <c r="A278">
        <v>2765</v>
      </c>
      <c r="B278" t="s">
        <v>17</v>
      </c>
      <c r="C278" t="s">
        <v>289</v>
      </c>
      <c r="D278" t="s">
        <v>831</v>
      </c>
      <c r="E278">
        <v>8</v>
      </c>
      <c r="F278">
        <v>8</v>
      </c>
      <c r="G278">
        <v>22</v>
      </c>
    </row>
    <row r="279" spans="1:7" ht="14.25" customHeight="1" x14ac:dyDescent="0.25">
      <c r="A279">
        <v>4436</v>
      </c>
      <c r="B279" t="s">
        <v>17</v>
      </c>
      <c r="C279" t="s">
        <v>265</v>
      </c>
      <c r="D279" t="s">
        <v>831</v>
      </c>
      <c r="E279">
        <v>8</v>
      </c>
      <c r="F279">
        <v>8</v>
      </c>
      <c r="G279">
        <v>25</v>
      </c>
    </row>
    <row r="280" spans="1:7" ht="14.25" customHeight="1" x14ac:dyDescent="0.25">
      <c r="A280">
        <v>4465</v>
      </c>
      <c r="B280" t="s">
        <v>17</v>
      </c>
      <c r="C280" t="s">
        <v>282</v>
      </c>
      <c r="D280" t="s">
        <v>829</v>
      </c>
      <c r="E280">
        <v>8</v>
      </c>
      <c r="F280">
        <v>8</v>
      </c>
      <c r="G280">
        <v>23</v>
      </c>
    </row>
    <row r="281" spans="1:7" ht="14.25" customHeight="1" x14ac:dyDescent="0.25">
      <c r="A281">
        <v>6294</v>
      </c>
      <c r="B281" t="s">
        <v>17</v>
      </c>
      <c r="C281" t="s">
        <v>266</v>
      </c>
      <c r="D281" t="s">
        <v>829</v>
      </c>
      <c r="E281">
        <v>8</v>
      </c>
      <c r="F281">
        <v>8</v>
      </c>
      <c r="G281">
        <v>25</v>
      </c>
    </row>
    <row r="282" spans="1:7" ht="14.25" customHeight="1" x14ac:dyDescent="0.25">
      <c r="A282">
        <v>6274</v>
      </c>
      <c r="B282" t="s">
        <v>17</v>
      </c>
      <c r="C282" t="s">
        <v>231</v>
      </c>
      <c r="D282" t="s">
        <v>825</v>
      </c>
      <c r="E282">
        <v>8</v>
      </c>
      <c r="F282">
        <v>8</v>
      </c>
      <c r="G282">
        <v>37</v>
      </c>
    </row>
    <row r="283" spans="1:7" ht="14.25" customHeight="1" x14ac:dyDescent="0.25">
      <c r="A283">
        <v>7070</v>
      </c>
      <c r="B283" t="s">
        <v>17</v>
      </c>
      <c r="C283" t="s">
        <v>261</v>
      </c>
      <c r="D283" t="s">
        <v>825</v>
      </c>
      <c r="E283">
        <v>8</v>
      </c>
      <c r="F283">
        <v>8</v>
      </c>
      <c r="G283">
        <v>26</v>
      </c>
    </row>
    <row r="284" spans="1:7" ht="14.25" customHeight="1" x14ac:dyDescent="0.25">
      <c r="A284">
        <v>827</v>
      </c>
      <c r="B284" t="s">
        <v>17</v>
      </c>
      <c r="C284" t="s">
        <v>240</v>
      </c>
      <c r="D284" t="s">
        <v>833</v>
      </c>
      <c r="E284">
        <v>8</v>
      </c>
      <c r="F284">
        <v>8</v>
      </c>
      <c r="G284">
        <v>32</v>
      </c>
    </row>
    <row r="285" spans="1:7" ht="14.25" customHeight="1" x14ac:dyDescent="0.25">
      <c r="A285">
        <v>5878</v>
      </c>
      <c r="B285" t="s">
        <v>17</v>
      </c>
      <c r="C285" t="s">
        <v>267</v>
      </c>
      <c r="D285" t="s">
        <v>841</v>
      </c>
      <c r="E285">
        <v>8</v>
      </c>
      <c r="F285">
        <v>8</v>
      </c>
      <c r="G285">
        <v>25</v>
      </c>
    </row>
    <row r="286" spans="1:7" ht="14.25" customHeight="1" x14ac:dyDescent="0.25">
      <c r="A286">
        <v>7223</v>
      </c>
      <c r="B286" t="s">
        <v>17</v>
      </c>
      <c r="C286" t="s">
        <v>233</v>
      </c>
      <c r="D286" t="s">
        <v>830</v>
      </c>
      <c r="E286">
        <v>8</v>
      </c>
      <c r="F286">
        <v>8</v>
      </c>
      <c r="G286">
        <v>34</v>
      </c>
    </row>
    <row r="287" spans="1:7" ht="14.25" customHeight="1" x14ac:dyDescent="0.25">
      <c r="A287">
        <v>779</v>
      </c>
      <c r="B287" t="s">
        <v>17</v>
      </c>
      <c r="C287" t="s">
        <v>250</v>
      </c>
      <c r="D287" t="s">
        <v>824</v>
      </c>
      <c r="E287">
        <v>8</v>
      </c>
      <c r="F287">
        <v>8</v>
      </c>
      <c r="G287">
        <v>29</v>
      </c>
    </row>
    <row r="288" spans="1:7" ht="14.25" customHeight="1" x14ac:dyDescent="0.25">
      <c r="A288">
        <v>4364</v>
      </c>
      <c r="B288" t="s">
        <v>17</v>
      </c>
      <c r="C288" t="s">
        <v>276</v>
      </c>
      <c r="D288" t="s">
        <v>826</v>
      </c>
      <c r="E288">
        <v>7</v>
      </c>
      <c r="F288">
        <v>7</v>
      </c>
      <c r="G288">
        <v>24</v>
      </c>
    </row>
    <row r="289" spans="1:7" ht="14.25" customHeight="1" x14ac:dyDescent="0.25">
      <c r="A289">
        <v>5858</v>
      </c>
      <c r="B289" t="s">
        <v>17</v>
      </c>
      <c r="C289" t="s">
        <v>328</v>
      </c>
      <c r="D289" t="s">
        <v>831</v>
      </c>
      <c r="E289">
        <v>7</v>
      </c>
      <c r="F289">
        <v>7</v>
      </c>
      <c r="G289">
        <v>18</v>
      </c>
    </row>
    <row r="290" spans="1:7" ht="14.25" customHeight="1" x14ac:dyDescent="0.25">
      <c r="A290">
        <v>6010</v>
      </c>
      <c r="B290" t="s">
        <v>17</v>
      </c>
      <c r="C290" t="s">
        <v>313</v>
      </c>
      <c r="D290" t="s">
        <v>832</v>
      </c>
      <c r="E290">
        <v>7</v>
      </c>
      <c r="F290">
        <v>7</v>
      </c>
      <c r="G290">
        <v>19</v>
      </c>
    </row>
    <row r="291" spans="1:7" ht="14.25" customHeight="1" x14ac:dyDescent="0.25">
      <c r="A291">
        <v>7472</v>
      </c>
      <c r="B291" t="s">
        <v>17</v>
      </c>
      <c r="C291" t="s">
        <v>268</v>
      </c>
      <c r="D291" t="s">
        <v>842</v>
      </c>
      <c r="E291">
        <v>7</v>
      </c>
      <c r="F291">
        <v>7</v>
      </c>
      <c r="G291">
        <v>25</v>
      </c>
    </row>
    <row r="292" spans="1:7" ht="14.25" customHeight="1" x14ac:dyDescent="0.25">
      <c r="A292">
        <v>5791</v>
      </c>
      <c r="B292" t="s">
        <v>17</v>
      </c>
      <c r="C292" t="s">
        <v>314</v>
      </c>
      <c r="D292" t="s">
        <v>836</v>
      </c>
      <c r="E292">
        <v>7</v>
      </c>
      <c r="F292">
        <v>7</v>
      </c>
      <c r="G292">
        <v>19</v>
      </c>
    </row>
    <row r="293" spans="1:7" ht="14.25" customHeight="1" x14ac:dyDescent="0.25">
      <c r="A293">
        <v>2848</v>
      </c>
      <c r="B293" t="s">
        <v>17</v>
      </c>
      <c r="C293" t="s">
        <v>392</v>
      </c>
      <c r="D293" t="s">
        <v>825</v>
      </c>
      <c r="E293">
        <v>7</v>
      </c>
      <c r="F293">
        <v>7</v>
      </c>
      <c r="G293">
        <v>13</v>
      </c>
    </row>
    <row r="294" spans="1:7" ht="14.25" customHeight="1" x14ac:dyDescent="0.25">
      <c r="A294">
        <v>2741</v>
      </c>
      <c r="B294" t="s">
        <v>17</v>
      </c>
      <c r="C294" t="s">
        <v>303</v>
      </c>
      <c r="D294" t="s">
        <v>841</v>
      </c>
      <c r="E294">
        <v>7</v>
      </c>
      <c r="F294">
        <v>7</v>
      </c>
      <c r="G294">
        <v>20</v>
      </c>
    </row>
    <row r="295" spans="1:7" ht="14.25" customHeight="1" x14ac:dyDescent="0.25">
      <c r="A295">
        <v>4287</v>
      </c>
      <c r="B295" t="s">
        <v>17</v>
      </c>
      <c r="C295" t="s">
        <v>304</v>
      </c>
      <c r="D295" t="s">
        <v>830</v>
      </c>
      <c r="E295">
        <v>7</v>
      </c>
      <c r="F295">
        <v>7</v>
      </c>
      <c r="G295">
        <v>20</v>
      </c>
    </row>
    <row r="296" spans="1:7" ht="14.25" customHeight="1" x14ac:dyDescent="0.25">
      <c r="A296">
        <v>6666</v>
      </c>
      <c r="B296" t="s">
        <v>17</v>
      </c>
      <c r="C296" t="s">
        <v>232</v>
      </c>
      <c r="D296" t="s">
        <v>838</v>
      </c>
      <c r="E296">
        <v>7</v>
      </c>
      <c r="F296">
        <v>7</v>
      </c>
      <c r="G296">
        <v>36</v>
      </c>
    </row>
    <row r="297" spans="1:7" ht="14.25" customHeight="1" x14ac:dyDescent="0.25">
      <c r="A297">
        <v>5735</v>
      </c>
      <c r="B297" t="s">
        <v>17</v>
      </c>
      <c r="C297" t="s">
        <v>283</v>
      </c>
      <c r="D297" t="s">
        <v>839</v>
      </c>
      <c r="E297">
        <v>7</v>
      </c>
      <c r="F297">
        <v>7</v>
      </c>
      <c r="G297">
        <v>23</v>
      </c>
    </row>
    <row r="298" spans="1:7" ht="14.25" customHeight="1" x14ac:dyDescent="0.25">
      <c r="A298">
        <v>6218</v>
      </c>
      <c r="B298" t="s">
        <v>17</v>
      </c>
      <c r="C298" t="s">
        <v>259</v>
      </c>
      <c r="D298" t="s">
        <v>843</v>
      </c>
      <c r="E298">
        <v>7</v>
      </c>
      <c r="F298">
        <v>7</v>
      </c>
      <c r="G298">
        <v>27</v>
      </c>
    </row>
    <row r="299" spans="1:7" ht="14.25" customHeight="1" x14ac:dyDescent="0.25">
      <c r="A299">
        <v>6783</v>
      </c>
      <c r="B299" t="s">
        <v>17</v>
      </c>
      <c r="C299" t="s">
        <v>284</v>
      </c>
      <c r="D299" t="s">
        <v>835</v>
      </c>
      <c r="E299">
        <v>7</v>
      </c>
      <c r="F299">
        <v>7</v>
      </c>
      <c r="G299">
        <v>23</v>
      </c>
    </row>
    <row r="300" spans="1:7" ht="14.25" customHeight="1" x14ac:dyDescent="0.25">
      <c r="A300">
        <v>5422</v>
      </c>
      <c r="B300" t="s">
        <v>17</v>
      </c>
      <c r="C300" t="s">
        <v>295</v>
      </c>
      <c r="D300" t="s">
        <v>826</v>
      </c>
      <c r="E300">
        <v>6</v>
      </c>
      <c r="F300">
        <v>6</v>
      </c>
      <c r="G300">
        <v>21</v>
      </c>
    </row>
    <row r="301" spans="1:7" ht="14.25" customHeight="1" x14ac:dyDescent="0.25">
      <c r="A301">
        <v>5298</v>
      </c>
      <c r="B301" t="s">
        <v>17</v>
      </c>
      <c r="C301" t="s">
        <v>368</v>
      </c>
      <c r="D301" t="s">
        <v>831</v>
      </c>
      <c r="E301">
        <v>6</v>
      </c>
      <c r="F301">
        <v>6</v>
      </c>
      <c r="G301">
        <v>14</v>
      </c>
    </row>
    <row r="302" spans="1:7" ht="14.25" customHeight="1" x14ac:dyDescent="0.25">
      <c r="A302">
        <v>4870</v>
      </c>
      <c r="B302" t="s">
        <v>17</v>
      </c>
      <c r="C302" t="s">
        <v>393</v>
      </c>
      <c r="D302" t="s">
        <v>832</v>
      </c>
      <c r="E302">
        <v>6</v>
      </c>
      <c r="F302">
        <v>6</v>
      </c>
      <c r="G302">
        <v>13</v>
      </c>
    </row>
    <row r="303" spans="1:7" ht="14.25" customHeight="1" x14ac:dyDescent="0.25">
      <c r="A303">
        <v>4260</v>
      </c>
      <c r="B303" t="s">
        <v>17</v>
      </c>
      <c r="C303" t="s">
        <v>369</v>
      </c>
      <c r="D303" t="s">
        <v>832</v>
      </c>
      <c r="E303">
        <v>6</v>
      </c>
      <c r="F303">
        <v>6</v>
      </c>
      <c r="G303">
        <v>14</v>
      </c>
    </row>
    <row r="304" spans="1:7" ht="14.25" customHeight="1" x14ac:dyDescent="0.25">
      <c r="A304">
        <v>5036</v>
      </c>
      <c r="B304" t="s">
        <v>17</v>
      </c>
      <c r="C304" t="s">
        <v>305</v>
      </c>
      <c r="D304" t="s">
        <v>827</v>
      </c>
      <c r="E304">
        <v>6</v>
      </c>
      <c r="F304">
        <v>6</v>
      </c>
      <c r="G304">
        <v>20</v>
      </c>
    </row>
    <row r="305" spans="1:7" ht="14.25" customHeight="1" x14ac:dyDescent="0.25">
      <c r="A305">
        <v>6678</v>
      </c>
      <c r="B305" t="s">
        <v>17</v>
      </c>
      <c r="C305" t="s">
        <v>290</v>
      </c>
      <c r="D305" t="s">
        <v>827</v>
      </c>
      <c r="E305">
        <v>6</v>
      </c>
      <c r="F305">
        <v>6</v>
      </c>
      <c r="G305">
        <v>22</v>
      </c>
    </row>
    <row r="306" spans="1:7" ht="14.25" customHeight="1" x14ac:dyDescent="0.25">
      <c r="A306">
        <v>7464</v>
      </c>
      <c r="B306" t="s">
        <v>17</v>
      </c>
      <c r="C306" t="s">
        <v>306</v>
      </c>
      <c r="D306" t="s">
        <v>829</v>
      </c>
      <c r="E306">
        <v>6</v>
      </c>
      <c r="F306">
        <v>6</v>
      </c>
      <c r="G306">
        <v>20</v>
      </c>
    </row>
    <row r="307" spans="1:7" ht="14.25" customHeight="1" x14ac:dyDescent="0.25">
      <c r="A307">
        <v>6020</v>
      </c>
      <c r="B307" t="s">
        <v>17</v>
      </c>
      <c r="C307" t="s">
        <v>329</v>
      </c>
      <c r="D307" t="s">
        <v>836</v>
      </c>
      <c r="E307">
        <v>6</v>
      </c>
      <c r="F307">
        <v>6</v>
      </c>
      <c r="G307">
        <v>18</v>
      </c>
    </row>
    <row r="308" spans="1:7" ht="14.25" customHeight="1" x14ac:dyDescent="0.25">
      <c r="A308">
        <v>5761</v>
      </c>
      <c r="B308" t="s">
        <v>17</v>
      </c>
      <c r="C308" t="s">
        <v>330</v>
      </c>
      <c r="D308" t="s">
        <v>833</v>
      </c>
      <c r="E308">
        <v>6</v>
      </c>
      <c r="F308">
        <v>6</v>
      </c>
      <c r="G308">
        <v>18</v>
      </c>
    </row>
    <row r="309" spans="1:7" ht="14.25" customHeight="1" x14ac:dyDescent="0.25">
      <c r="A309">
        <v>4459</v>
      </c>
      <c r="B309" t="s">
        <v>17</v>
      </c>
      <c r="C309" t="s">
        <v>349</v>
      </c>
      <c r="D309" t="s">
        <v>834</v>
      </c>
      <c r="E309">
        <v>6</v>
      </c>
      <c r="F309">
        <v>6</v>
      </c>
      <c r="G309">
        <v>16</v>
      </c>
    </row>
    <row r="310" spans="1:7" ht="14.25" customHeight="1" x14ac:dyDescent="0.25">
      <c r="A310">
        <v>5504</v>
      </c>
      <c r="B310" t="s">
        <v>17</v>
      </c>
      <c r="C310" t="s">
        <v>370</v>
      </c>
      <c r="D310" t="s">
        <v>837</v>
      </c>
      <c r="E310">
        <v>6</v>
      </c>
      <c r="F310">
        <v>6</v>
      </c>
      <c r="G310">
        <v>14</v>
      </c>
    </row>
    <row r="311" spans="1:7" ht="14.25" customHeight="1" x14ac:dyDescent="0.25">
      <c r="A311">
        <v>6549</v>
      </c>
      <c r="B311" t="s">
        <v>17</v>
      </c>
      <c r="C311" t="s">
        <v>315</v>
      </c>
      <c r="D311" t="s">
        <v>837</v>
      </c>
      <c r="E311">
        <v>6</v>
      </c>
      <c r="F311">
        <v>6</v>
      </c>
      <c r="G311">
        <v>19</v>
      </c>
    </row>
    <row r="312" spans="1:7" ht="14.25" customHeight="1" x14ac:dyDescent="0.25">
      <c r="A312">
        <v>4856</v>
      </c>
      <c r="B312" t="s">
        <v>17</v>
      </c>
      <c r="C312" t="s">
        <v>432</v>
      </c>
      <c r="D312" t="s">
        <v>828</v>
      </c>
      <c r="E312">
        <v>6</v>
      </c>
      <c r="F312">
        <v>6</v>
      </c>
      <c r="G312">
        <v>11</v>
      </c>
    </row>
    <row r="313" spans="1:7" ht="14.25" customHeight="1" x14ac:dyDescent="0.25">
      <c r="A313">
        <v>6593</v>
      </c>
      <c r="B313" t="s">
        <v>17</v>
      </c>
      <c r="C313" t="s">
        <v>350</v>
      </c>
      <c r="D313" t="s">
        <v>841</v>
      </c>
      <c r="E313">
        <v>6</v>
      </c>
      <c r="F313">
        <v>6</v>
      </c>
      <c r="G313">
        <v>16</v>
      </c>
    </row>
    <row r="314" spans="1:7" ht="14.25" customHeight="1" x14ac:dyDescent="0.25">
      <c r="A314">
        <v>4349</v>
      </c>
      <c r="B314" t="s">
        <v>17</v>
      </c>
      <c r="C314" t="s">
        <v>331</v>
      </c>
      <c r="D314" t="s">
        <v>838</v>
      </c>
      <c r="E314">
        <v>6</v>
      </c>
      <c r="F314">
        <v>6</v>
      </c>
      <c r="G314">
        <v>18</v>
      </c>
    </row>
    <row r="315" spans="1:7" ht="14.25" customHeight="1" x14ac:dyDescent="0.25">
      <c r="A315">
        <v>6680</v>
      </c>
      <c r="B315" t="s">
        <v>17</v>
      </c>
      <c r="C315" t="s">
        <v>307</v>
      </c>
      <c r="D315" t="s">
        <v>835</v>
      </c>
      <c r="E315">
        <v>6</v>
      </c>
      <c r="F315">
        <v>6</v>
      </c>
      <c r="G315">
        <v>20</v>
      </c>
    </row>
    <row r="316" spans="1:7" ht="14.25" customHeight="1" x14ac:dyDescent="0.25">
      <c r="A316">
        <v>5674</v>
      </c>
      <c r="B316" t="s">
        <v>17</v>
      </c>
      <c r="C316" t="s">
        <v>316</v>
      </c>
      <c r="D316" t="s">
        <v>840</v>
      </c>
      <c r="E316">
        <v>6</v>
      </c>
      <c r="F316">
        <v>6</v>
      </c>
      <c r="G316">
        <v>19</v>
      </c>
    </row>
    <row r="317" spans="1:7" ht="14.25" customHeight="1" x14ac:dyDescent="0.25">
      <c r="A317">
        <v>7528</v>
      </c>
      <c r="B317" t="s">
        <v>17</v>
      </c>
      <c r="C317" t="s">
        <v>413</v>
      </c>
      <c r="D317" t="s">
        <v>831</v>
      </c>
      <c r="E317">
        <v>5</v>
      </c>
      <c r="F317">
        <v>5</v>
      </c>
      <c r="G317">
        <v>12</v>
      </c>
    </row>
    <row r="318" spans="1:7" ht="14.25" customHeight="1" x14ac:dyDescent="0.25">
      <c r="A318">
        <v>7311</v>
      </c>
      <c r="B318" t="s">
        <v>17</v>
      </c>
      <c r="C318" t="s">
        <v>414</v>
      </c>
      <c r="D318" t="s">
        <v>832</v>
      </c>
      <c r="E318">
        <v>5</v>
      </c>
      <c r="F318">
        <v>5</v>
      </c>
      <c r="G318">
        <v>12</v>
      </c>
    </row>
    <row r="319" spans="1:7" ht="14.25" customHeight="1" x14ac:dyDescent="0.25">
      <c r="A319">
        <v>6640</v>
      </c>
      <c r="B319" t="s">
        <v>17</v>
      </c>
      <c r="C319" t="s">
        <v>457</v>
      </c>
      <c r="D319" t="s">
        <v>832</v>
      </c>
      <c r="E319">
        <v>5</v>
      </c>
      <c r="F319">
        <v>5</v>
      </c>
      <c r="G319">
        <v>10</v>
      </c>
    </row>
    <row r="320" spans="1:7" ht="14.25" customHeight="1" x14ac:dyDescent="0.25">
      <c r="A320">
        <v>7412</v>
      </c>
      <c r="B320" t="s">
        <v>17</v>
      </c>
      <c r="C320" t="s">
        <v>371</v>
      </c>
      <c r="D320" t="s">
        <v>827</v>
      </c>
      <c r="E320">
        <v>5</v>
      </c>
      <c r="F320">
        <v>5</v>
      </c>
      <c r="G320">
        <v>14</v>
      </c>
    </row>
    <row r="321" spans="1:7" ht="14.25" customHeight="1" x14ac:dyDescent="0.25">
      <c r="A321">
        <v>7127</v>
      </c>
      <c r="B321" t="s">
        <v>17</v>
      </c>
      <c r="C321" t="s">
        <v>458</v>
      </c>
      <c r="D321" t="s">
        <v>827</v>
      </c>
      <c r="E321">
        <v>5</v>
      </c>
      <c r="F321">
        <v>5</v>
      </c>
      <c r="G321">
        <v>10</v>
      </c>
    </row>
    <row r="322" spans="1:7" ht="14.25" customHeight="1" x14ac:dyDescent="0.25">
      <c r="A322">
        <v>5998</v>
      </c>
      <c r="B322" t="s">
        <v>17</v>
      </c>
      <c r="C322" t="s">
        <v>394</v>
      </c>
      <c r="D322" t="s">
        <v>842</v>
      </c>
      <c r="E322">
        <v>5</v>
      </c>
      <c r="F322">
        <v>5</v>
      </c>
      <c r="G322">
        <v>13</v>
      </c>
    </row>
    <row r="323" spans="1:7" ht="14.25" customHeight="1" x14ac:dyDescent="0.25">
      <c r="A323">
        <v>7409</v>
      </c>
      <c r="B323" t="s">
        <v>17</v>
      </c>
      <c r="C323" t="s">
        <v>372</v>
      </c>
      <c r="D323" t="s">
        <v>836</v>
      </c>
      <c r="E323">
        <v>5</v>
      </c>
      <c r="F323">
        <v>5</v>
      </c>
      <c r="G323">
        <v>14</v>
      </c>
    </row>
    <row r="324" spans="1:7" ht="14.25" customHeight="1" x14ac:dyDescent="0.25">
      <c r="A324">
        <v>2857</v>
      </c>
      <c r="B324" t="s">
        <v>17</v>
      </c>
      <c r="C324" t="s">
        <v>433</v>
      </c>
      <c r="D324" t="s">
        <v>836</v>
      </c>
      <c r="E324">
        <v>5</v>
      </c>
      <c r="F324">
        <v>5</v>
      </c>
      <c r="G324">
        <v>11</v>
      </c>
    </row>
    <row r="325" spans="1:7" ht="14.25" customHeight="1" x14ac:dyDescent="0.25">
      <c r="A325">
        <v>2529</v>
      </c>
      <c r="B325" t="s">
        <v>17</v>
      </c>
      <c r="C325" t="s">
        <v>317</v>
      </c>
      <c r="D325" t="s">
        <v>825</v>
      </c>
      <c r="E325">
        <v>5</v>
      </c>
      <c r="F325">
        <v>5</v>
      </c>
      <c r="G325">
        <v>19</v>
      </c>
    </row>
    <row r="326" spans="1:7" ht="14.25" customHeight="1" x14ac:dyDescent="0.25">
      <c r="A326">
        <v>5685</v>
      </c>
      <c r="B326" t="s">
        <v>17</v>
      </c>
      <c r="C326" t="s">
        <v>373</v>
      </c>
      <c r="D326" t="s">
        <v>833</v>
      </c>
      <c r="E326">
        <v>5</v>
      </c>
      <c r="F326">
        <v>5</v>
      </c>
      <c r="G326">
        <v>14</v>
      </c>
    </row>
    <row r="327" spans="1:7" ht="14.25" customHeight="1" x14ac:dyDescent="0.25">
      <c r="A327">
        <v>6629</v>
      </c>
      <c r="B327" t="s">
        <v>17</v>
      </c>
      <c r="C327" t="s">
        <v>395</v>
      </c>
      <c r="D327" t="s">
        <v>834</v>
      </c>
      <c r="E327">
        <v>5</v>
      </c>
      <c r="F327">
        <v>5</v>
      </c>
      <c r="G327">
        <v>13</v>
      </c>
    </row>
    <row r="328" spans="1:7" ht="14.25" customHeight="1" x14ac:dyDescent="0.25">
      <c r="A328">
        <v>6015</v>
      </c>
      <c r="B328" t="s">
        <v>17</v>
      </c>
      <c r="C328" t="s">
        <v>351</v>
      </c>
      <c r="D328" t="s">
        <v>837</v>
      </c>
      <c r="E328">
        <v>5</v>
      </c>
      <c r="F328">
        <v>5</v>
      </c>
      <c r="G328">
        <v>16</v>
      </c>
    </row>
    <row r="329" spans="1:7" ht="14.25" customHeight="1" x14ac:dyDescent="0.25">
      <c r="A329">
        <v>7318</v>
      </c>
      <c r="B329" t="s">
        <v>17</v>
      </c>
      <c r="C329" t="s">
        <v>374</v>
      </c>
      <c r="D329" t="s">
        <v>837</v>
      </c>
      <c r="E329">
        <v>5</v>
      </c>
      <c r="F329">
        <v>5</v>
      </c>
      <c r="G329">
        <v>14</v>
      </c>
    </row>
    <row r="330" spans="1:7" ht="14.25" customHeight="1" x14ac:dyDescent="0.25">
      <c r="A330">
        <v>4686</v>
      </c>
      <c r="B330" t="s">
        <v>17</v>
      </c>
      <c r="C330" t="s">
        <v>285</v>
      </c>
      <c r="D330" t="s">
        <v>828</v>
      </c>
      <c r="E330">
        <v>5</v>
      </c>
      <c r="F330">
        <v>5</v>
      </c>
      <c r="G330">
        <v>23</v>
      </c>
    </row>
    <row r="331" spans="1:7" ht="14.25" customHeight="1" x14ac:dyDescent="0.25">
      <c r="A331">
        <v>6898</v>
      </c>
      <c r="B331" t="s">
        <v>17</v>
      </c>
      <c r="C331" t="s">
        <v>361</v>
      </c>
      <c r="D331" t="s">
        <v>838</v>
      </c>
      <c r="E331">
        <v>5</v>
      </c>
      <c r="F331">
        <v>5</v>
      </c>
      <c r="G331">
        <v>15</v>
      </c>
    </row>
    <row r="332" spans="1:7" ht="14.25" customHeight="1" x14ac:dyDescent="0.25">
      <c r="A332">
        <v>6984</v>
      </c>
      <c r="B332" t="s">
        <v>17</v>
      </c>
      <c r="C332" t="s">
        <v>332</v>
      </c>
      <c r="D332" t="s">
        <v>838</v>
      </c>
      <c r="E332">
        <v>5</v>
      </c>
      <c r="F332">
        <v>5</v>
      </c>
      <c r="G332">
        <v>18</v>
      </c>
    </row>
    <row r="333" spans="1:7" ht="14.25" customHeight="1" x14ac:dyDescent="0.25">
      <c r="A333">
        <v>6190</v>
      </c>
      <c r="B333" t="s">
        <v>17</v>
      </c>
      <c r="C333" t="s">
        <v>342</v>
      </c>
      <c r="D333" t="s">
        <v>824</v>
      </c>
      <c r="E333">
        <v>5</v>
      </c>
      <c r="F333">
        <v>5</v>
      </c>
      <c r="G333">
        <v>17</v>
      </c>
    </row>
    <row r="334" spans="1:7" ht="14.25" customHeight="1" x14ac:dyDescent="0.25">
      <c r="A334">
        <v>2528</v>
      </c>
      <c r="B334" t="s">
        <v>17</v>
      </c>
      <c r="C334" t="s">
        <v>362</v>
      </c>
      <c r="D334" t="s">
        <v>839</v>
      </c>
      <c r="E334">
        <v>5</v>
      </c>
      <c r="F334">
        <v>5</v>
      </c>
      <c r="G334">
        <v>15</v>
      </c>
    </row>
    <row r="335" spans="1:7" ht="14.25" customHeight="1" x14ac:dyDescent="0.25">
      <c r="A335">
        <v>6677</v>
      </c>
      <c r="B335" t="s">
        <v>17</v>
      </c>
      <c r="C335" t="s">
        <v>375</v>
      </c>
      <c r="D335" t="s">
        <v>839</v>
      </c>
      <c r="E335">
        <v>5</v>
      </c>
      <c r="F335">
        <v>5</v>
      </c>
      <c r="G335">
        <v>14</v>
      </c>
    </row>
    <row r="336" spans="1:7" ht="14.25" customHeight="1" x14ac:dyDescent="0.25">
      <c r="A336">
        <v>7036</v>
      </c>
      <c r="B336" t="s">
        <v>17</v>
      </c>
      <c r="C336" t="s">
        <v>352</v>
      </c>
      <c r="D336" t="s">
        <v>839</v>
      </c>
      <c r="E336">
        <v>5</v>
      </c>
      <c r="F336">
        <v>5</v>
      </c>
      <c r="G336">
        <v>16</v>
      </c>
    </row>
    <row r="337" spans="1:7" ht="14.25" customHeight="1" x14ac:dyDescent="0.25">
      <c r="A337">
        <v>7060</v>
      </c>
      <c r="B337" t="s">
        <v>17</v>
      </c>
      <c r="C337" t="s">
        <v>333</v>
      </c>
      <c r="D337" t="s">
        <v>843</v>
      </c>
      <c r="E337">
        <v>5</v>
      </c>
      <c r="F337">
        <v>5</v>
      </c>
      <c r="G337">
        <v>18</v>
      </c>
    </row>
    <row r="338" spans="1:7" ht="14.25" customHeight="1" x14ac:dyDescent="0.25">
      <c r="A338">
        <v>6170</v>
      </c>
      <c r="B338" t="s">
        <v>17</v>
      </c>
      <c r="C338" t="s">
        <v>396</v>
      </c>
      <c r="D338" t="s">
        <v>843</v>
      </c>
      <c r="E338">
        <v>5</v>
      </c>
      <c r="F338">
        <v>5</v>
      </c>
      <c r="G338">
        <v>13</v>
      </c>
    </row>
    <row r="339" spans="1:7" ht="14.25" customHeight="1" x14ac:dyDescent="0.25">
      <c r="A339">
        <v>7198</v>
      </c>
      <c r="B339" t="s">
        <v>17</v>
      </c>
      <c r="C339" t="s">
        <v>363</v>
      </c>
      <c r="D339" t="s">
        <v>835</v>
      </c>
      <c r="E339">
        <v>5</v>
      </c>
      <c r="F339">
        <v>5</v>
      </c>
      <c r="G339">
        <v>15</v>
      </c>
    </row>
    <row r="340" spans="1:7" ht="14.25" customHeight="1" x14ac:dyDescent="0.25">
      <c r="A340">
        <v>5507</v>
      </c>
      <c r="B340" t="s">
        <v>17</v>
      </c>
      <c r="C340" t="s">
        <v>376</v>
      </c>
      <c r="D340" t="s">
        <v>840</v>
      </c>
      <c r="E340">
        <v>5</v>
      </c>
      <c r="F340">
        <v>5</v>
      </c>
      <c r="G340">
        <v>14</v>
      </c>
    </row>
    <row r="341" spans="1:7" ht="14.25" customHeight="1" x14ac:dyDescent="0.25">
      <c r="A341">
        <v>5319</v>
      </c>
      <c r="B341" t="s">
        <v>17</v>
      </c>
      <c r="C341" t="s">
        <v>377</v>
      </c>
      <c r="D341" t="s">
        <v>840</v>
      </c>
      <c r="E341">
        <v>5</v>
      </c>
      <c r="F341">
        <v>5</v>
      </c>
      <c r="G341">
        <v>14</v>
      </c>
    </row>
    <row r="342" spans="1:7" ht="14.25" customHeight="1" x14ac:dyDescent="0.25">
      <c r="A342">
        <v>6994</v>
      </c>
      <c r="B342" t="s">
        <v>17</v>
      </c>
      <c r="C342" t="s">
        <v>378</v>
      </c>
      <c r="D342" t="s">
        <v>840</v>
      </c>
      <c r="E342">
        <v>5</v>
      </c>
      <c r="F342">
        <v>5</v>
      </c>
      <c r="G342">
        <v>14</v>
      </c>
    </row>
    <row r="343" spans="1:7" ht="14.25" customHeight="1" x14ac:dyDescent="0.25">
      <c r="A343">
        <v>22</v>
      </c>
      <c r="B343" t="s">
        <v>17</v>
      </c>
      <c r="C343" t="s">
        <v>415</v>
      </c>
      <c r="D343" t="s">
        <v>826</v>
      </c>
      <c r="E343">
        <v>4</v>
      </c>
      <c r="F343">
        <v>4</v>
      </c>
      <c r="G343">
        <v>12</v>
      </c>
    </row>
    <row r="344" spans="1:7" ht="14.25" customHeight="1" x14ac:dyDescent="0.25">
      <c r="A344">
        <v>6054</v>
      </c>
      <c r="B344" t="s">
        <v>17</v>
      </c>
      <c r="C344" t="s">
        <v>459</v>
      </c>
      <c r="D344" t="s">
        <v>831</v>
      </c>
      <c r="E344">
        <v>4</v>
      </c>
      <c r="F344">
        <v>4</v>
      </c>
      <c r="G344">
        <v>10</v>
      </c>
    </row>
    <row r="345" spans="1:7" ht="14.25" customHeight="1" x14ac:dyDescent="0.25">
      <c r="A345">
        <v>6424</v>
      </c>
      <c r="B345" t="s">
        <v>17</v>
      </c>
      <c r="C345" t="s">
        <v>504</v>
      </c>
      <c r="D345" t="s">
        <v>832</v>
      </c>
      <c r="E345">
        <v>4</v>
      </c>
      <c r="F345">
        <v>4</v>
      </c>
      <c r="G345">
        <v>7</v>
      </c>
    </row>
    <row r="346" spans="1:7" ht="14.25" customHeight="1" x14ac:dyDescent="0.25">
      <c r="A346">
        <v>6206</v>
      </c>
      <c r="B346" t="s">
        <v>17</v>
      </c>
      <c r="C346" t="s">
        <v>490</v>
      </c>
      <c r="D346" t="s">
        <v>829</v>
      </c>
      <c r="E346">
        <v>4</v>
      </c>
      <c r="F346">
        <v>4</v>
      </c>
      <c r="G346">
        <v>8</v>
      </c>
    </row>
    <row r="347" spans="1:7" ht="14.25" customHeight="1" x14ac:dyDescent="0.25">
      <c r="A347">
        <v>7473</v>
      </c>
      <c r="B347" t="s">
        <v>17</v>
      </c>
      <c r="C347" t="s">
        <v>434</v>
      </c>
      <c r="D347" t="s">
        <v>842</v>
      </c>
      <c r="E347">
        <v>4</v>
      </c>
      <c r="F347">
        <v>4</v>
      </c>
      <c r="G347">
        <v>11</v>
      </c>
    </row>
    <row r="348" spans="1:7" ht="14.25" customHeight="1" x14ac:dyDescent="0.25">
      <c r="A348">
        <v>7474</v>
      </c>
      <c r="B348" t="s">
        <v>17</v>
      </c>
      <c r="C348" t="s">
        <v>416</v>
      </c>
      <c r="D348" t="s">
        <v>842</v>
      </c>
      <c r="E348">
        <v>4</v>
      </c>
      <c r="F348">
        <v>4</v>
      </c>
      <c r="G348">
        <v>12</v>
      </c>
    </row>
    <row r="349" spans="1:7" ht="14.25" customHeight="1" x14ac:dyDescent="0.25">
      <c r="A349">
        <v>7341</v>
      </c>
      <c r="B349" t="s">
        <v>17</v>
      </c>
      <c r="C349" t="s">
        <v>435</v>
      </c>
      <c r="D349" t="s">
        <v>836</v>
      </c>
      <c r="E349">
        <v>4</v>
      </c>
      <c r="F349">
        <v>4</v>
      </c>
      <c r="G349">
        <v>11</v>
      </c>
    </row>
    <row r="350" spans="1:7" ht="14.25" customHeight="1" x14ac:dyDescent="0.25">
      <c r="A350">
        <v>5301</v>
      </c>
      <c r="B350" t="s">
        <v>17</v>
      </c>
      <c r="C350" t="s">
        <v>397</v>
      </c>
      <c r="D350" t="s">
        <v>825</v>
      </c>
      <c r="E350">
        <v>4</v>
      </c>
      <c r="F350">
        <v>4</v>
      </c>
      <c r="G350">
        <v>13</v>
      </c>
    </row>
    <row r="351" spans="1:7" ht="14.25" customHeight="1" x14ac:dyDescent="0.25">
      <c r="A351">
        <v>4911</v>
      </c>
      <c r="B351" t="s">
        <v>17</v>
      </c>
      <c r="C351" t="s">
        <v>417</v>
      </c>
      <c r="D351" t="s">
        <v>833</v>
      </c>
      <c r="E351">
        <v>4</v>
      </c>
      <c r="F351">
        <v>4</v>
      </c>
      <c r="G351">
        <v>12</v>
      </c>
    </row>
    <row r="352" spans="1:7" ht="14.25" customHeight="1" x14ac:dyDescent="0.25">
      <c r="A352">
        <v>333</v>
      </c>
      <c r="B352" t="s">
        <v>17</v>
      </c>
      <c r="C352" t="s">
        <v>418</v>
      </c>
      <c r="D352" t="s">
        <v>834</v>
      </c>
      <c r="E352">
        <v>4</v>
      </c>
      <c r="F352">
        <v>4</v>
      </c>
      <c r="G352">
        <v>12</v>
      </c>
    </row>
    <row r="353" spans="1:7" ht="14.25" customHeight="1" x14ac:dyDescent="0.25">
      <c r="A353">
        <v>7322</v>
      </c>
      <c r="B353" t="s">
        <v>17</v>
      </c>
      <c r="C353" t="s">
        <v>436</v>
      </c>
      <c r="D353" t="s">
        <v>837</v>
      </c>
      <c r="E353">
        <v>4</v>
      </c>
      <c r="F353">
        <v>4</v>
      </c>
      <c r="G353">
        <v>11</v>
      </c>
    </row>
    <row r="354" spans="1:7" ht="14.25" customHeight="1" x14ac:dyDescent="0.25">
      <c r="A354">
        <v>5453</v>
      </c>
      <c r="B354" t="s">
        <v>17</v>
      </c>
      <c r="C354" t="s">
        <v>437</v>
      </c>
      <c r="D354" t="s">
        <v>828</v>
      </c>
      <c r="E354">
        <v>4</v>
      </c>
      <c r="F354">
        <v>4</v>
      </c>
      <c r="G354">
        <v>11</v>
      </c>
    </row>
    <row r="355" spans="1:7" ht="14.25" customHeight="1" x14ac:dyDescent="0.25">
      <c r="A355">
        <v>7203</v>
      </c>
      <c r="B355" t="s">
        <v>17</v>
      </c>
      <c r="C355" t="s">
        <v>438</v>
      </c>
      <c r="D355" t="s">
        <v>828</v>
      </c>
      <c r="E355">
        <v>4</v>
      </c>
      <c r="F355">
        <v>4</v>
      </c>
      <c r="G355">
        <v>11</v>
      </c>
    </row>
    <row r="356" spans="1:7" ht="14.25" customHeight="1" x14ac:dyDescent="0.25">
      <c r="A356">
        <v>4199</v>
      </c>
      <c r="B356" t="s">
        <v>17</v>
      </c>
      <c r="C356" t="s">
        <v>439</v>
      </c>
      <c r="D356" t="s">
        <v>828</v>
      </c>
      <c r="E356">
        <v>4</v>
      </c>
      <c r="F356">
        <v>4</v>
      </c>
      <c r="G356">
        <v>11</v>
      </c>
    </row>
    <row r="357" spans="1:7" ht="14.25" customHeight="1" x14ac:dyDescent="0.25">
      <c r="A357">
        <v>6252</v>
      </c>
      <c r="B357" t="s">
        <v>17</v>
      </c>
      <c r="C357" t="s">
        <v>460</v>
      </c>
      <c r="D357" t="s">
        <v>830</v>
      </c>
      <c r="E357">
        <v>4</v>
      </c>
      <c r="F357">
        <v>4</v>
      </c>
      <c r="G357">
        <v>10</v>
      </c>
    </row>
    <row r="358" spans="1:7" ht="14.25" customHeight="1" x14ac:dyDescent="0.25">
      <c r="A358">
        <v>6207</v>
      </c>
      <c r="B358" t="s">
        <v>17</v>
      </c>
      <c r="C358" t="s">
        <v>379</v>
      </c>
      <c r="D358" t="s">
        <v>838</v>
      </c>
      <c r="E358">
        <v>4</v>
      </c>
      <c r="F358">
        <v>4</v>
      </c>
      <c r="G358">
        <v>14</v>
      </c>
    </row>
    <row r="359" spans="1:7" ht="14.25" customHeight="1" x14ac:dyDescent="0.25">
      <c r="A359">
        <v>6271</v>
      </c>
      <c r="B359" t="s">
        <v>17</v>
      </c>
      <c r="C359" t="s">
        <v>334</v>
      </c>
      <c r="D359" t="s">
        <v>824</v>
      </c>
      <c r="E359">
        <v>4</v>
      </c>
      <c r="F359">
        <v>4</v>
      </c>
      <c r="G359">
        <v>18</v>
      </c>
    </row>
    <row r="360" spans="1:7" ht="14.25" customHeight="1" x14ac:dyDescent="0.25">
      <c r="A360">
        <v>7535</v>
      </c>
      <c r="B360" t="s">
        <v>17</v>
      </c>
      <c r="C360" t="s">
        <v>398</v>
      </c>
      <c r="D360" t="s">
        <v>843</v>
      </c>
      <c r="E360">
        <v>4</v>
      </c>
      <c r="F360">
        <v>4</v>
      </c>
      <c r="G360">
        <v>13</v>
      </c>
    </row>
    <row r="361" spans="1:7" ht="14.25" customHeight="1" x14ac:dyDescent="0.25">
      <c r="A361">
        <v>6005</v>
      </c>
      <c r="B361" t="s">
        <v>17</v>
      </c>
      <c r="C361" t="s">
        <v>461</v>
      </c>
      <c r="D361" t="s">
        <v>843</v>
      </c>
      <c r="E361">
        <v>4</v>
      </c>
      <c r="F361">
        <v>4</v>
      </c>
      <c r="G361">
        <v>10</v>
      </c>
    </row>
    <row r="362" spans="1:7" ht="14.25" customHeight="1" x14ac:dyDescent="0.25">
      <c r="A362">
        <v>6827</v>
      </c>
      <c r="B362" t="s">
        <v>17</v>
      </c>
      <c r="C362" t="s">
        <v>419</v>
      </c>
      <c r="D362" t="s">
        <v>843</v>
      </c>
      <c r="E362">
        <v>4</v>
      </c>
      <c r="F362">
        <v>4</v>
      </c>
      <c r="G362">
        <v>12</v>
      </c>
    </row>
    <row r="363" spans="1:7" ht="14.25" customHeight="1" x14ac:dyDescent="0.25">
      <c r="A363">
        <v>6024</v>
      </c>
      <c r="B363" t="s">
        <v>17</v>
      </c>
      <c r="C363" t="s">
        <v>505</v>
      </c>
      <c r="D363" t="s">
        <v>826</v>
      </c>
      <c r="E363">
        <v>3</v>
      </c>
      <c r="F363">
        <v>3</v>
      </c>
      <c r="G363">
        <v>7</v>
      </c>
    </row>
    <row r="364" spans="1:7" ht="14.25" customHeight="1" x14ac:dyDescent="0.25">
      <c r="A364">
        <v>6895</v>
      </c>
      <c r="B364" t="s">
        <v>17</v>
      </c>
      <c r="C364" t="s">
        <v>491</v>
      </c>
      <c r="D364" t="s">
        <v>831</v>
      </c>
      <c r="E364">
        <v>3</v>
      </c>
      <c r="F364">
        <v>3</v>
      </c>
      <c r="G364">
        <v>8</v>
      </c>
    </row>
    <row r="365" spans="1:7" ht="14.25" customHeight="1" x14ac:dyDescent="0.25">
      <c r="A365">
        <v>1871</v>
      </c>
      <c r="B365" t="s">
        <v>17</v>
      </c>
      <c r="C365" t="s">
        <v>492</v>
      </c>
      <c r="D365" t="s">
        <v>832</v>
      </c>
      <c r="E365">
        <v>3</v>
      </c>
      <c r="F365">
        <v>3</v>
      </c>
      <c r="G365">
        <v>8</v>
      </c>
    </row>
    <row r="366" spans="1:7" ht="14.25" customHeight="1" x14ac:dyDescent="0.25">
      <c r="A366">
        <v>4947</v>
      </c>
      <c r="B366" t="s">
        <v>17</v>
      </c>
      <c r="C366" t="s">
        <v>506</v>
      </c>
      <c r="D366" t="s">
        <v>829</v>
      </c>
      <c r="E366">
        <v>3</v>
      </c>
      <c r="F366">
        <v>3</v>
      </c>
      <c r="G366">
        <v>7</v>
      </c>
    </row>
    <row r="367" spans="1:7" ht="14.25" customHeight="1" x14ac:dyDescent="0.25">
      <c r="A367">
        <v>6241</v>
      </c>
      <c r="B367" t="s">
        <v>17</v>
      </c>
      <c r="C367" t="s">
        <v>493</v>
      </c>
      <c r="D367" t="s">
        <v>842</v>
      </c>
      <c r="E367">
        <v>3</v>
      </c>
      <c r="F367">
        <v>3</v>
      </c>
      <c r="G367">
        <v>8</v>
      </c>
    </row>
    <row r="368" spans="1:7" ht="14.25" customHeight="1" x14ac:dyDescent="0.25">
      <c r="A368">
        <v>6506</v>
      </c>
      <c r="B368" t="s">
        <v>17</v>
      </c>
      <c r="C368" t="s">
        <v>474</v>
      </c>
      <c r="D368" t="s">
        <v>842</v>
      </c>
      <c r="E368">
        <v>3</v>
      </c>
      <c r="F368">
        <v>3</v>
      </c>
      <c r="G368">
        <v>9</v>
      </c>
    </row>
    <row r="369" spans="1:7" ht="14.25" customHeight="1" x14ac:dyDescent="0.25">
      <c r="A369">
        <v>4970</v>
      </c>
      <c r="B369" t="s">
        <v>17</v>
      </c>
      <c r="C369" t="s">
        <v>494</v>
      </c>
      <c r="D369" t="s">
        <v>836</v>
      </c>
      <c r="E369">
        <v>3</v>
      </c>
      <c r="F369">
        <v>3</v>
      </c>
      <c r="G369">
        <v>8</v>
      </c>
    </row>
    <row r="370" spans="1:7" ht="14.25" customHeight="1" x14ac:dyDescent="0.25">
      <c r="A370">
        <v>6503</v>
      </c>
      <c r="B370" t="s">
        <v>17</v>
      </c>
      <c r="C370" t="s">
        <v>462</v>
      </c>
      <c r="D370" t="s">
        <v>825</v>
      </c>
      <c r="E370">
        <v>3</v>
      </c>
      <c r="F370">
        <v>3</v>
      </c>
      <c r="G370">
        <v>10</v>
      </c>
    </row>
    <row r="371" spans="1:7" ht="14.25" customHeight="1" x14ac:dyDescent="0.25">
      <c r="A371">
        <v>5813</v>
      </c>
      <c r="B371" t="s">
        <v>17</v>
      </c>
      <c r="C371" t="s">
        <v>440</v>
      </c>
      <c r="D371" t="s">
        <v>833</v>
      </c>
      <c r="E371">
        <v>3</v>
      </c>
      <c r="F371">
        <v>3</v>
      </c>
      <c r="G371">
        <v>11</v>
      </c>
    </row>
    <row r="372" spans="1:7" ht="14.25" customHeight="1" x14ac:dyDescent="0.25">
      <c r="A372">
        <v>7477</v>
      </c>
      <c r="B372" t="s">
        <v>17</v>
      </c>
      <c r="C372" t="s">
        <v>507</v>
      </c>
      <c r="D372" t="s">
        <v>841</v>
      </c>
      <c r="E372">
        <v>3</v>
      </c>
      <c r="F372">
        <v>3</v>
      </c>
      <c r="G372">
        <v>7</v>
      </c>
    </row>
    <row r="373" spans="1:7" ht="14.25" customHeight="1" x14ac:dyDescent="0.25">
      <c r="A373">
        <v>5131</v>
      </c>
      <c r="B373" t="s">
        <v>17</v>
      </c>
      <c r="C373" t="s">
        <v>475</v>
      </c>
      <c r="D373" t="s">
        <v>830</v>
      </c>
      <c r="E373">
        <v>3</v>
      </c>
      <c r="F373">
        <v>3</v>
      </c>
      <c r="G373">
        <v>9</v>
      </c>
    </row>
    <row r="374" spans="1:7" ht="14.25" customHeight="1" x14ac:dyDescent="0.25">
      <c r="A374">
        <v>7209</v>
      </c>
      <c r="B374" t="s">
        <v>17</v>
      </c>
      <c r="C374" t="s">
        <v>420</v>
      </c>
      <c r="D374" t="s">
        <v>838</v>
      </c>
      <c r="E374">
        <v>3</v>
      </c>
      <c r="F374">
        <v>3</v>
      </c>
      <c r="G374">
        <v>12</v>
      </c>
    </row>
    <row r="375" spans="1:7" ht="14.25" customHeight="1" x14ac:dyDescent="0.25">
      <c r="A375">
        <v>7536</v>
      </c>
      <c r="B375" t="s">
        <v>17</v>
      </c>
      <c r="C375" t="s">
        <v>421</v>
      </c>
      <c r="D375" t="s">
        <v>838</v>
      </c>
      <c r="E375">
        <v>3</v>
      </c>
      <c r="F375">
        <v>3</v>
      </c>
      <c r="G375">
        <v>12</v>
      </c>
    </row>
    <row r="376" spans="1:7" ht="14.25" customHeight="1" x14ac:dyDescent="0.25">
      <c r="A376">
        <v>7183</v>
      </c>
      <c r="B376" t="s">
        <v>17</v>
      </c>
      <c r="C376" t="s">
        <v>528</v>
      </c>
      <c r="D376" t="s">
        <v>843</v>
      </c>
      <c r="E376">
        <v>3</v>
      </c>
      <c r="F376">
        <v>3</v>
      </c>
      <c r="G376">
        <v>5</v>
      </c>
    </row>
    <row r="377" spans="1:7" ht="14.25" customHeight="1" x14ac:dyDescent="0.25">
      <c r="A377">
        <v>7208</v>
      </c>
      <c r="B377" t="s">
        <v>17</v>
      </c>
      <c r="C377" t="s">
        <v>422</v>
      </c>
      <c r="D377" t="s">
        <v>835</v>
      </c>
      <c r="E377">
        <v>3</v>
      </c>
      <c r="F377">
        <v>3</v>
      </c>
      <c r="G377">
        <v>12</v>
      </c>
    </row>
    <row r="378" spans="1:7" ht="14.25" customHeight="1" x14ac:dyDescent="0.25">
      <c r="A378">
        <v>5872</v>
      </c>
      <c r="B378" t="s">
        <v>17</v>
      </c>
      <c r="C378" t="s">
        <v>508</v>
      </c>
      <c r="D378" t="s">
        <v>840</v>
      </c>
      <c r="E378">
        <v>3</v>
      </c>
      <c r="F378">
        <v>3</v>
      </c>
      <c r="G378">
        <v>7</v>
      </c>
    </row>
    <row r="379" spans="1:7" ht="14.25" customHeight="1" x14ac:dyDescent="0.25">
      <c r="A379">
        <v>6225</v>
      </c>
      <c r="B379" t="s">
        <v>17</v>
      </c>
      <c r="C379" t="s">
        <v>549</v>
      </c>
      <c r="D379" t="s">
        <v>831</v>
      </c>
      <c r="E379">
        <v>2</v>
      </c>
      <c r="F379">
        <v>2</v>
      </c>
      <c r="G379">
        <v>4</v>
      </c>
    </row>
    <row r="380" spans="1:7" ht="14.25" customHeight="1" x14ac:dyDescent="0.25">
      <c r="A380">
        <v>6815</v>
      </c>
      <c r="B380" t="s">
        <v>17</v>
      </c>
      <c r="C380" t="s">
        <v>565</v>
      </c>
      <c r="D380" t="s">
        <v>827</v>
      </c>
      <c r="E380">
        <v>2</v>
      </c>
      <c r="F380">
        <v>2</v>
      </c>
      <c r="G380">
        <v>3</v>
      </c>
    </row>
    <row r="381" spans="1:7" ht="14.25" customHeight="1" x14ac:dyDescent="0.25">
      <c r="A381">
        <v>6903</v>
      </c>
      <c r="B381" t="s">
        <v>17</v>
      </c>
      <c r="C381" t="s">
        <v>529</v>
      </c>
      <c r="D381" t="s">
        <v>842</v>
      </c>
      <c r="E381">
        <v>2</v>
      </c>
      <c r="F381">
        <v>2</v>
      </c>
      <c r="G381">
        <v>5</v>
      </c>
    </row>
    <row r="382" spans="1:7" ht="14.25" customHeight="1" x14ac:dyDescent="0.25">
      <c r="A382">
        <v>6917</v>
      </c>
      <c r="B382" t="s">
        <v>17</v>
      </c>
      <c r="C382" t="s">
        <v>550</v>
      </c>
      <c r="D382" t="s">
        <v>836</v>
      </c>
      <c r="E382">
        <v>2</v>
      </c>
      <c r="F382">
        <v>2</v>
      </c>
      <c r="G382">
        <v>4</v>
      </c>
    </row>
    <row r="383" spans="1:7" ht="14.25" customHeight="1" x14ac:dyDescent="0.25">
      <c r="A383">
        <v>6980</v>
      </c>
      <c r="B383" t="s">
        <v>17</v>
      </c>
      <c r="C383" t="s">
        <v>514</v>
      </c>
      <c r="D383" t="s">
        <v>836</v>
      </c>
      <c r="E383">
        <v>2</v>
      </c>
      <c r="F383">
        <v>2</v>
      </c>
      <c r="G383">
        <v>6</v>
      </c>
    </row>
    <row r="384" spans="1:7" ht="14.25" customHeight="1" x14ac:dyDescent="0.25">
      <c r="A384">
        <v>5457</v>
      </c>
      <c r="B384" t="s">
        <v>17</v>
      </c>
      <c r="C384" t="s">
        <v>530</v>
      </c>
      <c r="D384" t="s">
        <v>837</v>
      </c>
      <c r="E384">
        <v>2</v>
      </c>
      <c r="F384">
        <v>2</v>
      </c>
      <c r="G384">
        <v>5</v>
      </c>
    </row>
    <row r="385" spans="1:7" ht="14.25" customHeight="1" x14ac:dyDescent="0.25">
      <c r="A385">
        <v>5295</v>
      </c>
      <c r="B385" t="s">
        <v>17</v>
      </c>
      <c r="C385" t="s">
        <v>515</v>
      </c>
      <c r="D385" t="s">
        <v>828</v>
      </c>
      <c r="E385">
        <v>2</v>
      </c>
      <c r="F385">
        <v>2</v>
      </c>
      <c r="G385">
        <v>6</v>
      </c>
    </row>
    <row r="386" spans="1:7" ht="14.25" customHeight="1" x14ac:dyDescent="0.25">
      <c r="A386">
        <v>5880</v>
      </c>
      <c r="B386" t="s">
        <v>17</v>
      </c>
      <c r="C386" t="s">
        <v>516</v>
      </c>
      <c r="D386" t="s">
        <v>841</v>
      </c>
      <c r="E386">
        <v>2</v>
      </c>
      <c r="F386">
        <v>2</v>
      </c>
      <c r="G386">
        <v>6</v>
      </c>
    </row>
    <row r="387" spans="1:7" ht="14.25" customHeight="1" x14ac:dyDescent="0.25">
      <c r="A387">
        <v>7138</v>
      </c>
      <c r="B387" t="s">
        <v>17</v>
      </c>
      <c r="C387" t="s">
        <v>531</v>
      </c>
      <c r="D387" t="s">
        <v>838</v>
      </c>
      <c r="E387">
        <v>2</v>
      </c>
      <c r="F387">
        <v>2</v>
      </c>
      <c r="G387">
        <v>5</v>
      </c>
    </row>
    <row r="388" spans="1:7" ht="14.25" customHeight="1" x14ac:dyDescent="0.25">
      <c r="A388">
        <v>6219</v>
      </c>
      <c r="B388" t="s">
        <v>17</v>
      </c>
      <c r="C388" t="s">
        <v>532</v>
      </c>
      <c r="D388" t="s">
        <v>839</v>
      </c>
      <c r="E388">
        <v>2</v>
      </c>
      <c r="F388">
        <v>2</v>
      </c>
      <c r="G388">
        <v>5</v>
      </c>
    </row>
    <row r="389" spans="1:7" ht="14.25" customHeight="1" x14ac:dyDescent="0.25">
      <c r="A389">
        <v>6246</v>
      </c>
      <c r="B389" t="s">
        <v>17</v>
      </c>
      <c r="C389" t="s">
        <v>533</v>
      </c>
      <c r="D389" t="s">
        <v>839</v>
      </c>
      <c r="E389">
        <v>2</v>
      </c>
      <c r="F389">
        <v>2</v>
      </c>
      <c r="G389">
        <v>5</v>
      </c>
    </row>
    <row r="390" spans="1:7" ht="14.25" customHeight="1" x14ac:dyDescent="0.25">
      <c r="A390">
        <v>7418</v>
      </c>
      <c r="B390" t="s">
        <v>17</v>
      </c>
      <c r="C390" t="s">
        <v>517</v>
      </c>
      <c r="D390" t="s">
        <v>835</v>
      </c>
      <c r="E390">
        <v>2</v>
      </c>
      <c r="F390">
        <v>2</v>
      </c>
      <c r="G390">
        <v>6</v>
      </c>
    </row>
    <row r="391" spans="1:7" ht="14.25" customHeight="1" x14ac:dyDescent="0.25">
      <c r="A391">
        <v>526</v>
      </c>
      <c r="B391" t="s">
        <v>17</v>
      </c>
      <c r="C391" t="s">
        <v>551</v>
      </c>
      <c r="D391" t="s">
        <v>840</v>
      </c>
      <c r="E391">
        <v>2</v>
      </c>
      <c r="F391">
        <v>2</v>
      </c>
      <c r="G391">
        <v>4</v>
      </c>
    </row>
    <row r="392" spans="1:7" ht="14.25" customHeight="1" x14ac:dyDescent="0.25">
      <c r="A392">
        <v>7165</v>
      </c>
      <c r="B392" t="s">
        <v>17</v>
      </c>
      <c r="C392" t="s">
        <v>622</v>
      </c>
      <c r="D392" t="s">
        <v>832</v>
      </c>
      <c r="E392">
        <v>1</v>
      </c>
      <c r="F392">
        <v>1</v>
      </c>
      <c r="G392">
        <v>1</v>
      </c>
    </row>
    <row r="393" spans="1:7" ht="14.25" customHeight="1" x14ac:dyDescent="0.25">
      <c r="A393">
        <v>7357</v>
      </c>
      <c r="B393" t="s">
        <v>17</v>
      </c>
      <c r="C393" t="s">
        <v>623</v>
      </c>
      <c r="D393" t="s">
        <v>827</v>
      </c>
      <c r="E393">
        <v>1</v>
      </c>
      <c r="F393">
        <v>1</v>
      </c>
      <c r="G393">
        <v>1</v>
      </c>
    </row>
    <row r="394" spans="1:7" ht="14.25" customHeight="1" x14ac:dyDescent="0.25">
      <c r="A394">
        <v>7456</v>
      </c>
      <c r="B394" t="s">
        <v>17</v>
      </c>
      <c r="C394" t="s">
        <v>566</v>
      </c>
      <c r="D394" t="s">
        <v>842</v>
      </c>
      <c r="E394">
        <v>1</v>
      </c>
      <c r="F394">
        <v>1</v>
      </c>
      <c r="G394">
        <v>3</v>
      </c>
    </row>
    <row r="395" spans="1:7" ht="14.25" customHeight="1" x14ac:dyDescent="0.25">
      <c r="A395">
        <v>5725</v>
      </c>
      <c r="B395" t="s">
        <v>17</v>
      </c>
      <c r="C395" t="s">
        <v>567</v>
      </c>
      <c r="D395" t="s">
        <v>842</v>
      </c>
      <c r="E395">
        <v>1</v>
      </c>
      <c r="F395">
        <v>1</v>
      </c>
      <c r="G395">
        <v>3</v>
      </c>
    </row>
    <row r="396" spans="1:7" ht="14.25" customHeight="1" x14ac:dyDescent="0.25">
      <c r="A396">
        <v>6191</v>
      </c>
      <c r="B396" t="s">
        <v>17</v>
      </c>
      <c r="C396" t="s">
        <v>534</v>
      </c>
      <c r="D396" t="s">
        <v>834</v>
      </c>
      <c r="E396">
        <v>1</v>
      </c>
      <c r="F396">
        <v>1</v>
      </c>
      <c r="G396">
        <v>5</v>
      </c>
    </row>
    <row r="397" spans="1:7" ht="14.25" customHeight="1" x14ac:dyDescent="0.25">
      <c r="A397">
        <v>7345</v>
      </c>
      <c r="B397" t="s">
        <v>17</v>
      </c>
      <c r="C397" t="s">
        <v>535</v>
      </c>
      <c r="D397" t="s">
        <v>834</v>
      </c>
      <c r="E397">
        <v>1</v>
      </c>
      <c r="F397">
        <v>1</v>
      </c>
      <c r="G397">
        <v>5</v>
      </c>
    </row>
    <row r="398" spans="1:7" ht="14.25" customHeight="1" x14ac:dyDescent="0.25">
      <c r="A398">
        <v>7248</v>
      </c>
      <c r="B398" t="s">
        <v>17</v>
      </c>
      <c r="C398" t="s">
        <v>568</v>
      </c>
      <c r="D398" t="s">
        <v>837</v>
      </c>
      <c r="E398">
        <v>1</v>
      </c>
      <c r="F398">
        <v>1</v>
      </c>
      <c r="G398">
        <v>3</v>
      </c>
    </row>
    <row r="399" spans="1:7" ht="14.25" customHeight="1" x14ac:dyDescent="0.25">
      <c r="A399">
        <v>6410</v>
      </c>
      <c r="B399" t="s">
        <v>17</v>
      </c>
      <c r="C399" t="s">
        <v>578</v>
      </c>
      <c r="D399" t="s">
        <v>837</v>
      </c>
      <c r="E399">
        <v>1</v>
      </c>
      <c r="F399">
        <v>1</v>
      </c>
      <c r="G399">
        <v>2</v>
      </c>
    </row>
    <row r="400" spans="1:7" ht="14.25" customHeight="1" x14ac:dyDescent="0.25">
      <c r="A400">
        <v>7319</v>
      </c>
      <c r="B400" t="s">
        <v>17</v>
      </c>
      <c r="C400" t="s">
        <v>624</v>
      </c>
      <c r="D400" t="s">
        <v>837</v>
      </c>
      <c r="E400">
        <v>1</v>
      </c>
      <c r="F400">
        <v>1</v>
      </c>
      <c r="G400">
        <v>1</v>
      </c>
    </row>
    <row r="401" spans="1:7" ht="14.25" customHeight="1" x14ac:dyDescent="0.25">
      <c r="A401">
        <v>7276</v>
      </c>
      <c r="B401" t="s">
        <v>17</v>
      </c>
      <c r="C401" t="s">
        <v>569</v>
      </c>
      <c r="D401" t="s">
        <v>838</v>
      </c>
      <c r="E401">
        <v>1</v>
      </c>
      <c r="F401">
        <v>1</v>
      </c>
      <c r="G401">
        <v>3</v>
      </c>
    </row>
    <row r="402" spans="1:7" ht="14.25" customHeight="1" x14ac:dyDescent="0.25">
      <c r="A402">
        <v>7157</v>
      </c>
      <c r="B402" t="s">
        <v>17</v>
      </c>
      <c r="C402" t="s">
        <v>625</v>
      </c>
      <c r="D402" t="s">
        <v>839</v>
      </c>
      <c r="E402">
        <v>1</v>
      </c>
      <c r="F402">
        <v>1</v>
      </c>
      <c r="G402">
        <v>1</v>
      </c>
    </row>
    <row r="403" spans="1:7" ht="14.25" customHeight="1" x14ac:dyDescent="0.25">
      <c r="A403">
        <v>5007</v>
      </c>
      <c r="B403" t="s">
        <v>17</v>
      </c>
      <c r="C403" t="s">
        <v>552</v>
      </c>
      <c r="D403" t="s">
        <v>843</v>
      </c>
      <c r="E403">
        <v>1</v>
      </c>
      <c r="F403">
        <v>1</v>
      </c>
      <c r="G403">
        <v>4</v>
      </c>
    </row>
    <row r="404" spans="1:7" ht="14.25" customHeight="1" x14ac:dyDescent="0.25">
      <c r="A404">
        <v>6889</v>
      </c>
      <c r="B404" t="s">
        <v>17</v>
      </c>
      <c r="C404" t="s">
        <v>553</v>
      </c>
      <c r="D404" t="s">
        <v>843</v>
      </c>
      <c r="E404">
        <v>1</v>
      </c>
      <c r="F404">
        <v>1</v>
      </c>
      <c r="G404">
        <v>4</v>
      </c>
    </row>
    <row r="405" spans="1:7" ht="14.25" customHeight="1" x14ac:dyDescent="0.25">
      <c r="A405">
        <v>7392</v>
      </c>
      <c r="B405" t="s">
        <v>17</v>
      </c>
      <c r="C405" t="s">
        <v>570</v>
      </c>
      <c r="D405" t="s">
        <v>835</v>
      </c>
      <c r="E405">
        <v>1</v>
      </c>
      <c r="F405">
        <v>1</v>
      </c>
      <c r="G405">
        <v>3</v>
      </c>
    </row>
    <row r="406" spans="1:7" ht="14.25" customHeight="1" x14ac:dyDescent="0.25">
      <c r="A406">
        <v>6212</v>
      </c>
      <c r="B406" t="s">
        <v>17</v>
      </c>
      <c r="C406" t="s">
        <v>554</v>
      </c>
      <c r="D406" t="s">
        <v>835</v>
      </c>
      <c r="E406">
        <v>1</v>
      </c>
      <c r="F406">
        <v>1</v>
      </c>
      <c r="G406">
        <v>4</v>
      </c>
    </row>
    <row r="407" spans="1:7" ht="14.25" customHeight="1" x14ac:dyDescent="0.25">
      <c r="A407">
        <v>5485</v>
      </c>
      <c r="B407" t="s">
        <v>17</v>
      </c>
      <c r="C407" t="s">
        <v>571</v>
      </c>
      <c r="D407" t="s">
        <v>840</v>
      </c>
      <c r="E407">
        <v>1</v>
      </c>
      <c r="F407">
        <v>1</v>
      </c>
      <c r="G407">
        <v>3</v>
      </c>
    </row>
    <row r="408" spans="1:7" ht="14.25" customHeight="1" x14ac:dyDescent="0.25">
      <c r="A408">
        <v>7481</v>
      </c>
      <c r="B408" t="s">
        <v>17</v>
      </c>
      <c r="C408" t="s">
        <v>626</v>
      </c>
      <c r="D408" t="s">
        <v>840</v>
      </c>
      <c r="E408">
        <v>1</v>
      </c>
      <c r="F408">
        <v>1</v>
      </c>
      <c r="G408">
        <v>1</v>
      </c>
    </row>
    <row r="409" spans="1:7" ht="14.25" customHeight="1" x14ac:dyDescent="0.25">
      <c r="A409">
        <v>2764</v>
      </c>
      <c r="B409" t="s">
        <v>18</v>
      </c>
      <c r="C409" t="s">
        <v>141</v>
      </c>
      <c r="D409" t="s">
        <v>825</v>
      </c>
      <c r="E409">
        <v>35</v>
      </c>
      <c r="F409">
        <v>35</v>
      </c>
      <c r="G409">
        <v>370</v>
      </c>
    </row>
    <row r="410" spans="1:7" ht="14.25" customHeight="1" x14ac:dyDescent="0.25">
      <c r="A410">
        <v>5585</v>
      </c>
      <c r="B410" t="s">
        <v>18</v>
      </c>
      <c r="C410" t="s">
        <v>142</v>
      </c>
      <c r="D410" t="s">
        <v>824</v>
      </c>
      <c r="E410">
        <v>34</v>
      </c>
      <c r="F410">
        <v>34</v>
      </c>
      <c r="G410">
        <v>365</v>
      </c>
    </row>
    <row r="411" spans="1:7" ht="14.25" customHeight="1" x14ac:dyDescent="0.25">
      <c r="A411">
        <v>4871</v>
      </c>
      <c r="B411" t="s">
        <v>18</v>
      </c>
      <c r="C411" t="s">
        <v>143</v>
      </c>
      <c r="D411" t="s">
        <v>825</v>
      </c>
      <c r="E411">
        <v>29</v>
      </c>
      <c r="F411">
        <v>29</v>
      </c>
      <c r="G411">
        <v>280</v>
      </c>
    </row>
    <row r="412" spans="1:7" ht="14.25" customHeight="1" x14ac:dyDescent="0.25">
      <c r="A412">
        <v>6052</v>
      </c>
      <c r="B412" t="s">
        <v>18</v>
      </c>
      <c r="C412" t="s">
        <v>144</v>
      </c>
      <c r="D412" t="s">
        <v>830</v>
      </c>
      <c r="E412">
        <v>28</v>
      </c>
      <c r="F412">
        <v>28</v>
      </c>
      <c r="G412">
        <v>271</v>
      </c>
    </row>
    <row r="413" spans="1:7" ht="14.25" customHeight="1" x14ac:dyDescent="0.25">
      <c r="A413">
        <v>6397</v>
      </c>
      <c r="B413" t="s">
        <v>18</v>
      </c>
      <c r="C413" t="s">
        <v>148</v>
      </c>
      <c r="D413" t="s">
        <v>828</v>
      </c>
      <c r="E413">
        <v>27</v>
      </c>
      <c r="F413">
        <v>27</v>
      </c>
      <c r="G413">
        <v>240</v>
      </c>
    </row>
    <row r="414" spans="1:7" ht="14.25" customHeight="1" x14ac:dyDescent="0.25">
      <c r="A414">
        <v>5951</v>
      </c>
      <c r="B414" t="s">
        <v>18</v>
      </c>
      <c r="C414" t="s">
        <v>150</v>
      </c>
      <c r="D414" t="s">
        <v>833</v>
      </c>
      <c r="E414">
        <v>26</v>
      </c>
      <c r="F414">
        <v>26</v>
      </c>
      <c r="G414">
        <v>225</v>
      </c>
    </row>
    <row r="415" spans="1:7" ht="14.25" customHeight="1" x14ac:dyDescent="0.25">
      <c r="A415">
        <v>2097</v>
      </c>
      <c r="B415" t="s">
        <v>18</v>
      </c>
      <c r="C415" t="s">
        <v>151</v>
      </c>
      <c r="D415" t="s">
        <v>829</v>
      </c>
      <c r="E415">
        <v>25</v>
      </c>
      <c r="F415">
        <v>25</v>
      </c>
      <c r="G415">
        <v>212</v>
      </c>
    </row>
    <row r="416" spans="1:7" ht="14.25" customHeight="1" x14ac:dyDescent="0.25">
      <c r="A416">
        <v>6434</v>
      </c>
      <c r="B416" t="s">
        <v>18</v>
      </c>
      <c r="C416" t="s">
        <v>153</v>
      </c>
      <c r="D416" t="s">
        <v>833</v>
      </c>
      <c r="E416">
        <v>23</v>
      </c>
      <c r="F416">
        <v>23</v>
      </c>
      <c r="G416">
        <v>200</v>
      </c>
    </row>
    <row r="417" spans="1:7" ht="14.25" customHeight="1" x14ac:dyDescent="0.25">
      <c r="A417">
        <v>7017</v>
      </c>
      <c r="B417" t="s">
        <v>18</v>
      </c>
      <c r="C417" t="s">
        <v>155</v>
      </c>
      <c r="D417" t="s">
        <v>827</v>
      </c>
      <c r="E417">
        <v>20</v>
      </c>
      <c r="F417">
        <v>20</v>
      </c>
      <c r="G417">
        <v>157</v>
      </c>
    </row>
    <row r="418" spans="1:7" ht="14.25" customHeight="1" x14ac:dyDescent="0.25">
      <c r="A418">
        <v>2137</v>
      </c>
      <c r="B418" t="s">
        <v>18</v>
      </c>
      <c r="C418" t="s">
        <v>157</v>
      </c>
      <c r="D418" t="s">
        <v>826</v>
      </c>
      <c r="E418">
        <v>19</v>
      </c>
      <c r="F418">
        <v>19</v>
      </c>
      <c r="G418">
        <v>128</v>
      </c>
    </row>
    <row r="419" spans="1:7" ht="14.25" customHeight="1" x14ac:dyDescent="0.25">
      <c r="A419">
        <v>5637</v>
      </c>
      <c r="B419" t="s">
        <v>18</v>
      </c>
      <c r="C419" t="s">
        <v>158</v>
      </c>
      <c r="D419" t="s">
        <v>835</v>
      </c>
      <c r="E419">
        <v>19</v>
      </c>
      <c r="F419">
        <v>19</v>
      </c>
      <c r="G419">
        <v>121</v>
      </c>
    </row>
    <row r="420" spans="1:7" ht="14.25" customHeight="1" x14ac:dyDescent="0.25">
      <c r="A420">
        <v>6435</v>
      </c>
      <c r="B420" t="s">
        <v>18</v>
      </c>
      <c r="C420" t="s">
        <v>164</v>
      </c>
      <c r="D420" t="s">
        <v>826</v>
      </c>
      <c r="E420">
        <v>18</v>
      </c>
      <c r="F420">
        <v>18</v>
      </c>
      <c r="G420">
        <v>100</v>
      </c>
    </row>
    <row r="421" spans="1:7" ht="14.25" customHeight="1" x14ac:dyDescent="0.25">
      <c r="A421">
        <v>4510</v>
      </c>
      <c r="B421" t="s">
        <v>18</v>
      </c>
      <c r="C421" t="s">
        <v>159</v>
      </c>
      <c r="D421" t="s">
        <v>828</v>
      </c>
      <c r="E421">
        <v>18</v>
      </c>
      <c r="F421">
        <v>18</v>
      </c>
      <c r="G421">
        <v>120</v>
      </c>
    </row>
    <row r="422" spans="1:7" ht="14.25" customHeight="1" x14ac:dyDescent="0.25">
      <c r="A422">
        <v>531</v>
      </c>
      <c r="B422" t="s">
        <v>18</v>
      </c>
      <c r="C422" t="s">
        <v>160</v>
      </c>
      <c r="D422" t="s">
        <v>839</v>
      </c>
      <c r="E422">
        <v>18</v>
      </c>
      <c r="F422">
        <v>18</v>
      </c>
      <c r="G422">
        <v>115</v>
      </c>
    </row>
    <row r="423" spans="1:7" ht="14.25" customHeight="1" x14ac:dyDescent="0.25">
      <c r="A423">
        <v>5995</v>
      </c>
      <c r="B423" t="s">
        <v>18</v>
      </c>
      <c r="C423" t="s">
        <v>161</v>
      </c>
      <c r="D423" t="s">
        <v>826</v>
      </c>
      <c r="E423">
        <v>17</v>
      </c>
      <c r="F423">
        <v>17</v>
      </c>
      <c r="G423">
        <v>106</v>
      </c>
    </row>
    <row r="424" spans="1:7" ht="14.25" customHeight="1" x14ac:dyDescent="0.25">
      <c r="A424">
        <v>6675</v>
      </c>
      <c r="B424" t="s">
        <v>18</v>
      </c>
      <c r="C424" t="s">
        <v>172</v>
      </c>
      <c r="D424" t="s">
        <v>831</v>
      </c>
      <c r="E424">
        <v>16</v>
      </c>
      <c r="F424">
        <v>16</v>
      </c>
      <c r="G424">
        <v>84</v>
      </c>
    </row>
    <row r="425" spans="1:7" ht="14.25" customHeight="1" x14ac:dyDescent="0.25">
      <c r="A425">
        <v>7071</v>
      </c>
      <c r="B425" t="s">
        <v>18</v>
      </c>
      <c r="C425" t="s">
        <v>165</v>
      </c>
      <c r="D425" t="s">
        <v>825</v>
      </c>
      <c r="E425">
        <v>16</v>
      </c>
      <c r="F425">
        <v>16</v>
      </c>
      <c r="G425">
        <v>93</v>
      </c>
    </row>
    <row r="426" spans="1:7" ht="14.25" customHeight="1" x14ac:dyDescent="0.25">
      <c r="A426">
        <v>7023</v>
      </c>
      <c r="B426" t="s">
        <v>18</v>
      </c>
      <c r="C426" t="s">
        <v>176</v>
      </c>
      <c r="D426" t="s">
        <v>838</v>
      </c>
      <c r="E426">
        <v>15</v>
      </c>
      <c r="F426">
        <v>15</v>
      </c>
      <c r="G426">
        <v>81</v>
      </c>
    </row>
    <row r="427" spans="1:7" ht="14.25" customHeight="1" x14ac:dyDescent="0.25">
      <c r="A427">
        <v>6060</v>
      </c>
      <c r="B427" t="s">
        <v>18</v>
      </c>
      <c r="C427" t="s">
        <v>170</v>
      </c>
      <c r="D427" t="s">
        <v>839</v>
      </c>
      <c r="E427">
        <v>15</v>
      </c>
      <c r="F427">
        <v>15</v>
      </c>
      <c r="G427">
        <v>88</v>
      </c>
    </row>
    <row r="428" spans="1:7" ht="14.25" customHeight="1" x14ac:dyDescent="0.25">
      <c r="A428">
        <v>2061</v>
      </c>
      <c r="B428" t="s">
        <v>18</v>
      </c>
      <c r="C428" t="s">
        <v>175</v>
      </c>
      <c r="D428" t="s">
        <v>843</v>
      </c>
      <c r="E428">
        <v>15</v>
      </c>
      <c r="F428">
        <v>15</v>
      </c>
      <c r="G428">
        <v>82</v>
      </c>
    </row>
    <row r="429" spans="1:7" ht="14.25" customHeight="1" x14ac:dyDescent="0.25">
      <c r="A429">
        <v>7351</v>
      </c>
      <c r="B429" t="s">
        <v>18</v>
      </c>
      <c r="C429" t="s">
        <v>187</v>
      </c>
      <c r="D429" t="s">
        <v>830</v>
      </c>
      <c r="E429">
        <v>14</v>
      </c>
      <c r="F429">
        <v>14</v>
      </c>
      <c r="G429">
        <v>60</v>
      </c>
    </row>
    <row r="430" spans="1:7" ht="14.25" customHeight="1" x14ac:dyDescent="0.25">
      <c r="A430">
        <v>309</v>
      </c>
      <c r="B430" t="s">
        <v>18</v>
      </c>
      <c r="C430" t="s">
        <v>179</v>
      </c>
      <c r="D430" t="s">
        <v>824</v>
      </c>
      <c r="E430">
        <v>14</v>
      </c>
      <c r="F430">
        <v>14</v>
      </c>
      <c r="G430">
        <v>67</v>
      </c>
    </row>
    <row r="431" spans="1:7" ht="14.25" customHeight="1" x14ac:dyDescent="0.25">
      <c r="A431">
        <v>6572</v>
      </c>
      <c r="B431" t="s">
        <v>18</v>
      </c>
      <c r="C431" t="s">
        <v>173</v>
      </c>
      <c r="D431" t="s">
        <v>824</v>
      </c>
      <c r="E431">
        <v>14</v>
      </c>
      <c r="F431">
        <v>14</v>
      </c>
      <c r="G431">
        <v>83</v>
      </c>
    </row>
    <row r="432" spans="1:7" ht="14.25" customHeight="1" x14ac:dyDescent="0.25">
      <c r="A432">
        <v>4371</v>
      </c>
      <c r="B432" t="s">
        <v>18</v>
      </c>
      <c r="C432" t="s">
        <v>184</v>
      </c>
      <c r="D432" t="s">
        <v>826</v>
      </c>
      <c r="E432">
        <v>13</v>
      </c>
      <c r="F432">
        <v>13</v>
      </c>
      <c r="G432">
        <v>62</v>
      </c>
    </row>
    <row r="433" spans="1:7" ht="14.25" customHeight="1" x14ac:dyDescent="0.25">
      <c r="A433">
        <v>4463</v>
      </c>
      <c r="B433" t="s">
        <v>18</v>
      </c>
      <c r="C433" t="s">
        <v>200</v>
      </c>
      <c r="D433" t="s">
        <v>832</v>
      </c>
      <c r="E433">
        <v>13</v>
      </c>
      <c r="F433">
        <v>13</v>
      </c>
      <c r="G433">
        <v>50</v>
      </c>
    </row>
    <row r="434" spans="1:7" ht="14.25" customHeight="1" x14ac:dyDescent="0.25">
      <c r="A434">
        <v>4728</v>
      </c>
      <c r="B434" t="s">
        <v>18</v>
      </c>
      <c r="C434" t="s">
        <v>195</v>
      </c>
      <c r="D434" t="s">
        <v>828</v>
      </c>
      <c r="E434">
        <v>13</v>
      </c>
      <c r="F434">
        <v>13</v>
      </c>
      <c r="G434">
        <v>52</v>
      </c>
    </row>
    <row r="435" spans="1:7" ht="14.25" customHeight="1" x14ac:dyDescent="0.25">
      <c r="A435">
        <v>2038</v>
      </c>
      <c r="B435" t="s">
        <v>18</v>
      </c>
      <c r="C435" t="s">
        <v>188</v>
      </c>
      <c r="D435" t="s">
        <v>839</v>
      </c>
      <c r="E435">
        <v>13</v>
      </c>
      <c r="F435">
        <v>13</v>
      </c>
      <c r="G435">
        <v>58</v>
      </c>
    </row>
    <row r="436" spans="1:7" ht="14.25" customHeight="1" x14ac:dyDescent="0.25">
      <c r="A436">
        <v>5734</v>
      </c>
      <c r="B436" t="s">
        <v>18</v>
      </c>
      <c r="C436" t="s">
        <v>193</v>
      </c>
      <c r="D436" t="s">
        <v>824</v>
      </c>
      <c r="E436">
        <v>12</v>
      </c>
      <c r="F436">
        <v>12</v>
      </c>
      <c r="G436">
        <v>55</v>
      </c>
    </row>
    <row r="437" spans="1:7" ht="14.25" customHeight="1" x14ac:dyDescent="0.25">
      <c r="A437">
        <v>7484</v>
      </c>
      <c r="B437" t="s">
        <v>18</v>
      </c>
      <c r="C437" t="s">
        <v>196</v>
      </c>
      <c r="D437" t="s">
        <v>840</v>
      </c>
      <c r="E437">
        <v>12</v>
      </c>
      <c r="F437">
        <v>12</v>
      </c>
      <c r="G437">
        <v>52</v>
      </c>
    </row>
    <row r="438" spans="1:7" ht="14.25" customHeight="1" x14ac:dyDescent="0.25">
      <c r="A438">
        <v>6967</v>
      </c>
      <c r="B438" t="s">
        <v>18</v>
      </c>
      <c r="C438" t="s">
        <v>201</v>
      </c>
      <c r="D438" t="s">
        <v>827</v>
      </c>
      <c r="E438">
        <v>11</v>
      </c>
      <c r="F438">
        <v>11</v>
      </c>
      <c r="G438">
        <v>50</v>
      </c>
    </row>
    <row r="439" spans="1:7" ht="14.25" customHeight="1" x14ac:dyDescent="0.25">
      <c r="A439">
        <v>4923</v>
      </c>
      <c r="B439" t="s">
        <v>18</v>
      </c>
      <c r="C439" t="s">
        <v>183</v>
      </c>
      <c r="D439" t="s">
        <v>836</v>
      </c>
      <c r="E439">
        <v>11</v>
      </c>
      <c r="F439">
        <v>11</v>
      </c>
      <c r="G439">
        <v>63</v>
      </c>
    </row>
    <row r="440" spans="1:7" ht="14.25" customHeight="1" x14ac:dyDescent="0.25">
      <c r="A440">
        <v>5672</v>
      </c>
      <c r="B440" t="s">
        <v>18</v>
      </c>
      <c r="C440" t="s">
        <v>244</v>
      </c>
      <c r="D440" t="s">
        <v>834</v>
      </c>
      <c r="E440">
        <v>10</v>
      </c>
      <c r="F440">
        <v>10</v>
      </c>
      <c r="G440">
        <v>31</v>
      </c>
    </row>
    <row r="441" spans="1:7" ht="14.25" customHeight="1" x14ac:dyDescent="0.25">
      <c r="A441">
        <v>7313</v>
      </c>
      <c r="B441" t="s">
        <v>18</v>
      </c>
      <c r="C441" t="s">
        <v>241</v>
      </c>
      <c r="D441" t="s">
        <v>834</v>
      </c>
      <c r="E441">
        <v>10</v>
      </c>
      <c r="F441">
        <v>10</v>
      </c>
      <c r="G441">
        <v>32</v>
      </c>
    </row>
    <row r="442" spans="1:7" ht="14.25" customHeight="1" x14ac:dyDescent="0.25">
      <c r="A442">
        <v>2531</v>
      </c>
      <c r="B442" t="s">
        <v>18</v>
      </c>
      <c r="C442" t="s">
        <v>211</v>
      </c>
      <c r="D442" t="s">
        <v>830</v>
      </c>
      <c r="E442">
        <v>10</v>
      </c>
      <c r="F442">
        <v>10</v>
      </c>
      <c r="G442">
        <v>45</v>
      </c>
    </row>
    <row r="443" spans="1:7" ht="14.25" customHeight="1" x14ac:dyDescent="0.25">
      <c r="A443">
        <v>7347</v>
      </c>
      <c r="B443" t="s">
        <v>18</v>
      </c>
      <c r="C443" t="s">
        <v>225</v>
      </c>
      <c r="D443" t="s">
        <v>839</v>
      </c>
      <c r="E443">
        <v>10</v>
      </c>
      <c r="F443">
        <v>10</v>
      </c>
      <c r="G443">
        <v>39</v>
      </c>
    </row>
    <row r="444" spans="1:7" ht="14.25" customHeight="1" x14ac:dyDescent="0.25">
      <c r="A444">
        <v>6530</v>
      </c>
      <c r="B444" t="s">
        <v>18</v>
      </c>
      <c r="C444" t="s">
        <v>248</v>
      </c>
      <c r="D444" t="s">
        <v>842</v>
      </c>
      <c r="E444">
        <v>9</v>
      </c>
      <c r="F444">
        <v>9</v>
      </c>
      <c r="G444">
        <v>30</v>
      </c>
    </row>
    <row r="445" spans="1:7" ht="14.25" customHeight="1" x14ac:dyDescent="0.25">
      <c r="A445">
        <v>5544</v>
      </c>
      <c r="B445" t="s">
        <v>18</v>
      </c>
      <c r="C445" t="s">
        <v>224</v>
      </c>
      <c r="D445" t="s">
        <v>833</v>
      </c>
      <c r="E445">
        <v>9</v>
      </c>
      <c r="F445">
        <v>9</v>
      </c>
      <c r="G445">
        <v>40</v>
      </c>
    </row>
    <row r="446" spans="1:7" ht="14.25" customHeight="1" x14ac:dyDescent="0.25">
      <c r="A446">
        <v>5029</v>
      </c>
      <c r="B446" t="s">
        <v>18</v>
      </c>
      <c r="C446" t="s">
        <v>269</v>
      </c>
      <c r="D446" t="s">
        <v>837</v>
      </c>
      <c r="E446">
        <v>9</v>
      </c>
      <c r="F446">
        <v>9</v>
      </c>
      <c r="G446">
        <v>25</v>
      </c>
    </row>
    <row r="447" spans="1:7" ht="14.25" customHeight="1" x14ac:dyDescent="0.25">
      <c r="A447">
        <v>2155</v>
      </c>
      <c r="B447" t="s">
        <v>18</v>
      </c>
      <c r="C447" t="s">
        <v>236</v>
      </c>
      <c r="D447" t="s">
        <v>841</v>
      </c>
      <c r="E447">
        <v>9</v>
      </c>
      <c r="F447">
        <v>9</v>
      </c>
      <c r="G447">
        <v>33</v>
      </c>
    </row>
    <row r="448" spans="1:7" ht="14.25" customHeight="1" x14ac:dyDescent="0.25">
      <c r="A448">
        <v>6646</v>
      </c>
      <c r="B448" t="s">
        <v>18</v>
      </c>
      <c r="C448" t="s">
        <v>242</v>
      </c>
      <c r="D448" t="s">
        <v>843</v>
      </c>
      <c r="E448">
        <v>9</v>
      </c>
      <c r="F448">
        <v>9</v>
      </c>
      <c r="G448">
        <v>32</v>
      </c>
    </row>
    <row r="449" spans="1:7" ht="14.25" customHeight="1" x14ac:dyDescent="0.25">
      <c r="A449">
        <v>6643</v>
      </c>
      <c r="B449" t="s">
        <v>18</v>
      </c>
      <c r="C449" t="s">
        <v>286</v>
      </c>
      <c r="D449" t="s">
        <v>831</v>
      </c>
      <c r="E449">
        <v>8</v>
      </c>
      <c r="F449">
        <v>8</v>
      </c>
      <c r="G449">
        <v>23</v>
      </c>
    </row>
    <row r="450" spans="1:7" ht="14.25" customHeight="1" x14ac:dyDescent="0.25">
      <c r="A450">
        <v>4359</v>
      </c>
      <c r="B450" t="s">
        <v>18</v>
      </c>
      <c r="C450" t="s">
        <v>277</v>
      </c>
      <c r="D450" t="s">
        <v>829</v>
      </c>
      <c r="E450">
        <v>8</v>
      </c>
      <c r="F450">
        <v>8</v>
      </c>
      <c r="G450">
        <v>24</v>
      </c>
    </row>
    <row r="451" spans="1:7" ht="14.25" customHeight="1" x14ac:dyDescent="0.25">
      <c r="A451">
        <v>6164</v>
      </c>
      <c r="B451" t="s">
        <v>18</v>
      </c>
      <c r="C451" t="s">
        <v>308</v>
      </c>
      <c r="D451" t="s">
        <v>836</v>
      </c>
      <c r="E451">
        <v>8</v>
      </c>
      <c r="F451">
        <v>8</v>
      </c>
      <c r="G451">
        <v>20</v>
      </c>
    </row>
    <row r="452" spans="1:7" ht="14.25" customHeight="1" x14ac:dyDescent="0.25">
      <c r="A452">
        <v>6904</v>
      </c>
      <c r="B452" t="s">
        <v>18</v>
      </c>
      <c r="C452" t="s">
        <v>254</v>
      </c>
      <c r="D452" t="s">
        <v>840</v>
      </c>
      <c r="E452">
        <v>8</v>
      </c>
      <c r="F452">
        <v>8</v>
      </c>
      <c r="G452">
        <v>28</v>
      </c>
    </row>
    <row r="453" spans="1:7" ht="14.25" customHeight="1" x14ac:dyDescent="0.25">
      <c r="A453">
        <v>7449</v>
      </c>
      <c r="B453" t="s">
        <v>18</v>
      </c>
      <c r="C453" t="s">
        <v>309</v>
      </c>
      <c r="D453" t="s">
        <v>840</v>
      </c>
      <c r="E453">
        <v>8</v>
      </c>
      <c r="F453">
        <v>8</v>
      </c>
      <c r="G453">
        <v>20</v>
      </c>
    </row>
    <row r="454" spans="1:7" ht="14.25" customHeight="1" x14ac:dyDescent="0.25">
      <c r="A454">
        <v>5436</v>
      </c>
      <c r="B454" t="s">
        <v>18</v>
      </c>
      <c r="C454" t="s">
        <v>278</v>
      </c>
      <c r="D454" t="s">
        <v>842</v>
      </c>
      <c r="E454">
        <v>7</v>
      </c>
      <c r="F454">
        <v>7</v>
      </c>
      <c r="G454">
        <v>24</v>
      </c>
    </row>
    <row r="455" spans="1:7" ht="14.25" customHeight="1" x14ac:dyDescent="0.25">
      <c r="A455">
        <v>6669</v>
      </c>
      <c r="B455" t="s">
        <v>18</v>
      </c>
      <c r="C455" t="s">
        <v>296</v>
      </c>
      <c r="D455" t="s">
        <v>825</v>
      </c>
      <c r="E455">
        <v>7</v>
      </c>
      <c r="F455">
        <v>7</v>
      </c>
      <c r="G455">
        <v>21</v>
      </c>
    </row>
    <row r="456" spans="1:7" ht="14.25" customHeight="1" x14ac:dyDescent="0.25">
      <c r="A456">
        <v>7252</v>
      </c>
      <c r="B456" t="s">
        <v>18</v>
      </c>
      <c r="C456" t="s">
        <v>335</v>
      </c>
      <c r="D456" t="s">
        <v>837</v>
      </c>
      <c r="E456">
        <v>7</v>
      </c>
      <c r="F456">
        <v>7</v>
      </c>
      <c r="G456">
        <v>18</v>
      </c>
    </row>
    <row r="457" spans="1:7" ht="14.25" customHeight="1" x14ac:dyDescent="0.25">
      <c r="A457">
        <v>608</v>
      </c>
      <c r="B457" t="s">
        <v>18</v>
      </c>
      <c r="C457" t="s">
        <v>336</v>
      </c>
      <c r="D457" t="s">
        <v>843</v>
      </c>
      <c r="E457">
        <v>7</v>
      </c>
      <c r="F457">
        <v>7</v>
      </c>
      <c r="G457">
        <v>18</v>
      </c>
    </row>
    <row r="458" spans="1:7" ht="14.25" customHeight="1" x14ac:dyDescent="0.25">
      <c r="A458">
        <v>5918</v>
      </c>
      <c r="B458" t="s">
        <v>18</v>
      </c>
      <c r="C458" t="s">
        <v>353</v>
      </c>
      <c r="D458" t="s">
        <v>826</v>
      </c>
      <c r="E458">
        <v>6</v>
      </c>
      <c r="F458">
        <v>6</v>
      </c>
      <c r="G458">
        <v>16</v>
      </c>
    </row>
    <row r="459" spans="1:7" ht="14.25" customHeight="1" x14ac:dyDescent="0.25">
      <c r="A459">
        <v>6598</v>
      </c>
      <c r="B459" t="s">
        <v>18</v>
      </c>
      <c r="C459" t="s">
        <v>318</v>
      </c>
      <c r="D459" t="s">
        <v>832</v>
      </c>
      <c r="E459">
        <v>6</v>
      </c>
      <c r="F459">
        <v>6</v>
      </c>
      <c r="G459">
        <v>19</v>
      </c>
    </row>
    <row r="460" spans="1:7" ht="14.25" customHeight="1" x14ac:dyDescent="0.25">
      <c r="A460">
        <v>2832</v>
      </c>
      <c r="B460" t="s">
        <v>18</v>
      </c>
      <c r="C460" t="s">
        <v>270</v>
      </c>
      <c r="D460" t="s">
        <v>833</v>
      </c>
      <c r="E460">
        <v>6</v>
      </c>
      <c r="F460">
        <v>6</v>
      </c>
      <c r="G460">
        <v>25</v>
      </c>
    </row>
    <row r="461" spans="1:7" ht="14.25" customHeight="1" x14ac:dyDescent="0.25">
      <c r="A461">
        <v>6556</v>
      </c>
      <c r="B461" t="s">
        <v>18</v>
      </c>
      <c r="C461" t="s">
        <v>343</v>
      </c>
      <c r="D461" t="s">
        <v>834</v>
      </c>
      <c r="E461">
        <v>6</v>
      </c>
      <c r="F461">
        <v>6</v>
      </c>
      <c r="G461">
        <v>17</v>
      </c>
    </row>
    <row r="462" spans="1:7" ht="14.25" customHeight="1" x14ac:dyDescent="0.25">
      <c r="A462">
        <v>7008</v>
      </c>
      <c r="B462" t="s">
        <v>18</v>
      </c>
      <c r="C462" t="s">
        <v>380</v>
      </c>
      <c r="D462" t="s">
        <v>828</v>
      </c>
      <c r="E462">
        <v>6</v>
      </c>
      <c r="F462">
        <v>6</v>
      </c>
      <c r="G462">
        <v>14</v>
      </c>
    </row>
    <row r="463" spans="1:7" ht="14.25" customHeight="1" x14ac:dyDescent="0.25">
      <c r="A463">
        <v>6831</v>
      </c>
      <c r="B463" t="s">
        <v>18</v>
      </c>
      <c r="C463" t="s">
        <v>291</v>
      </c>
      <c r="D463" t="s">
        <v>830</v>
      </c>
      <c r="E463">
        <v>6</v>
      </c>
      <c r="F463">
        <v>6</v>
      </c>
      <c r="G463">
        <v>22</v>
      </c>
    </row>
    <row r="464" spans="1:7" ht="14.25" customHeight="1" x14ac:dyDescent="0.25">
      <c r="A464">
        <v>4896</v>
      </c>
      <c r="B464" t="s">
        <v>18</v>
      </c>
      <c r="C464" t="s">
        <v>381</v>
      </c>
      <c r="D464" t="s">
        <v>826</v>
      </c>
      <c r="E464">
        <v>5</v>
      </c>
      <c r="F464">
        <v>5</v>
      </c>
      <c r="G464">
        <v>14</v>
      </c>
    </row>
    <row r="465" spans="1:7" ht="14.25" customHeight="1" x14ac:dyDescent="0.25">
      <c r="A465">
        <v>6519</v>
      </c>
      <c r="B465" t="s">
        <v>18</v>
      </c>
      <c r="C465" t="s">
        <v>337</v>
      </c>
      <c r="D465" t="s">
        <v>828</v>
      </c>
      <c r="E465">
        <v>5</v>
      </c>
      <c r="F465">
        <v>5</v>
      </c>
      <c r="G465">
        <v>18</v>
      </c>
    </row>
    <row r="466" spans="1:7" ht="14.25" customHeight="1" x14ac:dyDescent="0.25">
      <c r="A466">
        <v>5882</v>
      </c>
      <c r="B466" t="s">
        <v>18</v>
      </c>
      <c r="C466" t="s">
        <v>338</v>
      </c>
      <c r="D466" t="s">
        <v>841</v>
      </c>
      <c r="E466">
        <v>5</v>
      </c>
      <c r="F466">
        <v>5</v>
      </c>
      <c r="G466">
        <v>18</v>
      </c>
    </row>
    <row r="467" spans="1:7" ht="14.25" customHeight="1" x14ac:dyDescent="0.25">
      <c r="A467">
        <v>7213</v>
      </c>
      <c r="B467" t="s">
        <v>18</v>
      </c>
      <c r="C467" t="s">
        <v>399</v>
      </c>
      <c r="D467" t="s">
        <v>838</v>
      </c>
      <c r="E467">
        <v>5</v>
      </c>
      <c r="F467">
        <v>5</v>
      </c>
      <c r="G467">
        <v>13</v>
      </c>
    </row>
    <row r="468" spans="1:7" ht="14.25" customHeight="1" x14ac:dyDescent="0.25">
      <c r="A468">
        <v>4387</v>
      </c>
      <c r="B468" t="s">
        <v>18</v>
      </c>
      <c r="C468" t="s">
        <v>382</v>
      </c>
      <c r="D468" t="s">
        <v>840</v>
      </c>
      <c r="E468">
        <v>5</v>
      </c>
      <c r="F468">
        <v>5</v>
      </c>
      <c r="G468">
        <v>14</v>
      </c>
    </row>
    <row r="469" spans="1:7" ht="14.25" customHeight="1" x14ac:dyDescent="0.25">
      <c r="A469">
        <v>6243</v>
      </c>
      <c r="B469" t="s">
        <v>18</v>
      </c>
      <c r="C469" t="s">
        <v>476</v>
      </c>
      <c r="D469" t="s">
        <v>832</v>
      </c>
      <c r="E469">
        <v>4</v>
      </c>
      <c r="F469">
        <v>4</v>
      </c>
      <c r="G469">
        <v>9</v>
      </c>
    </row>
    <row r="470" spans="1:7" ht="14.25" customHeight="1" x14ac:dyDescent="0.25">
      <c r="A470">
        <v>7374</v>
      </c>
      <c r="B470" t="s">
        <v>18</v>
      </c>
      <c r="C470" t="s">
        <v>477</v>
      </c>
      <c r="D470" t="s">
        <v>832</v>
      </c>
      <c r="E470">
        <v>4</v>
      </c>
      <c r="F470">
        <v>4</v>
      </c>
      <c r="G470">
        <v>9</v>
      </c>
    </row>
    <row r="471" spans="1:7" ht="14.25" customHeight="1" x14ac:dyDescent="0.25">
      <c r="A471">
        <v>313</v>
      </c>
      <c r="B471" t="s">
        <v>18</v>
      </c>
      <c r="C471" t="s">
        <v>463</v>
      </c>
      <c r="D471" t="s">
        <v>827</v>
      </c>
      <c r="E471">
        <v>4</v>
      </c>
      <c r="F471">
        <v>4</v>
      </c>
      <c r="G471">
        <v>10</v>
      </c>
    </row>
    <row r="472" spans="1:7" ht="14.25" customHeight="1" x14ac:dyDescent="0.25">
      <c r="A472">
        <v>6204</v>
      </c>
      <c r="B472" t="s">
        <v>18</v>
      </c>
      <c r="C472" t="s">
        <v>364</v>
      </c>
      <c r="D472" t="s">
        <v>842</v>
      </c>
      <c r="E472">
        <v>4</v>
      </c>
      <c r="F472">
        <v>4</v>
      </c>
      <c r="G472">
        <v>15</v>
      </c>
    </row>
    <row r="473" spans="1:7" ht="14.25" customHeight="1" x14ac:dyDescent="0.25">
      <c r="A473">
        <v>7453</v>
      </c>
      <c r="B473" t="s">
        <v>18</v>
      </c>
      <c r="C473" t="s">
        <v>478</v>
      </c>
      <c r="D473" t="s">
        <v>836</v>
      </c>
      <c r="E473">
        <v>4</v>
      </c>
      <c r="F473">
        <v>4</v>
      </c>
      <c r="G473">
        <v>9</v>
      </c>
    </row>
    <row r="474" spans="1:7" ht="14.25" customHeight="1" x14ac:dyDescent="0.25">
      <c r="A474">
        <v>7162</v>
      </c>
      <c r="B474" t="s">
        <v>18</v>
      </c>
      <c r="C474" t="s">
        <v>464</v>
      </c>
      <c r="D474" t="s">
        <v>830</v>
      </c>
      <c r="E474">
        <v>4</v>
      </c>
      <c r="F474">
        <v>4</v>
      </c>
      <c r="G474">
        <v>10</v>
      </c>
    </row>
    <row r="475" spans="1:7" ht="14.25" customHeight="1" x14ac:dyDescent="0.25">
      <c r="A475">
        <v>7349</v>
      </c>
      <c r="B475" t="s">
        <v>18</v>
      </c>
      <c r="C475" t="s">
        <v>479</v>
      </c>
      <c r="D475" t="s">
        <v>843</v>
      </c>
      <c r="E475">
        <v>4</v>
      </c>
      <c r="F475">
        <v>4</v>
      </c>
      <c r="G475">
        <v>9</v>
      </c>
    </row>
    <row r="476" spans="1:7" ht="14.25" customHeight="1" x14ac:dyDescent="0.25">
      <c r="A476">
        <v>7272</v>
      </c>
      <c r="B476" t="s">
        <v>18</v>
      </c>
      <c r="C476" t="s">
        <v>509</v>
      </c>
      <c r="D476" t="s">
        <v>835</v>
      </c>
      <c r="E476">
        <v>4</v>
      </c>
      <c r="F476">
        <v>4</v>
      </c>
      <c r="G476">
        <v>7</v>
      </c>
    </row>
    <row r="477" spans="1:7" ht="14.25" customHeight="1" x14ac:dyDescent="0.25">
      <c r="A477">
        <v>7128</v>
      </c>
      <c r="B477" t="s">
        <v>18</v>
      </c>
      <c r="C477" t="s">
        <v>536</v>
      </c>
      <c r="D477" t="s">
        <v>827</v>
      </c>
      <c r="E477">
        <v>3</v>
      </c>
      <c r="F477">
        <v>3</v>
      </c>
      <c r="G477">
        <v>5</v>
      </c>
    </row>
    <row r="478" spans="1:7" ht="14.25" customHeight="1" x14ac:dyDescent="0.25">
      <c r="A478">
        <v>6822</v>
      </c>
      <c r="B478" t="s">
        <v>18</v>
      </c>
      <c r="C478" t="s">
        <v>465</v>
      </c>
      <c r="D478" t="s">
        <v>833</v>
      </c>
      <c r="E478">
        <v>3</v>
      </c>
      <c r="F478">
        <v>3</v>
      </c>
      <c r="G478">
        <v>10</v>
      </c>
    </row>
    <row r="479" spans="1:7" ht="14.25" customHeight="1" x14ac:dyDescent="0.25">
      <c r="A479">
        <v>7001</v>
      </c>
      <c r="B479" t="s">
        <v>18</v>
      </c>
      <c r="C479" t="s">
        <v>480</v>
      </c>
      <c r="D479" t="s">
        <v>837</v>
      </c>
      <c r="E479">
        <v>3</v>
      </c>
      <c r="F479">
        <v>3</v>
      </c>
      <c r="G479">
        <v>9</v>
      </c>
    </row>
    <row r="480" spans="1:7" ht="14.25" customHeight="1" x14ac:dyDescent="0.25">
      <c r="A480">
        <v>7523</v>
      </c>
      <c r="B480" t="s">
        <v>18</v>
      </c>
      <c r="C480" t="s">
        <v>510</v>
      </c>
      <c r="D480" t="s">
        <v>841</v>
      </c>
      <c r="E480">
        <v>3</v>
      </c>
      <c r="F480">
        <v>3</v>
      </c>
      <c r="G480">
        <v>7</v>
      </c>
    </row>
    <row r="481" spans="1:7" ht="14.25" customHeight="1" x14ac:dyDescent="0.25">
      <c r="A481">
        <v>7120</v>
      </c>
      <c r="B481" t="s">
        <v>18</v>
      </c>
      <c r="C481" t="s">
        <v>466</v>
      </c>
      <c r="D481" t="s">
        <v>830</v>
      </c>
      <c r="E481">
        <v>3</v>
      </c>
      <c r="F481">
        <v>3</v>
      </c>
      <c r="G481">
        <v>10</v>
      </c>
    </row>
    <row r="482" spans="1:7" ht="14.25" customHeight="1" x14ac:dyDescent="0.25">
      <c r="A482">
        <v>6215</v>
      </c>
      <c r="B482" t="s">
        <v>18</v>
      </c>
      <c r="C482" t="s">
        <v>467</v>
      </c>
      <c r="D482" t="s">
        <v>830</v>
      </c>
      <c r="E482">
        <v>3</v>
      </c>
      <c r="F482">
        <v>3</v>
      </c>
      <c r="G482">
        <v>10</v>
      </c>
    </row>
    <row r="483" spans="1:7" ht="14.25" customHeight="1" x14ac:dyDescent="0.25">
      <c r="A483">
        <v>7342</v>
      </c>
      <c r="B483" t="s">
        <v>18</v>
      </c>
      <c r="C483" t="s">
        <v>441</v>
      </c>
      <c r="D483" t="s">
        <v>838</v>
      </c>
      <c r="E483">
        <v>3</v>
      </c>
      <c r="F483">
        <v>3</v>
      </c>
      <c r="G483">
        <v>11</v>
      </c>
    </row>
    <row r="484" spans="1:7" ht="14.25" customHeight="1" x14ac:dyDescent="0.25">
      <c r="A484">
        <v>383</v>
      </c>
      <c r="B484" t="s">
        <v>18</v>
      </c>
      <c r="C484" t="s">
        <v>537</v>
      </c>
      <c r="D484" t="s">
        <v>841</v>
      </c>
      <c r="E484">
        <v>2</v>
      </c>
      <c r="F484">
        <v>2</v>
      </c>
      <c r="G484">
        <v>5</v>
      </c>
    </row>
    <row r="485" spans="1:7" ht="14.25" customHeight="1" x14ac:dyDescent="0.25">
      <c r="A485">
        <v>7249</v>
      </c>
      <c r="B485" t="s">
        <v>18</v>
      </c>
      <c r="C485" t="s">
        <v>555</v>
      </c>
      <c r="D485" t="s">
        <v>835</v>
      </c>
      <c r="E485">
        <v>2</v>
      </c>
      <c r="F485">
        <v>2</v>
      </c>
      <c r="G485">
        <v>4</v>
      </c>
    </row>
    <row r="486" spans="1:7" ht="14.25" customHeight="1" x14ac:dyDescent="0.25">
      <c r="A486">
        <v>7338</v>
      </c>
      <c r="B486" t="s">
        <v>18</v>
      </c>
      <c r="C486" t="s">
        <v>627</v>
      </c>
      <c r="D486" t="s">
        <v>832</v>
      </c>
      <c r="E486">
        <v>1</v>
      </c>
      <c r="F486">
        <v>1</v>
      </c>
      <c r="G486">
        <v>1</v>
      </c>
    </row>
    <row r="487" spans="1:7" ht="14.25" customHeight="1" x14ac:dyDescent="0.25">
      <c r="A487">
        <v>7317</v>
      </c>
      <c r="B487" t="s">
        <v>18</v>
      </c>
      <c r="C487" t="s">
        <v>579</v>
      </c>
      <c r="D487" t="s">
        <v>832</v>
      </c>
      <c r="E487">
        <v>1</v>
      </c>
      <c r="F487">
        <v>1</v>
      </c>
      <c r="G487">
        <v>2</v>
      </c>
    </row>
    <row r="488" spans="1:7" ht="14.25" customHeight="1" x14ac:dyDescent="0.25">
      <c r="A488">
        <v>7027</v>
      </c>
      <c r="B488" t="s">
        <v>18</v>
      </c>
      <c r="C488" t="s">
        <v>628</v>
      </c>
      <c r="D488" t="s">
        <v>827</v>
      </c>
      <c r="E488">
        <v>1</v>
      </c>
      <c r="F488">
        <v>1</v>
      </c>
      <c r="G488">
        <v>1</v>
      </c>
    </row>
    <row r="489" spans="1:7" ht="14.25" customHeight="1" x14ac:dyDescent="0.25">
      <c r="A489">
        <v>6981</v>
      </c>
      <c r="B489" t="s">
        <v>18</v>
      </c>
      <c r="C489" t="s">
        <v>556</v>
      </c>
      <c r="D489" t="s">
        <v>824</v>
      </c>
      <c r="E489">
        <v>1</v>
      </c>
      <c r="F489">
        <v>1</v>
      </c>
      <c r="G489">
        <v>4</v>
      </c>
    </row>
    <row r="490" spans="1:7" ht="14.25" customHeight="1" x14ac:dyDescent="0.25">
      <c r="A490">
        <v>7158</v>
      </c>
      <c r="B490" t="s">
        <v>18</v>
      </c>
      <c r="C490" t="s">
        <v>629</v>
      </c>
      <c r="D490" t="s">
        <v>839</v>
      </c>
      <c r="E490">
        <v>1</v>
      </c>
      <c r="F490">
        <v>1</v>
      </c>
      <c r="G490">
        <v>1</v>
      </c>
    </row>
    <row r="491" spans="1:7" ht="14.25" customHeight="1" x14ac:dyDescent="0.25">
      <c r="A491">
        <v>7161</v>
      </c>
      <c r="B491" t="s">
        <v>18</v>
      </c>
      <c r="C491" t="s">
        <v>572</v>
      </c>
      <c r="D491" t="s">
        <v>835</v>
      </c>
      <c r="E491">
        <v>1</v>
      </c>
      <c r="F491">
        <v>1</v>
      </c>
      <c r="G491">
        <v>3</v>
      </c>
    </row>
    <row r="492" spans="1:7" ht="14.25" customHeight="1" x14ac:dyDescent="0.25">
      <c r="A492">
        <v>7408</v>
      </c>
      <c r="B492" t="s">
        <v>18</v>
      </c>
      <c r="C492" t="s">
        <v>630</v>
      </c>
      <c r="D492" t="s">
        <v>840</v>
      </c>
      <c r="E492">
        <v>1</v>
      </c>
      <c r="F492">
        <v>1</v>
      </c>
      <c r="G492">
        <v>1</v>
      </c>
    </row>
    <row r="493" spans="1:7" ht="14.25" customHeight="1" x14ac:dyDescent="0.25">
      <c r="A493">
        <v>7482</v>
      </c>
      <c r="B493" t="s">
        <v>18</v>
      </c>
      <c r="C493" t="s">
        <v>631</v>
      </c>
      <c r="D493" t="s">
        <v>840</v>
      </c>
      <c r="E493">
        <v>1</v>
      </c>
      <c r="F493">
        <v>1</v>
      </c>
      <c r="G493">
        <v>1</v>
      </c>
    </row>
  </sheetData>
  <mergeCells count="1">
    <mergeCell ref="A1:G1"/>
  </mergeCells>
  <pageMargins left="0.7" right="0.7" top="0.75" bottom="0.75" header="0.511811023622047" footer="0.511811023622047"/>
  <pageSetup paperSize="9" orientation="portrait" horizontalDpi="300" verticalDpi="300"/>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R665"/>
  <sheetViews>
    <sheetView showGridLines="0" topLeftCell="A88" zoomScaleNormal="100" workbookViewId="0">
      <selection sqref="A1:R1"/>
    </sheetView>
  </sheetViews>
  <sheetFormatPr defaultColWidth="8.5703125" defaultRowHeight="15" x14ac:dyDescent="0.25"/>
  <cols>
    <col min="1" max="1" width="7" customWidth="1"/>
    <col min="2" max="2" width="4" customWidth="1"/>
    <col min="3" max="3" width="5" customWidth="1"/>
    <col min="4" max="4" width="20" customWidth="1"/>
    <col min="5" max="5" width="14" customWidth="1"/>
    <col min="6" max="6" width="5" customWidth="1"/>
    <col min="7" max="8" width="6" customWidth="1"/>
    <col min="9" max="15" width="5" customWidth="1"/>
    <col min="16" max="16" width="6" customWidth="1"/>
    <col min="17" max="18" width="5" customWidth="1"/>
  </cols>
  <sheetData>
    <row r="1" spans="1:18" ht="15.75" customHeight="1" x14ac:dyDescent="0.25">
      <c r="A1" s="77" t="s">
        <v>844</v>
      </c>
      <c r="B1" s="62"/>
      <c r="C1" s="62"/>
      <c r="D1" s="62"/>
      <c r="E1" s="62"/>
      <c r="F1" s="62"/>
      <c r="G1" s="62"/>
      <c r="H1" s="62"/>
      <c r="I1" s="62"/>
      <c r="J1" s="62"/>
      <c r="K1" s="62"/>
      <c r="L1" s="62"/>
      <c r="M1" s="62"/>
      <c r="N1" s="62"/>
      <c r="O1" s="62"/>
      <c r="P1" s="62"/>
      <c r="Q1" s="62"/>
      <c r="R1" s="62"/>
    </row>
    <row r="2" spans="1:18" ht="15" customHeight="1" x14ac:dyDescent="0.25">
      <c r="A2" s="10" t="s">
        <v>107</v>
      </c>
      <c r="B2" s="10" t="s">
        <v>108</v>
      </c>
      <c r="C2" s="10" t="s">
        <v>845</v>
      </c>
      <c r="D2" s="10" t="s">
        <v>109</v>
      </c>
      <c r="E2" s="10" t="s">
        <v>804</v>
      </c>
      <c r="F2" s="10" t="s">
        <v>846</v>
      </c>
      <c r="G2" s="10" t="s">
        <v>847</v>
      </c>
      <c r="H2" s="10" t="s">
        <v>848</v>
      </c>
      <c r="I2" s="10" t="s">
        <v>849</v>
      </c>
      <c r="J2" s="10" t="s">
        <v>850</v>
      </c>
      <c r="K2" s="10" t="s">
        <v>851</v>
      </c>
      <c r="L2" s="10" t="s">
        <v>852</v>
      </c>
      <c r="M2" s="10" t="s">
        <v>853</v>
      </c>
      <c r="N2" s="10" t="s">
        <v>854</v>
      </c>
      <c r="O2" s="10" t="s">
        <v>855</v>
      </c>
      <c r="P2" s="10" t="s">
        <v>856</v>
      </c>
      <c r="Q2" s="10" t="s">
        <v>857</v>
      </c>
      <c r="R2" s="10" t="s">
        <v>858</v>
      </c>
    </row>
    <row r="3" spans="1:18" ht="15" customHeight="1" x14ac:dyDescent="0.25">
      <c r="A3" s="5">
        <v>4431</v>
      </c>
      <c r="B3" s="5" t="s">
        <v>15</v>
      </c>
      <c r="C3" s="5" t="s">
        <v>859</v>
      </c>
      <c r="D3" s="5" t="s">
        <v>194</v>
      </c>
      <c r="E3" s="5" t="s">
        <v>826</v>
      </c>
      <c r="F3" s="5">
        <v>37</v>
      </c>
      <c r="G3" s="5">
        <v>6.36</v>
      </c>
      <c r="H3" s="5">
        <v>5.58</v>
      </c>
      <c r="I3" s="5">
        <v>0</v>
      </c>
      <c r="J3" s="5">
        <v>35</v>
      </c>
      <c r="K3" s="5">
        <v>2</v>
      </c>
      <c r="L3" s="5">
        <v>0</v>
      </c>
      <c r="M3" s="5">
        <v>0</v>
      </c>
      <c r="N3" s="5">
        <v>0</v>
      </c>
      <c r="O3" s="5">
        <v>0</v>
      </c>
      <c r="P3" s="5">
        <v>0</v>
      </c>
      <c r="Q3" s="5">
        <v>0</v>
      </c>
      <c r="R3" s="5">
        <v>0</v>
      </c>
    </row>
    <row r="4" spans="1:18" ht="15" customHeight="1" x14ac:dyDescent="0.25">
      <c r="A4" s="5">
        <v>2170</v>
      </c>
      <c r="B4" s="5" t="s">
        <v>15</v>
      </c>
      <c r="C4" s="5" t="s">
        <v>859</v>
      </c>
      <c r="D4" s="5" t="s">
        <v>443</v>
      </c>
      <c r="E4" s="5" t="s">
        <v>830</v>
      </c>
      <c r="F4" s="5">
        <v>27</v>
      </c>
      <c r="G4" s="5">
        <v>6.2</v>
      </c>
      <c r="H4" s="5">
        <v>5.65</v>
      </c>
      <c r="I4" s="5">
        <v>0</v>
      </c>
      <c r="J4" s="5">
        <v>24</v>
      </c>
      <c r="K4" s="5">
        <v>3</v>
      </c>
      <c r="L4" s="5">
        <v>0</v>
      </c>
      <c r="M4" s="5">
        <v>0</v>
      </c>
      <c r="N4" s="5">
        <v>0</v>
      </c>
      <c r="O4" s="5">
        <v>0</v>
      </c>
      <c r="P4" s="5">
        <v>0</v>
      </c>
      <c r="Q4" s="5">
        <v>0</v>
      </c>
      <c r="R4" s="5">
        <v>0</v>
      </c>
    </row>
    <row r="5" spans="1:18" ht="15" customHeight="1" x14ac:dyDescent="0.25">
      <c r="A5" s="5">
        <v>5841</v>
      </c>
      <c r="B5" s="5" t="s">
        <v>15</v>
      </c>
      <c r="C5" s="5" t="s">
        <v>859</v>
      </c>
      <c r="D5" s="5" t="s">
        <v>180</v>
      </c>
      <c r="E5" s="5" t="s">
        <v>824</v>
      </c>
      <c r="F5" s="5">
        <v>38</v>
      </c>
      <c r="G5" s="5">
        <v>6.26</v>
      </c>
      <c r="H5" s="5">
        <v>5.45</v>
      </c>
      <c r="I5" s="5">
        <v>0</v>
      </c>
      <c r="J5" s="5">
        <v>31</v>
      </c>
      <c r="K5" s="5">
        <v>0</v>
      </c>
      <c r="L5" s="5">
        <v>0</v>
      </c>
      <c r="M5" s="5">
        <v>0</v>
      </c>
      <c r="N5" s="5">
        <v>0</v>
      </c>
      <c r="O5" s="5">
        <v>0</v>
      </c>
      <c r="P5" s="5">
        <v>0</v>
      </c>
      <c r="Q5" s="5">
        <v>0</v>
      </c>
      <c r="R5" s="5">
        <v>0</v>
      </c>
    </row>
    <row r="6" spans="1:18" ht="15" customHeight="1" x14ac:dyDescent="0.25">
      <c r="A6" s="5">
        <v>6966</v>
      </c>
      <c r="B6" s="5" t="s">
        <v>15</v>
      </c>
      <c r="C6" s="5" t="s">
        <v>859</v>
      </c>
      <c r="D6" s="5" t="s">
        <v>190</v>
      </c>
      <c r="E6" s="5" t="s">
        <v>827</v>
      </c>
      <c r="F6" s="5">
        <v>38</v>
      </c>
      <c r="G6" s="5">
        <v>6.07</v>
      </c>
      <c r="H6" s="5">
        <v>5.37</v>
      </c>
      <c r="I6" s="5">
        <v>0</v>
      </c>
      <c r="J6" s="5">
        <v>29</v>
      </c>
      <c r="K6" s="5">
        <v>1</v>
      </c>
      <c r="L6" s="5">
        <v>0</v>
      </c>
      <c r="M6" s="5">
        <v>0</v>
      </c>
      <c r="N6" s="5">
        <v>0</v>
      </c>
      <c r="O6" s="5">
        <v>1</v>
      </c>
      <c r="P6" s="5">
        <v>3</v>
      </c>
      <c r="Q6" s="5">
        <v>0</v>
      </c>
      <c r="R6" s="5">
        <v>0</v>
      </c>
    </row>
    <row r="7" spans="1:18" ht="15" customHeight="1" x14ac:dyDescent="0.25">
      <c r="A7" s="5">
        <v>4312</v>
      </c>
      <c r="B7" s="5" t="s">
        <v>15</v>
      </c>
      <c r="C7" s="5" t="s">
        <v>859</v>
      </c>
      <c r="D7" s="5" t="s">
        <v>197</v>
      </c>
      <c r="E7" s="5" t="s">
        <v>828</v>
      </c>
      <c r="F7" s="5">
        <v>37</v>
      </c>
      <c r="G7" s="5">
        <v>6.26</v>
      </c>
      <c r="H7" s="5">
        <v>5.42</v>
      </c>
      <c r="I7" s="5">
        <v>0</v>
      </c>
      <c r="J7" s="5">
        <v>35</v>
      </c>
      <c r="K7" s="5">
        <v>2</v>
      </c>
      <c r="L7" s="5">
        <v>0</v>
      </c>
      <c r="M7" s="5">
        <v>0</v>
      </c>
      <c r="N7" s="5">
        <v>0</v>
      </c>
      <c r="O7" s="5">
        <v>0</v>
      </c>
      <c r="P7" s="5">
        <v>4</v>
      </c>
      <c r="Q7" s="5">
        <v>0</v>
      </c>
      <c r="R7" s="5">
        <v>0</v>
      </c>
    </row>
    <row r="8" spans="1:18" ht="15" customHeight="1" x14ac:dyDescent="0.25">
      <c r="A8" s="5">
        <v>5876</v>
      </c>
      <c r="B8" s="5" t="s">
        <v>15</v>
      </c>
      <c r="C8" s="5" t="s">
        <v>859</v>
      </c>
      <c r="D8" s="5" t="s">
        <v>221</v>
      </c>
      <c r="E8" s="5" t="s">
        <v>833</v>
      </c>
      <c r="F8" s="5">
        <v>30</v>
      </c>
      <c r="G8" s="5">
        <v>6.08</v>
      </c>
      <c r="H8" s="5">
        <v>5.33</v>
      </c>
      <c r="I8" s="5">
        <v>0</v>
      </c>
      <c r="J8" s="5">
        <v>25</v>
      </c>
      <c r="K8" s="5">
        <v>1</v>
      </c>
      <c r="L8" s="5">
        <v>0</v>
      </c>
      <c r="M8" s="5">
        <v>0</v>
      </c>
      <c r="N8" s="5">
        <v>0</v>
      </c>
      <c r="O8" s="5">
        <v>0</v>
      </c>
      <c r="P8" s="5">
        <v>1</v>
      </c>
      <c r="Q8" s="5">
        <v>0</v>
      </c>
      <c r="R8" s="5">
        <v>0</v>
      </c>
    </row>
    <row r="9" spans="1:18" ht="15" customHeight="1" x14ac:dyDescent="0.25">
      <c r="A9" s="5">
        <v>2134</v>
      </c>
      <c r="B9" s="5" t="s">
        <v>15</v>
      </c>
      <c r="C9" s="5" t="s">
        <v>859</v>
      </c>
      <c r="D9" s="5" t="s">
        <v>262</v>
      </c>
      <c r="E9" s="5" t="s">
        <v>837</v>
      </c>
      <c r="F9" s="5">
        <v>38</v>
      </c>
      <c r="G9" s="5">
        <v>6.41</v>
      </c>
      <c r="H9" s="5">
        <v>5.22</v>
      </c>
      <c r="I9" s="5">
        <v>0</v>
      </c>
      <c r="J9" s="5">
        <v>50</v>
      </c>
      <c r="K9" s="5">
        <v>2</v>
      </c>
      <c r="L9" s="5">
        <v>0</v>
      </c>
      <c r="M9" s="5">
        <v>0</v>
      </c>
      <c r="N9" s="5">
        <v>0</v>
      </c>
      <c r="O9" s="5">
        <v>0</v>
      </c>
      <c r="P9" s="5">
        <v>2</v>
      </c>
      <c r="Q9" s="5">
        <v>0</v>
      </c>
      <c r="R9" s="5">
        <v>0</v>
      </c>
    </row>
    <row r="10" spans="1:18" ht="15" customHeight="1" x14ac:dyDescent="0.25">
      <c r="A10" s="5">
        <v>6462</v>
      </c>
      <c r="B10" s="5" t="s">
        <v>15</v>
      </c>
      <c r="C10" s="5" t="s">
        <v>859</v>
      </c>
      <c r="D10" s="5" t="s">
        <v>249</v>
      </c>
      <c r="E10" s="5" t="s">
        <v>835</v>
      </c>
      <c r="F10" s="5">
        <v>30</v>
      </c>
      <c r="G10" s="5">
        <v>6.07</v>
      </c>
      <c r="H10" s="5">
        <v>5.08</v>
      </c>
      <c r="I10" s="5">
        <v>0</v>
      </c>
      <c r="J10" s="5">
        <v>32</v>
      </c>
      <c r="K10" s="5">
        <v>1</v>
      </c>
      <c r="L10" s="5">
        <v>0</v>
      </c>
      <c r="M10" s="5">
        <v>0</v>
      </c>
      <c r="N10" s="5">
        <v>0</v>
      </c>
      <c r="O10" s="5">
        <v>1</v>
      </c>
      <c r="P10" s="5">
        <v>1</v>
      </c>
      <c r="Q10" s="5">
        <v>1</v>
      </c>
      <c r="R10" s="5">
        <v>0</v>
      </c>
    </row>
    <row r="11" spans="1:18" ht="15" customHeight="1" x14ac:dyDescent="0.25">
      <c r="A11" s="5">
        <v>2428</v>
      </c>
      <c r="B11" s="5" t="s">
        <v>15</v>
      </c>
      <c r="C11" s="5" t="s">
        <v>859</v>
      </c>
      <c r="D11" s="5" t="s">
        <v>860</v>
      </c>
      <c r="E11" s="5" t="s">
        <v>825</v>
      </c>
      <c r="F11" s="5">
        <v>33</v>
      </c>
      <c r="G11" s="5">
        <v>5.92</v>
      </c>
      <c r="H11" s="5">
        <v>5.0199999999999996</v>
      </c>
      <c r="I11" s="5">
        <v>0</v>
      </c>
      <c r="J11" s="5">
        <v>30</v>
      </c>
      <c r="K11" s="5">
        <v>0</v>
      </c>
      <c r="L11" s="5">
        <v>0</v>
      </c>
      <c r="M11" s="5">
        <v>0</v>
      </c>
      <c r="N11" s="5">
        <v>0</v>
      </c>
      <c r="O11" s="5">
        <v>0</v>
      </c>
      <c r="P11" s="5">
        <v>0</v>
      </c>
      <c r="Q11" s="5">
        <v>0</v>
      </c>
      <c r="R11" s="5">
        <v>0</v>
      </c>
    </row>
    <row r="12" spans="1:18" ht="15" customHeight="1" x14ac:dyDescent="0.25">
      <c r="A12" s="5">
        <v>4360</v>
      </c>
      <c r="B12" s="5" t="s">
        <v>15</v>
      </c>
      <c r="C12" s="5" t="s">
        <v>859</v>
      </c>
      <c r="D12" s="5" t="s">
        <v>255</v>
      </c>
      <c r="E12" s="5" t="s">
        <v>832</v>
      </c>
      <c r="F12" s="5">
        <v>38</v>
      </c>
      <c r="G12" s="5">
        <v>6.29</v>
      </c>
      <c r="H12" s="5">
        <v>4.87</v>
      </c>
      <c r="I12" s="5">
        <v>0</v>
      </c>
      <c r="J12" s="5">
        <v>53</v>
      </c>
      <c r="K12" s="5">
        <v>0</v>
      </c>
      <c r="L12" s="5">
        <v>0</v>
      </c>
      <c r="M12" s="5">
        <v>0</v>
      </c>
      <c r="N12" s="5">
        <v>0</v>
      </c>
      <c r="O12" s="5">
        <v>0</v>
      </c>
      <c r="P12" s="5">
        <v>2</v>
      </c>
      <c r="Q12" s="5">
        <v>0</v>
      </c>
      <c r="R12" s="5">
        <v>0</v>
      </c>
    </row>
    <row r="13" spans="1:18" ht="15" customHeight="1" x14ac:dyDescent="0.25">
      <c r="A13" s="5">
        <v>761</v>
      </c>
      <c r="B13" s="5" t="s">
        <v>15</v>
      </c>
      <c r="C13" s="5" t="s">
        <v>859</v>
      </c>
      <c r="D13" s="5" t="s">
        <v>861</v>
      </c>
      <c r="E13" s="5" t="s">
        <v>862</v>
      </c>
      <c r="F13" s="5">
        <v>34</v>
      </c>
      <c r="G13" s="5">
        <v>6.21</v>
      </c>
      <c r="H13" s="5">
        <v>4.91</v>
      </c>
      <c r="I13" s="5">
        <v>0</v>
      </c>
      <c r="J13" s="5">
        <v>50</v>
      </c>
      <c r="K13" s="5">
        <v>2</v>
      </c>
      <c r="L13" s="5">
        <v>0</v>
      </c>
      <c r="M13" s="5">
        <v>0</v>
      </c>
      <c r="N13" s="5">
        <v>0</v>
      </c>
      <c r="O13" s="5">
        <v>0</v>
      </c>
      <c r="P13" s="5">
        <v>0</v>
      </c>
      <c r="Q13" s="5">
        <v>0</v>
      </c>
      <c r="R13" s="5">
        <v>0</v>
      </c>
    </row>
    <row r="14" spans="1:18" ht="15" customHeight="1" x14ac:dyDescent="0.25">
      <c r="A14" s="5">
        <v>2521</v>
      </c>
      <c r="B14" s="5" t="s">
        <v>15</v>
      </c>
      <c r="C14" s="5" t="s">
        <v>859</v>
      </c>
      <c r="D14" s="5" t="s">
        <v>208</v>
      </c>
      <c r="E14" s="5" t="s">
        <v>829</v>
      </c>
      <c r="F14" s="5">
        <v>37</v>
      </c>
      <c r="G14" s="5">
        <v>6.24</v>
      </c>
      <c r="H14" s="5">
        <v>5</v>
      </c>
      <c r="I14" s="5">
        <v>0</v>
      </c>
      <c r="J14" s="5">
        <v>49</v>
      </c>
      <c r="K14" s="5">
        <v>1</v>
      </c>
      <c r="L14" s="5">
        <v>0</v>
      </c>
      <c r="M14" s="5">
        <v>0</v>
      </c>
      <c r="N14" s="5">
        <v>0</v>
      </c>
      <c r="O14" s="5">
        <v>0</v>
      </c>
      <c r="P14" s="5">
        <v>0</v>
      </c>
      <c r="Q14" s="5">
        <v>0</v>
      </c>
      <c r="R14" s="5">
        <v>0</v>
      </c>
    </row>
    <row r="15" spans="1:18" ht="15" customHeight="1" x14ac:dyDescent="0.25">
      <c r="A15" s="5">
        <v>4957</v>
      </c>
      <c r="B15" s="5" t="s">
        <v>15</v>
      </c>
      <c r="C15" s="5" t="s">
        <v>859</v>
      </c>
      <c r="D15" s="5" t="s">
        <v>863</v>
      </c>
      <c r="E15" s="5" t="s">
        <v>864</v>
      </c>
      <c r="F15" s="5">
        <v>35</v>
      </c>
      <c r="G15" s="5">
        <v>6.2</v>
      </c>
      <c r="H15" s="5">
        <v>4.9400000000000004</v>
      </c>
      <c r="I15" s="5">
        <v>0</v>
      </c>
      <c r="J15" s="5">
        <v>54</v>
      </c>
      <c r="K15" s="5">
        <v>3</v>
      </c>
      <c r="L15" s="5">
        <v>0</v>
      </c>
      <c r="M15" s="5">
        <v>0</v>
      </c>
      <c r="N15" s="5">
        <v>0</v>
      </c>
      <c r="O15" s="5">
        <v>1</v>
      </c>
      <c r="P15" s="5">
        <v>0</v>
      </c>
      <c r="Q15" s="5">
        <v>0</v>
      </c>
      <c r="R15" s="5">
        <v>0</v>
      </c>
    </row>
    <row r="16" spans="1:18" ht="15" customHeight="1" x14ac:dyDescent="0.25">
      <c r="A16" s="5">
        <v>133</v>
      </c>
      <c r="B16" s="5" t="s">
        <v>15</v>
      </c>
      <c r="C16" s="5" t="s">
        <v>859</v>
      </c>
      <c r="D16" s="5" t="s">
        <v>228</v>
      </c>
      <c r="E16" s="5" t="s">
        <v>831</v>
      </c>
      <c r="F16" s="5">
        <v>18</v>
      </c>
      <c r="G16" s="5">
        <v>6.19</v>
      </c>
      <c r="H16" s="5">
        <v>5.28</v>
      </c>
      <c r="I16" s="5">
        <v>0</v>
      </c>
      <c r="J16" s="5">
        <v>15</v>
      </c>
      <c r="K16" s="5">
        <v>0</v>
      </c>
      <c r="L16" s="5">
        <v>0</v>
      </c>
      <c r="M16" s="5">
        <v>0</v>
      </c>
      <c r="N16" s="5">
        <v>0</v>
      </c>
      <c r="O16" s="5">
        <v>0</v>
      </c>
      <c r="P16" s="5">
        <v>1</v>
      </c>
      <c r="Q16" s="5">
        <v>1</v>
      </c>
      <c r="R16" s="5">
        <v>0</v>
      </c>
    </row>
    <row r="17" spans="1:18" ht="15" customHeight="1" x14ac:dyDescent="0.25">
      <c r="A17" s="5">
        <v>2814</v>
      </c>
      <c r="B17" s="5" t="s">
        <v>15</v>
      </c>
      <c r="C17" s="5" t="s">
        <v>859</v>
      </c>
      <c r="D17" s="5" t="s">
        <v>519</v>
      </c>
      <c r="E17" s="5" t="s">
        <v>834</v>
      </c>
      <c r="F17" s="5">
        <v>27</v>
      </c>
      <c r="G17" s="5">
        <v>6.26</v>
      </c>
      <c r="H17" s="5">
        <v>5.35</v>
      </c>
      <c r="I17" s="5">
        <v>0</v>
      </c>
      <c r="J17" s="5">
        <v>27</v>
      </c>
      <c r="K17" s="5">
        <v>1</v>
      </c>
      <c r="L17" s="5">
        <v>0</v>
      </c>
      <c r="M17" s="5">
        <v>0</v>
      </c>
      <c r="N17" s="5">
        <v>0</v>
      </c>
      <c r="O17" s="5">
        <v>0</v>
      </c>
      <c r="P17" s="5">
        <v>1</v>
      </c>
      <c r="Q17" s="5">
        <v>0</v>
      </c>
      <c r="R17" s="5">
        <v>0</v>
      </c>
    </row>
    <row r="18" spans="1:18" ht="15" customHeight="1" x14ac:dyDescent="0.25">
      <c r="A18" s="5">
        <v>6641</v>
      </c>
      <c r="B18" s="5" t="s">
        <v>15</v>
      </c>
      <c r="C18" s="5" t="s">
        <v>859</v>
      </c>
      <c r="D18" s="5" t="s">
        <v>297</v>
      </c>
      <c r="E18" s="5" t="s">
        <v>838</v>
      </c>
      <c r="F18" s="5">
        <v>20</v>
      </c>
      <c r="G18" s="5">
        <v>6.02</v>
      </c>
      <c r="H18" s="5">
        <v>4.75</v>
      </c>
      <c r="I18" s="5">
        <v>0</v>
      </c>
      <c r="J18" s="5">
        <v>28</v>
      </c>
      <c r="K18" s="5">
        <v>1</v>
      </c>
      <c r="L18" s="5">
        <v>0</v>
      </c>
      <c r="M18" s="5">
        <v>0</v>
      </c>
      <c r="N18" s="5">
        <v>0</v>
      </c>
      <c r="O18" s="5">
        <v>0</v>
      </c>
      <c r="P18" s="5">
        <v>1</v>
      </c>
      <c r="Q18" s="5">
        <v>0</v>
      </c>
      <c r="R18" s="5">
        <v>0</v>
      </c>
    </row>
    <row r="19" spans="1:18" ht="15" customHeight="1" x14ac:dyDescent="0.25">
      <c r="A19" s="5">
        <v>4236</v>
      </c>
      <c r="B19" s="5" t="s">
        <v>15</v>
      </c>
      <c r="C19" s="5" t="s">
        <v>859</v>
      </c>
      <c r="D19" s="5" t="s">
        <v>354</v>
      </c>
      <c r="E19" s="5" t="s">
        <v>839</v>
      </c>
      <c r="F19" s="5">
        <v>32</v>
      </c>
      <c r="G19" s="5">
        <v>6.08</v>
      </c>
      <c r="H19" s="5">
        <v>4.7699999999999996</v>
      </c>
      <c r="I19" s="5">
        <v>0</v>
      </c>
      <c r="J19" s="5">
        <v>43</v>
      </c>
      <c r="K19" s="5">
        <v>1</v>
      </c>
      <c r="L19" s="5">
        <v>0</v>
      </c>
      <c r="M19" s="5">
        <v>0</v>
      </c>
      <c r="N19" s="5">
        <v>0</v>
      </c>
      <c r="O19" s="5">
        <v>0</v>
      </c>
      <c r="P19" s="5">
        <v>4</v>
      </c>
      <c r="Q19" s="5">
        <v>0</v>
      </c>
      <c r="R19" s="5">
        <v>0</v>
      </c>
    </row>
    <row r="20" spans="1:18" ht="15" customHeight="1" x14ac:dyDescent="0.25">
      <c r="A20" s="5">
        <v>7332</v>
      </c>
      <c r="B20" s="5" t="s">
        <v>15</v>
      </c>
      <c r="C20" s="5" t="s">
        <v>859</v>
      </c>
      <c r="D20" s="5" t="s">
        <v>319</v>
      </c>
      <c r="E20" s="5" t="s">
        <v>836</v>
      </c>
      <c r="F20" s="5">
        <v>16</v>
      </c>
      <c r="G20" s="5">
        <v>6.06</v>
      </c>
      <c r="H20" s="5">
        <v>4.78</v>
      </c>
      <c r="I20" s="5">
        <v>0</v>
      </c>
      <c r="J20" s="5">
        <v>20</v>
      </c>
      <c r="K20" s="5">
        <v>0</v>
      </c>
      <c r="L20" s="5">
        <v>0</v>
      </c>
      <c r="M20" s="5">
        <v>0</v>
      </c>
      <c r="N20" s="5">
        <v>0</v>
      </c>
      <c r="O20" s="5">
        <v>0</v>
      </c>
      <c r="P20" s="5">
        <v>1</v>
      </c>
      <c r="Q20" s="5">
        <v>0</v>
      </c>
      <c r="R20" s="5">
        <v>0</v>
      </c>
    </row>
    <row r="21" spans="1:18" ht="15" customHeight="1" x14ac:dyDescent="0.25">
      <c r="A21" s="5">
        <v>188</v>
      </c>
      <c r="B21" s="5" t="s">
        <v>15</v>
      </c>
      <c r="C21" s="5" t="s">
        <v>859</v>
      </c>
      <c r="D21" s="5" t="s">
        <v>865</v>
      </c>
      <c r="E21" s="5" t="s">
        <v>836</v>
      </c>
      <c r="F21" s="5">
        <v>22</v>
      </c>
      <c r="G21" s="5">
        <v>6.16</v>
      </c>
      <c r="H21" s="5">
        <v>4.84</v>
      </c>
      <c r="I21" s="5">
        <v>0</v>
      </c>
      <c r="J21" s="5">
        <v>27</v>
      </c>
      <c r="K21" s="5">
        <v>0</v>
      </c>
      <c r="L21" s="5">
        <v>0</v>
      </c>
      <c r="M21" s="5">
        <v>0</v>
      </c>
      <c r="N21" s="5">
        <v>0</v>
      </c>
      <c r="O21" s="5">
        <v>0</v>
      </c>
      <c r="P21" s="5">
        <v>2</v>
      </c>
      <c r="Q21" s="5">
        <v>1</v>
      </c>
      <c r="R21" s="5">
        <v>0</v>
      </c>
    </row>
    <row r="22" spans="1:18" ht="15" customHeight="1" x14ac:dyDescent="0.25">
      <c r="A22" s="5">
        <v>6662</v>
      </c>
      <c r="B22" s="5" t="s">
        <v>15</v>
      </c>
      <c r="C22" s="5" t="s">
        <v>859</v>
      </c>
      <c r="D22" s="5" t="s">
        <v>603</v>
      </c>
      <c r="E22" s="5" t="s">
        <v>838</v>
      </c>
      <c r="F22" s="5">
        <v>17</v>
      </c>
      <c r="G22" s="5">
        <v>6.18</v>
      </c>
      <c r="H22" s="5">
        <v>5.09</v>
      </c>
      <c r="I22" s="5">
        <v>0</v>
      </c>
      <c r="J22" s="5">
        <v>18</v>
      </c>
      <c r="K22" s="5">
        <v>0</v>
      </c>
      <c r="L22" s="5">
        <v>0</v>
      </c>
      <c r="M22" s="5">
        <v>0</v>
      </c>
      <c r="N22" s="5">
        <v>0</v>
      </c>
      <c r="O22" s="5">
        <v>0</v>
      </c>
      <c r="P22" s="5">
        <v>1</v>
      </c>
      <c r="Q22" s="5">
        <v>0</v>
      </c>
      <c r="R22" s="5">
        <v>0</v>
      </c>
    </row>
    <row r="23" spans="1:18" ht="15" customHeight="1" x14ac:dyDescent="0.25">
      <c r="A23" s="5">
        <v>5320</v>
      </c>
      <c r="B23" s="5" t="s">
        <v>15</v>
      </c>
      <c r="C23" s="5" t="s">
        <v>859</v>
      </c>
      <c r="D23" s="5" t="s">
        <v>608</v>
      </c>
      <c r="E23" s="5" t="s">
        <v>843</v>
      </c>
      <c r="F23" s="5">
        <v>29</v>
      </c>
      <c r="G23" s="5">
        <v>6.09</v>
      </c>
      <c r="H23" s="5">
        <v>4.5199999999999996</v>
      </c>
      <c r="I23" s="5">
        <v>0</v>
      </c>
      <c r="J23" s="5">
        <v>45</v>
      </c>
      <c r="K23" s="5">
        <v>0</v>
      </c>
      <c r="L23" s="5">
        <v>0</v>
      </c>
      <c r="M23" s="5">
        <v>0</v>
      </c>
      <c r="N23" s="5">
        <v>0</v>
      </c>
      <c r="O23" s="5">
        <v>0</v>
      </c>
      <c r="P23" s="5">
        <v>1</v>
      </c>
      <c r="Q23" s="5">
        <v>0</v>
      </c>
      <c r="R23" s="5">
        <v>0</v>
      </c>
    </row>
    <row r="24" spans="1:18" ht="15" customHeight="1" x14ac:dyDescent="0.25">
      <c r="A24" s="5">
        <v>218</v>
      </c>
      <c r="B24" s="5" t="s">
        <v>15</v>
      </c>
      <c r="C24" s="5" t="s">
        <v>859</v>
      </c>
      <c r="D24" s="5" t="s">
        <v>442</v>
      </c>
      <c r="E24" s="5" t="s">
        <v>833</v>
      </c>
      <c r="F24" s="5">
        <v>9</v>
      </c>
      <c r="G24" s="5">
        <v>6.11</v>
      </c>
      <c r="H24" s="5">
        <v>5.1100000000000003</v>
      </c>
      <c r="I24" s="5">
        <v>0</v>
      </c>
      <c r="J24" s="5">
        <v>9</v>
      </c>
      <c r="K24" s="5">
        <v>0</v>
      </c>
      <c r="L24" s="5">
        <v>0</v>
      </c>
      <c r="M24" s="5">
        <v>0</v>
      </c>
      <c r="N24" s="5">
        <v>0</v>
      </c>
      <c r="O24" s="5">
        <v>0</v>
      </c>
      <c r="P24" s="5">
        <v>0</v>
      </c>
      <c r="Q24" s="5">
        <v>0</v>
      </c>
      <c r="R24" s="5">
        <v>0</v>
      </c>
    </row>
    <row r="25" spans="1:18" ht="15" customHeight="1" x14ac:dyDescent="0.25">
      <c r="A25" s="5">
        <v>572</v>
      </c>
      <c r="B25" s="5" t="s">
        <v>15</v>
      </c>
      <c r="C25" s="5" t="s">
        <v>859</v>
      </c>
      <c r="D25" s="5" t="s">
        <v>209</v>
      </c>
      <c r="E25" s="5" t="s">
        <v>830</v>
      </c>
      <c r="F25" s="5">
        <v>11</v>
      </c>
      <c r="G25" s="5">
        <v>6.23</v>
      </c>
      <c r="H25" s="5">
        <v>5.18</v>
      </c>
      <c r="I25" s="5">
        <v>0</v>
      </c>
      <c r="J25" s="5">
        <v>12</v>
      </c>
      <c r="K25" s="5">
        <v>0</v>
      </c>
      <c r="L25" s="5">
        <v>0</v>
      </c>
      <c r="M25" s="5">
        <v>0</v>
      </c>
      <c r="N25" s="5">
        <v>0</v>
      </c>
      <c r="O25" s="5">
        <v>1</v>
      </c>
      <c r="P25" s="5">
        <v>1</v>
      </c>
      <c r="Q25" s="5">
        <v>0</v>
      </c>
      <c r="R25" s="5">
        <v>0</v>
      </c>
    </row>
    <row r="26" spans="1:18" ht="15" customHeight="1" x14ac:dyDescent="0.25">
      <c r="A26" s="5">
        <v>4867</v>
      </c>
      <c r="B26" s="5" t="s">
        <v>15</v>
      </c>
      <c r="C26" s="5" t="s">
        <v>859</v>
      </c>
      <c r="D26" s="5" t="s">
        <v>557</v>
      </c>
      <c r="E26" s="5" t="s">
        <v>839</v>
      </c>
      <c r="F26" s="5">
        <v>6</v>
      </c>
      <c r="G26" s="5">
        <v>6.17</v>
      </c>
      <c r="H26" s="5">
        <v>5</v>
      </c>
      <c r="I26" s="5">
        <v>0</v>
      </c>
      <c r="J26" s="5">
        <v>7</v>
      </c>
      <c r="K26" s="5">
        <v>0</v>
      </c>
      <c r="L26" s="5">
        <v>0</v>
      </c>
      <c r="M26" s="5">
        <v>0</v>
      </c>
      <c r="N26" s="5">
        <v>0</v>
      </c>
      <c r="O26" s="5">
        <v>0</v>
      </c>
      <c r="P26" s="5">
        <v>0</v>
      </c>
      <c r="Q26" s="5">
        <v>0</v>
      </c>
      <c r="R26" s="5">
        <v>0</v>
      </c>
    </row>
    <row r="27" spans="1:18" ht="15" customHeight="1" x14ac:dyDescent="0.25">
      <c r="A27" s="5">
        <v>2861</v>
      </c>
      <c r="B27" s="5" t="s">
        <v>15</v>
      </c>
      <c r="C27" s="5" t="s">
        <v>859</v>
      </c>
      <c r="D27" s="5" t="s">
        <v>866</v>
      </c>
      <c r="E27" s="5" t="s">
        <v>867</v>
      </c>
      <c r="F27" s="5">
        <v>25</v>
      </c>
      <c r="G27" s="5">
        <v>6.06</v>
      </c>
      <c r="H27" s="5">
        <v>4.38</v>
      </c>
      <c r="I27" s="5">
        <v>0</v>
      </c>
      <c r="J27" s="5">
        <v>42</v>
      </c>
      <c r="K27" s="5">
        <v>0</v>
      </c>
      <c r="L27" s="5">
        <v>0</v>
      </c>
      <c r="M27" s="5">
        <v>0</v>
      </c>
      <c r="N27" s="5">
        <v>0</v>
      </c>
      <c r="O27" s="5">
        <v>0</v>
      </c>
      <c r="P27" s="5">
        <v>0</v>
      </c>
      <c r="Q27" s="5">
        <v>0</v>
      </c>
      <c r="R27" s="5">
        <v>0</v>
      </c>
    </row>
    <row r="28" spans="1:18" ht="15" customHeight="1" x14ac:dyDescent="0.25">
      <c r="A28" s="5">
        <v>7172</v>
      </c>
      <c r="B28" s="5" t="s">
        <v>15</v>
      </c>
      <c r="C28" s="5" t="s">
        <v>859</v>
      </c>
      <c r="D28" s="5" t="s">
        <v>583</v>
      </c>
      <c r="E28" s="5" t="s">
        <v>831</v>
      </c>
      <c r="F28" s="5">
        <v>4</v>
      </c>
      <c r="G28" s="5">
        <v>6.12</v>
      </c>
      <c r="H28" s="5">
        <v>5.62</v>
      </c>
      <c r="I28" s="5">
        <v>0</v>
      </c>
      <c r="J28" s="5">
        <v>2</v>
      </c>
      <c r="K28" s="5">
        <v>0</v>
      </c>
      <c r="L28" s="5">
        <v>0</v>
      </c>
      <c r="M28" s="5">
        <v>0</v>
      </c>
      <c r="N28" s="5">
        <v>0</v>
      </c>
      <c r="O28" s="5">
        <v>0</v>
      </c>
      <c r="P28" s="5">
        <v>0</v>
      </c>
      <c r="Q28" s="5">
        <v>0</v>
      </c>
      <c r="R28" s="5">
        <v>0</v>
      </c>
    </row>
    <row r="29" spans="1:18" ht="15" customHeight="1" x14ac:dyDescent="0.25">
      <c r="A29" s="5">
        <v>5116</v>
      </c>
      <c r="B29" s="5" t="s">
        <v>15</v>
      </c>
      <c r="C29" s="5" t="s">
        <v>859</v>
      </c>
      <c r="D29" s="5" t="s">
        <v>182</v>
      </c>
      <c r="E29" s="5" t="s">
        <v>825</v>
      </c>
      <c r="F29" s="5">
        <v>5</v>
      </c>
      <c r="G29" s="5">
        <v>6</v>
      </c>
      <c r="H29" s="5">
        <v>5.2</v>
      </c>
      <c r="I29" s="5">
        <v>0</v>
      </c>
      <c r="J29" s="5">
        <v>4</v>
      </c>
      <c r="K29" s="5">
        <v>0</v>
      </c>
      <c r="L29" s="5">
        <v>0</v>
      </c>
      <c r="M29" s="5">
        <v>0</v>
      </c>
      <c r="N29" s="5">
        <v>0</v>
      </c>
      <c r="O29" s="5">
        <v>0</v>
      </c>
      <c r="P29" s="5">
        <v>0</v>
      </c>
      <c r="Q29" s="5">
        <v>0</v>
      </c>
      <c r="R29" s="5">
        <v>0</v>
      </c>
    </row>
    <row r="30" spans="1:18" ht="15" customHeight="1" x14ac:dyDescent="0.25">
      <c r="A30" s="5">
        <v>7337</v>
      </c>
      <c r="B30" s="5" t="s">
        <v>15</v>
      </c>
      <c r="C30" s="5" t="s">
        <v>859</v>
      </c>
      <c r="D30" s="5" t="s">
        <v>595</v>
      </c>
      <c r="E30" s="5" t="s">
        <v>834</v>
      </c>
      <c r="F30" s="5">
        <v>9</v>
      </c>
      <c r="G30" s="5">
        <v>6</v>
      </c>
      <c r="H30" s="5">
        <v>5.17</v>
      </c>
      <c r="I30" s="5">
        <v>0</v>
      </c>
      <c r="J30" s="5">
        <v>10</v>
      </c>
      <c r="K30" s="5">
        <v>1</v>
      </c>
      <c r="L30" s="5">
        <v>0</v>
      </c>
      <c r="M30" s="5">
        <v>0</v>
      </c>
      <c r="N30" s="5">
        <v>0</v>
      </c>
      <c r="O30" s="5">
        <v>0</v>
      </c>
      <c r="P30" s="5">
        <v>1</v>
      </c>
      <c r="Q30" s="5">
        <v>0</v>
      </c>
      <c r="R30" s="5">
        <v>0</v>
      </c>
    </row>
    <row r="31" spans="1:18" ht="15" customHeight="1" x14ac:dyDescent="0.25">
      <c r="A31" s="5">
        <v>2722</v>
      </c>
      <c r="B31" s="5" t="s">
        <v>15</v>
      </c>
      <c r="C31" s="5" t="s">
        <v>859</v>
      </c>
      <c r="D31" s="5" t="s">
        <v>868</v>
      </c>
      <c r="E31" s="5" t="s">
        <v>831</v>
      </c>
      <c r="F31" s="5">
        <v>17</v>
      </c>
      <c r="G31" s="5">
        <v>6.21</v>
      </c>
      <c r="H31" s="5">
        <v>4.38</v>
      </c>
      <c r="I31" s="5">
        <v>0</v>
      </c>
      <c r="J31" s="5">
        <v>29</v>
      </c>
      <c r="K31" s="5">
        <v>0</v>
      </c>
      <c r="L31" s="5">
        <v>0</v>
      </c>
      <c r="M31" s="5">
        <v>0</v>
      </c>
      <c r="N31" s="5">
        <v>0</v>
      </c>
      <c r="O31" s="5">
        <v>0</v>
      </c>
      <c r="P31" s="5">
        <v>4</v>
      </c>
      <c r="Q31" s="5">
        <v>0</v>
      </c>
      <c r="R31" s="5">
        <v>0</v>
      </c>
    </row>
    <row r="32" spans="1:18" ht="15" customHeight="1" x14ac:dyDescent="0.25">
      <c r="A32" s="5">
        <v>6417</v>
      </c>
      <c r="B32" s="5" t="s">
        <v>15</v>
      </c>
      <c r="C32" s="5" t="s">
        <v>859</v>
      </c>
      <c r="D32" s="5" t="s">
        <v>869</v>
      </c>
      <c r="E32" s="5" t="s">
        <v>834</v>
      </c>
      <c r="F32" s="5">
        <v>2</v>
      </c>
      <c r="G32" s="5">
        <v>6.5</v>
      </c>
      <c r="H32" s="5">
        <v>5</v>
      </c>
      <c r="I32" s="5">
        <v>0</v>
      </c>
      <c r="J32" s="5">
        <v>3</v>
      </c>
      <c r="K32" s="5">
        <v>0</v>
      </c>
      <c r="L32" s="5">
        <v>0</v>
      </c>
      <c r="M32" s="5">
        <v>0</v>
      </c>
      <c r="N32" s="5">
        <v>0</v>
      </c>
      <c r="O32" s="5">
        <v>0</v>
      </c>
      <c r="P32" s="5">
        <v>0</v>
      </c>
      <c r="Q32" s="5">
        <v>0</v>
      </c>
      <c r="R32" s="5">
        <v>0</v>
      </c>
    </row>
    <row r="33" spans="1:18" ht="15" customHeight="1" x14ac:dyDescent="0.25">
      <c r="A33" s="5">
        <v>5135</v>
      </c>
      <c r="B33" s="5" t="s">
        <v>15</v>
      </c>
      <c r="C33" s="5" t="s">
        <v>859</v>
      </c>
      <c r="D33" s="5" t="s">
        <v>870</v>
      </c>
      <c r="E33" s="5" t="s">
        <v>838</v>
      </c>
      <c r="F33" s="5">
        <v>0</v>
      </c>
      <c r="G33" s="5">
        <v>0</v>
      </c>
      <c r="H33" s="5">
        <v>0</v>
      </c>
      <c r="I33" s="5">
        <v>0</v>
      </c>
      <c r="J33" s="5">
        <v>0</v>
      </c>
      <c r="K33" s="5">
        <v>0</v>
      </c>
      <c r="L33" s="5">
        <v>0</v>
      </c>
      <c r="M33" s="5">
        <v>0</v>
      </c>
      <c r="N33" s="5">
        <v>0</v>
      </c>
      <c r="O33" s="5">
        <v>0</v>
      </c>
      <c r="P33" s="5">
        <v>0</v>
      </c>
      <c r="Q33" s="5">
        <v>0</v>
      </c>
      <c r="R33" s="5">
        <v>0</v>
      </c>
    </row>
    <row r="34" spans="1:18" ht="15" customHeight="1" x14ac:dyDescent="0.25">
      <c r="A34" s="5">
        <v>6403</v>
      </c>
      <c r="B34" s="5" t="s">
        <v>15</v>
      </c>
      <c r="C34" s="5" t="s">
        <v>859</v>
      </c>
      <c r="D34" s="5" t="s">
        <v>588</v>
      </c>
      <c r="E34" s="5" t="s">
        <v>829</v>
      </c>
      <c r="F34" s="5">
        <v>1</v>
      </c>
      <c r="G34" s="5">
        <v>7.5</v>
      </c>
      <c r="H34" s="5">
        <v>6.5</v>
      </c>
      <c r="I34" s="5">
        <v>0</v>
      </c>
      <c r="J34" s="5">
        <v>1</v>
      </c>
      <c r="K34" s="5">
        <v>0</v>
      </c>
      <c r="L34" s="5">
        <v>0</v>
      </c>
      <c r="M34" s="5">
        <v>0</v>
      </c>
      <c r="N34" s="5">
        <v>0</v>
      </c>
      <c r="O34" s="5">
        <v>0</v>
      </c>
      <c r="P34" s="5">
        <v>0</v>
      </c>
      <c r="Q34" s="5">
        <v>0</v>
      </c>
      <c r="R34" s="5">
        <v>0</v>
      </c>
    </row>
    <row r="35" spans="1:18" ht="15" customHeight="1" x14ac:dyDescent="0.25">
      <c r="A35" s="5">
        <v>2297</v>
      </c>
      <c r="B35" s="5" t="s">
        <v>15</v>
      </c>
      <c r="C35" s="5" t="s">
        <v>859</v>
      </c>
      <c r="D35" s="5" t="s">
        <v>580</v>
      </c>
      <c r="E35" s="5" t="s">
        <v>826</v>
      </c>
      <c r="F35" s="5">
        <v>0</v>
      </c>
      <c r="G35" s="5">
        <v>0</v>
      </c>
      <c r="H35" s="5">
        <v>0</v>
      </c>
      <c r="I35" s="5">
        <v>0</v>
      </c>
      <c r="J35" s="5">
        <v>0</v>
      </c>
      <c r="K35" s="5">
        <v>0</v>
      </c>
      <c r="L35" s="5">
        <v>0</v>
      </c>
      <c r="M35" s="5">
        <v>0</v>
      </c>
      <c r="N35" s="5">
        <v>0</v>
      </c>
      <c r="O35" s="5">
        <v>0</v>
      </c>
      <c r="P35" s="5">
        <v>0</v>
      </c>
      <c r="Q35" s="5">
        <v>0</v>
      </c>
      <c r="R35" s="5">
        <v>0</v>
      </c>
    </row>
    <row r="36" spans="1:18" ht="15" customHeight="1" x14ac:dyDescent="0.25">
      <c r="A36" s="5">
        <v>4</v>
      </c>
      <c r="B36" s="5" t="s">
        <v>15</v>
      </c>
      <c r="C36" s="5" t="s">
        <v>859</v>
      </c>
      <c r="D36" s="5" t="s">
        <v>581</v>
      </c>
      <c r="E36" s="5" t="s">
        <v>826</v>
      </c>
      <c r="F36" s="5">
        <v>1</v>
      </c>
      <c r="G36" s="5">
        <v>5.5</v>
      </c>
      <c r="H36" s="5">
        <v>4.5</v>
      </c>
      <c r="I36" s="5">
        <v>0</v>
      </c>
      <c r="J36" s="5">
        <v>1</v>
      </c>
      <c r="K36" s="5">
        <v>0</v>
      </c>
      <c r="L36" s="5">
        <v>0</v>
      </c>
      <c r="M36" s="5">
        <v>0</v>
      </c>
      <c r="N36" s="5">
        <v>0</v>
      </c>
      <c r="O36" s="5">
        <v>0</v>
      </c>
      <c r="P36" s="5">
        <v>0</v>
      </c>
      <c r="Q36" s="5">
        <v>0</v>
      </c>
      <c r="R36" s="5">
        <v>0</v>
      </c>
    </row>
    <row r="37" spans="1:18" ht="15" customHeight="1" x14ac:dyDescent="0.25">
      <c r="A37" s="5">
        <v>4929</v>
      </c>
      <c r="B37" s="5" t="s">
        <v>15</v>
      </c>
      <c r="C37" s="5" t="s">
        <v>859</v>
      </c>
      <c r="D37" s="5" t="s">
        <v>584</v>
      </c>
      <c r="E37" s="5" t="s">
        <v>832</v>
      </c>
      <c r="F37" s="5">
        <v>0</v>
      </c>
      <c r="G37" s="5">
        <v>0</v>
      </c>
      <c r="H37" s="5">
        <v>0</v>
      </c>
      <c r="I37" s="5">
        <v>0</v>
      </c>
      <c r="J37" s="5">
        <v>0</v>
      </c>
      <c r="K37" s="5">
        <v>0</v>
      </c>
      <c r="L37" s="5">
        <v>0</v>
      </c>
      <c r="M37" s="5">
        <v>0</v>
      </c>
      <c r="N37" s="5">
        <v>0</v>
      </c>
      <c r="O37" s="5">
        <v>0</v>
      </c>
      <c r="P37" s="5">
        <v>0</v>
      </c>
      <c r="Q37" s="5">
        <v>0</v>
      </c>
      <c r="R37" s="5">
        <v>0</v>
      </c>
    </row>
    <row r="38" spans="1:18" ht="15" customHeight="1" x14ac:dyDescent="0.25">
      <c r="A38" s="5">
        <v>3</v>
      </c>
      <c r="B38" s="5" t="s">
        <v>15</v>
      </c>
      <c r="C38" s="5" t="s">
        <v>859</v>
      </c>
      <c r="D38" s="5" t="s">
        <v>871</v>
      </c>
      <c r="E38" s="5" t="s">
        <v>832</v>
      </c>
      <c r="F38" s="5">
        <v>0</v>
      </c>
      <c r="G38" s="5">
        <v>0</v>
      </c>
      <c r="H38" s="5">
        <v>0</v>
      </c>
      <c r="I38" s="5">
        <v>0</v>
      </c>
      <c r="J38" s="5">
        <v>0</v>
      </c>
      <c r="K38" s="5">
        <v>0</v>
      </c>
      <c r="L38" s="5">
        <v>0</v>
      </c>
      <c r="M38" s="5">
        <v>0</v>
      </c>
      <c r="N38" s="5">
        <v>0</v>
      </c>
      <c r="O38" s="5">
        <v>0</v>
      </c>
      <c r="P38" s="5">
        <v>0</v>
      </c>
      <c r="Q38" s="5">
        <v>0</v>
      </c>
      <c r="R38" s="5">
        <v>0</v>
      </c>
    </row>
    <row r="39" spans="1:18" ht="15" customHeight="1" x14ac:dyDescent="0.25">
      <c r="A39" s="5">
        <v>2809</v>
      </c>
      <c r="B39" s="5" t="s">
        <v>15</v>
      </c>
      <c r="C39" s="5" t="s">
        <v>859</v>
      </c>
      <c r="D39" s="5" t="s">
        <v>587</v>
      </c>
      <c r="E39" s="5" t="s">
        <v>827</v>
      </c>
      <c r="F39" s="5">
        <v>0</v>
      </c>
      <c r="G39" s="5">
        <v>0</v>
      </c>
      <c r="H39" s="5">
        <v>0</v>
      </c>
      <c r="I39" s="5">
        <v>0</v>
      </c>
      <c r="J39" s="5">
        <v>0</v>
      </c>
      <c r="K39" s="5">
        <v>0</v>
      </c>
      <c r="L39" s="5">
        <v>0</v>
      </c>
      <c r="M39" s="5">
        <v>0</v>
      </c>
      <c r="N39" s="5">
        <v>0</v>
      </c>
      <c r="O39" s="5">
        <v>0</v>
      </c>
      <c r="P39" s="5">
        <v>0</v>
      </c>
      <c r="Q39" s="5">
        <v>0</v>
      </c>
      <c r="R39" s="5">
        <v>0</v>
      </c>
    </row>
    <row r="40" spans="1:18" ht="15" customHeight="1" x14ac:dyDescent="0.25">
      <c r="A40" s="5">
        <v>6505</v>
      </c>
      <c r="B40" s="5" t="s">
        <v>15</v>
      </c>
      <c r="C40" s="5" t="s">
        <v>859</v>
      </c>
      <c r="D40" s="5" t="s">
        <v>872</v>
      </c>
      <c r="E40" s="5" t="s">
        <v>862</v>
      </c>
      <c r="F40" s="5">
        <v>0</v>
      </c>
      <c r="G40" s="5">
        <v>0</v>
      </c>
      <c r="H40" s="5">
        <v>0</v>
      </c>
      <c r="I40" s="5">
        <v>0</v>
      </c>
      <c r="J40" s="5">
        <v>0</v>
      </c>
      <c r="K40" s="5">
        <v>0</v>
      </c>
      <c r="L40" s="5">
        <v>0</v>
      </c>
      <c r="M40" s="5">
        <v>0</v>
      </c>
      <c r="N40" s="5">
        <v>0</v>
      </c>
      <c r="O40" s="5">
        <v>0</v>
      </c>
      <c r="P40" s="5">
        <v>0</v>
      </c>
      <c r="Q40" s="5">
        <v>0</v>
      </c>
      <c r="R40" s="5">
        <v>0</v>
      </c>
    </row>
    <row r="41" spans="1:18" ht="15" customHeight="1" x14ac:dyDescent="0.25">
      <c r="A41" s="5">
        <v>6184</v>
      </c>
      <c r="B41" s="5" t="s">
        <v>15</v>
      </c>
      <c r="C41" s="5" t="s">
        <v>859</v>
      </c>
      <c r="D41" s="5" t="s">
        <v>873</v>
      </c>
      <c r="E41" s="5" t="s">
        <v>829</v>
      </c>
      <c r="F41" s="5">
        <v>0</v>
      </c>
      <c r="G41" s="5">
        <v>0</v>
      </c>
      <c r="H41" s="5">
        <v>0</v>
      </c>
      <c r="I41" s="5">
        <v>0</v>
      </c>
      <c r="J41" s="5">
        <v>0</v>
      </c>
      <c r="K41" s="5">
        <v>0</v>
      </c>
      <c r="L41" s="5">
        <v>0</v>
      </c>
      <c r="M41" s="5">
        <v>0</v>
      </c>
      <c r="N41" s="5">
        <v>0</v>
      </c>
      <c r="O41" s="5">
        <v>0</v>
      </c>
      <c r="P41" s="5">
        <v>0</v>
      </c>
      <c r="Q41" s="5">
        <v>0</v>
      </c>
      <c r="R41" s="5">
        <v>0</v>
      </c>
    </row>
    <row r="42" spans="1:18" ht="15" customHeight="1" x14ac:dyDescent="0.25">
      <c r="A42" s="5">
        <v>6991</v>
      </c>
      <c r="B42" s="5" t="s">
        <v>15</v>
      </c>
      <c r="C42" s="5" t="s">
        <v>859</v>
      </c>
      <c r="D42" s="5" t="s">
        <v>874</v>
      </c>
      <c r="E42" s="5" t="s">
        <v>836</v>
      </c>
      <c r="F42" s="5">
        <v>0</v>
      </c>
      <c r="G42" s="5">
        <v>0</v>
      </c>
      <c r="H42" s="5">
        <v>0</v>
      </c>
      <c r="I42" s="5">
        <v>0</v>
      </c>
      <c r="J42" s="5">
        <v>0</v>
      </c>
      <c r="K42" s="5">
        <v>0</v>
      </c>
      <c r="L42" s="5">
        <v>0</v>
      </c>
      <c r="M42" s="5">
        <v>0</v>
      </c>
      <c r="N42" s="5">
        <v>0</v>
      </c>
      <c r="O42" s="5">
        <v>0</v>
      </c>
      <c r="P42" s="5">
        <v>0</v>
      </c>
      <c r="Q42" s="5">
        <v>0</v>
      </c>
      <c r="R42" s="5">
        <v>0</v>
      </c>
    </row>
    <row r="43" spans="1:18" ht="15" customHeight="1" x14ac:dyDescent="0.25">
      <c r="A43" s="5">
        <v>219</v>
      </c>
      <c r="B43" s="5" t="s">
        <v>15</v>
      </c>
      <c r="C43" s="5" t="s">
        <v>859</v>
      </c>
      <c r="D43" s="5" t="s">
        <v>591</v>
      </c>
      <c r="E43" s="5" t="s">
        <v>836</v>
      </c>
      <c r="F43" s="5">
        <v>2</v>
      </c>
      <c r="G43" s="5">
        <v>5.75</v>
      </c>
      <c r="H43" s="5">
        <v>3.75</v>
      </c>
      <c r="I43" s="5">
        <v>0</v>
      </c>
      <c r="J43" s="5">
        <v>4</v>
      </c>
      <c r="K43" s="5">
        <v>0</v>
      </c>
      <c r="L43" s="5">
        <v>0</v>
      </c>
      <c r="M43" s="5">
        <v>0</v>
      </c>
      <c r="N43" s="5">
        <v>0</v>
      </c>
      <c r="O43" s="5">
        <v>0</v>
      </c>
      <c r="P43" s="5">
        <v>0</v>
      </c>
      <c r="Q43" s="5">
        <v>0</v>
      </c>
      <c r="R43" s="5">
        <v>0</v>
      </c>
    </row>
    <row r="44" spans="1:18" ht="15" customHeight="1" x14ac:dyDescent="0.25">
      <c r="A44" s="5">
        <v>1926</v>
      </c>
      <c r="B44" s="5" t="s">
        <v>15</v>
      </c>
      <c r="C44" s="5" t="s">
        <v>859</v>
      </c>
      <c r="D44" s="5" t="s">
        <v>593</v>
      </c>
      <c r="E44" s="5" t="s">
        <v>825</v>
      </c>
      <c r="F44" s="5">
        <v>1</v>
      </c>
      <c r="G44" s="5">
        <v>6</v>
      </c>
      <c r="H44" s="5">
        <v>5</v>
      </c>
      <c r="I44" s="5">
        <v>0</v>
      </c>
      <c r="J44" s="5">
        <v>1</v>
      </c>
      <c r="K44" s="5">
        <v>0</v>
      </c>
      <c r="L44" s="5">
        <v>0</v>
      </c>
      <c r="M44" s="5">
        <v>0</v>
      </c>
      <c r="N44" s="5">
        <v>0</v>
      </c>
      <c r="O44" s="5">
        <v>0</v>
      </c>
      <c r="P44" s="5">
        <v>0</v>
      </c>
      <c r="Q44" s="5">
        <v>0</v>
      </c>
      <c r="R44" s="5">
        <v>0</v>
      </c>
    </row>
    <row r="45" spans="1:18" ht="15" customHeight="1" x14ac:dyDescent="0.25">
      <c r="A45" s="5">
        <v>1930</v>
      </c>
      <c r="B45" s="5" t="s">
        <v>15</v>
      </c>
      <c r="C45" s="5" t="s">
        <v>859</v>
      </c>
      <c r="D45" s="5" t="s">
        <v>594</v>
      </c>
      <c r="E45" s="5" t="s">
        <v>833</v>
      </c>
      <c r="F45" s="5">
        <v>0</v>
      </c>
      <c r="G45" s="5">
        <v>0</v>
      </c>
      <c r="H45" s="5">
        <v>0</v>
      </c>
      <c r="I45" s="5">
        <v>0</v>
      </c>
      <c r="J45" s="5">
        <v>0</v>
      </c>
      <c r="K45" s="5">
        <v>0</v>
      </c>
      <c r="L45" s="5">
        <v>0</v>
      </c>
      <c r="M45" s="5">
        <v>0</v>
      </c>
      <c r="N45" s="5">
        <v>0</v>
      </c>
      <c r="O45" s="5">
        <v>0</v>
      </c>
      <c r="P45" s="5">
        <v>0</v>
      </c>
      <c r="Q45" s="5">
        <v>0</v>
      </c>
      <c r="R45" s="5">
        <v>0</v>
      </c>
    </row>
    <row r="46" spans="1:18" ht="15" customHeight="1" x14ac:dyDescent="0.25">
      <c r="A46" s="5">
        <v>6482</v>
      </c>
      <c r="B46" s="5" t="s">
        <v>15</v>
      </c>
      <c r="C46" s="5" t="s">
        <v>859</v>
      </c>
      <c r="D46" s="5" t="s">
        <v>245</v>
      </c>
      <c r="E46" s="5" t="s">
        <v>834</v>
      </c>
      <c r="F46" s="5">
        <v>0</v>
      </c>
      <c r="G46" s="5">
        <v>0</v>
      </c>
      <c r="H46" s="5">
        <v>0</v>
      </c>
      <c r="I46" s="5">
        <v>0</v>
      </c>
      <c r="J46" s="5">
        <v>0</v>
      </c>
      <c r="K46" s="5">
        <v>0</v>
      </c>
      <c r="L46" s="5">
        <v>0</v>
      </c>
      <c r="M46" s="5">
        <v>0</v>
      </c>
      <c r="N46" s="5">
        <v>0</v>
      </c>
      <c r="O46" s="5">
        <v>0</v>
      </c>
      <c r="P46" s="5">
        <v>0</v>
      </c>
      <c r="Q46" s="5">
        <v>0</v>
      </c>
      <c r="R46" s="5">
        <v>0</v>
      </c>
    </row>
    <row r="47" spans="1:18" ht="15" customHeight="1" x14ac:dyDescent="0.25">
      <c r="A47" s="5">
        <v>2401</v>
      </c>
      <c r="B47" s="5" t="s">
        <v>15</v>
      </c>
      <c r="C47" s="5" t="s">
        <v>859</v>
      </c>
      <c r="D47" s="5" t="s">
        <v>875</v>
      </c>
      <c r="E47" s="5" t="s">
        <v>837</v>
      </c>
      <c r="F47" s="5">
        <v>0</v>
      </c>
      <c r="G47" s="5">
        <v>0</v>
      </c>
      <c r="H47" s="5">
        <v>0</v>
      </c>
      <c r="I47" s="5">
        <v>0</v>
      </c>
      <c r="J47" s="5">
        <v>0</v>
      </c>
      <c r="K47" s="5">
        <v>0</v>
      </c>
      <c r="L47" s="5">
        <v>0</v>
      </c>
      <c r="M47" s="5">
        <v>0</v>
      </c>
      <c r="N47" s="5">
        <v>0</v>
      </c>
      <c r="O47" s="5">
        <v>0</v>
      </c>
      <c r="P47" s="5">
        <v>0</v>
      </c>
      <c r="Q47" s="5">
        <v>0</v>
      </c>
      <c r="R47" s="5">
        <v>0</v>
      </c>
    </row>
    <row r="48" spans="1:18" ht="15" customHeight="1" x14ac:dyDescent="0.25">
      <c r="A48" s="5">
        <v>6523</v>
      </c>
      <c r="B48" s="5" t="s">
        <v>15</v>
      </c>
      <c r="C48" s="5" t="s">
        <v>859</v>
      </c>
      <c r="D48" s="5" t="s">
        <v>597</v>
      </c>
      <c r="E48" s="5" t="s">
        <v>837</v>
      </c>
      <c r="F48" s="5">
        <v>0</v>
      </c>
      <c r="G48" s="5">
        <v>0</v>
      </c>
      <c r="H48" s="5">
        <v>0</v>
      </c>
      <c r="I48" s="5">
        <v>0</v>
      </c>
      <c r="J48" s="5">
        <v>0</v>
      </c>
      <c r="K48" s="5">
        <v>0</v>
      </c>
      <c r="L48" s="5">
        <v>0</v>
      </c>
      <c r="M48" s="5">
        <v>0</v>
      </c>
      <c r="N48" s="5">
        <v>0</v>
      </c>
      <c r="O48" s="5">
        <v>0</v>
      </c>
      <c r="P48" s="5">
        <v>0</v>
      </c>
      <c r="Q48" s="5">
        <v>0</v>
      </c>
      <c r="R48" s="5">
        <v>0</v>
      </c>
    </row>
    <row r="49" spans="1:18" ht="15" customHeight="1" x14ac:dyDescent="0.25">
      <c r="A49" s="5">
        <v>2815</v>
      </c>
      <c r="B49" s="5" t="s">
        <v>15</v>
      </c>
      <c r="C49" s="5" t="s">
        <v>859</v>
      </c>
      <c r="D49" s="5" t="s">
        <v>598</v>
      </c>
      <c r="E49" s="5" t="s">
        <v>828</v>
      </c>
      <c r="F49" s="5">
        <v>2</v>
      </c>
      <c r="G49" s="5">
        <v>6</v>
      </c>
      <c r="H49" s="5">
        <v>6</v>
      </c>
      <c r="I49" s="5">
        <v>0</v>
      </c>
      <c r="J49" s="5">
        <v>0</v>
      </c>
      <c r="K49" s="5">
        <v>0</v>
      </c>
      <c r="L49" s="5">
        <v>0</v>
      </c>
      <c r="M49" s="5">
        <v>0</v>
      </c>
      <c r="N49" s="5">
        <v>0</v>
      </c>
      <c r="O49" s="5">
        <v>0</v>
      </c>
      <c r="P49" s="5">
        <v>0</v>
      </c>
      <c r="Q49" s="5">
        <v>0</v>
      </c>
      <c r="R49" s="5">
        <v>0</v>
      </c>
    </row>
    <row r="50" spans="1:18" ht="15" customHeight="1" x14ac:dyDescent="0.25">
      <c r="A50" s="5">
        <v>6813</v>
      </c>
      <c r="B50" s="5" t="s">
        <v>15</v>
      </c>
      <c r="C50" s="5" t="s">
        <v>859</v>
      </c>
      <c r="D50" s="5" t="s">
        <v>599</v>
      </c>
      <c r="E50" s="5" t="s">
        <v>828</v>
      </c>
      <c r="F50" s="5">
        <v>0</v>
      </c>
      <c r="G50" s="5">
        <v>0</v>
      </c>
      <c r="H50" s="5">
        <v>0</v>
      </c>
      <c r="I50" s="5">
        <v>0</v>
      </c>
      <c r="J50" s="5">
        <v>0</v>
      </c>
      <c r="K50" s="5">
        <v>0</v>
      </c>
      <c r="L50" s="5">
        <v>0</v>
      </c>
      <c r="M50" s="5">
        <v>0</v>
      </c>
      <c r="N50" s="5">
        <v>0</v>
      </c>
      <c r="O50" s="5">
        <v>0</v>
      </c>
      <c r="P50" s="5">
        <v>0</v>
      </c>
      <c r="Q50" s="5">
        <v>0</v>
      </c>
      <c r="R50" s="5">
        <v>0</v>
      </c>
    </row>
    <row r="51" spans="1:18" ht="15" customHeight="1" x14ac:dyDescent="0.25">
      <c r="A51" s="5">
        <v>2845</v>
      </c>
      <c r="B51" s="5" t="s">
        <v>15</v>
      </c>
      <c r="C51" s="5" t="s">
        <v>859</v>
      </c>
      <c r="D51" s="5" t="s">
        <v>602</v>
      </c>
      <c r="E51" s="5" t="s">
        <v>830</v>
      </c>
      <c r="F51" s="5">
        <v>0</v>
      </c>
      <c r="G51" s="5">
        <v>0</v>
      </c>
      <c r="H51" s="5">
        <v>0</v>
      </c>
      <c r="I51" s="5">
        <v>0</v>
      </c>
      <c r="J51" s="5">
        <v>0</v>
      </c>
      <c r="K51" s="5">
        <v>0</v>
      </c>
      <c r="L51" s="5">
        <v>0</v>
      </c>
      <c r="M51" s="5">
        <v>0</v>
      </c>
      <c r="N51" s="5">
        <v>0</v>
      </c>
      <c r="O51" s="5">
        <v>0</v>
      </c>
      <c r="P51" s="5">
        <v>0</v>
      </c>
      <c r="Q51" s="5">
        <v>0</v>
      </c>
      <c r="R51" s="5">
        <v>0</v>
      </c>
    </row>
    <row r="52" spans="1:18" ht="15" customHeight="1" x14ac:dyDescent="0.25">
      <c r="A52" s="5">
        <v>5338</v>
      </c>
      <c r="B52" s="5" t="s">
        <v>15</v>
      </c>
      <c r="C52" s="5" t="s">
        <v>859</v>
      </c>
      <c r="D52" s="5" t="s">
        <v>876</v>
      </c>
      <c r="E52" s="5" t="s">
        <v>838</v>
      </c>
      <c r="F52" s="5">
        <v>1</v>
      </c>
      <c r="G52" s="5">
        <v>7</v>
      </c>
      <c r="H52" s="5">
        <v>6.5</v>
      </c>
      <c r="I52" s="5">
        <v>0</v>
      </c>
      <c r="J52" s="5">
        <v>0</v>
      </c>
      <c r="K52" s="5">
        <v>0</v>
      </c>
      <c r="L52" s="5">
        <v>0</v>
      </c>
      <c r="M52" s="5">
        <v>0</v>
      </c>
      <c r="N52" s="5">
        <v>0</v>
      </c>
      <c r="O52" s="5">
        <v>0</v>
      </c>
      <c r="P52" s="5">
        <v>1</v>
      </c>
      <c r="Q52" s="5">
        <v>0</v>
      </c>
      <c r="R52" s="5">
        <v>0</v>
      </c>
    </row>
    <row r="53" spans="1:18" ht="15" customHeight="1" x14ac:dyDescent="0.25">
      <c r="A53" s="5">
        <v>2271</v>
      </c>
      <c r="B53" s="5" t="s">
        <v>15</v>
      </c>
      <c r="C53" s="5" t="s">
        <v>859</v>
      </c>
      <c r="D53" s="5" t="s">
        <v>877</v>
      </c>
      <c r="E53" s="5" t="s">
        <v>867</v>
      </c>
      <c r="F53" s="5">
        <v>6</v>
      </c>
      <c r="G53" s="5">
        <v>5.92</v>
      </c>
      <c r="H53" s="5">
        <v>3.58</v>
      </c>
      <c r="I53" s="5">
        <v>0</v>
      </c>
      <c r="J53" s="5">
        <v>14</v>
      </c>
      <c r="K53" s="5">
        <v>0</v>
      </c>
      <c r="L53" s="5">
        <v>0</v>
      </c>
      <c r="M53" s="5">
        <v>0</v>
      </c>
      <c r="N53" s="5">
        <v>0</v>
      </c>
      <c r="O53" s="5">
        <v>0</v>
      </c>
      <c r="P53" s="5">
        <v>0</v>
      </c>
      <c r="Q53" s="5">
        <v>0</v>
      </c>
      <c r="R53" s="5">
        <v>0</v>
      </c>
    </row>
    <row r="54" spans="1:18" ht="15" customHeight="1" x14ac:dyDescent="0.25">
      <c r="A54" s="5">
        <v>574</v>
      </c>
      <c r="B54" s="5" t="s">
        <v>15</v>
      </c>
      <c r="C54" s="5" t="s">
        <v>859</v>
      </c>
      <c r="D54" s="5" t="s">
        <v>878</v>
      </c>
      <c r="E54" s="5" t="s">
        <v>867</v>
      </c>
      <c r="F54" s="5">
        <v>7</v>
      </c>
      <c r="G54" s="5">
        <v>6.21</v>
      </c>
      <c r="H54" s="5">
        <v>4.07</v>
      </c>
      <c r="I54" s="5">
        <v>0</v>
      </c>
      <c r="J54" s="5">
        <v>15</v>
      </c>
      <c r="K54" s="5">
        <v>0</v>
      </c>
      <c r="L54" s="5">
        <v>0</v>
      </c>
      <c r="M54" s="5">
        <v>0</v>
      </c>
      <c r="N54" s="5">
        <v>0</v>
      </c>
      <c r="O54" s="5">
        <v>0</v>
      </c>
      <c r="P54" s="5">
        <v>0</v>
      </c>
      <c r="Q54" s="5">
        <v>0</v>
      </c>
      <c r="R54" s="5">
        <v>0</v>
      </c>
    </row>
    <row r="55" spans="1:18" ht="15" customHeight="1" x14ac:dyDescent="0.25">
      <c r="A55" s="5">
        <v>7169</v>
      </c>
      <c r="B55" s="5" t="s">
        <v>15</v>
      </c>
      <c r="C55" s="5" t="s">
        <v>859</v>
      </c>
      <c r="D55" s="5" t="s">
        <v>879</v>
      </c>
      <c r="E55" s="5" t="s">
        <v>824</v>
      </c>
      <c r="F55" s="5">
        <v>0</v>
      </c>
      <c r="G55" s="5">
        <v>0</v>
      </c>
      <c r="H55" s="5">
        <v>0</v>
      </c>
      <c r="I55" s="5">
        <v>0</v>
      </c>
      <c r="J55" s="5">
        <v>0</v>
      </c>
      <c r="K55" s="5">
        <v>0</v>
      </c>
      <c r="L55" s="5">
        <v>0</v>
      </c>
      <c r="M55" s="5">
        <v>0</v>
      </c>
      <c r="N55" s="5">
        <v>0</v>
      </c>
      <c r="O55" s="5">
        <v>0</v>
      </c>
      <c r="P55" s="5">
        <v>0</v>
      </c>
      <c r="Q55" s="5">
        <v>0</v>
      </c>
      <c r="R55" s="5">
        <v>0</v>
      </c>
    </row>
    <row r="56" spans="1:18" ht="15" customHeight="1" x14ac:dyDescent="0.25">
      <c r="A56" s="5">
        <v>610</v>
      </c>
      <c r="B56" s="5" t="s">
        <v>15</v>
      </c>
      <c r="C56" s="5" t="s">
        <v>859</v>
      </c>
      <c r="D56" s="5" t="s">
        <v>605</v>
      </c>
      <c r="E56" s="5" t="s">
        <v>824</v>
      </c>
      <c r="F56" s="5">
        <v>0</v>
      </c>
      <c r="G56" s="5">
        <v>0</v>
      </c>
      <c r="H56" s="5">
        <v>0</v>
      </c>
      <c r="I56" s="5">
        <v>0</v>
      </c>
      <c r="J56" s="5">
        <v>0</v>
      </c>
      <c r="K56" s="5">
        <v>0</v>
      </c>
      <c r="L56" s="5">
        <v>0</v>
      </c>
      <c r="M56" s="5">
        <v>0</v>
      </c>
      <c r="N56" s="5">
        <v>0</v>
      </c>
      <c r="O56" s="5">
        <v>0</v>
      </c>
      <c r="P56" s="5">
        <v>0</v>
      </c>
      <c r="Q56" s="5">
        <v>0</v>
      </c>
      <c r="R56" s="5">
        <v>0</v>
      </c>
    </row>
    <row r="57" spans="1:18" ht="15" customHeight="1" x14ac:dyDescent="0.25">
      <c r="A57" s="5">
        <v>4518</v>
      </c>
      <c r="B57" s="5" t="s">
        <v>15</v>
      </c>
      <c r="C57" s="5" t="s">
        <v>859</v>
      </c>
      <c r="D57" s="5" t="s">
        <v>606</v>
      </c>
      <c r="E57" s="5" t="s">
        <v>839</v>
      </c>
      <c r="F57" s="5">
        <v>0</v>
      </c>
      <c r="G57" s="5">
        <v>0</v>
      </c>
      <c r="H57" s="5">
        <v>0</v>
      </c>
      <c r="I57" s="5">
        <v>0</v>
      </c>
      <c r="J57" s="5">
        <v>0</v>
      </c>
      <c r="K57" s="5">
        <v>0</v>
      </c>
      <c r="L57" s="5">
        <v>0</v>
      </c>
      <c r="M57" s="5">
        <v>0</v>
      </c>
      <c r="N57" s="5">
        <v>0</v>
      </c>
      <c r="O57" s="5">
        <v>0</v>
      </c>
      <c r="P57" s="5">
        <v>0</v>
      </c>
      <c r="Q57" s="5">
        <v>0</v>
      </c>
      <c r="R57" s="5">
        <v>0</v>
      </c>
    </row>
    <row r="58" spans="1:18" ht="15" customHeight="1" x14ac:dyDescent="0.25">
      <c r="A58" s="5">
        <v>2127</v>
      </c>
      <c r="B58" s="5" t="s">
        <v>15</v>
      </c>
      <c r="C58" s="5" t="s">
        <v>859</v>
      </c>
      <c r="D58" s="5" t="s">
        <v>880</v>
      </c>
      <c r="E58" s="5" t="s">
        <v>839</v>
      </c>
      <c r="F58" s="5">
        <v>0</v>
      </c>
      <c r="G58" s="5">
        <v>0</v>
      </c>
      <c r="H58" s="5">
        <v>0</v>
      </c>
      <c r="I58" s="5">
        <v>0</v>
      </c>
      <c r="J58" s="5">
        <v>0</v>
      </c>
      <c r="K58" s="5">
        <v>0</v>
      </c>
      <c r="L58" s="5">
        <v>0</v>
      </c>
      <c r="M58" s="5">
        <v>0</v>
      </c>
      <c r="N58" s="5">
        <v>0</v>
      </c>
      <c r="O58" s="5">
        <v>0</v>
      </c>
      <c r="P58" s="5">
        <v>0</v>
      </c>
      <c r="Q58" s="5">
        <v>0</v>
      </c>
      <c r="R58" s="5">
        <v>0</v>
      </c>
    </row>
    <row r="59" spans="1:18" ht="15" customHeight="1" x14ac:dyDescent="0.25">
      <c r="A59" s="5">
        <v>216</v>
      </c>
      <c r="B59" s="5" t="s">
        <v>15</v>
      </c>
      <c r="C59" s="5" t="s">
        <v>859</v>
      </c>
      <c r="D59" s="5" t="s">
        <v>881</v>
      </c>
      <c r="E59" s="5" t="s">
        <v>843</v>
      </c>
      <c r="F59" s="5">
        <v>0</v>
      </c>
      <c r="G59" s="5">
        <v>0</v>
      </c>
      <c r="H59" s="5">
        <v>0</v>
      </c>
      <c r="I59" s="5">
        <v>0</v>
      </c>
      <c r="J59" s="5">
        <v>0</v>
      </c>
      <c r="K59" s="5">
        <v>0</v>
      </c>
      <c r="L59" s="5">
        <v>0</v>
      </c>
      <c r="M59" s="5">
        <v>0</v>
      </c>
      <c r="N59" s="5">
        <v>0</v>
      </c>
      <c r="O59" s="5">
        <v>0</v>
      </c>
      <c r="P59" s="5">
        <v>0</v>
      </c>
      <c r="Q59" s="5">
        <v>0</v>
      </c>
      <c r="R59" s="5">
        <v>0</v>
      </c>
    </row>
    <row r="60" spans="1:18" ht="15" customHeight="1" x14ac:dyDescent="0.25">
      <c r="A60" s="5">
        <v>7179</v>
      </c>
      <c r="B60" s="5" t="s">
        <v>15</v>
      </c>
      <c r="C60" s="5" t="s">
        <v>859</v>
      </c>
      <c r="D60" s="5" t="s">
        <v>882</v>
      </c>
      <c r="E60" s="5" t="s">
        <v>843</v>
      </c>
      <c r="F60" s="5">
        <v>9</v>
      </c>
      <c r="G60" s="5">
        <v>5.89</v>
      </c>
      <c r="H60" s="5">
        <v>3.83</v>
      </c>
      <c r="I60" s="5">
        <v>0</v>
      </c>
      <c r="J60" s="5">
        <v>18</v>
      </c>
      <c r="K60" s="5">
        <v>0</v>
      </c>
      <c r="L60" s="5">
        <v>0</v>
      </c>
      <c r="M60" s="5">
        <v>0</v>
      </c>
      <c r="N60" s="5">
        <v>0</v>
      </c>
      <c r="O60" s="5">
        <v>0</v>
      </c>
      <c r="P60" s="5">
        <v>1</v>
      </c>
      <c r="Q60" s="5">
        <v>0</v>
      </c>
      <c r="R60" s="5">
        <v>0</v>
      </c>
    </row>
    <row r="61" spans="1:18" ht="15" customHeight="1" x14ac:dyDescent="0.25">
      <c r="A61" s="5">
        <v>6210</v>
      </c>
      <c r="B61" s="5" t="s">
        <v>15</v>
      </c>
      <c r="C61" s="5" t="s">
        <v>859</v>
      </c>
      <c r="D61" s="5" t="s">
        <v>883</v>
      </c>
      <c r="E61" s="5" t="s">
        <v>843</v>
      </c>
      <c r="F61" s="5">
        <v>0</v>
      </c>
      <c r="G61" s="5">
        <v>0</v>
      </c>
      <c r="H61" s="5">
        <v>0</v>
      </c>
      <c r="I61" s="5">
        <v>0</v>
      </c>
      <c r="J61" s="5">
        <v>0</v>
      </c>
      <c r="K61" s="5">
        <v>0</v>
      </c>
      <c r="L61" s="5">
        <v>0</v>
      </c>
      <c r="M61" s="5">
        <v>0</v>
      </c>
      <c r="N61" s="5">
        <v>0</v>
      </c>
      <c r="O61" s="5">
        <v>0</v>
      </c>
      <c r="P61" s="5">
        <v>0</v>
      </c>
      <c r="Q61" s="5">
        <v>0</v>
      </c>
      <c r="R61" s="5">
        <v>0</v>
      </c>
    </row>
    <row r="62" spans="1:18" ht="15" customHeight="1" x14ac:dyDescent="0.25">
      <c r="A62" s="5">
        <v>543</v>
      </c>
      <c r="B62" s="5" t="s">
        <v>15</v>
      </c>
      <c r="C62" s="5" t="s">
        <v>859</v>
      </c>
      <c r="D62" s="5" t="s">
        <v>610</v>
      </c>
      <c r="E62" s="5" t="s">
        <v>835</v>
      </c>
      <c r="F62" s="5">
        <v>2</v>
      </c>
      <c r="G62" s="5">
        <v>6.25</v>
      </c>
      <c r="H62" s="5">
        <v>5.25</v>
      </c>
      <c r="I62" s="5">
        <v>0</v>
      </c>
      <c r="J62" s="5">
        <v>2</v>
      </c>
      <c r="K62" s="5">
        <v>0</v>
      </c>
      <c r="L62" s="5">
        <v>0</v>
      </c>
      <c r="M62" s="5">
        <v>0</v>
      </c>
      <c r="N62" s="5">
        <v>0</v>
      </c>
      <c r="O62" s="5">
        <v>0</v>
      </c>
      <c r="P62" s="5">
        <v>0</v>
      </c>
      <c r="Q62" s="5">
        <v>0</v>
      </c>
      <c r="R62" s="5">
        <v>0</v>
      </c>
    </row>
    <row r="63" spans="1:18" ht="15" customHeight="1" x14ac:dyDescent="0.25">
      <c r="A63" s="5">
        <v>6842</v>
      </c>
      <c r="B63" s="5" t="s">
        <v>15</v>
      </c>
      <c r="C63" s="5" t="s">
        <v>859</v>
      </c>
      <c r="D63" s="5" t="s">
        <v>884</v>
      </c>
      <c r="E63" s="5" t="s">
        <v>835</v>
      </c>
      <c r="F63" s="5">
        <v>7</v>
      </c>
      <c r="G63" s="5">
        <v>5.57</v>
      </c>
      <c r="H63" s="5">
        <v>3.5</v>
      </c>
      <c r="I63" s="5">
        <v>0</v>
      </c>
      <c r="J63" s="5">
        <v>14</v>
      </c>
      <c r="K63" s="5">
        <v>0</v>
      </c>
      <c r="L63" s="5">
        <v>0</v>
      </c>
      <c r="M63" s="5">
        <v>0</v>
      </c>
      <c r="N63" s="5">
        <v>0</v>
      </c>
      <c r="O63" s="5">
        <v>0</v>
      </c>
      <c r="P63" s="5">
        <v>1</v>
      </c>
      <c r="Q63" s="5">
        <v>0</v>
      </c>
      <c r="R63" s="5">
        <v>0</v>
      </c>
    </row>
    <row r="64" spans="1:18" ht="15" customHeight="1" x14ac:dyDescent="0.25">
      <c r="A64" s="5">
        <v>511</v>
      </c>
      <c r="B64" s="5" t="s">
        <v>15</v>
      </c>
      <c r="C64" s="5" t="s">
        <v>859</v>
      </c>
      <c r="D64" s="5" t="s">
        <v>885</v>
      </c>
      <c r="E64" s="5" t="s">
        <v>864</v>
      </c>
      <c r="F64" s="5">
        <v>3</v>
      </c>
      <c r="G64" s="5">
        <v>6.17</v>
      </c>
      <c r="H64" s="5">
        <v>3.83</v>
      </c>
      <c r="I64" s="5">
        <v>0</v>
      </c>
      <c r="J64" s="5">
        <v>7</v>
      </c>
      <c r="K64" s="5">
        <v>0</v>
      </c>
      <c r="L64" s="5">
        <v>0</v>
      </c>
      <c r="M64" s="5">
        <v>0</v>
      </c>
      <c r="N64" s="5">
        <v>0</v>
      </c>
      <c r="O64" s="5">
        <v>0</v>
      </c>
      <c r="P64" s="5">
        <v>0</v>
      </c>
      <c r="Q64" s="5">
        <v>0</v>
      </c>
      <c r="R64" s="5">
        <v>0</v>
      </c>
    </row>
    <row r="65" spans="1:18" ht="15" customHeight="1" x14ac:dyDescent="0.25">
      <c r="A65" s="5">
        <v>6125</v>
      </c>
      <c r="B65" s="5" t="s">
        <v>15</v>
      </c>
      <c r="C65" s="5" t="s">
        <v>859</v>
      </c>
      <c r="D65" s="5" t="s">
        <v>886</v>
      </c>
      <c r="E65" s="5" t="s">
        <v>824</v>
      </c>
      <c r="F65" s="5">
        <v>0</v>
      </c>
      <c r="G65" s="5">
        <v>0</v>
      </c>
      <c r="H65" s="5">
        <v>0</v>
      </c>
      <c r="I65" s="5">
        <v>0</v>
      </c>
      <c r="J65" s="5">
        <v>0</v>
      </c>
      <c r="K65" s="5">
        <v>0</v>
      </c>
      <c r="L65" s="5">
        <v>0</v>
      </c>
      <c r="M65" s="5">
        <v>0</v>
      </c>
      <c r="N65" s="5">
        <v>0</v>
      </c>
      <c r="O65" s="5">
        <v>0</v>
      </c>
      <c r="P65" s="5">
        <v>0</v>
      </c>
      <c r="Q65" s="5">
        <v>0</v>
      </c>
      <c r="R65" s="5">
        <v>0</v>
      </c>
    </row>
    <row r="66" spans="1:18" ht="15" customHeight="1" x14ac:dyDescent="0.25">
      <c r="A66" s="5">
        <v>7185</v>
      </c>
      <c r="B66" s="5" t="s">
        <v>15</v>
      </c>
      <c r="C66" s="5" t="s">
        <v>859</v>
      </c>
      <c r="D66" s="5" t="s">
        <v>887</v>
      </c>
      <c r="E66" s="5" t="s">
        <v>835</v>
      </c>
      <c r="F66" s="5">
        <v>0</v>
      </c>
      <c r="G66" s="5">
        <v>0</v>
      </c>
      <c r="H66" s="5">
        <v>0</v>
      </c>
      <c r="I66" s="5">
        <v>0</v>
      </c>
      <c r="J66" s="5">
        <v>0</v>
      </c>
      <c r="K66" s="5">
        <v>0</v>
      </c>
      <c r="L66" s="5">
        <v>0</v>
      </c>
      <c r="M66" s="5">
        <v>0</v>
      </c>
      <c r="N66" s="5">
        <v>0</v>
      </c>
      <c r="O66" s="5">
        <v>0</v>
      </c>
      <c r="P66" s="5">
        <v>0</v>
      </c>
      <c r="Q66" s="5">
        <v>0</v>
      </c>
      <c r="R66" s="5">
        <v>0</v>
      </c>
    </row>
    <row r="67" spans="1:18" ht="15" customHeight="1" x14ac:dyDescent="0.25">
      <c r="A67" s="5">
        <v>158</v>
      </c>
      <c r="B67" s="5" t="s">
        <v>15</v>
      </c>
      <c r="C67" s="5" t="s">
        <v>859</v>
      </c>
      <c r="D67" s="5" t="s">
        <v>589</v>
      </c>
      <c r="E67" s="5" t="s">
        <v>829</v>
      </c>
      <c r="F67" s="5">
        <v>0</v>
      </c>
      <c r="G67" s="5">
        <v>0</v>
      </c>
      <c r="H67" s="5">
        <v>0</v>
      </c>
      <c r="I67" s="5">
        <v>0</v>
      </c>
      <c r="J67" s="5">
        <v>0</v>
      </c>
      <c r="K67" s="5">
        <v>0</v>
      </c>
      <c r="L67" s="5">
        <v>0</v>
      </c>
      <c r="M67" s="5">
        <v>0</v>
      </c>
      <c r="N67" s="5">
        <v>0</v>
      </c>
      <c r="O67" s="5">
        <v>0</v>
      </c>
      <c r="P67" s="5">
        <v>0</v>
      </c>
      <c r="Q67" s="5">
        <v>0</v>
      </c>
      <c r="R67" s="5">
        <v>0</v>
      </c>
    </row>
    <row r="68" spans="1:18" ht="15" customHeight="1" x14ac:dyDescent="0.25">
      <c r="A68" s="5">
        <v>2211</v>
      </c>
      <c r="B68" s="5" t="s">
        <v>15</v>
      </c>
      <c r="C68" s="5" t="s">
        <v>859</v>
      </c>
      <c r="D68" s="5" t="s">
        <v>888</v>
      </c>
      <c r="E68" s="5" t="s">
        <v>862</v>
      </c>
      <c r="F68" s="5">
        <v>4</v>
      </c>
      <c r="G68" s="5">
        <v>6.38</v>
      </c>
      <c r="H68" s="5">
        <v>4.62</v>
      </c>
      <c r="I68" s="5">
        <v>0</v>
      </c>
      <c r="J68" s="5">
        <v>7</v>
      </c>
      <c r="K68" s="5">
        <v>0</v>
      </c>
      <c r="L68" s="5">
        <v>0</v>
      </c>
      <c r="M68" s="5">
        <v>0</v>
      </c>
      <c r="N68" s="5">
        <v>0</v>
      </c>
      <c r="O68" s="5">
        <v>0</v>
      </c>
      <c r="P68" s="5">
        <v>0</v>
      </c>
      <c r="Q68" s="5">
        <v>0</v>
      </c>
      <c r="R68" s="5">
        <v>0</v>
      </c>
    </row>
    <row r="69" spans="1:18" ht="15" customHeight="1" x14ac:dyDescent="0.25">
      <c r="A69" s="5">
        <v>7236</v>
      </c>
      <c r="B69" s="5" t="s">
        <v>15</v>
      </c>
      <c r="C69" s="5" t="s">
        <v>859</v>
      </c>
      <c r="D69" s="5" t="s">
        <v>889</v>
      </c>
      <c r="E69" s="5" t="s">
        <v>864</v>
      </c>
      <c r="F69" s="5">
        <v>0</v>
      </c>
      <c r="G69" s="5">
        <v>0</v>
      </c>
      <c r="H69" s="5">
        <v>0</v>
      </c>
      <c r="I69" s="5">
        <v>0</v>
      </c>
      <c r="J69" s="5">
        <v>0</v>
      </c>
      <c r="K69" s="5">
        <v>0</v>
      </c>
      <c r="L69" s="5">
        <v>0</v>
      </c>
      <c r="M69" s="5">
        <v>0</v>
      </c>
      <c r="N69" s="5">
        <v>0</v>
      </c>
      <c r="O69" s="5">
        <v>0</v>
      </c>
      <c r="P69" s="5">
        <v>0</v>
      </c>
      <c r="Q69" s="5">
        <v>0</v>
      </c>
      <c r="R69" s="5">
        <v>0</v>
      </c>
    </row>
    <row r="70" spans="1:18" ht="15" customHeight="1" x14ac:dyDescent="0.25">
      <c r="A70" s="5">
        <v>7261</v>
      </c>
      <c r="B70" s="5" t="s">
        <v>15</v>
      </c>
      <c r="C70" s="5" t="s">
        <v>859</v>
      </c>
      <c r="D70" s="5" t="s">
        <v>890</v>
      </c>
      <c r="E70" s="5" t="s">
        <v>827</v>
      </c>
      <c r="F70" s="5">
        <v>0</v>
      </c>
      <c r="G70" s="5">
        <v>0</v>
      </c>
      <c r="H70" s="5">
        <v>0</v>
      </c>
      <c r="I70" s="5">
        <v>0</v>
      </c>
      <c r="J70" s="5">
        <v>0</v>
      </c>
      <c r="K70" s="5">
        <v>0</v>
      </c>
      <c r="L70" s="5">
        <v>0</v>
      </c>
      <c r="M70" s="5">
        <v>0</v>
      </c>
      <c r="N70" s="5">
        <v>0</v>
      </c>
      <c r="O70" s="5">
        <v>0</v>
      </c>
      <c r="P70" s="5">
        <v>0</v>
      </c>
      <c r="Q70" s="5">
        <v>0</v>
      </c>
      <c r="R70" s="5">
        <v>0</v>
      </c>
    </row>
    <row r="71" spans="1:18" ht="15" customHeight="1" x14ac:dyDescent="0.25">
      <c r="A71" s="5">
        <v>7285</v>
      </c>
      <c r="B71" s="5" t="s">
        <v>15</v>
      </c>
      <c r="C71" s="5" t="s">
        <v>859</v>
      </c>
      <c r="D71" s="5" t="s">
        <v>891</v>
      </c>
      <c r="E71" s="5" t="s">
        <v>830</v>
      </c>
      <c r="F71" s="5">
        <v>0</v>
      </c>
      <c r="G71" s="5">
        <v>0</v>
      </c>
      <c r="H71" s="5">
        <v>0</v>
      </c>
      <c r="I71" s="5">
        <v>0</v>
      </c>
      <c r="J71" s="5">
        <v>0</v>
      </c>
      <c r="K71" s="5">
        <v>0</v>
      </c>
      <c r="L71" s="5">
        <v>0</v>
      </c>
      <c r="M71" s="5">
        <v>0</v>
      </c>
      <c r="N71" s="5">
        <v>0</v>
      </c>
      <c r="O71" s="5">
        <v>0</v>
      </c>
      <c r="P71" s="5">
        <v>0</v>
      </c>
      <c r="Q71" s="5">
        <v>0</v>
      </c>
      <c r="R71" s="5">
        <v>0</v>
      </c>
    </row>
    <row r="72" spans="1:18" ht="15" customHeight="1" x14ac:dyDescent="0.25">
      <c r="A72" s="5">
        <v>7042</v>
      </c>
      <c r="B72" s="5" t="s">
        <v>15</v>
      </c>
      <c r="C72" s="5" t="s">
        <v>859</v>
      </c>
      <c r="D72" s="5" t="s">
        <v>892</v>
      </c>
      <c r="E72" s="5" t="s">
        <v>825</v>
      </c>
      <c r="F72" s="5">
        <v>0</v>
      </c>
      <c r="G72" s="5">
        <v>0</v>
      </c>
      <c r="H72" s="5">
        <v>0</v>
      </c>
      <c r="I72" s="5">
        <v>0</v>
      </c>
      <c r="J72" s="5">
        <v>0</v>
      </c>
      <c r="K72" s="5">
        <v>0</v>
      </c>
      <c r="L72" s="5">
        <v>0</v>
      </c>
      <c r="M72" s="5">
        <v>0</v>
      </c>
      <c r="N72" s="5">
        <v>0</v>
      </c>
      <c r="O72" s="5">
        <v>0</v>
      </c>
      <c r="P72" s="5">
        <v>0</v>
      </c>
      <c r="Q72" s="5">
        <v>0</v>
      </c>
      <c r="R72" s="5">
        <v>0</v>
      </c>
    </row>
    <row r="73" spans="1:18" ht="15" customHeight="1" x14ac:dyDescent="0.25">
      <c r="A73" s="5">
        <v>7301</v>
      </c>
      <c r="B73" s="5" t="s">
        <v>15</v>
      </c>
      <c r="C73" s="5" t="s">
        <v>859</v>
      </c>
      <c r="D73" s="5" t="s">
        <v>586</v>
      </c>
      <c r="E73" s="5" t="s">
        <v>827</v>
      </c>
      <c r="F73" s="5">
        <v>0</v>
      </c>
      <c r="G73" s="5">
        <v>0</v>
      </c>
      <c r="H73" s="5">
        <v>0</v>
      </c>
      <c r="I73" s="5">
        <v>0</v>
      </c>
      <c r="J73" s="5">
        <v>0</v>
      </c>
      <c r="K73" s="5">
        <v>0</v>
      </c>
      <c r="L73" s="5">
        <v>0</v>
      </c>
      <c r="M73" s="5">
        <v>0</v>
      </c>
      <c r="N73" s="5">
        <v>0</v>
      </c>
      <c r="O73" s="5">
        <v>0</v>
      </c>
      <c r="P73" s="5">
        <v>0</v>
      </c>
      <c r="Q73" s="5">
        <v>0</v>
      </c>
      <c r="R73" s="5">
        <v>0</v>
      </c>
    </row>
    <row r="74" spans="1:18" ht="15" customHeight="1" x14ac:dyDescent="0.25">
      <c r="A74" s="5">
        <v>6650</v>
      </c>
      <c r="B74" s="5" t="s">
        <v>15</v>
      </c>
      <c r="C74" s="5" t="s">
        <v>859</v>
      </c>
      <c r="D74" s="5" t="s">
        <v>585</v>
      </c>
      <c r="E74" s="5" t="s">
        <v>832</v>
      </c>
      <c r="F74" s="5">
        <v>0</v>
      </c>
      <c r="G74" s="5">
        <v>0</v>
      </c>
      <c r="H74" s="5">
        <v>0</v>
      </c>
      <c r="I74" s="5">
        <v>0</v>
      </c>
      <c r="J74" s="5">
        <v>0</v>
      </c>
      <c r="K74" s="5">
        <v>0</v>
      </c>
      <c r="L74" s="5">
        <v>0</v>
      </c>
      <c r="M74" s="5">
        <v>0</v>
      </c>
      <c r="N74" s="5">
        <v>0</v>
      </c>
      <c r="O74" s="5">
        <v>0</v>
      </c>
      <c r="P74" s="5">
        <v>0</v>
      </c>
      <c r="Q74" s="5">
        <v>0</v>
      </c>
      <c r="R74" s="5">
        <v>0</v>
      </c>
    </row>
    <row r="75" spans="1:18" ht="15" customHeight="1" x14ac:dyDescent="0.25">
      <c r="A75" s="5">
        <v>7363</v>
      </c>
      <c r="B75" s="5" t="s">
        <v>15</v>
      </c>
      <c r="C75" s="5" t="s">
        <v>859</v>
      </c>
      <c r="D75" s="5" t="s">
        <v>609</v>
      </c>
      <c r="E75" s="5" t="s">
        <v>843</v>
      </c>
      <c r="F75" s="5">
        <v>0</v>
      </c>
      <c r="G75" s="5">
        <v>0</v>
      </c>
      <c r="H75" s="5">
        <v>0</v>
      </c>
      <c r="I75" s="5">
        <v>0</v>
      </c>
      <c r="J75" s="5">
        <v>0</v>
      </c>
      <c r="K75" s="5">
        <v>0</v>
      </c>
      <c r="L75" s="5">
        <v>0</v>
      </c>
      <c r="M75" s="5">
        <v>0</v>
      </c>
      <c r="N75" s="5">
        <v>0</v>
      </c>
      <c r="O75" s="5">
        <v>0</v>
      </c>
      <c r="P75" s="5">
        <v>0</v>
      </c>
      <c r="Q75" s="5">
        <v>0</v>
      </c>
      <c r="R75" s="5">
        <v>0</v>
      </c>
    </row>
    <row r="76" spans="1:18" ht="15" customHeight="1" x14ac:dyDescent="0.25">
      <c r="A76" s="5">
        <v>7382</v>
      </c>
      <c r="B76" s="5" t="s">
        <v>15</v>
      </c>
      <c r="C76" s="5" t="s">
        <v>859</v>
      </c>
      <c r="D76" s="5" t="s">
        <v>893</v>
      </c>
      <c r="E76" s="5" t="s">
        <v>834</v>
      </c>
      <c r="F76" s="5">
        <v>0</v>
      </c>
      <c r="G76" s="5">
        <v>0</v>
      </c>
      <c r="H76" s="5">
        <v>0</v>
      </c>
      <c r="I76" s="5">
        <v>0</v>
      </c>
      <c r="J76" s="5">
        <v>0</v>
      </c>
      <c r="K76" s="5">
        <v>0</v>
      </c>
      <c r="L76" s="5">
        <v>0</v>
      </c>
      <c r="M76" s="5">
        <v>0</v>
      </c>
      <c r="N76" s="5">
        <v>0</v>
      </c>
      <c r="O76" s="5">
        <v>0</v>
      </c>
      <c r="P76" s="5">
        <v>0</v>
      </c>
      <c r="Q76" s="5">
        <v>0</v>
      </c>
      <c r="R76" s="5">
        <v>0</v>
      </c>
    </row>
    <row r="77" spans="1:18" ht="15" customHeight="1" x14ac:dyDescent="0.25">
      <c r="A77" s="5">
        <v>7383</v>
      </c>
      <c r="B77" s="5" t="s">
        <v>15</v>
      </c>
      <c r="C77" s="5" t="s">
        <v>859</v>
      </c>
      <c r="D77" s="5" t="s">
        <v>894</v>
      </c>
      <c r="E77" s="5" t="s">
        <v>834</v>
      </c>
      <c r="F77" s="5">
        <v>0</v>
      </c>
      <c r="G77" s="5">
        <v>0</v>
      </c>
      <c r="H77" s="5">
        <v>0</v>
      </c>
      <c r="I77" s="5">
        <v>0</v>
      </c>
      <c r="J77" s="5">
        <v>0</v>
      </c>
      <c r="K77" s="5">
        <v>0</v>
      </c>
      <c r="L77" s="5">
        <v>0</v>
      </c>
      <c r="M77" s="5">
        <v>0</v>
      </c>
      <c r="N77" s="5">
        <v>0</v>
      </c>
      <c r="O77" s="5">
        <v>0</v>
      </c>
      <c r="P77" s="5">
        <v>0</v>
      </c>
      <c r="Q77" s="5">
        <v>0</v>
      </c>
      <c r="R77" s="5">
        <v>0</v>
      </c>
    </row>
    <row r="78" spans="1:18" ht="15" customHeight="1" x14ac:dyDescent="0.25">
      <c r="A78" s="5">
        <v>254</v>
      </c>
      <c r="B78" s="5" t="s">
        <v>16</v>
      </c>
      <c r="C78" s="5" t="s">
        <v>895</v>
      </c>
      <c r="D78" s="5" t="s">
        <v>145</v>
      </c>
      <c r="E78" s="5" t="s">
        <v>825</v>
      </c>
      <c r="F78" s="5">
        <v>35</v>
      </c>
      <c r="G78" s="5">
        <v>6.6</v>
      </c>
      <c r="H78" s="5">
        <v>7.64</v>
      </c>
      <c r="I78" s="5">
        <v>7</v>
      </c>
      <c r="J78" s="5">
        <v>0</v>
      </c>
      <c r="K78" s="5">
        <v>0</v>
      </c>
      <c r="L78" s="5">
        <v>0</v>
      </c>
      <c r="M78" s="5">
        <v>0</v>
      </c>
      <c r="N78" s="5">
        <v>0</v>
      </c>
      <c r="O78" s="5">
        <v>17</v>
      </c>
      <c r="P78" s="5">
        <v>3</v>
      </c>
      <c r="Q78" s="5">
        <v>0</v>
      </c>
      <c r="R78" s="5">
        <v>0</v>
      </c>
    </row>
    <row r="79" spans="1:18" ht="15" customHeight="1" x14ac:dyDescent="0.25">
      <c r="A79" s="5">
        <v>2788</v>
      </c>
      <c r="B79" s="5" t="s">
        <v>16</v>
      </c>
      <c r="C79" s="5" t="s">
        <v>896</v>
      </c>
      <c r="D79" s="5" t="s">
        <v>198</v>
      </c>
      <c r="E79" s="5" t="s">
        <v>833</v>
      </c>
      <c r="F79" s="5">
        <v>26</v>
      </c>
      <c r="G79" s="5">
        <v>6.33</v>
      </c>
      <c r="H79" s="5">
        <v>6.81</v>
      </c>
      <c r="I79" s="5">
        <v>4</v>
      </c>
      <c r="J79" s="5">
        <v>0</v>
      </c>
      <c r="K79" s="5">
        <v>0</v>
      </c>
      <c r="L79" s="5">
        <v>0</v>
      </c>
      <c r="M79" s="5">
        <v>0</v>
      </c>
      <c r="N79" s="5">
        <v>0</v>
      </c>
      <c r="O79" s="5">
        <v>3</v>
      </c>
      <c r="P79" s="5">
        <v>5</v>
      </c>
      <c r="Q79" s="5">
        <v>0</v>
      </c>
      <c r="R79" s="5">
        <v>0</v>
      </c>
    </row>
    <row r="80" spans="1:18" ht="15" customHeight="1" x14ac:dyDescent="0.25">
      <c r="A80" s="5">
        <v>5022</v>
      </c>
      <c r="B80" s="5" t="s">
        <v>16</v>
      </c>
      <c r="C80" s="5" t="s">
        <v>896</v>
      </c>
      <c r="D80" s="5" t="s">
        <v>203</v>
      </c>
      <c r="E80" s="5" t="s">
        <v>828</v>
      </c>
      <c r="F80" s="5">
        <v>34</v>
      </c>
      <c r="G80" s="5">
        <v>6.24</v>
      </c>
      <c r="H80" s="5">
        <v>6.62</v>
      </c>
      <c r="I80" s="5">
        <v>5</v>
      </c>
      <c r="J80" s="5">
        <v>0</v>
      </c>
      <c r="K80" s="5">
        <v>0</v>
      </c>
      <c r="L80" s="5">
        <v>0</v>
      </c>
      <c r="M80" s="5">
        <v>0</v>
      </c>
      <c r="N80" s="5">
        <v>0</v>
      </c>
      <c r="O80" s="5">
        <v>0</v>
      </c>
      <c r="P80" s="5">
        <v>4</v>
      </c>
      <c r="Q80" s="5">
        <v>0</v>
      </c>
      <c r="R80" s="5">
        <v>0</v>
      </c>
    </row>
    <row r="81" spans="1:18" ht="15" customHeight="1" x14ac:dyDescent="0.25">
      <c r="A81" s="5">
        <v>6832</v>
      </c>
      <c r="B81" s="5" t="s">
        <v>16</v>
      </c>
      <c r="C81" s="5" t="s">
        <v>895</v>
      </c>
      <c r="D81" s="5" t="s">
        <v>897</v>
      </c>
      <c r="E81" s="5" t="s">
        <v>832</v>
      </c>
      <c r="F81" s="5">
        <v>37</v>
      </c>
      <c r="G81" s="5">
        <v>6.27</v>
      </c>
      <c r="H81" s="5">
        <v>6.42</v>
      </c>
      <c r="I81" s="5">
        <v>1</v>
      </c>
      <c r="J81" s="5">
        <v>0</v>
      </c>
      <c r="K81" s="5">
        <v>0</v>
      </c>
      <c r="L81" s="5">
        <v>0</v>
      </c>
      <c r="M81" s="5">
        <v>0</v>
      </c>
      <c r="N81" s="5">
        <v>0</v>
      </c>
      <c r="O81" s="5">
        <v>4</v>
      </c>
      <c r="P81" s="5">
        <v>3</v>
      </c>
      <c r="Q81" s="5">
        <v>0</v>
      </c>
      <c r="R81" s="5">
        <v>0</v>
      </c>
    </row>
    <row r="82" spans="1:18" ht="15" customHeight="1" x14ac:dyDescent="0.25">
      <c r="A82" s="5">
        <v>6893</v>
      </c>
      <c r="B82" s="5" t="s">
        <v>16</v>
      </c>
      <c r="C82" s="5" t="s">
        <v>896</v>
      </c>
      <c r="D82" s="5" t="s">
        <v>387</v>
      </c>
      <c r="E82" s="5" t="s">
        <v>827</v>
      </c>
      <c r="F82" s="5">
        <v>29</v>
      </c>
      <c r="G82" s="5">
        <v>6.12</v>
      </c>
      <c r="H82" s="5">
        <v>6.52</v>
      </c>
      <c r="I82" s="5">
        <v>4</v>
      </c>
      <c r="J82" s="5">
        <v>0</v>
      </c>
      <c r="K82" s="5">
        <v>0</v>
      </c>
      <c r="L82" s="5">
        <v>0</v>
      </c>
      <c r="M82" s="5">
        <v>0</v>
      </c>
      <c r="N82" s="5">
        <v>0</v>
      </c>
      <c r="O82" s="5">
        <v>1</v>
      </c>
      <c r="P82" s="5">
        <v>3</v>
      </c>
      <c r="Q82" s="5">
        <v>0</v>
      </c>
      <c r="R82" s="5">
        <v>0</v>
      </c>
    </row>
    <row r="83" spans="1:18" ht="15" customHeight="1" x14ac:dyDescent="0.25">
      <c r="A83" s="5">
        <v>1852</v>
      </c>
      <c r="B83" s="5" t="s">
        <v>16</v>
      </c>
      <c r="C83" s="5" t="s">
        <v>898</v>
      </c>
      <c r="D83" s="5" t="s">
        <v>273</v>
      </c>
      <c r="E83" s="5" t="s">
        <v>830</v>
      </c>
      <c r="F83" s="5">
        <v>30</v>
      </c>
      <c r="G83" s="5">
        <v>6.17</v>
      </c>
      <c r="H83" s="5">
        <v>6.55</v>
      </c>
      <c r="I83" s="5">
        <v>3</v>
      </c>
      <c r="J83" s="5">
        <v>0</v>
      </c>
      <c r="K83" s="5">
        <v>0</v>
      </c>
      <c r="L83" s="5">
        <v>0</v>
      </c>
      <c r="M83" s="5">
        <v>0</v>
      </c>
      <c r="N83" s="5">
        <v>0</v>
      </c>
      <c r="O83" s="5">
        <v>3</v>
      </c>
      <c r="P83" s="5">
        <v>1</v>
      </c>
      <c r="Q83" s="5">
        <v>0</v>
      </c>
      <c r="R83" s="5">
        <v>0</v>
      </c>
    </row>
    <row r="84" spans="1:18" ht="15" customHeight="1" x14ac:dyDescent="0.25">
      <c r="A84" s="5">
        <v>5526</v>
      </c>
      <c r="B84" s="5" t="s">
        <v>16</v>
      </c>
      <c r="C84" s="5" t="s">
        <v>896</v>
      </c>
      <c r="D84" s="5" t="s">
        <v>251</v>
      </c>
      <c r="E84" s="5" t="s">
        <v>826</v>
      </c>
      <c r="F84" s="5">
        <v>24</v>
      </c>
      <c r="G84" s="5">
        <v>6.06</v>
      </c>
      <c r="H84" s="5">
        <v>6.44</v>
      </c>
      <c r="I84" s="5">
        <v>3</v>
      </c>
      <c r="J84" s="5">
        <v>0</v>
      </c>
      <c r="K84" s="5">
        <v>0</v>
      </c>
      <c r="L84" s="5">
        <v>0</v>
      </c>
      <c r="M84" s="5">
        <v>0</v>
      </c>
      <c r="N84" s="5">
        <v>0</v>
      </c>
      <c r="O84" s="5">
        <v>1</v>
      </c>
      <c r="P84" s="5">
        <v>2</v>
      </c>
      <c r="Q84" s="5">
        <v>0</v>
      </c>
      <c r="R84" s="5">
        <v>0</v>
      </c>
    </row>
    <row r="85" spans="1:18" ht="15" customHeight="1" x14ac:dyDescent="0.25">
      <c r="A85" s="5">
        <v>6217</v>
      </c>
      <c r="B85" s="5" t="s">
        <v>16</v>
      </c>
      <c r="C85" s="5" t="s">
        <v>896</v>
      </c>
      <c r="D85" s="5" t="s">
        <v>234</v>
      </c>
      <c r="E85" s="5" t="s">
        <v>825</v>
      </c>
      <c r="F85" s="5">
        <v>23</v>
      </c>
      <c r="G85" s="5">
        <v>6.22</v>
      </c>
      <c r="H85" s="5">
        <v>6.65</v>
      </c>
      <c r="I85" s="5">
        <v>3</v>
      </c>
      <c r="J85" s="5">
        <v>0</v>
      </c>
      <c r="K85" s="5">
        <v>0</v>
      </c>
      <c r="L85" s="5">
        <v>0</v>
      </c>
      <c r="M85" s="5">
        <v>0</v>
      </c>
      <c r="N85" s="5">
        <v>0</v>
      </c>
      <c r="O85" s="5">
        <v>2</v>
      </c>
      <c r="P85" s="5">
        <v>2</v>
      </c>
      <c r="Q85" s="5">
        <v>0</v>
      </c>
      <c r="R85" s="5">
        <v>0</v>
      </c>
    </row>
    <row r="86" spans="1:18" ht="15" customHeight="1" x14ac:dyDescent="0.25">
      <c r="A86" s="5">
        <v>2296</v>
      </c>
      <c r="B86" s="5" t="s">
        <v>16</v>
      </c>
      <c r="C86" s="5" t="s">
        <v>896</v>
      </c>
      <c r="D86" s="5" t="s">
        <v>202</v>
      </c>
      <c r="E86" s="5" t="s">
        <v>824</v>
      </c>
      <c r="F86" s="5">
        <v>36</v>
      </c>
      <c r="G86" s="5">
        <v>6.25</v>
      </c>
      <c r="H86" s="5">
        <v>6.51</v>
      </c>
      <c r="I86" s="5">
        <v>4</v>
      </c>
      <c r="J86" s="5">
        <v>0</v>
      </c>
      <c r="K86" s="5">
        <v>0</v>
      </c>
      <c r="L86" s="5">
        <v>0</v>
      </c>
      <c r="M86" s="5">
        <v>0</v>
      </c>
      <c r="N86" s="5">
        <v>0</v>
      </c>
      <c r="O86" s="5">
        <v>2</v>
      </c>
      <c r="P86" s="5">
        <v>9</v>
      </c>
      <c r="Q86" s="5">
        <v>0</v>
      </c>
      <c r="R86" s="5">
        <v>0</v>
      </c>
    </row>
    <row r="87" spans="1:18" ht="15" customHeight="1" x14ac:dyDescent="0.25">
      <c r="A87" s="5">
        <v>5750</v>
      </c>
      <c r="B87" s="5" t="s">
        <v>16</v>
      </c>
      <c r="C87" s="5" t="s">
        <v>896</v>
      </c>
      <c r="D87" s="5" t="s">
        <v>223</v>
      </c>
      <c r="E87" s="5" t="s">
        <v>836</v>
      </c>
      <c r="F87" s="5">
        <v>30</v>
      </c>
      <c r="G87" s="5">
        <v>6.13</v>
      </c>
      <c r="H87" s="5">
        <v>6.52</v>
      </c>
      <c r="I87" s="5">
        <v>5</v>
      </c>
      <c r="J87" s="5">
        <v>0</v>
      </c>
      <c r="K87" s="5">
        <v>0</v>
      </c>
      <c r="L87" s="5">
        <v>0</v>
      </c>
      <c r="M87" s="5">
        <v>0</v>
      </c>
      <c r="N87" s="5">
        <v>0</v>
      </c>
      <c r="O87" s="5">
        <v>0</v>
      </c>
      <c r="P87" s="5">
        <v>7</v>
      </c>
      <c r="Q87" s="5">
        <v>0</v>
      </c>
      <c r="R87" s="5">
        <v>0</v>
      </c>
    </row>
    <row r="88" spans="1:18" ht="15" customHeight="1" x14ac:dyDescent="0.25">
      <c r="A88" s="5">
        <v>4976</v>
      </c>
      <c r="B88" s="5" t="s">
        <v>16</v>
      </c>
      <c r="C88" s="5" t="s">
        <v>899</v>
      </c>
      <c r="D88" s="5" t="s">
        <v>206</v>
      </c>
      <c r="E88" s="5" t="s">
        <v>833</v>
      </c>
      <c r="F88" s="5">
        <v>37</v>
      </c>
      <c r="G88" s="5">
        <v>6.14</v>
      </c>
      <c r="H88" s="5">
        <v>6.35</v>
      </c>
      <c r="I88" s="5">
        <v>2</v>
      </c>
      <c r="J88" s="5">
        <v>0</v>
      </c>
      <c r="K88" s="5">
        <v>0</v>
      </c>
      <c r="L88" s="5">
        <v>0</v>
      </c>
      <c r="M88" s="5">
        <v>0</v>
      </c>
      <c r="N88" s="5">
        <v>0</v>
      </c>
      <c r="O88" s="5">
        <v>4</v>
      </c>
      <c r="P88" s="5">
        <v>2</v>
      </c>
      <c r="Q88" s="5">
        <v>1</v>
      </c>
      <c r="R88" s="5">
        <v>0</v>
      </c>
    </row>
    <row r="89" spans="1:18" ht="15" customHeight="1" x14ac:dyDescent="0.25">
      <c r="A89" s="5">
        <v>4657</v>
      </c>
      <c r="B89" s="5" t="s">
        <v>16</v>
      </c>
      <c r="C89" s="5" t="s">
        <v>900</v>
      </c>
      <c r="D89" s="5" t="s">
        <v>292</v>
      </c>
      <c r="E89" s="5" t="s">
        <v>824</v>
      </c>
      <c r="F89" s="5">
        <v>32</v>
      </c>
      <c r="G89" s="5">
        <v>6.17</v>
      </c>
      <c r="H89" s="5">
        <v>6.27</v>
      </c>
      <c r="I89" s="5">
        <v>1</v>
      </c>
      <c r="J89" s="5">
        <v>0</v>
      </c>
      <c r="K89" s="5">
        <v>0</v>
      </c>
      <c r="L89" s="5">
        <v>0</v>
      </c>
      <c r="M89" s="5">
        <v>0</v>
      </c>
      <c r="N89" s="5">
        <v>0</v>
      </c>
      <c r="O89" s="5">
        <v>2</v>
      </c>
      <c r="P89" s="5">
        <v>2</v>
      </c>
      <c r="Q89" s="5">
        <v>1</v>
      </c>
      <c r="R89" s="5">
        <v>0</v>
      </c>
    </row>
    <row r="90" spans="1:18" ht="15" customHeight="1" x14ac:dyDescent="0.25">
      <c r="A90" s="5">
        <v>7181</v>
      </c>
      <c r="B90" s="5" t="s">
        <v>16</v>
      </c>
      <c r="C90" s="5" t="s">
        <v>895</v>
      </c>
      <c r="D90" s="5" t="s">
        <v>167</v>
      </c>
      <c r="E90" s="5" t="s">
        <v>824</v>
      </c>
      <c r="F90" s="5">
        <v>30</v>
      </c>
      <c r="G90" s="5">
        <v>6.12</v>
      </c>
      <c r="H90" s="5">
        <v>6.47</v>
      </c>
      <c r="I90" s="5">
        <v>5</v>
      </c>
      <c r="J90" s="5">
        <v>0</v>
      </c>
      <c r="K90" s="5">
        <v>0</v>
      </c>
      <c r="L90" s="5">
        <v>0</v>
      </c>
      <c r="M90" s="5">
        <v>0</v>
      </c>
      <c r="N90" s="5">
        <v>0</v>
      </c>
      <c r="O90" s="5">
        <v>0</v>
      </c>
      <c r="P90" s="5">
        <v>5</v>
      </c>
      <c r="Q90" s="5">
        <v>2</v>
      </c>
      <c r="R90" s="5">
        <v>0</v>
      </c>
    </row>
    <row r="91" spans="1:18" ht="15" customHeight="1" x14ac:dyDescent="0.25">
      <c r="A91" s="5">
        <v>6956</v>
      </c>
      <c r="B91" s="5" t="s">
        <v>16</v>
      </c>
      <c r="C91" s="5" t="s">
        <v>896</v>
      </c>
      <c r="D91" s="5" t="s">
        <v>207</v>
      </c>
      <c r="E91" s="5" t="s">
        <v>835</v>
      </c>
      <c r="F91" s="5">
        <v>34</v>
      </c>
      <c r="G91" s="5">
        <v>6.18</v>
      </c>
      <c r="H91" s="5">
        <v>6.4</v>
      </c>
      <c r="I91" s="5">
        <v>3</v>
      </c>
      <c r="J91" s="5">
        <v>0</v>
      </c>
      <c r="K91" s="5">
        <v>0</v>
      </c>
      <c r="L91" s="5">
        <v>1</v>
      </c>
      <c r="M91" s="5">
        <v>1</v>
      </c>
      <c r="N91" s="5">
        <v>0</v>
      </c>
      <c r="O91" s="5">
        <v>1</v>
      </c>
      <c r="P91" s="5">
        <v>1</v>
      </c>
      <c r="Q91" s="5">
        <v>0</v>
      </c>
      <c r="R91" s="5">
        <v>1</v>
      </c>
    </row>
    <row r="92" spans="1:18" ht="15" customHeight="1" x14ac:dyDescent="0.25">
      <c r="A92" s="5">
        <v>2120</v>
      </c>
      <c r="B92" s="5" t="s">
        <v>16</v>
      </c>
      <c r="C92" s="5" t="s">
        <v>896</v>
      </c>
      <c r="D92" s="5" t="s">
        <v>212</v>
      </c>
      <c r="E92" s="5" t="s">
        <v>825</v>
      </c>
      <c r="F92" s="5">
        <v>28</v>
      </c>
      <c r="G92" s="5">
        <v>6.2</v>
      </c>
      <c r="H92" s="5">
        <v>6.34</v>
      </c>
      <c r="I92" s="5">
        <v>1</v>
      </c>
      <c r="J92" s="5">
        <v>0</v>
      </c>
      <c r="K92" s="5">
        <v>0</v>
      </c>
      <c r="L92" s="5">
        <v>0</v>
      </c>
      <c r="M92" s="5">
        <v>0</v>
      </c>
      <c r="N92" s="5">
        <v>0</v>
      </c>
      <c r="O92" s="5">
        <v>4</v>
      </c>
      <c r="P92" s="5">
        <v>6</v>
      </c>
      <c r="Q92" s="5">
        <v>0</v>
      </c>
      <c r="R92" s="5">
        <v>0</v>
      </c>
    </row>
    <row r="93" spans="1:18" ht="15" customHeight="1" x14ac:dyDescent="0.25">
      <c r="A93" s="5">
        <v>4807</v>
      </c>
      <c r="B93" s="5" t="s">
        <v>16</v>
      </c>
      <c r="C93" s="5" t="s">
        <v>896</v>
      </c>
      <c r="D93" s="5" t="s">
        <v>260</v>
      </c>
      <c r="E93" s="5" t="s">
        <v>824</v>
      </c>
      <c r="F93" s="5">
        <v>27</v>
      </c>
      <c r="G93" s="5">
        <v>6.17</v>
      </c>
      <c r="H93" s="5">
        <v>6.41</v>
      </c>
      <c r="I93" s="5">
        <v>3</v>
      </c>
      <c r="J93" s="5">
        <v>0</v>
      </c>
      <c r="K93" s="5">
        <v>0</v>
      </c>
      <c r="L93" s="5">
        <v>0</v>
      </c>
      <c r="M93" s="5">
        <v>0</v>
      </c>
      <c r="N93" s="5">
        <v>0</v>
      </c>
      <c r="O93" s="5">
        <v>2</v>
      </c>
      <c r="P93" s="5">
        <v>9</v>
      </c>
      <c r="Q93" s="5">
        <v>0</v>
      </c>
      <c r="R93" s="5">
        <v>0</v>
      </c>
    </row>
    <row r="94" spans="1:18" ht="15" customHeight="1" x14ac:dyDescent="0.25">
      <c r="A94" s="5">
        <v>6986</v>
      </c>
      <c r="B94" s="5" t="s">
        <v>16</v>
      </c>
      <c r="C94" s="5" t="s">
        <v>900</v>
      </c>
      <c r="D94" s="5" t="s">
        <v>348</v>
      </c>
      <c r="E94" s="5" t="s">
        <v>824</v>
      </c>
      <c r="F94" s="5">
        <v>19</v>
      </c>
      <c r="G94" s="5">
        <v>6.16</v>
      </c>
      <c r="H94" s="5">
        <v>6.5</v>
      </c>
      <c r="I94" s="5">
        <v>1</v>
      </c>
      <c r="J94" s="5">
        <v>0</v>
      </c>
      <c r="K94" s="5">
        <v>0</v>
      </c>
      <c r="L94" s="5">
        <v>0</v>
      </c>
      <c r="M94" s="5">
        <v>0</v>
      </c>
      <c r="N94" s="5">
        <v>0</v>
      </c>
      <c r="O94" s="5">
        <v>4</v>
      </c>
      <c r="P94" s="5">
        <v>1</v>
      </c>
      <c r="Q94" s="5">
        <v>0</v>
      </c>
      <c r="R94" s="5">
        <v>0</v>
      </c>
    </row>
    <row r="95" spans="1:18" ht="15" customHeight="1" x14ac:dyDescent="0.25">
      <c r="A95" s="5">
        <v>4159</v>
      </c>
      <c r="B95" s="5" t="s">
        <v>16</v>
      </c>
      <c r="C95" s="5" t="s">
        <v>896</v>
      </c>
      <c r="D95" s="5" t="s">
        <v>191</v>
      </c>
      <c r="E95" s="5" t="s">
        <v>825</v>
      </c>
      <c r="F95" s="5">
        <v>32</v>
      </c>
      <c r="G95" s="5">
        <v>6.28</v>
      </c>
      <c r="H95" s="5">
        <v>6.41</v>
      </c>
      <c r="I95" s="5">
        <v>2</v>
      </c>
      <c r="J95" s="5">
        <v>0</v>
      </c>
      <c r="K95" s="5">
        <v>0</v>
      </c>
      <c r="L95" s="5">
        <v>0</v>
      </c>
      <c r="M95" s="5">
        <v>0</v>
      </c>
      <c r="N95" s="5">
        <v>0</v>
      </c>
      <c r="O95" s="5">
        <v>0</v>
      </c>
      <c r="P95" s="5">
        <v>4</v>
      </c>
      <c r="Q95" s="5">
        <v>0</v>
      </c>
      <c r="R95" s="5">
        <v>0</v>
      </c>
    </row>
    <row r="96" spans="1:18" ht="15" customHeight="1" x14ac:dyDescent="0.25">
      <c r="A96" s="5">
        <v>554</v>
      </c>
      <c r="B96" s="5" t="s">
        <v>16</v>
      </c>
      <c r="C96" s="5" t="s">
        <v>895</v>
      </c>
      <c r="D96" s="5" t="s">
        <v>271</v>
      </c>
      <c r="E96" s="5" t="s">
        <v>826</v>
      </c>
      <c r="F96" s="5">
        <v>35</v>
      </c>
      <c r="G96" s="5">
        <v>6.06</v>
      </c>
      <c r="H96" s="5">
        <v>6.3</v>
      </c>
      <c r="I96" s="5">
        <v>3</v>
      </c>
      <c r="J96" s="5">
        <v>0</v>
      </c>
      <c r="K96" s="5">
        <v>0</v>
      </c>
      <c r="L96" s="5">
        <v>0</v>
      </c>
      <c r="M96" s="5">
        <v>0</v>
      </c>
      <c r="N96" s="5">
        <v>0</v>
      </c>
      <c r="O96" s="5">
        <v>1</v>
      </c>
      <c r="P96" s="5">
        <v>3</v>
      </c>
      <c r="Q96" s="5">
        <v>0</v>
      </c>
      <c r="R96" s="5">
        <v>0</v>
      </c>
    </row>
    <row r="97" spans="1:18" ht="15" customHeight="1" x14ac:dyDescent="0.25">
      <c r="A97" s="5">
        <v>5513</v>
      </c>
      <c r="B97" s="5" t="s">
        <v>16</v>
      </c>
      <c r="C97" s="5" t="s">
        <v>895</v>
      </c>
      <c r="D97" s="5" t="s">
        <v>901</v>
      </c>
      <c r="E97" s="5" t="s">
        <v>825</v>
      </c>
      <c r="F97" s="5">
        <v>19</v>
      </c>
      <c r="G97" s="5">
        <v>6.11</v>
      </c>
      <c r="H97" s="5">
        <v>6.58</v>
      </c>
      <c r="I97" s="5">
        <v>3</v>
      </c>
      <c r="J97" s="5">
        <v>0</v>
      </c>
      <c r="K97" s="5">
        <v>0</v>
      </c>
      <c r="L97" s="5">
        <v>0</v>
      </c>
      <c r="M97" s="5">
        <v>0</v>
      </c>
      <c r="N97" s="5">
        <v>0</v>
      </c>
      <c r="O97" s="5">
        <v>1</v>
      </c>
      <c r="P97" s="5">
        <v>2</v>
      </c>
      <c r="Q97" s="5">
        <v>0</v>
      </c>
      <c r="R97" s="5">
        <v>0</v>
      </c>
    </row>
    <row r="98" spans="1:18" ht="15" customHeight="1" x14ac:dyDescent="0.25">
      <c r="A98" s="5">
        <v>4317</v>
      </c>
      <c r="B98" s="5" t="s">
        <v>16</v>
      </c>
      <c r="C98" s="5" t="s">
        <v>896</v>
      </c>
      <c r="D98" s="5" t="s">
        <v>213</v>
      </c>
      <c r="E98" s="5" t="s">
        <v>824</v>
      </c>
      <c r="F98" s="5">
        <v>31</v>
      </c>
      <c r="G98" s="5">
        <v>6.08</v>
      </c>
      <c r="H98" s="5">
        <v>6.32</v>
      </c>
      <c r="I98" s="5">
        <v>3</v>
      </c>
      <c r="J98" s="5">
        <v>0</v>
      </c>
      <c r="K98" s="5">
        <v>0</v>
      </c>
      <c r="L98" s="5">
        <v>0</v>
      </c>
      <c r="M98" s="5">
        <v>0</v>
      </c>
      <c r="N98" s="5">
        <v>0</v>
      </c>
      <c r="O98" s="5">
        <v>1</v>
      </c>
      <c r="P98" s="5">
        <v>5</v>
      </c>
      <c r="Q98" s="5">
        <v>0</v>
      </c>
      <c r="R98" s="5">
        <v>0</v>
      </c>
    </row>
    <row r="99" spans="1:18" ht="15" customHeight="1" x14ac:dyDescent="0.25">
      <c r="A99" s="5">
        <v>2160</v>
      </c>
      <c r="B99" s="5" t="s">
        <v>16</v>
      </c>
      <c r="C99" s="5" t="s">
        <v>895</v>
      </c>
      <c r="D99" s="5" t="s">
        <v>902</v>
      </c>
      <c r="E99" s="5" t="s">
        <v>829</v>
      </c>
      <c r="F99" s="5">
        <v>25</v>
      </c>
      <c r="G99" s="5">
        <v>5.92</v>
      </c>
      <c r="H99" s="5">
        <v>6.28</v>
      </c>
      <c r="I99" s="5">
        <v>3</v>
      </c>
      <c r="J99" s="5">
        <v>0</v>
      </c>
      <c r="K99" s="5">
        <v>0</v>
      </c>
      <c r="L99" s="5">
        <v>0</v>
      </c>
      <c r="M99" s="5">
        <v>0</v>
      </c>
      <c r="N99" s="5">
        <v>0</v>
      </c>
      <c r="O99" s="5">
        <v>1</v>
      </c>
      <c r="P99" s="5">
        <v>2</v>
      </c>
      <c r="Q99" s="5">
        <v>0</v>
      </c>
      <c r="R99" s="5">
        <v>0</v>
      </c>
    </row>
    <row r="100" spans="1:18" ht="15" customHeight="1" x14ac:dyDescent="0.25">
      <c r="A100" s="5">
        <v>5514</v>
      </c>
      <c r="B100" s="5" t="s">
        <v>16</v>
      </c>
      <c r="C100" s="5" t="s">
        <v>903</v>
      </c>
      <c r="D100" s="5" t="s">
        <v>235</v>
      </c>
      <c r="E100" s="5" t="s">
        <v>836</v>
      </c>
      <c r="F100" s="5">
        <v>36</v>
      </c>
      <c r="G100" s="5">
        <v>6.08</v>
      </c>
      <c r="H100" s="5">
        <v>6.14</v>
      </c>
      <c r="I100" s="5">
        <v>1</v>
      </c>
      <c r="J100" s="5">
        <v>0</v>
      </c>
      <c r="K100" s="5">
        <v>0</v>
      </c>
      <c r="L100" s="5">
        <v>0</v>
      </c>
      <c r="M100" s="5">
        <v>0</v>
      </c>
      <c r="N100" s="5">
        <v>0</v>
      </c>
      <c r="O100" s="5">
        <v>0</v>
      </c>
      <c r="P100" s="5">
        <v>2</v>
      </c>
      <c r="Q100" s="5">
        <v>0</v>
      </c>
      <c r="R100" s="5">
        <v>0</v>
      </c>
    </row>
    <row r="101" spans="1:18" ht="15" customHeight="1" x14ac:dyDescent="0.25">
      <c r="A101" s="5">
        <v>6766</v>
      </c>
      <c r="B101" s="5" t="s">
        <v>16</v>
      </c>
      <c r="C101" s="5" t="s">
        <v>903</v>
      </c>
      <c r="D101" s="5" t="s">
        <v>388</v>
      </c>
      <c r="E101" s="5" t="s">
        <v>833</v>
      </c>
      <c r="F101" s="5">
        <v>35</v>
      </c>
      <c r="G101" s="5">
        <v>6.01</v>
      </c>
      <c r="H101" s="5">
        <v>6.07</v>
      </c>
      <c r="I101" s="5">
        <v>1</v>
      </c>
      <c r="J101" s="5">
        <v>0</v>
      </c>
      <c r="K101" s="5">
        <v>0</v>
      </c>
      <c r="L101" s="5">
        <v>0</v>
      </c>
      <c r="M101" s="5">
        <v>0</v>
      </c>
      <c r="N101" s="5">
        <v>0</v>
      </c>
      <c r="O101" s="5">
        <v>1</v>
      </c>
      <c r="P101" s="5">
        <v>4</v>
      </c>
      <c r="Q101" s="5">
        <v>0</v>
      </c>
      <c r="R101" s="5">
        <v>0</v>
      </c>
    </row>
    <row r="102" spans="1:18" ht="15" customHeight="1" x14ac:dyDescent="0.25">
      <c r="A102" s="5">
        <v>4409</v>
      </c>
      <c r="B102" s="5" t="s">
        <v>16</v>
      </c>
      <c r="C102" s="5" t="s">
        <v>896</v>
      </c>
      <c r="D102" s="5" t="s">
        <v>204</v>
      </c>
      <c r="E102" s="5" t="s">
        <v>830</v>
      </c>
      <c r="F102" s="5">
        <v>21</v>
      </c>
      <c r="G102" s="5">
        <v>6.24</v>
      </c>
      <c r="H102" s="5">
        <v>6.45</v>
      </c>
      <c r="I102" s="5">
        <v>2</v>
      </c>
      <c r="J102" s="5">
        <v>0</v>
      </c>
      <c r="K102" s="5">
        <v>0</v>
      </c>
      <c r="L102" s="5">
        <v>0</v>
      </c>
      <c r="M102" s="5">
        <v>0</v>
      </c>
      <c r="N102" s="5">
        <v>0</v>
      </c>
      <c r="O102" s="5">
        <v>0</v>
      </c>
      <c r="P102" s="5">
        <v>3</v>
      </c>
      <c r="Q102" s="5">
        <v>0</v>
      </c>
      <c r="R102" s="5">
        <v>0</v>
      </c>
    </row>
    <row r="103" spans="1:18" ht="15" customHeight="1" x14ac:dyDescent="0.25">
      <c r="A103" s="5">
        <v>5862</v>
      </c>
      <c r="B103" s="5" t="s">
        <v>16</v>
      </c>
      <c r="C103" s="5" t="s">
        <v>898</v>
      </c>
      <c r="D103" s="5" t="s">
        <v>274</v>
      </c>
      <c r="E103" s="5" t="s">
        <v>838</v>
      </c>
      <c r="F103" s="5">
        <v>34</v>
      </c>
      <c r="G103" s="5">
        <v>6.06</v>
      </c>
      <c r="H103" s="5">
        <v>6.09</v>
      </c>
      <c r="I103" s="5">
        <v>0</v>
      </c>
      <c r="J103" s="5">
        <v>0</v>
      </c>
      <c r="K103" s="5">
        <v>0</v>
      </c>
      <c r="L103" s="5">
        <v>0</v>
      </c>
      <c r="M103" s="5">
        <v>0</v>
      </c>
      <c r="N103" s="5">
        <v>0</v>
      </c>
      <c r="O103" s="5">
        <v>2</v>
      </c>
      <c r="P103" s="5">
        <v>2</v>
      </c>
      <c r="Q103" s="5">
        <v>0</v>
      </c>
      <c r="R103" s="5">
        <v>0</v>
      </c>
    </row>
    <row r="104" spans="1:18" ht="15" customHeight="1" x14ac:dyDescent="0.25">
      <c r="A104" s="5">
        <v>6485</v>
      </c>
      <c r="B104" s="5" t="s">
        <v>16</v>
      </c>
      <c r="C104" s="5" t="s">
        <v>899</v>
      </c>
      <c r="D104" s="5" t="s">
        <v>355</v>
      </c>
      <c r="E104" s="5" t="s">
        <v>835</v>
      </c>
      <c r="F104" s="5">
        <v>28</v>
      </c>
      <c r="G104" s="5">
        <v>5.98</v>
      </c>
      <c r="H104" s="5">
        <v>6.23</v>
      </c>
      <c r="I104" s="5">
        <v>3</v>
      </c>
      <c r="J104" s="5">
        <v>0</v>
      </c>
      <c r="K104" s="5">
        <v>0</v>
      </c>
      <c r="L104" s="5">
        <v>0</v>
      </c>
      <c r="M104" s="5">
        <v>0</v>
      </c>
      <c r="N104" s="5">
        <v>0</v>
      </c>
      <c r="O104" s="5">
        <v>0</v>
      </c>
      <c r="P104" s="5">
        <v>4</v>
      </c>
      <c r="Q104" s="5">
        <v>0</v>
      </c>
      <c r="R104" s="5">
        <v>0</v>
      </c>
    </row>
    <row r="105" spans="1:18" ht="15" customHeight="1" x14ac:dyDescent="0.25">
      <c r="A105" s="5">
        <v>7211</v>
      </c>
      <c r="B105" s="5" t="s">
        <v>16</v>
      </c>
      <c r="C105" s="5" t="s">
        <v>904</v>
      </c>
      <c r="D105" s="5" t="s">
        <v>486</v>
      </c>
      <c r="E105" s="5" t="s">
        <v>828</v>
      </c>
      <c r="F105" s="5">
        <v>17</v>
      </c>
      <c r="G105" s="5">
        <v>5.94</v>
      </c>
      <c r="H105" s="5">
        <v>6.32</v>
      </c>
      <c r="I105" s="5">
        <v>2</v>
      </c>
      <c r="J105" s="5">
        <v>0</v>
      </c>
      <c r="K105" s="5">
        <v>0</v>
      </c>
      <c r="L105" s="5">
        <v>0</v>
      </c>
      <c r="M105" s="5">
        <v>0</v>
      </c>
      <c r="N105" s="5">
        <v>0</v>
      </c>
      <c r="O105" s="5">
        <v>2</v>
      </c>
      <c r="P105" s="5">
        <v>3</v>
      </c>
      <c r="Q105" s="5">
        <v>0</v>
      </c>
      <c r="R105" s="5">
        <v>0</v>
      </c>
    </row>
    <row r="106" spans="1:18" ht="15" customHeight="1" x14ac:dyDescent="0.25">
      <c r="A106" s="5">
        <v>5678</v>
      </c>
      <c r="B106" s="5" t="s">
        <v>16</v>
      </c>
      <c r="C106" s="5" t="s">
        <v>904</v>
      </c>
      <c r="D106" s="5" t="s">
        <v>386</v>
      </c>
      <c r="E106" s="5" t="s">
        <v>833</v>
      </c>
      <c r="F106" s="5">
        <v>16</v>
      </c>
      <c r="G106" s="5">
        <v>6.09</v>
      </c>
      <c r="H106" s="5">
        <v>6.44</v>
      </c>
      <c r="I106" s="5">
        <v>1</v>
      </c>
      <c r="J106" s="5">
        <v>0</v>
      </c>
      <c r="K106" s="5">
        <v>0</v>
      </c>
      <c r="L106" s="5">
        <v>0</v>
      </c>
      <c r="M106" s="5">
        <v>0</v>
      </c>
      <c r="N106" s="5">
        <v>0</v>
      </c>
      <c r="O106" s="5">
        <v>4</v>
      </c>
      <c r="P106" s="5">
        <v>1</v>
      </c>
      <c r="Q106" s="5">
        <v>1</v>
      </c>
      <c r="R106" s="5">
        <v>0</v>
      </c>
    </row>
    <row r="107" spans="1:18" ht="15" customHeight="1" x14ac:dyDescent="0.25">
      <c r="A107" s="5">
        <v>4734</v>
      </c>
      <c r="B107" s="5" t="s">
        <v>16</v>
      </c>
      <c r="C107" s="5" t="s">
        <v>898</v>
      </c>
      <c r="D107" s="5" t="s">
        <v>272</v>
      </c>
      <c r="E107" s="5" t="s">
        <v>831</v>
      </c>
      <c r="F107" s="5">
        <v>31</v>
      </c>
      <c r="G107" s="5">
        <v>6</v>
      </c>
      <c r="H107" s="5">
        <v>6.1</v>
      </c>
      <c r="I107" s="5">
        <v>1</v>
      </c>
      <c r="J107" s="5">
        <v>0</v>
      </c>
      <c r="K107" s="5">
        <v>0</v>
      </c>
      <c r="L107" s="5">
        <v>0</v>
      </c>
      <c r="M107" s="5">
        <v>0</v>
      </c>
      <c r="N107" s="5">
        <v>0</v>
      </c>
      <c r="O107" s="5">
        <v>3</v>
      </c>
      <c r="P107" s="5">
        <v>6</v>
      </c>
      <c r="Q107" s="5">
        <v>0</v>
      </c>
      <c r="R107" s="5">
        <v>0</v>
      </c>
    </row>
    <row r="108" spans="1:18" ht="15" customHeight="1" x14ac:dyDescent="0.25">
      <c r="A108" s="5">
        <v>4994</v>
      </c>
      <c r="B108" s="5" t="s">
        <v>16</v>
      </c>
      <c r="C108" s="5" t="s">
        <v>904</v>
      </c>
      <c r="D108" s="5" t="s">
        <v>310</v>
      </c>
      <c r="E108" s="5" t="s">
        <v>827</v>
      </c>
      <c r="F108" s="5">
        <v>27</v>
      </c>
      <c r="G108" s="5">
        <v>6.02</v>
      </c>
      <c r="H108" s="5">
        <v>6.24</v>
      </c>
      <c r="I108" s="5">
        <v>2</v>
      </c>
      <c r="J108" s="5">
        <v>0</v>
      </c>
      <c r="K108" s="5">
        <v>0</v>
      </c>
      <c r="L108" s="5">
        <v>0</v>
      </c>
      <c r="M108" s="5">
        <v>0</v>
      </c>
      <c r="N108" s="5">
        <v>0</v>
      </c>
      <c r="O108" s="5">
        <v>1</v>
      </c>
      <c r="P108" s="5">
        <v>2</v>
      </c>
      <c r="Q108" s="5">
        <v>0</v>
      </c>
      <c r="R108" s="5">
        <v>0</v>
      </c>
    </row>
    <row r="109" spans="1:18" ht="15" customHeight="1" x14ac:dyDescent="0.25">
      <c r="A109" s="5">
        <v>6867</v>
      </c>
      <c r="B109" s="5" t="s">
        <v>16</v>
      </c>
      <c r="C109" s="5" t="s">
        <v>898</v>
      </c>
      <c r="D109" s="5" t="s">
        <v>324</v>
      </c>
      <c r="E109" s="5" t="s">
        <v>827</v>
      </c>
      <c r="F109" s="5">
        <v>26</v>
      </c>
      <c r="G109" s="5">
        <v>6.06</v>
      </c>
      <c r="H109" s="5">
        <v>6.23</v>
      </c>
      <c r="I109" s="5">
        <v>1</v>
      </c>
      <c r="J109" s="5">
        <v>0</v>
      </c>
      <c r="K109" s="5">
        <v>0</v>
      </c>
      <c r="L109" s="5">
        <v>0</v>
      </c>
      <c r="M109" s="5">
        <v>0</v>
      </c>
      <c r="N109" s="5">
        <v>0</v>
      </c>
      <c r="O109" s="5">
        <v>3</v>
      </c>
      <c r="P109" s="5">
        <v>3</v>
      </c>
      <c r="Q109" s="5">
        <v>0</v>
      </c>
      <c r="R109" s="5">
        <v>0</v>
      </c>
    </row>
    <row r="110" spans="1:18" ht="15" customHeight="1" x14ac:dyDescent="0.25">
      <c r="A110" s="5">
        <v>5885</v>
      </c>
      <c r="B110" s="5" t="s">
        <v>16</v>
      </c>
      <c r="C110" s="5" t="s">
        <v>895</v>
      </c>
      <c r="D110" s="5" t="s">
        <v>246</v>
      </c>
      <c r="E110" s="5" t="s">
        <v>829</v>
      </c>
      <c r="F110" s="5">
        <v>36</v>
      </c>
      <c r="G110" s="5">
        <v>5.99</v>
      </c>
      <c r="H110" s="5">
        <v>6.03</v>
      </c>
      <c r="I110" s="5">
        <v>1</v>
      </c>
      <c r="J110" s="5">
        <v>0</v>
      </c>
      <c r="K110" s="5">
        <v>0</v>
      </c>
      <c r="L110" s="5">
        <v>0</v>
      </c>
      <c r="M110" s="5">
        <v>0</v>
      </c>
      <c r="N110" s="5">
        <v>0</v>
      </c>
      <c r="O110" s="5">
        <v>2</v>
      </c>
      <c r="P110" s="5">
        <v>7</v>
      </c>
      <c r="Q110" s="5">
        <v>0</v>
      </c>
      <c r="R110" s="5">
        <v>0</v>
      </c>
    </row>
    <row r="111" spans="1:18" ht="15" customHeight="1" x14ac:dyDescent="0.25">
      <c r="A111" s="5">
        <v>2593</v>
      </c>
      <c r="B111" s="5" t="s">
        <v>16</v>
      </c>
      <c r="C111" s="5" t="s">
        <v>898</v>
      </c>
      <c r="D111" s="5" t="s">
        <v>359</v>
      </c>
      <c r="E111" s="5" t="s">
        <v>836</v>
      </c>
      <c r="F111" s="5">
        <v>29</v>
      </c>
      <c r="G111" s="5">
        <v>5.97</v>
      </c>
      <c r="H111" s="5">
        <v>6.1</v>
      </c>
      <c r="I111" s="5">
        <v>1</v>
      </c>
      <c r="J111" s="5">
        <v>0</v>
      </c>
      <c r="K111" s="5">
        <v>0</v>
      </c>
      <c r="L111" s="5">
        <v>1</v>
      </c>
      <c r="M111" s="5">
        <v>0</v>
      </c>
      <c r="N111" s="5">
        <v>1</v>
      </c>
      <c r="O111" s="5">
        <v>5</v>
      </c>
      <c r="P111" s="5">
        <v>2</v>
      </c>
      <c r="Q111" s="5">
        <v>0</v>
      </c>
      <c r="R111" s="5">
        <v>0</v>
      </c>
    </row>
    <row r="112" spans="1:18" ht="15" customHeight="1" x14ac:dyDescent="0.25">
      <c r="A112" s="5">
        <v>5877</v>
      </c>
      <c r="B112" s="5" t="s">
        <v>16</v>
      </c>
      <c r="C112" s="5" t="s">
        <v>905</v>
      </c>
      <c r="D112" s="5" t="s">
        <v>258</v>
      </c>
      <c r="E112" s="5" t="s">
        <v>825</v>
      </c>
      <c r="F112" s="5">
        <v>28</v>
      </c>
      <c r="G112" s="5">
        <v>6.12</v>
      </c>
      <c r="H112" s="5">
        <v>6.16</v>
      </c>
      <c r="I112" s="5">
        <v>1</v>
      </c>
      <c r="J112" s="5">
        <v>0</v>
      </c>
      <c r="K112" s="5">
        <v>0</v>
      </c>
      <c r="L112" s="5">
        <v>0</v>
      </c>
      <c r="M112" s="5">
        <v>0</v>
      </c>
      <c r="N112" s="5">
        <v>0</v>
      </c>
      <c r="O112" s="5">
        <v>1</v>
      </c>
      <c r="P112" s="5">
        <v>6</v>
      </c>
      <c r="Q112" s="5">
        <v>0</v>
      </c>
      <c r="R112" s="5">
        <v>0</v>
      </c>
    </row>
    <row r="113" spans="1:18" ht="15" customHeight="1" x14ac:dyDescent="0.25">
      <c r="A113" s="5">
        <v>6989</v>
      </c>
      <c r="B113" s="5" t="s">
        <v>16</v>
      </c>
      <c r="C113" s="5" t="s">
        <v>896</v>
      </c>
      <c r="D113" s="5" t="s">
        <v>339</v>
      </c>
      <c r="E113" s="5" t="s">
        <v>837</v>
      </c>
      <c r="F113" s="5">
        <v>36</v>
      </c>
      <c r="G113" s="5">
        <v>6</v>
      </c>
      <c r="H113" s="5">
        <v>6.01</v>
      </c>
      <c r="I113" s="5">
        <v>2</v>
      </c>
      <c r="J113" s="5">
        <v>0</v>
      </c>
      <c r="K113" s="5">
        <v>0</v>
      </c>
      <c r="L113" s="5">
        <v>0</v>
      </c>
      <c r="M113" s="5">
        <v>0</v>
      </c>
      <c r="N113" s="5">
        <v>0</v>
      </c>
      <c r="O113" s="5">
        <v>0</v>
      </c>
      <c r="P113" s="5">
        <v>7</v>
      </c>
      <c r="Q113" s="5">
        <v>0</v>
      </c>
      <c r="R113" s="5">
        <v>1</v>
      </c>
    </row>
    <row r="114" spans="1:18" ht="15" customHeight="1" x14ac:dyDescent="0.25">
      <c r="A114" s="5">
        <v>4502</v>
      </c>
      <c r="B114" s="5" t="s">
        <v>16</v>
      </c>
      <c r="C114" s="5" t="s">
        <v>898</v>
      </c>
      <c r="D114" s="5" t="s">
        <v>384</v>
      </c>
      <c r="E114" s="5" t="s">
        <v>837</v>
      </c>
      <c r="F114" s="5">
        <v>37</v>
      </c>
      <c r="G114" s="5">
        <v>5.95</v>
      </c>
      <c r="H114" s="5">
        <v>5.99</v>
      </c>
      <c r="I114" s="5">
        <v>0</v>
      </c>
      <c r="J114" s="5">
        <v>0</v>
      </c>
      <c r="K114" s="5">
        <v>0</v>
      </c>
      <c r="L114" s="5">
        <v>0</v>
      </c>
      <c r="M114" s="5">
        <v>0</v>
      </c>
      <c r="N114" s="5">
        <v>0</v>
      </c>
      <c r="O114" s="5">
        <v>3</v>
      </c>
      <c r="P114" s="5">
        <v>3</v>
      </c>
      <c r="Q114" s="5">
        <v>0</v>
      </c>
      <c r="R114" s="5">
        <v>0</v>
      </c>
    </row>
    <row r="115" spans="1:18" ht="15" customHeight="1" x14ac:dyDescent="0.25">
      <c r="A115" s="5">
        <v>6496</v>
      </c>
      <c r="B115" s="5" t="s">
        <v>16</v>
      </c>
      <c r="C115" s="5" t="s">
        <v>898</v>
      </c>
      <c r="D115" s="5" t="s">
        <v>263</v>
      </c>
      <c r="E115" s="5" t="s">
        <v>828</v>
      </c>
      <c r="F115" s="5">
        <v>31</v>
      </c>
      <c r="G115" s="5">
        <v>5.97</v>
      </c>
      <c r="H115" s="5">
        <v>6.05</v>
      </c>
      <c r="I115" s="5">
        <v>2</v>
      </c>
      <c r="J115" s="5">
        <v>0</v>
      </c>
      <c r="K115" s="5">
        <v>0</v>
      </c>
      <c r="L115" s="5">
        <v>0</v>
      </c>
      <c r="M115" s="5">
        <v>0</v>
      </c>
      <c r="N115" s="5">
        <v>0</v>
      </c>
      <c r="O115" s="5">
        <v>0</v>
      </c>
      <c r="P115" s="5">
        <v>3</v>
      </c>
      <c r="Q115" s="5">
        <v>0</v>
      </c>
      <c r="R115" s="5">
        <v>1</v>
      </c>
    </row>
    <row r="116" spans="1:18" ht="15" customHeight="1" x14ac:dyDescent="0.25">
      <c r="A116" s="5">
        <v>6202</v>
      </c>
      <c r="B116" s="5" t="s">
        <v>16</v>
      </c>
      <c r="C116" s="5" t="s">
        <v>896</v>
      </c>
      <c r="D116" s="5" t="s">
        <v>347</v>
      </c>
      <c r="E116" s="5" t="s">
        <v>830</v>
      </c>
      <c r="F116" s="5">
        <v>22</v>
      </c>
      <c r="G116" s="5">
        <v>5.93</v>
      </c>
      <c r="H116" s="5">
        <v>6.16</v>
      </c>
      <c r="I116" s="5">
        <v>2</v>
      </c>
      <c r="J116" s="5">
        <v>0</v>
      </c>
      <c r="K116" s="5">
        <v>0</v>
      </c>
      <c r="L116" s="5">
        <v>0</v>
      </c>
      <c r="M116" s="5">
        <v>0</v>
      </c>
      <c r="N116" s="5">
        <v>0</v>
      </c>
      <c r="O116" s="5">
        <v>0</v>
      </c>
      <c r="P116" s="5">
        <v>2</v>
      </c>
      <c r="Q116" s="5">
        <v>0</v>
      </c>
      <c r="R116" s="5">
        <v>0</v>
      </c>
    </row>
    <row r="117" spans="1:18" ht="15" customHeight="1" x14ac:dyDescent="0.25">
      <c r="A117" s="5">
        <v>2816</v>
      </c>
      <c r="B117" s="5" t="s">
        <v>16</v>
      </c>
      <c r="C117" s="5" t="s">
        <v>904</v>
      </c>
      <c r="D117" s="5" t="s">
        <v>222</v>
      </c>
      <c r="E117" s="5" t="s">
        <v>830</v>
      </c>
      <c r="F117" s="5">
        <v>26</v>
      </c>
      <c r="G117" s="5">
        <v>6.08</v>
      </c>
      <c r="H117" s="5">
        <v>6.33</v>
      </c>
      <c r="I117" s="5">
        <v>2</v>
      </c>
      <c r="J117" s="5">
        <v>0</v>
      </c>
      <c r="K117" s="5">
        <v>0</v>
      </c>
      <c r="L117" s="5">
        <v>0</v>
      </c>
      <c r="M117" s="5">
        <v>0</v>
      </c>
      <c r="N117" s="5">
        <v>0</v>
      </c>
      <c r="O117" s="5">
        <v>1</v>
      </c>
      <c r="P117" s="5">
        <v>1</v>
      </c>
      <c r="Q117" s="5">
        <v>0</v>
      </c>
      <c r="R117" s="5">
        <v>0</v>
      </c>
    </row>
    <row r="118" spans="1:18" ht="15" customHeight="1" x14ac:dyDescent="0.25">
      <c r="A118" s="5">
        <v>6664</v>
      </c>
      <c r="B118" s="5" t="s">
        <v>16</v>
      </c>
      <c r="C118" s="5" t="s">
        <v>900</v>
      </c>
      <c r="D118" s="5" t="s">
        <v>293</v>
      </c>
      <c r="E118" s="5" t="s">
        <v>838</v>
      </c>
      <c r="F118" s="5">
        <v>35</v>
      </c>
      <c r="G118" s="5">
        <v>5.91</v>
      </c>
      <c r="H118" s="5">
        <v>6.01</v>
      </c>
      <c r="I118" s="5">
        <v>2</v>
      </c>
      <c r="J118" s="5">
        <v>0</v>
      </c>
      <c r="K118" s="5">
        <v>0</v>
      </c>
      <c r="L118" s="5">
        <v>0</v>
      </c>
      <c r="M118" s="5">
        <v>0</v>
      </c>
      <c r="N118" s="5">
        <v>0</v>
      </c>
      <c r="O118" s="5">
        <v>0</v>
      </c>
      <c r="P118" s="5">
        <v>5</v>
      </c>
      <c r="Q118" s="5">
        <v>0</v>
      </c>
      <c r="R118" s="5">
        <v>0</v>
      </c>
    </row>
    <row r="119" spans="1:18" ht="15" customHeight="1" x14ac:dyDescent="0.25">
      <c r="A119" s="5">
        <v>4263</v>
      </c>
      <c r="B119" s="5" t="s">
        <v>16</v>
      </c>
      <c r="C119" s="5" t="s">
        <v>896</v>
      </c>
      <c r="D119" s="5" t="s">
        <v>470</v>
      </c>
      <c r="E119" s="5" t="s">
        <v>835</v>
      </c>
      <c r="F119" s="5">
        <v>28</v>
      </c>
      <c r="G119" s="5">
        <v>5.98</v>
      </c>
      <c r="H119" s="5">
        <v>6.18</v>
      </c>
      <c r="I119" s="5">
        <v>3</v>
      </c>
      <c r="J119" s="5">
        <v>0</v>
      </c>
      <c r="K119" s="5">
        <v>0</v>
      </c>
      <c r="L119" s="5">
        <v>0</v>
      </c>
      <c r="M119" s="5">
        <v>0</v>
      </c>
      <c r="N119" s="5">
        <v>0</v>
      </c>
      <c r="O119" s="5">
        <v>0</v>
      </c>
      <c r="P119" s="5">
        <v>5</v>
      </c>
      <c r="Q119" s="5">
        <v>1</v>
      </c>
      <c r="R119" s="5">
        <v>0</v>
      </c>
    </row>
    <row r="120" spans="1:18" ht="15" customHeight="1" x14ac:dyDescent="0.25">
      <c r="A120" s="5">
        <v>6869</v>
      </c>
      <c r="B120" s="5" t="s">
        <v>16</v>
      </c>
      <c r="C120" s="5" t="s">
        <v>896</v>
      </c>
      <c r="D120" s="5" t="s">
        <v>237</v>
      </c>
      <c r="E120" s="5" t="s">
        <v>827</v>
      </c>
      <c r="F120" s="5">
        <v>32</v>
      </c>
      <c r="G120" s="5">
        <v>6.16</v>
      </c>
      <c r="H120" s="5">
        <v>6.14</v>
      </c>
      <c r="I120" s="5">
        <v>2</v>
      </c>
      <c r="J120" s="5">
        <v>0</v>
      </c>
      <c r="K120" s="5">
        <v>0</v>
      </c>
      <c r="L120" s="5">
        <v>0</v>
      </c>
      <c r="M120" s="5">
        <v>0</v>
      </c>
      <c r="N120" s="5">
        <v>0</v>
      </c>
      <c r="O120" s="5">
        <v>0</v>
      </c>
      <c r="P120" s="5">
        <v>11</v>
      </c>
      <c r="Q120" s="5">
        <v>1</v>
      </c>
      <c r="R120" s="5">
        <v>0</v>
      </c>
    </row>
    <row r="121" spans="1:18" ht="15" customHeight="1" x14ac:dyDescent="0.25">
      <c r="A121" s="5">
        <v>7220</v>
      </c>
      <c r="B121" s="5" t="s">
        <v>16</v>
      </c>
      <c r="C121" s="5" t="s">
        <v>904</v>
      </c>
      <c r="D121" s="5" t="s">
        <v>906</v>
      </c>
      <c r="E121" s="5" t="s">
        <v>864</v>
      </c>
      <c r="F121" s="5">
        <v>26</v>
      </c>
      <c r="G121" s="5">
        <v>6.1</v>
      </c>
      <c r="H121" s="5">
        <v>6.21</v>
      </c>
      <c r="I121" s="5">
        <v>2</v>
      </c>
      <c r="J121" s="5">
        <v>0</v>
      </c>
      <c r="K121" s="5">
        <v>0</v>
      </c>
      <c r="L121" s="5">
        <v>0</v>
      </c>
      <c r="M121" s="5">
        <v>0</v>
      </c>
      <c r="N121" s="5">
        <v>0</v>
      </c>
      <c r="O121" s="5">
        <v>0</v>
      </c>
      <c r="P121" s="5">
        <v>6</v>
      </c>
      <c r="Q121" s="5">
        <v>0</v>
      </c>
      <c r="R121" s="5">
        <v>0</v>
      </c>
    </row>
    <row r="122" spans="1:18" ht="15" customHeight="1" x14ac:dyDescent="0.25">
      <c r="A122" s="5">
        <v>5427</v>
      </c>
      <c r="B122" s="5" t="s">
        <v>16</v>
      </c>
      <c r="C122" s="5" t="s">
        <v>898</v>
      </c>
      <c r="D122" s="5" t="s">
        <v>907</v>
      </c>
      <c r="E122" s="5" t="s">
        <v>830</v>
      </c>
      <c r="F122" s="5">
        <v>21</v>
      </c>
      <c r="G122" s="5">
        <v>5.98</v>
      </c>
      <c r="H122" s="5">
        <v>6.17</v>
      </c>
      <c r="I122" s="5">
        <v>1</v>
      </c>
      <c r="J122" s="5">
        <v>0</v>
      </c>
      <c r="K122" s="5">
        <v>0</v>
      </c>
      <c r="L122" s="5">
        <v>0</v>
      </c>
      <c r="M122" s="5">
        <v>0</v>
      </c>
      <c r="N122" s="5">
        <v>0</v>
      </c>
      <c r="O122" s="5">
        <v>1</v>
      </c>
      <c r="P122" s="5">
        <v>0</v>
      </c>
      <c r="Q122" s="5">
        <v>0</v>
      </c>
      <c r="R122" s="5">
        <v>0</v>
      </c>
    </row>
    <row r="123" spans="1:18" ht="15" customHeight="1" x14ac:dyDescent="0.25">
      <c r="A123" s="5">
        <v>7329</v>
      </c>
      <c r="B123" s="5" t="s">
        <v>16</v>
      </c>
      <c r="C123" s="5" t="s">
        <v>898</v>
      </c>
      <c r="D123" s="5" t="s">
        <v>908</v>
      </c>
      <c r="E123" s="5" t="s">
        <v>843</v>
      </c>
      <c r="F123" s="5">
        <v>16</v>
      </c>
      <c r="G123" s="5">
        <v>6.06</v>
      </c>
      <c r="H123" s="5">
        <v>6.41</v>
      </c>
      <c r="I123" s="5">
        <v>1</v>
      </c>
      <c r="J123" s="5">
        <v>0</v>
      </c>
      <c r="K123" s="5">
        <v>0</v>
      </c>
      <c r="L123" s="5">
        <v>0</v>
      </c>
      <c r="M123" s="5">
        <v>0</v>
      </c>
      <c r="N123" s="5">
        <v>0</v>
      </c>
      <c r="O123" s="5">
        <v>3</v>
      </c>
      <c r="P123" s="5">
        <v>1</v>
      </c>
      <c r="Q123" s="5">
        <v>0</v>
      </c>
      <c r="R123" s="5">
        <v>0</v>
      </c>
    </row>
    <row r="124" spans="1:18" ht="15" customHeight="1" x14ac:dyDescent="0.25">
      <c r="A124" s="5">
        <v>6066</v>
      </c>
      <c r="B124" s="5" t="s">
        <v>16</v>
      </c>
      <c r="C124" s="5" t="s">
        <v>899</v>
      </c>
      <c r="D124" s="5" t="s">
        <v>909</v>
      </c>
      <c r="E124" s="5" t="s">
        <v>827</v>
      </c>
      <c r="F124" s="5">
        <v>8</v>
      </c>
      <c r="G124" s="5">
        <v>6.06</v>
      </c>
      <c r="H124" s="5">
        <v>6.38</v>
      </c>
      <c r="I124" s="5">
        <v>1</v>
      </c>
      <c r="J124" s="5">
        <v>0</v>
      </c>
      <c r="K124" s="5">
        <v>0</v>
      </c>
      <c r="L124" s="5">
        <v>0</v>
      </c>
      <c r="M124" s="5">
        <v>0</v>
      </c>
      <c r="N124" s="5">
        <v>0</v>
      </c>
      <c r="O124" s="5">
        <v>0</v>
      </c>
      <c r="P124" s="5">
        <v>1</v>
      </c>
      <c r="Q124" s="5">
        <v>0</v>
      </c>
      <c r="R124" s="5">
        <v>0</v>
      </c>
    </row>
    <row r="125" spans="1:18" ht="15" customHeight="1" x14ac:dyDescent="0.25">
      <c r="A125" s="5">
        <v>4210</v>
      </c>
      <c r="B125" s="5" t="s">
        <v>16</v>
      </c>
      <c r="C125" s="5" t="s">
        <v>896</v>
      </c>
      <c r="D125" s="5" t="s">
        <v>298</v>
      </c>
      <c r="E125" s="5" t="s">
        <v>832</v>
      </c>
      <c r="F125" s="5">
        <v>26</v>
      </c>
      <c r="G125" s="5">
        <v>6</v>
      </c>
      <c r="H125" s="5">
        <v>6.17</v>
      </c>
      <c r="I125" s="5">
        <v>2</v>
      </c>
      <c r="J125" s="5">
        <v>0</v>
      </c>
      <c r="K125" s="5">
        <v>0</v>
      </c>
      <c r="L125" s="5">
        <v>0</v>
      </c>
      <c r="M125" s="5">
        <v>0</v>
      </c>
      <c r="N125" s="5">
        <v>0</v>
      </c>
      <c r="O125" s="5">
        <v>1</v>
      </c>
      <c r="P125" s="5">
        <v>3</v>
      </c>
      <c r="Q125" s="5">
        <v>1</v>
      </c>
      <c r="R125" s="5">
        <v>0</v>
      </c>
    </row>
    <row r="126" spans="1:18" ht="15" customHeight="1" x14ac:dyDescent="0.25">
      <c r="A126" s="5">
        <v>5435</v>
      </c>
      <c r="B126" s="5" t="s">
        <v>16</v>
      </c>
      <c r="C126" s="5" t="s">
        <v>898</v>
      </c>
      <c r="D126" s="5" t="s">
        <v>910</v>
      </c>
      <c r="E126" s="5" t="s">
        <v>827</v>
      </c>
      <c r="F126" s="5">
        <v>16</v>
      </c>
      <c r="G126" s="5">
        <v>6.06</v>
      </c>
      <c r="H126" s="5">
        <v>6.38</v>
      </c>
      <c r="I126" s="5">
        <v>2</v>
      </c>
      <c r="J126" s="5">
        <v>0</v>
      </c>
      <c r="K126" s="5">
        <v>0</v>
      </c>
      <c r="L126" s="5">
        <v>0</v>
      </c>
      <c r="M126" s="5">
        <v>0</v>
      </c>
      <c r="N126" s="5">
        <v>0</v>
      </c>
      <c r="O126" s="5">
        <v>1</v>
      </c>
      <c r="P126" s="5">
        <v>4</v>
      </c>
      <c r="Q126" s="5">
        <v>0</v>
      </c>
      <c r="R126" s="5">
        <v>0</v>
      </c>
    </row>
    <row r="127" spans="1:18" ht="15" customHeight="1" x14ac:dyDescent="0.25">
      <c r="A127" s="5">
        <v>5520</v>
      </c>
      <c r="B127" s="5" t="s">
        <v>16</v>
      </c>
      <c r="C127" s="5" t="s">
        <v>895</v>
      </c>
      <c r="D127" s="5" t="s">
        <v>256</v>
      </c>
      <c r="E127" s="5" t="s">
        <v>833</v>
      </c>
      <c r="F127" s="5">
        <v>36</v>
      </c>
      <c r="G127" s="5">
        <v>5.81</v>
      </c>
      <c r="H127" s="5">
        <v>5.99</v>
      </c>
      <c r="I127" s="5">
        <v>3</v>
      </c>
      <c r="J127" s="5">
        <v>0</v>
      </c>
      <c r="K127" s="5">
        <v>0</v>
      </c>
      <c r="L127" s="5">
        <v>0</v>
      </c>
      <c r="M127" s="5">
        <v>0</v>
      </c>
      <c r="N127" s="5">
        <v>0</v>
      </c>
      <c r="O127" s="5">
        <v>4</v>
      </c>
      <c r="P127" s="5">
        <v>3</v>
      </c>
      <c r="Q127" s="5">
        <v>1</v>
      </c>
      <c r="R127" s="5">
        <v>2</v>
      </c>
    </row>
    <row r="128" spans="1:18" ht="15" customHeight="1" x14ac:dyDescent="0.25">
      <c r="A128" s="5">
        <v>5835</v>
      </c>
      <c r="B128" s="5" t="s">
        <v>16</v>
      </c>
      <c r="C128" s="5" t="s">
        <v>896</v>
      </c>
      <c r="D128" s="5" t="s">
        <v>911</v>
      </c>
      <c r="E128" s="5" t="s">
        <v>862</v>
      </c>
      <c r="F128" s="5">
        <v>29</v>
      </c>
      <c r="G128" s="5">
        <v>5.95</v>
      </c>
      <c r="H128" s="5">
        <v>6.12</v>
      </c>
      <c r="I128" s="5">
        <v>2</v>
      </c>
      <c r="J128" s="5">
        <v>0</v>
      </c>
      <c r="K128" s="5">
        <v>0</v>
      </c>
      <c r="L128" s="5">
        <v>0</v>
      </c>
      <c r="M128" s="5">
        <v>0</v>
      </c>
      <c r="N128" s="5">
        <v>0</v>
      </c>
      <c r="O128" s="5">
        <v>0</v>
      </c>
      <c r="P128" s="5">
        <v>2</v>
      </c>
      <c r="Q128" s="5">
        <v>0</v>
      </c>
      <c r="R128" s="5">
        <v>0</v>
      </c>
    </row>
    <row r="129" spans="1:18" ht="15" customHeight="1" x14ac:dyDescent="0.25">
      <c r="A129" s="5">
        <v>7143</v>
      </c>
      <c r="B129" s="5" t="s">
        <v>16</v>
      </c>
      <c r="C129" s="5" t="s">
        <v>898</v>
      </c>
      <c r="D129" s="5" t="s">
        <v>912</v>
      </c>
      <c r="E129" s="5" t="s">
        <v>867</v>
      </c>
      <c r="F129" s="5">
        <v>35</v>
      </c>
      <c r="G129" s="5">
        <v>5.91</v>
      </c>
      <c r="H129" s="5">
        <v>5.94</v>
      </c>
      <c r="I129" s="5">
        <v>0</v>
      </c>
      <c r="J129" s="5">
        <v>0</v>
      </c>
      <c r="K129" s="5">
        <v>0</v>
      </c>
      <c r="L129" s="5">
        <v>0</v>
      </c>
      <c r="M129" s="5">
        <v>0</v>
      </c>
      <c r="N129" s="5">
        <v>0</v>
      </c>
      <c r="O129" s="5">
        <v>2</v>
      </c>
      <c r="P129" s="5">
        <v>2</v>
      </c>
      <c r="Q129" s="5">
        <v>0</v>
      </c>
      <c r="R129" s="5">
        <v>0</v>
      </c>
    </row>
    <row r="130" spans="1:18" ht="15" customHeight="1" x14ac:dyDescent="0.25">
      <c r="A130" s="5">
        <v>6642</v>
      </c>
      <c r="B130" s="5" t="s">
        <v>16</v>
      </c>
      <c r="C130" s="5" t="s">
        <v>896</v>
      </c>
      <c r="D130" s="5" t="s">
        <v>322</v>
      </c>
      <c r="E130" s="5" t="s">
        <v>843</v>
      </c>
      <c r="F130" s="5">
        <v>35</v>
      </c>
      <c r="G130" s="5">
        <v>5.84</v>
      </c>
      <c r="H130" s="5">
        <v>5.91</v>
      </c>
      <c r="I130" s="5">
        <v>1</v>
      </c>
      <c r="J130" s="5">
        <v>0</v>
      </c>
      <c r="K130" s="5">
        <v>0</v>
      </c>
      <c r="L130" s="5">
        <v>0</v>
      </c>
      <c r="M130" s="5">
        <v>0</v>
      </c>
      <c r="N130" s="5">
        <v>0</v>
      </c>
      <c r="O130" s="5">
        <v>1</v>
      </c>
      <c r="P130" s="5">
        <v>3</v>
      </c>
      <c r="Q130" s="5">
        <v>0</v>
      </c>
      <c r="R130" s="5">
        <v>0</v>
      </c>
    </row>
    <row r="131" spans="1:18" ht="15" customHeight="1" x14ac:dyDescent="0.25">
      <c r="A131" s="5">
        <v>7219</v>
      </c>
      <c r="B131" s="5" t="s">
        <v>16</v>
      </c>
      <c r="C131" s="5" t="s">
        <v>895</v>
      </c>
      <c r="D131" s="5" t="s">
        <v>340</v>
      </c>
      <c r="E131" s="5" t="s">
        <v>826</v>
      </c>
      <c r="F131" s="5">
        <v>22</v>
      </c>
      <c r="G131" s="5">
        <v>6.09</v>
      </c>
      <c r="H131" s="5">
        <v>6.16</v>
      </c>
      <c r="I131" s="5">
        <v>0</v>
      </c>
      <c r="J131" s="5">
        <v>0</v>
      </c>
      <c r="K131" s="5">
        <v>0</v>
      </c>
      <c r="L131" s="5">
        <v>0</v>
      </c>
      <c r="M131" s="5">
        <v>0</v>
      </c>
      <c r="N131" s="5">
        <v>0</v>
      </c>
      <c r="O131" s="5">
        <v>3</v>
      </c>
      <c r="P131" s="5">
        <v>3</v>
      </c>
      <c r="Q131" s="5">
        <v>0</v>
      </c>
      <c r="R131" s="5">
        <v>0</v>
      </c>
    </row>
    <row r="132" spans="1:18" ht="15" customHeight="1" x14ac:dyDescent="0.25">
      <c r="A132" s="5">
        <v>393</v>
      </c>
      <c r="B132" s="5" t="s">
        <v>16</v>
      </c>
      <c r="C132" s="5" t="s">
        <v>896</v>
      </c>
      <c r="D132" s="5" t="s">
        <v>913</v>
      </c>
      <c r="E132" s="5" t="s">
        <v>862</v>
      </c>
      <c r="F132" s="5">
        <v>34</v>
      </c>
      <c r="G132" s="5">
        <v>5.84</v>
      </c>
      <c r="H132" s="5">
        <v>5.9</v>
      </c>
      <c r="I132" s="5">
        <v>1</v>
      </c>
      <c r="J132" s="5">
        <v>0</v>
      </c>
      <c r="K132" s="5">
        <v>0</v>
      </c>
      <c r="L132" s="5">
        <v>0</v>
      </c>
      <c r="M132" s="5">
        <v>0</v>
      </c>
      <c r="N132" s="5">
        <v>0</v>
      </c>
      <c r="O132" s="5">
        <v>1</v>
      </c>
      <c r="P132" s="5">
        <v>4</v>
      </c>
      <c r="Q132" s="5">
        <v>0</v>
      </c>
      <c r="R132" s="5">
        <v>0</v>
      </c>
    </row>
    <row r="133" spans="1:18" ht="15" customHeight="1" x14ac:dyDescent="0.25">
      <c r="A133" s="5">
        <v>4433</v>
      </c>
      <c r="B133" s="5" t="s">
        <v>16</v>
      </c>
      <c r="C133" s="5" t="s">
        <v>895</v>
      </c>
      <c r="D133" s="5" t="s">
        <v>311</v>
      </c>
      <c r="E133" s="5" t="s">
        <v>831</v>
      </c>
      <c r="F133" s="5">
        <v>28</v>
      </c>
      <c r="G133" s="5">
        <v>5.86</v>
      </c>
      <c r="H133" s="5">
        <v>5.89</v>
      </c>
      <c r="I133" s="5">
        <v>0</v>
      </c>
      <c r="J133" s="5">
        <v>0</v>
      </c>
      <c r="K133" s="5">
        <v>0</v>
      </c>
      <c r="L133" s="5">
        <v>0</v>
      </c>
      <c r="M133" s="5">
        <v>0</v>
      </c>
      <c r="N133" s="5">
        <v>0</v>
      </c>
      <c r="O133" s="5">
        <v>2</v>
      </c>
      <c r="P133" s="5">
        <v>2</v>
      </c>
      <c r="Q133" s="5">
        <v>0</v>
      </c>
      <c r="R133" s="5">
        <v>0</v>
      </c>
    </row>
    <row r="134" spans="1:18" ht="15" customHeight="1" x14ac:dyDescent="0.25">
      <c r="A134" s="5">
        <v>4177</v>
      </c>
      <c r="B134" s="5" t="s">
        <v>16</v>
      </c>
      <c r="C134" s="5" t="s">
        <v>899</v>
      </c>
      <c r="D134" s="5" t="s">
        <v>326</v>
      </c>
      <c r="E134" s="5" t="s">
        <v>825</v>
      </c>
      <c r="F134" s="5">
        <v>1</v>
      </c>
      <c r="G134" s="5">
        <v>6.5</v>
      </c>
      <c r="H134" s="5">
        <v>6.5</v>
      </c>
      <c r="I134" s="5">
        <v>0</v>
      </c>
      <c r="J134" s="5">
        <v>0</v>
      </c>
      <c r="K134" s="5">
        <v>0</v>
      </c>
      <c r="L134" s="5">
        <v>0</v>
      </c>
      <c r="M134" s="5">
        <v>0</v>
      </c>
      <c r="N134" s="5">
        <v>0</v>
      </c>
      <c r="O134" s="5">
        <v>0</v>
      </c>
      <c r="P134" s="5">
        <v>0</v>
      </c>
      <c r="Q134" s="5">
        <v>0</v>
      </c>
      <c r="R134" s="5">
        <v>0</v>
      </c>
    </row>
    <row r="135" spans="1:18" ht="15" customHeight="1" x14ac:dyDescent="0.25">
      <c r="A135" s="5">
        <v>5833</v>
      </c>
      <c r="B135" s="5" t="s">
        <v>16</v>
      </c>
      <c r="C135" s="5" t="s">
        <v>896</v>
      </c>
      <c r="D135" s="5" t="s">
        <v>243</v>
      </c>
      <c r="E135" s="5" t="s">
        <v>834</v>
      </c>
      <c r="F135" s="5">
        <v>31</v>
      </c>
      <c r="G135" s="5">
        <v>6.03</v>
      </c>
      <c r="H135" s="5">
        <v>5.95</v>
      </c>
      <c r="I135" s="5">
        <v>0</v>
      </c>
      <c r="J135" s="5">
        <v>0</v>
      </c>
      <c r="K135" s="5">
        <v>0</v>
      </c>
      <c r="L135" s="5">
        <v>0</v>
      </c>
      <c r="M135" s="5">
        <v>0</v>
      </c>
      <c r="N135" s="5">
        <v>0</v>
      </c>
      <c r="O135" s="5">
        <v>0</v>
      </c>
      <c r="P135" s="5">
        <v>3</v>
      </c>
      <c r="Q135" s="5">
        <v>1</v>
      </c>
      <c r="R135" s="5">
        <v>0</v>
      </c>
    </row>
    <row r="136" spans="1:18" ht="15" customHeight="1" x14ac:dyDescent="0.25">
      <c r="A136" s="5">
        <v>460</v>
      </c>
      <c r="B136" s="5" t="s">
        <v>16</v>
      </c>
      <c r="C136" s="5" t="s">
        <v>896</v>
      </c>
      <c r="D136" s="5" t="s">
        <v>275</v>
      </c>
      <c r="E136" s="5" t="s">
        <v>834</v>
      </c>
      <c r="F136" s="5">
        <v>32</v>
      </c>
      <c r="G136" s="5">
        <v>6.03</v>
      </c>
      <c r="H136" s="5">
        <v>5.92</v>
      </c>
      <c r="I136" s="5">
        <v>0</v>
      </c>
      <c r="J136" s="5">
        <v>0</v>
      </c>
      <c r="K136" s="5">
        <v>0</v>
      </c>
      <c r="L136" s="5">
        <v>0</v>
      </c>
      <c r="M136" s="5">
        <v>0</v>
      </c>
      <c r="N136" s="5">
        <v>0</v>
      </c>
      <c r="O136" s="5">
        <v>0</v>
      </c>
      <c r="P136" s="5">
        <v>5</v>
      </c>
      <c r="Q136" s="5">
        <v>1</v>
      </c>
      <c r="R136" s="5">
        <v>0</v>
      </c>
    </row>
    <row r="137" spans="1:18" ht="15" customHeight="1" x14ac:dyDescent="0.25">
      <c r="A137" s="5">
        <v>2188</v>
      </c>
      <c r="B137" s="5" t="s">
        <v>16</v>
      </c>
      <c r="C137" s="5" t="s">
        <v>914</v>
      </c>
      <c r="D137" s="5" t="s">
        <v>301</v>
      </c>
      <c r="E137" s="5" t="s">
        <v>834</v>
      </c>
      <c r="F137" s="5">
        <v>33</v>
      </c>
      <c r="G137" s="5">
        <v>5.86</v>
      </c>
      <c r="H137" s="5">
        <v>5.97</v>
      </c>
      <c r="I137" s="5">
        <v>1</v>
      </c>
      <c r="J137" s="5">
        <v>0</v>
      </c>
      <c r="K137" s="5">
        <v>0</v>
      </c>
      <c r="L137" s="5">
        <v>0</v>
      </c>
      <c r="M137" s="5">
        <v>0</v>
      </c>
      <c r="N137" s="5">
        <v>0</v>
      </c>
      <c r="O137" s="5">
        <v>2</v>
      </c>
      <c r="P137" s="5">
        <v>1</v>
      </c>
      <c r="Q137" s="5">
        <v>1</v>
      </c>
      <c r="R137" s="5">
        <v>0</v>
      </c>
    </row>
    <row r="138" spans="1:18" ht="15" customHeight="1" x14ac:dyDescent="0.25">
      <c r="A138" s="5">
        <v>4751</v>
      </c>
      <c r="B138" s="5" t="s">
        <v>16</v>
      </c>
      <c r="C138" s="5" t="s">
        <v>896</v>
      </c>
      <c r="D138" s="5" t="s">
        <v>300</v>
      </c>
      <c r="E138" s="5" t="s">
        <v>828</v>
      </c>
      <c r="F138" s="5">
        <v>32</v>
      </c>
      <c r="G138" s="5">
        <v>5.97</v>
      </c>
      <c r="H138" s="5">
        <v>5.88</v>
      </c>
      <c r="I138" s="5">
        <v>0</v>
      </c>
      <c r="J138" s="5">
        <v>0</v>
      </c>
      <c r="K138" s="5">
        <v>0</v>
      </c>
      <c r="L138" s="5">
        <v>0</v>
      </c>
      <c r="M138" s="5">
        <v>0</v>
      </c>
      <c r="N138" s="5">
        <v>0</v>
      </c>
      <c r="O138" s="5">
        <v>1</v>
      </c>
      <c r="P138" s="5">
        <v>6</v>
      </c>
      <c r="Q138" s="5">
        <v>1</v>
      </c>
      <c r="R138" s="5">
        <v>0</v>
      </c>
    </row>
    <row r="139" spans="1:18" ht="15" customHeight="1" x14ac:dyDescent="0.25">
      <c r="A139" s="5">
        <v>2724</v>
      </c>
      <c r="B139" s="5" t="s">
        <v>16</v>
      </c>
      <c r="C139" s="5" t="s">
        <v>896</v>
      </c>
      <c r="D139" s="5" t="s">
        <v>321</v>
      </c>
      <c r="E139" s="5" t="s">
        <v>830</v>
      </c>
      <c r="F139" s="5">
        <v>32</v>
      </c>
      <c r="G139" s="5">
        <v>5.89</v>
      </c>
      <c r="H139" s="5">
        <v>5.88</v>
      </c>
      <c r="I139" s="5">
        <v>0</v>
      </c>
      <c r="J139" s="5">
        <v>0</v>
      </c>
      <c r="K139" s="5">
        <v>0</v>
      </c>
      <c r="L139" s="5">
        <v>0</v>
      </c>
      <c r="M139" s="5">
        <v>0</v>
      </c>
      <c r="N139" s="5">
        <v>0</v>
      </c>
      <c r="O139" s="5">
        <v>1</v>
      </c>
      <c r="P139" s="5">
        <v>3</v>
      </c>
      <c r="Q139" s="5">
        <v>0</v>
      </c>
      <c r="R139" s="5">
        <v>0</v>
      </c>
    </row>
    <row r="140" spans="1:18" ht="15" customHeight="1" x14ac:dyDescent="0.25">
      <c r="A140" s="5">
        <v>6663</v>
      </c>
      <c r="B140" s="5" t="s">
        <v>16</v>
      </c>
      <c r="C140" s="5" t="s">
        <v>896</v>
      </c>
      <c r="D140" s="5" t="s">
        <v>327</v>
      </c>
      <c r="E140" s="5" t="s">
        <v>838</v>
      </c>
      <c r="F140" s="5">
        <v>31</v>
      </c>
      <c r="G140" s="5">
        <v>5.92</v>
      </c>
      <c r="H140" s="5">
        <v>5.92</v>
      </c>
      <c r="I140" s="5">
        <v>1</v>
      </c>
      <c r="J140" s="5">
        <v>0</v>
      </c>
      <c r="K140" s="5">
        <v>0</v>
      </c>
      <c r="L140" s="5">
        <v>0</v>
      </c>
      <c r="M140" s="5">
        <v>0</v>
      </c>
      <c r="N140" s="5">
        <v>0</v>
      </c>
      <c r="O140" s="5">
        <v>0</v>
      </c>
      <c r="P140" s="5">
        <v>6</v>
      </c>
      <c r="Q140" s="5">
        <v>0</v>
      </c>
      <c r="R140" s="5">
        <v>0</v>
      </c>
    </row>
    <row r="141" spans="1:18" ht="15" customHeight="1" x14ac:dyDescent="0.25">
      <c r="A141" s="5">
        <v>7155</v>
      </c>
      <c r="B141" s="5" t="s">
        <v>16</v>
      </c>
      <c r="C141" s="5" t="s">
        <v>896</v>
      </c>
      <c r="D141" s="5" t="s">
        <v>915</v>
      </c>
      <c r="E141" s="5" t="s">
        <v>839</v>
      </c>
      <c r="F141" s="5">
        <v>32</v>
      </c>
      <c r="G141" s="5">
        <v>5.91</v>
      </c>
      <c r="H141" s="5">
        <v>5.89</v>
      </c>
      <c r="I141" s="5">
        <v>2</v>
      </c>
      <c r="J141" s="5">
        <v>0</v>
      </c>
      <c r="K141" s="5">
        <v>0</v>
      </c>
      <c r="L141" s="5">
        <v>0</v>
      </c>
      <c r="M141" s="5">
        <v>0</v>
      </c>
      <c r="N141" s="5">
        <v>0</v>
      </c>
      <c r="O141" s="5">
        <v>1</v>
      </c>
      <c r="P141" s="5">
        <v>7</v>
      </c>
      <c r="Q141" s="5">
        <v>0</v>
      </c>
      <c r="R141" s="5">
        <v>2</v>
      </c>
    </row>
    <row r="142" spans="1:18" ht="15" customHeight="1" x14ac:dyDescent="0.25">
      <c r="A142" s="5">
        <v>4665</v>
      </c>
      <c r="B142" s="5" t="s">
        <v>16</v>
      </c>
      <c r="C142" s="5" t="s">
        <v>896</v>
      </c>
      <c r="D142" s="5" t="s">
        <v>916</v>
      </c>
      <c r="E142" s="5" t="s">
        <v>843</v>
      </c>
      <c r="F142" s="5">
        <v>26</v>
      </c>
      <c r="G142" s="5">
        <v>5.94</v>
      </c>
      <c r="H142" s="5">
        <v>6.1</v>
      </c>
      <c r="I142" s="5">
        <v>2</v>
      </c>
      <c r="J142" s="5">
        <v>0</v>
      </c>
      <c r="K142" s="5">
        <v>0</v>
      </c>
      <c r="L142" s="5">
        <v>0</v>
      </c>
      <c r="M142" s="5">
        <v>0</v>
      </c>
      <c r="N142" s="5">
        <v>0</v>
      </c>
      <c r="O142" s="5">
        <v>0</v>
      </c>
      <c r="P142" s="5">
        <v>4</v>
      </c>
      <c r="Q142" s="5">
        <v>0</v>
      </c>
      <c r="R142" s="5">
        <v>0</v>
      </c>
    </row>
    <row r="143" spans="1:18" ht="15" customHeight="1" x14ac:dyDescent="0.25">
      <c r="A143" s="5">
        <v>6631</v>
      </c>
      <c r="B143" s="5" t="s">
        <v>16</v>
      </c>
      <c r="C143" s="5" t="s">
        <v>896</v>
      </c>
      <c r="D143" s="5" t="s">
        <v>448</v>
      </c>
      <c r="E143" s="5" t="s">
        <v>824</v>
      </c>
      <c r="F143" s="5">
        <v>21</v>
      </c>
      <c r="G143" s="5">
        <v>5.98</v>
      </c>
      <c r="H143" s="5">
        <v>5.95</v>
      </c>
      <c r="I143" s="5">
        <v>0</v>
      </c>
      <c r="J143" s="5">
        <v>0</v>
      </c>
      <c r="K143" s="5">
        <v>0</v>
      </c>
      <c r="L143" s="5">
        <v>0</v>
      </c>
      <c r="M143" s="5">
        <v>0</v>
      </c>
      <c r="N143" s="5">
        <v>0</v>
      </c>
      <c r="O143" s="5">
        <v>0</v>
      </c>
      <c r="P143" s="5">
        <v>1</v>
      </c>
      <c r="Q143" s="5">
        <v>0</v>
      </c>
      <c r="R143" s="5">
        <v>0</v>
      </c>
    </row>
    <row r="144" spans="1:18" ht="15" customHeight="1" x14ac:dyDescent="0.25">
      <c r="A144" s="5">
        <v>6480</v>
      </c>
      <c r="B144" s="5" t="s">
        <v>16</v>
      </c>
      <c r="C144" s="5" t="s">
        <v>904</v>
      </c>
      <c r="D144" s="5" t="s">
        <v>917</v>
      </c>
      <c r="E144" s="5" t="s">
        <v>864</v>
      </c>
      <c r="F144" s="5">
        <v>0</v>
      </c>
      <c r="G144" s="5">
        <v>0</v>
      </c>
      <c r="H144" s="5">
        <v>0</v>
      </c>
      <c r="I144" s="5">
        <v>0</v>
      </c>
      <c r="J144" s="5">
        <v>0</v>
      </c>
      <c r="K144" s="5">
        <v>0</v>
      </c>
      <c r="L144" s="5">
        <v>0</v>
      </c>
      <c r="M144" s="5">
        <v>0</v>
      </c>
      <c r="N144" s="5">
        <v>0</v>
      </c>
      <c r="O144" s="5">
        <v>0</v>
      </c>
      <c r="P144" s="5">
        <v>0</v>
      </c>
      <c r="Q144" s="5">
        <v>0</v>
      </c>
      <c r="R144" s="5">
        <v>0</v>
      </c>
    </row>
    <row r="145" spans="1:18" ht="15" customHeight="1" x14ac:dyDescent="0.25">
      <c r="A145" s="5">
        <v>6672</v>
      </c>
      <c r="B145" s="5" t="s">
        <v>16</v>
      </c>
      <c r="C145" s="5" t="s">
        <v>896</v>
      </c>
      <c r="D145" s="5" t="s">
        <v>614</v>
      </c>
      <c r="E145" s="5" t="s">
        <v>839</v>
      </c>
      <c r="F145" s="5">
        <v>35</v>
      </c>
      <c r="G145" s="5">
        <v>5.94</v>
      </c>
      <c r="H145" s="5">
        <v>5.9</v>
      </c>
      <c r="I145" s="5">
        <v>0</v>
      </c>
      <c r="J145" s="5">
        <v>0</v>
      </c>
      <c r="K145" s="5">
        <v>0</v>
      </c>
      <c r="L145" s="5">
        <v>0</v>
      </c>
      <c r="M145" s="5">
        <v>0</v>
      </c>
      <c r="N145" s="5">
        <v>0</v>
      </c>
      <c r="O145" s="5">
        <v>0</v>
      </c>
      <c r="P145" s="5">
        <v>3</v>
      </c>
      <c r="Q145" s="5">
        <v>0</v>
      </c>
      <c r="R145" s="5">
        <v>0</v>
      </c>
    </row>
    <row r="146" spans="1:18" ht="15" customHeight="1" x14ac:dyDescent="0.25">
      <c r="A146" s="5">
        <v>4137</v>
      </c>
      <c r="B146" s="5" t="s">
        <v>16</v>
      </c>
      <c r="C146" s="5" t="s">
        <v>896</v>
      </c>
      <c r="D146" s="5" t="s">
        <v>918</v>
      </c>
      <c r="E146" s="5" t="s">
        <v>827</v>
      </c>
      <c r="F146" s="5">
        <v>25</v>
      </c>
      <c r="G146" s="5">
        <v>6.14</v>
      </c>
      <c r="H146" s="5">
        <v>6.1</v>
      </c>
      <c r="I146" s="5">
        <v>1</v>
      </c>
      <c r="J146" s="5">
        <v>0</v>
      </c>
      <c r="K146" s="5">
        <v>0</v>
      </c>
      <c r="L146" s="5">
        <v>0</v>
      </c>
      <c r="M146" s="5">
        <v>0</v>
      </c>
      <c r="N146" s="5">
        <v>0</v>
      </c>
      <c r="O146" s="5">
        <v>0</v>
      </c>
      <c r="P146" s="5">
        <v>8</v>
      </c>
      <c r="Q146" s="5">
        <v>0</v>
      </c>
      <c r="R146" s="5">
        <v>0</v>
      </c>
    </row>
    <row r="147" spans="1:18" ht="15" customHeight="1" x14ac:dyDescent="0.25">
      <c r="A147" s="5">
        <v>6550</v>
      </c>
      <c r="B147" s="5" t="s">
        <v>16</v>
      </c>
      <c r="C147" s="5" t="s">
        <v>905</v>
      </c>
      <c r="D147" s="5" t="s">
        <v>919</v>
      </c>
      <c r="E147" s="5" t="s">
        <v>839</v>
      </c>
      <c r="F147" s="5">
        <v>12</v>
      </c>
      <c r="G147" s="5">
        <v>6.17</v>
      </c>
      <c r="H147" s="5">
        <v>6.46</v>
      </c>
      <c r="I147" s="5">
        <v>1</v>
      </c>
      <c r="J147" s="5">
        <v>0</v>
      </c>
      <c r="K147" s="5">
        <v>0</v>
      </c>
      <c r="L147" s="5">
        <v>0</v>
      </c>
      <c r="M147" s="5">
        <v>0</v>
      </c>
      <c r="N147" s="5">
        <v>0</v>
      </c>
      <c r="O147" s="5">
        <v>2</v>
      </c>
      <c r="P147" s="5">
        <v>3</v>
      </c>
      <c r="Q147" s="5">
        <v>0</v>
      </c>
      <c r="R147" s="5">
        <v>0</v>
      </c>
    </row>
    <row r="148" spans="1:18" ht="15" customHeight="1" x14ac:dyDescent="0.25">
      <c r="A148" s="5">
        <v>787</v>
      </c>
      <c r="B148" s="5" t="s">
        <v>16</v>
      </c>
      <c r="C148" s="5" t="s">
        <v>896</v>
      </c>
      <c r="D148" s="5" t="s">
        <v>345</v>
      </c>
      <c r="E148" s="5" t="s">
        <v>826</v>
      </c>
      <c r="F148" s="5">
        <v>33</v>
      </c>
      <c r="G148" s="5">
        <v>5.86</v>
      </c>
      <c r="H148" s="5">
        <v>5.8</v>
      </c>
      <c r="I148" s="5">
        <v>0</v>
      </c>
      <c r="J148" s="5">
        <v>0</v>
      </c>
      <c r="K148" s="5">
        <v>0</v>
      </c>
      <c r="L148" s="5">
        <v>0</v>
      </c>
      <c r="M148" s="5">
        <v>0</v>
      </c>
      <c r="N148" s="5">
        <v>0</v>
      </c>
      <c r="O148" s="5">
        <v>0</v>
      </c>
      <c r="P148" s="5">
        <v>4</v>
      </c>
      <c r="Q148" s="5">
        <v>0</v>
      </c>
      <c r="R148" s="5">
        <v>0</v>
      </c>
    </row>
    <row r="149" spans="1:18" ht="15" customHeight="1" x14ac:dyDescent="0.25">
      <c r="A149" s="5">
        <v>2640</v>
      </c>
      <c r="B149" s="5" t="s">
        <v>16</v>
      </c>
      <c r="C149" s="5" t="s">
        <v>905</v>
      </c>
      <c r="D149" s="5" t="s">
        <v>402</v>
      </c>
      <c r="E149" s="5" t="s">
        <v>826</v>
      </c>
      <c r="F149" s="5">
        <v>17</v>
      </c>
      <c r="G149" s="5">
        <v>6.03</v>
      </c>
      <c r="H149" s="5">
        <v>5.94</v>
      </c>
      <c r="I149" s="5">
        <v>0</v>
      </c>
      <c r="J149" s="5">
        <v>0</v>
      </c>
      <c r="K149" s="5">
        <v>0</v>
      </c>
      <c r="L149" s="5">
        <v>0</v>
      </c>
      <c r="M149" s="5">
        <v>0</v>
      </c>
      <c r="N149" s="5">
        <v>0</v>
      </c>
      <c r="O149" s="5">
        <v>0</v>
      </c>
      <c r="P149" s="5">
        <v>3</v>
      </c>
      <c r="Q149" s="5">
        <v>0</v>
      </c>
      <c r="R149" s="5">
        <v>0</v>
      </c>
    </row>
    <row r="150" spans="1:18" ht="15" customHeight="1" x14ac:dyDescent="0.25">
      <c r="A150" s="5">
        <v>6042</v>
      </c>
      <c r="B150" s="5" t="s">
        <v>16</v>
      </c>
      <c r="C150" s="5" t="s">
        <v>896</v>
      </c>
      <c r="D150" s="5" t="s">
        <v>320</v>
      </c>
      <c r="E150" s="5" t="s">
        <v>831</v>
      </c>
      <c r="F150" s="5">
        <v>28</v>
      </c>
      <c r="G150" s="5">
        <v>5.88</v>
      </c>
      <c r="H150" s="5">
        <v>5.89</v>
      </c>
      <c r="I150" s="5">
        <v>1</v>
      </c>
      <c r="J150" s="5">
        <v>0</v>
      </c>
      <c r="K150" s="5">
        <v>0</v>
      </c>
      <c r="L150" s="5">
        <v>0</v>
      </c>
      <c r="M150" s="5">
        <v>0</v>
      </c>
      <c r="N150" s="5">
        <v>0</v>
      </c>
      <c r="O150" s="5">
        <v>0</v>
      </c>
      <c r="P150" s="5">
        <v>5</v>
      </c>
      <c r="Q150" s="5">
        <v>0</v>
      </c>
      <c r="R150" s="5">
        <v>0</v>
      </c>
    </row>
    <row r="151" spans="1:18" ht="15" customHeight="1" x14ac:dyDescent="0.25">
      <c r="A151" s="5">
        <v>5701</v>
      </c>
      <c r="B151" s="5" t="s">
        <v>16</v>
      </c>
      <c r="C151" s="5" t="s">
        <v>903</v>
      </c>
      <c r="D151" s="5" t="s">
        <v>366</v>
      </c>
      <c r="E151" s="5" t="s">
        <v>832</v>
      </c>
      <c r="F151" s="5">
        <v>34</v>
      </c>
      <c r="G151" s="5">
        <v>5.88</v>
      </c>
      <c r="H151" s="5">
        <v>5.82</v>
      </c>
      <c r="I151" s="5">
        <v>0</v>
      </c>
      <c r="J151" s="5">
        <v>0</v>
      </c>
      <c r="K151" s="5">
        <v>0</v>
      </c>
      <c r="L151" s="5">
        <v>0</v>
      </c>
      <c r="M151" s="5">
        <v>0</v>
      </c>
      <c r="N151" s="5">
        <v>0</v>
      </c>
      <c r="O151" s="5">
        <v>3</v>
      </c>
      <c r="P151" s="5">
        <v>8</v>
      </c>
      <c r="Q151" s="5">
        <v>1</v>
      </c>
      <c r="R151" s="5">
        <v>0</v>
      </c>
    </row>
    <row r="152" spans="1:18" ht="15" customHeight="1" x14ac:dyDescent="0.25">
      <c r="A152" s="5">
        <v>6660</v>
      </c>
      <c r="B152" s="5" t="s">
        <v>16</v>
      </c>
      <c r="C152" s="5" t="s">
        <v>896</v>
      </c>
      <c r="D152" s="5" t="s">
        <v>383</v>
      </c>
      <c r="E152" s="5" t="s">
        <v>836</v>
      </c>
      <c r="F152" s="5">
        <v>31</v>
      </c>
      <c r="G152" s="5">
        <v>5.87</v>
      </c>
      <c r="H152" s="5">
        <v>5.84</v>
      </c>
      <c r="I152" s="5">
        <v>0</v>
      </c>
      <c r="J152" s="5">
        <v>0</v>
      </c>
      <c r="K152" s="5">
        <v>0</v>
      </c>
      <c r="L152" s="5">
        <v>0</v>
      </c>
      <c r="M152" s="5">
        <v>0</v>
      </c>
      <c r="N152" s="5">
        <v>0</v>
      </c>
      <c r="O152" s="5">
        <v>1</v>
      </c>
      <c r="P152" s="5">
        <v>4</v>
      </c>
      <c r="Q152" s="5">
        <v>0</v>
      </c>
      <c r="R152" s="5">
        <v>0</v>
      </c>
    </row>
    <row r="153" spans="1:18" ht="15" customHeight="1" x14ac:dyDescent="0.25">
      <c r="A153" s="5">
        <v>6814</v>
      </c>
      <c r="B153" s="5" t="s">
        <v>16</v>
      </c>
      <c r="C153" s="5" t="s">
        <v>904</v>
      </c>
      <c r="D153" s="5" t="s">
        <v>287</v>
      </c>
      <c r="E153" s="5" t="s">
        <v>836</v>
      </c>
      <c r="F153" s="5">
        <v>27</v>
      </c>
      <c r="G153" s="5">
        <v>5.93</v>
      </c>
      <c r="H153" s="5">
        <v>6.09</v>
      </c>
      <c r="I153" s="5">
        <v>2</v>
      </c>
      <c r="J153" s="5">
        <v>0</v>
      </c>
      <c r="K153" s="5">
        <v>0</v>
      </c>
      <c r="L153" s="5">
        <v>0</v>
      </c>
      <c r="M153" s="5">
        <v>0</v>
      </c>
      <c r="N153" s="5">
        <v>0</v>
      </c>
      <c r="O153" s="5">
        <v>1</v>
      </c>
      <c r="P153" s="5">
        <v>3</v>
      </c>
      <c r="Q153" s="5">
        <v>1</v>
      </c>
      <c r="R153" s="5">
        <v>0</v>
      </c>
    </row>
    <row r="154" spans="1:18" ht="15" customHeight="1" x14ac:dyDescent="0.25">
      <c r="A154" s="5">
        <v>7012</v>
      </c>
      <c r="B154" s="5" t="s">
        <v>16</v>
      </c>
      <c r="C154" s="5" t="s">
        <v>896</v>
      </c>
      <c r="D154" s="5" t="s">
        <v>455</v>
      </c>
      <c r="E154" s="5" t="s">
        <v>834</v>
      </c>
      <c r="F154" s="5">
        <v>23</v>
      </c>
      <c r="G154" s="5">
        <v>5.91</v>
      </c>
      <c r="H154" s="5">
        <v>5.85</v>
      </c>
      <c r="I154" s="5">
        <v>0</v>
      </c>
      <c r="J154" s="5">
        <v>0</v>
      </c>
      <c r="K154" s="5">
        <v>0</v>
      </c>
      <c r="L154" s="5">
        <v>0</v>
      </c>
      <c r="M154" s="5">
        <v>0</v>
      </c>
      <c r="N154" s="5">
        <v>0</v>
      </c>
      <c r="O154" s="5">
        <v>0</v>
      </c>
      <c r="P154" s="5">
        <v>3</v>
      </c>
      <c r="Q154" s="5">
        <v>0</v>
      </c>
      <c r="R154" s="5">
        <v>0</v>
      </c>
    </row>
    <row r="155" spans="1:18" ht="15" customHeight="1" x14ac:dyDescent="0.25">
      <c r="A155" s="5">
        <v>5812</v>
      </c>
      <c r="B155" s="5" t="s">
        <v>16</v>
      </c>
      <c r="C155" s="5" t="s">
        <v>914</v>
      </c>
      <c r="D155" s="5" t="s">
        <v>920</v>
      </c>
      <c r="E155" s="5" t="s">
        <v>862</v>
      </c>
      <c r="F155" s="5">
        <v>35</v>
      </c>
      <c r="G155" s="5">
        <v>5.86</v>
      </c>
      <c r="H155" s="5">
        <v>5.83</v>
      </c>
      <c r="I155" s="5">
        <v>2</v>
      </c>
      <c r="J155" s="5">
        <v>0</v>
      </c>
      <c r="K155" s="5">
        <v>0</v>
      </c>
      <c r="L155" s="5">
        <v>0</v>
      </c>
      <c r="M155" s="5">
        <v>0</v>
      </c>
      <c r="N155" s="5">
        <v>0</v>
      </c>
      <c r="O155" s="5">
        <v>0</v>
      </c>
      <c r="P155" s="5">
        <v>6</v>
      </c>
      <c r="Q155" s="5">
        <v>0</v>
      </c>
      <c r="R155" s="5">
        <v>2</v>
      </c>
    </row>
    <row r="156" spans="1:18" ht="15" customHeight="1" x14ac:dyDescent="0.25">
      <c r="A156" s="5">
        <v>6887</v>
      </c>
      <c r="B156" s="5" t="s">
        <v>16</v>
      </c>
      <c r="C156" s="5" t="s">
        <v>896</v>
      </c>
      <c r="D156" s="5" t="s">
        <v>921</v>
      </c>
      <c r="E156" s="5" t="s">
        <v>838</v>
      </c>
      <c r="F156" s="5">
        <v>0</v>
      </c>
      <c r="G156" s="5">
        <v>0</v>
      </c>
      <c r="H156" s="5">
        <v>0</v>
      </c>
      <c r="I156" s="5">
        <v>0</v>
      </c>
      <c r="J156" s="5">
        <v>0</v>
      </c>
      <c r="K156" s="5">
        <v>0</v>
      </c>
      <c r="L156" s="5">
        <v>0</v>
      </c>
      <c r="M156" s="5">
        <v>0</v>
      </c>
      <c r="N156" s="5">
        <v>0</v>
      </c>
      <c r="O156" s="5">
        <v>0</v>
      </c>
      <c r="P156" s="5">
        <v>0</v>
      </c>
      <c r="Q156" s="5">
        <v>0</v>
      </c>
      <c r="R156" s="5">
        <v>0</v>
      </c>
    </row>
    <row r="157" spans="1:18" ht="15" customHeight="1" x14ac:dyDescent="0.25">
      <c r="A157" s="5">
        <v>4772</v>
      </c>
      <c r="B157" s="5" t="s">
        <v>16</v>
      </c>
      <c r="C157" s="5" t="s">
        <v>895</v>
      </c>
      <c r="D157" s="5" t="s">
        <v>922</v>
      </c>
      <c r="E157" s="5" t="s">
        <v>824</v>
      </c>
      <c r="F157" s="5">
        <v>6</v>
      </c>
      <c r="G157" s="5">
        <v>5.83</v>
      </c>
      <c r="H157" s="5">
        <v>5.67</v>
      </c>
      <c r="I157" s="5">
        <v>0</v>
      </c>
      <c r="J157" s="5">
        <v>0</v>
      </c>
      <c r="K157" s="5">
        <v>0</v>
      </c>
      <c r="L157" s="5">
        <v>0</v>
      </c>
      <c r="M157" s="5">
        <v>0</v>
      </c>
      <c r="N157" s="5">
        <v>0</v>
      </c>
      <c r="O157" s="5">
        <v>0</v>
      </c>
      <c r="P157" s="5">
        <v>2</v>
      </c>
      <c r="Q157" s="5">
        <v>0</v>
      </c>
      <c r="R157" s="5">
        <v>0</v>
      </c>
    </row>
    <row r="158" spans="1:18" ht="15" customHeight="1" x14ac:dyDescent="0.25">
      <c r="A158" s="5">
        <v>6426</v>
      </c>
      <c r="B158" s="5" t="s">
        <v>16</v>
      </c>
      <c r="C158" s="5" t="s">
        <v>904</v>
      </c>
      <c r="D158" s="5" t="s">
        <v>390</v>
      </c>
      <c r="E158" s="5" t="s">
        <v>843</v>
      </c>
      <c r="F158" s="5">
        <v>28</v>
      </c>
      <c r="G158" s="5">
        <v>5.84</v>
      </c>
      <c r="H158" s="5">
        <v>5.96</v>
      </c>
      <c r="I158" s="5">
        <v>1</v>
      </c>
      <c r="J158" s="5">
        <v>0</v>
      </c>
      <c r="K158" s="5">
        <v>0</v>
      </c>
      <c r="L158" s="5">
        <v>0</v>
      </c>
      <c r="M158" s="5">
        <v>0</v>
      </c>
      <c r="N158" s="5">
        <v>0</v>
      </c>
      <c r="O158" s="5">
        <v>2</v>
      </c>
      <c r="P158" s="5">
        <v>3</v>
      </c>
      <c r="Q158" s="5">
        <v>0</v>
      </c>
      <c r="R158" s="5">
        <v>0</v>
      </c>
    </row>
    <row r="159" spans="1:18" ht="15" customHeight="1" x14ac:dyDescent="0.25">
      <c r="A159" s="5">
        <v>6047</v>
      </c>
      <c r="B159" s="5" t="s">
        <v>16</v>
      </c>
      <c r="C159" s="5" t="s">
        <v>904</v>
      </c>
      <c r="D159" s="5" t="s">
        <v>923</v>
      </c>
      <c r="E159" s="5" t="s">
        <v>835</v>
      </c>
      <c r="F159" s="5">
        <v>26</v>
      </c>
      <c r="G159" s="5">
        <v>5.83</v>
      </c>
      <c r="H159" s="5">
        <v>5.96</v>
      </c>
      <c r="I159" s="5">
        <v>2</v>
      </c>
      <c r="J159" s="5">
        <v>0</v>
      </c>
      <c r="K159" s="5">
        <v>0</v>
      </c>
      <c r="L159" s="5">
        <v>0</v>
      </c>
      <c r="M159" s="5">
        <v>0</v>
      </c>
      <c r="N159" s="5">
        <v>0</v>
      </c>
      <c r="O159" s="5">
        <v>0</v>
      </c>
      <c r="P159" s="5">
        <v>5</v>
      </c>
      <c r="Q159" s="5">
        <v>0</v>
      </c>
      <c r="R159" s="5">
        <v>0</v>
      </c>
    </row>
    <row r="160" spans="1:18" ht="15" customHeight="1" x14ac:dyDescent="0.25">
      <c r="A160" s="5">
        <v>6639</v>
      </c>
      <c r="B160" s="5" t="s">
        <v>16</v>
      </c>
      <c r="C160" s="5" t="s">
        <v>898</v>
      </c>
      <c r="D160" s="5" t="s">
        <v>924</v>
      </c>
      <c r="E160" s="5" t="s">
        <v>864</v>
      </c>
      <c r="F160" s="5">
        <v>31</v>
      </c>
      <c r="G160" s="5">
        <v>5.84</v>
      </c>
      <c r="H160" s="5">
        <v>5.84</v>
      </c>
      <c r="I160" s="5">
        <v>2</v>
      </c>
      <c r="J160" s="5">
        <v>0</v>
      </c>
      <c r="K160" s="5">
        <v>0</v>
      </c>
      <c r="L160" s="5">
        <v>0</v>
      </c>
      <c r="M160" s="5">
        <v>0</v>
      </c>
      <c r="N160" s="5">
        <v>0</v>
      </c>
      <c r="O160" s="5">
        <v>0</v>
      </c>
      <c r="P160" s="5">
        <v>8</v>
      </c>
      <c r="Q160" s="5">
        <v>0</v>
      </c>
      <c r="R160" s="5">
        <v>1</v>
      </c>
    </row>
    <row r="161" spans="1:18" ht="15" customHeight="1" x14ac:dyDescent="0.25">
      <c r="A161" s="5">
        <v>6046</v>
      </c>
      <c r="B161" s="5" t="s">
        <v>16</v>
      </c>
      <c r="C161" s="5" t="s">
        <v>896</v>
      </c>
      <c r="D161" s="5" t="s">
        <v>344</v>
      </c>
      <c r="E161" s="5" t="s">
        <v>826</v>
      </c>
      <c r="F161" s="5">
        <v>28</v>
      </c>
      <c r="G161" s="5">
        <v>5.91</v>
      </c>
      <c r="H161" s="5">
        <v>5.86</v>
      </c>
      <c r="I161" s="5">
        <v>1</v>
      </c>
      <c r="J161" s="5">
        <v>0</v>
      </c>
      <c r="K161" s="5">
        <v>0</v>
      </c>
      <c r="L161" s="5">
        <v>0</v>
      </c>
      <c r="M161" s="5">
        <v>0</v>
      </c>
      <c r="N161" s="5">
        <v>0</v>
      </c>
      <c r="O161" s="5">
        <v>0</v>
      </c>
      <c r="P161" s="5">
        <v>5</v>
      </c>
      <c r="Q161" s="5">
        <v>0</v>
      </c>
      <c r="R161" s="5">
        <v>1</v>
      </c>
    </row>
    <row r="162" spans="1:18" ht="15" customHeight="1" x14ac:dyDescent="0.25">
      <c r="A162" s="5">
        <v>5578</v>
      </c>
      <c r="B162" s="5" t="s">
        <v>16</v>
      </c>
      <c r="C162" s="5" t="s">
        <v>899</v>
      </c>
      <c r="D162" s="5" t="s">
        <v>495</v>
      </c>
      <c r="E162" s="5" t="s">
        <v>826</v>
      </c>
      <c r="F162" s="5">
        <v>16</v>
      </c>
      <c r="G162" s="5">
        <v>5.94</v>
      </c>
      <c r="H162" s="5">
        <v>6.09</v>
      </c>
      <c r="I162" s="5">
        <v>1</v>
      </c>
      <c r="J162" s="5">
        <v>0</v>
      </c>
      <c r="K162" s="5">
        <v>0</v>
      </c>
      <c r="L162" s="5">
        <v>0</v>
      </c>
      <c r="M162" s="5">
        <v>0</v>
      </c>
      <c r="N162" s="5">
        <v>0</v>
      </c>
      <c r="O162" s="5">
        <v>0</v>
      </c>
      <c r="P162" s="5">
        <v>1</v>
      </c>
      <c r="Q162" s="5">
        <v>0</v>
      </c>
      <c r="R162" s="5">
        <v>0</v>
      </c>
    </row>
    <row r="163" spans="1:18" ht="15" customHeight="1" x14ac:dyDescent="0.25">
      <c r="A163" s="5">
        <v>4887</v>
      </c>
      <c r="B163" s="5" t="s">
        <v>16</v>
      </c>
      <c r="C163" s="5" t="s">
        <v>895</v>
      </c>
      <c r="D163" s="5" t="s">
        <v>356</v>
      </c>
      <c r="E163" s="5" t="s">
        <v>826</v>
      </c>
      <c r="F163" s="5">
        <v>22</v>
      </c>
      <c r="G163" s="5">
        <v>5.82</v>
      </c>
      <c r="H163" s="5">
        <v>5.82</v>
      </c>
      <c r="I163" s="5">
        <v>0</v>
      </c>
      <c r="J163" s="5">
        <v>0</v>
      </c>
      <c r="K163" s="5">
        <v>0</v>
      </c>
      <c r="L163" s="5">
        <v>0</v>
      </c>
      <c r="M163" s="5">
        <v>0</v>
      </c>
      <c r="N163" s="5">
        <v>0</v>
      </c>
      <c r="O163" s="5">
        <v>1</v>
      </c>
      <c r="P163" s="5">
        <v>2</v>
      </c>
      <c r="Q163" s="5">
        <v>0</v>
      </c>
      <c r="R163" s="5">
        <v>0</v>
      </c>
    </row>
    <row r="164" spans="1:18" ht="15" customHeight="1" x14ac:dyDescent="0.25">
      <c r="A164" s="5">
        <v>4461</v>
      </c>
      <c r="B164" s="5" t="s">
        <v>16</v>
      </c>
      <c r="C164" s="5" t="s">
        <v>900</v>
      </c>
      <c r="D164" s="5" t="s">
        <v>468</v>
      </c>
      <c r="E164" s="5" t="s">
        <v>832</v>
      </c>
      <c r="F164" s="5">
        <v>25</v>
      </c>
      <c r="G164" s="5">
        <v>5.9</v>
      </c>
      <c r="H164" s="5">
        <v>5.98</v>
      </c>
      <c r="I164" s="5">
        <v>0</v>
      </c>
      <c r="J164" s="5">
        <v>0</v>
      </c>
      <c r="K164" s="5">
        <v>0</v>
      </c>
      <c r="L164" s="5">
        <v>0</v>
      </c>
      <c r="M164" s="5">
        <v>0</v>
      </c>
      <c r="N164" s="5">
        <v>0</v>
      </c>
      <c r="O164" s="5">
        <v>3</v>
      </c>
      <c r="P164" s="5">
        <v>2</v>
      </c>
      <c r="Q164" s="5">
        <v>0</v>
      </c>
      <c r="R164" s="5">
        <v>0</v>
      </c>
    </row>
    <row r="165" spans="1:18" ht="15" customHeight="1" x14ac:dyDescent="0.25">
      <c r="A165" s="5">
        <v>7014</v>
      </c>
      <c r="B165" s="5" t="s">
        <v>16</v>
      </c>
      <c r="C165" s="5" t="s">
        <v>899</v>
      </c>
      <c r="D165" s="5" t="s">
        <v>444</v>
      </c>
      <c r="E165" s="5" t="s">
        <v>827</v>
      </c>
      <c r="F165" s="5">
        <v>25</v>
      </c>
      <c r="G165" s="5">
        <v>5.96</v>
      </c>
      <c r="H165" s="5">
        <v>5.84</v>
      </c>
      <c r="I165" s="5">
        <v>0</v>
      </c>
      <c r="J165" s="5">
        <v>0</v>
      </c>
      <c r="K165" s="5">
        <v>0</v>
      </c>
      <c r="L165" s="5">
        <v>0</v>
      </c>
      <c r="M165" s="5">
        <v>0</v>
      </c>
      <c r="N165" s="5">
        <v>0</v>
      </c>
      <c r="O165" s="5">
        <v>1</v>
      </c>
      <c r="P165" s="5">
        <v>8</v>
      </c>
      <c r="Q165" s="5">
        <v>0</v>
      </c>
      <c r="R165" s="5">
        <v>0</v>
      </c>
    </row>
    <row r="166" spans="1:18" ht="15" customHeight="1" x14ac:dyDescent="0.25">
      <c r="A166" s="5">
        <v>6013</v>
      </c>
      <c r="B166" s="5" t="s">
        <v>16</v>
      </c>
      <c r="C166" s="5" t="s">
        <v>914</v>
      </c>
      <c r="D166" s="5" t="s">
        <v>925</v>
      </c>
      <c r="E166" s="5" t="s">
        <v>862</v>
      </c>
      <c r="F166" s="5">
        <v>26</v>
      </c>
      <c r="G166" s="5">
        <v>5.98</v>
      </c>
      <c r="H166" s="5">
        <v>5.87</v>
      </c>
      <c r="I166" s="5">
        <v>0</v>
      </c>
      <c r="J166" s="5">
        <v>0</v>
      </c>
      <c r="K166" s="5">
        <v>0</v>
      </c>
      <c r="L166" s="5">
        <v>0</v>
      </c>
      <c r="M166" s="5">
        <v>0</v>
      </c>
      <c r="N166" s="5">
        <v>0</v>
      </c>
      <c r="O166" s="5">
        <v>1</v>
      </c>
      <c r="P166" s="5">
        <v>8</v>
      </c>
      <c r="Q166" s="5">
        <v>0</v>
      </c>
      <c r="R166" s="5">
        <v>0</v>
      </c>
    </row>
    <row r="167" spans="1:18" ht="15" customHeight="1" x14ac:dyDescent="0.25">
      <c r="A167" s="5">
        <v>4378</v>
      </c>
      <c r="B167" s="5" t="s">
        <v>16</v>
      </c>
      <c r="C167" s="5" t="s">
        <v>903</v>
      </c>
      <c r="D167" s="5" t="s">
        <v>497</v>
      </c>
      <c r="E167" s="5" t="s">
        <v>829</v>
      </c>
      <c r="F167" s="5">
        <v>31</v>
      </c>
      <c r="G167" s="5">
        <v>5.85</v>
      </c>
      <c r="H167" s="5">
        <v>5.79</v>
      </c>
      <c r="I167" s="5">
        <v>1</v>
      </c>
      <c r="J167" s="5">
        <v>0</v>
      </c>
      <c r="K167" s="5">
        <v>0</v>
      </c>
      <c r="L167" s="5">
        <v>0</v>
      </c>
      <c r="M167" s="5">
        <v>0</v>
      </c>
      <c r="N167" s="5">
        <v>0</v>
      </c>
      <c r="O167" s="5">
        <v>0</v>
      </c>
      <c r="P167" s="5">
        <v>8</v>
      </c>
      <c r="Q167" s="5">
        <v>1</v>
      </c>
      <c r="R167" s="5">
        <v>0</v>
      </c>
    </row>
    <row r="168" spans="1:18" ht="15" customHeight="1" x14ac:dyDescent="0.25">
      <c r="A168" s="5">
        <v>5449</v>
      </c>
      <c r="B168" s="5" t="s">
        <v>16</v>
      </c>
      <c r="C168" s="5" t="s">
        <v>895</v>
      </c>
      <c r="D168" s="5" t="s">
        <v>403</v>
      </c>
      <c r="E168" s="5" t="s">
        <v>829</v>
      </c>
      <c r="F168" s="5">
        <v>23</v>
      </c>
      <c r="G168" s="5">
        <v>6.02</v>
      </c>
      <c r="H168" s="5">
        <v>5.98</v>
      </c>
      <c r="I168" s="5">
        <v>1</v>
      </c>
      <c r="J168" s="5">
        <v>0</v>
      </c>
      <c r="K168" s="5">
        <v>0</v>
      </c>
      <c r="L168" s="5">
        <v>0</v>
      </c>
      <c r="M168" s="5">
        <v>0</v>
      </c>
      <c r="N168" s="5">
        <v>0</v>
      </c>
      <c r="O168" s="5">
        <v>1</v>
      </c>
      <c r="P168" s="5">
        <v>6</v>
      </c>
      <c r="Q168" s="5">
        <v>0</v>
      </c>
      <c r="R168" s="5">
        <v>1</v>
      </c>
    </row>
    <row r="169" spans="1:18" ht="15" customHeight="1" x14ac:dyDescent="0.25">
      <c r="A169" s="5">
        <v>5739</v>
      </c>
      <c r="B169" s="5" t="s">
        <v>16</v>
      </c>
      <c r="C169" s="5" t="s">
        <v>899</v>
      </c>
      <c r="D169" s="5" t="s">
        <v>411</v>
      </c>
      <c r="E169" s="5" t="s">
        <v>828</v>
      </c>
      <c r="F169" s="5">
        <v>24</v>
      </c>
      <c r="G169" s="5">
        <v>5.75</v>
      </c>
      <c r="H169" s="5">
        <v>5.9</v>
      </c>
      <c r="I169" s="5">
        <v>1</v>
      </c>
      <c r="J169" s="5">
        <v>0</v>
      </c>
      <c r="K169" s="5">
        <v>0</v>
      </c>
      <c r="L169" s="5">
        <v>0</v>
      </c>
      <c r="M169" s="5">
        <v>0</v>
      </c>
      <c r="N169" s="5">
        <v>0</v>
      </c>
      <c r="O169" s="5">
        <v>1</v>
      </c>
      <c r="P169" s="5">
        <v>1</v>
      </c>
      <c r="Q169" s="5">
        <v>0</v>
      </c>
      <c r="R169" s="5">
        <v>0</v>
      </c>
    </row>
    <row r="170" spans="1:18" ht="15" customHeight="1" x14ac:dyDescent="0.25">
      <c r="A170" s="5">
        <v>6039</v>
      </c>
      <c r="B170" s="5" t="s">
        <v>16</v>
      </c>
      <c r="C170" s="5" t="s">
        <v>905</v>
      </c>
      <c r="D170" s="5" t="s">
        <v>544</v>
      </c>
      <c r="E170" s="5" t="s">
        <v>833</v>
      </c>
      <c r="F170" s="5">
        <v>9</v>
      </c>
      <c r="G170" s="5">
        <v>5.94</v>
      </c>
      <c r="H170" s="5">
        <v>6.56</v>
      </c>
      <c r="I170" s="5">
        <v>2</v>
      </c>
      <c r="J170" s="5">
        <v>0</v>
      </c>
      <c r="K170" s="5">
        <v>0</v>
      </c>
      <c r="L170" s="5">
        <v>0</v>
      </c>
      <c r="M170" s="5">
        <v>0</v>
      </c>
      <c r="N170" s="5">
        <v>0</v>
      </c>
      <c r="O170" s="5">
        <v>0</v>
      </c>
      <c r="P170" s="5">
        <v>1</v>
      </c>
      <c r="Q170" s="5">
        <v>0</v>
      </c>
      <c r="R170" s="5">
        <v>0</v>
      </c>
    </row>
    <row r="171" spans="1:18" ht="15" customHeight="1" x14ac:dyDescent="0.25">
      <c r="A171" s="5">
        <v>7175</v>
      </c>
      <c r="B171" s="5" t="s">
        <v>16</v>
      </c>
      <c r="C171" s="5" t="s">
        <v>895</v>
      </c>
      <c r="D171" s="5" t="s">
        <v>498</v>
      </c>
      <c r="E171" s="5" t="s">
        <v>831</v>
      </c>
      <c r="F171" s="5">
        <v>14</v>
      </c>
      <c r="G171" s="5">
        <v>5.79</v>
      </c>
      <c r="H171" s="5">
        <v>6</v>
      </c>
      <c r="I171" s="5">
        <v>1</v>
      </c>
      <c r="J171" s="5">
        <v>0</v>
      </c>
      <c r="K171" s="5">
        <v>0</v>
      </c>
      <c r="L171" s="5">
        <v>0</v>
      </c>
      <c r="M171" s="5">
        <v>0</v>
      </c>
      <c r="N171" s="5">
        <v>0</v>
      </c>
      <c r="O171" s="5">
        <v>1</v>
      </c>
      <c r="P171" s="5">
        <v>2</v>
      </c>
      <c r="Q171" s="5">
        <v>0</v>
      </c>
      <c r="R171" s="5">
        <v>0</v>
      </c>
    </row>
    <row r="172" spans="1:18" ht="15" customHeight="1" x14ac:dyDescent="0.25">
      <c r="A172" s="5">
        <v>5620</v>
      </c>
      <c r="B172" s="5" t="s">
        <v>16</v>
      </c>
      <c r="C172" s="5" t="s">
        <v>898</v>
      </c>
      <c r="D172" s="5" t="s">
        <v>341</v>
      </c>
      <c r="E172" s="5" t="s">
        <v>834</v>
      </c>
      <c r="F172" s="5">
        <v>22</v>
      </c>
      <c r="G172" s="5">
        <v>5.91</v>
      </c>
      <c r="H172" s="5">
        <v>5.8</v>
      </c>
      <c r="I172" s="5">
        <v>0</v>
      </c>
      <c r="J172" s="5">
        <v>0</v>
      </c>
      <c r="K172" s="5">
        <v>0</v>
      </c>
      <c r="L172" s="5">
        <v>0</v>
      </c>
      <c r="M172" s="5">
        <v>0</v>
      </c>
      <c r="N172" s="5">
        <v>0</v>
      </c>
      <c r="O172" s="5">
        <v>0</v>
      </c>
      <c r="P172" s="5">
        <v>5</v>
      </c>
      <c r="Q172" s="5">
        <v>0</v>
      </c>
      <c r="R172" s="5">
        <v>0</v>
      </c>
    </row>
    <row r="173" spans="1:18" ht="15" customHeight="1" x14ac:dyDescent="0.25">
      <c r="A173" s="5">
        <v>5527</v>
      </c>
      <c r="B173" s="5" t="s">
        <v>16</v>
      </c>
      <c r="C173" s="5" t="s">
        <v>904</v>
      </c>
      <c r="D173" s="5" t="s">
        <v>452</v>
      </c>
      <c r="E173" s="5" t="s">
        <v>835</v>
      </c>
      <c r="F173" s="5">
        <v>19</v>
      </c>
      <c r="G173" s="5">
        <v>6.05</v>
      </c>
      <c r="H173" s="5">
        <v>6.29</v>
      </c>
      <c r="I173" s="5">
        <v>1</v>
      </c>
      <c r="J173" s="5">
        <v>0</v>
      </c>
      <c r="K173" s="5">
        <v>0</v>
      </c>
      <c r="L173" s="5">
        <v>0</v>
      </c>
      <c r="M173" s="5">
        <v>0</v>
      </c>
      <c r="N173" s="5">
        <v>0</v>
      </c>
      <c r="O173" s="5">
        <v>2</v>
      </c>
      <c r="P173" s="5">
        <v>1</v>
      </c>
      <c r="Q173" s="5">
        <v>0</v>
      </c>
      <c r="R173" s="5">
        <v>0</v>
      </c>
    </row>
    <row r="174" spans="1:18" ht="15" customHeight="1" x14ac:dyDescent="0.25">
      <c r="A174" s="5">
        <v>2273</v>
      </c>
      <c r="B174" s="5" t="s">
        <v>16</v>
      </c>
      <c r="C174" s="5" t="s">
        <v>896</v>
      </c>
      <c r="D174" s="5" t="s">
        <v>926</v>
      </c>
      <c r="E174" s="5" t="s">
        <v>867</v>
      </c>
      <c r="F174" s="5">
        <v>35</v>
      </c>
      <c r="G174" s="5">
        <v>5.8</v>
      </c>
      <c r="H174" s="5">
        <v>5.77</v>
      </c>
      <c r="I174" s="5">
        <v>2</v>
      </c>
      <c r="J174" s="5">
        <v>0</v>
      </c>
      <c r="K174" s="5">
        <v>0</v>
      </c>
      <c r="L174" s="5">
        <v>0</v>
      </c>
      <c r="M174" s="5">
        <v>0</v>
      </c>
      <c r="N174" s="5">
        <v>0</v>
      </c>
      <c r="O174" s="5">
        <v>0</v>
      </c>
      <c r="P174" s="5">
        <v>10</v>
      </c>
      <c r="Q174" s="5">
        <v>0</v>
      </c>
      <c r="R174" s="5">
        <v>1</v>
      </c>
    </row>
    <row r="175" spans="1:18" ht="15" customHeight="1" x14ac:dyDescent="0.25">
      <c r="A175" s="5">
        <v>5010</v>
      </c>
      <c r="B175" s="5" t="s">
        <v>16</v>
      </c>
      <c r="C175" s="5" t="s">
        <v>896</v>
      </c>
      <c r="D175" s="5" t="s">
        <v>323</v>
      </c>
      <c r="E175" s="5" t="s">
        <v>843</v>
      </c>
      <c r="F175" s="5">
        <v>24</v>
      </c>
      <c r="G175" s="5">
        <v>5.92</v>
      </c>
      <c r="H175" s="5">
        <v>5.9</v>
      </c>
      <c r="I175" s="5">
        <v>0</v>
      </c>
      <c r="J175" s="5">
        <v>0</v>
      </c>
      <c r="K175" s="5">
        <v>0</v>
      </c>
      <c r="L175" s="5">
        <v>0</v>
      </c>
      <c r="M175" s="5">
        <v>0</v>
      </c>
      <c r="N175" s="5">
        <v>0</v>
      </c>
      <c r="O175" s="5">
        <v>2</v>
      </c>
      <c r="P175" s="5">
        <v>5</v>
      </c>
      <c r="Q175" s="5">
        <v>0</v>
      </c>
      <c r="R175" s="5">
        <v>0</v>
      </c>
    </row>
    <row r="176" spans="1:18" ht="15" customHeight="1" x14ac:dyDescent="0.25">
      <c r="A176" s="5">
        <v>5555</v>
      </c>
      <c r="B176" s="5" t="s">
        <v>16</v>
      </c>
      <c r="C176" s="5" t="s">
        <v>898</v>
      </c>
      <c r="D176" s="5" t="s">
        <v>401</v>
      </c>
      <c r="E176" s="5" t="s">
        <v>835</v>
      </c>
      <c r="F176" s="5">
        <v>26</v>
      </c>
      <c r="G176" s="5">
        <v>5.88</v>
      </c>
      <c r="H176" s="5">
        <v>5.87</v>
      </c>
      <c r="I176" s="5">
        <v>0</v>
      </c>
      <c r="J176" s="5">
        <v>0</v>
      </c>
      <c r="K176" s="5">
        <v>0</v>
      </c>
      <c r="L176" s="5">
        <v>0</v>
      </c>
      <c r="M176" s="5">
        <v>0</v>
      </c>
      <c r="N176" s="5">
        <v>0</v>
      </c>
      <c r="O176" s="5">
        <v>2</v>
      </c>
      <c r="P176" s="5">
        <v>5</v>
      </c>
      <c r="Q176" s="5">
        <v>0</v>
      </c>
      <c r="R176" s="5">
        <v>0</v>
      </c>
    </row>
    <row r="177" spans="1:18" ht="15" customHeight="1" x14ac:dyDescent="0.25">
      <c r="A177" s="5">
        <v>5532</v>
      </c>
      <c r="B177" s="5" t="s">
        <v>16</v>
      </c>
      <c r="C177" s="5" t="s">
        <v>898</v>
      </c>
      <c r="D177" s="5" t="s">
        <v>927</v>
      </c>
      <c r="E177" s="5" t="s">
        <v>864</v>
      </c>
      <c r="F177" s="5">
        <v>29</v>
      </c>
      <c r="G177" s="5">
        <v>5.81</v>
      </c>
      <c r="H177" s="5">
        <v>5.84</v>
      </c>
      <c r="I177" s="5">
        <v>0</v>
      </c>
      <c r="J177" s="5">
        <v>0</v>
      </c>
      <c r="K177" s="5">
        <v>0</v>
      </c>
      <c r="L177" s="5">
        <v>0</v>
      </c>
      <c r="M177" s="5">
        <v>0</v>
      </c>
      <c r="N177" s="5">
        <v>0</v>
      </c>
      <c r="O177" s="5">
        <v>2</v>
      </c>
      <c r="P177" s="5">
        <v>2</v>
      </c>
      <c r="Q177" s="5">
        <v>0</v>
      </c>
      <c r="R177" s="5">
        <v>0</v>
      </c>
    </row>
    <row r="178" spans="1:18" ht="15" customHeight="1" x14ac:dyDescent="0.25">
      <c r="A178" s="5">
        <v>7240</v>
      </c>
      <c r="B178" s="5" t="s">
        <v>16</v>
      </c>
      <c r="C178" s="5" t="s">
        <v>896</v>
      </c>
      <c r="D178" s="5" t="s">
        <v>406</v>
      </c>
      <c r="E178" s="5" t="s">
        <v>837</v>
      </c>
      <c r="F178" s="5">
        <v>19</v>
      </c>
      <c r="G178" s="5">
        <v>5.68</v>
      </c>
      <c r="H178" s="5">
        <v>5.76</v>
      </c>
      <c r="I178" s="5">
        <v>1</v>
      </c>
      <c r="J178" s="5">
        <v>0</v>
      </c>
      <c r="K178" s="5">
        <v>0</v>
      </c>
      <c r="L178" s="5">
        <v>0</v>
      </c>
      <c r="M178" s="5">
        <v>0</v>
      </c>
      <c r="N178" s="5">
        <v>0</v>
      </c>
      <c r="O178" s="5">
        <v>0</v>
      </c>
      <c r="P178" s="5">
        <v>3</v>
      </c>
      <c r="Q178" s="5">
        <v>0</v>
      </c>
      <c r="R178" s="5">
        <v>0</v>
      </c>
    </row>
    <row r="179" spans="1:18" ht="15" customHeight="1" x14ac:dyDescent="0.25">
      <c r="A179" s="5">
        <v>7352</v>
      </c>
      <c r="B179" s="5" t="s">
        <v>16</v>
      </c>
      <c r="C179" s="5" t="s">
        <v>896</v>
      </c>
      <c r="D179" s="5" t="s">
        <v>928</v>
      </c>
      <c r="E179" s="5" t="s">
        <v>864</v>
      </c>
      <c r="F179" s="5">
        <v>15</v>
      </c>
      <c r="G179" s="5">
        <v>5.97</v>
      </c>
      <c r="H179" s="5">
        <v>5.73</v>
      </c>
      <c r="I179" s="5">
        <v>0</v>
      </c>
      <c r="J179" s="5">
        <v>0</v>
      </c>
      <c r="K179" s="5">
        <v>0</v>
      </c>
      <c r="L179" s="5">
        <v>0</v>
      </c>
      <c r="M179" s="5">
        <v>0</v>
      </c>
      <c r="N179" s="5">
        <v>0</v>
      </c>
      <c r="O179" s="5">
        <v>0</v>
      </c>
      <c r="P179" s="5">
        <v>3</v>
      </c>
      <c r="Q179" s="5">
        <v>0</v>
      </c>
      <c r="R179" s="5">
        <v>1</v>
      </c>
    </row>
    <row r="180" spans="1:18" ht="15" customHeight="1" x14ac:dyDescent="0.25">
      <c r="A180" s="5">
        <v>7125</v>
      </c>
      <c r="B180" s="5" t="s">
        <v>16</v>
      </c>
      <c r="C180" s="5" t="s">
        <v>898</v>
      </c>
      <c r="D180" s="5" t="s">
        <v>496</v>
      </c>
      <c r="E180" s="5" t="s">
        <v>832</v>
      </c>
      <c r="F180" s="5">
        <v>17</v>
      </c>
      <c r="G180" s="5">
        <v>5.82</v>
      </c>
      <c r="H180" s="5">
        <v>6.09</v>
      </c>
      <c r="I180" s="5">
        <v>2</v>
      </c>
      <c r="J180" s="5">
        <v>0</v>
      </c>
      <c r="K180" s="5">
        <v>0</v>
      </c>
      <c r="L180" s="5">
        <v>0</v>
      </c>
      <c r="M180" s="5">
        <v>0</v>
      </c>
      <c r="N180" s="5">
        <v>0</v>
      </c>
      <c r="O180" s="5">
        <v>0</v>
      </c>
      <c r="P180" s="5">
        <v>3</v>
      </c>
      <c r="Q180" s="5">
        <v>0</v>
      </c>
      <c r="R180" s="5">
        <v>0</v>
      </c>
    </row>
    <row r="181" spans="1:18" ht="15" customHeight="1" x14ac:dyDescent="0.25">
      <c r="A181" s="5">
        <v>6230</v>
      </c>
      <c r="B181" s="5" t="s">
        <v>16</v>
      </c>
      <c r="C181" s="5" t="s">
        <v>896</v>
      </c>
      <c r="D181" s="5" t="s">
        <v>929</v>
      </c>
      <c r="E181" s="5" t="s">
        <v>832</v>
      </c>
      <c r="F181" s="5">
        <v>11</v>
      </c>
      <c r="G181" s="5">
        <v>5.82</v>
      </c>
      <c r="H181" s="5">
        <v>5.68</v>
      </c>
      <c r="I181" s="5">
        <v>0</v>
      </c>
      <c r="J181" s="5">
        <v>0</v>
      </c>
      <c r="K181" s="5">
        <v>0</v>
      </c>
      <c r="L181" s="5">
        <v>0</v>
      </c>
      <c r="M181" s="5">
        <v>0</v>
      </c>
      <c r="N181" s="5">
        <v>0</v>
      </c>
      <c r="O181" s="5">
        <v>1</v>
      </c>
      <c r="P181" s="5">
        <v>5</v>
      </c>
      <c r="Q181" s="5">
        <v>0</v>
      </c>
      <c r="R181" s="5">
        <v>0</v>
      </c>
    </row>
    <row r="182" spans="1:18" ht="15" customHeight="1" x14ac:dyDescent="0.25">
      <c r="A182" s="5">
        <v>6896</v>
      </c>
      <c r="B182" s="5" t="s">
        <v>16</v>
      </c>
      <c r="C182" s="5" t="s">
        <v>904</v>
      </c>
      <c r="D182" s="5" t="s">
        <v>521</v>
      </c>
      <c r="E182" s="5" t="s">
        <v>827</v>
      </c>
      <c r="F182" s="5">
        <v>14</v>
      </c>
      <c r="G182" s="5">
        <v>5.96</v>
      </c>
      <c r="H182" s="5">
        <v>5.96</v>
      </c>
      <c r="I182" s="5">
        <v>0</v>
      </c>
      <c r="J182" s="5">
        <v>0</v>
      </c>
      <c r="K182" s="5">
        <v>0</v>
      </c>
      <c r="L182" s="5">
        <v>0</v>
      </c>
      <c r="M182" s="5">
        <v>0</v>
      </c>
      <c r="N182" s="5">
        <v>0</v>
      </c>
      <c r="O182" s="5">
        <v>1</v>
      </c>
      <c r="P182" s="5">
        <v>2</v>
      </c>
      <c r="Q182" s="5">
        <v>0</v>
      </c>
      <c r="R182" s="5">
        <v>0</v>
      </c>
    </row>
    <row r="183" spans="1:18" ht="15" customHeight="1" x14ac:dyDescent="0.25">
      <c r="A183" s="5">
        <v>7131</v>
      </c>
      <c r="B183" s="5" t="s">
        <v>16</v>
      </c>
      <c r="C183" s="5" t="s">
        <v>904</v>
      </c>
      <c r="D183" s="5" t="s">
        <v>410</v>
      </c>
      <c r="E183" s="5" t="s">
        <v>862</v>
      </c>
      <c r="F183" s="5">
        <v>23</v>
      </c>
      <c r="G183" s="5">
        <v>5.72</v>
      </c>
      <c r="H183" s="5">
        <v>5.72</v>
      </c>
      <c r="I183" s="5">
        <v>0</v>
      </c>
      <c r="J183" s="5">
        <v>0</v>
      </c>
      <c r="K183" s="5">
        <v>0</v>
      </c>
      <c r="L183" s="5">
        <v>0</v>
      </c>
      <c r="M183" s="5">
        <v>0</v>
      </c>
      <c r="N183" s="5">
        <v>0</v>
      </c>
      <c r="O183" s="5">
        <v>1</v>
      </c>
      <c r="P183" s="5">
        <v>2</v>
      </c>
      <c r="Q183" s="5">
        <v>0</v>
      </c>
      <c r="R183" s="5">
        <v>0</v>
      </c>
    </row>
    <row r="184" spans="1:18" ht="15" customHeight="1" x14ac:dyDescent="0.25">
      <c r="A184" s="5">
        <v>5603</v>
      </c>
      <c r="B184" s="5" t="s">
        <v>16</v>
      </c>
      <c r="C184" s="5" t="s">
        <v>896</v>
      </c>
      <c r="D184" s="5" t="s">
        <v>483</v>
      </c>
      <c r="E184" s="5" t="s">
        <v>829</v>
      </c>
      <c r="F184" s="5">
        <v>35</v>
      </c>
      <c r="G184" s="5">
        <v>5.84</v>
      </c>
      <c r="H184" s="5">
        <v>5.67</v>
      </c>
      <c r="I184" s="5">
        <v>0</v>
      </c>
      <c r="J184" s="5">
        <v>0</v>
      </c>
      <c r="K184" s="5">
        <v>0</v>
      </c>
      <c r="L184" s="5">
        <v>0</v>
      </c>
      <c r="M184" s="5">
        <v>0</v>
      </c>
      <c r="N184" s="5">
        <v>0</v>
      </c>
      <c r="O184" s="5">
        <v>0</v>
      </c>
      <c r="P184" s="5">
        <v>12</v>
      </c>
      <c r="Q184" s="5">
        <v>0</v>
      </c>
      <c r="R184" s="5">
        <v>0</v>
      </c>
    </row>
    <row r="185" spans="1:18" ht="15" customHeight="1" x14ac:dyDescent="0.25">
      <c r="A185" s="5">
        <v>513</v>
      </c>
      <c r="B185" s="5" t="s">
        <v>16</v>
      </c>
      <c r="C185" s="5" t="s">
        <v>896</v>
      </c>
      <c r="D185" s="5" t="s">
        <v>930</v>
      </c>
      <c r="E185" s="5" t="s">
        <v>825</v>
      </c>
      <c r="F185" s="5">
        <v>16</v>
      </c>
      <c r="G185" s="5">
        <v>6.03</v>
      </c>
      <c r="H185" s="5">
        <v>5.94</v>
      </c>
      <c r="I185" s="5">
        <v>0</v>
      </c>
      <c r="J185" s="5">
        <v>0</v>
      </c>
      <c r="K185" s="5">
        <v>0</v>
      </c>
      <c r="L185" s="5">
        <v>0</v>
      </c>
      <c r="M185" s="5">
        <v>0</v>
      </c>
      <c r="N185" s="5">
        <v>0</v>
      </c>
      <c r="O185" s="5">
        <v>0</v>
      </c>
      <c r="P185" s="5">
        <v>3</v>
      </c>
      <c r="Q185" s="5">
        <v>0</v>
      </c>
      <c r="R185" s="5">
        <v>0</v>
      </c>
    </row>
    <row r="186" spans="1:18" ht="15" customHeight="1" x14ac:dyDescent="0.25">
      <c r="A186" s="5">
        <v>5831</v>
      </c>
      <c r="B186" s="5" t="s">
        <v>16</v>
      </c>
      <c r="C186" s="5" t="s">
        <v>896</v>
      </c>
      <c r="D186" s="5" t="s">
        <v>446</v>
      </c>
      <c r="E186" s="5" t="s">
        <v>833</v>
      </c>
      <c r="F186" s="5">
        <v>16</v>
      </c>
      <c r="G186" s="5">
        <v>5.94</v>
      </c>
      <c r="H186" s="5">
        <v>6.22</v>
      </c>
      <c r="I186" s="5">
        <v>2</v>
      </c>
      <c r="J186" s="5">
        <v>0</v>
      </c>
      <c r="K186" s="5">
        <v>0</v>
      </c>
      <c r="L186" s="5">
        <v>0</v>
      </c>
      <c r="M186" s="5">
        <v>0</v>
      </c>
      <c r="N186" s="5">
        <v>0</v>
      </c>
      <c r="O186" s="5">
        <v>0</v>
      </c>
      <c r="P186" s="5">
        <v>3</v>
      </c>
      <c r="Q186" s="5">
        <v>0</v>
      </c>
      <c r="R186" s="5">
        <v>0</v>
      </c>
    </row>
    <row r="187" spans="1:18" ht="15" customHeight="1" x14ac:dyDescent="0.25">
      <c r="A187" s="5">
        <v>2728</v>
      </c>
      <c r="B187" s="5" t="s">
        <v>16</v>
      </c>
      <c r="C187" s="5" t="s">
        <v>898</v>
      </c>
      <c r="D187" s="5" t="s">
        <v>524</v>
      </c>
      <c r="E187" s="5" t="s">
        <v>834</v>
      </c>
      <c r="F187" s="5">
        <v>24</v>
      </c>
      <c r="G187" s="5">
        <v>5.85</v>
      </c>
      <c r="H187" s="5">
        <v>5.81</v>
      </c>
      <c r="I187" s="5">
        <v>1</v>
      </c>
      <c r="J187" s="5">
        <v>0</v>
      </c>
      <c r="K187" s="5">
        <v>0</v>
      </c>
      <c r="L187" s="5">
        <v>0</v>
      </c>
      <c r="M187" s="5">
        <v>0</v>
      </c>
      <c r="N187" s="5">
        <v>0</v>
      </c>
      <c r="O187" s="5">
        <v>0</v>
      </c>
      <c r="P187" s="5">
        <v>8</v>
      </c>
      <c r="Q187" s="5">
        <v>0</v>
      </c>
      <c r="R187" s="5">
        <v>0</v>
      </c>
    </row>
    <row r="188" spans="1:18" ht="15" customHeight="1" x14ac:dyDescent="0.25">
      <c r="A188" s="5">
        <v>6990</v>
      </c>
      <c r="B188" s="5" t="s">
        <v>16</v>
      </c>
      <c r="C188" s="5" t="s">
        <v>904</v>
      </c>
      <c r="D188" s="5" t="s">
        <v>428</v>
      </c>
      <c r="E188" s="5" t="s">
        <v>837</v>
      </c>
      <c r="F188" s="5">
        <v>36</v>
      </c>
      <c r="G188" s="5">
        <v>5.82</v>
      </c>
      <c r="H188" s="5">
        <v>5.69</v>
      </c>
      <c r="I188" s="5">
        <v>0</v>
      </c>
      <c r="J188" s="5">
        <v>0</v>
      </c>
      <c r="K188" s="5">
        <v>0</v>
      </c>
      <c r="L188" s="5">
        <v>0</v>
      </c>
      <c r="M188" s="5">
        <v>0</v>
      </c>
      <c r="N188" s="5">
        <v>0</v>
      </c>
      <c r="O188" s="5">
        <v>0</v>
      </c>
      <c r="P188" s="5">
        <v>9</v>
      </c>
      <c r="Q188" s="5">
        <v>0</v>
      </c>
      <c r="R188" s="5">
        <v>0</v>
      </c>
    </row>
    <row r="189" spans="1:18" ht="15" customHeight="1" x14ac:dyDescent="0.25">
      <c r="A189" s="5">
        <v>4401</v>
      </c>
      <c r="B189" s="5" t="s">
        <v>16</v>
      </c>
      <c r="C189" s="5" t="s">
        <v>896</v>
      </c>
      <c r="D189" s="5" t="s">
        <v>281</v>
      </c>
      <c r="E189" s="5" t="s">
        <v>828</v>
      </c>
      <c r="F189" s="5">
        <v>29</v>
      </c>
      <c r="G189" s="5">
        <v>5.91</v>
      </c>
      <c r="H189" s="5">
        <v>5.84</v>
      </c>
      <c r="I189" s="5">
        <v>0</v>
      </c>
      <c r="J189" s="5">
        <v>0</v>
      </c>
      <c r="K189" s="5">
        <v>0</v>
      </c>
      <c r="L189" s="5">
        <v>0</v>
      </c>
      <c r="M189" s="5">
        <v>0</v>
      </c>
      <c r="N189" s="5">
        <v>0</v>
      </c>
      <c r="O189" s="5">
        <v>0</v>
      </c>
      <c r="P189" s="5">
        <v>4</v>
      </c>
      <c r="Q189" s="5">
        <v>0</v>
      </c>
      <c r="R189" s="5">
        <v>0</v>
      </c>
    </row>
    <row r="190" spans="1:18" ht="15" customHeight="1" x14ac:dyDescent="0.25">
      <c r="A190" s="5">
        <v>6531</v>
      </c>
      <c r="B190" s="5" t="s">
        <v>16</v>
      </c>
      <c r="C190" s="5" t="s">
        <v>914</v>
      </c>
      <c r="D190" s="5" t="s">
        <v>279</v>
      </c>
      <c r="E190" s="5" t="s">
        <v>828</v>
      </c>
      <c r="F190" s="5">
        <v>1</v>
      </c>
      <c r="G190" s="5">
        <v>5.5</v>
      </c>
      <c r="H190" s="5">
        <v>5</v>
      </c>
      <c r="I190" s="5">
        <v>0</v>
      </c>
      <c r="J190" s="5">
        <v>0</v>
      </c>
      <c r="K190" s="5">
        <v>0</v>
      </c>
      <c r="L190" s="5">
        <v>0</v>
      </c>
      <c r="M190" s="5">
        <v>0</v>
      </c>
      <c r="N190" s="5">
        <v>0</v>
      </c>
      <c r="O190" s="5">
        <v>0</v>
      </c>
      <c r="P190" s="5">
        <v>1</v>
      </c>
      <c r="Q190" s="5">
        <v>0</v>
      </c>
      <c r="R190" s="5">
        <v>0</v>
      </c>
    </row>
    <row r="191" spans="1:18" ht="15" customHeight="1" x14ac:dyDescent="0.25">
      <c r="A191" s="5">
        <v>5840</v>
      </c>
      <c r="B191" s="5" t="s">
        <v>16</v>
      </c>
      <c r="C191" s="5" t="s">
        <v>898</v>
      </c>
      <c r="D191" s="5" t="s">
        <v>389</v>
      </c>
      <c r="E191" s="5" t="s">
        <v>830</v>
      </c>
      <c r="F191" s="5">
        <v>22</v>
      </c>
      <c r="G191" s="5">
        <v>5.75</v>
      </c>
      <c r="H191" s="5">
        <v>5.68</v>
      </c>
      <c r="I191" s="5">
        <v>0</v>
      </c>
      <c r="J191" s="5">
        <v>0</v>
      </c>
      <c r="K191" s="5">
        <v>0</v>
      </c>
      <c r="L191" s="5">
        <v>0</v>
      </c>
      <c r="M191" s="5">
        <v>0</v>
      </c>
      <c r="N191" s="5">
        <v>0</v>
      </c>
      <c r="O191" s="5">
        <v>0</v>
      </c>
      <c r="P191" s="5">
        <v>3</v>
      </c>
      <c r="Q191" s="5">
        <v>0</v>
      </c>
      <c r="R191" s="5">
        <v>0</v>
      </c>
    </row>
    <row r="192" spans="1:18" ht="15" customHeight="1" x14ac:dyDescent="0.25">
      <c r="A192" s="5">
        <v>5307</v>
      </c>
      <c r="B192" s="5" t="s">
        <v>16</v>
      </c>
      <c r="C192" s="5" t="s">
        <v>896</v>
      </c>
      <c r="D192" s="5" t="s">
        <v>447</v>
      </c>
      <c r="E192" s="5" t="s">
        <v>838</v>
      </c>
      <c r="F192" s="5">
        <v>27</v>
      </c>
      <c r="G192" s="5">
        <v>5.96</v>
      </c>
      <c r="H192" s="5">
        <v>5.83</v>
      </c>
      <c r="I192" s="5">
        <v>0</v>
      </c>
      <c r="J192" s="5">
        <v>0</v>
      </c>
      <c r="K192" s="5">
        <v>0</v>
      </c>
      <c r="L192" s="5">
        <v>0</v>
      </c>
      <c r="M192" s="5">
        <v>0</v>
      </c>
      <c r="N192" s="5">
        <v>0</v>
      </c>
      <c r="O192" s="5">
        <v>0</v>
      </c>
      <c r="P192" s="5">
        <v>7</v>
      </c>
      <c r="Q192" s="5">
        <v>0</v>
      </c>
      <c r="R192" s="5">
        <v>0</v>
      </c>
    </row>
    <row r="193" spans="1:18" ht="15" customHeight="1" x14ac:dyDescent="0.25">
      <c r="A193" s="5">
        <v>7139</v>
      </c>
      <c r="B193" s="5" t="s">
        <v>16</v>
      </c>
      <c r="C193" s="5" t="s">
        <v>896</v>
      </c>
      <c r="D193" s="5" t="s">
        <v>931</v>
      </c>
      <c r="E193" s="5" t="s">
        <v>867</v>
      </c>
      <c r="F193" s="5">
        <v>37</v>
      </c>
      <c r="G193" s="5">
        <v>5.69</v>
      </c>
      <c r="H193" s="5">
        <v>5.72</v>
      </c>
      <c r="I193" s="5">
        <v>1</v>
      </c>
      <c r="J193" s="5">
        <v>0</v>
      </c>
      <c r="K193" s="5">
        <v>0</v>
      </c>
      <c r="L193" s="5">
        <v>0</v>
      </c>
      <c r="M193" s="5">
        <v>0</v>
      </c>
      <c r="N193" s="5">
        <v>0</v>
      </c>
      <c r="O193" s="5">
        <v>0</v>
      </c>
      <c r="P193" s="5">
        <v>4</v>
      </c>
      <c r="Q193" s="5">
        <v>0</v>
      </c>
      <c r="R193" s="5">
        <v>0</v>
      </c>
    </row>
    <row r="194" spans="1:18" ht="15" customHeight="1" x14ac:dyDescent="0.25">
      <c r="A194" s="5">
        <v>4374</v>
      </c>
      <c r="B194" s="5" t="s">
        <v>16</v>
      </c>
      <c r="C194" s="5" t="s">
        <v>899</v>
      </c>
      <c r="D194" s="5" t="s">
        <v>449</v>
      </c>
      <c r="E194" s="5" t="s">
        <v>839</v>
      </c>
      <c r="F194" s="5">
        <v>34</v>
      </c>
      <c r="G194" s="5">
        <v>5.81</v>
      </c>
      <c r="H194" s="5">
        <v>5.74</v>
      </c>
      <c r="I194" s="5">
        <v>0</v>
      </c>
      <c r="J194" s="5">
        <v>0</v>
      </c>
      <c r="K194" s="5">
        <v>0</v>
      </c>
      <c r="L194" s="5">
        <v>0</v>
      </c>
      <c r="M194" s="5">
        <v>0</v>
      </c>
      <c r="N194" s="5">
        <v>0</v>
      </c>
      <c r="O194" s="5">
        <v>1</v>
      </c>
      <c r="P194" s="5">
        <v>7</v>
      </c>
      <c r="Q194" s="5">
        <v>0</v>
      </c>
      <c r="R194" s="5">
        <v>0</v>
      </c>
    </row>
    <row r="195" spans="1:18" ht="15" customHeight="1" x14ac:dyDescent="0.25">
      <c r="A195" s="5">
        <v>5820</v>
      </c>
      <c r="B195" s="5" t="s">
        <v>16</v>
      </c>
      <c r="C195" s="5" t="s">
        <v>896</v>
      </c>
      <c r="D195" s="5" t="s">
        <v>451</v>
      </c>
      <c r="E195" s="5" t="s">
        <v>835</v>
      </c>
      <c r="F195" s="5">
        <v>25</v>
      </c>
      <c r="G195" s="5">
        <v>5.86</v>
      </c>
      <c r="H195" s="5">
        <v>5.84</v>
      </c>
      <c r="I195" s="5">
        <v>0</v>
      </c>
      <c r="J195" s="5">
        <v>0</v>
      </c>
      <c r="K195" s="5">
        <v>0</v>
      </c>
      <c r="L195" s="5">
        <v>0</v>
      </c>
      <c r="M195" s="5">
        <v>0</v>
      </c>
      <c r="N195" s="5">
        <v>0</v>
      </c>
      <c r="O195" s="5">
        <v>1</v>
      </c>
      <c r="P195" s="5">
        <v>3</v>
      </c>
      <c r="Q195" s="5">
        <v>0</v>
      </c>
      <c r="R195" s="5">
        <v>0</v>
      </c>
    </row>
    <row r="196" spans="1:18" ht="15" customHeight="1" x14ac:dyDescent="0.25">
      <c r="A196" s="5">
        <v>5994</v>
      </c>
      <c r="B196" s="5" t="s">
        <v>16</v>
      </c>
      <c r="C196" s="5" t="s">
        <v>903</v>
      </c>
      <c r="D196" s="5" t="s">
        <v>540</v>
      </c>
      <c r="E196" s="5" t="s">
        <v>843</v>
      </c>
      <c r="F196" s="5">
        <v>16</v>
      </c>
      <c r="G196" s="5">
        <v>5.75</v>
      </c>
      <c r="H196" s="5">
        <v>5.72</v>
      </c>
      <c r="I196" s="5">
        <v>0</v>
      </c>
      <c r="J196" s="5">
        <v>0</v>
      </c>
      <c r="K196" s="5">
        <v>0</v>
      </c>
      <c r="L196" s="5">
        <v>0</v>
      </c>
      <c r="M196" s="5">
        <v>0</v>
      </c>
      <c r="N196" s="5">
        <v>0</v>
      </c>
      <c r="O196" s="5">
        <v>1</v>
      </c>
      <c r="P196" s="5">
        <v>4</v>
      </c>
      <c r="Q196" s="5">
        <v>0</v>
      </c>
      <c r="R196" s="5">
        <v>0</v>
      </c>
    </row>
    <row r="197" spans="1:18" ht="15" customHeight="1" x14ac:dyDescent="0.25">
      <c r="A197" s="5">
        <v>697</v>
      </c>
      <c r="B197" s="5" t="s">
        <v>16</v>
      </c>
      <c r="C197" s="5" t="s">
        <v>895</v>
      </c>
      <c r="D197" s="5" t="s">
        <v>932</v>
      </c>
      <c r="E197" s="5" t="s">
        <v>867</v>
      </c>
      <c r="F197" s="5">
        <v>15</v>
      </c>
      <c r="G197" s="5">
        <v>6.03</v>
      </c>
      <c r="H197" s="5">
        <v>6.13</v>
      </c>
      <c r="I197" s="5">
        <v>1</v>
      </c>
      <c r="J197" s="5">
        <v>0</v>
      </c>
      <c r="K197" s="5">
        <v>0</v>
      </c>
      <c r="L197" s="5">
        <v>1</v>
      </c>
      <c r="M197" s="5">
        <v>1</v>
      </c>
      <c r="N197" s="5">
        <v>0</v>
      </c>
      <c r="O197" s="5">
        <v>0</v>
      </c>
      <c r="P197" s="5">
        <v>3</v>
      </c>
      <c r="Q197" s="5">
        <v>0</v>
      </c>
      <c r="R197" s="5">
        <v>0</v>
      </c>
    </row>
    <row r="198" spans="1:18" ht="15" customHeight="1" x14ac:dyDescent="0.25">
      <c r="A198" s="5">
        <v>7018</v>
      </c>
      <c r="B198" s="5" t="s">
        <v>16</v>
      </c>
      <c r="C198" s="5" t="s">
        <v>896</v>
      </c>
      <c r="D198" s="5" t="s">
        <v>933</v>
      </c>
      <c r="E198" s="5" t="s">
        <v>864</v>
      </c>
      <c r="F198" s="5">
        <v>37</v>
      </c>
      <c r="G198" s="5">
        <v>5.68</v>
      </c>
      <c r="H198" s="5">
        <v>5.57</v>
      </c>
      <c r="I198" s="5">
        <v>0</v>
      </c>
      <c r="J198" s="5">
        <v>0</v>
      </c>
      <c r="K198" s="5">
        <v>0</v>
      </c>
      <c r="L198" s="5">
        <v>0</v>
      </c>
      <c r="M198" s="5">
        <v>0</v>
      </c>
      <c r="N198" s="5">
        <v>0</v>
      </c>
      <c r="O198" s="5">
        <v>0</v>
      </c>
      <c r="P198" s="5">
        <v>4</v>
      </c>
      <c r="Q198" s="5">
        <v>0</v>
      </c>
      <c r="R198" s="5">
        <v>1</v>
      </c>
    </row>
    <row r="199" spans="1:18" ht="15" customHeight="1" x14ac:dyDescent="0.25">
      <c r="A199" s="5">
        <v>7235</v>
      </c>
      <c r="B199" s="5" t="s">
        <v>16</v>
      </c>
      <c r="C199" s="5" t="s">
        <v>896</v>
      </c>
      <c r="D199" s="5" t="s">
        <v>487</v>
      </c>
      <c r="E199" s="5" t="s">
        <v>838</v>
      </c>
      <c r="F199" s="5">
        <v>21</v>
      </c>
      <c r="G199" s="5">
        <v>5.79</v>
      </c>
      <c r="H199" s="5">
        <v>5.71</v>
      </c>
      <c r="I199" s="5">
        <v>1</v>
      </c>
      <c r="J199" s="5">
        <v>0</v>
      </c>
      <c r="K199" s="5">
        <v>0</v>
      </c>
      <c r="L199" s="5">
        <v>0</v>
      </c>
      <c r="M199" s="5">
        <v>0</v>
      </c>
      <c r="N199" s="5">
        <v>0</v>
      </c>
      <c r="O199" s="5">
        <v>0</v>
      </c>
      <c r="P199" s="5">
        <v>5</v>
      </c>
      <c r="Q199" s="5">
        <v>2</v>
      </c>
      <c r="R199" s="5">
        <v>0</v>
      </c>
    </row>
    <row r="200" spans="1:18" ht="15" customHeight="1" x14ac:dyDescent="0.25">
      <c r="A200" s="5">
        <v>7274</v>
      </c>
      <c r="B200" s="5" t="s">
        <v>16</v>
      </c>
      <c r="C200" s="5" t="s">
        <v>896</v>
      </c>
      <c r="D200" s="5" t="s">
        <v>426</v>
      </c>
      <c r="E200" s="5" t="s">
        <v>832</v>
      </c>
      <c r="F200" s="5">
        <v>22</v>
      </c>
      <c r="G200" s="5">
        <v>5.77</v>
      </c>
      <c r="H200" s="5">
        <v>5.68</v>
      </c>
      <c r="I200" s="5">
        <v>0</v>
      </c>
      <c r="J200" s="5">
        <v>0</v>
      </c>
      <c r="K200" s="5">
        <v>0</v>
      </c>
      <c r="L200" s="5">
        <v>0</v>
      </c>
      <c r="M200" s="5">
        <v>0</v>
      </c>
      <c r="N200" s="5">
        <v>0</v>
      </c>
      <c r="O200" s="5">
        <v>1</v>
      </c>
      <c r="P200" s="5">
        <v>6</v>
      </c>
      <c r="Q200" s="5">
        <v>0</v>
      </c>
      <c r="R200" s="5">
        <v>0</v>
      </c>
    </row>
    <row r="201" spans="1:18" ht="15" customHeight="1" x14ac:dyDescent="0.25">
      <c r="A201" s="5">
        <v>6916</v>
      </c>
      <c r="B201" s="5" t="s">
        <v>16</v>
      </c>
      <c r="C201" s="5" t="s">
        <v>905</v>
      </c>
      <c r="D201" s="5" t="s">
        <v>346</v>
      </c>
      <c r="E201" s="5" t="s">
        <v>826</v>
      </c>
      <c r="F201" s="5">
        <v>21</v>
      </c>
      <c r="G201" s="5">
        <v>5.79</v>
      </c>
      <c r="H201" s="5">
        <v>5.69</v>
      </c>
      <c r="I201" s="5">
        <v>0</v>
      </c>
      <c r="J201" s="5">
        <v>0</v>
      </c>
      <c r="K201" s="5">
        <v>0</v>
      </c>
      <c r="L201" s="5">
        <v>0</v>
      </c>
      <c r="M201" s="5">
        <v>0</v>
      </c>
      <c r="N201" s="5">
        <v>0</v>
      </c>
      <c r="O201" s="5">
        <v>0</v>
      </c>
      <c r="P201" s="5">
        <v>2</v>
      </c>
      <c r="Q201" s="5">
        <v>1</v>
      </c>
      <c r="R201" s="5">
        <v>0</v>
      </c>
    </row>
    <row r="202" spans="1:18" ht="15" customHeight="1" x14ac:dyDescent="0.25">
      <c r="A202" s="5">
        <v>7068</v>
      </c>
      <c r="B202" s="5" t="s">
        <v>16</v>
      </c>
      <c r="C202" s="5" t="s">
        <v>896</v>
      </c>
      <c r="D202" s="5" t="s">
        <v>424</v>
      </c>
      <c r="E202" s="5" t="s">
        <v>831</v>
      </c>
      <c r="F202" s="5">
        <v>18</v>
      </c>
      <c r="G202" s="5">
        <v>5.94</v>
      </c>
      <c r="H202" s="5">
        <v>5.86</v>
      </c>
      <c r="I202" s="5">
        <v>0</v>
      </c>
      <c r="J202" s="5">
        <v>0</v>
      </c>
      <c r="K202" s="5">
        <v>0</v>
      </c>
      <c r="L202" s="5">
        <v>0</v>
      </c>
      <c r="M202" s="5">
        <v>0</v>
      </c>
      <c r="N202" s="5">
        <v>0</v>
      </c>
      <c r="O202" s="5">
        <v>0</v>
      </c>
      <c r="P202" s="5">
        <v>3</v>
      </c>
      <c r="Q202" s="5">
        <v>0</v>
      </c>
      <c r="R202" s="5">
        <v>0</v>
      </c>
    </row>
    <row r="203" spans="1:18" ht="15" customHeight="1" x14ac:dyDescent="0.25">
      <c r="A203" s="5">
        <v>612</v>
      </c>
      <c r="B203" s="5" t="s">
        <v>16</v>
      </c>
      <c r="C203" s="5" t="s">
        <v>896</v>
      </c>
      <c r="D203" s="5" t="s">
        <v>934</v>
      </c>
      <c r="E203" s="5" t="s">
        <v>862</v>
      </c>
      <c r="F203" s="5">
        <v>27</v>
      </c>
      <c r="G203" s="5">
        <v>5.72</v>
      </c>
      <c r="H203" s="5">
        <v>5.69</v>
      </c>
      <c r="I203" s="5">
        <v>0</v>
      </c>
      <c r="J203" s="5">
        <v>0</v>
      </c>
      <c r="K203" s="5">
        <v>0</v>
      </c>
      <c r="L203" s="5">
        <v>0</v>
      </c>
      <c r="M203" s="5">
        <v>0</v>
      </c>
      <c r="N203" s="5">
        <v>0</v>
      </c>
      <c r="O203" s="5">
        <v>1</v>
      </c>
      <c r="P203" s="5">
        <v>4</v>
      </c>
      <c r="Q203" s="5">
        <v>0</v>
      </c>
      <c r="R203" s="5">
        <v>0</v>
      </c>
    </row>
    <row r="204" spans="1:18" ht="15" customHeight="1" x14ac:dyDescent="0.25">
      <c r="A204" s="5">
        <v>7130</v>
      </c>
      <c r="B204" s="5" t="s">
        <v>16</v>
      </c>
      <c r="C204" s="5" t="s">
        <v>896</v>
      </c>
      <c r="D204" s="5" t="s">
        <v>935</v>
      </c>
      <c r="E204" s="5" t="s">
        <v>862</v>
      </c>
      <c r="F204" s="5">
        <v>11</v>
      </c>
      <c r="G204" s="5">
        <v>5.77</v>
      </c>
      <c r="H204" s="5">
        <v>6.05</v>
      </c>
      <c r="I204" s="5">
        <v>1</v>
      </c>
      <c r="J204" s="5">
        <v>0</v>
      </c>
      <c r="K204" s="5">
        <v>0</v>
      </c>
      <c r="L204" s="5">
        <v>0</v>
      </c>
      <c r="M204" s="5">
        <v>0</v>
      </c>
      <c r="N204" s="5">
        <v>0</v>
      </c>
      <c r="O204" s="5">
        <v>0</v>
      </c>
      <c r="P204" s="5">
        <v>0</v>
      </c>
      <c r="Q204" s="5">
        <v>0</v>
      </c>
      <c r="R204" s="5">
        <v>0</v>
      </c>
    </row>
    <row r="205" spans="1:18" ht="15" customHeight="1" x14ac:dyDescent="0.25">
      <c r="A205" s="5">
        <v>770</v>
      </c>
      <c r="B205" s="5" t="s">
        <v>16</v>
      </c>
      <c r="C205" s="5" t="s">
        <v>898</v>
      </c>
      <c r="D205" s="5" t="s">
        <v>936</v>
      </c>
      <c r="E205" s="5" t="s">
        <v>862</v>
      </c>
      <c r="F205" s="5">
        <v>31</v>
      </c>
      <c r="G205" s="5">
        <v>5.68</v>
      </c>
      <c r="H205" s="5">
        <v>5.55</v>
      </c>
      <c r="I205" s="5">
        <v>0</v>
      </c>
      <c r="J205" s="5">
        <v>0</v>
      </c>
      <c r="K205" s="5">
        <v>0</v>
      </c>
      <c r="L205" s="5">
        <v>0</v>
      </c>
      <c r="M205" s="5">
        <v>0</v>
      </c>
      <c r="N205" s="5">
        <v>0</v>
      </c>
      <c r="O205" s="5">
        <v>1</v>
      </c>
      <c r="P205" s="5">
        <v>8</v>
      </c>
      <c r="Q205" s="5">
        <v>1</v>
      </c>
      <c r="R205" s="5">
        <v>0</v>
      </c>
    </row>
    <row r="206" spans="1:18" ht="15" customHeight="1" x14ac:dyDescent="0.25">
      <c r="A206" s="5">
        <v>6495</v>
      </c>
      <c r="B206" s="5" t="s">
        <v>16</v>
      </c>
      <c r="C206" s="5" t="s">
        <v>896</v>
      </c>
      <c r="D206" s="5" t="s">
        <v>423</v>
      </c>
      <c r="E206" s="5" t="s">
        <v>829</v>
      </c>
      <c r="F206" s="5">
        <v>24</v>
      </c>
      <c r="G206" s="5">
        <v>5.75</v>
      </c>
      <c r="H206" s="5">
        <v>5.75</v>
      </c>
      <c r="I206" s="5">
        <v>1</v>
      </c>
      <c r="J206" s="5">
        <v>0</v>
      </c>
      <c r="K206" s="5">
        <v>0</v>
      </c>
      <c r="L206" s="5">
        <v>0</v>
      </c>
      <c r="M206" s="5">
        <v>0</v>
      </c>
      <c r="N206" s="5">
        <v>0</v>
      </c>
      <c r="O206" s="5">
        <v>0</v>
      </c>
      <c r="P206" s="5">
        <v>2</v>
      </c>
      <c r="Q206" s="5">
        <v>0</v>
      </c>
      <c r="R206" s="5">
        <v>1</v>
      </c>
    </row>
    <row r="207" spans="1:18" ht="15" customHeight="1" x14ac:dyDescent="0.25">
      <c r="A207" s="5">
        <v>6055</v>
      </c>
      <c r="B207" s="5" t="s">
        <v>16</v>
      </c>
      <c r="C207" s="5" t="s">
        <v>896</v>
      </c>
      <c r="D207" s="5" t="s">
        <v>937</v>
      </c>
      <c r="E207" s="5" t="s">
        <v>828</v>
      </c>
      <c r="F207" s="5">
        <v>0</v>
      </c>
      <c r="G207" s="5">
        <v>0</v>
      </c>
      <c r="H207" s="5">
        <v>0</v>
      </c>
      <c r="I207" s="5">
        <v>0</v>
      </c>
      <c r="J207" s="5">
        <v>0</v>
      </c>
      <c r="K207" s="5">
        <v>0</v>
      </c>
      <c r="L207" s="5">
        <v>0</v>
      </c>
      <c r="M207" s="5">
        <v>0</v>
      </c>
      <c r="N207" s="5">
        <v>0</v>
      </c>
      <c r="O207" s="5">
        <v>0</v>
      </c>
      <c r="P207" s="5">
        <v>0</v>
      </c>
      <c r="Q207" s="5">
        <v>0</v>
      </c>
      <c r="R207" s="5">
        <v>0</v>
      </c>
    </row>
    <row r="208" spans="1:18" ht="15" customHeight="1" x14ac:dyDescent="0.25">
      <c r="A208" s="5">
        <v>256</v>
      </c>
      <c r="B208" s="5" t="s">
        <v>16</v>
      </c>
      <c r="C208" s="5" t="s">
        <v>903</v>
      </c>
      <c r="D208" s="5" t="s">
        <v>938</v>
      </c>
      <c r="E208" s="5" t="s">
        <v>830</v>
      </c>
      <c r="F208" s="5">
        <v>21</v>
      </c>
      <c r="G208" s="5">
        <v>5.86</v>
      </c>
      <c r="H208" s="5">
        <v>5.62</v>
      </c>
      <c r="I208" s="5">
        <v>0</v>
      </c>
      <c r="J208" s="5">
        <v>0</v>
      </c>
      <c r="K208" s="5">
        <v>0</v>
      </c>
      <c r="L208" s="5">
        <v>0</v>
      </c>
      <c r="M208" s="5">
        <v>0</v>
      </c>
      <c r="N208" s="5">
        <v>0</v>
      </c>
      <c r="O208" s="5">
        <v>0</v>
      </c>
      <c r="P208" s="5">
        <v>8</v>
      </c>
      <c r="Q208" s="5">
        <v>1</v>
      </c>
      <c r="R208" s="5">
        <v>0</v>
      </c>
    </row>
    <row r="209" spans="1:18" ht="15" customHeight="1" x14ac:dyDescent="0.25">
      <c r="A209" s="5">
        <v>5481</v>
      </c>
      <c r="B209" s="5" t="s">
        <v>16</v>
      </c>
      <c r="C209" s="5" t="s">
        <v>914</v>
      </c>
      <c r="D209" s="5" t="s">
        <v>561</v>
      </c>
      <c r="E209" s="5" t="s">
        <v>830</v>
      </c>
      <c r="F209" s="5">
        <v>9</v>
      </c>
      <c r="G209" s="5">
        <v>5.94</v>
      </c>
      <c r="H209" s="5">
        <v>5.94</v>
      </c>
      <c r="I209" s="5">
        <v>0</v>
      </c>
      <c r="J209" s="5">
        <v>0</v>
      </c>
      <c r="K209" s="5">
        <v>0</v>
      </c>
      <c r="L209" s="5">
        <v>0</v>
      </c>
      <c r="M209" s="5">
        <v>0</v>
      </c>
      <c r="N209" s="5">
        <v>0</v>
      </c>
      <c r="O209" s="5">
        <v>1</v>
      </c>
      <c r="P209" s="5">
        <v>0</v>
      </c>
      <c r="Q209" s="5">
        <v>1</v>
      </c>
      <c r="R209" s="5">
        <v>0</v>
      </c>
    </row>
    <row r="210" spans="1:18" ht="15" customHeight="1" x14ac:dyDescent="0.25">
      <c r="A210" s="5">
        <v>7020</v>
      </c>
      <c r="B210" s="5" t="s">
        <v>16</v>
      </c>
      <c r="C210" s="5" t="s">
        <v>895</v>
      </c>
      <c r="D210" s="5" t="s">
        <v>939</v>
      </c>
      <c r="E210" s="5" t="s">
        <v>824</v>
      </c>
      <c r="F210" s="5">
        <v>0</v>
      </c>
      <c r="G210" s="5">
        <v>0</v>
      </c>
      <c r="H210" s="5">
        <v>0</v>
      </c>
      <c r="I210" s="5">
        <v>0</v>
      </c>
      <c r="J210" s="5">
        <v>0</v>
      </c>
      <c r="K210" s="5">
        <v>0</v>
      </c>
      <c r="L210" s="5">
        <v>0</v>
      </c>
      <c r="M210" s="5">
        <v>0</v>
      </c>
      <c r="N210" s="5">
        <v>0</v>
      </c>
      <c r="O210" s="5">
        <v>0</v>
      </c>
      <c r="P210" s="5">
        <v>0</v>
      </c>
      <c r="Q210" s="5">
        <v>0</v>
      </c>
      <c r="R210" s="5">
        <v>0</v>
      </c>
    </row>
    <row r="211" spans="1:18" ht="15" customHeight="1" x14ac:dyDescent="0.25">
      <c r="A211" s="5">
        <v>5851</v>
      </c>
      <c r="B211" s="5" t="s">
        <v>16</v>
      </c>
      <c r="C211" s="5" t="s">
        <v>898</v>
      </c>
      <c r="D211" s="5" t="s">
        <v>391</v>
      </c>
      <c r="E211" s="5" t="s">
        <v>839</v>
      </c>
      <c r="F211" s="5">
        <v>27</v>
      </c>
      <c r="G211" s="5">
        <v>5.85</v>
      </c>
      <c r="H211" s="5">
        <v>5.76</v>
      </c>
      <c r="I211" s="5">
        <v>0</v>
      </c>
      <c r="J211" s="5">
        <v>0</v>
      </c>
      <c r="K211" s="5">
        <v>0</v>
      </c>
      <c r="L211" s="5">
        <v>0</v>
      </c>
      <c r="M211" s="5">
        <v>0</v>
      </c>
      <c r="N211" s="5">
        <v>0</v>
      </c>
      <c r="O211" s="5">
        <v>0</v>
      </c>
      <c r="P211" s="5">
        <v>5</v>
      </c>
      <c r="Q211" s="5">
        <v>0</v>
      </c>
      <c r="R211" s="5">
        <v>0</v>
      </c>
    </row>
    <row r="212" spans="1:18" ht="15" customHeight="1" x14ac:dyDescent="0.25">
      <c r="A212" s="5">
        <v>4385</v>
      </c>
      <c r="B212" s="5" t="s">
        <v>16</v>
      </c>
      <c r="C212" s="5" t="s">
        <v>904</v>
      </c>
      <c r="D212" s="5" t="s">
        <v>940</v>
      </c>
      <c r="E212" s="5" t="s">
        <v>843</v>
      </c>
      <c r="F212" s="5">
        <v>30</v>
      </c>
      <c r="G212" s="5">
        <v>5.7</v>
      </c>
      <c r="H212" s="5">
        <v>5.7</v>
      </c>
      <c r="I212" s="5">
        <v>0</v>
      </c>
      <c r="J212" s="5">
        <v>0</v>
      </c>
      <c r="K212" s="5">
        <v>0</v>
      </c>
      <c r="L212" s="5">
        <v>0</v>
      </c>
      <c r="M212" s="5">
        <v>0</v>
      </c>
      <c r="N212" s="5">
        <v>0</v>
      </c>
      <c r="O212" s="5">
        <v>2</v>
      </c>
      <c r="P212" s="5">
        <v>4</v>
      </c>
      <c r="Q212" s="5">
        <v>0</v>
      </c>
      <c r="R212" s="5">
        <v>0</v>
      </c>
    </row>
    <row r="213" spans="1:18" ht="15" customHeight="1" x14ac:dyDescent="0.25">
      <c r="A213" s="5">
        <v>6894</v>
      </c>
      <c r="B213" s="5" t="s">
        <v>16</v>
      </c>
      <c r="C213" s="5" t="s">
        <v>896</v>
      </c>
      <c r="D213" s="5" t="s">
        <v>941</v>
      </c>
      <c r="E213" s="5" t="s">
        <v>864</v>
      </c>
      <c r="F213" s="5">
        <v>17</v>
      </c>
      <c r="G213" s="5">
        <v>5.85</v>
      </c>
      <c r="H213" s="5">
        <v>5.59</v>
      </c>
      <c r="I213" s="5">
        <v>0</v>
      </c>
      <c r="J213" s="5">
        <v>0</v>
      </c>
      <c r="K213" s="5">
        <v>0</v>
      </c>
      <c r="L213" s="5">
        <v>0</v>
      </c>
      <c r="M213" s="5">
        <v>0</v>
      </c>
      <c r="N213" s="5">
        <v>0</v>
      </c>
      <c r="O213" s="5">
        <v>0</v>
      </c>
      <c r="P213" s="5">
        <v>5</v>
      </c>
      <c r="Q213" s="5">
        <v>0</v>
      </c>
      <c r="R213" s="5">
        <v>1</v>
      </c>
    </row>
    <row r="214" spans="1:18" ht="15" customHeight="1" x14ac:dyDescent="0.25">
      <c r="A214" s="5">
        <v>6992</v>
      </c>
      <c r="B214" s="5" t="s">
        <v>16</v>
      </c>
      <c r="C214" s="5" t="s">
        <v>900</v>
      </c>
      <c r="D214" s="5" t="s">
        <v>942</v>
      </c>
      <c r="E214" s="5" t="s">
        <v>864</v>
      </c>
      <c r="F214" s="5">
        <v>10</v>
      </c>
      <c r="G214" s="5">
        <v>5.8</v>
      </c>
      <c r="H214" s="5">
        <v>5.7</v>
      </c>
      <c r="I214" s="5">
        <v>0</v>
      </c>
      <c r="J214" s="5">
        <v>0</v>
      </c>
      <c r="K214" s="5">
        <v>0</v>
      </c>
      <c r="L214" s="5">
        <v>0</v>
      </c>
      <c r="M214" s="5">
        <v>0</v>
      </c>
      <c r="N214" s="5">
        <v>0</v>
      </c>
      <c r="O214" s="5">
        <v>0</v>
      </c>
      <c r="P214" s="5">
        <v>2</v>
      </c>
      <c r="Q214" s="5">
        <v>0</v>
      </c>
      <c r="R214" s="5">
        <v>0</v>
      </c>
    </row>
    <row r="215" spans="1:18" ht="15" customHeight="1" x14ac:dyDescent="0.25">
      <c r="A215" s="5">
        <v>7212</v>
      </c>
      <c r="B215" s="5" t="s">
        <v>16</v>
      </c>
      <c r="C215" s="5" t="s">
        <v>903</v>
      </c>
      <c r="D215" s="5" t="s">
        <v>357</v>
      </c>
      <c r="E215" s="5" t="s">
        <v>831</v>
      </c>
      <c r="F215" s="5">
        <v>25</v>
      </c>
      <c r="G215" s="5">
        <v>5.84</v>
      </c>
      <c r="H215" s="5">
        <v>5.8</v>
      </c>
      <c r="I215" s="5">
        <v>0</v>
      </c>
      <c r="J215" s="5">
        <v>0</v>
      </c>
      <c r="K215" s="5">
        <v>0</v>
      </c>
      <c r="L215" s="5">
        <v>0</v>
      </c>
      <c r="M215" s="5">
        <v>0</v>
      </c>
      <c r="N215" s="5">
        <v>0</v>
      </c>
      <c r="O215" s="5">
        <v>0</v>
      </c>
      <c r="P215" s="5">
        <v>0</v>
      </c>
      <c r="Q215" s="5">
        <v>1</v>
      </c>
      <c r="R215" s="5">
        <v>0</v>
      </c>
    </row>
    <row r="216" spans="1:18" ht="15" customHeight="1" x14ac:dyDescent="0.25">
      <c r="A216" s="5">
        <v>7255</v>
      </c>
      <c r="B216" s="5" t="s">
        <v>16</v>
      </c>
      <c r="C216" s="5" t="s">
        <v>914</v>
      </c>
      <c r="D216" s="5" t="s">
        <v>456</v>
      </c>
      <c r="E216" s="5" t="s">
        <v>838</v>
      </c>
      <c r="F216" s="5">
        <v>28</v>
      </c>
      <c r="G216" s="5">
        <v>5.75</v>
      </c>
      <c r="H216" s="5">
        <v>5.7</v>
      </c>
      <c r="I216" s="5">
        <v>0</v>
      </c>
      <c r="J216" s="5">
        <v>0</v>
      </c>
      <c r="K216" s="5">
        <v>0</v>
      </c>
      <c r="L216" s="5">
        <v>0</v>
      </c>
      <c r="M216" s="5">
        <v>0</v>
      </c>
      <c r="N216" s="5">
        <v>0</v>
      </c>
      <c r="O216" s="5">
        <v>2</v>
      </c>
      <c r="P216" s="5">
        <v>5</v>
      </c>
      <c r="Q216" s="5">
        <v>1</v>
      </c>
      <c r="R216" s="5">
        <v>0</v>
      </c>
    </row>
    <row r="217" spans="1:18" ht="15" customHeight="1" x14ac:dyDescent="0.25">
      <c r="A217" s="5">
        <v>7268</v>
      </c>
      <c r="B217" s="5" t="s">
        <v>16</v>
      </c>
      <c r="C217" s="5" t="s">
        <v>903</v>
      </c>
      <c r="D217" s="5" t="s">
        <v>454</v>
      </c>
      <c r="E217" s="5" t="s">
        <v>832</v>
      </c>
      <c r="F217" s="5">
        <v>16</v>
      </c>
      <c r="G217" s="5">
        <v>5.62</v>
      </c>
      <c r="H217" s="5">
        <v>5.72</v>
      </c>
      <c r="I217" s="5">
        <v>1</v>
      </c>
      <c r="J217" s="5">
        <v>0</v>
      </c>
      <c r="K217" s="5">
        <v>0</v>
      </c>
      <c r="L217" s="5">
        <v>0</v>
      </c>
      <c r="M217" s="5">
        <v>0</v>
      </c>
      <c r="N217" s="5">
        <v>0</v>
      </c>
      <c r="O217" s="5">
        <v>0</v>
      </c>
      <c r="P217" s="5">
        <v>3</v>
      </c>
      <c r="Q217" s="5">
        <v>0</v>
      </c>
      <c r="R217" s="5">
        <v>0</v>
      </c>
    </row>
    <row r="218" spans="1:18" ht="15" customHeight="1" x14ac:dyDescent="0.25">
      <c r="A218" s="5">
        <v>6665</v>
      </c>
      <c r="B218" s="5" t="s">
        <v>16</v>
      </c>
      <c r="C218" s="5" t="s">
        <v>914</v>
      </c>
      <c r="D218" s="5" t="s">
        <v>943</v>
      </c>
      <c r="E218" s="5" t="s">
        <v>839</v>
      </c>
      <c r="F218" s="5">
        <v>18</v>
      </c>
      <c r="G218" s="5">
        <v>5.69</v>
      </c>
      <c r="H218" s="5">
        <v>5.64</v>
      </c>
      <c r="I218" s="5">
        <v>0</v>
      </c>
      <c r="J218" s="5">
        <v>0</v>
      </c>
      <c r="K218" s="5">
        <v>0</v>
      </c>
      <c r="L218" s="5">
        <v>0</v>
      </c>
      <c r="M218" s="5">
        <v>0</v>
      </c>
      <c r="N218" s="5">
        <v>0</v>
      </c>
      <c r="O218" s="5">
        <v>0</v>
      </c>
      <c r="P218" s="5">
        <v>2</v>
      </c>
      <c r="Q218" s="5">
        <v>0</v>
      </c>
      <c r="R218" s="5">
        <v>0</v>
      </c>
    </row>
    <row r="219" spans="1:18" ht="15" customHeight="1" x14ac:dyDescent="0.25">
      <c r="A219" s="5">
        <v>4982</v>
      </c>
      <c r="B219" s="5" t="s">
        <v>16</v>
      </c>
      <c r="C219" s="5" t="s">
        <v>896</v>
      </c>
      <c r="D219" s="5" t="s">
        <v>944</v>
      </c>
      <c r="E219" s="5" t="s">
        <v>831</v>
      </c>
      <c r="F219" s="5">
        <v>0</v>
      </c>
      <c r="G219" s="5">
        <v>0</v>
      </c>
      <c r="H219" s="5">
        <v>0</v>
      </c>
      <c r="I219" s="5">
        <v>0</v>
      </c>
      <c r="J219" s="5">
        <v>0</v>
      </c>
      <c r="K219" s="5">
        <v>0</v>
      </c>
      <c r="L219" s="5">
        <v>0</v>
      </c>
      <c r="M219" s="5">
        <v>0</v>
      </c>
      <c r="N219" s="5">
        <v>0</v>
      </c>
      <c r="O219" s="5">
        <v>0</v>
      </c>
      <c r="P219" s="5">
        <v>0</v>
      </c>
      <c r="Q219" s="5">
        <v>0</v>
      </c>
      <c r="R219" s="5">
        <v>0</v>
      </c>
    </row>
    <row r="220" spans="1:18" ht="15" customHeight="1" x14ac:dyDescent="0.25">
      <c r="A220" s="5">
        <v>487</v>
      </c>
      <c r="B220" s="5" t="s">
        <v>16</v>
      </c>
      <c r="C220" s="5" t="s">
        <v>904</v>
      </c>
      <c r="D220" s="5" t="s">
        <v>543</v>
      </c>
      <c r="E220" s="5" t="s">
        <v>831</v>
      </c>
      <c r="F220" s="5">
        <v>10</v>
      </c>
      <c r="G220" s="5">
        <v>6.05</v>
      </c>
      <c r="H220" s="5">
        <v>5.95</v>
      </c>
      <c r="I220" s="5">
        <v>0</v>
      </c>
      <c r="J220" s="5">
        <v>0</v>
      </c>
      <c r="K220" s="5">
        <v>0</v>
      </c>
      <c r="L220" s="5">
        <v>0</v>
      </c>
      <c r="M220" s="5">
        <v>0</v>
      </c>
      <c r="N220" s="5">
        <v>0</v>
      </c>
      <c r="O220" s="5">
        <v>0</v>
      </c>
      <c r="P220" s="5">
        <v>2</v>
      </c>
      <c r="Q220" s="5">
        <v>0</v>
      </c>
      <c r="R220" s="5">
        <v>0</v>
      </c>
    </row>
    <row r="221" spans="1:18" ht="15" customHeight="1" x14ac:dyDescent="0.25">
      <c r="A221" s="5">
        <v>6231</v>
      </c>
      <c r="B221" s="5" t="s">
        <v>16</v>
      </c>
      <c r="C221" s="5" t="s">
        <v>898</v>
      </c>
      <c r="D221" s="5" t="s">
        <v>945</v>
      </c>
      <c r="E221" s="5" t="s">
        <v>862</v>
      </c>
      <c r="F221" s="5">
        <v>0</v>
      </c>
      <c r="G221" s="5">
        <v>0</v>
      </c>
      <c r="H221" s="5">
        <v>0</v>
      </c>
      <c r="I221" s="5">
        <v>0</v>
      </c>
      <c r="J221" s="5">
        <v>0</v>
      </c>
      <c r="K221" s="5">
        <v>0</v>
      </c>
      <c r="L221" s="5">
        <v>0</v>
      </c>
      <c r="M221" s="5">
        <v>0</v>
      </c>
      <c r="N221" s="5">
        <v>0</v>
      </c>
      <c r="O221" s="5">
        <v>0</v>
      </c>
      <c r="P221" s="5">
        <v>0</v>
      </c>
      <c r="Q221" s="5">
        <v>0</v>
      </c>
      <c r="R221" s="5">
        <v>0</v>
      </c>
    </row>
    <row r="222" spans="1:18" ht="15" customHeight="1" x14ac:dyDescent="0.25">
      <c r="A222" s="5">
        <v>6245</v>
      </c>
      <c r="B222" s="5" t="s">
        <v>16</v>
      </c>
      <c r="C222" s="5" t="s">
        <v>899</v>
      </c>
      <c r="D222" s="5" t="s">
        <v>573</v>
      </c>
      <c r="E222" s="5" t="s">
        <v>836</v>
      </c>
      <c r="F222" s="5">
        <v>0</v>
      </c>
      <c r="G222" s="5">
        <v>0</v>
      </c>
      <c r="H222" s="5">
        <v>0</v>
      </c>
      <c r="I222" s="5">
        <v>0</v>
      </c>
      <c r="J222" s="5">
        <v>0</v>
      </c>
      <c r="K222" s="5">
        <v>0</v>
      </c>
      <c r="L222" s="5">
        <v>0</v>
      </c>
      <c r="M222" s="5">
        <v>0</v>
      </c>
      <c r="N222" s="5">
        <v>0</v>
      </c>
      <c r="O222" s="5">
        <v>0</v>
      </c>
      <c r="P222" s="5">
        <v>0</v>
      </c>
      <c r="Q222" s="5">
        <v>0</v>
      </c>
      <c r="R222" s="5">
        <v>0</v>
      </c>
    </row>
    <row r="223" spans="1:18" ht="15" customHeight="1" x14ac:dyDescent="0.25">
      <c r="A223" s="5">
        <v>791</v>
      </c>
      <c r="B223" s="5" t="s">
        <v>16</v>
      </c>
      <c r="C223" s="5" t="s">
        <v>914</v>
      </c>
      <c r="D223" s="5" t="s">
        <v>523</v>
      </c>
      <c r="E223" s="5" t="s">
        <v>836</v>
      </c>
      <c r="F223" s="5">
        <v>13</v>
      </c>
      <c r="G223" s="5">
        <v>5.81</v>
      </c>
      <c r="H223" s="5">
        <v>5.65</v>
      </c>
      <c r="I223" s="5">
        <v>0</v>
      </c>
      <c r="J223" s="5">
        <v>0</v>
      </c>
      <c r="K223" s="5">
        <v>0</v>
      </c>
      <c r="L223" s="5">
        <v>0</v>
      </c>
      <c r="M223" s="5">
        <v>0</v>
      </c>
      <c r="N223" s="5">
        <v>0</v>
      </c>
      <c r="O223" s="5">
        <v>0</v>
      </c>
      <c r="P223" s="5">
        <v>0</v>
      </c>
      <c r="Q223" s="5">
        <v>0</v>
      </c>
      <c r="R223" s="5">
        <v>1</v>
      </c>
    </row>
    <row r="224" spans="1:18" ht="15" customHeight="1" x14ac:dyDescent="0.25">
      <c r="A224" s="5">
        <v>322</v>
      </c>
      <c r="B224" s="5" t="s">
        <v>16</v>
      </c>
      <c r="C224" s="5" t="s">
        <v>896</v>
      </c>
      <c r="D224" s="5" t="s">
        <v>946</v>
      </c>
      <c r="E224" s="5" t="s">
        <v>825</v>
      </c>
      <c r="F224" s="5">
        <v>8</v>
      </c>
      <c r="G224" s="5">
        <v>6.12</v>
      </c>
      <c r="H224" s="5">
        <v>6.06</v>
      </c>
      <c r="I224" s="5">
        <v>0</v>
      </c>
      <c r="J224" s="5">
        <v>0</v>
      </c>
      <c r="K224" s="5">
        <v>0</v>
      </c>
      <c r="L224" s="5">
        <v>0</v>
      </c>
      <c r="M224" s="5">
        <v>0</v>
      </c>
      <c r="N224" s="5">
        <v>0</v>
      </c>
      <c r="O224" s="5">
        <v>0</v>
      </c>
      <c r="P224" s="5">
        <v>1</v>
      </c>
      <c r="Q224" s="5">
        <v>0</v>
      </c>
      <c r="R224" s="5">
        <v>0</v>
      </c>
    </row>
    <row r="225" spans="1:18" ht="15" customHeight="1" x14ac:dyDescent="0.25">
      <c r="A225" s="5">
        <v>2525</v>
      </c>
      <c r="B225" s="5" t="s">
        <v>16</v>
      </c>
      <c r="C225" s="5" t="s">
        <v>900</v>
      </c>
      <c r="D225" s="5" t="s">
        <v>947</v>
      </c>
      <c r="E225" s="5" t="s">
        <v>825</v>
      </c>
      <c r="F225" s="5">
        <v>5</v>
      </c>
      <c r="G225" s="5">
        <v>6</v>
      </c>
      <c r="H225" s="5">
        <v>6</v>
      </c>
      <c r="I225" s="5">
        <v>0</v>
      </c>
      <c r="J225" s="5">
        <v>0</v>
      </c>
      <c r="K225" s="5">
        <v>0</v>
      </c>
      <c r="L225" s="5">
        <v>0</v>
      </c>
      <c r="M225" s="5">
        <v>0</v>
      </c>
      <c r="N225" s="5">
        <v>0</v>
      </c>
      <c r="O225" s="5">
        <v>0</v>
      </c>
      <c r="P225" s="5">
        <v>0</v>
      </c>
      <c r="Q225" s="5">
        <v>0</v>
      </c>
      <c r="R225" s="5">
        <v>0</v>
      </c>
    </row>
    <row r="226" spans="1:18" ht="15" customHeight="1" x14ac:dyDescent="0.25">
      <c r="A226" s="5">
        <v>6802</v>
      </c>
      <c r="B226" s="5" t="s">
        <v>16</v>
      </c>
      <c r="C226" s="5" t="s">
        <v>900</v>
      </c>
      <c r="D226" s="5" t="s">
        <v>948</v>
      </c>
      <c r="E226" s="5" t="s">
        <v>833</v>
      </c>
      <c r="F226" s="5">
        <v>0</v>
      </c>
      <c r="G226" s="5">
        <v>0</v>
      </c>
      <c r="H226" s="5">
        <v>0</v>
      </c>
      <c r="I226" s="5">
        <v>0</v>
      </c>
      <c r="J226" s="5">
        <v>0</v>
      </c>
      <c r="K226" s="5">
        <v>0</v>
      </c>
      <c r="L226" s="5">
        <v>0</v>
      </c>
      <c r="M226" s="5">
        <v>0</v>
      </c>
      <c r="N226" s="5">
        <v>0</v>
      </c>
      <c r="O226" s="5">
        <v>0</v>
      </c>
      <c r="P226" s="5">
        <v>0</v>
      </c>
      <c r="Q226" s="5">
        <v>0</v>
      </c>
      <c r="R226" s="5">
        <v>0</v>
      </c>
    </row>
    <row r="227" spans="1:18" ht="15" customHeight="1" x14ac:dyDescent="0.25">
      <c r="A227" s="5">
        <v>327</v>
      </c>
      <c r="B227" s="5" t="s">
        <v>16</v>
      </c>
      <c r="C227" s="5" t="s">
        <v>899</v>
      </c>
      <c r="D227" s="5" t="s">
        <v>545</v>
      </c>
      <c r="E227" s="5" t="s">
        <v>834</v>
      </c>
      <c r="F227" s="5">
        <v>10</v>
      </c>
      <c r="G227" s="5">
        <v>5.85</v>
      </c>
      <c r="H227" s="5">
        <v>5.75</v>
      </c>
      <c r="I227" s="5">
        <v>0</v>
      </c>
      <c r="J227" s="5">
        <v>0</v>
      </c>
      <c r="K227" s="5">
        <v>0</v>
      </c>
      <c r="L227" s="5">
        <v>0</v>
      </c>
      <c r="M227" s="5">
        <v>0</v>
      </c>
      <c r="N227" s="5">
        <v>0</v>
      </c>
      <c r="O227" s="5">
        <v>0</v>
      </c>
      <c r="P227" s="5">
        <v>2</v>
      </c>
      <c r="Q227" s="5">
        <v>0</v>
      </c>
      <c r="R227" s="5">
        <v>0</v>
      </c>
    </row>
    <row r="228" spans="1:18" ht="15" customHeight="1" x14ac:dyDescent="0.25">
      <c r="A228" s="5">
        <v>2263</v>
      </c>
      <c r="B228" s="5" t="s">
        <v>16</v>
      </c>
      <c r="C228" s="5" t="s">
        <v>904</v>
      </c>
      <c r="D228" s="5" t="s">
        <v>488</v>
      </c>
      <c r="E228" s="5" t="s">
        <v>834</v>
      </c>
      <c r="F228" s="5">
        <v>17</v>
      </c>
      <c r="G228" s="5">
        <v>5.79</v>
      </c>
      <c r="H228" s="5">
        <v>5.74</v>
      </c>
      <c r="I228" s="5">
        <v>0</v>
      </c>
      <c r="J228" s="5">
        <v>0</v>
      </c>
      <c r="K228" s="5">
        <v>0</v>
      </c>
      <c r="L228" s="5">
        <v>0</v>
      </c>
      <c r="M228" s="5">
        <v>0</v>
      </c>
      <c r="N228" s="5">
        <v>0</v>
      </c>
      <c r="O228" s="5">
        <v>0</v>
      </c>
      <c r="P228" s="5">
        <v>2</v>
      </c>
      <c r="Q228" s="5">
        <v>0</v>
      </c>
      <c r="R228" s="5">
        <v>0</v>
      </c>
    </row>
    <row r="229" spans="1:18" ht="15" customHeight="1" x14ac:dyDescent="0.25">
      <c r="A229" s="5">
        <v>6809</v>
      </c>
      <c r="B229" s="5" t="s">
        <v>16</v>
      </c>
      <c r="C229" s="5" t="s">
        <v>896</v>
      </c>
      <c r="D229" s="5" t="s">
        <v>527</v>
      </c>
      <c r="E229" s="5" t="s">
        <v>843</v>
      </c>
      <c r="F229" s="5">
        <v>11</v>
      </c>
      <c r="G229" s="5">
        <v>5.73</v>
      </c>
      <c r="H229" s="5">
        <v>5.73</v>
      </c>
      <c r="I229" s="5">
        <v>0</v>
      </c>
      <c r="J229" s="5">
        <v>0</v>
      </c>
      <c r="K229" s="5">
        <v>0</v>
      </c>
      <c r="L229" s="5">
        <v>0</v>
      </c>
      <c r="M229" s="5">
        <v>0</v>
      </c>
      <c r="N229" s="5">
        <v>0</v>
      </c>
      <c r="O229" s="5">
        <v>1</v>
      </c>
      <c r="P229" s="5">
        <v>2</v>
      </c>
      <c r="Q229" s="5">
        <v>0</v>
      </c>
      <c r="R229" s="5">
        <v>0</v>
      </c>
    </row>
    <row r="230" spans="1:18" ht="15" customHeight="1" x14ac:dyDescent="0.25">
      <c r="A230" s="5">
        <v>5353</v>
      </c>
      <c r="B230" s="5" t="s">
        <v>16</v>
      </c>
      <c r="C230" s="5" t="s">
        <v>896</v>
      </c>
      <c r="D230" s="5" t="s">
        <v>949</v>
      </c>
      <c r="E230" s="5" t="s">
        <v>838</v>
      </c>
      <c r="F230" s="5">
        <v>0</v>
      </c>
      <c r="G230" s="5">
        <v>0</v>
      </c>
      <c r="H230" s="5">
        <v>0</v>
      </c>
      <c r="I230" s="5">
        <v>0</v>
      </c>
      <c r="J230" s="5">
        <v>0</v>
      </c>
      <c r="K230" s="5">
        <v>0</v>
      </c>
      <c r="L230" s="5">
        <v>0</v>
      </c>
      <c r="M230" s="5">
        <v>0</v>
      </c>
      <c r="N230" s="5">
        <v>0</v>
      </c>
      <c r="O230" s="5">
        <v>0</v>
      </c>
      <c r="P230" s="5">
        <v>0</v>
      </c>
      <c r="Q230" s="5">
        <v>0</v>
      </c>
      <c r="R230" s="5">
        <v>0</v>
      </c>
    </row>
    <row r="231" spans="1:18" ht="15" customHeight="1" x14ac:dyDescent="0.25">
      <c r="A231" s="5">
        <v>2745</v>
      </c>
      <c r="B231" s="5" t="s">
        <v>16</v>
      </c>
      <c r="C231" s="5" t="s">
        <v>900</v>
      </c>
      <c r="D231" s="5" t="s">
        <v>950</v>
      </c>
      <c r="E231" s="5" t="s">
        <v>867</v>
      </c>
      <c r="F231" s="5">
        <v>25</v>
      </c>
      <c r="G231" s="5">
        <v>5.74</v>
      </c>
      <c r="H231" s="5">
        <v>5.58</v>
      </c>
      <c r="I231" s="5">
        <v>0</v>
      </c>
      <c r="J231" s="5">
        <v>0</v>
      </c>
      <c r="K231" s="5">
        <v>0</v>
      </c>
      <c r="L231" s="5">
        <v>0</v>
      </c>
      <c r="M231" s="5">
        <v>0</v>
      </c>
      <c r="N231" s="5">
        <v>0</v>
      </c>
      <c r="O231" s="5">
        <v>0</v>
      </c>
      <c r="P231" s="5">
        <v>8</v>
      </c>
      <c r="Q231" s="5">
        <v>0</v>
      </c>
      <c r="R231" s="5">
        <v>0</v>
      </c>
    </row>
    <row r="232" spans="1:18" ht="15" customHeight="1" x14ac:dyDescent="0.25">
      <c r="A232" s="5">
        <v>6533</v>
      </c>
      <c r="B232" s="5" t="s">
        <v>16</v>
      </c>
      <c r="C232" s="5" t="s">
        <v>896</v>
      </c>
      <c r="D232" s="5" t="s">
        <v>951</v>
      </c>
      <c r="E232" s="5" t="s">
        <v>835</v>
      </c>
      <c r="F232" s="5">
        <v>0</v>
      </c>
      <c r="G232" s="5">
        <v>0</v>
      </c>
      <c r="H232" s="5">
        <v>0</v>
      </c>
      <c r="I232" s="5">
        <v>0</v>
      </c>
      <c r="J232" s="5">
        <v>0</v>
      </c>
      <c r="K232" s="5">
        <v>0</v>
      </c>
      <c r="L232" s="5">
        <v>0</v>
      </c>
      <c r="M232" s="5">
        <v>0</v>
      </c>
      <c r="N232" s="5">
        <v>0</v>
      </c>
      <c r="O232" s="5">
        <v>0</v>
      </c>
      <c r="P232" s="5">
        <v>0</v>
      </c>
      <c r="Q232" s="5">
        <v>0</v>
      </c>
      <c r="R232" s="5">
        <v>0</v>
      </c>
    </row>
    <row r="233" spans="1:18" ht="15" customHeight="1" x14ac:dyDescent="0.25">
      <c r="A233" s="5">
        <v>6211</v>
      </c>
      <c r="B233" s="5" t="s">
        <v>16</v>
      </c>
      <c r="C233" s="5" t="s">
        <v>898</v>
      </c>
      <c r="D233" s="5" t="s">
        <v>952</v>
      </c>
      <c r="E233" s="5" t="s">
        <v>835</v>
      </c>
      <c r="F233" s="5">
        <v>15</v>
      </c>
      <c r="G233" s="5">
        <v>5.87</v>
      </c>
      <c r="H233" s="5">
        <v>5.77</v>
      </c>
      <c r="I233" s="5">
        <v>0</v>
      </c>
      <c r="J233" s="5">
        <v>0</v>
      </c>
      <c r="K233" s="5">
        <v>0</v>
      </c>
      <c r="L233" s="5">
        <v>0</v>
      </c>
      <c r="M233" s="5">
        <v>0</v>
      </c>
      <c r="N233" s="5">
        <v>0</v>
      </c>
      <c r="O233" s="5">
        <v>0</v>
      </c>
      <c r="P233" s="5">
        <v>3</v>
      </c>
      <c r="Q233" s="5">
        <v>0</v>
      </c>
      <c r="R233" s="5">
        <v>0</v>
      </c>
    </row>
    <row r="234" spans="1:18" ht="15" customHeight="1" x14ac:dyDescent="0.25">
      <c r="A234" s="5">
        <v>6957</v>
      </c>
      <c r="B234" s="5" t="s">
        <v>16</v>
      </c>
      <c r="C234" s="5" t="s">
        <v>896</v>
      </c>
      <c r="D234" s="5" t="s">
        <v>953</v>
      </c>
      <c r="E234" s="5" t="s">
        <v>864</v>
      </c>
      <c r="F234" s="5">
        <v>19</v>
      </c>
      <c r="G234" s="5">
        <v>5.79</v>
      </c>
      <c r="H234" s="5">
        <v>5.58</v>
      </c>
      <c r="I234" s="5">
        <v>0</v>
      </c>
      <c r="J234" s="5">
        <v>0</v>
      </c>
      <c r="K234" s="5">
        <v>0</v>
      </c>
      <c r="L234" s="5">
        <v>0</v>
      </c>
      <c r="M234" s="5">
        <v>0</v>
      </c>
      <c r="N234" s="5">
        <v>0</v>
      </c>
      <c r="O234" s="5">
        <v>0</v>
      </c>
      <c r="P234" s="5">
        <v>6</v>
      </c>
      <c r="Q234" s="5">
        <v>1</v>
      </c>
      <c r="R234" s="5">
        <v>0</v>
      </c>
    </row>
    <row r="235" spans="1:18" ht="15" customHeight="1" x14ac:dyDescent="0.25">
      <c r="A235" s="5">
        <v>7253</v>
      </c>
      <c r="B235" s="5" t="s">
        <v>16</v>
      </c>
      <c r="C235" s="5" t="s">
        <v>896</v>
      </c>
      <c r="D235" s="5" t="s">
        <v>385</v>
      </c>
      <c r="E235" s="5" t="s">
        <v>864</v>
      </c>
      <c r="F235" s="5">
        <v>18</v>
      </c>
      <c r="G235" s="5">
        <v>5.83</v>
      </c>
      <c r="H235" s="5">
        <v>5.75</v>
      </c>
      <c r="I235" s="5">
        <v>0</v>
      </c>
      <c r="J235" s="5">
        <v>0</v>
      </c>
      <c r="K235" s="5">
        <v>0</v>
      </c>
      <c r="L235" s="5">
        <v>0</v>
      </c>
      <c r="M235" s="5">
        <v>0</v>
      </c>
      <c r="N235" s="5">
        <v>0</v>
      </c>
      <c r="O235" s="5">
        <v>0</v>
      </c>
      <c r="P235" s="5">
        <v>3</v>
      </c>
      <c r="Q235" s="5">
        <v>0</v>
      </c>
      <c r="R235" s="5">
        <v>0</v>
      </c>
    </row>
    <row r="236" spans="1:18" ht="15" customHeight="1" x14ac:dyDescent="0.25">
      <c r="A236" s="5">
        <v>5168</v>
      </c>
      <c r="B236" s="5" t="s">
        <v>16</v>
      </c>
      <c r="C236" s="5" t="s">
        <v>898</v>
      </c>
      <c r="D236" s="5" t="s">
        <v>954</v>
      </c>
      <c r="E236" s="5" t="s">
        <v>824</v>
      </c>
      <c r="F236" s="5">
        <v>13</v>
      </c>
      <c r="G236" s="5">
        <v>5.73</v>
      </c>
      <c r="H236" s="5">
        <v>5.69</v>
      </c>
      <c r="I236" s="5">
        <v>0</v>
      </c>
      <c r="J236" s="5">
        <v>0</v>
      </c>
      <c r="K236" s="5">
        <v>0</v>
      </c>
      <c r="L236" s="5">
        <v>0</v>
      </c>
      <c r="M236" s="5">
        <v>0</v>
      </c>
      <c r="N236" s="5">
        <v>0</v>
      </c>
      <c r="O236" s="5">
        <v>0</v>
      </c>
      <c r="P236" s="5">
        <v>1</v>
      </c>
      <c r="Q236" s="5">
        <v>0</v>
      </c>
      <c r="R236" s="5">
        <v>0</v>
      </c>
    </row>
    <row r="237" spans="1:18" ht="15" customHeight="1" x14ac:dyDescent="0.25">
      <c r="A237" s="5">
        <v>7335</v>
      </c>
      <c r="B237" s="5" t="s">
        <v>16</v>
      </c>
      <c r="C237" s="5" t="s">
        <v>896</v>
      </c>
      <c r="D237" s="5" t="s">
        <v>955</v>
      </c>
      <c r="E237" s="5" t="s">
        <v>836</v>
      </c>
      <c r="F237" s="5">
        <v>2</v>
      </c>
      <c r="G237" s="5">
        <v>6</v>
      </c>
      <c r="H237" s="5">
        <v>6</v>
      </c>
      <c r="I237" s="5">
        <v>0</v>
      </c>
      <c r="J237" s="5">
        <v>0</v>
      </c>
      <c r="K237" s="5">
        <v>0</v>
      </c>
      <c r="L237" s="5">
        <v>0</v>
      </c>
      <c r="M237" s="5">
        <v>0</v>
      </c>
      <c r="N237" s="5">
        <v>0</v>
      </c>
      <c r="O237" s="5">
        <v>0</v>
      </c>
      <c r="P237" s="5">
        <v>0</v>
      </c>
      <c r="Q237" s="5">
        <v>0</v>
      </c>
      <c r="R237" s="5">
        <v>0</v>
      </c>
    </row>
    <row r="238" spans="1:18" ht="15" customHeight="1" x14ac:dyDescent="0.25">
      <c r="A238" s="5">
        <v>6149</v>
      </c>
      <c r="B238" s="5" t="s">
        <v>16</v>
      </c>
      <c r="C238" s="5" t="s">
        <v>898</v>
      </c>
      <c r="D238" s="5" t="s">
        <v>562</v>
      </c>
      <c r="E238" s="5" t="s">
        <v>838</v>
      </c>
      <c r="F238" s="5">
        <v>2</v>
      </c>
      <c r="G238" s="5">
        <v>6</v>
      </c>
      <c r="H238" s="5">
        <v>6</v>
      </c>
      <c r="I238" s="5">
        <v>0</v>
      </c>
      <c r="J238" s="5">
        <v>0</v>
      </c>
      <c r="K238" s="5">
        <v>0</v>
      </c>
      <c r="L238" s="5">
        <v>0</v>
      </c>
      <c r="M238" s="5">
        <v>0</v>
      </c>
      <c r="N238" s="5">
        <v>0</v>
      </c>
      <c r="O238" s="5">
        <v>0</v>
      </c>
      <c r="P238" s="5">
        <v>0</v>
      </c>
      <c r="Q238" s="5">
        <v>0</v>
      </c>
      <c r="R238" s="5">
        <v>0</v>
      </c>
    </row>
    <row r="239" spans="1:18" ht="15" customHeight="1" x14ac:dyDescent="0.25">
      <c r="A239" s="5">
        <v>7353</v>
      </c>
      <c r="B239" s="5" t="s">
        <v>16</v>
      </c>
      <c r="C239" s="5" t="s">
        <v>896</v>
      </c>
      <c r="D239" s="5" t="s">
        <v>956</v>
      </c>
      <c r="E239" s="5" t="s">
        <v>839</v>
      </c>
      <c r="F239" s="5">
        <v>2</v>
      </c>
      <c r="G239" s="5">
        <v>5.75</v>
      </c>
      <c r="H239" s="5">
        <v>6.25</v>
      </c>
      <c r="I239" s="5">
        <v>0</v>
      </c>
      <c r="J239" s="5">
        <v>0</v>
      </c>
      <c r="K239" s="5">
        <v>0</v>
      </c>
      <c r="L239" s="5">
        <v>0</v>
      </c>
      <c r="M239" s="5">
        <v>0</v>
      </c>
      <c r="N239" s="5">
        <v>0</v>
      </c>
      <c r="O239" s="5">
        <v>1</v>
      </c>
      <c r="P239" s="5">
        <v>0</v>
      </c>
      <c r="Q239" s="5">
        <v>0</v>
      </c>
      <c r="R239" s="5">
        <v>0</v>
      </c>
    </row>
    <row r="240" spans="1:18" ht="15" customHeight="1" x14ac:dyDescent="0.25">
      <c r="A240" s="5">
        <v>6444</v>
      </c>
      <c r="B240" s="5" t="s">
        <v>16</v>
      </c>
      <c r="C240" s="5" t="s">
        <v>896</v>
      </c>
      <c r="D240" s="5" t="s">
        <v>957</v>
      </c>
      <c r="E240" s="5" t="s">
        <v>867</v>
      </c>
      <c r="F240" s="5">
        <v>9</v>
      </c>
      <c r="G240" s="5">
        <v>5.61</v>
      </c>
      <c r="H240" s="5">
        <v>5.56</v>
      </c>
      <c r="I240" s="5">
        <v>0</v>
      </c>
      <c r="J240" s="5">
        <v>0</v>
      </c>
      <c r="K240" s="5">
        <v>0</v>
      </c>
      <c r="L240" s="5">
        <v>0</v>
      </c>
      <c r="M240" s="5">
        <v>0</v>
      </c>
      <c r="N240" s="5">
        <v>0</v>
      </c>
      <c r="O240" s="5">
        <v>0</v>
      </c>
      <c r="P240" s="5">
        <v>1</v>
      </c>
      <c r="Q240" s="5">
        <v>0</v>
      </c>
      <c r="R240" s="5">
        <v>0</v>
      </c>
    </row>
    <row r="241" spans="1:18" ht="15" customHeight="1" x14ac:dyDescent="0.25">
      <c r="A241" s="5">
        <v>2653</v>
      </c>
      <c r="B241" s="5" t="s">
        <v>16</v>
      </c>
      <c r="C241" s="5" t="s">
        <v>898</v>
      </c>
      <c r="D241" s="5" t="s">
        <v>958</v>
      </c>
      <c r="E241" s="5" t="s">
        <v>831</v>
      </c>
      <c r="F241" s="5">
        <v>8</v>
      </c>
      <c r="G241" s="5">
        <v>5.62</v>
      </c>
      <c r="H241" s="5">
        <v>5.56</v>
      </c>
      <c r="I241" s="5">
        <v>0</v>
      </c>
      <c r="J241" s="5">
        <v>0</v>
      </c>
      <c r="K241" s="5">
        <v>0</v>
      </c>
      <c r="L241" s="5">
        <v>0</v>
      </c>
      <c r="M241" s="5">
        <v>0</v>
      </c>
      <c r="N241" s="5">
        <v>0</v>
      </c>
      <c r="O241" s="5">
        <v>1</v>
      </c>
      <c r="P241" s="5">
        <v>3</v>
      </c>
      <c r="Q241" s="5">
        <v>0</v>
      </c>
      <c r="R241" s="5">
        <v>0</v>
      </c>
    </row>
    <row r="242" spans="1:18" ht="15" customHeight="1" x14ac:dyDescent="0.25">
      <c r="A242" s="5">
        <v>5406</v>
      </c>
      <c r="B242" s="5" t="s">
        <v>16</v>
      </c>
      <c r="C242" s="5" t="s">
        <v>904</v>
      </c>
      <c r="D242" s="5" t="s">
        <v>959</v>
      </c>
      <c r="E242" s="5" t="s">
        <v>832</v>
      </c>
      <c r="F242" s="5">
        <v>1</v>
      </c>
      <c r="G242" s="5">
        <v>5.5</v>
      </c>
      <c r="H242" s="5">
        <v>5.5</v>
      </c>
      <c r="I242" s="5">
        <v>0</v>
      </c>
      <c r="J242" s="5">
        <v>0</v>
      </c>
      <c r="K242" s="5">
        <v>0</v>
      </c>
      <c r="L242" s="5">
        <v>0</v>
      </c>
      <c r="M242" s="5">
        <v>0</v>
      </c>
      <c r="N242" s="5">
        <v>0</v>
      </c>
      <c r="O242" s="5">
        <v>0</v>
      </c>
      <c r="P242" s="5">
        <v>0</v>
      </c>
      <c r="Q242" s="5">
        <v>0</v>
      </c>
      <c r="R242" s="5">
        <v>0</v>
      </c>
    </row>
    <row r="243" spans="1:18" ht="15" customHeight="1" x14ac:dyDescent="0.25">
      <c r="A243" s="5">
        <v>6944</v>
      </c>
      <c r="B243" s="5" t="s">
        <v>16</v>
      </c>
      <c r="C243" s="5" t="s">
        <v>903</v>
      </c>
      <c r="D243" s="5" t="s">
        <v>960</v>
      </c>
      <c r="E243" s="5" t="s">
        <v>827</v>
      </c>
      <c r="F243" s="5">
        <v>0</v>
      </c>
      <c r="G243" s="5">
        <v>0</v>
      </c>
      <c r="H243" s="5">
        <v>0</v>
      </c>
      <c r="I243" s="5">
        <v>0</v>
      </c>
      <c r="J243" s="5">
        <v>0</v>
      </c>
      <c r="K243" s="5">
        <v>0</v>
      </c>
      <c r="L243" s="5">
        <v>0</v>
      </c>
      <c r="M243" s="5">
        <v>0</v>
      </c>
      <c r="N243" s="5">
        <v>0</v>
      </c>
      <c r="O243" s="5">
        <v>0</v>
      </c>
      <c r="P243" s="5">
        <v>0</v>
      </c>
      <c r="Q243" s="5">
        <v>0</v>
      </c>
      <c r="R243" s="5">
        <v>0</v>
      </c>
    </row>
    <row r="244" spans="1:18" ht="15" customHeight="1" x14ac:dyDescent="0.25">
      <c r="A244" s="5">
        <v>5860</v>
      </c>
      <c r="B244" s="5" t="s">
        <v>16</v>
      </c>
      <c r="C244" s="5" t="s">
        <v>896</v>
      </c>
      <c r="D244" s="5" t="s">
        <v>961</v>
      </c>
      <c r="E244" s="5" t="s">
        <v>862</v>
      </c>
      <c r="F244" s="5">
        <v>0</v>
      </c>
      <c r="G244" s="5">
        <v>0</v>
      </c>
      <c r="H244" s="5">
        <v>0</v>
      </c>
      <c r="I244" s="5">
        <v>0</v>
      </c>
      <c r="J244" s="5">
        <v>0</v>
      </c>
      <c r="K244" s="5">
        <v>0</v>
      </c>
      <c r="L244" s="5">
        <v>0</v>
      </c>
      <c r="M244" s="5">
        <v>0</v>
      </c>
      <c r="N244" s="5">
        <v>0</v>
      </c>
      <c r="O244" s="5">
        <v>0</v>
      </c>
      <c r="P244" s="5">
        <v>0</v>
      </c>
      <c r="Q244" s="5">
        <v>0</v>
      </c>
      <c r="R244" s="5">
        <v>0</v>
      </c>
    </row>
    <row r="245" spans="1:18" ht="15" customHeight="1" x14ac:dyDescent="0.25">
      <c r="A245" s="5">
        <v>4904</v>
      </c>
      <c r="B245" s="5" t="s">
        <v>16</v>
      </c>
      <c r="C245" s="5" t="s">
        <v>896</v>
      </c>
      <c r="D245" s="5" t="s">
        <v>962</v>
      </c>
      <c r="E245" s="5" t="s">
        <v>829</v>
      </c>
      <c r="F245" s="5">
        <v>10</v>
      </c>
      <c r="G245" s="5">
        <v>5.45</v>
      </c>
      <c r="H245" s="5">
        <v>5.3</v>
      </c>
      <c r="I245" s="5">
        <v>0</v>
      </c>
      <c r="J245" s="5">
        <v>0</v>
      </c>
      <c r="K245" s="5">
        <v>0</v>
      </c>
      <c r="L245" s="5">
        <v>0</v>
      </c>
      <c r="M245" s="5">
        <v>0</v>
      </c>
      <c r="N245" s="5">
        <v>0</v>
      </c>
      <c r="O245" s="5">
        <v>0</v>
      </c>
      <c r="P245" s="5">
        <v>3</v>
      </c>
      <c r="Q245" s="5">
        <v>0</v>
      </c>
      <c r="R245" s="5">
        <v>0</v>
      </c>
    </row>
    <row r="246" spans="1:18" ht="15" customHeight="1" x14ac:dyDescent="0.25">
      <c r="A246" s="5">
        <v>5718</v>
      </c>
      <c r="B246" s="5" t="s">
        <v>16</v>
      </c>
      <c r="C246" s="5" t="s">
        <v>896</v>
      </c>
      <c r="D246" s="5" t="s">
        <v>963</v>
      </c>
      <c r="E246" s="5" t="s">
        <v>829</v>
      </c>
      <c r="F246" s="5">
        <v>6</v>
      </c>
      <c r="G246" s="5">
        <v>5.58</v>
      </c>
      <c r="H246" s="5">
        <v>5.33</v>
      </c>
      <c r="I246" s="5">
        <v>0</v>
      </c>
      <c r="J246" s="5">
        <v>0</v>
      </c>
      <c r="K246" s="5">
        <v>0</v>
      </c>
      <c r="L246" s="5">
        <v>0</v>
      </c>
      <c r="M246" s="5">
        <v>0</v>
      </c>
      <c r="N246" s="5">
        <v>0</v>
      </c>
      <c r="O246" s="5">
        <v>0</v>
      </c>
      <c r="P246" s="5">
        <v>1</v>
      </c>
      <c r="Q246" s="5">
        <v>1</v>
      </c>
      <c r="R246" s="5">
        <v>0</v>
      </c>
    </row>
    <row r="247" spans="1:18" ht="15" customHeight="1" x14ac:dyDescent="0.25">
      <c r="A247" s="5">
        <v>7069</v>
      </c>
      <c r="B247" s="5" t="s">
        <v>16</v>
      </c>
      <c r="C247" s="5" t="s">
        <v>895</v>
      </c>
      <c r="D247" s="5" t="s">
        <v>964</v>
      </c>
      <c r="E247" s="5" t="s">
        <v>829</v>
      </c>
      <c r="F247" s="5">
        <v>12</v>
      </c>
      <c r="G247" s="5">
        <v>5.96</v>
      </c>
      <c r="H247" s="5">
        <v>5.96</v>
      </c>
      <c r="I247" s="5">
        <v>0</v>
      </c>
      <c r="J247" s="5">
        <v>0</v>
      </c>
      <c r="K247" s="5">
        <v>0</v>
      </c>
      <c r="L247" s="5">
        <v>0</v>
      </c>
      <c r="M247" s="5">
        <v>0</v>
      </c>
      <c r="N247" s="5">
        <v>0</v>
      </c>
      <c r="O247" s="5">
        <v>0</v>
      </c>
      <c r="P247" s="5">
        <v>0</v>
      </c>
      <c r="Q247" s="5">
        <v>0</v>
      </c>
      <c r="R247" s="5">
        <v>0</v>
      </c>
    </row>
    <row r="248" spans="1:18" ht="15" customHeight="1" x14ac:dyDescent="0.25">
      <c r="A248" s="5">
        <v>6977</v>
      </c>
      <c r="B248" s="5" t="s">
        <v>16</v>
      </c>
      <c r="C248" s="5" t="s">
        <v>896</v>
      </c>
      <c r="D248" s="5" t="s">
        <v>522</v>
      </c>
      <c r="E248" s="5" t="s">
        <v>836</v>
      </c>
      <c r="F248" s="5">
        <v>10</v>
      </c>
      <c r="G248" s="5">
        <v>5.6</v>
      </c>
      <c r="H248" s="5">
        <v>5.35</v>
      </c>
      <c r="I248" s="5">
        <v>0</v>
      </c>
      <c r="J248" s="5">
        <v>0</v>
      </c>
      <c r="K248" s="5">
        <v>0</v>
      </c>
      <c r="L248" s="5">
        <v>0</v>
      </c>
      <c r="M248" s="5">
        <v>0</v>
      </c>
      <c r="N248" s="5">
        <v>0</v>
      </c>
      <c r="O248" s="5">
        <v>0</v>
      </c>
      <c r="P248" s="5">
        <v>1</v>
      </c>
      <c r="Q248" s="5">
        <v>0</v>
      </c>
      <c r="R248" s="5">
        <v>1</v>
      </c>
    </row>
    <row r="249" spans="1:18" ht="15" customHeight="1" x14ac:dyDescent="0.25">
      <c r="A249" s="5">
        <v>294</v>
      </c>
      <c r="B249" s="5" t="s">
        <v>16</v>
      </c>
      <c r="C249" s="5" t="s">
        <v>896</v>
      </c>
      <c r="D249" s="5" t="s">
        <v>560</v>
      </c>
      <c r="E249" s="5" t="s">
        <v>829</v>
      </c>
      <c r="F249" s="5">
        <v>8</v>
      </c>
      <c r="G249" s="5">
        <v>5.69</v>
      </c>
      <c r="H249" s="5">
        <v>5.56</v>
      </c>
      <c r="I249" s="5">
        <v>0</v>
      </c>
      <c r="J249" s="5">
        <v>0</v>
      </c>
      <c r="K249" s="5">
        <v>0</v>
      </c>
      <c r="L249" s="5">
        <v>0</v>
      </c>
      <c r="M249" s="5">
        <v>0</v>
      </c>
      <c r="N249" s="5">
        <v>0</v>
      </c>
      <c r="O249" s="5">
        <v>0</v>
      </c>
      <c r="P249" s="5">
        <v>2</v>
      </c>
      <c r="Q249" s="5">
        <v>0</v>
      </c>
      <c r="R249" s="5">
        <v>0</v>
      </c>
    </row>
    <row r="250" spans="1:18" ht="15" customHeight="1" x14ac:dyDescent="0.25">
      <c r="A250" s="5">
        <v>6632</v>
      </c>
      <c r="B250" s="5" t="s">
        <v>16</v>
      </c>
      <c r="C250" s="5" t="s">
        <v>896</v>
      </c>
      <c r="D250" s="5" t="s">
        <v>405</v>
      </c>
      <c r="E250" s="5" t="s">
        <v>837</v>
      </c>
      <c r="F250" s="5">
        <v>21</v>
      </c>
      <c r="G250" s="5">
        <v>5.83</v>
      </c>
      <c r="H250" s="5">
        <v>5.64</v>
      </c>
      <c r="I250" s="5">
        <v>0</v>
      </c>
      <c r="J250" s="5">
        <v>0</v>
      </c>
      <c r="K250" s="5">
        <v>0</v>
      </c>
      <c r="L250" s="5">
        <v>0</v>
      </c>
      <c r="M250" s="5">
        <v>0</v>
      </c>
      <c r="N250" s="5">
        <v>0</v>
      </c>
      <c r="O250" s="5">
        <v>0</v>
      </c>
      <c r="P250" s="5">
        <v>6</v>
      </c>
      <c r="Q250" s="5">
        <v>1</v>
      </c>
      <c r="R250" s="5">
        <v>0</v>
      </c>
    </row>
    <row r="251" spans="1:18" ht="15" customHeight="1" x14ac:dyDescent="0.25">
      <c r="A251" s="5">
        <v>6883</v>
      </c>
      <c r="B251" s="5" t="s">
        <v>16</v>
      </c>
      <c r="C251" s="5" t="s">
        <v>896</v>
      </c>
      <c r="D251" s="5" t="s">
        <v>538</v>
      </c>
      <c r="E251" s="5" t="s">
        <v>837</v>
      </c>
      <c r="F251" s="5">
        <v>5</v>
      </c>
      <c r="G251" s="5">
        <v>5.8</v>
      </c>
      <c r="H251" s="5">
        <v>5.7</v>
      </c>
      <c r="I251" s="5">
        <v>0</v>
      </c>
      <c r="J251" s="5">
        <v>0</v>
      </c>
      <c r="K251" s="5">
        <v>0</v>
      </c>
      <c r="L251" s="5">
        <v>0</v>
      </c>
      <c r="M251" s="5">
        <v>0</v>
      </c>
      <c r="N251" s="5">
        <v>0</v>
      </c>
      <c r="O251" s="5">
        <v>0</v>
      </c>
      <c r="P251" s="5">
        <v>1</v>
      </c>
      <c r="Q251" s="5">
        <v>0</v>
      </c>
      <c r="R251" s="5">
        <v>0</v>
      </c>
    </row>
    <row r="252" spans="1:18" ht="15" customHeight="1" x14ac:dyDescent="0.25">
      <c r="A252" s="5">
        <v>5273</v>
      </c>
      <c r="B252" s="5" t="s">
        <v>16</v>
      </c>
      <c r="C252" s="5" t="s">
        <v>898</v>
      </c>
      <c r="D252" s="5" t="s">
        <v>471</v>
      </c>
      <c r="E252" s="5" t="s">
        <v>828</v>
      </c>
      <c r="F252" s="5">
        <v>14</v>
      </c>
      <c r="G252" s="5">
        <v>5.64</v>
      </c>
      <c r="H252" s="5">
        <v>5.71</v>
      </c>
      <c r="I252" s="5">
        <v>1</v>
      </c>
      <c r="J252" s="5">
        <v>0</v>
      </c>
      <c r="K252" s="5">
        <v>0</v>
      </c>
      <c r="L252" s="5">
        <v>0</v>
      </c>
      <c r="M252" s="5">
        <v>0</v>
      </c>
      <c r="N252" s="5">
        <v>0</v>
      </c>
      <c r="O252" s="5">
        <v>1</v>
      </c>
      <c r="P252" s="5">
        <v>5</v>
      </c>
      <c r="Q252" s="5">
        <v>1</v>
      </c>
      <c r="R252" s="5">
        <v>0</v>
      </c>
    </row>
    <row r="253" spans="1:18" ht="15" customHeight="1" x14ac:dyDescent="0.25">
      <c r="A253" s="5">
        <v>6821</v>
      </c>
      <c r="B253" s="5" t="s">
        <v>16</v>
      </c>
      <c r="C253" s="5" t="s">
        <v>904</v>
      </c>
      <c r="D253" s="5" t="s">
        <v>502</v>
      </c>
      <c r="E253" s="5" t="s">
        <v>838</v>
      </c>
      <c r="F253" s="5">
        <v>0</v>
      </c>
      <c r="G253" s="5">
        <v>0</v>
      </c>
      <c r="H253" s="5">
        <v>0</v>
      </c>
      <c r="I253" s="5">
        <v>0</v>
      </c>
      <c r="J253" s="5">
        <v>0</v>
      </c>
      <c r="K253" s="5">
        <v>0</v>
      </c>
      <c r="L253" s="5">
        <v>0</v>
      </c>
      <c r="M253" s="5">
        <v>0</v>
      </c>
      <c r="N253" s="5">
        <v>0</v>
      </c>
      <c r="O253" s="5">
        <v>0</v>
      </c>
      <c r="P253" s="5">
        <v>0</v>
      </c>
      <c r="Q253" s="5">
        <v>0</v>
      </c>
      <c r="R253" s="5">
        <v>0</v>
      </c>
    </row>
    <row r="254" spans="1:18" ht="15" customHeight="1" x14ac:dyDescent="0.25">
      <c r="A254" s="5">
        <v>6965</v>
      </c>
      <c r="B254" s="5" t="s">
        <v>16</v>
      </c>
      <c r="C254" s="5" t="s">
        <v>898</v>
      </c>
      <c r="D254" s="5" t="s">
        <v>965</v>
      </c>
      <c r="E254" s="5" t="s">
        <v>838</v>
      </c>
      <c r="F254" s="5">
        <v>6</v>
      </c>
      <c r="G254" s="5">
        <v>5.58</v>
      </c>
      <c r="H254" s="5">
        <v>5.58</v>
      </c>
      <c r="I254" s="5">
        <v>0</v>
      </c>
      <c r="J254" s="5">
        <v>0</v>
      </c>
      <c r="K254" s="5">
        <v>0</v>
      </c>
      <c r="L254" s="5">
        <v>0</v>
      </c>
      <c r="M254" s="5">
        <v>0</v>
      </c>
      <c r="N254" s="5">
        <v>0</v>
      </c>
      <c r="O254" s="5">
        <v>0</v>
      </c>
      <c r="P254" s="5">
        <v>0</v>
      </c>
      <c r="Q254" s="5">
        <v>0</v>
      </c>
      <c r="R254" s="5">
        <v>0</v>
      </c>
    </row>
    <row r="255" spans="1:18" ht="15" customHeight="1" x14ac:dyDescent="0.25">
      <c r="A255" s="5">
        <v>6411</v>
      </c>
      <c r="B255" s="5" t="s">
        <v>16</v>
      </c>
      <c r="C255" s="5" t="s">
        <v>896</v>
      </c>
      <c r="D255" s="5" t="s">
        <v>966</v>
      </c>
      <c r="E255" s="5" t="s">
        <v>867</v>
      </c>
      <c r="F255" s="5">
        <v>3</v>
      </c>
      <c r="G255" s="5">
        <v>5.83</v>
      </c>
      <c r="H255" s="5">
        <v>5.67</v>
      </c>
      <c r="I255" s="5">
        <v>0</v>
      </c>
      <c r="J255" s="5">
        <v>0</v>
      </c>
      <c r="K255" s="5">
        <v>0</v>
      </c>
      <c r="L255" s="5">
        <v>0</v>
      </c>
      <c r="M255" s="5">
        <v>0</v>
      </c>
      <c r="N255" s="5">
        <v>0</v>
      </c>
      <c r="O255" s="5">
        <v>0</v>
      </c>
      <c r="P255" s="5">
        <v>1</v>
      </c>
      <c r="Q255" s="5">
        <v>0</v>
      </c>
      <c r="R255" s="5">
        <v>0</v>
      </c>
    </row>
    <row r="256" spans="1:18" ht="15" customHeight="1" x14ac:dyDescent="0.25">
      <c r="A256" s="5">
        <v>7141</v>
      </c>
      <c r="B256" s="5" t="s">
        <v>16</v>
      </c>
      <c r="C256" s="5" t="s">
        <v>899</v>
      </c>
      <c r="D256" s="5" t="s">
        <v>967</v>
      </c>
      <c r="E256" s="5" t="s">
        <v>867</v>
      </c>
      <c r="F256" s="5">
        <v>0</v>
      </c>
      <c r="G256" s="5">
        <v>0</v>
      </c>
      <c r="H256" s="5">
        <v>0</v>
      </c>
      <c r="I256" s="5">
        <v>0</v>
      </c>
      <c r="J256" s="5">
        <v>0</v>
      </c>
      <c r="K256" s="5">
        <v>0</v>
      </c>
      <c r="L256" s="5">
        <v>0</v>
      </c>
      <c r="M256" s="5">
        <v>0</v>
      </c>
      <c r="N256" s="5">
        <v>0</v>
      </c>
      <c r="O256" s="5">
        <v>0</v>
      </c>
      <c r="P256" s="5">
        <v>0</v>
      </c>
      <c r="Q256" s="5">
        <v>0</v>
      </c>
      <c r="R256" s="5">
        <v>0</v>
      </c>
    </row>
    <row r="257" spans="1:18" ht="15" customHeight="1" x14ac:dyDescent="0.25">
      <c r="A257" s="5">
        <v>4495</v>
      </c>
      <c r="B257" s="5" t="s">
        <v>16</v>
      </c>
      <c r="C257" s="5" t="s">
        <v>896</v>
      </c>
      <c r="D257" s="5" t="s">
        <v>968</v>
      </c>
      <c r="E257" s="5" t="s">
        <v>824</v>
      </c>
      <c r="F257" s="5">
        <v>0</v>
      </c>
      <c r="G257" s="5">
        <v>0</v>
      </c>
      <c r="H257" s="5">
        <v>0</v>
      </c>
      <c r="I257" s="5">
        <v>0</v>
      </c>
      <c r="J257" s="5">
        <v>0</v>
      </c>
      <c r="K257" s="5">
        <v>0</v>
      </c>
      <c r="L257" s="5">
        <v>0</v>
      </c>
      <c r="M257" s="5">
        <v>0</v>
      </c>
      <c r="N257" s="5">
        <v>0</v>
      </c>
      <c r="O257" s="5">
        <v>0</v>
      </c>
      <c r="P257" s="5">
        <v>0</v>
      </c>
      <c r="Q257" s="5">
        <v>0</v>
      </c>
      <c r="R257" s="5">
        <v>0</v>
      </c>
    </row>
    <row r="258" spans="1:18" ht="15" customHeight="1" x14ac:dyDescent="0.25">
      <c r="A258" s="5">
        <v>6189</v>
      </c>
      <c r="B258" s="5" t="s">
        <v>16</v>
      </c>
      <c r="C258" s="5" t="s">
        <v>904</v>
      </c>
      <c r="D258" s="5" t="s">
        <v>577</v>
      </c>
      <c r="E258" s="5" t="s">
        <v>839</v>
      </c>
      <c r="F258" s="5">
        <v>0</v>
      </c>
      <c r="G258" s="5">
        <v>0</v>
      </c>
      <c r="H258" s="5">
        <v>0</v>
      </c>
      <c r="I258" s="5">
        <v>0</v>
      </c>
      <c r="J258" s="5">
        <v>0</v>
      </c>
      <c r="K258" s="5">
        <v>0</v>
      </c>
      <c r="L258" s="5">
        <v>0</v>
      </c>
      <c r="M258" s="5">
        <v>0</v>
      </c>
      <c r="N258" s="5">
        <v>0</v>
      </c>
      <c r="O258" s="5">
        <v>0</v>
      </c>
      <c r="P258" s="5">
        <v>0</v>
      </c>
      <c r="Q258" s="5">
        <v>0</v>
      </c>
      <c r="R258" s="5">
        <v>0</v>
      </c>
    </row>
    <row r="259" spans="1:18" ht="15" customHeight="1" x14ac:dyDescent="0.25">
      <c r="A259" s="5">
        <v>49</v>
      </c>
      <c r="B259" s="5" t="s">
        <v>16</v>
      </c>
      <c r="C259" s="5" t="s">
        <v>905</v>
      </c>
      <c r="D259" s="5" t="s">
        <v>969</v>
      </c>
      <c r="E259" s="5" t="s">
        <v>843</v>
      </c>
      <c r="F259" s="5">
        <v>4</v>
      </c>
      <c r="G259" s="5">
        <v>5.38</v>
      </c>
      <c r="H259" s="5">
        <v>5.62</v>
      </c>
      <c r="I259" s="5">
        <v>0</v>
      </c>
      <c r="J259" s="5">
        <v>0</v>
      </c>
      <c r="K259" s="5">
        <v>0</v>
      </c>
      <c r="L259" s="5">
        <v>0</v>
      </c>
      <c r="M259" s="5">
        <v>0</v>
      </c>
      <c r="N259" s="5">
        <v>0</v>
      </c>
      <c r="O259" s="5">
        <v>1</v>
      </c>
      <c r="P259" s="5">
        <v>0</v>
      </c>
      <c r="Q259" s="5">
        <v>0</v>
      </c>
      <c r="R259" s="5">
        <v>0</v>
      </c>
    </row>
    <row r="260" spans="1:18" ht="15" customHeight="1" x14ac:dyDescent="0.25">
      <c r="A260" s="5">
        <v>252</v>
      </c>
      <c r="B260" s="5" t="s">
        <v>16</v>
      </c>
      <c r="C260" s="5" t="s">
        <v>898</v>
      </c>
      <c r="D260" s="5" t="s">
        <v>525</v>
      </c>
      <c r="E260" s="5" t="s">
        <v>843</v>
      </c>
      <c r="F260" s="5">
        <v>11</v>
      </c>
      <c r="G260" s="5">
        <v>5.59</v>
      </c>
      <c r="H260" s="5">
        <v>5.59</v>
      </c>
      <c r="I260" s="5">
        <v>0</v>
      </c>
      <c r="J260" s="5">
        <v>0</v>
      </c>
      <c r="K260" s="5">
        <v>0</v>
      </c>
      <c r="L260" s="5">
        <v>0</v>
      </c>
      <c r="M260" s="5">
        <v>0</v>
      </c>
      <c r="N260" s="5">
        <v>0</v>
      </c>
      <c r="O260" s="5">
        <v>0</v>
      </c>
      <c r="P260" s="5">
        <v>0</v>
      </c>
      <c r="Q260" s="5">
        <v>0</v>
      </c>
      <c r="R260" s="5">
        <v>0</v>
      </c>
    </row>
    <row r="261" spans="1:18" ht="15" customHeight="1" x14ac:dyDescent="0.25">
      <c r="A261" s="5">
        <v>6925</v>
      </c>
      <c r="B261" s="5" t="s">
        <v>16</v>
      </c>
      <c r="C261" s="5" t="s">
        <v>896</v>
      </c>
      <c r="D261" s="5" t="s">
        <v>526</v>
      </c>
      <c r="E261" s="5" t="s">
        <v>835</v>
      </c>
      <c r="F261" s="5">
        <v>4</v>
      </c>
      <c r="G261" s="5">
        <v>5.5</v>
      </c>
      <c r="H261" s="5">
        <v>5.5</v>
      </c>
      <c r="I261" s="5">
        <v>0</v>
      </c>
      <c r="J261" s="5">
        <v>0</v>
      </c>
      <c r="K261" s="5">
        <v>0</v>
      </c>
      <c r="L261" s="5">
        <v>0</v>
      </c>
      <c r="M261" s="5">
        <v>0</v>
      </c>
      <c r="N261" s="5">
        <v>0</v>
      </c>
      <c r="O261" s="5">
        <v>0</v>
      </c>
      <c r="P261" s="5">
        <v>0</v>
      </c>
      <c r="Q261" s="5">
        <v>0</v>
      </c>
      <c r="R261" s="5">
        <v>0</v>
      </c>
    </row>
    <row r="262" spans="1:18" ht="15" customHeight="1" x14ac:dyDescent="0.25">
      <c r="A262" s="5">
        <v>7011</v>
      </c>
      <c r="B262" s="5" t="s">
        <v>16</v>
      </c>
      <c r="C262" s="5" t="s">
        <v>896</v>
      </c>
      <c r="D262" s="5" t="s">
        <v>970</v>
      </c>
      <c r="E262" s="5" t="s">
        <v>864</v>
      </c>
      <c r="F262" s="5">
        <v>6</v>
      </c>
      <c r="G262" s="5">
        <v>5.75</v>
      </c>
      <c r="H262" s="5">
        <v>5.75</v>
      </c>
      <c r="I262" s="5">
        <v>0</v>
      </c>
      <c r="J262" s="5">
        <v>0</v>
      </c>
      <c r="K262" s="5">
        <v>0</v>
      </c>
      <c r="L262" s="5">
        <v>0</v>
      </c>
      <c r="M262" s="5">
        <v>0</v>
      </c>
      <c r="N262" s="5">
        <v>0</v>
      </c>
      <c r="O262" s="5">
        <v>0</v>
      </c>
      <c r="P262" s="5">
        <v>0</v>
      </c>
      <c r="Q262" s="5">
        <v>0</v>
      </c>
      <c r="R262" s="5">
        <v>0</v>
      </c>
    </row>
    <row r="263" spans="1:18" ht="15" customHeight="1" x14ac:dyDescent="0.25">
      <c r="A263" s="5">
        <v>7202</v>
      </c>
      <c r="B263" s="5" t="s">
        <v>16</v>
      </c>
      <c r="C263" s="5" t="s">
        <v>896</v>
      </c>
      <c r="D263" s="5" t="s">
        <v>548</v>
      </c>
      <c r="E263" s="5" t="s">
        <v>838</v>
      </c>
      <c r="F263" s="5">
        <v>11</v>
      </c>
      <c r="G263" s="5">
        <v>5.59</v>
      </c>
      <c r="H263" s="5">
        <v>5.36</v>
      </c>
      <c r="I263" s="5">
        <v>0</v>
      </c>
      <c r="J263" s="5">
        <v>0</v>
      </c>
      <c r="K263" s="5">
        <v>0</v>
      </c>
      <c r="L263" s="5">
        <v>0</v>
      </c>
      <c r="M263" s="5">
        <v>0</v>
      </c>
      <c r="N263" s="5">
        <v>0</v>
      </c>
      <c r="O263" s="5">
        <v>0</v>
      </c>
      <c r="P263" s="5">
        <v>3</v>
      </c>
      <c r="Q263" s="5">
        <v>1</v>
      </c>
      <c r="R263" s="5">
        <v>0</v>
      </c>
    </row>
    <row r="264" spans="1:18" ht="15" customHeight="1" x14ac:dyDescent="0.25">
      <c r="A264" s="5">
        <v>6537</v>
      </c>
      <c r="B264" s="5" t="s">
        <v>16</v>
      </c>
      <c r="C264" s="5" t="s">
        <v>899</v>
      </c>
      <c r="D264" s="5" t="s">
        <v>971</v>
      </c>
      <c r="E264" s="5" t="s">
        <v>835</v>
      </c>
      <c r="F264" s="5">
        <v>6</v>
      </c>
      <c r="G264" s="5">
        <v>5.75</v>
      </c>
      <c r="H264" s="5">
        <v>5.58</v>
      </c>
      <c r="I264" s="5">
        <v>0</v>
      </c>
      <c r="J264" s="5">
        <v>0</v>
      </c>
      <c r="K264" s="5">
        <v>0</v>
      </c>
      <c r="L264" s="5">
        <v>0</v>
      </c>
      <c r="M264" s="5">
        <v>0</v>
      </c>
      <c r="N264" s="5">
        <v>0</v>
      </c>
      <c r="O264" s="5">
        <v>0</v>
      </c>
      <c r="P264" s="5">
        <v>2</v>
      </c>
      <c r="Q264" s="5">
        <v>0</v>
      </c>
      <c r="R264" s="5">
        <v>0</v>
      </c>
    </row>
    <row r="265" spans="1:18" ht="15" customHeight="1" x14ac:dyDescent="0.25">
      <c r="A265" s="5">
        <v>7222</v>
      </c>
      <c r="B265" s="5" t="s">
        <v>16</v>
      </c>
      <c r="C265" s="5" t="s">
        <v>914</v>
      </c>
      <c r="D265" s="5" t="s">
        <v>972</v>
      </c>
      <c r="E265" s="5" t="s">
        <v>864</v>
      </c>
      <c r="F265" s="5">
        <v>3</v>
      </c>
      <c r="G265" s="5">
        <v>5.17</v>
      </c>
      <c r="H265" s="5">
        <v>5.17</v>
      </c>
      <c r="I265" s="5">
        <v>0</v>
      </c>
      <c r="J265" s="5">
        <v>0</v>
      </c>
      <c r="K265" s="5">
        <v>0</v>
      </c>
      <c r="L265" s="5">
        <v>0</v>
      </c>
      <c r="M265" s="5">
        <v>0</v>
      </c>
      <c r="N265" s="5">
        <v>0</v>
      </c>
      <c r="O265" s="5">
        <v>0</v>
      </c>
      <c r="P265" s="5">
        <v>0</v>
      </c>
      <c r="Q265" s="5">
        <v>0</v>
      </c>
      <c r="R265" s="5">
        <v>0</v>
      </c>
    </row>
    <row r="266" spans="1:18" ht="15" customHeight="1" x14ac:dyDescent="0.25">
      <c r="A266" s="5">
        <v>7260</v>
      </c>
      <c r="B266" s="5" t="s">
        <v>16</v>
      </c>
      <c r="C266" s="5" t="s">
        <v>896</v>
      </c>
      <c r="D266" s="5" t="s">
        <v>576</v>
      </c>
      <c r="E266" s="5" t="s">
        <v>824</v>
      </c>
      <c r="F266" s="5">
        <v>9</v>
      </c>
      <c r="G266" s="5">
        <v>5.94</v>
      </c>
      <c r="H266" s="5">
        <v>5.78</v>
      </c>
      <c r="I266" s="5">
        <v>0</v>
      </c>
      <c r="J266" s="5">
        <v>0</v>
      </c>
      <c r="K266" s="5">
        <v>0</v>
      </c>
      <c r="L266" s="5">
        <v>0</v>
      </c>
      <c r="M266" s="5">
        <v>0</v>
      </c>
      <c r="N266" s="5">
        <v>0</v>
      </c>
      <c r="O266" s="5">
        <v>0</v>
      </c>
      <c r="P266" s="5">
        <v>3</v>
      </c>
      <c r="Q266" s="5">
        <v>0</v>
      </c>
      <c r="R266" s="5">
        <v>0</v>
      </c>
    </row>
    <row r="267" spans="1:18" ht="15" customHeight="1" x14ac:dyDescent="0.25">
      <c r="A267" s="5">
        <v>5156</v>
      </c>
      <c r="B267" s="5" t="s">
        <v>16</v>
      </c>
      <c r="C267" s="5" t="s">
        <v>898</v>
      </c>
      <c r="D267" s="5" t="s">
        <v>973</v>
      </c>
      <c r="E267" s="5" t="s">
        <v>843</v>
      </c>
      <c r="F267" s="5">
        <v>8</v>
      </c>
      <c r="G267" s="5">
        <v>5.81</v>
      </c>
      <c r="H267" s="5">
        <v>5.81</v>
      </c>
      <c r="I267" s="5">
        <v>0</v>
      </c>
      <c r="J267" s="5">
        <v>0</v>
      </c>
      <c r="K267" s="5">
        <v>0</v>
      </c>
      <c r="L267" s="5">
        <v>0</v>
      </c>
      <c r="M267" s="5">
        <v>0</v>
      </c>
      <c r="N267" s="5">
        <v>0</v>
      </c>
      <c r="O267" s="5">
        <v>1</v>
      </c>
      <c r="P267" s="5">
        <v>3</v>
      </c>
      <c r="Q267" s="5">
        <v>0</v>
      </c>
      <c r="R267" s="5">
        <v>0</v>
      </c>
    </row>
    <row r="268" spans="1:18" ht="15" customHeight="1" x14ac:dyDescent="0.25">
      <c r="A268" s="5">
        <v>7312</v>
      </c>
      <c r="B268" s="5" t="s">
        <v>16</v>
      </c>
      <c r="C268" s="5" t="s">
        <v>898</v>
      </c>
      <c r="D268" s="5" t="s">
        <v>484</v>
      </c>
      <c r="E268" s="5" t="s">
        <v>835</v>
      </c>
      <c r="F268" s="5">
        <v>5</v>
      </c>
      <c r="G268" s="5">
        <v>5.8</v>
      </c>
      <c r="H268" s="5">
        <v>5.8</v>
      </c>
      <c r="I268" s="5">
        <v>0</v>
      </c>
      <c r="J268" s="5">
        <v>0</v>
      </c>
      <c r="K268" s="5">
        <v>0</v>
      </c>
      <c r="L268" s="5">
        <v>0</v>
      </c>
      <c r="M268" s="5">
        <v>0</v>
      </c>
      <c r="N268" s="5">
        <v>0</v>
      </c>
      <c r="O268" s="5">
        <v>0</v>
      </c>
      <c r="P268" s="5">
        <v>0</v>
      </c>
      <c r="Q268" s="5">
        <v>0</v>
      </c>
      <c r="R268" s="5">
        <v>0</v>
      </c>
    </row>
    <row r="269" spans="1:18" ht="15" customHeight="1" x14ac:dyDescent="0.25">
      <c r="A269" s="5">
        <v>7326</v>
      </c>
      <c r="B269" s="5" t="s">
        <v>16</v>
      </c>
      <c r="C269" s="5" t="s">
        <v>899</v>
      </c>
      <c r="D269" s="5" t="s">
        <v>520</v>
      </c>
      <c r="E269" s="5" t="s">
        <v>831</v>
      </c>
      <c r="F269" s="5">
        <v>6</v>
      </c>
      <c r="G269" s="5">
        <v>5.5</v>
      </c>
      <c r="H269" s="5">
        <v>5.33</v>
      </c>
      <c r="I269" s="5">
        <v>0</v>
      </c>
      <c r="J269" s="5">
        <v>0</v>
      </c>
      <c r="K269" s="5">
        <v>0</v>
      </c>
      <c r="L269" s="5">
        <v>0</v>
      </c>
      <c r="M269" s="5">
        <v>0</v>
      </c>
      <c r="N269" s="5">
        <v>0</v>
      </c>
      <c r="O269" s="5">
        <v>0</v>
      </c>
      <c r="P269" s="5">
        <v>2</v>
      </c>
      <c r="Q269" s="5">
        <v>0</v>
      </c>
      <c r="R269" s="5">
        <v>0</v>
      </c>
    </row>
    <row r="270" spans="1:18" ht="15" customHeight="1" x14ac:dyDescent="0.25">
      <c r="A270" s="5">
        <v>2006</v>
      </c>
      <c r="B270" s="5" t="s">
        <v>16</v>
      </c>
      <c r="C270" s="5" t="s">
        <v>900</v>
      </c>
      <c r="D270" s="5" t="s">
        <v>974</v>
      </c>
      <c r="E270" s="5" t="s">
        <v>864</v>
      </c>
      <c r="F270" s="5">
        <v>5</v>
      </c>
      <c r="G270" s="5">
        <v>5.7</v>
      </c>
      <c r="H270" s="5">
        <v>5.6</v>
      </c>
      <c r="I270" s="5">
        <v>0</v>
      </c>
      <c r="J270" s="5">
        <v>0</v>
      </c>
      <c r="K270" s="5">
        <v>0</v>
      </c>
      <c r="L270" s="5">
        <v>0</v>
      </c>
      <c r="M270" s="5">
        <v>0</v>
      </c>
      <c r="N270" s="5">
        <v>0</v>
      </c>
      <c r="O270" s="5">
        <v>0</v>
      </c>
      <c r="P270" s="5">
        <v>1</v>
      </c>
      <c r="Q270" s="5">
        <v>0</v>
      </c>
      <c r="R270" s="5">
        <v>0</v>
      </c>
    </row>
    <row r="271" spans="1:18" ht="15" customHeight="1" x14ac:dyDescent="0.25">
      <c r="A271" s="5">
        <v>7336</v>
      </c>
      <c r="B271" s="5" t="s">
        <v>16</v>
      </c>
      <c r="C271" s="5" t="s">
        <v>896</v>
      </c>
      <c r="D271" s="5" t="s">
        <v>975</v>
      </c>
      <c r="E271" s="5" t="s">
        <v>843</v>
      </c>
      <c r="F271" s="5">
        <v>0</v>
      </c>
      <c r="G271" s="5">
        <v>0</v>
      </c>
      <c r="H271" s="5">
        <v>0</v>
      </c>
      <c r="I271" s="5">
        <v>0</v>
      </c>
      <c r="J271" s="5">
        <v>0</v>
      </c>
      <c r="K271" s="5">
        <v>0</v>
      </c>
      <c r="L271" s="5">
        <v>0</v>
      </c>
      <c r="M271" s="5">
        <v>0</v>
      </c>
      <c r="N271" s="5">
        <v>0</v>
      </c>
      <c r="O271" s="5">
        <v>0</v>
      </c>
      <c r="P271" s="5">
        <v>0</v>
      </c>
      <c r="Q271" s="5">
        <v>0</v>
      </c>
      <c r="R271" s="5">
        <v>0</v>
      </c>
    </row>
    <row r="272" spans="1:18" ht="15" customHeight="1" x14ac:dyDescent="0.25">
      <c r="A272" s="5">
        <v>7356</v>
      </c>
      <c r="B272" s="5" t="s">
        <v>16</v>
      </c>
      <c r="C272" s="5" t="s">
        <v>896</v>
      </c>
      <c r="D272" s="5" t="s">
        <v>563</v>
      </c>
      <c r="E272" s="5" t="s">
        <v>835</v>
      </c>
      <c r="F272" s="5">
        <v>3</v>
      </c>
      <c r="G272" s="5">
        <v>5.83</v>
      </c>
      <c r="H272" s="5">
        <v>5.67</v>
      </c>
      <c r="I272" s="5">
        <v>0</v>
      </c>
      <c r="J272" s="5">
        <v>0</v>
      </c>
      <c r="K272" s="5">
        <v>0</v>
      </c>
      <c r="L272" s="5">
        <v>0</v>
      </c>
      <c r="M272" s="5">
        <v>0</v>
      </c>
      <c r="N272" s="5">
        <v>0</v>
      </c>
      <c r="O272" s="5">
        <v>0</v>
      </c>
      <c r="P272" s="5">
        <v>2</v>
      </c>
      <c r="Q272" s="5">
        <v>0</v>
      </c>
      <c r="R272" s="5">
        <v>0</v>
      </c>
    </row>
    <row r="273" spans="1:18" ht="15" customHeight="1" x14ac:dyDescent="0.25">
      <c r="A273" s="5">
        <v>7377</v>
      </c>
      <c r="B273" s="5" t="s">
        <v>16</v>
      </c>
      <c r="C273" s="5" t="s">
        <v>898</v>
      </c>
      <c r="D273" s="5" t="s">
        <v>976</v>
      </c>
      <c r="E273" s="5" t="s">
        <v>829</v>
      </c>
      <c r="F273" s="5">
        <v>4</v>
      </c>
      <c r="G273" s="5">
        <v>5.75</v>
      </c>
      <c r="H273" s="5">
        <v>5.75</v>
      </c>
      <c r="I273" s="5">
        <v>0</v>
      </c>
      <c r="J273" s="5">
        <v>0</v>
      </c>
      <c r="K273" s="5">
        <v>0</v>
      </c>
      <c r="L273" s="5">
        <v>0</v>
      </c>
      <c r="M273" s="5">
        <v>0</v>
      </c>
      <c r="N273" s="5">
        <v>0</v>
      </c>
      <c r="O273" s="5">
        <v>0</v>
      </c>
      <c r="P273" s="5">
        <v>0</v>
      </c>
      <c r="Q273" s="5">
        <v>0</v>
      </c>
      <c r="R273" s="5">
        <v>0</v>
      </c>
    </row>
    <row r="274" spans="1:18" ht="15" customHeight="1" x14ac:dyDescent="0.25">
      <c r="A274" s="5">
        <v>5498</v>
      </c>
      <c r="B274" s="5" t="s">
        <v>16</v>
      </c>
      <c r="C274" s="5" t="s">
        <v>896</v>
      </c>
      <c r="D274" s="5" t="s">
        <v>511</v>
      </c>
      <c r="E274" s="5" t="s">
        <v>831</v>
      </c>
      <c r="F274" s="5">
        <v>10</v>
      </c>
      <c r="G274" s="5">
        <v>5.65</v>
      </c>
      <c r="H274" s="5">
        <v>5.65</v>
      </c>
      <c r="I274" s="5">
        <v>0</v>
      </c>
      <c r="J274" s="5">
        <v>0</v>
      </c>
      <c r="K274" s="5">
        <v>0</v>
      </c>
      <c r="L274" s="5">
        <v>0</v>
      </c>
      <c r="M274" s="5">
        <v>0</v>
      </c>
      <c r="N274" s="5">
        <v>0</v>
      </c>
      <c r="O274" s="5">
        <v>0</v>
      </c>
      <c r="P274" s="5">
        <v>0</v>
      </c>
      <c r="Q274" s="5">
        <v>0</v>
      </c>
      <c r="R274" s="5">
        <v>0</v>
      </c>
    </row>
    <row r="275" spans="1:18" ht="15" customHeight="1" x14ac:dyDescent="0.25">
      <c r="A275" s="5">
        <v>6551</v>
      </c>
      <c r="B275" s="5" t="s">
        <v>16</v>
      </c>
      <c r="C275" s="5" t="s">
        <v>896</v>
      </c>
      <c r="D275" s="5" t="s">
        <v>977</v>
      </c>
      <c r="E275" s="5" t="s">
        <v>831</v>
      </c>
      <c r="F275" s="5">
        <v>0</v>
      </c>
      <c r="G275" s="5">
        <v>0</v>
      </c>
      <c r="H275" s="5">
        <v>0</v>
      </c>
      <c r="I275" s="5">
        <v>0</v>
      </c>
      <c r="J275" s="5">
        <v>0</v>
      </c>
      <c r="K275" s="5">
        <v>0</v>
      </c>
      <c r="L275" s="5">
        <v>0</v>
      </c>
      <c r="M275" s="5">
        <v>0</v>
      </c>
      <c r="N275" s="5">
        <v>0</v>
      </c>
      <c r="O275" s="5">
        <v>0</v>
      </c>
      <c r="P275" s="5">
        <v>0</v>
      </c>
      <c r="Q275" s="5">
        <v>0</v>
      </c>
      <c r="R275" s="5">
        <v>0</v>
      </c>
    </row>
    <row r="276" spans="1:18" ht="15" customHeight="1" x14ac:dyDescent="0.25">
      <c r="A276" s="5">
        <v>6464</v>
      </c>
      <c r="B276" s="5" t="s">
        <v>16</v>
      </c>
      <c r="C276" s="5" t="s">
        <v>896</v>
      </c>
      <c r="D276" s="5" t="s">
        <v>978</v>
      </c>
      <c r="E276" s="5" t="s">
        <v>832</v>
      </c>
      <c r="F276" s="5">
        <v>0</v>
      </c>
      <c r="G276" s="5">
        <v>0</v>
      </c>
      <c r="H276" s="5">
        <v>0</v>
      </c>
      <c r="I276" s="5">
        <v>0</v>
      </c>
      <c r="J276" s="5">
        <v>0</v>
      </c>
      <c r="K276" s="5">
        <v>0</v>
      </c>
      <c r="L276" s="5">
        <v>0</v>
      </c>
      <c r="M276" s="5">
        <v>0</v>
      </c>
      <c r="N276" s="5">
        <v>0</v>
      </c>
      <c r="O276" s="5">
        <v>0</v>
      </c>
      <c r="P276" s="5">
        <v>0</v>
      </c>
      <c r="Q276" s="5">
        <v>0</v>
      </c>
      <c r="R276" s="5">
        <v>0</v>
      </c>
    </row>
    <row r="277" spans="1:18" ht="15" customHeight="1" x14ac:dyDescent="0.25">
      <c r="A277" s="5">
        <v>6636</v>
      </c>
      <c r="B277" s="5" t="s">
        <v>16</v>
      </c>
      <c r="C277" s="5" t="s">
        <v>903</v>
      </c>
      <c r="D277" s="5" t="s">
        <v>979</v>
      </c>
      <c r="E277" s="5" t="s">
        <v>832</v>
      </c>
      <c r="F277" s="5">
        <v>0</v>
      </c>
      <c r="G277" s="5">
        <v>0</v>
      </c>
      <c r="H277" s="5">
        <v>0</v>
      </c>
      <c r="I277" s="5">
        <v>0</v>
      </c>
      <c r="J277" s="5">
        <v>0</v>
      </c>
      <c r="K277" s="5">
        <v>0</v>
      </c>
      <c r="L277" s="5">
        <v>0</v>
      </c>
      <c r="M277" s="5">
        <v>0</v>
      </c>
      <c r="N277" s="5">
        <v>0</v>
      </c>
      <c r="O277" s="5">
        <v>0</v>
      </c>
      <c r="P277" s="5">
        <v>0</v>
      </c>
      <c r="Q277" s="5">
        <v>0</v>
      </c>
      <c r="R277" s="5">
        <v>0</v>
      </c>
    </row>
    <row r="278" spans="1:18" ht="15" customHeight="1" x14ac:dyDescent="0.25">
      <c r="A278" s="5">
        <v>418</v>
      </c>
      <c r="B278" s="5" t="s">
        <v>16</v>
      </c>
      <c r="C278" s="5" t="s">
        <v>896</v>
      </c>
      <c r="D278" s="5" t="s">
        <v>616</v>
      </c>
      <c r="E278" s="5" t="s">
        <v>827</v>
      </c>
      <c r="F278" s="5">
        <v>0</v>
      </c>
      <c r="G278" s="5">
        <v>0</v>
      </c>
      <c r="H278" s="5">
        <v>0</v>
      </c>
      <c r="I278" s="5">
        <v>0</v>
      </c>
      <c r="J278" s="5">
        <v>0</v>
      </c>
      <c r="K278" s="5">
        <v>0</v>
      </c>
      <c r="L278" s="5">
        <v>0</v>
      </c>
      <c r="M278" s="5">
        <v>0</v>
      </c>
      <c r="N278" s="5">
        <v>0</v>
      </c>
      <c r="O278" s="5">
        <v>0</v>
      </c>
      <c r="P278" s="5">
        <v>0</v>
      </c>
      <c r="Q278" s="5">
        <v>0</v>
      </c>
      <c r="R278" s="5">
        <v>0</v>
      </c>
    </row>
    <row r="279" spans="1:18" ht="15" customHeight="1" x14ac:dyDescent="0.25">
      <c r="A279" s="5">
        <v>1891</v>
      </c>
      <c r="B279" s="5" t="s">
        <v>16</v>
      </c>
      <c r="C279" s="5" t="s">
        <v>899</v>
      </c>
      <c r="D279" s="5" t="s">
        <v>980</v>
      </c>
      <c r="E279" s="5" t="s">
        <v>862</v>
      </c>
      <c r="F279" s="5">
        <v>8</v>
      </c>
      <c r="G279" s="5">
        <v>5.56</v>
      </c>
      <c r="H279" s="5">
        <v>5.5</v>
      </c>
      <c r="I279" s="5">
        <v>0</v>
      </c>
      <c r="J279" s="5">
        <v>0</v>
      </c>
      <c r="K279" s="5">
        <v>0</v>
      </c>
      <c r="L279" s="5">
        <v>0</v>
      </c>
      <c r="M279" s="5">
        <v>0</v>
      </c>
      <c r="N279" s="5">
        <v>0</v>
      </c>
      <c r="O279" s="5">
        <v>1</v>
      </c>
      <c r="P279" s="5">
        <v>1</v>
      </c>
      <c r="Q279" s="5">
        <v>1</v>
      </c>
      <c r="R279" s="5">
        <v>0</v>
      </c>
    </row>
    <row r="280" spans="1:18" ht="15" customHeight="1" x14ac:dyDescent="0.25">
      <c r="A280" s="5">
        <v>5891</v>
      </c>
      <c r="B280" s="5" t="s">
        <v>16</v>
      </c>
      <c r="C280" s="5" t="s">
        <v>898</v>
      </c>
      <c r="D280" s="5" t="s">
        <v>981</v>
      </c>
      <c r="E280" s="5" t="s">
        <v>862</v>
      </c>
      <c r="F280" s="5">
        <v>0</v>
      </c>
      <c r="G280" s="5">
        <v>0</v>
      </c>
      <c r="H280" s="5">
        <v>0</v>
      </c>
      <c r="I280" s="5">
        <v>0</v>
      </c>
      <c r="J280" s="5">
        <v>0</v>
      </c>
      <c r="K280" s="5">
        <v>0</v>
      </c>
      <c r="L280" s="5">
        <v>0</v>
      </c>
      <c r="M280" s="5">
        <v>0</v>
      </c>
      <c r="N280" s="5">
        <v>0</v>
      </c>
      <c r="O280" s="5">
        <v>0</v>
      </c>
      <c r="P280" s="5">
        <v>0</v>
      </c>
      <c r="Q280" s="5">
        <v>0</v>
      </c>
      <c r="R280" s="5">
        <v>0</v>
      </c>
    </row>
    <row r="281" spans="1:18" ht="15" customHeight="1" x14ac:dyDescent="0.25">
      <c r="A281" s="5">
        <v>2847</v>
      </c>
      <c r="B281" s="5" t="s">
        <v>16</v>
      </c>
      <c r="C281" s="5" t="s">
        <v>914</v>
      </c>
      <c r="D281" s="5" t="s">
        <v>982</v>
      </c>
      <c r="E281" s="5" t="s">
        <v>862</v>
      </c>
      <c r="F281" s="5">
        <v>0</v>
      </c>
      <c r="G281" s="5">
        <v>0</v>
      </c>
      <c r="H281" s="5">
        <v>0</v>
      </c>
      <c r="I281" s="5">
        <v>0</v>
      </c>
      <c r="J281" s="5">
        <v>0</v>
      </c>
      <c r="K281" s="5">
        <v>0</v>
      </c>
      <c r="L281" s="5">
        <v>0</v>
      </c>
      <c r="M281" s="5">
        <v>0</v>
      </c>
      <c r="N281" s="5">
        <v>0</v>
      </c>
      <c r="O281" s="5">
        <v>0</v>
      </c>
      <c r="P281" s="5">
        <v>0</v>
      </c>
      <c r="Q281" s="5">
        <v>0</v>
      </c>
      <c r="R281" s="5">
        <v>0</v>
      </c>
    </row>
    <row r="282" spans="1:18" ht="15" customHeight="1" x14ac:dyDescent="0.25">
      <c r="A282" s="5">
        <v>6803</v>
      </c>
      <c r="B282" s="5" t="s">
        <v>16</v>
      </c>
      <c r="C282" s="5" t="s">
        <v>898</v>
      </c>
      <c r="D282" s="5" t="s">
        <v>983</v>
      </c>
      <c r="E282" s="5" t="s">
        <v>833</v>
      </c>
      <c r="F282" s="5">
        <v>0</v>
      </c>
      <c r="G282" s="5">
        <v>0</v>
      </c>
      <c r="H282" s="5">
        <v>0</v>
      </c>
      <c r="I282" s="5">
        <v>0</v>
      </c>
      <c r="J282" s="5">
        <v>0</v>
      </c>
      <c r="K282" s="5">
        <v>0</v>
      </c>
      <c r="L282" s="5">
        <v>0</v>
      </c>
      <c r="M282" s="5">
        <v>0</v>
      </c>
      <c r="N282" s="5">
        <v>0</v>
      </c>
      <c r="O282" s="5">
        <v>0</v>
      </c>
      <c r="P282" s="5">
        <v>0</v>
      </c>
      <c r="Q282" s="5">
        <v>0</v>
      </c>
      <c r="R282" s="5">
        <v>0</v>
      </c>
    </row>
    <row r="283" spans="1:18" ht="15" customHeight="1" x14ac:dyDescent="0.25">
      <c r="A283" s="5">
        <v>5899</v>
      </c>
      <c r="B283" s="5" t="s">
        <v>16</v>
      </c>
      <c r="C283" s="5" t="s">
        <v>896</v>
      </c>
      <c r="D283" s="5" t="s">
        <v>984</v>
      </c>
      <c r="E283" s="5" t="s">
        <v>834</v>
      </c>
      <c r="F283" s="5">
        <v>0</v>
      </c>
      <c r="G283" s="5">
        <v>0</v>
      </c>
      <c r="H283" s="5">
        <v>0</v>
      </c>
      <c r="I283" s="5">
        <v>0</v>
      </c>
      <c r="J283" s="5">
        <v>0</v>
      </c>
      <c r="K283" s="5">
        <v>0</v>
      </c>
      <c r="L283" s="5">
        <v>0</v>
      </c>
      <c r="M283" s="5">
        <v>0</v>
      </c>
      <c r="N283" s="5">
        <v>0</v>
      </c>
      <c r="O283" s="5">
        <v>0</v>
      </c>
      <c r="P283" s="5">
        <v>0</v>
      </c>
      <c r="Q283" s="5">
        <v>0</v>
      </c>
      <c r="R283" s="5">
        <v>0</v>
      </c>
    </row>
    <row r="284" spans="1:18" ht="15" customHeight="1" x14ac:dyDescent="0.25">
      <c r="A284" s="5">
        <v>140</v>
      </c>
      <c r="B284" s="5" t="s">
        <v>16</v>
      </c>
      <c r="C284" s="5" t="s">
        <v>914</v>
      </c>
      <c r="D284" s="5" t="s">
        <v>985</v>
      </c>
      <c r="E284" s="5" t="s">
        <v>834</v>
      </c>
      <c r="F284" s="5">
        <v>2</v>
      </c>
      <c r="G284" s="5">
        <v>5.5</v>
      </c>
      <c r="H284" s="5">
        <v>5.5</v>
      </c>
      <c r="I284" s="5">
        <v>0</v>
      </c>
      <c r="J284" s="5">
        <v>0</v>
      </c>
      <c r="K284" s="5">
        <v>0</v>
      </c>
      <c r="L284" s="5">
        <v>0</v>
      </c>
      <c r="M284" s="5">
        <v>0</v>
      </c>
      <c r="N284" s="5">
        <v>0</v>
      </c>
      <c r="O284" s="5">
        <v>0</v>
      </c>
      <c r="P284" s="5">
        <v>0</v>
      </c>
      <c r="Q284" s="5">
        <v>0</v>
      </c>
      <c r="R284" s="5">
        <v>0</v>
      </c>
    </row>
    <row r="285" spans="1:18" ht="15" customHeight="1" x14ac:dyDescent="0.25">
      <c r="A285" s="5">
        <v>7164</v>
      </c>
      <c r="B285" s="5" t="s">
        <v>16</v>
      </c>
      <c r="C285" s="5" t="s">
        <v>899</v>
      </c>
      <c r="D285" s="5" t="s">
        <v>619</v>
      </c>
      <c r="E285" s="5" t="s">
        <v>837</v>
      </c>
      <c r="F285" s="5">
        <v>1</v>
      </c>
      <c r="G285" s="5">
        <v>5</v>
      </c>
      <c r="H285" s="5">
        <v>5</v>
      </c>
      <c r="I285" s="5">
        <v>0</v>
      </c>
      <c r="J285" s="5">
        <v>0</v>
      </c>
      <c r="K285" s="5">
        <v>0</v>
      </c>
      <c r="L285" s="5">
        <v>0</v>
      </c>
      <c r="M285" s="5">
        <v>0</v>
      </c>
      <c r="N285" s="5">
        <v>0</v>
      </c>
      <c r="O285" s="5">
        <v>0</v>
      </c>
      <c r="P285" s="5">
        <v>0</v>
      </c>
      <c r="Q285" s="5">
        <v>0</v>
      </c>
      <c r="R285" s="5">
        <v>0</v>
      </c>
    </row>
    <row r="286" spans="1:18" ht="15" customHeight="1" x14ac:dyDescent="0.25">
      <c r="A286" s="5">
        <v>7136</v>
      </c>
      <c r="B286" s="5" t="s">
        <v>16</v>
      </c>
      <c r="C286" s="5" t="s">
        <v>899</v>
      </c>
      <c r="D286" s="5" t="s">
        <v>986</v>
      </c>
      <c r="E286" s="5" t="s">
        <v>837</v>
      </c>
      <c r="F286" s="5">
        <v>4</v>
      </c>
      <c r="G286" s="5">
        <v>5.5</v>
      </c>
      <c r="H286" s="5">
        <v>5.5</v>
      </c>
      <c r="I286" s="5">
        <v>0</v>
      </c>
      <c r="J286" s="5">
        <v>0</v>
      </c>
      <c r="K286" s="5">
        <v>0</v>
      </c>
      <c r="L286" s="5">
        <v>0</v>
      </c>
      <c r="M286" s="5">
        <v>0</v>
      </c>
      <c r="N286" s="5">
        <v>0</v>
      </c>
      <c r="O286" s="5">
        <v>0</v>
      </c>
      <c r="P286" s="5">
        <v>0</v>
      </c>
      <c r="Q286" s="5">
        <v>0</v>
      </c>
      <c r="R286" s="5">
        <v>0</v>
      </c>
    </row>
    <row r="287" spans="1:18" ht="15" customHeight="1" x14ac:dyDescent="0.25">
      <c r="A287" s="5">
        <v>7182</v>
      </c>
      <c r="B287" s="5" t="s">
        <v>16</v>
      </c>
      <c r="C287" s="5" t="s">
        <v>898</v>
      </c>
      <c r="D287" s="5" t="s">
        <v>546</v>
      </c>
      <c r="E287" s="5" t="s">
        <v>837</v>
      </c>
      <c r="F287" s="5">
        <v>9</v>
      </c>
      <c r="G287" s="5">
        <v>5.5</v>
      </c>
      <c r="H287" s="5">
        <v>5.5</v>
      </c>
      <c r="I287" s="5">
        <v>0</v>
      </c>
      <c r="J287" s="5">
        <v>0</v>
      </c>
      <c r="K287" s="5">
        <v>0</v>
      </c>
      <c r="L287" s="5">
        <v>0</v>
      </c>
      <c r="M287" s="5">
        <v>0</v>
      </c>
      <c r="N287" s="5">
        <v>0</v>
      </c>
      <c r="O287" s="5">
        <v>0</v>
      </c>
      <c r="P287" s="5">
        <v>0</v>
      </c>
      <c r="Q287" s="5">
        <v>0</v>
      </c>
      <c r="R287" s="5">
        <v>0</v>
      </c>
    </row>
    <row r="288" spans="1:18" ht="15" customHeight="1" x14ac:dyDescent="0.25">
      <c r="A288" s="5">
        <v>7140</v>
      </c>
      <c r="B288" s="5" t="s">
        <v>16</v>
      </c>
      <c r="C288" s="5" t="s">
        <v>896</v>
      </c>
      <c r="D288" s="5" t="s">
        <v>987</v>
      </c>
      <c r="E288" s="5" t="s">
        <v>867</v>
      </c>
      <c r="F288" s="5">
        <v>5</v>
      </c>
      <c r="G288" s="5">
        <v>5.0999999999999996</v>
      </c>
      <c r="H288" s="5">
        <v>4.9000000000000004</v>
      </c>
      <c r="I288" s="5">
        <v>0</v>
      </c>
      <c r="J288" s="5">
        <v>0</v>
      </c>
      <c r="K288" s="5">
        <v>0</v>
      </c>
      <c r="L288" s="5">
        <v>0</v>
      </c>
      <c r="M288" s="5">
        <v>0</v>
      </c>
      <c r="N288" s="5">
        <v>0</v>
      </c>
      <c r="O288" s="5">
        <v>0</v>
      </c>
      <c r="P288" s="5">
        <v>3</v>
      </c>
      <c r="Q288" s="5">
        <v>0</v>
      </c>
      <c r="R288" s="5">
        <v>0</v>
      </c>
    </row>
    <row r="289" spans="1:18" ht="15" customHeight="1" x14ac:dyDescent="0.25">
      <c r="A289" s="5">
        <v>7170</v>
      </c>
      <c r="B289" s="5" t="s">
        <v>16</v>
      </c>
      <c r="C289" s="5" t="s">
        <v>896</v>
      </c>
      <c r="D289" s="5" t="s">
        <v>988</v>
      </c>
      <c r="E289" s="5" t="s">
        <v>867</v>
      </c>
      <c r="F289" s="5">
        <v>0</v>
      </c>
      <c r="G289" s="5">
        <v>0</v>
      </c>
      <c r="H289" s="5">
        <v>0</v>
      </c>
      <c r="I289" s="5">
        <v>0</v>
      </c>
      <c r="J289" s="5">
        <v>0</v>
      </c>
      <c r="K289" s="5">
        <v>0</v>
      </c>
      <c r="L289" s="5">
        <v>0</v>
      </c>
      <c r="M289" s="5">
        <v>0</v>
      </c>
      <c r="N289" s="5">
        <v>0</v>
      </c>
      <c r="O289" s="5">
        <v>0</v>
      </c>
      <c r="P289" s="5">
        <v>0</v>
      </c>
      <c r="Q289" s="5">
        <v>0</v>
      </c>
      <c r="R289" s="5">
        <v>0</v>
      </c>
    </row>
    <row r="290" spans="1:18" ht="15" customHeight="1" x14ac:dyDescent="0.25">
      <c r="A290" s="5">
        <v>7142</v>
      </c>
      <c r="B290" s="5" t="s">
        <v>16</v>
      </c>
      <c r="C290" s="5" t="s">
        <v>904</v>
      </c>
      <c r="D290" s="5" t="s">
        <v>989</v>
      </c>
      <c r="E290" s="5" t="s">
        <v>867</v>
      </c>
      <c r="F290" s="5">
        <v>0</v>
      </c>
      <c r="G290" s="5">
        <v>0</v>
      </c>
      <c r="H290" s="5">
        <v>0</v>
      </c>
      <c r="I290" s="5">
        <v>0</v>
      </c>
      <c r="J290" s="5">
        <v>0</v>
      </c>
      <c r="K290" s="5">
        <v>0</v>
      </c>
      <c r="L290" s="5">
        <v>0</v>
      </c>
      <c r="M290" s="5">
        <v>0</v>
      </c>
      <c r="N290" s="5">
        <v>0</v>
      </c>
      <c r="O290" s="5">
        <v>0</v>
      </c>
      <c r="P290" s="5">
        <v>0</v>
      </c>
      <c r="Q290" s="5">
        <v>0</v>
      </c>
      <c r="R290" s="5">
        <v>0</v>
      </c>
    </row>
    <row r="291" spans="1:18" ht="15" customHeight="1" x14ac:dyDescent="0.25">
      <c r="A291" s="5">
        <v>6885</v>
      </c>
      <c r="B291" s="5" t="s">
        <v>16</v>
      </c>
      <c r="C291" s="5" t="s">
        <v>904</v>
      </c>
      <c r="D291" s="5" t="s">
        <v>990</v>
      </c>
      <c r="E291" s="5" t="s">
        <v>824</v>
      </c>
      <c r="F291" s="5">
        <v>0</v>
      </c>
      <c r="G291" s="5">
        <v>0</v>
      </c>
      <c r="H291" s="5">
        <v>0</v>
      </c>
      <c r="I291" s="5">
        <v>0</v>
      </c>
      <c r="J291" s="5">
        <v>0</v>
      </c>
      <c r="K291" s="5">
        <v>0</v>
      </c>
      <c r="L291" s="5">
        <v>0</v>
      </c>
      <c r="M291" s="5">
        <v>0</v>
      </c>
      <c r="N291" s="5">
        <v>0</v>
      </c>
      <c r="O291" s="5">
        <v>0</v>
      </c>
      <c r="P291" s="5">
        <v>0</v>
      </c>
      <c r="Q291" s="5">
        <v>0</v>
      </c>
      <c r="R291" s="5">
        <v>0</v>
      </c>
    </row>
    <row r="292" spans="1:18" ht="15" customHeight="1" x14ac:dyDescent="0.25">
      <c r="A292" s="5">
        <v>7154</v>
      </c>
      <c r="B292" s="5" t="s">
        <v>16</v>
      </c>
      <c r="C292" s="5" t="s">
        <v>896</v>
      </c>
      <c r="D292" s="5" t="s">
        <v>991</v>
      </c>
      <c r="E292" s="5" t="s">
        <v>839</v>
      </c>
      <c r="F292" s="5">
        <v>0</v>
      </c>
      <c r="G292" s="5">
        <v>0</v>
      </c>
      <c r="H292" s="5">
        <v>0</v>
      </c>
      <c r="I292" s="5">
        <v>0</v>
      </c>
      <c r="J292" s="5">
        <v>0</v>
      </c>
      <c r="K292" s="5">
        <v>0</v>
      </c>
      <c r="L292" s="5">
        <v>0</v>
      </c>
      <c r="M292" s="5">
        <v>0</v>
      </c>
      <c r="N292" s="5">
        <v>0</v>
      </c>
      <c r="O292" s="5">
        <v>0</v>
      </c>
      <c r="P292" s="5">
        <v>0</v>
      </c>
      <c r="Q292" s="5">
        <v>0</v>
      </c>
      <c r="R292" s="5">
        <v>0</v>
      </c>
    </row>
    <row r="293" spans="1:18" ht="15" customHeight="1" x14ac:dyDescent="0.25">
      <c r="A293" s="5">
        <v>2279</v>
      </c>
      <c r="B293" s="5" t="s">
        <v>16</v>
      </c>
      <c r="C293" s="5" t="s">
        <v>896</v>
      </c>
      <c r="D293" s="5" t="s">
        <v>992</v>
      </c>
      <c r="E293" s="5" t="s">
        <v>839</v>
      </c>
      <c r="F293" s="5">
        <v>5</v>
      </c>
      <c r="G293" s="5">
        <v>5.7</v>
      </c>
      <c r="H293" s="5">
        <v>5.7</v>
      </c>
      <c r="I293" s="5">
        <v>0</v>
      </c>
      <c r="J293" s="5">
        <v>0</v>
      </c>
      <c r="K293" s="5">
        <v>0</v>
      </c>
      <c r="L293" s="5">
        <v>0</v>
      </c>
      <c r="M293" s="5">
        <v>0</v>
      </c>
      <c r="N293" s="5">
        <v>0</v>
      </c>
      <c r="O293" s="5">
        <v>0</v>
      </c>
      <c r="P293" s="5">
        <v>0</v>
      </c>
      <c r="Q293" s="5">
        <v>0</v>
      </c>
      <c r="R293" s="5">
        <v>0</v>
      </c>
    </row>
    <row r="294" spans="1:18" ht="15" customHeight="1" x14ac:dyDescent="0.25">
      <c r="A294" s="5">
        <v>6431</v>
      </c>
      <c r="B294" s="5" t="s">
        <v>16</v>
      </c>
      <c r="C294" s="5" t="s">
        <v>904</v>
      </c>
      <c r="D294" s="5" t="s">
        <v>993</v>
      </c>
      <c r="E294" s="5" t="s">
        <v>839</v>
      </c>
      <c r="F294" s="5">
        <v>0</v>
      </c>
      <c r="G294" s="5">
        <v>0</v>
      </c>
      <c r="H294" s="5">
        <v>0</v>
      </c>
      <c r="I294" s="5">
        <v>0</v>
      </c>
      <c r="J294" s="5">
        <v>0</v>
      </c>
      <c r="K294" s="5">
        <v>0</v>
      </c>
      <c r="L294" s="5">
        <v>0</v>
      </c>
      <c r="M294" s="5">
        <v>0</v>
      </c>
      <c r="N294" s="5">
        <v>0</v>
      </c>
      <c r="O294" s="5">
        <v>0</v>
      </c>
      <c r="P294" s="5">
        <v>0</v>
      </c>
      <c r="Q294" s="5">
        <v>0</v>
      </c>
      <c r="R294" s="5">
        <v>0</v>
      </c>
    </row>
    <row r="295" spans="1:18" ht="15" customHeight="1" x14ac:dyDescent="0.25">
      <c r="A295" s="5">
        <v>7156</v>
      </c>
      <c r="B295" s="5" t="s">
        <v>16</v>
      </c>
      <c r="C295" s="5" t="s">
        <v>898</v>
      </c>
      <c r="D295" s="5" t="s">
        <v>620</v>
      </c>
      <c r="E295" s="5" t="s">
        <v>839</v>
      </c>
      <c r="F295" s="5">
        <v>0</v>
      </c>
      <c r="G295" s="5">
        <v>0</v>
      </c>
      <c r="H295" s="5">
        <v>0</v>
      </c>
      <c r="I295" s="5">
        <v>0</v>
      </c>
      <c r="J295" s="5">
        <v>0</v>
      </c>
      <c r="K295" s="5">
        <v>0</v>
      </c>
      <c r="L295" s="5">
        <v>0</v>
      </c>
      <c r="M295" s="5">
        <v>0</v>
      </c>
      <c r="N295" s="5">
        <v>0</v>
      </c>
      <c r="O295" s="5">
        <v>0</v>
      </c>
      <c r="P295" s="5">
        <v>0</v>
      </c>
      <c r="Q295" s="5">
        <v>0</v>
      </c>
      <c r="R295" s="5">
        <v>0</v>
      </c>
    </row>
    <row r="296" spans="1:18" ht="15" customHeight="1" x14ac:dyDescent="0.25">
      <c r="A296" s="5">
        <v>6041</v>
      </c>
      <c r="B296" s="5" t="s">
        <v>16</v>
      </c>
      <c r="C296" s="5" t="s">
        <v>896</v>
      </c>
      <c r="D296" s="5" t="s">
        <v>994</v>
      </c>
      <c r="E296" s="5" t="s">
        <v>843</v>
      </c>
      <c r="F296" s="5">
        <v>0</v>
      </c>
      <c r="G296" s="5">
        <v>0</v>
      </c>
      <c r="H296" s="5">
        <v>0</v>
      </c>
      <c r="I296" s="5">
        <v>0</v>
      </c>
      <c r="J296" s="5">
        <v>0</v>
      </c>
      <c r="K296" s="5">
        <v>0</v>
      </c>
      <c r="L296" s="5">
        <v>0</v>
      </c>
      <c r="M296" s="5">
        <v>0</v>
      </c>
      <c r="N296" s="5">
        <v>0</v>
      </c>
      <c r="O296" s="5">
        <v>0</v>
      </c>
      <c r="P296" s="5">
        <v>0</v>
      </c>
      <c r="Q296" s="5">
        <v>0</v>
      </c>
      <c r="R296" s="5">
        <v>0</v>
      </c>
    </row>
    <row r="297" spans="1:18" ht="15" customHeight="1" x14ac:dyDescent="0.25">
      <c r="A297" s="5">
        <v>6826</v>
      </c>
      <c r="B297" s="5" t="s">
        <v>16</v>
      </c>
      <c r="C297" s="5" t="s">
        <v>904</v>
      </c>
      <c r="D297" s="5" t="s">
        <v>995</v>
      </c>
      <c r="E297" s="5" t="s">
        <v>843</v>
      </c>
      <c r="F297" s="5">
        <v>1</v>
      </c>
      <c r="G297" s="5">
        <v>5</v>
      </c>
      <c r="H297" s="5">
        <v>5</v>
      </c>
      <c r="I297" s="5">
        <v>0</v>
      </c>
      <c r="J297" s="5">
        <v>0</v>
      </c>
      <c r="K297" s="5">
        <v>0</v>
      </c>
      <c r="L297" s="5">
        <v>0</v>
      </c>
      <c r="M297" s="5">
        <v>0</v>
      </c>
      <c r="N297" s="5">
        <v>0</v>
      </c>
      <c r="O297" s="5">
        <v>0</v>
      </c>
      <c r="P297" s="5">
        <v>0</v>
      </c>
      <c r="Q297" s="5">
        <v>0</v>
      </c>
      <c r="R297" s="5">
        <v>0</v>
      </c>
    </row>
    <row r="298" spans="1:18" ht="15" customHeight="1" x14ac:dyDescent="0.25">
      <c r="A298" s="5">
        <v>6900</v>
      </c>
      <c r="B298" s="5" t="s">
        <v>16</v>
      </c>
      <c r="C298" s="5" t="s">
        <v>895</v>
      </c>
      <c r="D298" s="5" t="s">
        <v>996</v>
      </c>
      <c r="E298" s="5" t="s">
        <v>835</v>
      </c>
      <c r="F298" s="5">
        <v>2</v>
      </c>
      <c r="G298" s="5">
        <v>5.75</v>
      </c>
      <c r="H298" s="5">
        <v>6.25</v>
      </c>
      <c r="I298" s="5">
        <v>0</v>
      </c>
      <c r="J298" s="5">
        <v>0</v>
      </c>
      <c r="K298" s="5">
        <v>0</v>
      </c>
      <c r="L298" s="5">
        <v>0</v>
      </c>
      <c r="M298" s="5">
        <v>0</v>
      </c>
      <c r="N298" s="5">
        <v>0</v>
      </c>
      <c r="O298" s="5">
        <v>1</v>
      </c>
      <c r="P298" s="5">
        <v>0</v>
      </c>
      <c r="Q298" s="5">
        <v>0</v>
      </c>
      <c r="R298" s="5">
        <v>0</v>
      </c>
    </row>
    <row r="299" spans="1:18" ht="15" customHeight="1" x14ac:dyDescent="0.25">
      <c r="A299" s="5">
        <v>7196</v>
      </c>
      <c r="B299" s="5" t="s">
        <v>16</v>
      </c>
      <c r="C299" s="5" t="s">
        <v>896</v>
      </c>
      <c r="D299" s="5" t="s">
        <v>997</v>
      </c>
      <c r="E299" s="5" t="s">
        <v>867</v>
      </c>
      <c r="F299" s="5">
        <v>2</v>
      </c>
      <c r="G299" s="5">
        <v>5.5</v>
      </c>
      <c r="H299" s="5">
        <v>5.25</v>
      </c>
      <c r="I299" s="5">
        <v>0</v>
      </c>
      <c r="J299" s="5">
        <v>0</v>
      </c>
      <c r="K299" s="5">
        <v>0</v>
      </c>
      <c r="L299" s="5">
        <v>0</v>
      </c>
      <c r="M299" s="5">
        <v>0</v>
      </c>
      <c r="N299" s="5">
        <v>0</v>
      </c>
      <c r="O299" s="5">
        <v>0</v>
      </c>
      <c r="P299" s="5">
        <v>1</v>
      </c>
      <c r="Q299" s="5">
        <v>0</v>
      </c>
      <c r="R299" s="5">
        <v>0</v>
      </c>
    </row>
    <row r="300" spans="1:18" ht="15" customHeight="1" x14ac:dyDescent="0.25">
      <c r="A300" s="5">
        <v>6985</v>
      </c>
      <c r="B300" s="5" t="s">
        <v>16</v>
      </c>
      <c r="C300" s="5" t="s">
        <v>903</v>
      </c>
      <c r="D300" s="5" t="s">
        <v>412</v>
      </c>
      <c r="E300" s="5" t="s">
        <v>839</v>
      </c>
      <c r="F300" s="5">
        <v>8</v>
      </c>
      <c r="G300" s="5">
        <v>5.69</v>
      </c>
      <c r="H300" s="5">
        <v>5.56</v>
      </c>
      <c r="I300" s="5">
        <v>0</v>
      </c>
      <c r="J300" s="5">
        <v>0</v>
      </c>
      <c r="K300" s="5">
        <v>0</v>
      </c>
      <c r="L300" s="5">
        <v>0</v>
      </c>
      <c r="M300" s="5">
        <v>0</v>
      </c>
      <c r="N300" s="5">
        <v>0</v>
      </c>
      <c r="O300" s="5">
        <v>0</v>
      </c>
      <c r="P300" s="5">
        <v>2</v>
      </c>
      <c r="Q300" s="5">
        <v>0</v>
      </c>
      <c r="R300" s="5">
        <v>0</v>
      </c>
    </row>
    <row r="301" spans="1:18" ht="15" customHeight="1" x14ac:dyDescent="0.25">
      <c r="A301" s="5">
        <v>5324</v>
      </c>
      <c r="B301" s="5" t="s">
        <v>16</v>
      </c>
      <c r="C301" s="5" t="s">
        <v>998</v>
      </c>
      <c r="D301" s="5" t="s">
        <v>999</v>
      </c>
      <c r="E301" s="5" t="s">
        <v>826</v>
      </c>
      <c r="F301" s="5">
        <v>0</v>
      </c>
      <c r="G301" s="5">
        <v>0</v>
      </c>
      <c r="H301" s="5">
        <v>0</v>
      </c>
      <c r="I301" s="5">
        <v>0</v>
      </c>
      <c r="J301" s="5">
        <v>0</v>
      </c>
      <c r="K301" s="5">
        <v>0</v>
      </c>
      <c r="L301" s="5">
        <v>0</v>
      </c>
      <c r="M301" s="5">
        <v>0</v>
      </c>
      <c r="N301" s="5">
        <v>0</v>
      </c>
      <c r="O301" s="5">
        <v>0</v>
      </c>
      <c r="P301" s="5">
        <v>0</v>
      </c>
      <c r="Q301" s="5">
        <v>0</v>
      </c>
      <c r="R301" s="5">
        <v>0</v>
      </c>
    </row>
    <row r="302" spans="1:18" ht="15" customHeight="1" x14ac:dyDescent="0.25">
      <c r="A302" s="5">
        <v>7238</v>
      </c>
      <c r="B302" s="5" t="s">
        <v>16</v>
      </c>
      <c r="C302" s="5" t="s">
        <v>896</v>
      </c>
      <c r="D302" s="5" t="s">
        <v>472</v>
      </c>
      <c r="E302" s="5" t="s">
        <v>829</v>
      </c>
      <c r="F302" s="5">
        <v>1</v>
      </c>
      <c r="G302" s="5">
        <v>6</v>
      </c>
      <c r="H302" s="5">
        <v>6</v>
      </c>
      <c r="I302" s="5">
        <v>0</v>
      </c>
      <c r="J302" s="5">
        <v>0</v>
      </c>
      <c r="K302" s="5">
        <v>0</v>
      </c>
      <c r="L302" s="5">
        <v>0</v>
      </c>
      <c r="M302" s="5">
        <v>0</v>
      </c>
      <c r="N302" s="5">
        <v>0</v>
      </c>
      <c r="O302" s="5">
        <v>0</v>
      </c>
      <c r="P302" s="5">
        <v>0</v>
      </c>
      <c r="Q302" s="5">
        <v>0</v>
      </c>
      <c r="R302" s="5">
        <v>0</v>
      </c>
    </row>
    <row r="303" spans="1:18" ht="15" customHeight="1" x14ac:dyDescent="0.25">
      <c r="A303" s="5">
        <v>6351</v>
      </c>
      <c r="B303" s="5" t="s">
        <v>16</v>
      </c>
      <c r="C303" s="5" t="s">
        <v>914</v>
      </c>
      <c r="D303" s="5" t="s">
        <v>1000</v>
      </c>
      <c r="E303" s="5" t="s">
        <v>829</v>
      </c>
      <c r="F303" s="5">
        <v>1</v>
      </c>
      <c r="G303" s="5">
        <v>6</v>
      </c>
      <c r="H303" s="5">
        <v>6</v>
      </c>
      <c r="I303" s="5">
        <v>0</v>
      </c>
      <c r="J303" s="5">
        <v>0</v>
      </c>
      <c r="K303" s="5">
        <v>0</v>
      </c>
      <c r="L303" s="5">
        <v>0</v>
      </c>
      <c r="M303" s="5">
        <v>0</v>
      </c>
      <c r="N303" s="5">
        <v>0</v>
      </c>
      <c r="O303" s="5">
        <v>0</v>
      </c>
      <c r="P303" s="5">
        <v>0</v>
      </c>
      <c r="Q303" s="5">
        <v>0</v>
      </c>
      <c r="R303" s="5">
        <v>0</v>
      </c>
    </row>
    <row r="304" spans="1:18" ht="15" customHeight="1" x14ac:dyDescent="0.25">
      <c r="A304" s="5">
        <v>6870</v>
      </c>
      <c r="B304" s="5" t="s">
        <v>16</v>
      </c>
      <c r="C304" s="5" t="s">
        <v>896</v>
      </c>
      <c r="D304" s="5" t="s">
        <v>1001</v>
      </c>
      <c r="E304" s="5" t="s">
        <v>862</v>
      </c>
      <c r="F304" s="5">
        <v>7</v>
      </c>
      <c r="G304" s="5">
        <v>5.71</v>
      </c>
      <c r="H304" s="5">
        <v>5.64</v>
      </c>
      <c r="I304" s="5">
        <v>0</v>
      </c>
      <c r="J304" s="5">
        <v>0</v>
      </c>
      <c r="K304" s="5">
        <v>0</v>
      </c>
      <c r="L304" s="5">
        <v>0</v>
      </c>
      <c r="M304" s="5">
        <v>0</v>
      </c>
      <c r="N304" s="5">
        <v>0</v>
      </c>
      <c r="O304" s="5">
        <v>0</v>
      </c>
      <c r="P304" s="5">
        <v>1</v>
      </c>
      <c r="Q304" s="5">
        <v>0</v>
      </c>
      <c r="R304" s="5">
        <v>0</v>
      </c>
    </row>
    <row r="305" spans="1:18" ht="15" customHeight="1" x14ac:dyDescent="0.25">
      <c r="A305" s="5">
        <v>7271</v>
      </c>
      <c r="B305" s="5" t="s">
        <v>16</v>
      </c>
      <c r="C305" s="5" t="s">
        <v>896</v>
      </c>
      <c r="D305" s="5" t="s">
        <v>1002</v>
      </c>
      <c r="E305" s="5" t="s">
        <v>828</v>
      </c>
      <c r="F305" s="5">
        <v>0</v>
      </c>
      <c r="G305" s="5">
        <v>0</v>
      </c>
      <c r="H305" s="5">
        <v>0</v>
      </c>
      <c r="I305" s="5">
        <v>0</v>
      </c>
      <c r="J305" s="5">
        <v>0</v>
      </c>
      <c r="K305" s="5">
        <v>0</v>
      </c>
      <c r="L305" s="5">
        <v>0</v>
      </c>
      <c r="M305" s="5">
        <v>0</v>
      </c>
      <c r="N305" s="5">
        <v>0</v>
      </c>
      <c r="O305" s="5">
        <v>0</v>
      </c>
      <c r="P305" s="5">
        <v>0</v>
      </c>
      <c r="Q305" s="5">
        <v>0</v>
      </c>
      <c r="R305" s="5">
        <v>0</v>
      </c>
    </row>
    <row r="306" spans="1:18" ht="15" customHeight="1" x14ac:dyDescent="0.25">
      <c r="A306" s="5">
        <v>388</v>
      </c>
      <c r="B306" s="5" t="s">
        <v>16</v>
      </c>
      <c r="C306" s="5" t="s">
        <v>896</v>
      </c>
      <c r="D306" s="5" t="s">
        <v>1003</v>
      </c>
      <c r="E306" s="5" t="s">
        <v>867</v>
      </c>
      <c r="F306" s="5">
        <v>8</v>
      </c>
      <c r="G306" s="5">
        <v>5.62</v>
      </c>
      <c r="H306" s="5">
        <v>5.69</v>
      </c>
      <c r="I306" s="5">
        <v>0</v>
      </c>
      <c r="J306" s="5">
        <v>0</v>
      </c>
      <c r="K306" s="5">
        <v>0</v>
      </c>
      <c r="L306" s="5">
        <v>0</v>
      </c>
      <c r="M306" s="5">
        <v>0</v>
      </c>
      <c r="N306" s="5">
        <v>0</v>
      </c>
      <c r="O306" s="5">
        <v>1</v>
      </c>
      <c r="P306" s="5">
        <v>1</v>
      </c>
      <c r="Q306" s="5">
        <v>0</v>
      </c>
      <c r="R306" s="5">
        <v>0</v>
      </c>
    </row>
    <row r="307" spans="1:18" ht="15" customHeight="1" x14ac:dyDescent="0.25">
      <c r="A307" s="5">
        <v>6874</v>
      </c>
      <c r="B307" s="5" t="s">
        <v>16</v>
      </c>
      <c r="C307" s="5" t="s">
        <v>896</v>
      </c>
      <c r="D307" s="5" t="s">
        <v>1004</v>
      </c>
      <c r="E307" s="5" t="s">
        <v>825</v>
      </c>
      <c r="F307" s="5">
        <v>0</v>
      </c>
      <c r="G307" s="5">
        <v>0</v>
      </c>
      <c r="H307" s="5">
        <v>0</v>
      </c>
      <c r="I307" s="5">
        <v>0</v>
      </c>
      <c r="J307" s="5">
        <v>0</v>
      </c>
      <c r="K307" s="5">
        <v>0</v>
      </c>
      <c r="L307" s="5">
        <v>0</v>
      </c>
      <c r="M307" s="5">
        <v>0</v>
      </c>
      <c r="N307" s="5">
        <v>0</v>
      </c>
      <c r="O307" s="5">
        <v>0</v>
      </c>
      <c r="P307" s="5">
        <v>0</v>
      </c>
      <c r="Q307" s="5">
        <v>0</v>
      </c>
      <c r="R307" s="5">
        <v>0</v>
      </c>
    </row>
    <row r="308" spans="1:18" ht="15" customHeight="1" x14ac:dyDescent="0.25">
      <c r="A308" s="5">
        <v>7325</v>
      </c>
      <c r="B308" s="5" t="s">
        <v>16</v>
      </c>
      <c r="C308" s="5" t="s">
        <v>896</v>
      </c>
      <c r="D308" s="5" t="s">
        <v>1005</v>
      </c>
      <c r="E308" s="5" t="s">
        <v>867</v>
      </c>
      <c r="F308" s="5">
        <v>8</v>
      </c>
      <c r="G308" s="5">
        <v>5.25</v>
      </c>
      <c r="H308" s="5">
        <v>5.0599999999999996</v>
      </c>
      <c r="I308" s="5">
        <v>0</v>
      </c>
      <c r="J308" s="5">
        <v>0</v>
      </c>
      <c r="K308" s="5">
        <v>0</v>
      </c>
      <c r="L308" s="5">
        <v>0</v>
      </c>
      <c r="M308" s="5">
        <v>0</v>
      </c>
      <c r="N308" s="5">
        <v>0</v>
      </c>
      <c r="O308" s="5">
        <v>0</v>
      </c>
      <c r="P308" s="5">
        <v>1</v>
      </c>
      <c r="Q308" s="5">
        <v>1</v>
      </c>
      <c r="R308" s="5">
        <v>0</v>
      </c>
    </row>
    <row r="309" spans="1:18" ht="15" customHeight="1" x14ac:dyDescent="0.25">
      <c r="A309" s="5">
        <v>7346</v>
      </c>
      <c r="B309" s="5" t="s">
        <v>16</v>
      </c>
      <c r="C309" s="5" t="s">
        <v>904</v>
      </c>
      <c r="D309" s="5" t="s">
        <v>615</v>
      </c>
      <c r="E309" s="5" t="s">
        <v>832</v>
      </c>
      <c r="F309" s="5">
        <v>0</v>
      </c>
      <c r="G309" s="5">
        <v>0</v>
      </c>
      <c r="H309" s="5">
        <v>0</v>
      </c>
      <c r="I309" s="5">
        <v>0</v>
      </c>
      <c r="J309" s="5">
        <v>0</v>
      </c>
      <c r="K309" s="5">
        <v>0</v>
      </c>
      <c r="L309" s="5">
        <v>0</v>
      </c>
      <c r="M309" s="5">
        <v>0</v>
      </c>
      <c r="N309" s="5">
        <v>0</v>
      </c>
      <c r="O309" s="5">
        <v>0</v>
      </c>
      <c r="P309" s="5">
        <v>0</v>
      </c>
      <c r="Q309" s="5">
        <v>0</v>
      </c>
      <c r="R309" s="5">
        <v>0</v>
      </c>
    </row>
    <row r="310" spans="1:18" ht="15" customHeight="1" x14ac:dyDescent="0.25">
      <c r="A310" s="5">
        <v>6875</v>
      </c>
      <c r="B310" s="5" t="s">
        <v>17</v>
      </c>
      <c r="C310" s="5" t="s">
        <v>1006</v>
      </c>
      <c r="D310" s="5" t="s">
        <v>146</v>
      </c>
      <c r="E310" s="5" t="s">
        <v>827</v>
      </c>
      <c r="F310" s="5">
        <v>35</v>
      </c>
      <c r="G310" s="5">
        <v>6.37</v>
      </c>
      <c r="H310" s="5">
        <v>7.3</v>
      </c>
      <c r="I310" s="5">
        <v>12</v>
      </c>
      <c r="J310" s="5">
        <v>0</v>
      </c>
      <c r="K310" s="5">
        <v>0</v>
      </c>
      <c r="L310" s="5">
        <v>2</v>
      </c>
      <c r="M310" s="5">
        <v>0</v>
      </c>
      <c r="N310" s="5">
        <v>2</v>
      </c>
      <c r="O310" s="5">
        <v>5</v>
      </c>
      <c r="P310" s="5">
        <v>5</v>
      </c>
      <c r="Q310" s="5">
        <v>0</v>
      </c>
      <c r="R310" s="5">
        <v>0</v>
      </c>
    </row>
    <row r="311" spans="1:18" ht="15" customHeight="1" x14ac:dyDescent="0.25">
      <c r="A311" s="5">
        <v>4777</v>
      </c>
      <c r="B311" s="5" t="s">
        <v>17</v>
      </c>
      <c r="C311" s="5" t="s">
        <v>1007</v>
      </c>
      <c r="D311" s="5" t="s">
        <v>147</v>
      </c>
      <c r="E311" s="5" t="s">
        <v>830</v>
      </c>
      <c r="F311" s="5">
        <v>33</v>
      </c>
      <c r="G311" s="5">
        <v>6.39</v>
      </c>
      <c r="H311" s="5">
        <v>7.26</v>
      </c>
      <c r="I311" s="5">
        <v>10</v>
      </c>
      <c r="J311" s="5">
        <v>0</v>
      </c>
      <c r="K311" s="5">
        <v>0</v>
      </c>
      <c r="L311" s="5">
        <v>1</v>
      </c>
      <c r="M311" s="5">
        <v>0</v>
      </c>
      <c r="N311" s="5">
        <v>1</v>
      </c>
      <c r="O311" s="5">
        <v>2</v>
      </c>
      <c r="P311" s="5">
        <v>1</v>
      </c>
      <c r="Q311" s="5">
        <v>0</v>
      </c>
      <c r="R311" s="5">
        <v>0</v>
      </c>
    </row>
    <row r="312" spans="1:18" ht="15" customHeight="1" x14ac:dyDescent="0.25">
      <c r="A312" s="5">
        <v>7126</v>
      </c>
      <c r="B312" s="5" t="s">
        <v>17</v>
      </c>
      <c r="C312" s="5" t="s">
        <v>1008</v>
      </c>
      <c r="D312" s="5" t="s">
        <v>162</v>
      </c>
      <c r="E312" s="5" t="s">
        <v>827</v>
      </c>
      <c r="F312" s="5">
        <v>25</v>
      </c>
      <c r="G312" s="5">
        <v>6.3</v>
      </c>
      <c r="H312" s="5">
        <v>7.14</v>
      </c>
      <c r="I312" s="5">
        <v>6</v>
      </c>
      <c r="J312" s="5">
        <v>0</v>
      </c>
      <c r="K312" s="5">
        <v>0</v>
      </c>
      <c r="L312" s="5">
        <v>0</v>
      </c>
      <c r="M312" s="5">
        <v>0</v>
      </c>
      <c r="N312" s="5">
        <v>0</v>
      </c>
      <c r="O312" s="5">
        <v>3</v>
      </c>
      <c r="P312" s="5">
        <v>0</v>
      </c>
      <c r="Q312" s="5">
        <v>0</v>
      </c>
      <c r="R312" s="5">
        <v>0</v>
      </c>
    </row>
    <row r="313" spans="1:18" ht="15" customHeight="1" x14ac:dyDescent="0.25">
      <c r="A313" s="5">
        <v>2194</v>
      </c>
      <c r="B313" s="5" t="s">
        <v>17</v>
      </c>
      <c r="C313" s="5" t="s">
        <v>1009</v>
      </c>
      <c r="D313" s="5" t="s">
        <v>149</v>
      </c>
      <c r="E313" s="5" t="s">
        <v>825</v>
      </c>
      <c r="F313" s="5">
        <v>22</v>
      </c>
      <c r="G313" s="5">
        <v>6.52</v>
      </c>
      <c r="H313" s="5">
        <v>7.64</v>
      </c>
      <c r="I313" s="5">
        <v>9</v>
      </c>
      <c r="J313" s="5">
        <v>0</v>
      </c>
      <c r="K313" s="5">
        <v>0</v>
      </c>
      <c r="L313" s="5">
        <v>5</v>
      </c>
      <c r="M313" s="5">
        <v>4</v>
      </c>
      <c r="N313" s="5">
        <v>1</v>
      </c>
      <c r="O313" s="5">
        <v>4</v>
      </c>
      <c r="P313" s="5">
        <v>7</v>
      </c>
      <c r="Q313" s="5">
        <v>0</v>
      </c>
      <c r="R313" s="5">
        <v>0</v>
      </c>
    </row>
    <row r="314" spans="1:18" ht="15" customHeight="1" x14ac:dyDescent="0.25">
      <c r="A314" s="5">
        <v>2423</v>
      </c>
      <c r="B314" s="5" t="s">
        <v>17</v>
      </c>
      <c r="C314" s="5" t="s">
        <v>1006</v>
      </c>
      <c r="D314" s="5" t="s">
        <v>154</v>
      </c>
      <c r="E314" s="5" t="s">
        <v>828</v>
      </c>
      <c r="F314" s="5">
        <v>27</v>
      </c>
      <c r="G314" s="5">
        <v>6.15</v>
      </c>
      <c r="H314" s="5">
        <v>7.07</v>
      </c>
      <c r="I314" s="5">
        <v>8</v>
      </c>
      <c r="J314" s="5">
        <v>0</v>
      </c>
      <c r="K314" s="5">
        <v>0</v>
      </c>
      <c r="L314" s="5">
        <v>1</v>
      </c>
      <c r="M314" s="5">
        <v>0</v>
      </c>
      <c r="N314" s="5">
        <v>1</v>
      </c>
      <c r="O314" s="5">
        <v>4</v>
      </c>
      <c r="P314" s="5">
        <v>0</v>
      </c>
      <c r="Q314" s="5">
        <v>0</v>
      </c>
      <c r="R314" s="5">
        <v>0</v>
      </c>
    </row>
    <row r="315" spans="1:18" ht="15" customHeight="1" x14ac:dyDescent="0.25">
      <c r="A315" s="5">
        <v>2379</v>
      </c>
      <c r="B315" s="5" t="s">
        <v>17</v>
      </c>
      <c r="C315" s="5" t="s">
        <v>1007</v>
      </c>
      <c r="D315" s="5" t="s">
        <v>156</v>
      </c>
      <c r="E315" s="5" t="s">
        <v>828</v>
      </c>
      <c r="F315" s="5">
        <v>29</v>
      </c>
      <c r="G315" s="5">
        <v>6.33</v>
      </c>
      <c r="H315" s="5">
        <v>6.98</v>
      </c>
      <c r="I315" s="5">
        <v>6</v>
      </c>
      <c r="J315" s="5">
        <v>0</v>
      </c>
      <c r="K315" s="5">
        <v>0</v>
      </c>
      <c r="L315" s="5">
        <v>0</v>
      </c>
      <c r="M315" s="5">
        <v>0</v>
      </c>
      <c r="N315" s="5">
        <v>0</v>
      </c>
      <c r="O315" s="5">
        <v>4</v>
      </c>
      <c r="P315" s="5">
        <v>4</v>
      </c>
      <c r="Q315" s="5">
        <v>1</v>
      </c>
      <c r="R315" s="5">
        <v>0</v>
      </c>
    </row>
    <row r="316" spans="1:18" ht="15" customHeight="1" x14ac:dyDescent="0.25">
      <c r="A316" s="5">
        <v>2517</v>
      </c>
      <c r="B316" s="5" t="s">
        <v>17</v>
      </c>
      <c r="C316" s="5" t="s">
        <v>1008</v>
      </c>
      <c r="D316" s="5" t="s">
        <v>163</v>
      </c>
      <c r="E316" s="5" t="s">
        <v>830</v>
      </c>
      <c r="F316" s="5">
        <v>17</v>
      </c>
      <c r="G316" s="5">
        <v>6.26</v>
      </c>
      <c r="H316" s="5">
        <v>7.24</v>
      </c>
      <c r="I316" s="5">
        <v>5</v>
      </c>
      <c r="J316" s="5">
        <v>0</v>
      </c>
      <c r="K316" s="5">
        <v>0</v>
      </c>
      <c r="L316" s="5">
        <v>3</v>
      </c>
      <c r="M316" s="5">
        <v>3</v>
      </c>
      <c r="N316" s="5">
        <v>0</v>
      </c>
      <c r="O316" s="5">
        <v>2</v>
      </c>
      <c r="P316" s="5">
        <v>1</v>
      </c>
      <c r="Q316" s="5">
        <v>0</v>
      </c>
      <c r="R316" s="5">
        <v>0</v>
      </c>
    </row>
    <row r="317" spans="1:18" ht="15" customHeight="1" x14ac:dyDescent="0.25">
      <c r="A317" s="5">
        <v>5559</v>
      </c>
      <c r="B317" s="5" t="s">
        <v>17</v>
      </c>
      <c r="C317" s="5" t="s">
        <v>1010</v>
      </c>
      <c r="D317" s="5" t="s">
        <v>168</v>
      </c>
      <c r="E317" s="5" t="s">
        <v>827</v>
      </c>
      <c r="F317" s="5">
        <v>35</v>
      </c>
      <c r="G317" s="5">
        <v>6.34</v>
      </c>
      <c r="H317" s="5">
        <v>6.91</v>
      </c>
      <c r="I317" s="5">
        <v>6</v>
      </c>
      <c r="J317" s="5">
        <v>0</v>
      </c>
      <c r="K317" s="5">
        <v>0</v>
      </c>
      <c r="L317" s="5">
        <v>4</v>
      </c>
      <c r="M317" s="5">
        <v>4</v>
      </c>
      <c r="N317" s="5">
        <v>0</v>
      </c>
      <c r="O317" s="5">
        <v>4</v>
      </c>
      <c r="P317" s="5">
        <v>4</v>
      </c>
      <c r="Q317" s="5">
        <v>0</v>
      </c>
      <c r="R317" s="5">
        <v>0</v>
      </c>
    </row>
    <row r="318" spans="1:18" ht="15" customHeight="1" x14ac:dyDescent="0.25">
      <c r="A318" s="5">
        <v>152</v>
      </c>
      <c r="B318" s="5" t="s">
        <v>17</v>
      </c>
      <c r="C318" s="5" t="s">
        <v>1007</v>
      </c>
      <c r="D318" s="5" t="s">
        <v>217</v>
      </c>
      <c r="E318" s="5" t="s">
        <v>825</v>
      </c>
      <c r="F318" s="5">
        <v>30</v>
      </c>
      <c r="G318" s="5">
        <v>6.25</v>
      </c>
      <c r="H318" s="5">
        <v>6.8</v>
      </c>
      <c r="I318" s="5">
        <v>6</v>
      </c>
      <c r="J318" s="5">
        <v>0</v>
      </c>
      <c r="K318" s="5">
        <v>0</v>
      </c>
      <c r="L318" s="5">
        <v>1</v>
      </c>
      <c r="M318" s="5">
        <v>1</v>
      </c>
      <c r="N318" s="5">
        <v>0</v>
      </c>
      <c r="O318" s="5">
        <v>2</v>
      </c>
      <c r="P318" s="5">
        <v>3</v>
      </c>
      <c r="Q318" s="5">
        <v>0</v>
      </c>
      <c r="R318" s="5">
        <v>1</v>
      </c>
    </row>
    <row r="319" spans="1:18" ht="15" customHeight="1" x14ac:dyDescent="0.25">
      <c r="A319" s="5">
        <v>6908</v>
      </c>
      <c r="B319" s="5" t="s">
        <v>17</v>
      </c>
      <c r="C319" s="5" t="s">
        <v>17</v>
      </c>
      <c r="D319" s="5" t="s">
        <v>171</v>
      </c>
      <c r="E319" s="5" t="s">
        <v>835</v>
      </c>
      <c r="F319" s="5">
        <v>32</v>
      </c>
      <c r="G319" s="5">
        <v>6.36</v>
      </c>
      <c r="H319" s="5">
        <v>6.88</v>
      </c>
      <c r="I319" s="5">
        <v>5</v>
      </c>
      <c r="J319" s="5">
        <v>0</v>
      </c>
      <c r="K319" s="5">
        <v>0</v>
      </c>
      <c r="L319" s="5">
        <v>0</v>
      </c>
      <c r="M319" s="5">
        <v>0</v>
      </c>
      <c r="N319" s="5">
        <v>0</v>
      </c>
      <c r="O319" s="5">
        <v>3</v>
      </c>
      <c r="P319" s="5">
        <v>3</v>
      </c>
      <c r="Q319" s="5">
        <v>0</v>
      </c>
      <c r="R319" s="5">
        <v>0</v>
      </c>
    </row>
    <row r="320" spans="1:18" ht="15" customHeight="1" x14ac:dyDescent="0.25">
      <c r="A320" s="5">
        <v>5564</v>
      </c>
      <c r="B320" s="5" t="s">
        <v>17</v>
      </c>
      <c r="C320" s="5" t="s">
        <v>1011</v>
      </c>
      <c r="D320" s="5" t="s">
        <v>1012</v>
      </c>
      <c r="E320" s="5" t="s">
        <v>831</v>
      </c>
      <c r="F320" s="5">
        <v>0</v>
      </c>
      <c r="G320" s="5">
        <v>0</v>
      </c>
      <c r="H320" s="5">
        <v>0</v>
      </c>
      <c r="I320" s="5">
        <v>0</v>
      </c>
      <c r="J320" s="5">
        <v>0</v>
      </c>
      <c r="K320" s="5">
        <v>0</v>
      </c>
      <c r="L320" s="5">
        <v>0</v>
      </c>
      <c r="M320" s="5">
        <v>0</v>
      </c>
      <c r="N320" s="5">
        <v>0</v>
      </c>
      <c r="O320" s="5">
        <v>0</v>
      </c>
      <c r="P320" s="5">
        <v>0</v>
      </c>
      <c r="Q320" s="5">
        <v>0</v>
      </c>
      <c r="R320" s="5">
        <v>0</v>
      </c>
    </row>
    <row r="321" spans="1:18" ht="15" customHeight="1" x14ac:dyDescent="0.25">
      <c r="A321" s="5">
        <v>2167</v>
      </c>
      <c r="B321" s="5" t="s">
        <v>17</v>
      </c>
      <c r="C321" s="5" t="s">
        <v>1013</v>
      </c>
      <c r="D321" s="5" t="s">
        <v>152</v>
      </c>
      <c r="E321" s="5" t="s">
        <v>831</v>
      </c>
      <c r="F321" s="5">
        <v>34</v>
      </c>
      <c r="G321" s="5">
        <v>6.06</v>
      </c>
      <c r="H321" s="5">
        <v>6.76</v>
      </c>
      <c r="I321" s="5">
        <v>10</v>
      </c>
      <c r="J321" s="5">
        <v>0</v>
      </c>
      <c r="K321" s="5">
        <v>0</v>
      </c>
      <c r="L321" s="5">
        <v>6</v>
      </c>
      <c r="M321" s="5">
        <v>4</v>
      </c>
      <c r="N321" s="5">
        <v>2</v>
      </c>
      <c r="O321" s="5">
        <v>1</v>
      </c>
      <c r="P321" s="5">
        <v>2</v>
      </c>
      <c r="Q321" s="5">
        <v>0</v>
      </c>
      <c r="R321" s="5">
        <v>0</v>
      </c>
    </row>
    <row r="322" spans="1:18" ht="15" customHeight="1" x14ac:dyDescent="0.25">
      <c r="A322" s="5">
        <v>2766</v>
      </c>
      <c r="B322" s="5" t="s">
        <v>17</v>
      </c>
      <c r="C322" s="5" t="s">
        <v>1006</v>
      </c>
      <c r="D322" s="5" t="s">
        <v>169</v>
      </c>
      <c r="E322" s="5" t="s">
        <v>835</v>
      </c>
      <c r="F322" s="5">
        <v>31</v>
      </c>
      <c r="G322" s="5">
        <v>6.26</v>
      </c>
      <c r="H322" s="5">
        <v>6.77</v>
      </c>
      <c r="I322" s="5">
        <v>5</v>
      </c>
      <c r="J322" s="5">
        <v>0</v>
      </c>
      <c r="K322" s="5">
        <v>0</v>
      </c>
      <c r="L322" s="5">
        <v>0</v>
      </c>
      <c r="M322" s="5">
        <v>0</v>
      </c>
      <c r="N322" s="5">
        <v>0</v>
      </c>
      <c r="O322" s="5">
        <v>5</v>
      </c>
      <c r="P322" s="5">
        <v>8</v>
      </c>
      <c r="Q322" s="5">
        <v>0</v>
      </c>
      <c r="R322" s="5">
        <v>0</v>
      </c>
    </row>
    <row r="323" spans="1:18" ht="15" customHeight="1" x14ac:dyDescent="0.25">
      <c r="A323" s="5">
        <v>1870</v>
      </c>
      <c r="B323" s="5" t="s">
        <v>17</v>
      </c>
      <c r="C323" s="5" t="s">
        <v>17</v>
      </c>
      <c r="D323" s="5" t="s">
        <v>174</v>
      </c>
      <c r="E323" s="5" t="s">
        <v>825</v>
      </c>
      <c r="F323" s="5">
        <v>34</v>
      </c>
      <c r="G323" s="5">
        <v>6.28</v>
      </c>
      <c r="H323" s="5">
        <v>6.71</v>
      </c>
      <c r="I323" s="5">
        <v>3</v>
      </c>
      <c r="J323" s="5">
        <v>0</v>
      </c>
      <c r="K323" s="5">
        <v>0</v>
      </c>
      <c r="L323" s="5">
        <v>0</v>
      </c>
      <c r="M323" s="5">
        <v>0</v>
      </c>
      <c r="N323" s="5">
        <v>0</v>
      </c>
      <c r="O323" s="5">
        <v>9</v>
      </c>
      <c r="P323" s="5">
        <v>7</v>
      </c>
      <c r="Q323" s="5">
        <v>0</v>
      </c>
      <c r="R323" s="5">
        <v>0</v>
      </c>
    </row>
    <row r="324" spans="1:18" ht="15" customHeight="1" x14ac:dyDescent="0.25">
      <c r="A324" s="5">
        <v>4973</v>
      </c>
      <c r="B324" s="5" t="s">
        <v>17</v>
      </c>
      <c r="C324" s="5" t="s">
        <v>1009</v>
      </c>
      <c r="D324" s="5" t="s">
        <v>178</v>
      </c>
      <c r="E324" s="5" t="s">
        <v>833</v>
      </c>
      <c r="F324" s="5">
        <v>34</v>
      </c>
      <c r="G324" s="5">
        <v>6.13</v>
      </c>
      <c r="H324" s="5">
        <v>6.68</v>
      </c>
      <c r="I324" s="5">
        <v>5</v>
      </c>
      <c r="J324" s="5">
        <v>0</v>
      </c>
      <c r="K324" s="5">
        <v>0</v>
      </c>
      <c r="L324" s="5">
        <v>0</v>
      </c>
      <c r="M324" s="5">
        <v>0</v>
      </c>
      <c r="N324" s="5">
        <v>0</v>
      </c>
      <c r="O324" s="5">
        <v>6</v>
      </c>
      <c r="P324" s="5">
        <v>5</v>
      </c>
      <c r="Q324" s="5">
        <v>0</v>
      </c>
      <c r="R324" s="5">
        <v>0</v>
      </c>
    </row>
    <row r="325" spans="1:18" ht="15" customHeight="1" x14ac:dyDescent="0.25">
      <c r="A325" s="5">
        <v>6884</v>
      </c>
      <c r="B325" s="5" t="s">
        <v>17</v>
      </c>
      <c r="C325" s="5" t="s">
        <v>1013</v>
      </c>
      <c r="D325" s="5" t="s">
        <v>186</v>
      </c>
      <c r="E325" s="5" t="s">
        <v>833</v>
      </c>
      <c r="F325" s="5">
        <v>30</v>
      </c>
      <c r="G325" s="5">
        <v>6.28</v>
      </c>
      <c r="H325" s="5">
        <v>6.7</v>
      </c>
      <c r="I325" s="5">
        <v>3</v>
      </c>
      <c r="J325" s="5">
        <v>0</v>
      </c>
      <c r="K325" s="5">
        <v>0</v>
      </c>
      <c r="L325" s="5">
        <v>0</v>
      </c>
      <c r="M325" s="5">
        <v>0</v>
      </c>
      <c r="N325" s="5">
        <v>0</v>
      </c>
      <c r="O325" s="5">
        <v>5</v>
      </c>
      <c r="P325" s="5">
        <v>3</v>
      </c>
      <c r="Q325" s="5">
        <v>0</v>
      </c>
      <c r="R325" s="5">
        <v>0</v>
      </c>
    </row>
    <row r="326" spans="1:18" ht="15" customHeight="1" x14ac:dyDescent="0.25">
      <c r="A326" s="5">
        <v>2606</v>
      </c>
      <c r="B326" s="5" t="s">
        <v>17</v>
      </c>
      <c r="C326" s="5" t="s">
        <v>17</v>
      </c>
      <c r="D326" s="5" t="s">
        <v>199</v>
      </c>
      <c r="E326" s="5" t="s">
        <v>828</v>
      </c>
      <c r="F326" s="5">
        <v>33</v>
      </c>
      <c r="G326" s="5">
        <v>6.45</v>
      </c>
      <c r="H326" s="5">
        <v>6.67</v>
      </c>
      <c r="I326" s="5">
        <v>2</v>
      </c>
      <c r="J326" s="5">
        <v>0</v>
      </c>
      <c r="K326" s="5">
        <v>0</v>
      </c>
      <c r="L326" s="5">
        <v>0</v>
      </c>
      <c r="M326" s="5">
        <v>0</v>
      </c>
      <c r="N326" s="5">
        <v>0</v>
      </c>
      <c r="O326" s="5">
        <v>3</v>
      </c>
      <c r="P326" s="5">
        <v>4</v>
      </c>
      <c r="Q326" s="5">
        <v>0</v>
      </c>
      <c r="R326" s="5">
        <v>0</v>
      </c>
    </row>
    <row r="327" spans="1:18" ht="15" customHeight="1" x14ac:dyDescent="0.25">
      <c r="A327" s="5">
        <v>1933</v>
      </c>
      <c r="B327" s="5" t="s">
        <v>17</v>
      </c>
      <c r="C327" s="5" t="s">
        <v>1009</v>
      </c>
      <c r="D327" s="5" t="s">
        <v>252</v>
      </c>
      <c r="E327" s="5" t="s">
        <v>829</v>
      </c>
      <c r="F327" s="5">
        <v>34</v>
      </c>
      <c r="G327" s="5">
        <v>6.04</v>
      </c>
      <c r="H327" s="5">
        <v>6.62</v>
      </c>
      <c r="I327" s="5">
        <v>7</v>
      </c>
      <c r="J327" s="5">
        <v>0</v>
      </c>
      <c r="K327" s="5">
        <v>0</v>
      </c>
      <c r="L327" s="5">
        <v>1</v>
      </c>
      <c r="M327" s="5">
        <v>1</v>
      </c>
      <c r="N327" s="5">
        <v>0</v>
      </c>
      <c r="O327" s="5">
        <v>2</v>
      </c>
      <c r="P327" s="5">
        <v>7</v>
      </c>
      <c r="Q327" s="5">
        <v>0</v>
      </c>
      <c r="R327" s="5">
        <v>0</v>
      </c>
    </row>
    <row r="328" spans="1:18" ht="15" customHeight="1" x14ac:dyDescent="0.25">
      <c r="A328" s="5">
        <v>6717</v>
      </c>
      <c r="B328" s="5" t="s">
        <v>17</v>
      </c>
      <c r="C328" s="5" t="s">
        <v>1009</v>
      </c>
      <c r="D328" s="5" t="s">
        <v>302</v>
      </c>
      <c r="E328" s="5" t="s">
        <v>839</v>
      </c>
      <c r="F328" s="5">
        <v>35</v>
      </c>
      <c r="G328" s="5">
        <v>6.19</v>
      </c>
      <c r="H328" s="5">
        <v>6.63</v>
      </c>
      <c r="I328" s="5">
        <v>6</v>
      </c>
      <c r="J328" s="5">
        <v>0</v>
      </c>
      <c r="K328" s="5">
        <v>0</v>
      </c>
      <c r="L328" s="5">
        <v>0</v>
      </c>
      <c r="M328" s="5">
        <v>0</v>
      </c>
      <c r="N328" s="5">
        <v>0</v>
      </c>
      <c r="O328" s="5">
        <v>0</v>
      </c>
      <c r="P328" s="5">
        <v>3</v>
      </c>
      <c r="Q328" s="5">
        <v>1</v>
      </c>
      <c r="R328" s="5">
        <v>0</v>
      </c>
    </row>
    <row r="329" spans="1:18" ht="15" customHeight="1" x14ac:dyDescent="0.25">
      <c r="A329" s="5">
        <v>5687</v>
      </c>
      <c r="B329" s="5" t="s">
        <v>17</v>
      </c>
      <c r="C329" s="5" t="s">
        <v>1008</v>
      </c>
      <c r="D329" s="5" t="s">
        <v>177</v>
      </c>
      <c r="E329" s="5" t="s">
        <v>843</v>
      </c>
      <c r="F329" s="5">
        <v>37</v>
      </c>
      <c r="G329" s="5">
        <v>6.03</v>
      </c>
      <c r="H329" s="5">
        <v>6.66</v>
      </c>
      <c r="I329" s="5">
        <v>8</v>
      </c>
      <c r="J329" s="5">
        <v>0</v>
      </c>
      <c r="K329" s="5">
        <v>0</v>
      </c>
      <c r="L329" s="5">
        <v>5</v>
      </c>
      <c r="M329" s="5">
        <v>5</v>
      </c>
      <c r="N329" s="5">
        <v>0</v>
      </c>
      <c r="O329" s="5">
        <v>3</v>
      </c>
      <c r="P329" s="5">
        <v>7</v>
      </c>
      <c r="Q329" s="5">
        <v>0</v>
      </c>
      <c r="R329" s="5">
        <v>0</v>
      </c>
    </row>
    <row r="330" spans="1:18" ht="15" customHeight="1" x14ac:dyDescent="0.25">
      <c r="A330" s="5">
        <v>6151</v>
      </c>
      <c r="B330" s="5" t="s">
        <v>17</v>
      </c>
      <c r="C330" s="5" t="s">
        <v>1009</v>
      </c>
      <c r="D330" s="5" t="s">
        <v>227</v>
      </c>
      <c r="E330" s="5" t="s">
        <v>827</v>
      </c>
      <c r="F330" s="5">
        <v>36</v>
      </c>
      <c r="G330" s="5">
        <v>6.22</v>
      </c>
      <c r="H330" s="5">
        <v>6.47</v>
      </c>
      <c r="I330" s="5">
        <v>3</v>
      </c>
      <c r="J330" s="5">
        <v>0</v>
      </c>
      <c r="K330" s="5">
        <v>0</v>
      </c>
      <c r="L330" s="5">
        <v>0</v>
      </c>
      <c r="M330" s="5">
        <v>0</v>
      </c>
      <c r="N330" s="5">
        <v>0</v>
      </c>
      <c r="O330" s="5">
        <v>4</v>
      </c>
      <c r="P330" s="5">
        <v>8</v>
      </c>
      <c r="Q330" s="5">
        <v>0</v>
      </c>
      <c r="R330" s="5">
        <v>0</v>
      </c>
    </row>
    <row r="331" spans="1:18" ht="15" customHeight="1" x14ac:dyDescent="0.25">
      <c r="A331" s="5">
        <v>4970</v>
      </c>
      <c r="B331" s="5" t="s">
        <v>17</v>
      </c>
      <c r="C331" s="5" t="s">
        <v>1014</v>
      </c>
      <c r="D331" s="5" t="s">
        <v>494</v>
      </c>
      <c r="E331" s="5" t="s">
        <v>836</v>
      </c>
      <c r="F331" s="5">
        <v>19</v>
      </c>
      <c r="G331" s="5">
        <v>6.18</v>
      </c>
      <c r="H331" s="5">
        <v>6.68</v>
      </c>
      <c r="I331" s="5">
        <v>3</v>
      </c>
      <c r="J331" s="5">
        <v>0</v>
      </c>
      <c r="K331" s="5">
        <v>0</v>
      </c>
      <c r="L331" s="5">
        <v>1</v>
      </c>
      <c r="M331" s="5">
        <v>1</v>
      </c>
      <c r="N331" s="5">
        <v>0</v>
      </c>
      <c r="O331" s="5">
        <v>1</v>
      </c>
      <c r="P331" s="5">
        <v>1</v>
      </c>
      <c r="Q331" s="5">
        <v>0</v>
      </c>
      <c r="R331" s="5">
        <v>0</v>
      </c>
    </row>
    <row r="332" spans="1:18" ht="15" customHeight="1" x14ac:dyDescent="0.25">
      <c r="A332" s="5">
        <v>6398</v>
      </c>
      <c r="B332" s="5" t="s">
        <v>17</v>
      </c>
      <c r="C332" s="5" t="s">
        <v>1013</v>
      </c>
      <c r="D332" s="5" t="s">
        <v>264</v>
      </c>
      <c r="E332" s="5" t="s">
        <v>834</v>
      </c>
      <c r="F332" s="5">
        <v>27</v>
      </c>
      <c r="G332" s="5">
        <v>6.04</v>
      </c>
      <c r="H332" s="5">
        <v>6.63</v>
      </c>
      <c r="I332" s="5">
        <v>5</v>
      </c>
      <c r="J332" s="5">
        <v>0</v>
      </c>
      <c r="K332" s="5">
        <v>0</v>
      </c>
      <c r="L332" s="5">
        <v>0</v>
      </c>
      <c r="M332" s="5">
        <v>0</v>
      </c>
      <c r="N332" s="5">
        <v>0</v>
      </c>
      <c r="O332" s="5">
        <v>1</v>
      </c>
      <c r="P332" s="5">
        <v>0</v>
      </c>
      <c r="Q332" s="5">
        <v>0</v>
      </c>
      <c r="R332" s="5">
        <v>0</v>
      </c>
    </row>
    <row r="333" spans="1:18" ht="15" customHeight="1" x14ac:dyDescent="0.25">
      <c r="A333" s="5">
        <v>4427</v>
      </c>
      <c r="B333" s="5" t="s">
        <v>17</v>
      </c>
      <c r="C333" s="5" t="s">
        <v>1007</v>
      </c>
      <c r="D333" s="5" t="s">
        <v>1015</v>
      </c>
      <c r="E333" s="5" t="s">
        <v>836</v>
      </c>
      <c r="F333" s="5">
        <v>34</v>
      </c>
      <c r="G333" s="5">
        <v>6.07</v>
      </c>
      <c r="H333" s="5">
        <v>6.54</v>
      </c>
      <c r="I333" s="5">
        <v>6</v>
      </c>
      <c r="J333" s="5">
        <v>0</v>
      </c>
      <c r="K333" s="5">
        <v>0</v>
      </c>
      <c r="L333" s="5">
        <v>3</v>
      </c>
      <c r="M333" s="5">
        <v>3</v>
      </c>
      <c r="N333" s="5">
        <v>0</v>
      </c>
      <c r="O333" s="5">
        <v>3</v>
      </c>
      <c r="P333" s="5">
        <v>10</v>
      </c>
      <c r="Q333" s="5">
        <v>0</v>
      </c>
      <c r="R333" s="5">
        <v>0</v>
      </c>
    </row>
    <row r="334" spans="1:18" ht="15" customHeight="1" x14ac:dyDescent="0.25">
      <c r="A334" s="5">
        <v>4892</v>
      </c>
      <c r="B334" s="5" t="s">
        <v>17</v>
      </c>
      <c r="C334" s="5" t="s">
        <v>1016</v>
      </c>
      <c r="D334" s="5" t="s">
        <v>214</v>
      </c>
      <c r="E334" s="5" t="s">
        <v>828</v>
      </c>
      <c r="F334" s="5">
        <v>35</v>
      </c>
      <c r="G334" s="5">
        <v>6.14</v>
      </c>
      <c r="H334" s="5">
        <v>6.41</v>
      </c>
      <c r="I334" s="5">
        <v>3</v>
      </c>
      <c r="J334" s="5">
        <v>0</v>
      </c>
      <c r="K334" s="5">
        <v>0</v>
      </c>
      <c r="L334" s="5">
        <v>0</v>
      </c>
      <c r="M334" s="5">
        <v>0</v>
      </c>
      <c r="N334" s="5">
        <v>0</v>
      </c>
      <c r="O334" s="5">
        <v>3</v>
      </c>
      <c r="P334" s="5">
        <v>5</v>
      </c>
      <c r="Q334" s="5">
        <v>0</v>
      </c>
      <c r="R334" s="5">
        <v>0</v>
      </c>
    </row>
    <row r="335" spans="1:18" ht="15" customHeight="1" x14ac:dyDescent="0.25">
      <c r="A335" s="5">
        <v>4220</v>
      </c>
      <c r="B335" s="5" t="s">
        <v>17</v>
      </c>
      <c r="C335" s="5" t="s">
        <v>1009</v>
      </c>
      <c r="D335" s="5" t="s">
        <v>192</v>
      </c>
      <c r="E335" s="5" t="s">
        <v>830</v>
      </c>
      <c r="F335" s="5">
        <v>18</v>
      </c>
      <c r="G335" s="5">
        <v>6.17</v>
      </c>
      <c r="H335" s="5">
        <v>6.86</v>
      </c>
      <c r="I335" s="5">
        <v>4</v>
      </c>
      <c r="J335" s="5">
        <v>0</v>
      </c>
      <c r="K335" s="5">
        <v>0</v>
      </c>
      <c r="L335" s="5">
        <v>0</v>
      </c>
      <c r="M335" s="5">
        <v>0</v>
      </c>
      <c r="N335" s="5">
        <v>0</v>
      </c>
      <c r="O335" s="5">
        <v>1</v>
      </c>
      <c r="P335" s="5">
        <v>1</v>
      </c>
      <c r="Q335" s="5">
        <v>0</v>
      </c>
      <c r="R335" s="5">
        <v>0</v>
      </c>
    </row>
    <row r="336" spans="1:18" ht="15" customHeight="1" x14ac:dyDescent="0.25">
      <c r="A336" s="5">
        <v>6666</v>
      </c>
      <c r="B336" s="5" t="s">
        <v>17</v>
      </c>
      <c r="C336" s="5" t="s">
        <v>17</v>
      </c>
      <c r="D336" s="5" t="s">
        <v>232</v>
      </c>
      <c r="E336" s="5" t="s">
        <v>838</v>
      </c>
      <c r="F336" s="5">
        <v>32</v>
      </c>
      <c r="G336" s="5">
        <v>6.17</v>
      </c>
      <c r="H336" s="5">
        <v>6.48</v>
      </c>
      <c r="I336" s="5">
        <v>3</v>
      </c>
      <c r="J336" s="5">
        <v>0</v>
      </c>
      <c r="K336" s="5">
        <v>0</v>
      </c>
      <c r="L336" s="5">
        <v>0</v>
      </c>
      <c r="M336" s="5">
        <v>0</v>
      </c>
      <c r="N336" s="5">
        <v>0</v>
      </c>
      <c r="O336" s="5">
        <v>1</v>
      </c>
      <c r="P336" s="5">
        <v>0</v>
      </c>
      <c r="Q336" s="5">
        <v>0</v>
      </c>
      <c r="R336" s="5">
        <v>0</v>
      </c>
    </row>
    <row r="337" spans="1:18" ht="15" customHeight="1" x14ac:dyDescent="0.25">
      <c r="A337" s="5">
        <v>5844</v>
      </c>
      <c r="B337" s="5" t="s">
        <v>17</v>
      </c>
      <c r="C337" s="5" t="s">
        <v>1007</v>
      </c>
      <c r="D337" s="5" t="s">
        <v>219</v>
      </c>
      <c r="E337" s="5" t="s">
        <v>839</v>
      </c>
      <c r="F337" s="5">
        <v>31</v>
      </c>
      <c r="G337" s="5">
        <v>6.15</v>
      </c>
      <c r="H337" s="5">
        <v>6.48</v>
      </c>
      <c r="I337" s="5">
        <v>4</v>
      </c>
      <c r="J337" s="5">
        <v>0</v>
      </c>
      <c r="K337" s="5">
        <v>0</v>
      </c>
      <c r="L337" s="5">
        <v>0</v>
      </c>
      <c r="M337" s="5">
        <v>0</v>
      </c>
      <c r="N337" s="5">
        <v>0</v>
      </c>
      <c r="O337" s="5">
        <v>3</v>
      </c>
      <c r="P337" s="5">
        <v>9</v>
      </c>
      <c r="Q337" s="5">
        <v>0</v>
      </c>
      <c r="R337" s="5">
        <v>0</v>
      </c>
    </row>
    <row r="338" spans="1:18" ht="15" customHeight="1" x14ac:dyDescent="0.25">
      <c r="A338" s="5">
        <v>6844</v>
      </c>
      <c r="B338" s="5" t="s">
        <v>17</v>
      </c>
      <c r="C338" s="5" t="s">
        <v>1017</v>
      </c>
      <c r="D338" s="5" t="s">
        <v>229</v>
      </c>
      <c r="E338" s="5" t="s">
        <v>831</v>
      </c>
      <c r="F338" s="5">
        <v>28</v>
      </c>
      <c r="G338" s="5">
        <v>6.2</v>
      </c>
      <c r="H338" s="5">
        <v>6.59</v>
      </c>
      <c r="I338" s="5">
        <v>3</v>
      </c>
      <c r="J338" s="5">
        <v>0</v>
      </c>
      <c r="K338" s="5">
        <v>0</v>
      </c>
      <c r="L338" s="5">
        <v>0</v>
      </c>
      <c r="M338" s="5">
        <v>0</v>
      </c>
      <c r="N338" s="5">
        <v>0</v>
      </c>
      <c r="O338" s="5">
        <v>3</v>
      </c>
      <c r="P338" s="5">
        <v>2</v>
      </c>
      <c r="Q338" s="5">
        <v>0</v>
      </c>
      <c r="R338" s="5">
        <v>0</v>
      </c>
    </row>
    <row r="339" spans="1:18" ht="15" customHeight="1" x14ac:dyDescent="0.25">
      <c r="A339" s="5">
        <v>5422</v>
      </c>
      <c r="B339" s="5" t="s">
        <v>17</v>
      </c>
      <c r="C339" s="5" t="s">
        <v>1016</v>
      </c>
      <c r="D339" s="5" t="s">
        <v>295</v>
      </c>
      <c r="E339" s="5" t="s">
        <v>826</v>
      </c>
      <c r="F339" s="5">
        <v>31</v>
      </c>
      <c r="G339" s="5">
        <v>6.1</v>
      </c>
      <c r="H339" s="5">
        <v>6.4</v>
      </c>
      <c r="I339" s="5">
        <v>2</v>
      </c>
      <c r="J339" s="5">
        <v>0</v>
      </c>
      <c r="K339" s="5">
        <v>0</v>
      </c>
      <c r="L339" s="5">
        <v>0</v>
      </c>
      <c r="M339" s="5">
        <v>0</v>
      </c>
      <c r="N339" s="5">
        <v>0</v>
      </c>
      <c r="O339" s="5">
        <v>5</v>
      </c>
      <c r="P339" s="5">
        <v>3</v>
      </c>
      <c r="Q339" s="5">
        <v>0</v>
      </c>
      <c r="R339" s="5">
        <v>0</v>
      </c>
    </row>
    <row r="340" spans="1:18" ht="15" customHeight="1" x14ac:dyDescent="0.25">
      <c r="A340" s="5">
        <v>2529</v>
      </c>
      <c r="B340" s="5" t="s">
        <v>17</v>
      </c>
      <c r="C340" s="5" t="s">
        <v>1007</v>
      </c>
      <c r="D340" s="5" t="s">
        <v>317</v>
      </c>
      <c r="E340" s="5" t="s">
        <v>825</v>
      </c>
      <c r="F340" s="5">
        <v>28</v>
      </c>
      <c r="G340" s="5">
        <v>6.21</v>
      </c>
      <c r="H340" s="5">
        <v>6.59</v>
      </c>
      <c r="I340" s="5">
        <v>4</v>
      </c>
      <c r="J340" s="5">
        <v>0</v>
      </c>
      <c r="K340" s="5">
        <v>0</v>
      </c>
      <c r="L340" s="5">
        <v>0</v>
      </c>
      <c r="M340" s="5">
        <v>0</v>
      </c>
      <c r="N340" s="5">
        <v>0</v>
      </c>
      <c r="O340" s="5">
        <v>1</v>
      </c>
      <c r="P340" s="5">
        <v>5</v>
      </c>
      <c r="Q340" s="5">
        <v>0</v>
      </c>
      <c r="R340" s="5">
        <v>0</v>
      </c>
    </row>
    <row r="341" spans="1:18" ht="15" customHeight="1" x14ac:dyDescent="0.25">
      <c r="A341" s="5">
        <v>5562</v>
      </c>
      <c r="B341" s="5" t="s">
        <v>17</v>
      </c>
      <c r="C341" s="5" t="s">
        <v>1009</v>
      </c>
      <c r="D341" s="5" t="s">
        <v>218</v>
      </c>
      <c r="E341" s="5" t="s">
        <v>833</v>
      </c>
      <c r="F341" s="5">
        <v>34</v>
      </c>
      <c r="G341" s="5">
        <v>6.1</v>
      </c>
      <c r="H341" s="5">
        <v>6.4</v>
      </c>
      <c r="I341" s="5">
        <v>3</v>
      </c>
      <c r="J341" s="5">
        <v>0</v>
      </c>
      <c r="K341" s="5">
        <v>0</v>
      </c>
      <c r="L341" s="5">
        <v>0</v>
      </c>
      <c r="M341" s="5">
        <v>0</v>
      </c>
      <c r="N341" s="5">
        <v>0</v>
      </c>
      <c r="O341" s="5">
        <v>2</v>
      </c>
      <c r="P341" s="5">
        <v>2</v>
      </c>
      <c r="Q341" s="5">
        <v>0</v>
      </c>
      <c r="R341" s="5">
        <v>0</v>
      </c>
    </row>
    <row r="342" spans="1:18" ht="15" customHeight="1" x14ac:dyDescent="0.25">
      <c r="A342" s="5">
        <v>6190</v>
      </c>
      <c r="B342" s="5" t="s">
        <v>17</v>
      </c>
      <c r="C342" s="5" t="s">
        <v>17</v>
      </c>
      <c r="D342" s="5" t="s">
        <v>342</v>
      </c>
      <c r="E342" s="5" t="s">
        <v>824</v>
      </c>
      <c r="F342" s="5">
        <v>22</v>
      </c>
      <c r="G342" s="5">
        <v>6.09</v>
      </c>
      <c r="H342" s="5">
        <v>6.48</v>
      </c>
      <c r="I342" s="5">
        <v>2</v>
      </c>
      <c r="J342" s="5">
        <v>0</v>
      </c>
      <c r="K342" s="5">
        <v>0</v>
      </c>
      <c r="L342" s="5">
        <v>0</v>
      </c>
      <c r="M342" s="5">
        <v>0</v>
      </c>
      <c r="N342" s="5">
        <v>0</v>
      </c>
      <c r="O342" s="5">
        <v>4</v>
      </c>
      <c r="P342" s="5">
        <v>3</v>
      </c>
      <c r="Q342" s="5">
        <v>0</v>
      </c>
      <c r="R342" s="5">
        <v>0</v>
      </c>
    </row>
    <row r="343" spans="1:18" ht="15" customHeight="1" x14ac:dyDescent="0.25">
      <c r="A343" s="5">
        <v>6684</v>
      </c>
      <c r="B343" s="5" t="s">
        <v>17</v>
      </c>
      <c r="C343" s="5" t="s">
        <v>1007</v>
      </c>
      <c r="D343" s="5" t="s">
        <v>220</v>
      </c>
      <c r="E343" s="5" t="s">
        <v>835</v>
      </c>
      <c r="F343" s="5">
        <v>31</v>
      </c>
      <c r="G343" s="5">
        <v>6.05</v>
      </c>
      <c r="H343" s="5">
        <v>6.61</v>
      </c>
      <c r="I343" s="5">
        <v>5</v>
      </c>
      <c r="J343" s="5">
        <v>0</v>
      </c>
      <c r="K343" s="5">
        <v>0</v>
      </c>
      <c r="L343" s="5">
        <v>0</v>
      </c>
      <c r="M343" s="5">
        <v>0</v>
      </c>
      <c r="N343" s="5">
        <v>0</v>
      </c>
      <c r="O343" s="5">
        <v>3</v>
      </c>
      <c r="P343" s="5">
        <v>1</v>
      </c>
      <c r="Q343" s="5">
        <v>0</v>
      </c>
      <c r="R343" s="5">
        <v>0</v>
      </c>
    </row>
    <row r="344" spans="1:18" ht="15" customHeight="1" x14ac:dyDescent="0.25">
      <c r="A344" s="5">
        <v>7314</v>
      </c>
      <c r="B344" s="5" t="s">
        <v>17</v>
      </c>
      <c r="C344" s="5" t="s">
        <v>1007</v>
      </c>
      <c r="D344" s="5" t="s">
        <v>181</v>
      </c>
      <c r="E344" s="5" t="s">
        <v>834</v>
      </c>
      <c r="F344" s="5">
        <v>17</v>
      </c>
      <c r="G344" s="5">
        <v>6.06</v>
      </c>
      <c r="H344" s="5">
        <v>6.56</v>
      </c>
      <c r="I344" s="5">
        <v>3</v>
      </c>
      <c r="J344" s="5">
        <v>0</v>
      </c>
      <c r="K344" s="5">
        <v>0</v>
      </c>
      <c r="L344" s="5">
        <v>0</v>
      </c>
      <c r="M344" s="5">
        <v>0</v>
      </c>
      <c r="N344" s="5">
        <v>0</v>
      </c>
      <c r="O344" s="5">
        <v>2</v>
      </c>
      <c r="P344" s="5">
        <v>5</v>
      </c>
      <c r="Q344" s="5">
        <v>0</v>
      </c>
      <c r="R344" s="5">
        <v>0</v>
      </c>
    </row>
    <row r="345" spans="1:18" ht="15" customHeight="1" x14ac:dyDescent="0.25">
      <c r="A345" s="5">
        <v>5792</v>
      </c>
      <c r="B345" s="5" t="s">
        <v>17</v>
      </c>
      <c r="C345" s="5" t="s">
        <v>1009</v>
      </c>
      <c r="D345" s="5" t="s">
        <v>210</v>
      </c>
      <c r="E345" s="5" t="s">
        <v>826</v>
      </c>
      <c r="F345" s="5">
        <v>30</v>
      </c>
      <c r="G345" s="5">
        <v>6.25</v>
      </c>
      <c r="H345" s="5">
        <v>6.43</v>
      </c>
      <c r="I345" s="5">
        <v>2</v>
      </c>
      <c r="J345" s="5">
        <v>0</v>
      </c>
      <c r="K345" s="5">
        <v>0</v>
      </c>
      <c r="L345" s="5">
        <v>1</v>
      </c>
      <c r="M345" s="5">
        <v>1</v>
      </c>
      <c r="N345" s="5">
        <v>0</v>
      </c>
      <c r="O345" s="5">
        <v>1</v>
      </c>
      <c r="P345" s="5">
        <v>3</v>
      </c>
      <c r="Q345" s="5">
        <v>0</v>
      </c>
      <c r="R345" s="5">
        <v>0</v>
      </c>
    </row>
    <row r="346" spans="1:18" ht="15" customHeight="1" x14ac:dyDescent="0.25">
      <c r="A346" s="5">
        <v>184</v>
      </c>
      <c r="B346" s="5" t="s">
        <v>17</v>
      </c>
      <c r="C346" s="5" t="s">
        <v>1013</v>
      </c>
      <c r="D346" s="5" t="s">
        <v>294</v>
      </c>
      <c r="E346" s="5" t="s">
        <v>831</v>
      </c>
      <c r="F346" s="5">
        <v>24</v>
      </c>
      <c r="G346" s="5">
        <v>6.04</v>
      </c>
      <c r="H346" s="5">
        <v>6.56</v>
      </c>
      <c r="I346" s="5">
        <v>4</v>
      </c>
      <c r="J346" s="5">
        <v>0</v>
      </c>
      <c r="K346" s="5">
        <v>0</v>
      </c>
      <c r="L346" s="5">
        <v>1</v>
      </c>
      <c r="M346" s="5">
        <v>1</v>
      </c>
      <c r="N346" s="5">
        <v>0</v>
      </c>
      <c r="O346" s="5">
        <v>2</v>
      </c>
      <c r="P346" s="5">
        <v>3</v>
      </c>
      <c r="Q346" s="5">
        <v>0</v>
      </c>
      <c r="R346" s="5">
        <v>0</v>
      </c>
    </row>
    <row r="347" spans="1:18" ht="15" customHeight="1" x14ac:dyDescent="0.25">
      <c r="A347" s="5">
        <v>2765</v>
      </c>
      <c r="B347" s="5" t="s">
        <v>17</v>
      </c>
      <c r="C347" s="5" t="s">
        <v>1006</v>
      </c>
      <c r="D347" s="5" t="s">
        <v>289</v>
      </c>
      <c r="E347" s="5" t="s">
        <v>831</v>
      </c>
      <c r="F347" s="5">
        <v>22</v>
      </c>
      <c r="G347" s="5">
        <v>5.91</v>
      </c>
      <c r="H347" s="5">
        <v>6.61</v>
      </c>
      <c r="I347" s="5">
        <v>5</v>
      </c>
      <c r="J347" s="5">
        <v>0</v>
      </c>
      <c r="K347" s="5">
        <v>0</v>
      </c>
      <c r="L347" s="5">
        <v>0</v>
      </c>
      <c r="M347" s="5">
        <v>0</v>
      </c>
      <c r="N347" s="5">
        <v>0</v>
      </c>
      <c r="O347" s="5">
        <v>1</v>
      </c>
      <c r="P347" s="5">
        <v>1</v>
      </c>
      <c r="Q347" s="5">
        <v>0</v>
      </c>
      <c r="R347" s="5">
        <v>0</v>
      </c>
    </row>
    <row r="348" spans="1:18" ht="15" customHeight="1" x14ac:dyDescent="0.25">
      <c r="A348" s="5">
        <v>4364</v>
      </c>
      <c r="B348" s="5" t="s">
        <v>17</v>
      </c>
      <c r="C348" s="5" t="s">
        <v>1008</v>
      </c>
      <c r="D348" s="5" t="s">
        <v>276</v>
      </c>
      <c r="E348" s="5" t="s">
        <v>832</v>
      </c>
      <c r="F348" s="5">
        <v>32</v>
      </c>
      <c r="G348" s="5">
        <v>6.06</v>
      </c>
      <c r="H348" s="5">
        <v>6.31</v>
      </c>
      <c r="I348" s="5">
        <v>2</v>
      </c>
      <c r="J348" s="5">
        <v>0</v>
      </c>
      <c r="K348" s="5">
        <v>0</v>
      </c>
      <c r="L348" s="5">
        <v>0</v>
      </c>
      <c r="M348" s="5">
        <v>0</v>
      </c>
      <c r="N348" s="5">
        <v>0</v>
      </c>
      <c r="O348" s="5">
        <v>4</v>
      </c>
      <c r="P348" s="5">
        <v>4</v>
      </c>
      <c r="Q348" s="5">
        <v>0</v>
      </c>
      <c r="R348" s="5">
        <v>0</v>
      </c>
    </row>
    <row r="349" spans="1:18" ht="15" customHeight="1" x14ac:dyDescent="0.25">
      <c r="A349" s="5">
        <v>5036</v>
      </c>
      <c r="B349" s="5" t="s">
        <v>17</v>
      </c>
      <c r="C349" s="5" t="s">
        <v>1007</v>
      </c>
      <c r="D349" s="5" t="s">
        <v>305</v>
      </c>
      <c r="E349" s="5" t="s">
        <v>827</v>
      </c>
      <c r="F349" s="5">
        <v>28</v>
      </c>
      <c r="G349" s="5">
        <v>6.11</v>
      </c>
      <c r="H349" s="5">
        <v>6.41</v>
      </c>
      <c r="I349" s="5">
        <v>2</v>
      </c>
      <c r="J349" s="5">
        <v>0</v>
      </c>
      <c r="K349" s="5">
        <v>0</v>
      </c>
      <c r="L349" s="5">
        <v>0</v>
      </c>
      <c r="M349" s="5">
        <v>0</v>
      </c>
      <c r="N349" s="5">
        <v>0</v>
      </c>
      <c r="O349" s="5">
        <v>4</v>
      </c>
      <c r="P349" s="5">
        <v>3</v>
      </c>
      <c r="Q349" s="5">
        <v>0</v>
      </c>
      <c r="R349" s="5">
        <v>0</v>
      </c>
    </row>
    <row r="350" spans="1:18" ht="15" customHeight="1" x14ac:dyDescent="0.25">
      <c r="A350" s="5">
        <v>4486</v>
      </c>
      <c r="B350" s="5" t="s">
        <v>17</v>
      </c>
      <c r="C350" s="5" t="s">
        <v>1013</v>
      </c>
      <c r="D350" s="5" t="s">
        <v>1018</v>
      </c>
      <c r="E350" s="5" t="s">
        <v>838</v>
      </c>
      <c r="F350" s="5">
        <v>14</v>
      </c>
      <c r="G350" s="5">
        <v>6.21</v>
      </c>
      <c r="H350" s="5">
        <v>6.68</v>
      </c>
      <c r="I350" s="5">
        <v>2</v>
      </c>
      <c r="J350" s="5">
        <v>0</v>
      </c>
      <c r="K350" s="5">
        <v>0</v>
      </c>
      <c r="L350" s="5">
        <v>0</v>
      </c>
      <c r="M350" s="5">
        <v>0</v>
      </c>
      <c r="N350" s="5">
        <v>0</v>
      </c>
      <c r="O350" s="5">
        <v>2</v>
      </c>
      <c r="P350" s="5">
        <v>3</v>
      </c>
      <c r="Q350" s="5">
        <v>0</v>
      </c>
      <c r="R350" s="5">
        <v>0</v>
      </c>
    </row>
    <row r="351" spans="1:18" ht="15" customHeight="1" x14ac:dyDescent="0.25">
      <c r="A351" s="5">
        <v>449</v>
      </c>
      <c r="B351" s="5" t="s">
        <v>17</v>
      </c>
      <c r="C351" s="5" t="s">
        <v>1006</v>
      </c>
      <c r="D351" s="5" t="s">
        <v>1019</v>
      </c>
      <c r="E351" s="5" t="s">
        <v>862</v>
      </c>
      <c r="F351" s="5">
        <v>13</v>
      </c>
      <c r="G351" s="5">
        <v>6.15</v>
      </c>
      <c r="H351" s="5">
        <v>6.54</v>
      </c>
      <c r="I351" s="5">
        <v>1</v>
      </c>
      <c r="J351" s="5">
        <v>0</v>
      </c>
      <c r="K351" s="5">
        <v>0</v>
      </c>
      <c r="L351" s="5">
        <v>0</v>
      </c>
      <c r="M351" s="5">
        <v>0</v>
      </c>
      <c r="N351" s="5">
        <v>0</v>
      </c>
      <c r="O351" s="5">
        <v>2</v>
      </c>
      <c r="P351" s="5">
        <v>1</v>
      </c>
      <c r="Q351" s="5">
        <v>0</v>
      </c>
      <c r="R351" s="5">
        <v>0</v>
      </c>
    </row>
    <row r="352" spans="1:18" ht="15" customHeight="1" x14ac:dyDescent="0.25">
      <c r="A352" s="5">
        <v>5800</v>
      </c>
      <c r="B352" s="5" t="s">
        <v>17</v>
      </c>
      <c r="C352" s="5" t="s">
        <v>1006</v>
      </c>
      <c r="D352" s="5" t="s">
        <v>185</v>
      </c>
      <c r="E352" s="5" t="s">
        <v>829</v>
      </c>
      <c r="F352" s="5">
        <v>32</v>
      </c>
      <c r="G352" s="5">
        <v>5.88</v>
      </c>
      <c r="H352" s="5">
        <v>6.34</v>
      </c>
      <c r="I352" s="5">
        <v>5</v>
      </c>
      <c r="J352" s="5">
        <v>0</v>
      </c>
      <c r="K352" s="5">
        <v>0</v>
      </c>
      <c r="L352" s="5">
        <v>3</v>
      </c>
      <c r="M352" s="5">
        <v>3</v>
      </c>
      <c r="N352" s="5">
        <v>0</v>
      </c>
      <c r="O352" s="5">
        <v>3</v>
      </c>
      <c r="P352" s="5">
        <v>4</v>
      </c>
      <c r="Q352" s="5">
        <v>1</v>
      </c>
      <c r="R352" s="5">
        <v>0</v>
      </c>
    </row>
    <row r="353" spans="1:18" ht="15" customHeight="1" x14ac:dyDescent="0.25">
      <c r="A353" s="5">
        <v>4186</v>
      </c>
      <c r="B353" s="5" t="s">
        <v>17</v>
      </c>
      <c r="C353" s="5" t="s">
        <v>17</v>
      </c>
      <c r="D353" s="5" t="s">
        <v>1020</v>
      </c>
      <c r="E353" s="5" t="s">
        <v>834</v>
      </c>
      <c r="F353" s="5">
        <v>16</v>
      </c>
      <c r="G353" s="5">
        <v>6.16</v>
      </c>
      <c r="H353" s="5">
        <v>6.31</v>
      </c>
      <c r="I353" s="5">
        <v>2</v>
      </c>
      <c r="J353" s="5">
        <v>0</v>
      </c>
      <c r="K353" s="5">
        <v>0</v>
      </c>
      <c r="L353" s="5">
        <v>0</v>
      </c>
      <c r="M353" s="5">
        <v>0</v>
      </c>
      <c r="N353" s="5">
        <v>0</v>
      </c>
      <c r="O353" s="5">
        <v>0</v>
      </c>
      <c r="P353" s="5">
        <v>5</v>
      </c>
      <c r="Q353" s="5">
        <v>1</v>
      </c>
      <c r="R353" s="5">
        <v>0</v>
      </c>
    </row>
    <row r="354" spans="1:18" ht="15" customHeight="1" x14ac:dyDescent="0.25">
      <c r="A354" s="5">
        <v>632</v>
      </c>
      <c r="B354" s="5" t="s">
        <v>17</v>
      </c>
      <c r="C354" s="5" t="s">
        <v>1013</v>
      </c>
      <c r="D354" s="5" t="s">
        <v>166</v>
      </c>
      <c r="E354" s="5" t="s">
        <v>834</v>
      </c>
      <c r="F354" s="5">
        <v>26</v>
      </c>
      <c r="G354" s="5">
        <v>5.88</v>
      </c>
      <c r="H354" s="5">
        <v>5.96</v>
      </c>
      <c r="I354" s="5">
        <v>3</v>
      </c>
      <c r="J354" s="5">
        <v>0</v>
      </c>
      <c r="K354" s="5">
        <v>0</v>
      </c>
      <c r="L354" s="5">
        <v>1</v>
      </c>
      <c r="M354" s="5">
        <v>0</v>
      </c>
      <c r="N354" s="5">
        <v>1</v>
      </c>
      <c r="O354" s="5">
        <v>0</v>
      </c>
      <c r="P354" s="5">
        <v>6</v>
      </c>
      <c r="Q354" s="5">
        <v>1</v>
      </c>
      <c r="R354" s="5">
        <v>0</v>
      </c>
    </row>
    <row r="355" spans="1:18" ht="15" customHeight="1" x14ac:dyDescent="0.25">
      <c r="A355" s="5">
        <v>5504</v>
      </c>
      <c r="B355" s="5" t="s">
        <v>17</v>
      </c>
      <c r="C355" s="5" t="s">
        <v>1009</v>
      </c>
      <c r="D355" s="5" t="s">
        <v>370</v>
      </c>
      <c r="E355" s="5" t="s">
        <v>837</v>
      </c>
      <c r="F355" s="5">
        <v>33</v>
      </c>
      <c r="G355" s="5">
        <v>6.05</v>
      </c>
      <c r="H355" s="5">
        <v>6.29</v>
      </c>
      <c r="I355" s="5">
        <v>3</v>
      </c>
      <c r="J355" s="5">
        <v>0</v>
      </c>
      <c r="K355" s="5">
        <v>0</v>
      </c>
      <c r="L355" s="5">
        <v>0</v>
      </c>
      <c r="M355" s="5">
        <v>0</v>
      </c>
      <c r="N355" s="5">
        <v>0</v>
      </c>
      <c r="O355" s="5">
        <v>1</v>
      </c>
      <c r="P355" s="5">
        <v>4</v>
      </c>
      <c r="Q355" s="5">
        <v>0</v>
      </c>
      <c r="R355" s="5">
        <v>0</v>
      </c>
    </row>
    <row r="356" spans="1:18" ht="15" customHeight="1" x14ac:dyDescent="0.25">
      <c r="A356" s="5">
        <v>536</v>
      </c>
      <c r="B356" s="5" t="s">
        <v>17</v>
      </c>
      <c r="C356" s="5" t="s">
        <v>1011</v>
      </c>
      <c r="D356" s="5" t="s">
        <v>205</v>
      </c>
      <c r="E356" s="5" t="s">
        <v>830</v>
      </c>
      <c r="F356" s="5">
        <v>33</v>
      </c>
      <c r="G356" s="5">
        <v>6.09</v>
      </c>
      <c r="H356" s="5">
        <v>6.36</v>
      </c>
      <c r="I356" s="5">
        <v>2</v>
      </c>
      <c r="J356" s="5">
        <v>0</v>
      </c>
      <c r="K356" s="5">
        <v>0</v>
      </c>
      <c r="L356" s="5">
        <v>0</v>
      </c>
      <c r="M356" s="5">
        <v>0</v>
      </c>
      <c r="N356" s="5">
        <v>0</v>
      </c>
      <c r="O356" s="5">
        <v>5</v>
      </c>
      <c r="P356" s="5">
        <v>4</v>
      </c>
      <c r="Q356" s="5">
        <v>0</v>
      </c>
      <c r="R356" s="5">
        <v>0</v>
      </c>
    </row>
    <row r="357" spans="1:18" ht="15" customHeight="1" x14ac:dyDescent="0.25">
      <c r="A357" s="5">
        <v>779</v>
      </c>
      <c r="B357" s="5" t="s">
        <v>17</v>
      </c>
      <c r="C357" s="5" t="s">
        <v>1009</v>
      </c>
      <c r="D357" s="5" t="s">
        <v>250</v>
      </c>
      <c r="E357" s="5" t="s">
        <v>824</v>
      </c>
      <c r="F357" s="5">
        <v>37</v>
      </c>
      <c r="G357" s="5">
        <v>6.11</v>
      </c>
      <c r="H357" s="5">
        <v>6.22</v>
      </c>
      <c r="I357" s="5">
        <v>2</v>
      </c>
      <c r="J357" s="5">
        <v>0</v>
      </c>
      <c r="K357" s="5">
        <v>0</v>
      </c>
      <c r="L357" s="5">
        <v>0</v>
      </c>
      <c r="M357" s="5">
        <v>0</v>
      </c>
      <c r="N357" s="5">
        <v>0</v>
      </c>
      <c r="O357" s="5">
        <v>1</v>
      </c>
      <c r="P357" s="5">
        <v>6</v>
      </c>
      <c r="Q357" s="5">
        <v>0</v>
      </c>
      <c r="R357" s="5">
        <v>0</v>
      </c>
    </row>
    <row r="358" spans="1:18" ht="15" customHeight="1" x14ac:dyDescent="0.25">
      <c r="A358" s="5">
        <v>5589</v>
      </c>
      <c r="B358" s="5" t="s">
        <v>17</v>
      </c>
      <c r="C358" s="5" t="s">
        <v>1009</v>
      </c>
      <c r="D358" s="5" t="s">
        <v>216</v>
      </c>
      <c r="E358" s="5" t="s">
        <v>824</v>
      </c>
      <c r="F358" s="5">
        <v>29</v>
      </c>
      <c r="G358" s="5">
        <v>6.26</v>
      </c>
      <c r="H358" s="5">
        <v>6.53</v>
      </c>
      <c r="I358" s="5">
        <v>2</v>
      </c>
      <c r="J358" s="5">
        <v>0</v>
      </c>
      <c r="K358" s="5">
        <v>0</v>
      </c>
      <c r="L358" s="5">
        <v>0</v>
      </c>
      <c r="M358" s="5">
        <v>0</v>
      </c>
      <c r="N358" s="5">
        <v>0</v>
      </c>
      <c r="O358" s="5">
        <v>3</v>
      </c>
      <c r="P358" s="5">
        <v>2</v>
      </c>
      <c r="Q358" s="5">
        <v>0</v>
      </c>
      <c r="R358" s="5">
        <v>0</v>
      </c>
    </row>
    <row r="359" spans="1:18" ht="15" customHeight="1" x14ac:dyDescent="0.25">
      <c r="A359" s="5">
        <v>530</v>
      </c>
      <c r="B359" s="5" t="s">
        <v>17</v>
      </c>
      <c r="C359" s="5" t="s">
        <v>1007</v>
      </c>
      <c r="D359" s="5" t="s">
        <v>1021</v>
      </c>
      <c r="E359" s="5" t="s">
        <v>824</v>
      </c>
      <c r="F359" s="5">
        <v>24</v>
      </c>
      <c r="G359" s="5">
        <v>6.04</v>
      </c>
      <c r="H359" s="5">
        <v>6.58</v>
      </c>
      <c r="I359" s="5">
        <v>4</v>
      </c>
      <c r="J359" s="5">
        <v>0</v>
      </c>
      <c r="K359" s="5">
        <v>0</v>
      </c>
      <c r="L359" s="5">
        <v>2</v>
      </c>
      <c r="M359" s="5">
        <v>2</v>
      </c>
      <c r="N359" s="5">
        <v>0</v>
      </c>
      <c r="O359" s="5">
        <v>2</v>
      </c>
      <c r="P359" s="5">
        <v>2</v>
      </c>
      <c r="Q359" s="5">
        <v>0</v>
      </c>
      <c r="R359" s="5">
        <v>0</v>
      </c>
    </row>
    <row r="360" spans="1:18" ht="15" customHeight="1" x14ac:dyDescent="0.25">
      <c r="A360" s="5">
        <v>5735</v>
      </c>
      <c r="B360" s="5" t="s">
        <v>17</v>
      </c>
      <c r="C360" s="5" t="s">
        <v>1017</v>
      </c>
      <c r="D360" s="5" t="s">
        <v>283</v>
      </c>
      <c r="E360" s="5" t="s">
        <v>839</v>
      </c>
      <c r="F360" s="5">
        <v>21</v>
      </c>
      <c r="G360" s="5">
        <v>6.14</v>
      </c>
      <c r="H360" s="5">
        <v>6.52</v>
      </c>
      <c r="I360" s="5">
        <v>2</v>
      </c>
      <c r="J360" s="5">
        <v>0</v>
      </c>
      <c r="K360" s="5">
        <v>0</v>
      </c>
      <c r="L360" s="5">
        <v>0</v>
      </c>
      <c r="M360" s="5">
        <v>0</v>
      </c>
      <c r="N360" s="5">
        <v>0</v>
      </c>
      <c r="O360" s="5">
        <v>4</v>
      </c>
      <c r="P360" s="5">
        <v>4</v>
      </c>
      <c r="Q360" s="5">
        <v>0</v>
      </c>
      <c r="R360" s="5">
        <v>0</v>
      </c>
    </row>
    <row r="361" spans="1:18" ht="15" customHeight="1" x14ac:dyDescent="0.25">
      <c r="A361" s="5">
        <v>5888</v>
      </c>
      <c r="B361" s="5" t="s">
        <v>17</v>
      </c>
      <c r="C361" s="5" t="s">
        <v>1007</v>
      </c>
      <c r="D361" s="5" t="s">
        <v>230</v>
      </c>
      <c r="E361" s="5" t="s">
        <v>843</v>
      </c>
      <c r="F361" s="5">
        <v>32</v>
      </c>
      <c r="G361" s="5">
        <v>5.97</v>
      </c>
      <c r="H361" s="5">
        <v>6.45</v>
      </c>
      <c r="I361" s="5">
        <v>6</v>
      </c>
      <c r="J361" s="5">
        <v>0</v>
      </c>
      <c r="K361" s="5">
        <v>0</v>
      </c>
      <c r="L361" s="5">
        <v>0</v>
      </c>
      <c r="M361" s="5">
        <v>0</v>
      </c>
      <c r="N361" s="5">
        <v>0</v>
      </c>
      <c r="O361" s="5">
        <v>0</v>
      </c>
      <c r="P361" s="5">
        <v>5</v>
      </c>
      <c r="Q361" s="5">
        <v>0</v>
      </c>
      <c r="R361" s="5">
        <v>0</v>
      </c>
    </row>
    <row r="362" spans="1:18" ht="15" customHeight="1" x14ac:dyDescent="0.25">
      <c r="A362" s="5">
        <v>2077</v>
      </c>
      <c r="B362" s="5" t="s">
        <v>17</v>
      </c>
      <c r="C362" s="5" t="s">
        <v>1007</v>
      </c>
      <c r="D362" s="5" t="s">
        <v>239</v>
      </c>
      <c r="E362" s="5" t="s">
        <v>826</v>
      </c>
      <c r="F362" s="5">
        <v>31</v>
      </c>
      <c r="G362" s="5">
        <v>5.94</v>
      </c>
      <c r="H362" s="5">
        <v>6.27</v>
      </c>
      <c r="I362" s="5">
        <v>3</v>
      </c>
      <c r="J362" s="5">
        <v>0</v>
      </c>
      <c r="K362" s="5">
        <v>0</v>
      </c>
      <c r="L362" s="5">
        <v>0</v>
      </c>
      <c r="M362" s="5">
        <v>0</v>
      </c>
      <c r="N362" s="5">
        <v>0</v>
      </c>
      <c r="O362" s="5">
        <v>3</v>
      </c>
      <c r="P362" s="5">
        <v>3</v>
      </c>
      <c r="Q362" s="5">
        <v>0</v>
      </c>
      <c r="R362" s="5">
        <v>0</v>
      </c>
    </row>
    <row r="363" spans="1:18" ht="15" customHeight="1" x14ac:dyDescent="0.25">
      <c r="A363" s="5">
        <v>4404</v>
      </c>
      <c r="B363" s="5" t="s">
        <v>17</v>
      </c>
      <c r="C363" s="5" t="s">
        <v>1007</v>
      </c>
      <c r="D363" s="5" t="s">
        <v>1022</v>
      </c>
      <c r="E363" s="5" t="s">
        <v>862</v>
      </c>
      <c r="F363" s="5">
        <v>21</v>
      </c>
      <c r="G363" s="5">
        <v>6.1</v>
      </c>
      <c r="H363" s="5">
        <v>6.48</v>
      </c>
      <c r="I363" s="5">
        <v>3</v>
      </c>
      <c r="J363" s="5">
        <v>0</v>
      </c>
      <c r="K363" s="5">
        <v>0</v>
      </c>
      <c r="L363" s="5">
        <v>0</v>
      </c>
      <c r="M363" s="5">
        <v>0</v>
      </c>
      <c r="N363" s="5">
        <v>0</v>
      </c>
      <c r="O363" s="5">
        <v>1</v>
      </c>
      <c r="P363" s="5">
        <v>4</v>
      </c>
      <c r="Q363" s="5">
        <v>0</v>
      </c>
      <c r="R363" s="5">
        <v>0</v>
      </c>
    </row>
    <row r="364" spans="1:18" ht="15" customHeight="1" x14ac:dyDescent="0.25">
      <c r="A364" s="5">
        <v>827</v>
      </c>
      <c r="B364" s="5" t="s">
        <v>17</v>
      </c>
      <c r="C364" s="5" t="s">
        <v>1009</v>
      </c>
      <c r="D364" s="5" t="s">
        <v>240</v>
      </c>
      <c r="E364" s="5" t="s">
        <v>833</v>
      </c>
      <c r="F364" s="5">
        <v>36</v>
      </c>
      <c r="G364" s="5">
        <v>6.26</v>
      </c>
      <c r="H364" s="5">
        <v>6.19</v>
      </c>
      <c r="I364" s="5">
        <v>1</v>
      </c>
      <c r="J364" s="5">
        <v>0</v>
      </c>
      <c r="K364" s="5">
        <v>0</v>
      </c>
      <c r="L364" s="5">
        <v>1</v>
      </c>
      <c r="M364" s="5">
        <v>0</v>
      </c>
      <c r="N364" s="5">
        <v>1</v>
      </c>
      <c r="O364" s="5">
        <v>2</v>
      </c>
      <c r="P364" s="5">
        <v>9</v>
      </c>
      <c r="Q364" s="5">
        <v>0</v>
      </c>
      <c r="R364" s="5">
        <v>0</v>
      </c>
    </row>
    <row r="365" spans="1:18" ht="15" customHeight="1" x14ac:dyDescent="0.25">
      <c r="A365" s="5">
        <v>7351</v>
      </c>
      <c r="B365" s="5" t="s">
        <v>17</v>
      </c>
      <c r="C365" s="5" t="s">
        <v>1013</v>
      </c>
      <c r="D365" s="5" t="s">
        <v>187</v>
      </c>
      <c r="E365" s="5" t="s">
        <v>830</v>
      </c>
      <c r="F365" s="5">
        <v>13</v>
      </c>
      <c r="G365" s="5">
        <v>6.35</v>
      </c>
      <c r="H365" s="5">
        <v>7.23</v>
      </c>
      <c r="I365" s="5">
        <v>4</v>
      </c>
      <c r="J365" s="5">
        <v>0</v>
      </c>
      <c r="K365" s="5">
        <v>0</v>
      </c>
      <c r="L365" s="5">
        <v>0</v>
      </c>
      <c r="M365" s="5">
        <v>0</v>
      </c>
      <c r="N365" s="5">
        <v>0</v>
      </c>
      <c r="O365" s="5">
        <v>0</v>
      </c>
      <c r="P365" s="5">
        <v>1</v>
      </c>
      <c r="Q365" s="5">
        <v>0</v>
      </c>
      <c r="R365" s="5">
        <v>0</v>
      </c>
    </row>
    <row r="366" spans="1:18" ht="15" customHeight="1" x14ac:dyDescent="0.25">
      <c r="A366" s="5">
        <v>7133</v>
      </c>
      <c r="B366" s="5" t="s">
        <v>17</v>
      </c>
      <c r="C366" s="5" t="s">
        <v>1017</v>
      </c>
      <c r="D366" s="5" t="s">
        <v>1023</v>
      </c>
      <c r="E366" s="5" t="s">
        <v>862</v>
      </c>
      <c r="F366" s="5">
        <v>31</v>
      </c>
      <c r="G366" s="5">
        <v>6.06</v>
      </c>
      <c r="H366" s="5">
        <v>6.27</v>
      </c>
      <c r="I366" s="5">
        <v>1</v>
      </c>
      <c r="J366" s="5">
        <v>0</v>
      </c>
      <c r="K366" s="5">
        <v>0</v>
      </c>
      <c r="L366" s="5">
        <v>0</v>
      </c>
      <c r="M366" s="5">
        <v>0</v>
      </c>
      <c r="N366" s="5">
        <v>0</v>
      </c>
      <c r="O366" s="5">
        <v>5</v>
      </c>
      <c r="P366" s="5">
        <v>3</v>
      </c>
      <c r="Q366" s="5">
        <v>0</v>
      </c>
      <c r="R366" s="5">
        <v>0</v>
      </c>
    </row>
    <row r="367" spans="1:18" ht="15" customHeight="1" x14ac:dyDescent="0.25">
      <c r="A367" s="5">
        <v>4465</v>
      </c>
      <c r="B367" s="5" t="s">
        <v>17</v>
      </c>
      <c r="C367" s="5" t="s">
        <v>17</v>
      </c>
      <c r="D367" s="5" t="s">
        <v>282</v>
      </c>
      <c r="E367" s="5" t="s">
        <v>829</v>
      </c>
      <c r="F367" s="5">
        <v>33</v>
      </c>
      <c r="G367" s="5">
        <v>6.03</v>
      </c>
      <c r="H367" s="5">
        <v>6.23</v>
      </c>
      <c r="I367" s="5">
        <v>2</v>
      </c>
      <c r="J367" s="5">
        <v>0</v>
      </c>
      <c r="K367" s="5">
        <v>0</v>
      </c>
      <c r="L367" s="5">
        <v>0</v>
      </c>
      <c r="M367" s="5">
        <v>0</v>
      </c>
      <c r="N367" s="5">
        <v>0</v>
      </c>
      <c r="O367" s="5">
        <v>3</v>
      </c>
      <c r="P367" s="5">
        <v>5</v>
      </c>
      <c r="Q367" s="5">
        <v>0</v>
      </c>
      <c r="R367" s="5">
        <v>0</v>
      </c>
    </row>
    <row r="368" spans="1:18" ht="15" customHeight="1" x14ac:dyDescent="0.25">
      <c r="A368" s="5">
        <v>7070</v>
      </c>
      <c r="B368" s="5" t="s">
        <v>17</v>
      </c>
      <c r="C368" s="5" t="s">
        <v>17</v>
      </c>
      <c r="D368" s="5" t="s">
        <v>261</v>
      </c>
      <c r="E368" s="5" t="s">
        <v>825</v>
      </c>
      <c r="F368" s="5">
        <v>28</v>
      </c>
      <c r="G368" s="5">
        <v>6.07</v>
      </c>
      <c r="H368" s="5">
        <v>6.27</v>
      </c>
      <c r="I368" s="5">
        <v>2</v>
      </c>
      <c r="J368" s="5">
        <v>0</v>
      </c>
      <c r="K368" s="5">
        <v>0</v>
      </c>
      <c r="L368" s="5">
        <v>0</v>
      </c>
      <c r="M368" s="5">
        <v>0</v>
      </c>
      <c r="N368" s="5">
        <v>0</v>
      </c>
      <c r="O368" s="5">
        <v>2</v>
      </c>
      <c r="P368" s="5">
        <v>5</v>
      </c>
      <c r="Q368" s="5">
        <v>0</v>
      </c>
      <c r="R368" s="5">
        <v>0</v>
      </c>
    </row>
    <row r="369" spans="1:18" ht="15" customHeight="1" x14ac:dyDescent="0.25">
      <c r="A369" s="5">
        <v>333</v>
      </c>
      <c r="B369" s="5" t="s">
        <v>17</v>
      </c>
      <c r="C369" s="5" t="s">
        <v>1009</v>
      </c>
      <c r="D369" s="5" t="s">
        <v>418</v>
      </c>
      <c r="E369" s="5" t="s">
        <v>834</v>
      </c>
      <c r="F369" s="5">
        <v>27</v>
      </c>
      <c r="G369" s="5">
        <v>6.07</v>
      </c>
      <c r="H369" s="5">
        <v>6.41</v>
      </c>
      <c r="I369" s="5">
        <v>3</v>
      </c>
      <c r="J369" s="5">
        <v>0</v>
      </c>
      <c r="K369" s="5">
        <v>0</v>
      </c>
      <c r="L369" s="5">
        <v>2</v>
      </c>
      <c r="M369" s="5">
        <v>2</v>
      </c>
      <c r="N369" s="5">
        <v>0</v>
      </c>
      <c r="O369" s="5">
        <v>3</v>
      </c>
      <c r="P369" s="5">
        <v>6</v>
      </c>
      <c r="Q369" s="5">
        <v>0</v>
      </c>
      <c r="R369" s="5">
        <v>0</v>
      </c>
    </row>
    <row r="370" spans="1:18" ht="15" customHeight="1" x14ac:dyDescent="0.25">
      <c r="A370" s="5">
        <v>5674</v>
      </c>
      <c r="B370" s="5" t="s">
        <v>17</v>
      </c>
      <c r="C370" s="5" t="s">
        <v>17</v>
      </c>
      <c r="D370" s="5" t="s">
        <v>316</v>
      </c>
      <c r="E370" s="5" t="s">
        <v>834</v>
      </c>
      <c r="F370" s="5">
        <v>23</v>
      </c>
      <c r="G370" s="5">
        <v>6.09</v>
      </c>
      <c r="H370" s="5">
        <v>6.43</v>
      </c>
      <c r="I370" s="5">
        <v>2</v>
      </c>
      <c r="J370" s="5">
        <v>0</v>
      </c>
      <c r="K370" s="5">
        <v>0</v>
      </c>
      <c r="L370" s="5">
        <v>0</v>
      </c>
      <c r="M370" s="5">
        <v>0</v>
      </c>
      <c r="N370" s="5">
        <v>0</v>
      </c>
      <c r="O370" s="5">
        <v>3</v>
      </c>
      <c r="P370" s="5">
        <v>0</v>
      </c>
      <c r="Q370" s="5">
        <v>1</v>
      </c>
      <c r="R370" s="5">
        <v>0</v>
      </c>
    </row>
    <row r="371" spans="1:18" ht="15" customHeight="1" x14ac:dyDescent="0.25">
      <c r="A371" s="5">
        <v>5453</v>
      </c>
      <c r="B371" s="5" t="s">
        <v>17</v>
      </c>
      <c r="C371" s="5" t="s">
        <v>1009</v>
      </c>
      <c r="D371" s="5" t="s">
        <v>437</v>
      </c>
      <c r="E371" s="5" t="s">
        <v>828</v>
      </c>
      <c r="F371" s="5">
        <v>28</v>
      </c>
      <c r="G371" s="5">
        <v>6</v>
      </c>
      <c r="H371" s="5">
        <v>6.18</v>
      </c>
      <c r="I371" s="5">
        <v>1</v>
      </c>
      <c r="J371" s="5">
        <v>0</v>
      </c>
      <c r="K371" s="5">
        <v>0</v>
      </c>
      <c r="L371" s="5">
        <v>0</v>
      </c>
      <c r="M371" s="5">
        <v>0</v>
      </c>
      <c r="N371" s="5">
        <v>0</v>
      </c>
      <c r="O371" s="5">
        <v>3</v>
      </c>
      <c r="P371" s="5">
        <v>3</v>
      </c>
      <c r="Q371" s="5">
        <v>0</v>
      </c>
      <c r="R371" s="5">
        <v>0</v>
      </c>
    </row>
    <row r="372" spans="1:18" ht="15" customHeight="1" x14ac:dyDescent="0.25">
      <c r="A372" s="5">
        <v>6898</v>
      </c>
      <c r="B372" s="5" t="s">
        <v>17</v>
      </c>
      <c r="C372" s="5" t="s">
        <v>1009</v>
      </c>
      <c r="D372" s="5" t="s">
        <v>361</v>
      </c>
      <c r="E372" s="5" t="s">
        <v>838</v>
      </c>
      <c r="F372" s="5">
        <v>36</v>
      </c>
      <c r="G372" s="5">
        <v>6.01</v>
      </c>
      <c r="H372" s="5">
        <v>6.06</v>
      </c>
      <c r="I372" s="5">
        <v>1</v>
      </c>
      <c r="J372" s="5">
        <v>0</v>
      </c>
      <c r="K372" s="5">
        <v>0</v>
      </c>
      <c r="L372" s="5">
        <v>0</v>
      </c>
      <c r="M372" s="5">
        <v>0</v>
      </c>
      <c r="N372" s="5">
        <v>0</v>
      </c>
      <c r="O372" s="5">
        <v>1</v>
      </c>
      <c r="P372" s="5">
        <v>1</v>
      </c>
      <c r="Q372" s="5">
        <v>0</v>
      </c>
      <c r="R372" s="5">
        <v>1</v>
      </c>
    </row>
    <row r="373" spans="1:18" ht="15" customHeight="1" x14ac:dyDescent="0.25">
      <c r="A373" s="5">
        <v>5393</v>
      </c>
      <c r="B373" s="5" t="s">
        <v>17</v>
      </c>
      <c r="C373" s="5" t="s">
        <v>1013</v>
      </c>
      <c r="D373" s="5" t="s">
        <v>1024</v>
      </c>
      <c r="E373" s="5" t="s">
        <v>838</v>
      </c>
      <c r="F373" s="5">
        <v>0</v>
      </c>
      <c r="G373" s="5">
        <v>0</v>
      </c>
      <c r="H373" s="5">
        <v>0</v>
      </c>
      <c r="I373" s="5">
        <v>0</v>
      </c>
      <c r="J373" s="5">
        <v>0</v>
      </c>
      <c r="K373" s="5">
        <v>0</v>
      </c>
      <c r="L373" s="5">
        <v>0</v>
      </c>
      <c r="M373" s="5">
        <v>0</v>
      </c>
      <c r="N373" s="5">
        <v>0</v>
      </c>
      <c r="O373" s="5">
        <v>0</v>
      </c>
      <c r="P373" s="5">
        <v>0</v>
      </c>
      <c r="Q373" s="5">
        <v>0</v>
      </c>
      <c r="R373" s="5">
        <v>0</v>
      </c>
    </row>
    <row r="374" spans="1:18" ht="15" customHeight="1" x14ac:dyDescent="0.25">
      <c r="A374" s="5">
        <v>5651</v>
      </c>
      <c r="B374" s="5" t="s">
        <v>17</v>
      </c>
      <c r="C374" s="5" t="s">
        <v>1011</v>
      </c>
      <c r="D374" s="5" t="s">
        <v>1025</v>
      </c>
      <c r="E374" s="5" t="s">
        <v>829</v>
      </c>
      <c r="F374" s="5">
        <v>15</v>
      </c>
      <c r="G374" s="5">
        <v>5.9</v>
      </c>
      <c r="H374" s="5">
        <v>6.27</v>
      </c>
      <c r="I374" s="5">
        <v>1</v>
      </c>
      <c r="J374" s="5">
        <v>0</v>
      </c>
      <c r="K374" s="5">
        <v>0</v>
      </c>
      <c r="L374" s="5">
        <v>0</v>
      </c>
      <c r="M374" s="5">
        <v>0</v>
      </c>
      <c r="N374" s="5">
        <v>0</v>
      </c>
      <c r="O374" s="5">
        <v>3</v>
      </c>
      <c r="P374" s="5">
        <v>1</v>
      </c>
      <c r="Q374" s="5">
        <v>0</v>
      </c>
      <c r="R374" s="5">
        <v>0</v>
      </c>
    </row>
    <row r="375" spans="1:18" ht="15" customHeight="1" x14ac:dyDescent="0.25">
      <c r="A375" s="5">
        <v>4947</v>
      </c>
      <c r="B375" s="5" t="s">
        <v>17</v>
      </c>
      <c r="C375" s="5" t="s">
        <v>1007</v>
      </c>
      <c r="D375" s="5" t="s">
        <v>506</v>
      </c>
      <c r="E375" s="5" t="s">
        <v>829</v>
      </c>
      <c r="F375" s="5">
        <v>18</v>
      </c>
      <c r="G375" s="5">
        <v>5.97</v>
      </c>
      <c r="H375" s="5">
        <v>6.31</v>
      </c>
      <c r="I375" s="5">
        <v>2</v>
      </c>
      <c r="J375" s="5">
        <v>0</v>
      </c>
      <c r="K375" s="5">
        <v>0</v>
      </c>
      <c r="L375" s="5">
        <v>0</v>
      </c>
      <c r="M375" s="5">
        <v>0</v>
      </c>
      <c r="N375" s="5">
        <v>0</v>
      </c>
      <c r="O375" s="5">
        <v>1</v>
      </c>
      <c r="P375" s="5">
        <v>2</v>
      </c>
      <c r="Q375" s="5">
        <v>0</v>
      </c>
      <c r="R375" s="5">
        <v>0</v>
      </c>
    </row>
    <row r="376" spans="1:18" ht="15" customHeight="1" x14ac:dyDescent="0.25">
      <c r="A376" s="5">
        <v>4896</v>
      </c>
      <c r="B376" s="5" t="s">
        <v>17</v>
      </c>
      <c r="C376" s="5" t="s">
        <v>1006</v>
      </c>
      <c r="D376" s="5" t="s">
        <v>381</v>
      </c>
      <c r="E376" s="5" t="s">
        <v>834</v>
      </c>
      <c r="F376" s="5">
        <v>18</v>
      </c>
      <c r="G376" s="5">
        <v>5.94</v>
      </c>
      <c r="H376" s="5">
        <v>6.31</v>
      </c>
      <c r="I376" s="5">
        <v>2</v>
      </c>
      <c r="J376" s="5">
        <v>0</v>
      </c>
      <c r="K376" s="5">
        <v>0</v>
      </c>
      <c r="L376" s="5">
        <v>0</v>
      </c>
      <c r="M376" s="5">
        <v>0</v>
      </c>
      <c r="N376" s="5">
        <v>0</v>
      </c>
      <c r="O376" s="5">
        <v>1</v>
      </c>
      <c r="P376" s="5">
        <v>1</v>
      </c>
      <c r="Q376" s="5">
        <v>0</v>
      </c>
      <c r="R376" s="5">
        <v>0</v>
      </c>
    </row>
    <row r="377" spans="1:18" ht="15" customHeight="1" x14ac:dyDescent="0.25">
      <c r="A377" s="5">
        <v>6252</v>
      </c>
      <c r="B377" s="5" t="s">
        <v>17</v>
      </c>
      <c r="C377" s="5" t="s">
        <v>1007</v>
      </c>
      <c r="D377" s="5" t="s">
        <v>460</v>
      </c>
      <c r="E377" s="5" t="s">
        <v>832</v>
      </c>
      <c r="F377" s="5">
        <v>26</v>
      </c>
      <c r="G377" s="5">
        <v>6.04</v>
      </c>
      <c r="H377" s="5">
        <v>6.21</v>
      </c>
      <c r="I377" s="5">
        <v>2</v>
      </c>
      <c r="J377" s="5">
        <v>0</v>
      </c>
      <c r="K377" s="5">
        <v>0</v>
      </c>
      <c r="L377" s="5">
        <v>0</v>
      </c>
      <c r="M377" s="5">
        <v>0</v>
      </c>
      <c r="N377" s="5">
        <v>0</v>
      </c>
      <c r="O377" s="5">
        <v>0</v>
      </c>
      <c r="P377" s="5">
        <v>3</v>
      </c>
      <c r="Q377" s="5">
        <v>0</v>
      </c>
      <c r="R377" s="5">
        <v>0</v>
      </c>
    </row>
    <row r="378" spans="1:18" ht="15" customHeight="1" x14ac:dyDescent="0.25">
      <c r="A378" s="5">
        <v>4686</v>
      </c>
      <c r="B378" s="5" t="s">
        <v>17</v>
      </c>
      <c r="C378" s="5" t="s">
        <v>1009</v>
      </c>
      <c r="D378" s="5" t="s">
        <v>285</v>
      </c>
      <c r="E378" s="5" t="s">
        <v>828</v>
      </c>
      <c r="F378" s="5">
        <v>33</v>
      </c>
      <c r="G378" s="5">
        <v>5.85</v>
      </c>
      <c r="H378" s="5">
        <v>6.06</v>
      </c>
      <c r="I378" s="5">
        <v>2</v>
      </c>
      <c r="J378" s="5">
        <v>0</v>
      </c>
      <c r="K378" s="5">
        <v>0</v>
      </c>
      <c r="L378" s="5">
        <v>0</v>
      </c>
      <c r="M378" s="5">
        <v>0</v>
      </c>
      <c r="N378" s="5">
        <v>0</v>
      </c>
      <c r="O378" s="5">
        <v>3</v>
      </c>
      <c r="P378" s="5">
        <v>4</v>
      </c>
      <c r="Q378" s="5">
        <v>0</v>
      </c>
      <c r="R378" s="5">
        <v>0</v>
      </c>
    </row>
    <row r="379" spans="1:18" ht="15" customHeight="1" x14ac:dyDescent="0.25">
      <c r="A379" s="5">
        <v>4199</v>
      </c>
      <c r="B379" s="5" t="s">
        <v>17</v>
      </c>
      <c r="C379" s="5" t="s">
        <v>1007</v>
      </c>
      <c r="D379" s="5" t="s">
        <v>439</v>
      </c>
      <c r="E379" s="5" t="s">
        <v>828</v>
      </c>
      <c r="F379" s="5">
        <v>21</v>
      </c>
      <c r="G379" s="5">
        <v>6.1</v>
      </c>
      <c r="H379" s="5">
        <v>6.52</v>
      </c>
      <c r="I379" s="5">
        <v>3</v>
      </c>
      <c r="J379" s="5">
        <v>0</v>
      </c>
      <c r="K379" s="5">
        <v>0</v>
      </c>
      <c r="L379" s="5">
        <v>0</v>
      </c>
      <c r="M379" s="5">
        <v>0</v>
      </c>
      <c r="N379" s="5">
        <v>0</v>
      </c>
      <c r="O379" s="5">
        <v>1</v>
      </c>
      <c r="P379" s="5">
        <v>2</v>
      </c>
      <c r="Q379" s="5">
        <v>0</v>
      </c>
      <c r="R379" s="5">
        <v>0</v>
      </c>
    </row>
    <row r="380" spans="1:18" ht="15" customHeight="1" x14ac:dyDescent="0.25">
      <c r="A380" s="5">
        <v>4287</v>
      </c>
      <c r="B380" s="5" t="s">
        <v>17</v>
      </c>
      <c r="C380" s="5" t="s">
        <v>1009</v>
      </c>
      <c r="D380" s="5" t="s">
        <v>304</v>
      </c>
      <c r="E380" s="5" t="s">
        <v>830</v>
      </c>
      <c r="F380" s="5">
        <v>31</v>
      </c>
      <c r="G380" s="5">
        <v>6.05</v>
      </c>
      <c r="H380" s="5">
        <v>6.1</v>
      </c>
      <c r="I380" s="5">
        <v>1</v>
      </c>
      <c r="J380" s="5">
        <v>0</v>
      </c>
      <c r="K380" s="5">
        <v>0</v>
      </c>
      <c r="L380" s="5">
        <v>0</v>
      </c>
      <c r="M380" s="5">
        <v>0</v>
      </c>
      <c r="N380" s="5">
        <v>0</v>
      </c>
      <c r="O380" s="5">
        <v>0</v>
      </c>
      <c r="P380" s="5">
        <v>3</v>
      </c>
      <c r="Q380" s="5">
        <v>0</v>
      </c>
      <c r="R380" s="5">
        <v>0</v>
      </c>
    </row>
    <row r="381" spans="1:18" ht="15" customHeight="1" x14ac:dyDescent="0.25">
      <c r="A381" s="5">
        <v>6831</v>
      </c>
      <c r="B381" s="5" t="s">
        <v>17</v>
      </c>
      <c r="C381" s="5" t="s">
        <v>1013</v>
      </c>
      <c r="D381" s="5" t="s">
        <v>291</v>
      </c>
      <c r="E381" s="5" t="s">
        <v>830</v>
      </c>
      <c r="F381" s="5">
        <v>16</v>
      </c>
      <c r="G381" s="5">
        <v>6.19</v>
      </c>
      <c r="H381" s="5">
        <v>6.84</v>
      </c>
      <c r="I381" s="5">
        <v>3</v>
      </c>
      <c r="J381" s="5">
        <v>0</v>
      </c>
      <c r="K381" s="5">
        <v>0</v>
      </c>
      <c r="L381" s="5">
        <v>0</v>
      </c>
      <c r="M381" s="5">
        <v>0</v>
      </c>
      <c r="N381" s="5">
        <v>0</v>
      </c>
      <c r="O381" s="5">
        <v>3</v>
      </c>
      <c r="P381" s="5">
        <v>3</v>
      </c>
      <c r="Q381" s="5">
        <v>0</v>
      </c>
      <c r="R381" s="5">
        <v>0</v>
      </c>
    </row>
    <row r="382" spans="1:18" ht="15" customHeight="1" x14ac:dyDescent="0.25">
      <c r="A382" s="5">
        <v>2334</v>
      </c>
      <c r="B382" s="5" t="s">
        <v>17</v>
      </c>
      <c r="C382" s="5" t="s">
        <v>1011</v>
      </c>
      <c r="D382" s="5" t="s">
        <v>1026</v>
      </c>
      <c r="E382" s="5" t="s">
        <v>867</v>
      </c>
      <c r="F382" s="5">
        <v>32</v>
      </c>
      <c r="G382" s="5">
        <v>5.94</v>
      </c>
      <c r="H382" s="5">
        <v>6.19</v>
      </c>
      <c r="I382" s="5">
        <v>2</v>
      </c>
      <c r="J382" s="5">
        <v>0</v>
      </c>
      <c r="K382" s="5">
        <v>0</v>
      </c>
      <c r="L382" s="5">
        <v>0</v>
      </c>
      <c r="M382" s="5">
        <v>0</v>
      </c>
      <c r="N382" s="5">
        <v>0</v>
      </c>
      <c r="O382" s="5">
        <v>3</v>
      </c>
      <c r="P382" s="5">
        <v>2</v>
      </c>
      <c r="Q382" s="5">
        <v>0</v>
      </c>
      <c r="R382" s="5">
        <v>0</v>
      </c>
    </row>
    <row r="383" spans="1:18" ht="15" customHeight="1" x14ac:dyDescent="0.25">
      <c r="A383" s="5">
        <v>1976</v>
      </c>
      <c r="B383" s="5" t="s">
        <v>17</v>
      </c>
      <c r="C383" s="5" t="s">
        <v>1009</v>
      </c>
      <c r="D383" s="5" t="s">
        <v>1027</v>
      </c>
      <c r="E383" s="5" t="s">
        <v>832</v>
      </c>
      <c r="F383" s="5">
        <v>14</v>
      </c>
      <c r="G383" s="5">
        <v>6.07</v>
      </c>
      <c r="H383" s="5">
        <v>6.57</v>
      </c>
      <c r="I383" s="5">
        <v>2</v>
      </c>
      <c r="J383" s="5">
        <v>0</v>
      </c>
      <c r="K383" s="5">
        <v>0</v>
      </c>
      <c r="L383" s="5">
        <v>0</v>
      </c>
      <c r="M383" s="5">
        <v>0</v>
      </c>
      <c r="N383" s="5">
        <v>0</v>
      </c>
      <c r="O383" s="5">
        <v>2</v>
      </c>
      <c r="P383" s="5">
        <v>3</v>
      </c>
      <c r="Q383" s="5">
        <v>0</v>
      </c>
      <c r="R383" s="5">
        <v>0</v>
      </c>
    </row>
    <row r="384" spans="1:18" ht="15" customHeight="1" x14ac:dyDescent="0.25">
      <c r="A384" s="5">
        <v>22</v>
      </c>
      <c r="B384" s="5" t="s">
        <v>17</v>
      </c>
      <c r="C384" s="5" t="s">
        <v>1009</v>
      </c>
      <c r="D384" s="5" t="s">
        <v>415</v>
      </c>
      <c r="E384" s="5" t="s">
        <v>826</v>
      </c>
      <c r="F384" s="5">
        <v>34</v>
      </c>
      <c r="G384" s="5">
        <v>5.97</v>
      </c>
      <c r="H384" s="5">
        <v>6</v>
      </c>
      <c r="I384" s="5">
        <v>1</v>
      </c>
      <c r="J384" s="5">
        <v>0</v>
      </c>
      <c r="K384" s="5">
        <v>0</v>
      </c>
      <c r="L384" s="5">
        <v>0</v>
      </c>
      <c r="M384" s="5">
        <v>0</v>
      </c>
      <c r="N384" s="5">
        <v>0</v>
      </c>
      <c r="O384" s="5">
        <v>2</v>
      </c>
      <c r="P384" s="5">
        <v>6</v>
      </c>
      <c r="Q384" s="5">
        <v>1</v>
      </c>
      <c r="R384" s="5">
        <v>0</v>
      </c>
    </row>
    <row r="385" spans="1:18" ht="15" customHeight="1" x14ac:dyDescent="0.25">
      <c r="A385" s="5">
        <v>5119</v>
      </c>
      <c r="B385" s="5" t="s">
        <v>17</v>
      </c>
      <c r="C385" s="5" t="s">
        <v>1008</v>
      </c>
      <c r="D385" s="5" t="s">
        <v>215</v>
      </c>
      <c r="E385" s="5" t="s">
        <v>826</v>
      </c>
      <c r="F385" s="5">
        <v>21</v>
      </c>
      <c r="G385" s="5">
        <v>5.93</v>
      </c>
      <c r="H385" s="5">
        <v>6.29</v>
      </c>
      <c r="I385" s="5">
        <v>2</v>
      </c>
      <c r="J385" s="5">
        <v>0</v>
      </c>
      <c r="K385" s="5">
        <v>0</v>
      </c>
      <c r="L385" s="5">
        <v>0</v>
      </c>
      <c r="M385" s="5">
        <v>0</v>
      </c>
      <c r="N385" s="5">
        <v>0</v>
      </c>
      <c r="O385" s="5">
        <v>2</v>
      </c>
      <c r="P385" s="5">
        <v>1</v>
      </c>
      <c r="Q385" s="5">
        <v>0</v>
      </c>
      <c r="R385" s="5">
        <v>0</v>
      </c>
    </row>
    <row r="386" spans="1:18" ht="15" customHeight="1" x14ac:dyDescent="0.25">
      <c r="A386" s="5">
        <v>6054</v>
      </c>
      <c r="B386" s="5" t="s">
        <v>17</v>
      </c>
      <c r="C386" s="5" t="s">
        <v>1009</v>
      </c>
      <c r="D386" s="5" t="s">
        <v>459</v>
      </c>
      <c r="E386" s="5" t="s">
        <v>831</v>
      </c>
      <c r="F386" s="5">
        <v>28</v>
      </c>
      <c r="G386" s="5">
        <v>5.93</v>
      </c>
      <c r="H386" s="5">
        <v>6.12</v>
      </c>
      <c r="I386" s="5">
        <v>2</v>
      </c>
      <c r="J386" s="5">
        <v>0</v>
      </c>
      <c r="K386" s="5">
        <v>0</v>
      </c>
      <c r="L386" s="5">
        <v>0</v>
      </c>
      <c r="M386" s="5">
        <v>0</v>
      </c>
      <c r="N386" s="5">
        <v>0</v>
      </c>
      <c r="O386" s="5">
        <v>0</v>
      </c>
      <c r="P386" s="5">
        <v>1</v>
      </c>
      <c r="Q386" s="5">
        <v>0</v>
      </c>
      <c r="R386" s="5">
        <v>0</v>
      </c>
    </row>
    <row r="387" spans="1:18" ht="15" customHeight="1" x14ac:dyDescent="0.25">
      <c r="A387" s="5">
        <v>6294</v>
      </c>
      <c r="B387" s="5" t="s">
        <v>17</v>
      </c>
      <c r="C387" s="5" t="s">
        <v>1009</v>
      </c>
      <c r="D387" s="5" t="s">
        <v>266</v>
      </c>
      <c r="E387" s="5" t="s">
        <v>829</v>
      </c>
      <c r="F387" s="5">
        <v>30</v>
      </c>
      <c r="G387" s="5">
        <v>5.8</v>
      </c>
      <c r="H387" s="5">
        <v>6.07</v>
      </c>
      <c r="I387" s="5">
        <v>3</v>
      </c>
      <c r="J387" s="5">
        <v>0</v>
      </c>
      <c r="K387" s="5">
        <v>0</v>
      </c>
      <c r="L387" s="5">
        <v>0</v>
      </c>
      <c r="M387" s="5">
        <v>0</v>
      </c>
      <c r="N387" s="5">
        <v>0</v>
      </c>
      <c r="O387" s="5">
        <v>0</v>
      </c>
      <c r="P387" s="5">
        <v>2</v>
      </c>
      <c r="Q387" s="5">
        <v>0</v>
      </c>
      <c r="R387" s="5">
        <v>0</v>
      </c>
    </row>
    <row r="388" spans="1:18" ht="15" customHeight="1" x14ac:dyDescent="0.25">
      <c r="A388" s="5">
        <v>5791</v>
      </c>
      <c r="B388" s="5" t="s">
        <v>17</v>
      </c>
      <c r="C388" s="5" t="s">
        <v>1009</v>
      </c>
      <c r="D388" s="5" t="s">
        <v>314</v>
      </c>
      <c r="E388" s="5" t="s">
        <v>836</v>
      </c>
      <c r="F388" s="5">
        <v>36</v>
      </c>
      <c r="G388" s="5">
        <v>5.96</v>
      </c>
      <c r="H388" s="5">
        <v>5.97</v>
      </c>
      <c r="I388" s="5">
        <v>1</v>
      </c>
      <c r="J388" s="5">
        <v>0</v>
      </c>
      <c r="K388" s="5">
        <v>0</v>
      </c>
      <c r="L388" s="5">
        <v>0</v>
      </c>
      <c r="M388" s="5">
        <v>0</v>
      </c>
      <c r="N388" s="5">
        <v>0</v>
      </c>
      <c r="O388" s="5">
        <v>0</v>
      </c>
      <c r="P388" s="5">
        <v>5</v>
      </c>
      <c r="Q388" s="5">
        <v>0</v>
      </c>
      <c r="R388" s="5">
        <v>0</v>
      </c>
    </row>
    <row r="389" spans="1:18" ht="15" customHeight="1" x14ac:dyDescent="0.25">
      <c r="A389" s="5">
        <v>4711</v>
      </c>
      <c r="B389" s="5" t="s">
        <v>17</v>
      </c>
      <c r="C389" s="5" t="s">
        <v>1016</v>
      </c>
      <c r="D389" s="5" t="s">
        <v>1028</v>
      </c>
      <c r="E389" s="5" t="s">
        <v>833</v>
      </c>
      <c r="F389" s="5">
        <v>10</v>
      </c>
      <c r="G389" s="5">
        <v>6.2</v>
      </c>
      <c r="H389" s="5">
        <v>7.2</v>
      </c>
      <c r="I389" s="5">
        <v>3</v>
      </c>
      <c r="J389" s="5">
        <v>0</v>
      </c>
      <c r="K389" s="5">
        <v>0</v>
      </c>
      <c r="L389" s="5">
        <v>0</v>
      </c>
      <c r="M389" s="5">
        <v>0</v>
      </c>
      <c r="N389" s="5">
        <v>0</v>
      </c>
      <c r="O389" s="5">
        <v>1</v>
      </c>
      <c r="P389" s="5">
        <v>1</v>
      </c>
      <c r="Q389" s="5">
        <v>0</v>
      </c>
      <c r="R389" s="5">
        <v>0</v>
      </c>
    </row>
    <row r="390" spans="1:18" ht="15" customHeight="1" x14ac:dyDescent="0.25">
      <c r="A390" s="5">
        <v>795</v>
      </c>
      <c r="B390" s="5" t="s">
        <v>17</v>
      </c>
      <c r="C390" s="5" t="s">
        <v>1011</v>
      </c>
      <c r="D390" s="5" t="s">
        <v>1029</v>
      </c>
      <c r="E390" s="5" t="s">
        <v>824</v>
      </c>
      <c r="F390" s="5">
        <v>18</v>
      </c>
      <c r="G390" s="5">
        <v>6.14</v>
      </c>
      <c r="H390" s="5">
        <v>6.33</v>
      </c>
      <c r="I390" s="5">
        <v>1</v>
      </c>
      <c r="J390" s="5">
        <v>0</v>
      </c>
      <c r="K390" s="5">
        <v>0</v>
      </c>
      <c r="L390" s="5">
        <v>0</v>
      </c>
      <c r="M390" s="5">
        <v>0</v>
      </c>
      <c r="N390" s="5">
        <v>0</v>
      </c>
      <c r="O390" s="5">
        <v>2</v>
      </c>
      <c r="P390" s="5">
        <v>4</v>
      </c>
      <c r="Q390" s="5">
        <v>0</v>
      </c>
      <c r="R390" s="5">
        <v>0</v>
      </c>
    </row>
    <row r="391" spans="1:18" ht="15" customHeight="1" x14ac:dyDescent="0.25">
      <c r="A391" s="5">
        <v>5823</v>
      </c>
      <c r="B391" s="5" t="s">
        <v>17</v>
      </c>
      <c r="C391" s="5" t="s">
        <v>1006</v>
      </c>
      <c r="D391" s="5" t="s">
        <v>247</v>
      </c>
      <c r="E391" s="5" t="s">
        <v>836</v>
      </c>
      <c r="F391" s="5">
        <v>17</v>
      </c>
      <c r="G391" s="5">
        <v>6.15</v>
      </c>
      <c r="H391" s="5">
        <v>6.38</v>
      </c>
      <c r="I391" s="5">
        <v>1</v>
      </c>
      <c r="J391" s="5">
        <v>0</v>
      </c>
      <c r="K391" s="5">
        <v>0</v>
      </c>
      <c r="L391" s="5">
        <v>0</v>
      </c>
      <c r="M391" s="5">
        <v>0</v>
      </c>
      <c r="N391" s="5">
        <v>0</v>
      </c>
      <c r="O391" s="5">
        <v>2</v>
      </c>
      <c r="P391" s="5">
        <v>2</v>
      </c>
      <c r="Q391" s="5">
        <v>0</v>
      </c>
      <c r="R391" s="5">
        <v>0</v>
      </c>
    </row>
    <row r="392" spans="1:18" ht="15" customHeight="1" x14ac:dyDescent="0.25">
      <c r="A392" s="5">
        <v>6680</v>
      </c>
      <c r="B392" s="5" t="s">
        <v>17</v>
      </c>
      <c r="C392" s="5" t="s">
        <v>1009</v>
      </c>
      <c r="D392" s="5" t="s">
        <v>307</v>
      </c>
      <c r="E392" s="5" t="s">
        <v>835</v>
      </c>
      <c r="F392" s="5">
        <v>36</v>
      </c>
      <c r="G392" s="5">
        <v>5.96</v>
      </c>
      <c r="H392" s="5">
        <v>5.96</v>
      </c>
      <c r="I392" s="5">
        <v>1</v>
      </c>
      <c r="J392" s="5">
        <v>0</v>
      </c>
      <c r="K392" s="5">
        <v>0</v>
      </c>
      <c r="L392" s="5">
        <v>0</v>
      </c>
      <c r="M392" s="5">
        <v>0</v>
      </c>
      <c r="N392" s="5">
        <v>0</v>
      </c>
      <c r="O392" s="5">
        <v>0</v>
      </c>
      <c r="P392" s="5">
        <v>6</v>
      </c>
      <c r="Q392" s="5">
        <v>0</v>
      </c>
      <c r="R392" s="5">
        <v>0</v>
      </c>
    </row>
    <row r="393" spans="1:18" ht="15" customHeight="1" x14ac:dyDescent="0.25">
      <c r="A393" s="5">
        <v>5761</v>
      </c>
      <c r="B393" s="5" t="s">
        <v>17</v>
      </c>
      <c r="C393" s="5" t="s">
        <v>1011</v>
      </c>
      <c r="D393" s="5" t="s">
        <v>330</v>
      </c>
      <c r="E393" s="5" t="s">
        <v>833</v>
      </c>
      <c r="F393" s="5">
        <v>12</v>
      </c>
      <c r="G393" s="5">
        <v>5.96</v>
      </c>
      <c r="H393" s="5">
        <v>5.96</v>
      </c>
      <c r="I393" s="5">
        <v>0</v>
      </c>
      <c r="J393" s="5">
        <v>0</v>
      </c>
      <c r="K393" s="5">
        <v>0</v>
      </c>
      <c r="L393" s="5">
        <v>0</v>
      </c>
      <c r="M393" s="5">
        <v>0</v>
      </c>
      <c r="N393" s="5">
        <v>0</v>
      </c>
      <c r="O393" s="5">
        <v>0</v>
      </c>
      <c r="P393" s="5">
        <v>1</v>
      </c>
      <c r="Q393" s="5">
        <v>0</v>
      </c>
      <c r="R393" s="5">
        <v>0</v>
      </c>
    </row>
    <row r="394" spans="1:18" ht="15" customHeight="1" x14ac:dyDescent="0.25">
      <c r="A394" s="5">
        <v>7318</v>
      </c>
      <c r="B394" s="5" t="s">
        <v>17</v>
      </c>
      <c r="C394" s="5" t="s">
        <v>1007</v>
      </c>
      <c r="D394" s="5" t="s">
        <v>374</v>
      </c>
      <c r="E394" s="5" t="s">
        <v>837</v>
      </c>
      <c r="F394" s="5">
        <v>16</v>
      </c>
      <c r="G394" s="5">
        <v>5.97</v>
      </c>
      <c r="H394" s="5">
        <v>6.41</v>
      </c>
      <c r="I394" s="5">
        <v>2</v>
      </c>
      <c r="J394" s="5">
        <v>0</v>
      </c>
      <c r="K394" s="5">
        <v>0</v>
      </c>
      <c r="L394" s="5">
        <v>0</v>
      </c>
      <c r="M394" s="5">
        <v>0</v>
      </c>
      <c r="N394" s="5">
        <v>0</v>
      </c>
      <c r="O394" s="5">
        <v>1</v>
      </c>
      <c r="P394" s="5">
        <v>0</v>
      </c>
      <c r="Q394" s="5">
        <v>0</v>
      </c>
      <c r="R394" s="5">
        <v>0</v>
      </c>
    </row>
    <row r="395" spans="1:18" ht="15" customHeight="1" x14ac:dyDescent="0.25">
      <c r="A395" s="5">
        <v>788</v>
      </c>
      <c r="B395" s="5" t="s">
        <v>17</v>
      </c>
      <c r="C395" s="5" t="s">
        <v>1009</v>
      </c>
      <c r="D395" s="5" t="s">
        <v>1030</v>
      </c>
      <c r="E395" s="5" t="s">
        <v>831</v>
      </c>
      <c r="F395" s="5">
        <v>28</v>
      </c>
      <c r="G395" s="5">
        <v>6.02</v>
      </c>
      <c r="H395" s="5">
        <v>6.04</v>
      </c>
      <c r="I395" s="5">
        <v>1</v>
      </c>
      <c r="J395" s="5">
        <v>0</v>
      </c>
      <c r="K395" s="5">
        <v>0</v>
      </c>
      <c r="L395" s="5">
        <v>0</v>
      </c>
      <c r="M395" s="5">
        <v>0</v>
      </c>
      <c r="N395" s="5">
        <v>0</v>
      </c>
      <c r="O395" s="5">
        <v>2</v>
      </c>
      <c r="P395" s="5">
        <v>5</v>
      </c>
      <c r="Q395" s="5">
        <v>0</v>
      </c>
      <c r="R395" s="5">
        <v>1</v>
      </c>
    </row>
    <row r="396" spans="1:18" ht="15" customHeight="1" x14ac:dyDescent="0.25">
      <c r="A396" s="5">
        <v>5298</v>
      </c>
      <c r="B396" s="5" t="s">
        <v>17</v>
      </c>
      <c r="C396" s="5" t="s">
        <v>1009</v>
      </c>
      <c r="D396" s="5" t="s">
        <v>368</v>
      </c>
      <c r="E396" s="5" t="s">
        <v>831</v>
      </c>
      <c r="F396" s="5">
        <v>23</v>
      </c>
      <c r="G396" s="5">
        <v>5.83</v>
      </c>
      <c r="H396" s="5">
        <v>6.17</v>
      </c>
      <c r="I396" s="5">
        <v>3</v>
      </c>
      <c r="J396" s="5">
        <v>0</v>
      </c>
      <c r="K396" s="5">
        <v>0</v>
      </c>
      <c r="L396" s="5">
        <v>0</v>
      </c>
      <c r="M396" s="5">
        <v>0</v>
      </c>
      <c r="N396" s="5">
        <v>0</v>
      </c>
      <c r="O396" s="5">
        <v>1</v>
      </c>
      <c r="P396" s="5">
        <v>2</v>
      </c>
      <c r="Q396" s="5">
        <v>1</v>
      </c>
      <c r="R396" s="5">
        <v>0</v>
      </c>
    </row>
    <row r="397" spans="1:18" ht="15" customHeight="1" x14ac:dyDescent="0.25">
      <c r="A397" s="5">
        <v>4870</v>
      </c>
      <c r="B397" s="5" t="s">
        <v>17</v>
      </c>
      <c r="C397" s="5" t="s">
        <v>1009</v>
      </c>
      <c r="D397" s="5" t="s">
        <v>393</v>
      </c>
      <c r="E397" s="5" t="s">
        <v>832</v>
      </c>
      <c r="F397" s="5">
        <v>38</v>
      </c>
      <c r="G397" s="5">
        <v>5.83</v>
      </c>
      <c r="H397" s="5">
        <v>5.88</v>
      </c>
      <c r="I397" s="5">
        <v>1</v>
      </c>
      <c r="J397" s="5">
        <v>0</v>
      </c>
      <c r="K397" s="5">
        <v>0</v>
      </c>
      <c r="L397" s="5">
        <v>0</v>
      </c>
      <c r="M397" s="5">
        <v>0</v>
      </c>
      <c r="N397" s="5">
        <v>0</v>
      </c>
      <c r="O397" s="5">
        <v>1</v>
      </c>
      <c r="P397" s="5">
        <v>4</v>
      </c>
      <c r="Q397" s="5">
        <v>0</v>
      </c>
      <c r="R397" s="5">
        <v>0</v>
      </c>
    </row>
    <row r="398" spans="1:18" ht="15" customHeight="1" x14ac:dyDescent="0.25">
      <c r="A398" s="5">
        <v>6020</v>
      </c>
      <c r="B398" s="5" t="s">
        <v>17</v>
      </c>
      <c r="C398" s="5" t="s">
        <v>1014</v>
      </c>
      <c r="D398" s="5" t="s">
        <v>329</v>
      </c>
      <c r="E398" s="5" t="s">
        <v>836</v>
      </c>
      <c r="F398" s="5">
        <v>35</v>
      </c>
      <c r="G398" s="5">
        <v>5.84</v>
      </c>
      <c r="H398" s="5">
        <v>5.91</v>
      </c>
      <c r="I398" s="5">
        <v>1</v>
      </c>
      <c r="J398" s="5">
        <v>0</v>
      </c>
      <c r="K398" s="5">
        <v>0</v>
      </c>
      <c r="L398" s="5">
        <v>0</v>
      </c>
      <c r="M398" s="5">
        <v>0</v>
      </c>
      <c r="N398" s="5">
        <v>0</v>
      </c>
      <c r="O398" s="5">
        <v>1</v>
      </c>
      <c r="P398" s="5">
        <v>1</v>
      </c>
      <c r="Q398" s="5">
        <v>1</v>
      </c>
      <c r="R398" s="5">
        <v>0</v>
      </c>
    </row>
    <row r="399" spans="1:18" ht="15" customHeight="1" x14ac:dyDescent="0.25">
      <c r="A399" s="5">
        <v>5301</v>
      </c>
      <c r="B399" s="5" t="s">
        <v>17</v>
      </c>
      <c r="C399" s="5" t="s">
        <v>1016</v>
      </c>
      <c r="D399" s="5" t="s">
        <v>397</v>
      </c>
      <c r="E399" s="5" t="s">
        <v>825</v>
      </c>
      <c r="F399" s="5">
        <v>27</v>
      </c>
      <c r="G399" s="5">
        <v>5.89</v>
      </c>
      <c r="H399" s="5">
        <v>6.06</v>
      </c>
      <c r="I399" s="5">
        <v>1</v>
      </c>
      <c r="J399" s="5">
        <v>0</v>
      </c>
      <c r="K399" s="5">
        <v>0</v>
      </c>
      <c r="L399" s="5">
        <v>0</v>
      </c>
      <c r="M399" s="5">
        <v>0</v>
      </c>
      <c r="N399" s="5">
        <v>0</v>
      </c>
      <c r="O399" s="5">
        <v>2</v>
      </c>
      <c r="P399" s="5">
        <v>1</v>
      </c>
      <c r="Q399" s="5">
        <v>0</v>
      </c>
      <c r="R399" s="5">
        <v>0</v>
      </c>
    </row>
    <row r="400" spans="1:18" ht="15" customHeight="1" x14ac:dyDescent="0.25">
      <c r="A400" s="5">
        <v>6394</v>
      </c>
      <c r="B400" s="5" t="s">
        <v>17</v>
      </c>
      <c r="C400" s="5" t="s">
        <v>1009</v>
      </c>
      <c r="D400" s="5" t="s">
        <v>1031</v>
      </c>
      <c r="E400" s="5" t="s">
        <v>837</v>
      </c>
      <c r="F400" s="5">
        <v>37</v>
      </c>
      <c r="G400" s="5">
        <v>5.91</v>
      </c>
      <c r="H400" s="5">
        <v>5.85</v>
      </c>
      <c r="I400" s="5">
        <v>1</v>
      </c>
      <c r="J400" s="5">
        <v>0</v>
      </c>
      <c r="K400" s="5">
        <v>0</v>
      </c>
      <c r="L400" s="5">
        <v>0</v>
      </c>
      <c r="M400" s="5">
        <v>0</v>
      </c>
      <c r="N400" s="5">
        <v>0</v>
      </c>
      <c r="O400" s="5">
        <v>0</v>
      </c>
      <c r="P400" s="5">
        <v>10</v>
      </c>
      <c r="Q400" s="5">
        <v>0</v>
      </c>
      <c r="R400" s="5">
        <v>0</v>
      </c>
    </row>
    <row r="401" spans="1:18" ht="15" customHeight="1" x14ac:dyDescent="0.25">
      <c r="A401" s="5">
        <v>6271</v>
      </c>
      <c r="B401" s="5" t="s">
        <v>17</v>
      </c>
      <c r="C401" s="5" t="s">
        <v>1009</v>
      </c>
      <c r="D401" s="5" t="s">
        <v>334</v>
      </c>
      <c r="E401" s="5" t="s">
        <v>824</v>
      </c>
      <c r="F401" s="5">
        <v>21</v>
      </c>
      <c r="G401" s="5">
        <v>5.98</v>
      </c>
      <c r="H401" s="5">
        <v>6.1</v>
      </c>
      <c r="I401" s="5">
        <v>1</v>
      </c>
      <c r="J401" s="5">
        <v>0</v>
      </c>
      <c r="K401" s="5">
        <v>0</v>
      </c>
      <c r="L401" s="5">
        <v>0</v>
      </c>
      <c r="M401" s="5">
        <v>0</v>
      </c>
      <c r="N401" s="5">
        <v>0</v>
      </c>
      <c r="O401" s="5">
        <v>2</v>
      </c>
      <c r="P401" s="5">
        <v>5</v>
      </c>
      <c r="Q401" s="5">
        <v>0</v>
      </c>
      <c r="R401" s="5">
        <v>0</v>
      </c>
    </row>
    <row r="402" spans="1:18" ht="15" customHeight="1" x14ac:dyDescent="0.25">
      <c r="A402" s="5">
        <v>6815</v>
      </c>
      <c r="B402" s="5" t="s">
        <v>17</v>
      </c>
      <c r="C402" s="5" t="s">
        <v>1011</v>
      </c>
      <c r="D402" s="5" t="s">
        <v>565</v>
      </c>
      <c r="E402" s="5" t="s">
        <v>839</v>
      </c>
      <c r="F402" s="5">
        <v>24</v>
      </c>
      <c r="G402" s="5">
        <v>5.92</v>
      </c>
      <c r="H402" s="5">
        <v>6.15</v>
      </c>
      <c r="I402" s="5">
        <v>2</v>
      </c>
      <c r="J402" s="5">
        <v>0</v>
      </c>
      <c r="K402" s="5">
        <v>0</v>
      </c>
      <c r="L402" s="5">
        <v>0</v>
      </c>
      <c r="M402" s="5">
        <v>0</v>
      </c>
      <c r="N402" s="5">
        <v>0</v>
      </c>
      <c r="O402" s="5">
        <v>1</v>
      </c>
      <c r="P402" s="5">
        <v>5</v>
      </c>
      <c r="Q402" s="5">
        <v>0</v>
      </c>
      <c r="R402" s="5">
        <v>0</v>
      </c>
    </row>
    <row r="403" spans="1:18" ht="15" customHeight="1" x14ac:dyDescent="0.25">
      <c r="A403" s="5">
        <v>2839</v>
      </c>
      <c r="B403" s="5" t="s">
        <v>17</v>
      </c>
      <c r="C403" s="5" t="s">
        <v>1013</v>
      </c>
      <c r="D403" s="5" t="s">
        <v>1032</v>
      </c>
      <c r="E403" s="5" t="s">
        <v>837</v>
      </c>
      <c r="F403" s="5">
        <v>21</v>
      </c>
      <c r="G403" s="5">
        <v>6.02</v>
      </c>
      <c r="H403" s="5">
        <v>6.24</v>
      </c>
      <c r="I403" s="5">
        <v>1</v>
      </c>
      <c r="J403" s="5">
        <v>0</v>
      </c>
      <c r="K403" s="5">
        <v>0</v>
      </c>
      <c r="L403" s="5">
        <v>0</v>
      </c>
      <c r="M403" s="5">
        <v>0</v>
      </c>
      <c r="N403" s="5">
        <v>0</v>
      </c>
      <c r="O403" s="5">
        <v>2</v>
      </c>
      <c r="P403" s="5">
        <v>1</v>
      </c>
      <c r="Q403" s="5">
        <v>0</v>
      </c>
      <c r="R403" s="5">
        <v>0</v>
      </c>
    </row>
    <row r="404" spans="1:18" ht="15" customHeight="1" x14ac:dyDescent="0.25">
      <c r="A404" s="5">
        <v>7223</v>
      </c>
      <c r="B404" s="5" t="s">
        <v>17</v>
      </c>
      <c r="C404" s="5" t="s">
        <v>1017</v>
      </c>
      <c r="D404" s="5" t="s">
        <v>233</v>
      </c>
      <c r="E404" s="5" t="s">
        <v>830</v>
      </c>
      <c r="F404" s="5">
        <v>8</v>
      </c>
      <c r="G404" s="5">
        <v>6.25</v>
      </c>
      <c r="H404" s="5">
        <v>6.5</v>
      </c>
      <c r="I404" s="5">
        <v>1</v>
      </c>
      <c r="J404" s="5">
        <v>0</v>
      </c>
      <c r="K404" s="5">
        <v>0</v>
      </c>
      <c r="L404" s="5">
        <v>0</v>
      </c>
      <c r="M404" s="5">
        <v>0</v>
      </c>
      <c r="N404" s="5">
        <v>0</v>
      </c>
      <c r="O404" s="5">
        <v>0</v>
      </c>
      <c r="P404" s="5">
        <v>2</v>
      </c>
      <c r="Q404" s="5">
        <v>0</v>
      </c>
      <c r="R404" s="5">
        <v>0</v>
      </c>
    </row>
    <row r="405" spans="1:18" ht="15" customHeight="1" x14ac:dyDescent="0.25">
      <c r="A405" s="5">
        <v>2670</v>
      </c>
      <c r="B405" s="5" t="s">
        <v>17</v>
      </c>
      <c r="C405" s="5" t="s">
        <v>1013</v>
      </c>
      <c r="D405" s="5" t="s">
        <v>1033</v>
      </c>
      <c r="E405" s="5" t="s">
        <v>824</v>
      </c>
      <c r="F405" s="5">
        <v>5</v>
      </c>
      <c r="G405" s="5">
        <v>5.7</v>
      </c>
      <c r="H405" s="5">
        <v>5.7</v>
      </c>
      <c r="I405" s="5">
        <v>0</v>
      </c>
      <c r="J405" s="5">
        <v>0</v>
      </c>
      <c r="K405" s="5">
        <v>0</v>
      </c>
      <c r="L405" s="5">
        <v>0</v>
      </c>
      <c r="M405" s="5">
        <v>0</v>
      </c>
      <c r="N405" s="5">
        <v>0</v>
      </c>
      <c r="O405" s="5">
        <v>0</v>
      </c>
      <c r="P405" s="5">
        <v>0</v>
      </c>
      <c r="Q405" s="5">
        <v>0</v>
      </c>
      <c r="R405" s="5">
        <v>0</v>
      </c>
    </row>
    <row r="406" spans="1:18" ht="15" customHeight="1" x14ac:dyDescent="0.25">
      <c r="A406" s="5">
        <v>2528</v>
      </c>
      <c r="B406" s="5" t="s">
        <v>17</v>
      </c>
      <c r="C406" s="5" t="s">
        <v>1009</v>
      </c>
      <c r="D406" s="5" t="s">
        <v>362</v>
      </c>
      <c r="E406" s="5" t="s">
        <v>839</v>
      </c>
      <c r="F406" s="5">
        <v>34</v>
      </c>
      <c r="G406" s="5">
        <v>5.96</v>
      </c>
      <c r="H406" s="5">
        <v>5.96</v>
      </c>
      <c r="I406" s="5">
        <v>1</v>
      </c>
      <c r="J406" s="5">
        <v>0</v>
      </c>
      <c r="K406" s="5">
        <v>0</v>
      </c>
      <c r="L406" s="5">
        <v>0</v>
      </c>
      <c r="M406" s="5">
        <v>0</v>
      </c>
      <c r="N406" s="5">
        <v>0</v>
      </c>
      <c r="O406" s="5">
        <v>1</v>
      </c>
      <c r="P406" s="5">
        <v>6</v>
      </c>
      <c r="Q406" s="5">
        <v>1</v>
      </c>
      <c r="R406" s="5">
        <v>0</v>
      </c>
    </row>
    <row r="407" spans="1:18" ht="15" customHeight="1" x14ac:dyDescent="0.25">
      <c r="A407" s="5">
        <v>4349</v>
      </c>
      <c r="B407" s="5" t="s">
        <v>17</v>
      </c>
      <c r="C407" s="5" t="s">
        <v>1009</v>
      </c>
      <c r="D407" s="5" t="s">
        <v>331</v>
      </c>
      <c r="E407" s="5" t="s">
        <v>838</v>
      </c>
      <c r="F407" s="5">
        <v>23</v>
      </c>
      <c r="G407" s="5">
        <v>5.89</v>
      </c>
      <c r="H407" s="5">
        <v>6.02</v>
      </c>
      <c r="I407" s="5">
        <v>0</v>
      </c>
      <c r="J407" s="5">
        <v>0</v>
      </c>
      <c r="K407" s="5">
        <v>0</v>
      </c>
      <c r="L407" s="5">
        <v>0</v>
      </c>
      <c r="M407" s="5">
        <v>0</v>
      </c>
      <c r="N407" s="5">
        <v>0</v>
      </c>
      <c r="O407" s="5">
        <v>4</v>
      </c>
      <c r="P407" s="5">
        <v>4</v>
      </c>
      <c r="Q407" s="5">
        <v>0</v>
      </c>
      <c r="R407" s="5">
        <v>0</v>
      </c>
    </row>
    <row r="408" spans="1:18" ht="15" customHeight="1" x14ac:dyDescent="0.25">
      <c r="A408" s="5">
        <v>6424</v>
      </c>
      <c r="B408" s="5" t="s">
        <v>17</v>
      </c>
      <c r="C408" s="5" t="s">
        <v>1009</v>
      </c>
      <c r="D408" s="5" t="s">
        <v>504</v>
      </c>
      <c r="E408" s="5" t="s">
        <v>843</v>
      </c>
      <c r="F408" s="5">
        <v>32</v>
      </c>
      <c r="G408" s="5">
        <v>5.88</v>
      </c>
      <c r="H408" s="5">
        <v>5.88</v>
      </c>
      <c r="I408" s="5">
        <v>1</v>
      </c>
      <c r="J408" s="5">
        <v>0</v>
      </c>
      <c r="K408" s="5">
        <v>0</v>
      </c>
      <c r="L408" s="5">
        <v>0</v>
      </c>
      <c r="M408" s="5">
        <v>0</v>
      </c>
      <c r="N408" s="5">
        <v>0</v>
      </c>
      <c r="O408" s="5">
        <v>0</v>
      </c>
      <c r="P408" s="5">
        <v>6</v>
      </c>
      <c r="Q408" s="5">
        <v>0</v>
      </c>
      <c r="R408" s="5">
        <v>0</v>
      </c>
    </row>
    <row r="409" spans="1:18" ht="15" customHeight="1" x14ac:dyDescent="0.25">
      <c r="A409" s="5">
        <v>6640</v>
      </c>
      <c r="B409" s="5" t="s">
        <v>17</v>
      </c>
      <c r="C409" s="5" t="s">
        <v>1011</v>
      </c>
      <c r="D409" s="5" t="s">
        <v>457</v>
      </c>
      <c r="E409" s="5" t="s">
        <v>832</v>
      </c>
      <c r="F409" s="5">
        <v>11</v>
      </c>
      <c r="G409" s="5">
        <v>6.05</v>
      </c>
      <c r="H409" s="5">
        <v>6.55</v>
      </c>
      <c r="I409" s="5">
        <v>2</v>
      </c>
      <c r="J409" s="5">
        <v>0</v>
      </c>
      <c r="K409" s="5">
        <v>0</v>
      </c>
      <c r="L409" s="5">
        <v>0</v>
      </c>
      <c r="M409" s="5">
        <v>0</v>
      </c>
      <c r="N409" s="5">
        <v>0</v>
      </c>
      <c r="O409" s="5">
        <v>1</v>
      </c>
      <c r="P409" s="5">
        <v>3</v>
      </c>
      <c r="Q409" s="5">
        <v>0</v>
      </c>
      <c r="R409" s="5">
        <v>0</v>
      </c>
    </row>
    <row r="410" spans="1:18" ht="15" customHeight="1" x14ac:dyDescent="0.25">
      <c r="A410" s="5">
        <v>4662</v>
      </c>
      <c r="B410" s="5" t="s">
        <v>17</v>
      </c>
      <c r="C410" s="5" t="s">
        <v>1016</v>
      </c>
      <c r="D410" s="5" t="s">
        <v>1034</v>
      </c>
      <c r="E410" s="5" t="s">
        <v>833</v>
      </c>
      <c r="F410" s="5">
        <v>0</v>
      </c>
      <c r="G410" s="5">
        <v>0</v>
      </c>
      <c r="H410" s="5">
        <v>0</v>
      </c>
      <c r="I410" s="5">
        <v>0</v>
      </c>
      <c r="J410" s="5">
        <v>0</v>
      </c>
      <c r="K410" s="5">
        <v>0</v>
      </c>
      <c r="L410" s="5">
        <v>0</v>
      </c>
      <c r="M410" s="5">
        <v>0</v>
      </c>
      <c r="N410" s="5">
        <v>0</v>
      </c>
      <c r="O410" s="5">
        <v>0</v>
      </c>
      <c r="P410" s="5">
        <v>0</v>
      </c>
      <c r="Q410" s="5">
        <v>0</v>
      </c>
      <c r="R410" s="5">
        <v>0</v>
      </c>
    </row>
    <row r="411" spans="1:18" ht="15" customHeight="1" x14ac:dyDescent="0.25">
      <c r="A411" s="5">
        <v>5813</v>
      </c>
      <c r="B411" s="5" t="s">
        <v>17</v>
      </c>
      <c r="C411" s="5" t="s">
        <v>1007</v>
      </c>
      <c r="D411" s="5" t="s">
        <v>440</v>
      </c>
      <c r="E411" s="5" t="s">
        <v>833</v>
      </c>
      <c r="F411" s="5">
        <v>15</v>
      </c>
      <c r="G411" s="5">
        <v>5.97</v>
      </c>
      <c r="H411" s="5">
        <v>6.2</v>
      </c>
      <c r="I411" s="5">
        <v>1</v>
      </c>
      <c r="J411" s="5">
        <v>0</v>
      </c>
      <c r="K411" s="5">
        <v>0</v>
      </c>
      <c r="L411" s="5">
        <v>0</v>
      </c>
      <c r="M411" s="5">
        <v>0</v>
      </c>
      <c r="N411" s="5">
        <v>0</v>
      </c>
      <c r="O411" s="5">
        <v>1</v>
      </c>
      <c r="P411" s="5">
        <v>1</v>
      </c>
      <c r="Q411" s="5">
        <v>0</v>
      </c>
      <c r="R411" s="5">
        <v>0</v>
      </c>
    </row>
    <row r="412" spans="1:18" ht="15" customHeight="1" x14ac:dyDescent="0.25">
      <c r="A412" s="5">
        <v>6015</v>
      </c>
      <c r="B412" s="5" t="s">
        <v>17</v>
      </c>
      <c r="C412" s="5" t="s">
        <v>1007</v>
      </c>
      <c r="D412" s="5" t="s">
        <v>351</v>
      </c>
      <c r="E412" s="5" t="s">
        <v>837</v>
      </c>
      <c r="F412" s="5">
        <v>12</v>
      </c>
      <c r="G412" s="5">
        <v>6.17</v>
      </c>
      <c r="H412" s="5">
        <v>6.92</v>
      </c>
      <c r="I412" s="5">
        <v>2</v>
      </c>
      <c r="J412" s="5">
        <v>0</v>
      </c>
      <c r="K412" s="5">
        <v>0</v>
      </c>
      <c r="L412" s="5">
        <v>0</v>
      </c>
      <c r="M412" s="5">
        <v>0</v>
      </c>
      <c r="N412" s="5">
        <v>0</v>
      </c>
      <c r="O412" s="5">
        <v>3</v>
      </c>
      <c r="P412" s="5">
        <v>0</v>
      </c>
      <c r="Q412" s="5">
        <v>0</v>
      </c>
      <c r="R412" s="5">
        <v>0</v>
      </c>
    </row>
    <row r="413" spans="1:18" ht="15" customHeight="1" x14ac:dyDescent="0.25">
      <c r="A413" s="5">
        <v>6549</v>
      </c>
      <c r="B413" s="5" t="s">
        <v>17</v>
      </c>
      <c r="C413" s="5" t="s">
        <v>1013</v>
      </c>
      <c r="D413" s="5" t="s">
        <v>315</v>
      </c>
      <c r="E413" s="5" t="s">
        <v>837</v>
      </c>
      <c r="F413" s="5">
        <v>37</v>
      </c>
      <c r="G413" s="5">
        <v>5.8</v>
      </c>
      <c r="H413" s="5">
        <v>5.85</v>
      </c>
      <c r="I413" s="5">
        <v>1</v>
      </c>
      <c r="J413" s="5">
        <v>0</v>
      </c>
      <c r="K413" s="5">
        <v>0</v>
      </c>
      <c r="L413" s="5">
        <v>0</v>
      </c>
      <c r="M413" s="5">
        <v>0</v>
      </c>
      <c r="N413" s="5">
        <v>0</v>
      </c>
      <c r="O413" s="5">
        <v>1</v>
      </c>
      <c r="P413" s="5">
        <v>4</v>
      </c>
      <c r="Q413" s="5">
        <v>0</v>
      </c>
      <c r="R413" s="5">
        <v>0</v>
      </c>
    </row>
    <row r="414" spans="1:18" ht="15" customHeight="1" x14ac:dyDescent="0.25">
      <c r="A414" s="5">
        <v>5131</v>
      </c>
      <c r="B414" s="5" t="s">
        <v>17</v>
      </c>
      <c r="C414" s="5" t="s">
        <v>1009</v>
      </c>
      <c r="D414" s="5" t="s">
        <v>475</v>
      </c>
      <c r="E414" s="5" t="s">
        <v>830</v>
      </c>
      <c r="F414" s="5">
        <v>13</v>
      </c>
      <c r="G414" s="5">
        <v>6.08</v>
      </c>
      <c r="H414" s="5">
        <v>6.27</v>
      </c>
      <c r="I414" s="5">
        <v>1</v>
      </c>
      <c r="J414" s="5">
        <v>0</v>
      </c>
      <c r="K414" s="5">
        <v>0</v>
      </c>
      <c r="L414" s="5">
        <v>0</v>
      </c>
      <c r="M414" s="5">
        <v>0</v>
      </c>
      <c r="N414" s="5">
        <v>0</v>
      </c>
      <c r="O414" s="5">
        <v>0</v>
      </c>
      <c r="P414" s="5">
        <v>1</v>
      </c>
      <c r="Q414" s="5">
        <v>0</v>
      </c>
      <c r="R414" s="5">
        <v>0</v>
      </c>
    </row>
    <row r="415" spans="1:18" ht="15" customHeight="1" x14ac:dyDescent="0.25">
      <c r="A415" s="5">
        <v>6170</v>
      </c>
      <c r="B415" s="5" t="s">
        <v>17</v>
      </c>
      <c r="C415" s="5" t="s">
        <v>17</v>
      </c>
      <c r="D415" s="5" t="s">
        <v>396</v>
      </c>
      <c r="E415" s="5" t="s">
        <v>843</v>
      </c>
      <c r="F415" s="5">
        <v>27</v>
      </c>
      <c r="G415" s="5">
        <v>5.87</v>
      </c>
      <c r="H415" s="5">
        <v>5.81</v>
      </c>
      <c r="I415" s="5">
        <v>0</v>
      </c>
      <c r="J415" s="5">
        <v>0</v>
      </c>
      <c r="K415" s="5">
        <v>0</v>
      </c>
      <c r="L415" s="5">
        <v>0</v>
      </c>
      <c r="M415" s="5">
        <v>0</v>
      </c>
      <c r="N415" s="5">
        <v>0</v>
      </c>
      <c r="O415" s="5">
        <v>1</v>
      </c>
      <c r="P415" s="5">
        <v>5</v>
      </c>
      <c r="Q415" s="5">
        <v>0</v>
      </c>
      <c r="R415" s="5">
        <v>0</v>
      </c>
    </row>
    <row r="416" spans="1:18" ht="15" customHeight="1" x14ac:dyDescent="0.25">
      <c r="A416" s="5">
        <v>7028</v>
      </c>
      <c r="B416" s="5" t="s">
        <v>17</v>
      </c>
      <c r="C416" s="5" t="s">
        <v>17</v>
      </c>
      <c r="D416" s="5" t="s">
        <v>1035</v>
      </c>
      <c r="E416" s="5" t="s">
        <v>864</v>
      </c>
      <c r="F416" s="5">
        <v>31</v>
      </c>
      <c r="G416" s="5">
        <v>5.87</v>
      </c>
      <c r="H416" s="5">
        <v>6</v>
      </c>
      <c r="I416" s="5">
        <v>1</v>
      </c>
      <c r="J416" s="5">
        <v>0</v>
      </c>
      <c r="K416" s="5">
        <v>0</v>
      </c>
      <c r="L416" s="5">
        <v>0</v>
      </c>
      <c r="M416" s="5">
        <v>0</v>
      </c>
      <c r="N416" s="5">
        <v>0</v>
      </c>
      <c r="O416" s="5">
        <v>2</v>
      </c>
      <c r="P416" s="5">
        <v>2</v>
      </c>
      <c r="Q416" s="5">
        <v>0</v>
      </c>
      <c r="R416" s="5">
        <v>0</v>
      </c>
    </row>
    <row r="417" spans="1:18" ht="15" customHeight="1" x14ac:dyDescent="0.25">
      <c r="A417" s="5">
        <v>7198</v>
      </c>
      <c r="B417" s="5" t="s">
        <v>17</v>
      </c>
      <c r="C417" s="5" t="s">
        <v>17</v>
      </c>
      <c r="D417" s="5" t="s">
        <v>363</v>
      </c>
      <c r="E417" s="5" t="s">
        <v>835</v>
      </c>
      <c r="F417" s="5">
        <v>30</v>
      </c>
      <c r="G417" s="5">
        <v>5.88</v>
      </c>
      <c r="H417" s="5">
        <v>5.95</v>
      </c>
      <c r="I417" s="5">
        <v>1</v>
      </c>
      <c r="J417" s="5">
        <v>0</v>
      </c>
      <c r="K417" s="5">
        <v>0</v>
      </c>
      <c r="L417" s="5">
        <v>0</v>
      </c>
      <c r="M417" s="5">
        <v>0</v>
      </c>
      <c r="N417" s="5">
        <v>0</v>
      </c>
      <c r="O417" s="5">
        <v>0</v>
      </c>
      <c r="P417" s="5">
        <v>2</v>
      </c>
      <c r="Q417" s="5">
        <v>0</v>
      </c>
      <c r="R417" s="5">
        <v>0</v>
      </c>
    </row>
    <row r="418" spans="1:18" ht="15" customHeight="1" x14ac:dyDescent="0.25">
      <c r="A418" s="5">
        <v>7208</v>
      </c>
      <c r="B418" s="5" t="s">
        <v>17</v>
      </c>
      <c r="C418" s="5" t="s">
        <v>1009</v>
      </c>
      <c r="D418" s="5" t="s">
        <v>422</v>
      </c>
      <c r="E418" s="5" t="s">
        <v>835</v>
      </c>
      <c r="F418" s="5">
        <v>19</v>
      </c>
      <c r="G418" s="5">
        <v>5.92</v>
      </c>
      <c r="H418" s="5">
        <v>5.95</v>
      </c>
      <c r="I418" s="5">
        <v>0</v>
      </c>
      <c r="J418" s="5">
        <v>0</v>
      </c>
      <c r="K418" s="5">
        <v>0</v>
      </c>
      <c r="L418" s="5">
        <v>0</v>
      </c>
      <c r="M418" s="5">
        <v>0</v>
      </c>
      <c r="N418" s="5">
        <v>0</v>
      </c>
      <c r="O418" s="5">
        <v>2</v>
      </c>
      <c r="P418" s="5">
        <v>4</v>
      </c>
      <c r="Q418" s="5">
        <v>0</v>
      </c>
      <c r="R418" s="5">
        <v>0</v>
      </c>
    </row>
    <row r="419" spans="1:18" ht="15" customHeight="1" x14ac:dyDescent="0.25">
      <c r="A419" s="5">
        <v>7209</v>
      </c>
      <c r="B419" s="5" t="s">
        <v>17</v>
      </c>
      <c r="C419" s="5" t="s">
        <v>17</v>
      </c>
      <c r="D419" s="5" t="s">
        <v>420</v>
      </c>
      <c r="E419" s="5" t="s">
        <v>838</v>
      </c>
      <c r="F419" s="5">
        <v>30</v>
      </c>
      <c r="G419" s="5">
        <v>5.85</v>
      </c>
      <c r="H419" s="5">
        <v>5.95</v>
      </c>
      <c r="I419" s="5">
        <v>1</v>
      </c>
      <c r="J419" s="5">
        <v>0</v>
      </c>
      <c r="K419" s="5">
        <v>0</v>
      </c>
      <c r="L419" s="5">
        <v>0</v>
      </c>
      <c r="M419" s="5">
        <v>0</v>
      </c>
      <c r="N419" s="5">
        <v>0</v>
      </c>
      <c r="O419" s="5">
        <v>1</v>
      </c>
      <c r="P419" s="5">
        <v>2</v>
      </c>
      <c r="Q419" s="5">
        <v>0</v>
      </c>
      <c r="R419" s="5">
        <v>0</v>
      </c>
    </row>
    <row r="420" spans="1:18" ht="15" customHeight="1" x14ac:dyDescent="0.25">
      <c r="A420" s="5">
        <v>6005</v>
      </c>
      <c r="B420" s="5" t="s">
        <v>17</v>
      </c>
      <c r="C420" s="5" t="s">
        <v>1007</v>
      </c>
      <c r="D420" s="5" t="s">
        <v>461</v>
      </c>
      <c r="E420" s="5" t="s">
        <v>843</v>
      </c>
      <c r="F420" s="5">
        <v>17</v>
      </c>
      <c r="G420" s="5">
        <v>5.82</v>
      </c>
      <c r="H420" s="5">
        <v>6</v>
      </c>
      <c r="I420" s="5">
        <v>1</v>
      </c>
      <c r="J420" s="5">
        <v>0</v>
      </c>
      <c r="K420" s="5">
        <v>0</v>
      </c>
      <c r="L420" s="5">
        <v>0</v>
      </c>
      <c r="M420" s="5">
        <v>0</v>
      </c>
      <c r="N420" s="5">
        <v>0</v>
      </c>
      <c r="O420" s="5">
        <v>2</v>
      </c>
      <c r="P420" s="5">
        <v>2</v>
      </c>
      <c r="Q420" s="5">
        <v>1</v>
      </c>
      <c r="R420" s="5">
        <v>0</v>
      </c>
    </row>
    <row r="421" spans="1:18" ht="15" customHeight="1" x14ac:dyDescent="0.25">
      <c r="A421" s="5">
        <v>6274</v>
      </c>
      <c r="B421" s="5" t="s">
        <v>17</v>
      </c>
      <c r="C421" s="5" t="s">
        <v>17</v>
      </c>
      <c r="D421" s="5" t="s">
        <v>231</v>
      </c>
      <c r="E421" s="5" t="s">
        <v>825</v>
      </c>
      <c r="F421" s="5">
        <v>10</v>
      </c>
      <c r="G421" s="5">
        <v>6.15</v>
      </c>
      <c r="H421" s="5">
        <v>6.45</v>
      </c>
      <c r="I421" s="5">
        <v>1</v>
      </c>
      <c r="J421" s="5">
        <v>0</v>
      </c>
      <c r="K421" s="5">
        <v>0</v>
      </c>
      <c r="L421" s="5">
        <v>0</v>
      </c>
      <c r="M421" s="5">
        <v>0</v>
      </c>
      <c r="N421" s="5">
        <v>0</v>
      </c>
      <c r="O421" s="5">
        <v>0</v>
      </c>
      <c r="P421" s="5">
        <v>1</v>
      </c>
      <c r="Q421" s="5">
        <v>0</v>
      </c>
      <c r="R421" s="5">
        <v>0</v>
      </c>
    </row>
    <row r="422" spans="1:18" ht="15" customHeight="1" x14ac:dyDescent="0.25">
      <c r="A422" s="5">
        <v>4479</v>
      </c>
      <c r="B422" s="5" t="s">
        <v>17</v>
      </c>
      <c r="C422" s="5" t="s">
        <v>1017</v>
      </c>
      <c r="D422" s="5" t="s">
        <v>1036</v>
      </c>
      <c r="E422" s="5" t="s">
        <v>830</v>
      </c>
      <c r="F422" s="5">
        <v>28</v>
      </c>
      <c r="G422" s="5">
        <v>5.8</v>
      </c>
      <c r="H422" s="5">
        <v>5.96</v>
      </c>
      <c r="I422" s="5">
        <v>1</v>
      </c>
      <c r="J422" s="5">
        <v>0</v>
      </c>
      <c r="K422" s="5">
        <v>0</v>
      </c>
      <c r="L422" s="5">
        <v>0</v>
      </c>
      <c r="M422" s="5">
        <v>0</v>
      </c>
      <c r="N422" s="5">
        <v>0</v>
      </c>
      <c r="O422" s="5">
        <v>3</v>
      </c>
      <c r="P422" s="5">
        <v>3</v>
      </c>
      <c r="Q422" s="5">
        <v>0</v>
      </c>
      <c r="R422" s="5">
        <v>0</v>
      </c>
    </row>
    <row r="423" spans="1:18" ht="15" customHeight="1" x14ac:dyDescent="0.25">
      <c r="A423" s="5">
        <v>801</v>
      </c>
      <c r="B423" s="5" t="s">
        <v>17</v>
      </c>
      <c r="C423" s="5" t="s">
        <v>1009</v>
      </c>
      <c r="D423" s="5" t="s">
        <v>1037</v>
      </c>
      <c r="E423" s="5" t="s">
        <v>864</v>
      </c>
      <c r="F423" s="5">
        <v>29</v>
      </c>
      <c r="G423" s="5">
        <v>5.91</v>
      </c>
      <c r="H423" s="5">
        <v>5.84</v>
      </c>
      <c r="I423" s="5">
        <v>1</v>
      </c>
      <c r="J423" s="5">
        <v>0</v>
      </c>
      <c r="K423" s="5">
        <v>0</v>
      </c>
      <c r="L423" s="5">
        <v>0</v>
      </c>
      <c r="M423" s="5">
        <v>0</v>
      </c>
      <c r="N423" s="5">
        <v>0</v>
      </c>
      <c r="O423" s="5">
        <v>0</v>
      </c>
      <c r="P423" s="5">
        <v>10</v>
      </c>
      <c r="Q423" s="5">
        <v>0</v>
      </c>
      <c r="R423" s="5">
        <v>0</v>
      </c>
    </row>
    <row r="424" spans="1:18" ht="15" customHeight="1" x14ac:dyDescent="0.25">
      <c r="A424" s="5">
        <v>6024</v>
      </c>
      <c r="B424" s="5" t="s">
        <v>17</v>
      </c>
      <c r="C424" s="5" t="s">
        <v>1009</v>
      </c>
      <c r="D424" s="5" t="s">
        <v>505</v>
      </c>
      <c r="E424" s="5" t="s">
        <v>832</v>
      </c>
      <c r="F424" s="5">
        <v>18</v>
      </c>
      <c r="G424" s="5">
        <v>5.69</v>
      </c>
      <c r="H424" s="5">
        <v>5.78</v>
      </c>
      <c r="I424" s="5">
        <v>1</v>
      </c>
      <c r="J424" s="5">
        <v>0</v>
      </c>
      <c r="K424" s="5">
        <v>0</v>
      </c>
      <c r="L424" s="5">
        <v>0</v>
      </c>
      <c r="M424" s="5">
        <v>0</v>
      </c>
      <c r="N424" s="5">
        <v>0</v>
      </c>
      <c r="O424" s="5">
        <v>0</v>
      </c>
      <c r="P424" s="5">
        <v>3</v>
      </c>
      <c r="Q424" s="5">
        <v>0</v>
      </c>
      <c r="R424" s="5">
        <v>0</v>
      </c>
    </row>
    <row r="425" spans="1:18" ht="15" customHeight="1" x14ac:dyDescent="0.25">
      <c r="A425" s="5">
        <v>5784</v>
      </c>
      <c r="B425" s="5" t="s">
        <v>17</v>
      </c>
      <c r="C425" s="5" t="s">
        <v>17</v>
      </c>
      <c r="D425" s="5" t="s">
        <v>1038</v>
      </c>
      <c r="E425" s="5" t="s">
        <v>867</v>
      </c>
      <c r="F425" s="5">
        <v>35</v>
      </c>
      <c r="G425" s="5">
        <v>5.8</v>
      </c>
      <c r="H425" s="5">
        <v>5.8</v>
      </c>
      <c r="I425" s="5">
        <v>1</v>
      </c>
      <c r="J425" s="5">
        <v>0</v>
      </c>
      <c r="K425" s="5">
        <v>0</v>
      </c>
      <c r="L425" s="5">
        <v>0</v>
      </c>
      <c r="M425" s="5">
        <v>0</v>
      </c>
      <c r="N425" s="5">
        <v>0</v>
      </c>
      <c r="O425" s="5">
        <v>1</v>
      </c>
      <c r="P425" s="5">
        <v>8</v>
      </c>
      <c r="Q425" s="5">
        <v>0</v>
      </c>
      <c r="R425" s="5">
        <v>0</v>
      </c>
    </row>
    <row r="426" spans="1:18" ht="15" customHeight="1" x14ac:dyDescent="0.25">
      <c r="A426" s="5">
        <v>6206</v>
      </c>
      <c r="B426" s="5" t="s">
        <v>17</v>
      </c>
      <c r="C426" s="5" t="s">
        <v>1007</v>
      </c>
      <c r="D426" s="5" t="s">
        <v>490</v>
      </c>
      <c r="E426" s="5" t="s">
        <v>829</v>
      </c>
      <c r="F426" s="5">
        <v>22</v>
      </c>
      <c r="G426" s="5">
        <v>5.8</v>
      </c>
      <c r="H426" s="5">
        <v>6.05</v>
      </c>
      <c r="I426" s="5">
        <v>2</v>
      </c>
      <c r="J426" s="5">
        <v>0</v>
      </c>
      <c r="K426" s="5">
        <v>0</v>
      </c>
      <c r="L426" s="5">
        <v>0</v>
      </c>
      <c r="M426" s="5">
        <v>0</v>
      </c>
      <c r="N426" s="5">
        <v>0</v>
      </c>
      <c r="O426" s="5">
        <v>0</v>
      </c>
      <c r="P426" s="5">
        <v>2</v>
      </c>
      <c r="Q426" s="5">
        <v>0</v>
      </c>
      <c r="R426" s="5">
        <v>0</v>
      </c>
    </row>
    <row r="427" spans="1:18" ht="15" customHeight="1" x14ac:dyDescent="0.25">
      <c r="A427" s="5">
        <v>1871</v>
      </c>
      <c r="B427" s="5" t="s">
        <v>17</v>
      </c>
      <c r="C427" s="5" t="s">
        <v>1009</v>
      </c>
      <c r="D427" s="5" t="s">
        <v>492</v>
      </c>
      <c r="E427" s="5" t="s">
        <v>832</v>
      </c>
      <c r="F427" s="5">
        <v>20</v>
      </c>
      <c r="G427" s="5">
        <v>5.98</v>
      </c>
      <c r="H427" s="5">
        <v>5.95</v>
      </c>
      <c r="I427" s="5">
        <v>0</v>
      </c>
      <c r="J427" s="5">
        <v>0</v>
      </c>
      <c r="K427" s="5">
        <v>0</v>
      </c>
      <c r="L427" s="5">
        <v>0</v>
      </c>
      <c r="M427" s="5">
        <v>0</v>
      </c>
      <c r="N427" s="5">
        <v>0</v>
      </c>
      <c r="O427" s="5">
        <v>1</v>
      </c>
      <c r="P427" s="5">
        <v>3</v>
      </c>
      <c r="Q427" s="5">
        <v>0</v>
      </c>
      <c r="R427" s="5">
        <v>0</v>
      </c>
    </row>
    <row r="428" spans="1:18" ht="15" customHeight="1" x14ac:dyDescent="0.25">
      <c r="A428" s="5">
        <v>181</v>
      </c>
      <c r="B428" s="5" t="s">
        <v>17</v>
      </c>
      <c r="C428" s="5" t="s">
        <v>1009</v>
      </c>
      <c r="D428" s="5" t="s">
        <v>1039</v>
      </c>
      <c r="E428" s="5" t="s">
        <v>834</v>
      </c>
      <c r="F428" s="5">
        <v>12</v>
      </c>
      <c r="G428" s="5">
        <v>5.92</v>
      </c>
      <c r="H428" s="5">
        <v>5.96</v>
      </c>
      <c r="I428" s="5">
        <v>0</v>
      </c>
      <c r="J428" s="5">
        <v>0</v>
      </c>
      <c r="K428" s="5">
        <v>0</v>
      </c>
      <c r="L428" s="5">
        <v>0</v>
      </c>
      <c r="M428" s="5">
        <v>0</v>
      </c>
      <c r="N428" s="5">
        <v>0</v>
      </c>
      <c r="O428" s="5">
        <v>1</v>
      </c>
      <c r="P428" s="5">
        <v>1</v>
      </c>
      <c r="Q428" s="5">
        <v>0</v>
      </c>
      <c r="R428" s="5">
        <v>0</v>
      </c>
    </row>
    <row r="429" spans="1:18" ht="15" customHeight="1" x14ac:dyDescent="0.25">
      <c r="A429" s="5">
        <v>6629</v>
      </c>
      <c r="B429" s="5" t="s">
        <v>17</v>
      </c>
      <c r="C429" s="5" t="s">
        <v>1007</v>
      </c>
      <c r="D429" s="5" t="s">
        <v>395</v>
      </c>
      <c r="E429" s="5" t="s">
        <v>834</v>
      </c>
      <c r="F429" s="5">
        <v>21</v>
      </c>
      <c r="G429" s="5">
        <v>5.69</v>
      </c>
      <c r="H429" s="5">
        <v>5.83</v>
      </c>
      <c r="I429" s="5">
        <v>1</v>
      </c>
      <c r="J429" s="5">
        <v>0</v>
      </c>
      <c r="K429" s="5">
        <v>0</v>
      </c>
      <c r="L429" s="5">
        <v>0</v>
      </c>
      <c r="M429" s="5">
        <v>0</v>
      </c>
      <c r="N429" s="5">
        <v>0</v>
      </c>
      <c r="O429" s="5">
        <v>0</v>
      </c>
      <c r="P429" s="5">
        <v>0</v>
      </c>
      <c r="Q429" s="5">
        <v>0</v>
      </c>
      <c r="R429" s="5">
        <v>0</v>
      </c>
    </row>
    <row r="430" spans="1:18" ht="15" customHeight="1" x14ac:dyDescent="0.25">
      <c r="A430" s="5">
        <v>5998</v>
      </c>
      <c r="B430" s="5" t="s">
        <v>17</v>
      </c>
      <c r="C430" s="5" t="s">
        <v>1016</v>
      </c>
      <c r="D430" s="5" t="s">
        <v>394</v>
      </c>
      <c r="E430" s="5" t="s">
        <v>862</v>
      </c>
      <c r="F430" s="5">
        <v>29</v>
      </c>
      <c r="G430" s="5">
        <v>5.76</v>
      </c>
      <c r="H430" s="5">
        <v>5.79</v>
      </c>
      <c r="I430" s="5">
        <v>0</v>
      </c>
      <c r="J430" s="5">
        <v>0</v>
      </c>
      <c r="K430" s="5">
        <v>0</v>
      </c>
      <c r="L430" s="5">
        <v>0</v>
      </c>
      <c r="M430" s="5">
        <v>0</v>
      </c>
      <c r="N430" s="5">
        <v>0</v>
      </c>
      <c r="O430" s="5">
        <v>2</v>
      </c>
      <c r="P430" s="5">
        <v>2</v>
      </c>
      <c r="Q430" s="5">
        <v>0</v>
      </c>
      <c r="R430" s="5">
        <v>0</v>
      </c>
    </row>
    <row r="431" spans="1:18" ht="15" customHeight="1" x14ac:dyDescent="0.25">
      <c r="A431" s="5">
        <v>7138</v>
      </c>
      <c r="B431" s="5" t="s">
        <v>17</v>
      </c>
      <c r="C431" s="5" t="s">
        <v>1009</v>
      </c>
      <c r="D431" s="5" t="s">
        <v>531</v>
      </c>
      <c r="E431" s="5" t="s">
        <v>838</v>
      </c>
      <c r="F431" s="5">
        <v>21</v>
      </c>
      <c r="G431" s="5">
        <v>5.79</v>
      </c>
      <c r="H431" s="5">
        <v>5.81</v>
      </c>
      <c r="I431" s="5">
        <v>1</v>
      </c>
      <c r="J431" s="5">
        <v>0</v>
      </c>
      <c r="K431" s="5">
        <v>0</v>
      </c>
      <c r="L431" s="5">
        <v>0</v>
      </c>
      <c r="M431" s="5">
        <v>0</v>
      </c>
      <c r="N431" s="5">
        <v>0</v>
      </c>
      <c r="O431" s="5">
        <v>0</v>
      </c>
      <c r="P431" s="5">
        <v>3</v>
      </c>
      <c r="Q431" s="5">
        <v>1</v>
      </c>
      <c r="R431" s="5">
        <v>0</v>
      </c>
    </row>
    <row r="432" spans="1:18" ht="15" customHeight="1" x14ac:dyDescent="0.25">
      <c r="A432" s="5">
        <v>5318</v>
      </c>
      <c r="B432" s="5" t="s">
        <v>17</v>
      </c>
      <c r="C432" s="5" t="s">
        <v>1017</v>
      </c>
      <c r="D432" s="5" t="s">
        <v>1040</v>
      </c>
      <c r="E432" s="5" t="s">
        <v>867</v>
      </c>
      <c r="F432" s="5">
        <v>25</v>
      </c>
      <c r="G432" s="5">
        <v>5.72</v>
      </c>
      <c r="H432" s="5">
        <v>6</v>
      </c>
      <c r="I432" s="5">
        <v>2</v>
      </c>
      <c r="J432" s="5">
        <v>0</v>
      </c>
      <c r="K432" s="5">
        <v>0</v>
      </c>
      <c r="L432" s="5">
        <v>1</v>
      </c>
      <c r="M432" s="5">
        <v>1</v>
      </c>
      <c r="N432" s="5">
        <v>0</v>
      </c>
      <c r="O432" s="5">
        <v>2</v>
      </c>
      <c r="P432" s="5">
        <v>3</v>
      </c>
      <c r="Q432" s="5">
        <v>0</v>
      </c>
      <c r="R432" s="5">
        <v>0</v>
      </c>
    </row>
    <row r="433" spans="1:18" ht="15" customHeight="1" x14ac:dyDescent="0.25">
      <c r="A433" s="5">
        <v>6246</v>
      </c>
      <c r="B433" s="5" t="s">
        <v>17</v>
      </c>
      <c r="C433" s="5" t="s">
        <v>1009</v>
      </c>
      <c r="D433" s="5" t="s">
        <v>533</v>
      </c>
      <c r="E433" s="5" t="s">
        <v>839</v>
      </c>
      <c r="F433" s="5">
        <v>21</v>
      </c>
      <c r="G433" s="5">
        <v>5.93</v>
      </c>
      <c r="H433" s="5">
        <v>5.9</v>
      </c>
      <c r="I433" s="5">
        <v>0</v>
      </c>
      <c r="J433" s="5">
        <v>0</v>
      </c>
      <c r="K433" s="5">
        <v>0</v>
      </c>
      <c r="L433" s="5">
        <v>0</v>
      </c>
      <c r="M433" s="5">
        <v>0</v>
      </c>
      <c r="N433" s="5">
        <v>0</v>
      </c>
      <c r="O433" s="5">
        <v>1</v>
      </c>
      <c r="P433" s="5">
        <v>3</v>
      </c>
      <c r="Q433" s="5">
        <v>0</v>
      </c>
      <c r="R433" s="5">
        <v>0</v>
      </c>
    </row>
    <row r="434" spans="1:18" ht="15" customHeight="1" x14ac:dyDescent="0.25">
      <c r="A434" s="5">
        <v>6458</v>
      </c>
      <c r="B434" s="5" t="s">
        <v>17</v>
      </c>
      <c r="C434" s="5" t="s">
        <v>17</v>
      </c>
      <c r="D434" s="5" t="s">
        <v>1041</v>
      </c>
      <c r="E434" s="5" t="s">
        <v>864</v>
      </c>
      <c r="F434" s="5">
        <v>18</v>
      </c>
      <c r="G434" s="5">
        <v>5.97</v>
      </c>
      <c r="H434" s="5">
        <v>6.22</v>
      </c>
      <c r="I434" s="5">
        <v>2</v>
      </c>
      <c r="J434" s="5">
        <v>0</v>
      </c>
      <c r="K434" s="5">
        <v>0</v>
      </c>
      <c r="L434" s="5">
        <v>0</v>
      </c>
      <c r="M434" s="5">
        <v>0</v>
      </c>
      <c r="N434" s="5">
        <v>0</v>
      </c>
      <c r="O434" s="5">
        <v>0</v>
      </c>
      <c r="P434" s="5">
        <v>3</v>
      </c>
      <c r="Q434" s="5">
        <v>0</v>
      </c>
      <c r="R434" s="5">
        <v>0</v>
      </c>
    </row>
    <row r="435" spans="1:18" ht="15" customHeight="1" x14ac:dyDescent="0.25">
      <c r="A435" s="5">
        <v>5858</v>
      </c>
      <c r="B435" s="5" t="s">
        <v>17</v>
      </c>
      <c r="C435" s="5" t="s">
        <v>1007</v>
      </c>
      <c r="D435" s="5" t="s">
        <v>328</v>
      </c>
      <c r="E435" s="5" t="s">
        <v>831</v>
      </c>
      <c r="F435" s="5">
        <v>23</v>
      </c>
      <c r="G435" s="5">
        <v>5.8</v>
      </c>
      <c r="H435" s="5">
        <v>5.78</v>
      </c>
      <c r="I435" s="5">
        <v>1</v>
      </c>
      <c r="J435" s="5">
        <v>0</v>
      </c>
      <c r="K435" s="5">
        <v>0</v>
      </c>
      <c r="L435" s="5">
        <v>0</v>
      </c>
      <c r="M435" s="5">
        <v>0</v>
      </c>
      <c r="N435" s="5">
        <v>0</v>
      </c>
      <c r="O435" s="5">
        <v>0</v>
      </c>
      <c r="P435" s="5">
        <v>5</v>
      </c>
      <c r="Q435" s="5">
        <v>1</v>
      </c>
      <c r="R435" s="5">
        <v>0</v>
      </c>
    </row>
    <row r="436" spans="1:18" ht="15" customHeight="1" x14ac:dyDescent="0.25">
      <c r="A436" s="5">
        <v>27</v>
      </c>
      <c r="B436" s="5" t="s">
        <v>17</v>
      </c>
      <c r="C436" s="5" t="s">
        <v>1009</v>
      </c>
      <c r="D436" s="5" t="s">
        <v>1042</v>
      </c>
      <c r="E436" s="5" t="s">
        <v>862</v>
      </c>
      <c r="F436" s="5">
        <v>28</v>
      </c>
      <c r="G436" s="5">
        <v>5.79</v>
      </c>
      <c r="H436" s="5">
        <v>5.7</v>
      </c>
      <c r="I436" s="5">
        <v>0</v>
      </c>
      <c r="J436" s="5">
        <v>0</v>
      </c>
      <c r="K436" s="5">
        <v>0</v>
      </c>
      <c r="L436" s="5">
        <v>0</v>
      </c>
      <c r="M436" s="5">
        <v>0</v>
      </c>
      <c r="N436" s="5">
        <v>0</v>
      </c>
      <c r="O436" s="5">
        <v>0</v>
      </c>
      <c r="P436" s="5">
        <v>3</v>
      </c>
      <c r="Q436" s="5">
        <v>1</v>
      </c>
      <c r="R436" s="5">
        <v>0</v>
      </c>
    </row>
    <row r="437" spans="1:18" ht="15" customHeight="1" x14ac:dyDescent="0.25">
      <c r="A437" s="5">
        <v>2842</v>
      </c>
      <c r="B437" s="5" t="s">
        <v>17</v>
      </c>
      <c r="C437" s="5" t="s">
        <v>1011</v>
      </c>
      <c r="D437" s="5" t="s">
        <v>1043</v>
      </c>
      <c r="E437" s="5" t="s">
        <v>862</v>
      </c>
      <c r="F437" s="5">
        <v>0</v>
      </c>
      <c r="G437" s="5">
        <v>0</v>
      </c>
      <c r="H437" s="5">
        <v>0</v>
      </c>
      <c r="I437" s="5">
        <v>0</v>
      </c>
      <c r="J437" s="5">
        <v>0</v>
      </c>
      <c r="K437" s="5">
        <v>0</v>
      </c>
      <c r="L437" s="5">
        <v>0</v>
      </c>
      <c r="M437" s="5">
        <v>0</v>
      </c>
      <c r="N437" s="5">
        <v>0</v>
      </c>
      <c r="O437" s="5">
        <v>0</v>
      </c>
      <c r="P437" s="5">
        <v>0</v>
      </c>
      <c r="Q437" s="5">
        <v>0</v>
      </c>
      <c r="R437" s="5">
        <v>0</v>
      </c>
    </row>
    <row r="438" spans="1:18" ht="15" customHeight="1" x14ac:dyDescent="0.25">
      <c r="A438" s="5">
        <v>6917</v>
      </c>
      <c r="B438" s="5" t="s">
        <v>17</v>
      </c>
      <c r="C438" s="5" t="s">
        <v>1009</v>
      </c>
      <c r="D438" s="5" t="s">
        <v>550</v>
      </c>
      <c r="E438" s="5" t="s">
        <v>836</v>
      </c>
      <c r="F438" s="5">
        <v>21</v>
      </c>
      <c r="G438" s="5">
        <v>5.98</v>
      </c>
      <c r="H438" s="5">
        <v>5.9</v>
      </c>
      <c r="I438" s="5">
        <v>0</v>
      </c>
      <c r="J438" s="5">
        <v>0</v>
      </c>
      <c r="K438" s="5">
        <v>0</v>
      </c>
      <c r="L438" s="5">
        <v>0</v>
      </c>
      <c r="M438" s="5">
        <v>0</v>
      </c>
      <c r="N438" s="5">
        <v>0</v>
      </c>
      <c r="O438" s="5">
        <v>1</v>
      </c>
      <c r="P438" s="5">
        <v>5</v>
      </c>
      <c r="Q438" s="5">
        <v>0</v>
      </c>
      <c r="R438" s="5">
        <v>0</v>
      </c>
    </row>
    <row r="439" spans="1:18" ht="15" customHeight="1" x14ac:dyDescent="0.25">
      <c r="A439" s="5">
        <v>5457</v>
      </c>
      <c r="B439" s="5" t="s">
        <v>17</v>
      </c>
      <c r="C439" s="5" t="s">
        <v>1009</v>
      </c>
      <c r="D439" s="5" t="s">
        <v>530</v>
      </c>
      <c r="E439" s="5" t="s">
        <v>862</v>
      </c>
      <c r="F439" s="5">
        <v>21</v>
      </c>
      <c r="G439" s="5">
        <v>5.69</v>
      </c>
      <c r="H439" s="5">
        <v>5.71</v>
      </c>
      <c r="I439" s="5">
        <v>1</v>
      </c>
      <c r="J439" s="5">
        <v>0</v>
      </c>
      <c r="K439" s="5">
        <v>0</v>
      </c>
      <c r="L439" s="5">
        <v>0</v>
      </c>
      <c r="M439" s="5">
        <v>0</v>
      </c>
      <c r="N439" s="5">
        <v>0</v>
      </c>
      <c r="O439" s="5">
        <v>0</v>
      </c>
      <c r="P439" s="5">
        <v>3</v>
      </c>
      <c r="Q439" s="5">
        <v>1</v>
      </c>
      <c r="R439" s="5">
        <v>0</v>
      </c>
    </row>
    <row r="440" spans="1:18" ht="15" customHeight="1" x14ac:dyDescent="0.25">
      <c r="A440" s="5">
        <v>5992</v>
      </c>
      <c r="B440" s="5" t="s">
        <v>17</v>
      </c>
      <c r="C440" s="5" t="s">
        <v>1009</v>
      </c>
      <c r="D440" s="5" t="s">
        <v>1044</v>
      </c>
      <c r="E440" s="5" t="s">
        <v>862</v>
      </c>
      <c r="F440" s="5">
        <v>27</v>
      </c>
      <c r="G440" s="5">
        <v>5.85</v>
      </c>
      <c r="H440" s="5">
        <v>5.76</v>
      </c>
      <c r="I440" s="5">
        <v>0</v>
      </c>
      <c r="J440" s="5">
        <v>0</v>
      </c>
      <c r="K440" s="5">
        <v>0</v>
      </c>
      <c r="L440" s="5">
        <v>0</v>
      </c>
      <c r="M440" s="5">
        <v>0</v>
      </c>
      <c r="N440" s="5">
        <v>0</v>
      </c>
      <c r="O440" s="5">
        <v>0</v>
      </c>
      <c r="P440" s="5">
        <v>5</v>
      </c>
      <c r="Q440" s="5">
        <v>0</v>
      </c>
      <c r="R440" s="5">
        <v>0</v>
      </c>
    </row>
    <row r="441" spans="1:18" ht="15" customHeight="1" x14ac:dyDescent="0.25">
      <c r="A441" s="5">
        <v>5295</v>
      </c>
      <c r="B441" s="5" t="s">
        <v>17</v>
      </c>
      <c r="C441" s="5" t="s">
        <v>1014</v>
      </c>
      <c r="D441" s="5" t="s">
        <v>515</v>
      </c>
      <c r="E441" s="5" t="s">
        <v>826</v>
      </c>
      <c r="F441" s="5">
        <v>16</v>
      </c>
      <c r="G441" s="5">
        <v>5.94</v>
      </c>
      <c r="H441" s="5">
        <v>6.09</v>
      </c>
      <c r="I441" s="5">
        <v>1</v>
      </c>
      <c r="J441" s="5">
        <v>0</v>
      </c>
      <c r="K441" s="5">
        <v>0</v>
      </c>
      <c r="L441" s="5">
        <v>0</v>
      </c>
      <c r="M441" s="5">
        <v>0</v>
      </c>
      <c r="N441" s="5">
        <v>0</v>
      </c>
      <c r="O441" s="5">
        <v>0</v>
      </c>
      <c r="P441" s="5">
        <v>1</v>
      </c>
      <c r="Q441" s="5">
        <v>0</v>
      </c>
      <c r="R441" s="5">
        <v>0</v>
      </c>
    </row>
    <row r="442" spans="1:18" ht="15" customHeight="1" x14ac:dyDescent="0.25">
      <c r="A442" s="5">
        <v>5290</v>
      </c>
      <c r="B442" s="5" t="s">
        <v>17</v>
      </c>
      <c r="C442" s="5" t="s">
        <v>1009</v>
      </c>
      <c r="D442" s="5" t="s">
        <v>1045</v>
      </c>
      <c r="E442" s="5" t="s">
        <v>838</v>
      </c>
      <c r="F442" s="5">
        <v>22</v>
      </c>
      <c r="G442" s="5">
        <v>5.8</v>
      </c>
      <c r="H442" s="5">
        <v>5.8</v>
      </c>
      <c r="I442" s="5">
        <v>0</v>
      </c>
      <c r="J442" s="5">
        <v>0</v>
      </c>
      <c r="K442" s="5">
        <v>0</v>
      </c>
      <c r="L442" s="5">
        <v>0</v>
      </c>
      <c r="M442" s="5">
        <v>0</v>
      </c>
      <c r="N442" s="5">
        <v>0</v>
      </c>
      <c r="O442" s="5">
        <v>1</v>
      </c>
      <c r="P442" s="5">
        <v>2</v>
      </c>
      <c r="Q442" s="5">
        <v>0</v>
      </c>
      <c r="R442" s="5">
        <v>0</v>
      </c>
    </row>
    <row r="443" spans="1:18" ht="15" customHeight="1" x14ac:dyDescent="0.25">
      <c r="A443" s="5">
        <v>7146</v>
      </c>
      <c r="B443" s="5" t="s">
        <v>17</v>
      </c>
      <c r="C443" s="5" t="s">
        <v>1046</v>
      </c>
      <c r="D443" s="5" t="s">
        <v>1047</v>
      </c>
      <c r="E443" s="5" t="s">
        <v>867</v>
      </c>
      <c r="F443" s="5">
        <v>30</v>
      </c>
      <c r="G443" s="5">
        <v>5.82</v>
      </c>
      <c r="H443" s="5">
        <v>5.82</v>
      </c>
      <c r="I443" s="5">
        <v>1</v>
      </c>
      <c r="J443" s="5">
        <v>0</v>
      </c>
      <c r="K443" s="5">
        <v>0</v>
      </c>
      <c r="L443" s="5">
        <v>0</v>
      </c>
      <c r="M443" s="5">
        <v>0</v>
      </c>
      <c r="N443" s="5">
        <v>0</v>
      </c>
      <c r="O443" s="5">
        <v>0</v>
      </c>
      <c r="P443" s="5">
        <v>4</v>
      </c>
      <c r="Q443" s="5">
        <v>1</v>
      </c>
      <c r="R443" s="5">
        <v>0</v>
      </c>
    </row>
    <row r="444" spans="1:18" ht="15" customHeight="1" x14ac:dyDescent="0.25">
      <c r="A444" s="5">
        <v>6593</v>
      </c>
      <c r="B444" s="5" t="s">
        <v>17</v>
      </c>
      <c r="C444" s="5" t="s">
        <v>1007</v>
      </c>
      <c r="D444" s="5" t="s">
        <v>350</v>
      </c>
      <c r="E444" s="5" t="s">
        <v>867</v>
      </c>
      <c r="F444" s="5">
        <v>23</v>
      </c>
      <c r="G444" s="5">
        <v>5.8</v>
      </c>
      <c r="H444" s="5">
        <v>5.8</v>
      </c>
      <c r="I444" s="5">
        <v>0</v>
      </c>
      <c r="J444" s="5">
        <v>0</v>
      </c>
      <c r="K444" s="5">
        <v>0</v>
      </c>
      <c r="L444" s="5">
        <v>0</v>
      </c>
      <c r="M444" s="5">
        <v>0</v>
      </c>
      <c r="N444" s="5">
        <v>0</v>
      </c>
      <c r="O444" s="5">
        <v>1</v>
      </c>
      <c r="P444" s="5">
        <v>2</v>
      </c>
      <c r="Q444" s="5">
        <v>0</v>
      </c>
      <c r="R444" s="5">
        <v>0</v>
      </c>
    </row>
    <row r="445" spans="1:18" ht="15" customHeight="1" x14ac:dyDescent="0.25">
      <c r="A445" s="5">
        <v>6481</v>
      </c>
      <c r="B445" s="5" t="s">
        <v>17</v>
      </c>
      <c r="C445" s="5" t="s">
        <v>17</v>
      </c>
      <c r="D445" s="5" t="s">
        <v>1048</v>
      </c>
      <c r="E445" s="5" t="s">
        <v>862</v>
      </c>
      <c r="F445" s="5">
        <v>25</v>
      </c>
      <c r="G445" s="5">
        <v>5.9</v>
      </c>
      <c r="H445" s="5">
        <v>5.86</v>
      </c>
      <c r="I445" s="5">
        <v>1</v>
      </c>
      <c r="J445" s="5">
        <v>0</v>
      </c>
      <c r="K445" s="5">
        <v>0</v>
      </c>
      <c r="L445" s="5">
        <v>0</v>
      </c>
      <c r="M445" s="5">
        <v>0</v>
      </c>
      <c r="N445" s="5">
        <v>0</v>
      </c>
      <c r="O445" s="5">
        <v>0</v>
      </c>
      <c r="P445" s="5">
        <v>8</v>
      </c>
      <c r="Q445" s="5">
        <v>0</v>
      </c>
      <c r="R445" s="5">
        <v>0</v>
      </c>
    </row>
    <row r="446" spans="1:18" ht="15" customHeight="1" x14ac:dyDescent="0.25">
      <c r="A446" s="5">
        <v>5286</v>
      </c>
      <c r="B446" s="5" t="s">
        <v>17</v>
      </c>
      <c r="C446" s="5" t="s">
        <v>1009</v>
      </c>
      <c r="D446" s="5" t="s">
        <v>1049</v>
      </c>
      <c r="E446" s="5" t="s">
        <v>864</v>
      </c>
      <c r="F446" s="5">
        <v>22</v>
      </c>
      <c r="G446" s="5">
        <v>5.86</v>
      </c>
      <c r="H446" s="5">
        <v>5.8</v>
      </c>
      <c r="I446" s="5">
        <v>1</v>
      </c>
      <c r="J446" s="5">
        <v>0</v>
      </c>
      <c r="K446" s="5">
        <v>0</v>
      </c>
      <c r="L446" s="5">
        <v>0</v>
      </c>
      <c r="M446" s="5">
        <v>0</v>
      </c>
      <c r="N446" s="5">
        <v>0</v>
      </c>
      <c r="O446" s="5">
        <v>0</v>
      </c>
      <c r="P446" s="5">
        <v>9</v>
      </c>
      <c r="Q446" s="5">
        <v>0</v>
      </c>
      <c r="R446" s="5">
        <v>0</v>
      </c>
    </row>
    <row r="447" spans="1:18" ht="15" customHeight="1" x14ac:dyDescent="0.25">
      <c r="A447" s="5">
        <v>7322</v>
      </c>
      <c r="B447" s="5" t="s">
        <v>17</v>
      </c>
      <c r="C447" s="5" t="s">
        <v>1009</v>
      </c>
      <c r="D447" s="5" t="s">
        <v>436</v>
      </c>
      <c r="E447" s="5" t="s">
        <v>837</v>
      </c>
      <c r="F447" s="5">
        <v>13</v>
      </c>
      <c r="G447" s="5">
        <v>5.69</v>
      </c>
      <c r="H447" s="5">
        <v>5.65</v>
      </c>
      <c r="I447" s="5">
        <v>0</v>
      </c>
      <c r="J447" s="5">
        <v>0</v>
      </c>
      <c r="K447" s="5">
        <v>0</v>
      </c>
      <c r="L447" s="5">
        <v>0</v>
      </c>
      <c r="M447" s="5">
        <v>0</v>
      </c>
      <c r="N447" s="5">
        <v>0</v>
      </c>
      <c r="O447" s="5">
        <v>0</v>
      </c>
      <c r="P447" s="5">
        <v>1</v>
      </c>
      <c r="Q447" s="5">
        <v>0</v>
      </c>
      <c r="R447" s="5">
        <v>0</v>
      </c>
    </row>
    <row r="448" spans="1:18" ht="15" customHeight="1" x14ac:dyDescent="0.25">
      <c r="A448" s="5">
        <v>7331</v>
      </c>
      <c r="B448" s="5" t="s">
        <v>17</v>
      </c>
      <c r="C448" s="5" t="s">
        <v>1009</v>
      </c>
      <c r="D448" s="5" t="s">
        <v>1050</v>
      </c>
      <c r="E448" s="5" t="s">
        <v>867</v>
      </c>
      <c r="F448" s="5">
        <v>11</v>
      </c>
      <c r="G448" s="5">
        <v>5.55</v>
      </c>
      <c r="H448" s="5">
        <v>5.73</v>
      </c>
      <c r="I448" s="5">
        <v>1</v>
      </c>
      <c r="J448" s="5">
        <v>0</v>
      </c>
      <c r="K448" s="5">
        <v>0</v>
      </c>
      <c r="L448" s="5">
        <v>0</v>
      </c>
      <c r="M448" s="5">
        <v>0</v>
      </c>
      <c r="N448" s="5">
        <v>0</v>
      </c>
      <c r="O448" s="5">
        <v>0</v>
      </c>
      <c r="P448" s="5">
        <v>0</v>
      </c>
      <c r="Q448" s="5">
        <v>1</v>
      </c>
      <c r="R448" s="5">
        <v>0</v>
      </c>
    </row>
    <row r="449" spans="1:18" ht="15" customHeight="1" x14ac:dyDescent="0.25">
      <c r="A449" s="5">
        <v>7341</v>
      </c>
      <c r="B449" s="5" t="s">
        <v>17</v>
      </c>
      <c r="C449" s="5" t="s">
        <v>1009</v>
      </c>
      <c r="D449" s="5" t="s">
        <v>435</v>
      </c>
      <c r="E449" s="5" t="s">
        <v>836</v>
      </c>
      <c r="F449" s="5">
        <v>9</v>
      </c>
      <c r="G449" s="5">
        <v>5.72</v>
      </c>
      <c r="H449" s="5">
        <v>5.67</v>
      </c>
      <c r="I449" s="5">
        <v>0</v>
      </c>
      <c r="J449" s="5">
        <v>0</v>
      </c>
      <c r="K449" s="5">
        <v>0</v>
      </c>
      <c r="L449" s="5">
        <v>0</v>
      </c>
      <c r="M449" s="5">
        <v>0</v>
      </c>
      <c r="N449" s="5">
        <v>0</v>
      </c>
      <c r="O449" s="5">
        <v>0</v>
      </c>
      <c r="P449" s="5">
        <v>1</v>
      </c>
      <c r="Q449" s="5">
        <v>0</v>
      </c>
      <c r="R449" s="5">
        <v>0</v>
      </c>
    </row>
    <row r="450" spans="1:18" ht="15" customHeight="1" x14ac:dyDescent="0.25">
      <c r="A450" s="5">
        <v>6106</v>
      </c>
      <c r="B450" s="5" t="s">
        <v>17</v>
      </c>
      <c r="C450" s="5" t="s">
        <v>1006</v>
      </c>
      <c r="D450" s="5" t="s">
        <v>1051</v>
      </c>
      <c r="E450" s="5" t="s">
        <v>836</v>
      </c>
      <c r="F450" s="5">
        <v>10</v>
      </c>
      <c r="G450" s="5">
        <v>5.7</v>
      </c>
      <c r="H450" s="5">
        <v>5.6</v>
      </c>
      <c r="I450" s="5">
        <v>0</v>
      </c>
      <c r="J450" s="5">
        <v>0</v>
      </c>
      <c r="K450" s="5">
        <v>0</v>
      </c>
      <c r="L450" s="5">
        <v>0</v>
      </c>
      <c r="M450" s="5">
        <v>0</v>
      </c>
      <c r="N450" s="5">
        <v>0</v>
      </c>
      <c r="O450" s="5">
        <v>0</v>
      </c>
      <c r="P450" s="5">
        <v>2</v>
      </c>
      <c r="Q450" s="5">
        <v>0</v>
      </c>
      <c r="R450" s="5">
        <v>0</v>
      </c>
    </row>
    <row r="451" spans="1:18" ht="15" customHeight="1" x14ac:dyDescent="0.25">
      <c r="A451" s="5">
        <v>2848</v>
      </c>
      <c r="B451" s="5" t="s">
        <v>17</v>
      </c>
      <c r="C451" s="5" t="s">
        <v>1007</v>
      </c>
      <c r="D451" s="5" t="s">
        <v>392</v>
      </c>
      <c r="E451" s="5" t="s">
        <v>825</v>
      </c>
      <c r="F451" s="5">
        <v>14</v>
      </c>
      <c r="G451" s="5">
        <v>5.89</v>
      </c>
      <c r="H451" s="5">
        <v>5.89</v>
      </c>
      <c r="I451" s="5">
        <v>0</v>
      </c>
      <c r="J451" s="5">
        <v>0</v>
      </c>
      <c r="K451" s="5">
        <v>0</v>
      </c>
      <c r="L451" s="5">
        <v>0</v>
      </c>
      <c r="M451" s="5">
        <v>0</v>
      </c>
      <c r="N451" s="5">
        <v>0</v>
      </c>
      <c r="O451" s="5">
        <v>0</v>
      </c>
      <c r="P451" s="5">
        <v>0</v>
      </c>
      <c r="Q451" s="5">
        <v>0</v>
      </c>
      <c r="R451" s="5">
        <v>0</v>
      </c>
    </row>
    <row r="452" spans="1:18" ht="15" customHeight="1" x14ac:dyDescent="0.25">
      <c r="A452" s="5">
        <v>5685</v>
      </c>
      <c r="B452" s="5" t="s">
        <v>17</v>
      </c>
      <c r="C452" s="5" t="s">
        <v>1007</v>
      </c>
      <c r="D452" s="5" t="s">
        <v>373</v>
      </c>
      <c r="E452" s="5" t="s">
        <v>833</v>
      </c>
      <c r="F452" s="5">
        <v>29</v>
      </c>
      <c r="G452" s="5">
        <v>5.64</v>
      </c>
      <c r="H452" s="5">
        <v>5.55</v>
      </c>
      <c r="I452" s="5">
        <v>0</v>
      </c>
      <c r="J452" s="5">
        <v>0</v>
      </c>
      <c r="K452" s="5">
        <v>0</v>
      </c>
      <c r="L452" s="5">
        <v>0</v>
      </c>
      <c r="M452" s="5">
        <v>0</v>
      </c>
      <c r="N452" s="5">
        <v>0</v>
      </c>
      <c r="O452" s="5">
        <v>0</v>
      </c>
      <c r="P452" s="5">
        <v>5</v>
      </c>
      <c r="Q452" s="5">
        <v>0</v>
      </c>
      <c r="R452" s="5">
        <v>0</v>
      </c>
    </row>
    <row r="453" spans="1:18" ht="15" customHeight="1" x14ac:dyDescent="0.25">
      <c r="A453" s="5">
        <v>4856</v>
      </c>
      <c r="B453" s="5" t="s">
        <v>17</v>
      </c>
      <c r="C453" s="5" t="s">
        <v>1011</v>
      </c>
      <c r="D453" s="5" t="s">
        <v>432</v>
      </c>
      <c r="E453" s="5" t="s">
        <v>828</v>
      </c>
      <c r="F453" s="5">
        <v>1</v>
      </c>
      <c r="G453" s="5">
        <v>5.5</v>
      </c>
      <c r="H453" s="5">
        <v>5.5</v>
      </c>
      <c r="I453" s="5">
        <v>0</v>
      </c>
      <c r="J453" s="5">
        <v>0</v>
      </c>
      <c r="K453" s="5">
        <v>0</v>
      </c>
      <c r="L453" s="5">
        <v>0</v>
      </c>
      <c r="M453" s="5">
        <v>0</v>
      </c>
      <c r="N453" s="5">
        <v>0</v>
      </c>
      <c r="O453" s="5">
        <v>0</v>
      </c>
      <c r="P453" s="5">
        <v>0</v>
      </c>
      <c r="Q453" s="5">
        <v>0</v>
      </c>
      <c r="R453" s="5">
        <v>0</v>
      </c>
    </row>
    <row r="454" spans="1:18" ht="15" customHeight="1" x14ac:dyDescent="0.25">
      <c r="A454" s="5">
        <v>5319</v>
      </c>
      <c r="B454" s="5" t="s">
        <v>17</v>
      </c>
      <c r="C454" s="5" t="s">
        <v>17</v>
      </c>
      <c r="D454" s="5" t="s">
        <v>377</v>
      </c>
      <c r="E454" s="5" t="s">
        <v>831</v>
      </c>
      <c r="F454" s="5">
        <v>24</v>
      </c>
      <c r="G454" s="5">
        <v>5.65</v>
      </c>
      <c r="H454" s="5">
        <v>5.62</v>
      </c>
      <c r="I454" s="5">
        <v>0</v>
      </c>
      <c r="J454" s="5">
        <v>0</v>
      </c>
      <c r="K454" s="5">
        <v>0</v>
      </c>
      <c r="L454" s="5">
        <v>0</v>
      </c>
      <c r="M454" s="5">
        <v>0</v>
      </c>
      <c r="N454" s="5">
        <v>0</v>
      </c>
      <c r="O454" s="5">
        <v>1</v>
      </c>
      <c r="P454" s="5">
        <v>3</v>
      </c>
      <c r="Q454" s="5">
        <v>0</v>
      </c>
      <c r="R454" s="5">
        <v>0</v>
      </c>
    </row>
    <row r="455" spans="1:18" ht="15" customHeight="1" x14ac:dyDescent="0.25">
      <c r="A455" s="5">
        <v>7145</v>
      </c>
      <c r="B455" s="5" t="s">
        <v>17</v>
      </c>
      <c r="C455" s="5" t="s">
        <v>1046</v>
      </c>
      <c r="D455" s="5" t="s">
        <v>1052</v>
      </c>
      <c r="E455" s="5" t="s">
        <v>867</v>
      </c>
      <c r="F455" s="5">
        <v>22</v>
      </c>
      <c r="G455" s="5">
        <v>5.77</v>
      </c>
      <c r="H455" s="5">
        <v>5.7</v>
      </c>
      <c r="I455" s="5">
        <v>0</v>
      </c>
      <c r="J455" s="5">
        <v>0</v>
      </c>
      <c r="K455" s="5">
        <v>0</v>
      </c>
      <c r="L455" s="5">
        <v>0</v>
      </c>
      <c r="M455" s="5">
        <v>0</v>
      </c>
      <c r="N455" s="5">
        <v>0</v>
      </c>
      <c r="O455" s="5">
        <v>0</v>
      </c>
      <c r="P455" s="5">
        <v>3</v>
      </c>
      <c r="Q455" s="5">
        <v>0</v>
      </c>
      <c r="R455" s="5">
        <v>0</v>
      </c>
    </row>
    <row r="456" spans="1:18" ht="15" customHeight="1" x14ac:dyDescent="0.25">
      <c r="A456" s="5">
        <v>4930</v>
      </c>
      <c r="B456" s="5" t="s">
        <v>17</v>
      </c>
      <c r="C456" s="5" t="s">
        <v>1009</v>
      </c>
      <c r="D456" s="5" t="s">
        <v>1053</v>
      </c>
      <c r="E456" s="5" t="s">
        <v>839</v>
      </c>
      <c r="F456" s="5">
        <v>0</v>
      </c>
      <c r="G456" s="5">
        <v>0</v>
      </c>
      <c r="H456" s="5">
        <v>0</v>
      </c>
      <c r="I456" s="5">
        <v>0</v>
      </c>
      <c r="J456" s="5">
        <v>0</v>
      </c>
      <c r="K456" s="5">
        <v>0</v>
      </c>
      <c r="L456" s="5">
        <v>0</v>
      </c>
      <c r="M456" s="5">
        <v>0</v>
      </c>
      <c r="N456" s="5">
        <v>0</v>
      </c>
      <c r="O456" s="5">
        <v>0</v>
      </c>
      <c r="P456" s="5">
        <v>0</v>
      </c>
      <c r="Q456" s="5">
        <v>0</v>
      </c>
      <c r="R456" s="5">
        <v>0</v>
      </c>
    </row>
    <row r="457" spans="1:18" ht="15" customHeight="1" x14ac:dyDescent="0.25">
      <c r="A457" s="5">
        <v>5688</v>
      </c>
      <c r="B457" s="5" t="s">
        <v>17</v>
      </c>
      <c r="C457" s="5" t="s">
        <v>1017</v>
      </c>
      <c r="D457" s="5" t="s">
        <v>1054</v>
      </c>
      <c r="E457" s="5" t="s">
        <v>864</v>
      </c>
      <c r="F457" s="5">
        <v>17</v>
      </c>
      <c r="G457" s="5">
        <v>5.74</v>
      </c>
      <c r="H457" s="5">
        <v>5.85</v>
      </c>
      <c r="I457" s="5">
        <v>1</v>
      </c>
      <c r="J457" s="5">
        <v>0</v>
      </c>
      <c r="K457" s="5">
        <v>0</v>
      </c>
      <c r="L457" s="5">
        <v>1</v>
      </c>
      <c r="M457" s="5">
        <v>1</v>
      </c>
      <c r="N457" s="5">
        <v>0</v>
      </c>
      <c r="O457" s="5">
        <v>0</v>
      </c>
      <c r="P457" s="5">
        <v>3</v>
      </c>
      <c r="Q457" s="5">
        <v>0</v>
      </c>
      <c r="R457" s="5">
        <v>0</v>
      </c>
    </row>
    <row r="458" spans="1:18" ht="15" customHeight="1" x14ac:dyDescent="0.25">
      <c r="A458" s="5">
        <v>6486</v>
      </c>
      <c r="B458" s="5" t="s">
        <v>17</v>
      </c>
      <c r="C458" s="5" t="s">
        <v>1017</v>
      </c>
      <c r="D458" s="5" t="s">
        <v>1055</v>
      </c>
      <c r="E458" s="5" t="s">
        <v>864</v>
      </c>
      <c r="F458" s="5">
        <v>10</v>
      </c>
      <c r="G458" s="5">
        <v>5.75</v>
      </c>
      <c r="H458" s="5">
        <v>5.6</v>
      </c>
      <c r="I458" s="5">
        <v>0</v>
      </c>
      <c r="J458" s="5">
        <v>0</v>
      </c>
      <c r="K458" s="5">
        <v>0</v>
      </c>
      <c r="L458" s="5">
        <v>0</v>
      </c>
      <c r="M458" s="5">
        <v>0</v>
      </c>
      <c r="N458" s="5">
        <v>0</v>
      </c>
      <c r="O458" s="5">
        <v>0</v>
      </c>
      <c r="P458" s="5">
        <v>1</v>
      </c>
      <c r="Q458" s="5">
        <v>1</v>
      </c>
      <c r="R458" s="5">
        <v>0</v>
      </c>
    </row>
    <row r="459" spans="1:18" ht="15" customHeight="1" x14ac:dyDescent="0.25">
      <c r="A459" s="5">
        <v>7203</v>
      </c>
      <c r="B459" s="5" t="s">
        <v>17</v>
      </c>
      <c r="C459" s="5" t="s">
        <v>17</v>
      </c>
      <c r="D459" s="5" t="s">
        <v>438</v>
      </c>
      <c r="E459" s="5" t="s">
        <v>828</v>
      </c>
      <c r="F459" s="5">
        <v>12</v>
      </c>
      <c r="G459" s="5">
        <v>5.71</v>
      </c>
      <c r="H459" s="5">
        <v>5.79</v>
      </c>
      <c r="I459" s="5">
        <v>0</v>
      </c>
      <c r="J459" s="5">
        <v>0</v>
      </c>
      <c r="K459" s="5">
        <v>0</v>
      </c>
      <c r="L459" s="5">
        <v>0</v>
      </c>
      <c r="M459" s="5">
        <v>0</v>
      </c>
      <c r="N459" s="5">
        <v>0</v>
      </c>
      <c r="O459" s="5">
        <v>1</v>
      </c>
      <c r="P459" s="5">
        <v>0</v>
      </c>
      <c r="Q459" s="5">
        <v>0</v>
      </c>
      <c r="R459" s="5">
        <v>0</v>
      </c>
    </row>
    <row r="460" spans="1:18" ht="15" customHeight="1" x14ac:dyDescent="0.25">
      <c r="A460" s="5">
        <v>6218</v>
      </c>
      <c r="B460" s="5" t="s">
        <v>17</v>
      </c>
      <c r="C460" s="5" t="s">
        <v>1056</v>
      </c>
      <c r="D460" s="5" t="s">
        <v>259</v>
      </c>
      <c r="E460" s="5" t="s">
        <v>838</v>
      </c>
      <c r="F460" s="5">
        <v>18</v>
      </c>
      <c r="G460" s="5">
        <v>5.78</v>
      </c>
      <c r="H460" s="5">
        <v>5.92</v>
      </c>
      <c r="I460" s="5">
        <v>1</v>
      </c>
      <c r="J460" s="5">
        <v>0</v>
      </c>
      <c r="K460" s="5">
        <v>0</v>
      </c>
      <c r="L460" s="5">
        <v>0</v>
      </c>
      <c r="M460" s="5">
        <v>0</v>
      </c>
      <c r="N460" s="5">
        <v>0</v>
      </c>
      <c r="O460" s="5">
        <v>0</v>
      </c>
      <c r="P460" s="5">
        <v>1</v>
      </c>
      <c r="Q460" s="5">
        <v>0</v>
      </c>
      <c r="R460" s="5">
        <v>0</v>
      </c>
    </row>
    <row r="461" spans="1:18" ht="15" customHeight="1" x14ac:dyDescent="0.25">
      <c r="A461" s="5">
        <v>6575</v>
      </c>
      <c r="B461" s="5" t="s">
        <v>17</v>
      </c>
      <c r="C461" s="5" t="s">
        <v>1013</v>
      </c>
      <c r="D461" s="5" t="s">
        <v>1057</v>
      </c>
      <c r="E461" s="5" t="s">
        <v>824</v>
      </c>
      <c r="F461" s="5">
        <v>3</v>
      </c>
      <c r="G461" s="5">
        <v>5.83</v>
      </c>
      <c r="H461" s="5">
        <v>6</v>
      </c>
      <c r="I461" s="5">
        <v>0</v>
      </c>
      <c r="J461" s="5">
        <v>0</v>
      </c>
      <c r="K461" s="5">
        <v>0</v>
      </c>
      <c r="L461" s="5">
        <v>0</v>
      </c>
      <c r="M461" s="5">
        <v>0</v>
      </c>
      <c r="N461" s="5">
        <v>0</v>
      </c>
      <c r="O461" s="5">
        <v>1</v>
      </c>
      <c r="P461" s="5">
        <v>1</v>
      </c>
      <c r="Q461" s="5">
        <v>0</v>
      </c>
      <c r="R461" s="5">
        <v>0</v>
      </c>
    </row>
    <row r="462" spans="1:18" ht="15" customHeight="1" x14ac:dyDescent="0.25">
      <c r="A462" s="5">
        <v>6225</v>
      </c>
      <c r="B462" s="5" t="s">
        <v>17</v>
      </c>
      <c r="C462" s="5" t="s">
        <v>1009</v>
      </c>
      <c r="D462" s="5" t="s">
        <v>1058</v>
      </c>
      <c r="E462" s="5" t="s">
        <v>831</v>
      </c>
      <c r="F462" s="5">
        <v>0</v>
      </c>
      <c r="G462" s="5">
        <v>0</v>
      </c>
      <c r="H462" s="5">
        <v>0</v>
      </c>
      <c r="I462" s="5">
        <v>0</v>
      </c>
      <c r="J462" s="5">
        <v>0</v>
      </c>
      <c r="K462" s="5">
        <v>0</v>
      </c>
      <c r="L462" s="5">
        <v>0</v>
      </c>
      <c r="M462" s="5">
        <v>0</v>
      </c>
      <c r="N462" s="5">
        <v>0</v>
      </c>
      <c r="O462" s="5">
        <v>0</v>
      </c>
      <c r="P462" s="5">
        <v>0</v>
      </c>
      <c r="Q462" s="5">
        <v>0</v>
      </c>
      <c r="R462" s="5">
        <v>0</v>
      </c>
    </row>
    <row r="463" spans="1:18" ht="15" customHeight="1" x14ac:dyDescent="0.25">
      <c r="A463" s="5">
        <v>4284</v>
      </c>
      <c r="B463" s="5" t="s">
        <v>17</v>
      </c>
      <c r="C463" s="5" t="s">
        <v>1009</v>
      </c>
      <c r="D463" s="5" t="s">
        <v>1059</v>
      </c>
      <c r="E463" s="5" t="s">
        <v>827</v>
      </c>
      <c r="F463" s="5">
        <v>13</v>
      </c>
      <c r="G463" s="5">
        <v>5.85</v>
      </c>
      <c r="H463" s="5">
        <v>5.73</v>
      </c>
      <c r="I463" s="5">
        <v>0</v>
      </c>
      <c r="J463" s="5">
        <v>0</v>
      </c>
      <c r="K463" s="5">
        <v>0</v>
      </c>
      <c r="L463" s="5">
        <v>0</v>
      </c>
      <c r="M463" s="5">
        <v>0</v>
      </c>
      <c r="N463" s="5">
        <v>0</v>
      </c>
      <c r="O463" s="5">
        <v>0</v>
      </c>
      <c r="P463" s="5">
        <v>3</v>
      </c>
      <c r="Q463" s="5">
        <v>0</v>
      </c>
      <c r="R463" s="5">
        <v>0</v>
      </c>
    </row>
    <row r="464" spans="1:18" ht="15" customHeight="1" x14ac:dyDescent="0.25">
      <c r="A464" s="5">
        <v>5863</v>
      </c>
      <c r="B464" s="5" t="s">
        <v>17</v>
      </c>
      <c r="C464" s="5" t="s">
        <v>1009</v>
      </c>
      <c r="D464" s="5" t="s">
        <v>1060</v>
      </c>
      <c r="E464" s="5" t="s">
        <v>862</v>
      </c>
      <c r="F464" s="5">
        <v>0</v>
      </c>
      <c r="G464" s="5">
        <v>0</v>
      </c>
      <c r="H464" s="5">
        <v>0</v>
      </c>
      <c r="I464" s="5">
        <v>0</v>
      </c>
      <c r="J464" s="5">
        <v>0</v>
      </c>
      <c r="K464" s="5">
        <v>0</v>
      </c>
      <c r="L464" s="5">
        <v>0</v>
      </c>
      <c r="M464" s="5">
        <v>0</v>
      </c>
      <c r="N464" s="5">
        <v>0</v>
      </c>
      <c r="O464" s="5">
        <v>0</v>
      </c>
      <c r="P464" s="5">
        <v>0</v>
      </c>
      <c r="Q464" s="5">
        <v>0</v>
      </c>
      <c r="R464" s="5">
        <v>0</v>
      </c>
    </row>
    <row r="465" spans="1:18" ht="15" customHeight="1" x14ac:dyDescent="0.25">
      <c r="A465" s="5">
        <v>6010</v>
      </c>
      <c r="B465" s="5" t="s">
        <v>17</v>
      </c>
      <c r="C465" s="5" t="s">
        <v>1007</v>
      </c>
      <c r="D465" s="5" t="s">
        <v>313</v>
      </c>
      <c r="E465" s="5" t="s">
        <v>829</v>
      </c>
      <c r="F465" s="5">
        <v>12</v>
      </c>
      <c r="G465" s="5">
        <v>5.88</v>
      </c>
      <c r="H465" s="5">
        <v>5.83</v>
      </c>
      <c r="I465" s="5">
        <v>0</v>
      </c>
      <c r="J465" s="5">
        <v>0</v>
      </c>
      <c r="K465" s="5">
        <v>0</v>
      </c>
      <c r="L465" s="5">
        <v>0</v>
      </c>
      <c r="M465" s="5">
        <v>0</v>
      </c>
      <c r="N465" s="5">
        <v>0</v>
      </c>
      <c r="O465" s="5">
        <v>0</v>
      </c>
      <c r="P465" s="5">
        <v>2</v>
      </c>
      <c r="Q465" s="5">
        <v>0</v>
      </c>
      <c r="R465" s="5">
        <v>0</v>
      </c>
    </row>
    <row r="466" spans="1:18" ht="15" customHeight="1" x14ac:dyDescent="0.25">
      <c r="A466" s="5">
        <v>4911</v>
      </c>
      <c r="B466" s="5" t="s">
        <v>17</v>
      </c>
      <c r="C466" s="5" t="s">
        <v>17</v>
      </c>
      <c r="D466" s="5" t="s">
        <v>417</v>
      </c>
      <c r="E466" s="5" t="s">
        <v>833</v>
      </c>
      <c r="F466" s="5">
        <v>0</v>
      </c>
      <c r="G466" s="5">
        <v>0</v>
      </c>
      <c r="H466" s="5">
        <v>0</v>
      </c>
      <c r="I466" s="5">
        <v>0</v>
      </c>
      <c r="J466" s="5">
        <v>0</v>
      </c>
      <c r="K466" s="5">
        <v>0</v>
      </c>
      <c r="L466" s="5">
        <v>0</v>
      </c>
      <c r="M466" s="5">
        <v>0</v>
      </c>
      <c r="N466" s="5">
        <v>0</v>
      </c>
      <c r="O466" s="5">
        <v>0</v>
      </c>
      <c r="P466" s="5">
        <v>0</v>
      </c>
      <c r="Q466" s="5">
        <v>0</v>
      </c>
      <c r="R466" s="5">
        <v>0</v>
      </c>
    </row>
    <row r="467" spans="1:18" ht="15" customHeight="1" x14ac:dyDescent="0.25">
      <c r="A467" s="5">
        <v>6191</v>
      </c>
      <c r="B467" s="5" t="s">
        <v>17</v>
      </c>
      <c r="C467" s="5" t="s">
        <v>1009</v>
      </c>
      <c r="D467" s="5" t="s">
        <v>534</v>
      </c>
      <c r="E467" s="5" t="s">
        <v>834</v>
      </c>
      <c r="F467" s="5">
        <v>11</v>
      </c>
      <c r="G467" s="5">
        <v>5.77</v>
      </c>
      <c r="H467" s="5">
        <v>5.82</v>
      </c>
      <c r="I467" s="5">
        <v>0</v>
      </c>
      <c r="J467" s="5">
        <v>0</v>
      </c>
      <c r="K467" s="5">
        <v>0</v>
      </c>
      <c r="L467" s="5">
        <v>0</v>
      </c>
      <c r="M467" s="5">
        <v>0</v>
      </c>
      <c r="N467" s="5">
        <v>0</v>
      </c>
      <c r="O467" s="5">
        <v>2</v>
      </c>
      <c r="P467" s="5">
        <v>1</v>
      </c>
      <c r="Q467" s="5">
        <v>1</v>
      </c>
      <c r="R467" s="5">
        <v>0</v>
      </c>
    </row>
    <row r="468" spans="1:18" ht="15" customHeight="1" x14ac:dyDescent="0.25">
      <c r="A468" s="5">
        <v>6410</v>
      </c>
      <c r="B468" s="5" t="s">
        <v>17</v>
      </c>
      <c r="C468" s="5" t="s">
        <v>1009</v>
      </c>
      <c r="D468" s="5" t="s">
        <v>578</v>
      </c>
      <c r="E468" s="5" t="s">
        <v>837</v>
      </c>
      <c r="F468" s="5">
        <v>11</v>
      </c>
      <c r="G468" s="5">
        <v>5.77</v>
      </c>
      <c r="H468" s="5">
        <v>5.73</v>
      </c>
      <c r="I468" s="5">
        <v>0</v>
      </c>
      <c r="J468" s="5">
        <v>0</v>
      </c>
      <c r="K468" s="5">
        <v>0</v>
      </c>
      <c r="L468" s="5">
        <v>0</v>
      </c>
      <c r="M468" s="5">
        <v>0</v>
      </c>
      <c r="N468" s="5">
        <v>0</v>
      </c>
      <c r="O468" s="5">
        <v>0</v>
      </c>
      <c r="P468" s="5">
        <v>1</v>
      </c>
      <c r="Q468" s="5">
        <v>0</v>
      </c>
      <c r="R468" s="5">
        <v>0</v>
      </c>
    </row>
    <row r="469" spans="1:18" ht="15" customHeight="1" x14ac:dyDescent="0.25">
      <c r="A469" s="5">
        <v>6634</v>
      </c>
      <c r="B469" s="5" t="s">
        <v>17</v>
      </c>
      <c r="C469" s="5" t="s">
        <v>1011</v>
      </c>
      <c r="D469" s="5" t="s">
        <v>1061</v>
      </c>
      <c r="E469" s="5" t="s">
        <v>837</v>
      </c>
      <c r="F469" s="5">
        <v>15</v>
      </c>
      <c r="G469" s="5">
        <v>5.57</v>
      </c>
      <c r="H469" s="5">
        <v>5.57</v>
      </c>
      <c r="I469" s="5">
        <v>0</v>
      </c>
      <c r="J469" s="5">
        <v>0</v>
      </c>
      <c r="K469" s="5">
        <v>0</v>
      </c>
      <c r="L469" s="5">
        <v>0</v>
      </c>
      <c r="M469" s="5">
        <v>0</v>
      </c>
      <c r="N469" s="5">
        <v>0</v>
      </c>
      <c r="O469" s="5">
        <v>1</v>
      </c>
      <c r="P469" s="5">
        <v>2</v>
      </c>
      <c r="Q469" s="5">
        <v>0</v>
      </c>
      <c r="R469" s="5">
        <v>0</v>
      </c>
    </row>
    <row r="470" spans="1:18" ht="15" customHeight="1" x14ac:dyDescent="0.25">
      <c r="A470" s="5">
        <v>6984</v>
      </c>
      <c r="B470" s="5" t="s">
        <v>17</v>
      </c>
      <c r="C470" s="5" t="s">
        <v>1013</v>
      </c>
      <c r="D470" s="5" t="s">
        <v>332</v>
      </c>
      <c r="E470" s="5" t="s">
        <v>838</v>
      </c>
      <c r="F470" s="5">
        <v>15</v>
      </c>
      <c r="G470" s="5">
        <v>5.7</v>
      </c>
      <c r="H470" s="5">
        <v>5.63</v>
      </c>
      <c r="I470" s="5">
        <v>0</v>
      </c>
      <c r="J470" s="5">
        <v>0</v>
      </c>
      <c r="K470" s="5">
        <v>0</v>
      </c>
      <c r="L470" s="5">
        <v>0</v>
      </c>
      <c r="M470" s="5">
        <v>0</v>
      </c>
      <c r="N470" s="5">
        <v>0</v>
      </c>
      <c r="O470" s="5">
        <v>0</v>
      </c>
      <c r="P470" s="5">
        <v>2</v>
      </c>
      <c r="Q470" s="5">
        <v>0</v>
      </c>
      <c r="R470" s="5">
        <v>0</v>
      </c>
    </row>
    <row r="471" spans="1:18" ht="15" customHeight="1" x14ac:dyDescent="0.25">
      <c r="A471" s="5">
        <v>7147</v>
      </c>
      <c r="B471" s="5" t="s">
        <v>17</v>
      </c>
      <c r="C471" s="5" t="s">
        <v>1009</v>
      </c>
      <c r="D471" s="5" t="s">
        <v>1062</v>
      </c>
      <c r="E471" s="5" t="s">
        <v>867</v>
      </c>
      <c r="F471" s="5">
        <v>15</v>
      </c>
      <c r="G471" s="5">
        <v>5.57</v>
      </c>
      <c r="H471" s="5">
        <v>5.5</v>
      </c>
      <c r="I471" s="5">
        <v>0</v>
      </c>
      <c r="J471" s="5">
        <v>0</v>
      </c>
      <c r="K471" s="5">
        <v>0</v>
      </c>
      <c r="L471" s="5">
        <v>0</v>
      </c>
      <c r="M471" s="5">
        <v>0</v>
      </c>
      <c r="N471" s="5">
        <v>0</v>
      </c>
      <c r="O471" s="5">
        <v>0</v>
      </c>
      <c r="P471" s="5">
        <v>2</v>
      </c>
      <c r="Q471" s="5">
        <v>0</v>
      </c>
      <c r="R471" s="5">
        <v>0</v>
      </c>
    </row>
    <row r="472" spans="1:18" ht="15" customHeight="1" x14ac:dyDescent="0.25">
      <c r="A472" s="5">
        <v>7150</v>
      </c>
      <c r="B472" s="5" t="s">
        <v>17</v>
      </c>
      <c r="C472" s="5" t="s">
        <v>17</v>
      </c>
      <c r="D472" s="5" t="s">
        <v>1063</v>
      </c>
      <c r="E472" s="5" t="s">
        <v>867</v>
      </c>
      <c r="F472" s="5">
        <v>14</v>
      </c>
      <c r="G472" s="5">
        <v>5.79</v>
      </c>
      <c r="H472" s="5">
        <v>5.64</v>
      </c>
      <c r="I472" s="5">
        <v>0</v>
      </c>
      <c r="J472" s="5">
        <v>0</v>
      </c>
      <c r="K472" s="5">
        <v>0</v>
      </c>
      <c r="L472" s="5">
        <v>0</v>
      </c>
      <c r="M472" s="5">
        <v>0</v>
      </c>
      <c r="N472" s="5">
        <v>0</v>
      </c>
      <c r="O472" s="5">
        <v>0</v>
      </c>
      <c r="P472" s="5">
        <v>4</v>
      </c>
      <c r="Q472" s="5">
        <v>0</v>
      </c>
      <c r="R472" s="5">
        <v>0</v>
      </c>
    </row>
    <row r="473" spans="1:18" ht="15" customHeight="1" x14ac:dyDescent="0.25">
      <c r="A473" s="5">
        <v>7157</v>
      </c>
      <c r="B473" s="5" t="s">
        <v>17</v>
      </c>
      <c r="C473" s="5" t="s">
        <v>17</v>
      </c>
      <c r="D473" s="5" t="s">
        <v>625</v>
      </c>
      <c r="E473" s="5" t="s">
        <v>839</v>
      </c>
      <c r="F473" s="5">
        <v>5</v>
      </c>
      <c r="G473" s="5">
        <v>6</v>
      </c>
      <c r="H473" s="5">
        <v>6.5</v>
      </c>
      <c r="I473" s="5">
        <v>1</v>
      </c>
      <c r="J473" s="5">
        <v>0</v>
      </c>
      <c r="K473" s="5">
        <v>0</v>
      </c>
      <c r="L473" s="5">
        <v>0</v>
      </c>
      <c r="M473" s="5">
        <v>0</v>
      </c>
      <c r="N473" s="5">
        <v>0</v>
      </c>
      <c r="O473" s="5">
        <v>0</v>
      </c>
      <c r="P473" s="5">
        <v>3</v>
      </c>
      <c r="Q473" s="5">
        <v>0</v>
      </c>
      <c r="R473" s="5">
        <v>0</v>
      </c>
    </row>
    <row r="474" spans="1:18" ht="15" customHeight="1" x14ac:dyDescent="0.25">
      <c r="A474" s="5">
        <v>6212</v>
      </c>
      <c r="B474" s="5" t="s">
        <v>17</v>
      </c>
      <c r="C474" s="5" t="s">
        <v>1009</v>
      </c>
      <c r="D474" s="5" t="s">
        <v>554</v>
      </c>
      <c r="E474" s="5" t="s">
        <v>835</v>
      </c>
      <c r="F474" s="5">
        <v>10</v>
      </c>
      <c r="G474" s="5">
        <v>5.75</v>
      </c>
      <c r="H474" s="5">
        <v>5.7</v>
      </c>
      <c r="I474" s="5">
        <v>0</v>
      </c>
      <c r="J474" s="5">
        <v>0</v>
      </c>
      <c r="K474" s="5">
        <v>0</v>
      </c>
      <c r="L474" s="5">
        <v>0</v>
      </c>
      <c r="M474" s="5">
        <v>0</v>
      </c>
      <c r="N474" s="5">
        <v>0</v>
      </c>
      <c r="O474" s="5">
        <v>0</v>
      </c>
      <c r="P474" s="5">
        <v>2</v>
      </c>
      <c r="Q474" s="5">
        <v>0</v>
      </c>
      <c r="R474" s="5">
        <v>0</v>
      </c>
    </row>
    <row r="475" spans="1:18" ht="15" customHeight="1" x14ac:dyDescent="0.25">
      <c r="A475" s="5">
        <v>5850</v>
      </c>
      <c r="B475" s="5" t="s">
        <v>17</v>
      </c>
      <c r="C475" s="5" t="s">
        <v>17</v>
      </c>
      <c r="D475" s="5" t="s">
        <v>1064</v>
      </c>
      <c r="E475" s="5" t="s">
        <v>864</v>
      </c>
      <c r="F475" s="5">
        <v>10</v>
      </c>
      <c r="G475" s="5">
        <v>5.75</v>
      </c>
      <c r="H475" s="5">
        <v>5.75</v>
      </c>
      <c r="I475" s="5">
        <v>0</v>
      </c>
      <c r="J475" s="5">
        <v>0</v>
      </c>
      <c r="K475" s="5">
        <v>0</v>
      </c>
      <c r="L475" s="5">
        <v>0</v>
      </c>
      <c r="M475" s="5">
        <v>0</v>
      </c>
      <c r="N475" s="5">
        <v>0</v>
      </c>
      <c r="O475" s="5">
        <v>1</v>
      </c>
      <c r="P475" s="5">
        <v>2</v>
      </c>
      <c r="Q475" s="5">
        <v>0</v>
      </c>
      <c r="R475" s="5">
        <v>0</v>
      </c>
    </row>
    <row r="476" spans="1:18" ht="15" customHeight="1" x14ac:dyDescent="0.25">
      <c r="A476" s="5">
        <v>7254</v>
      </c>
      <c r="B476" s="5" t="s">
        <v>17</v>
      </c>
      <c r="C476" s="5" t="s">
        <v>1008</v>
      </c>
      <c r="D476" s="5" t="s">
        <v>1065</v>
      </c>
      <c r="E476" s="5" t="s">
        <v>867</v>
      </c>
      <c r="F476" s="5">
        <v>4</v>
      </c>
      <c r="G476" s="5">
        <v>5.88</v>
      </c>
      <c r="H476" s="5">
        <v>6.62</v>
      </c>
      <c r="I476" s="5">
        <v>1</v>
      </c>
      <c r="J476" s="5">
        <v>0</v>
      </c>
      <c r="K476" s="5">
        <v>0</v>
      </c>
      <c r="L476" s="5">
        <v>0</v>
      </c>
      <c r="M476" s="5">
        <v>0</v>
      </c>
      <c r="N476" s="5">
        <v>0</v>
      </c>
      <c r="O476" s="5">
        <v>0</v>
      </c>
      <c r="P476" s="5">
        <v>0</v>
      </c>
      <c r="Q476" s="5">
        <v>0</v>
      </c>
      <c r="R476" s="5">
        <v>0</v>
      </c>
    </row>
    <row r="477" spans="1:18" ht="15" customHeight="1" x14ac:dyDescent="0.25">
      <c r="A477" s="5">
        <v>6528</v>
      </c>
      <c r="B477" s="5" t="s">
        <v>17</v>
      </c>
      <c r="C477" s="5" t="s">
        <v>1017</v>
      </c>
      <c r="D477" s="5" t="s">
        <v>1066</v>
      </c>
      <c r="E477" s="5" t="s">
        <v>862</v>
      </c>
      <c r="F477" s="5">
        <v>5</v>
      </c>
      <c r="G477" s="5">
        <v>5.9</v>
      </c>
      <c r="H477" s="5">
        <v>5.9</v>
      </c>
      <c r="I477" s="5">
        <v>0</v>
      </c>
      <c r="J477" s="5">
        <v>0</v>
      </c>
      <c r="K477" s="5">
        <v>0</v>
      </c>
      <c r="L477" s="5">
        <v>0</v>
      </c>
      <c r="M477" s="5">
        <v>0</v>
      </c>
      <c r="N477" s="5">
        <v>0</v>
      </c>
      <c r="O477" s="5">
        <v>0</v>
      </c>
      <c r="P477" s="5">
        <v>0</v>
      </c>
      <c r="Q477" s="5">
        <v>0</v>
      </c>
      <c r="R477" s="5">
        <v>0</v>
      </c>
    </row>
    <row r="478" spans="1:18" ht="15" customHeight="1" x14ac:dyDescent="0.25">
      <c r="A478" s="5">
        <v>6112</v>
      </c>
      <c r="B478" s="5" t="s">
        <v>17</v>
      </c>
      <c r="C478" s="5" t="s">
        <v>1016</v>
      </c>
      <c r="D478" s="5" t="s">
        <v>1067</v>
      </c>
      <c r="E478" s="5" t="s">
        <v>867</v>
      </c>
      <c r="F478" s="5">
        <v>3</v>
      </c>
      <c r="G478" s="5">
        <v>5.83</v>
      </c>
      <c r="H478" s="5">
        <v>5.83</v>
      </c>
      <c r="I478" s="5">
        <v>0</v>
      </c>
      <c r="J478" s="5">
        <v>0</v>
      </c>
      <c r="K478" s="5">
        <v>0</v>
      </c>
      <c r="L478" s="5">
        <v>0</v>
      </c>
      <c r="M478" s="5">
        <v>0</v>
      </c>
      <c r="N478" s="5">
        <v>0</v>
      </c>
      <c r="O478" s="5">
        <v>0</v>
      </c>
      <c r="P478" s="5">
        <v>0</v>
      </c>
      <c r="Q478" s="5">
        <v>0</v>
      </c>
      <c r="R478" s="5">
        <v>0</v>
      </c>
    </row>
    <row r="479" spans="1:18" ht="15" customHeight="1" x14ac:dyDescent="0.25">
      <c r="A479" s="5">
        <v>6676</v>
      </c>
      <c r="B479" s="5" t="s">
        <v>17</v>
      </c>
      <c r="C479" s="5" t="s">
        <v>1009</v>
      </c>
      <c r="D479" s="5" t="s">
        <v>1068</v>
      </c>
      <c r="E479" s="5" t="s">
        <v>827</v>
      </c>
      <c r="F479" s="5">
        <v>0</v>
      </c>
      <c r="G479" s="5">
        <v>0</v>
      </c>
      <c r="H479" s="5">
        <v>0</v>
      </c>
      <c r="I479" s="5">
        <v>0</v>
      </c>
      <c r="J479" s="5">
        <v>0</v>
      </c>
      <c r="K479" s="5">
        <v>0</v>
      </c>
      <c r="L479" s="5">
        <v>0</v>
      </c>
      <c r="M479" s="5">
        <v>0</v>
      </c>
      <c r="N479" s="5">
        <v>0</v>
      </c>
      <c r="O479" s="5">
        <v>0</v>
      </c>
      <c r="P479" s="5">
        <v>0</v>
      </c>
      <c r="Q479" s="5">
        <v>0</v>
      </c>
      <c r="R479" s="5">
        <v>0</v>
      </c>
    </row>
    <row r="480" spans="1:18" ht="15" customHeight="1" x14ac:dyDescent="0.25">
      <c r="A480" s="5">
        <v>7132</v>
      </c>
      <c r="B480" s="5" t="s">
        <v>17</v>
      </c>
      <c r="C480" s="5" t="s">
        <v>1009</v>
      </c>
      <c r="D480" s="5" t="s">
        <v>1069</v>
      </c>
      <c r="E480" s="5" t="s">
        <v>862</v>
      </c>
      <c r="F480" s="5">
        <v>5</v>
      </c>
      <c r="G480" s="5">
        <v>5.9</v>
      </c>
      <c r="H480" s="5">
        <v>5.8</v>
      </c>
      <c r="I480" s="5">
        <v>0</v>
      </c>
      <c r="J480" s="5">
        <v>0</v>
      </c>
      <c r="K480" s="5">
        <v>0</v>
      </c>
      <c r="L480" s="5">
        <v>0</v>
      </c>
      <c r="M480" s="5">
        <v>0</v>
      </c>
      <c r="N480" s="5">
        <v>0</v>
      </c>
      <c r="O480" s="5">
        <v>0</v>
      </c>
      <c r="P480" s="5">
        <v>1</v>
      </c>
      <c r="Q480" s="5">
        <v>0</v>
      </c>
      <c r="R480" s="5">
        <v>0</v>
      </c>
    </row>
    <row r="481" spans="1:18" ht="15" customHeight="1" x14ac:dyDescent="0.25">
      <c r="A481" s="5">
        <v>5857</v>
      </c>
      <c r="B481" s="5" t="s">
        <v>17</v>
      </c>
      <c r="C481" s="5" t="s">
        <v>1009</v>
      </c>
      <c r="D481" s="5" t="s">
        <v>1070</v>
      </c>
      <c r="E481" s="5" t="s">
        <v>862</v>
      </c>
      <c r="F481" s="5">
        <v>0</v>
      </c>
      <c r="G481" s="5">
        <v>0</v>
      </c>
      <c r="H481" s="5">
        <v>0</v>
      </c>
      <c r="I481" s="5">
        <v>0</v>
      </c>
      <c r="J481" s="5">
        <v>0</v>
      </c>
      <c r="K481" s="5">
        <v>0</v>
      </c>
      <c r="L481" s="5">
        <v>0</v>
      </c>
      <c r="M481" s="5">
        <v>0</v>
      </c>
      <c r="N481" s="5">
        <v>0</v>
      </c>
      <c r="O481" s="5">
        <v>0</v>
      </c>
      <c r="P481" s="5">
        <v>0</v>
      </c>
      <c r="Q481" s="5">
        <v>0</v>
      </c>
      <c r="R481" s="5">
        <v>0</v>
      </c>
    </row>
    <row r="482" spans="1:18" ht="15" customHeight="1" x14ac:dyDescent="0.25">
      <c r="A482" s="5">
        <v>6804</v>
      </c>
      <c r="B482" s="5" t="s">
        <v>17</v>
      </c>
      <c r="C482" s="5" t="s">
        <v>1009</v>
      </c>
      <c r="D482" s="5" t="s">
        <v>1071</v>
      </c>
      <c r="E482" s="5" t="s">
        <v>829</v>
      </c>
      <c r="F482" s="5">
        <v>1</v>
      </c>
      <c r="G482" s="5">
        <v>5.5</v>
      </c>
      <c r="H482" s="5">
        <v>5.5</v>
      </c>
      <c r="I482" s="5">
        <v>0</v>
      </c>
      <c r="J482" s="5">
        <v>0</v>
      </c>
      <c r="K482" s="5">
        <v>0</v>
      </c>
      <c r="L482" s="5">
        <v>0</v>
      </c>
      <c r="M482" s="5">
        <v>0</v>
      </c>
      <c r="N482" s="5">
        <v>0</v>
      </c>
      <c r="O482" s="5">
        <v>0</v>
      </c>
      <c r="P482" s="5">
        <v>0</v>
      </c>
      <c r="Q482" s="5">
        <v>0</v>
      </c>
      <c r="R482" s="5">
        <v>0</v>
      </c>
    </row>
    <row r="483" spans="1:18" ht="15" customHeight="1" x14ac:dyDescent="0.25">
      <c r="A483" s="5">
        <v>5788</v>
      </c>
      <c r="B483" s="5" t="s">
        <v>17</v>
      </c>
      <c r="C483" s="5" t="s">
        <v>1008</v>
      </c>
      <c r="D483" s="5" t="s">
        <v>1072</v>
      </c>
      <c r="E483" s="5" t="s">
        <v>829</v>
      </c>
      <c r="F483" s="5">
        <v>1</v>
      </c>
      <c r="G483" s="5">
        <v>5.5</v>
      </c>
      <c r="H483" s="5">
        <v>5.5</v>
      </c>
      <c r="I483" s="5">
        <v>0</v>
      </c>
      <c r="J483" s="5">
        <v>0</v>
      </c>
      <c r="K483" s="5">
        <v>0</v>
      </c>
      <c r="L483" s="5">
        <v>0</v>
      </c>
      <c r="M483" s="5">
        <v>0</v>
      </c>
      <c r="N483" s="5">
        <v>0</v>
      </c>
      <c r="O483" s="5">
        <v>0</v>
      </c>
      <c r="P483" s="5">
        <v>0</v>
      </c>
      <c r="Q483" s="5">
        <v>0</v>
      </c>
      <c r="R483" s="5">
        <v>0</v>
      </c>
    </row>
    <row r="484" spans="1:18" ht="15" customHeight="1" x14ac:dyDescent="0.25">
      <c r="A484" s="5">
        <v>6980</v>
      </c>
      <c r="B484" s="5" t="s">
        <v>17</v>
      </c>
      <c r="C484" s="5" t="s">
        <v>1011</v>
      </c>
      <c r="D484" s="5" t="s">
        <v>514</v>
      </c>
      <c r="E484" s="5" t="s">
        <v>824</v>
      </c>
      <c r="F484" s="5">
        <v>7</v>
      </c>
      <c r="G484" s="5">
        <v>5.86</v>
      </c>
      <c r="H484" s="5">
        <v>5.86</v>
      </c>
      <c r="I484" s="5">
        <v>0</v>
      </c>
      <c r="J484" s="5">
        <v>0</v>
      </c>
      <c r="K484" s="5">
        <v>0</v>
      </c>
      <c r="L484" s="5">
        <v>0</v>
      </c>
      <c r="M484" s="5">
        <v>0</v>
      </c>
      <c r="N484" s="5">
        <v>0</v>
      </c>
      <c r="O484" s="5">
        <v>0</v>
      </c>
      <c r="P484" s="5">
        <v>0</v>
      </c>
      <c r="Q484" s="5">
        <v>0</v>
      </c>
      <c r="R484" s="5">
        <v>0</v>
      </c>
    </row>
    <row r="485" spans="1:18" ht="15" customHeight="1" x14ac:dyDescent="0.25">
      <c r="A485" s="5">
        <v>6722</v>
      </c>
      <c r="B485" s="5" t="s">
        <v>17</v>
      </c>
      <c r="C485" s="5" t="s">
        <v>1017</v>
      </c>
      <c r="D485" s="5" t="s">
        <v>1073</v>
      </c>
      <c r="E485" s="5" t="s">
        <v>836</v>
      </c>
      <c r="F485" s="5">
        <v>2</v>
      </c>
      <c r="G485" s="5">
        <v>5.5</v>
      </c>
      <c r="H485" s="5">
        <v>5.25</v>
      </c>
      <c r="I485" s="5">
        <v>0</v>
      </c>
      <c r="J485" s="5">
        <v>0</v>
      </c>
      <c r="K485" s="5">
        <v>0</v>
      </c>
      <c r="L485" s="5">
        <v>0</v>
      </c>
      <c r="M485" s="5">
        <v>0</v>
      </c>
      <c r="N485" s="5">
        <v>0</v>
      </c>
      <c r="O485" s="5">
        <v>0</v>
      </c>
      <c r="P485" s="5">
        <v>1</v>
      </c>
      <c r="Q485" s="5">
        <v>0</v>
      </c>
      <c r="R485" s="5">
        <v>0</v>
      </c>
    </row>
    <row r="486" spans="1:18" ht="15" customHeight="1" x14ac:dyDescent="0.25">
      <c r="A486" s="5">
        <v>5719</v>
      </c>
      <c r="B486" s="5" t="s">
        <v>17</v>
      </c>
      <c r="C486" s="5" t="s">
        <v>1009</v>
      </c>
      <c r="D486" s="5" t="s">
        <v>1074</v>
      </c>
      <c r="E486" s="5" t="s">
        <v>843</v>
      </c>
      <c r="F486" s="5">
        <v>14</v>
      </c>
      <c r="G486" s="5">
        <v>5.57</v>
      </c>
      <c r="H486" s="5">
        <v>5.25</v>
      </c>
      <c r="I486" s="5">
        <v>0</v>
      </c>
      <c r="J486" s="5">
        <v>0</v>
      </c>
      <c r="K486" s="5">
        <v>0</v>
      </c>
      <c r="L486" s="5">
        <v>1</v>
      </c>
      <c r="M486" s="5">
        <v>0</v>
      </c>
      <c r="N486" s="5">
        <v>1</v>
      </c>
      <c r="O486" s="5">
        <v>0</v>
      </c>
      <c r="P486" s="5">
        <v>3</v>
      </c>
      <c r="Q486" s="5">
        <v>0</v>
      </c>
      <c r="R486" s="5">
        <v>0</v>
      </c>
    </row>
    <row r="487" spans="1:18" ht="15" customHeight="1" x14ac:dyDescent="0.25">
      <c r="A487" s="5">
        <v>4459</v>
      </c>
      <c r="B487" s="5" t="s">
        <v>17</v>
      </c>
      <c r="C487" s="5" t="s">
        <v>1009</v>
      </c>
      <c r="D487" s="5" t="s">
        <v>349</v>
      </c>
      <c r="E487" s="5" t="s">
        <v>834</v>
      </c>
      <c r="F487" s="5">
        <v>11</v>
      </c>
      <c r="G487" s="5">
        <v>5.73</v>
      </c>
      <c r="H487" s="5">
        <v>5.64</v>
      </c>
      <c r="I487" s="5">
        <v>0</v>
      </c>
      <c r="J487" s="5">
        <v>0</v>
      </c>
      <c r="K487" s="5">
        <v>0</v>
      </c>
      <c r="L487" s="5">
        <v>0</v>
      </c>
      <c r="M487" s="5">
        <v>0</v>
      </c>
      <c r="N487" s="5">
        <v>0</v>
      </c>
      <c r="O487" s="5">
        <v>1</v>
      </c>
      <c r="P487" s="5">
        <v>2</v>
      </c>
      <c r="Q487" s="5">
        <v>1</v>
      </c>
      <c r="R487" s="5">
        <v>0</v>
      </c>
    </row>
    <row r="488" spans="1:18" ht="15" customHeight="1" x14ac:dyDescent="0.25">
      <c r="A488" s="5">
        <v>5872</v>
      </c>
      <c r="B488" s="5" t="s">
        <v>17</v>
      </c>
      <c r="C488" s="5" t="s">
        <v>1007</v>
      </c>
      <c r="D488" s="5" t="s">
        <v>508</v>
      </c>
      <c r="E488" s="5" t="s">
        <v>837</v>
      </c>
      <c r="F488" s="5">
        <v>4</v>
      </c>
      <c r="G488" s="5">
        <v>5.62</v>
      </c>
      <c r="H488" s="5">
        <v>5.62</v>
      </c>
      <c r="I488" s="5">
        <v>0</v>
      </c>
      <c r="J488" s="5">
        <v>0</v>
      </c>
      <c r="K488" s="5">
        <v>0</v>
      </c>
      <c r="L488" s="5">
        <v>0</v>
      </c>
      <c r="M488" s="5">
        <v>0</v>
      </c>
      <c r="N488" s="5">
        <v>0</v>
      </c>
      <c r="O488" s="5">
        <v>0</v>
      </c>
      <c r="P488" s="5">
        <v>0</v>
      </c>
      <c r="Q488" s="5">
        <v>0</v>
      </c>
      <c r="R488" s="5">
        <v>0</v>
      </c>
    </row>
    <row r="489" spans="1:18" ht="15" customHeight="1" x14ac:dyDescent="0.25">
      <c r="A489" s="5">
        <v>4423</v>
      </c>
      <c r="B489" s="5" t="s">
        <v>17</v>
      </c>
      <c r="C489" s="5" t="s">
        <v>17</v>
      </c>
      <c r="D489" s="5" t="s">
        <v>1075</v>
      </c>
      <c r="E489" s="5" t="s">
        <v>838</v>
      </c>
      <c r="F489" s="5">
        <v>3</v>
      </c>
      <c r="G489" s="5">
        <v>5.67</v>
      </c>
      <c r="H489" s="5">
        <v>5.67</v>
      </c>
      <c r="I489" s="5">
        <v>0</v>
      </c>
      <c r="J489" s="5">
        <v>0</v>
      </c>
      <c r="K489" s="5">
        <v>0</v>
      </c>
      <c r="L489" s="5">
        <v>0</v>
      </c>
      <c r="M489" s="5">
        <v>0</v>
      </c>
      <c r="N489" s="5">
        <v>0</v>
      </c>
      <c r="O489" s="5">
        <v>0</v>
      </c>
      <c r="P489" s="5">
        <v>0</v>
      </c>
      <c r="Q489" s="5">
        <v>0</v>
      </c>
      <c r="R489" s="5">
        <v>0</v>
      </c>
    </row>
    <row r="490" spans="1:18" ht="15" customHeight="1" x14ac:dyDescent="0.25">
      <c r="A490" s="5">
        <v>7149</v>
      </c>
      <c r="B490" s="5" t="s">
        <v>17</v>
      </c>
      <c r="C490" s="5" t="s">
        <v>1009</v>
      </c>
      <c r="D490" s="5" t="s">
        <v>1076</v>
      </c>
      <c r="E490" s="5" t="s">
        <v>867</v>
      </c>
      <c r="F490" s="5">
        <v>20</v>
      </c>
      <c r="G490" s="5">
        <v>5.88</v>
      </c>
      <c r="H490" s="5">
        <v>5.7</v>
      </c>
      <c r="I490" s="5">
        <v>0</v>
      </c>
      <c r="J490" s="5">
        <v>0</v>
      </c>
      <c r="K490" s="5">
        <v>0</v>
      </c>
      <c r="L490" s="5">
        <v>0</v>
      </c>
      <c r="M490" s="5">
        <v>0</v>
      </c>
      <c r="N490" s="5">
        <v>0</v>
      </c>
      <c r="O490" s="5">
        <v>0</v>
      </c>
      <c r="P490" s="5">
        <v>7</v>
      </c>
      <c r="Q490" s="5">
        <v>0</v>
      </c>
      <c r="R490" s="5">
        <v>0</v>
      </c>
    </row>
    <row r="491" spans="1:18" ht="15" customHeight="1" x14ac:dyDescent="0.25">
      <c r="A491" s="5">
        <v>6219</v>
      </c>
      <c r="B491" s="5" t="s">
        <v>17</v>
      </c>
      <c r="C491" s="5" t="s">
        <v>1009</v>
      </c>
      <c r="D491" s="5" t="s">
        <v>532</v>
      </c>
      <c r="E491" s="5" t="s">
        <v>839</v>
      </c>
      <c r="F491" s="5">
        <v>2</v>
      </c>
      <c r="G491" s="5">
        <v>5.75</v>
      </c>
      <c r="H491" s="5">
        <v>5.75</v>
      </c>
      <c r="I491" s="5">
        <v>0</v>
      </c>
      <c r="J491" s="5">
        <v>0</v>
      </c>
      <c r="K491" s="5">
        <v>0</v>
      </c>
      <c r="L491" s="5">
        <v>0</v>
      </c>
      <c r="M491" s="5">
        <v>0</v>
      </c>
      <c r="N491" s="5">
        <v>0</v>
      </c>
      <c r="O491" s="5">
        <v>0</v>
      </c>
      <c r="P491" s="5">
        <v>0</v>
      </c>
      <c r="Q491" s="5">
        <v>0</v>
      </c>
      <c r="R491" s="5">
        <v>0</v>
      </c>
    </row>
    <row r="492" spans="1:18" ht="15" customHeight="1" x14ac:dyDescent="0.25">
      <c r="A492" s="5">
        <v>6889</v>
      </c>
      <c r="B492" s="5" t="s">
        <v>17</v>
      </c>
      <c r="C492" s="5" t="s">
        <v>1007</v>
      </c>
      <c r="D492" s="5" t="s">
        <v>553</v>
      </c>
      <c r="E492" s="5" t="s">
        <v>843</v>
      </c>
      <c r="F492" s="5">
        <v>9</v>
      </c>
      <c r="G492" s="5">
        <v>5.78</v>
      </c>
      <c r="H492" s="5">
        <v>5.72</v>
      </c>
      <c r="I492" s="5">
        <v>0</v>
      </c>
      <c r="J492" s="5">
        <v>0</v>
      </c>
      <c r="K492" s="5">
        <v>0</v>
      </c>
      <c r="L492" s="5">
        <v>0</v>
      </c>
      <c r="M492" s="5">
        <v>0</v>
      </c>
      <c r="N492" s="5">
        <v>0</v>
      </c>
      <c r="O492" s="5">
        <v>0</v>
      </c>
      <c r="P492" s="5">
        <v>1</v>
      </c>
      <c r="Q492" s="5">
        <v>0</v>
      </c>
      <c r="R492" s="5">
        <v>0</v>
      </c>
    </row>
    <row r="493" spans="1:18" ht="15" customHeight="1" x14ac:dyDescent="0.25">
      <c r="A493" s="5">
        <v>5540</v>
      </c>
      <c r="B493" s="5" t="s">
        <v>17</v>
      </c>
      <c r="C493" s="5" t="s">
        <v>1009</v>
      </c>
      <c r="D493" s="5" t="s">
        <v>1077</v>
      </c>
      <c r="E493" s="5" t="s">
        <v>864</v>
      </c>
      <c r="F493" s="5">
        <v>16</v>
      </c>
      <c r="G493" s="5">
        <v>5.69</v>
      </c>
      <c r="H493" s="5">
        <v>5.72</v>
      </c>
      <c r="I493" s="5">
        <v>0</v>
      </c>
      <c r="J493" s="5">
        <v>0</v>
      </c>
      <c r="K493" s="5">
        <v>0</v>
      </c>
      <c r="L493" s="5">
        <v>0</v>
      </c>
      <c r="M493" s="5">
        <v>0</v>
      </c>
      <c r="N493" s="5">
        <v>0</v>
      </c>
      <c r="O493" s="5">
        <v>1</v>
      </c>
      <c r="P493" s="5">
        <v>1</v>
      </c>
      <c r="Q493" s="5">
        <v>0</v>
      </c>
      <c r="R493" s="5">
        <v>0</v>
      </c>
    </row>
    <row r="494" spans="1:18" ht="15" customHeight="1" x14ac:dyDescent="0.25">
      <c r="A494" s="5">
        <v>6506</v>
      </c>
      <c r="B494" s="5" t="s">
        <v>17</v>
      </c>
      <c r="C494" s="5" t="s">
        <v>1016</v>
      </c>
      <c r="D494" s="5" t="s">
        <v>1078</v>
      </c>
      <c r="E494" s="5" t="s">
        <v>836</v>
      </c>
      <c r="F494" s="5">
        <v>1</v>
      </c>
      <c r="G494" s="5">
        <v>5.5</v>
      </c>
      <c r="H494" s="5">
        <v>5.5</v>
      </c>
      <c r="I494" s="5">
        <v>0</v>
      </c>
      <c r="J494" s="5">
        <v>0</v>
      </c>
      <c r="K494" s="5">
        <v>0</v>
      </c>
      <c r="L494" s="5">
        <v>0</v>
      </c>
      <c r="M494" s="5">
        <v>0</v>
      </c>
      <c r="N494" s="5">
        <v>0</v>
      </c>
      <c r="O494" s="5">
        <v>0</v>
      </c>
      <c r="P494" s="5">
        <v>0</v>
      </c>
      <c r="Q494" s="5">
        <v>0</v>
      </c>
      <c r="R494" s="5">
        <v>0</v>
      </c>
    </row>
    <row r="495" spans="1:18" ht="15" customHeight="1" x14ac:dyDescent="0.25">
      <c r="A495" s="5">
        <v>7248</v>
      </c>
      <c r="B495" s="5" t="s">
        <v>17</v>
      </c>
      <c r="C495" s="5" t="s">
        <v>1009</v>
      </c>
      <c r="D495" s="5" t="s">
        <v>568</v>
      </c>
      <c r="E495" s="5" t="s">
        <v>837</v>
      </c>
      <c r="F495" s="5">
        <v>1</v>
      </c>
      <c r="G495" s="5">
        <v>5.5</v>
      </c>
      <c r="H495" s="5">
        <v>5.5</v>
      </c>
      <c r="I495" s="5">
        <v>0</v>
      </c>
      <c r="J495" s="5">
        <v>0</v>
      </c>
      <c r="K495" s="5">
        <v>0</v>
      </c>
      <c r="L495" s="5">
        <v>0</v>
      </c>
      <c r="M495" s="5">
        <v>0</v>
      </c>
      <c r="N495" s="5">
        <v>0</v>
      </c>
      <c r="O495" s="5">
        <v>0</v>
      </c>
      <c r="P495" s="5">
        <v>0</v>
      </c>
      <c r="Q495" s="5">
        <v>0</v>
      </c>
      <c r="R495" s="5">
        <v>0</v>
      </c>
    </row>
    <row r="496" spans="1:18" ht="15" customHeight="1" x14ac:dyDescent="0.25">
      <c r="A496" s="5">
        <v>7010</v>
      </c>
      <c r="B496" s="5" t="s">
        <v>17</v>
      </c>
      <c r="C496" s="5" t="s">
        <v>1009</v>
      </c>
      <c r="D496" s="5" t="s">
        <v>1079</v>
      </c>
      <c r="E496" s="5" t="s">
        <v>864</v>
      </c>
      <c r="F496" s="5">
        <v>14</v>
      </c>
      <c r="G496" s="5">
        <v>5.71</v>
      </c>
      <c r="H496" s="5">
        <v>5.57</v>
      </c>
      <c r="I496" s="5">
        <v>0</v>
      </c>
      <c r="J496" s="5">
        <v>0</v>
      </c>
      <c r="K496" s="5">
        <v>0</v>
      </c>
      <c r="L496" s="5">
        <v>0</v>
      </c>
      <c r="M496" s="5">
        <v>0</v>
      </c>
      <c r="N496" s="5">
        <v>0</v>
      </c>
      <c r="O496" s="5">
        <v>1</v>
      </c>
      <c r="P496" s="5">
        <v>4</v>
      </c>
      <c r="Q496" s="5">
        <v>1</v>
      </c>
      <c r="R496" s="5">
        <v>0</v>
      </c>
    </row>
    <row r="497" spans="1:18" ht="15" customHeight="1" x14ac:dyDescent="0.25">
      <c r="A497" s="5">
        <v>4677</v>
      </c>
      <c r="B497" s="5" t="s">
        <v>17</v>
      </c>
      <c r="C497" s="5" t="s">
        <v>1011</v>
      </c>
      <c r="D497" s="5" t="s">
        <v>1080</v>
      </c>
      <c r="E497" s="5" t="s">
        <v>836</v>
      </c>
      <c r="F497" s="5">
        <v>5</v>
      </c>
      <c r="G497" s="5">
        <v>5.0999999999999996</v>
      </c>
      <c r="H497" s="5">
        <v>4.5</v>
      </c>
      <c r="I497" s="5">
        <v>0</v>
      </c>
      <c r="J497" s="5">
        <v>0</v>
      </c>
      <c r="K497" s="5">
        <v>0</v>
      </c>
      <c r="L497" s="5">
        <v>1</v>
      </c>
      <c r="M497" s="5">
        <v>0</v>
      </c>
      <c r="N497" s="5">
        <v>1</v>
      </c>
      <c r="O497" s="5">
        <v>0</v>
      </c>
      <c r="P497" s="5">
        <v>0</v>
      </c>
      <c r="Q497" s="5">
        <v>0</v>
      </c>
      <c r="R497" s="5">
        <v>0</v>
      </c>
    </row>
    <row r="498" spans="1:18" ht="15" customHeight="1" x14ac:dyDescent="0.25">
      <c r="A498" s="5">
        <v>7036</v>
      </c>
      <c r="B498" s="5" t="s">
        <v>17</v>
      </c>
      <c r="C498" s="5" t="s">
        <v>1007</v>
      </c>
      <c r="D498" s="5" t="s">
        <v>352</v>
      </c>
      <c r="E498" s="5" t="s">
        <v>839</v>
      </c>
      <c r="F498" s="5">
        <v>3</v>
      </c>
      <c r="G498" s="5">
        <v>6.17</v>
      </c>
      <c r="H498" s="5">
        <v>6.17</v>
      </c>
      <c r="I498" s="5">
        <v>0</v>
      </c>
      <c r="J498" s="5">
        <v>0</v>
      </c>
      <c r="K498" s="5">
        <v>0</v>
      </c>
      <c r="L498" s="5">
        <v>0</v>
      </c>
      <c r="M498" s="5">
        <v>0</v>
      </c>
      <c r="N498" s="5">
        <v>0</v>
      </c>
      <c r="O498" s="5">
        <v>0</v>
      </c>
      <c r="P498" s="5">
        <v>0</v>
      </c>
      <c r="Q498" s="5">
        <v>0</v>
      </c>
      <c r="R498" s="5">
        <v>0</v>
      </c>
    </row>
    <row r="499" spans="1:18" ht="15" customHeight="1" x14ac:dyDescent="0.25">
      <c r="A499" s="5">
        <v>7165</v>
      </c>
      <c r="B499" s="5" t="s">
        <v>17</v>
      </c>
      <c r="C499" s="5" t="s">
        <v>1009</v>
      </c>
      <c r="D499" s="5" t="s">
        <v>622</v>
      </c>
      <c r="E499" s="5" t="s">
        <v>832</v>
      </c>
      <c r="F499" s="5">
        <v>4</v>
      </c>
      <c r="G499" s="5">
        <v>5.75</v>
      </c>
      <c r="H499" s="5">
        <v>5.75</v>
      </c>
      <c r="I499" s="5">
        <v>0</v>
      </c>
      <c r="J499" s="5">
        <v>0</v>
      </c>
      <c r="K499" s="5">
        <v>0</v>
      </c>
      <c r="L499" s="5">
        <v>0</v>
      </c>
      <c r="M499" s="5">
        <v>0</v>
      </c>
      <c r="N499" s="5">
        <v>0</v>
      </c>
      <c r="O499" s="5">
        <v>0</v>
      </c>
      <c r="P499" s="5">
        <v>0</v>
      </c>
      <c r="Q499" s="5">
        <v>0</v>
      </c>
      <c r="R499" s="5">
        <v>0</v>
      </c>
    </row>
    <row r="500" spans="1:18" ht="15" customHeight="1" x14ac:dyDescent="0.25">
      <c r="A500" s="5">
        <v>6656</v>
      </c>
      <c r="B500" s="5" t="s">
        <v>17</v>
      </c>
      <c r="C500" s="5" t="s">
        <v>1009</v>
      </c>
      <c r="D500" s="5" t="s">
        <v>1081</v>
      </c>
      <c r="E500" s="5" t="s">
        <v>827</v>
      </c>
      <c r="F500" s="5">
        <v>0</v>
      </c>
      <c r="G500" s="5">
        <v>0</v>
      </c>
      <c r="H500" s="5">
        <v>0</v>
      </c>
      <c r="I500" s="5">
        <v>0</v>
      </c>
      <c r="J500" s="5">
        <v>0</v>
      </c>
      <c r="K500" s="5">
        <v>0</v>
      </c>
      <c r="L500" s="5">
        <v>0</v>
      </c>
      <c r="M500" s="5">
        <v>0</v>
      </c>
      <c r="N500" s="5">
        <v>0</v>
      </c>
      <c r="O500" s="5">
        <v>0</v>
      </c>
      <c r="P500" s="5">
        <v>0</v>
      </c>
      <c r="Q500" s="5">
        <v>0</v>
      </c>
      <c r="R500" s="5">
        <v>0</v>
      </c>
    </row>
    <row r="501" spans="1:18" ht="15" customHeight="1" x14ac:dyDescent="0.25">
      <c r="A501" s="5">
        <v>2553</v>
      </c>
      <c r="B501" s="5" t="s">
        <v>17</v>
      </c>
      <c r="C501" s="5" t="s">
        <v>1008</v>
      </c>
      <c r="D501" s="5" t="s">
        <v>1082</v>
      </c>
      <c r="E501" s="5" t="s">
        <v>827</v>
      </c>
      <c r="F501" s="5">
        <v>0</v>
      </c>
      <c r="G501" s="5">
        <v>0</v>
      </c>
      <c r="H501" s="5">
        <v>0</v>
      </c>
      <c r="I501" s="5">
        <v>0</v>
      </c>
      <c r="J501" s="5">
        <v>0</v>
      </c>
      <c r="K501" s="5">
        <v>0</v>
      </c>
      <c r="L501" s="5">
        <v>0</v>
      </c>
      <c r="M501" s="5">
        <v>0</v>
      </c>
      <c r="N501" s="5">
        <v>0</v>
      </c>
      <c r="O501" s="5">
        <v>0</v>
      </c>
      <c r="P501" s="5">
        <v>0</v>
      </c>
      <c r="Q501" s="5">
        <v>0</v>
      </c>
      <c r="R501" s="5">
        <v>0</v>
      </c>
    </row>
    <row r="502" spans="1:18" ht="15" customHeight="1" x14ac:dyDescent="0.25">
      <c r="A502" s="5">
        <v>2274</v>
      </c>
      <c r="B502" s="5" t="s">
        <v>17</v>
      </c>
      <c r="C502" s="5" t="s">
        <v>1007</v>
      </c>
      <c r="D502" s="5" t="s">
        <v>1083</v>
      </c>
      <c r="E502" s="5" t="s">
        <v>862</v>
      </c>
      <c r="F502" s="5">
        <v>0</v>
      </c>
      <c r="G502" s="5">
        <v>0</v>
      </c>
      <c r="H502" s="5">
        <v>0</v>
      </c>
      <c r="I502" s="5">
        <v>0</v>
      </c>
      <c r="J502" s="5">
        <v>0</v>
      </c>
      <c r="K502" s="5">
        <v>0</v>
      </c>
      <c r="L502" s="5">
        <v>0</v>
      </c>
      <c r="M502" s="5">
        <v>0</v>
      </c>
      <c r="N502" s="5">
        <v>0</v>
      </c>
      <c r="O502" s="5">
        <v>0</v>
      </c>
      <c r="P502" s="5">
        <v>0</v>
      </c>
      <c r="Q502" s="5">
        <v>0</v>
      </c>
      <c r="R502" s="5">
        <v>0</v>
      </c>
    </row>
    <row r="503" spans="1:18" ht="15" customHeight="1" x14ac:dyDescent="0.25">
      <c r="A503" s="5">
        <v>5516</v>
      </c>
      <c r="B503" s="5" t="s">
        <v>17</v>
      </c>
      <c r="C503" s="5" t="s">
        <v>1009</v>
      </c>
      <c r="D503" s="5" t="s">
        <v>1084</v>
      </c>
      <c r="E503" s="5" t="s">
        <v>829</v>
      </c>
      <c r="F503" s="5">
        <v>0</v>
      </c>
      <c r="G503" s="5">
        <v>0</v>
      </c>
      <c r="H503" s="5">
        <v>0</v>
      </c>
      <c r="I503" s="5">
        <v>0</v>
      </c>
      <c r="J503" s="5">
        <v>0</v>
      </c>
      <c r="K503" s="5">
        <v>0</v>
      </c>
      <c r="L503" s="5">
        <v>0</v>
      </c>
      <c r="M503" s="5">
        <v>0</v>
      </c>
      <c r="N503" s="5">
        <v>0</v>
      </c>
      <c r="O503" s="5">
        <v>0</v>
      </c>
      <c r="P503" s="5">
        <v>0</v>
      </c>
      <c r="Q503" s="5">
        <v>0</v>
      </c>
      <c r="R503" s="5">
        <v>0</v>
      </c>
    </row>
    <row r="504" spans="1:18" ht="15" customHeight="1" x14ac:dyDescent="0.25">
      <c r="A504" s="5">
        <v>7135</v>
      </c>
      <c r="B504" s="5" t="s">
        <v>17</v>
      </c>
      <c r="C504" s="5" t="s">
        <v>1007</v>
      </c>
      <c r="D504" s="5" t="s">
        <v>1085</v>
      </c>
      <c r="E504" s="5" t="s">
        <v>836</v>
      </c>
      <c r="F504" s="5">
        <v>4</v>
      </c>
      <c r="G504" s="5">
        <v>5.5</v>
      </c>
      <c r="H504" s="5">
        <v>4.75</v>
      </c>
      <c r="I504" s="5">
        <v>0</v>
      </c>
      <c r="J504" s="5">
        <v>0</v>
      </c>
      <c r="K504" s="5">
        <v>0</v>
      </c>
      <c r="L504" s="5">
        <v>1</v>
      </c>
      <c r="M504" s="5">
        <v>0</v>
      </c>
      <c r="N504" s="5">
        <v>1</v>
      </c>
      <c r="O504" s="5">
        <v>0</v>
      </c>
      <c r="P504" s="5">
        <v>0</v>
      </c>
      <c r="Q504" s="5">
        <v>0</v>
      </c>
      <c r="R504" s="5">
        <v>0</v>
      </c>
    </row>
    <row r="505" spans="1:18" ht="15" customHeight="1" x14ac:dyDescent="0.25">
      <c r="A505" s="5">
        <v>6633</v>
      </c>
      <c r="B505" s="5" t="s">
        <v>17</v>
      </c>
      <c r="C505" s="5" t="s">
        <v>1009</v>
      </c>
      <c r="D505" s="5" t="s">
        <v>1086</v>
      </c>
      <c r="E505" s="5" t="s">
        <v>837</v>
      </c>
      <c r="F505" s="5">
        <v>1</v>
      </c>
      <c r="G505" s="5">
        <v>6</v>
      </c>
      <c r="H505" s="5">
        <v>6</v>
      </c>
      <c r="I505" s="5">
        <v>0</v>
      </c>
      <c r="J505" s="5">
        <v>0</v>
      </c>
      <c r="K505" s="5">
        <v>0</v>
      </c>
      <c r="L505" s="5">
        <v>0</v>
      </c>
      <c r="M505" s="5">
        <v>0</v>
      </c>
      <c r="N505" s="5">
        <v>0</v>
      </c>
      <c r="O505" s="5">
        <v>0</v>
      </c>
      <c r="P505" s="5">
        <v>0</v>
      </c>
      <c r="Q505" s="5">
        <v>0</v>
      </c>
      <c r="R505" s="5">
        <v>0</v>
      </c>
    </row>
    <row r="506" spans="1:18" ht="15" customHeight="1" x14ac:dyDescent="0.25">
      <c r="A506" s="5">
        <v>6222</v>
      </c>
      <c r="B506" s="5" t="s">
        <v>17</v>
      </c>
      <c r="C506" s="5" t="s">
        <v>1007</v>
      </c>
      <c r="D506" s="5" t="s">
        <v>1087</v>
      </c>
      <c r="E506" s="5" t="s">
        <v>837</v>
      </c>
      <c r="F506" s="5">
        <v>0</v>
      </c>
      <c r="G506" s="5">
        <v>0</v>
      </c>
      <c r="H506" s="5">
        <v>0</v>
      </c>
      <c r="I506" s="5">
        <v>0</v>
      </c>
      <c r="J506" s="5">
        <v>0</v>
      </c>
      <c r="K506" s="5">
        <v>0</v>
      </c>
      <c r="L506" s="5">
        <v>0</v>
      </c>
      <c r="M506" s="5">
        <v>0</v>
      </c>
      <c r="N506" s="5">
        <v>0</v>
      </c>
      <c r="O506" s="5">
        <v>0</v>
      </c>
      <c r="P506" s="5">
        <v>0</v>
      </c>
      <c r="Q506" s="5">
        <v>0</v>
      </c>
      <c r="R506" s="5">
        <v>0</v>
      </c>
    </row>
    <row r="507" spans="1:18" ht="15" customHeight="1" x14ac:dyDescent="0.25">
      <c r="A507" s="5">
        <v>6645</v>
      </c>
      <c r="B507" s="5" t="s">
        <v>17</v>
      </c>
      <c r="C507" s="5" t="s">
        <v>1008</v>
      </c>
      <c r="D507" s="5" t="s">
        <v>1088</v>
      </c>
      <c r="E507" s="5" t="s">
        <v>837</v>
      </c>
      <c r="F507" s="5">
        <v>0</v>
      </c>
      <c r="G507" s="5">
        <v>0</v>
      </c>
      <c r="H507" s="5">
        <v>0</v>
      </c>
      <c r="I507" s="5">
        <v>0</v>
      </c>
      <c r="J507" s="5">
        <v>0</v>
      </c>
      <c r="K507" s="5">
        <v>0</v>
      </c>
      <c r="L507" s="5">
        <v>0</v>
      </c>
      <c r="M507" s="5">
        <v>0</v>
      </c>
      <c r="N507" s="5">
        <v>0</v>
      </c>
      <c r="O507" s="5">
        <v>0</v>
      </c>
      <c r="P507" s="5">
        <v>0</v>
      </c>
      <c r="Q507" s="5">
        <v>0</v>
      </c>
      <c r="R507" s="5">
        <v>0</v>
      </c>
    </row>
    <row r="508" spans="1:18" ht="15" customHeight="1" x14ac:dyDescent="0.25">
      <c r="A508" s="5">
        <v>6678</v>
      </c>
      <c r="B508" s="5" t="s">
        <v>17</v>
      </c>
      <c r="C508" s="5" t="s">
        <v>1017</v>
      </c>
      <c r="D508" s="5" t="s">
        <v>290</v>
      </c>
      <c r="E508" s="5" t="s">
        <v>828</v>
      </c>
      <c r="F508" s="5">
        <v>0</v>
      </c>
      <c r="G508" s="5">
        <v>0</v>
      </c>
      <c r="H508" s="5">
        <v>0</v>
      </c>
      <c r="I508" s="5">
        <v>0</v>
      </c>
      <c r="J508" s="5">
        <v>0</v>
      </c>
      <c r="K508" s="5">
        <v>0</v>
      </c>
      <c r="L508" s="5">
        <v>0</v>
      </c>
      <c r="M508" s="5">
        <v>0</v>
      </c>
      <c r="N508" s="5">
        <v>0</v>
      </c>
      <c r="O508" s="5">
        <v>0</v>
      </c>
      <c r="P508" s="5">
        <v>0</v>
      </c>
      <c r="Q508" s="5">
        <v>0</v>
      </c>
      <c r="R508" s="5">
        <v>0</v>
      </c>
    </row>
    <row r="509" spans="1:18" ht="15" customHeight="1" x14ac:dyDescent="0.25">
      <c r="A509" s="5">
        <v>7151</v>
      </c>
      <c r="B509" s="5" t="s">
        <v>17</v>
      </c>
      <c r="C509" s="5" t="s">
        <v>1017</v>
      </c>
      <c r="D509" s="5" t="s">
        <v>1089</v>
      </c>
      <c r="E509" s="5" t="s">
        <v>867</v>
      </c>
      <c r="F509" s="5">
        <v>0</v>
      </c>
      <c r="G509" s="5">
        <v>0</v>
      </c>
      <c r="H509" s="5">
        <v>0</v>
      </c>
      <c r="I509" s="5">
        <v>0</v>
      </c>
      <c r="J509" s="5">
        <v>0</v>
      </c>
      <c r="K509" s="5">
        <v>0</v>
      </c>
      <c r="L509" s="5">
        <v>0</v>
      </c>
      <c r="M509" s="5">
        <v>0</v>
      </c>
      <c r="N509" s="5">
        <v>0</v>
      </c>
      <c r="O509" s="5">
        <v>0</v>
      </c>
      <c r="P509" s="5">
        <v>0</v>
      </c>
      <c r="Q509" s="5">
        <v>0</v>
      </c>
      <c r="R509" s="5">
        <v>0</v>
      </c>
    </row>
    <row r="510" spans="1:18" ht="15" customHeight="1" x14ac:dyDescent="0.25">
      <c r="A510" s="5">
        <v>4890</v>
      </c>
      <c r="B510" s="5" t="s">
        <v>17</v>
      </c>
      <c r="C510" s="5" t="s">
        <v>1009</v>
      </c>
      <c r="D510" s="5" t="s">
        <v>1090</v>
      </c>
      <c r="E510" s="5" t="s">
        <v>843</v>
      </c>
      <c r="F510" s="5">
        <v>17</v>
      </c>
      <c r="G510" s="5">
        <v>5.65</v>
      </c>
      <c r="H510" s="5">
        <v>5.59</v>
      </c>
      <c r="I510" s="5">
        <v>0</v>
      </c>
      <c r="J510" s="5">
        <v>0</v>
      </c>
      <c r="K510" s="5">
        <v>0</v>
      </c>
      <c r="L510" s="5">
        <v>0</v>
      </c>
      <c r="M510" s="5">
        <v>0</v>
      </c>
      <c r="N510" s="5">
        <v>0</v>
      </c>
      <c r="O510" s="5">
        <v>0</v>
      </c>
      <c r="P510" s="5">
        <v>3</v>
      </c>
      <c r="Q510" s="5">
        <v>0</v>
      </c>
      <c r="R510" s="5">
        <v>0</v>
      </c>
    </row>
    <row r="511" spans="1:18" ht="15" customHeight="1" x14ac:dyDescent="0.25">
      <c r="A511" s="5">
        <v>5007</v>
      </c>
      <c r="B511" s="5" t="s">
        <v>17</v>
      </c>
      <c r="C511" s="5" t="s">
        <v>17</v>
      </c>
      <c r="D511" s="5" t="s">
        <v>552</v>
      </c>
      <c r="E511" s="5" t="s">
        <v>843</v>
      </c>
      <c r="F511" s="5">
        <v>8</v>
      </c>
      <c r="G511" s="5">
        <v>6</v>
      </c>
      <c r="H511" s="5">
        <v>5.88</v>
      </c>
      <c r="I511" s="5">
        <v>0</v>
      </c>
      <c r="J511" s="5">
        <v>0</v>
      </c>
      <c r="K511" s="5">
        <v>0</v>
      </c>
      <c r="L511" s="5">
        <v>0</v>
      </c>
      <c r="M511" s="5">
        <v>0</v>
      </c>
      <c r="N511" s="5">
        <v>0</v>
      </c>
      <c r="O511" s="5">
        <v>0</v>
      </c>
      <c r="P511" s="5">
        <v>2</v>
      </c>
      <c r="Q511" s="5">
        <v>0</v>
      </c>
      <c r="R511" s="5">
        <v>0</v>
      </c>
    </row>
    <row r="512" spans="1:18" ht="15" customHeight="1" x14ac:dyDescent="0.25">
      <c r="A512" s="5">
        <v>5824</v>
      </c>
      <c r="B512" s="5" t="s">
        <v>17</v>
      </c>
      <c r="C512" s="5" t="s">
        <v>1006</v>
      </c>
      <c r="D512" s="5" t="s">
        <v>1091</v>
      </c>
      <c r="E512" s="5" t="s">
        <v>835</v>
      </c>
      <c r="F512" s="5">
        <v>0</v>
      </c>
      <c r="G512" s="5">
        <v>0</v>
      </c>
      <c r="H512" s="5">
        <v>0</v>
      </c>
      <c r="I512" s="5">
        <v>0</v>
      </c>
      <c r="J512" s="5">
        <v>0</v>
      </c>
      <c r="K512" s="5">
        <v>0</v>
      </c>
      <c r="L512" s="5">
        <v>0</v>
      </c>
      <c r="M512" s="5">
        <v>0</v>
      </c>
      <c r="N512" s="5">
        <v>0</v>
      </c>
      <c r="O512" s="5">
        <v>0</v>
      </c>
      <c r="P512" s="5">
        <v>0</v>
      </c>
      <c r="Q512" s="5">
        <v>0</v>
      </c>
      <c r="R512" s="5">
        <v>0</v>
      </c>
    </row>
    <row r="513" spans="1:18" ht="15" customHeight="1" x14ac:dyDescent="0.25">
      <c r="A513" s="5">
        <v>7177</v>
      </c>
      <c r="B513" s="5" t="s">
        <v>17</v>
      </c>
      <c r="C513" s="5" t="s">
        <v>17</v>
      </c>
      <c r="D513" s="5" t="s">
        <v>1092</v>
      </c>
      <c r="E513" s="5" t="s">
        <v>864</v>
      </c>
      <c r="F513" s="5">
        <v>0</v>
      </c>
      <c r="G513" s="5">
        <v>0</v>
      </c>
      <c r="H513" s="5">
        <v>0</v>
      </c>
      <c r="I513" s="5">
        <v>0</v>
      </c>
      <c r="J513" s="5">
        <v>0</v>
      </c>
      <c r="K513" s="5">
        <v>0</v>
      </c>
      <c r="L513" s="5">
        <v>0</v>
      </c>
      <c r="M513" s="5">
        <v>0</v>
      </c>
      <c r="N513" s="5">
        <v>0</v>
      </c>
      <c r="O513" s="5">
        <v>0</v>
      </c>
      <c r="P513" s="5">
        <v>0</v>
      </c>
      <c r="Q513" s="5">
        <v>0</v>
      </c>
      <c r="R513" s="5">
        <v>0</v>
      </c>
    </row>
    <row r="514" spans="1:18" ht="15" customHeight="1" x14ac:dyDescent="0.25">
      <c r="A514" s="5">
        <v>2117</v>
      </c>
      <c r="B514" s="5" t="s">
        <v>17</v>
      </c>
      <c r="C514" s="5" t="s">
        <v>1007</v>
      </c>
      <c r="D514" s="5" t="s">
        <v>1093</v>
      </c>
      <c r="E514" s="5" t="s">
        <v>864</v>
      </c>
      <c r="F514" s="5">
        <v>1</v>
      </c>
      <c r="G514" s="5">
        <v>6</v>
      </c>
      <c r="H514" s="5">
        <v>6</v>
      </c>
      <c r="I514" s="5">
        <v>0</v>
      </c>
      <c r="J514" s="5">
        <v>0</v>
      </c>
      <c r="K514" s="5">
        <v>0</v>
      </c>
      <c r="L514" s="5">
        <v>0</v>
      </c>
      <c r="M514" s="5">
        <v>0</v>
      </c>
      <c r="N514" s="5">
        <v>0</v>
      </c>
      <c r="O514" s="5">
        <v>0</v>
      </c>
      <c r="P514" s="5">
        <v>0</v>
      </c>
      <c r="Q514" s="5">
        <v>0</v>
      </c>
      <c r="R514" s="5">
        <v>0</v>
      </c>
    </row>
    <row r="515" spans="1:18" ht="15" customHeight="1" x14ac:dyDescent="0.25">
      <c r="A515" s="5">
        <v>6618</v>
      </c>
      <c r="B515" s="5" t="s">
        <v>17</v>
      </c>
      <c r="C515" s="5" t="s">
        <v>1017</v>
      </c>
      <c r="D515" s="5" t="s">
        <v>1094</v>
      </c>
      <c r="E515" s="5" t="s">
        <v>864</v>
      </c>
      <c r="F515" s="5">
        <v>0</v>
      </c>
      <c r="G515" s="5">
        <v>0</v>
      </c>
      <c r="H515" s="5">
        <v>0</v>
      </c>
      <c r="I515" s="5">
        <v>0</v>
      </c>
      <c r="J515" s="5">
        <v>0</v>
      </c>
      <c r="K515" s="5">
        <v>0</v>
      </c>
      <c r="L515" s="5">
        <v>0</v>
      </c>
      <c r="M515" s="5">
        <v>0</v>
      </c>
      <c r="N515" s="5">
        <v>0</v>
      </c>
      <c r="O515" s="5">
        <v>0</v>
      </c>
      <c r="P515" s="5">
        <v>0</v>
      </c>
      <c r="Q515" s="5">
        <v>0</v>
      </c>
      <c r="R515" s="5">
        <v>0</v>
      </c>
    </row>
    <row r="516" spans="1:18" ht="15" customHeight="1" x14ac:dyDescent="0.25">
      <c r="A516" s="5">
        <v>2076</v>
      </c>
      <c r="B516" s="5" t="s">
        <v>17</v>
      </c>
      <c r="C516" s="5" t="s">
        <v>1009</v>
      </c>
      <c r="D516" s="5" t="s">
        <v>1095</v>
      </c>
      <c r="E516" s="5" t="s">
        <v>832</v>
      </c>
      <c r="F516" s="5">
        <v>0</v>
      </c>
      <c r="G516" s="5">
        <v>0</v>
      </c>
      <c r="H516" s="5">
        <v>0</v>
      </c>
      <c r="I516" s="5">
        <v>0</v>
      </c>
      <c r="J516" s="5">
        <v>0</v>
      </c>
      <c r="K516" s="5">
        <v>0</v>
      </c>
      <c r="L516" s="5">
        <v>0</v>
      </c>
      <c r="M516" s="5">
        <v>0</v>
      </c>
      <c r="N516" s="5">
        <v>0</v>
      </c>
      <c r="O516" s="5">
        <v>0</v>
      </c>
      <c r="P516" s="5">
        <v>0</v>
      </c>
      <c r="Q516" s="5">
        <v>0</v>
      </c>
      <c r="R516" s="5">
        <v>0</v>
      </c>
    </row>
    <row r="517" spans="1:18" ht="15" customHeight="1" x14ac:dyDescent="0.25">
      <c r="A517" s="5">
        <v>6677</v>
      </c>
      <c r="B517" s="5" t="s">
        <v>17</v>
      </c>
      <c r="C517" s="5" t="s">
        <v>1007</v>
      </c>
      <c r="D517" s="5" t="s">
        <v>375</v>
      </c>
      <c r="E517" s="5" t="s">
        <v>833</v>
      </c>
      <c r="F517" s="5">
        <v>4</v>
      </c>
      <c r="G517" s="5">
        <v>6.12</v>
      </c>
      <c r="H517" s="5">
        <v>6.88</v>
      </c>
      <c r="I517" s="5">
        <v>1</v>
      </c>
      <c r="J517" s="5">
        <v>0</v>
      </c>
      <c r="K517" s="5">
        <v>0</v>
      </c>
      <c r="L517" s="5">
        <v>0</v>
      </c>
      <c r="M517" s="5">
        <v>0</v>
      </c>
      <c r="N517" s="5">
        <v>0</v>
      </c>
      <c r="O517" s="5">
        <v>0</v>
      </c>
      <c r="P517" s="5">
        <v>0</v>
      </c>
      <c r="Q517" s="5">
        <v>0</v>
      </c>
      <c r="R517" s="5">
        <v>0</v>
      </c>
    </row>
    <row r="518" spans="1:18" ht="15" customHeight="1" x14ac:dyDescent="0.25">
      <c r="A518" s="5">
        <v>7025</v>
      </c>
      <c r="B518" s="5" t="s">
        <v>17</v>
      </c>
      <c r="C518" s="5" t="s">
        <v>1017</v>
      </c>
      <c r="D518" s="5" t="s">
        <v>1096</v>
      </c>
      <c r="E518" s="5" t="s">
        <v>836</v>
      </c>
      <c r="F518" s="5">
        <v>0</v>
      </c>
      <c r="G518" s="5">
        <v>0</v>
      </c>
      <c r="H518" s="5">
        <v>0</v>
      </c>
      <c r="I518" s="5">
        <v>0</v>
      </c>
      <c r="J518" s="5">
        <v>0</v>
      </c>
      <c r="K518" s="5">
        <v>0</v>
      </c>
      <c r="L518" s="5">
        <v>0</v>
      </c>
      <c r="M518" s="5">
        <v>0</v>
      </c>
      <c r="N518" s="5">
        <v>0</v>
      </c>
      <c r="O518" s="5">
        <v>0</v>
      </c>
      <c r="P518" s="5">
        <v>0</v>
      </c>
      <c r="Q518" s="5">
        <v>0</v>
      </c>
      <c r="R518" s="5">
        <v>0</v>
      </c>
    </row>
    <row r="519" spans="1:18" ht="15" customHeight="1" x14ac:dyDescent="0.25">
      <c r="A519" s="5">
        <v>5610</v>
      </c>
      <c r="B519" s="5" t="s">
        <v>17</v>
      </c>
      <c r="C519" s="5" t="s">
        <v>1009</v>
      </c>
      <c r="D519" s="5" t="s">
        <v>1097</v>
      </c>
      <c r="E519" s="5" t="s">
        <v>839</v>
      </c>
      <c r="F519" s="5">
        <v>14</v>
      </c>
      <c r="G519" s="5">
        <v>5.64</v>
      </c>
      <c r="H519" s="5">
        <v>5.57</v>
      </c>
      <c r="I519" s="5">
        <v>0</v>
      </c>
      <c r="J519" s="5">
        <v>0</v>
      </c>
      <c r="K519" s="5">
        <v>0</v>
      </c>
      <c r="L519" s="5">
        <v>0</v>
      </c>
      <c r="M519" s="5">
        <v>0</v>
      </c>
      <c r="N519" s="5">
        <v>0</v>
      </c>
      <c r="O519" s="5">
        <v>0</v>
      </c>
      <c r="P519" s="5">
        <v>2</v>
      </c>
      <c r="Q519" s="5">
        <v>0</v>
      </c>
      <c r="R519" s="5">
        <v>0</v>
      </c>
    </row>
    <row r="520" spans="1:18" ht="15" customHeight="1" x14ac:dyDescent="0.25">
      <c r="A520" s="5">
        <v>7246</v>
      </c>
      <c r="B520" s="5" t="s">
        <v>17</v>
      </c>
      <c r="C520" s="5" t="s">
        <v>17</v>
      </c>
      <c r="D520" s="5" t="s">
        <v>1098</v>
      </c>
      <c r="E520" s="5" t="s">
        <v>837</v>
      </c>
      <c r="F520" s="5">
        <v>4</v>
      </c>
      <c r="G520" s="5">
        <v>5.75</v>
      </c>
      <c r="H520" s="5">
        <v>6</v>
      </c>
      <c r="I520" s="5">
        <v>0</v>
      </c>
      <c r="J520" s="5">
        <v>0</v>
      </c>
      <c r="K520" s="5">
        <v>0</v>
      </c>
      <c r="L520" s="5">
        <v>0</v>
      </c>
      <c r="M520" s="5">
        <v>0</v>
      </c>
      <c r="N520" s="5">
        <v>0</v>
      </c>
      <c r="O520" s="5">
        <v>1</v>
      </c>
      <c r="P520" s="5">
        <v>0</v>
      </c>
      <c r="Q520" s="5">
        <v>0</v>
      </c>
      <c r="R520" s="5">
        <v>0</v>
      </c>
    </row>
    <row r="521" spans="1:18" ht="15" customHeight="1" x14ac:dyDescent="0.25">
      <c r="A521" s="5">
        <v>5561</v>
      </c>
      <c r="B521" s="5" t="s">
        <v>17</v>
      </c>
      <c r="C521" s="5" t="s">
        <v>1017</v>
      </c>
      <c r="D521" s="5" t="s">
        <v>1099</v>
      </c>
      <c r="E521" s="5" t="s">
        <v>867</v>
      </c>
      <c r="F521" s="5">
        <v>1</v>
      </c>
      <c r="G521" s="5">
        <v>5.5</v>
      </c>
      <c r="H521" s="5">
        <v>5.5</v>
      </c>
      <c r="I521" s="5">
        <v>0</v>
      </c>
      <c r="J521" s="5">
        <v>0</v>
      </c>
      <c r="K521" s="5">
        <v>0</v>
      </c>
      <c r="L521" s="5">
        <v>0</v>
      </c>
      <c r="M521" s="5">
        <v>0</v>
      </c>
      <c r="N521" s="5">
        <v>0</v>
      </c>
      <c r="O521" s="5">
        <v>0</v>
      </c>
      <c r="P521" s="5">
        <v>0</v>
      </c>
      <c r="Q521" s="5">
        <v>0</v>
      </c>
      <c r="R521" s="5">
        <v>0</v>
      </c>
    </row>
    <row r="522" spans="1:18" ht="15" customHeight="1" x14ac:dyDescent="0.25">
      <c r="A522" s="5">
        <v>6538</v>
      </c>
      <c r="B522" s="5" t="s">
        <v>17</v>
      </c>
      <c r="C522" s="5" t="s">
        <v>1009</v>
      </c>
      <c r="D522" s="5" t="s">
        <v>1100</v>
      </c>
      <c r="E522" s="5" t="s">
        <v>836</v>
      </c>
      <c r="F522" s="5">
        <v>2</v>
      </c>
      <c r="G522" s="5">
        <v>5.75</v>
      </c>
      <c r="H522" s="5">
        <v>5.75</v>
      </c>
      <c r="I522" s="5">
        <v>0</v>
      </c>
      <c r="J522" s="5">
        <v>0</v>
      </c>
      <c r="K522" s="5">
        <v>0</v>
      </c>
      <c r="L522" s="5">
        <v>0</v>
      </c>
      <c r="M522" s="5">
        <v>0</v>
      </c>
      <c r="N522" s="5">
        <v>0</v>
      </c>
      <c r="O522" s="5">
        <v>0</v>
      </c>
      <c r="P522" s="5">
        <v>0</v>
      </c>
      <c r="Q522" s="5">
        <v>0</v>
      </c>
      <c r="R522" s="5">
        <v>0</v>
      </c>
    </row>
    <row r="523" spans="1:18" ht="15" customHeight="1" x14ac:dyDescent="0.25">
      <c r="A523" s="5">
        <v>7276</v>
      </c>
      <c r="B523" s="5" t="s">
        <v>17</v>
      </c>
      <c r="C523" s="5" t="s">
        <v>17</v>
      </c>
      <c r="D523" s="5" t="s">
        <v>569</v>
      </c>
      <c r="E523" s="5" t="s">
        <v>838</v>
      </c>
      <c r="F523" s="5">
        <v>1</v>
      </c>
      <c r="G523" s="5">
        <v>6</v>
      </c>
      <c r="H523" s="5">
        <v>6</v>
      </c>
      <c r="I523" s="5">
        <v>0</v>
      </c>
      <c r="J523" s="5">
        <v>0</v>
      </c>
      <c r="K523" s="5">
        <v>0</v>
      </c>
      <c r="L523" s="5">
        <v>0</v>
      </c>
      <c r="M523" s="5">
        <v>0</v>
      </c>
      <c r="N523" s="5">
        <v>0</v>
      </c>
      <c r="O523" s="5">
        <v>0</v>
      </c>
      <c r="P523" s="5">
        <v>0</v>
      </c>
      <c r="Q523" s="5">
        <v>0</v>
      </c>
      <c r="R523" s="5">
        <v>0</v>
      </c>
    </row>
    <row r="524" spans="1:18" ht="15" customHeight="1" x14ac:dyDescent="0.25">
      <c r="A524" s="5">
        <v>7319</v>
      </c>
      <c r="B524" s="5" t="s">
        <v>17</v>
      </c>
      <c r="C524" s="5" t="s">
        <v>1009</v>
      </c>
      <c r="D524" s="5" t="s">
        <v>624</v>
      </c>
      <c r="E524" s="5" t="s">
        <v>837</v>
      </c>
      <c r="F524" s="5">
        <v>2</v>
      </c>
      <c r="G524" s="5">
        <v>5.5</v>
      </c>
      <c r="H524" s="5">
        <v>5.5</v>
      </c>
      <c r="I524" s="5">
        <v>0</v>
      </c>
      <c r="J524" s="5">
        <v>0</v>
      </c>
      <c r="K524" s="5">
        <v>0</v>
      </c>
      <c r="L524" s="5">
        <v>0</v>
      </c>
      <c r="M524" s="5">
        <v>0</v>
      </c>
      <c r="N524" s="5">
        <v>0</v>
      </c>
      <c r="O524" s="5">
        <v>0</v>
      </c>
      <c r="P524" s="5">
        <v>0</v>
      </c>
      <c r="Q524" s="5">
        <v>0</v>
      </c>
      <c r="R524" s="5">
        <v>0</v>
      </c>
    </row>
    <row r="525" spans="1:18" ht="15" customHeight="1" x14ac:dyDescent="0.25">
      <c r="A525" s="5">
        <v>7345</v>
      </c>
      <c r="B525" s="5" t="s">
        <v>17</v>
      </c>
      <c r="C525" s="5" t="s">
        <v>1017</v>
      </c>
      <c r="D525" s="5" t="s">
        <v>535</v>
      </c>
      <c r="E525" s="5" t="s">
        <v>834</v>
      </c>
      <c r="F525" s="5">
        <v>0</v>
      </c>
      <c r="G525" s="5">
        <v>0</v>
      </c>
      <c r="H525" s="5">
        <v>0</v>
      </c>
      <c r="I525" s="5">
        <v>0</v>
      </c>
      <c r="J525" s="5">
        <v>0</v>
      </c>
      <c r="K525" s="5">
        <v>0</v>
      </c>
      <c r="L525" s="5">
        <v>0</v>
      </c>
      <c r="M525" s="5">
        <v>0</v>
      </c>
      <c r="N525" s="5">
        <v>0</v>
      </c>
      <c r="O525" s="5">
        <v>0</v>
      </c>
      <c r="P525" s="5">
        <v>0</v>
      </c>
      <c r="Q525" s="5">
        <v>0</v>
      </c>
      <c r="R525" s="5">
        <v>0</v>
      </c>
    </row>
    <row r="526" spans="1:18" ht="15" customHeight="1" x14ac:dyDescent="0.25">
      <c r="A526" s="5">
        <v>7357</v>
      </c>
      <c r="B526" s="5" t="s">
        <v>17</v>
      </c>
      <c r="C526" s="5" t="s">
        <v>1007</v>
      </c>
      <c r="D526" s="5" t="s">
        <v>623</v>
      </c>
      <c r="E526" s="5" t="s">
        <v>827</v>
      </c>
      <c r="F526" s="5">
        <v>0</v>
      </c>
      <c r="G526" s="5">
        <v>0</v>
      </c>
      <c r="H526" s="5">
        <v>0</v>
      </c>
      <c r="I526" s="5">
        <v>0</v>
      </c>
      <c r="J526" s="5">
        <v>0</v>
      </c>
      <c r="K526" s="5">
        <v>0</v>
      </c>
      <c r="L526" s="5">
        <v>0</v>
      </c>
      <c r="M526" s="5">
        <v>0</v>
      </c>
      <c r="N526" s="5">
        <v>0</v>
      </c>
      <c r="O526" s="5">
        <v>0</v>
      </c>
      <c r="P526" s="5">
        <v>0</v>
      </c>
      <c r="Q526" s="5">
        <v>0</v>
      </c>
      <c r="R526" s="5">
        <v>0</v>
      </c>
    </row>
    <row r="527" spans="1:18" ht="15" customHeight="1" x14ac:dyDescent="0.25">
      <c r="A527" s="5">
        <v>2764</v>
      </c>
      <c r="B527" s="5" t="s">
        <v>18</v>
      </c>
      <c r="C527" s="5" t="s">
        <v>1101</v>
      </c>
      <c r="D527" s="5" t="s">
        <v>141</v>
      </c>
      <c r="E527" s="5" t="s">
        <v>825</v>
      </c>
      <c r="F527" s="5">
        <v>30</v>
      </c>
      <c r="G527" s="5">
        <v>6.42</v>
      </c>
      <c r="H527" s="5">
        <v>8.25</v>
      </c>
      <c r="I527" s="5">
        <v>17</v>
      </c>
      <c r="J527" s="5">
        <v>0</v>
      </c>
      <c r="K527" s="5">
        <v>0</v>
      </c>
      <c r="L527" s="5">
        <v>0</v>
      </c>
      <c r="M527" s="5">
        <v>0</v>
      </c>
      <c r="N527" s="5">
        <v>0</v>
      </c>
      <c r="O527" s="5">
        <v>6</v>
      </c>
      <c r="P527" s="5">
        <v>4</v>
      </c>
      <c r="Q527" s="5">
        <v>0</v>
      </c>
      <c r="R527" s="5">
        <v>0</v>
      </c>
    </row>
    <row r="528" spans="1:18" ht="15" customHeight="1" x14ac:dyDescent="0.25">
      <c r="A528" s="5">
        <v>4871</v>
      </c>
      <c r="B528" s="5" t="s">
        <v>18</v>
      </c>
      <c r="C528" s="5" t="s">
        <v>1101</v>
      </c>
      <c r="D528" s="5" t="s">
        <v>143</v>
      </c>
      <c r="E528" s="5" t="s">
        <v>825</v>
      </c>
      <c r="F528" s="5">
        <v>29</v>
      </c>
      <c r="G528" s="5">
        <v>6.43</v>
      </c>
      <c r="H528" s="5">
        <v>7.95</v>
      </c>
      <c r="I528" s="5">
        <v>13</v>
      </c>
      <c r="J528" s="5">
        <v>0</v>
      </c>
      <c r="K528" s="5">
        <v>0</v>
      </c>
      <c r="L528" s="5">
        <v>0</v>
      </c>
      <c r="M528" s="5">
        <v>0</v>
      </c>
      <c r="N528" s="5">
        <v>0</v>
      </c>
      <c r="O528" s="5">
        <v>6</v>
      </c>
      <c r="P528" s="5">
        <v>2</v>
      </c>
      <c r="Q528" s="5">
        <v>0</v>
      </c>
      <c r="R528" s="5">
        <v>0</v>
      </c>
    </row>
    <row r="529" spans="1:18" ht="15" customHeight="1" x14ac:dyDescent="0.25">
      <c r="A529" s="5">
        <v>6052</v>
      </c>
      <c r="B529" s="5" t="s">
        <v>18</v>
      </c>
      <c r="C529" s="5" t="s">
        <v>1101</v>
      </c>
      <c r="D529" s="5" t="s">
        <v>144</v>
      </c>
      <c r="E529" s="5" t="s">
        <v>830</v>
      </c>
      <c r="F529" s="5">
        <v>33</v>
      </c>
      <c r="G529" s="5">
        <v>6.21</v>
      </c>
      <c r="H529" s="5">
        <v>7.44</v>
      </c>
      <c r="I529" s="5">
        <v>12</v>
      </c>
      <c r="J529" s="5">
        <v>0</v>
      </c>
      <c r="K529" s="5">
        <v>0</v>
      </c>
      <c r="L529" s="5">
        <v>1</v>
      </c>
      <c r="M529" s="5">
        <v>1</v>
      </c>
      <c r="N529" s="5">
        <v>0</v>
      </c>
      <c r="O529" s="5">
        <v>5</v>
      </c>
      <c r="P529" s="5">
        <v>1</v>
      </c>
      <c r="Q529" s="5">
        <v>0</v>
      </c>
      <c r="R529" s="5">
        <v>0</v>
      </c>
    </row>
    <row r="530" spans="1:18" ht="15" customHeight="1" x14ac:dyDescent="0.25">
      <c r="A530" s="5">
        <v>7017</v>
      </c>
      <c r="B530" s="5" t="s">
        <v>18</v>
      </c>
      <c r="C530" s="5" t="s">
        <v>1101</v>
      </c>
      <c r="D530" s="5" t="s">
        <v>155</v>
      </c>
      <c r="E530" s="5" t="s">
        <v>827</v>
      </c>
      <c r="F530" s="5">
        <v>36</v>
      </c>
      <c r="G530" s="5">
        <v>6.18</v>
      </c>
      <c r="H530" s="5">
        <v>7.38</v>
      </c>
      <c r="I530" s="5">
        <v>14</v>
      </c>
      <c r="J530" s="5">
        <v>0</v>
      </c>
      <c r="K530" s="5">
        <v>0</v>
      </c>
      <c r="L530" s="5">
        <v>1</v>
      </c>
      <c r="M530" s="5">
        <v>1</v>
      </c>
      <c r="N530" s="5">
        <v>0</v>
      </c>
      <c r="O530" s="5">
        <v>1</v>
      </c>
      <c r="P530" s="5">
        <v>0</v>
      </c>
      <c r="Q530" s="5">
        <v>0</v>
      </c>
      <c r="R530" s="5">
        <v>0</v>
      </c>
    </row>
    <row r="531" spans="1:18" ht="15" customHeight="1" x14ac:dyDescent="0.25">
      <c r="A531" s="5">
        <v>6434</v>
      </c>
      <c r="B531" s="5" t="s">
        <v>18</v>
      </c>
      <c r="C531" s="5" t="s">
        <v>18</v>
      </c>
      <c r="D531" s="5" t="s">
        <v>153</v>
      </c>
      <c r="E531" s="5" t="s">
        <v>833</v>
      </c>
      <c r="F531" s="5">
        <v>35</v>
      </c>
      <c r="G531" s="5">
        <v>6.39</v>
      </c>
      <c r="H531" s="5">
        <v>7.3</v>
      </c>
      <c r="I531" s="5">
        <v>10</v>
      </c>
      <c r="J531" s="5">
        <v>0</v>
      </c>
      <c r="K531" s="5">
        <v>0</v>
      </c>
      <c r="L531" s="5">
        <v>2</v>
      </c>
      <c r="M531" s="5">
        <v>1</v>
      </c>
      <c r="N531" s="5">
        <v>1</v>
      </c>
      <c r="O531" s="5">
        <v>6</v>
      </c>
      <c r="P531" s="5">
        <v>2</v>
      </c>
      <c r="Q531" s="5">
        <v>0</v>
      </c>
      <c r="R531" s="5">
        <v>0</v>
      </c>
    </row>
    <row r="532" spans="1:18" ht="15" customHeight="1" x14ac:dyDescent="0.25">
      <c r="A532" s="5">
        <v>531</v>
      </c>
      <c r="B532" s="5" t="s">
        <v>18</v>
      </c>
      <c r="C532" s="5" t="s">
        <v>18</v>
      </c>
      <c r="D532" s="5" t="s">
        <v>160</v>
      </c>
      <c r="E532" s="5" t="s">
        <v>839</v>
      </c>
      <c r="F532" s="5">
        <v>26</v>
      </c>
      <c r="G532" s="5">
        <v>6.31</v>
      </c>
      <c r="H532" s="5">
        <v>7.19</v>
      </c>
      <c r="I532" s="5">
        <v>8</v>
      </c>
      <c r="J532" s="5">
        <v>0</v>
      </c>
      <c r="K532" s="5">
        <v>0</v>
      </c>
      <c r="L532" s="5">
        <v>3</v>
      </c>
      <c r="M532" s="5">
        <v>2</v>
      </c>
      <c r="N532" s="5">
        <v>1</v>
      </c>
      <c r="O532" s="5">
        <v>4</v>
      </c>
      <c r="P532" s="5">
        <v>2</v>
      </c>
      <c r="Q532" s="5">
        <v>1</v>
      </c>
      <c r="R532" s="5">
        <v>0</v>
      </c>
    </row>
    <row r="533" spans="1:18" ht="15" customHeight="1" x14ac:dyDescent="0.25">
      <c r="A533" s="5">
        <v>5585</v>
      </c>
      <c r="B533" s="5" t="s">
        <v>18</v>
      </c>
      <c r="C533" s="5" t="s">
        <v>18</v>
      </c>
      <c r="D533" s="5" t="s">
        <v>142</v>
      </c>
      <c r="E533" s="5" t="s">
        <v>824</v>
      </c>
      <c r="F533" s="5">
        <v>18</v>
      </c>
      <c r="G533" s="5">
        <v>6.72</v>
      </c>
      <c r="H533" s="5">
        <v>8.9700000000000006</v>
      </c>
      <c r="I533" s="5">
        <v>14</v>
      </c>
      <c r="J533" s="5">
        <v>0</v>
      </c>
      <c r="K533" s="5">
        <v>0</v>
      </c>
      <c r="L533" s="5">
        <v>4</v>
      </c>
      <c r="M533" s="5">
        <v>3</v>
      </c>
      <c r="N533" s="5">
        <v>1</v>
      </c>
      <c r="O533" s="5">
        <v>2</v>
      </c>
      <c r="P533" s="5">
        <v>1</v>
      </c>
      <c r="Q533" s="5">
        <v>0</v>
      </c>
      <c r="R533" s="5">
        <v>0</v>
      </c>
    </row>
    <row r="534" spans="1:18" ht="15" customHeight="1" x14ac:dyDescent="0.25">
      <c r="A534" s="5">
        <v>6435</v>
      </c>
      <c r="B534" s="5" t="s">
        <v>18</v>
      </c>
      <c r="C534" s="5" t="s">
        <v>1101</v>
      </c>
      <c r="D534" s="5" t="s">
        <v>164</v>
      </c>
      <c r="E534" s="5" t="s">
        <v>826</v>
      </c>
      <c r="F534" s="5">
        <v>32</v>
      </c>
      <c r="G534" s="5">
        <v>6.16</v>
      </c>
      <c r="H534" s="5">
        <v>7.19</v>
      </c>
      <c r="I534" s="5">
        <v>10</v>
      </c>
      <c r="J534" s="5">
        <v>0</v>
      </c>
      <c r="K534" s="5">
        <v>0</v>
      </c>
      <c r="L534" s="5">
        <v>0</v>
      </c>
      <c r="M534" s="5">
        <v>0</v>
      </c>
      <c r="N534" s="5">
        <v>0</v>
      </c>
      <c r="O534" s="5">
        <v>5</v>
      </c>
      <c r="P534" s="5">
        <v>4</v>
      </c>
      <c r="Q534" s="5">
        <v>0</v>
      </c>
      <c r="R534" s="5">
        <v>0</v>
      </c>
    </row>
    <row r="535" spans="1:18" ht="15" customHeight="1" x14ac:dyDescent="0.25">
      <c r="A535" s="5">
        <v>5637</v>
      </c>
      <c r="B535" s="5" t="s">
        <v>18</v>
      </c>
      <c r="C535" s="5" t="s">
        <v>1101</v>
      </c>
      <c r="D535" s="5" t="s">
        <v>158</v>
      </c>
      <c r="E535" s="5" t="s">
        <v>835</v>
      </c>
      <c r="F535" s="5">
        <v>30</v>
      </c>
      <c r="G535" s="5">
        <v>6.32</v>
      </c>
      <c r="H535" s="5">
        <v>7.37</v>
      </c>
      <c r="I535" s="5">
        <v>10</v>
      </c>
      <c r="J535" s="5">
        <v>0</v>
      </c>
      <c r="K535" s="5">
        <v>0</v>
      </c>
      <c r="L535" s="5">
        <v>4</v>
      </c>
      <c r="M535" s="5">
        <v>4</v>
      </c>
      <c r="N535" s="5">
        <v>0</v>
      </c>
      <c r="O535" s="5">
        <v>4</v>
      </c>
      <c r="P535" s="5">
        <v>5</v>
      </c>
      <c r="Q535" s="5">
        <v>0</v>
      </c>
      <c r="R535" s="5">
        <v>0</v>
      </c>
    </row>
    <row r="536" spans="1:18" ht="15" customHeight="1" x14ac:dyDescent="0.25">
      <c r="A536" s="5">
        <v>2137</v>
      </c>
      <c r="B536" s="5" t="s">
        <v>18</v>
      </c>
      <c r="C536" s="5" t="s">
        <v>1101</v>
      </c>
      <c r="D536" s="5" t="s">
        <v>157</v>
      </c>
      <c r="E536" s="5" t="s">
        <v>826</v>
      </c>
      <c r="F536" s="5">
        <v>22</v>
      </c>
      <c r="G536" s="5">
        <v>6.18</v>
      </c>
      <c r="H536" s="5">
        <v>7.55</v>
      </c>
      <c r="I536" s="5">
        <v>10</v>
      </c>
      <c r="J536" s="5">
        <v>0</v>
      </c>
      <c r="K536" s="5">
        <v>0</v>
      </c>
      <c r="L536" s="5">
        <v>2</v>
      </c>
      <c r="M536" s="5">
        <v>2</v>
      </c>
      <c r="N536" s="5">
        <v>0</v>
      </c>
      <c r="O536" s="5">
        <v>1</v>
      </c>
      <c r="P536" s="5">
        <v>2</v>
      </c>
      <c r="Q536" s="5">
        <v>0</v>
      </c>
      <c r="R536" s="5">
        <v>0</v>
      </c>
    </row>
    <row r="537" spans="1:18" ht="15" customHeight="1" x14ac:dyDescent="0.25">
      <c r="A537" s="5">
        <v>505</v>
      </c>
      <c r="B537" s="5" t="s">
        <v>18</v>
      </c>
      <c r="C537" s="5" t="s">
        <v>18</v>
      </c>
      <c r="D537" s="5" t="s">
        <v>1102</v>
      </c>
      <c r="E537" s="5" t="s">
        <v>862</v>
      </c>
      <c r="F537" s="5">
        <v>35</v>
      </c>
      <c r="G537" s="5">
        <v>6.16</v>
      </c>
      <c r="H537" s="5">
        <v>7.01</v>
      </c>
      <c r="I537" s="5">
        <v>10</v>
      </c>
      <c r="J537" s="5">
        <v>0</v>
      </c>
      <c r="K537" s="5">
        <v>0</v>
      </c>
      <c r="L537" s="5">
        <v>3</v>
      </c>
      <c r="M537" s="5">
        <v>3</v>
      </c>
      <c r="N537" s="5">
        <v>0</v>
      </c>
      <c r="O537" s="5">
        <v>2</v>
      </c>
      <c r="P537" s="5">
        <v>4</v>
      </c>
      <c r="Q537" s="5">
        <v>0</v>
      </c>
      <c r="R537" s="5">
        <v>0</v>
      </c>
    </row>
    <row r="538" spans="1:18" ht="15" customHeight="1" x14ac:dyDescent="0.25">
      <c r="A538" s="5">
        <v>7071</v>
      </c>
      <c r="B538" s="5" t="s">
        <v>18</v>
      </c>
      <c r="C538" s="5" t="s">
        <v>1101</v>
      </c>
      <c r="D538" s="5" t="s">
        <v>165</v>
      </c>
      <c r="E538" s="5" t="s">
        <v>825</v>
      </c>
      <c r="F538" s="5">
        <v>31</v>
      </c>
      <c r="G538" s="5">
        <v>6.26</v>
      </c>
      <c r="H538" s="5">
        <v>7.02</v>
      </c>
      <c r="I538" s="5">
        <v>7</v>
      </c>
      <c r="J538" s="5">
        <v>0</v>
      </c>
      <c r="K538" s="5">
        <v>0</v>
      </c>
      <c r="L538" s="5">
        <v>0</v>
      </c>
      <c r="M538" s="5">
        <v>0</v>
      </c>
      <c r="N538" s="5">
        <v>0</v>
      </c>
      <c r="O538" s="5">
        <v>3</v>
      </c>
      <c r="P538" s="5">
        <v>1</v>
      </c>
      <c r="Q538" s="5">
        <v>0</v>
      </c>
      <c r="R538" s="5">
        <v>0</v>
      </c>
    </row>
    <row r="539" spans="1:18" ht="15" customHeight="1" x14ac:dyDescent="0.25">
      <c r="A539" s="5">
        <v>2061</v>
      </c>
      <c r="B539" s="5" t="s">
        <v>18</v>
      </c>
      <c r="C539" s="5" t="s">
        <v>1101</v>
      </c>
      <c r="D539" s="5" t="s">
        <v>175</v>
      </c>
      <c r="E539" s="5" t="s">
        <v>843</v>
      </c>
      <c r="F539" s="5">
        <v>32</v>
      </c>
      <c r="G539" s="5">
        <v>6.08</v>
      </c>
      <c r="H539" s="5">
        <v>7.09</v>
      </c>
      <c r="I539" s="5">
        <v>11</v>
      </c>
      <c r="J539" s="5">
        <v>0</v>
      </c>
      <c r="K539" s="5">
        <v>0</v>
      </c>
      <c r="L539" s="5">
        <v>0</v>
      </c>
      <c r="M539" s="5">
        <v>0</v>
      </c>
      <c r="N539" s="5">
        <v>0</v>
      </c>
      <c r="O539" s="5">
        <v>0</v>
      </c>
      <c r="P539" s="5">
        <v>1</v>
      </c>
      <c r="Q539" s="5">
        <v>0</v>
      </c>
      <c r="R539" s="5">
        <v>0</v>
      </c>
    </row>
    <row r="540" spans="1:18" ht="15" customHeight="1" x14ac:dyDescent="0.25">
      <c r="A540" s="5">
        <v>4463</v>
      </c>
      <c r="B540" s="5" t="s">
        <v>18</v>
      </c>
      <c r="C540" s="5" t="s">
        <v>18</v>
      </c>
      <c r="D540" s="5" t="s">
        <v>200</v>
      </c>
      <c r="E540" s="5" t="s">
        <v>832</v>
      </c>
      <c r="F540" s="5">
        <v>36</v>
      </c>
      <c r="G540" s="5">
        <v>6.26</v>
      </c>
      <c r="H540" s="5">
        <v>6.88</v>
      </c>
      <c r="I540" s="5">
        <v>7</v>
      </c>
      <c r="J540" s="5">
        <v>0</v>
      </c>
      <c r="K540" s="5">
        <v>0</v>
      </c>
      <c r="L540" s="5">
        <v>1</v>
      </c>
      <c r="M540" s="5">
        <v>1</v>
      </c>
      <c r="N540" s="5">
        <v>0</v>
      </c>
      <c r="O540" s="5">
        <v>4</v>
      </c>
      <c r="P540" s="5">
        <v>6</v>
      </c>
      <c r="Q540" s="5">
        <v>0</v>
      </c>
      <c r="R540" s="5">
        <v>0</v>
      </c>
    </row>
    <row r="541" spans="1:18" ht="15" customHeight="1" x14ac:dyDescent="0.25">
      <c r="A541" s="5">
        <v>6060</v>
      </c>
      <c r="B541" s="5" t="s">
        <v>18</v>
      </c>
      <c r="C541" s="5" t="s">
        <v>18</v>
      </c>
      <c r="D541" s="5" t="s">
        <v>170</v>
      </c>
      <c r="E541" s="5" t="s">
        <v>839</v>
      </c>
      <c r="F541" s="5">
        <v>37</v>
      </c>
      <c r="G541" s="5">
        <v>6.23</v>
      </c>
      <c r="H541" s="5">
        <v>6.99</v>
      </c>
      <c r="I541" s="5">
        <v>7</v>
      </c>
      <c r="J541" s="5">
        <v>0</v>
      </c>
      <c r="K541" s="5">
        <v>0</v>
      </c>
      <c r="L541" s="5">
        <v>0</v>
      </c>
      <c r="M541" s="5">
        <v>0</v>
      </c>
      <c r="N541" s="5">
        <v>0</v>
      </c>
      <c r="O541" s="5">
        <v>9</v>
      </c>
      <c r="P541" s="5">
        <v>4</v>
      </c>
      <c r="Q541" s="5">
        <v>0</v>
      </c>
      <c r="R541" s="5">
        <v>0</v>
      </c>
    </row>
    <row r="542" spans="1:18" ht="15" customHeight="1" x14ac:dyDescent="0.25">
      <c r="A542" s="5">
        <v>6669</v>
      </c>
      <c r="B542" s="5" t="s">
        <v>18</v>
      </c>
      <c r="C542" s="5" t="s">
        <v>1101</v>
      </c>
      <c r="D542" s="5" t="s">
        <v>296</v>
      </c>
      <c r="E542" s="5" t="s">
        <v>825</v>
      </c>
      <c r="F542" s="5">
        <v>27</v>
      </c>
      <c r="G542" s="5">
        <v>6.15</v>
      </c>
      <c r="H542" s="5">
        <v>6.83</v>
      </c>
      <c r="I542" s="5">
        <v>5</v>
      </c>
      <c r="J542" s="5">
        <v>0</v>
      </c>
      <c r="K542" s="5">
        <v>0</v>
      </c>
      <c r="L542" s="5">
        <v>0</v>
      </c>
      <c r="M542" s="5">
        <v>0</v>
      </c>
      <c r="N542" s="5">
        <v>0</v>
      </c>
      <c r="O542" s="5">
        <v>4</v>
      </c>
      <c r="P542" s="5">
        <v>1</v>
      </c>
      <c r="Q542" s="5">
        <v>0</v>
      </c>
      <c r="R542" s="5">
        <v>0</v>
      </c>
    </row>
    <row r="543" spans="1:18" ht="15" customHeight="1" x14ac:dyDescent="0.25">
      <c r="A543" s="5">
        <v>4510</v>
      </c>
      <c r="B543" s="5" t="s">
        <v>18</v>
      </c>
      <c r="C543" s="5" t="s">
        <v>18</v>
      </c>
      <c r="D543" s="5" t="s">
        <v>159</v>
      </c>
      <c r="E543" s="5" t="s">
        <v>828</v>
      </c>
      <c r="F543" s="5">
        <v>28</v>
      </c>
      <c r="G543" s="5">
        <v>5.88</v>
      </c>
      <c r="H543" s="5">
        <v>6.86</v>
      </c>
      <c r="I543" s="5">
        <v>9</v>
      </c>
      <c r="J543" s="5">
        <v>0</v>
      </c>
      <c r="K543" s="5">
        <v>0</v>
      </c>
      <c r="L543" s="5">
        <v>2</v>
      </c>
      <c r="M543" s="5">
        <v>2</v>
      </c>
      <c r="N543" s="5">
        <v>0</v>
      </c>
      <c r="O543" s="5">
        <v>3</v>
      </c>
      <c r="P543" s="5">
        <v>5</v>
      </c>
      <c r="Q543" s="5">
        <v>0</v>
      </c>
      <c r="R543" s="5">
        <v>0</v>
      </c>
    </row>
    <row r="544" spans="1:18" ht="15" customHeight="1" x14ac:dyDescent="0.25">
      <c r="A544" s="5">
        <v>5734</v>
      </c>
      <c r="B544" s="5" t="s">
        <v>18</v>
      </c>
      <c r="C544" s="5" t="s">
        <v>18</v>
      </c>
      <c r="D544" s="5" t="s">
        <v>193</v>
      </c>
      <c r="E544" s="5" t="s">
        <v>824</v>
      </c>
      <c r="F544" s="5">
        <v>32</v>
      </c>
      <c r="G544" s="5">
        <v>6.12</v>
      </c>
      <c r="H544" s="5">
        <v>6.83</v>
      </c>
      <c r="I544" s="5">
        <v>6</v>
      </c>
      <c r="J544" s="5">
        <v>0</v>
      </c>
      <c r="K544" s="5">
        <v>0</v>
      </c>
      <c r="L544" s="5">
        <v>0</v>
      </c>
      <c r="M544" s="5">
        <v>0</v>
      </c>
      <c r="N544" s="5">
        <v>0</v>
      </c>
      <c r="O544" s="5">
        <v>5</v>
      </c>
      <c r="P544" s="5">
        <v>1</v>
      </c>
      <c r="Q544" s="5">
        <v>0</v>
      </c>
      <c r="R544" s="5">
        <v>0</v>
      </c>
    </row>
    <row r="545" spans="1:18" ht="15" customHeight="1" x14ac:dyDescent="0.25">
      <c r="A545" s="5">
        <v>6226</v>
      </c>
      <c r="B545" s="5" t="s">
        <v>18</v>
      </c>
      <c r="C545" s="5" t="s">
        <v>1101</v>
      </c>
      <c r="D545" s="5" t="s">
        <v>1103</v>
      </c>
      <c r="E545" s="5" t="s">
        <v>834</v>
      </c>
      <c r="F545" s="5">
        <v>11</v>
      </c>
      <c r="G545" s="5">
        <v>6.09</v>
      </c>
      <c r="H545" s="5">
        <v>6.82</v>
      </c>
      <c r="I545" s="5">
        <v>2</v>
      </c>
      <c r="J545" s="5">
        <v>0</v>
      </c>
      <c r="K545" s="5">
        <v>0</v>
      </c>
      <c r="L545" s="5">
        <v>0</v>
      </c>
      <c r="M545" s="5">
        <v>0</v>
      </c>
      <c r="N545" s="5">
        <v>0</v>
      </c>
      <c r="O545" s="5">
        <v>3</v>
      </c>
      <c r="P545" s="5">
        <v>2</v>
      </c>
      <c r="Q545" s="5">
        <v>0</v>
      </c>
      <c r="R545" s="5">
        <v>0</v>
      </c>
    </row>
    <row r="546" spans="1:18" ht="15" customHeight="1" x14ac:dyDescent="0.25">
      <c r="A546" s="5">
        <v>7023</v>
      </c>
      <c r="B546" s="5" t="s">
        <v>18</v>
      </c>
      <c r="C546" s="5" t="s">
        <v>1101</v>
      </c>
      <c r="D546" s="5" t="s">
        <v>176</v>
      </c>
      <c r="E546" s="5" t="s">
        <v>838</v>
      </c>
      <c r="F546" s="5">
        <v>37</v>
      </c>
      <c r="G546" s="5">
        <v>5.99</v>
      </c>
      <c r="H546" s="5">
        <v>6.65</v>
      </c>
      <c r="I546" s="5">
        <v>9</v>
      </c>
      <c r="J546" s="5">
        <v>0</v>
      </c>
      <c r="K546" s="5">
        <v>0</v>
      </c>
      <c r="L546" s="5">
        <v>1</v>
      </c>
      <c r="M546" s="5">
        <v>1</v>
      </c>
      <c r="N546" s="5">
        <v>0</v>
      </c>
      <c r="O546" s="5">
        <v>0</v>
      </c>
      <c r="P546" s="5">
        <v>5</v>
      </c>
      <c r="Q546" s="5">
        <v>0</v>
      </c>
      <c r="R546" s="5">
        <v>0</v>
      </c>
    </row>
    <row r="547" spans="1:18" ht="15" customHeight="1" x14ac:dyDescent="0.25">
      <c r="A547" s="5">
        <v>4728</v>
      </c>
      <c r="B547" s="5" t="s">
        <v>18</v>
      </c>
      <c r="C547" s="5" t="s">
        <v>18</v>
      </c>
      <c r="D547" s="5" t="s">
        <v>195</v>
      </c>
      <c r="E547" s="5" t="s">
        <v>828</v>
      </c>
      <c r="F547" s="5">
        <v>26</v>
      </c>
      <c r="G547" s="5">
        <v>5.94</v>
      </c>
      <c r="H547" s="5">
        <v>6.87</v>
      </c>
      <c r="I547" s="5">
        <v>7</v>
      </c>
      <c r="J547" s="5">
        <v>0</v>
      </c>
      <c r="K547" s="5">
        <v>0</v>
      </c>
      <c r="L547" s="5">
        <v>5</v>
      </c>
      <c r="M547" s="5">
        <v>5</v>
      </c>
      <c r="N547" s="5">
        <v>0</v>
      </c>
      <c r="O547" s="5">
        <v>3</v>
      </c>
      <c r="P547" s="5">
        <v>0</v>
      </c>
      <c r="Q547" s="5">
        <v>0</v>
      </c>
      <c r="R547" s="5">
        <v>0</v>
      </c>
    </row>
    <row r="548" spans="1:18" ht="15" customHeight="1" x14ac:dyDescent="0.25">
      <c r="A548" s="5">
        <v>6572</v>
      </c>
      <c r="B548" s="5" t="s">
        <v>18</v>
      </c>
      <c r="C548" s="5" t="s">
        <v>1101</v>
      </c>
      <c r="D548" s="5" t="s">
        <v>173</v>
      </c>
      <c r="E548" s="5" t="s">
        <v>831</v>
      </c>
      <c r="F548" s="5">
        <v>35</v>
      </c>
      <c r="G548" s="5">
        <v>5.93</v>
      </c>
      <c r="H548" s="5">
        <v>6.51</v>
      </c>
      <c r="I548" s="5">
        <v>7</v>
      </c>
      <c r="J548" s="5">
        <v>0</v>
      </c>
      <c r="K548" s="5">
        <v>0</v>
      </c>
      <c r="L548" s="5">
        <v>0</v>
      </c>
      <c r="M548" s="5">
        <v>0</v>
      </c>
      <c r="N548" s="5">
        <v>0</v>
      </c>
      <c r="O548" s="5">
        <v>1</v>
      </c>
      <c r="P548" s="5">
        <v>3</v>
      </c>
      <c r="Q548" s="5">
        <v>0</v>
      </c>
      <c r="R548" s="5">
        <v>0</v>
      </c>
    </row>
    <row r="549" spans="1:18" ht="15" customHeight="1" x14ac:dyDescent="0.25">
      <c r="A549" s="5">
        <v>5995</v>
      </c>
      <c r="B549" s="5" t="s">
        <v>18</v>
      </c>
      <c r="C549" s="5" t="s">
        <v>18</v>
      </c>
      <c r="D549" s="5" t="s">
        <v>161</v>
      </c>
      <c r="E549" s="5" t="s">
        <v>826</v>
      </c>
      <c r="F549" s="5">
        <v>31</v>
      </c>
      <c r="G549" s="5">
        <v>6.21</v>
      </c>
      <c r="H549" s="5">
        <v>6.6</v>
      </c>
      <c r="I549" s="5">
        <v>3</v>
      </c>
      <c r="J549" s="5">
        <v>0</v>
      </c>
      <c r="K549" s="5">
        <v>0</v>
      </c>
      <c r="L549" s="5">
        <v>0</v>
      </c>
      <c r="M549" s="5">
        <v>0</v>
      </c>
      <c r="N549" s="5">
        <v>0</v>
      </c>
      <c r="O549" s="5">
        <v>5</v>
      </c>
      <c r="P549" s="5">
        <v>4</v>
      </c>
      <c r="Q549" s="5">
        <v>0</v>
      </c>
      <c r="R549" s="5">
        <v>0</v>
      </c>
    </row>
    <row r="550" spans="1:18" ht="15" customHeight="1" x14ac:dyDescent="0.25">
      <c r="A550" s="5">
        <v>2097</v>
      </c>
      <c r="B550" s="5" t="s">
        <v>18</v>
      </c>
      <c r="C550" s="5" t="s">
        <v>1101</v>
      </c>
      <c r="D550" s="5" t="s">
        <v>151</v>
      </c>
      <c r="E550" s="5" t="s">
        <v>829</v>
      </c>
      <c r="F550" s="5">
        <v>26</v>
      </c>
      <c r="G550" s="5">
        <v>5.88</v>
      </c>
      <c r="H550" s="5">
        <v>6.77</v>
      </c>
      <c r="I550" s="5">
        <v>8</v>
      </c>
      <c r="J550" s="5">
        <v>0</v>
      </c>
      <c r="K550" s="5">
        <v>0</v>
      </c>
      <c r="L550" s="5">
        <v>2</v>
      </c>
      <c r="M550" s="5">
        <v>2</v>
      </c>
      <c r="N550" s="5">
        <v>0</v>
      </c>
      <c r="O550" s="5">
        <v>1</v>
      </c>
      <c r="P550" s="5">
        <v>4</v>
      </c>
      <c r="Q550" s="5">
        <v>0</v>
      </c>
      <c r="R550" s="5">
        <v>0</v>
      </c>
    </row>
    <row r="551" spans="1:18" ht="15" customHeight="1" x14ac:dyDescent="0.25">
      <c r="A551" s="5">
        <v>2841</v>
      </c>
      <c r="B551" s="5" t="s">
        <v>18</v>
      </c>
      <c r="C551" s="5" t="s">
        <v>1101</v>
      </c>
      <c r="D551" s="5" t="s">
        <v>1104</v>
      </c>
      <c r="E551" s="5" t="s">
        <v>833</v>
      </c>
      <c r="F551" s="5">
        <v>18</v>
      </c>
      <c r="G551" s="5">
        <v>6.14</v>
      </c>
      <c r="H551" s="5">
        <v>7.31</v>
      </c>
      <c r="I551" s="5">
        <v>7</v>
      </c>
      <c r="J551" s="5">
        <v>0</v>
      </c>
      <c r="K551" s="5">
        <v>0</v>
      </c>
      <c r="L551" s="5">
        <v>1</v>
      </c>
      <c r="M551" s="5">
        <v>1</v>
      </c>
      <c r="N551" s="5">
        <v>0</v>
      </c>
      <c r="O551" s="5">
        <v>0</v>
      </c>
      <c r="P551" s="5">
        <v>0</v>
      </c>
      <c r="Q551" s="5">
        <v>0</v>
      </c>
      <c r="R551" s="5">
        <v>0</v>
      </c>
    </row>
    <row r="552" spans="1:18" ht="15" customHeight="1" x14ac:dyDescent="0.25">
      <c r="A552" s="5">
        <v>2489</v>
      </c>
      <c r="B552" s="5" t="s">
        <v>18</v>
      </c>
      <c r="C552" s="5" t="s">
        <v>18</v>
      </c>
      <c r="D552" s="5" t="s">
        <v>1105</v>
      </c>
      <c r="E552" s="5" t="s">
        <v>834</v>
      </c>
      <c r="F552" s="5">
        <v>23</v>
      </c>
      <c r="G552" s="5">
        <v>6.13</v>
      </c>
      <c r="H552" s="5">
        <v>6.78</v>
      </c>
      <c r="I552" s="5">
        <v>5</v>
      </c>
      <c r="J552" s="5">
        <v>0</v>
      </c>
      <c r="K552" s="5">
        <v>0</v>
      </c>
      <c r="L552" s="5">
        <v>2</v>
      </c>
      <c r="M552" s="5">
        <v>2</v>
      </c>
      <c r="N552" s="5">
        <v>0</v>
      </c>
      <c r="O552" s="5">
        <v>2</v>
      </c>
      <c r="P552" s="5">
        <v>4</v>
      </c>
      <c r="Q552" s="5">
        <v>0</v>
      </c>
      <c r="R552" s="5">
        <v>0</v>
      </c>
    </row>
    <row r="553" spans="1:18" ht="15" customHeight="1" x14ac:dyDescent="0.25">
      <c r="A553" s="5">
        <v>5455</v>
      </c>
      <c r="B553" s="5" t="s">
        <v>18</v>
      </c>
      <c r="C553" s="5" t="s">
        <v>18</v>
      </c>
      <c r="D553" s="5" t="s">
        <v>1106</v>
      </c>
      <c r="E553" s="5" t="s">
        <v>867</v>
      </c>
      <c r="F553" s="5">
        <v>35</v>
      </c>
      <c r="G553" s="5">
        <v>5.99</v>
      </c>
      <c r="H553" s="5">
        <v>6.56</v>
      </c>
      <c r="I553" s="5">
        <v>7</v>
      </c>
      <c r="J553" s="5">
        <v>0</v>
      </c>
      <c r="K553" s="5">
        <v>0</v>
      </c>
      <c r="L553" s="5">
        <v>2</v>
      </c>
      <c r="M553" s="5">
        <v>2</v>
      </c>
      <c r="N553" s="5">
        <v>0</v>
      </c>
      <c r="O553" s="5">
        <v>0</v>
      </c>
      <c r="P553" s="5">
        <v>2</v>
      </c>
      <c r="Q553" s="5">
        <v>0</v>
      </c>
      <c r="R553" s="5">
        <v>0</v>
      </c>
    </row>
    <row r="554" spans="1:18" ht="15" customHeight="1" x14ac:dyDescent="0.25">
      <c r="A554" s="5">
        <v>2038</v>
      </c>
      <c r="B554" s="5" t="s">
        <v>18</v>
      </c>
      <c r="C554" s="5" t="s">
        <v>1101</v>
      </c>
      <c r="D554" s="5" t="s">
        <v>188</v>
      </c>
      <c r="E554" s="5" t="s">
        <v>839</v>
      </c>
      <c r="F554" s="5">
        <v>34</v>
      </c>
      <c r="G554" s="5">
        <v>5.88</v>
      </c>
      <c r="H554" s="5">
        <v>6.62</v>
      </c>
      <c r="I554" s="5">
        <v>9</v>
      </c>
      <c r="J554" s="5">
        <v>0</v>
      </c>
      <c r="K554" s="5">
        <v>0</v>
      </c>
      <c r="L554" s="5">
        <v>1</v>
      </c>
      <c r="M554" s="5">
        <v>0</v>
      </c>
      <c r="N554" s="5">
        <v>1</v>
      </c>
      <c r="O554" s="5">
        <v>3</v>
      </c>
      <c r="P554" s="5">
        <v>2</v>
      </c>
      <c r="Q554" s="5">
        <v>1</v>
      </c>
      <c r="R554" s="5">
        <v>0</v>
      </c>
    </row>
    <row r="555" spans="1:18" ht="15" customHeight="1" x14ac:dyDescent="0.25">
      <c r="A555" s="5">
        <v>6646</v>
      </c>
      <c r="B555" s="5" t="s">
        <v>18</v>
      </c>
      <c r="C555" s="5" t="s">
        <v>18</v>
      </c>
      <c r="D555" s="5" t="s">
        <v>242</v>
      </c>
      <c r="E555" s="5" t="s">
        <v>843</v>
      </c>
      <c r="F555" s="5">
        <v>32</v>
      </c>
      <c r="G555" s="5">
        <v>5.98</v>
      </c>
      <c r="H555" s="5">
        <v>6.64</v>
      </c>
      <c r="I555" s="5">
        <v>6</v>
      </c>
      <c r="J555" s="5">
        <v>0</v>
      </c>
      <c r="K555" s="5">
        <v>0</v>
      </c>
      <c r="L555" s="5">
        <v>0</v>
      </c>
      <c r="M555" s="5">
        <v>0</v>
      </c>
      <c r="N555" s="5">
        <v>0</v>
      </c>
      <c r="O555" s="5">
        <v>3</v>
      </c>
      <c r="P555" s="5">
        <v>0</v>
      </c>
      <c r="Q555" s="5">
        <v>0</v>
      </c>
      <c r="R555" s="5">
        <v>0</v>
      </c>
    </row>
    <row r="556" spans="1:18" ht="15" customHeight="1" x14ac:dyDescent="0.25">
      <c r="A556" s="5">
        <v>2369</v>
      </c>
      <c r="B556" s="5" t="s">
        <v>18</v>
      </c>
      <c r="C556" s="5" t="s">
        <v>18</v>
      </c>
      <c r="D556" s="5" t="s">
        <v>1107</v>
      </c>
      <c r="E556" s="5" t="s">
        <v>835</v>
      </c>
      <c r="F556" s="5">
        <v>0</v>
      </c>
      <c r="G556" s="5">
        <v>0</v>
      </c>
      <c r="H556" s="5">
        <v>0</v>
      </c>
      <c r="I556" s="5">
        <v>0</v>
      </c>
      <c r="J556" s="5">
        <v>0</v>
      </c>
      <c r="K556" s="5">
        <v>0</v>
      </c>
      <c r="L556" s="5">
        <v>0</v>
      </c>
      <c r="M556" s="5">
        <v>0</v>
      </c>
      <c r="N556" s="5">
        <v>0</v>
      </c>
      <c r="O556" s="5">
        <v>0</v>
      </c>
      <c r="P556" s="5">
        <v>0</v>
      </c>
      <c r="Q556" s="5">
        <v>0</v>
      </c>
      <c r="R556" s="5">
        <v>0</v>
      </c>
    </row>
    <row r="557" spans="1:18" ht="15" customHeight="1" x14ac:dyDescent="0.25">
      <c r="A557" s="5">
        <v>2499</v>
      </c>
      <c r="B557" s="5" t="s">
        <v>18</v>
      </c>
      <c r="C557" s="5" t="s">
        <v>1101</v>
      </c>
      <c r="D557" s="5" t="s">
        <v>1108</v>
      </c>
      <c r="E557" s="5" t="s">
        <v>862</v>
      </c>
      <c r="F557" s="5">
        <v>29</v>
      </c>
      <c r="G557" s="5">
        <v>5.95</v>
      </c>
      <c r="H557" s="5">
        <v>6.62</v>
      </c>
      <c r="I557" s="5">
        <v>7</v>
      </c>
      <c r="J557" s="5">
        <v>0</v>
      </c>
      <c r="K557" s="5">
        <v>0</v>
      </c>
      <c r="L557" s="5">
        <v>0</v>
      </c>
      <c r="M557" s="5">
        <v>0</v>
      </c>
      <c r="N557" s="5">
        <v>0</v>
      </c>
      <c r="O557" s="5">
        <v>1</v>
      </c>
      <c r="P557" s="5">
        <v>5</v>
      </c>
      <c r="Q557" s="5">
        <v>0</v>
      </c>
      <c r="R557" s="5">
        <v>0</v>
      </c>
    </row>
    <row r="558" spans="1:18" ht="15" customHeight="1" x14ac:dyDescent="0.25">
      <c r="A558" s="5">
        <v>7129</v>
      </c>
      <c r="B558" s="5" t="s">
        <v>18</v>
      </c>
      <c r="C558" s="5" t="s">
        <v>1013</v>
      </c>
      <c r="D558" s="5" t="s">
        <v>238</v>
      </c>
      <c r="E558" s="5" t="s">
        <v>827</v>
      </c>
      <c r="F558" s="5">
        <v>28</v>
      </c>
      <c r="G558" s="5">
        <v>6.25</v>
      </c>
      <c r="H558" s="5">
        <v>6.66</v>
      </c>
      <c r="I558" s="5">
        <v>2</v>
      </c>
      <c r="J558" s="5">
        <v>0</v>
      </c>
      <c r="K558" s="5">
        <v>0</v>
      </c>
      <c r="L558" s="5">
        <v>0</v>
      </c>
      <c r="M558" s="5">
        <v>0</v>
      </c>
      <c r="N558" s="5">
        <v>0</v>
      </c>
      <c r="O558" s="5">
        <v>8</v>
      </c>
      <c r="P558" s="5">
        <v>3</v>
      </c>
      <c r="Q558" s="5">
        <v>1</v>
      </c>
      <c r="R558" s="5">
        <v>0</v>
      </c>
    </row>
    <row r="559" spans="1:18" ht="15" customHeight="1" x14ac:dyDescent="0.25">
      <c r="A559" s="5">
        <v>6001</v>
      </c>
      <c r="B559" s="5" t="s">
        <v>18</v>
      </c>
      <c r="C559" s="5" t="s">
        <v>1013</v>
      </c>
      <c r="D559" s="5" t="s">
        <v>1109</v>
      </c>
      <c r="E559" s="5" t="s">
        <v>837</v>
      </c>
      <c r="F559" s="5">
        <v>32</v>
      </c>
      <c r="G559" s="5">
        <v>6.08</v>
      </c>
      <c r="H559" s="5">
        <v>6.55</v>
      </c>
      <c r="I559" s="5">
        <v>5</v>
      </c>
      <c r="J559" s="5">
        <v>0</v>
      </c>
      <c r="K559" s="5">
        <v>0</v>
      </c>
      <c r="L559" s="5">
        <v>0</v>
      </c>
      <c r="M559" s="5">
        <v>0</v>
      </c>
      <c r="N559" s="5">
        <v>0</v>
      </c>
      <c r="O559" s="5">
        <v>4</v>
      </c>
      <c r="P559" s="5">
        <v>6</v>
      </c>
      <c r="Q559" s="5">
        <v>1</v>
      </c>
      <c r="R559" s="5">
        <v>0</v>
      </c>
    </row>
    <row r="560" spans="1:18" ht="15" customHeight="1" x14ac:dyDescent="0.25">
      <c r="A560" s="5">
        <v>4371</v>
      </c>
      <c r="B560" s="5" t="s">
        <v>18</v>
      </c>
      <c r="C560" s="5" t="s">
        <v>18</v>
      </c>
      <c r="D560" s="5" t="s">
        <v>184</v>
      </c>
      <c r="E560" s="5" t="s">
        <v>826</v>
      </c>
      <c r="F560" s="5">
        <v>13</v>
      </c>
      <c r="G560" s="5">
        <v>6.12</v>
      </c>
      <c r="H560" s="5">
        <v>6.88</v>
      </c>
      <c r="I560" s="5">
        <v>3</v>
      </c>
      <c r="J560" s="5">
        <v>0</v>
      </c>
      <c r="K560" s="5">
        <v>0</v>
      </c>
      <c r="L560" s="5">
        <v>0</v>
      </c>
      <c r="M560" s="5">
        <v>0</v>
      </c>
      <c r="N560" s="5">
        <v>0</v>
      </c>
      <c r="O560" s="5">
        <v>1</v>
      </c>
      <c r="P560" s="5">
        <v>0</v>
      </c>
      <c r="Q560" s="5">
        <v>0</v>
      </c>
      <c r="R560" s="5">
        <v>0</v>
      </c>
    </row>
    <row r="561" spans="1:18" ht="15" customHeight="1" x14ac:dyDescent="0.25">
      <c r="A561" s="5">
        <v>2531</v>
      </c>
      <c r="B561" s="5" t="s">
        <v>18</v>
      </c>
      <c r="C561" s="5" t="s">
        <v>1101</v>
      </c>
      <c r="D561" s="5" t="s">
        <v>211</v>
      </c>
      <c r="E561" s="5" t="s">
        <v>830</v>
      </c>
      <c r="F561" s="5">
        <v>1</v>
      </c>
      <c r="G561" s="5">
        <v>7</v>
      </c>
      <c r="H561" s="5">
        <v>9.5</v>
      </c>
      <c r="I561" s="5">
        <v>1</v>
      </c>
      <c r="J561" s="5">
        <v>0</v>
      </c>
      <c r="K561" s="5">
        <v>0</v>
      </c>
      <c r="L561" s="5">
        <v>0</v>
      </c>
      <c r="M561" s="5">
        <v>0</v>
      </c>
      <c r="N561" s="5">
        <v>0</v>
      </c>
      <c r="O561" s="5">
        <v>0</v>
      </c>
      <c r="P561" s="5">
        <v>1</v>
      </c>
      <c r="Q561" s="5">
        <v>0</v>
      </c>
      <c r="R561" s="5">
        <v>0</v>
      </c>
    </row>
    <row r="562" spans="1:18" ht="15" customHeight="1" x14ac:dyDescent="0.25">
      <c r="A562" s="5">
        <v>4730</v>
      </c>
      <c r="B562" s="5" t="s">
        <v>18</v>
      </c>
      <c r="C562" s="5" t="s">
        <v>18</v>
      </c>
      <c r="D562" s="5" t="s">
        <v>1110</v>
      </c>
      <c r="E562" s="5" t="s">
        <v>826</v>
      </c>
      <c r="F562" s="5">
        <v>10</v>
      </c>
      <c r="G562" s="5">
        <v>5.8</v>
      </c>
      <c r="H562" s="5">
        <v>6.4</v>
      </c>
      <c r="I562" s="5">
        <v>2</v>
      </c>
      <c r="J562" s="5">
        <v>0</v>
      </c>
      <c r="K562" s="5">
        <v>0</v>
      </c>
      <c r="L562" s="5">
        <v>0</v>
      </c>
      <c r="M562" s="5">
        <v>0</v>
      </c>
      <c r="N562" s="5">
        <v>0</v>
      </c>
      <c r="O562" s="5">
        <v>0</v>
      </c>
      <c r="P562" s="5">
        <v>0</v>
      </c>
      <c r="Q562" s="5">
        <v>0</v>
      </c>
      <c r="R562" s="5">
        <v>0</v>
      </c>
    </row>
    <row r="563" spans="1:18" ht="15" customHeight="1" x14ac:dyDescent="0.25">
      <c r="A563" s="5">
        <v>4923</v>
      </c>
      <c r="B563" s="5" t="s">
        <v>18</v>
      </c>
      <c r="C563" s="5" t="s">
        <v>1101</v>
      </c>
      <c r="D563" s="5" t="s">
        <v>183</v>
      </c>
      <c r="E563" s="5" t="s">
        <v>836</v>
      </c>
      <c r="F563" s="5">
        <v>37</v>
      </c>
      <c r="G563" s="5">
        <v>5.92</v>
      </c>
      <c r="H563" s="5">
        <v>6.41</v>
      </c>
      <c r="I563" s="5">
        <v>7</v>
      </c>
      <c r="J563" s="5">
        <v>0</v>
      </c>
      <c r="K563" s="5">
        <v>0</v>
      </c>
      <c r="L563" s="5">
        <v>2</v>
      </c>
      <c r="M563" s="5">
        <v>1</v>
      </c>
      <c r="N563" s="5">
        <v>1</v>
      </c>
      <c r="O563" s="5">
        <v>1</v>
      </c>
      <c r="P563" s="5">
        <v>2</v>
      </c>
      <c r="Q563" s="5">
        <v>0</v>
      </c>
      <c r="R563" s="5">
        <v>0</v>
      </c>
    </row>
    <row r="564" spans="1:18" ht="15" customHeight="1" x14ac:dyDescent="0.25">
      <c r="A564" s="5">
        <v>6556</v>
      </c>
      <c r="B564" s="5" t="s">
        <v>18</v>
      </c>
      <c r="C564" s="5" t="s">
        <v>18</v>
      </c>
      <c r="D564" s="5" t="s">
        <v>343</v>
      </c>
      <c r="E564" s="5" t="s">
        <v>834</v>
      </c>
      <c r="F564" s="5">
        <v>23</v>
      </c>
      <c r="G564" s="5">
        <v>6.02</v>
      </c>
      <c r="H564" s="5">
        <v>6.5</v>
      </c>
      <c r="I564" s="5">
        <v>4</v>
      </c>
      <c r="J564" s="5">
        <v>0</v>
      </c>
      <c r="K564" s="5">
        <v>0</v>
      </c>
      <c r="L564" s="5">
        <v>0</v>
      </c>
      <c r="M564" s="5">
        <v>0</v>
      </c>
      <c r="N564" s="5">
        <v>0</v>
      </c>
      <c r="O564" s="5">
        <v>2</v>
      </c>
      <c r="P564" s="5">
        <v>4</v>
      </c>
      <c r="Q564" s="5">
        <v>1</v>
      </c>
      <c r="R564" s="5">
        <v>0</v>
      </c>
    </row>
    <row r="565" spans="1:18" ht="15" customHeight="1" x14ac:dyDescent="0.25">
      <c r="A565" s="5">
        <v>6552</v>
      </c>
      <c r="B565" s="5" t="s">
        <v>18</v>
      </c>
      <c r="C565" s="5" t="s">
        <v>1101</v>
      </c>
      <c r="D565" s="5" t="s">
        <v>1111</v>
      </c>
      <c r="E565" s="5" t="s">
        <v>864</v>
      </c>
      <c r="F565" s="5">
        <v>28</v>
      </c>
      <c r="G565" s="5">
        <v>5.82</v>
      </c>
      <c r="H565" s="5">
        <v>6.54</v>
      </c>
      <c r="I565" s="5">
        <v>7</v>
      </c>
      <c r="J565" s="5">
        <v>0</v>
      </c>
      <c r="K565" s="5">
        <v>0</v>
      </c>
      <c r="L565" s="5">
        <v>2</v>
      </c>
      <c r="M565" s="5">
        <v>2</v>
      </c>
      <c r="N565" s="5">
        <v>0</v>
      </c>
      <c r="O565" s="5">
        <v>2</v>
      </c>
      <c r="P565" s="5">
        <v>4</v>
      </c>
      <c r="Q565" s="5">
        <v>1</v>
      </c>
      <c r="R565" s="5">
        <v>0</v>
      </c>
    </row>
    <row r="566" spans="1:18" ht="15" customHeight="1" x14ac:dyDescent="0.25">
      <c r="A566" s="5">
        <v>6164</v>
      </c>
      <c r="B566" s="5" t="s">
        <v>18</v>
      </c>
      <c r="C566" s="5" t="s">
        <v>1101</v>
      </c>
      <c r="D566" s="5" t="s">
        <v>308</v>
      </c>
      <c r="E566" s="5" t="s">
        <v>836</v>
      </c>
      <c r="F566" s="5">
        <v>31</v>
      </c>
      <c r="G566" s="5">
        <v>5.95</v>
      </c>
      <c r="H566" s="5">
        <v>6.39</v>
      </c>
      <c r="I566" s="5">
        <v>5</v>
      </c>
      <c r="J566" s="5">
        <v>0</v>
      </c>
      <c r="K566" s="5">
        <v>0</v>
      </c>
      <c r="L566" s="5">
        <v>0</v>
      </c>
      <c r="M566" s="5">
        <v>0</v>
      </c>
      <c r="N566" s="5">
        <v>0</v>
      </c>
      <c r="O566" s="5">
        <v>1</v>
      </c>
      <c r="P566" s="5">
        <v>5</v>
      </c>
      <c r="Q566" s="5">
        <v>0</v>
      </c>
      <c r="R566" s="5">
        <v>0</v>
      </c>
    </row>
    <row r="567" spans="1:18" ht="15" customHeight="1" x14ac:dyDescent="0.25">
      <c r="A567" s="5">
        <v>5544</v>
      </c>
      <c r="B567" s="5" t="s">
        <v>18</v>
      </c>
      <c r="C567" s="5" t="s">
        <v>1101</v>
      </c>
      <c r="D567" s="5" t="s">
        <v>224</v>
      </c>
      <c r="E567" s="5" t="s">
        <v>833</v>
      </c>
      <c r="F567" s="5">
        <v>30</v>
      </c>
      <c r="G567" s="5">
        <v>5.77</v>
      </c>
      <c r="H567" s="5">
        <v>6.33</v>
      </c>
      <c r="I567" s="5">
        <v>6</v>
      </c>
      <c r="J567" s="5">
        <v>0</v>
      </c>
      <c r="K567" s="5">
        <v>0</v>
      </c>
      <c r="L567" s="5">
        <v>1</v>
      </c>
      <c r="M567" s="5">
        <v>0</v>
      </c>
      <c r="N567" s="5">
        <v>1</v>
      </c>
      <c r="O567" s="5">
        <v>2</v>
      </c>
      <c r="P567" s="5">
        <v>0</v>
      </c>
      <c r="Q567" s="5">
        <v>0</v>
      </c>
      <c r="R567" s="5">
        <v>0</v>
      </c>
    </row>
    <row r="568" spans="1:18" ht="15" customHeight="1" x14ac:dyDescent="0.25">
      <c r="A568" s="5">
        <v>7120</v>
      </c>
      <c r="B568" s="5" t="s">
        <v>18</v>
      </c>
      <c r="C568" s="5" t="s">
        <v>18</v>
      </c>
      <c r="D568" s="5" t="s">
        <v>466</v>
      </c>
      <c r="E568" s="5" t="s">
        <v>830</v>
      </c>
      <c r="F568" s="5">
        <v>14</v>
      </c>
      <c r="G568" s="5">
        <v>6.04</v>
      </c>
      <c r="H568" s="5">
        <v>6.32</v>
      </c>
      <c r="I568" s="5">
        <v>1</v>
      </c>
      <c r="J568" s="5">
        <v>0</v>
      </c>
      <c r="K568" s="5">
        <v>0</v>
      </c>
      <c r="L568" s="5">
        <v>0</v>
      </c>
      <c r="M568" s="5">
        <v>0</v>
      </c>
      <c r="N568" s="5">
        <v>0</v>
      </c>
      <c r="O568" s="5">
        <v>2</v>
      </c>
      <c r="P568" s="5">
        <v>2</v>
      </c>
      <c r="Q568" s="5">
        <v>0</v>
      </c>
      <c r="R568" s="5">
        <v>0</v>
      </c>
    </row>
    <row r="569" spans="1:18" ht="15" customHeight="1" x14ac:dyDescent="0.25">
      <c r="A569" s="5">
        <v>309</v>
      </c>
      <c r="B569" s="5" t="s">
        <v>18</v>
      </c>
      <c r="C569" s="5" t="s">
        <v>18</v>
      </c>
      <c r="D569" s="5" t="s">
        <v>179</v>
      </c>
      <c r="E569" s="5" t="s">
        <v>824</v>
      </c>
      <c r="F569" s="5">
        <v>21</v>
      </c>
      <c r="G569" s="5">
        <v>6.26</v>
      </c>
      <c r="H569" s="5">
        <v>6.74</v>
      </c>
      <c r="I569" s="5">
        <v>2</v>
      </c>
      <c r="J569" s="5">
        <v>0</v>
      </c>
      <c r="K569" s="5">
        <v>0</v>
      </c>
      <c r="L569" s="5">
        <v>1</v>
      </c>
      <c r="M569" s="5">
        <v>0</v>
      </c>
      <c r="N569" s="5">
        <v>1</v>
      </c>
      <c r="O569" s="5">
        <v>7</v>
      </c>
      <c r="P569" s="5">
        <v>0</v>
      </c>
      <c r="Q569" s="5">
        <v>0</v>
      </c>
      <c r="R569" s="5">
        <v>0</v>
      </c>
    </row>
    <row r="570" spans="1:18" ht="15" customHeight="1" x14ac:dyDescent="0.25">
      <c r="A570" s="5">
        <v>7162</v>
      </c>
      <c r="B570" s="5" t="s">
        <v>18</v>
      </c>
      <c r="C570" s="5" t="s">
        <v>18</v>
      </c>
      <c r="D570" s="5" t="s">
        <v>464</v>
      </c>
      <c r="E570" s="5" t="s">
        <v>830</v>
      </c>
      <c r="F570" s="5">
        <v>31</v>
      </c>
      <c r="G570" s="5">
        <v>6</v>
      </c>
      <c r="H570" s="5">
        <v>6.45</v>
      </c>
      <c r="I570" s="5">
        <v>3</v>
      </c>
      <c r="J570" s="5">
        <v>0</v>
      </c>
      <c r="K570" s="5">
        <v>0</v>
      </c>
      <c r="L570" s="5">
        <v>0</v>
      </c>
      <c r="M570" s="5">
        <v>0</v>
      </c>
      <c r="N570" s="5">
        <v>0</v>
      </c>
      <c r="O570" s="5">
        <v>6</v>
      </c>
      <c r="P570" s="5">
        <v>2</v>
      </c>
      <c r="Q570" s="5">
        <v>0</v>
      </c>
      <c r="R570" s="5">
        <v>0</v>
      </c>
    </row>
    <row r="571" spans="1:18" ht="15" customHeight="1" x14ac:dyDescent="0.25">
      <c r="A571" s="5">
        <v>7199</v>
      </c>
      <c r="B571" s="5" t="s">
        <v>18</v>
      </c>
      <c r="C571" s="5" t="s">
        <v>18</v>
      </c>
      <c r="D571" s="5" t="s">
        <v>1112</v>
      </c>
      <c r="E571" s="5" t="s">
        <v>832</v>
      </c>
      <c r="F571" s="5">
        <v>16</v>
      </c>
      <c r="G571" s="5">
        <v>6.03</v>
      </c>
      <c r="H571" s="5">
        <v>6.78</v>
      </c>
      <c r="I571" s="5">
        <v>4</v>
      </c>
      <c r="J571" s="5">
        <v>0</v>
      </c>
      <c r="K571" s="5">
        <v>0</v>
      </c>
      <c r="L571" s="5">
        <v>0</v>
      </c>
      <c r="M571" s="5">
        <v>0</v>
      </c>
      <c r="N571" s="5">
        <v>0</v>
      </c>
      <c r="O571" s="5">
        <v>0</v>
      </c>
      <c r="P571" s="5">
        <v>1</v>
      </c>
      <c r="Q571" s="5">
        <v>0</v>
      </c>
      <c r="R571" s="5">
        <v>0</v>
      </c>
    </row>
    <row r="572" spans="1:18" ht="15" customHeight="1" x14ac:dyDescent="0.25">
      <c r="A572" s="5">
        <v>4436</v>
      </c>
      <c r="B572" s="5" t="s">
        <v>18</v>
      </c>
      <c r="C572" s="5" t="s">
        <v>18</v>
      </c>
      <c r="D572" s="5" t="s">
        <v>265</v>
      </c>
      <c r="E572" s="5" t="s">
        <v>831</v>
      </c>
      <c r="F572" s="5">
        <v>24</v>
      </c>
      <c r="G572" s="5">
        <v>5.98</v>
      </c>
      <c r="H572" s="5">
        <v>6.42</v>
      </c>
      <c r="I572" s="5">
        <v>3</v>
      </c>
      <c r="J572" s="5">
        <v>0</v>
      </c>
      <c r="K572" s="5">
        <v>0</v>
      </c>
      <c r="L572" s="5">
        <v>0</v>
      </c>
      <c r="M572" s="5">
        <v>0</v>
      </c>
      <c r="N572" s="5">
        <v>0</v>
      </c>
      <c r="O572" s="5">
        <v>4</v>
      </c>
      <c r="P572" s="5">
        <v>3</v>
      </c>
      <c r="Q572" s="5">
        <v>1</v>
      </c>
      <c r="R572" s="5">
        <v>0</v>
      </c>
    </row>
    <row r="573" spans="1:18" ht="15" customHeight="1" x14ac:dyDescent="0.25">
      <c r="A573" s="5">
        <v>6967</v>
      </c>
      <c r="B573" s="5" t="s">
        <v>18</v>
      </c>
      <c r="C573" s="5" t="s">
        <v>1013</v>
      </c>
      <c r="D573" s="5" t="s">
        <v>201</v>
      </c>
      <c r="E573" s="5" t="s">
        <v>827</v>
      </c>
      <c r="F573" s="5">
        <v>16</v>
      </c>
      <c r="G573" s="5">
        <v>6</v>
      </c>
      <c r="H573" s="5">
        <v>6.38</v>
      </c>
      <c r="I573" s="5">
        <v>2</v>
      </c>
      <c r="J573" s="5">
        <v>0</v>
      </c>
      <c r="K573" s="5">
        <v>0</v>
      </c>
      <c r="L573" s="5">
        <v>0</v>
      </c>
      <c r="M573" s="5">
        <v>0</v>
      </c>
      <c r="N573" s="5">
        <v>0</v>
      </c>
      <c r="O573" s="5">
        <v>1</v>
      </c>
      <c r="P573" s="5">
        <v>2</v>
      </c>
      <c r="Q573" s="5">
        <v>0</v>
      </c>
      <c r="R573" s="5">
        <v>0</v>
      </c>
    </row>
    <row r="574" spans="1:18" ht="15" customHeight="1" x14ac:dyDescent="0.25">
      <c r="A574" s="5">
        <v>5506</v>
      </c>
      <c r="B574" s="5" t="s">
        <v>18</v>
      </c>
      <c r="C574" s="5" t="s">
        <v>18</v>
      </c>
      <c r="D574" s="5" t="s">
        <v>1113</v>
      </c>
      <c r="E574" s="5" t="s">
        <v>836</v>
      </c>
      <c r="F574" s="5">
        <v>28</v>
      </c>
      <c r="G574" s="5">
        <v>5.96</v>
      </c>
      <c r="H574" s="5">
        <v>6.43</v>
      </c>
      <c r="I574" s="5">
        <v>4</v>
      </c>
      <c r="J574" s="5">
        <v>0</v>
      </c>
      <c r="K574" s="5">
        <v>0</v>
      </c>
      <c r="L574" s="5">
        <v>0</v>
      </c>
      <c r="M574" s="5">
        <v>0</v>
      </c>
      <c r="N574" s="5">
        <v>0</v>
      </c>
      <c r="O574" s="5">
        <v>1</v>
      </c>
      <c r="P574" s="5">
        <v>0</v>
      </c>
      <c r="Q574" s="5">
        <v>0</v>
      </c>
      <c r="R574" s="5">
        <v>0</v>
      </c>
    </row>
    <row r="575" spans="1:18" ht="15" customHeight="1" x14ac:dyDescent="0.25">
      <c r="A575" s="5">
        <v>7008</v>
      </c>
      <c r="B575" s="5" t="s">
        <v>18</v>
      </c>
      <c r="C575" s="5" t="s">
        <v>1101</v>
      </c>
      <c r="D575" s="5" t="s">
        <v>380</v>
      </c>
      <c r="E575" s="5" t="s">
        <v>828</v>
      </c>
      <c r="F575" s="5">
        <v>15</v>
      </c>
      <c r="G575" s="5">
        <v>5.5</v>
      </c>
      <c r="H575" s="5">
        <v>5.53</v>
      </c>
      <c r="I575" s="5">
        <v>0</v>
      </c>
      <c r="J575" s="5">
        <v>0</v>
      </c>
      <c r="K575" s="5">
        <v>0</v>
      </c>
      <c r="L575" s="5">
        <v>0</v>
      </c>
      <c r="M575" s="5">
        <v>0</v>
      </c>
      <c r="N575" s="5">
        <v>0</v>
      </c>
      <c r="O575" s="5">
        <v>1</v>
      </c>
      <c r="P575" s="5">
        <v>2</v>
      </c>
      <c r="Q575" s="5">
        <v>0</v>
      </c>
      <c r="R575" s="5">
        <v>0</v>
      </c>
    </row>
    <row r="576" spans="1:18" ht="15" customHeight="1" x14ac:dyDescent="0.25">
      <c r="A576" s="5">
        <v>6243</v>
      </c>
      <c r="B576" s="5" t="s">
        <v>18</v>
      </c>
      <c r="C576" s="5" t="s">
        <v>1101</v>
      </c>
      <c r="D576" s="5" t="s">
        <v>476</v>
      </c>
      <c r="E576" s="5" t="s">
        <v>832</v>
      </c>
      <c r="F576" s="5">
        <v>26</v>
      </c>
      <c r="G576" s="5">
        <v>5.92</v>
      </c>
      <c r="H576" s="5">
        <v>6.46</v>
      </c>
      <c r="I576" s="5">
        <v>5</v>
      </c>
      <c r="J576" s="5">
        <v>0</v>
      </c>
      <c r="K576" s="5">
        <v>0</v>
      </c>
      <c r="L576" s="5">
        <v>0</v>
      </c>
      <c r="M576" s="5">
        <v>0</v>
      </c>
      <c r="N576" s="5">
        <v>0</v>
      </c>
      <c r="O576" s="5">
        <v>1</v>
      </c>
      <c r="P576" s="5">
        <v>4</v>
      </c>
      <c r="Q576" s="5">
        <v>0</v>
      </c>
      <c r="R576" s="5">
        <v>0</v>
      </c>
    </row>
    <row r="577" spans="1:18" ht="15" customHeight="1" x14ac:dyDescent="0.25">
      <c r="A577" s="5">
        <v>4179</v>
      </c>
      <c r="B577" s="5" t="s">
        <v>18</v>
      </c>
      <c r="C577" s="5" t="s">
        <v>1013</v>
      </c>
      <c r="D577" s="5" t="s">
        <v>1114</v>
      </c>
      <c r="E577" s="5" t="s">
        <v>833</v>
      </c>
      <c r="F577" s="5">
        <v>0</v>
      </c>
      <c r="G577" s="5">
        <v>0</v>
      </c>
      <c r="H577" s="5">
        <v>0</v>
      </c>
      <c r="I577" s="5">
        <v>0</v>
      </c>
      <c r="J577" s="5">
        <v>0</v>
      </c>
      <c r="K577" s="5">
        <v>0</v>
      </c>
      <c r="L577" s="5">
        <v>0</v>
      </c>
      <c r="M577" s="5">
        <v>0</v>
      </c>
      <c r="N577" s="5">
        <v>0</v>
      </c>
      <c r="O577" s="5">
        <v>0</v>
      </c>
      <c r="P577" s="5">
        <v>0</v>
      </c>
      <c r="Q577" s="5">
        <v>0</v>
      </c>
      <c r="R577" s="5">
        <v>0</v>
      </c>
    </row>
    <row r="578" spans="1:18" ht="15" customHeight="1" x14ac:dyDescent="0.25">
      <c r="A578" s="5">
        <v>5500</v>
      </c>
      <c r="B578" s="5" t="s">
        <v>18</v>
      </c>
      <c r="C578" s="5" t="s">
        <v>1013</v>
      </c>
      <c r="D578" s="5" t="s">
        <v>253</v>
      </c>
      <c r="E578" s="5" t="s">
        <v>834</v>
      </c>
      <c r="F578" s="5">
        <v>28</v>
      </c>
      <c r="G578" s="5">
        <v>5.93</v>
      </c>
      <c r="H578" s="5">
        <v>6.29</v>
      </c>
      <c r="I578" s="5">
        <v>4</v>
      </c>
      <c r="J578" s="5">
        <v>0</v>
      </c>
      <c r="K578" s="5">
        <v>0</v>
      </c>
      <c r="L578" s="5">
        <v>0</v>
      </c>
      <c r="M578" s="5">
        <v>0</v>
      </c>
      <c r="N578" s="5">
        <v>0</v>
      </c>
      <c r="O578" s="5">
        <v>1</v>
      </c>
      <c r="P578" s="5">
        <v>6</v>
      </c>
      <c r="Q578" s="5">
        <v>0</v>
      </c>
      <c r="R578" s="5">
        <v>0</v>
      </c>
    </row>
    <row r="579" spans="1:18" ht="15" customHeight="1" x14ac:dyDescent="0.25">
      <c r="A579" s="5">
        <v>6439</v>
      </c>
      <c r="B579" s="5" t="s">
        <v>18</v>
      </c>
      <c r="C579" s="5" t="s">
        <v>1101</v>
      </c>
      <c r="D579" s="5" t="s">
        <v>1115</v>
      </c>
      <c r="E579" s="5" t="s">
        <v>837</v>
      </c>
      <c r="F579" s="5">
        <v>24</v>
      </c>
      <c r="G579" s="5">
        <v>5.81</v>
      </c>
      <c r="H579" s="5">
        <v>6.31</v>
      </c>
      <c r="I579" s="5">
        <v>4</v>
      </c>
      <c r="J579" s="5">
        <v>0</v>
      </c>
      <c r="K579" s="5">
        <v>0</v>
      </c>
      <c r="L579" s="5">
        <v>0</v>
      </c>
      <c r="M579" s="5">
        <v>0</v>
      </c>
      <c r="N579" s="5">
        <v>0</v>
      </c>
      <c r="O579" s="5">
        <v>1</v>
      </c>
      <c r="P579" s="5">
        <v>3</v>
      </c>
      <c r="Q579" s="5">
        <v>0</v>
      </c>
      <c r="R579" s="5">
        <v>0</v>
      </c>
    </row>
    <row r="580" spans="1:18" ht="15" customHeight="1" x14ac:dyDescent="0.25">
      <c r="A580" s="5">
        <v>2832</v>
      </c>
      <c r="B580" s="5" t="s">
        <v>18</v>
      </c>
      <c r="C580" s="5" t="s">
        <v>1013</v>
      </c>
      <c r="D580" s="5" t="s">
        <v>270</v>
      </c>
      <c r="E580" s="5" t="s">
        <v>833</v>
      </c>
      <c r="F580" s="5">
        <v>13</v>
      </c>
      <c r="G580" s="5">
        <v>6.19</v>
      </c>
      <c r="H580" s="5">
        <v>7.15</v>
      </c>
      <c r="I580" s="5">
        <v>4</v>
      </c>
      <c r="J580" s="5">
        <v>0</v>
      </c>
      <c r="K580" s="5">
        <v>0</v>
      </c>
      <c r="L580" s="5">
        <v>0</v>
      </c>
      <c r="M580" s="5">
        <v>0</v>
      </c>
      <c r="N580" s="5">
        <v>0</v>
      </c>
      <c r="O580" s="5">
        <v>1</v>
      </c>
      <c r="P580" s="5">
        <v>1</v>
      </c>
      <c r="Q580" s="5">
        <v>0</v>
      </c>
      <c r="R580" s="5">
        <v>0</v>
      </c>
    </row>
    <row r="581" spans="1:18" ht="15" customHeight="1" x14ac:dyDescent="0.25">
      <c r="A581" s="5">
        <v>5515</v>
      </c>
      <c r="B581" s="5" t="s">
        <v>18</v>
      </c>
      <c r="C581" s="5" t="s">
        <v>18</v>
      </c>
      <c r="D581" s="5" t="s">
        <v>1116</v>
      </c>
      <c r="E581" s="5" t="s">
        <v>862</v>
      </c>
      <c r="F581" s="5">
        <v>10</v>
      </c>
      <c r="G581" s="5">
        <v>5.9</v>
      </c>
      <c r="H581" s="5">
        <v>6.5</v>
      </c>
      <c r="I581" s="5">
        <v>2</v>
      </c>
      <c r="J581" s="5">
        <v>0</v>
      </c>
      <c r="K581" s="5">
        <v>0</v>
      </c>
      <c r="L581" s="5">
        <v>0</v>
      </c>
      <c r="M581" s="5">
        <v>0</v>
      </c>
      <c r="N581" s="5">
        <v>0</v>
      </c>
      <c r="O581" s="5">
        <v>0</v>
      </c>
      <c r="P581" s="5">
        <v>0</v>
      </c>
      <c r="Q581" s="5">
        <v>0</v>
      </c>
      <c r="R581" s="5">
        <v>0</v>
      </c>
    </row>
    <row r="582" spans="1:18" ht="15" customHeight="1" x14ac:dyDescent="0.25">
      <c r="A582" s="5">
        <v>6822</v>
      </c>
      <c r="B582" s="5" t="s">
        <v>18</v>
      </c>
      <c r="C582" s="5" t="s">
        <v>18</v>
      </c>
      <c r="D582" s="5" t="s">
        <v>465</v>
      </c>
      <c r="E582" s="5" t="s">
        <v>836</v>
      </c>
      <c r="F582" s="5">
        <v>25</v>
      </c>
      <c r="G582" s="5">
        <v>5.96</v>
      </c>
      <c r="H582" s="5">
        <v>6.28</v>
      </c>
      <c r="I582" s="5">
        <v>3</v>
      </c>
      <c r="J582" s="5">
        <v>0</v>
      </c>
      <c r="K582" s="5">
        <v>0</v>
      </c>
      <c r="L582" s="5">
        <v>0</v>
      </c>
      <c r="M582" s="5">
        <v>0</v>
      </c>
      <c r="N582" s="5">
        <v>0</v>
      </c>
      <c r="O582" s="5">
        <v>0</v>
      </c>
      <c r="P582" s="5">
        <v>3</v>
      </c>
      <c r="Q582" s="5">
        <v>0</v>
      </c>
      <c r="R582" s="5">
        <v>0</v>
      </c>
    </row>
    <row r="583" spans="1:18" ht="15" customHeight="1" x14ac:dyDescent="0.25">
      <c r="A583" s="5">
        <v>6675</v>
      </c>
      <c r="B583" s="5" t="s">
        <v>18</v>
      </c>
      <c r="C583" s="5" t="s">
        <v>1101</v>
      </c>
      <c r="D583" s="5" t="s">
        <v>172</v>
      </c>
      <c r="E583" s="5" t="s">
        <v>824</v>
      </c>
      <c r="F583" s="5">
        <v>13</v>
      </c>
      <c r="G583" s="5">
        <v>6</v>
      </c>
      <c r="H583" s="5">
        <v>6.77</v>
      </c>
      <c r="I583" s="5">
        <v>3</v>
      </c>
      <c r="J583" s="5">
        <v>0</v>
      </c>
      <c r="K583" s="5">
        <v>0</v>
      </c>
      <c r="L583" s="5">
        <v>0</v>
      </c>
      <c r="M583" s="5">
        <v>0</v>
      </c>
      <c r="N583" s="5">
        <v>0</v>
      </c>
      <c r="O583" s="5">
        <v>1</v>
      </c>
      <c r="P583" s="5">
        <v>0</v>
      </c>
      <c r="Q583" s="5">
        <v>0</v>
      </c>
      <c r="R583" s="5">
        <v>0</v>
      </c>
    </row>
    <row r="584" spans="1:18" ht="15" customHeight="1" x14ac:dyDescent="0.25">
      <c r="A584" s="5">
        <v>6365</v>
      </c>
      <c r="B584" s="5" t="s">
        <v>18</v>
      </c>
      <c r="C584" s="5" t="s">
        <v>1101</v>
      </c>
      <c r="D584" s="5" t="s">
        <v>1117</v>
      </c>
      <c r="E584" s="5" t="s">
        <v>824</v>
      </c>
      <c r="F584" s="5">
        <v>14</v>
      </c>
      <c r="G584" s="5">
        <v>6.11</v>
      </c>
      <c r="H584" s="5">
        <v>6.86</v>
      </c>
      <c r="I584" s="5">
        <v>3</v>
      </c>
      <c r="J584" s="5">
        <v>0</v>
      </c>
      <c r="K584" s="5">
        <v>0</v>
      </c>
      <c r="L584" s="5">
        <v>0</v>
      </c>
      <c r="M584" s="5">
        <v>0</v>
      </c>
      <c r="N584" s="5">
        <v>0</v>
      </c>
      <c r="O584" s="5">
        <v>2</v>
      </c>
      <c r="P584" s="5">
        <v>1</v>
      </c>
      <c r="Q584" s="5">
        <v>0</v>
      </c>
      <c r="R584" s="5">
        <v>0</v>
      </c>
    </row>
    <row r="585" spans="1:18" ht="15" customHeight="1" x14ac:dyDescent="0.25">
      <c r="A585" s="5">
        <v>5336</v>
      </c>
      <c r="B585" s="5" t="s">
        <v>18</v>
      </c>
      <c r="C585" s="5" t="s">
        <v>1101</v>
      </c>
      <c r="D585" s="5" t="s">
        <v>1118</v>
      </c>
      <c r="E585" s="5" t="s">
        <v>839</v>
      </c>
      <c r="F585" s="5">
        <v>27</v>
      </c>
      <c r="G585" s="5">
        <v>5.96</v>
      </c>
      <c r="H585" s="5">
        <v>6.26</v>
      </c>
      <c r="I585" s="5">
        <v>4</v>
      </c>
      <c r="J585" s="5">
        <v>0</v>
      </c>
      <c r="K585" s="5">
        <v>0</v>
      </c>
      <c r="L585" s="5">
        <v>3</v>
      </c>
      <c r="M585" s="5">
        <v>2</v>
      </c>
      <c r="N585" s="5">
        <v>1</v>
      </c>
      <c r="O585" s="5">
        <v>1</v>
      </c>
      <c r="P585" s="5">
        <v>2</v>
      </c>
      <c r="Q585" s="5">
        <v>1</v>
      </c>
      <c r="R585" s="5">
        <v>0</v>
      </c>
    </row>
    <row r="586" spans="1:18" ht="15" customHeight="1" x14ac:dyDescent="0.25">
      <c r="A586" s="5">
        <v>2678</v>
      </c>
      <c r="B586" s="5" t="s">
        <v>18</v>
      </c>
      <c r="C586" s="5" t="s">
        <v>1101</v>
      </c>
      <c r="D586" s="5" t="s">
        <v>1119</v>
      </c>
      <c r="E586" s="5" t="s">
        <v>828</v>
      </c>
      <c r="F586" s="5">
        <v>19</v>
      </c>
      <c r="G586" s="5">
        <v>5.76</v>
      </c>
      <c r="H586" s="5">
        <v>5.76</v>
      </c>
      <c r="I586" s="5">
        <v>1</v>
      </c>
      <c r="J586" s="5">
        <v>0</v>
      </c>
      <c r="K586" s="5">
        <v>0</v>
      </c>
      <c r="L586" s="5">
        <v>1</v>
      </c>
      <c r="M586" s="5">
        <v>0</v>
      </c>
      <c r="N586" s="5">
        <v>1</v>
      </c>
      <c r="O586" s="5">
        <v>0</v>
      </c>
      <c r="P586" s="5">
        <v>0</v>
      </c>
      <c r="Q586" s="5">
        <v>0</v>
      </c>
      <c r="R586" s="5">
        <v>0</v>
      </c>
    </row>
    <row r="587" spans="1:18" ht="15" customHeight="1" x14ac:dyDescent="0.25">
      <c r="A587" s="5">
        <v>7316</v>
      </c>
      <c r="B587" s="5" t="s">
        <v>18</v>
      </c>
      <c r="C587" s="5" t="s">
        <v>1101</v>
      </c>
      <c r="D587" s="5" t="s">
        <v>1120</v>
      </c>
      <c r="E587" s="5" t="s">
        <v>867</v>
      </c>
      <c r="F587" s="5">
        <v>10</v>
      </c>
      <c r="G587" s="5">
        <v>5.7</v>
      </c>
      <c r="H587" s="5">
        <v>6</v>
      </c>
      <c r="I587" s="5">
        <v>1</v>
      </c>
      <c r="J587" s="5">
        <v>0</v>
      </c>
      <c r="K587" s="5">
        <v>0</v>
      </c>
      <c r="L587" s="5">
        <v>0</v>
      </c>
      <c r="M587" s="5">
        <v>0</v>
      </c>
      <c r="N587" s="5">
        <v>0</v>
      </c>
      <c r="O587" s="5">
        <v>1</v>
      </c>
      <c r="P587" s="5">
        <v>1</v>
      </c>
      <c r="Q587" s="5">
        <v>1</v>
      </c>
      <c r="R587" s="5">
        <v>0</v>
      </c>
    </row>
    <row r="588" spans="1:18" ht="15" customHeight="1" x14ac:dyDescent="0.25">
      <c r="A588" s="5">
        <v>7347</v>
      </c>
      <c r="B588" s="5" t="s">
        <v>18</v>
      </c>
      <c r="C588" s="5" t="s">
        <v>18</v>
      </c>
      <c r="D588" s="5" t="s">
        <v>225</v>
      </c>
      <c r="E588" s="5" t="s">
        <v>864</v>
      </c>
      <c r="F588" s="5">
        <v>14</v>
      </c>
      <c r="G588" s="5">
        <v>5.96</v>
      </c>
      <c r="H588" s="5">
        <v>6.79</v>
      </c>
      <c r="I588" s="5">
        <v>4</v>
      </c>
      <c r="J588" s="5">
        <v>0</v>
      </c>
      <c r="K588" s="5">
        <v>0</v>
      </c>
      <c r="L588" s="5">
        <v>0</v>
      </c>
      <c r="M588" s="5">
        <v>0</v>
      </c>
      <c r="N588" s="5">
        <v>0</v>
      </c>
      <c r="O588" s="5">
        <v>0</v>
      </c>
      <c r="P588" s="5">
        <v>1</v>
      </c>
      <c r="Q588" s="5">
        <v>0</v>
      </c>
      <c r="R588" s="5">
        <v>0</v>
      </c>
    </row>
    <row r="589" spans="1:18" ht="15" customHeight="1" x14ac:dyDescent="0.25">
      <c r="A589" s="5">
        <v>5918</v>
      </c>
      <c r="B589" s="5" t="s">
        <v>18</v>
      </c>
      <c r="C589" s="5" t="s">
        <v>18</v>
      </c>
      <c r="D589" s="5" t="s">
        <v>353</v>
      </c>
      <c r="E589" s="5" t="s">
        <v>826</v>
      </c>
      <c r="F589" s="5">
        <v>21</v>
      </c>
      <c r="G589" s="5">
        <v>6</v>
      </c>
      <c r="H589" s="5">
        <v>6.24</v>
      </c>
      <c r="I589" s="5">
        <v>2</v>
      </c>
      <c r="J589" s="5">
        <v>0</v>
      </c>
      <c r="K589" s="5">
        <v>0</v>
      </c>
      <c r="L589" s="5">
        <v>0</v>
      </c>
      <c r="M589" s="5">
        <v>0</v>
      </c>
      <c r="N589" s="5">
        <v>0</v>
      </c>
      <c r="O589" s="5">
        <v>1</v>
      </c>
      <c r="P589" s="5">
        <v>4</v>
      </c>
      <c r="Q589" s="5">
        <v>0</v>
      </c>
      <c r="R589" s="5">
        <v>0</v>
      </c>
    </row>
    <row r="590" spans="1:18" ht="15" customHeight="1" x14ac:dyDescent="0.25">
      <c r="A590" s="5">
        <v>4359</v>
      </c>
      <c r="B590" s="5" t="s">
        <v>18</v>
      </c>
      <c r="C590" s="5" t="s">
        <v>1101</v>
      </c>
      <c r="D590" s="5" t="s">
        <v>277</v>
      </c>
      <c r="E590" s="5" t="s">
        <v>829</v>
      </c>
      <c r="F590" s="5">
        <v>27</v>
      </c>
      <c r="G590" s="5">
        <v>5.78</v>
      </c>
      <c r="H590" s="5">
        <v>6.24</v>
      </c>
      <c r="I590" s="5">
        <v>4</v>
      </c>
      <c r="J590" s="5">
        <v>0</v>
      </c>
      <c r="K590" s="5">
        <v>0</v>
      </c>
      <c r="L590" s="5">
        <v>0</v>
      </c>
      <c r="M590" s="5">
        <v>0</v>
      </c>
      <c r="N590" s="5">
        <v>0</v>
      </c>
      <c r="O590" s="5">
        <v>1</v>
      </c>
      <c r="P590" s="5">
        <v>1</v>
      </c>
      <c r="Q590" s="5">
        <v>0</v>
      </c>
      <c r="R590" s="5">
        <v>0</v>
      </c>
    </row>
    <row r="591" spans="1:18" ht="15" customHeight="1" x14ac:dyDescent="0.25">
      <c r="A591" s="5">
        <v>6145</v>
      </c>
      <c r="B591" s="5" t="s">
        <v>18</v>
      </c>
      <c r="C591" s="5" t="s">
        <v>18</v>
      </c>
      <c r="D591" s="5" t="s">
        <v>1121</v>
      </c>
      <c r="E591" s="5" t="s">
        <v>843</v>
      </c>
      <c r="F591" s="5">
        <v>17</v>
      </c>
      <c r="G591" s="5">
        <v>5.82</v>
      </c>
      <c r="H591" s="5">
        <v>6</v>
      </c>
      <c r="I591" s="5">
        <v>1</v>
      </c>
      <c r="J591" s="5">
        <v>0</v>
      </c>
      <c r="K591" s="5">
        <v>0</v>
      </c>
      <c r="L591" s="5">
        <v>0</v>
      </c>
      <c r="M591" s="5">
        <v>0</v>
      </c>
      <c r="N591" s="5">
        <v>0</v>
      </c>
      <c r="O591" s="5">
        <v>1</v>
      </c>
      <c r="P591" s="5">
        <v>2</v>
      </c>
      <c r="Q591" s="5">
        <v>0</v>
      </c>
      <c r="R591" s="5">
        <v>0</v>
      </c>
    </row>
    <row r="592" spans="1:18" ht="15" customHeight="1" x14ac:dyDescent="0.25">
      <c r="A592" s="5">
        <v>7313</v>
      </c>
      <c r="B592" s="5" t="s">
        <v>18</v>
      </c>
      <c r="C592" s="5" t="s">
        <v>1101</v>
      </c>
      <c r="D592" s="5" t="s">
        <v>241</v>
      </c>
      <c r="E592" s="5" t="s">
        <v>834</v>
      </c>
      <c r="F592" s="5">
        <v>7</v>
      </c>
      <c r="G592" s="5">
        <v>5.64</v>
      </c>
      <c r="H592" s="5">
        <v>5.64</v>
      </c>
      <c r="I592" s="5">
        <v>0</v>
      </c>
      <c r="J592" s="5">
        <v>0</v>
      </c>
      <c r="K592" s="5">
        <v>0</v>
      </c>
      <c r="L592" s="5">
        <v>0</v>
      </c>
      <c r="M592" s="5">
        <v>0</v>
      </c>
      <c r="N592" s="5">
        <v>0</v>
      </c>
      <c r="O592" s="5">
        <v>0</v>
      </c>
      <c r="P592" s="5">
        <v>0</v>
      </c>
      <c r="Q592" s="5">
        <v>0</v>
      </c>
      <c r="R592" s="5">
        <v>0</v>
      </c>
    </row>
    <row r="593" spans="1:18" ht="15" customHeight="1" x14ac:dyDescent="0.25">
      <c r="A593" s="5">
        <v>6667</v>
      </c>
      <c r="B593" s="5" t="s">
        <v>18</v>
      </c>
      <c r="C593" s="5" t="s">
        <v>18</v>
      </c>
      <c r="D593" s="5" t="s">
        <v>1122</v>
      </c>
      <c r="E593" s="5" t="s">
        <v>838</v>
      </c>
      <c r="F593" s="5">
        <v>10</v>
      </c>
      <c r="G593" s="5">
        <v>5.95</v>
      </c>
      <c r="H593" s="5">
        <v>6.3</v>
      </c>
      <c r="I593" s="5">
        <v>1</v>
      </c>
      <c r="J593" s="5">
        <v>0</v>
      </c>
      <c r="K593" s="5">
        <v>0</v>
      </c>
      <c r="L593" s="5">
        <v>1</v>
      </c>
      <c r="M593" s="5">
        <v>1</v>
      </c>
      <c r="N593" s="5">
        <v>0</v>
      </c>
      <c r="O593" s="5">
        <v>1</v>
      </c>
      <c r="P593" s="5">
        <v>1</v>
      </c>
      <c r="Q593" s="5">
        <v>0</v>
      </c>
      <c r="R593" s="5">
        <v>0</v>
      </c>
    </row>
    <row r="594" spans="1:18" ht="15" customHeight="1" x14ac:dyDescent="0.25">
      <c r="A594" s="5">
        <v>608</v>
      </c>
      <c r="B594" s="5" t="s">
        <v>18</v>
      </c>
      <c r="C594" s="5" t="s">
        <v>1101</v>
      </c>
      <c r="D594" s="5" t="s">
        <v>336</v>
      </c>
      <c r="E594" s="5" t="s">
        <v>843</v>
      </c>
      <c r="F594" s="5">
        <v>23</v>
      </c>
      <c r="G594" s="5">
        <v>5.83</v>
      </c>
      <c r="H594" s="5">
        <v>6.13</v>
      </c>
      <c r="I594" s="5">
        <v>3</v>
      </c>
      <c r="J594" s="5">
        <v>0</v>
      </c>
      <c r="K594" s="5">
        <v>0</v>
      </c>
      <c r="L594" s="5">
        <v>1</v>
      </c>
      <c r="M594" s="5">
        <v>0</v>
      </c>
      <c r="N594" s="5">
        <v>1</v>
      </c>
      <c r="O594" s="5">
        <v>1</v>
      </c>
      <c r="P594" s="5">
        <v>0</v>
      </c>
      <c r="Q594" s="5">
        <v>0</v>
      </c>
      <c r="R594" s="5">
        <v>0</v>
      </c>
    </row>
    <row r="595" spans="1:18" ht="15" customHeight="1" x14ac:dyDescent="0.25">
      <c r="A595" s="5">
        <v>7252</v>
      </c>
      <c r="B595" s="5" t="s">
        <v>18</v>
      </c>
      <c r="C595" s="5" t="s">
        <v>1101</v>
      </c>
      <c r="D595" s="5" t="s">
        <v>335</v>
      </c>
      <c r="E595" s="5" t="s">
        <v>837</v>
      </c>
      <c r="F595" s="5">
        <v>30</v>
      </c>
      <c r="G595" s="5">
        <v>5.73</v>
      </c>
      <c r="H595" s="5">
        <v>6.12</v>
      </c>
      <c r="I595" s="5">
        <v>4</v>
      </c>
      <c r="J595" s="5">
        <v>0</v>
      </c>
      <c r="K595" s="5">
        <v>0</v>
      </c>
      <c r="L595" s="5">
        <v>1</v>
      </c>
      <c r="M595" s="5">
        <v>1</v>
      </c>
      <c r="N595" s="5">
        <v>0</v>
      </c>
      <c r="O595" s="5">
        <v>0</v>
      </c>
      <c r="P595" s="5">
        <v>1</v>
      </c>
      <c r="Q595" s="5">
        <v>0</v>
      </c>
      <c r="R595" s="5">
        <v>0</v>
      </c>
    </row>
    <row r="596" spans="1:18" ht="15" customHeight="1" x14ac:dyDescent="0.25">
      <c r="A596" s="5">
        <v>6380</v>
      </c>
      <c r="B596" s="5" t="s">
        <v>18</v>
      </c>
      <c r="C596" s="5" t="s">
        <v>1013</v>
      </c>
      <c r="D596" s="5" t="s">
        <v>1123</v>
      </c>
      <c r="E596" s="5" t="s">
        <v>829</v>
      </c>
      <c r="F596" s="5">
        <v>13</v>
      </c>
      <c r="G596" s="5">
        <v>5.96</v>
      </c>
      <c r="H596" s="5">
        <v>6.46</v>
      </c>
      <c r="I596" s="5">
        <v>2</v>
      </c>
      <c r="J596" s="5">
        <v>0</v>
      </c>
      <c r="K596" s="5">
        <v>0</v>
      </c>
      <c r="L596" s="5">
        <v>0</v>
      </c>
      <c r="M596" s="5">
        <v>0</v>
      </c>
      <c r="N596" s="5">
        <v>0</v>
      </c>
      <c r="O596" s="5">
        <v>1</v>
      </c>
      <c r="P596" s="5">
        <v>1</v>
      </c>
      <c r="Q596" s="5">
        <v>0</v>
      </c>
      <c r="R596" s="5">
        <v>0</v>
      </c>
    </row>
    <row r="597" spans="1:18" ht="15" customHeight="1" x14ac:dyDescent="0.25">
      <c r="A597" s="5">
        <v>6981</v>
      </c>
      <c r="B597" s="5" t="s">
        <v>18</v>
      </c>
      <c r="C597" s="5" t="s">
        <v>1101</v>
      </c>
      <c r="D597" s="5" t="s">
        <v>556</v>
      </c>
      <c r="E597" s="5" t="s">
        <v>824</v>
      </c>
      <c r="F597" s="5">
        <v>7</v>
      </c>
      <c r="G597" s="5">
        <v>5.93</v>
      </c>
      <c r="H597" s="5">
        <v>6.36</v>
      </c>
      <c r="I597" s="5">
        <v>1</v>
      </c>
      <c r="J597" s="5">
        <v>0</v>
      </c>
      <c r="K597" s="5">
        <v>0</v>
      </c>
      <c r="L597" s="5">
        <v>0</v>
      </c>
      <c r="M597" s="5">
        <v>0</v>
      </c>
      <c r="N597" s="5">
        <v>0</v>
      </c>
      <c r="O597" s="5">
        <v>0</v>
      </c>
      <c r="P597" s="5">
        <v>0</v>
      </c>
      <c r="Q597" s="5">
        <v>0</v>
      </c>
      <c r="R597" s="5">
        <v>0</v>
      </c>
    </row>
    <row r="598" spans="1:18" ht="15" customHeight="1" x14ac:dyDescent="0.25">
      <c r="A598" s="5">
        <v>6229</v>
      </c>
      <c r="B598" s="5" t="s">
        <v>18</v>
      </c>
      <c r="C598" s="5" t="s">
        <v>1101</v>
      </c>
      <c r="D598" s="5" t="s">
        <v>1124</v>
      </c>
      <c r="E598" s="5" t="s">
        <v>826</v>
      </c>
      <c r="F598" s="5">
        <v>0</v>
      </c>
      <c r="G598" s="5">
        <v>0</v>
      </c>
      <c r="H598" s="5">
        <v>0</v>
      </c>
      <c r="I598" s="5">
        <v>0</v>
      </c>
      <c r="J598" s="5">
        <v>0</v>
      </c>
      <c r="K598" s="5">
        <v>0</v>
      </c>
      <c r="L598" s="5">
        <v>0</v>
      </c>
      <c r="M598" s="5">
        <v>0</v>
      </c>
      <c r="N598" s="5">
        <v>0</v>
      </c>
      <c r="O598" s="5">
        <v>0</v>
      </c>
      <c r="P598" s="5">
        <v>0</v>
      </c>
      <c r="Q598" s="5">
        <v>0</v>
      </c>
      <c r="R598" s="5">
        <v>0</v>
      </c>
    </row>
    <row r="599" spans="1:18" ht="15" customHeight="1" x14ac:dyDescent="0.25">
      <c r="A599" s="5">
        <v>5496</v>
      </c>
      <c r="B599" s="5" t="s">
        <v>18</v>
      </c>
      <c r="C599" s="5" t="s">
        <v>18</v>
      </c>
      <c r="D599" s="5" t="s">
        <v>1125</v>
      </c>
      <c r="E599" s="5" t="s">
        <v>862</v>
      </c>
      <c r="F599" s="5">
        <v>9</v>
      </c>
      <c r="G599" s="5">
        <v>5.83</v>
      </c>
      <c r="H599" s="5">
        <v>6.28</v>
      </c>
      <c r="I599" s="5">
        <v>1</v>
      </c>
      <c r="J599" s="5">
        <v>0</v>
      </c>
      <c r="K599" s="5">
        <v>0</v>
      </c>
      <c r="L599" s="5">
        <v>0</v>
      </c>
      <c r="M599" s="5">
        <v>0</v>
      </c>
      <c r="N599" s="5">
        <v>0</v>
      </c>
      <c r="O599" s="5">
        <v>1</v>
      </c>
      <c r="P599" s="5">
        <v>0</v>
      </c>
      <c r="Q599" s="5">
        <v>0</v>
      </c>
      <c r="R599" s="5">
        <v>0</v>
      </c>
    </row>
    <row r="600" spans="1:18" ht="15" customHeight="1" x14ac:dyDescent="0.25">
      <c r="A600" s="5">
        <v>7001</v>
      </c>
      <c r="B600" s="5" t="s">
        <v>18</v>
      </c>
      <c r="C600" s="5" t="s">
        <v>1013</v>
      </c>
      <c r="D600" s="5" t="s">
        <v>480</v>
      </c>
      <c r="E600" s="5" t="s">
        <v>837</v>
      </c>
      <c r="F600" s="5">
        <v>17</v>
      </c>
      <c r="G600" s="5">
        <v>5.82</v>
      </c>
      <c r="H600" s="5">
        <v>6.09</v>
      </c>
      <c r="I600" s="5">
        <v>2</v>
      </c>
      <c r="J600" s="5">
        <v>0</v>
      </c>
      <c r="K600" s="5">
        <v>0</v>
      </c>
      <c r="L600" s="5">
        <v>0</v>
      </c>
      <c r="M600" s="5">
        <v>0</v>
      </c>
      <c r="N600" s="5">
        <v>0</v>
      </c>
      <c r="O600" s="5">
        <v>0</v>
      </c>
      <c r="P600" s="5">
        <v>3</v>
      </c>
      <c r="Q600" s="5">
        <v>0</v>
      </c>
      <c r="R600" s="5">
        <v>0</v>
      </c>
    </row>
    <row r="601" spans="1:18" ht="15" customHeight="1" x14ac:dyDescent="0.25">
      <c r="A601" s="5">
        <v>7249</v>
      </c>
      <c r="B601" s="5" t="s">
        <v>18</v>
      </c>
      <c r="C601" s="5" t="s">
        <v>1101</v>
      </c>
      <c r="D601" s="5" t="s">
        <v>1126</v>
      </c>
      <c r="E601" s="5" t="s">
        <v>835</v>
      </c>
      <c r="F601" s="5">
        <v>21</v>
      </c>
      <c r="G601" s="5">
        <v>5.88</v>
      </c>
      <c r="H601" s="5">
        <v>6.24</v>
      </c>
      <c r="I601" s="5">
        <v>3</v>
      </c>
      <c r="J601" s="5">
        <v>0</v>
      </c>
      <c r="K601" s="5">
        <v>0</v>
      </c>
      <c r="L601" s="5">
        <v>0</v>
      </c>
      <c r="M601" s="5">
        <v>0</v>
      </c>
      <c r="N601" s="5">
        <v>0</v>
      </c>
      <c r="O601" s="5">
        <v>0</v>
      </c>
      <c r="P601" s="5">
        <v>3</v>
      </c>
      <c r="Q601" s="5">
        <v>0</v>
      </c>
      <c r="R601" s="5">
        <v>0</v>
      </c>
    </row>
    <row r="602" spans="1:18" ht="15" customHeight="1" x14ac:dyDescent="0.25">
      <c r="A602" s="5">
        <v>6643</v>
      </c>
      <c r="B602" s="5" t="s">
        <v>18</v>
      </c>
      <c r="C602" s="5" t="s">
        <v>1101</v>
      </c>
      <c r="D602" s="5" t="s">
        <v>286</v>
      </c>
      <c r="E602" s="5" t="s">
        <v>831</v>
      </c>
      <c r="F602" s="5">
        <v>19</v>
      </c>
      <c r="G602" s="5">
        <v>5.82</v>
      </c>
      <c r="H602" s="5">
        <v>6.13</v>
      </c>
      <c r="I602" s="5">
        <v>2</v>
      </c>
      <c r="J602" s="5">
        <v>0</v>
      </c>
      <c r="K602" s="5">
        <v>0</v>
      </c>
      <c r="L602" s="5">
        <v>0</v>
      </c>
      <c r="M602" s="5">
        <v>0</v>
      </c>
      <c r="N602" s="5">
        <v>0</v>
      </c>
      <c r="O602" s="5">
        <v>1</v>
      </c>
      <c r="P602" s="5">
        <v>2</v>
      </c>
      <c r="Q602" s="5">
        <v>0</v>
      </c>
      <c r="R602" s="5">
        <v>0</v>
      </c>
    </row>
    <row r="603" spans="1:18" ht="15" customHeight="1" x14ac:dyDescent="0.25">
      <c r="A603" s="5">
        <v>7127</v>
      </c>
      <c r="B603" s="5" t="s">
        <v>18</v>
      </c>
      <c r="C603" s="5" t="s">
        <v>1013</v>
      </c>
      <c r="D603" s="5" t="s">
        <v>458</v>
      </c>
      <c r="E603" s="5" t="s">
        <v>827</v>
      </c>
      <c r="F603" s="5">
        <v>12</v>
      </c>
      <c r="G603" s="5">
        <v>5.96</v>
      </c>
      <c r="H603" s="5">
        <v>6.54</v>
      </c>
      <c r="I603" s="5">
        <v>3</v>
      </c>
      <c r="J603" s="5">
        <v>0</v>
      </c>
      <c r="K603" s="5">
        <v>0</v>
      </c>
      <c r="L603" s="5">
        <v>0</v>
      </c>
      <c r="M603" s="5">
        <v>0</v>
      </c>
      <c r="N603" s="5">
        <v>0</v>
      </c>
      <c r="O603" s="5">
        <v>0</v>
      </c>
      <c r="P603" s="5">
        <v>4</v>
      </c>
      <c r="Q603" s="5">
        <v>0</v>
      </c>
      <c r="R603" s="5">
        <v>0</v>
      </c>
    </row>
    <row r="604" spans="1:18" ht="15" customHeight="1" x14ac:dyDescent="0.25">
      <c r="A604" s="5">
        <v>2155</v>
      </c>
      <c r="B604" s="5" t="s">
        <v>18</v>
      </c>
      <c r="C604" s="5" t="s">
        <v>1101</v>
      </c>
      <c r="D604" s="5" t="s">
        <v>236</v>
      </c>
      <c r="E604" s="5" t="s">
        <v>838</v>
      </c>
      <c r="F604" s="5">
        <v>14</v>
      </c>
      <c r="G604" s="5">
        <v>5.71</v>
      </c>
      <c r="H604" s="5">
        <v>5.93</v>
      </c>
      <c r="I604" s="5">
        <v>1</v>
      </c>
      <c r="J604" s="5">
        <v>0</v>
      </c>
      <c r="K604" s="5">
        <v>0</v>
      </c>
      <c r="L604" s="5">
        <v>0</v>
      </c>
      <c r="M604" s="5">
        <v>0</v>
      </c>
      <c r="N604" s="5">
        <v>0</v>
      </c>
      <c r="O604" s="5">
        <v>0</v>
      </c>
      <c r="P604" s="5">
        <v>0</v>
      </c>
      <c r="Q604" s="5">
        <v>0</v>
      </c>
      <c r="R604" s="5">
        <v>0</v>
      </c>
    </row>
    <row r="605" spans="1:18" ht="15" customHeight="1" x14ac:dyDescent="0.25">
      <c r="A605" s="5">
        <v>6409</v>
      </c>
      <c r="B605" s="5" t="s">
        <v>18</v>
      </c>
      <c r="C605" s="5" t="s">
        <v>18</v>
      </c>
      <c r="D605" s="5" t="s">
        <v>1127</v>
      </c>
      <c r="E605" s="5" t="s">
        <v>829</v>
      </c>
      <c r="F605" s="5">
        <v>0</v>
      </c>
      <c r="G605" s="5">
        <v>0</v>
      </c>
      <c r="H605" s="5">
        <v>0</v>
      </c>
      <c r="I605" s="5">
        <v>0</v>
      </c>
      <c r="J605" s="5">
        <v>0</v>
      </c>
      <c r="K605" s="5">
        <v>0</v>
      </c>
      <c r="L605" s="5">
        <v>0</v>
      </c>
      <c r="M605" s="5">
        <v>0</v>
      </c>
      <c r="N605" s="5">
        <v>0</v>
      </c>
      <c r="O605" s="5">
        <v>0</v>
      </c>
      <c r="P605" s="5">
        <v>0</v>
      </c>
      <c r="Q605" s="5">
        <v>0</v>
      </c>
      <c r="R605" s="5">
        <v>0</v>
      </c>
    </row>
    <row r="606" spans="1:18" ht="15" customHeight="1" x14ac:dyDescent="0.25">
      <c r="A606" s="5">
        <v>5672</v>
      </c>
      <c r="B606" s="5" t="s">
        <v>18</v>
      </c>
      <c r="C606" s="5" t="s">
        <v>1101</v>
      </c>
      <c r="D606" s="5" t="s">
        <v>244</v>
      </c>
      <c r="E606" s="5" t="s">
        <v>834</v>
      </c>
      <c r="F606" s="5">
        <v>25</v>
      </c>
      <c r="G606" s="5">
        <v>5.68</v>
      </c>
      <c r="H606" s="5">
        <v>5.86</v>
      </c>
      <c r="I606" s="5">
        <v>1</v>
      </c>
      <c r="J606" s="5">
        <v>0</v>
      </c>
      <c r="K606" s="5">
        <v>0</v>
      </c>
      <c r="L606" s="5">
        <v>0</v>
      </c>
      <c r="M606" s="5">
        <v>0</v>
      </c>
      <c r="N606" s="5">
        <v>0</v>
      </c>
      <c r="O606" s="5">
        <v>2</v>
      </c>
      <c r="P606" s="5">
        <v>1</v>
      </c>
      <c r="Q606" s="5">
        <v>0</v>
      </c>
      <c r="R606" s="5">
        <v>0</v>
      </c>
    </row>
    <row r="607" spans="1:18" ht="15" customHeight="1" x14ac:dyDescent="0.25">
      <c r="A607" s="5">
        <v>6827</v>
      </c>
      <c r="B607" s="5" t="s">
        <v>18</v>
      </c>
      <c r="C607" s="5" t="s">
        <v>18</v>
      </c>
      <c r="D607" s="5" t="s">
        <v>419</v>
      </c>
      <c r="E607" s="5" t="s">
        <v>843</v>
      </c>
      <c r="F607" s="5">
        <v>10</v>
      </c>
      <c r="G607" s="5">
        <v>5.8</v>
      </c>
      <c r="H607" s="5">
        <v>6.15</v>
      </c>
      <c r="I607" s="5">
        <v>1</v>
      </c>
      <c r="J607" s="5">
        <v>0</v>
      </c>
      <c r="K607" s="5">
        <v>0</v>
      </c>
      <c r="L607" s="5">
        <v>0</v>
      </c>
      <c r="M607" s="5">
        <v>0</v>
      </c>
      <c r="N607" s="5">
        <v>0</v>
      </c>
      <c r="O607" s="5">
        <v>1</v>
      </c>
      <c r="P607" s="5">
        <v>2</v>
      </c>
      <c r="Q607" s="5">
        <v>0</v>
      </c>
      <c r="R607" s="5">
        <v>0</v>
      </c>
    </row>
    <row r="608" spans="1:18" ht="15" customHeight="1" x14ac:dyDescent="0.25">
      <c r="A608" s="5">
        <v>2475</v>
      </c>
      <c r="B608" s="5" t="s">
        <v>18</v>
      </c>
      <c r="C608" s="5" t="s">
        <v>18</v>
      </c>
      <c r="D608" s="5" t="s">
        <v>1128</v>
      </c>
      <c r="E608" s="5" t="s">
        <v>835</v>
      </c>
      <c r="F608" s="5">
        <v>0</v>
      </c>
      <c r="G608" s="5">
        <v>0</v>
      </c>
      <c r="H608" s="5">
        <v>0</v>
      </c>
      <c r="I608" s="5">
        <v>0</v>
      </c>
      <c r="J608" s="5">
        <v>0</v>
      </c>
      <c r="K608" s="5">
        <v>0</v>
      </c>
      <c r="L608" s="5">
        <v>0</v>
      </c>
      <c r="M608" s="5">
        <v>0</v>
      </c>
      <c r="N608" s="5">
        <v>0</v>
      </c>
      <c r="O608" s="5">
        <v>0</v>
      </c>
      <c r="P608" s="5">
        <v>0</v>
      </c>
      <c r="Q608" s="5">
        <v>0</v>
      </c>
      <c r="R608" s="5">
        <v>0</v>
      </c>
    </row>
    <row r="609" spans="1:18" ht="15" customHeight="1" x14ac:dyDescent="0.25">
      <c r="A609" s="5">
        <v>7342</v>
      </c>
      <c r="B609" s="5" t="s">
        <v>18</v>
      </c>
      <c r="C609" s="5" t="s">
        <v>1101</v>
      </c>
      <c r="D609" s="5" t="s">
        <v>441</v>
      </c>
      <c r="E609" s="5" t="s">
        <v>838</v>
      </c>
      <c r="F609" s="5">
        <v>8</v>
      </c>
      <c r="G609" s="5">
        <v>6</v>
      </c>
      <c r="H609" s="5">
        <v>6.88</v>
      </c>
      <c r="I609" s="5">
        <v>2</v>
      </c>
      <c r="J609" s="5">
        <v>0</v>
      </c>
      <c r="K609" s="5">
        <v>0</v>
      </c>
      <c r="L609" s="5">
        <v>0</v>
      </c>
      <c r="M609" s="5">
        <v>0</v>
      </c>
      <c r="N609" s="5">
        <v>0</v>
      </c>
      <c r="O609" s="5">
        <v>1</v>
      </c>
      <c r="P609" s="5">
        <v>0</v>
      </c>
      <c r="Q609" s="5">
        <v>0</v>
      </c>
      <c r="R609" s="5">
        <v>0</v>
      </c>
    </row>
    <row r="610" spans="1:18" ht="15" customHeight="1" x14ac:dyDescent="0.25">
      <c r="A610" s="5">
        <v>7128</v>
      </c>
      <c r="B610" s="5" t="s">
        <v>18</v>
      </c>
      <c r="C610" s="5" t="s">
        <v>1013</v>
      </c>
      <c r="D610" s="5" t="s">
        <v>536</v>
      </c>
      <c r="E610" s="5" t="s">
        <v>827</v>
      </c>
      <c r="F610" s="5">
        <v>14</v>
      </c>
      <c r="G610" s="5">
        <v>5.96</v>
      </c>
      <c r="H610" s="5">
        <v>6.25</v>
      </c>
      <c r="I610" s="5">
        <v>1</v>
      </c>
      <c r="J610" s="5">
        <v>0</v>
      </c>
      <c r="K610" s="5">
        <v>0</v>
      </c>
      <c r="L610" s="5">
        <v>0</v>
      </c>
      <c r="M610" s="5">
        <v>0</v>
      </c>
      <c r="N610" s="5">
        <v>0</v>
      </c>
      <c r="O610" s="5">
        <v>1</v>
      </c>
      <c r="P610" s="5">
        <v>0</v>
      </c>
      <c r="Q610" s="5">
        <v>0</v>
      </c>
      <c r="R610" s="5">
        <v>0</v>
      </c>
    </row>
    <row r="611" spans="1:18" ht="15" customHeight="1" x14ac:dyDescent="0.25">
      <c r="A611" s="5">
        <v>6215</v>
      </c>
      <c r="B611" s="5" t="s">
        <v>18</v>
      </c>
      <c r="C611" s="5" t="s">
        <v>1101</v>
      </c>
      <c r="D611" s="5" t="s">
        <v>467</v>
      </c>
      <c r="E611" s="5" t="s">
        <v>830</v>
      </c>
      <c r="F611" s="5">
        <v>9</v>
      </c>
      <c r="G611" s="5">
        <v>5.72</v>
      </c>
      <c r="H611" s="5">
        <v>6</v>
      </c>
      <c r="I611" s="5">
        <v>1</v>
      </c>
      <c r="J611" s="5">
        <v>0</v>
      </c>
      <c r="K611" s="5">
        <v>0</v>
      </c>
      <c r="L611" s="5">
        <v>0</v>
      </c>
      <c r="M611" s="5">
        <v>0</v>
      </c>
      <c r="N611" s="5">
        <v>0</v>
      </c>
      <c r="O611" s="5">
        <v>0</v>
      </c>
      <c r="P611" s="5">
        <v>1</v>
      </c>
      <c r="Q611" s="5">
        <v>0</v>
      </c>
      <c r="R611" s="5">
        <v>0</v>
      </c>
    </row>
    <row r="612" spans="1:18" ht="15" customHeight="1" x14ac:dyDescent="0.25">
      <c r="A612" s="5">
        <v>5471</v>
      </c>
      <c r="B612" s="5" t="s">
        <v>18</v>
      </c>
      <c r="C612" s="5" t="s">
        <v>1101</v>
      </c>
      <c r="D612" s="5" t="s">
        <v>1129</v>
      </c>
      <c r="E612" s="5" t="s">
        <v>862</v>
      </c>
      <c r="F612" s="5">
        <v>9</v>
      </c>
      <c r="G612" s="5">
        <v>6</v>
      </c>
      <c r="H612" s="5">
        <v>6</v>
      </c>
      <c r="I612" s="5">
        <v>0</v>
      </c>
      <c r="J612" s="5">
        <v>0</v>
      </c>
      <c r="K612" s="5">
        <v>0</v>
      </c>
      <c r="L612" s="5">
        <v>0</v>
      </c>
      <c r="M612" s="5">
        <v>0</v>
      </c>
      <c r="N612" s="5">
        <v>0</v>
      </c>
      <c r="O612" s="5">
        <v>1</v>
      </c>
      <c r="P612" s="5">
        <v>2</v>
      </c>
      <c r="Q612" s="5">
        <v>0</v>
      </c>
      <c r="R612" s="5">
        <v>0</v>
      </c>
    </row>
    <row r="613" spans="1:18" ht="15" customHeight="1" x14ac:dyDescent="0.25">
      <c r="A613" s="5">
        <v>6836</v>
      </c>
      <c r="B613" s="5" t="s">
        <v>18</v>
      </c>
      <c r="C613" s="5" t="s">
        <v>1101</v>
      </c>
      <c r="D613" s="5" t="s">
        <v>1130</v>
      </c>
      <c r="E613" s="5" t="s">
        <v>867</v>
      </c>
      <c r="F613" s="5">
        <v>27</v>
      </c>
      <c r="G613" s="5">
        <v>5.65</v>
      </c>
      <c r="H613" s="5">
        <v>5.83</v>
      </c>
      <c r="I613" s="5">
        <v>2</v>
      </c>
      <c r="J613" s="5">
        <v>0</v>
      </c>
      <c r="K613" s="5">
        <v>0</v>
      </c>
      <c r="L613" s="5">
        <v>0</v>
      </c>
      <c r="M613" s="5">
        <v>0</v>
      </c>
      <c r="N613" s="5">
        <v>0</v>
      </c>
      <c r="O613" s="5">
        <v>0</v>
      </c>
      <c r="P613" s="5">
        <v>2</v>
      </c>
      <c r="Q613" s="5">
        <v>0</v>
      </c>
      <c r="R613" s="5">
        <v>0</v>
      </c>
    </row>
    <row r="614" spans="1:18" ht="15" customHeight="1" x14ac:dyDescent="0.25">
      <c r="A614" s="5">
        <v>6205</v>
      </c>
      <c r="B614" s="5" t="s">
        <v>18</v>
      </c>
      <c r="C614" s="5" t="s">
        <v>1101</v>
      </c>
      <c r="D614" s="5" t="s">
        <v>1131</v>
      </c>
      <c r="E614" s="5" t="s">
        <v>839</v>
      </c>
      <c r="F614" s="5">
        <v>0</v>
      </c>
      <c r="G614" s="5">
        <v>0</v>
      </c>
      <c r="H614" s="5">
        <v>0</v>
      </c>
      <c r="I614" s="5">
        <v>0</v>
      </c>
      <c r="J614" s="5">
        <v>0</v>
      </c>
      <c r="K614" s="5">
        <v>0</v>
      </c>
      <c r="L614" s="5">
        <v>0</v>
      </c>
      <c r="M614" s="5">
        <v>0</v>
      </c>
      <c r="N614" s="5">
        <v>0</v>
      </c>
      <c r="O614" s="5">
        <v>0</v>
      </c>
      <c r="P614" s="5">
        <v>0</v>
      </c>
      <c r="Q614" s="5">
        <v>0</v>
      </c>
      <c r="R614" s="5">
        <v>0</v>
      </c>
    </row>
    <row r="615" spans="1:18" ht="15" customHeight="1" x14ac:dyDescent="0.25">
      <c r="A615" s="5">
        <v>441</v>
      </c>
      <c r="B615" s="5" t="s">
        <v>18</v>
      </c>
      <c r="C615" s="5" t="s">
        <v>1101</v>
      </c>
      <c r="D615" s="5" t="s">
        <v>1132</v>
      </c>
      <c r="E615" s="5" t="s">
        <v>832</v>
      </c>
      <c r="F615" s="5">
        <v>4</v>
      </c>
      <c r="G615" s="5">
        <v>6.12</v>
      </c>
      <c r="H615" s="5">
        <v>7.62</v>
      </c>
      <c r="I615" s="5">
        <v>2</v>
      </c>
      <c r="J615" s="5">
        <v>0</v>
      </c>
      <c r="K615" s="5">
        <v>0</v>
      </c>
      <c r="L615" s="5">
        <v>1</v>
      </c>
      <c r="M615" s="5">
        <v>1</v>
      </c>
      <c r="N615" s="5">
        <v>0</v>
      </c>
      <c r="O615" s="5">
        <v>0</v>
      </c>
      <c r="P615" s="5">
        <v>0</v>
      </c>
      <c r="Q615" s="5">
        <v>0</v>
      </c>
      <c r="R615" s="5">
        <v>0</v>
      </c>
    </row>
    <row r="616" spans="1:18" ht="15" customHeight="1" x14ac:dyDescent="0.25">
      <c r="A616" s="5">
        <v>7272</v>
      </c>
      <c r="B616" s="5" t="s">
        <v>18</v>
      </c>
      <c r="C616" s="5" t="s">
        <v>1101</v>
      </c>
      <c r="D616" s="5" t="s">
        <v>509</v>
      </c>
      <c r="E616" s="5" t="s">
        <v>835</v>
      </c>
      <c r="F616" s="5">
        <v>13</v>
      </c>
      <c r="G616" s="5">
        <v>5.77</v>
      </c>
      <c r="H616" s="5">
        <v>5.92</v>
      </c>
      <c r="I616" s="5">
        <v>1</v>
      </c>
      <c r="J616" s="5">
        <v>0</v>
      </c>
      <c r="K616" s="5">
        <v>0</v>
      </c>
      <c r="L616" s="5">
        <v>0</v>
      </c>
      <c r="M616" s="5">
        <v>0</v>
      </c>
      <c r="N616" s="5">
        <v>0</v>
      </c>
      <c r="O616" s="5">
        <v>0</v>
      </c>
      <c r="P616" s="5">
        <v>2</v>
      </c>
      <c r="Q616" s="5">
        <v>0</v>
      </c>
      <c r="R616" s="5">
        <v>0</v>
      </c>
    </row>
    <row r="617" spans="1:18" ht="15" customHeight="1" x14ac:dyDescent="0.25">
      <c r="A617" s="5">
        <v>7374</v>
      </c>
      <c r="B617" s="5" t="s">
        <v>18</v>
      </c>
      <c r="C617" s="5" t="s">
        <v>1101</v>
      </c>
      <c r="D617" s="5" t="s">
        <v>477</v>
      </c>
      <c r="E617" s="5" t="s">
        <v>832</v>
      </c>
      <c r="F617" s="5">
        <v>8</v>
      </c>
      <c r="G617" s="5">
        <v>5.94</v>
      </c>
      <c r="H617" s="5">
        <v>6.62</v>
      </c>
      <c r="I617" s="5">
        <v>2</v>
      </c>
      <c r="J617" s="5">
        <v>0</v>
      </c>
      <c r="K617" s="5">
        <v>0</v>
      </c>
      <c r="L617" s="5">
        <v>0</v>
      </c>
      <c r="M617" s="5">
        <v>0</v>
      </c>
      <c r="N617" s="5">
        <v>0</v>
      </c>
      <c r="O617" s="5">
        <v>0</v>
      </c>
      <c r="P617" s="5">
        <v>1</v>
      </c>
      <c r="Q617" s="5">
        <v>0</v>
      </c>
      <c r="R617" s="5">
        <v>0</v>
      </c>
    </row>
    <row r="618" spans="1:18" ht="15" customHeight="1" x14ac:dyDescent="0.25">
      <c r="A618" s="5">
        <v>785</v>
      </c>
      <c r="B618" s="5" t="s">
        <v>18</v>
      </c>
      <c r="C618" s="5" t="s">
        <v>1101</v>
      </c>
      <c r="D618" s="5" t="s">
        <v>1133</v>
      </c>
      <c r="E618" s="5" t="s">
        <v>831</v>
      </c>
      <c r="F618" s="5">
        <v>6</v>
      </c>
      <c r="G618" s="5">
        <v>5.58</v>
      </c>
      <c r="H618" s="5">
        <v>5.5</v>
      </c>
      <c r="I618" s="5">
        <v>0</v>
      </c>
      <c r="J618" s="5">
        <v>0</v>
      </c>
      <c r="K618" s="5">
        <v>0</v>
      </c>
      <c r="L618" s="5">
        <v>0</v>
      </c>
      <c r="M618" s="5">
        <v>0</v>
      </c>
      <c r="N618" s="5">
        <v>0</v>
      </c>
      <c r="O618" s="5">
        <v>0</v>
      </c>
      <c r="P618" s="5">
        <v>1</v>
      </c>
      <c r="Q618" s="5">
        <v>0</v>
      </c>
      <c r="R618" s="5">
        <v>0</v>
      </c>
    </row>
    <row r="619" spans="1:18" ht="15" customHeight="1" x14ac:dyDescent="0.25">
      <c r="A619" s="5">
        <v>6628</v>
      </c>
      <c r="B619" s="5" t="s">
        <v>18</v>
      </c>
      <c r="C619" s="5" t="s">
        <v>1101</v>
      </c>
      <c r="D619" s="5" t="s">
        <v>1134</v>
      </c>
      <c r="E619" s="5" t="s">
        <v>825</v>
      </c>
      <c r="F619" s="5">
        <v>0</v>
      </c>
      <c r="G619" s="5">
        <v>0</v>
      </c>
      <c r="H619" s="5">
        <v>0</v>
      </c>
      <c r="I619" s="5">
        <v>0</v>
      </c>
      <c r="J619" s="5">
        <v>0</v>
      </c>
      <c r="K619" s="5">
        <v>0</v>
      </c>
      <c r="L619" s="5">
        <v>0</v>
      </c>
      <c r="M619" s="5">
        <v>0</v>
      </c>
      <c r="N619" s="5">
        <v>0</v>
      </c>
      <c r="O619" s="5">
        <v>0</v>
      </c>
      <c r="P619" s="5">
        <v>0</v>
      </c>
      <c r="Q619" s="5">
        <v>0</v>
      </c>
      <c r="R619" s="5">
        <v>0</v>
      </c>
    </row>
    <row r="620" spans="1:18" ht="15" customHeight="1" x14ac:dyDescent="0.25">
      <c r="A620" s="5">
        <v>6227</v>
      </c>
      <c r="B620" s="5" t="s">
        <v>18</v>
      </c>
      <c r="C620" s="5" t="s">
        <v>18</v>
      </c>
      <c r="D620" s="5" t="s">
        <v>1135</v>
      </c>
      <c r="E620" s="5" t="s">
        <v>828</v>
      </c>
      <c r="F620" s="5">
        <v>0</v>
      </c>
      <c r="G620" s="5">
        <v>0</v>
      </c>
      <c r="H620" s="5">
        <v>0</v>
      </c>
      <c r="I620" s="5">
        <v>0</v>
      </c>
      <c r="J620" s="5">
        <v>0</v>
      </c>
      <c r="K620" s="5">
        <v>0</v>
      </c>
      <c r="L620" s="5">
        <v>0</v>
      </c>
      <c r="M620" s="5">
        <v>0</v>
      </c>
      <c r="N620" s="5">
        <v>0</v>
      </c>
      <c r="O620" s="5">
        <v>0</v>
      </c>
      <c r="P620" s="5">
        <v>0</v>
      </c>
      <c r="Q620" s="5">
        <v>0</v>
      </c>
      <c r="R620" s="5">
        <v>0</v>
      </c>
    </row>
    <row r="621" spans="1:18" ht="15" customHeight="1" x14ac:dyDescent="0.25">
      <c r="A621" s="5">
        <v>7153</v>
      </c>
      <c r="B621" s="5" t="s">
        <v>18</v>
      </c>
      <c r="C621" s="5" t="s">
        <v>1101</v>
      </c>
      <c r="D621" s="5" t="s">
        <v>1136</v>
      </c>
      <c r="E621" s="5" t="s">
        <v>867</v>
      </c>
      <c r="F621" s="5">
        <v>0</v>
      </c>
      <c r="G621" s="5">
        <v>0</v>
      </c>
      <c r="H621" s="5">
        <v>0</v>
      </c>
      <c r="I621" s="5">
        <v>0</v>
      </c>
      <c r="J621" s="5">
        <v>0</v>
      </c>
      <c r="K621" s="5">
        <v>0</v>
      </c>
      <c r="L621" s="5">
        <v>0</v>
      </c>
      <c r="M621" s="5">
        <v>0</v>
      </c>
      <c r="N621" s="5">
        <v>0</v>
      </c>
      <c r="O621" s="5">
        <v>0</v>
      </c>
      <c r="P621" s="5">
        <v>0</v>
      </c>
      <c r="Q621" s="5">
        <v>0</v>
      </c>
      <c r="R621" s="5">
        <v>0</v>
      </c>
    </row>
    <row r="622" spans="1:18" ht="15" customHeight="1" x14ac:dyDescent="0.25">
      <c r="A622" s="5">
        <v>479</v>
      </c>
      <c r="B622" s="5" t="s">
        <v>18</v>
      </c>
      <c r="C622" s="5" t="s">
        <v>1101</v>
      </c>
      <c r="D622" s="5" t="s">
        <v>1137</v>
      </c>
      <c r="E622" s="5" t="s">
        <v>862</v>
      </c>
      <c r="F622" s="5">
        <v>23</v>
      </c>
      <c r="G622" s="5">
        <v>5.76</v>
      </c>
      <c r="H622" s="5">
        <v>5.89</v>
      </c>
      <c r="I622" s="5">
        <v>1</v>
      </c>
      <c r="J622" s="5">
        <v>0</v>
      </c>
      <c r="K622" s="5">
        <v>0</v>
      </c>
      <c r="L622" s="5">
        <v>0</v>
      </c>
      <c r="M622" s="5">
        <v>0</v>
      </c>
      <c r="N622" s="5">
        <v>0</v>
      </c>
      <c r="O622" s="5">
        <v>1</v>
      </c>
      <c r="P622" s="5">
        <v>2</v>
      </c>
      <c r="Q622" s="5">
        <v>0</v>
      </c>
      <c r="R622" s="5">
        <v>0</v>
      </c>
    </row>
    <row r="623" spans="1:18" ht="15" customHeight="1" x14ac:dyDescent="0.25">
      <c r="A623" s="5">
        <v>6653</v>
      </c>
      <c r="B623" s="5" t="s">
        <v>18</v>
      </c>
      <c r="C623" s="5" t="s">
        <v>18</v>
      </c>
      <c r="D623" s="5" t="s">
        <v>1138</v>
      </c>
      <c r="E623" s="5" t="s">
        <v>835</v>
      </c>
      <c r="F623" s="5">
        <v>4</v>
      </c>
      <c r="G623" s="5">
        <v>6</v>
      </c>
      <c r="H623" s="5">
        <v>6.62</v>
      </c>
      <c r="I623" s="5">
        <v>1</v>
      </c>
      <c r="J623" s="5">
        <v>0</v>
      </c>
      <c r="K623" s="5">
        <v>0</v>
      </c>
      <c r="L623" s="5">
        <v>0</v>
      </c>
      <c r="M623" s="5">
        <v>0</v>
      </c>
      <c r="N623" s="5">
        <v>0</v>
      </c>
      <c r="O623" s="5">
        <v>0</v>
      </c>
      <c r="P623" s="5">
        <v>1</v>
      </c>
      <c r="Q623" s="5">
        <v>0</v>
      </c>
      <c r="R623" s="5">
        <v>0</v>
      </c>
    </row>
    <row r="624" spans="1:18" ht="15" customHeight="1" x14ac:dyDescent="0.25">
      <c r="A624" s="5">
        <v>6159</v>
      </c>
      <c r="B624" s="5" t="s">
        <v>18</v>
      </c>
      <c r="C624" s="5" t="s">
        <v>18</v>
      </c>
      <c r="D624" s="5" t="s">
        <v>1139</v>
      </c>
      <c r="E624" s="5" t="s">
        <v>864</v>
      </c>
      <c r="F624" s="5">
        <v>29</v>
      </c>
      <c r="G624" s="5">
        <v>5.67</v>
      </c>
      <c r="H624" s="5">
        <v>5.64</v>
      </c>
      <c r="I624" s="5">
        <v>0</v>
      </c>
      <c r="J624" s="5">
        <v>0</v>
      </c>
      <c r="K624" s="5">
        <v>0</v>
      </c>
      <c r="L624" s="5">
        <v>0</v>
      </c>
      <c r="M624" s="5">
        <v>0</v>
      </c>
      <c r="N624" s="5">
        <v>0</v>
      </c>
      <c r="O624" s="5">
        <v>0</v>
      </c>
      <c r="P624" s="5">
        <v>0</v>
      </c>
      <c r="Q624" s="5">
        <v>1</v>
      </c>
      <c r="R624" s="5">
        <v>0</v>
      </c>
    </row>
    <row r="625" spans="1:18" ht="15" customHeight="1" x14ac:dyDescent="0.25">
      <c r="A625" s="5">
        <v>6630</v>
      </c>
      <c r="B625" s="5" t="s">
        <v>18</v>
      </c>
      <c r="C625" s="5" t="s">
        <v>1101</v>
      </c>
      <c r="D625" s="5" t="s">
        <v>1140</v>
      </c>
      <c r="E625" s="5" t="s">
        <v>864</v>
      </c>
      <c r="F625" s="5">
        <v>14</v>
      </c>
      <c r="G625" s="5">
        <v>5.96</v>
      </c>
      <c r="H625" s="5">
        <v>6.07</v>
      </c>
      <c r="I625" s="5">
        <v>0</v>
      </c>
      <c r="J625" s="5">
        <v>0</v>
      </c>
      <c r="K625" s="5">
        <v>0</v>
      </c>
      <c r="L625" s="5">
        <v>0</v>
      </c>
      <c r="M625" s="5">
        <v>0</v>
      </c>
      <c r="N625" s="5">
        <v>0</v>
      </c>
      <c r="O625" s="5">
        <v>2</v>
      </c>
      <c r="P625" s="5">
        <v>1</v>
      </c>
      <c r="Q625" s="5">
        <v>0</v>
      </c>
      <c r="R625" s="5">
        <v>0</v>
      </c>
    </row>
    <row r="626" spans="1:18" ht="15" customHeight="1" x14ac:dyDescent="0.25">
      <c r="A626" s="5">
        <v>6314</v>
      </c>
      <c r="B626" s="5" t="s">
        <v>18</v>
      </c>
      <c r="C626" s="5" t="s">
        <v>1101</v>
      </c>
      <c r="D626" s="5" t="s">
        <v>1141</v>
      </c>
      <c r="E626" s="5" t="s">
        <v>833</v>
      </c>
      <c r="F626" s="5">
        <v>14</v>
      </c>
      <c r="G626" s="5">
        <v>5.79</v>
      </c>
      <c r="H626" s="5">
        <v>6</v>
      </c>
      <c r="I626" s="5">
        <v>1</v>
      </c>
      <c r="J626" s="5">
        <v>0</v>
      </c>
      <c r="K626" s="5">
        <v>0</v>
      </c>
      <c r="L626" s="5">
        <v>0</v>
      </c>
      <c r="M626" s="5">
        <v>0</v>
      </c>
      <c r="N626" s="5">
        <v>0</v>
      </c>
      <c r="O626" s="5">
        <v>0</v>
      </c>
      <c r="P626" s="5">
        <v>0</v>
      </c>
      <c r="Q626" s="5">
        <v>0</v>
      </c>
      <c r="R626" s="5">
        <v>0</v>
      </c>
    </row>
    <row r="627" spans="1:18" ht="15" customHeight="1" x14ac:dyDescent="0.25">
      <c r="A627" s="5">
        <v>7344</v>
      </c>
      <c r="B627" s="5" t="s">
        <v>18</v>
      </c>
      <c r="C627" s="5" t="s">
        <v>1101</v>
      </c>
      <c r="D627" s="5" t="s">
        <v>1142</v>
      </c>
      <c r="E627" s="5" t="s">
        <v>867</v>
      </c>
      <c r="F627" s="5">
        <v>12</v>
      </c>
      <c r="G627" s="5">
        <v>5.58</v>
      </c>
      <c r="H627" s="5">
        <v>5.58</v>
      </c>
      <c r="I627" s="5">
        <v>0</v>
      </c>
      <c r="J627" s="5">
        <v>0</v>
      </c>
      <c r="K627" s="5">
        <v>0</v>
      </c>
      <c r="L627" s="5">
        <v>0</v>
      </c>
      <c r="M627" s="5">
        <v>0</v>
      </c>
      <c r="N627" s="5">
        <v>0</v>
      </c>
      <c r="O627" s="5">
        <v>0</v>
      </c>
      <c r="P627" s="5">
        <v>0</v>
      </c>
      <c r="Q627" s="5">
        <v>0</v>
      </c>
      <c r="R627" s="5">
        <v>0</v>
      </c>
    </row>
    <row r="628" spans="1:18" ht="15" customHeight="1" x14ac:dyDescent="0.25">
      <c r="A628" s="5">
        <v>7349</v>
      </c>
      <c r="B628" s="5" t="s">
        <v>18</v>
      </c>
      <c r="C628" s="5" t="s">
        <v>1101</v>
      </c>
      <c r="D628" s="5" t="s">
        <v>479</v>
      </c>
      <c r="E628" s="5" t="s">
        <v>843</v>
      </c>
      <c r="F628" s="5">
        <v>7</v>
      </c>
      <c r="G628" s="5">
        <v>5.71</v>
      </c>
      <c r="H628" s="5">
        <v>5.79</v>
      </c>
      <c r="I628" s="5">
        <v>0</v>
      </c>
      <c r="J628" s="5">
        <v>0</v>
      </c>
      <c r="K628" s="5">
        <v>0</v>
      </c>
      <c r="L628" s="5">
        <v>0</v>
      </c>
      <c r="M628" s="5">
        <v>0</v>
      </c>
      <c r="N628" s="5">
        <v>0</v>
      </c>
      <c r="O628" s="5">
        <v>1</v>
      </c>
      <c r="P628" s="5">
        <v>2</v>
      </c>
      <c r="Q628" s="5">
        <v>0</v>
      </c>
      <c r="R628" s="5">
        <v>0</v>
      </c>
    </row>
    <row r="629" spans="1:18" ht="15" customHeight="1" x14ac:dyDescent="0.25">
      <c r="A629" s="5">
        <v>6895</v>
      </c>
      <c r="B629" s="5" t="s">
        <v>18</v>
      </c>
      <c r="C629" s="5" t="s">
        <v>1013</v>
      </c>
      <c r="D629" s="5" t="s">
        <v>491</v>
      </c>
      <c r="E629" s="5" t="s">
        <v>831</v>
      </c>
      <c r="F629" s="5">
        <v>12</v>
      </c>
      <c r="G629" s="5">
        <v>5.83</v>
      </c>
      <c r="H629" s="5">
        <v>6.04</v>
      </c>
      <c r="I629" s="5">
        <v>0</v>
      </c>
      <c r="J629" s="5">
        <v>0</v>
      </c>
      <c r="K629" s="5">
        <v>0</v>
      </c>
      <c r="L629" s="5">
        <v>0</v>
      </c>
      <c r="M629" s="5">
        <v>0</v>
      </c>
      <c r="N629" s="5">
        <v>0</v>
      </c>
      <c r="O629" s="5">
        <v>3</v>
      </c>
      <c r="P629" s="5">
        <v>1</v>
      </c>
      <c r="Q629" s="5">
        <v>0</v>
      </c>
      <c r="R629" s="5">
        <v>0</v>
      </c>
    </row>
    <row r="630" spans="1:18" ht="15" customHeight="1" x14ac:dyDescent="0.25">
      <c r="A630" s="5">
        <v>6459</v>
      </c>
      <c r="B630" s="5" t="s">
        <v>18</v>
      </c>
      <c r="C630" s="5" t="s">
        <v>1013</v>
      </c>
      <c r="D630" s="5" t="s">
        <v>1143</v>
      </c>
      <c r="E630" s="5" t="s">
        <v>831</v>
      </c>
      <c r="F630" s="5">
        <v>0</v>
      </c>
      <c r="G630" s="5">
        <v>0</v>
      </c>
      <c r="H630" s="5">
        <v>0</v>
      </c>
      <c r="I630" s="5">
        <v>0</v>
      </c>
      <c r="J630" s="5">
        <v>0</v>
      </c>
      <c r="K630" s="5">
        <v>0</v>
      </c>
      <c r="L630" s="5">
        <v>0</v>
      </c>
      <c r="M630" s="5">
        <v>0</v>
      </c>
      <c r="N630" s="5">
        <v>0</v>
      </c>
      <c r="O630" s="5">
        <v>0</v>
      </c>
      <c r="P630" s="5">
        <v>0</v>
      </c>
      <c r="Q630" s="5">
        <v>0</v>
      </c>
      <c r="R630" s="5">
        <v>0</v>
      </c>
    </row>
    <row r="631" spans="1:18" ht="15" customHeight="1" x14ac:dyDescent="0.25">
      <c r="A631" s="5">
        <v>5297</v>
      </c>
      <c r="B631" s="5" t="s">
        <v>18</v>
      </c>
      <c r="C631" s="5" t="s">
        <v>18</v>
      </c>
      <c r="D631" s="5" t="s">
        <v>1144</v>
      </c>
      <c r="E631" s="5" t="s">
        <v>832</v>
      </c>
      <c r="F631" s="5">
        <v>10</v>
      </c>
      <c r="G631" s="5">
        <v>5.8</v>
      </c>
      <c r="H631" s="5">
        <v>5.8</v>
      </c>
      <c r="I631" s="5">
        <v>0</v>
      </c>
      <c r="J631" s="5">
        <v>0</v>
      </c>
      <c r="K631" s="5">
        <v>0</v>
      </c>
      <c r="L631" s="5">
        <v>0</v>
      </c>
      <c r="M631" s="5">
        <v>0</v>
      </c>
      <c r="N631" s="5">
        <v>0</v>
      </c>
      <c r="O631" s="5">
        <v>0</v>
      </c>
      <c r="P631" s="5">
        <v>0</v>
      </c>
      <c r="Q631" s="5">
        <v>0</v>
      </c>
      <c r="R631" s="5">
        <v>0</v>
      </c>
    </row>
    <row r="632" spans="1:18" ht="15" customHeight="1" x14ac:dyDescent="0.25">
      <c r="A632" s="5">
        <v>247</v>
      </c>
      <c r="B632" s="5" t="s">
        <v>18</v>
      </c>
      <c r="C632" s="5" t="s">
        <v>1101</v>
      </c>
      <c r="D632" s="5" t="s">
        <v>1145</v>
      </c>
      <c r="E632" s="5" t="s">
        <v>832</v>
      </c>
      <c r="F632" s="5">
        <v>6</v>
      </c>
      <c r="G632" s="5">
        <v>6</v>
      </c>
      <c r="H632" s="5">
        <v>6.42</v>
      </c>
      <c r="I632" s="5">
        <v>1</v>
      </c>
      <c r="J632" s="5">
        <v>0</v>
      </c>
      <c r="K632" s="5">
        <v>0</v>
      </c>
      <c r="L632" s="5">
        <v>0</v>
      </c>
      <c r="M632" s="5">
        <v>0</v>
      </c>
      <c r="N632" s="5">
        <v>0</v>
      </c>
      <c r="O632" s="5">
        <v>0</v>
      </c>
      <c r="P632" s="5">
        <v>1</v>
      </c>
      <c r="Q632" s="5">
        <v>0</v>
      </c>
      <c r="R632" s="5">
        <v>0</v>
      </c>
    </row>
    <row r="633" spans="1:18" ht="15" customHeight="1" x14ac:dyDescent="0.25">
      <c r="A633" s="5">
        <v>5512</v>
      </c>
      <c r="B633" s="5" t="s">
        <v>18</v>
      </c>
      <c r="C633" s="5" t="s">
        <v>1101</v>
      </c>
      <c r="D633" s="5" t="s">
        <v>1146</v>
      </c>
      <c r="E633" s="5" t="s">
        <v>862</v>
      </c>
      <c r="F633" s="5">
        <v>1</v>
      </c>
      <c r="G633" s="5">
        <v>7</v>
      </c>
      <c r="H633" s="5">
        <v>10</v>
      </c>
      <c r="I633" s="5">
        <v>1</v>
      </c>
      <c r="J633" s="5">
        <v>0</v>
      </c>
      <c r="K633" s="5">
        <v>0</v>
      </c>
      <c r="L633" s="5">
        <v>1</v>
      </c>
      <c r="M633" s="5">
        <v>1</v>
      </c>
      <c r="N633" s="5">
        <v>0</v>
      </c>
      <c r="O633" s="5">
        <v>0</v>
      </c>
      <c r="P633" s="5">
        <v>0</v>
      </c>
      <c r="Q633" s="5">
        <v>0</v>
      </c>
      <c r="R633" s="5">
        <v>0</v>
      </c>
    </row>
    <row r="634" spans="1:18" ht="15" customHeight="1" x14ac:dyDescent="0.25">
      <c r="A634" s="5">
        <v>647</v>
      </c>
      <c r="B634" s="5" t="s">
        <v>18</v>
      </c>
      <c r="C634" s="5" t="s">
        <v>1101</v>
      </c>
      <c r="D634" s="5" t="s">
        <v>1147</v>
      </c>
      <c r="E634" s="5" t="s">
        <v>829</v>
      </c>
      <c r="F634" s="5">
        <v>8</v>
      </c>
      <c r="G634" s="5">
        <v>5.62</v>
      </c>
      <c r="H634" s="5">
        <v>5.56</v>
      </c>
      <c r="I634" s="5">
        <v>0</v>
      </c>
      <c r="J634" s="5">
        <v>0</v>
      </c>
      <c r="K634" s="5">
        <v>0</v>
      </c>
      <c r="L634" s="5">
        <v>0</v>
      </c>
      <c r="M634" s="5">
        <v>0</v>
      </c>
      <c r="N634" s="5">
        <v>0</v>
      </c>
      <c r="O634" s="5">
        <v>0</v>
      </c>
      <c r="P634" s="5">
        <v>1</v>
      </c>
      <c r="Q634" s="5">
        <v>0</v>
      </c>
      <c r="R634" s="5">
        <v>0</v>
      </c>
    </row>
    <row r="635" spans="1:18" ht="15" customHeight="1" x14ac:dyDescent="0.25">
      <c r="A635" s="5">
        <v>6207</v>
      </c>
      <c r="B635" s="5" t="s">
        <v>18</v>
      </c>
      <c r="C635" s="5" t="s">
        <v>1013</v>
      </c>
      <c r="D635" s="5" t="s">
        <v>379</v>
      </c>
      <c r="E635" s="5" t="s">
        <v>838</v>
      </c>
      <c r="F635" s="5">
        <v>9</v>
      </c>
      <c r="G635" s="5">
        <v>5.94</v>
      </c>
      <c r="H635" s="5">
        <v>6.06</v>
      </c>
      <c r="I635" s="5">
        <v>0</v>
      </c>
      <c r="J635" s="5">
        <v>0</v>
      </c>
      <c r="K635" s="5">
        <v>0</v>
      </c>
      <c r="L635" s="5">
        <v>0</v>
      </c>
      <c r="M635" s="5">
        <v>0</v>
      </c>
      <c r="N635" s="5">
        <v>0</v>
      </c>
      <c r="O635" s="5">
        <v>1</v>
      </c>
      <c r="P635" s="5">
        <v>0</v>
      </c>
      <c r="Q635" s="5">
        <v>0</v>
      </c>
      <c r="R635" s="5">
        <v>0</v>
      </c>
    </row>
    <row r="636" spans="1:18" ht="15" customHeight="1" x14ac:dyDescent="0.25">
      <c r="A636" s="5">
        <v>6213</v>
      </c>
      <c r="B636" s="5" t="s">
        <v>18</v>
      </c>
      <c r="C636" s="5" t="s">
        <v>18</v>
      </c>
      <c r="D636" s="5" t="s">
        <v>1148</v>
      </c>
      <c r="E636" s="5" t="s">
        <v>835</v>
      </c>
      <c r="F636" s="5">
        <v>0</v>
      </c>
      <c r="G636" s="5">
        <v>0</v>
      </c>
      <c r="H636" s="5">
        <v>0</v>
      </c>
      <c r="I636" s="5">
        <v>0</v>
      </c>
      <c r="J636" s="5">
        <v>0</v>
      </c>
      <c r="K636" s="5">
        <v>0</v>
      </c>
      <c r="L636" s="5">
        <v>0</v>
      </c>
      <c r="M636" s="5">
        <v>0</v>
      </c>
      <c r="N636" s="5">
        <v>0</v>
      </c>
      <c r="O636" s="5">
        <v>0</v>
      </c>
      <c r="P636" s="5">
        <v>0</v>
      </c>
      <c r="Q636" s="5">
        <v>0</v>
      </c>
      <c r="R636" s="5">
        <v>0</v>
      </c>
    </row>
    <row r="637" spans="1:18" ht="15" customHeight="1" x14ac:dyDescent="0.25">
      <c r="A637" s="5">
        <v>6644</v>
      </c>
      <c r="B637" s="5" t="s">
        <v>18</v>
      </c>
      <c r="C637" s="5" t="s">
        <v>1101</v>
      </c>
      <c r="D637" s="5" t="s">
        <v>1149</v>
      </c>
      <c r="E637" s="5" t="s">
        <v>864</v>
      </c>
      <c r="F637" s="5">
        <v>0</v>
      </c>
      <c r="G637" s="5">
        <v>0</v>
      </c>
      <c r="H637" s="5">
        <v>0</v>
      </c>
      <c r="I637" s="5">
        <v>0</v>
      </c>
      <c r="J637" s="5">
        <v>0</v>
      </c>
      <c r="K637" s="5">
        <v>0</v>
      </c>
      <c r="L637" s="5">
        <v>0</v>
      </c>
      <c r="M637" s="5">
        <v>0</v>
      </c>
      <c r="N637" s="5">
        <v>0</v>
      </c>
      <c r="O637" s="5">
        <v>0</v>
      </c>
      <c r="P637" s="5">
        <v>0</v>
      </c>
      <c r="Q637" s="5">
        <v>0</v>
      </c>
      <c r="R637" s="5">
        <v>0</v>
      </c>
    </row>
    <row r="638" spans="1:18" ht="15" customHeight="1" x14ac:dyDescent="0.25">
      <c r="A638" s="5">
        <v>6519</v>
      </c>
      <c r="B638" s="5" t="s">
        <v>18</v>
      </c>
      <c r="C638" s="5" t="s">
        <v>1101</v>
      </c>
      <c r="D638" s="5" t="s">
        <v>337</v>
      </c>
      <c r="E638" s="5" t="s">
        <v>837</v>
      </c>
      <c r="F638" s="5">
        <v>18</v>
      </c>
      <c r="G638" s="5">
        <v>5.67</v>
      </c>
      <c r="H638" s="5">
        <v>5.64</v>
      </c>
      <c r="I638" s="5">
        <v>1</v>
      </c>
      <c r="J638" s="5">
        <v>0</v>
      </c>
      <c r="K638" s="5">
        <v>0</v>
      </c>
      <c r="L638" s="5">
        <v>1</v>
      </c>
      <c r="M638" s="5">
        <v>0</v>
      </c>
      <c r="N638" s="5">
        <v>1</v>
      </c>
      <c r="O638" s="5">
        <v>0</v>
      </c>
      <c r="P638" s="5">
        <v>1</v>
      </c>
      <c r="Q638" s="5">
        <v>0</v>
      </c>
      <c r="R638" s="5">
        <v>0</v>
      </c>
    </row>
    <row r="639" spans="1:18" ht="15" customHeight="1" x14ac:dyDescent="0.25">
      <c r="A639" s="5">
        <v>1842</v>
      </c>
      <c r="B639" s="5" t="s">
        <v>18</v>
      </c>
      <c r="C639" s="5" t="s">
        <v>18</v>
      </c>
      <c r="D639" s="5" t="s">
        <v>1150</v>
      </c>
      <c r="E639" s="5" t="s">
        <v>839</v>
      </c>
      <c r="F639" s="5">
        <v>4</v>
      </c>
      <c r="G639" s="5">
        <v>6</v>
      </c>
      <c r="H639" s="5">
        <v>5.88</v>
      </c>
      <c r="I639" s="5">
        <v>0</v>
      </c>
      <c r="J639" s="5">
        <v>0</v>
      </c>
      <c r="K639" s="5">
        <v>0</v>
      </c>
      <c r="L639" s="5">
        <v>0</v>
      </c>
      <c r="M639" s="5">
        <v>0</v>
      </c>
      <c r="N639" s="5">
        <v>0</v>
      </c>
      <c r="O639" s="5">
        <v>0</v>
      </c>
      <c r="P639" s="5">
        <v>1</v>
      </c>
      <c r="Q639" s="5">
        <v>0</v>
      </c>
      <c r="R639" s="5">
        <v>0</v>
      </c>
    </row>
    <row r="640" spans="1:18" ht="15" customHeight="1" x14ac:dyDescent="0.25">
      <c r="A640" s="5">
        <v>5845</v>
      </c>
      <c r="B640" s="5" t="s">
        <v>18</v>
      </c>
      <c r="C640" s="5" t="s">
        <v>1101</v>
      </c>
      <c r="D640" s="5" t="s">
        <v>1151</v>
      </c>
      <c r="E640" s="5" t="s">
        <v>839</v>
      </c>
      <c r="F640" s="5">
        <v>0</v>
      </c>
      <c r="G640" s="5">
        <v>0</v>
      </c>
      <c r="H640" s="5">
        <v>0</v>
      </c>
      <c r="I640" s="5">
        <v>0</v>
      </c>
      <c r="J640" s="5">
        <v>0</v>
      </c>
      <c r="K640" s="5">
        <v>0</v>
      </c>
      <c r="L640" s="5">
        <v>0</v>
      </c>
      <c r="M640" s="5">
        <v>0</v>
      </c>
      <c r="N640" s="5">
        <v>0</v>
      </c>
      <c r="O640" s="5">
        <v>0</v>
      </c>
      <c r="P640" s="5">
        <v>0</v>
      </c>
      <c r="Q640" s="5">
        <v>0</v>
      </c>
      <c r="R640" s="5">
        <v>0</v>
      </c>
    </row>
    <row r="641" spans="1:18" ht="15" customHeight="1" x14ac:dyDescent="0.25">
      <c r="A641" s="5">
        <v>7161</v>
      </c>
      <c r="B641" s="5" t="s">
        <v>18</v>
      </c>
      <c r="C641" s="5" t="s">
        <v>1101</v>
      </c>
      <c r="D641" s="5" t="s">
        <v>572</v>
      </c>
      <c r="E641" s="5" t="s">
        <v>835</v>
      </c>
      <c r="F641" s="5">
        <v>12</v>
      </c>
      <c r="G641" s="5">
        <v>5.75</v>
      </c>
      <c r="H641" s="5">
        <v>5.83</v>
      </c>
      <c r="I641" s="5">
        <v>0</v>
      </c>
      <c r="J641" s="5">
        <v>0</v>
      </c>
      <c r="K641" s="5">
        <v>0</v>
      </c>
      <c r="L641" s="5">
        <v>0</v>
      </c>
      <c r="M641" s="5">
        <v>0</v>
      </c>
      <c r="N641" s="5">
        <v>0</v>
      </c>
      <c r="O641" s="5">
        <v>1</v>
      </c>
      <c r="P641" s="5">
        <v>0</v>
      </c>
      <c r="Q641" s="5">
        <v>0</v>
      </c>
      <c r="R641" s="5">
        <v>0</v>
      </c>
    </row>
    <row r="642" spans="1:18" ht="15" customHeight="1" x14ac:dyDescent="0.25">
      <c r="A642" s="5">
        <v>313</v>
      </c>
      <c r="B642" s="5" t="s">
        <v>18</v>
      </c>
      <c r="C642" s="5" t="s">
        <v>1101</v>
      </c>
      <c r="D642" s="5" t="s">
        <v>463</v>
      </c>
      <c r="E642" s="5" t="s">
        <v>827</v>
      </c>
      <c r="F642" s="5">
        <v>17</v>
      </c>
      <c r="G642" s="5">
        <v>5.5</v>
      </c>
      <c r="H642" s="5">
        <v>5.21</v>
      </c>
      <c r="I642" s="5">
        <v>0</v>
      </c>
      <c r="J642" s="5">
        <v>0</v>
      </c>
      <c r="K642" s="5">
        <v>0</v>
      </c>
      <c r="L642" s="5">
        <v>1</v>
      </c>
      <c r="M642" s="5">
        <v>0</v>
      </c>
      <c r="N642" s="5">
        <v>1</v>
      </c>
      <c r="O642" s="5">
        <v>0</v>
      </c>
      <c r="P642" s="5">
        <v>2</v>
      </c>
      <c r="Q642" s="5">
        <v>1</v>
      </c>
      <c r="R642" s="5">
        <v>0</v>
      </c>
    </row>
    <row r="643" spans="1:18" ht="15" customHeight="1" x14ac:dyDescent="0.25">
      <c r="A643" s="5">
        <v>7239</v>
      </c>
      <c r="B643" s="5" t="s">
        <v>18</v>
      </c>
      <c r="C643" s="5" t="s">
        <v>1101</v>
      </c>
      <c r="D643" s="5" t="s">
        <v>1152</v>
      </c>
      <c r="E643" s="5" t="s">
        <v>829</v>
      </c>
      <c r="F643" s="5">
        <v>2</v>
      </c>
      <c r="G643" s="5">
        <v>5.75</v>
      </c>
      <c r="H643" s="5">
        <v>5.75</v>
      </c>
      <c r="I643" s="5">
        <v>0</v>
      </c>
      <c r="J643" s="5">
        <v>0</v>
      </c>
      <c r="K643" s="5">
        <v>0</v>
      </c>
      <c r="L643" s="5">
        <v>0</v>
      </c>
      <c r="M643" s="5">
        <v>0</v>
      </c>
      <c r="N643" s="5">
        <v>0</v>
      </c>
      <c r="O643" s="5">
        <v>0</v>
      </c>
      <c r="P643" s="5">
        <v>0</v>
      </c>
      <c r="Q643" s="5">
        <v>0</v>
      </c>
      <c r="R643" s="5">
        <v>0</v>
      </c>
    </row>
    <row r="644" spans="1:18" ht="15" customHeight="1" x14ac:dyDescent="0.25">
      <c r="A644" s="5">
        <v>7264</v>
      </c>
      <c r="B644" s="5" t="s">
        <v>18</v>
      </c>
      <c r="C644" s="5" t="s">
        <v>1101</v>
      </c>
      <c r="D644" s="5" t="s">
        <v>1153</v>
      </c>
      <c r="E644" s="5" t="s">
        <v>830</v>
      </c>
      <c r="F644" s="5">
        <v>1</v>
      </c>
      <c r="G644" s="5">
        <v>5.5</v>
      </c>
      <c r="H644" s="5">
        <v>5.5</v>
      </c>
      <c r="I644" s="5">
        <v>0</v>
      </c>
      <c r="J644" s="5">
        <v>0</v>
      </c>
      <c r="K644" s="5">
        <v>0</v>
      </c>
      <c r="L644" s="5">
        <v>0</v>
      </c>
      <c r="M644" s="5">
        <v>0</v>
      </c>
      <c r="N644" s="5">
        <v>0</v>
      </c>
      <c r="O644" s="5">
        <v>0</v>
      </c>
      <c r="P644" s="5">
        <v>0</v>
      </c>
      <c r="Q644" s="5">
        <v>0</v>
      </c>
      <c r="R644" s="5">
        <v>0</v>
      </c>
    </row>
    <row r="645" spans="1:18" ht="15" customHeight="1" x14ac:dyDescent="0.25">
      <c r="A645" s="5">
        <v>6555</v>
      </c>
      <c r="B645" s="5" t="s">
        <v>18</v>
      </c>
      <c r="C645" s="5" t="s">
        <v>1101</v>
      </c>
      <c r="D645" s="5" t="s">
        <v>1154</v>
      </c>
      <c r="E645" s="5" t="s">
        <v>862</v>
      </c>
      <c r="F645" s="5">
        <v>5</v>
      </c>
      <c r="G645" s="5">
        <v>5.6</v>
      </c>
      <c r="H645" s="5">
        <v>5.6</v>
      </c>
      <c r="I645" s="5">
        <v>0</v>
      </c>
      <c r="J645" s="5">
        <v>0</v>
      </c>
      <c r="K645" s="5">
        <v>0</v>
      </c>
      <c r="L645" s="5">
        <v>0</v>
      </c>
      <c r="M645" s="5">
        <v>0</v>
      </c>
      <c r="N645" s="5">
        <v>0</v>
      </c>
      <c r="O645" s="5">
        <v>0</v>
      </c>
      <c r="P645" s="5">
        <v>0</v>
      </c>
      <c r="Q645" s="5">
        <v>0</v>
      </c>
      <c r="R645" s="5">
        <v>0</v>
      </c>
    </row>
    <row r="646" spans="1:18" ht="15" customHeight="1" x14ac:dyDescent="0.25">
      <c r="A646" s="5">
        <v>7338</v>
      </c>
      <c r="B646" s="5" t="s">
        <v>18</v>
      </c>
      <c r="C646" s="5" t="s">
        <v>18</v>
      </c>
      <c r="D646" s="5" t="s">
        <v>627</v>
      </c>
      <c r="E646" s="5" t="s">
        <v>832</v>
      </c>
      <c r="F646" s="5">
        <v>2</v>
      </c>
      <c r="G646" s="5">
        <v>6</v>
      </c>
      <c r="H646" s="5">
        <v>6</v>
      </c>
      <c r="I646" s="5">
        <v>0</v>
      </c>
      <c r="J646" s="5">
        <v>0</v>
      </c>
      <c r="K646" s="5">
        <v>0</v>
      </c>
      <c r="L646" s="5">
        <v>0</v>
      </c>
      <c r="M646" s="5">
        <v>0</v>
      </c>
      <c r="N646" s="5">
        <v>0</v>
      </c>
      <c r="O646" s="5">
        <v>0</v>
      </c>
      <c r="P646" s="5">
        <v>0</v>
      </c>
      <c r="Q646" s="5">
        <v>0</v>
      </c>
      <c r="R646" s="5">
        <v>0</v>
      </c>
    </row>
    <row r="647" spans="1:18" ht="15" customHeight="1" x14ac:dyDescent="0.25">
      <c r="A647" s="5">
        <v>7381</v>
      </c>
      <c r="B647" s="5" t="s">
        <v>18</v>
      </c>
      <c r="C647" s="5" t="s">
        <v>1101</v>
      </c>
      <c r="D647" s="5" t="s">
        <v>1155</v>
      </c>
      <c r="E647" s="5" t="s">
        <v>838</v>
      </c>
      <c r="F647" s="5">
        <v>1</v>
      </c>
      <c r="G647" s="5">
        <v>6</v>
      </c>
      <c r="H647" s="5">
        <v>6</v>
      </c>
      <c r="I647" s="5">
        <v>0</v>
      </c>
      <c r="J647" s="5">
        <v>0</v>
      </c>
      <c r="K647" s="5">
        <v>0</v>
      </c>
      <c r="L647" s="5">
        <v>0</v>
      </c>
      <c r="M647" s="5">
        <v>0</v>
      </c>
      <c r="N647" s="5">
        <v>0</v>
      </c>
      <c r="O647" s="5">
        <v>0</v>
      </c>
      <c r="P647" s="5">
        <v>0</v>
      </c>
      <c r="Q647" s="5">
        <v>0</v>
      </c>
      <c r="R647" s="5">
        <v>0</v>
      </c>
    </row>
    <row r="648" spans="1:18" ht="15" customHeight="1" x14ac:dyDescent="0.25">
      <c r="A648" s="5">
        <v>7027</v>
      </c>
      <c r="B648" s="5" t="s">
        <v>18</v>
      </c>
      <c r="C648" s="5" t="s">
        <v>1101</v>
      </c>
      <c r="D648" s="5" t="s">
        <v>628</v>
      </c>
      <c r="E648" s="5" t="s">
        <v>827</v>
      </c>
      <c r="F648" s="5">
        <v>0</v>
      </c>
      <c r="G648" s="5">
        <v>0</v>
      </c>
      <c r="H648" s="5">
        <v>0</v>
      </c>
      <c r="I648" s="5">
        <v>0</v>
      </c>
      <c r="J648" s="5">
        <v>0</v>
      </c>
      <c r="K648" s="5">
        <v>0</v>
      </c>
      <c r="L648" s="5">
        <v>0</v>
      </c>
      <c r="M648" s="5">
        <v>0</v>
      </c>
      <c r="N648" s="5">
        <v>0</v>
      </c>
      <c r="O648" s="5">
        <v>0</v>
      </c>
      <c r="P648" s="5">
        <v>0</v>
      </c>
      <c r="Q648" s="5">
        <v>0</v>
      </c>
      <c r="R648" s="5">
        <v>0</v>
      </c>
    </row>
    <row r="649" spans="1:18" ht="15" customHeight="1" x14ac:dyDescent="0.25">
      <c r="A649" s="5">
        <v>6657</v>
      </c>
      <c r="B649" s="5" t="s">
        <v>18</v>
      </c>
      <c r="C649" s="5" t="s">
        <v>1101</v>
      </c>
      <c r="D649" s="5" t="s">
        <v>1156</v>
      </c>
      <c r="E649" s="5" t="s">
        <v>827</v>
      </c>
      <c r="F649" s="5">
        <v>0</v>
      </c>
      <c r="G649" s="5">
        <v>0</v>
      </c>
      <c r="H649" s="5">
        <v>0</v>
      </c>
      <c r="I649" s="5">
        <v>0</v>
      </c>
      <c r="J649" s="5">
        <v>0</v>
      </c>
      <c r="K649" s="5">
        <v>0</v>
      </c>
      <c r="L649" s="5">
        <v>0</v>
      </c>
      <c r="M649" s="5">
        <v>0</v>
      </c>
      <c r="N649" s="5">
        <v>0</v>
      </c>
      <c r="O649" s="5">
        <v>0</v>
      </c>
      <c r="P649" s="5">
        <v>0</v>
      </c>
      <c r="Q649" s="5">
        <v>0</v>
      </c>
      <c r="R649" s="5">
        <v>0</v>
      </c>
    </row>
    <row r="650" spans="1:18" ht="15" customHeight="1" x14ac:dyDescent="0.25">
      <c r="A650" s="5">
        <v>7134</v>
      </c>
      <c r="B650" s="5" t="s">
        <v>18</v>
      </c>
      <c r="C650" s="5" t="s">
        <v>1101</v>
      </c>
      <c r="D650" s="5" t="s">
        <v>1157</v>
      </c>
      <c r="E650" s="5" t="s">
        <v>862</v>
      </c>
      <c r="F650" s="5">
        <v>0</v>
      </c>
      <c r="G650" s="5">
        <v>0</v>
      </c>
      <c r="H650" s="5">
        <v>0</v>
      </c>
      <c r="I650" s="5">
        <v>0</v>
      </c>
      <c r="J650" s="5">
        <v>0</v>
      </c>
      <c r="K650" s="5">
        <v>0</v>
      </c>
      <c r="L650" s="5">
        <v>0</v>
      </c>
      <c r="M650" s="5">
        <v>0</v>
      </c>
      <c r="N650" s="5">
        <v>0</v>
      </c>
      <c r="O650" s="5">
        <v>0</v>
      </c>
      <c r="P650" s="5">
        <v>0</v>
      </c>
      <c r="Q650" s="5">
        <v>0</v>
      </c>
      <c r="R650" s="5">
        <v>0</v>
      </c>
    </row>
    <row r="651" spans="1:18" ht="15" customHeight="1" x14ac:dyDescent="0.25">
      <c r="A651" s="5">
        <v>2012</v>
      </c>
      <c r="B651" s="5" t="s">
        <v>18</v>
      </c>
      <c r="C651" s="5" t="s">
        <v>1101</v>
      </c>
      <c r="D651" s="5" t="s">
        <v>1158</v>
      </c>
      <c r="E651" s="5" t="s">
        <v>833</v>
      </c>
      <c r="F651" s="5">
        <v>2</v>
      </c>
      <c r="G651" s="5">
        <v>6</v>
      </c>
      <c r="H651" s="5">
        <v>6</v>
      </c>
      <c r="I651" s="5">
        <v>0</v>
      </c>
      <c r="J651" s="5">
        <v>0</v>
      </c>
      <c r="K651" s="5">
        <v>0</v>
      </c>
      <c r="L651" s="5">
        <v>0</v>
      </c>
      <c r="M651" s="5">
        <v>0</v>
      </c>
      <c r="N651" s="5">
        <v>0</v>
      </c>
      <c r="O651" s="5">
        <v>0</v>
      </c>
      <c r="P651" s="5">
        <v>0</v>
      </c>
      <c r="Q651" s="5">
        <v>0</v>
      </c>
      <c r="R651" s="5">
        <v>0</v>
      </c>
    </row>
    <row r="652" spans="1:18" ht="15" customHeight="1" x14ac:dyDescent="0.25">
      <c r="A652" s="5">
        <v>7171</v>
      </c>
      <c r="B652" s="5" t="s">
        <v>18</v>
      </c>
      <c r="C652" s="5" t="s">
        <v>18</v>
      </c>
      <c r="D652" s="5" t="s">
        <v>1159</v>
      </c>
      <c r="E652" s="5" t="s">
        <v>867</v>
      </c>
      <c r="F652" s="5">
        <v>0</v>
      </c>
      <c r="G652" s="5">
        <v>0</v>
      </c>
      <c r="H652" s="5">
        <v>0</v>
      </c>
      <c r="I652" s="5">
        <v>0</v>
      </c>
      <c r="J652" s="5">
        <v>0</v>
      </c>
      <c r="K652" s="5">
        <v>0</v>
      </c>
      <c r="L652" s="5">
        <v>0</v>
      </c>
      <c r="M652" s="5">
        <v>0</v>
      </c>
      <c r="N652" s="5">
        <v>0</v>
      </c>
      <c r="O652" s="5">
        <v>0</v>
      </c>
      <c r="P652" s="5">
        <v>0</v>
      </c>
      <c r="Q652" s="5">
        <v>0</v>
      </c>
      <c r="R652" s="5">
        <v>0</v>
      </c>
    </row>
    <row r="653" spans="1:18" ht="15" customHeight="1" x14ac:dyDescent="0.25">
      <c r="A653" s="5">
        <v>7152</v>
      </c>
      <c r="B653" s="5" t="s">
        <v>18</v>
      </c>
      <c r="C653" s="5" t="s">
        <v>1101</v>
      </c>
      <c r="D653" s="5" t="s">
        <v>1160</v>
      </c>
      <c r="E653" s="5" t="s">
        <v>867</v>
      </c>
      <c r="F653" s="5">
        <v>0</v>
      </c>
      <c r="G653" s="5">
        <v>0</v>
      </c>
      <c r="H653" s="5">
        <v>0</v>
      </c>
      <c r="I653" s="5">
        <v>0</v>
      </c>
      <c r="J653" s="5">
        <v>0</v>
      </c>
      <c r="K653" s="5">
        <v>0</v>
      </c>
      <c r="L653" s="5">
        <v>0</v>
      </c>
      <c r="M653" s="5">
        <v>0</v>
      </c>
      <c r="N653" s="5">
        <v>0</v>
      </c>
      <c r="O653" s="5">
        <v>0</v>
      </c>
      <c r="P653" s="5">
        <v>0</v>
      </c>
      <c r="Q653" s="5">
        <v>0</v>
      </c>
      <c r="R653" s="5">
        <v>0</v>
      </c>
    </row>
    <row r="654" spans="1:18" ht="15" customHeight="1" x14ac:dyDescent="0.25">
      <c r="A654" s="5">
        <v>7158</v>
      </c>
      <c r="B654" s="5" t="s">
        <v>18</v>
      </c>
      <c r="C654" s="5" t="s">
        <v>1101</v>
      </c>
      <c r="D654" s="5" t="s">
        <v>629</v>
      </c>
      <c r="E654" s="5" t="s">
        <v>839</v>
      </c>
      <c r="F654" s="5">
        <v>6</v>
      </c>
      <c r="G654" s="5">
        <v>5.58</v>
      </c>
      <c r="H654" s="5">
        <v>5.5</v>
      </c>
      <c r="I654" s="5">
        <v>0</v>
      </c>
      <c r="J654" s="5">
        <v>0</v>
      </c>
      <c r="K654" s="5">
        <v>0</v>
      </c>
      <c r="L654" s="5">
        <v>0</v>
      </c>
      <c r="M654" s="5">
        <v>0</v>
      </c>
      <c r="N654" s="5">
        <v>0</v>
      </c>
      <c r="O654" s="5">
        <v>0</v>
      </c>
      <c r="P654" s="5">
        <v>1</v>
      </c>
      <c r="Q654" s="5">
        <v>0</v>
      </c>
      <c r="R654" s="5">
        <v>0</v>
      </c>
    </row>
    <row r="655" spans="1:18" ht="15" customHeight="1" x14ac:dyDescent="0.25">
      <c r="A655" s="5">
        <v>7159</v>
      </c>
      <c r="B655" s="5" t="s">
        <v>18</v>
      </c>
      <c r="C655" s="5" t="s">
        <v>1101</v>
      </c>
      <c r="D655" s="5" t="s">
        <v>1161</v>
      </c>
      <c r="E655" s="5" t="s">
        <v>839</v>
      </c>
      <c r="F655" s="5">
        <v>0</v>
      </c>
      <c r="G655" s="5">
        <v>0</v>
      </c>
      <c r="H655" s="5">
        <v>0</v>
      </c>
      <c r="I655" s="5">
        <v>0</v>
      </c>
      <c r="J655" s="5">
        <v>0</v>
      </c>
      <c r="K655" s="5">
        <v>0</v>
      </c>
      <c r="L655" s="5">
        <v>0</v>
      </c>
      <c r="M655" s="5">
        <v>0</v>
      </c>
      <c r="N655" s="5">
        <v>0</v>
      </c>
      <c r="O655" s="5">
        <v>0</v>
      </c>
      <c r="P655" s="5">
        <v>0</v>
      </c>
      <c r="Q655" s="5">
        <v>0</v>
      </c>
      <c r="R655" s="5">
        <v>0</v>
      </c>
    </row>
    <row r="656" spans="1:18" ht="15" customHeight="1" x14ac:dyDescent="0.25">
      <c r="A656" s="5">
        <v>6635</v>
      </c>
      <c r="B656" s="5" t="s">
        <v>18</v>
      </c>
      <c r="C656" s="5" t="s">
        <v>1101</v>
      </c>
      <c r="D656" s="5" t="s">
        <v>1162</v>
      </c>
      <c r="E656" s="5" t="s">
        <v>835</v>
      </c>
      <c r="F656" s="5">
        <v>0</v>
      </c>
      <c r="G656" s="5">
        <v>0</v>
      </c>
      <c r="H656" s="5">
        <v>0</v>
      </c>
      <c r="I656" s="5">
        <v>0</v>
      </c>
      <c r="J656" s="5">
        <v>0</v>
      </c>
      <c r="K656" s="5">
        <v>0</v>
      </c>
      <c r="L656" s="5">
        <v>0</v>
      </c>
      <c r="M656" s="5">
        <v>0</v>
      </c>
      <c r="N656" s="5">
        <v>0</v>
      </c>
      <c r="O656" s="5">
        <v>0</v>
      </c>
      <c r="P656" s="5">
        <v>0</v>
      </c>
      <c r="Q656" s="5">
        <v>0</v>
      </c>
      <c r="R656" s="5">
        <v>0</v>
      </c>
    </row>
    <row r="657" spans="1:18" ht="15" customHeight="1" x14ac:dyDescent="0.25">
      <c r="A657" s="5">
        <v>7183</v>
      </c>
      <c r="B657" s="5" t="s">
        <v>18</v>
      </c>
      <c r="C657" s="5" t="s">
        <v>18</v>
      </c>
      <c r="D657" s="5" t="s">
        <v>528</v>
      </c>
      <c r="E657" s="5" t="s">
        <v>843</v>
      </c>
      <c r="F657" s="5">
        <v>11</v>
      </c>
      <c r="G657" s="5">
        <v>5.77</v>
      </c>
      <c r="H657" s="5">
        <v>5.64</v>
      </c>
      <c r="I657" s="5">
        <v>0</v>
      </c>
      <c r="J657" s="5">
        <v>0</v>
      </c>
      <c r="K657" s="5">
        <v>0</v>
      </c>
      <c r="L657" s="5">
        <v>0</v>
      </c>
      <c r="M657" s="5">
        <v>0</v>
      </c>
      <c r="N657" s="5">
        <v>0</v>
      </c>
      <c r="O657" s="5">
        <v>0</v>
      </c>
      <c r="P657" s="5">
        <v>4</v>
      </c>
      <c r="Q657" s="5">
        <v>0</v>
      </c>
      <c r="R657" s="5">
        <v>0</v>
      </c>
    </row>
    <row r="658" spans="1:18" ht="15" customHeight="1" x14ac:dyDescent="0.25">
      <c r="A658" s="5">
        <v>7213</v>
      </c>
      <c r="B658" s="5" t="s">
        <v>18</v>
      </c>
      <c r="C658" s="5" t="s">
        <v>1101</v>
      </c>
      <c r="D658" s="5" t="s">
        <v>399</v>
      </c>
      <c r="E658" s="5" t="s">
        <v>838</v>
      </c>
      <c r="F658" s="5">
        <v>0</v>
      </c>
      <c r="G658" s="5">
        <v>0</v>
      </c>
      <c r="H658" s="5">
        <v>0</v>
      </c>
      <c r="I658" s="5">
        <v>0</v>
      </c>
      <c r="J658" s="5">
        <v>0</v>
      </c>
      <c r="K658" s="5">
        <v>0</v>
      </c>
      <c r="L658" s="5">
        <v>0</v>
      </c>
      <c r="M658" s="5">
        <v>0</v>
      </c>
      <c r="N658" s="5">
        <v>0</v>
      </c>
      <c r="O658" s="5">
        <v>0</v>
      </c>
      <c r="P658" s="5">
        <v>0</v>
      </c>
      <c r="Q658" s="5">
        <v>0</v>
      </c>
      <c r="R658" s="5">
        <v>0</v>
      </c>
    </row>
    <row r="659" spans="1:18" ht="15" customHeight="1" x14ac:dyDescent="0.25">
      <c r="A659" s="5">
        <v>2762</v>
      </c>
      <c r="B659" s="5" t="s">
        <v>18</v>
      </c>
      <c r="C659" s="5" t="s">
        <v>18</v>
      </c>
      <c r="D659" s="5" t="s">
        <v>1163</v>
      </c>
      <c r="E659" s="5" t="s">
        <v>829</v>
      </c>
      <c r="F659" s="5">
        <v>1</v>
      </c>
      <c r="G659" s="5">
        <v>6</v>
      </c>
      <c r="H659" s="5">
        <v>6</v>
      </c>
      <c r="I659" s="5">
        <v>0</v>
      </c>
      <c r="J659" s="5">
        <v>0</v>
      </c>
      <c r="K659" s="5">
        <v>0</v>
      </c>
      <c r="L659" s="5">
        <v>0</v>
      </c>
      <c r="M659" s="5">
        <v>0</v>
      </c>
      <c r="N659" s="5">
        <v>0</v>
      </c>
      <c r="O659" s="5">
        <v>0</v>
      </c>
      <c r="P659" s="5">
        <v>0</v>
      </c>
      <c r="Q659" s="5">
        <v>0</v>
      </c>
      <c r="R659" s="5">
        <v>0</v>
      </c>
    </row>
    <row r="660" spans="1:18" ht="15" customHeight="1" x14ac:dyDescent="0.25">
      <c r="A660" s="5">
        <v>7262</v>
      </c>
      <c r="B660" s="5" t="s">
        <v>18</v>
      </c>
      <c r="C660" s="5" t="s">
        <v>18</v>
      </c>
      <c r="D660" s="5" t="s">
        <v>1164</v>
      </c>
      <c r="E660" s="5" t="s">
        <v>828</v>
      </c>
      <c r="F660" s="5">
        <v>0</v>
      </c>
      <c r="G660" s="5">
        <v>0</v>
      </c>
      <c r="H660" s="5">
        <v>0</v>
      </c>
      <c r="I660" s="5">
        <v>0</v>
      </c>
      <c r="J660" s="5">
        <v>0</v>
      </c>
      <c r="K660" s="5">
        <v>0</v>
      </c>
      <c r="L660" s="5">
        <v>0</v>
      </c>
      <c r="M660" s="5">
        <v>0</v>
      </c>
      <c r="N660" s="5">
        <v>0</v>
      </c>
      <c r="O660" s="5">
        <v>0</v>
      </c>
      <c r="P660" s="5">
        <v>0</v>
      </c>
      <c r="Q660" s="5">
        <v>0</v>
      </c>
      <c r="R660" s="5">
        <v>0</v>
      </c>
    </row>
    <row r="661" spans="1:18" ht="15" customHeight="1" x14ac:dyDescent="0.25">
      <c r="A661" s="5">
        <v>7277</v>
      </c>
      <c r="B661" s="5" t="s">
        <v>18</v>
      </c>
      <c r="C661" s="5" t="s">
        <v>1101</v>
      </c>
      <c r="D661" s="5" t="s">
        <v>1165</v>
      </c>
      <c r="E661" s="5" t="s">
        <v>824</v>
      </c>
      <c r="F661" s="5">
        <v>1</v>
      </c>
      <c r="G661" s="5">
        <v>6</v>
      </c>
      <c r="H661" s="5">
        <v>6</v>
      </c>
      <c r="I661" s="5">
        <v>0</v>
      </c>
      <c r="J661" s="5">
        <v>0</v>
      </c>
      <c r="K661" s="5">
        <v>0</v>
      </c>
      <c r="L661" s="5">
        <v>0</v>
      </c>
      <c r="M661" s="5">
        <v>0</v>
      </c>
      <c r="N661" s="5">
        <v>0</v>
      </c>
      <c r="O661" s="5">
        <v>0</v>
      </c>
      <c r="P661" s="5">
        <v>0</v>
      </c>
      <c r="Q661" s="5">
        <v>0</v>
      </c>
      <c r="R661" s="5">
        <v>0</v>
      </c>
    </row>
    <row r="662" spans="1:18" ht="15" customHeight="1" x14ac:dyDescent="0.25">
      <c r="A662" s="5">
        <v>7309</v>
      </c>
      <c r="B662" s="5" t="s">
        <v>18</v>
      </c>
      <c r="C662" s="5" t="s">
        <v>1101</v>
      </c>
      <c r="D662" s="5" t="s">
        <v>1166</v>
      </c>
      <c r="E662" s="5" t="s">
        <v>864</v>
      </c>
      <c r="F662" s="5">
        <v>1</v>
      </c>
      <c r="G662" s="5">
        <v>6</v>
      </c>
      <c r="H662" s="5">
        <v>6</v>
      </c>
      <c r="I662" s="5">
        <v>0</v>
      </c>
      <c r="J662" s="5">
        <v>0</v>
      </c>
      <c r="K662" s="5">
        <v>0</v>
      </c>
      <c r="L662" s="5">
        <v>0</v>
      </c>
      <c r="M662" s="5">
        <v>0</v>
      </c>
      <c r="N662" s="5">
        <v>0</v>
      </c>
      <c r="O662" s="5">
        <v>0</v>
      </c>
      <c r="P662" s="5">
        <v>0</v>
      </c>
      <c r="Q662" s="5">
        <v>0</v>
      </c>
      <c r="R662" s="5">
        <v>0</v>
      </c>
    </row>
    <row r="663" spans="1:18" ht="15" customHeight="1" x14ac:dyDescent="0.25">
      <c r="A663" s="5">
        <v>7317</v>
      </c>
      <c r="B663" s="5" t="s">
        <v>18</v>
      </c>
      <c r="C663" s="5" t="s">
        <v>1101</v>
      </c>
      <c r="D663" s="5" t="s">
        <v>579</v>
      </c>
      <c r="E663" s="5" t="s">
        <v>832</v>
      </c>
      <c r="F663" s="5">
        <v>3</v>
      </c>
      <c r="G663" s="5">
        <v>5.67</v>
      </c>
      <c r="H663" s="5">
        <v>5.67</v>
      </c>
      <c r="I663" s="5">
        <v>0</v>
      </c>
      <c r="J663" s="5">
        <v>0</v>
      </c>
      <c r="K663" s="5">
        <v>0</v>
      </c>
      <c r="L663" s="5">
        <v>0</v>
      </c>
      <c r="M663" s="5">
        <v>0</v>
      </c>
      <c r="N663" s="5">
        <v>0</v>
      </c>
      <c r="O663" s="5">
        <v>0</v>
      </c>
      <c r="P663" s="5">
        <v>0</v>
      </c>
      <c r="Q663" s="5">
        <v>0</v>
      </c>
      <c r="R663" s="5">
        <v>0</v>
      </c>
    </row>
    <row r="664" spans="1:18" ht="15" customHeight="1" x14ac:dyDescent="0.25">
      <c r="A664" s="5">
        <v>7368</v>
      </c>
      <c r="B664" s="5" t="s">
        <v>18</v>
      </c>
      <c r="C664" s="5" t="s">
        <v>1101</v>
      </c>
      <c r="D664" s="5" t="s">
        <v>1167</v>
      </c>
      <c r="E664" s="5" t="s">
        <v>864</v>
      </c>
      <c r="F664" s="5">
        <v>1</v>
      </c>
      <c r="G664" s="5">
        <v>6.5</v>
      </c>
      <c r="H664" s="5">
        <v>6.5</v>
      </c>
      <c r="I664" s="5">
        <v>0</v>
      </c>
      <c r="J664" s="5">
        <v>0</v>
      </c>
      <c r="K664" s="5">
        <v>0</v>
      </c>
      <c r="L664" s="5">
        <v>0</v>
      </c>
      <c r="M664" s="5">
        <v>0</v>
      </c>
      <c r="N664" s="5">
        <v>0</v>
      </c>
      <c r="O664" s="5">
        <v>0</v>
      </c>
      <c r="P664" s="5">
        <v>0</v>
      </c>
      <c r="Q664" s="5">
        <v>0</v>
      </c>
      <c r="R664" s="5">
        <v>0</v>
      </c>
    </row>
    <row r="665" spans="1:18" ht="15" customHeight="1" x14ac:dyDescent="0.25">
      <c r="A665" s="5">
        <v>7388</v>
      </c>
      <c r="B665" s="5" t="s">
        <v>18</v>
      </c>
      <c r="C665" s="5" t="s">
        <v>18</v>
      </c>
      <c r="D665" s="5" t="s">
        <v>1168</v>
      </c>
      <c r="E665" s="5" t="s">
        <v>825</v>
      </c>
      <c r="F665" s="5">
        <v>0</v>
      </c>
      <c r="G665" s="5">
        <v>0</v>
      </c>
      <c r="H665" s="5">
        <v>0</v>
      </c>
      <c r="I665" s="5">
        <v>0</v>
      </c>
      <c r="J665" s="5">
        <v>0</v>
      </c>
      <c r="K665" s="5">
        <v>0</v>
      </c>
      <c r="L665" s="5">
        <v>0</v>
      </c>
      <c r="M665" s="5">
        <v>0</v>
      </c>
      <c r="N665" s="5">
        <v>0</v>
      </c>
      <c r="O665" s="5">
        <v>0</v>
      </c>
      <c r="P665" s="5">
        <v>0</v>
      </c>
      <c r="Q665" s="5">
        <v>0</v>
      </c>
      <c r="R665" s="5">
        <v>0</v>
      </c>
    </row>
  </sheetData>
  <mergeCells count="1">
    <mergeCell ref="A1:R1"/>
  </mergeCells>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18"/>
  <sheetViews>
    <sheetView zoomScaleNormal="100" workbookViewId="0">
      <selection activeCell="D9" sqref="D9"/>
    </sheetView>
  </sheetViews>
  <sheetFormatPr defaultColWidth="8.5703125" defaultRowHeight="15" x14ac:dyDescent="0.25"/>
  <cols>
    <col min="1" max="1" width="22.5703125" customWidth="1"/>
  </cols>
  <sheetData>
    <row r="1" spans="1:3" ht="14.25" customHeight="1" x14ac:dyDescent="0.25">
      <c r="A1" s="29" t="s">
        <v>693</v>
      </c>
    </row>
    <row r="2" spans="1:3" ht="14.25" customHeight="1" x14ac:dyDescent="0.25">
      <c r="A2" t="s">
        <v>694</v>
      </c>
      <c r="B2" t="s">
        <v>690</v>
      </c>
      <c r="C2" s="30" t="s">
        <v>698</v>
      </c>
    </row>
    <row r="3" spans="1:3" ht="14.25" customHeight="1" x14ac:dyDescent="0.25">
      <c r="A3" t="s">
        <v>1169</v>
      </c>
      <c r="B3" t="s">
        <v>692</v>
      </c>
      <c r="C3" s="30" t="s">
        <v>1170</v>
      </c>
    </row>
    <row r="4" spans="1:3" ht="14.25" customHeight="1" x14ac:dyDescent="0.25">
      <c r="A4" t="s">
        <v>1171</v>
      </c>
      <c r="C4" s="30" t="s">
        <v>1172</v>
      </c>
    </row>
    <row r="5" spans="1:3" ht="14.25" customHeight="1" x14ac:dyDescent="0.25">
      <c r="A5" t="s">
        <v>1173</v>
      </c>
      <c r="C5" s="30" t="s">
        <v>1174</v>
      </c>
    </row>
    <row r="6" spans="1:3" ht="14.25" customHeight="1" x14ac:dyDescent="0.25">
      <c r="C6" s="30" t="s">
        <v>1175</v>
      </c>
    </row>
    <row r="7" spans="1:3" ht="14.25" customHeight="1" x14ac:dyDescent="0.25">
      <c r="C7" s="30" t="s">
        <v>1176</v>
      </c>
    </row>
    <row r="8" spans="1:3" ht="14.25" customHeight="1" x14ac:dyDescent="0.25">
      <c r="C8" s="30" t="s">
        <v>1177</v>
      </c>
    </row>
    <row r="9" spans="1:3" ht="14.25" customHeight="1" x14ac:dyDescent="0.25">
      <c r="C9" s="30" t="s">
        <v>1178</v>
      </c>
    </row>
    <row r="10" spans="1:3" ht="14.25" customHeight="1" x14ac:dyDescent="0.25">
      <c r="C10" s="30" t="s">
        <v>1172</v>
      </c>
    </row>
    <row r="11" spans="1:3" ht="14.25" customHeight="1" x14ac:dyDescent="0.25">
      <c r="C11" s="30" t="s">
        <v>1179</v>
      </c>
    </row>
    <row r="12" spans="1:3" ht="14.25" customHeight="1" x14ac:dyDescent="0.25">
      <c r="C12" s="30"/>
    </row>
    <row r="13" spans="1:3" ht="14.25" customHeight="1" x14ac:dyDescent="0.25">
      <c r="C13" s="30"/>
    </row>
    <row r="14" spans="1:3" ht="14.25" customHeight="1" x14ac:dyDescent="0.25">
      <c r="C14" s="30"/>
    </row>
    <row r="15" spans="1:3" ht="14.25" customHeight="1" x14ac:dyDescent="0.25">
      <c r="C15" s="30"/>
    </row>
    <row r="16" spans="1:3" ht="14.25" customHeight="1" x14ac:dyDescent="0.25">
      <c r="C16" s="30"/>
    </row>
    <row r="17" spans="3:3" ht="14.25" customHeight="1" x14ac:dyDescent="0.25">
      <c r="C17" s="30"/>
    </row>
    <row r="18" spans="3:3" ht="14.25" customHeight="1" x14ac:dyDescent="0.25">
      <c r="C18" s="30"/>
    </row>
  </sheetData>
  <pageMargins left="0.7" right="0.7" top="0.75" bottom="0.75"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G45"/>
  <sheetViews>
    <sheetView showGridLines="0" topLeftCell="A4" workbookViewId="0">
      <selection sqref="A1:G1"/>
    </sheetView>
  </sheetViews>
  <sheetFormatPr defaultRowHeight="15" x14ac:dyDescent="0.25"/>
  <cols>
    <col min="1" max="1" width="20" customWidth="1"/>
    <col min="2" max="6" width="16" customWidth="1"/>
    <col min="7" max="7" width="70" customWidth="1"/>
  </cols>
  <sheetData>
    <row r="1" spans="1:7" ht="20.25" customHeight="1" x14ac:dyDescent="0.3">
      <c r="A1" s="61" t="s">
        <v>1180</v>
      </c>
      <c r="B1" s="62"/>
      <c r="C1" s="62"/>
      <c r="D1" s="62"/>
      <c r="E1" s="62"/>
      <c r="F1" s="62"/>
      <c r="G1" s="62"/>
    </row>
    <row r="2" spans="1:7" x14ac:dyDescent="0.25">
      <c r="A2" s="66" t="s">
        <v>1181</v>
      </c>
      <c r="B2" s="62"/>
      <c r="C2" s="62"/>
      <c r="D2" s="62"/>
      <c r="E2" s="62"/>
      <c r="F2" s="62"/>
      <c r="G2" s="62"/>
    </row>
    <row r="4" spans="1:7" ht="15.75" customHeight="1" x14ac:dyDescent="0.25">
      <c r="A4" s="54" t="s">
        <v>1182</v>
      </c>
    </row>
    <row r="5" spans="1:7" x14ac:dyDescent="0.25">
      <c r="A5" s="45" t="s">
        <v>5</v>
      </c>
      <c r="B5" s="45" t="s">
        <v>1183</v>
      </c>
      <c r="C5" s="45" t="s">
        <v>1184</v>
      </c>
      <c r="D5" s="45" t="s">
        <v>1185</v>
      </c>
      <c r="E5" s="45" t="s">
        <v>1186</v>
      </c>
      <c r="F5" s="45" t="s">
        <v>1187</v>
      </c>
    </row>
    <row r="6" spans="1:7" x14ac:dyDescent="0.25">
      <c r="A6" t="s">
        <v>793</v>
      </c>
      <c r="B6">
        <v>23</v>
      </c>
      <c r="C6">
        <v>32</v>
      </c>
      <c r="D6">
        <v>30.1</v>
      </c>
      <c r="E6">
        <v>1.42</v>
      </c>
      <c r="F6">
        <v>1</v>
      </c>
    </row>
    <row r="7" spans="1:7" x14ac:dyDescent="0.25">
      <c r="A7" t="s">
        <v>794</v>
      </c>
      <c r="B7">
        <v>64</v>
      </c>
      <c r="C7">
        <v>12</v>
      </c>
      <c r="D7">
        <v>27.7</v>
      </c>
      <c r="E7">
        <v>0.64</v>
      </c>
      <c r="F7">
        <v>0.27</v>
      </c>
    </row>
    <row r="8" spans="1:7" x14ac:dyDescent="0.25">
      <c r="A8" t="s">
        <v>795</v>
      </c>
      <c r="B8">
        <v>59</v>
      </c>
      <c r="C8">
        <v>37.799999999999997</v>
      </c>
      <c r="D8">
        <v>44.6</v>
      </c>
      <c r="E8">
        <v>1.06</v>
      </c>
      <c r="F8">
        <v>0.5</v>
      </c>
    </row>
    <row r="9" spans="1:7" x14ac:dyDescent="0.25">
      <c r="A9" t="s">
        <v>796</v>
      </c>
      <c r="B9">
        <v>40</v>
      </c>
      <c r="C9">
        <v>79.099999999999994</v>
      </c>
      <c r="D9">
        <v>68.3</v>
      </c>
      <c r="E9">
        <v>2.33</v>
      </c>
      <c r="F9">
        <v>0.92</v>
      </c>
    </row>
    <row r="11" spans="1:7" x14ac:dyDescent="0.25">
      <c r="A11" s="66" t="s">
        <v>1188</v>
      </c>
      <c r="B11" s="62"/>
      <c r="C11" s="62"/>
      <c r="D11" s="62"/>
      <c r="E11" s="62"/>
      <c r="F11" s="62"/>
      <c r="G11" s="62"/>
    </row>
    <row r="13" spans="1:7" ht="15.75" customHeight="1" x14ac:dyDescent="0.25">
      <c r="A13" s="54" t="s">
        <v>1189</v>
      </c>
    </row>
    <row r="14" spans="1:7" ht="25.5" customHeight="1" x14ac:dyDescent="0.25">
      <c r="A14" s="45" t="s">
        <v>5</v>
      </c>
      <c r="B14" s="45" t="s">
        <v>109</v>
      </c>
      <c r="C14" s="45" t="s">
        <v>1190</v>
      </c>
      <c r="D14" s="45" t="s">
        <v>1191</v>
      </c>
      <c r="E14" s="45" t="s">
        <v>1192</v>
      </c>
      <c r="F14" s="45" t="s">
        <v>1193</v>
      </c>
    </row>
    <row r="15" spans="1:7" x14ac:dyDescent="0.25">
      <c r="A15" t="s">
        <v>18</v>
      </c>
      <c r="B15" t="s">
        <v>1117</v>
      </c>
      <c r="C15" t="s">
        <v>1194</v>
      </c>
      <c r="D15">
        <v>191</v>
      </c>
      <c r="E15">
        <v>12</v>
      </c>
      <c r="F15">
        <v>15.92</v>
      </c>
    </row>
    <row r="16" spans="1:7" x14ac:dyDescent="0.25">
      <c r="A16" t="s">
        <v>18</v>
      </c>
      <c r="B16" t="s">
        <v>1141</v>
      </c>
      <c r="C16" t="s">
        <v>1195</v>
      </c>
      <c r="D16">
        <v>81</v>
      </c>
      <c r="E16">
        <v>8</v>
      </c>
      <c r="F16">
        <v>10.119999999999999</v>
      </c>
    </row>
    <row r="17" spans="1:6" x14ac:dyDescent="0.25">
      <c r="A17" t="s">
        <v>18</v>
      </c>
      <c r="B17" t="s">
        <v>172</v>
      </c>
      <c r="C17" t="s">
        <v>1195</v>
      </c>
      <c r="D17">
        <v>73</v>
      </c>
      <c r="E17">
        <v>8</v>
      </c>
      <c r="F17">
        <v>9.1199999999999992</v>
      </c>
    </row>
    <row r="18" spans="1:6" x14ac:dyDescent="0.25">
      <c r="A18" t="s">
        <v>18</v>
      </c>
      <c r="B18" t="s">
        <v>224</v>
      </c>
      <c r="C18" t="s">
        <v>1195</v>
      </c>
      <c r="D18">
        <v>226</v>
      </c>
      <c r="E18">
        <v>28</v>
      </c>
      <c r="F18">
        <v>8.07</v>
      </c>
    </row>
    <row r="19" spans="1:6" x14ac:dyDescent="0.25">
      <c r="A19" t="s">
        <v>18</v>
      </c>
      <c r="B19" t="s">
        <v>380</v>
      </c>
      <c r="C19" t="s">
        <v>1194</v>
      </c>
      <c r="D19">
        <v>91</v>
      </c>
      <c r="E19">
        <v>12</v>
      </c>
      <c r="F19">
        <v>7.58</v>
      </c>
    </row>
    <row r="20" spans="1:6" x14ac:dyDescent="0.25">
      <c r="A20" t="s">
        <v>18</v>
      </c>
      <c r="B20" t="s">
        <v>151</v>
      </c>
      <c r="C20" t="s">
        <v>1196</v>
      </c>
      <c r="D20">
        <v>295</v>
      </c>
      <c r="E20">
        <v>40</v>
      </c>
      <c r="F20">
        <v>7.38</v>
      </c>
    </row>
    <row r="21" spans="1:6" x14ac:dyDescent="0.25">
      <c r="A21" t="s">
        <v>17</v>
      </c>
      <c r="B21" t="s">
        <v>166</v>
      </c>
      <c r="C21" t="s">
        <v>1195</v>
      </c>
      <c r="D21">
        <v>170</v>
      </c>
      <c r="E21">
        <v>25</v>
      </c>
      <c r="F21">
        <v>6.8</v>
      </c>
    </row>
    <row r="22" spans="1:6" x14ac:dyDescent="0.25">
      <c r="A22" t="s">
        <v>18</v>
      </c>
      <c r="B22" t="s">
        <v>463</v>
      </c>
      <c r="C22" t="s">
        <v>1195</v>
      </c>
      <c r="D22">
        <v>68</v>
      </c>
      <c r="E22">
        <v>10</v>
      </c>
      <c r="F22">
        <v>6.8</v>
      </c>
    </row>
    <row r="23" spans="1:6" x14ac:dyDescent="0.25">
      <c r="A23" t="s">
        <v>16</v>
      </c>
      <c r="B23" t="s">
        <v>471</v>
      </c>
      <c r="C23" t="s">
        <v>1195</v>
      </c>
      <c r="D23">
        <v>41</v>
      </c>
      <c r="E23">
        <v>8</v>
      </c>
      <c r="F23">
        <v>5.12</v>
      </c>
    </row>
    <row r="24" spans="1:6" x14ac:dyDescent="0.25">
      <c r="A24" t="s">
        <v>15</v>
      </c>
      <c r="B24" t="s">
        <v>865</v>
      </c>
      <c r="C24" t="s">
        <v>1197</v>
      </c>
      <c r="D24">
        <v>5</v>
      </c>
      <c r="E24">
        <v>1</v>
      </c>
      <c r="F24">
        <v>5</v>
      </c>
    </row>
    <row r="25" spans="1:6" x14ac:dyDescent="0.25">
      <c r="A25" t="s">
        <v>17</v>
      </c>
      <c r="B25" t="s">
        <v>330</v>
      </c>
      <c r="C25" t="s">
        <v>1195</v>
      </c>
      <c r="D25">
        <v>59</v>
      </c>
      <c r="E25">
        <v>12</v>
      </c>
      <c r="F25">
        <v>4.92</v>
      </c>
    </row>
    <row r="26" spans="1:6" x14ac:dyDescent="0.25">
      <c r="A26" t="s">
        <v>15</v>
      </c>
      <c r="B26" t="s">
        <v>519</v>
      </c>
      <c r="C26" t="s">
        <v>1195</v>
      </c>
      <c r="D26">
        <v>70</v>
      </c>
      <c r="E26">
        <v>15</v>
      </c>
      <c r="F26">
        <v>4.67</v>
      </c>
    </row>
    <row r="29" spans="1:6" ht="15.75" customHeight="1" x14ac:dyDescent="0.25">
      <c r="A29" s="54" t="s">
        <v>1198</v>
      </c>
    </row>
    <row r="30" spans="1:6" ht="25.5" customHeight="1" x14ac:dyDescent="0.25">
      <c r="A30" s="45" t="s">
        <v>5</v>
      </c>
      <c r="B30" s="45" t="s">
        <v>109</v>
      </c>
      <c r="C30" s="45" t="s">
        <v>1190</v>
      </c>
      <c r="D30" s="45" t="s">
        <v>1191</v>
      </c>
      <c r="E30" s="45" t="s">
        <v>1192</v>
      </c>
      <c r="F30" s="45" t="s">
        <v>1193</v>
      </c>
    </row>
    <row r="31" spans="1:6" x14ac:dyDescent="0.25">
      <c r="A31" t="s">
        <v>18</v>
      </c>
      <c r="B31" t="s">
        <v>155</v>
      </c>
      <c r="C31" t="s">
        <v>1195</v>
      </c>
      <c r="D31">
        <v>20</v>
      </c>
      <c r="E31">
        <v>200</v>
      </c>
      <c r="F31">
        <v>0.1</v>
      </c>
    </row>
    <row r="32" spans="1:6" x14ac:dyDescent="0.25">
      <c r="A32" t="s">
        <v>18</v>
      </c>
      <c r="B32" t="s">
        <v>157</v>
      </c>
      <c r="C32" t="s">
        <v>1195</v>
      </c>
      <c r="D32">
        <v>11</v>
      </c>
      <c r="E32">
        <v>95</v>
      </c>
      <c r="F32">
        <v>0.12</v>
      </c>
    </row>
    <row r="33" spans="1:7" x14ac:dyDescent="0.25">
      <c r="A33" t="s">
        <v>16</v>
      </c>
      <c r="B33" t="s">
        <v>145</v>
      </c>
      <c r="C33" t="s">
        <v>1196</v>
      </c>
      <c r="D33">
        <v>56</v>
      </c>
      <c r="E33">
        <v>320</v>
      </c>
      <c r="F33">
        <v>0.17</v>
      </c>
    </row>
    <row r="34" spans="1:7" x14ac:dyDescent="0.25">
      <c r="A34" t="s">
        <v>17</v>
      </c>
      <c r="B34" t="s">
        <v>156</v>
      </c>
      <c r="C34" t="s">
        <v>1196</v>
      </c>
      <c r="D34">
        <v>41</v>
      </c>
      <c r="E34">
        <v>195</v>
      </c>
      <c r="F34">
        <v>0.21</v>
      </c>
    </row>
    <row r="35" spans="1:7" x14ac:dyDescent="0.25">
      <c r="A35" t="s">
        <v>18</v>
      </c>
      <c r="B35" t="s">
        <v>170</v>
      </c>
      <c r="C35" t="s">
        <v>1196</v>
      </c>
      <c r="D35">
        <v>20</v>
      </c>
      <c r="E35">
        <v>82</v>
      </c>
      <c r="F35">
        <v>0.24</v>
      </c>
    </row>
    <row r="36" spans="1:7" x14ac:dyDescent="0.25">
      <c r="A36" t="s">
        <v>17</v>
      </c>
      <c r="B36" t="s">
        <v>149</v>
      </c>
      <c r="C36" t="s">
        <v>1197</v>
      </c>
      <c r="D36">
        <v>50</v>
      </c>
      <c r="E36">
        <v>190</v>
      </c>
      <c r="F36">
        <v>0.26</v>
      </c>
    </row>
    <row r="37" spans="1:7" x14ac:dyDescent="0.25">
      <c r="A37" t="s">
        <v>17</v>
      </c>
      <c r="B37" t="s">
        <v>240</v>
      </c>
      <c r="C37" t="s">
        <v>1195</v>
      </c>
      <c r="D37">
        <v>14</v>
      </c>
      <c r="E37">
        <v>47</v>
      </c>
      <c r="F37">
        <v>0.3</v>
      </c>
    </row>
    <row r="38" spans="1:7" x14ac:dyDescent="0.25">
      <c r="A38" t="s">
        <v>18</v>
      </c>
      <c r="B38" t="s">
        <v>153</v>
      </c>
      <c r="C38" t="s">
        <v>1197</v>
      </c>
      <c r="D38">
        <v>57</v>
      </c>
      <c r="E38">
        <v>182</v>
      </c>
      <c r="F38">
        <v>0.31</v>
      </c>
    </row>
    <row r="39" spans="1:7" x14ac:dyDescent="0.25">
      <c r="A39" t="s">
        <v>15</v>
      </c>
      <c r="B39" t="s">
        <v>194</v>
      </c>
      <c r="C39" t="s">
        <v>1194</v>
      </c>
      <c r="D39">
        <v>27</v>
      </c>
      <c r="E39">
        <v>80</v>
      </c>
      <c r="F39">
        <v>0.34</v>
      </c>
    </row>
    <row r="40" spans="1:7" x14ac:dyDescent="0.25">
      <c r="A40" t="s">
        <v>17</v>
      </c>
      <c r="B40" t="s">
        <v>199</v>
      </c>
      <c r="C40" t="s">
        <v>1195</v>
      </c>
      <c r="D40">
        <v>31</v>
      </c>
      <c r="E40">
        <v>90</v>
      </c>
      <c r="F40">
        <v>0.34</v>
      </c>
    </row>
    <row r="41" spans="1:7" x14ac:dyDescent="0.25">
      <c r="A41" t="s">
        <v>17</v>
      </c>
      <c r="B41" t="s">
        <v>171</v>
      </c>
      <c r="C41" t="s">
        <v>1194</v>
      </c>
      <c r="D41">
        <v>31</v>
      </c>
      <c r="E41">
        <v>85</v>
      </c>
      <c r="F41">
        <v>0.36</v>
      </c>
    </row>
    <row r="42" spans="1:7" x14ac:dyDescent="0.25">
      <c r="A42" t="s">
        <v>17</v>
      </c>
      <c r="B42" t="s">
        <v>177</v>
      </c>
      <c r="C42" t="s">
        <v>1195</v>
      </c>
      <c r="D42">
        <v>41</v>
      </c>
      <c r="E42">
        <v>100</v>
      </c>
      <c r="F42">
        <v>0.41</v>
      </c>
    </row>
    <row r="45" spans="1:7" x14ac:dyDescent="0.25">
      <c r="A45" s="66" t="s">
        <v>1199</v>
      </c>
      <c r="B45" s="62"/>
      <c r="C45" s="62"/>
      <c r="D45" s="62"/>
      <c r="E45" s="62"/>
      <c r="F45" s="62"/>
      <c r="G45" s="62"/>
    </row>
  </sheetData>
  <mergeCells count="4">
    <mergeCell ref="A11:G11"/>
    <mergeCell ref="A2:G2"/>
    <mergeCell ref="A1:G1"/>
    <mergeCell ref="A45:G45"/>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15"/>
  <sheetViews>
    <sheetView showGridLines="0" workbookViewId="0">
      <selection activeCell="A13" sqref="A13"/>
    </sheetView>
  </sheetViews>
  <sheetFormatPr defaultRowHeight="15" x14ac:dyDescent="0.25"/>
  <cols>
    <col min="1" max="1" width="14" customWidth="1"/>
    <col min="2" max="2" width="45" customWidth="1"/>
    <col min="3" max="5" width="18" customWidth="1"/>
    <col min="6" max="6" width="45" customWidth="1"/>
  </cols>
  <sheetData>
    <row r="1" spans="1:6" ht="20.25" customHeight="1" x14ac:dyDescent="0.3">
      <c r="A1" s="61" t="s">
        <v>1200</v>
      </c>
      <c r="B1" s="62"/>
      <c r="C1" s="62"/>
      <c r="D1" s="62"/>
      <c r="E1" s="62"/>
      <c r="F1" s="62"/>
    </row>
    <row r="2" spans="1:6" x14ac:dyDescent="0.25">
      <c r="A2" s="66" t="s">
        <v>1201</v>
      </c>
      <c r="B2" s="62"/>
      <c r="C2" s="62"/>
      <c r="D2" s="62"/>
      <c r="E2" s="62"/>
      <c r="F2" s="62"/>
    </row>
    <row r="4" spans="1:6" ht="25.5" customHeight="1" x14ac:dyDescent="0.25">
      <c r="A4" s="45" t="s">
        <v>1202</v>
      </c>
      <c r="B4" s="45" t="s">
        <v>1203</v>
      </c>
      <c r="C4" s="45" t="s">
        <v>1204</v>
      </c>
      <c r="D4" s="45" t="s">
        <v>1205</v>
      </c>
      <c r="E4" s="45" t="s">
        <v>1206</v>
      </c>
      <c r="F4" s="45" t="s">
        <v>1207</v>
      </c>
    </row>
    <row r="5" spans="1:6" ht="60" x14ac:dyDescent="0.25">
      <c r="A5" t="s">
        <v>1208</v>
      </c>
      <c r="B5" t="s">
        <v>1209</v>
      </c>
      <c r="C5" s="60">
        <v>747.8</v>
      </c>
      <c r="D5" s="60">
        <v>982.1</v>
      </c>
      <c r="E5" s="60">
        <v>25</v>
      </c>
      <c r="F5" s="48" t="s">
        <v>1224</v>
      </c>
    </row>
    <row r="6" spans="1:6" x14ac:dyDescent="0.25">
      <c r="A6" t="s">
        <v>1210</v>
      </c>
      <c r="B6" t="s">
        <v>1211</v>
      </c>
      <c r="F6" s="48" t="s">
        <v>1212</v>
      </c>
    </row>
    <row r="7" spans="1:6" x14ac:dyDescent="0.25">
      <c r="A7" t="s">
        <v>1213</v>
      </c>
      <c r="B7" t="s">
        <v>1214</v>
      </c>
      <c r="F7" s="48" t="s">
        <v>1212</v>
      </c>
    </row>
    <row r="8" spans="1:6" x14ac:dyDescent="0.25">
      <c r="A8" t="s">
        <v>1215</v>
      </c>
      <c r="B8" t="s">
        <v>1216</v>
      </c>
      <c r="F8" s="48" t="s">
        <v>1212</v>
      </c>
    </row>
    <row r="9" spans="1:6" x14ac:dyDescent="0.25">
      <c r="A9" t="s">
        <v>1217</v>
      </c>
      <c r="B9" t="s">
        <v>1218</v>
      </c>
      <c r="F9" s="48" t="s">
        <v>1212</v>
      </c>
    </row>
    <row r="10" spans="1:6" ht="72" x14ac:dyDescent="0.25">
      <c r="A10" t="s">
        <v>1219</v>
      </c>
      <c r="B10" t="s">
        <v>1220</v>
      </c>
      <c r="C10" s="60">
        <v>812.2</v>
      </c>
      <c r="D10" s="60">
        <v>966</v>
      </c>
      <c r="E10" s="60">
        <v>25</v>
      </c>
      <c r="F10" s="48" t="s">
        <v>1225</v>
      </c>
    </row>
    <row r="13" spans="1:6" ht="15.75" customHeight="1" x14ac:dyDescent="0.25">
      <c r="A13" s="54" t="s">
        <v>1221</v>
      </c>
    </row>
    <row r="14" spans="1:6" x14ac:dyDescent="0.25">
      <c r="A14" s="66" t="s">
        <v>1222</v>
      </c>
      <c r="B14" s="62"/>
      <c r="C14" s="62"/>
      <c r="D14" s="62"/>
      <c r="E14" s="62"/>
      <c r="F14" s="62"/>
    </row>
    <row r="15" spans="1:6" x14ac:dyDescent="0.25">
      <c r="A15" s="78" t="s">
        <v>1223</v>
      </c>
      <c r="B15" s="62"/>
      <c r="C15" s="62"/>
      <c r="D15" s="62"/>
      <c r="E15" s="62"/>
      <c r="F15" s="62"/>
    </row>
  </sheetData>
  <mergeCells count="4">
    <mergeCell ref="A2:F2"/>
    <mergeCell ref="A14:F14"/>
    <mergeCell ref="A1:F1"/>
    <mergeCell ref="A15:F15"/>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Guida</vt:lpstr>
      <vt:lpstr>Dashboard Asta</vt:lpstr>
      <vt:lpstr>Decisione Live</vt:lpstr>
      <vt:lpstr>Output Utente</vt:lpstr>
      <vt:lpstr>Stato Asta</vt:lpstr>
      <vt:lpstr>Info Lega</vt:lpstr>
      <vt:lpstr>Info Strategia</vt:lpstr>
      <vt:lpstr>Parametri Modello</vt:lpstr>
      <vt:lpstr>Pressione Competitiva</vt:lpstr>
      <vt:lpstr>TeamDetail</vt:lpstr>
      <vt:lpstr>Giocatori Da Chiamare</vt:lpstr>
      <vt:lpstr>Giocatori Liberi</vt:lpstr>
      <vt:lpstr>La Mia Rosa</vt:lpstr>
      <vt:lpstr>Input Giocatori 2026_27</vt:lpstr>
      <vt:lpstr>Input Statistiche 2025_26</vt:lpstr>
      <vt:lpstr>Validazione Dati</vt:lpstr>
      <vt:lpstr>Analisi Asta Reale 2025</vt:lpstr>
      <vt:lpstr>Simulazioni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FantaAuction Engine — Cowork Final</dc:title>
  <dc:subject>Motore di pricing per asta Fantacalcio</dc:subject>
  <dc:creator>Cowork (Claude) + Salvatore Nocerino</dc:creator>
  <dc:description>Evoluzione di Strategia_Asta_v11_titolari_riserve.xlsx</dc:description>
  <cp:lastModifiedBy>14239</cp:lastModifiedBy>
  <cp:revision>0</cp:revision>
  <dcterms:created xsi:type="dcterms:W3CDTF">2015-06-05T18:17:20Z</dcterms:created>
  <dcterms:modified xsi:type="dcterms:W3CDTF">2026-08-12T08:58:19Z</dcterms:modified>
  <dc:language>en-US</dc:language>
</cp:coreProperties>
</file>